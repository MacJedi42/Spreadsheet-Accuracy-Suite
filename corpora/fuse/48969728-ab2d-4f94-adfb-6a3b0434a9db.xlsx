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autoCompressPictures="0" defaultThemeVersion="124226"/>
  <bookViews>
    <workbookView xWindow="2220" yWindow="1320" windowWidth="3600" windowHeight="5610" tabRatio="873"/>
  </bookViews>
  <sheets>
    <sheet name="Metadata_SunScanLAI" sheetId="55" r:id="rId1"/>
    <sheet name="SunScan_LAI_Data" sheetId="25" r:id="rId2"/>
    <sheet name="Sites(Do NOT Edit)" sheetId="56" r:id="rId3"/>
  </sheets>
  <definedNames>
    <definedName name="_xlnm._FilterDatabase" localSheetId="2" hidden="1">'Sites(Do NOT Edit)'!$A$2:$N$638</definedName>
    <definedName name="ABSTRACT" localSheetId="0">Metadata_SunScanLAI!$A$6</definedName>
    <definedName name="ABSTRACT" localSheetId="2">Metadata_SunScanLAI!$A$6</definedName>
    <definedName name="Address_line_2" localSheetId="0">Metadata_SunScanLAI!$A$24</definedName>
    <definedName name="Address_line_2" localSheetId="2">Metadata_SunScanLAI!$A$24</definedName>
    <definedName name="Address_line_3" localSheetId="0">Metadata_SunScanLAI!$A$25</definedName>
    <definedName name="Address_line_3" localSheetId="2">Metadata_SunScanLAI!$A$25</definedName>
    <definedName name="Availability_Status" localSheetId="0">Metadata_SunScanLAI!$A$39</definedName>
    <definedName name="Availability_Status" localSheetId="2">Metadata_SunScanLAI!$A$39</definedName>
    <definedName name="Beginning_Date" localSheetId="0">Metadata_SunScanLAI!$A$35</definedName>
    <definedName name="Beginning_Date" localSheetId="2">Metadata_SunScanLAI!$A$35</definedName>
    <definedName name="City" localSheetId="0">Metadata_SunScanLAI!$A$26</definedName>
    <definedName name="City" localSheetId="2">Metadata_SunScanLAI!$A$26</definedName>
    <definedName name="Code_Information" localSheetId="0">Metadata_SunScanLAI!$F$220</definedName>
    <definedName name="Code_Information" localSheetId="2">Metadata_SunScanLAI!$F$220</definedName>
    <definedName name="Country" localSheetId="0">Metadata_SunScanLAI!$A$29</definedName>
    <definedName name="Country" localSheetId="2">Metadata_SunScanLAI!$A$29</definedName>
    <definedName name="DATA_FILE_INFORMATION" localSheetId="0">Metadata_SunScanLAI!$A$32</definedName>
    <definedName name="DATA_FILE_INFORMATION" localSheetId="2">Metadata_SunScanLAI!$A$32</definedName>
    <definedName name="Data_File_Name" localSheetId="0">Metadata_SunScanLAI!$A$34</definedName>
    <definedName name="Data_File_Name" localSheetId="2">Metadata_SunScanLAI!$A$34</definedName>
    <definedName name="Data_File_URL" localSheetId="0">Metadata_SunScanLAI!$A$33</definedName>
    <definedName name="Data_File_URL" localSheetId="2">Metadata_SunScanLAI!$A$33</definedName>
    <definedName name="Data_Type" localSheetId="0">Metadata_SunScanLAI!$C$220</definedName>
    <definedName name="Data_Type" localSheetId="2">Metadata_SunScanLAI!$C$220</definedName>
    <definedName name="DATASET_ID" localSheetId="0">Metadata_SunScanLAI!$A$16</definedName>
    <definedName name="DATASET_ID" localSheetId="2">Metadata_SunScanLAI!$A$16</definedName>
    <definedName name="DATASET_TITLE" localSheetId="0">Metadata_SunScanLAI!$A$5</definedName>
    <definedName name="DATASET_TITLE" localSheetId="2">Metadata_SunScanLAI!$A$5</definedName>
    <definedName name="DateTime_Format" localSheetId="0">Metadata_SunScanLAI!$E$220</definedName>
    <definedName name="DateTime_Format" localSheetId="2">Metadata_SunScanLAI!$E$220</definedName>
    <definedName name="Distribution_URL_for_file" localSheetId="0">Metadata_SunScanLAI!$A$4</definedName>
    <definedName name="Distribution_URL_for_file" localSheetId="2">Metadata_SunScanLAI!$A$4</definedName>
    <definedName name="East_Bounding_Coordinate" localSheetId="0">Metadata_SunScanLAI!$A$52</definedName>
    <definedName name="East_Bounding_Coordinate" localSheetId="2">Metadata_SunScanLAI!$A$52</definedName>
    <definedName name="Elevation" localSheetId="0">Metadata_SunScanLAI!$A$58</definedName>
    <definedName name="Elevation" localSheetId="2">Metadata_SunScanLAI!$A$58</definedName>
    <definedName name="Email" localSheetId="0">Metadata_SunScanLAI!$A$20</definedName>
    <definedName name="Email" localSheetId="2">Metadata_SunScanLAI!$A$20</definedName>
    <definedName name="End_Date" localSheetId="0">Metadata_SunScanLAI!$A$36</definedName>
    <definedName name="End_Date" localSheetId="2">Metadata_SunScanLAI!$A$36</definedName>
    <definedName name="First_Name" localSheetId="0">Metadata_SunScanLAI!$A$21</definedName>
    <definedName name="First_Name" localSheetId="2">Metadata_SunScanLAI!$A$21</definedName>
    <definedName name="Geographic_Description" localSheetId="0">Metadata_SunScanLAI!$A$49</definedName>
    <definedName name="Geographic_Description" localSheetId="2">Metadata_SunScanLAI!$A$49</definedName>
    <definedName name="INVESTIGATOR_INFORMATION" localSheetId="0">Metadata_SunScanLAI!$A$18</definedName>
    <definedName name="INVESTIGATOR_INFORMATION" localSheetId="2">Metadata_SunScanLAI!$A$18</definedName>
    <definedName name="KEYWORD_INFORMATION" localSheetId="0">Metadata_SunScanLAI!$A$64</definedName>
    <definedName name="KEYWORD_INFORMATION" localSheetId="2">Metadata_SunScanLAI!$A$64</definedName>
    <definedName name="KEYWORDS" localSheetId="0">Metadata_SunScanLAI!$A$65</definedName>
    <definedName name="KEYWORDS" localSheetId="2">Metadata_SunScanLAI!$A$65</definedName>
    <definedName name="Last_Name" localSheetId="0">Metadata_SunScanLAI!$A$22</definedName>
    <definedName name="Last_Name" localSheetId="2">Metadata_SunScanLAI!$A$22</definedName>
    <definedName name="Latitude" localSheetId="0">Metadata_SunScanLAI!$A$56</definedName>
    <definedName name="Latitude" localSheetId="2">Metadata_SunScanLAI!$A$56</definedName>
    <definedName name="Link_to_Google_Map">Metadata_SunScanLAI!$A$59</definedName>
    <definedName name="Location_Bounding_Box" localSheetId="0">Metadata_SunScanLAI!$A$50</definedName>
    <definedName name="Location_Bounding_Box" localSheetId="2">Metadata_SunScanLAI!$A$50</definedName>
    <definedName name="Location_Name" localSheetId="0">Metadata_SunScanLAI!$A$48</definedName>
    <definedName name="Location_Name" localSheetId="2">Metadata_SunScanLAI!$A$48</definedName>
    <definedName name="Log_of_Changes" localSheetId="0">Metadata_SunScanLAI!$A$42</definedName>
    <definedName name="Log_of_Changes" localSheetId="2">Metadata_SunScanLAI!$A$42</definedName>
    <definedName name="Longitude" localSheetId="0">Metadata_SunScanLAI!$A$57</definedName>
    <definedName name="Longitude" localSheetId="2">Metadata_SunScanLAI!$A$57</definedName>
    <definedName name="LTER_Sites_number">'Sites(Do NOT Edit)'!$A$2:$A$638</definedName>
    <definedName name="Maintenance_Description" localSheetId="0">Metadata_SunScanLAI!$A$41</definedName>
    <definedName name="Maintenance_Description" localSheetId="2">Metadata_SunScanLAI!$A$41</definedName>
    <definedName name="Metacat_Package_ID" localSheetId="0">Metadata_SunScanLAI!$A$2</definedName>
    <definedName name="Metacat_Package_ID" localSheetId="2">Metadata_SunScanLAI!$A$2</definedName>
    <definedName name="METHODS" localSheetId="0">Metadata_SunScanLAI!$A$68</definedName>
    <definedName name="METHODS" localSheetId="2">Metadata_SunScanLAI!$A$68</definedName>
    <definedName name="Missing_Value_Code" localSheetId="0">Metadata_SunScanLAI!$G$220</definedName>
    <definedName name="Missing_Value_Code" localSheetId="2">Metadata_SunScanLAI!$G$220</definedName>
    <definedName name="North_Bounding_Coordinate" localSheetId="0">Metadata_SunScanLAI!$A$53</definedName>
    <definedName name="North_Bounding_Coordinate" localSheetId="2">Metadata_SunScanLAI!$A$53</definedName>
    <definedName name="Number_of_Data_Records" localSheetId="0">Metadata_SunScanLAI!$A$37</definedName>
    <definedName name="Number_of_Data_Records" localSheetId="2">Metadata_SunScanLAI!$A$37</definedName>
    <definedName name="OR" localSheetId="0">Metadata_SunScanLAI!$A$211</definedName>
    <definedName name="OR" localSheetId="2">Metadata_SunScanLAI!$A$211</definedName>
    <definedName name="OR_if_single_point_location" localSheetId="0">Metadata_SunScanLAI!$A$55</definedName>
    <definedName name="OR_if_single_point_location" localSheetId="2">Metadata_SunScanLAI!$A$55</definedName>
    <definedName name="Organisms_studied" localSheetId="0">Metadata_SunScanLAI!$A$62</definedName>
    <definedName name="Organisms_studied" localSheetId="2">Metadata_SunScanLAI!$A$62</definedName>
    <definedName name="Organization" localSheetId="0">Metadata_SunScanLAI!$A$23</definedName>
    <definedName name="Organization" localSheetId="2">Metadata_SunScanLAI!$A$23</definedName>
    <definedName name="Other_Files_to_Reference" localSheetId="0">Metadata_SunScanLAI!$A$38</definedName>
    <definedName name="Other_Files_to_Reference" localSheetId="2">Metadata_SunScanLAI!$A$38</definedName>
    <definedName name="Protocol_Document" localSheetId="0">Metadata_SunScanLAI!$A$212</definedName>
    <definedName name="Protocol_Document" localSheetId="2">Metadata_SunScanLAI!$A$212</definedName>
    <definedName name="Protocol_Title" localSheetId="0">Metadata_SunScanLAI!$A$209</definedName>
    <definedName name="Protocol_Title" localSheetId="2">Metadata_SunScanLAI!$A$209</definedName>
    <definedName name="Quality_Control_Information" localSheetId="0">Metadata_SunScanLAI!$A$40</definedName>
    <definedName name="Quality_Control_Information" localSheetId="2">Metadata_SunScanLAI!$A$40</definedName>
    <definedName name="RESEARCH_LOCATION" localSheetId="0">Metadata_SunScanLAI!$A$47</definedName>
    <definedName name="RESEARCH_LOCATION" localSheetId="2">Metadata_SunScanLAI!$A$47</definedName>
    <definedName name="Role" localSheetId="0">Metadata_SunScanLAI!$A$19</definedName>
    <definedName name="Role" localSheetId="2">Metadata_SunScanLAI!$A$19</definedName>
    <definedName name="Sampling_and_or_Lab_Protocols" localSheetId="0">Metadata_SunScanLAI!$A$208</definedName>
    <definedName name="Sampling_and_or_Lab_Protocols" localSheetId="2">Metadata_SunScanLAI!$A$208</definedName>
    <definedName name="Site_name">'Sites(Do NOT Edit)'!$B$3:$B$638</definedName>
    <definedName name="Site_name_list">'Sites(Do NOT Edit)'!$B$2:$B$638</definedName>
    <definedName name="Sites">'Sites(Do NOT Edit)'!$A$3:$M$638</definedName>
    <definedName name="South_Bounding_Coordinate" localSheetId="0">Metadata_SunScanLAI!$A$54</definedName>
    <definedName name="South_Bounding_Coordinate" localSheetId="2">Metadata_SunScanLAI!$A$54</definedName>
    <definedName name="State" localSheetId="0">Metadata_SunScanLAI!$A$27</definedName>
    <definedName name="State" localSheetId="2">Metadata_SunScanLAI!$A$27</definedName>
    <definedName name="TAXONOMIC_COVERAGE" localSheetId="0">Metadata_SunScanLAI!$A$61</definedName>
    <definedName name="TAXONOMIC_COVERAGE" localSheetId="2">Metadata_SunScanLAI!$A$61</definedName>
    <definedName name="Units" localSheetId="0">Metadata_SunScanLAI!$D$220</definedName>
    <definedName name="Units" localSheetId="2">Metadata_SunScanLAI!$D$220</definedName>
    <definedName name="URL_of_online_Protocol" localSheetId="0">Metadata_SunScanLAI!$A$210</definedName>
    <definedName name="URL_of_online_Protocol" localSheetId="2">Metadata_SunScanLAI!$A$210</definedName>
    <definedName name="Variable_Description" localSheetId="0">Metadata_SunScanLAI!$B$220</definedName>
    <definedName name="Variable_Description" localSheetId="2">Metadata_SunScanLAI!$B$220</definedName>
    <definedName name="VARIABLE_DESCRIPTIONS" localSheetId="0">Metadata_SunScanLAI!$A$219</definedName>
    <definedName name="VARIABLE_DESCRIPTIONS" localSheetId="2">Metadata_SunScanLAI!$A$219</definedName>
    <definedName name="Variable_Name" localSheetId="0">Metadata_SunScanLAI!$A$220</definedName>
    <definedName name="Variable_Name" localSheetId="2">Metadata_SunScanLAI!$A$220</definedName>
    <definedName name="West_Bounding_Coordinate" localSheetId="0">Metadata_SunScanLAI!$A$51</definedName>
    <definedName name="West_Bounding_Coordinate" localSheetId="2">Metadata_SunScanLAI!$A$51</definedName>
    <definedName name="Year_Released_to_Public" localSheetId="0">Metadata_SunScanLAI!$A$3</definedName>
    <definedName name="Year_Released_to_Public" localSheetId="2">Metadata_SunScanLAI!$A$3</definedName>
    <definedName name="Zip_Code" localSheetId="0">Metadata_SunScanLAI!$A$28</definedName>
    <definedName name="Zip_Code" localSheetId="2">Metadata_SunScanLAI!$A$28</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M638" i="56" l="1"/>
  <c r="M637" i="56"/>
  <c r="M636" i="56"/>
  <c r="M635" i="56"/>
  <c r="M634" i="56"/>
  <c r="M633" i="56"/>
  <c r="M632" i="56"/>
  <c r="M631" i="56"/>
  <c r="M630" i="56"/>
  <c r="M629" i="56"/>
  <c r="M628" i="56"/>
  <c r="M627" i="56"/>
  <c r="M626" i="56"/>
  <c r="M625" i="56"/>
  <c r="M624" i="56"/>
  <c r="M623" i="56"/>
  <c r="M622" i="56"/>
  <c r="M621" i="56"/>
  <c r="M620" i="56"/>
  <c r="M619" i="56"/>
  <c r="M618" i="56"/>
  <c r="M617" i="56"/>
  <c r="M616" i="56"/>
  <c r="M615" i="56"/>
  <c r="M614" i="56"/>
  <c r="M613" i="56"/>
  <c r="M612" i="56"/>
  <c r="M611" i="56"/>
  <c r="M610" i="56"/>
  <c r="M609" i="56"/>
  <c r="M608" i="56"/>
  <c r="M607" i="56"/>
  <c r="M606" i="56"/>
  <c r="M605" i="56"/>
  <c r="M604" i="56"/>
  <c r="M603" i="56"/>
  <c r="M602" i="56"/>
  <c r="M601" i="56"/>
  <c r="M600" i="56"/>
  <c r="M599" i="56"/>
  <c r="M598" i="56"/>
  <c r="M597" i="56"/>
  <c r="M596" i="56"/>
  <c r="M595" i="56"/>
  <c r="M594" i="56"/>
  <c r="M593" i="56"/>
  <c r="M592" i="56"/>
  <c r="M591" i="56"/>
  <c r="M590" i="56"/>
  <c r="M589" i="56"/>
  <c r="M588" i="56"/>
  <c r="M587" i="56"/>
  <c r="M586" i="56"/>
  <c r="M585" i="56"/>
  <c r="M584" i="56"/>
  <c r="M583" i="56"/>
  <c r="M582" i="56"/>
  <c r="M581" i="56"/>
  <c r="M580" i="56"/>
  <c r="M579" i="56"/>
  <c r="M578" i="56"/>
  <c r="M577" i="56"/>
  <c r="M576" i="56"/>
  <c r="M575" i="56"/>
  <c r="M574" i="56"/>
  <c r="M573" i="56"/>
  <c r="M572" i="56"/>
  <c r="M571" i="56"/>
  <c r="M570" i="56"/>
  <c r="M569" i="56"/>
  <c r="M568" i="56"/>
  <c r="M567" i="56"/>
  <c r="M566" i="56"/>
  <c r="M565" i="56"/>
  <c r="M564" i="56"/>
  <c r="M563" i="56"/>
  <c r="M562" i="56"/>
  <c r="M561" i="56"/>
  <c r="M560" i="56"/>
  <c r="M559" i="56"/>
  <c r="M558" i="56"/>
  <c r="M557" i="56"/>
  <c r="M556" i="56"/>
  <c r="M555" i="56"/>
  <c r="M554" i="56"/>
  <c r="M553" i="56"/>
  <c r="M552" i="56"/>
  <c r="M551" i="56"/>
  <c r="M550" i="56"/>
  <c r="M549" i="56"/>
  <c r="M548" i="56"/>
  <c r="M547" i="56"/>
  <c r="M546" i="56"/>
  <c r="M545" i="56"/>
  <c r="M544" i="56"/>
  <c r="M543" i="56"/>
  <c r="M542" i="56"/>
  <c r="M541" i="56"/>
  <c r="M540" i="56"/>
  <c r="M539" i="56"/>
  <c r="M538" i="56"/>
  <c r="M537" i="56"/>
  <c r="M536" i="56"/>
  <c r="M535" i="56"/>
  <c r="M534" i="56"/>
  <c r="M533" i="56"/>
  <c r="M532" i="56"/>
  <c r="M531" i="56"/>
  <c r="M530" i="56"/>
  <c r="M529" i="56"/>
  <c r="M528" i="56"/>
  <c r="M527" i="56"/>
  <c r="M526" i="56"/>
  <c r="M525" i="56"/>
  <c r="M524" i="56"/>
  <c r="M523" i="56"/>
  <c r="M522" i="56"/>
  <c r="M521" i="56"/>
  <c r="M520" i="56"/>
  <c r="M519" i="56"/>
  <c r="M518" i="56"/>
  <c r="M517" i="56"/>
  <c r="M516" i="56"/>
  <c r="M515" i="56"/>
  <c r="M514" i="56"/>
  <c r="M513" i="56"/>
  <c r="M512" i="56"/>
  <c r="M511" i="56"/>
  <c r="M510" i="56"/>
  <c r="M509" i="56"/>
  <c r="M508" i="56"/>
  <c r="M507" i="56"/>
  <c r="M506" i="56"/>
  <c r="M505" i="56"/>
  <c r="M504" i="56"/>
  <c r="M503" i="56"/>
  <c r="M502" i="56"/>
  <c r="M501" i="56"/>
  <c r="M500" i="56"/>
  <c r="M499" i="56"/>
  <c r="M498" i="56"/>
  <c r="M497" i="56"/>
  <c r="M496" i="56"/>
  <c r="M495" i="56"/>
  <c r="M494" i="56"/>
  <c r="M493" i="56"/>
  <c r="M492" i="56"/>
  <c r="M491" i="56"/>
  <c r="M490" i="56"/>
  <c r="M489" i="56"/>
  <c r="M488" i="56"/>
  <c r="M487" i="56"/>
  <c r="M486" i="56"/>
  <c r="M485" i="56"/>
  <c r="M484" i="56"/>
  <c r="M483" i="56"/>
  <c r="M482" i="56"/>
  <c r="M481" i="56"/>
  <c r="M480" i="56"/>
  <c r="M479" i="56"/>
  <c r="M478" i="56"/>
  <c r="M477" i="56"/>
  <c r="M476" i="56"/>
  <c r="M475" i="56"/>
  <c r="M474" i="56"/>
  <c r="M473" i="56"/>
  <c r="M472" i="56"/>
  <c r="M471" i="56"/>
  <c r="M470" i="56"/>
  <c r="M469" i="56"/>
  <c r="M468" i="56"/>
  <c r="M467" i="56"/>
  <c r="M466" i="56"/>
  <c r="M465" i="56"/>
  <c r="M464" i="56"/>
  <c r="M463" i="56"/>
  <c r="M462" i="56"/>
  <c r="M461" i="56"/>
  <c r="M460" i="56"/>
  <c r="M459" i="56"/>
  <c r="M458" i="56"/>
  <c r="M457" i="56"/>
  <c r="M456" i="56"/>
  <c r="M455" i="56"/>
  <c r="M454" i="56"/>
  <c r="M453" i="56"/>
  <c r="M452" i="56"/>
  <c r="M451" i="56"/>
  <c r="M450" i="56"/>
  <c r="M449" i="56"/>
  <c r="M448" i="56"/>
  <c r="M447" i="56"/>
  <c r="M446" i="56"/>
  <c r="M445" i="56"/>
  <c r="M444" i="56"/>
  <c r="M443" i="56"/>
  <c r="M442" i="56"/>
  <c r="M441" i="56"/>
  <c r="M440" i="56"/>
  <c r="M439" i="56"/>
  <c r="M438" i="56"/>
  <c r="M437" i="56"/>
  <c r="M436" i="56"/>
  <c r="M435" i="56"/>
  <c r="N434" i="56"/>
  <c r="M434" i="56"/>
  <c r="N433" i="56"/>
  <c r="M433" i="56"/>
  <c r="N432" i="56"/>
  <c r="M432" i="56"/>
  <c r="N431" i="56"/>
  <c r="M431" i="56"/>
  <c r="N430" i="56"/>
  <c r="M430" i="56"/>
  <c r="N429" i="56"/>
  <c r="M429" i="56"/>
  <c r="N428" i="56"/>
  <c r="M428" i="56"/>
  <c r="N427" i="56"/>
  <c r="M427" i="56"/>
  <c r="N426" i="56"/>
  <c r="M426" i="56"/>
  <c r="N425" i="56"/>
  <c r="M425" i="56"/>
  <c r="N424" i="56"/>
  <c r="M424" i="56"/>
  <c r="N423" i="56"/>
  <c r="M423" i="56"/>
  <c r="N422" i="56"/>
  <c r="M422" i="56"/>
  <c r="N421" i="56"/>
  <c r="M421" i="56"/>
  <c r="N420" i="56"/>
  <c r="M420" i="56"/>
  <c r="N419" i="56"/>
  <c r="M419" i="56"/>
  <c r="N418" i="56"/>
  <c r="M418" i="56"/>
  <c r="N417" i="56"/>
  <c r="M417" i="56"/>
  <c r="N416" i="56"/>
  <c r="M416" i="56"/>
  <c r="N415" i="56"/>
  <c r="M415" i="56"/>
  <c r="N414" i="56"/>
  <c r="M414" i="56"/>
  <c r="N413" i="56"/>
  <c r="M413" i="56"/>
  <c r="N412" i="56"/>
  <c r="M412" i="56"/>
  <c r="N411" i="56"/>
  <c r="M411" i="56"/>
  <c r="N410" i="56"/>
  <c r="M410" i="56"/>
  <c r="N409" i="56"/>
  <c r="M409" i="56"/>
  <c r="N408" i="56"/>
  <c r="M408" i="56"/>
  <c r="N407" i="56"/>
  <c r="M407" i="56"/>
  <c r="N406" i="56"/>
  <c r="M406" i="56"/>
  <c r="N405" i="56"/>
  <c r="M405" i="56"/>
  <c r="N404" i="56"/>
  <c r="M404" i="56"/>
  <c r="N403" i="56"/>
  <c r="M403" i="56"/>
  <c r="N402" i="56"/>
  <c r="M402" i="56"/>
  <c r="N401" i="56"/>
  <c r="M401" i="56"/>
  <c r="N400" i="56"/>
  <c r="M400" i="56"/>
  <c r="N399" i="56"/>
  <c r="M399" i="56"/>
  <c r="N398" i="56"/>
  <c r="M398" i="56"/>
  <c r="N397" i="56"/>
  <c r="M397" i="56"/>
  <c r="N396" i="56"/>
  <c r="M396" i="56"/>
  <c r="N395" i="56"/>
  <c r="M395" i="56"/>
  <c r="N394" i="56"/>
  <c r="M394" i="56"/>
  <c r="N393" i="56"/>
  <c r="M393" i="56"/>
  <c r="N392" i="56"/>
  <c r="M392" i="56"/>
  <c r="N391" i="56"/>
  <c r="M391" i="56"/>
  <c r="N390" i="56"/>
  <c r="M390" i="56"/>
  <c r="N389" i="56"/>
  <c r="M389" i="56"/>
  <c r="N388" i="56"/>
  <c r="M388" i="56"/>
  <c r="N387" i="56"/>
  <c r="M387" i="56"/>
  <c r="N386" i="56"/>
  <c r="M386" i="56"/>
  <c r="N385" i="56"/>
  <c r="M385" i="56"/>
  <c r="N384" i="56"/>
  <c r="M384" i="56"/>
  <c r="N383" i="56"/>
  <c r="M383" i="56"/>
  <c r="N382" i="56"/>
  <c r="M382" i="56"/>
  <c r="N381" i="56"/>
  <c r="M381" i="56"/>
  <c r="N380" i="56"/>
  <c r="M380" i="56"/>
  <c r="N379" i="56"/>
  <c r="M379" i="56"/>
  <c r="N378" i="56"/>
  <c r="M378" i="56"/>
  <c r="N377" i="56"/>
  <c r="M377" i="56"/>
  <c r="N376" i="56"/>
  <c r="M376" i="56"/>
  <c r="N375" i="56"/>
  <c r="M375" i="56"/>
  <c r="N374" i="56"/>
  <c r="M374" i="56"/>
  <c r="N373" i="56"/>
  <c r="M373" i="56"/>
  <c r="N372" i="56"/>
  <c r="M372" i="56"/>
  <c r="N371" i="56"/>
  <c r="M371" i="56"/>
  <c r="N370" i="56"/>
  <c r="M370" i="56"/>
  <c r="N369" i="56"/>
  <c r="M369" i="56"/>
  <c r="N368" i="56"/>
  <c r="M368" i="56"/>
  <c r="N367" i="56"/>
  <c r="M367" i="56"/>
  <c r="N366" i="56"/>
  <c r="M366" i="56"/>
  <c r="N365" i="56"/>
  <c r="M365" i="56"/>
  <c r="N364" i="56"/>
  <c r="M364" i="56"/>
  <c r="N363" i="56"/>
  <c r="M363" i="56"/>
  <c r="N362" i="56"/>
  <c r="M362" i="56"/>
  <c r="N361" i="56"/>
  <c r="M361" i="56"/>
  <c r="N360" i="56"/>
  <c r="M360" i="56"/>
  <c r="N359" i="56"/>
  <c r="M359" i="56"/>
  <c r="N358" i="56"/>
  <c r="M358" i="56"/>
  <c r="N357" i="56"/>
  <c r="M357" i="56"/>
  <c r="N356" i="56"/>
  <c r="M356" i="56"/>
  <c r="M355" i="56"/>
  <c r="M354" i="56"/>
  <c r="M353" i="56"/>
  <c r="M352" i="56"/>
  <c r="M351" i="56"/>
  <c r="M350" i="56"/>
  <c r="M349" i="56"/>
  <c r="M348" i="56"/>
  <c r="M347" i="56"/>
  <c r="M346" i="56"/>
  <c r="M345" i="56"/>
  <c r="M344" i="56"/>
  <c r="M343" i="56"/>
  <c r="M342" i="56"/>
  <c r="M341" i="56"/>
  <c r="M340" i="56"/>
  <c r="M339" i="56"/>
  <c r="M338" i="56"/>
  <c r="M337" i="56"/>
  <c r="M336" i="56"/>
  <c r="M335" i="56"/>
  <c r="M334" i="56"/>
  <c r="M333" i="56"/>
  <c r="M332" i="56"/>
  <c r="M331" i="56"/>
  <c r="M330" i="56"/>
  <c r="M329" i="56"/>
  <c r="M328" i="56"/>
  <c r="M327" i="56"/>
  <c r="M326" i="56"/>
  <c r="M325" i="56"/>
  <c r="M324" i="56"/>
  <c r="M323" i="56"/>
  <c r="M322" i="56"/>
  <c r="M321" i="56"/>
  <c r="M320" i="56"/>
  <c r="M319" i="56"/>
  <c r="M318" i="56"/>
  <c r="M317" i="56"/>
  <c r="M316" i="56"/>
  <c r="M315" i="56"/>
  <c r="M314" i="56"/>
  <c r="M313" i="56"/>
  <c r="M312" i="56"/>
  <c r="M311" i="56"/>
  <c r="M310" i="56"/>
  <c r="M309" i="56"/>
  <c r="M308" i="56"/>
  <c r="M307" i="56"/>
  <c r="M306" i="56"/>
  <c r="M305" i="56"/>
  <c r="M304" i="56"/>
  <c r="M303" i="56"/>
  <c r="M302" i="56"/>
  <c r="M301" i="56"/>
  <c r="M300" i="56"/>
  <c r="M299" i="56"/>
  <c r="M298" i="56"/>
  <c r="M297" i="56"/>
  <c r="M296" i="56"/>
  <c r="M295" i="56"/>
  <c r="M294" i="56"/>
  <c r="M293" i="56"/>
  <c r="M292" i="56"/>
  <c r="M291" i="56"/>
  <c r="M290" i="56"/>
  <c r="M289" i="56"/>
  <c r="M288" i="56"/>
  <c r="M287" i="56"/>
  <c r="M286" i="56"/>
  <c r="M285" i="56"/>
  <c r="M284" i="56"/>
  <c r="M283" i="56"/>
  <c r="M282" i="56"/>
  <c r="M281" i="56"/>
  <c r="M280" i="56"/>
  <c r="M279" i="56"/>
  <c r="M278" i="56"/>
  <c r="M277" i="56"/>
  <c r="M276" i="56"/>
  <c r="M275" i="56"/>
  <c r="M274" i="56"/>
  <c r="M273" i="56"/>
  <c r="M272" i="56"/>
  <c r="M271" i="56"/>
  <c r="M270" i="56"/>
  <c r="M269" i="56"/>
  <c r="M268" i="56"/>
  <c r="M267" i="56"/>
  <c r="M266" i="56"/>
  <c r="M265" i="56"/>
  <c r="M264" i="56"/>
  <c r="M263" i="56"/>
  <c r="M262" i="56"/>
  <c r="M261" i="56"/>
  <c r="M260" i="56"/>
  <c r="M259" i="56"/>
  <c r="M258" i="56"/>
  <c r="M257" i="56"/>
  <c r="M256" i="56"/>
  <c r="M255" i="56"/>
  <c r="M254" i="56"/>
  <c r="M253" i="56"/>
  <c r="M252" i="56"/>
  <c r="M251" i="56"/>
  <c r="M250" i="56"/>
  <c r="M249" i="56"/>
  <c r="M248" i="56"/>
  <c r="M247" i="56"/>
  <c r="M246" i="56"/>
  <c r="M245" i="56"/>
  <c r="M244" i="56"/>
  <c r="M243" i="56"/>
  <c r="M242" i="56"/>
  <c r="M241" i="56"/>
  <c r="M240" i="56"/>
  <c r="M239" i="56"/>
  <c r="M238" i="56"/>
  <c r="M237" i="56"/>
  <c r="M236" i="56"/>
  <c r="M235" i="56"/>
  <c r="M234" i="56"/>
  <c r="M233" i="56"/>
  <c r="M232" i="56"/>
  <c r="M231" i="56"/>
  <c r="M230" i="56"/>
  <c r="M229" i="56"/>
  <c r="M228" i="56"/>
  <c r="M227" i="56"/>
  <c r="M226" i="56"/>
  <c r="M225" i="56"/>
  <c r="M224" i="56"/>
  <c r="M223" i="56"/>
  <c r="M222" i="56"/>
  <c r="M221" i="56"/>
  <c r="M220" i="56"/>
  <c r="M219" i="56"/>
  <c r="M218" i="56"/>
  <c r="M217" i="56"/>
  <c r="M216" i="56"/>
  <c r="M215" i="56"/>
  <c r="M214" i="56"/>
  <c r="M213" i="56"/>
  <c r="M212" i="56"/>
  <c r="M211" i="56"/>
  <c r="M210" i="56"/>
  <c r="M209" i="56"/>
  <c r="M208" i="56"/>
  <c r="M207" i="56"/>
  <c r="M206" i="56"/>
  <c r="M205" i="56"/>
  <c r="M204" i="56"/>
  <c r="M203" i="56"/>
  <c r="M202" i="56"/>
  <c r="M201" i="56"/>
  <c r="M200" i="56"/>
  <c r="N199" i="56"/>
  <c r="M199" i="56"/>
  <c r="N198" i="56"/>
  <c r="M198" i="56"/>
  <c r="N197" i="56"/>
  <c r="M197" i="56"/>
  <c r="N196" i="56"/>
  <c r="M196" i="56"/>
  <c r="N195" i="56"/>
  <c r="M195" i="56"/>
  <c r="N194" i="56"/>
  <c r="M194" i="56"/>
  <c r="N193" i="56"/>
  <c r="M193" i="56"/>
  <c r="N192" i="56"/>
  <c r="M192" i="56"/>
  <c r="N191" i="56"/>
  <c r="M191" i="56"/>
  <c r="N190" i="56"/>
  <c r="M190" i="56"/>
  <c r="N189" i="56"/>
  <c r="M189" i="56"/>
  <c r="N188" i="56"/>
  <c r="M188" i="56"/>
  <c r="N187" i="56"/>
  <c r="M187" i="56"/>
  <c r="N186" i="56"/>
  <c r="M186" i="56"/>
  <c r="N185" i="56"/>
  <c r="M185" i="56"/>
  <c r="N184" i="56"/>
  <c r="M184" i="56"/>
  <c r="N183" i="56"/>
  <c r="M183" i="56"/>
  <c r="N182" i="56"/>
  <c r="M182" i="56"/>
  <c r="N181" i="56"/>
  <c r="M181" i="56"/>
  <c r="N180" i="56"/>
  <c r="M180" i="56"/>
  <c r="N179" i="56"/>
  <c r="M179" i="56"/>
  <c r="N178" i="56"/>
  <c r="M178" i="56"/>
  <c r="N177" i="56"/>
  <c r="M177" i="56"/>
  <c r="N176" i="56"/>
  <c r="M176" i="56"/>
  <c r="N175" i="56"/>
  <c r="M175" i="56"/>
  <c r="N174" i="56"/>
  <c r="M174" i="56"/>
  <c r="N173" i="56"/>
  <c r="M173" i="56"/>
  <c r="N172" i="56"/>
  <c r="M172" i="56"/>
  <c r="N171" i="56"/>
  <c r="M171" i="56"/>
  <c r="N170" i="56"/>
  <c r="M170" i="56"/>
  <c r="N169" i="56"/>
  <c r="M169" i="56"/>
  <c r="N168" i="56"/>
  <c r="M168" i="56"/>
  <c r="N167" i="56"/>
  <c r="M167" i="56"/>
  <c r="M166" i="56"/>
  <c r="M165" i="56"/>
  <c r="M164" i="56"/>
  <c r="M163" i="56"/>
  <c r="M162" i="56"/>
  <c r="M161" i="56"/>
  <c r="M160" i="56"/>
  <c r="M159" i="56"/>
  <c r="M158" i="56"/>
  <c r="M157" i="56"/>
  <c r="M156" i="56"/>
  <c r="M155" i="56"/>
  <c r="M154" i="56"/>
  <c r="M153" i="56"/>
  <c r="M152" i="56"/>
  <c r="M151" i="56"/>
  <c r="M150" i="56"/>
  <c r="M149" i="56"/>
  <c r="M148" i="56"/>
  <c r="M147" i="56"/>
  <c r="M146" i="56"/>
  <c r="M145" i="56"/>
  <c r="M144" i="56"/>
  <c r="M143" i="56"/>
  <c r="M142" i="56"/>
  <c r="M141" i="56"/>
  <c r="M140" i="56"/>
  <c r="M139" i="56"/>
  <c r="M138" i="56"/>
  <c r="M137" i="56"/>
  <c r="M136" i="56"/>
  <c r="M135" i="56"/>
  <c r="M134" i="56"/>
  <c r="M133" i="56"/>
  <c r="M132" i="56"/>
  <c r="M131" i="56"/>
  <c r="M130" i="56"/>
  <c r="M129" i="56"/>
  <c r="M128" i="56"/>
  <c r="M127" i="56"/>
  <c r="M126" i="56"/>
  <c r="M125" i="56"/>
  <c r="M124" i="56"/>
  <c r="M123" i="56"/>
  <c r="M122" i="56"/>
  <c r="M121" i="56"/>
  <c r="M120" i="56"/>
  <c r="M119" i="56"/>
  <c r="M118" i="56"/>
  <c r="M117" i="56"/>
  <c r="M116" i="56"/>
  <c r="M115" i="56"/>
  <c r="M114" i="56"/>
  <c r="M113" i="56"/>
  <c r="M112" i="56"/>
  <c r="M111" i="56"/>
  <c r="M110" i="56"/>
  <c r="M109" i="56"/>
  <c r="M108" i="56"/>
  <c r="M107" i="56"/>
  <c r="M106" i="56"/>
  <c r="M105" i="56"/>
  <c r="M104" i="56"/>
  <c r="M103" i="56"/>
  <c r="M102" i="56"/>
  <c r="M101" i="56"/>
  <c r="M100" i="56"/>
  <c r="M99" i="56"/>
  <c r="M98" i="56"/>
  <c r="M97" i="56"/>
  <c r="M96" i="56"/>
  <c r="M95" i="56"/>
  <c r="M94" i="56"/>
  <c r="M93" i="56"/>
  <c r="M92" i="56"/>
  <c r="M91" i="56"/>
  <c r="M90" i="56"/>
  <c r="M89" i="56"/>
  <c r="M88" i="56"/>
  <c r="M87" i="56"/>
  <c r="M86" i="56"/>
  <c r="M85" i="56"/>
  <c r="M84" i="56"/>
  <c r="M83" i="56"/>
  <c r="M82" i="56"/>
  <c r="M81" i="56"/>
  <c r="M80" i="56"/>
  <c r="M79" i="56"/>
  <c r="M78" i="56"/>
  <c r="M77" i="56"/>
  <c r="M76" i="56"/>
  <c r="M75" i="56"/>
  <c r="M74" i="56"/>
  <c r="M73" i="56"/>
  <c r="M72" i="56"/>
  <c r="M71" i="56"/>
  <c r="M70" i="56"/>
  <c r="M69" i="56"/>
  <c r="M68" i="56"/>
  <c r="M67" i="56"/>
  <c r="M66" i="56"/>
  <c r="M65" i="56"/>
  <c r="M64" i="56"/>
  <c r="M63" i="56"/>
  <c r="M62" i="56"/>
  <c r="M61" i="56"/>
  <c r="M60" i="56"/>
  <c r="M59" i="56"/>
  <c r="M58" i="56"/>
  <c r="M57" i="56"/>
  <c r="M56" i="56"/>
  <c r="M55" i="56"/>
  <c r="M54" i="56"/>
  <c r="M53" i="56"/>
  <c r="M52" i="56"/>
  <c r="M51" i="56"/>
  <c r="M50" i="56"/>
  <c r="M49" i="56"/>
  <c r="M48" i="56"/>
  <c r="M47" i="56"/>
  <c r="M46" i="56"/>
  <c r="M45" i="56"/>
  <c r="M44" i="56"/>
  <c r="M43" i="56"/>
  <c r="M42" i="56"/>
  <c r="M41" i="56"/>
  <c r="M40" i="56"/>
  <c r="M39" i="56"/>
  <c r="M38" i="56"/>
  <c r="M37" i="56"/>
  <c r="M36" i="56"/>
  <c r="M35" i="56"/>
  <c r="M34" i="56"/>
  <c r="M33" i="56"/>
  <c r="M32" i="56"/>
  <c r="M31" i="56"/>
  <c r="M30" i="56"/>
  <c r="M29" i="56"/>
  <c r="M28" i="56"/>
  <c r="M27" i="56"/>
  <c r="M26" i="56"/>
  <c r="M25" i="56"/>
  <c r="M24" i="56"/>
  <c r="M23" i="56"/>
  <c r="M22" i="56"/>
  <c r="M21" i="56"/>
  <c r="M20" i="56"/>
  <c r="M19" i="56"/>
  <c r="M18" i="56"/>
  <c r="M17" i="56"/>
  <c r="M16" i="56"/>
  <c r="M15" i="56"/>
  <c r="M14" i="56"/>
  <c r="M13" i="56"/>
  <c r="M12" i="56"/>
  <c r="M11" i="56"/>
  <c r="M10" i="56"/>
  <c r="M9" i="56"/>
  <c r="M8" i="56"/>
  <c r="M7" i="56"/>
  <c r="M6" i="56"/>
  <c r="M5" i="56"/>
  <c r="M4" i="56"/>
  <c r="M3" i="56"/>
  <c r="F49" i="55"/>
  <c r="G49" i="55"/>
  <c r="H49" i="55"/>
  <c r="I49" i="55"/>
  <c r="F56" i="55"/>
  <c r="G56" i="55"/>
  <c r="H56" i="55"/>
  <c r="I56" i="55"/>
  <c r="I59" i="55" s="1"/>
  <c r="F57" i="55"/>
  <c r="G57" i="55"/>
  <c r="H57" i="55"/>
  <c r="I57" i="55"/>
  <c r="F58" i="55"/>
  <c r="G58" i="55"/>
  <c r="H58" i="55"/>
  <c r="I58" i="55"/>
  <c r="B59" i="55"/>
  <c r="C59" i="55"/>
  <c r="D59" i="55"/>
  <c r="E59" i="55"/>
  <c r="F59" i="55"/>
  <c r="G59" i="55"/>
  <c r="H59" i="55"/>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8"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2"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3" authorId="1">
      <text>
        <r>
          <rPr>
            <b/>
            <sz val="8"/>
            <color indexed="81"/>
            <rFont val="Tahoma"/>
            <family val="2"/>
          </rPr>
          <t>The URL for the data file that this metadata describes.  This will be fill in by the Information Manager.  You Do NOT need to fill in.</t>
        </r>
      </text>
    </comment>
    <comment ref="A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5" authorId="3">
      <text>
        <r>
          <rPr>
            <b/>
            <sz val="8"/>
            <color indexed="81"/>
            <rFont val="Tahoma"/>
            <family val="2"/>
          </rPr>
          <t xml:space="preserve"> The date that data collection began for the dataset.</t>
        </r>
      </text>
    </comment>
    <comment ref="B35" authorId="3">
      <text>
        <r>
          <rPr>
            <b/>
            <sz val="8"/>
            <color indexed="81"/>
            <rFont val="Tahoma"/>
            <family val="2"/>
          </rPr>
          <t xml:space="preserve"> The date that data collection began for the dataset.</t>
        </r>
      </text>
    </comment>
    <comment ref="A36" authorId="0">
      <text>
        <r>
          <rPr>
            <b/>
            <sz val="8"/>
            <color indexed="81"/>
            <rFont val="Tahoma"/>
            <family val="2"/>
          </rPr>
          <t>The ending date of data collection.</t>
        </r>
        <r>
          <rPr>
            <sz val="8"/>
            <color indexed="81"/>
            <rFont val="Tahoma"/>
            <family val="2"/>
          </rPr>
          <t xml:space="preserve">
</t>
        </r>
      </text>
    </comment>
    <comment ref="B36" authorId="0">
      <text>
        <r>
          <rPr>
            <b/>
            <sz val="8"/>
            <color indexed="81"/>
            <rFont val="Tahoma"/>
            <family val="2"/>
          </rPr>
          <t>The ending date of data collection.</t>
        </r>
        <r>
          <rPr>
            <sz val="8"/>
            <color indexed="81"/>
            <rFont val="Tahoma"/>
            <family val="2"/>
          </rPr>
          <t xml:space="preserve">
</t>
        </r>
      </text>
    </comment>
    <comment ref="A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0" authorId="4">
      <text>
        <r>
          <rPr>
            <sz val="8"/>
            <color indexed="81"/>
            <rFont val="Tahoma"/>
            <family val="2"/>
          </rPr>
          <t xml:space="preserve">A description of the Quality Control procedures that relate to the dataset. </t>
        </r>
      </text>
    </comment>
    <comment ref="B40" authorId="4">
      <text>
        <r>
          <rPr>
            <sz val="8"/>
            <color indexed="81"/>
            <rFont val="Tahoma"/>
            <family val="2"/>
          </rPr>
          <t xml:space="preserve">A description of the Quality Control procedures that relate to the dataset. </t>
        </r>
      </text>
    </comment>
    <comment ref="A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7"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8"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8" authorId="1">
      <text>
        <r>
          <rPr>
            <b/>
            <sz val="9"/>
            <color indexed="81"/>
            <rFont val="Tahoma"/>
            <family val="2"/>
          </rPr>
          <t xml:space="preserve">The name of the sampling location or site number (from the official ARC LTER site list) see the "ARC LTER sites" worksheet Or enter a new site here.
</t>
        </r>
      </text>
    </comment>
    <comment ref="A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9" authorId="1">
      <text>
        <r>
          <rPr>
            <b/>
            <sz val="9"/>
            <color indexed="81"/>
            <rFont val="Tahoma"/>
            <family val="2"/>
          </rPr>
          <t>This link is generated by a formula using the lat long.  It's a way oc checking the values entered.</t>
        </r>
      </text>
    </comment>
    <comment ref="A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8"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209"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210" authorId="0">
      <text>
        <r>
          <rPr>
            <b/>
            <sz val="8"/>
            <color indexed="81"/>
            <rFont val="Tahoma"/>
            <family val="2"/>
          </rPr>
          <t>List the URL to an online protocol document.</t>
        </r>
      </text>
    </comment>
    <comment ref="A212" authorId="0">
      <text>
        <r>
          <rPr>
            <b/>
            <sz val="8"/>
            <color indexed="81"/>
            <rFont val="Tahoma"/>
            <family val="2"/>
          </rPr>
          <t>Describe the protocol used. Be as complete as possible.  Include any references and deviations used from references.</t>
        </r>
      </text>
    </comment>
    <comment ref="A219" authorId="3">
      <text>
        <r>
          <rPr>
            <b/>
            <sz val="8"/>
            <color indexed="81"/>
            <rFont val="Tahoma"/>
            <family val="2"/>
          </rPr>
          <t>This section describes the variables in the data set. Please be as complete as necessary.</t>
        </r>
      </text>
    </comment>
    <comment ref="A220"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20" authorId="3">
      <text>
        <r>
          <rPr>
            <b/>
            <sz val="8"/>
            <color indexed="81"/>
            <rFont val="Tahoma"/>
            <family val="2"/>
          </rPr>
          <t>Variable Description is an explanation of what the Variable represents. 
Include details about the units, e.g. microgram of NH4-N per gram of oven dried soil.</t>
        </r>
      </text>
    </comment>
    <comment ref="C220"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20"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20"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220"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20"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2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21" authorId="3">
      <text>
        <r>
          <rPr>
            <b/>
            <sz val="8"/>
            <color indexed="81"/>
            <rFont val="Tahoma"/>
            <family val="2"/>
          </rPr>
          <t>Variable Description is an explanation of what the Variable represents. 
Include details about the units, e.g. microgram of NH4-N per gram of oven dried soil.</t>
        </r>
      </text>
    </comment>
    <comment ref="C2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21"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2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21"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Laura</author>
    <author>toolik</author>
  </authors>
  <commentList>
    <comment ref="Q1" authorId="0">
      <text>
        <r>
          <rPr>
            <b/>
            <sz val="9"/>
            <color indexed="81"/>
            <rFont val="Tahoma"/>
            <family val="2"/>
          </rPr>
          <t>Laura:</t>
        </r>
        <r>
          <rPr>
            <sz val="9"/>
            <color indexed="81"/>
            <rFont val="Tahoma"/>
            <family val="2"/>
          </rPr>
          <t xml:space="preserve">
*DATA SHOULD BE SORTED  BY:
(1) Height from Ground
(2) Light type
</t>
        </r>
      </text>
    </comment>
    <comment ref="R1" authorId="0">
      <text>
        <r>
          <rPr>
            <b/>
            <sz val="9"/>
            <color indexed="81"/>
            <rFont val="Tahoma"/>
            <family val="2"/>
          </rPr>
          <t>Laura:</t>
        </r>
        <r>
          <rPr>
            <sz val="9"/>
            <color indexed="81"/>
            <rFont val="Tahoma"/>
            <family val="2"/>
          </rPr>
          <t xml:space="preserve">
Direct or Diffuse</t>
        </r>
      </text>
    </comment>
    <comment ref="M203"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4"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5"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6"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7"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8"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09"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0"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1"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2"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3"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4"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5"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6"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7"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8"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19"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20"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21"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22"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23"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224" authorId="1">
      <text>
        <r>
          <rPr>
            <b/>
            <sz val="9"/>
            <color indexed="81"/>
            <rFont val="Tahoma"/>
            <family val="2"/>
          </rPr>
          <t>toolik:</t>
        </r>
        <r>
          <rPr>
            <sz val="9"/>
            <color indexed="81"/>
            <rFont val="Tahoma"/>
            <family val="2"/>
          </rPr>
          <t xml:space="preserve">
NO BF3 - used above readings for incident light values; estimated beam fraction by shading portion of SunScan wand</t>
        </r>
      </text>
    </comment>
    <comment ref="M394" authorId="0">
      <text>
        <r>
          <rPr>
            <b/>
            <sz val="9"/>
            <color indexed="81"/>
            <rFont val="Tahoma"/>
            <family val="2"/>
          </rPr>
          <t>Laura:</t>
        </r>
        <r>
          <rPr>
            <sz val="9"/>
            <color indexed="81"/>
            <rFont val="Tahoma"/>
            <family val="2"/>
          </rPr>
          <t xml:space="preserve">
Diffuse: 534 PAR</t>
        </r>
      </text>
    </comment>
    <comment ref="N424"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25"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26"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27"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28"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29"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0"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1"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2"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3"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4"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5"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6"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7"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8"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39"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40"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41"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 ref="N442" authorId="1">
      <text>
        <r>
          <rPr>
            <b/>
            <sz val="9"/>
            <color indexed="81"/>
            <rFont val="Tahoma"/>
            <family val="2"/>
          </rPr>
          <t>toolik:</t>
        </r>
        <r>
          <rPr>
            <sz val="9"/>
            <color indexed="81"/>
            <rFont val="Tahoma"/>
            <family val="2"/>
          </rPr>
          <t xml:space="preserve">
NO BF3 - used ABV readings to record incident light.  Shaded portion of SunScan wand before taking measurements to measure the BEAM FRACTION.  
The beam fraction is the fraction of DIRECT light; therefore, to obtain the DIFFUSE light fraction (DF), subtract the BEAM FRACTION (BF) from one (1-BF=DF)</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<sst xmlns="http://schemas.openxmlformats.org/spreadsheetml/2006/main" count="14876" uniqueCount="1747">
  <si>
    <t>Diffuse</t>
  </si>
  <si>
    <t>PF002</t>
  </si>
  <si>
    <t>Upland</t>
  </si>
  <si>
    <t>Fert</t>
  </si>
  <si>
    <t>SAL-P</t>
  </si>
  <si>
    <t>CH003</t>
  </si>
  <si>
    <t>CH004</t>
  </si>
  <si>
    <t>CH005</t>
  </si>
  <si>
    <t>CH007</t>
  </si>
  <si>
    <t>CH008</t>
  </si>
  <si>
    <t>CH009</t>
  </si>
  <si>
    <t>CH010</t>
  </si>
  <si>
    <t>CH011</t>
  </si>
  <si>
    <t>CH012</t>
  </si>
  <si>
    <t>CH013</t>
  </si>
  <si>
    <t>CH014</t>
  </si>
  <si>
    <t>CH015</t>
  </si>
  <si>
    <t>PF003</t>
  </si>
  <si>
    <t>PF004</t>
  </si>
  <si>
    <t>PF005</t>
  </si>
  <si>
    <t>PF006</t>
  </si>
  <si>
    <t>PF007</t>
  </si>
  <si>
    <t>PF008</t>
  </si>
  <si>
    <t>PF009</t>
  </si>
  <si>
    <t>PF010</t>
  </si>
  <si>
    <t>PF011</t>
  </si>
  <si>
    <t>PF012</t>
  </si>
  <si>
    <t>PF013</t>
  </si>
  <si>
    <t>PF014</t>
  </si>
  <si>
    <t>PF015</t>
  </si>
  <si>
    <t>PF016</t>
  </si>
  <si>
    <t>PF017</t>
  </si>
  <si>
    <t>PF018</t>
  </si>
  <si>
    <t>PF019</t>
  </si>
  <si>
    <t>PF020</t>
  </si>
  <si>
    <t>Toolik</t>
  </si>
  <si>
    <t>Outlet</t>
  </si>
  <si>
    <t>CH002</t>
  </si>
  <si>
    <t>None</t>
  </si>
  <si>
    <t>CH</t>
  </si>
  <si>
    <t>DD-MMM-YY</t>
  </si>
  <si>
    <t>BET</t>
  </si>
  <si>
    <t>PF</t>
  </si>
  <si>
    <t>95+</t>
  </si>
  <si>
    <t>B. nana</t>
  </si>
  <si>
    <t>diffuse</t>
  </si>
  <si>
    <t>Direct</t>
  </si>
  <si>
    <t>diffuse?</t>
  </si>
  <si>
    <t>direct</t>
  </si>
  <si>
    <t>none</t>
  </si>
  <si>
    <t>above</t>
  </si>
  <si>
    <t>outlet</t>
  </si>
  <si>
    <t>toolik</t>
  </si>
  <si>
    <t>upland</t>
  </si>
  <si>
    <t>DATE</t>
  </si>
  <si>
    <t>1m x 1m</t>
  </si>
  <si>
    <t>DOM VEG</t>
  </si>
  <si>
    <t xml:space="preserve"> </t>
  </si>
  <si>
    <t>fert</t>
  </si>
  <si>
    <t>BF3 not working</t>
  </si>
  <si>
    <t>Sal-P</t>
  </si>
  <si>
    <t>above-5</t>
  </si>
  <si>
    <t>?</t>
  </si>
  <si>
    <t>above-110</t>
  </si>
  <si>
    <t>above-125</t>
  </si>
  <si>
    <t>direct?</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</si>
  <si>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</si>
  <si>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</si>
  <si>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</si>
  <si>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</si>
  <si>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</si>
  <si>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</si>
  <si>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</si>
  <si>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</si>
  <si>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</si>
  <si>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</si>
  <si>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</si>
  <si>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</si>
  <si>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</si>
  <si>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</si>
  <si>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</si>
  <si>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</si>
  <si>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</si>
  <si>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Email</t>
  </si>
  <si>
    <t xml:space="preserve">First Name  </t>
  </si>
  <si>
    <t xml:space="preserve">Last Name  </t>
  </si>
  <si>
    <t>Organization</t>
  </si>
  <si>
    <t>Address line 2</t>
  </si>
  <si>
    <t>Address line 3</t>
  </si>
  <si>
    <t xml:space="preserve"> City  </t>
  </si>
  <si>
    <t xml:space="preserve">State  </t>
  </si>
  <si>
    <t xml:space="preserve">Zip Code  </t>
  </si>
  <si>
    <t>Country</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</si>
  <si>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</si>
  <si>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</si>
  <si>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</si>
  <si>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</si>
  <si>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</si>
  <si>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</si>
  <si>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</si>
  <si>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</si>
  <si>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</si>
  <si>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</si>
  <si>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</si>
  <si>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</si>
  <si>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</si>
  <si>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</si>
  <si>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</si>
  <si>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</si>
  <si>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</si>
  <si>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</si>
  <si>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</si>
  <si>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</si>
  <si>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</si>
  <si>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</si>
  <si>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</si>
  <si>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</si>
  <si>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</si>
  <si>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</si>
  <si>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</si>
  <si>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</si>
  <si>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</si>
  <si>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</si>
  <si>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</si>
  <si>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</si>
  <si>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</si>
  <si>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</si>
  <si>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</si>
  <si>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</si>
  <si>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</si>
  <si>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</si>
  <si>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</si>
  <si>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</si>
  <si>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</si>
  <si>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</si>
  <si>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</si>
  <si>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</si>
  <si>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</si>
  <si>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</si>
  <si>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Owner </t>
  </si>
  <si>
    <t>datetime</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</si>
  <si>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</si>
  <si>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</si>
  <si>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</si>
  <si>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</si>
  <si>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</si>
  <si>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</si>
  <si>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</si>
  <si>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</si>
  <si>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</si>
  <si>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</si>
  <si>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</si>
  <si>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</si>
  <si>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</si>
  <si>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</si>
  <si>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</si>
  <si>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</si>
  <si>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</si>
  <si>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</si>
  <si>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</si>
  <si>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</si>
  <si>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</si>
  <si>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</si>
  <si>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</si>
  <si>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</si>
  <si>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</si>
  <si>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</si>
  <si>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</si>
  <si>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</si>
  <si>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</si>
  <si>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centimeterSquaredPerFourHundredthMeterSquared</t>
  </si>
  <si>
    <t>centimeterSquaredPerGram</t>
  </si>
  <si>
    <t>centimolePerKilogram</t>
  </si>
  <si>
    <t>centisecond</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</si>
  <si>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</si>
  <si>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</si>
  <si>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</si>
  <si>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</si>
  <si>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</si>
  <si>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</si>
  <si>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</si>
  <si>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</si>
  <si>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</si>
  <si>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</si>
  <si>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</si>
  <si>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</si>
  <si>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</si>
  <si>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</si>
  <si>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</si>
  <si>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</si>
  <si>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</si>
  <si>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</si>
  <si>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</si>
  <si>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kilowattPerMeterSquared</t>
  </si>
  <si>
    <t>liter</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</si>
  <si>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</si>
  <si>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</si>
  <si>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</si>
  <si>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</si>
  <si>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</si>
  <si>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</si>
  <si>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</si>
  <si>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</si>
  <si>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</si>
  <si>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</si>
  <si>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</si>
  <si>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</si>
  <si>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</si>
  <si>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</si>
  <si>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</si>
  <si>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</si>
  <si>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</si>
  <si>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</si>
  <si>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</si>
  <si>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</si>
  <si>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</si>
  <si>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</si>
  <si>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</si>
  <si>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</si>
  <si>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</si>
  <si>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</si>
  <si>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</si>
  <si>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</si>
  <si>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</si>
  <si>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</si>
  <si>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</si>
  <si>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</si>
  <si>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</si>
  <si>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</si>
  <si>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</si>
  <si>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</si>
  <si>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</si>
  <si>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</si>
  <si>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</si>
  <si>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</si>
  <si>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</si>
  <si>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</si>
  <si>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</si>
  <si>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</si>
  <si>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</si>
  <si>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</si>
  <si>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</si>
  <si>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</si>
  <si>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</si>
  <si>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</si>
  <si>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</si>
  <si>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</si>
  <si>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</si>
  <si>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</si>
  <si>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</si>
  <si>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</si>
  <si>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</si>
  <si>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</si>
  <si>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</si>
  <si>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</si>
  <si>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</si>
  <si>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</si>
  <si>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</si>
  <si>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</si>
  <si>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</si>
  <si>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</si>
  <si>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</si>
  <si>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</si>
  <si>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</si>
  <si>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</si>
  <si>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</si>
  <si>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</si>
  <si>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</si>
  <si>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</si>
  <si>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</si>
  <si>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</si>
  <si>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</si>
  <si>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</si>
  <si>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</si>
  <si>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</si>
  <si>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</si>
  <si>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</si>
  <si>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</si>
  <si>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</si>
  <si>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</si>
  <si>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</si>
  <si>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</si>
  <si>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</si>
  <si>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</si>
  <si>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</si>
  <si>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</si>
  <si>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</si>
  <si>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</si>
  <si>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</si>
  <si>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</si>
  <si>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</si>
  <si>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</si>
  <si>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</si>
  <si>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</si>
  <si>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</si>
  <si>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</si>
  <si>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</si>
  <si>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</si>
  <si>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</si>
  <si>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</si>
  <si>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</si>
  <si>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</si>
  <si>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</si>
  <si>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</si>
  <si>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</si>
  <si>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</si>
  <si>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</si>
  <si>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</si>
  <si>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</si>
  <si>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</si>
  <si>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</si>
  <si>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</si>
  <si>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</si>
  <si>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</si>
  <si>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</si>
  <si>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</si>
  <si>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</si>
  <si>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</si>
  <si>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gshaver@mbl.edu</t>
  </si>
  <si>
    <t>Gaius</t>
  </si>
  <si>
    <t>Shaver</t>
  </si>
  <si>
    <t>Ecosystems Center at the Marine Biological Laboratory</t>
  </si>
  <si>
    <t>7 MBL Street</t>
  </si>
  <si>
    <t>Woods Hole</t>
  </si>
  <si>
    <t>MA</t>
  </si>
  <si>
    <t>02543</t>
  </si>
  <si>
    <t>United States</t>
  </si>
  <si>
    <t>erastetter@mbl.edu</t>
  </si>
  <si>
    <t>Edward</t>
  </si>
  <si>
    <t>Rastetter</t>
  </si>
  <si>
    <t>mat.williams@ed.ac.uk</t>
  </si>
  <si>
    <t>Mathew</t>
  </si>
  <si>
    <t>Williams</t>
  </si>
  <si>
    <t>University of Edinburgh</t>
  </si>
  <si>
    <t>School of Geosciences</t>
  </si>
  <si>
    <t>Darwin Building</t>
  </si>
  <si>
    <t>Edinburgh</t>
  </si>
  <si>
    <t>EH9 EJU</t>
  </si>
  <si>
    <t>United Kingdom</t>
  </si>
  <si>
    <t>jlaundre@mbl.edu</t>
  </si>
  <si>
    <t>James</t>
  </si>
  <si>
    <t>Laundre</t>
  </si>
  <si>
    <t>lvanderpol@mbl.edu</t>
  </si>
  <si>
    <t>Laura</t>
  </si>
  <si>
    <t>van der Pol</t>
  </si>
  <si>
    <t>Betula nana; Salix pulchra; Salix glauca</t>
  </si>
  <si>
    <t xml:space="preserve">YEAR </t>
  </si>
  <si>
    <t xml:space="preserve"> year of measurement </t>
  </si>
  <si>
    <t xml:space="preserve">  </t>
  </si>
  <si>
    <t xml:space="preserve">SITE </t>
  </si>
  <si>
    <t xml:space="preserve">PLOT </t>
  </si>
  <si>
    <t xml:space="preserve"> Individual plot identifier </t>
  </si>
  <si>
    <t xml:space="preserve">TREAT </t>
  </si>
  <si>
    <t xml:space="preserve">PLOT SIZE </t>
  </si>
  <si>
    <t xml:space="preserve"> 1m x 1m chamber or point frame size </t>
  </si>
  <si>
    <t xml:space="preserve"> Dominant canopy vegetation</t>
  </si>
  <si>
    <t>YYYY</t>
  </si>
  <si>
    <t xml:space="preserve"> Toolik</t>
  </si>
  <si>
    <t xml:space="preserve">GROUP </t>
  </si>
  <si>
    <t xml:space="preserve"> Measurement location in relation to Toolik Lake LTER Shrub plots; In vicinity of Block1 =Upland, IVO Block 2 =Outlet</t>
  </si>
  <si>
    <t xml:space="preserve"> none or fertilised annually (FERT) (with N and P) </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</si>
  <si>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</si>
  <si>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</si>
  <si>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 xml:space="preserve">TIME </t>
  </si>
  <si>
    <t xml:space="preserve"> Date measurement was made </t>
  </si>
  <si>
    <t xml:space="preserve">MEASUREMENT TYPE </t>
  </si>
  <si>
    <t xml:space="preserve"> Distinguishes chamber flux (CH) and point frame (PF) measurements </t>
  </si>
  <si>
    <t xml:space="preserve">TRANSMITTED </t>
  </si>
  <si>
    <t xml:space="preserve">SPREAD </t>
  </si>
  <si>
    <t xml:space="preserve">INCIDENT </t>
  </si>
  <si>
    <t xml:space="preserve">BEAM FRACTION </t>
  </si>
  <si>
    <t xml:space="preserve">ZENITH ANGLE </t>
  </si>
  <si>
    <t xml:space="preserve"> angle of the sun above the horizon - estimated based on latitude and time of day </t>
  </si>
  <si>
    <t xml:space="preserve">LAI </t>
  </si>
  <si>
    <t xml:space="preserve">HEIGHT FROM GROUND </t>
  </si>
  <si>
    <t xml:space="preserve">LIGHT CONDITION </t>
  </si>
  <si>
    <t xml:space="preserve"> Description of the light condition during measurement </t>
  </si>
  <si>
    <t>ROW / NOTES</t>
  </si>
  <si>
    <t xml:space="preserve"> Row number indicating repetition number (1-3) or comments about the measurement </t>
  </si>
  <si>
    <t>N/A</t>
  </si>
  <si>
    <t xml:space="preserve"> 24-hour time measurement was taken</t>
  </si>
  <si>
    <t>HH:MM:SS</t>
  </si>
  <si>
    <t xml:space="preserve"> height in centimeters of the SunScan wand from ground in cm</t>
  </si>
  <si>
    <t>B2SALP</t>
  </si>
  <si>
    <t>Logger</t>
  </si>
  <si>
    <t>above-20</t>
  </si>
  <si>
    <t>above-35</t>
  </si>
  <si>
    <t>above-50</t>
  </si>
  <si>
    <t>above-65</t>
  </si>
  <si>
    <t>above-80</t>
  </si>
  <si>
    <t>above-95</t>
  </si>
  <si>
    <t>B1BET</t>
  </si>
  <si>
    <t>B1SALP</t>
  </si>
  <si>
    <t>B2BET</t>
  </si>
  <si>
    <t>This was a seasonal project,  though it followed similar methods to ITEX projects performed starting in 2003 that are likely to be replicated in the future for reasearch at the Toolik Field Station,  AK.</t>
  </si>
  <si>
    <t xml:space="preserve"> Fraction of light that is a direct beam (umol direct PAR per umol total PAR) </t>
  </si>
  <si>
    <t xml:space="preserve"> leaf area index measured with SunScan wand (square meter leaf per square meter ground)</t>
  </si>
  <si>
    <t>light fraction that passes through the canopy (umol PAR transimitted per umol PAR above canopy)</t>
  </si>
  <si>
    <t xml:space="preserve"> Standard deviation of the 64-PAR sensors (umol PAR per meter square ground per second)</t>
  </si>
  <si>
    <t xml:space="preserve"> Incident radiation measured on BF3 sensor (umol PAR per meter squared per second)</t>
  </si>
  <si>
    <t>2012_GS_ITEX_SunScan_LAI</t>
  </si>
  <si>
    <t>photosynthesis; shrub canopy, chamber flux measurement; point frame; datalogger; leaf area index (LAI); Delta-T SunScan wand</t>
  </si>
  <si>
    <t>degree</t>
  </si>
  <si>
    <t>747 m</t>
  </si>
  <si>
    <t>730 m</t>
  </si>
  <si>
    <t>Lab2; used briefly as a location for the beam fraction sensor (BF3) to autolog.  This site is located on the shore of Toolik Lake behind the Lab 2 building.  It was chosen for convenient access, though ultimately was changed because of the prevalence of nearby structures.</t>
  </si>
  <si>
    <t>Toolik Gate; this was the preferred logging location for the beam fraction sensor (BF3).  This site was located just up the road from the entrance to the field station.  It was chosen for the complete absence of nearby structures and the ease of access.</t>
  </si>
  <si>
    <t>720 m</t>
  </si>
  <si>
    <t>743 m</t>
  </si>
  <si>
    <t>Location Name</t>
  </si>
  <si>
    <t>LTER Shrub Block 1</t>
  </si>
  <si>
    <t>LTER Shrub Block 2</t>
  </si>
  <si>
    <t>Toolik Field Station Lab 2</t>
  </si>
  <si>
    <t>Toolik Field Station Gate</t>
  </si>
  <si>
    <t>Leaf Area Index data taken with the Delta-T SunScan wand every 15 cm of 1m x 1m chamber flux and point frame plots as well as sites where dataloggers monitored PAR above, within and below S. pulchra and B. nana canopies during the growing season at the Toolik Field Station in AK, Summer 2012.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</si>
  <si>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</si>
  <si>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http://ecosystems.mbl.edu/ARC/meta_template.php?FileName=./terrest/tracegas/xlsfiles/2012_GS_ITEX_SunScan_LAI.html</t>
  </si>
  <si>
    <t>http://metacat.lternet.edu/das/dataAccessServlet?docid=knb-lter-arc.10140&amp;amp;urlTail=terrest/tracegas/data/2012_GS_ITEX_SunScan_LAI.csv</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</si>
  <si>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</si>
  <si>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</si>
  <si>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</si>
  <si>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</si>
  <si>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</si>
  <si>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</si>
  <si>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</si>
  <si>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</si>
  <si>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</si>
  <si>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</si>
  <si>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</si>
  <si>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</si>
  <si>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</si>
  <si>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</si>
  <si>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</si>
  <si>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</si>
  <si>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literPerHectare</t>
  </si>
  <si>
    <t>kilowatt</t>
  </si>
  <si>
    <t>kilogramPerYear</t>
  </si>
  <si>
    <t>joulePerCentimeterSquaredPerDay</t>
  </si>
  <si>
    <t>joule</t>
  </si>
  <si>
    <t>hour</t>
  </si>
  <si>
    <t>hertz</t>
  </si>
  <si>
    <t>henry</t>
  </si>
  <si>
    <t>hectosecond</t>
  </si>
  <si>
    <t>hectoPascal</t>
  </si>
  <si>
    <t>hectometer</t>
  </si>
  <si>
    <t>hectogram</t>
  </si>
  <si>
    <t>hectare</t>
  </si>
  <si>
    <t>gramPerYear</t>
  </si>
  <si>
    <t>gramPerNumber</t>
  </si>
  <si>
    <t>gramPerMilliliter</t>
  </si>
  <si>
    <t>gramPerMeterSquaredPerYear</t>
  </si>
  <si>
    <t>gramPerMeterSquaredPerDay</t>
  </si>
  <si>
    <t>gramPerMeterSquared</t>
  </si>
  <si>
    <t>gramPerMeterCubed</t>
  </si>
  <si>
    <t>gramPerLiterPerDay</t>
  </si>
  <si>
    <t>gramPerLiter</t>
  </si>
  <si>
    <t>gramPerKilogram</t>
  </si>
  <si>
    <t>gramPerHectarePerDay</t>
  </si>
  <si>
    <t>gramPerGram</t>
  </si>
  <si>
    <t>gramPerFourHundredthMeterSquared</t>
  </si>
  <si>
    <t>gramPerCentimeterSquaredPerSecond</t>
  </si>
  <si>
    <t>gramPerCentimeterCubed</t>
  </si>
  <si>
    <t>gramPerCentimeter</t>
  </si>
  <si>
    <t>gram</t>
  </si>
  <si>
    <t>disintegrationPerMinute</t>
  </si>
  <si>
    <t>dimensionless</t>
  </si>
  <si>
    <t>decisecond</t>
  </si>
  <si>
    <t>decimeter</t>
  </si>
  <si>
    <t>decigram</t>
  </si>
  <si>
    <t>decibar</t>
  </si>
  <si>
    <t>coulomb</t>
  </si>
  <si>
    <t>centimeterSquared</t>
  </si>
  <si>
    <t>Link to Google Map</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</si>
  <si>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</si>
  <si>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</si>
  <si>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</si>
  <si>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</si>
  <si>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</si>
  <si>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</si>
  <si>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</si>
  <si>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</si>
  <si>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</si>
  <si>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</si>
  <si>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</si>
  <si>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</si>
  <si>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</si>
  <si>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</si>
  <si>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</si>
  <si>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</si>
  <si>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</si>
  <si>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</si>
  <si>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</si>
  <si>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</si>
  <si>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</si>
  <si>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</si>
  <si>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</si>
  <si>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</si>
  <si>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</si>
  <si>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</si>
  <si>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</si>
  <si>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</si>
  <si>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</si>
  <si>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</si>
  <si>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</si>
  <si>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</si>
  <si>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</si>
  <si>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</si>
  <si>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</si>
  <si>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</si>
  <si>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</si>
  <si>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</si>
  <si>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</si>
  <si>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</si>
  <si>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</si>
  <si>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</si>
  <si>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</si>
  <si>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</si>
  <si>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</si>
  <si>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</si>
  <si>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</si>
  <si>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</si>
  <si>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</si>
  <si>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</si>
  <si>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</si>
  <si>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</si>
  <si>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</si>
  <si>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</si>
  <si>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</si>
  <si>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</si>
  <si>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</si>
  <si>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</si>
  <si>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</si>
  <si>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</si>
  <si>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</si>
  <si>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</si>
  <si>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</si>
  <si>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</si>
  <si>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</si>
  <si>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</si>
  <si>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</si>
  <si>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</si>
  <si>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</si>
  <si>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</si>
  <si>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</si>
  <si>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</si>
  <si>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</si>
  <si>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</si>
  <si>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</si>
  <si>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</si>
  <si>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</si>
  <si>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</si>
  <si>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</si>
  <si>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</si>
  <si>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</si>
  <si>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</si>
  <si>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</si>
  <si>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</si>
  <si>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</si>
  <si>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</si>
  <si>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</si>
  <si>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</si>
  <si>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</si>
  <si>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</si>
  <si>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</si>
  <si>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</si>
  <si>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</si>
  <si>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</si>
  <si>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</si>
  <si>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</si>
  <si>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</si>
  <si>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</si>
  <si>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</si>
  <si>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</si>
  <si>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</si>
  <si>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</si>
  <si>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</si>
  <si>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</si>
  <si>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</si>
  <si>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</si>
  <si>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</si>
  <si>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</si>
  <si>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</si>
  <si>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</si>
  <si>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</si>
  <si>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</si>
  <si>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</si>
  <si>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</si>
  <si>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</si>
  <si>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</si>
  <si>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</si>
  <si>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</si>
  <si>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</si>
  <si>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</si>
  <si>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</si>
  <si>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</si>
  <si>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</si>
  <si>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</si>
  <si>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</si>
  <si>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</si>
  <si>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</si>
  <si>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</si>
  <si>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</si>
  <si>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</si>
  <si>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</si>
  <si>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</si>
  <si>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</si>
  <si>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</si>
  <si>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</si>
  <si>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</si>
  <si>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</si>
  <si>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</si>
  <si>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</si>
  <si>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</si>
  <si>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</si>
  <si>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</si>
  <si>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</si>
  <si>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</si>
  <si>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</si>
  <si>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</si>
  <si>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</si>
  <si>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</si>
  <si>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</si>
  <si>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</si>
  <si>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</si>
  <si>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</si>
  <si>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</si>
  <si>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</si>
  <si>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</si>
  <si>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</si>
  <si>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</si>
  <si>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</si>
  <si>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</si>
  <si>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</si>
  <si>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</si>
  <si>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</si>
  <si>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</si>
  <si>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</si>
  <si>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</si>
  <si>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</si>
  <si>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</si>
  <si>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</si>
  <si>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</si>
  <si>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</si>
  <si>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</si>
  <si>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</si>
  <si>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</si>
  <si>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</si>
  <si>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</si>
  <si>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</si>
  <si>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</si>
  <si>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</si>
  <si>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</si>
  <si>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</si>
  <si>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</si>
  <si>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</si>
  <si>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</si>
  <si>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</si>
  <si>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</si>
  <si>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</si>
  <si>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</si>
  <si>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</si>
  <si>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</si>
  <si>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</si>
  <si>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</si>
  <si>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</si>
  <si>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</si>
  <si>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</si>
  <si>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</si>
  <si>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</si>
  <si>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</si>
  <si>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</si>
  <si>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</si>
  <si>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</si>
  <si>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</si>
  <si>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</si>
  <si>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</si>
  <si>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</si>
  <si>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</si>
  <si>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</si>
  <si>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</si>
  <si>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</si>
  <si>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</si>
  <si>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</si>
  <si>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</si>
  <si>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</si>
  <si>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</si>
  <si>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</si>
  <si>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</si>
  <si>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</si>
  <si>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</si>
  <si>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</si>
  <si>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</si>
  <si>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</si>
  <si>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</si>
  <si>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</si>
  <si>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</si>
  <si>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</si>
  <si>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</si>
  <si>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</si>
  <si>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</si>
  <si>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</si>
  <si>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</si>
  <si>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</si>
  <si>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</si>
  <si>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</si>
  <si>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</si>
  <si>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</si>
  <si>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</si>
  <si>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</si>
  <si>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</si>
  <si>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</si>
  <si>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</si>
  <si>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</si>
  <si>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</si>
  <si>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</si>
  <si>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</si>
  <si>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</si>
  <si>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</si>
  <si>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</si>
  <si>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</si>
  <si>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</si>
  <si>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</si>
  <si>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</si>
  <si>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</si>
  <si>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</si>
  <si>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</si>
  <si>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</si>
  <si>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</si>
  <si>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</si>
  <si>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</si>
  <si>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</si>
  <si>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</si>
  <si>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</si>
  <si>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</si>
  <si>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</si>
  <si>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</si>
  <si>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</si>
  <si>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</si>
  <si>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</si>
  <si>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</si>
  <si>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</si>
  <si>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</si>
  <si>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</si>
  <si>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</si>
  <si>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</si>
  <si>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</si>
  <si>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</si>
  <si>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</si>
  <si>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</si>
  <si>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</si>
  <si>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</si>
  <si>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</si>
  <si>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</si>
  <si>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</si>
  <si>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</si>
  <si>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</si>
  <si>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</si>
  <si>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</si>
  <si>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</si>
  <si>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</si>
  <si>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</si>
  <si>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</si>
  <si>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</si>
  <si>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</si>
  <si>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</si>
  <si>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</si>
  <si>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</si>
  <si>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</si>
  <si>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</si>
  <si>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</si>
  <si>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</si>
  <si>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</si>
  <si>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</si>
  <si>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</si>
  <si>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</si>
  <si>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</si>
  <si>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</si>
  <si>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</si>
  <si>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</si>
  <si>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</si>
  <si>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</si>
  <si>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</si>
  <si>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</si>
  <si>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</si>
  <si>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</si>
  <si>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</si>
  <si>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</si>
  <si>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</si>
  <si>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</si>
  <si>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</si>
  <si>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</si>
  <si>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</si>
  <si>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</si>
  <si>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</si>
  <si>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</si>
  <si>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</si>
  <si>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</si>
  <si>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</si>
  <si>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</si>
  <si>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</si>
  <si>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</si>
  <si>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</si>
  <si>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</si>
  <si>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</si>
  <si>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</si>
  <si>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</si>
  <si>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</si>
  <si>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</si>
  <si>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</si>
  <si>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</si>
  <si>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</si>
  <si>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</si>
  <si>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</si>
  <si>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</si>
  <si>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</si>
  <si>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</si>
  <si>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</si>
  <si>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</si>
  <si>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</si>
  <si>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</si>
  <si>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</si>
  <si>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</si>
  <si>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</si>
  <si>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</si>
  <si>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</si>
  <si>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</si>
  <si>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</si>
  <si>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</si>
  <si>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</si>
  <si>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</si>
  <si>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</si>
  <si>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</si>
  <si>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</si>
  <si>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</si>
  <si>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</si>
  <si>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</si>
  <si>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</si>
  <si>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</si>
  <si>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</si>
  <si>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</si>
  <si>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</si>
  <si>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</si>
  <si>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</si>
  <si>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</si>
  <si>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</si>
  <si>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</si>
  <si>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</si>
  <si>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</si>
  <si>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</si>
  <si>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</si>
  <si>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</si>
  <si>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</si>
  <si>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</si>
  <si>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</si>
  <si>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</si>
  <si>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</si>
  <si>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</si>
  <si>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</si>
  <si>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</si>
  <si>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</si>
  <si>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</si>
  <si>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</si>
  <si>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</si>
  <si>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</si>
  <si>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</si>
  <si>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</si>
  <si>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</si>
  <si>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</si>
  <si>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</si>
  <si>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</si>
  <si>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</si>
  <si>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</si>
  <si>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</si>
  <si>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</si>
  <si>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</si>
  <si>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</si>
  <si>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</si>
  <si>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</si>
  <si>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</si>
  <si>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</si>
  <si>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</si>
  <si>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</si>
  <si>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</si>
  <si>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</si>
  <si>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</si>
  <si>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</si>
  <si>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</si>
  <si>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</si>
  <si>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</si>
  <si>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</si>
  <si>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</si>
  <si>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</si>
  <si>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</si>
  <si>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</si>
  <si>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</si>
  <si>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</si>
  <si>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</si>
  <si>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</si>
  <si>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</si>
  <si>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</si>
  <si>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</si>
  <si>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</si>
  <si>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</si>
  <si>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</si>
  <si>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</si>
  <si>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</si>
  <si>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</si>
  <si>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</si>
  <si>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</si>
  <si>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</si>
  <si>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</si>
  <si>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</si>
  <si>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</si>
  <si>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</si>
  <si>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</si>
  <si>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</si>
  <si>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</si>
  <si>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</si>
  <si>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</si>
  <si>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</si>
  <si>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</si>
  <si>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</si>
  <si>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</si>
  <si>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</si>
  <si>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</si>
  <si>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</si>
  <si>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</si>
  <si>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</si>
  <si>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</si>
  <si>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</si>
  <si>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</si>
  <si>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</si>
  <si>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</si>
  <si>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</si>
  <si>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</si>
  <si>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</si>
  <si>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</si>
  <si>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</si>
  <si>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</si>
  <si>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</si>
  <si>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</si>
  <si>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</si>
  <si>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</si>
  <si>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</si>
  <si>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</si>
  <si>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</si>
  <si>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</si>
  <si>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</si>
  <si>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</si>
  <si>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</si>
  <si>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</si>
  <si>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</si>
  <si>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</si>
  <si>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</si>
  <si>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</si>
  <si>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</si>
  <si>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</si>
  <si>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</si>
  <si>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</si>
  <si>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</si>
  <si>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</si>
  <si>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</si>
  <si>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</si>
  <si>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</si>
  <si>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</si>
  <si>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</si>
  <si>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</si>
  <si>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</si>
  <si>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</si>
  <si>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</si>
  <si>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</si>
  <si>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</si>
  <si>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</si>
  <si>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</si>
  <si>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</si>
  <si>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</si>
  <si>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</si>
  <si>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</si>
  <si>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</si>
  <si>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</si>
  <si>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</si>
  <si>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</si>
  <si>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</si>
  <si>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</si>
  <si>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</si>
  <si>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</si>
  <si>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</si>
  <si>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</si>
  <si>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</si>
  <si>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</si>
  <si>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</si>
  <si>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</si>
  <si>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</si>
  <si>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</si>
  <si>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</si>
  <si>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</si>
  <si>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</si>
  <si>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</si>
  <si>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</si>
  <si>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</si>
  <si>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</si>
  <si>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</si>
  <si>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</si>
  <si>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</si>
  <si>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</si>
  <si>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</si>
  <si>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</si>
  <si>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</si>
  <si>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</si>
  <si>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</si>
  <si>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</si>
  <si>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</si>
  <si>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</si>
  <si>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</si>
  <si>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</si>
  <si>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</si>
  <si>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</si>
  <si>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</si>
  <si>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</si>
  <si>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</si>
  <si>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</si>
  <si>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</si>
  <si>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</si>
  <si>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</si>
  <si>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</si>
  <si>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</si>
  <si>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</si>
  <si>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</si>
  <si>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</si>
  <si>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</si>
  <si>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</si>
  <si>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</si>
  <si>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</si>
  <si>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</si>
  <si>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</si>
  <si>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</si>
  <si>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</si>
  <si>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</si>
  <si>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</si>
  <si>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</si>
  <si>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</si>
  <si>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</si>
  <si>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</si>
  <si>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</si>
  <si>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</si>
  <si>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</si>
  <si>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</si>
  <si>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</si>
  <si>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</si>
  <si>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</si>
  <si>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</si>
  <si>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</si>
  <si>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</si>
  <si>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</si>
  <si>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</si>
  <si>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</si>
  <si>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</si>
  <si>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</si>
  <si>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</si>
  <si>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</si>
  <si>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</si>
  <si>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</si>
  <si>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</si>
  <si>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</si>
  <si>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</si>
  <si>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</si>
  <si>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</si>
  <si>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</si>
  <si>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</si>
  <si>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</si>
  <si>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</si>
  <si>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</si>
  <si>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</si>
  <si>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</si>
  <si>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</si>
  <si>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</si>
  <si>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</si>
  <si>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</si>
  <si>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</si>
  <si>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</si>
  <si>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</si>
  <si>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</si>
  <si>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</si>
  <si>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</si>
  <si>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</si>
  <si>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</si>
  <si>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</si>
  <si>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</si>
  <si>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</si>
  <si>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</si>
  <si>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</si>
  <si>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</si>
  <si>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</si>
  <si>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</si>
  <si>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</si>
  <si>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</si>
  <si>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</si>
  <si>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</si>
  <si>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</si>
  <si>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</si>
  <si>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</si>
  <si>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</si>
  <si>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</si>
  <si>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</si>
  <si>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</si>
  <si>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</si>
  <si>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</si>
  <si>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</si>
  <si>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</si>
  <si>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</si>
  <si>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</si>
  <si>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</si>
  <si>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</si>
  <si>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</si>
  <si>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</si>
  <si>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</si>
  <si>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</si>
  <si>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</si>
  <si>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</si>
  <si>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</si>
  <si>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</si>
  <si>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</si>
  <si>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</si>
  <si>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</si>
  <si>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</si>
  <si>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</si>
  <si>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</si>
  <si>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</si>
  <si>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</si>
  <si>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</si>
  <si>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</si>
  <si>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</si>
  <si>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</si>
  <si>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</si>
  <si>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</si>
  <si>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</si>
  <si>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</si>
  <si>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</si>
  <si>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</si>
  <si>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</si>
  <si>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</si>
  <si>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</si>
  <si>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</si>
  <si>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</si>
  <si>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</si>
  <si>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</si>
  <si>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</si>
  <si>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</si>
  <si>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</si>
  <si>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</si>
  <si>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</si>
  <si>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</si>
  <si>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</si>
  <si>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</si>
  <si>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</si>
  <si>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</si>
  <si>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</si>
  <si>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</si>
  <si>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</si>
  <si>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</si>
  <si>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</si>
  <si>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</si>
  <si>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</si>
  <si>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</si>
  <si>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</si>
  <si>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</si>
  <si>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</si>
  <si>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</si>
  <si>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</si>
  <si>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</si>
  <si>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</si>
  <si>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</si>
  <si>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</si>
  <si>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</si>
  <si>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</si>
  <si>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</si>
  <si>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</si>
  <si>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</si>
  <si>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</si>
  <si>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</si>
  <si>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</si>
  <si>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</si>
  <si>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</si>
  <si>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</si>
  <si>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</si>
  <si>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</si>
  <si>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</si>
  <si>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</si>
  <si>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</si>
  <si>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</si>
  <si>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</si>
  <si>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</si>
  <si>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</si>
  <si>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</si>
  <si>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</si>
  <si>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</si>
  <si>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</si>
  <si>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</si>
  <si>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</si>
  <si>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</si>
  <si>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</si>
  <si>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</si>
  <si>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</si>
  <si>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</si>
  <si>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</si>
  <si>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</si>
  <si>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</si>
  <si>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</si>
  <si>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</si>
  <si>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</si>
  <si>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</si>
  <si>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</si>
  <si>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</si>
  <si>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</si>
  <si>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</si>
  <si>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</si>
  <si>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</si>
  <si>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</si>
  <si>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</si>
  <si>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</si>
  <si>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</si>
  <si>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</si>
  <si>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</si>
  <si>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</si>
  <si>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</si>
  <si>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</si>
  <si>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</si>
  <si>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</si>
  <si>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</si>
  <si>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</si>
  <si>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</si>
  <si>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</si>
  <si>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</si>
  <si>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</si>
  <si>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</si>
  <si>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</si>
  <si>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</si>
  <si>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</si>
  <si>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</si>
  <si>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</si>
  <si>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</si>
  <si>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</si>
  <si>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</si>
  <si>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</si>
  <si>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</si>
  <si>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</si>
  <si>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</si>
  <si>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</si>
  <si>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</si>
  <si>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</si>
  <si>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</si>
  <si>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</si>
  <si>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</si>
  <si>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</si>
  <si>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</si>
  <si>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</si>
  <si>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</si>
  <si>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</si>
  <si>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</si>
  <si>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</si>
  <si>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</si>
  <si>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</si>
  <si>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</si>
  <si>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</si>
  <si>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</si>
  <si>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</si>
  <si>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</si>
  <si>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</si>
  <si>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</si>
  <si>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</si>
  <si>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</si>
  <si>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</si>
  <si>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</si>
  <si>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</si>
  <si>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</si>
  <si>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</si>
  <si>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</si>
  <si>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</si>
  <si>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</si>
  <si>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</si>
  <si>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</si>
  <si>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</si>
  <si>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</si>
  <si>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</si>
  <si>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</si>
  <si>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</si>
  <si>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</si>
  <si>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</si>
  <si>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</si>
  <si>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</si>
  <si>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</si>
  <si>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</si>
  <si>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</si>
  <si>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</si>
  <si>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</si>
  <si>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</si>
  <si>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</si>
  <si>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</si>
  <si>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</si>
  <si>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</si>
  <si>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</si>
  <si>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</si>
  <si>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</si>
  <si>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</si>
  <si>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</si>
  <si>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</si>
  <si>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</si>
  <si>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</si>
  <si>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</si>
  <si>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</si>
  <si>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</si>
  <si>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</si>
  <si>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</si>
  <si>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</si>
  <si>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</si>
  <si>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</si>
  <si>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</si>
  <si>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</si>
  <si>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</si>
  <si>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</si>
  <si>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</si>
  <si>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</si>
  <si>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</si>
  <si>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</si>
  <si>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</si>
  <si>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</si>
  <si>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</si>
  <si>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</si>
  <si>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</si>
  <si>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</si>
  <si>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</si>
  <si>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</si>
  <si>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</si>
  <si>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</si>
  <si>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</si>
  <si>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</si>
  <si>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</si>
  <si>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</si>
  <si>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</si>
  <si>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</si>
  <si>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</si>
  <si>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</si>
  <si>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</si>
  <si>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</si>
  <si>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</si>
  <si>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</si>
  <si>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</si>
  <si>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</si>
  <si>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</si>
  <si>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</si>
  <si>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</si>
  <si>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</si>
  <si>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</si>
  <si>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</si>
  <si>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</si>
  <si>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</si>
  <si>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</si>
  <si>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</si>
  <si>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</si>
  <si>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</si>
  <si>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</si>
  <si>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</si>
  <si>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</si>
  <si>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</si>
  <si>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</si>
  <si>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</si>
  <si>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</si>
  <si>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</si>
  <si>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</si>
  <si>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</si>
  <si>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</si>
  <si>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</si>
  <si>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</si>
  <si>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</si>
  <si>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</si>
  <si>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</si>
  <si>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</si>
  <si>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</si>
  <si>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</si>
  <si>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</si>
  <si>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</si>
  <si>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</si>
  <si>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</si>
  <si>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</si>
  <si>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</si>
  <si>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</si>
  <si>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</si>
  <si>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</si>
  <si>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</si>
  <si>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</si>
  <si>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</si>
  <si>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</si>
  <si>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</si>
  <si>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</si>
  <si>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</si>
  <si>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</si>
  <si>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</si>
  <si>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</si>
  <si>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</si>
  <si>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</si>
  <si>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</si>
  <si>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</si>
  <si>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</si>
  <si>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</si>
  <si>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</si>
  <si>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</si>
  <si>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</si>
  <si>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</si>
  <si>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</si>
  <si>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</si>
  <si>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</si>
  <si>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</si>
  <si>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</si>
  <si>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</si>
  <si>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</si>
  <si>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</si>
  <si>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</si>
  <si>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</si>
  <si>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</si>
  <si>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</si>
  <si>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</si>
  <si>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</si>
  <si>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</si>
  <si>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</si>
  <si>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</si>
  <si>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</si>
  <si>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</si>
  <si>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</si>
  <si>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</si>
  <si>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</si>
  <si>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</si>
  <si>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</si>
  <si>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</si>
  <si>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</si>
  <si>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</si>
  <si>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</si>
  <si>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</si>
  <si>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</si>
  <si>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</si>
  <si>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</si>
  <si>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</si>
  <si>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</si>
  <si>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</si>
  <si>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</si>
  <si>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</si>
  <si>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</si>
  <si>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</si>
  <si>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</si>
  <si>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</si>
  <si>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</si>
  <si>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</si>
  <si>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</si>
  <si>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</si>
  <si>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</si>
  <si>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</si>
  <si>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</si>
  <si>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</si>
  <si>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</si>
  <si>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</si>
  <si>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</si>
  <si>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</si>
  <si>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</si>
  <si>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</si>
  <si>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</si>
  <si>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</si>
  <si>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</si>
  <si>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</si>
  <si>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</si>
  <si>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</si>
  <si>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</si>
  <si>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</si>
  <si>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</si>
  <si>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</si>
  <si>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</si>
  <si>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</si>
  <si>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</si>
  <si>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</si>
  <si>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</si>
  <si>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</si>
  <si>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</si>
  <si>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</si>
  <si>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</si>
  <si>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</si>
  <si>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</si>
  <si>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</si>
  <si>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</si>
  <si>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</si>
  <si>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</si>
  <si>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</si>
  <si>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</si>
  <si>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</si>
  <si>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</si>
  <si>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</si>
  <si>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</si>
  <si>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</si>
  <si>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</si>
  <si>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</si>
  <si>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</si>
  <si>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</si>
  <si>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</si>
  <si>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</si>
  <si>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</si>
  <si>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</si>
  <si>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</si>
  <si>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</si>
  <si>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</si>
  <si>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</si>
  <si>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</si>
  <si>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</si>
  <si>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</si>
  <si>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</si>
  <si>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</si>
  <si>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</si>
  <si>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</si>
  <si>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</si>
  <si>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</si>
  <si>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</si>
  <si>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</si>
  <si>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</si>
  <si>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</si>
  <si>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</si>
  <si>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</si>
  <si>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</si>
  <si>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</si>
  <si>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</si>
  <si>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</si>
  <si>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</si>
  <si>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</si>
  <si>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</si>
  <si>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</si>
  <si>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</si>
  <si>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</si>
  <si>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</si>
  <si>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</si>
  <si>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</si>
  <si>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</si>
  <si>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</si>
  <si>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</si>
  <si>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</si>
  <si>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</si>
  <si>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</si>
  <si>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</si>
  <si>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</si>
  <si>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</si>
  <si>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</si>
  <si>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</si>
  <si>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</si>
  <si>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</si>
  <si>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</si>
  <si>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</si>
  <si>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</si>
  <si>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</si>
  <si>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</si>
  <si>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</si>
  <si>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</si>
  <si>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</si>
  <si>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</si>
  <si>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</si>
  <si>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</si>
  <si>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</si>
  <si>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</si>
  <si>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</si>
  <si>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</si>
  <si>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</si>
  <si>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</si>
  <si>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</si>
  <si>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</si>
  <si>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</si>
  <si>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</si>
  <si>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</si>
  <si>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</si>
  <si>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</si>
  <si>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</si>
  <si>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</si>
  <si>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</si>
  <si>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</si>
  <si>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</si>
  <si>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</si>
  <si>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</si>
  <si>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</si>
  <si>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</si>
  <si>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</si>
  <si>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</si>
  <si>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</si>
  <si>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</si>
  <si>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</si>
  <si>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</si>
  <si>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</si>
  <si>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</si>
  <si>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</si>
  <si>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</si>
  <si>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</si>
  <si>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</si>
  <si>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</si>
  <si>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</si>
  <si>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</si>
  <si>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</si>
  <si>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</si>
  <si>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</si>
  <si>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</si>
  <si>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</si>
  <si>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</si>
  <si>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</si>
  <si>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</si>
  <si>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</si>
  <si>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</si>
  <si>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</si>
  <si>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</si>
  <si>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</si>
  <si>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</si>
  <si>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</si>
  <si>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</si>
  <si>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</si>
  <si>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</si>
  <si>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</si>
  <si>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</si>
  <si>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</si>
  <si>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</si>
  <si>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</si>
  <si>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</si>
  <si>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</si>
  <si>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</si>
  <si>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</si>
  <si>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</si>
  <si>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</si>
  <si>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</si>
  <si>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</si>
  <si>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</si>
  <si>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</si>
  <si>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</si>
  <si>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</si>
  <si>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</si>
  <si>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</si>
  <si>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</si>
  <si>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</si>
  <si>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</si>
  <si>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</si>
  <si>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</si>
  <si>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</si>
  <si>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</si>
  <si>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</si>
  <si>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</si>
  <si>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</si>
  <si>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</si>
  <si>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</si>
  <si>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</si>
  <si>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</si>
  <si>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</si>
  <si>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</si>
  <si>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</si>
  <si>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</si>
  <si>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</si>
  <si>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</si>
  <si>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</si>
  <si>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</si>
  <si>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</si>
  <si>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</si>
  <si>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</si>
  <si>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</si>
  <si>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</si>
  <si>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</si>
  <si>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</si>
  <si>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</si>
  <si>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</si>
  <si>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</si>
  <si>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</si>
  <si>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</si>
  <si>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</si>
  <si>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</si>
  <si>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</si>
  <si>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</si>
  <si>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</si>
  <si>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</si>
  <si>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</si>
  <si>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</si>
  <si>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</si>
  <si>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</si>
  <si>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</si>
  <si>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</si>
  <si>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</si>
  <si>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</si>
  <si>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</si>
  <si>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</si>
  <si>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</si>
  <si>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</si>
  <si>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</si>
  <si>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</si>
  <si>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</si>
  <si>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</si>
  <si>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</si>
  <si>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</si>
  <si>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</si>
  <si>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</si>
  <si>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</si>
  <si>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</si>
  <si>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</si>
  <si>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</si>
  <si>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</si>
  <si>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</si>
  <si>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</si>
  <si>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</si>
  <si>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</si>
  <si>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</si>
  <si>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</si>
  <si>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</si>
  <si>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</si>
  <si>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</si>
  <si>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</si>
  <si>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</si>
  <si>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</si>
  <si>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</si>
  <si>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</si>
  <si>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</si>
  <si>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</si>
  <si>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</si>
  <si>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</si>
  <si>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</si>
  <si>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</si>
  <si>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</si>
  <si>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</si>
  <si>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</si>
  <si>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</si>
  <si>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</si>
  <si>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</si>
  <si>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</si>
  <si>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</si>
  <si>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</si>
  <si>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</si>
  <si>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</si>
  <si>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</si>
  <si>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</si>
  <si>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</si>
  <si>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</si>
  <si>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</si>
  <si>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</si>
  <si>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</si>
  <si>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</si>
  <si>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</si>
  <si>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</si>
  <si>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</si>
  <si>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</si>
  <si>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</si>
  <si>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</si>
  <si>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Metadata updated to newer form (with sites sheet). CH April 2013. </t>
  </si>
  <si>
    <t>Version 4 corrected eml exel file name JimL 16May13</t>
  </si>
  <si>
    <t>2012_GS_ITEX_SunScan_LAI.04</t>
  </si>
  <si>
    <t>knb-lter-arc.10140.4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</si>
</sst>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09]d\-mmm\-yy;@"/>
    <numFmt numFmtId="165" formatCode="h:mm:ss;@"/>
    <numFmt numFmtId="166" formatCode="dd\-mmm\-yyyy"/>
    <numFmt numFmtId="167" formatCode="0.00000"/>
  </numFmts>
  <fonts count="59"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Verdana"/>
      <family val="2"/>
    </font>
    <font>
      <b/>
      <sz val="9"/>
      <color indexed="81"/>
      <name val="Tahoma"/>
      <family val="2"/>
    </font>
    <font>
      <sz val="9"/>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Calibri"/>
      <family val="2"/>
    </font>
    <font>
      <sz val="11"/>
      <color indexed="8"/>
      <name val="Calibri"/>
      <family val="2"/>
    </font>
    <font>
      <sz val="11"/>
      <name val="Calibri"/>
      <family val="2"/>
    </font>
    <font>
      <sz val="10"/>
      <color indexed="8"/>
      <name val="Calibri"/>
      <family val="2"/>
      <scheme val="minor"/>
    </font>
    <font>
      <sz val="10"/>
      <name val="Calibri"/>
      <family val="2"/>
      <scheme val="minor"/>
    </font>
    <font>
      <sz val="10"/>
      <color theme="1"/>
      <name val="Calibri"/>
      <family val="2"/>
      <scheme val="minor"/>
    </font>
    <font>
      <b/>
      <sz val="10"/>
      <color indexed="8"/>
      <name val="Calibri"/>
      <family val="2"/>
      <scheme val="minor"/>
    </font>
    <font>
      <b/>
      <sz val="10"/>
      <name val="Calibri"/>
      <family val="2"/>
      <scheme val="minor"/>
    </font>
    <font>
      <sz val="11"/>
      <color indexed="8"/>
      <name val="Calibri"/>
      <family val="2"/>
      <scheme val="minor"/>
    </font>
    <font>
      <sz val="11"/>
      <name val="Calibri"/>
      <family val="2"/>
      <scheme val="minor"/>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10"/>
      <color theme="1"/>
      <name val="Calibri"/>
      <family val="2"/>
      <scheme val="minor"/>
    </font>
    <font>
      <sz val="10"/>
      <color indexed="10"/>
      <name val="Arial"/>
      <family val="2"/>
    </font>
    <font>
      <b/>
      <sz val="8"/>
      <color indexed="39"/>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CCFFFF"/>
        <bgColor indexed="64"/>
      </patternFill>
    </fill>
    <fill>
      <patternFill patternType="solid">
        <fgColor rgb="FF00FFFF"/>
        <bgColor indexed="64"/>
      </patternFill>
    </fill>
  </fills>
  <borders count="21">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2">
    <xf numFmtId="0" fontId="0" fillId="0" borderId="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6" applyNumberFormat="0" applyAlignment="0" applyProtection="0"/>
    <xf numFmtId="0" fontId="18" fillId="6" borderId="7" applyNumberFormat="0" applyAlignment="0" applyProtection="0"/>
    <xf numFmtId="0" fontId="19" fillId="6" borderId="6" applyNumberFormat="0" applyAlignment="0" applyProtection="0"/>
    <xf numFmtId="0" fontId="20" fillId="0" borderId="8" applyNumberFormat="0" applyFill="0" applyAlignment="0" applyProtection="0"/>
    <xf numFmtId="0" fontId="21" fillId="7" borderId="9"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5" fillId="32" borderId="0" applyNumberFormat="0" applyBorder="0" applyAlignment="0" applyProtection="0"/>
    <xf numFmtId="0" fontId="6" fillId="0" borderId="0"/>
    <xf numFmtId="0" fontId="6" fillId="8" borderId="10" applyNumberFormat="0" applyFont="0" applyAlignment="0" applyProtection="0"/>
    <xf numFmtId="0" fontId="26" fillId="0" borderId="0"/>
    <xf numFmtId="0" fontId="26" fillId="0" borderId="0"/>
    <xf numFmtId="0" fontId="28" fillId="0" borderId="0"/>
    <xf numFmtId="0" fontId="5" fillId="0" borderId="0"/>
    <xf numFmtId="0" fontId="4" fillId="0" borderId="0"/>
    <xf numFmtId="0" fontId="3" fillId="0" borderId="0"/>
    <xf numFmtId="0" fontId="27" fillId="0" borderId="0"/>
    <xf numFmtId="0" fontId="2" fillId="0" borderId="0"/>
    <xf numFmtId="0" fontId="41" fillId="0" borderId="0" applyNumberFormat="0" applyFill="0" applyBorder="0" applyAlignment="0" applyProtection="0">
      <alignment vertical="top"/>
      <protection locked="0"/>
    </xf>
  </cellStyleXfs>
  <cellXfs count="152">
    <xf numFmtId="0" fontId="0" fillId="0" borderId="0" xfId="0"/>
    <xf numFmtId="0" fontId="0" fillId="0" borderId="0" xfId="0" applyFill="1" applyBorder="1"/>
    <xf numFmtId="0" fontId="0" fillId="0" borderId="0" xfId="0" applyFont="1" applyFill="1" applyBorder="1"/>
    <xf numFmtId="0" fontId="31" fillId="0" borderId="0" xfId="45" applyFont="1" applyFill="1" applyBorder="1" applyAlignment="1">
      <alignment horizontal="left"/>
    </xf>
    <xf numFmtId="0" fontId="30" fillId="0" borderId="0" xfId="45" applyFont="1" applyFill="1" applyBorder="1"/>
    <xf numFmtId="0" fontId="28" fillId="0" borderId="0" xfId="45" applyFont="1" applyFill="1" applyBorder="1" applyAlignment="1">
      <alignment horizontal="left"/>
    </xf>
    <xf numFmtId="0" fontId="32" fillId="0" borderId="0" xfId="47" applyFont="1" applyFill="1" applyBorder="1" applyAlignment="1">
      <alignment horizontal="right"/>
    </xf>
    <xf numFmtId="0" fontId="32" fillId="0" borderId="0" xfId="47" applyFont="1" applyFill="1" applyBorder="1"/>
    <xf numFmtId="0" fontId="33" fillId="0" borderId="0" xfId="45" applyFont="1" applyFill="1" applyBorder="1" applyAlignment="1">
      <alignment horizontal="center" wrapText="1"/>
    </xf>
    <xf numFmtId="0" fontId="30" fillId="0" borderId="0" xfId="45" applyNumberFormat="1" applyFont="1" applyFill="1" applyBorder="1"/>
    <xf numFmtId="0" fontId="30" fillId="0" borderId="0" xfId="0" applyFont="1" applyFill="1" applyBorder="1"/>
    <xf numFmtId="0" fontId="30" fillId="0" borderId="0" xfId="0" applyFont="1" applyFill="1" applyBorder="1" applyAlignment="1">
      <alignment horizontal="right"/>
    </xf>
    <xf numFmtId="15" fontId="30" fillId="0" borderId="0" xfId="45" applyNumberFormat="1" applyFont="1" applyFill="1" applyBorder="1" applyAlignment="1">
      <alignment horizontal="right"/>
    </xf>
    <xf numFmtId="0" fontId="35" fillId="0" borderId="0" xfId="45" applyFont="1" applyFill="1" applyBorder="1"/>
    <xf numFmtId="0" fontId="36" fillId="0" borderId="0" xfId="45" applyFont="1" applyFill="1" applyBorder="1" applyAlignment="1">
      <alignment horizontal="left"/>
    </xf>
    <xf numFmtId="0" fontId="0" fillId="0" borderId="0" xfId="0" applyFill="1"/>
    <xf numFmtId="0" fontId="28" fillId="0" borderId="0" xfId="45" applyNumberFormat="1" applyFont="1" applyFill="1" applyBorder="1"/>
    <xf numFmtId="0" fontId="28" fillId="0" borderId="0" xfId="45" applyFont="1" applyFill="1" applyBorder="1"/>
    <xf numFmtId="0" fontId="29" fillId="0" borderId="0" xfId="45" applyFont="1" applyFill="1" applyBorder="1" applyAlignment="1">
      <alignment horizontal="left"/>
    </xf>
    <xf numFmtId="0" fontId="28" fillId="0" borderId="1" xfId="45" applyFont="1" applyFill="1" applyBorder="1"/>
    <xf numFmtId="0" fontId="29" fillId="0" borderId="1" xfId="45" applyFont="1" applyFill="1" applyBorder="1" applyAlignment="1">
      <alignment horizontal="left"/>
    </xf>
    <xf numFmtId="0" fontId="35" fillId="0" borderId="1" xfId="45" applyFont="1" applyFill="1" applyBorder="1"/>
    <xf numFmtId="0" fontId="36" fillId="0" borderId="1" xfId="45" applyFont="1" applyFill="1" applyBorder="1" applyAlignment="1">
      <alignment horizontal="left"/>
    </xf>
    <xf numFmtId="164" fontId="33" fillId="0" borderId="0" xfId="45" applyNumberFormat="1" applyFont="1" applyFill="1" applyBorder="1" applyAlignment="1">
      <alignment horizontal="right" wrapText="1"/>
    </xf>
    <xf numFmtId="164" fontId="30" fillId="0" borderId="0" xfId="45" applyNumberFormat="1" applyFont="1" applyFill="1" applyBorder="1" applyAlignment="1">
      <alignment horizontal="right"/>
    </xf>
    <xf numFmtId="164" fontId="30" fillId="0" borderId="0" xfId="0" applyNumberFormat="1" applyFont="1" applyFill="1" applyBorder="1" applyAlignment="1">
      <alignment horizontal="right"/>
    </xf>
    <xf numFmtId="164" fontId="28" fillId="0" borderId="1" xfId="45" applyNumberFormat="1" applyFont="1" applyFill="1" applyBorder="1" applyAlignment="1">
      <alignment horizontal="right"/>
    </xf>
    <xf numFmtId="164" fontId="28" fillId="0" borderId="0" xfId="45" applyNumberFormat="1" applyFont="1" applyFill="1" applyBorder="1" applyAlignment="1">
      <alignment horizontal="right"/>
    </xf>
    <xf numFmtId="164" fontId="35" fillId="0" borderId="1" xfId="45" applyNumberFormat="1" applyFont="1" applyFill="1" applyBorder="1" applyAlignment="1">
      <alignment horizontal="right"/>
    </xf>
    <xf numFmtId="164" fontId="35" fillId="0" borderId="0" xfId="45" applyNumberFormat="1" applyFont="1" applyFill="1" applyBorder="1" applyAlignment="1">
      <alignment horizontal="right"/>
    </xf>
    <xf numFmtId="0" fontId="0" fillId="0" borderId="0" xfId="45" applyNumberFormat="1" applyFont="1" applyFill="1" applyBorder="1"/>
    <xf numFmtId="0" fontId="37" fillId="0" borderId="0" xfId="43" applyFont="1" applyAlignment="1" applyProtection="1">
      <alignment vertical="top"/>
    </xf>
    <xf numFmtId="0" fontId="26" fillId="0" borderId="0" xfId="43" applyFont="1" applyAlignment="1" applyProtection="1">
      <alignment horizontal="left" wrapText="1"/>
      <protection locked="0"/>
    </xf>
    <xf numFmtId="0" fontId="38" fillId="0" borderId="0" xfId="43" applyFont="1" applyProtection="1">
      <protection locked="0"/>
    </xf>
    <xf numFmtId="0" fontId="39" fillId="0" borderId="0" xfId="43" applyFont="1" applyProtection="1">
      <protection locked="0"/>
    </xf>
    <xf numFmtId="0" fontId="26" fillId="0" borderId="0" xfId="43" applyFont="1"/>
    <xf numFmtId="0" fontId="40" fillId="0" borderId="13" xfId="43" applyFont="1" applyFill="1" applyBorder="1" applyAlignment="1" applyProtection="1"/>
    <xf numFmtId="0" fontId="40" fillId="0" borderId="13" xfId="43" applyFont="1" applyFill="1" applyBorder="1" applyAlignment="1" applyProtection="1">
      <alignment horizontal="left"/>
    </xf>
    <xf numFmtId="0" fontId="26" fillId="0" borderId="0" xfId="43" applyFont="1" applyProtection="1">
      <protection locked="0"/>
    </xf>
    <xf numFmtId="0" fontId="40" fillId="0" borderId="14" xfId="43" applyFont="1" applyBorder="1" applyAlignment="1" applyProtection="1"/>
    <xf numFmtId="0" fontId="39" fillId="34" borderId="13" xfId="43" applyFont="1" applyFill="1" applyBorder="1" applyAlignment="1" applyProtection="1">
      <alignment vertical="top"/>
    </xf>
    <xf numFmtId="0" fontId="26" fillId="0" borderId="0" xfId="43" applyFont="1" applyFill="1" applyBorder="1"/>
    <xf numFmtId="0" fontId="26" fillId="0" borderId="0" xfId="43" applyFont="1" applyAlignment="1" applyProtection="1">
      <alignment vertical="top"/>
    </xf>
    <xf numFmtId="0" fontId="26" fillId="0" borderId="0" xfId="43" applyFont="1" applyAlignment="1" applyProtection="1">
      <protection locked="0"/>
    </xf>
    <xf numFmtId="0" fontId="26" fillId="0" borderId="0" xfId="43" applyNumberFormat="1" applyFont="1" applyAlignment="1" applyProtection="1">
      <alignment horizontal="left"/>
      <protection locked="0"/>
    </xf>
    <xf numFmtId="0" fontId="42" fillId="0" borderId="0" xfId="43" applyFont="1" applyAlignment="1" applyProtection="1">
      <protection locked="0"/>
    </xf>
    <xf numFmtId="0" fontId="26" fillId="36" borderId="13" xfId="43" applyFont="1" applyFill="1" applyBorder="1" applyAlignment="1" applyProtection="1">
      <alignment horizontal="left" wrapText="1"/>
      <protection locked="0"/>
    </xf>
    <xf numFmtId="0" fontId="26" fillId="0" borderId="0" xfId="43" applyFont="1" applyAlignment="1" applyProtection="1">
      <alignment vertical="top" wrapText="1"/>
    </xf>
    <xf numFmtId="0" fontId="43" fillId="34" borderId="13" xfId="43" applyFont="1" applyFill="1" applyBorder="1" applyAlignment="1" applyProtection="1">
      <alignment vertical="top" wrapText="1"/>
    </xf>
    <xf numFmtId="0" fontId="39" fillId="34" borderId="13" xfId="43" applyFont="1" applyFill="1" applyBorder="1" applyAlignment="1" applyProtection="1">
      <alignment horizontal="left" wrapText="1"/>
    </xf>
    <xf numFmtId="49" fontId="39" fillId="33" borderId="0" xfId="43" applyNumberFormat="1" applyFont="1" applyFill="1" applyBorder="1" applyAlignment="1" applyProtection="1">
      <alignment horizontal="right" vertical="top"/>
    </xf>
    <xf numFmtId="49" fontId="26" fillId="37" borderId="13" xfId="43" applyNumberFormat="1" applyFont="1" applyFill="1" applyBorder="1" applyAlignment="1" applyProtection="1">
      <alignment horizontal="left" wrapText="1"/>
      <protection locked="0"/>
    </xf>
    <xf numFmtId="49" fontId="26" fillId="0" borderId="0" xfId="43" applyNumberFormat="1" applyFont="1"/>
    <xf numFmtId="0" fontId="26" fillId="0" borderId="0" xfId="43" applyFont="1" applyFill="1" applyBorder="1" applyAlignment="1" applyProtection="1">
      <alignment horizontal="right" vertical="top"/>
    </xf>
    <xf numFmtId="0" fontId="26" fillId="0" borderId="0" xfId="43" applyFont="1" applyFill="1" applyAlignment="1" applyProtection="1">
      <alignment horizontal="left" wrapText="1"/>
      <protection locked="0"/>
    </xf>
    <xf numFmtId="0" fontId="26" fillId="0" borderId="0" xfId="43" applyFont="1" applyFill="1" applyProtection="1">
      <protection locked="0"/>
    </xf>
    <xf numFmtId="0" fontId="26" fillId="0" borderId="0" xfId="43" applyFont="1" applyFill="1" applyAlignment="1" applyProtection="1">
      <alignment horizontal="right" vertical="top" wrapText="1"/>
    </xf>
    <xf numFmtId="0" fontId="39" fillId="34" borderId="13" xfId="43" applyNumberFormat="1" applyFont="1" applyFill="1" applyBorder="1" applyAlignment="1" applyProtection="1">
      <alignment vertical="top" wrapText="1"/>
    </xf>
    <xf numFmtId="0" fontId="26" fillId="0" borderId="0" xfId="43" applyFont="1" applyBorder="1" applyAlignment="1" applyProtection="1">
      <alignment horizontal="left" wrapText="1"/>
      <protection locked="0"/>
    </xf>
    <xf numFmtId="0" fontId="40" fillId="0" borderId="13" xfId="43" applyFont="1" applyFill="1" applyBorder="1" applyAlignment="1" applyProtection="1">
      <alignment horizontal="right"/>
    </xf>
    <xf numFmtId="0" fontId="40" fillId="0" borderId="14" xfId="43" applyFont="1" applyBorder="1" applyAlignment="1"/>
    <xf numFmtId="0" fontId="39" fillId="38" borderId="0" xfId="43" applyNumberFormat="1" applyFont="1" applyFill="1" applyAlignment="1" applyProtection="1">
      <alignment horizontal="right" vertical="top" wrapText="1"/>
    </xf>
    <xf numFmtId="0" fontId="39" fillId="38" borderId="0" xfId="43" applyFont="1" applyFill="1" applyAlignment="1" applyProtection="1">
      <alignment horizontal="right" vertical="top" wrapText="1"/>
    </xf>
    <xf numFmtId="0" fontId="39" fillId="38" borderId="0" xfId="43" applyFont="1" applyFill="1" applyAlignment="1" applyProtection="1">
      <alignment horizontal="right" vertical="top"/>
    </xf>
    <xf numFmtId="0" fontId="39" fillId="38" borderId="0" xfId="43" applyFont="1" applyFill="1" applyBorder="1" applyAlignment="1" applyProtection="1">
      <alignment horizontal="right" vertical="top"/>
    </xf>
    <xf numFmtId="0" fontId="39" fillId="34" borderId="15" xfId="43" applyFont="1" applyFill="1" applyBorder="1" applyAlignment="1" applyProtection="1">
      <alignment horizontal="left" vertical="top"/>
    </xf>
    <xf numFmtId="0" fontId="39" fillId="38" borderId="0" xfId="43" applyFont="1" applyFill="1" applyBorder="1" applyAlignment="1" applyProtection="1">
      <alignment horizontal="left" vertical="top"/>
    </xf>
    <xf numFmtId="0" fontId="39" fillId="34" borderId="13" xfId="43" applyFont="1" applyFill="1" applyBorder="1" applyAlignment="1" applyProtection="1">
      <alignment horizontal="left" vertical="top"/>
    </xf>
    <xf numFmtId="0" fontId="26" fillId="0" borderId="13" xfId="43" applyFont="1" applyBorder="1" applyAlignment="1" applyProtection="1">
      <alignment horizontal="left" wrapText="1"/>
      <protection locked="0"/>
    </xf>
    <xf numFmtId="0" fontId="39" fillId="0" borderId="0" xfId="43" applyFont="1" applyFill="1" applyBorder="1" applyAlignment="1" applyProtection="1">
      <alignment horizontal="right" vertical="top"/>
    </xf>
    <xf numFmtId="0" fontId="26" fillId="0" borderId="0" xfId="43" applyFont="1" applyFill="1" applyBorder="1" applyAlignment="1" applyProtection="1">
      <alignment horizontal="left" wrapText="1"/>
      <protection locked="0"/>
    </xf>
    <xf numFmtId="0" fontId="39" fillId="34" borderId="13" xfId="43" applyFont="1" applyFill="1" applyBorder="1" applyAlignment="1" applyProtection="1">
      <alignment wrapText="1"/>
    </xf>
    <xf numFmtId="0" fontId="39" fillId="38" borderId="0" xfId="43" applyFont="1" applyFill="1" applyBorder="1" applyAlignment="1" applyProtection="1">
      <alignment horizontal="right" wrapText="1"/>
    </xf>
    <xf numFmtId="0" fontId="39" fillId="38" borderId="2" xfId="43" applyFont="1" applyFill="1" applyBorder="1" applyAlignment="1" applyProtection="1">
      <alignment horizontal="right" wrapText="1"/>
    </xf>
    <xf numFmtId="0" fontId="39" fillId="34" borderId="13" xfId="43" applyFont="1" applyFill="1" applyBorder="1" applyAlignment="1" applyProtection="1">
      <alignment vertical="top" wrapText="1"/>
    </xf>
    <xf numFmtId="0" fontId="42" fillId="0" borderId="0" xfId="43" applyFont="1"/>
    <xf numFmtId="0" fontId="26" fillId="0" borderId="0" xfId="43" applyFont="1" applyAlignment="1" applyProtection="1"/>
    <xf numFmtId="0" fontId="26" fillId="0" borderId="0" xfId="43" applyNumberFormat="1" applyFont="1" applyAlignment="1" applyProtection="1">
      <protection locked="0"/>
    </xf>
    <xf numFmtId="0" fontId="26" fillId="0" borderId="0" xfId="43" applyFont="1" applyFill="1" applyAlignment="1" applyProtection="1">
      <alignment vertical="center"/>
      <protection locked="0"/>
    </xf>
    <xf numFmtId="0" fontId="26" fillId="0" borderId="0" xfId="43" applyFont="1" applyAlignment="1" applyProtection="1">
      <alignment vertical="center"/>
      <protection locked="0"/>
    </xf>
    <xf numFmtId="0" fontId="39" fillId="34" borderId="17" xfId="43" applyFont="1" applyFill="1" applyBorder="1" applyAlignment="1" applyProtection="1">
      <alignment horizontal="left"/>
    </xf>
    <xf numFmtId="0" fontId="26" fillId="34" borderId="18" xfId="43" applyNumberFormat="1" applyFont="1" applyFill="1" applyBorder="1" applyAlignment="1" applyProtection="1">
      <alignment horizontal="left"/>
    </xf>
    <xf numFmtId="0" fontId="39" fillId="34" borderId="19" xfId="43" applyFont="1" applyFill="1" applyBorder="1" applyAlignment="1" applyProtection="1">
      <alignment horizontal="right" wrapText="1"/>
    </xf>
    <xf numFmtId="0" fontId="26" fillId="35" borderId="2" xfId="43" applyFont="1" applyFill="1" applyBorder="1" applyAlignment="1" applyProtection="1">
      <alignment horizontal="left"/>
      <protection locked="0"/>
    </xf>
    <xf numFmtId="0" fontId="26" fillId="37" borderId="14" xfId="43" applyFont="1" applyFill="1" applyBorder="1" applyAlignment="1" applyProtection="1">
      <protection locked="0"/>
    </xf>
    <xf numFmtId="0" fontId="39" fillId="34" borderId="2" xfId="43" applyFont="1" applyFill="1" applyBorder="1" applyAlignment="1" applyProtection="1">
      <alignment horizontal="right"/>
    </xf>
    <xf numFmtId="0" fontId="26" fillId="35" borderId="19" xfId="43" applyFont="1" applyFill="1" applyBorder="1" applyAlignment="1" applyProtection="1">
      <alignment horizontal="left"/>
      <protection locked="0"/>
    </xf>
    <xf numFmtId="0" fontId="26" fillId="37" borderId="20" xfId="43" applyFont="1" applyFill="1" applyBorder="1" applyAlignment="1" applyProtection="1">
      <protection locked="0"/>
    </xf>
    <xf numFmtId="0" fontId="39" fillId="0" borderId="0" xfId="43" applyFont="1" applyAlignment="1" applyProtection="1">
      <alignment horizontal="center" vertical="top"/>
    </xf>
    <xf numFmtId="0" fontId="39" fillId="34" borderId="13" xfId="43" applyFont="1" applyFill="1" applyBorder="1" applyAlignment="1" applyProtection="1">
      <alignment horizontal="right" vertical="top"/>
    </xf>
    <xf numFmtId="0" fontId="45" fillId="0" borderId="0" xfId="43" applyFont="1"/>
    <xf numFmtId="0" fontId="39" fillId="38" borderId="13" xfId="43" applyFont="1" applyFill="1" applyBorder="1" applyAlignment="1" applyProtection="1">
      <alignment vertical="center" wrapText="1"/>
    </xf>
    <xf numFmtId="0" fontId="39" fillId="38" borderId="13" xfId="43" applyFont="1" applyFill="1" applyBorder="1" applyAlignment="1" applyProtection="1">
      <alignment horizontal="left" vertical="center" wrapText="1"/>
    </xf>
    <xf numFmtId="0" fontId="39" fillId="0" borderId="0" xfId="43" applyFont="1" applyFill="1" applyBorder="1" applyAlignment="1" applyProtection="1">
      <alignment vertical="center" wrapText="1"/>
    </xf>
    <xf numFmtId="0" fontId="46" fillId="0" borderId="0" xfId="43" applyFont="1"/>
    <xf numFmtId="0" fontId="26" fillId="0" borderId="0" xfId="43" applyFont="1" applyAlignment="1" applyProtection="1">
      <alignment vertical="top" wrapText="1"/>
      <protection locked="0"/>
    </xf>
    <xf numFmtId="0" fontId="26" fillId="0" borderId="0" xfId="43" applyFont="1" applyAlignment="1" applyProtection="1">
      <alignment wrapText="1"/>
      <protection locked="0"/>
    </xf>
    <xf numFmtId="0" fontId="26" fillId="0" borderId="0" xfId="43" applyFont="1" applyAlignment="1">
      <alignment vertical="center" wrapText="1"/>
    </xf>
    <xf numFmtId="0" fontId="26" fillId="0" borderId="0" xfId="43" applyFont="1" applyAlignment="1">
      <alignment vertical="top"/>
    </xf>
    <xf numFmtId="0" fontId="0" fillId="0" borderId="0" xfId="0" applyFont="1" applyFill="1"/>
    <xf numFmtId="0" fontId="34" fillId="0" borderId="0" xfId="49" applyFont="1" applyFill="1" applyBorder="1" applyAlignment="1">
      <alignment wrapText="1"/>
    </xf>
    <xf numFmtId="0" fontId="34" fillId="0" borderId="0" xfId="49" applyFont="1" applyFill="1" applyBorder="1" applyAlignment="1">
      <alignment horizontal="left" wrapText="1"/>
    </xf>
    <xf numFmtId="165" fontId="32" fillId="0" borderId="0" xfId="47" applyNumberFormat="1" applyFont="1" applyFill="1" applyBorder="1"/>
    <xf numFmtId="165" fontId="30" fillId="0" borderId="0" xfId="0" applyNumberFormat="1" applyFont="1" applyFill="1" applyBorder="1"/>
    <xf numFmtId="164" fontId="32" fillId="0" borderId="0" xfId="47" applyNumberFormat="1" applyFont="1" applyFill="1" applyBorder="1" applyAlignment="1">
      <alignment horizontal="right"/>
    </xf>
    <xf numFmtId="0" fontId="32" fillId="0" borderId="0" xfId="46" applyFont="1" applyFill="1" applyBorder="1"/>
    <xf numFmtId="0" fontId="28" fillId="0" borderId="0" xfId="0" applyFont="1" applyFill="1"/>
    <xf numFmtId="164" fontId="28" fillId="0" borderId="0" xfId="0" applyNumberFormat="1" applyFont="1" applyFill="1" applyAlignment="1">
      <alignment horizontal="right"/>
    </xf>
    <xf numFmtId="0" fontId="29" fillId="0" borderId="0" xfId="0" applyFont="1" applyFill="1" applyAlignment="1">
      <alignment horizontal="left"/>
    </xf>
    <xf numFmtId="164" fontId="28" fillId="0" borderId="1" xfId="0" applyNumberFormat="1" applyFont="1" applyFill="1" applyBorder="1" applyAlignment="1">
      <alignment horizontal="right"/>
    </xf>
    <xf numFmtId="0" fontId="28" fillId="0" borderId="1" xfId="0" applyFont="1" applyFill="1" applyBorder="1"/>
    <xf numFmtId="164" fontId="0" fillId="0" borderId="0" xfId="0" applyNumberFormat="1" applyFill="1" applyAlignment="1">
      <alignment horizontal="right"/>
    </xf>
    <xf numFmtId="21" fontId="0" fillId="0" borderId="0" xfId="0" applyNumberFormat="1" applyFill="1"/>
    <xf numFmtId="165" fontId="1" fillId="0" borderId="0" xfId="0" applyNumberFormat="1" applyFont="1" applyFill="1"/>
    <xf numFmtId="0" fontId="1" fillId="0" borderId="0" xfId="0" applyFont="1" applyFill="1"/>
    <xf numFmtId="164" fontId="1" fillId="0" borderId="1" xfId="0" applyNumberFormat="1" applyFont="1" applyFill="1" applyBorder="1" applyAlignment="1">
      <alignment horizontal="right"/>
    </xf>
    <xf numFmtId="164" fontId="1" fillId="0" borderId="0" xfId="0" applyNumberFormat="1" applyFont="1" applyFill="1" applyAlignment="1">
      <alignment horizontal="right"/>
    </xf>
    <xf numFmtId="0" fontId="1" fillId="0" borderId="0" xfId="0" applyFont="1" applyFill="1" applyBorder="1"/>
    <xf numFmtId="165" fontId="1" fillId="0" borderId="0" xfId="0" applyNumberFormat="1" applyFont="1" applyFill="1" applyBorder="1"/>
    <xf numFmtId="0" fontId="1" fillId="0" borderId="0" xfId="0" applyFont="1" applyFill="1" applyBorder="1" applyAlignment="1">
      <alignment horizontal="right"/>
    </xf>
    <xf numFmtId="164" fontId="0" fillId="0" borderId="0" xfId="0" applyNumberFormat="1" applyFont="1"/>
    <xf numFmtId="21" fontId="0" fillId="0" borderId="0" xfId="0" applyNumberFormat="1"/>
    <xf numFmtId="15" fontId="0" fillId="0" borderId="0" xfId="0" applyNumberFormat="1"/>
    <xf numFmtId="165" fontId="54" fillId="0" borderId="0" xfId="47" applyNumberFormat="1" applyFont="1" applyFill="1" applyBorder="1"/>
    <xf numFmtId="0" fontId="54" fillId="0" borderId="0" xfId="47" applyFont="1" applyFill="1" applyBorder="1"/>
    <xf numFmtId="0" fontId="33" fillId="0" borderId="0" xfId="45" applyFont="1" applyFill="1" applyBorder="1" applyAlignment="1">
      <alignment horizontal="right" vertical="distributed"/>
    </xf>
    <xf numFmtId="0" fontId="39" fillId="0" borderId="0" xfId="43" applyFont="1" applyFill="1" applyBorder="1" applyAlignment="1" applyProtection="1">
      <alignment horizontal="left" wrapText="1"/>
      <protection locked="0"/>
    </xf>
    <xf numFmtId="0" fontId="26" fillId="0" borderId="0" xfId="43" applyFont="1" applyFill="1" applyBorder="1" applyAlignment="1"/>
    <xf numFmtId="0" fontId="55" fillId="0" borderId="0" xfId="43" applyFont="1"/>
    <xf numFmtId="0" fontId="26" fillId="0" borderId="0" xfId="43" applyFont="1" applyAlignment="1" applyProtection="1">
      <alignment horizontal="left"/>
      <protection locked="0"/>
    </xf>
    <xf numFmtId="0" fontId="39" fillId="38" borderId="0" xfId="43" applyFont="1" applyFill="1" applyBorder="1" applyAlignment="1" applyProtection="1">
      <alignment horizontal="right" vertical="top" wrapText="1"/>
    </xf>
    <xf numFmtId="0" fontId="26" fillId="40" borderId="13" xfId="43" applyFont="1" applyFill="1" applyBorder="1" applyAlignment="1" applyProtection="1">
      <alignment horizontal="center" wrapText="1"/>
      <protection locked="0"/>
    </xf>
    <xf numFmtId="0" fontId="26" fillId="0" borderId="0" xfId="43" applyFont="1" applyAlignment="1" applyProtection="1">
      <alignment horizontal="right" vertical="top"/>
    </xf>
    <xf numFmtId="0" fontId="26" fillId="0" borderId="0" xfId="43"/>
    <xf numFmtId="0" fontId="57" fillId="0" borderId="0" xfId="43" applyFont="1" applyAlignment="1">
      <alignment horizontal="center" wrapText="1"/>
    </xf>
    <xf numFmtId="0" fontId="57" fillId="0" borderId="0" xfId="43" applyFont="1" applyAlignment="1">
      <alignment wrapText="1"/>
    </xf>
    <xf numFmtId="167" fontId="57" fillId="0" borderId="0" xfId="43" applyNumberFormat="1" applyFont="1" applyAlignment="1">
      <alignment wrapText="1"/>
    </xf>
    <xf numFmtId="1" fontId="57" fillId="0" borderId="0" xfId="43" applyNumberFormat="1" applyFont="1" applyAlignment="1">
      <alignment wrapText="1"/>
    </xf>
    <xf numFmtId="0" fontId="58" fillId="0" borderId="0" xfId="43" applyFont="1" applyAlignment="1">
      <alignment horizontal="center" wrapText="1"/>
    </xf>
    <xf numFmtId="0" fontId="41" fillId="0" borderId="0" xfId="51" applyAlignment="1" applyProtection="1"/>
    <xf numFmtId="0" fontId="26" fillId="0" borderId="0" xfId="43" applyAlignment="1"/>
    <xf numFmtId="1" fontId="26" fillId="0" borderId="0" xfId="43" applyNumberFormat="1"/>
    <xf numFmtId="0" fontId="26" fillId="36" borderId="13" xfId="43" applyFont="1" applyFill="1" applyBorder="1" applyAlignment="1" applyProtection="1">
      <alignment horizontal="left" vertical="top" wrapText="1"/>
      <protection locked="0"/>
    </xf>
    <xf numFmtId="0" fontId="26" fillId="36" borderId="12" xfId="43" applyFont="1" applyFill="1" applyBorder="1" applyAlignment="1" applyProtection="1">
      <alignment horizontal="left" wrapText="1"/>
      <protection locked="0"/>
    </xf>
    <xf numFmtId="0" fontId="26" fillId="36" borderId="16" xfId="43" applyFont="1" applyFill="1" applyBorder="1" applyAlignment="1" applyProtection="1">
      <alignment horizontal="left" wrapText="1"/>
      <protection locked="0"/>
    </xf>
    <xf numFmtId="0" fontId="41" fillId="36" borderId="13" xfId="51" applyFill="1" applyBorder="1" applyAlignment="1" applyProtection="1">
      <alignment horizontal="left" vertical="top" wrapText="1"/>
    </xf>
    <xf numFmtId="166" fontId="26" fillId="36" borderId="13" xfId="43" applyNumberFormat="1" applyFont="1" applyFill="1" applyBorder="1" applyAlignment="1" applyProtection="1">
      <alignment horizontal="left" wrapText="1"/>
      <protection locked="0"/>
    </xf>
    <xf numFmtId="0" fontId="41" fillId="0" borderId="2" xfId="51" applyFill="1" applyBorder="1" applyAlignment="1" applyProtection="1">
      <alignment horizontal="left"/>
    </xf>
    <xf numFmtId="0" fontId="26" fillId="36" borderId="2" xfId="43" applyFont="1" applyFill="1" applyBorder="1" applyAlignment="1" applyProtection="1">
      <alignment horizontal="left" wrapText="1"/>
      <protection locked="0"/>
    </xf>
    <xf numFmtId="0" fontId="26" fillId="39" borderId="14" xfId="43" applyFont="1" applyFill="1" applyBorder="1" applyAlignment="1"/>
    <xf numFmtId="0" fontId="39" fillId="0" borderId="0" xfId="43" applyFont="1" applyFill="1" applyBorder="1" applyAlignment="1" applyProtection="1">
      <alignment horizontal="left" wrapText="1"/>
      <protection locked="0"/>
    </xf>
    <xf numFmtId="0" fontId="26" fillId="0" borderId="0" xfId="43" applyFont="1" applyFill="1" applyBorder="1" applyAlignment="1"/>
  </cellXfs>
  <cellStyles count="52">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1" builtinId="8"/>
    <cellStyle name="Input" xfId="9" builtinId="20" customBuiltin="1"/>
    <cellStyle name="Linked Cell" xfId="12" builtinId="24" customBuiltin="1"/>
    <cellStyle name="Neutral" xfId="8" builtinId="28" customBuiltin="1"/>
    <cellStyle name="Normal" xfId="0" builtinId="0"/>
    <cellStyle name="Normal 2" xfId="43"/>
    <cellStyle name="Normal 2 2" xfId="44"/>
    <cellStyle name="Normal 3" xfId="41"/>
    <cellStyle name="Normal 4" xfId="45"/>
    <cellStyle name="Normal 5" xfId="46"/>
    <cellStyle name="Normal 5 2" xfId="50"/>
    <cellStyle name="Normal 6" xfId="47"/>
    <cellStyle name="Normal 7" xfId="48"/>
    <cellStyle name="Normal_soil temp, VWC, thaw depth formatted for webfile" xfId="49"/>
    <cellStyle name="Note 2" xfId="42"/>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FF"/>
      <color rgb="FFFF2D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14</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Leaf area index (LAI) measurements were taken with the Delta-T SunScan wand every 15 cm from the ground to above the canopy under both direct and diffuse light. conditions  The data includes all outputs from the SunScan wand: time of measurement, transmitted light, spread of PAR sensors, beam fraction, and zenith angle.  These measurements were taken for  1m x 1m chamber flux and point frame plots sampled in tall Salix pulchra and Betula nana shrub canopies  as well as sites monitored remotely by PAR sensors situated above, within, and below tall shrub canopies at the Toolik Field Station in the summer of 2012.  </a:t>
          </a:r>
        </a:p>
      </xdr:txBody>
    </xdr:sp>
    <xdr:clientData fLocksWithSheet="0"/>
  </xdr:twoCellAnchor>
  <xdr:twoCellAnchor>
    <xdr:from>
      <xdr:col>1</xdr:col>
      <xdr:colOff>30480</xdr:colOff>
      <xdr:row>67</xdr:row>
      <xdr:rowOff>17145</xdr:rowOff>
    </xdr:from>
    <xdr:to>
      <xdr:col>6</xdr:col>
      <xdr:colOff>817247</xdr:colOff>
      <xdr:row>205</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SUNSCAN LAI MEASUREMENTS (ALL PLOTS)
The methods used to collect leaf area index (LAI) estimates at many heights within each canopy were the same used to collect PAR (see "SunScan_PAR_Data").  We measured the LAI using a DeltaT SunScan wand in conjuction with the BF3 sensor (Delta-T Devices Ltd, Burwell Cambridge, UK). The SunScan wand compares indident light readings measured on the BF3 sensor with the 64-PAR readings on the light wand to calculate LAI along the length of the 1m-long wand. LAI was measured by inserting the SunScan wand as near to the ground as possible--typically ~5cm from the ground as the wand rested on top of moss--and then measured vertically every 15 cm with the last measurement being above the canopy. Measurements were taken from the side of the chamber or point frame opposite the sun at three locations under both direct (ambient) and diffuse light conditions . In many cases the replicates at each height were differentiated by row (1-3, or occasionaly 3-8 which correspond to the point frame pins).  Typically diffuse light conditions were achieved by shading both the BF3 sensor and the shrub canopy with photographic diffuser panels. On occasion, measurements were taken during cloudy light conditions where the diffuse light fraction was greater than 0.7 and no diffuser panel was needed; on these occasions the direct and diffuse light estimates may have been taken in slightly different locations as they were taken at different times and the precise position of the SunScan wand could not be replicated exactly.
The SunScan wand measures PAR along 64 points along a 1-m horizontal profile.  When sampling PAR within the shrub canopy, the data are from the raw output from each PAR sensor.  When sampling LAI, there is an internal calculation performed though the Delta-T software that compares the reading above the canopy to the reading within the canopy, and takes into account the percent of absorbed PAR (assumed to be 0.85), and the ellipsoidal leaf angle distribution parameter (ELADP*) (assumed to be 1.0).  
DATALOGGER SITE MEASUREMENTS:
Measurements of the canopies monitored by the datalogger sensors were taken in the same way as those for the chamber flux and point frame canopies with the following exceptions: 
* The measurements were taken near the end of the growing season when leaves were already beginning to senesce.  
* Although the SunScan wand was traditionally used in conjunction with a Beam Fraction sensor (BF3), this sensor was malfunctioning when the datalogger sites were sampled , and thus it was not used.  Instead of the BF3 sensor, wand measurements above the canopy were made immediately prior to each data measurement to record the ambiant total irradiance levels. [This same practice was followed for all sites sampled while the BF3 sensor was not functioning.]
*  The weather conditions during the datalogger site measurements were almost uniform cloud cover; thus nearly all of the measurements were taken under "diffuse" light conditions (diffuse light fraction greater than 0.7).  The measurements taken with "direct" light conditions were taken on partly cloudy days.
* Five replicates (rather than three) were taken at each height within the canopy.  Locations were chosen to be those immediately surrounding the datalogger sensors.
In addition to the LAI values, the Delta-T SunScan instrument gives an output of other variables including: transmitted light, spread among sensors, beam fraction, and zenith angle.  These values are further described here: 
Transmitted Light:  the fraction of incident light that passes through a given canopy. It can refer to Direct, Diffuse, or Total incident light. 
Spread: the standard deviation of the 64-PAR sensors on the SunScan wand.
Beam Fraction: the fraction of the Total incident PAR in the Direct beam. 
Zenith Angle:  the angle between the centre of the sun and the point directly overhead. 
Zenith angles are calculated from latitude, longitude, and local time using standard astronomical equations as given in Practical Astronomy.  The location used to determine the local zenith angle was: 68° 37' 39" N, Longitude 149° 35' 51" W.
*"ELADP is a way of characterizing the horizontal or vertical tendency of leaves in a canopy." p 37 of SS1 User Manual v2.0 (SunScan Canopy Analysis System, type SS1. Delta-T Devices Ltd. May 19, 2008)
BACKGROUND INFORMATION ABOUT DATA COLLECTION FOR  AUTOMATED LOGGING, CHAMBER FLUX , and POINT FRAME PLOTS
AUTOMATED DATA LOGGING SITES:
In order to monitor canopy conditions of the shrub species of interest--Betula nana and Salix pulchra--two CR1000 dataloggers (Campbell Scientific, 815 W. 1800, North Logan, UT, USA) were installed at the sites used for the ITEX shrub canopy studies at Toolik Field Station in Alaska the summer of 2012.  The sites (see "Group" category) are labeled as "Upland" and "Outlet"--descriptions of the sample site in relation to Toolik Lake.  The Upland site is colocated with Block 1 of the LTER shrub vegetation plots; the Outlet site is colocated with Block 2.  The dataloggers were adjacent to, rather than within, LTER plots.
Both the Upland and Outlet datalogger had the following sensors which logged every five minutes:
(5) Photosynthetically active radiation (PAR) sensors:  LI-190SB Quantum Sensor (Li-Cor Biosciences, 4647 Superior St, Lincoln, NE, USA)
     * Sensors were placed as follows: (1) Above all vegetation at a height of 2.2 meters
		        (1) Mid-way within the B. nana canopies (approximately 40 cm above the soil)
		        (1) Mid-way within the S. pulchra canopies (approximately 40 cm above the soil)
		        (1) Below the B. nana canopies (approximately 10 cm above the soil)
		        (1) Below the S. pulchra canopies (approximately 10 cm above the soil)
(3) Relative humidity (RH) and temperature sensors:  HMP50/HMP60 Probe (Campbell Scientific, North Logan, UT, USA)
     * Sensors each had either a 6- or 10-plate radiation shield (Campbell Scientific model  41303-5A or 41003-5)
     * Sensors were placed as follows: (1) Above all vegetation at a height of 2 meters
		        (1) Below the B. nana canopies (approximately 10 cm above the soil)
		        (1) Below the S. pulchra canopies (approximately 10 cm above the soil)
CHAMBER FLUX MEASUREMENTS
CO2 and H2O fluxes were measured using a Licor 6400 photosynthesis system (Li-Cor Inc., Lincoln, Nebraska, USA) connected to a 1m x 1m plexiglass chamber in canopies dominated either by Salix pulchra or Betula nana shrub species.  The height of the chamber varied depending on the height of the canopy being measured; chamber bases were constructed of PVC pipe to accomodate canopies with heights up to 125 cm.  In addition to the plexiglass chamber, we also constructed a plexiglass "sleeve" that could extend the height of the rigid portion of the chamber by 0.25m.
To set up each chamber, a location was chosen where the base would be level enough to ensure a complete seal with the plexiglass chamber and shrub branches could be moved either in or out of the chamber without creating large gaps in the canopy inside the chamber. Branches were included within the chamber if they were rooted within the chamber and excluded otherwise.  Once the base was in place, we drove hollow PVC pipe legs into the permafrost and inserted an aluminum frame with foam campermount tape along the top edge for the plexiglass chamber and/or sleeve to rest upon, creating an airtight seal.  The aluminum frame had taped to it semi-transparent, plastic skirt  which extended to the ground (+30cm).  We sealed the skirt to the tundra by weighting the skirt with heavy chains, pushing them firmly into the moss layer where possible and adding additional plastic materials as needed to ensure a good seal. We screwed the LiCor custom chamber head attachment over the holes drilled into the plexiglass chamber, again sealing with a rubber gasket. The air in the chamber was mixed using 4-8 small fans (depending on chamber height) powered by a 12v battery.
At each plot we took measurements to create two light curves: one under direct light and one under diffuse light conditions. In order to determine the fraction of diffuse light, we used a DeltaT Beam Fraction Sensor (BF3, Delta-T Devices Ltd, Burwell Cambridge, UK) which quantifies the total irradianc and total diffuse light from which the diffuse light fraction (diffuse light/total light) can be calculated. For each day of flux measurements, the BF3 logged an instantaneous reading every 30-60 seconds set up on a leveled tripod at approximately 2 m above the ground. For the purpose of correlating the diffuse light fraction with each flux measurement, the LiCor 6400 and BF3 sensor were synchronized to read the same time (+/- 1 sec) at the start of each day.
Different light levels for both diffuse and direct light curves were achieved by taking measurements under a variety of conditions: ambient light (no manipulation), successive shading levels (covering the chamber with 1-5 fine mesh net cloths), and intercepting direct light with photographic diffuser panels, as well as reflecting light into the chamber to increase the amount of diffuse light with white photographic panels. When the diffuser panels were used, they were carefully positioned to intercept all direct light that would otherwise enter the chamber. Whenwhite reflector panels were used, they were positioned on the side of the chamber opposite the sun and angled towards the chamber so as to increase the amount of diffuse light entering the chamber (these were used in conjuction with the diffuser panels). For these 'artificial' diffuse light measurements, we did not diffuse the BF3 sensor, thus the diffuse fraction calculations during these flux measurements do not represent the light conditions in the chamber. After field tests of using the diffuser and reflector panels, we determined that the panels effectively block all direct light, and thus we assume the diffuse light fraction is greater than 0.7 for these measurements.  At each light level a flux measurement lasted 45 - 60 secs in total, with CO2 and H2O concentrations in the chamber recorded by the LiCor 6400 every 2  secs.  After each measurement we lifted the chamber until CO2 and H2O concentrations had stabilized at ambient levels. We made an effort to obtain a wide range of flux measurements for light levels between 0-1600, and used whatever chamber light treatments were needed to achieve that based on the ambient light conditions. 
In addition to light measurements, we made at least three measurements in the dark for each day we took flux measurements.  These were achieved by covering the chamber in an opaque tarpaulin cloth. These measurements represent the ecosystem respiration. 
After each light curve we determined chamber volume by taking depth measurements from the top of the chamber base to the ground.  We measured the chamber base depth with 36 measurements made at regular 20cm intervals determined by placing  a 1m x1m plastic frame with a 20cm x 20cm string grid on top of the base.  The volume determined by these depth measurements (chamber surface area*average depth) was added to the volume of the plexiglass chamber (and sleeve, as needed) .  The surface area of the inside of the 1 m x 1 m plexiglass chamber  was 0.8836m2.  
POINT FRAME MEASUREMENTS
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These data can be used in conjunction with the other data collected from these same plots--leaf area index, light and A-Ci response curves of shoots taken at different segments of the canopy. </a:t>
          </a:r>
        </a:p>
      </xdr:txBody>
    </xdr:sp>
    <xdr:clientData fLocksWithSheet="0"/>
  </xdr:twoCellAnchor>
  <xdr:twoCellAnchor>
    <xdr:from>
      <xdr:col>1</xdr:col>
      <xdr:colOff>19050</xdr:colOff>
      <xdr:row>210</xdr:row>
      <xdr:rowOff>152400</xdr:rowOff>
    </xdr:from>
    <xdr:to>
      <xdr:col>3</xdr:col>
      <xdr:colOff>2076450</xdr:colOff>
      <xdr:row>217</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13</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68</xdr:row>
      <xdr:rowOff>121920</xdr:rowOff>
    </xdr:from>
    <xdr:to>
      <xdr:col>0</xdr:col>
      <xdr:colOff>1727751</xdr:colOff>
      <xdr:row>82</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0&amp;amp;urlTail=terrest/tracegas/data/2012_GS_ITEX_SunScan_LAI.csv" TargetMode="External"/><Relationship Id="rId1" Type="http://schemas.openxmlformats.org/officeDocument/2006/relationships/hyperlink" Target="http://ecosystems.mbl.edu/ARC/meta_template.php?FileName=./terrest/tracegas/xlsfiles/2012_GS_ITEX_SunScan_LAI.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44"/>
  <sheetViews>
    <sheetView tabSelected="1" zoomScale="96" zoomScaleNormal="96" workbookViewId="0">
      <selection activeCell="B4" sqref="B4"/>
    </sheetView>
  </sheetViews>
  <sheetFormatPr defaultColWidth="8.85546875" defaultRowHeight="12.75" x14ac:dyDescent="0.2"/>
  <cols>
    <col min="1" max="1" width="26.140625" style="98" customWidth="1"/>
    <col min="2" max="2" width="46" style="32" bestFit="1" customWidth="1"/>
    <col min="3" max="4" width="30.7109375" style="38" customWidth="1"/>
    <col min="5" max="9" width="30.7109375" style="35" customWidth="1"/>
    <col min="10" max="16384" width="8.85546875" style="35"/>
  </cols>
  <sheetData>
    <row r="1" spans="1:6" ht="18" x14ac:dyDescent="0.25">
      <c r="A1" s="31" t="s">
        <v>66</v>
      </c>
      <c r="C1" s="33"/>
      <c r="D1" s="34"/>
    </row>
    <row r="2" spans="1:6" hidden="1" x14ac:dyDescent="0.2">
      <c r="A2" s="36" t="s">
        <v>67</v>
      </c>
      <c r="B2" s="37" t="s">
        <v>1746</v>
      </c>
    </row>
    <row r="3" spans="1:6" hidden="1" x14ac:dyDescent="0.2">
      <c r="A3" s="36" t="s">
        <v>68</v>
      </c>
      <c r="B3" s="37">
        <v>2012</v>
      </c>
    </row>
    <row r="4" spans="1:6" hidden="1" x14ac:dyDescent="0.2">
      <c r="A4" s="36" t="s">
        <v>69</v>
      </c>
      <c r="B4" s="147" t="s">
        <v>416</v>
      </c>
      <c r="C4" s="39"/>
    </row>
    <row r="5" spans="1:6" ht="22.5" customHeight="1" x14ac:dyDescent="0.2">
      <c r="A5" s="40" t="s">
        <v>70</v>
      </c>
      <c r="B5" s="148" t="s">
        <v>414</v>
      </c>
      <c r="C5" s="149"/>
      <c r="D5" s="35"/>
    </row>
    <row r="6" spans="1:6" ht="12.75" customHeight="1" x14ac:dyDescent="0.2">
      <c r="A6" s="40" t="s">
        <v>71</v>
      </c>
      <c r="B6" s="35"/>
      <c r="C6" s="35"/>
      <c r="D6" s="35"/>
      <c r="E6" s="41"/>
      <c r="F6" s="41"/>
    </row>
    <row r="7" spans="1:6" s="43" customFormat="1" x14ac:dyDescent="0.2">
      <c r="A7" s="42"/>
      <c r="B7" s="150"/>
      <c r="C7" s="151"/>
      <c r="D7" s="151"/>
    </row>
    <row r="8" spans="1:6" s="43" customFormat="1" x14ac:dyDescent="0.2">
      <c r="A8" s="42"/>
      <c r="B8" s="126"/>
      <c r="C8" s="127"/>
      <c r="D8" s="127"/>
    </row>
    <row r="9" spans="1:6" s="43" customFormat="1" x14ac:dyDescent="0.2">
      <c r="A9" s="42"/>
      <c r="B9" s="126"/>
      <c r="C9" s="127"/>
      <c r="D9" s="127"/>
    </row>
    <row r="10" spans="1:6" s="43" customFormat="1" x14ac:dyDescent="0.2">
      <c r="A10" s="42"/>
      <c r="B10" s="126"/>
      <c r="C10" s="127"/>
      <c r="D10" s="127"/>
    </row>
    <row r="11" spans="1:6" s="43" customFormat="1" x14ac:dyDescent="0.2">
      <c r="A11" s="42"/>
      <c r="B11" s="44"/>
    </row>
    <row r="12" spans="1:6" s="43" customFormat="1" x14ac:dyDescent="0.2">
      <c r="A12" s="42"/>
      <c r="B12" s="44"/>
    </row>
    <row r="13" spans="1:6" s="43" customFormat="1" x14ac:dyDescent="0.2">
      <c r="A13" s="42"/>
      <c r="B13" s="44"/>
    </row>
    <row r="14" spans="1:6" s="43" customFormat="1" ht="15" x14ac:dyDescent="0.2">
      <c r="A14" s="42"/>
      <c r="B14" s="45"/>
    </row>
    <row r="15" spans="1:6" s="43" customFormat="1" ht="15" x14ac:dyDescent="0.2">
      <c r="A15" s="42"/>
      <c r="B15" s="45"/>
    </row>
    <row r="16" spans="1:6" x14ac:dyDescent="0.2">
      <c r="A16" s="40" t="s">
        <v>72</v>
      </c>
      <c r="B16" s="46" t="s">
        <v>1745</v>
      </c>
    </row>
    <row r="17" spans="1:9" x14ac:dyDescent="0.2">
      <c r="A17" s="47"/>
    </row>
    <row r="18" spans="1:9" x14ac:dyDescent="0.2">
      <c r="A18" s="48" t="s">
        <v>73</v>
      </c>
      <c r="B18" s="49" t="s">
        <v>74</v>
      </c>
      <c r="C18" s="49" t="s">
        <v>75</v>
      </c>
      <c r="D18" s="49" t="s">
        <v>76</v>
      </c>
      <c r="E18" s="49" t="s">
        <v>77</v>
      </c>
      <c r="F18" s="49" t="s">
        <v>78</v>
      </c>
      <c r="G18" s="49" t="s">
        <v>79</v>
      </c>
      <c r="H18" s="49" t="s">
        <v>80</v>
      </c>
      <c r="I18" s="49" t="s">
        <v>81</v>
      </c>
    </row>
    <row r="19" spans="1:9" x14ac:dyDescent="0.2">
      <c r="A19" s="50" t="s">
        <v>82</v>
      </c>
      <c r="B19" s="51" t="s">
        <v>139</v>
      </c>
      <c r="C19" s="51" t="s">
        <v>143</v>
      </c>
      <c r="D19" s="51" t="s">
        <v>143</v>
      </c>
      <c r="E19" s="51" t="s">
        <v>147</v>
      </c>
      <c r="F19" s="51" t="s">
        <v>150</v>
      </c>
      <c r="G19" s="51"/>
      <c r="H19" s="51"/>
      <c r="I19" s="51"/>
    </row>
    <row r="20" spans="1:9" s="52" customFormat="1" x14ac:dyDescent="0.2">
      <c r="A20" s="50" t="s">
        <v>83</v>
      </c>
      <c r="B20" s="51" t="s">
        <v>318</v>
      </c>
      <c r="C20" s="51" t="s">
        <v>327</v>
      </c>
      <c r="D20" s="51" t="s">
        <v>330</v>
      </c>
      <c r="E20" s="51" t="s">
        <v>339</v>
      </c>
      <c r="F20" s="51" t="s">
        <v>342</v>
      </c>
      <c r="G20" s="51"/>
      <c r="H20" s="51"/>
      <c r="I20" s="51"/>
    </row>
    <row r="21" spans="1:9" s="52" customFormat="1" x14ac:dyDescent="0.2">
      <c r="A21" s="50" t="s">
        <v>84</v>
      </c>
      <c r="B21" s="51" t="s">
        <v>319</v>
      </c>
      <c r="C21" s="51" t="s">
        <v>328</v>
      </c>
      <c r="D21" s="51" t="s">
        <v>331</v>
      </c>
      <c r="E21" s="51" t="s">
        <v>340</v>
      </c>
      <c r="F21" s="51" t="s">
        <v>343</v>
      </c>
      <c r="G21" s="51"/>
      <c r="H21" s="51"/>
      <c r="I21" s="51"/>
    </row>
    <row r="22" spans="1:9" s="52" customFormat="1" x14ac:dyDescent="0.2">
      <c r="A22" s="50" t="s">
        <v>85</v>
      </c>
      <c r="B22" s="51" t="s">
        <v>320</v>
      </c>
      <c r="C22" s="51" t="s">
        <v>329</v>
      </c>
      <c r="D22" s="51" t="s">
        <v>332</v>
      </c>
      <c r="E22" s="51" t="s">
        <v>341</v>
      </c>
      <c r="F22" s="51" t="s">
        <v>344</v>
      </c>
      <c r="G22" s="51"/>
      <c r="H22" s="51"/>
      <c r="I22" s="51"/>
    </row>
    <row r="23" spans="1:9" s="52" customFormat="1" ht="25.5" x14ac:dyDescent="0.2">
      <c r="A23" s="50" t="s">
        <v>86</v>
      </c>
      <c r="B23" s="51" t="s">
        <v>321</v>
      </c>
      <c r="C23" s="51" t="s">
        <v>321</v>
      </c>
      <c r="D23" s="51" t="s">
        <v>333</v>
      </c>
      <c r="E23" s="51" t="s">
        <v>321</v>
      </c>
      <c r="F23" s="51" t="s">
        <v>321</v>
      </c>
      <c r="G23" s="51"/>
      <c r="H23" s="51"/>
      <c r="I23" s="51"/>
    </row>
    <row r="24" spans="1:9" s="52" customFormat="1" x14ac:dyDescent="0.2">
      <c r="A24" s="50" t="s">
        <v>87</v>
      </c>
      <c r="B24" s="51" t="s">
        <v>322</v>
      </c>
      <c r="C24" s="51" t="s">
        <v>322</v>
      </c>
      <c r="D24" s="51" t="s">
        <v>334</v>
      </c>
      <c r="E24" s="51" t="s">
        <v>322</v>
      </c>
      <c r="F24" s="51" t="s">
        <v>322</v>
      </c>
      <c r="G24" s="51"/>
      <c r="H24" s="51"/>
      <c r="I24" s="51"/>
    </row>
    <row r="25" spans="1:9" s="52" customFormat="1" x14ac:dyDescent="0.2">
      <c r="A25" s="50" t="s">
        <v>88</v>
      </c>
      <c r="B25" s="51"/>
      <c r="C25" s="51"/>
      <c r="D25" s="51" t="s">
        <v>335</v>
      </c>
      <c r="E25" s="51"/>
      <c r="F25" s="51"/>
      <c r="G25" s="51"/>
      <c r="H25" s="51"/>
      <c r="I25" s="51"/>
    </row>
    <row r="26" spans="1:9" s="52" customFormat="1" x14ac:dyDescent="0.2">
      <c r="A26" s="50" t="s">
        <v>89</v>
      </c>
      <c r="B26" s="51" t="s">
        <v>323</v>
      </c>
      <c r="C26" s="51" t="s">
        <v>323</v>
      </c>
      <c r="D26" s="51" t="s">
        <v>336</v>
      </c>
      <c r="E26" s="51" t="s">
        <v>323</v>
      </c>
      <c r="F26" s="51" t="s">
        <v>323</v>
      </c>
      <c r="G26" s="51"/>
      <c r="H26" s="51"/>
      <c r="I26" s="51"/>
    </row>
    <row r="27" spans="1:9" s="52" customFormat="1" x14ac:dyDescent="0.2">
      <c r="A27" s="50" t="s">
        <v>90</v>
      </c>
      <c r="B27" s="51" t="s">
        <v>324</v>
      </c>
      <c r="C27" s="51" t="s">
        <v>324</v>
      </c>
      <c r="D27" s="51"/>
      <c r="E27" s="51" t="s">
        <v>324</v>
      </c>
      <c r="F27" s="51" t="s">
        <v>324</v>
      </c>
      <c r="G27" s="51"/>
      <c r="H27" s="51"/>
      <c r="I27" s="51"/>
    </row>
    <row r="28" spans="1:9" s="52" customFormat="1" x14ac:dyDescent="0.2">
      <c r="A28" s="50" t="s">
        <v>91</v>
      </c>
      <c r="B28" s="51" t="s">
        <v>325</v>
      </c>
      <c r="C28" s="51" t="s">
        <v>325</v>
      </c>
      <c r="D28" s="51" t="s">
        <v>337</v>
      </c>
      <c r="E28" s="51" t="s">
        <v>325</v>
      </c>
      <c r="F28" s="51" t="s">
        <v>325</v>
      </c>
      <c r="G28" s="51"/>
      <c r="H28" s="51"/>
      <c r="I28" s="51"/>
    </row>
    <row r="29" spans="1:9" s="52" customFormat="1" x14ac:dyDescent="0.2">
      <c r="A29" s="50" t="s">
        <v>92</v>
      </c>
      <c r="B29" s="51" t="s">
        <v>326</v>
      </c>
      <c r="C29" s="51" t="s">
        <v>326</v>
      </c>
      <c r="D29" s="51" t="s">
        <v>338</v>
      </c>
      <c r="E29" s="51" t="s">
        <v>326</v>
      </c>
      <c r="F29" s="51" t="s">
        <v>326</v>
      </c>
      <c r="G29" s="51"/>
      <c r="H29" s="51"/>
      <c r="I29" s="51"/>
    </row>
    <row r="30" spans="1:9" x14ac:dyDescent="0.2">
      <c r="A30" s="53"/>
      <c r="B30" s="54"/>
      <c r="C30" s="55"/>
    </row>
    <row r="31" spans="1:9" x14ac:dyDescent="0.2">
      <c r="A31" s="56"/>
    </row>
    <row r="32" spans="1:9" x14ac:dyDescent="0.2">
      <c r="A32" s="57" t="s">
        <v>93</v>
      </c>
      <c r="B32" s="58"/>
    </row>
    <row r="33" spans="1:17" hidden="1" x14ac:dyDescent="0.2">
      <c r="A33" s="59" t="s">
        <v>94</v>
      </c>
      <c r="B33" s="147" t="s">
        <v>417</v>
      </c>
      <c r="C33" s="60"/>
    </row>
    <row r="34" spans="1:17" x14ac:dyDescent="0.2">
      <c r="A34" s="61" t="s">
        <v>95</v>
      </c>
      <c r="B34" s="46" t="s">
        <v>400</v>
      </c>
    </row>
    <row r="35" spans="1:17" x14ac:dyDescent="0.2">
      <c r="A35" s="62" t="s">
        <v>96</v>
      </c>
      <c r="B35" s="146">
        <v>41083</v>
      </c>
    </row>
    <row r="36" spans="1:17" x14ac:dyDescent="0.2">
      <c r="A36" s="62" t="s">
        <v>97</v>
      </c>
      <c r="B36" s="146">
        <v>41134</v>
      </c>
    </row>
    <row r="37" spans="1:17" x14ac:dyDescent="0.2">
      <c r="A37" s="63" t="s">
        <v>98</v>
      </c>
      <c r="B37" s="46">
        <v>1126</v>
      </c>
    </row>
    <row r="38" spans="1:17" ht="267.75" x14ac:dyDescent="0.2">
      <c r="A38" s="63" t="s">
        <v>99</v>
      </c>
      <c r="B38" s="46" t="s">
        <v>415</v>
      </c>
    </row>
    <row r="39" spans="1:17" x14ac:dyDescent="0.2">
      <c r="A39" s="63" t="s">
        <v>100</v>
      </c>
      <c r="B39" s="46">
        <v>1</v>
      </c>
    </row>
    <row r="40" spans="1:17" x14ac:dyDescent="0.2">
      <c r="A40" s="64" t="s">
        <v>101</v>
      </c>
      <c r="B40" s="46"/>
    </row>
    <row r="41" spans="1:17" ht="51" x14ac:dyDescent="0.2">
      <c r="A41" s="64" t="s">
        <v>102</v>
      </c>
      <c r="B41" s="46" t="s">
        <v>394</v>
      </c>
    </row>
    <row r="42" spans="1:17" ht="25.5" x14ac:dyDescent="0.2">
      <c r="A42" s="63" t="s">
        <v>103</v>
      </c>
      <c r="B42" s="46" t="s">
        <v>418</v>
      </c>
    </row>
    <row r="43" spans="1:17" ht="25.5" x14ac:dyDescent="0.2">
      <c r="A43" s="63"/>
      <c r="B43" s="46" t="s">
        <v>1743</v>
      </c>
    </row>
    <row r="44" spans="1:17" ht="25.5" x14ac:dyDescent="0.2">
      <c r="A44" s="63"/>
      <c r="B44" s="46" t="s">
        <v>1744</v>
      </c>
    </row>
    <row r="45" spans="1:17" x14ac:dyDescent="0.2">
      <c r="A45" s="63"/>
      <c r="B45" s="46"/>
    </row>
    <row r="46" spans="1:17" x14ac:dyDescent="0.2">
      <c r="A46" s="132"/>
      <c r="I46" s="35" t="s">
        <v>104</v>
      </c>
    </row>
    <row r="47" spans="1:17" x14ac:dyDescent="0.2">
      <c r="A47" s="57" t="s">
        <v>105</v>
      </c>
    </row>
    <row r="48" spans="1:17" x14ac:dyDescent="0.2">
      <c r="A48" s="64" t="s">
        <v>409</v>
      </c>
      <c r="B48" s="131" t="s">
        <v>410</v>
      </c>
      <c r="C48" s="131" t="s">
        <v>411</v>
      </c>
      <c r="D48" s="131" t="s">
        <v>412</v>
      </c>
      <c r="E48" s="131" t="s">
        <v>413</v>
      </c>
      <c r="F48" s="131" t="s">
        <v>473</v>
      </c>
      <c r="G48" s="131" t="s">
        <v>473</v>
      </c>
      <c r="H48" s="131" t="s">
        <v>473</v>
      </c>
      <c r="I48" s="131" t="s">
        <v>473</v>
      </c>
      <c r="J48" s="38"/>
      <c r="K48" s="38"/>
      <c r="L48" s="38"/>
      <c r="M48" s="38"/>
      <c r="N48" s="38"/>
      <c r="O48" s="38"/>
      <c r="P48" s="38"/>
      <c r="Q48" s="38"/>
    </row>
    <row r="49" spans="1:19" ht="165.75" x14ac:dyDescent="0.2">
      <c r="A49" s="130" t="s">
        <v>106</v>
      </c>
      <c r="B49" s="142" t="s">
        <v>361</v>
      </c>
      <c r="C49" s="142" t="s">
        <v>362</v>
      </c>
      <c r="D49" s="142" t="s">
        <v>405</v>
      </c>
      <c r="E49" s="142" t="s">
        <v>406</v>
      </c>
      <c r="F49" s="142" t="str">
        <f>IF(ISNA(INDEX(Sites,MATCH(F48,Site_name,0),3)),"Enter Description", INDEX(Sites,MATCH(F48,Site_name,0),3))</f>
        <v>Enter Description</v>
      </c>
      <c r="G49" s="142" t="str">
        <f>IF(ISNA(INDEX(Sites,MATCH(G48,Site_name,0),3)),"Enter Description", INDEX(Sites,MATCH(G48,Site_name,0),3))</f>
        <v>Enter Description</v>
      </c>
      <c r="H49" s="142" t="str">
        <f>IF(ISNA(INDEX(Sites,MATCH(H48,Site_name,0),3)),"Enter Description", INDEX(Sites,MATCH(H48,Site_name,0),3))</f>
        <v>Enter Description</v>
      </c>
      <c r="I49" s="142" t="str">
        <f>IF(ISNA(INDEX(Sites,MATCH(I48,Site_name,0),3)),"Enter Description", INDEX(Sites,MATCH(I48,Site_name,0),3))</f>
        <v>Enter Description</v>
      </c>
      <c r="J49" s="38"/>
      <c r="K49" s="38"/>
      <c r="L49" s="38"/>
      <c r="M49" s="38"/>
      <c r="N49" s="38"/>
      <c r="O49" s="38"/>
    </row>
    <row r="50" spans="1:19" x14ac:dyDescent="0.2">
      <c r="A50" s="65" t="s">
        <v>107</v>
      </c>
      <c r="C50" s="32"/>
      <c r="D50" s="32"/>
      <c r="E50" s="32"/>
      <c r="F50" s="32"/>
      <c r="G50" s="32"/>
      <c r="H50" s="32"/>
      <c r="I50" s="32"/>
    </row>
    <row r="51" spans="1:19" x14ac:dyDescent="0.2">
      <c r="A51" s="66" t="s">
        <v>108</v>
      </c>
      <c r="B51" s="46"/>
      <c r="C51" s="46"/>
      <c r="D51" s="46"/>
      <c r="E51" s="46"/>
      <c r="F51" s="46"/>
      <c r="G51" s="46"/>
      <c r="H51" s="46"/>
      <c r="I51" s="46"/>
      <c r="J51" s="38"/>
      <c r="K51" s="38"/>
      <c r="L51" s="38"/>
      <c r="M51" s="38"/>
      <c r="N51" s="38"/>
      <c r="O51" s="38"/>
      <c r="P51" s="38"/>
      <c r="Q51" s="38"/>
      <c r="R51" s="38"/>
      <c r="S51" s="38"/>
    </row>
    <row r="52" spans="1:19" x14ac:dyDescent="0.2">
      <c r="A52" s="66" t="s">
        <v>109</v>
      </c>
      <c r="B52" s="143"/>
      <c r="C52" s="143"/>
      <c r="D52" s="143"/>
      <c r="E52" s="143"/>
      <c r="F52" s="143"/>
      <c r="G52" s="143"/>
      <c r="H52" s="143"/>
      <c r="I52" s="143"/>
      <c r="J52" s="38"/>
      <c r="K52" s="38"/>
      <c r="L52" s="38"/>
      <c r="M52" s="38"/>
      <c r="N52" s="38"/>
      <c r="O52" s="38"/>
      <c r="P52" s="38"/>
      <c r="Q52" s="38"/>
      <c r="R52" s="38"/>
      <c r="S52" s="38"/>
    </row>
    <row r="53" spans="1:19" x14ac:dyDescent="0.2">
      <c r="A53" s="66" t="s">
        <v>110</v>
      </c>
      <c r="B53" s="46"/>
      <c r="C53" s="46"/>
      <c r="D53" s="46"/>
      <c r="E53" s="46"/>
      <c r="F53" s="46"/>
      <c r="G53" s="46"/>
      <c r="H53" s="46"/>
      <c r="I53" s="46"/>
      <c r="J53" s="38"/>
      <c r="K53" s="38"/>
      <c r="L53" s="38"/>
      <c r="M53" s="38"/>
      <c r="N53" s="38"/>
      <c r="O53" s="38"/>
      <c r="P53" s="38"/>
      <c r="Q53" s="38"/>
      <c r="R53" s="38"/>
      <c r="S53" s="38"/>
    </row>
    <row r="54" spans="1:19" x14ac:dyDescent="0.2">
      <c r="A54" s="66" t="s">
        <v>111</v>
      </c>
      <c r="B54" s="144"/>
      <c r="C54" s="144"/>
      <c r="D54" s="144"/>
      <c r="E54" s="144"/>
      <c r="F54" s="144"/>
      <c r="G54" s="144"/>
      <c r="H54" s="144"/>
      <c r="I54" s="144"/>
      <c r="J54" s="38"/>
      <c r="K54" s="38"/>
      <c r="L54" s="38"/>
      <c r="M54" s="38"/>
      <c r="N54" s="38"/>
      <c r="O54" s="38"/>
      <c r="P54" s="38"/>
      <c r="Q54" s="38"/>
      <c r="R54" s="38"/>
      <c r="S54" s="38"/>
    </row>
    <row r="55" spans="1:19" x14ac:dyDescent="0.2">
      <c r="A55" s="67" t="s">
        <v>112</v>
      </c>
      <c r="B55" s="68"/>
      <c r="C55" s="68"/>
      <c r="D55" s="68"/>
      <c r="E55" s="68"/>
      <c r="F55" s="68"/>
      <c r="G55" s="68"/>
      <c r="H55" s="68"/>
      <c r="I55" s="68"/>
    </row>
    <row r="56" spans="1:19" x14ac:dyDescent="0.2">
      <c r="A56" s="64" t="s">
        <v>113</v>
      </c>
      <c r="B56" s="142">
        <v>68.638555555555499</v>
      </c>
      <c r="C56" s="142">
        <v>68.635583333333301</v>
      </c>
      <c r="D56" s="142">
        <v>68.627186111111101</v>
      </c>
      <c r="E56" s="142">
        <v>68.627241666666606</v>
      </c>
      <c r="F56" s="142" t="str">
        <f>IF(ISNA(INDEX(Sites,MATCH(F48,Site_name,0),4)),"In Decimal Degrees", INDEX(Sites,MATCH(F48,Site_name,0),4))</f>
        <v>In Decimal Degrees</v>
      </c>
      <c r="G56" s="142" t="str">
        <f>IF(ISNA(INDEX(Sites,MATCH(G48,Site_name,0),4)),"In Decimal Degrees", INDEX(Sites,MATCH(G48,Site_name,0),4))</f>
        <v>In Decimal Degrees</v>
      </c>
      <c r="H56" s="142" t="str">
        <f>IF(ISNA(INDEX(Sites,MATCH(H48,Site_name,0),4)),"In Decimal Degrees", INDEX(Sites,MATCH(H48,Site_name,0),4))</f>
        <v>In Decimal Degrees</v>
      </c>
      <c r="I56" s="142" t="str">
        <f>IF(ISNA(INDEX(Sites,MATCH(I48,Site_name,0),4)),"In Decimal Degrees", INDEX(Sites,MATCH(I48,Site_name,0),4))</f>
        <v>In Decimal Degrees</v>
      </c>
      <c r="J56" s="38"/>
      <c r="K56" s="38"/>
      <c r="L56" s="38"/>
      <c r="M56" s="38"/>
      <c r="N56" s="38"/>
      <c r="O56" s="38"/>
      <c r="P56" s="38"/>
      <c r="Q56" s="38"/>
    </row>
    <row r="57" spans="1:19" x14ac:dyDescent="0.2">
      <c r="A57" s="64" t="s">
        <v>114</v>
      </c>
      <c r="B57" s="142">
        <v>-149.56866666666599</v>
      </c>
      <c r="C57" s="142">
        <v>-149.588083333333</v>
      </c>
      <c r="D57" s="142">
        <v>-149.59846944444399</v>
      </c>
      <c r="E57" s="142">
        <v>-149.58542499999999</v>
      </c>
      <c r="F57" s="142" t="str">
        <f>IF(ISNA(INDEX(Sites,MATCH(F48,Site_name,0),5)),"In Decimal Degrees", INDEX(Sites,MATCH(F48,Site_name,0),5))</f>
        <v>In Decimal Degrees</v>
      </c>
      <c r="G57" s="142" t="str">
        <f>IF(ISNA(INDEX(Sites,MATCH(G48,Site_name,0),5)),"In Decimal Degrees", INDEX(Sites,MATCH(G48,Site_name,0),5))</f>
        <v>In Decimal Degrees</v>
      </c>
      <c r="H57" s="142" t="str">
        <f>IF(ISNA(INDEX(Sites,MATCH(H48,Site_name,0),5)),"In Decimal Degrees", INDEX(Sites,MATCH(H48,Site_name,0),5))</f>
        <v>In Decimal Degrees</v>
      </c>
      <c r="I57" s="142" t="str">
        <f>IF(ISNA(INDEX(Sites,MATCH(I48,Site_name,0),5)),"In Decimal Degrees", INDEX(Sites,MATCH(I48,Site_name,0),5))</f>
        <v>In Decimal Degrees</v>
      </c>
      <c r="J57" s="38"/>
      <c r="K57" s="38"/>
      <c r="L57" s="38"/>
      <c r="M57" s="38"/>
      <c r="N57" s="38"/>
      <c r="O57" s="38"/>
      <c r="P57" s="38"/>
      <c r="Q57" s="38"/>
    </row>
    <row r="58" spans="1:19" x14ac:dyDescent="0.2">
      <c r="A58" s="64" t="s">
        <v>115</v>
      </c>
      <c r="B58" s="142" t="s">
        <v>403</v>
      </c>
      <c r="C58" s="142" t="s">
        <v>404</v>
      </c>
      <c r="D58" s="142" t="s">
        <v>407</v>
      </c>
      <c r="E58" s="142" t="s">
        <v>408</v>
      </c>
      <c r="F58" s="142" t="str">
        <f>IF(ISNA(INDEX(Sites,MATCH(F48,Site_name,0),6)),"In Meters", INDEX(Sites,MATCH(F48,Site_name,0),6))</f>
        <v>In Meters</v>
      </c>
      <c r="G58" s="142" t="str">
        <f>IF(ISNA(INDEX(Sites,MATCH(G48,Site_name,0),6)),"In Meters", INDEX(Sites,MATCH(G48,Site_name,0),6))</f>
        <v>In Meters</v>
      </c>
      <c r="H58" s="142" t="str">
        <f>IF(ISNA(INDEX(Sites,MATCH(H48,Site_name,0),6)),"In Meters", INDEX(Sites,MATCH(H48,Site_name,0),6))</f>
        <v>In Meters</v>
      </c>
      <c r="I58" s="142" t="str">
        <f>IF(ISNA(INDEX(Sites,MATCH(I48,Site_name,0),6)),"In Meters", INDEX(Sites,MATCH(I48,Site_name,0),6))</f>
        <v>In Meters</v>
      </c>
      <c r="J58" s="38"/>
      <c r="K58" s="38"/>
      <c r="L58" s="38"/>
      <c r="M58" s="38"/>
      <c r="N58" s="38"/>
      <c r="O58" s="38"/>
      <c r="P58" s="38"/>
      <c r="Q58" s="38"/>
    </row>
    <row r="59" spans="1:19" x14ac:dyDescent="0.2">
      <c r="A59" s="64" t="s">
        <v>472</v>
      </c>
      <c r="B59" s="145" t="str">
        <f t="shared" ref="B59:I59" si="0">IF(ISNUMBER(B$56),HYPERLINK("http://maps.google.com/maps?q="&amp;B56&amp;","&amp;B57,"View on Google Map"),"")</f>
        <v>View on Google Map</v>
      </c>
      <c r="C59" s="145" t="str">
        <f t="shared" si="0"/>
        <v>View on Google Map</v>
      </c>
      <c r="D59" s="145" t="str">
        <f t="shared" si="0"/>
        <v>View on Google Map</v>
      </c>
      <c r="E59" s="145" t="str">
        <f t="shared" si="0"/>
        <v>View on Google Map</v>
      </c>
      <c r="F59" s="145" t="str">
        <f t="shared" si="0"/>
        <v/>
      </c>
      <c r="G59" s="145" t="str">
        <f t="shared" si="0"/>
        <v/>
      </c>
      <c r="H59" s="145" t="str">
        <f t="shared" si="0"/>
        <v/>
      </c>
      <c r="I59" s="145" t="str">
        <f t="shared" si="0"/>
        <v/>
      </c>
    </row>
    <row r="60" spans="1:19" x14ac:dyDescent="0.2">
      <c r="A60" s="69"/>
      <c r="B60" s="70"/>
      <c r="C60" s="70"/>
      <c r="D60" s="70"/>
    </row>
    <row r="61" spans="1:19" x14ac:dyDescent="0.2">
      <c r="A61" s="71" t="s">
        <v>116</v>
      </c>
      <c r="B61" s="70"/>
      <c r="C61" s="55"/>
    </row>
    <row r="62" spans="1:19" x14ac:dyDescent="0.2">
      <c r="A62" s="72" t="s">
        <v>117</v>
      </c>
      <c r="B62" s="46" t="s">
        <v>345</v>
      </c>
      <c r="C62" s="38" t="s">
        <v>118</v>
      </c>
    </row>
    <row r="63" spans="1:19" x14ac:dyDescent="0.2">
      <c r="A63" s="53"/>
    </row>
    <row r="64" spans="1:19" x14ac:dyDescent="0.2">
      <c r="A64" s="71" t="s">
        <v>119</v>
      </c>
    </row>
    <row r="65" spans="1:2" ht="38.25" x14ac:dyDescent="0.2">
      <c r="A65" s="73" t="s">
        <v>120</v>
      </c>
      <c r="B65" s="46" t="s">
        <v>401</v>
      </c>
    </row>
    <row r="66" spans="1:2" x14ac:dyDescent="0.2">
      <c r="A66" s="69"/>
      <c r="B66" s="70"/>
    </row>
    <row r="67" spans="1:2" s="43" customFormat="1" ht="15" x14ac:dyDescent="0.2">
      <c r="A67" s="42"/>
      <c r="B67" s="45"/>
    </row>
    <row r="68" spans="1:2" ht="15" x14ac:dyDescent="0.2">
      <c r="A68" s="74" t="s">
        <v>121</v>
      </c>
      <c r="B68" s="75"/>
    </row>
    <row r="69" spans="1:2" s="43" customFormat="1" x14ac:dyDescent="0.2">
      <c r="A69" s="76"/>
    </row>
    <row r="70" spans="1:2" s="43" customFormat="1" x14ac:dyDescent="0.2">
      <c r="A70" s="42"/>
      <c r="B70" s="77"/>
    </row>
    <row r="71" spans="1:2" s="43" customFormat="1" x14ac:dyDescent="0.2">
      <c r="A71" s="42"/>
    </row>
    <row r="72" spans="1:2" s="43" customFormat="1" x14ac:dyDescent="0.2">
      <c r="A72" s="42"/>
    </row>
    <row r="73" spans="1:2" s="43" customFormat="1" x14ac:dyDescent="0.2">
      <c r="A73" s="42"/>
    </row>
    <row r="74" spans="1:2" s="43" customFormat="1" x14ac:dyDescent="0.2">
      <c r="A74" s="42"/>
    </row>
    <row r="75" spans="1:2" s="43" customFormat="1" x14ac:dyDescent="0.2">
      <c r="A75" s="42"/>
    </row>
    <row r="76" spans="1:2" s="43" customFormat="1" x14ac:dyDescent="0.2">
      <c r="A76" s="42"/>
    </row>
    <row r="77" spans="1:2" s="43" customFormat="1" x14ac:dyDescent="0.2">
      <c r="A77" s="42"/>
    </row>
    <row r="78" spans="1:2" s="43" customFormat="1" x14ac:dyDescent="0.2">
      <c r="A78" s="42"/>
    </row>
    <row r="79" spans="1:2" s="43" customFormat="1" x14ac:dyDescent="0.2">
      <c r="A79" s="42"/>
    </row>
    <row r="80" spans="1:2" s="43" customFormat="1" x14ac:dyDescent="0.2">
      <c r="A80" s="42"/>
    </row>
    <row r="81" spans="1:10" s="43" customFormat="1" x14ac:dyDescent="0.2">
      <c r="A81" s="42"/>
    </row>
    <row r="82" spans="1:10" s="43" customFormat="1" x14ac:dyDescent="0.2">
      <c r="A82" s="42"/>
    </row>
    <row r="83" spans="1:10" s="43" customFormat="1" x14ac:dyDescent="0.2">
      <c r="A83" s="42"/>
    </row>
    <row r="84" spans="1:10" s="43" customFormat="1" x14ac:dyDescent="0.2">
      <c r="A84" s="42"/>
    </row>
    <row r="85" spans="1:10" s="43" customFormat="1" x14ac:dyDescent="0.2">
      <c r="A85" s="42"/>
    </row>
    <row r="86" spans="1:10" s="43" customFormat="1" x14ac:dyDescent="0.2">
      <c r="A86" s="42"/>
    </row>
    <row r="87" spans="1:10" s="43" customFormat="1" x14ac:dyDescent="0.2">
      <c r="A87" s="42"/>
    </row>
    <row r="88" spans="1:10" s="43" customFormat="1" x14ac:dyDescent="0.2">
      <c r="A88" s="42"/>
    </row>
    <row r="89" spans="1:10" s="43" customFormat="1" x14ac:dyDescent="0.2">
      <c r="A89" s="42"/>
    </row>
    <row r="90" spans="1:10" s="43" customFormat="1" x14ac:dyDescent="0.2">
      <c r="A90" s="42"/>
    </row>
    <row r="91" spans="1:10" s="43" customFormat="1" x14ac:dyDescent="0.2">
      <c r="A91" s="42"/>
    </row>
    <row r="92" spans="1:10" s="43" customFormat="1" x14ac:dyDescent="0.2">
      <c r="A92" s="42"/>
    </row>
    <row r="93" spans="1:10" s="43" customFormat="1" x14ac:dyDescent="0.2">
      <c r="A93" s="42"/>
      <c r="B93" s="44"/>
    </row>
    <row r="94" spans="1:10" s="43" customFormat="1" x14ac:dyDescent="0.2">
      <c r="A94" s="42"/>
      <c r="B94" s="44"/>
    </row>
    <row r="95" spans="1:10" s="43" customFormat="1" x14ac:dyDescent="0.2">
      <c r="A95" s="42"/>
      <c r="B95" s="44"/>
    </row>
    <row r="96" spans="1:10" s="79" customFormat="1" x14ac:dyDescent="0.2">
      <c r="A96" s="42"/>
      <c r="B96" s="44"/>
      <c r="C96" s="43"/>
      <c r="D96" s="43"/>
      <c r="E96" s="43"/>
      <c r="F96" s="43"/>
      <c r="G96" s="43"/>
      <c r="H96" s="43"/>
      <c r="I96" s="43"/>
      <c r="J96" s="78"/>
    </row>
    <row r="97" spans="1:2" s="43" customFormat="1" x14ac:dyDescent="0.2">
      <c r="A97" s="42"/>
      <c r="B97" s="44"/>
    </row>
    <row r="98" spans="1:2" s="43" customFormat="1" x14ac:dyDescent="0.2">
      <c r="A98" s="42"/>
      <c r="B98" s="44"/>
    </row>
    <row r="99" spans="1:2" s="43" customFormat="1" x14ac:dyDescent="0.2">
      <c r="A99" s="42"/>
      <c r="B99" s="44"/>
    </row>
    <row r="100" spans="1:2" s="43" customFormat="1" x14ac:dyDescent="0.2">
      <c r="A100" s="42"/>
      <c r="B100" s="44"/>
    </row>
    <row r="101" spans="1:2" s="43" customFormat="1" x14ac:dyDescent="0.2">
      <c r="A101" s="42"/>
      <c r="B101" s="44"/>
    </row>
    <row r="102" spans="1:2" s="43" customFormat="1" x14ac:dyDescent="0.2">
      <c r="A102" s="42"/>
      <c r="B102" s="44"/>
    </row>
    <row r="103" spans="1:2" s="43" customFormat="1" x14ac:dyDescent="0.2">
      <c r="A103" s="42"/>
      <c r="B103" s="44"/>
    </row>
    <row r="104" spans="1:2" s="43" customFormat="1" x14ac:dyDescent="0.2">
      <c r="A104" s="42"/>
      <c r="B104" s="44"/>
    </row>
    <row r="105" spans="1:2" s="43" customFormat="1" x14ac:dyDescent="0.2">
      <c r="A105" s="42"/>
      <c r="B105" s="44"/>
    </row>
    <row r="106" spans="1:2" s="43" customFormat="1" x14ac:dyDescent="0.2">
      <c r="A106" s="42"/>
      <c r="B106" s="44"/>
    </row>
    <row r="107" spans="1:2" s="43" customFormat="1" x14ac:dyDescent="0.2">
      <c r="A107" s="42"/>
      <c r="B107" s="44"/>
    </row>
    <row r="108" spans="1:2" s="43" customFormat="1" x14ac:dyDescent="0.2">
      <c r="A108" s="42"/>
      <c r="B108" s="44"/>
    </row>
    <row r="109" spans="1:2" s="43" customFormat="1" x14ac:dyDescent="0.2">
      <c r="A109" s="42"/>
      <c r="B109" s="44"/>
    </row>
    <row r="110" spans="1:2" s="43" customFormat="1" x14ac:dyDescent="0.2">
      <c r="A110" s="42"/>
      <c r="B110" s="44"/>
    </row>
    <row r="111" spans="1:2" s="43" customFormat="1" x14ac:dyDescent="0.2">
      <c r="A111" s="42"/>
      <c r="B111" s="44"/>
    </row>
    <row r="112" spans="1:2" s="43" customFormat="1" x14ac:dyDescent="0.2">
      <c r="A112" s="42"/>
      <c r="B112" s="44"/>
    </row>
    <row r="113" spans="1:2" s="43" customFormat="1" x14ac:dyDescent="0.2">
      <c r="A113" s="42"/>
      <c r="B113" s="44"/>
    </row>
    <row r="114" spans="1:2" s="43" customFormat="1" x14ac:dyDescent="0.2">
      <c r="A114" s="42"/>
      <c r="B114" s="44"/>
    </row>
    <row r="115" spans="1:2" s="43" customFormat="1" x14ac:dyDescent="0.2">
      <c r="A115" s="42"/>
      <c r="B115" s="44"/>
    </row>
    <row r="116" spans="1:2" s="43" customFormat="1" x14ac:dyDescent="0.2">
      <c r="A116" s="42"/>
      <c r="B116" s="44"/>
    </row>
    <row r="117" spans="1:2" s="43" customFormat="1" x14ac:dyDescent="0.2">
      <c r="A117" s="42"/>
      <c r="B117" s="44"/>
    </row>
    <row r="118" spans="1:2" s="43" customFormat="1" x14ac:dyDescent="0.2">
      <c r="A118" s="42"/>
      <c r="B118" s="44"/>
    </row>
    <row r="119" spans="1:2" s="43" customFormat="1" x14ac:dyDescent="0.2">
      <c r="A119" s="42"/>
      <c r="B119" s="44"/>
    </row>
    <row r="120" spans="1:2" s="43" customFormat="1" x14ac:dyDescent="0.2">
      <c r="A120" s="42"/>
      <c r="B120" s="44"/>
    </row>
    <row r="121" spans="1:2" s="43" customFormat="1" x14ac:dyDescent="0.2">
      <c r="A121" s="42"/>
      <c r="B121" s="44"/>
    </row>
    <row r="122" spans="1:2" s="43" customFormat="1" x14ac:dyDescent="0.2">
      <c r="A122" s="42"/>
      <c r="B122" s="44"/>
    </row>
    <row r="123" spans="1:2" s="43" customFormat="1" x14ac:dyDescent="0.2">
      <c r="A123" s="42"/>
      <c r="B123" s="44"/>
    </row>
    <row r="124" spans="1:2" s="43" customFormat="1" x14ac:dyDescent="0.2">
      <c r="A124" s="42"/>
      <c r="B124" s="44"/>
    </row>
    <row r="125" spans="1:2" s="43" customFormat="1" x14ac:dyDescent="0.2">
      <c r="A125" s="42"/>
      <c r="B125" s="44"/>
    </row>
    <row r="126" spans="1:2" s="43" customFormat="1" x14ac:dyDescent="0.2">
      <c r="A126" s="42"/>
      <c r="B126" s="44"/>
    </row>
    <row r="127" spans="1:2" s="43" customFormat="1" x14ac:dyDescent="0.2">
      <c r="A127" s="42"/>
      <c r="B127" s="44"/>
    </row>
    <row r="128" spans="1:2" s="43" customFormat="1" x14ac:dyDescent="0.2">
      <c r="A128" s="42"/>
      <c r="B128" s="44"/>
    </row>
    <row r="129" spans="1:2" s="43" customFormat="1" x14ac:dyDescent="0.2">
      <c r="A129" s="42"/>
      <c r="B129" s="44"/>
    </row>
    <row r="130" spans="1:2" s="43" customFormat="1" x14ac:dyDescent="0.2">
      <c r="A130" s="42"/>
      <c r="B130" s="44"/>
    </row>
    <row r="131" spans="1:2" s="43" customFormat="1" x14ac:dyDescent="0.2">
      <c r="A131" s="42"/>
      <c r="B131" s="44"/>
    </row>
    <row r="132" spans="1:2" s="43" customFormat="1" x14ac:dyDescent="0.2">
      <c r="A132" s="42"/>
      <c r="B132" s="44"/>
    </row>
    <row r="133" spans="1:2" s="43" customFormat="1" x14ac:dyDescent="0.2">
      <c r="A133" s="42"/>
      <c r="B133" s="44"/>
    </row>
    <row r="134" spans="1:2" s="43" customFormat="1" x14ac:dyDescent="0.2">
      <c r="A134" s="42"/>
      <c r="B134" s="44"/>
    </row>
    <row r="135" spans="1:2" s="43" customFormat="1" x14ac:dyDescent="0.2">
      <c r="A135" s="42"/>
      <c r="B135" s="44"/>
    </row>
    <row r="136" spans="1:2" s="43" customFormat="1" x14ac:dyDescent="0.2">
      <c r="A136" s="42"/>
      <c r="B136" s="44"/>
    </row>
    <row r="137" spans="1:2" s="43" customFormat="1" x14ac:dyDescent="0.2">
      <c r="A137" s="42"/>
      <c r="B137" s="44"/>
    </row>
    <row r="138" spans="1:2" s="43" customFormat="1" x14ac:dyDescent="0.2">
      <c r="A138" s="42"/>
      <c r="B138" s="44"/>
    </row>
    <row r="139" spans="1:2" s="43" customFormat="1" x14ac:dyDescent="0.2">
      <c r="A139" s="42"/>
      <c r="B139" s="44"/>
    </row>
    <row r="140" spans="1:2" s="43" customFormat="1" x14ac:dyDescent="0.2">
      <c r="A140" s="42"/>
      <c r="B140" s="44"/>
    </row>
    <row r="141" spans="1:2" s="43" customFormat="1" x14ac:dyDescent="0.2">
      <c r="A141" s="42"/>
      <c r="B141" s="44"/>
    </row>
    <row r="142" spans="1:2" s="43" customFormat="1" x14ac:dyDescent="0.2">
      <c r="A142" s="42"/>
      <c r="B142" s="44"/>
    </row>
    <row r="143" spans="1:2" s="43" customFormat="1" x14ac:dyDescent="0.2">
      <c r="A143" s="42"/>
      <c r="B143" s="44"/>
    </row>
    <row r="144" spans="1:2" s="43" customFormat="1" x14ac:dyDescent="0.2">
      <c r="A144" s="42"/>
      <c r="B144" s="44"/>
    </row>
    <row r="145" spans="1:2" s="43" customFormat="1" x14ac:dyDescent="0.2">
      <c r="A145" s="42"/>
      <c r="B145" s="44"/>
    </row>
    <row r="146" spans="1:2" s="43" customFormat="1" x14ac:dyDescent="0.2">
      <c r="A146" s="42"/>
      <c r="B146" s="44"/>
    </row>
    <row r="147" spans="1:2" s="43" customFormat="1" x14ac:dyDescent="0.2">
      <c r="A147" s="42"/>
      <c r="B147" s="44"/>
    </row>
    <row r="148" spans="1:2" s="43" customFormat="1" x14ac:dyDescent="0.2">
      <c r="A148" s="42"/>
      <c r="B148" s="44"/>
    </row>
    <row r="149" spans="1:2" s="43" customFormat="1" x14ac:dyDescent="0.2">
      <c r="A149" s="42"/>
      <c r="B149" s="44"/>
    </row>
    <row r="150" spans="1:2" s="43" customFormat="1" x14ac:dyDescent="0.2">
      <c r="A150" s="42"/>
      <c r="B150" s="44"/>
    </row>
    <row r="151" spans="1:2" s="43" customFormat="1" x14ac:dyDescent="0.2">
      <c r="A151" s="42"/>
      <c r="B151" s="44"/>
    </row>
    <row r="152" spans="1:2" s="43" customFormat="1" x14ac:dyDescent="0.2">
      <c r="A152" s="42"/>
      <c r="B152" s="44"/>
    </row>
    <row r="153" spans="1:2" s="43" customFormat="1" x14ac:dyDescent="0.2">
      <c r="A153" s="42"/>
      <c r="B153" s="44"/>
    </row>
    <row r="154" spans="1:2" s="43" customFormat="1" x14ac:dyDescent="0.2">
      <c r="A154" s="42"/>
      <c r="B154" s="44"/>
    </row>
    <row r="155" spans="1:2" s="43" customFormat="1" x14ac:dyDescent="0.2">
      <c r="A155" s="42"/>
      <c r="B155" s="44"/>
    </row>
    <row r="156" spans="1:2" s="43" customFormat="1" x14ac:dyDescent="0.2">
      <c r="A156" s="42"/>
      <c r="B156" s="44"/>
    </row>
    <row r="157" spans="1:2" s="43" customFormat="1" x14ac:dyDescent="0.2">
      <c r="A157" s="42"/>
      <c r="B157" s="44"/>
    </row>
    <row r="158" spans="1:2" s="43" customFormat="1" x14ac:dyDescent="0.2">
      <c r="A158" s="42"/>
      <c r="B158" s="44"/>
    </row>
    <row r="159" spans="1:2" s="43" customFormat="1" x14ac:dyDescent="0.2">
      <c r="A159" s="42"/>
      <c r="B159" s="44"/>
    </row>
    <row r="160" spans="1:2" s="43" customFormat="1" x14ac:dyDescent="0.2">
      <c r="A160" s="42"/>
      <c r="B160" s="44"/>
    </row>
    <row r="161" spans="1:2" s="43" customFormat="1" x14ac:dyDescent="0.2">
      <c r="A161" s="42"/>
      <c r="B161" s="44"/>
    </row>
    <row r="162" spans="1:2" s="43" customFormat="1" x14ac:dyDescent="0.2">
      <c r="A162" s="42"/>
      <c r="B162" s="44"/>
    </row>
    <row r="163" spans="1:2" s="43" customFormat="1" x14ac:dyDescent="0.2">
      <c r="A163" s="42"/>
      <c r="B163" s="44"/>
    </row>
    <row r="164" spans="1:2" s="43" customFormat="1" x14ac:dyDescent="0.2">
      <c r="A164" s="42"/>
      <c r="B164" s="44"/>
    </row>
    <row r="165" spans="1:2" s="43" customFormat="1" x14ac:dyDescent="0.2">
      <c r="A165" s="42"/>
      <c r="B165" s="44"/>
    </row>
    <row r="166" spans="1:2" s="43" customFormat="1" x14ac:dyDescent="0.2">
      <c r="A166" s="42"/>
      <c r="B166" s="44"/>
    </row>
    <row r="167" spans="1:2" s="43" customFormat="1" x14ac:dyDescent="0.2">
      <c r="A167" s="42"/>
      <c r="B167" s="44"/>
    </row>
    <row r="168" spans="1:2" s="43" customFormat="1" x14ac:dyDescent="0.2">
      <c r="A168" s="42"/>
      <c r="B168" s="44"/>
    </row>
    <row r="169" spans="1:2" s="43" customFormat="1" x14ac:dyDescent="0.2">
      <c r="A169" s="42"/>
      <c r="B169" s="44"/>
    </row>
    <row r="170" spans="1:2" s="43" customFormat="1" x14ac:dyDescent="0.2">
      <c r="A170" s="42"/>
      <c r="B170" s="44"/>
    </row>
    <row r="171" spans="1:2" s="43" customFormat="1" x14ac:dyDescent="0.2">
      <c r="A171" s="42"/>
      <c r="B171" s="44"/>
    </row>
    <row r="172" spans="1:2" s="43" customFormat="1" x14ac:dyDescent="0.2">
      <c r="A172" s="42"/>
      <c r="B172" s="44"/>
    </row>
    <row r="173" spans="1:2" s="43" customFormat="1" x14ac:dyDescent="0.2">
      <c r="A173" s="42"/>
      <c r="B173" s="44"/>
    </row>
    <row r="174" spans="1:2" s="43" customFormat="1" x14ac:dyDescent="0.2">
      <c r="A174" s="42"/>
      <c r="B174" s="44"/>
    </row>
    <row r="175" spans="1:2" s="43" customFormat="1" x14ac:dyDescent="0.2">
      <c r="A175" s="42"/>
      <c r="B175" s="44"/>
    </row>
    <row r="176" spans="1:2" s="43" customFormat="1" x14ac:dyDescent="0.2">
      <c r="A176" s="42"/>
      <c r="B176" s="44"/>
    </row>
    <row r="177" spans="1:2" s="43" customFormat="1" x14ac:dyDescent="0.2">
      <c r="A177" s="42"/>
      <c r="B177" s="44"/>
    </row>
    <row r="178" spans="1:2" s="43" customFormat="1" x14ac:dyDescent="0.2">
      <c r="A178" s="42"/>
      <c r="B178" s="44"/>
    </row>
    <row r="179" spans="1:2" s="43" customFormat="1" x14ac:dyDescent="0.2">
      <c r="A179" s="42"/>
      <c r="B179" s="44"/>
    </row>
    <row r="180" spans="1:2" s="43" customFormat="1" x14ac:dyDescent="0.2">
      <c r="A180" s="42"/>
      <c r="B180" s="44"/>
    </row>
    <row r="181" spans="1:2" s="43" customFormat="1" x14ac:dyDescent="0.2">
      <c r="A181" s="42"/>
      <c r="B181" s="44"/>
    </row>
    <row r="182" spans="1:2" s="43" customFormat="1" x14ac:dyDescent="0.2">
      <c r="A182" s="42"/>
      <c r="B182" s="44"/>
    </row>
    <row r="183" spans="1:2" s="43" customFormat="1" x14ac:dyDescent="0.2">
      <c r="A183" s="42"/>
      <c r="B183" s="44"/>
    </row>
    <row r="184" spans="1:2" s="43" customFormat="1" x14ac:dyDescent="0.2">
      <c r="A184" s="42"/>
      <c r="B184" s="44"/>
    </row>
    <row r="185" spans="1:2" s="43" customFormat="1" x14ac:dyDescent="0.2">
      <c r="A185" s="42"/>
      <c r="B185" s="44"/>
    </row>
    <row r="186" spans="1:2" s="43" customFormat="1" x14ac:dyDescent="0.2">
      <c r="A186" s="42"/>
      <c r="B186" s="44"/>
    </row>
    <row r="187" spans="1:2" s="43" customFormat="1" x14ac:dyDescent="0.2">
      <c r="A187" s="42"/>
      <c r="B187" s="44"/>
    </row>
    <row r="188" spans="1:2" s="43" customFormat="1" x14ac:dyDescent="0.2">
      <c r="A188" s="42"/>
      <c r="B188" s="44"/>
    </row>
    <row r="189" spans="1:2" s="43" customFormat="1" x14ac:dyDescent="0.2">
      <c r="A189" s="42"/>
      <c r="B189" s="44"/>
    </row>
    <row r="190" spans="1:2" s="43" customFormat="1" x14ac:dyDescent="0.2">
      <c r="A190" s="42"/>
      <c r="B190" s="44"/>
    </row>
    <row r="191" spans="1:2" s="43" customFormat="1" x14ac:dyDescent="0.2">
      <c r="A191" s="42"/>
      <c r="B191" s="44"/>
    </row>
    <row r="192" spans="1:2" s="43" customFormat="1" x14ac:dyDescent="0.2">
      <c r="A192" s="42"/>
      <c r="B192" s="44"/>
    </row>
    <row r="193" spans="1:2" s="43" customFormat="1" x14ac:dyDescent="0.2">
      <c r="A193" s="42"/>
      <c r="B193" s="44"/>
    </row>
    <row r="194" spans="1:2" s="43" customFormat="1" x14ac:dyDescent="0.2">
      <c r="A194" s="42"/>
      <c r="B194" s="44"/>
    </row>
    <row r="195" spans="1:2" s="43" customFormat="1" x14ac:dyDescent="0.2">
      <c r="A195" s="42"/>
      <c r="B195" s="44"/>
    </row>
    <row r="196" spans="1:2" s="43" customFormat="1" x14ac:dyDescent="0.2">
      <c r="A196" s="42"/>
      <c r="B196" s="44"/>
    </row>
    <row r="197" spans="1:2" s="43" customFormat="1" x14ac:dyDescent="0.2">
      <c r="A197" s="42"/>
      <c r="B197" s="44"/>
    </row>
    <row r="198" spans="1:2" s="43" customFormat="1" x14ac:dyDescent="0.2">
      <c r="A198" s="42"/>
      <c r="B198" s="44"/>
    </row>
    <row r="199" spans="1:2" s="43" customFormat="1" x14ac:dyDescent="0.2">
      <c r="A199" s="42"/>
      <c r="B199" s="44"/>
    </row>
    <row r="200" spans="1:2" s="43" customFormat="1" x14ac:dyDescent="0.2">
      <c r="A200" s="42"/>
      <c r="B200" s="44"/>
    </row>
    <row r="201" spans="1:2" s="43" customFormat="1" x14ac:dyDescent="0.2">
      <c r="A201" s="42"/>
      <c r="B201" s="44"/>
    </row>
    <row r="202" spans="1:2" s="43" customFormat="1" x14ac:dyDescent="0.2">
      <c r="A202" s="42"/>
      <c r="B202" s="44"/>
    </row>
    <row r="203" spans="1:2" s="43" customFormat="1" x14ac:dyDescent="0.2">
      <c r="A203" s="42"/>
      <c r="B203" s="44"/>
    </row>
    <row r="204" spans="1:2" s="43" customFormat="1" x14ac:dyDescent="0.2">
      <c r="A204" s="42"/>
      <c r="B204" s="44"/>
    </row>
    <row r="205" spans="1:2" s="43" customFormat="1" x14ac:dyDescent="0.2">
      <c r="A205" s="42"/>
      <c r="B205" s="44"/>
    </row>
    <row r="206" spans="1:2" s="43" customFormat="1" x14ac:dyDescent="0.2">
      <c r="A206" s="42"/>
      <c r="B206" s="129"/>
    </row>
    <row r="207" spans="1:2" s="43" customFormat="1" ht="13.5" thickBot="1" x14ac:dyDescent="0.25">
      <c r="A207" s="42"/>
      <c r="B207" s="44"/>
    </row>
    <row r="208" spans="1:2" s="43" customFormat="1" ht="13.5" thickBot="1" x14ac:dyDescent="0.25">
      <c r="A208" s="80" t="s">
        <v>122</v>
      </c>
      <c r="B208" s="81"/>
    </row>
    <row r="209" spans="1:14" s="43" customFormat="1" x14ac:dyDescent="0.2">
      <c r="A209" s="82" t="s">
        <v>123</v>
      </c>
      <c r="B209" s="83"/>
      <c r="C209" s="84"/>
    </row>
    <row r="210" spans="1:14" s="43" customFormat="1" x14ac:dyDescent="0.2">
      <c r="A210" s="85" t="s">
        <v>124</v>
      </c>
      <c r="B210" s="86"/>
      <c r="C210" s="87"/>
    </row>
    <row r="211" spans="1:14" s="43" customFormat="1" x14ac:dyDescent="0.2">
      <c r="A211" s="88" t="s">
        <v>125</v>
      </c>
      <c r="B211" s="32"/>
    </row>
    <row r="212" spans="1:14" s="43" customFormat="1" x14ac:dyDescent="0.2">
      <c r="A212" s="89" t="s">
        <v>126</v>
      </c>
      <c r="B212" s="32"/>
    </row>
    <row r="213" spans="1:14" s="43" customFormat="1" x14ac:dyDescent="0.2">
      <c r="A213" s="88"/>
      <c r="B213" s="32"/>
    </row>
    <row r="214" spans="1:14" s="43" customFormat="1" x14ac:dyDescent="0.2">
      <c r="A214" s="88"/>
      <c r="B214" s="32"/>
    </row>
    <row r="215" spans="1:14" s="43" customFormat="1" x14ac:dyDescent="0.2">
      <c r="A215" s="88"/>
      <c r="B215" s="32"/>
    </row>
    <row r="216" spans="1:14" x14ac:dyDescent="0.2">
      <c r="A216" s="42"/>
      <c r="C216" s="69"/>
      <c r="D216" s="70"/>
    </row>
    <row r="217" spans="1:14" x14ac:dyDescent="0.2">
      <c r="A217" s="42"/>
      <c r="C217" s="69"/>
      <c r="D217" s="70"/>
    </row>
    <row r="218" spans="1:14" x14ac:dyDescent="0.2">
      <c r="A218" s="42"/>
      <c r="C218" s="69"/>
      <c r="D218" s="70"/>
    </row>
    <row r="219" spans="1:14" x14ac:dyDescent="0.2">
      <c r="A219" s="74" t="s">
        <v>127</v>
      </c>
      <c r="K219" s="90" t="s">
        <v>128</v>
      </c>
    </row>
    <row r="220" spans="1:14" ht="28.15" customHeight="1" x14ac:dyDescent="0.2">
      <c r="A220" s="91" t="s">
        <v>129</v>
      </c>
      <c r="B220" s="91" t="s">
        <v>130</v>
      </c>
      <c r="C220" s="91" t="s">
        <v>131</v>
      </c>
      <c r="D220" s="92" t="s">
        <v>132</v>
      </c>
      <c r="E220" s="91" t="s">
        <v>133</v>
      </c>
      <c r="F220" s="91" t="s">
        <v>134</v>
      </c>
      <c r="G220" s="91" t="s">
        <v>135</v>
      </c>
      <c r="H220" s="93"/>
      <c r="I220" s="93"/>
      <c r="K220" s="94" t="s">
        <v>82</v>
      </c>
      <c r="L220" s="94" t="s">
        <v>136</v>
      </c>
      <c r="M220" s="94" t="s">
        <v>137</v>
      </c>
      <c r="N220" s="94" t="s">
        <v>138</v>
      </c>
    </row>
    <row r="221" spans="1:14" x14ac:dyDescent="0.2">
      <c r="A221" s="95" t="s">
        <v>346</v>
      </c>
      <c r="B221" s="96" t="s">
        <v>347</v>
      </c>
      <c r="C221" s="96" t="s">
        <v>140</v>
      </c>
      <c r="D221" s="96"/>
      <c r="E221" s="96" t="s">
        <v>356</v>
      </c>
      <c r="F221" s="96"/>
      <c r="G221" s="96"/>
      <c r="H221" s="96"/>
      <c r="I221" s="96"/>
      <c r="L221" s="35" t="s">
        <v>57</v>
      </c>
      <c r="M221" s="128"/>
    </row>
    <row r="222" spans="1:14" x14ac:dyDescent="0.2">
      <c r="A222" s="95" t="s">
        <v>54</v>
      </c>
      <c r="B222" s="96" t="s">
        <v>364</v>
      </c>
      <c r="C222" s="96" t="s">
        <v>140</v>
      </c>
      <c r="D222" s="96"/>
      <c r="E222" s="96" t="s">
        <v>40</v>
      </c>
      <c r="F222" s="96"/>
      <c r="G222" s="96"/>
      <c r="H222" s="96"/>
      <c r="I222" s="96"/>
      <c r="K222" s="35" t="s">
        <v>139</v>
      </c>
      <c r="L222" s="35" t="s">
        <v>140</v>
      </c>
      <c r="M222" s="35" t="s">
        <v>141</v>
      </c>
      <c r="N222" s="35" t="s">
        <v>142</v>
      </c>
    </row>
    <row r="223" spans="1:14" x14ac:dyDescent="0.2">
      <c r="A223" s="95" t="s">
        <v>349</v>
      </c>
      <c r="B223" s="96" t="s">
        <v>357</v>
      </c>
      <c r="C223" s="96" t="s">
        <v>141</v>
      </c>
      <c r="D223" s="96" t="s">
        <v>348</v>
      </c>
      <c r="E223" s="96"/>
      <c r="F223" s="96"/>
      <c r="G223" s="96"/>
      <c r="H223" s="96"/>
      <c r="I223" s="96"/>
      <c r="K223" s="35" t="s">
        <v>143</v>
      </c>
      <c r="L223" s="35" t="s">
        <v>144</v>
      </c>
      <c r="M223" s="35" t="s">
        <v>145</v>
      </c>
      <c r="N223" s="35" t="s">
        <v>146</v>
      </c>
    </row>
    <row r="224" spans="1:14" ht="38.25" x14ac:dyDescent="0.2">
      <c r="A224" s="95" t="s">
        <v>358</v>
      </c>
      <c r="B224" s="96" t="s">
        <v>359</v>
      </c>
      <c r="C224" s="96" t="s">
        <v>141</v>
      </c>
      <c r="D224" s="96" t="s">
        <v>57</v>
      </c>
      <c r="E224" s="96"/>
      <c r="F224" s="96"/>
      <c r="G224" s="96"/>
      <c r="H224" s="96"/>
      <c r="I224" s="96"/>
      <c r="K224" s="35" t="s">
        <v>147</v>
      </c>
      <c r="L224" s="35" t="s">
        <v>148</v>
      </c>
      <c r="M224" s="35" t="s">
        <v>140</v>
      </c>
      <c r="N224" s="35" t="s">
        <v>149</v>
      </c>
    </row>
    <row r="225" spans="1:14" x14ac:dyDescent="0.2">
      <c r="A225" s="95" t="s">
        <v>350</v>
      </c>
      <c r="B225" s="96" t="s">
        <v>351</v>
      </c>
      <c r="C225" s="96" t="s">
        <v>141</v>
      </c>
      <c r="D225" s="96"/>
      <c r="E225" s="96"/>
      <c r="F225" s="96"/>
      <c r="G225" s="96"/>
      <c r="H225" s="96"/>
      <c r="I225" s="96"/>
      <c r="K225" s="35" t="s">
        <v>150</v>
      </c>
      <c r="L225" s="35" t="s">
        <v>151</v>
      </c>
      <c r="N225" s="35" t="s">
        <v>152</v>
      </c>
    </row>
    <row r="226" spans="1:14" x14ac:dyDescent="0.2">
      <c r="A226" s="95" t="s">
        <v>352</v>
      </c>
      <c r="B226" s="96" t="s">
        <v>360</v>
      </c>
      <c r="C226" s="96" t="s">
        <v>141</v>
      </c>
      <c r="D226" s="96" t="s">
        <v>348</v>
      </c>
      <c r="E226" s="96"/>
      <c r="F226" s="96"/>
      <c r="G226" s="96"/>
      <c r="H226" s="96"/>
      <c r="I226" s="96"/>
      <c r="K226" s="35" t="s">
        <v>153</v>
      </c>
      <c r="L226" s="35" t="s">
        <v>154</v>
      </c>
      <c r="N226" s="35" t="s">
        <v>155</v>
      </c>
    </row>
    <row r="227" spans="1:14" ht="25.5" x14ac:dyDescent="0.2">
      <c r="A227" s="95" t="s">
        <v>365</v>
      </c>
      <c r="B227" s="96" t="s">
        <v>366</v>
      </c>
      <c r="C227" s="96" t="s">
        <v>141</v>
      </c>
      <c r="D227" s="96"/>
      <c r="E227" s="96"/>
      <c r="F227" s="96"/>
      <c r="G227" s="96"/>
      <c r="H227" s="96"/>
      <c r="I227" s="96"/>
      <c r="N227" s="35" t="s">
        <v>156</v>
      </c>
    </row>
    <row r="228" spans="1:14" x14ac:dyDescent="0.2">
      <c r="A228" s="95" t="s">
        <v>353</v>
      </c>
      <c r="B228" s="96" t="s">
        <v>354</v>
      </c>
      <c r="C228" s="96" t="s">
        <v>141</v>
      </c>
      <c r="D228" s="96"/>
      <c r="E228" s="96"/>
      <c r="F228" s="96"/>
      <c r="G228" s="96"/>
      <c r="H228" s="96"/>
      <c r="I228" s="96"/>
      <c r="N228" s="35" t="s">
        <v>157</v>
      </c>
    </row>
    <row r="229" spans="1:14" x14ac:dyDescent="0.2">
      <c r="A229" s="95" t="s">
        <v>56</v>
      </c>
      <c r="B229" s="96" t="s">
        <v>355</v>
      </c>
      <c r="C229" s="96" t="s">
        <v>141</v>
      </c>
      <c r="D229" s="96"/>
      <c r="E229" s="96"/>
      <c r="F229" s="96"/>
      <c r="G229" s="96"/>
      <c r="H229" s="96"/>
      <c r="I229" s="96"/>
      <c r="N229" s="35" t="s">
        <v>158</v>
      </c>
    </row>
    <row r="230" spans="1:14" x14ac:dyDescent="0.2">
      <c r="A230" s="95" t="s">
        <v>363</v>
      </c>
      <c r="B230" s="96" t="s">
        <v>380</v>
      </c>
      <c r="C230" s="96" t="s">
        <v>140</v>
      </c>
      <c r="D230" s="96"/>
      <c r="E230" s="96" t="s">
        <v>381</v>
      </c>
      <c r="F230" s="96"/>
      <c r="G230" s="96"/>
      <c r="H230" s="96"/>
      <c r="I230" s="96"/>
      <c r="N230" s="35" t="s">
        <v>159</v>
      </c>
    </row>
    <row r="231" spans="1:14" ht="25.5" x14ac:dyDescent="0.2">
      <c r="A231" s="95" t="s">
        <v>367</v>
      </c>
      <c r="B231" s="96" t="s">
        <v>397</v>
      </c>
      <c r="C231" s="96" t="s">
        <v>145</v>
      </c>
      <c r="D231" s="96" t="s">
        <v>243</v>
      </c>
      <c r="E231" s="96"/>
      <c r="F231" s="96"/>
      <c r="G231" s="96" t="s">
        <v>1742</v>
      </c>
      <c r="H231" s="96"/>
      <c r="I231" s="96"/>
      <c r="N231" s="35" t="s">
        <v>160</v>
      </c>
    </row>
    <row r="232" spans="1:14" ht="25.5" x14ac:dyDescent="0.2">
      <c r="A232" s="95" t="s">
        <v>368</v>
      </c>
      <c r="B232" s="96" t="s">
        <v>398</v>
      </c>
      <c r="C232" s="96" t="s">
        <v>145</v>
      </c>
      <c r="D232" s="96" t="s">
        <v>241</v>
      </c>
      <c r="E232" s="96"/>
      <c r="F232" s="96"/>
      <c r="G232" s="96" t="s">
        <v>1742</v>
      </c>
      <c r="H232" s="96"/>
      <c r="I232" s="96"/>
      <c r="N232" s="35" t="s">
        <v>161</v>
      </c>
    </row>
    <row r="233" spans="1:14" ht="25.5" x14ac:dyDescent="0.2">
      <c r="A233" s="95" t="s">
        <v>369</v>
      </c>
      <c r="B233" s="96" t="s">
        <v>399</v>
      </c>
      <c r="C233" s="96" t="s">
        <v>145</v>
      </c>
      <c r="D233" s="96" t="s">
        <v>241</v>
      </c>
      <c r="E233" s="96"/>
      <c r="F233" s="96"/>
      <c r="G233" s="96" t="s">
        <v>1742</v>
      </c>
      <c r="H233" s="96"/>
      <c r="I233" s="96"/>
      <c r="N233" s="35" t="s">
        <v>162</v>
      </c>
    </row>
    <row r="234" spans="1:14" ht="25.5" x14ac:dyDescent="0.2">
      <c r="A234" s="95" t="s">
        <v>370</v>
      </c>
      <c r="B234" s="96" t="s">
        <v>395</v>
      </c>
      <c r="C234" s="96" t="s">
        <v>145</v>
      </c>
      <c r="D234" s="96" t="s">
        <v>243</v>
      </c>
      <c r="E234" s="96"/>
      <c r="F234" s="96"/>
      <c r="G234" s="96" t="s">
        <v>1742</v>
      </c>
      <c r="H234" s="96"/>
      <c r="I234" s="96"/>
      <c r="N234" s="35" t="s">
        <v>163</v>
      </c>
    </row>
    <row r="235" spans="1:14" ht="25.5" x14ac:dyDescent="0.2">
      <c r="A235" s="95" t="s">
        <v>371</v>
      </c>
      <c r="B235" s="96" t="s">
        <v>372</v>
      </c>
      <c r="C235" s="96" t="s">
        <v>145</v>
      </c>
      <c r="D235" s="96" t="s">
        <v>402</v>
      </c>
      <c r="E235" s="96"/>
      <c r="F235" s="96"/>
      <c r="G235" s="96" t="s">
        <v>1742</v>
      </c>
      <c r="H235" s="96"/>
      <c r="I235" s="96"/>
      <c r="N235" s="35" t="s">
        <v>164</v>
      </c>
    </row>
    <row r="236" spans="1:14" ht="25.5" x14ac:dyDescent="0.2">
      <c r="A236" s="95" t="s">
        <v>373</v>
      </c>
      <c r="B236" s="96" t="s">
        <v>396</v>
      </c>
      <c r="C236" s="96" t="s">
        <v>145</v>
      </c>
      <c r="D236" s="96" t="s">
        <v>218</v>
      </c>
      <c r="E236" s="96"/>
      <c r="F236" s="96"/>
      <c r="G236" s="96" t="s">
        <v>1742</v>
      </c>
      <c r="H236" s="96"/>
      <c r="I236" s="96"/>
      <c r="N236" s="35" t="s">
        <v>165</v>
      </c>
    </row>
    <row r="237" spans="1:14" ht="25.5" x14ac:dyDescent="0.2">
      <c r="A237" s="95" t="s">
        <v>374</v>
      </c>
      <c r="B237" s="96" t="s">
        <v>382</v>
      </c>
      <c r="C237" s="96" t="s">
        <v>141</v>
      </c>
      <c r="D237" s="96" t="s">
        <v>166</v>
      </c>
      <c r="E237" s="96"/>
      <c r="F237" s="96"/>
      <c r="G237" s="96" t="s">
        <v>1742</v>
      </c>
      <c r="H237" s="96"/>
      <c r="I237" s="96"/>
      <c r="N237" s="35" t="s">
        <v>166</v>
      </c>
    </row>
    <row r="238" spans="1:14" ht="25.5" x14ac:dyDescent="0.2">
      <c r="A238" s="95" t="s">
        <v>375</v>
      </c>
      <c r="B238" s="96" t="s">
        <v>376</v>
      </c>
      <c r="C238" s="96" t="s">
        <v>141</v>
      </c>
      <c r="D238" s="96"/>
      <c r="E238" s="96"/>
      <c r="F238" s="96"/>
      <c r="G238" s="96"/>
      <c r="H238" s="96"/>
      <c r="I238" s="96"/>
      <c r="N238" s="35" t="s">
        <v>167</v>
      </c>
    </row>
    <row r="239" spans="1:14" ht="25.5" x14ac:dyDescent="0.2">
      <c r="A239" s="95" t="s">
        <v>377</v>
      </c>
      <c r="B239" s="96" t="s">
        <v>378</v>
      </c>
      <c r="C239" s="96" t="s">
        <v>141</v>
      </c>
      <c r="D239" s="96"/>
      <c r="E239" s="96"/>
      <c r="F239" s="96"/>
      <c r="G239" s="96"/>
      <c r="H239" s="96"/>
      <c r="I239" s="96"/>
      <c r="N239" s="35" t="s">
        <v>168</v>
      </c>
    </row>
    <row r="240" spans="1:14" x14ac:dyDescent="0.2">
      <c r="A240" s="95"/>
      <c r="B240" s="96"/>
      <c r="C240" s="96"/>
      <c r="D240" s="96"/>
      <c r="E240" s="96"/>
      <c r="F240" s="96"/>
      <c r="G240" s="96"/>
      <c r="H240" s="96"/>
      <c r="I240" s="96"/>
      <c r="N240" s="35" t="s">
        <v>169</v>
      </c>
    </row>
    <row r="241" spans="1:14" x14ac:dyDescent="0.2">
      <c r="A241" s="95"/>
      <c r="B241" s="96"/>
      <c r="C241" s="96"/>
      <c r="D241" s="96"/>
      <c r="E241" s="96"/>
      <c r="F241" s="96"/>
      <c r="G241" s="96"/>
      <c r="H241" s="96"/>
      <c r="I241" s="96"/>
      <c r="N241" s="35" t="s">
        <v>471</v>
      </c>
    </row>
    <row r="242" spans="1:14" x14ac:dyDescent="0.2">
      <c r="A242" s="95"/>
      <c r="B242" s="96"/>
      <c r="C242" s="96"/>
      <c r="D242" s="96"/>
      <c r="E242" s="96"/>
      <c r="F242" s="96"/>
      <c r="G242" s="96"/>
      <c r="H242" s="96"/>
      <c r="I242" s="96"/>
      <c r="N242" s="35" t="s">
        <v>170</v>
      </c>
    </row>
    <row r="243" spans="1:14" x14ac:dyDescent="0.2">
      <c r="A243" s="95"/>
      <c r="B243" s="96"/>
      <c r="C243" s="96"/>
      <c r="D243" s="96"/>
      <c r="E243" s="96"/>
      <c r="F243" s="96"/>
      <c r="G243" s="96"/>
      <c r="H243" s="96"/>
      <c r="I243" s="96"/>
      <c r="N243" s="35" t="s">
        <v>171</v>
      </c>
    </row>
    <row r="244" spans="1:14" x14ac:dyDescent="0.2">
      <c r="A244" s="95"/>
      <c r="B244" s="96"/>
      <c r="C244" s="96"/>
      <c r="D244" s="96"/>
      <c r="E244" s="96"/>
      <c r="F244" s="96"/>
      <c r="G244" s="96"/>
      <c r="H244" s="96"/>
      <c r="I244" s="96"/>
      <c r="N244" s="35" t="s">
        <v>172</v>
      </c>
    </row>
    <row r="245" spans="1:14" x14ac:dyDescent="0.2">
      <c r="A245" s="95"/>
      <c r="B245" s="96"/>
      <c r="C245" s="96"/>
      <c r="D245" s="96"/>
      <c r="E245" s="96"/>
      <c r="F245" s="96"/>
      <c r="G245" s="96"/>
      <c r="H245" s="96"/>
      <c r="I245" s="96"/>
      <c r="N245" s="35" t="s">
        <v>173</v>
      </c>
    </row>
    <row r="246" spans="1:14" x14ac:dyDescent="0.2">
      <c r="A246" s="95"/>
      <c r="B246" s="96"/>
      <c r="C246" s="96"/>
      <c r="D246" s="96"/>
      <c r="E246" s="96"/>
      <c r="F246" s="96"/>
      <c r="G246" s="96"/>
      <c r="H246" s="96"/>
      <c r="I246" s="96"/>
      <c r="N246" s="35" t="s">
        <v>470</v>
      </c>
    </row>
    <row r="247" spans="1:14" x14ac:dyDescent="0.2">
      <c r="A247" s="95"/>
      <c r="B247" s="96"/>
      <c r="C247" s="96"/>
      <c r="D247" s="96"/>
      <c r="E247" s="96"/>
      <c r="F247" s="96"/>
      <c r="G247" s="96"/>
      <c r="H247" s="96"/>
      <c r="I247" s="96"/>
      <c r="N247" s="35" t="s">
        <v>469</v>
      </c>
    </row>
    <row r="248" spans="1:14" x14ac:dyDescent="0.2">
      <c r="A248" s="95"/>
      <c r="B248" s="96"/>
      <c r="C248" s="96"/>
      <c r="D248" s="96"/>
      <c r="E248" s="96"/>
      <c r="F248" s="96"/>
      <c r="G248" s="96"/>
      <c r="H248" s="96"/>
      <c r="I248" s="96"/>
      <c r="N248" s="35" t="s">
        <v>468</v>
      </c>
    </row>
    <row r="249" spans="1:14" x14ac:dyDescent="0.2">
      <c r="A249" s="95"/>
      <c r="B249" s="96"/>
      <c r="C249" s="96"/>
      <c r="D249" s="96"/>
      <c r="E249" s="96"/>
      <c r="F249" s="96"/>
      <c r="G249" s="96"/>
      <c r="H249" s="96"/>
      <c r="I249" s="96"/>
      <c r="N249" s="35" t="s">
        <v>467</v>
      </c>
    </row>
    <row r="250" spans="1:14" x14ac:dyDescent="0.2">
      <c r="A250" s="95"/>
      <c r="B250" s="96"/>
      <c r="C250" s="96"/>
      <c r="D250" s="96"/>
      <c r="E250" s="96"/>
      <c r="F250" s="96"/>
      <c r="G250" s="96"/>
      <c r="H250" s="96"/>
      <c r="I250" s="96"/>
      <c r="N250" s="35" t="s">
        <v>466</v>
      </c>
    </row>
    <row r="251" spans="1:14" x14ac:dyDescent="0.2">
      <c r="A251" s="95"/>
      <c r="B251" s="96"/>
      <c r="C251" s="96"/>
      <c r="D251" s="96"/>
      <c r="E251" s="96"/>
      <c r="F251" s="96"/>
      <c r="G251" s="96"/>
      <c r="H251" s="96"/>
      <c r="I251" s="96"/>
      <c r="N251" s="35" t="s">
        <v>402</v>
      </c>
    </row>
    <row r="252" spans="1:14" x14ac:dyDescent="0.2">
      <c r="A252" s="95"/>
      <c r="B252" s="96"/>
      <c r="C252" s="96"/>
      <c r="D252" s="96"/>
      <c r="E252" s="96"/>
      <c r="F252" s="96"/>
      <c r="G252" s="96"/>
      <c r="H252" s="96"/>
      <c r="I252" s="96"/>
      <c r="N252" s="35" t="s">
        <v>465</v>
      </c>
    </row>
    <row r="253" spans="1:14" x14ac:dyDescent="0.2">
      <c r="A253" s="95"/>
      <c r="B253" s="96"/>
      <c r="C253" s="96"/>
      <c r="D253" s="96"/>
      <c r="E253" s="96"/>
      <c r="F253" s="96"/>
      <c r="G253" s="96"/>
      <c r="H253" s="96"/>
      <c r="I253" s="96"/>
      <c r="N253" s="35" t="s">
        <v>464</v>
      </c>
    </row>
    <row r="254" spans="1:14" x14ac:dyDescent="0.2">
      <c r="A254" s="95"/>
      <c r="B254" s="96"/>
      <c r="C254" s="96"/>
      <c r="D254" s="96"/>
      <c r="E254" s="96"/>
      <c r="F254" s="96"/>
      <c r="G254" s="96"/>
      <c r="H254" s="96"/>
      <c r="I254" s="96"/>
      <c r="N254" s="35" t="s">
        <v>463</v>
      </c>
    </row>
    <row r="255" spans="1:14" x14ac:dyDescent="0.2">
      <c r="A255" s="95"/>
      <c r="B255" s="96"/>
      <c r="C255" s="96"/>
      <c r="D255" s="96"/>
      <c r="E255" s="96"/>
      <c r="F255" s="96"/>
      <c r="G255" s="96"/>
      <c r="H255" s="96"/>
      <c r="I255" s="96"/>
      <c r="N255" s="35" t="s">
        <v>462</v>
      </c>
    </row>
    <row r="256" spans="1:14" x14ac:dyDescent="0.2">
      <c r="A256" s="95"/>
      <c r="B256" s="96"/>
      <c r="C256" s="96"/>
      <c r="D256" s="96"/>
      <c r="E256" s="96"/>
      <c r="F256" s="96"/>
      <c r="G256" s="96"/>
      <c r="H256" s="96"/>
      <c r="I256" s="96"/>
      <c r="N256" s="35" t="s">
        <v>461</v>
      </c>
    </row>
    <row r="257" spans="1:14" x14ac:dyDescent="0.2">
      <c r="A257" s="95"/>
      <c r="B257" s="96"/>
      <c r="C257" s="96"/>
      <c r="D257" s="96"/>
      <c r="E257" s="96"/>
      <c r="F257" s="96"/>
      <c r="G257" s="96"/>
      <c r="H257" s="96"/>
      <c r="I257" s="96"/>
      <c r="N257" s="35" t="s">
        <v>460</v>
      </c>
    </row>
    <row r="258" spans="1:14" x14ac:dyDescent="0.2">
      <c r="A258" s="95"/>
      <c r="B258" s="96"/>
      <c r="C258" s="96"/>
      <c r="D258" s="96"/>
      <c r="E258" s="96"/>
      <c r="F258" s="96"/>
      <c r="G258" s="96"/>
      <c r="H258" s="96"/>
      <c r="I258" s="96"/>
      <c r="N258" s="35" t="s">
        <v>459</v>
      </c>
    </row>
    <row r="259" spans="1:14" x14ac:dyDescent="0.2">
      <c r="A259" s="95"/>
      <c r="B259" s="96"/>
      <c r="C259" s="96"/>
      <c r="D259" s="96"/>
      <c r="E259" s="96"/>
      <c r="F259" s="96"/>
      <c r="G259" s="96"/>
      <c r="H259" s="96"/>
      <c r="I259" s="96"/>
      <c r="N259" s="35" t="s">
        <v>458</v>
      </c>
    </row>
    <row r="260" spans="1:14" x14ac:dyDescent="0.2">
      <c r="A260" s="95"/>
      <c r="B260" s="96"/>
      <c r="C260" s="96"/>
      <c r="D260" s="96"/>
      <c r="E260" s="96"/>
      <c r="F260" s="96"/>
      <c r="G260" s="96"/>
      <c r="H260" s="96"/>
      <c r="I260" s="96"/>
      <c r="N260" s="35" t="s">
        <v>457</v>
      </c>
    </row>
    <row r="261" spans="1:14" x14ac:dyDescent="0.2">
      <c r="A261" s="95"/>
      <c r="B261" s="96"/>
      <c r="C261" s="96"/>
      <c r="D261" s="96"/>
      <c r="E261" s="96"/>
      <c r="F261" s="96"/>
      <c r="G261" s="96"/>
      <c r="H261" s="96"/>
      <c r="I261" s="96"/>
      <c r="N261" s="35" t="s">
        <v>456</v>
      </c>
    </row>
    <row r="262" spans="1:14" x14ac:dyDescent="0.2">
      <c r="A262" s="95"/>
      <c r="B262" s="96"/>
      <c r="C262" s="96"/>
      <c r="D262" s="96"/>
      <c r="E262" s="96"/>
      <c r="F262" s="96"/>
      <c r="G262" s="96"/>
      <c r="H262" s="96"/>
      <c r="I262" s="96"/>
      <c r="N262" s="35" t="s">
        <v>455</v>
      </c>
    </row>
    <row r="263" spans="1:14" x14ac:dyDescent="0.2">
      <c r="A263" s="95"/>
      <c r="B263" s="96"/>
      <c r="C263" s="96"/>
      <c r="D263" s="96"/>
      <c r="E263" s="96"/>
      <c r="F263" s="96"/>
      <c r="G263" s="96"/>
      <c r="H263" s="96"/>
      <c r="I263" s="96"/>
      <c r="N263" s="35" t="s">
        <v>454</v>
      </c>
    </row>
    <row r="264" spans="1:14" x14ac:dyDescent="0.2">
      <c r="A264" s="95"/>
      <c r="B264" s="96"/>
      <c r="C264" s="96"/>
      <c r="D264" s="96"/>
      <c r="E264" s="96"/>
      <c r="F264" s="96"/>
      <c r="G264" s="96"/>
      <c r="H264" s="96"/>
      <c r="I264" s="96"/>
      <c r="N264" s="35" t="s">
        <v>453</v>
      </c>
    </row>
    <row r="265" spans="1:14" x14ac:dyDescent="0.2">
      <c r="A265" s="95"/>
      <c r="B265" s="96"/>
      <c r="C265" s="96"/>
      <c r="D265" s="96"/>
      <c r="E265" s="96"/>
      <c r="F265" s="96"/>
      <c r="G265" s="96"/>
      <c r="H265" s="96"/>
      <c r="I265" s="96"/>
      <c r="N265" s="35" t="s">
        <v>452</v>
      </c>
    </row>
    <row r="266" spans="1:14" x14ac:dyDescent="0.2">
      <c r="A266" s="95"/>
      <c r="B266" s="96"/>
      <c r="C266" s="96"/>
      <c r="D266" s="96"/>
      <c r="E266" s="96"/>
      <c r="F266" s="96"/>
      <c r="G266" s="96"/>
      <c r="H266" s="96"/>
      <c r="I266" s="96"/>
      <c r="N266" s="35" t="s">
        <v>451</v>
      </c>
    </row>
    <row r="267" spans="1:14" x14ac:dyDescent="0.2">
      <c r="A267" s="95"/>
      <c r="B267" s="96"/>
      <c r="C267" s="96"/>
      <c r="D267" s="96"/>
      <c r="E267" s="96"/>
      <c r="F267" s="96"/>
      <c r="G267" s="96"/>
      <c r="H267" s="96"/>
      <c r="I267" s="96"/>
      <c r="N267" s="35" t="s">
        <v>450</v>
      </c>
    </row>
    <row r="268" spans="1:14" x14ac:dyDescent="0.2">
      <c r="A268" s="95"/>
      <c r="B268" s="96"/>
      <c r="C268" s="96"/>
      <c r="D268" s="96"/>
      <c r="E268" s="96"/>
      <c r="F268" s="96"/>
      <c r="G268" s="96"/>
      <c r="H268" s="96"/>
      <c r="I268" s="96"/>
      <c r="N268" s="35" t="s">
        <v>449</v>
      </c>
    </row>
    <row r="269" spans="1:14" x14ac:dyDescent="0.2">
      <c r="A269" s="95"/>
      <c r="B269" s="96"/>
      <c r="C269" s="96"/>
      <c r="D269" s="96"/>
      <c r="E269" s="96"/>
      <c r="F269" s="96"/>
      <c r="G269" s="96"/>
      <c r="H269" s="96"/>
      <c r="I269" s="96"/>
      <c r="N269" s="35" t="s">
        <v>448</v>
      </c>
    </row>
    <row r="270" spans="1:14" x14ac:dyDescent="0.2">
      <c r="A270" s="95"/>
      <c r="B270" s="96"/>
      <c r="C270" s="96"/>
      <c r="D270" s="96"/>
      <c r="E270" s="96"/>
      <c r="F270" s="96"/>
      <c r="G270" s="96"/>
      <c r="H270" s="96"/>
      <c r="I270" s="96"/>
      <c r="N270" s="35" t="s">
        <v>447</v>
      </c>
    </row>
    <row r="271" spans="1:14" x14ac:dyDescent="0.2">
      <c r="A271" s="95"/>
      <c r="B271" s="96"/>
      <c r="C271" s="96"/>
      <c r="D271" s="96"/>
      <c r="E271" s="96"/>
      <c r="F271" s="96"/>
      <c r="G271" s="96"/>
      <c r="H271" s="96"/>
      <c r="I271" s="96"/>
      <c r="N271" s="35" t="s">
        <v>446</v>
      </c>
    </row>
    <row r="272" spans="1:14" x14ac:dyDescent="0.2">
      <c r="A272" s="95"/>
      <c r="B272" s="96"/>
      <c r="C272" s="96"/>
      <c r="D272" s="96"/>
      <c r="E272" s="96"/>
      <c r="F272" s="96"/>
      <c r="G272" s="96"/>
      <c r="H272" s="96"/>
      <c r="I272" s="96"/>
      <c r="N272" s="35" t="s">
        <v>445</v>
      </c>
    </row>
    <row r="273" spans="1:14" x14ac:dyDescent="0.2">
      <c r="A273" s="95"/>
      <c r="B273" s="96"/>
      <c r="C273" s="96"/>
      <c r="D273" s="96"/>
      <c r="E273" s="96"/>
      <c r="F273" s="96"/>
      <c r="G273" s="96"/>
      <c r="H273" s="96"/>
      <c r="I273" s="96"/>
      <c r="N273" s="35" t="s">
        <v>444</v>
      </c>
    </row>
    <row r="274" spans="1:14" x14ac:dyDescent="0.2">
      <c r="A274" s="95"/>
      <c r="B274" s="96"/>
      <c r="C274" s="96"/>
      <c r="D274" s="96"/>
      <c r="E274" s="96"/>
      <c r="F274" s="96"/>
      <c r="G274" s="96"/>
      <c r="H274" s="96"/>
      <c r="I274" s="96"/>
      <c r="N274" s="35" t="s">
        <v>443</v>
      </c>
    </row>
    <row r="275" spans="1:14" x14ac:dyDescent="0.2">
      <c r="A275" s="95"/>
      <c r="B275" s="96"/>
      <c r="C275" s="96"/>
      <c r="D275" s="96"/>
      <c r="E275" s="96"/>
      <c r="F275" s="96"/>
      <c r="G275" s="96"/>
      <c r="H275" s="96"/>
      <c r="I275" s="96"/>
      <c r="N275" s="35" t="s">
        <v>442</v>
      </c>
    </row>
    <row r="276" spans="1:14" x14ac:dyDescent="0.2">
      <c r="A276" s="95"/>
      <c r="B276" s="96"/>
      <c r="C276" s="96"/>
      <c r="D276" s="96"/>
      <c r="E276" s="96"/>
      <c r="F276" s="96"/>
      <c r="G276" s="96"/>
      <c r="H276" s="96"/>
      <c r="I276" s="96"/>
      <c r="N276" s="35" t="s">
        <v>441</v>
      </c>
    </row>
    <row r="277" spans="1:14" x14ac:dyDescent="0.2">
      <c r="A277" s="95"/>
      <c r="B277" s="96"/>
      <c r="C277" s="96"/>
      <c r="D277" s="96"/>
      <c r="E277" s="96"/>
      <c r="F277" s="96"/>
      <c r="G277" s="96"/>
      <c r="H277" s="96"/>
      <c r="I277" s="96"/>
      <c r="N277" s="35" t="s">
        <v>440</v>
      </c>
    </row>
    <row r="278" spans="1:14" x14ac:dyDescent="0.2">
      <c r="A278" s="95"/>
      <c r="B278" s="96"/>
      <c r="C278" s="96"/>
      <c r="D278" s="96"/>
      <c r="E278" s="96"/>
      <c r="F278" s="96"/>
      <c r="G278" s="96"/>
      <c r="H278" s="96"/>
      <c r="I278" s="96"/>
      <c r="N278" s="35" t="s">
        <v>439</v>
      </c>
    </row>
    <row r="279" spans="1:14" x14ac:dyDescent="0.2">
      <c r="A279" s="95"/>
      <c r="B279" s="96"/>
      <c r="C279" s="96"/>
      <c r="D279" s="96"/>
      <c r="E279" s="96"/>
      <c r="F279" s="96"/>
      <c r="G279" s="96"/>
      <c r="H279" s="96"/>
      <c r="I279" s="96"/>
      <c r="N279" s="35" t="s">
        <v>438</v>
      </c>
    </row>
    <row r="280" spans="1:14" x14ac:dyDescent="0.2">
      <c r="A280" s="95"/>
      <c r="B280" s="96"/>
      <c r="C280" s="96"/>
      <c r="D280" s="96"/>
      <c r="E280" s="96"/>
      <c r="F280" s="96"/>
      <c r="G280" s="96"/>
      <c r="H280" s="96"/>
      <c r="I280" s="96"/>
      <c r="N280" s="35" t="s">
        <v>437</v>
      </c>
    </row>
    <row r="281" spans="1:14" x14ac:dyDescent="0.2">
      <c r="A281" s="95"/>
      <c r="B281" s="96"/>
      <c r="C281" s="96"/>
      <c r="D281" s="96"/>
      <c r="E281" s="96"/>
      <c r="F281" s="96"/>
      <c r="G281" s="96"/>
      <c r="H281" s="96"/>
      <c r="I281" s="96"/>
      <c r="N281" s="35" t="s">
        <v>174</v>
      </c>
    </row>
    <row r="282" spans="1:14" x14ac:dyDescent="0.2">
      <c r="A282" s="95"/>
      <c r="B282" s="96"/>
      <c r="C282" s="96"/>
      <c r="D282" s="96"/>
      <c r="E282" s="96"/>
      <c r="F282" s="96"/>
      <c r="G282" s="96"/>
      <c r="H282" s="96"/>
      <c r="I282" s="96"/>
      <c r="N282" s="35" t="s">
        <v>175</v>
      </c>
    </row>
    <row r="283" spans="1:14" x14ac:dyDescent="0.2">
      <c r="A283" s="95"/>
      <c r="B283" s="96"/>
      <c r="C283" s="96"/>
      <c r="D283" s="96"/>
      <c r="E283" s="96"/>
      <c r="F283" s="96"/>
      <c r="G283" s="96"/>
      <c r="H283" s="96"/>
      <c r="I283" s="96"/>
      <c r="N283" s="35" t="s">
        <v>176</v>
      </c>
    </row>
    <row r="284" spans="1:14" x14ac:dyDescent="0.2">
      <c r="A284" s="95"/>
      <c r="B284" s="96"/>
      <c r="C284" s="96"/>
      <c r="D284" s="96"/>
      <c r="E284" s="96"/>
      <c r="F284" s="96"/>
      <c r="G284" s="96"/>
      <c r="H284" s="96"/>
      <c r="I284" s="96"/>
      <c r="N284" s="35" t="s">
        <v>177</v>
      </c>
    </row>
    <row r="285" spans="1:14" x14ac:dyDescent="0.2">
      <c r="A285" s="95"/>
      <c r="B285" s="96"/>
      <c r="C285" s="96"/>
      <c r="D285" s="96"/>
      <c r="E285" s="96"/>
      <c r="F285" s="96"/>
      <c r="G285" s="96"/>
      <c r="H285" s="96"/>
      <c r="I285" s="96"/>
      <c r="N285" s="35" t="s">
        <v>178</v>
      </c>
    </row>
    <row r="286" spans="1:14" x14ac:dyDescent="0.2">
      <c r="A286" s="95"/>
      <c r="B286" s="96"/>
      <c r="C286" s="96"/>
      <c r="D286" s="96"/>
      <c r="E286" s="96"/>
      <c r="F286" s="96"/>
      <c r="G286" s="96"/>
      <c r="H286" s="96"/>
      <c r="I286" s="96"/>
      <c r="N286" s="35" t="s">
        <v>179</v>
      </c>
    </row>
    <row r="287" spans="1:14" x14ac:dyDescent="0.2">
      <c r="A287" s="95"/>
      <c r="B287" s="96"/>
      <c r="C287" s="96"/>
      <c r="D287" s="96"/>
      <c r="E287" s="96"/>
      <c r="F287" s="96"/>
      <c r="G287" s="96"/>
      <c r="H287" s="96"/>
      <c r="I287" s="96"/>
      <c r="N287" s="35" t="s">
        <v>180</v>
      </c>
    </row>
    <row r="288" spans="1:14" x14ac:dyDescent="0.2">
      <c r="A288" s="95"/>
      <c r="B288" s="96"/>
      <c r="C288" s="96"/>
      <c r="D288" s="96"/>
      <c r="E288" s="96"/>
      <c r="F288" s="96"/>
      <c r="G288" s="96"/>
      <c r="H288" s="96"/>
      <c r="I288" s="96"/>
      <c r="N288" s="35" t="s">
        <v>181</v>
      </c>
    </row>
    <row r="289" spans="1:14" x14ac:dyDescent="0.2">
      <c r="A289" s="95"/>
      <c r="B289" s="96"/>
      <c r="C289" s="96"/>
      <c r="D289" s="96"/>
      <c r="E289" s="96"/>
      <c r="F289" s="96"/>
      <c r="G289" s="96"/>
      <c r="H289" s="96"/>
      <c r="I289" s="96"/>
      <c r="N289" s="35" t="s">
        <v>182</v>
      </c>
    </row>
    <row r="290" spans="1:14" x14ac:dyDescent="0.2">
      <c r="A290" s="95"/>
      <c r="B290" s="96"/>
      <c r="C290" s="96"/>
      <c r="D290" s="96"/>
      <c r="E290" s="96"/>
      <c r="F290" s="96"/>
      <c r="G290" s="96"/>
      <c r="H290" s="96"/>
      <c r="I290" s="96"/>
      <c r="N290" s="35" t="s">
        <v>183</v>
      </c>
    </row>
    <row r="291" spans="1:14" x14ac:dyDescent="0.2">
      <c r="A291" s="95"/>
      <c r="B291" s="96"/>
      <c r="C291" s="96"/>
      <c r="D291" s="96"/>
      <c r="E291" s="96"/>
      <c r="F291" s="96"/>
      <c r="G291" s="96"/>
      <c r="H291" s="96"/>
      <c r="I291" s="96"/>
      <c r="N291" s="35" t="s">
        <v>184</v>
      </c>
    </row>
    <row r="292" spans="1:14" x14ac:dyDescent="0.2">
      <c r="A292" s="95"/>
      <c r="B292" s="96"/>
      <c r="C292" s="96"/>
      <c r="D292" s="96"/>
      <c r="E292" s="96"/>
      <c r="F292" s="96"/>
      <c r="G292" s="96"/>
      <c r="H292" s="96"/>
      <c r="I292" s="96"/>
      <c r="N292" s="35" t="s">
        <v>436</v>
      </c>
    </row>
    <row r="293" spans="1:14" x14ac:dyDescent="0.2">
      <c r="A293" s="95"/>
      <c r="B293" s="96"/>
      <c r="C293" s="96"/>
      <c r="D293" s="96"/>
      <c r="E293" s="96"/>
      <c r="F293" s="96"/>
      <c r="G293" s="96"/>
      <c r="H293" s="96"/>
      <c r="I293" s="96"/>
      <c r="N293" s="35" t="s">
        <v>185</v>
      </c>
    </row>
    <row r="294" spans="1:14" x14ac:dyDescent="0.2">
      <c r="A294" s="95"/>
      <c r="B294" s="96"/>
      <c r="C294" s="96"/>
      <c r="D294" s="96"/>
      <c r="E294" s="96"/>
      <c r="F294" s="96"/>
      <c r="G294" s="96"/>
      <c r="H294" s="96"/>
      <c r="I294" s="96"/>
      <c r="N294" s="35" t="s">
        <v>186</v>
      </c>
    </row>
    <row r="295" spans="1:14" x14ac:dyDescent="0.2">
      <c r="A295" s="95"/>
      <c r="B295" s="96"/>
      <c r="C295" s="96"/>
      <c r="D295" s="96"/>
      <c r="E295" s="96"/>
      <c r="F295" s="96"/>
      <c r="G295" s="96"/>
      <c r="H295" s="96"/>
      <c r="I295" s="96"/>
      <c r="N295" s="35" t="s">
        <v>187</v>
      </c>
    </row>
    <row r="296" spans="1:14" x14ac:dyDescent="0.2">
      <c r="A296" s="95"/>
      <c r="B296" s="96"/>
      <c r="C296" s="96"/>
      <c r="D296" s="96"/>
      <c r="E296" s="96"/>
      <c r="F296" s="96"/>
      <c r="G296" s="96"/>
      <c r="H296" s="96"/>
      <c r="I296" s="96"/>
      <c r="N296" s="35" t="s">
        <v>188</v>
      </c>
    </row>
    <row r="297" spans="1:14" x14ac:dyDescent="0.2">
      <c r="A297" s="95"/>
      <c r="B297" s="96"/>
      <c r="C297" s="96"/>
      <c r="D297" s="96"/>
      <c r="E297" s="96"/>
      <c r="F297" s="96"/>
      <c r="G297" s="96"/>
      <c r="H297" s="96"/>
      <c r="I297" s="96"/>
      <c r="N297" s="35" t="s">
        <v>189</v>
      </c>
    </row>
    <row r="298" spans="1:14" x14ac:dyDescent="0.2">
      <c r="A298" s="95"/>
      <c r="B298" s="96"/>
      <c r="C298" s="96"/>
      <c r="D298" s="96"/>
      <c r="E298" s="96"/>
      <c r="F298" s="96"/>
      <c r="G298" s="96"/>
      <c r="H298" s="96"/>
      <c r="I298" s="96"/>
      <c r="N298" s="35" t="s">
        <v>190</v>
      </c>
    </row>
    <row r="299" spans="1:14" x14ac:dyDescent="0.2">
      <c r="A299" s="95"/>
      <c r="B299" s="96"/>
      <c r="C299" s="96"/>
      <c r="D299" s="96"/>
      <c r="E299" s="96"/>
      <c r="F299" s="96"/>
      <c r="G299" s="96"/>
      <c r="H299" s="96"/>
      <c r="I299" s="96"/>
      <c r="N299" s="35" t="s">
        <v>191</v>
      </c>
    </row>
    <row r="300" spans="1:14" x14ac:dyDescent="0.2">
      <c r="A300" s="95"/>
      <c r="B300" s="96"/>
      <c r="C300" s="96"/>
      <c r="D300" s="96"/>
      <c r="E300" s="96"/>
      <c r="F300" s="96"/>
      <c r="G300" s="96"/>
      <c r="H300" s="96"/>
      <c r="I300" s="96"/>
      <c r="N300" s="35" t="s">
        <v>192</v>
      </c>
    </row>
    <row r="301" spans="1:14" x14ac:dyDescent="0.2">
      <c r="A301" s="95"/>
      <c r="B301" s="96"/>
      <c r="C301" s="96"/>
      <c r="D301" s="96"/>
      <c r="E301" s="96"/>
      <c r="F301" s="96"/>
      <c r="G301" s="96"/>
      <c r="H301" s="96"/>
      <c r="I301" s="96"/>
      <c r="N301" s="35" t="s">
        <v>435</v>
      </c>
    </row>
    <row r="302" spans="1:14" x14ac:dyDescent="0.2">
      <c r="A302" s="95"/>
      <c r="B302" s="96"/>
      <c r="C302" s="96"/>
      <c r="D302" s="96"/>
      <c r="E302" s="96"/>
      <c r="F302" s="96"/>
      <c r="G302" s="96"/>
      <c r="H302" s="96"/>
      <c r="I302" s="96"/>
      <c r="L302" s="97"/>
      <c r="M302" s="97"/>
      <c r="N302" s="35" t="s">
        <v>193</v>
      </c>
    </row>
    <row r="303" spans="1:14" x14ac:dyDescent="0.2">
      <c r="A303" s="95"/>
      <c r="B303" s="96"/>
      <c r="C303" s="96"/>
      <c r="D303" s="96"/>
      <c r="E303" s="96"/>
      <c r="F303" s="96"/>
      <c r="G303" s="96"/>
      <c r="H303" s="96"/>
      <c r="I303" s="96"/>
      <c r="N303" s="35" t="s">
        <v>194</v>
      </c>
    </row>
    <row r="304" spans="1:14" x14ac:dyDescent="0.2">
      <c r="A304" s="95"/>
      <c r="B304" s="96"/>
      <c r="C304" s="96"/>
      <c r="D304" s="96"/>
      <c r="E304" s="96"/>
      <c r="F304" s="96"/>
      <c r="G304" s="96"/>
      <c r="H304" s="96"/>
      <c r="I304" s="96"/>
      <c r="N304" s="35" t="s">
        <v>434</v>
      </c>
    </row>
    <row r="305" spans="1:14" x14ac:dyDescent="0.2">
      <c r="A305" s="95"/>
      <c r="B305" s="96"/>
      <c r="C305" s="96"/>
      <c r="D305" s="96"/>
      <c r="E305" s="96"/>
      <c r="F305" s="96"/>
      <c r="G305" s="96"/>
      <c r="H305" s="96"/>
      <c r="I305" s="96"/>
      <c r="N305" s="35" t="s">
        <v>195</v>
      </c>
    </row>
    <row r="306" spans="1:14" x14ac:dyDescent="0.2">
      <c r="A306" s="95"/>
      <c r="B306" s="96"/>
      <c r="C306" s="96"/>
      <c r="D306" s="96"/>
      <c r="E306" s="96"/>
      <c r="F306" s="96"/>
      <c r="G306" s="96"/>
      <c r="H306" s="96"/>
      <c r="I306" s="96"/>
      <c r="N306" s="35" t="s">
        <v>196</v>
      </c>
    </row>
    <row r="307" spans="1:14" x14ac:dyDescent="0.2">
      <c r="A307" s="95"/>
      <c r="B307" s="96"/>
      <c r="C307" s="96"/>
      <c r="D307" s="96"/>
      <c r="E307" s="96"/>
      <c r="F307" s="96"/>
      <c r="G307" s="96"/>
      <c r="H307" s="96"/>
      <c r="I307" s="96"/>
      <c r="N307" s="35" t="s">
        <v>197</v>
      </c>
    </row>
    <row r="308" spans="1:14" x14ac:dyDescent="0.2">
      <c r="A308" s="95"/>
      <c r="B308" s="96"/>
      <c r="C308" s="96"/>
      <c r="D308" s="96"/>
      <c r="E308" s="96"/>
      <c r="F308" s="96"/>
      <c r="G308" s="96"/>
      <c r="H308" s="96"/>
      <c r="I308" s="96"/>
      <c r="N308" s="35" t="s">
        <v>198</v>
      </c>
    </row>
    <row r="309" spans="1:14" x14ac:dyDescent="0.2">
      <c r="A309" s="95"/>
      <c r="B309" s="96"/>
      <c r="C309" s="96"/>
      <c r="D309" s="96"/>
      <c r="E309" s="96"/>
      <c r="F309" s="96"/>
      <c r="G309" s="96"/>
      <c r="H309" s="96"/>
      <c r="I309" s="96"/>
      <c r="N309" s="35" t="s">
        <v>199</v>
      </c>
    </row>
    <row r="310" spans="1:14" x14ac:dyDescent="0.2">
      <c r="A310" s="95"/>
      <c r="B310" s="96"/>
      <c r="C310" s="96"/>
      <c r="D310" s="96"/>
      <c r="E310" s="96"/>
      <c r="F310" s="96"/>
      <c r="G310" s="96"/>
      <c r="H310" s="96"/>
      <c r="I310" s="96"/>
      <c r="N310" s="35" t="s">
        <v>200</v>
      </c>
    </row>
    <row r="311" spans="1:14" x14ac:dyDescent="0.2">
      <c r="A311" s="95"/>
      <c r="B311" s="96"/>
      <c r="C311" s="96"/>
      <c r="D311" s="96"/>
      <c r="E311" s="96"/>
      <c r="F311" s="96"/>
      <c r="G311" s="96"/>
      <c r="H311" s="96"/>
      <c r="I311" s="96"/>
      <c r="N311" s="35" t="s">
        <v>433</v>
      </c>
    </row>
    <row r="312" spans="1:14" x14ac:dyDescent="0.2">
      <c r="A312" s="95"/>
      <c r="B312" s="96"/>
      <c r="C312" s="96"/>
      <c r="D312" s="96"/>
      <c r="E312" s="96"/>
      <c r="F312" s="96"/>
      <c r="G312" s="96"/>
      <c r="H312" s="96"/>
      <c r="I312" s="96"/>
      <c r="N312" s="35" t="s">
        <v>201</v>
      </c>
    </row>
    <row r="313" spans="1:14" x14ac:dyDescent="0.2">
      <c r="A313" s="95"/>
      <c r="B313" s="96"/>
      <c r="C313" s="96"/>
      <c r="D313" s="96"/>
      <c r="E313" s="96"/>
      <c r="F313" s="96"/>
      <c r="G313" s="96"/>
      <c r="H313" s="96"/>
      <c r="I313" s="96"/>
      <c r="N313" s="35" t="s">
        <v>202</v>
      </c>
    </row>
    <row r="314" spans="1:14" x14ac:dyDescent="0.2">
      <c r="A314" s="95"/>
      <c r="B314" s="96"/>
      <c r="C314" s="96"/>
      <c r="D314" s="96"/>
      <c r="E314" s="96"/>
      <c r="F314" s="96"/>
      <c r="G314" s="96"/>
      <c r="H314" s="96"/>
      <c r="I314" s="96"/>
      <c r="N314" s="35" t="s">
        <v>203</v>
      </c>
    </row>
    <row r="315" spans="1:14" x14ac:dyDescent="0.2">
      <c r="A315" s="95"/>
      <c r="B315" s="96"/>
      <c r="C315" s="96"/>
      <c r="D315" s="96"/>
      <c r="E315" s="96"/>
      <c r="F315" s="96"/>
      <c r="G315" s="96"/>
      <c r="H315" s="96"/>
      <c r="I315" s="96"/>
      <c r="N315" s="35" t="s">
        <v>204</v>
      </c>
    </row>
    <row r="316" spans="1:14" x14ac:dyDescent="0.2">
      <c r="A316" s="95"/>
      <c r="B316" s="96"/>
      <c r="C316" s="96"/>
      <c r="D316" s="96"/>
      <c r="E316" s="96"/>
      <c r="F316" s="96"/>
      <c r="G316" s="96"/>
      <c r="H316" s="96"/>
      <c r="I316" s="96"/>
      <c r="N316" s="35" t="s">
        <v>205</v>
      </c>
    </row>
    <row r="317" spans="1:14" x14ac:dyDescent="0.2">
      <c r="A317" s="95"/>
      <c r="B317" s="96"/>
      <c r="C317" s="96"/>
      <c r="D317" s="96"/>
      <c r="E317" s="96"/>
      <c r="F317" s="96"/>
      <c r="G317" s="96"/>
      <c r="H317" s="96"/>
      <c r="I317" s="96"/>
      <c r="N317" s="35" t="s">
        <v>206</v>
      </c>
    </row>
    <row r="318" spans="1:14" x14ac:dyDescent="0.2">
      <c r="A318" s="95"/>
      <c r="B318" s="96"/>
      <c r="C318" s="96"/>
      <c r="D318" s="96"/>
      <c r="E318" s="96"/>
      <c r="F318" s="96"/>
      <c r="G318" s="96"/>
      <c r="H318" s="96"/>
      <c r="I318" s="96"/>
      <c r="N318" s="35" t="s">
        <v>207</v>
      </c>
    </row>
    <row r="319" spans="1:14" x14ac:dyDescent="0.2">
      <c r="A319" s="95"/>
      <c r="B319" s="96"/>
      <c r="C319" s="96"/>
      <c r="D319" s="96"/>
      <c r="E319" s="96"/>
      <c r="F319" s="96"/>
      <c r="G319" s="96"/>
      <c r="H319" s="96"/>
      <c r="I319" s="96"/>
      <c r="N319" s="35" t="s">
        <v>432</v>
      </c>
    </row>
    <row r="320" spans="1:14" x14ac:dyDescent="0.2">
      <c r="A320" s="95"/>
      <c r="B320" s="96"/>
      <c r="C320" s="96"/>
      <c r="D320" s="96"/>
      <c r="E320" s="96"/>
      <c r="F320" s="96"/>
      <c r="G320" s="96"/>
      <c r="H320" s="96"/>
      <c r="I320" s="96"/>
      <c r="N320" s="35" t="s">
        <v>208</v>
      </c>
    </row>
    <row r="321" spans="1:14" x14ac:dyDescent="0.2">
      <c r="A321" s="95"/>
      <c r="B321" s="96"/>
      <c r="C321" s="96"/>
      <c r="D321" s="96"/>
      <c r="E321" s="96"/>
      <c r="F321" s="96"/>
      <c r="G321" s="96"/>
      <c r="H321" s="96"/>
      <c r="I321" s="96"/>
      <c r="N321" s="35" t="s">
        <v>209</v>
      </c>
    </row>
    <row r="322" spans="1:14" x14ac:dyDescent="0.2">
      <c r="A322" s="95"/>
      <c r="B322" s="96"/>
      <c r="C322" s="96"/>
      <c r="D322" s="96"/>
      <c r="E322" s="96"/>
      <c r="F322" s="96"/>
      <c r="G322" s="96"/>
      <c r="H322" s="96"/>
      <c r="I322" s="96"/>
      <c r="N322" s="35" t="s">
        <v>210</v>
      </c>
    </row>
    <row r="323" spans="1:14" x14ac:dyDescent="0.2">
      <c r="A323" s="95"/>
      <c r="B323" s="96"/>
      <c r="C323" s="96"/>
      <c r="D323" s="96"/>
      <c r="E323" s="96"/>
      <c r="F323" s="96"/>
      <c r="G323" s="96"/>
      <c r="H323" s="96"/>
      <c r="I323" s="96"/>
      <c r="N323" s="35" t="s">
        <v>431</v>
      </c>
    </row>
    <row r="324" spans="1:14" x14ac:dyDescent="0.2">
      <c r="A324" s="95"/>
      <c r="B324" s="96"/>
      <c r="C324" s="96"/>
      <c r="D324" s="96"/>
      <c r="E324" s="96"/>
      <c r="F324" s="96"/>
      <c r="G324" s="96"/>
      <c r="H324" s="96"/>
      <c r="I324" s="96"/>
      <c r="N324" s="35" t="s">
        <v>211</v>
      </c>
    </row>
    <row r="325" spans="1:14" x14ac:dyDescent="0.2">
      <c r="A325" s="95"/>
      <c r="B325" s="96"/>
      <c r="C325" s="96"/>
      <c r="D325" s="96"/>
      <c r="E325" s="96"/>
      <c r="F325" s="96"/>
      <c r="G325" s="96"/>
      <c r="H325" s="96"/>
      <c r="I325" s="96"/>
      <c r="N325" s="35" t="s">
        <v>212</v>
      </c>
    </row>
    <row r="326" spans="1:14" x14ac:dyDescent="0.2">
      <c r="A326" s="95"/>
      <c r="B326" s="96"/>
      <c r="C326" s="96"/>
      <c r="D326" s="96"/>
      <c r="E326" s="96"/>
      <c r="F326" s="96"/>
      <c r="G326" s="96"/>
      <c r="H326" s="96"/>
      <c r="I326" s="96"/>
      <c r="N326" s="35" t="s">
        <v>213</v>
      </c>
    </row>
    <row r="327" spans="1:14" x14ac:dyDescent="0.2">
      <c r="A327" s="95"/>
      <c r="B327" s="96"/>
      <c r="C327" s="96"/>
      <c r="D327" s="96"/>
      <c r="E327" s="96"/>
      <c r="F327" s="96"/>
      <c r="G327" s="96"/>
      <c r="H327" s="96"/>
      <c r="I327" s="96"/>
      <c r="N327" s="35" t="s">
        <v>214</v>
      </c>
    </row>
    <row r="328" spans="1:14" x14ac:dyDescent="0.2">
      <c r="A328" s="95"/>
      <c r="B328" s="96"/>
      <c r="C328" s="96"/>
      <c r="D328" s="96"/>
      <c r="E328" s="96"/>
      <c r="F328" s="96"/>
      <c r="G328" s="96"/>
      <c r="H328" s="96"/>
      <c r="I328" s="96"/>
      <c r="N328" s="35" t="s">
        <v>215</v>
      </c>
    </row>
    <row r="329" spans="1:14" x14ac:dyDescent="0.2">
      <c r="A329" s="95"/>
      <c r="B329" s="96"/>
      <c r="C329" s="96"/>
      <c r="D329" s="96"/>
      <c r="E329" s="96"/>
      <c r="F329" s="96"/>
      <c r="G329" s="96"/>
      <c r="H329" s="96"/>
      <c r="I329" s="96"/>
      <c r="N329" s="35" t="s">
        <v>216</v>
      </c>
    </row>
    <row r="330" spans="1:14" x14ac:dyDescent="0.2">
      <c r="A330" s="95"/>
      <c r="B330" s="96"/>
      <c r="C330" s="96"/>
      <c r="D330" s="96"/>
      <c r="E330" s="96"/>
      <c r="F330" s="96"/>
      <c r="G330" s="96"/>
      <c r="H330" s="96"/>
      <c r="I330" s="96"/>
      <c r="N330" s="35" t="s">
        <v>217</v>
      </c>
    </row>
    <row r="331" spans="1:14" x14ac:dyDescent="0.2">
      <c r="A331" s="95"/>
      <c r="B331" s="96"/>
      <c r="C331" s="96"/>
      <c r="D331" s="96"/>
      <c r="E331" s="96"/>
      <c r="F331" s="96"/>
      <c r="G331" s="96"/>
      <c r="H331" s="96"/>
      <c r="I331" s="96"/>
      <c r="N331" s="35" t="s">
        <v>218</v>
      </c>
    </row>
    <row r="332" spans="1:14" x14ac:dyDescent="0.2">
      <c r="A332" s="95"/>
      <c r="B332" s="96"/>
      <c r="C332" s="96"/>
      <c r="D332" s="96"/>
      <c r="E332" s="96"/>
      <c r="F332" s="96"/>
      <c r="G332" s="96"/>
      <c r="H332" s="96"/>
      <c r="I332" s="96"/>
      <c r="N332" s="35" t="s">
        <v>219</v>
      </c>
    </row>
    <row r="333" spans="1:14" x14ac:dyDescent="0.2">
      <c r="A333" s="95"/>
      <c r="B333" s="96"/>
      <c r="C333" s="96"/>
      <c r="D333" s="96"/>
      <c r="E333" s="96"/>
      <c r="F333" s="96"/>
      <c r="G333" s="96"/>
      <c r="H333" s="96"/>
      <c r="I333" s="96"/>
      <c r="N333" s="35" t="s">
        <v>220</v>
      </c>
    </row>
    <row r="334" spans="1:14" x14ac:dyDescent="0.2">
      <c r="A334" s="95"/>
      <c r="B334" s="96"/>
      <c r="C334" s="96"/>
      <c r="D334" s="96"/>
      <c r="E334" s="96"/>
      <c r="F334" s="96"/>
      <c r="G334" s="96"/>
      <c r="H334" s="96"/>
      <c r="I334" s="96"/>
      <c r="N334" s="35" t="s">
        <v>221</v>
      </c>
    </row>
    <row r="335" spans="1:14" x14ac:dyDescent="0.2">
      <c r="A335" s="95"/>
      <c r="B335" s="96"/>
      <c r="C335" s="96"/>
      <c r="D335" s="96"/>
      <c r="E335" s="96"/>
      <c r="F335" s="96"/>
      <c r="G335" s="96"/>
      <c r="H335" s="96"/>
      <c r="I335" s="96"/>
      <c r="N335" s="35" t="s">
        <v>222</v>
      </c>
    </row>
    <row r="336" spans="1:14" x14ac:dyDescent="0.2">
      <c r="A336" s="95"/>
      <c r="B336" s="96"/>
      <c r="C336" s="96"/>
      <c r="D336" s="96"/>
      <c r="E336" s="96"/>
      <c r="F336" s="96"/>
      <c r="G336" s="96"/>
      <c r="H336" s="96"/>
      <c r="I336" s="96"/>
      <c r="N336" s="35" t="s">
        <v>223</v>
      </c>
    </row>
    <row r="337" spans="1:14" x14ac:dyDescent="0.2">
      <c r="A337" s="95"/>
      <c r="B337" s="96"/>
      <c r="C337" s="96"/>
      <c r="D337" s="96"/>
      <c r="E337" s="96"/>
      <c r="F337" s="96"/>
      <c r="G337" s="96"/>
      <c r="H337" s="96"/>
      <c r="I337" s="96"/>
      <c r="N337" s="35" t="s">
        <v>224</v>
      </c>
    </row>
    <row r="338" spans="1:14" x14ac:dyDescent="0.2">
      <c r="A338" s="95"/>
      <c r="B338" s="96"/>
      <c r="C338" s="96"/>
      <c r="D338" s="96"/>
      <c r="E338" s="96"/>
      <c r="F338" s="96"/>
      <c r="G338" s="96"/>
      <c r="H338" s="96"/>
      <c r="I338" s="96"/>
      <c r="N338" s="35" t="s">
        <v>225</v>
      </c>
    </row>
    <row r="339" spans="1:14" x14ac:dyDescent="0.2">
      <c r="A339" s="95"/>
      <c r="B339" s="96"/>
      <c r="C339" s="96"/>
      <c r="D339" s="96"/>
      <c r="E339" s="96"/>
      <c r="F339" s="96"/>
      <c r="G339" s="96"/>
      <c r="H339" s="96"/>
      <c r="I339" s="96"/>
      <c r="N339" s="35" t="s">
        <v>226</v>
      </c>
    </row>
    <row r="340" spans="1:14" x14ac:dyDescent="0.2">
      <c r="A340" s="95"/>
      <c r="B340" s="96"/>
      <c r="C340" s="96"/>
      <c r="D340" s="96"/>
      <c r="E340" s="96"/>
      <c r="F340" s="96"/>
      <c r="G340" s="96"/>
      <c r="H340" s="96"/>
      <c r="I340" s="96"/>
      <c r="N340" s="35" t="s">
        <v>227</v>
      </c>
    </row>
    <row r="341" spans="1:14" x14ac:dyDescent="0.2">
      <c r="A341" s="95"/>
      <c r="B341" s="96"/>
      <c r="C341" s="96"/>
      <c r="D341" s="96"/>
      <c r="E341" s="96"/>
      <c r="F341" s="96"/>
      <c r="G341" s="96"/>
      <c r="H341" s="96"/>
      <c r="I341" s="96"/>
      <c r="N341" s="35" t="s">
        <v>228</v>
      </c>
    </row>
    <row r="342" spans="1:14" x14ac:dyDescent="0.2">
      <c r="A342" s="95"/>
      <c r="B342" s="96"/>
      <c r="C342" s="96"/>
      <c r="D342" s="96"/>
      <c r="E342" s="96"/>
      <c r="F342" s="96"/>
      <c r="G342" s="96"/>
      <c r="H342" s="96"/>
      <c r="I342" s="96"/>
      <c r="N342" s="35" t="s">
        <v>229</v>
      </c>
    </row>
    <row r="343" spans="1:14" x14ac:dyDescent="0.2">
      <c r="A343" s="95"/>
      <c r="B343" s="96"/>
      <c r="C343" s="96"/>
      <c r="D343" s="96"/>
      <c r="E343" s="96"/>
      <c r="F343" s="96"/>
      <c r="G343" s="96"/>
      <c r="H343" s="96"/>
      <c r="I343" s="96"/>
      <c r="N343" s="35" t="s">
        <v>230</v>
      </c>
    </row>
    <row r="344" spans="1:14" x14ac:dyDescent="0.2">
      <c r="A344" s="95"/>
      <c r="B344" s="96"/>
      <c r="C344" s="96"/>
      <c r="D344" s="96"/>
      <c r="E344" s="96"/>
      <c r="F344" s="96"/>
      <c r="G344" s="96"/>
      <c r="H344" s="96"/>
      <c r="I344" s="96"/>
      <c r="N344" s="35" t="s">
        <v>230</v>
      </c>
    </row>
    <row r="345" spans="1:14" x14ac:dyDescent="0.2">
      <c r="A345" s="95"/>
      <c r="B345" s="96"/>
      <c r="C345" s="96"/>
      <c r="D345" s="96"/>
      <c r="E345" s="96"/>
      <c r="F345" s="96"/>
      <c r="G345" s="96"/>
      <c r="H345" s="96"/>
      <c r="I345" s="96"/>
      <c r="N345" s="35" t="s">
        <v>231</v>
      </c>
    </row>
    <row r="346" spans="1:14" x14ac:dyDescent="0.2">
      <c r="A346" s="95"/>
      <c r="B346" s="96"/>
      <c r="C346" s="96"/>
      <c r="D346" s="96"/>
      <c r="E346" s="96"/>
      <c r="F346" s="96"/>
      <c r="G346" s="96"/>
      <c r="H346" s="96"/>
      <c r="I346" s="96"/>
      <c r="N346" s="35" t="s">
        <v>232</v>
      </c>
    </row>
    <row r="347" spans="1:14" x14ac:dyDescent="0.2">
      <c r="A347" s="95"/>
      <c r="B347" s="96"/>
      <c r="C347" s="96"/>
      <c r="D347" s="96"/>
      <c r="E347" s="96"/>
      <c r="F347" s="96"/>
      <c r="G347" s="96"/>
      <c r="H347" s="96"/>
      <c r="I347" s="96"/>
      <c r="N347" s="35" t="s">
        <v>233</v>
      </c>
    </row>
    <row r="348" spans="1:14" x14ac:dyDescent="0.2">
      <c r="A348" s="95"/>
      <c r="B348" s="96"/>
      <c r="C348" s="96"/>
      <c r="D348" s="96"/>
      <c r="E348" s="96"/>
      <c r="F348" s="96"/>
      <c r="G348" s="96"/>
      <c r="H348" s="96"/>
      <c r="I348" s="96"/>
      <c r="N348" s="35" t="s">
        <v>234</v>
      </c>
    </row>
    <row r="349" spans="1:14" x14ac:dyDescent="0.2">
      <c r="A349" s="95"/>
      <c r="B349" s="96"/>
      <c r="C349" s="96"/>
      <c r="D349" s="96"/>
      <c r="E349" s="96"/>
      <c r="F349" s="96"/>
      <c r="G349" s="96"/>
      <c r="H349" s="96"/>
      <c r="I349" s="96"/>
      <c r="N349" s="35" t="s">
        <v>235</v>
      </c>
    </row>
    <row r="350" spans="1:14" x14ac:dyDescent="0.2">
      <c r="A350" s="95"/>
      <c r="B350" s="96"/>
      <c r="C350" s="96"/>
      <c r="D350" s="96"/>
      <c r="E350" s="96"/>
      <c r="F350" s="96"/>
      <c r="G350" s="96"/>
      <c r="H350" s="96"/>
      <c r="I350" s="96"/>
      <c r="N350" s="35" t="s">
        <v>236</v>
      </c>
    </row>
    <row r="351" spans="1:14" x14ac:dyDescent="0.2">
      <c r="A351" s="95"/>
      <c r="B351" s="96"/>
      <c r="C351" s="96"/>
      <c r="D351" s="96"/>
      <c r="E351" s="96"/>
      <c r="F351" s="96"/>
      <c r="G351" s="96"/>
      <c r="H351" s="96"/>
      <c r="I351" s="96"/>
      <c r="N351" s="35" t="s">
        <v>237</v>
      </c>
    </row>
    <row r="352" spans="1:14" x14ac:dyDescent="0.2">
      <c r="A352" s="95"/>
      <c r="B352" s="96"/>
      <c r="C352" s="96"/>
      <c r="D352" s="96"/>
      <c r="E352" s="96"/>
      <c r="F352" s="96"/>
      <c r="G352" s="96"/>
      <c r="H352" s="96"/>
      <c r="I352" s="96"/>
      <c r="N352" s="35" t="s">
        <v>430</v>
      </c>
    </row>
    <row r="353" spans="1:14" x14ac:dyDescent="0.2">
      <c r="A353" s="95"/>
      <c r="B353" s="96"/>
      <c r="C353" s="96"/>
      <c r="D353" s="96"/>
      <c r="E353" s="96"/>
      <c r="F353" s="96"/>
      <c r="G353" s="96"/>
      <c r="H353" s="96"/>
      <c r="I353" s="96"/>
      <c r="N353" s="35" t="s">
        <v>238</v>
      </c>
    </row>
    <row r="354" spans="1:14" x14ac:dyDescent="0.2">
      <c r="A354" s="95"/>
      <c r="B354" s="96"/>
      <c r="C354" s="96"/>
      <c r="D354" s="96"/>
      <c r="E354" s="96"/>
      <c r="F354" s="96"/>
      <c r="G354" s="96"/>
      <c r="H354" s="96"/>
      <c r="I354" s="96"/>
      <c r="N354" s="35" t="s">
        <v>239</v>
      </c>
    </row>
    <row r="355" spans="1:14" x14ac:dyDescent="0.2">
      <c r="A355" s="95"/>
      <c r="B355" s="96"/>
      <c r="C355" s="96"/>
      <c r="D355" s="96"/>
      <c r="E355" s="96"/>
      <c r="F355" s="96"/>
      <c r="G355" s="96"/>
      <c r="H355" s="96"/>
      <c r="I355" s="96"/>
      <c r="N355" s="35" t="s">
        <v>240</v>
      </c>
    </row>
    <row r="356" spans="1:14" x14ac:dyDescent="0.2">
      <c r="A356" s="95"/>
      <c r="B356" s="96"/>
      <c r="C356" s="96"/>
      <c r="D356" s="96"/>
      <c r="E356" s="96"/>
      <c r="F356" s="96"/>
      <c r="G356" s="96"/>
      <c r="H356" s="96"/>
      <c r="I356" s="96"/>
      <c r="N356" s="35" t="s">
        <v>242</v>
      </c>
    </row>
    <row r="357" spans="1:14" x14ac:dyDescent="0.2">
      <c r="A357" s="95"/>
      <c r="B357" s="96"/>
      <c r="C357" s="96"/>
      <c r="D357" s="96"/>
      <c r="E357" s="96"/>
      <c r="F357" s="96"/>
      <c r="G357" s="96"/>
      <c r="H357" s="96"/>
      <c r="I357" s="96"/>
      <c r="N357" s="35" t="s">
        <v>241</v>
      </c>
    </row>
    <row r="358" spans="1:14" x14ac:dyDescent="0.2">
      <c r="A358" s="95"/>
      <c r="B358" s="96"/>
      <c r="C358" s="96"/>
      <c r="D358" s="96"/>
      <c r="E358" s="96"/>
      <c r="F358" s="96"/>
      <c r="G358" s="96"/>
      <c r="H358" s="96"/>
      <c r="I358" s="96"/>
      <c r="N358" s="35" t="s">
        <v>243</v>
      </c>
    </row>
    <row r="359" spans="1:14" x14ac:dyDescent="0.2">
      <c r="A359" s="95"/>
      <c r="B359" s="96"/>
      <c r="C359" s="96"/>
      <c r="D359" s="96"/>
      <c r="E359" s="96"/>
      <c r="F359" s="96"/>
      <c r="G359" s="96"/>
      <c r="H359" s="96"/>
      <c r="I359" s="96"/>
      <c r="N359" s="35" t="s">
        <v>244</v>
      </c>
    </row>
    <row r="360" spans="1:14" x14ac:dyDescent="0.2">
      <c r="A360" s="95"/>
      <c r="B360" s="96"/>
      <c r="C360" s="96"/>
      <c r="D360" s="96"/>
      <c r="E360" s="96"/>
      <c r="F360" s="96"/>
      <c r="G360" s="96"/>
      <c r="H360" s="96"/>
      <c r="I360" s="96"/>
      <c r="N360" s="35" t="s">
        <v>245</v>
      </c>
    </row>
    <row r="361" spans="1:14" x14ac:dyDescent="0.2">
      <c r="A361" s="95"/>
      <c r="B361" s="96"/>
      <c r="C361" s="96"/>
      <c r="D361" s="96"/>
      <c r="E361" s="96"/>
      <c r="F361" s="96"/>
      <c r="G361" s="96"/>
      <c r="H361" s="96"/>
      <c r="I361" s="96"/>
      <c r="N361" s="35" t="s">
        <v>246</v>
      </c>
    </row>
    <row r="362" spans="1:14" x14ac:dyDescent="0.2">
      <c r="A362" s="95"/>
      <c r="B362" s="96"/>
      <c r="C362" s="96"/>
      <c r="D362" s="96"/>
      <c r="E362" s="96"/>
      <c r="F362" s="96"/>
      <c r="G362" s="96"/>
      <c r="H362" s="96"/>
      <c r="I362" s="96"/>
      <c r="N362" s="35" t="s">
        <v>247</v>
      </c>
    </row>
    <row r="363" spans="1:14" x14ac:dyDescent="0.2">
      <c r="A363" s="95"/>
      <c r="B363" s="96"/>
      <c r="C363" s="96"/>
      <c r="D363" s="96"/>
      <c r="E363" s="96"/>
      <c r="F363" s="96"/>
      <c r="G363" s="96"/>
      <c r="H363" s="96"/>
      <c r="I363" s="96"/>
      <c r="N363" s="35" t="s">
        <v>248</v>
      </c>
    </row>
    <row r="364" spans="1:14" x14ac:dyDescent="0.2">
      <c r="A364" s="95"/>
      <c r="B364" s="96"/>
      <c r="C364" s="96"/>
      <c r="D364" s="96"/>
      <c r="E364" s="96"/>
      <c r="F364" s="96"/>
      <c r="G364" s="96"/>
      <c r="H364" s="96"/>
      <c r="I364" s="96"/>
      <c r="N364" s="35" t="s">
        <v>249</v>
      </c>
    </row>
    <row r="365" spans="1:14" x14ac:dyDescent="0.2">
      <c r="A365" s="95"/>
      <c r="B365" s="96"/>
      <c r="C365" s="96"/>
      <c r="D365" s="96"/>
      <c r="E365" s="96"/>
      <c r="F365" s="96"/>
      <c r="G365" s="96"/>
      <c r="H365" s="96"/>
      <c r="I365" s="96"/>
      <c r="N365" s="35" t="s">
        <v>250</v>
      </c>
    </row>
    <row r="366" spans="1:14" x14ac:dyDescent="0.2">
      <c r="A366" s="95"/>
      <c r="B366" s="96"/>
      <c r="C366" s="96"/>
      <c r="D366" s="96"/>
      <c r="E366" s="96"/>
      <c r="F366" s="96"/>
      <c r="G366" s="96"/>
      <c r="H366" s="96"/>
      <c r="I366" s="96"/>
      <c r="N366" s="35" t="s">
        <v>251</v>
      </c>
    </row>
    <row r="367" spans="1:14" x14ac:dyDescent="0.2">
      <c r="A367" s="95"/>
      <c r="B367" s="96"/>
      <c r="C367" s="96"/>
      <c r="D367" s="96"/>
      <c r="E367" s="96"/>
      <c r="F367" s="96"/>
      <c r="G367" s="96"/>
      <c r="H367" s="96"/>
      <c r="I367" s="96"/>
      <c r="N367" s="35" t="s">
        <v>252</v>
      </c>
    </row>
    <row r="368" spans="1:14" x14ac:dyDescent="0.2">
      <c r="A368" s="95"/>
      <c r="B368" s="96"/>
      <c r="C368" s="96"/>
      <c r="D368" s="96"/>
      <c r="E368" s="96"/>
      <c r="F368" s="96"/>
      <c r="G368" s="96"/>
      <c r="H368" s="96"/>
      <c r="I368" s="96"/>
      <c r="N368" s="35" t="s">
        <v>253</v>
      </c>
    </row>
    <row r="369" spans="1:14" x14ac:dyDescent="0.2">
      <c r="A369" s="95"/>
      <c r="B369" s="96"/>
      <c r="C369" s="96"/>
      <c r="D369" s="96"/>
      <c r="E369" s="96"/>
      <c r="F369" s="96"/>
      <c r="G369" s="96"/>
      <c r="H369" s="96"/>
      <c r="I369" s="96"/>
      <c r="N369" s="35" t="s">
        <v>254</v>
      </c>
    </row>
    <row r="370" spans="1:14" x14ac:dyDescent="0.2">
      <c r="A370" s="95"/>
      <c r="B370" s="96"/>
      <c r="C370" s="96"/>
      <c r="D370" s="96"/>
      <c r="E370" s="96"/>
      <c r="F370" s="96"/>
      <c r="G370" s="96"/>
      <c r="H370" s="96"/>
      <c r="I370" s="96"/>
      <c r="N370" s="35" t="s">
        <v>255</v>
      </c>
    </row>
    <row r="371" spans="1:14" x14ac:dyDescent="0.2">
      <c r="A371" s="95"/>
      <c r="B371" s="96"/>
      <c r="C371" s="96"/>
      <c r="D371" s="96"/>
      <c r="E371" s="96"/>
      <c r="F371" s="96"/>
      <c r="G371" s="96"/>
      <c r="H371" s="96"/>
      <c r="I371" s="96"/>
      <c r="N371" s="35" t="s">
        <v>256</v>
      </c>
    </row>
    <row r="372" spans="1:14" x14ac:dyDescent="0.2">
      <c r="A372" s="95"/>
      <c r="B372" s="96"/>
      <c r="C372" s="96"/>
      <c r="D372" s="96"/>
      <c r="E372" s="96"/>
      <c r="F372" s="96"/>
      <c r="G372" s="96"/>
      <c r="H372" s="96"/>
      <c r="I372" s="96"/>
      <c r="N372" s="35" t="s">
        <v>257</v>
      </c>
    </row>
    <row r="373" spans="1:14" x14ac:dyDescent="0.2">
      <c r="A373" s="95"/>
      <c r="B373" s="96"/>
      <c r="C373" s="96"/>
      <c r="D373" s="96"/>
      <c r="E373" s="96"/>
      <c r="F373" s="96"/>
      <c r="G373" s="96"/>
      <c r="H373" s="96"/>
      <c r="I373" s="96"/>
      <c r="N373" s="35" t="s">
        <v>258</v>
      </c>
    </row>
    <row r="374" spans="1:14" x14ac:dyDescent="0.2">
      <c r="A374" s="95"/>
      <c r="B374" s="96"/>
      <c r="C374" s="96"/>
      <c r="D374" s="96"/>
      <c r="E374" s="96"/>
      <c r="F374" s="96"/>
      <c r="G374" s="96"/>
      <c r="H374" s="96"/>
      <c r="I374" s="96"/>
      <c r="N374" s="35" t="s">
        <v>259</v>
      </c>
    </row>
    <row r="375" spans="1:14" x14ac:dyDescent="0.2">
      <c r="A375" s="95"/>
      <c r="B375" s="96"/>
      <c r="C375" s="96"/>
      <c r="D375" s="96"/>
      <c r="E375" s="96"/>
      <c r="F375" s="96"/>
      <c r="G375" s="96"/>
      <c r="H375" s="96"/>
      <c r="I375" s="96"/>
      <c r="N375" s="35" t="s">
        <v>260</v>
      </c>
    </row>
    <row r="376" spans="1:14" x14ac:dyDescent="0.2">
      <c r="A376" s="95"/>
      <c r="B376" s="96"/>
      <c r="C376" s="96"/>
      <c r="D376" s="96"/>
      <c r="E376" s="96"/>
      <c r="F376" s="96"/>
      <c r="G376" s="96"/>
      <c r="H376" s="96"/>
      <c r="I376" s="96"/>
      <c r="N376" s="35" t="s">
        <v>261</v>
      </c>
    </row>
    <row r="377" spans="1:14" x14ac:dyDescent="0.2">
      <c r="A377" s="95"/>
      <c r="B377" s="96"/>
      <c r="C377" s="96"/>
      <c r="D377" s="96"/>
      <c r="E377" s="96"/>
      <c r="F377" s="96"/>
      <c r="G377" s="96"/>
      <c r="H377" s="96"/>
      <c r="I377" s="96"/>
      <c r="N377" s="35" t="s">
        <v>262</v>
      </c>
    </row>
    <row r="378" spans="1:14" x14ac:dyDescent="0.2">
      <c r="A378" s="95"/>
      <c r="B378" s="96"/>
      <c r="C378" s="96"/>
      <c r="D378" s="96"/>
      <c r="E378" s="96"/>
      <c r="F378" s="96"/>
      <c r="G378" s="96"/>
      <c r="H378" s="96"/>
      <c r="I378" s="96"/>
      <c r="N378" s="35" t="s">
        <v>263</v>
      </c>
    </row>
    <row r="379" spans="1:14" x14ac:dyDescent="0.2">
      <c r="A379" s="95"/>
      <c r="B379" s="96"/>
      <c r="C379" s="96"/>
      <c r="D379" s="96"/>
      <c r="E379" s="96"/>
      <c r="F379" s="96"/>
      <c r="G379" s="96"/>
      <c r="H379" s="96"/>
      <c r="I379" s="96"/>
      <c r="N379" s="35" t="s">
        <v>264</v>
      </c>
    </row>
    <row r="380" spans="1:14" x14ac:dyDescent="0.2">
      <c r="A380" s="95"/>
      <c r="B380" s="96"/>
      <c r="C380" s="96"/>
      <c r="D380" s="96"/>
      <c r="E380" s="96"/>
      <c r="F380" s="96"/>
      <c r="G380" s="96"/>
      <c r="H380" s="96"/>
      <c r="I380" s="96"/>
      <c r="N380" s="35" t="s">
        <v>265</v>
      </c>
    </row>
    <row r="381" spans="1:14" x14ac:dyDescent="0.2">
      <c r="A381" s="95"/>
      <c r="B381" s="96"/>
      <c r="C381" s="96"/>
      <c r="D381" s="96"/>
      <c r="E381" s="96"/>
      <c r="F381" s="96"/>
      <c r="G381" s="96"/>
      <c r="H381" s="96"/>
      <c r="I381" s="96"/>
      <c r="N381" s="35" t="s">
        <v>266</v>
      </c>
    </row>
    <row r="382" spans="1:14" x14ac:dyDescent="0.2">
      <c r="A382" s="95"/>
      <c r="B382" s="96"/>
      <c r="C382" s="96"/>
      <c r="D382" s="96"/>
      <c r="E382" s="96"/>
      <c r="F382" s="96"/>
      <c r="G382" s="96"/>
      <c r="H382" s="96"/>
      <c r="I382" s="96"/>
      <c r="N382" s="35" t="s">
        <v>267</v>
      </c>
    </row>
    <row r="383" spans="1:14" x14ac:dyDescent="0.2">
      <c r="A383" s="95"/>
      <c r="B383" s="96"/>
      <c r="C383" s="96"/>
      <c r="D383" s="96"/>
      <c r="E383" s="96"/>
      <c r="F383" s="96"/>
      <c r="G383" s="96"/>
      <c r="H383" s="96"/>
      <c r="I383" s="96"/>
      <c r="N383" s="35" t="s">
        <v>429</v>
      </c>
    </row>
    <row r="384" spans="1:14" x14ac:dyDescent="0.2">
      <c r="A384" s="95"/>
      <c r="B384" s="96"/>
      <c r="C384" s="96"/>
      <c r="D384" s="96"/>
      <c r="E384" s="96"/>
      <c r="F384" s="96"/>
      <c r="G384" s="96"/>
      <c r="H384" s="96"/>
      <c r="I384" s="96"/>
      <c r="N384" s="35" t="s">
        <v>268</v>
      </c>
    </row>
    <row r="385" spans="1:14" x14ac:dyDescent="0.2">
      <c r="A385" s="95"/>
      <c r="B385" s="96"/>
      <c r="C385" s="96"/>
      <c r="D385" s="96"/>
      <c r="E385" s="96"/>
      <c r="F385" s="96"/>
      <c r="G385" s="96"/>
      <c r="H385" s="96"/>
      <c r="I385" s="96"/>
      <c r="N385" s="35" t="s">
        <v>428</v>
      </c>
    </row>
    <row r="386" spans="1:14" x14ac:dyDescent="0.2">
      <c r="A386" s="95"/>
      <c r="B386" s="96"/>
      <c r="C386" s="96"/>
      <c r="D386" s="96"/>
      <c r="E386" s="96"/>
      <c r="F386" s="96"/>
      <c r="G386" s="96"/>
      <c r="H386" s="96"/>
      <c r="I386" s="96"/>
      <c r="N386" s="35" t="s">
        <v>269</v>
      </c>
    </row>
    <row r="387" spans="1:14" x14ac:dyDescent="0.2">
      <c r="A387" s="95"/>
      <c r="B387" s="96"/>
      <c r="C387" s="96"/>
      <c r="D387" s="96"/>
      <c r="E387" s="96"/>
      <c r="F387" s="96"/>
      <c r="G387" s="96"/>
      <c r="H387" s="96"/>
      <c r="I387" s="96"/>
      <c r="N387" s="35" t="s">
        <v>270</v>
      </c>
    </row>
    <row r="388" spans="1:14" x14ac:dyDescent="0.2">
      <c r="A388" s="95"/>
      <c r="B388" s="96"/>
      <c r="C388" s="96"/>
      <c r="D388" s="96"/>
      <c r="E388" s="96"/>
      <c r="F388" s="96"/>
      <c r="G388" s="96"/>
      <c r="H388" s="96"/>
      <c r="I388" s="96"/>
      <c r="N388" s="35" t="s">
        <v>271</v>
      </c>
    </row>
    <row r="389" spans="1:14" x14ac:dyDescent="0.2">
      <c r="A389" s="95"/>
      <c r="B389" s="96"/>
      <c r="C389" s="96"/>
      <c r="D389" s="96"/>
      <c r="E389" s="96"/>
      <c r="F389" s="96"/>
      <c r="G389" s="96"/>
      <c r="H389" s="96"/>
      <c r="I389" s="96"/>
      <c r="N389" s="35" t="s">
        <v>272</v>
      </c>
    </row>
    <row r="390" spans="1:14" x14ac:dyDescent="0.2">
      <c r="A390" s="95"/>
      <c r="B390" s="96"/>
      <c r="C390" s="96"/>
      <c r="D390" s="96"/>
      <c r="E390" s="96"/>
      <c r="F390" s="96"/>
      <c r="G390" s="96"/>
      <c r="H390" s="96"/>
      <c r="I390" s="96"/>
      <c r="N390" s="35" t="s">
        <v>273</v>
      </c>
    </row>
    <row r="391" spans="1:14" x14ac:dyDescent="0.2">
      <c r="A391" s="95"/>
      <c r="B391" s="96"/>
      <c r="C391" s="96"/>
      <c r="D391" s="96"/>
      <c r="E391" s="96"/>
      <c r="F391" s="96"/>
      <c r="G391" s="96"/>
      <c r="H391" s="96"/>
      <c r="I391" s="96"/>
      <c r="N391" s="35" t="s">
        <v>274</v>
      </c>
    </row>
    <row r="392" spans="1:14" x14ac:dyDescent="0.2">
      <c r="A392" s="95"/>
      <c r="B392" s="96"/>
      <c r="C392" s="96"/>
      <c r="D392" s="96"/>
      <c r="E392" s="96"/>
      <c r="F392" s="96"/>
      <c r="G392" s="96"/>
      <c r="H392" s="96"/>
      <c r="I392" s="96"/>
      <c r="N392" s="35" t="s">
        <v>275</v>
      </c>
    </row>
    <row r="393" spans="1:14" x14ac:dyDescent="0.2">
      <c r="A393" s="95"/>
      <c r="B393" s="96"/>
      <c r="C393" s="96"/>
      <c r="D393" s="96"/>
      <c r="E393" s="96"/>
      <c r="F393" s="96"/>
      <c r="G393" s="96"/>
      <c r="H393" s="96"/>
      <c r="I393" s="96"/>
      <c r="N393" s="35" t="s">
        <v>276</v>
      </c>
    </row>
    <row r="394" spans="1:14" x14ac:dyDescent="0.2">
      <c r="A394" s="95"/>
      <c r="B394" s="96"/>
      <c r="C394" s="96"/>
      <c r="D394" s="96"/>
      <c r="E394" s="96"/>
      <c r="F394" s="96"/>
      <c r="G394" s="96"/>
      <c r="H394" s="96"/>
      <c r="I394" s="96"/>
      <c r="N394" s="35" t="s">
        <v>277</v>
      </c>
    </row>
    <row r="395" spans="1:14" x14ac:dyDescent="0.2">
      <c r="A395" s="95"/>
      <c r="B395" s="96"/>
      <c r="C395" s="96"/>
      <c r="D395" s="96"/>
      <c r="E395" s="96"/>
      <c r="F395" s="96"/>
      <c r="G395" s="96"/>
      <c r="H395" s="96"/>
      <c r="I395" s="96"/>
      <c r="N395" s="35" t="s">
        <v>278</v>
      </c>
    </row>
    <row r="396" spans="1:14" x14ac:dyDescent="0.2">
      <c r="A396" s="95"/>
      <c r="B396" s="96"/>
      <c r="C396" s="96"/>
      <c r="D396" s="96"/>
      <c r="E396" s="96"/>
      <c r="F396" s="96"/>
      <c r="G396" s="96"/>
      <c r="H396" s="96"/>
      <c r="I396" s="96"/>
      <c r="N396" s="35" t="s">
        <v>279</v>
      </c>
    </row>
    <row r="397" spans="1:14" x14ac:dyDescent="0.2">
      <c r="A397" s="95"/>
      <c r="B397" s="96"/>
      <c r="C397" s="96"/>
      <c r="D397" s="96"/>
      <c r="E397" s="96"/>
      <c r="F397" s="96"/>
      <c r="G397" s="96"/>
      <c r="H397" s="96"/>
      <c r="I397" s="96"/>
      <c r="N397" s="35" t="s">
        <v>280</v>
      </c>
    </row>
    <row r="398" spans="1:14" x14ac:dyDescent="0.2">
      <c r="A398" s="95"/>
      <c r="B398" s="96"/>
      <c r="C398" s="96"/>
      <c r="D398" s="96"/>
      <c r="E398" s="96"/>
      <c r="F398" s="96"/>
      <c r="G398" s="96"/>
      <c r="H398" s="96"/>
      <c r="I398" s="96"/>
      <c r="N398" s="35" t="s">
        <v>281</v>
      </c>
    </row>
    <row r="399" spans="1:14" x14ac:dyDescent="0.2">
      <c r="A399" s="95"/>
      <c r="B399" s="96"/>
      <c r="C399" s="96"/>
      <c r="D399" s="96"/>
      <c r="E399" s="96"/>
      <c r="F399" s="96"/>
      <c r="G399" s="96"/>
      <c r="H399" s="96"/>
      <c r="I399" s="96"/>
      <c r="N399" s="35" t="s">
        <v>282</v>
      </c>
    </row>
    <row r="400" spans="1:14" x14ac:dyDescent="0.2">
      <c r="A400" s="95"/>
      <c r="B400" s="96"/>
      <c r="C400" s="96"/>
      <c r="D400" s="96"/>
      <c r="E400" s="96"/>
      <c r="F400" s="96"/>
      <c r="G400" s="96"/>
      <c r="H400" s="96"/>
      <c r="I400" s="96"/>
      <c r="N400" s="35" t="s">
        <v>283</v>
      </c>
    </row>
    <row r="401" spans="1:14" x14ac:dyDescent="0.2">
      <c r="A401" s="95"/>
      <c r="B401" s="96"/>
      <c r="C401" s="96"/>
      <c r="D401" s="96"/>
      <c r="E401" s="96"/>
      <c r="F401" s="96"/>
      <c r="G401" s="96"/>
      <c r="H401" s="96"/>
      <c r="I401" s="96"/>
      <c r="N401" s="35" t="s">
        <v>284</v>
      </c>
    </row>
    <row r="402" spans="1:14" x14ac:dyDescent="0.2">
      <c r="A402" s="95"/>
      <c r="B402" s="96"/>
      <c r="C402" s="96"/>
      <c r="D402" s="96"/>
      <c r="E402" s="96"/>
      <c r="F402" s="96"/>
      <c r="G402" s="96"/>
      <c r="H402" s="96"/>
      <c r="I402" s="96"/>
      <c r="N402" s="35" t="s">
        <v>285</v>
      </c>
    </row>
    <row r="403" spans="1:14" x14ac:dyDescent="0.2">
      <c r="A403" s="95"/>
      <c r="B403" s="96"/>
      <c r="C403" s="96"/>
      <c r="D403" s="96"/>
      <c r="E403" s="96"/>
      <c r="F403" s="96"/>
      <c r="G403" s="96"/>
      <c r="H403" s="96"/>
      <c r="I403" s="96"/>
      <c r="N403" s="35" t="s">
        <v>286</v>
      </c>
    </row>
    <row r="404" spans="1:14" x14ac:dyDescent="0.2">
      <c r="A404" s="95"/>
      <c r="B404" s="96"/>
      <c r="C404" s="96"/>
      <c r="D404" s="96"/>
      <c r="E404" s="96"/>
      <c r="F404" s="96"/>
      <c r="G404" s="96"/>
      <c r="N404" s="35" t="s">
        <v>287</v>
      </c>
    </row>
    <row r="405" spans="1:14" x14ac:dyDescent="0.2">
      <c r="A405" s="95"/>
      <c r="B405" s="96"/>
      <c r="C405" s="96"/>
      <c r="D405" s="96"/>
      <c r="E405" s="96"/>
      <c r="F405" s="96"/>
      <c r="G405" s="96"/>
      <c r="N405" s="35" t="s">
        <v>288</v>
      </c>
    </row>
    <row r="406" spans="1:14" x14ac:dyDescent="0.2">
      <c r="A406" s="95"/>
      <c r="B406" s="96"/>
      <c r="C406" s="96"/>
      <c r="D406" s="96"/>
      <c r="E406" s="96"/>
      <c r="F406" s="96"/>
      <c r="G406" s="96"/>
      <c r="N406" s="35" t="s">
        <v>289</v>
      </c>
    </row>
    <row r="407" spans="1:14" x14ac:dyDescent="0.2">
      <c r="A407" s="95"/>
      <c r="B407" s="96"/>
      <c r="C407" s="96"/>
      <c r="D407" s="96"/>
      <c r="E407" s="96"/>
      <c r="F407" s="96"/>
      <c r="G407" s="96"/>
      <c r="N407" s="35" t="s">
        <v>427</v>
      </c>
    </row>
    <row r="408" spans="1:14" x14ac:dyDescent="0.2">
      <c r="A408" s="95"/>
      <c r="B408" s="96"/>
      <c r="C408" s="96"/>
      <c r="D408" s="96"/>
      <c r="E408" s="96"/>
      <c r="F408" s="96"/>
      <c r="G408" s="96"/>
      <c r="N408" s="35" t="s">
        <v>426</v>
      </c>
    </row>
    <row r="409" spans="1:14" x14ac:dyDescent="0.2">
      <c r="A409" s="95"/>
      <c r="B409" s="96"/>
      <c r="C409" s="96"/>
      <c r="D409" s="96"/>
      <c r="E409" s="96"/>
      <c r="F409" s="96"/>
      <c r="G409" s="96"/>
      <c r="N409" s="35" t="s">
        <v>425</v>
      </c>
    </row>
    <row r="410" spans="1:14" x14ac:dyDescent="0.2">
      <c r="A410" s="95"/>
      <c r="B410" s="96"/>
      <c r="C410" s="96"/>
      <c r="D410" s="96"/>
      <c r="E410" s="96"/>
      <c r="F410" s="96"/>
      <c r="G410" s="96"/>
      <c r="N410" s="35" t="s">
        <v>424</v>
      </c>
    </row>
    <row r="411" spans="1:14" x14ac:dyDescent="0.2">
      <c r="A411" s="95"/>
      <c r="B411" s="96"/>
      <c r="C411" s="96"/>
      <c r="D411" s="96"/>
      <c r="E411" s="96"/>
      <c r="F411" s="96"/>
      <c r="G411" s="96"/>
      <c r="N411" s="35" t="s">
        <v>423</v>
      </c>
    </row>
    <row r="412" spans="1:14" x14ac:dyDescent="0.2">
      <c r="A412" s="95"/>
      <c r="B412" s="96"/>
      <c r="C412" s="96"/>
      <c r="D412" s="96"/>
      <c r="E412" s="96"/>
      <c r="F412" s="96"/>
      <c r="G412" s="96"/>
      <c r="N412" s="35" t="s">
        <v>422</v>
      </c>
    </row>
    <row r="413" spans="1:14" x14ac:dyDescent="0.2">
      <c r="A413" s="95"/>
      <c r="B413" s="96"/>
      <c r="C413" s="96"/>
      <c r="D413" s="96"/>
      <c r="E413" s="96"/>
      <c r="F413" s="96"/>
      <c r="G413" s="96"/>
      <c r="N413" s="35" t="s">
        <v>145</v>
      </c>
    </row>
    <row r="414" spans="1:14" x14ac:dyDescent="0.2">
      <c r="A414" s="95"/>
      <c r="B414" s="96"/>
      <c r="C414" s="96"/>
      <c r="D414" s="96"/>
      <c r="E414" s="96"/>
      <c r="F414" s="96"/>
      <c r="G414" s="96"/>
      <c r="N414" s="35" t="s">
        <v>290</v>
      </c>
    </row>
    <row r="415" spans="1:14" x14ac:dyDescent="0.2">
      <c r="A415" s="95"/>
      <c r="B415" s="96"/>
      <c r="C415" s="96"/>
      <c r="D415" s="96"/>
      <c r="E415" s="96"/>
      <c r="F415" s="96"/>
      <c r="G415" s="96"/>
      <c r="N415" s="35" t="s">
        <v>291</v>
      </c>
    </row>
    <row r="416" spans="1:14" x14ac:dyDescent="0.2">
      <c r="A416" s="95"/>
      <c r="B416" s="96"/>
      <c r="C416" s="96"/>
      <c r="D416" s="96"/>
      <c r="E416" s="96"/>
      <c r="F416" s="96"/>
      <c r="G416" s="96"/>
      <c r="N416" s="35" t="s">
        <v>292</v>
      </c>
    </row>
    <row r="417" spans="1:14" x14ac:dyDescent="0.2">
      <c r="A417" s="95"/>
      <c r="B417" s="96"/>
      <c r="C417" s="96"/>
      <c r="D417" s="96"/>
      <c r="E417" s="96"/>
      <c r="F417" s="96"/>
      <c r="G417" s="96"/>
      <c r="N417" s="35" t="s">
        <v>293</v>
      </c>
    </row>
    <row r="418" spans="1:14" x14ac:dyDescent="0.2">
      <c r="A418" s="95"/>
      <c r="B418" s="96"/>
      <c r="C418" s="96"/>
      <c r="D418" s="96"/>
      <c r="E418" s="96"/>
      <c r="F418" s="96"/>
      <c r="G418" s="96"/>
      <c r="N418" s="35" t="s">
        <v>294</v>
      </c>
    </row>
    <row r="419" spans="1:14" x14ac:dyDescent="0.2">
      <c r="A419" s="95"/>
      <c r="B419" s="96"/>
      <c r="C419" s="96"/>
      <c r="D419" s="96"/>
      <c r="E419" s="96"/>
      <c r="F419" s="96"/>
      <c r="G419" s="96"/>
      <c r="N419" s="35" t="s">
        <v>295</v>
      </c>
    </row>
    <row r="420" spans="1:14" x14ac:dyDescent="0.2">
      <c r="A420" s="95"/>
      <c r="B420" s="96"/>
      <c r="C420" s="96"/>
      <c r="D420" s="96"/>
      <c r="E420" s="96"/>
      <c r="F420" s="96"/>
      <c r="G420" s="96"/>
      <c r="N420" s="35" t="s">
        <v>296</v>
      </c>
    </row>
    <row r="421" spans="1:14" x14ac:dyDescent="0.2">
      <c r="A421" s="95"/>
      <c r="B421" s="96"/>
      <c r="C421" s="96"/>
      <c r="D421" s="96"/>
      <c r="E421" s="96"/>
      <c r="F421" s="96"/>
      <c r="G421" s="96"/>
      <c r="N421" s="35" t="s">
        <v>297</v>
      </c>
    </row>
    <row r="422" spans="1:14" x14ac:dyDescent="0.2">
      <c r="A422" s="95"/>
      <c r="B422" s="96"/>
      <c r="C422" s="96"/>
      <c r="D422" s="96"/>
      <c r="E422" s="96"/>
      <c r="F422" s="96"/>
      <c r="G422" s="96"/>
      <c r="N422" s="35" t="s">
        <v>298</v>
      </c>
    </row>
    <row r="423" spans="1:14" x14ac:dyDescent="0.2">
      <c r="A423" s="95"/>
      <c r="B423" s="96"/>
      <c r="C423" s="96"/>
      <c r="D423" s="96"/>
      <c r="E423" s="96"/>
      <c r="F423" s="96"/>
      <c r="G423" s="96"/>
      <c r="N423" s="35" t="s">
        <v>299</v>
      </c>
    </row>
    <row r="424" spans="1:14" x14ac:dyDescent="0.2">
      <c r="A424" s="95"/>
      <c r="B424" s="96"/>
      <c r="C424" s="96"/>
      <c r="D424" s="96"/>
      <c r="E424" s="96"/>
      <c r="F424" s="96"/>
      <c r="G424" s="96"/>
      <c r="N424" s="35" t="s">
        <v>300</v>
      </c>
    </row>
    <row r="425" spans="1:14" x14ac:dyDescent="0.2">
      <c r="A425" s="95"/>
      <c r="B425" s="96"/>
      <c r="C425" s="96"/>
      <c r="D425" s="96"/>
      <c r="E425" s="96"/>
      <c r="F425" s="96"/>
      <c r="G425" s="96"/>
      <c r="N425" s="35" t="s">
        <v>301</v>
      </c>
    </row>
    <row r="426" spans="1:14" x14ac:dyDescent="0.2">
      <c r="A426" s="95"/>
      <c r="B426" s="96"/>
      <c r="C426" s="96"/>
      <c r="D426" s="96"/>
      <c r="E426" s="96"/>
      <c r="F426" s="96"/>
      <c r="G426" s="96"/>
      <c r="N426" s="35" t="s">
        <v>302</v>
      </c>
    </row>
    <row r="427" spans="1:14" x14ac:dyDescent="0.2">
      <c r="A427" s="95"/>
      <c r="B427" s="96"/>
      <c r="C427" s="96"/>
      <c r="D427" s="96"/>
      <c r="E427" s="96"/>
      <c r="F427" s="96"/>
      <c r="G427" s="96"/>
      <c r="N427" s="35" t="s">
        <v>303</v>
      </c>
    </row>
    <row r="428" spans="1:14" x14ac:dyDescent="0.2">
      <c r="A428" s="95"/>
      <c r="B428" s="96"/>
      <c r="C428" s="96"/>
      <c r="D428" s="96"/>
      <c r="E428" s="96"/>
      <c r="F428" s="96"/>
      <c r="G428" s="96"/>
      <c r="N428" s="35" t="s">
        <v>304</v>
      </c>
    </row>
    <row r="429" spans="1:14" x14ac:dyDescent="0.2">
      <c r="A429" s="95"/>
      <c r="B429" s="96"/>
      <c r="C429" s="96"/>
      <c r="D429" s="96"/>
      <c r="E429" s="96"/>
      <c r="F429" s="96"/>
      <c r="G429" s="96"/>
      <c r="N429" s="35" t="s">
        <v>421</v>
      </c>
    </row>
    <row r="430" spans="1:14" x14ac:dyDescent="0.2">
      <c r="A430" s="95"/>
      <c r="B430" s="96"/>
      <c r="C430" s="96"/>
      <c r="D430" s="96"/>
      <c r="E430" s="96"/>
      <c r="F430" s="96"/>
      <c r="G430" s="96"/>
      <c r="N430" s="35" t="s">
        <v>305</v>
      </c>
    </row>
    <row r="431" spans="1:14" x14ac:dyDescent="0.2">
      <c r="A431" s="95"/>
      <c r="B431" s="96"/>
      <c r="C431" s="96"/>
      <c r="D431" s="96"/>
      <c r="E431" s="96"/>
      <c r="F431" s="96"/>
      <c r="G431" s="96"/>
      <c r="N431" s="35" t="s">
        <v>306</v>
      </c>
    </row>
    <row r="432" spans="1:14" x14ac:dyDescent="0.2">
      <c r="A432" s="95"/>
      <c r="B432" s="96"/>
      <c r="C432" s="96"/>
      <c r="D432" s="96"/>
      <c r="E432" s="96"/>
      <c r="F432" s="96"/>
      <c r="G432" s="96"/>
      <c r="N432" s="35" t="s">
        <v>420</v>
      </c>
    </row>
    <row r="433" spans="3:14" x14ac:dyDescent="0.2">
      <c r="C433" s="96"/>
      <c r="N433" s="35" t="s">
        <v>307</v>
      </c>
    </row>
    <row r="434" spans="3:14" x14ac:dyDescent="0.2">
      <c r="N434" s="35" t="s">
        <v>308</v>
      </c>
    </row>
    <row r="435" spans="3:14" x14ac:dyDescent="0.2">
      <c r="N435" s="35" t="s">
        <v>419</v>
      </c>
    </row>
    <row r="436" spans="3:14" x14ac:dyDescent="0.2">
      <c r="N436" s="35" t="s">
        <v>309</v>
      </c>
    </row>
    <row r="437" spans="3:14" x14ac:dyDescent="0.2">
      <c r="N437" s="35" t="s">
        <v>310</v>
      </c>
    </row>
    <row r="438" spans="3:14" x14ac:dyDescent="0.2">
      <c r="N438" s="35" t="s">
        <v>311</v>
      </c>
    </row>
    <row r="439" spans="3:14" x14ac:dyDescent="0.2">
      <c r="N439" s="35" t="s">
        <v>312</v>
      </c>
    </row>
    <row r="440" spans="3:14" x14ac:dyDescent="0.2">
      <c r="N440" s="35" t="s">
        <v>313</v>
      </c>
    </row>
    <row r="441" spans="3:14" x14ac:dyDescent="0.2">
      <c r="N441" s="35" t="s">
        <v>314</v>
      </c>
    </row>
    <row r="442" spans="3:14" x14ac:dyDescent="0.2">
      <c r="N442" s="35" t="s">
        <v>315</v>
      </c>
    </row>
    <row r="443" spans="3:14" x14ac:dyDescent="0.2">
      <c r="N443" s="35" t="s">
        <v>316</v>
      </c>
    </row>
    <row r="444" spans="3:14" x14ac:dyDescent="0.2">
      <c r="N444" s="35" t="s">
        <v>317</v>
      </c>
    </row>
  </sheetData>
  <sheetProtection sheet="1" objects="1" scenarios="1"/>
  <mergeCells count="2">
    <mergeCell ref="B5:C5"/>
    <mergeCell ref="B7:D7"/>
  </mergeCells>
  <conditionalFormatting sqref="B221:B432">
    <cfRule type="expression" dxfId="10" priority="10" stopIfTrue="1">
      <formula>A221&lt;&gt;""</formula>
    </cfRule>
  </conditionalFormatting>
  <conditionalFormatting sqref="C221:C433">
    <cfRule type="expression" dxfId="9" priority="9" stopIfTrue="1">
      <formula>A221&lt;&gt;""</formula>
    </cfRule>
  </conditionalFormatting>
  <conditionalFormatting sqref="D221:D432">
    <cfRule type="expression" dxfId="8" priority="7" stopIfTrue="1">
      <formula>OR(C221="date",C221="text")</formula>
    </cfRule>
    <cfRule type="expression" dxfId="7" priority="8" stopIfTrue="1">
      <formula>OR(C221="number")</formula>
    </cfRule>
  </conditionalFormatting>
  <conditionalFormatting sqref="E221:E432">
    <cfRule type="expression" dxfId="6" priority="5" stopIfTrue="1">
      <formula>OR(C221="number",C221="text")</formula>
    </cfRule>
    <cfRule type="expression" dxfId="5" priority="6" stopIfTrue="1">
      <formula>OR(C221="datetime")</formula>
    </cfRule>
  </conditionalFormatting>
  <conditionalFormatting sqref="F221:G432">
    <cfRule type="expression" dxfId="4" priority="3" stopIfTrue="1">
      <formula>OR($C221="number", $C221="text")</formula>
    </cfRule>
    <cfRule type="expression" dxfId="3" priority="4" stopIfTrue="1">
      <formula>OR($C221="date")</formula>
    </cfRule>
  </conditionalFormatting>
  <conditionalFormatting sqref="B49:I49">
    <cfRule type="expression" dxfId="2" priority="2" stopIfTrue="1">
      <formula>NOT(ISBLANK($B$51:$B$58))</formula>
    </cfRule>
  </conditionalFormatting>
  <conditionalFormatting sqref="B56:AO59">
    <cfRule type="expression" dxfId="1" priority="1" stopIfTrue="1">
      <formula>NOT(ISBLANK($B$51:$B$58))</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21:D432 WVL983261:WVL983472 WLP983261:WLP983472 WBT983261:WBT983472 VRX983261:VRX983472 VIB983261:VIB983472 UYF983261:UYF983472 UOJ983261:UOJ983472 UEN983261:UEN983472 TUR983261:TUR983472 TKV983261:TKV983472 TAZ983261:TAZ983472 SRD983261:SRD983472 SHH983261:SHH983472 RXL983261:RXL983472 RNP983261:RNP983472 RDT983261:RDT983472 QTX983261:QTX983472 QKB983261:QKB983472 QAF983261:QAF983472 PQJ983261:PQJ983472 PGN983261:PGN983472 OWR983261:OWR983472 OMV983261:OMV983472 OCZ983261:OCZ983472 NTD983261:NTD983472 NJH983261:NJH983472 MZL983261:MZL983472 MPP983261:MPP983472 MFT983261:MFT983472 LVX983261:LVX983472 LMB983261:LMB983472 LCF983261:LCF983472 KSJ983261:KSJ983472 KIN983261:KIN983472 JYR983261:JYR983472 JOV983261:JOV983472 JEZ983261:JEZ983472 IVD983261:IVD983472 ILH983261:ILH983472 IBL983261:IBL983472 HRP983261:HRP983472 HHT983261:HHT983472 GXX983261:GXX983472 GOB983261:GOB983472 GEF983261:GEF983472 FUJ983261:FUJ983472 FKN983261:FKN983472 FAR983261:FAR983472 EQV983261:EQV983472 EGZ983261:EGZ983472 DXD983261:DXD983472 DNH983261:DNH983472 DDL983261:DDL983472 CTP983261:CTP983472 CJT983261:CJT983472 BZX983261:BZX983472 BQB983261:BQB983472 BGF983261:BGF983472 AWJ983261:AWJ983472 AMN983261:AMN983472 ACR983261:ACR983472 SV983261:SV983472 IZ983261:IZ983472 D983261:D983472 WVL917725:WVL917936 WLP917725:WLP917936 WBT917725:WBT917936 VRX917725:VRX917936 VIB917725:VIB917936 UYF917725:UYF917936 UOJ917725:UOJ917936 UEN917725:UEN917936 TUR917725:TUR917936 TKV917725:TKV917936 TAZ917725:TAZ917936 SRD917725:SRD917936 SHH917725:SHH917936 RXL917725:RXL917936 RNP917725:RNP917936 RDT917725:RDT917936 QTX917725:QTX917936 QKB917725:QKB917936 QAF917725:QAF917936 PQJ917725:PQJ917936 PGN917725:PGN917936 OWR917725:OWR917936 OMV917725:OMV917936 OCZ917725:OCZ917936 NTD917725:NTD917936 NJH917725:NJH917936 MZL917725:MZL917936 MPP917725:MPP917936 MFT917725:MFT917936 LVX917725:LVX917936 LMB917725:LMB917936 LCF917725:LCF917936 KSJ917725:KSJ917936 KIN917725:KIN917936 JYR917725:JYR917936 JOV917725:JOV917936 JEZ917725:JEZ917936 IVD917725:IVD917936 ILH917725:ILH917936 IBL917725:IBL917936 HRP917725:HRP917936 HHT917725:HHT917936 GXX917725:GXX917936 GOB917725:GOB917936 GEF917725:GEF917936 FUJ917725:FUJ917936 FKN917725:FKN917936 FAR917725:FAR917936 EQV917725:EQV917936 EGZ917725:EGZ917936 DXD917725:DXD917936 DNH917725:DNH917936 DDL917725:DDL917936 CTP917725:CTP917936 CJT917725:CJT917936 BZX917725:BZX917936 BQB917725:BQB917936 BGF917725:BGF917936 AWJ917725:AWJ917936 AMN917725:AMN917936 ACR917725:ACR917936 SV917725:SV917936 IZ917725:IZ917936 D917725:D917936 WVL852189:WVL852400 WLP852189:WLP852400 WBT852189:WBT852400 VRX852189:VRX852400 VIB852189:VIB852400 UYF852189:UYF852400 UOJ852189:UOJ852400 UEN852189:UEN852400 TUR852189:TUR852400 TKV852189:TKV852400 TAZ852189:TAZ852400 SRD852189:SRD852400 SHH852189:SHH852400 RXL852189:RXL852400 RNP852189:RNP852400 RDT852189:RDT852400 QTX852189:QTX852400 QKB852189:QKB852400 QAF852189:QAF852400 PQJ852189:PQJ852400 PGN852189:PGN852400 OWR852189:OWR852400 OMV852189:OMV852400 OCZ852189:OCZ852400 NTD852189:NTD852400 NJH852189:NJH852400 MZL852189:MZL852400 MPP852189:MPP852400 MFT852189:MFT852400 LVX852189:LVX852400 LMB852189:LMB852400 LCF852189:LCF852400 KSJ852189:KSJ852400 KIN852189:KIN852400 JYR852189:JYR852400 JOV852189:JOV852400 JEZ852189:JEZ852400 IVD852189:IVD852400 ILH852189:ILH852400 IBL852189:IBL852400 HRP852189:HRP852400 HHT852189:HHT852400 GXX852189:GXX852400 GOB852189:GOB852400 GEF852189:GEF852400 FUJ852189:FUJ852400 FKN852189:FKN852400 FAR852189:FAR852400 EQV852189:EQV852400 EGZ852189:EGZ852400 DXD852189:DXD852400 DNH852189:DNH852400 DDL852189:DDL852400 CTP852189:CTP852400 CJT852189:CJT852400 BZX852189:BZX852400 BQB852189:BQB852400 BGF852189:BGF852400 AWJ852189:AWJ852400 AMN852189:AMN852400 ACR852189:ACR852400 SV852189:SV852400 IZ852189:IZ852400 D852189:D852400 WVL786653:WVL786864 WLP786653:WLP786864 WBT786653:WBT786864 VRX786653:VRX786864 VIB786653:VIB786864 UYF786653:UYF786864 UOJ786653:UOJ786864 UEN786653:UEN786864 TUR786653:TUR786864 TKV786653:TKV786864 TAZ786653:TAZ786864 SRD786653:SRD786864 SHH786653:SHH786864 RXL786653:RXL786864 RNP786653:RNP786864 RDT786653:RDT786864 QTX786653:QTX786864 QKB786653:QKB786864 QAF786653:QAF786864 PQJ786653:PQJ786864 PGN786653:PGN786864 OWR786653:OWR786864 OMV786653:OMV786864 OCZ786653:OCZ786864 NTD786653:NTD786864 NJH786653:NJH786864 MZL786653:MZL786864 MPP786653:MPP786864 MFT786653:MFT786864 LVX786653:LVX786864 LMB786653:LMB786864 LCF786653:LCF786864 KSJ786653:KSJ786864 KIN786653:KIN786864 JYR786653:JYR786864 JOV786653:JOV786864 JEZ786653:JEZ786864 IVD786653:IVD786864 ILH786653:ILH786864 IBL786653:IBL786864 HRP786653:HRP786864 HHT786653:HHT786864 GXX786653:GXX786864 GOB786653:GOB786864 GEF786653:GEF786864 FUJ786653:FUJ786864 FKN786653:FKN786864 FAR786653:FAR786864 EQV786653:EQV786864 EGZ786653:EGZ786864 DXD786653:DXD786864 DNH786653:DNH786864 DDL786653:DDL786864 CTP786653:CTP786864 CJT786653:CJT786864 BZX786653:BZX786864 BQB786653:BQB786864 BGF786653:BGF786864 AWJ786653:AWJ786864 AMN786653:AMN786864 ACR786653:ACR786864 SV786653:SV786864 IZ786653:IZ786864 D786653:D786864 WVL721117:WVL721328 WLP721117:WLP721328 WBT721117:WBT721328 VRX721117:VRX721328 VIB721117:VIB721328 UYF721117:UYF721328 UOJ721117:UOJ721328 UEN721117:UEN721328 TUR721117:TUR721328 TKV721117:TKV721328 TAZ721117:TAZ721328 SRD721117:SRD721328 SHH721117:SHH721328 RXL721117:RXL721328 RNP721117:RNP721328 RDT721117:RDT721328 QTX721117:QTX721328 QKB721117:QKB721328 QAF721117:QAF721328 PQJ721117:PQJ721328 PGN721117:PGN721328 OWR721117:OWR721328 OMV721117:OMV721328 OCZ721117:OCZ721328 NTD721117:NTD721328 NJH721117:NJH721328 MZL721117:MZL721328 MPP721117:MPP721328 MFT721117:MFT721328 LVX721117:LVX721328 LMB721117:LMB721328 LCF721117:LCF721328 KSJ721117:KSJ721328 KIN721117:KIN721328 JYR721117:JYR721328 JOV721117:JOV721328 JEZ721117:JEZ721328 IVD721117:IVD721328 ILH721117:ILH721328 IBL721117:IBL721328 HRP721117:HRP721328 HHT721117:HHT721328 GXX721117:GXX721328 GOB721117:GOB721328 GEF721117:GEF721328 FUJ721117:FUJ721328 FKN721117:FKN721328 FAR721117:FAR721328 EQV721117:EQV721328 EGZ721117:EGZ721328 DXD721117:DXD721328 DNH721117:DNH721328 DDL721117:DDL721328 CTP721117:CTP721328 CJT721117:CJT721328 BZX721117:BZX721328 BQB721117:BQB721328 BGF721117:BGF721328 AWJ721117:AWJ721328 AMN721117:AMN721328 ACR721117:ACR721328 SV721117:SV721328 IZ721117:IZ721328 D721117:D721328 WVL655581:WVL655792 WLP655581:WLP655792 WBT655581:WBT655792 VRX655581:VRX655792 VIB655581:VIB655792 UYF655581:UYF655792 UOJ655581:UOJ655792 UEN655581:UEN655792 TUR655581:TUR655792 TKV655581:TKV655792 TAZ655581:TAZ655792 SRD655581:SRD655792 SHH655581:SHH655792 RXL655581:RXL655792 RNP655581:RNP655792 RDT655581:RDT655792 QTX655581:QTX655792 QKB655581:QKB655792 QAF655581:QAF655792 PQJ655581:PQJ655792 PGN655581:PGN655792 OWR655581:OWR655792 OMV655581:OMV655792 OCZ655581:OCZ655792 NTD655581:NTD655792 NJH655581:NJH655792 MZL655581:MZL655792 MPP655581:MPP655792 MFT655581:MFT655792 LVX655581:LVX655792 LMB655581:LMB655792 LCF655581:LCF655792 KSJ655581:KSJ655792 KIN655581:KIN655792 JYR655581:JYR655792 JOV655581:JOV655792 JEZ655581:JEZ655792 IVD655581:IVD655792 ILH655581:ILH655792 IBL655581:IBL655792 HRP655581:HRP655792 HHT655581:HHT655792 GXX655581:GXX655792 GOB655581:GOB655792 GEF655581:GEF655792 FUJ655581:FUJ655792 FKN655581:FKN655792 FAR655581:FAR655792 EQV655581:EQV655792 EGZ655581:EGZ655792 DXD655581:DXD655792 DNH655581:DNH655792 DDL655581:DDL655792 CTP655581:CTP655792 CJT655581:CJT655792 BZX655581:BZX655792 BQB655581:BQB655792 BGF655581:BGF655792 AWJ655581:AWJ655792 AMN655581:AMN655792 ACR655581:ACR655792 SV655581:SV655792 IZ655581:IZ655792 D655581:D655792 WVL590045:WVL590256 WLP590045:WLP590256 WBT590045:WBT590256 VRX590045:VRX590256 VIB590045:VIB590256 UYF590045:UYF590256 UOJ590045:UOJ590256 UEN590045:UEN590256 TUR590045:TUR590256 TKV590045:TKV590256 TAZ590045:TAZ590256 SRD590045:SRD590256 SHH590045:SHH590256 RXL590045:RXL590256 RNP590045:RNP590256 RDT590045:RDT590256 QTX590045:QTX590256 QKB590045:QKB590256 QAF590045:QAF590256 PQJ590045:PQJ590256 PGN590045:PGN590256 OWR590045:OWR590256 OMV590045:OMV590256 OCZ590045:OCZ590256 NTD590045:NTD590256 NJH590045:NJH590256 MZL590045:MZL590256 MPP590045:MPP590256 MFT590045:MFT590256 LVX590045:LVX590256 LMB590045:LMB590256 LCF590045:LCF590256 KSJ590045:KSJ590256 KIN590045:KIN590256 JYR590045:JYR590256 JOV590045:JOV590256 JEZ590045:JEZ590256 IVD590045:IVD590256 ILH590045:ILH590256 IBL590045:IBL590256 HRP590045:HRP590256 HHT590045:HHT590256 GXX590045:GXX590256 GOB590045:GOB590256 GEF590045:GEF590256 FUJ590045:FUJ590256 FKN590045:FKN590256 FAR590045:FAR590256 EQV590045:EQV590256 EGZ590045:EGZ590256 DXD590045:DXD590256 DNH590045:DNH590256 DDL590045:DDL590256 CTP590045:CTP590256 CJT590045:CJT590256 BZX590045:BZX590256 BQB590045:BQB590256 BGF590045:BGF590256 AWJ590045:AWJ590256 AMN590045:AMN590256 ACR590045:ACR590256 SV590045:SV590256 IZ590045:IZ590256 D590045:D590256 WVL524509:WVL524720 WLP524509:WLP524720 WBT524509:WBT524720 VRX524509:VRX524720 VIB524509:VIB524720 UYF524509:UYF524720 UOJ524509:UOJ524720 UEN524509:UEN524720 TUR524509:TUR524720 TKV524509:TKV524720 TAZ524509:TAZ524720 SRD524509:SRD524720 SHH524509:SHH524720 RXL524509:RXL524720 RNP524509:RNP524720 RDT524509:RDT524720 QTX524509:QTX524720 QKB524509:QKB524720 QAF524509:QAF524720 PQJ524509:PQJ524720 PGN524509:PGN524720 OWR524509:OWR524720 OMV524509:OMV524720 OCZ524509:OCZ524720 NTD524509:NTD524720 NJH524509:NJH524720 MZL524509:MZL524720 MPP524509:MPP524720 MFT524509:MFT524720 LVX524509:LVX524720 LMB524509:LMB524720 LCF524509:LCF524720 KSJ524509:KSJ524720 KIN524509:KIN524720 JYR524509:JYR524720 JOV524509:JOV524720 JEZ524509:JEZ524720 IVD524509:IVD524720 ILH524509:ILH524720 IBL524509:IBL524720 HRP524509:HRP524720 HHT524509:HHT524720 GXX524509:GXX524720 GOB524509:GOB524720 GEF524509:GEF524720 FUJ524509:FUJ524720 FKN524509:FKN524720 FAR524509:FAR524720 EQV524509:EQV524720 EGZ524509:EGZ524720 DXD524509:DXD524720 DNH524509:DNH524720 DDL524509:DDL524720 CTP524509:CTP524720 CJT524509:CJT524720 BZX524509:BZX524720 BQB524509:BQB524720 BGF524509:BGF524720 AWJ524509:AWJ524720 AMN524509:AMN524720 ACR524509:ACR524720 SV524509:SV524720 IZ524509:IZ524720 D524509:D524720 WVL458973:WVL459184 WLP458973:WLP459184 WBT458973:WBT459184 VRX458973:VRX459184 VIB458973:VIB459184 UYF458973:UYF459184 UOJ458973:UOJ459184 UEN458973:UEN459184 TUR458973:TUR459184 TKV458973:TKV459184 TAZ458973:TAZ459184 SRD458973:SRD459184 SHH458973:SHH459184 RXL458973:RXL459184 RNP458973:RNP459184 RDT458973:RDT459184 QTX458973:QTX459184 QKB458973:QKB459184 QAF458973:QAF459184 PQJ458973:PQJ459184 PGN458973:PGN459184 OWR458973:OWR459184 OMV458973:OMV459184 OCZ458973:OCZ459184 NTD458973:NTD459184 NJH458973:NJH459184 MZL458973:MZL459184 MPP458973:MPP459184 MFT458973:MFT459184 LVX458973:LVX459184 LMB458973:LMB459184 LCF458973:LCF459184 KSJ458973:KSJ459184 KIN458973:KIN459184 JYR458973:JYR459184 JOV458973:JOV459184 JEZ458973:JEZ459184 IVD458973:IVD459184 ILH458973:ILH459184 IBL458973:IBL459184 HRP458973:HRP459184 HHT458973:HHT459184 GXX458973:GXX459184 GOB458973:GOB459184 GEF458973:GEF459184 FUJ458973:FUJ459184 FKN458973:FKN459184 FAR458973:FAR459184 EQV458973:EQV459184 EGZ458973:EGZ459184 DXD458973:DXD459184 DNH458973:DNH459184 DDL458973:DDL459184 CTP458973:CTP459184 CJT458973:CJT459184 BZX458973:BZX459184 BQB458973:BQB459184 BGF458973:BGF459184 AWJ458973:AWJ459184 AMN458973:AMN459184 ACR458973:ACR459184 SV458973:SV459184 IZ458973:IZ459184 D458973:D459184 WVL393437:WVL393648 WLP393437:WLP393648 WBT393437:WBT393648 VRX393437:VRX393648 VIB393437:VIB393648 UYF393437:UYF393648 UOJ393437:UOJ393648 UEN393437:UEN393648 TUR393437:TUR393648 TKV393437:TKV393648 TAZ393437:TAZ393648 SRD393437:SRD393648 SHH393437:SHH393648 RXL393437:RXL393648 RNP393437:RNP393648 RDT393437:RDT393648 QTX393437:QTX393648 QKB393437:QKB393648 QAF393437:QAF393648 PQJ393437:PQJ393648 PGN393437:PGN393648 OWR393437:OWR393648 OMV393437:OMV393648 OCZ393437:OCZ393648 NTD393437:NTD393648 NJH393437:NJH393648 MZL393437:MZL393648 MPP393437:MPP393648 MFT393437:MFT393648 LVX393437:LVX393648 LMB393437:LMB393648 LCF393437:LCF393648 KSJ393437:KSJ393648 KIN393437:KIN393648 JYR393437:JYR393648 JOV393437:JOV393648 JEZ393437:JEZ393648 IVD393437:IVD393648 ILH393437:ILH393648 IBL393437:IBL393648 HRP393437:HRP393648 HHT393437:HHT393648 GXX393437:GXX393648 GOB393437:GOB393648 GEF393437:GEF393648 FUJ393437:FUJ393648 FKN393437:FKN393648 FAR393437:FAR393648 EQV393437:EQV393648 EGZ393437:EGZ393648 DXD393437:DXD393648 DNH393437:DNH393648 DDL393437:DDL393648 CTP393437:CTP393648 CJT393437:CJT393648 BZX393437:BZX393648 BQB393437:BQB393648 BGF393437:BGF393648 AWJ393437:AWJ393648 AMN393437:AMN393648 ACR393437:ACR393648 SV393437:SV393648 IZ393437:IZ393648 D393437:D393648 WVL327901:WVL328112 WLP327901:WLP328112 WBT327901:WBT328112 VRX327901:VRX328112 VIB327901:VIB328112 UYF327901:UYF328112 UOJ327901:UOJ328112 UEN327901:UEN328112 TUR327901:TUR328112 TKV327901:TKV328112 TAZ327901:TAZ328112 SRD327901:SRD328112 SHH327901:SHH328112 RXL327901:RXL328112 RNP327901:RNP328112 RDT327901:RDT328112 QTX327901:QTX328112 QKB327901:QKB328112 QAF327901:QAF328112 PQJ327901:PQJ328112 PGN327901:PGN328112 OWR327901:OWR328112 OMV327901:OMV328112 OCZ327901:OCZ328112 NTD327901:NTD328112 NJH327901:NJH328112 MZL327901:MZL328112 MPP327901:MPP328112 MFT327901:MFT328112 LVX327901:LVX328112 LMB327901:LMB328112 LCF327901:LCF328112 KSJ327901:KSJ328112 KIN327901:KIN328112 JYR327901:JYR328112 JOV327901:JOV328112 JEZ327901:JEZ328112 IVD327901:IVD328112 ILH327901:ILH328112 IBL327901:IBL328112 HRP327901:HRP328112 HHT327901:HHT328112 GXX327901:GXX328112 GOB327901:GOB328112 GEF327901:GEF328112 FUJ327901:FUJ328112 FKN327901:FKN328112 FAR327901:FAR328112 EQV327901:EQV328112 EGZ327901:EGZ328112 DXD327901:DXD328112 DNH327901:DNH328112 DDL327901:DDL328112 CTP327901:CTP328112 CJT327901:CJT328112 BZX327901:BZX328112 BQB327901:BQB328112 BGF327901:BGF328112 AWJ327901:AWJ328112 AMN327901:AMN328112 ACR327901:ACR328112 SV327901:SV328112 IZ327901:IZ328112 D327901:D328112 WVL262365:WVL262576 WLP262365:WLP262576 WBT262365:WBT262576 VRX262365:VRX262576 VIB262365:VIB262576 UYF262365:UYF262576 UOJ262365:UOJ262576 UEN262365:UEN262576 TUR262365:TUR262576 TKV262365:TKV262576 TAZ262365:TAZ262576 SRD262365:SRD262576 SHH262365:SHH262576 RXL262365:RXL262576 RNP262365:RNP262576 RDT262365:RDT262576 QTX262365:QTX262576 QKB262365:QKB262576 QAF262365:QAF262576 PQJ262365:PQJ262576 PGN262365:PGN262576 OWR262365:OWR262576 OMV262365:OMV262576 OCZ262365:OCZ262576 NTD262365:NTD262576 NJH262365:NJH262576 MZL262365:MZL262576 MPP262365:MPP262576 MFT262365:MFT262576 LVX262365:LVX262576 LMB262365:LMB262576 LCF262365:LCF262576 KSJ262365:KSJ262576 KIN262365:KIN262576 JYR262365:JYR262576 JOV262365:JOV262576 JEZ262365:JEZ262576 IVD262365:IVD262576 ILH262365:ILH262576 IBL262365:IBL262576 HRP262365:HRP262576 HHT262365:HHT262576 GXX262365:GXX262576 GOB262365:GOB262576 GEF262365:GEF262576 FUJ262365:FUJ262576 FKN262365:FKN262576 FAR262365:FAR262576 EQV262365:EQV262576 EGZ262365:EGZ262576 DXD262365:DXD262576 DNH262365:DNH262576 DDL262365:DDL262576 CTP262365:CTP262576 CJT262365:CJT262576 BZX262365:BZX262576 BQB262365:BQB262576 BGF262365:BGF262576 AWJ262365:AWJ262576 AMN262365:AMN262576 ACR262365:ACR262576 SV262365:SV262576 IZ262365:IZ262576 D262365:D262576 WVL196829:WVL197040 WLP196829:WLP197040 WBT196829:WBT197040 VRX196829:VRX197040 VIB196829:VIB197040 UYF196829:UYF197040 UOJ196829:UOJ197040 UEN196829:UEN197040 TUR196829:TUR197040 TKV196829:TKV197040 TAZ196829:TAZ197040 SRD196829:SRD197040 SHH196829:SHH197040 RXL196829:RXL197040 RNP196829:RNP197040 RDT196829:RDT197040 QTX196829:QTX197040 QKB196829:QKB197040 QAF196829:QAF197040 PQJ196829:PQJ197040 PGN196829:PGN197040 OWR196829:OWR197040 OMV196829:OMV197040 OCZ196829:OCZ197040 NTD196829:NTD197040 NJH196829:NJH197040 MZL196829:MZL197040 MPP196829:MPP197040 MFT196829:MFT197040 LVX196829:LVX197040 LMB196829:LMB197040 LCF196829:LCF197040 KSJ196829:KSJ197040 KIN196829:KIN197040 JYR196829:JYR197040 JOV196829:JOV197040 JEZ196829:JEZ197040 IVD196829:IVD197040 ILH196829:ILH197040 IBL196829:IBL197040 HRP196829:HRP197040 HHT196829:HHT197040 GXX196829:GXX197040 GOB196829:GOB197040 GEF196829:GEF197040 FUJ196829:FUJ197040 FKN196829:FKN197040 FAR196829:FAR197040 EQV196829:EQV197040 EGZ196829:EGZ197040 DXD196829:DXD197040 DNH196829:DNH197040 DDL196829:DDL197040 CTP196829:CTP197040 CJT196829:CJT197040 BZX196829:BZX197040 BQB196829:BQB197040 BGF196829:BGF197040 AWJ196829:AWJ197040 AMN196829:AMN197040 ACR196829:ACR197040 SV196829:SV197040 IZ196829:IZ197040 D196829:D197040 WVL131293:WVL131504 WLP131293:WLP131504 WBT131293:WBT131504 VRX131293:VRX131504 VIB131293:VIB131504 UYF131293:UYF131504 UOJ131293:UOJ131504 UEN131293:UEN131504 TUR131293:TUR131504 TKV131293:TKV131504 TAZ131293:TAZ131504 SRD131293:SRD131504 SHH131293:SHH131504 RXL131293:RXL131504 RNP131293:RNP131504 RDT131293:RDT131504 QTX131293:QTX131504 QKB131293:QKB131504 QAF131293:QAF131504 PQJ131293:PQJ131504 PGN131293:PGN131504 OWR131293:OWR131504 OMV131293:OMV131504 OCZ131293:OCZ131504 NTD131293:NTD131504 NJH131293:NJH131504 MZL131293:MZL131504 MPP131293:MPP131504 MFT131293:MFT131504 LVX131293:LVX131504 LMB131293:LMB131504 LCF131293:LCF131504 KSJ131293:KSJ131504 KIN131293:KIN131504 JYR131293:JYR131504 JOV131293:JOV131504 JEZ131293:JEZ131504 IVD131293:IVD131504 ILH131293:ILH131504 IBL131293:IBL131504 HRP131293:HRP131504 HHT131293:HHT131504 GXX131293:GXX131504 GOB131293:GOB131504 GEF131293:GEF131504 FUJ131293:FUJ131504 FKN131293:FKN131504 FAR131293:FAR131504 EQV131293:EQV131504 EGZ131293:EGZ131504 DXD131293:DXD131504 DNH131293:DNH131504 DDL131293:DDL131504 CTP131293:CTP131504 CJT131293:CJT131504 BZX131293:BZX131504 BQB131293:BQB131504 BGF131293:BGF131504 AWJ131293:AWJ131504 AMN131293:AMN131504 ACR131293:ACR131504 SV131293:SV131504 IZ131293:IZ131504 D131293:D131504 WVL65757:WVL65968 WLP65757:WLP65968 WBT65757:WBT65968 VRX65757:VRX65968 VIB65757:VIB65968 UYF65757:UYF65968 UOJ65757:UOJ65968 UEN65757:UEN65968 TUR65757:TUR65968 TKV65757:TKV65968 TAZ65757:TAZ65968 SRD65757:SRD65968 SHH65757:SHH65968 RXL65757:RXL65968 RNP65757:RNP65968 RDT65757:RDT65968 QTX65757:QTX65968 QKB65757:QKB65968 QAF65757:QAF65968 PQJ65757:PQJ65968 PGN65757:PGN65968 OWR65757:OWR65968 OMV65757:OMV65968 OCZ65757:OCZ65968 NTD65757:NTD65968 NJH65757:NJH65968 MZL65757:MZL65968 MPP65757:MPP65968 MFT65757:MFT65968 LVX65757:LVX65968 LMB65757:LMB65968 LCF65757:LCF65968 KSJ65757:KSJ65968 KIN65757:KIN65968 JYR65757:JYR65968 JOV65757:JOV65968 JEZ65757:JEZ65968 IVD65757:IVD65968 ILH65757:ILH65968 IBL65757:IBL65968 HRP65757:HRP65968 HHT65757:HHT65968 GXX65757:GXX65968 GOB65757:GOB65968 GEF65757:GEF65968 FUJ65757:FUJ65968 FKN65757:FKN65968 FAR65757:FAR65968 EQV65757:EQV65968 EGZ65757:EGZ65968 DXD65757:DXD65968 DNH65757:DNH65968 DDL65757:DDL65968 CTP65757:CTP65968 CJT65757:CJT65968 BZX65757:BZX65968 BQB65757:BQB65968 BGF65757:BGF65968 AWJ65757:AWJ65968 AMN65757:AMN65968 ACR65757:ACR65968 SV65757:SV65968 IZ65757:IZ65968 D65757:D65968 WVL221:WVL432 WLP221:WLP432 WBT221:WBT432 VRX221:VRX432 VIB221:VIB432 UYF221:UYF432 UOJ221:UOJ432 UEN221:UEN432 TUR221:TUR432 TKV221:TKV432 TAZ221:TAZ432 SRD221:SRD432 SHH221:SHH432 RXL221:RXL432 RNP221:RNP432 RDT221:RDT432 QTX221:QTX432 QKB221:QKB432 QAF221:QAF432 PQJ221:PQJ432 PGN221:PGN432 OWR221:OWR432 OMV221:OMV432 OCZ221:OCZ432 NTD221:NTD432 NJH221:NJH432 MZL221:MZL432 MPP221:MPP432 MFT221:MFT432 LVX221:LVX432 LMB221:LMB432 LCF221:LCF432 KSJ221:KSJ432 KIN221:KIN432 JYR221:JYR432 JOV221:JOV432 JEZ221:JEZ432 IVD221:IVD432 ILH221:ILH432 IBL221:IBL432 HRP221:HRP432 HHT221:HHT432 GXX221:GXX432 GOB221:GOB432 GEF221:GEF432 FUJ221:FUJ432 FKN221:FKN432 FAR221:FAR432 EQV221:EQV432 EGZ221:EGZ432 DXD221:DXD432 DNH221:DNH432 DDL221:DDL432 CTP221:CTP432 CJT221:CJT432 BZX221:BZX432 BQB221:BQB432 BGF221:BGF432 AWJ221:AWJ432 AMN221:AMN432 ACR221:ACR432 SV221:SV432 IZ221:IZ432">
      <formula1>$N$221:$N$444</formula1>
    </dataValidation>
    <dataValidation type="list" errorStyle="information" allowBlank="1" showInputMessage="1" showErrorMessage="1" errorTitle="New Site" error="If a site is not in the list enter a new Name" prompt="Select a site name or enter a new one" sqref="WVJ983185:WVQ983185 IX48:JE48 ST48:TA48 ACP48:ACW48 AML48:AMS48 AWH48:AWO48 BGD48:BGK48 BPZ48:BQG48 BZV48:CAC48 CJR48:CJY48 CTN48:CTU48 DDJ48:DDQ48 DNF48:DNM48 DXB48:DXI48 EGX48:EHE48 EQT48:ERA48 FAP48:FAW48 FKL48:FKS48 FUH48:FUO48 GED48:GEK48 GNZ48:GOG48 GXV48:GYC48 HHR48:HHY48 HRN48:HRU48 IBJ48:IBQ48 ILF48:ILM48 IVB48:IVI48 JEX48:JFE48 JOT48:JPA48 JYP48:JYW48 KIL48:KIS48 KSH48:KSO48 LCD48:LCK48 LLZ48:LMG48 LVV48:LWC48 MFR48:MFY48 MPN48:MPU48 MZJ48:MZQ48 NJF48:NJM48 NTB48:NTI48 OCX48:ODE48 OMT48:ONA48 OWP48:OWW48 PGL48:PGS48 PQH48:PQO48 QAD48:QAK48 QJZ48:QKG48 QTV48:QUC48 RDR48:RDY48 RNN48:RNU48 RXJ48:RXQ48 SHF48:SHM48 SRB48:SRI48 TAX48:TBE48 TKT48:TLA48 TUP48:TUW48 UEL48:UES48 UOH48:UOO48 UYD48:UYK48 VHZ48:VIG48 VRV48:VSC48 WBR48:WBY48 WLN48:WLU48 WVJ48:WVQ48 B65681:I65681 IX65681:JE65681 ST65681:TA65681 ACP65681:ACW65681 AML65681:AMS65681 AWH65681:AWO65681 BGD65681:BGK65681 BPZ65681:BQG65681 BZV65681:CAC65681 CJR65681:CJY65681 CTN65681:CTU65681 DDJ65681:DDQ65681 DNF65681:DNM65681 DXB65681:DXI65681 EGX65681:EHE65681 EQT65681:ERA65681 FAP65681:FAW65681 FKL65681:FKS65681 FUH65681:FUO65681 GED65681:GEK65681 GNZ65681:GOG65681 GXV65681:GYC65681 HHR65681:HHY65681 HRN65681:HRU65681 IBJ65681:IBQ65681 ILF65681:ILM65681 IVB65681:IVI65681 JEX65681:JFE65681 JOT65681:JPA65681 JYP65681:JYW65681 KIL65681:KIS65681 KSH65681:KSO65681 LCD65681:LCK65681 LLZ65681:LMG65681 LVV65681:LWC65681 MFR65681:MFY65681 MPN65681:MPU65681 MZJ65681:MZQ65681 NJF65681:NJM65681 NTB65681:NTI65681 OCX65681:ODE65681 OMT65681:ONA65681 OWP65681:OWW65681 PGL65681:PGS65681 PQH65681:PQO65681 QAD65681:QAK65681 QJZ65681:QKG65681 QTV65681:QUC65681 RDR65681:RDY65681 RNN65681:RNU65681 RXJ65681:RXQ65681 SHF65681:SHM65681 SRB65681:SRI65681 TAX65681:TBE65681 TKT65681:TLA65681 TUP65681:TUW65681 UEL65681:UES65681 UOH65681:UOO65681 UYD65681:UYK65681 VHZ65681:VIG65681 VRV65681:VSC65681 WBR65681:WBY65681 WLN65681:WLU65681 WVJ65681:WVQ65681 B131217:I131217 IX131217:JE131217 ST131217:TA131217 ACP131217:ACW131217 AML131217:AMS131217 AWH131217:AWO131217 BGD131217:BGK131217 BPZ131217:BQG131217 BZV131217:CAC131217 CJR131217:CJY131217 CTN131217:CTU131217 DDJ131217:DDQ131217 DNF131217:DNM131217 DXB131217:DXI131217 EGX131217:EHE131217 EQT131217:ERA131217 FAP131217:FAW131217 FKL131217:FKS131217 FUH131217:FUO131217 GED131217:GEK131217 GNZ131217:GOG131217 GXV131217:GYC131217 HHR131217:HHY131217 HRN131217:HRU131217 IBJ131217:IBQ131217 ILF131217:ILM131217 IVB131217:IVI131217 JEX131217:JFE131217 JOT131217:JPA131217 JYP131217:JYW131217 KIL131217:KIS131217 KSH131217:KSO131217 LCD131217:LCK131217 LLZ131217:LMG131217 LVV131217:LWC131217 MFR131217:MFY131217 MPN131217:MPU131217 MZJ131217:MZQ131217 NJF131217:NJM131217 NTB131217:NTI131217 OCX131217:ODE131217 OMT131217:ONA131217 OWP131217:OWW131217 PGL131217:PGS131217 PQH131217:PQO131217 QAD131217:QAK131217 QJZ131217:QKG131217 QTV131217:QUC131217 RDR131217:RDY131217 RNN131217:RNU131217 RXJ131217:RXQ131217 SHF131217:SHM131217 SRB131217:SRI131217 TAX131217:TBE131217 TKT131217:TLA131217 TUP131217:TUW131217 UEL131217:UES131217 UOH131217:UOO131217 UYD131217:UYK131217 VHZ131217:VIG131217 VRV131217:VSC131217 WBR131217:WBY131217 WLN131217:WLU131217 WVJ131217:WVQ131217 B196753:I196753 IX196753:JE196753 ST196753:TA196753 ACP196753:ACW196753 AML196753:AMS196753 AWH196753:AWO196753 BGD196753:BGK196753 BPZ196753:BQG196753 BZV196753:CAC196753 CJR196753:CJY196753 CTN196753:CTU196753 DDJ196753:DDQ196753 DNF196753:DNM196753 DXB196753:DXI196753 EGX196753:EHE196753 EQT196753:ERA196753 FAP196753:FAW196753 FKL196753:FKS196753 FUH196753:FUO196753 GED196753:GEK196753 GNZ196753:GOG196753 GXV196753:GYC196753 HHR196753:HHY196753 HRN196753:HRU196753 IBJ196753:IBQ196753 ILF196753:ILM196753 IVB196753:IVI196753 JEX196753:JFE196753 JOT196753:JPA196753 JYP196753:JYW196753 KIL196753:KIS196753 KSH196753:KSO196753 LCD196753:LCK196753 LLZ196753:LMG196753 LVV196753:LWC196753 MFR196753:MFY196753 MPN196753:MPU196753 MZJ196753:MZQ196753 NJF196753:NJM196753 NTB196753:NTI196753 OCX196753:ODE196753 OMT196753:ONA196753 OWP196753:OWW196753 PGL196753:PGS196753 PQH196753:PQO196753 QAD196753:QAK196753 QJZ196753:QKG196753 QTV196753:QUC196753 RDR196753:RDY196753 RNN196753:RNU196753 RXJ196753:RXQ196753 SHF196753:SHM196753 SRB196753:SRI196753 TAX196753:TBE196753 TKT196753:TLA196753 TUP196753:TUW196753 UEL196753:UES196753 UOH196753:UOO196753 UYD196753:UYK196753 VHZ196753:VIG196753 VRV196753:VSC196753 WBR196753:WBY196753 WLN196753:WLU196753 WVJ196753:WVQ196753 B262289:I262289 IX262289:JE262289 ST262289:TA262289 ACP262289:ACW262289 AML262289:AMS262289 AWH262289:AWO262289 BGD262289:BGK262289 BPZ262289:BQG262289 BZV262289:CAC262289 CJR262289:CJY262289 CTN262289:CTU262289 DDJ262289:DDQ262289 DNF262289:DNM262289 DXB262289:DXI262289 EGX262289:EHE262289 EQT262289:ERA262289 FAP262289:FAW262289 FKL262289:FKS262289 FUH262289:FUO262289 GED262289:GEK262289 GNZ262289:GOG262289 GXV262289:GYC262289 HHR262289:HHY262289 HRN262289:HRU262289 IBJ262289:IBQ262289 ILF262289:ILM262289 IVB262289:IVI262289 JEX262289:JFE262289 JOT262289:JPA262289 JYP262289:JYW262289 KIL262289:KIS262289 KSH262289:KSO262289 LCD262289:LCK262289 LLZ262289:LMG262289 LVV262289:LWC262289 MFR262289:MFY262289 MPN262289:MPU262289 MZJ262289:MZQ262289 NJF262289:NJM262289 NTB262289:NTI262289 OCX262289:ODE262289 OMT262289:ONA262289 OWP262289:OWW262289 PGL262289:PGS262289 PQH262289:PQO262289 QAD262289:QAK262289 QJZ262289:QKG262289 QTV262289:QUC262289 RDR262289:RDY262289 RNN262289:RNU262289 RXJ262289:RXQ262289 SHF262289:SHM262289 SRB262289:SRI262289 TAX262289:TBE262289 TKT262289:TLA262289 TUP262289:TUW262289 UEL262289:UES262289 UOH262289:UOO262289 UYD262289:UYK262289 VHZ262289:VIG262289 VRV262289:VSC262289 WBR262289:WBY262289 WLN262289:WLU262289 WVJ262289:WVQ262289 B327825:I327825 IX327825:JE327825 ST327825:TA327825 ACP327825:ACW327825 AML327825:AMS327825 AWH327825:AWO327825 BGD327825:BGK327825 BPZ327825:BQG327825 BZV327825:CAC327825 CJR327825:CJY327825 CTN327825:CTU327825 DDJ327825:DDQ327825 DNF327825:DNM327825 DXB327825:DXI327825 EGX327825:EHE327825 EQT327825:ERA327825 FAP327825:FAW327825 FKL327825:FKS327825 FUH327825:FUO327825 GED327825:GEK327825 GNZ327825:GOG327825 GXV327825:GYC327825 HHR327825:HHY327825 HRN327825:HRU327825 IBJ327825:IBQ327825 ILF327825:ILM327825 IVB327825:IVI327825 JEX327825:JFE327825 JOT327825:JPA327825 JYP327825:JYW327825 KIL327825:KIS327825 KSH327825:KSO327825 LCD327825:LCK327825 LLZ327825:LMG327825 LVV327825:LWC327825 MFR327825:MFY327825 MPN327825:MPU327825 MZJ327825:MZQ327825 NJF327825:NJM327825 NTB327825:NTI327825 OCX327825:ODE327825 OMT327825:ONA327825 OWP327825:OWW327825 PGL327825:PGS327825 PQH327825:PQO327825 QAD327825:QAK327825 QJZ327825:QKG327825 QTV327825:QUC327825 RDR327825:RDY327825 RNN327825:RNU327825 RXJ327825:RXQ327825 SHF327825:SHM327825 SRB327825:SRI327825 TAX327825:TBE327825 TKT327825:TLA327825 TUP327825:TUW327825 UEL327825:UES327825 UOH327825:UOO327825 UYD327825:UYK327825 VHZ327825:VIG327825 VRV327825:VSC327825 WBR327825:WBY327825 WLN327825:WLU327825 WVJ327825:WVQ327825 B393361:I393361 IX393361:JE393361 ST393361:TA393361 ACP393361:ACW393361 AML393361:AMS393361 AWH393361:AWO393361 BGD393361:BGK393361 BPZ393361:BQG393361 BZV393361:CAC393361 CJR393361:CJY393361 CTN393361:CTU393361 DDJ393361:DDQ393361 DNF393361:DNM393361 DXB393361:DXI393361 EGX393361:EHE393361 EQT393361:ERA393361 FAP393361:FAW393361 FKL393361:FKS393361 FUH393361:FUO393361 GED393361:GEK393361 GNZ393361:GOG393361 GXV393361:GYC393361 HHR393361:HHY393361 HRN393361:HRU393361 IBJ393361:IBQ393361 ILF393361:ILM393361 IVB393361:IVI393361 JEX393361:JFE393361 JOT393361:JPA393361 JYP393361:JYW393361 KIL393361:KIS393361 KSH393361:KSO393361 LCD393361:LCK393361 LLZ393361:LMG393361 LVV393361:LWC393361 MFR393361:MFY393361 MPN393361:MPU393361 MZJ393361:MZQ393361 NJF393361:NJM393361 NTB393361:NTI393361 OCX393361:ODE393361 OMT393361:ONA393361 OWP393361:OWW393361 PGL393361:PGS393361 PQH393361:PQO393361 QAD393361:QAK393361 QJZ393361:QKG393361 QTV393361:QUC393361 RDR393361:RDY393361 RNN393361:RNU393361 RXJ393361:RXQ393361 SHF393361:SHM393361 SRB393361:SRI393361 TAX393361:TBE393361 TKT393361:TLA393361 TUP393361:TUW393361 UEL393361:UES393361 UOH393361:UOO393361 UYD393361:UYK393361 VHZ393361:VIG393361 VRV393361:VSC393361 WBR393361:WBY393361 WLN393361:WLU393361 WVJ393361:WVQ393361 B458897:I458897 IX458897:JE458897 ST458897:TA458897 ACP458897:ACW458897 AML458897:AMS458897 AWH458897:AWO458897 BGD458897:BGK458897 BPZ458897:BQG458897 BZV458897:CAC458897 CJR458897:CJY458897 CTN458897:CTU458897 DDJ458897:DDQ458897 DNF458897:DNM458897 DXB458897:DXI458897 EGX458897:EHE458897 EQT458897:ERA458897 FAP458897:FAW458897 FKL458897:FKS458897 FUH458897:FUO458897 GED458897:GEK458897 GNZ458897:GOG458897 GXV458897:GYC458897 HHR458897:HHY458897 HRN458897:HRU458897 IBJ458897:IBQ458897 ILF458897:ILM458897 IVB458897:IVI458897 JEX458897:JFE458897 JOT458897:JPA458897 JYP458897:JYW458897 KIL458897:KIS458897 KSH458897:KSO458897 LCD458897:LCK458897 LLZ458897:LMG458897 LVV458897:LWC458897 MFR458897:MFY458897 MPN458897:MPU458897 MZJ458897:MZQ458897 NJF458897:NJM458897 NTB458897:NTI458897 OCX458897:ODE458897 OMT458897:ONA458897 OWP458897:OWW458897 PGL458897:PGS458897 PQH458897:PQO458897 QAD458897:QAK458897 QJZ458897:QKG458897 QTV458897:QUC458897 RDR458897:RDY458897 RNN458897:RNU458897 RXJ458897:RXQ458897 SHF458897:SHM458897 SRB458897:SRI458897 TAX458897:TBE458897 TKT458897:TLA458897 TUP458897:TUW458897 UEL458897:UES458897 UOH458897:UOO458897 UYD458897:UYK458897 VHZ458897:VIG458897 VRV458897:VSC458897 WBR458897:WBY458897 WLN458897:WLU458897 WVJ458897:WVQ458897 B524433:I524433 IX524433:JE524433 ST524433:TA524433 ACP524433:ACW524433 AML524433:AMS524433 AWH524433:AWO524433 BGD524433:BGK524433 BPZ524433:BQG524433 BZV524433:CAC524433 CJR524433:CJY524433 CTN524433:CTU524433 DDJ524433:DDQ524433 DNF524433:DNM524433 DXB524433:DXI524433 EGX524433:EHE524433 EQT524433:ERA524433 FAP524433:FAW524433 FKL524433:FKS524433 FUH524433:FUO524433 GED524433:GEK524433 GNZ524433:GOG524433 GXV524433:GYC524433 HHR524433:HHY524433 HRN524433:HRU524433 IBJ524433:IBQ524433 ILF524433:ILM524433 IVB524433:IVI524433 JEX524433:JFE524433 JOT524433:JPA524433 JYP524433:JYW524433 KIL524433:KIS524433 KSH524433:KSO524433 LCD524433:LCK524433 LLZ524433:LMG524433 LVV524433:LWC524433 MFR524433:MFY524433 MPN524433:MPU524433 MZJ524433:MZQ524433 NJF524433:NJM524433 NTB524433:NTI524433 OCX524433:ODE524433 OMT524433:ONA524433 OWP524433:OWW524433 PGL524433:PGS524433 PQH524433:PQO524433 QAD524433:QAK524433 QJZ524433:QKG524433 QTV524433:QUC524433 RDR524433:RDY524433 RNN524433:RNU524433 RXJ524433:RXQ524433 SHF524433:SHM524433 SRB524433:SRI524433 TAX524433:TBE524433 TKT524433:TLA524433 TUP524433:TUW524433 UEL524433:UES524433 UOH524433:UOO524433 UYD524433:UYK524433 VHZ524433:VIG524433 VRV524433:VSC524433 WBR524433:WBY524433 WLN524433:WLU524433 WVJ524433:WVQ524433 B589969:I589969 IX589969:JE589969 ST589969:TA589969 ACP589969:ACW589969 AML589969:AMS589969 AWH589969:AWO589969 BGD589969:BGK589969 BPZ589969:BQG589969 BZV589969:CAC589969 CJR589969:CJY589969 CTN589969:CTU589969 DDJ589969:DDQ589969 DNF589969:DNM589969 DXB589969:DXI589969 EGX589969:EHE589969 EQT589969:ERA589969 FAP589969:FAW589969 FKL589969:FKS589969 FUH589969:FUO589969 GED589969:GEK589969 GNZ589969:GOG589969 GXV589969:GYC589969 HHR589969:HHY589969 HRN589969:HRU589969 IBJ589969:IBQ589969 ILF589969:ILM589969 IVB589969:IVI589969 JEX589969:JFE589969 JOT589969:JPA589969 JYP589969:JYW589969 KIL589969:KIS589969 KSH589969:KSO589969 LCD589969:LCK589969 LLZ589969:LMG589969 LVV589969:LWC589969 MFR589969:MFY589969 MPN589969:MPU589969 MZJ589969:MZQ589969 NJF589969:NJM589969 NTB589969:NTI589969 OCX589969:ODE589969 OMT589969:ONA589969 OWP589969:OWW589969 PGL589969:PGS589969 PQH589969:PQO589969 QAD589969:QAK589969 QJZ589969:QKG589969 QTV589969:QUC589969 RDR589969:RDY589969 RNN589969:RNU589969 RXJ589969:RXQ589969 SHF589969:SHM589969 SRB589969:SRI589969 TAX589969:TBE589969 TKT589969:TLA589969 TUP589969:TUW589969 UEL589969:UES589969 UOH589969:UOO589969 UYD589969:UYK589969 VHZ589969:VIG589969 VRV589969:VSC589969 WBR589969:WBY589969 WLN589969:WLU589969 WVJ589969:WVQ589969 B655505:I655505 IX655505:JE655505 ST655505:TA655505 ACP655505:ACW655505 AML655505:AMS655505 AWH655505:AWO655505 BGD655505:BGK655505 BPZ655505:BQG655505 BZV655505:CAC655505 CJR655505:CJY655505 CTN655505:CTU655505 DDJ655505:DDQ655505 DNF655505:DNM655505 DXB655505:DXI655505 EGX655505:EHE655505 EQT655505:ERA655505 FAP655505:FAW655505 FKL655505:FKS655505 FUH655505:FUO655505 GED655505:GEK655505 GNZ655505:GOG655505 GXV655505:GYC655505 HHR655505:HHY655505 HRN655505:HRU655505 IBJ655505:IBQ655505 ILF655505:ILM655505 IVB655505:IVI655505 JEX655505:JFE655505 JOT655505:JPA655505 JYP655505:JYW655505 KIL655505:KIS655505 KSH655505:KSO655505 LCD655505:LCK655505 LLZ655505:LMG655505 LVV655505:LWC655505 MFR655505:MFY655505 MPN655505:MPU655505 MZJ655505:MZQ655505 NJF655505:NJM655505 NTB655505:NTI655505 OCX655505:ODE655505 OMT655505:ONA655505 OWP655505:OWW655505 PGL655505:PGS655505 PQH655505:PQO655505 QAD655505:QAK655505 QJZ655505:QKG655505 QTV655505:QUC655505 RDR655505:RDY655505 RNN655505:RNU655505 RXJ655505:RXQ655505 SHF655505:SHM655505 SRB655505:SRI655505 TAX655505:TBE655505 TKT655505:TLA655505 TUP655505:TUW655505 UEL655505:UES655505 UOH655505:UOO655505 UYD655505:UYK655505 VHZ655505:VIG655505 VRV655505:VSC655505 WBR655505:WBY655505 WLN655505:WLU655505 WVJ655505:WVQ655505 B721041:I721041 IX721041:JE721041 ST721041:TA721041 ACP721041:ACW721041 AML721041:AMS721041 AWH721041:AWO721041 BGD721041:BGK721041 BPZ721041:BQG721041 BZV721041:CAC721041 CJR721041:CJY721041 CTN721041:CTU721041 DDJ721041:DDQ721041 DNF721041:DNM721041 DXB721041:DXI721041 EGX721041:EHE721041 EQT721041:ERA721041 FAP721041:FAW721041 FKL721041:FKS721041 FUH721041:FUO721041 GED721041:GEK721041 GNZ721041:GOG721041 GXV721041:GYC721041 HHR721041:HHY721041 HRN721041:HRU721041 IBJ721041:IBQ721041 ILF721041:ILM721041 IVB721041:IVI721041 JEX721041:JFE721041 JOT721041:JPA721041 JYP721041:JYW721041 KIL721041:KIS721041 KSH721041:KSO721041 LCD721041:LCK721041 LLZ721041:LMG721041 LVV721041:LWC721041 MFR721041:MFY721041 MPN721041:MPU721041 MZJ721041:MZQ721041 NJF721041:NJM721041 NTB721041:NTI721041 OCX721041:ODE721041 OMT721041:ONA721041 OWP721041:OWW721041 PGL721041:PGS721041 PQH721041:PQO721041 QAD721041:QAK721041 QJZ721041:QKG721041 QTV721041:QUC721041 RDR721041:RDY721041 RNN721041:RNU721041 RXJ721041:RXQ721041 SHF721041:SHM721041 SRB721041:SRI721041 TAX721041:TBE721041 TKT721041:TLA721041 TUP721041:TUW721041 UEL721041:UES721041 UOH721041:UOO721041 UYD721041:UYK721041 VHZ721041:VIG721041 VRV721041:VSC721041 WBR721041:WBY721041 WLN721041:WLU721041 WVJ721041:WVQ721041 B786577:I786577 IX786577:JE786577 ST786577:TA786577 ACP786577:ACW786577 AML786577:AMS786577 AWH786577:AWO786577 BGD786577:BGK786577 BPZ786577:BQG786577 BZV786577:CAC786577 CJR786577:CJY786577 CTN786577:CTU786577 DDJ786577:DDQ786577 DNF786577:DNM786577 DXB786577:DXI786577 EGX786577:EHE786577 EQT786577:ERA786577 FAP786577:FAW786577 FKL786577:FKS786577 FUH786577:FUO786577 GED786577:GEK786577 GNZ786577:GOG786577 GXV786577:GYC786577 HHR786577:HHY786577 HRN786577:HRU786577 IBJ786577:IBQ786577 ILF786577:ILM786577 IVB786577:IVI786577 JEX786577:JFE786577 JOT786577:JPA786577 JYP786577:JYW786577 KIL786577:KIS786577 KSH786577:KSO786577 LCD786577:LCK786577 LLZ786577:LMG786577 LVV786577:LWC786577 MFR786577:MFY786577 MPN786577:MPU786577 MZJ786577:MZQ786577 NJF786577:NJM786577 NTB786577:NTI786577 OCX786577:ODE786577 OMT786577:ONA786577 OWP786577:OWW786577 PGL786577:PGS786577 PQH786577:PQO786577 QAD786577:QAK786577 QJZ786577:QKG786577 QTV786577:QUC786577 RDR786577:RDY786577 RNN786577:RNU786577 RXJ786577:RXQ786577 SHF786577:SHM786577 SRB786577:SRI786577 TAX786577:TBE786577 TKT786577:TLA786577 TUP786577:TUW786577 UEL786577:UES786577 UOH786577:UOO786577 UYD786577:UYK786577 VHZ786577:VIG786577 VRV786577:VSC786577 WBR786577:WBY786577 WLN786577:WLU786577 WVJ786577:WVQ786577 B852113:I852113 IX852113:JE852113 ST852113:TA852113 ACP852113:ACW852113 AML852113:AMS852113 AWH852113:AWO852113 BGD852113:BGK852113 BPZ852113:BQG852113 BZV852113:CAC852113 CJR852113:CJY852113 CTN852113:CTU852113 DDJ852113:DDQ852113 DNF852113:DNM852113 DXB852113:DXI852113 EGX852113:EHE852113 EQT852113:ERA852113 FAP852113:FAW852113 FKL852113:FKS852113 FUH852113:FUO852113 GED852113:GEK852113 GNZ852113:GOG852113 GXV852113:GYC852113 HHR852113:HHY852113 HRN852113:HRU852113 IBJ852113:IBQ852113 ILF852113:ILM852113 IVB852113:IVI852113 JEX852113:JFE852113 JOT852113:JPA852113 JYP852113:JYW852113 KIL852113:KIS852113 KSH852113:KSO852113 LCD852113:LCK852113 LLZ852113:LMG852113 LVV852113:LWC852113 MFR852113:MFY852113 MPN852113:MPU852113 MZJ852113:MZQ852113 NJF852113:NJM852113 NTB852113:NTI852113 OCX852113:ODE852113 OMT852113:ONA852113 OWP852113:OWW852113 PGL852113:PGS852113 PQH852113:PQO852113 QAD852113:QAK852113 QJZ852113:QKG852113 QTV852113:QUC852113 RDR852113:RDY852113 RNN852113:RNU852113 RXJ852113:RXQ852113 SHF852113:SHM852113 SRB852113:SRI852113 TAX852113:TBE852113 TKT852113:TLA852113 TUP852113:TUW852113 UEL852113:UES852113 UOH852113:UOO852113 UYD852113:UYK852113 VHZ852113:VIG852113 VRV852113:VSC852113 WBR852113:WBY852113 WLN852113:WLU852113 WVJ852113:WVQ852113 B917649:I917649 IX917649:JE917649 ST917649:TA917649 ACP917649:ACW917649 AML917649:AMS917649 AWH917649:AWO917649 BGD917649:BGK917649 BPZ917649:BQG917649 BZV917649:CAC917649 CJR917649:CJY917649 CTN917649:CTU917649 DDJ917649:DDQ917649 DNF917649:DNM917649 DXB917649:DXI917649 EGX917649:EHE917649 EQT917649:ERA917649 FAP917649:FAW917649 FKL917649:FKS917649 FUH917649:FUO917649 GED917649:GEK917649 GNZ917649:GOG917649 GXV917649:GYC917649 HHR917649:HHY917649 HRN917649:HRU917649 IBJ917649:IBQ917649 ILF917649:ILM917649 IVB917649:IVI917649 JEX917649:JFE917649 JOT917649:JPA917649 JYP917649:JYW917649 KIL917649:KIS917649 KSH917649:KSO917649 LCD917649:LCK917649 LLZ917649:LMG917649 LVV917649:LWC917649 MFR917649:MFY917649 MPN917649:MPU917649 MZJ917649:MZQ917649 NJF917649:NJM917649 NTB917649:NTI917649 OCX917649:ODE917649 OMT917649:ONA917649 OWP917649:OWW917649 PGL917649:PGS917649 PQH917649:PQO917649 QAD917649:QAK917649 QJZ917649:QKG917649 QTV917649:QUC917649 RDR917649:RDY917649 RNN917649:RNU917649 RXJ917649:RXQ917649 SHF917649:SHM917649 SRB917649:SRI917649 TAX917649:TBE917649 TKT917649:TLA917649 TUP917649:TUW917649 UEL917649:UES917649 UOH917649:UOO917649 UYD917649:UYK917649 VHZ917649:VIG917649 VRV917649:VSC917649 WBR917649:WBY917649 WLN917649:WLU917649 WVJ917649:WVQ917649 B983185:I983185 IX983185:JE983185 ST983185:TA983185 ACP983185:ACW983185 AML983185:AMS983185 AWH983185:AWO983185 BGD983185:BGK983185 BPZ983185:BQG983185 BZV983185:CAC983185 CJR983185:CJY983185 CTN983185:CTU983185 DDJ983185:DDQ983185 DNF983185:DNM983185 DXB983185:DXI983185 EGX983185:EHE983185 EQT983185:ERA983185 FAP983185:FAW983185 FKL983185:FKS983185 FUH983185:FUO983185 GED983185:GEK983185 GNZ983185:GOG983185 GXV983185:GYC983185 HHR983185:HHY983185 HRN983185:HRU983185 IBJ983185:IBQ983185 ILF983185:ILM983185 IVB983185:IVI983185 JEX983185:JFE983185 JOT983185:JPA983185 JYP983185:JYW983185 KIL983185:KIS983185 KSH983185:KSO983185 LCD983185:LCK983185 LLZ983185:LMG983185 LVV983185:LWC983185 MFR983185:MFY983185 MPN983185:MPU983185 MZJ983185:MZQ983185 NJF983185:NJM983185 NTB983185:NTI983185 OCX983185:ODE983185 OMT983185:ONA983185 OWP983185:OWW983185 PGL983185:PGS983185 PQH983185:PQO983185 QAD983185:QAK983185 QJZ983185:QKG983185 QTV983185:QUC983185 RDR983185:RDY983185 RNN983185:RNU983185 RXJ983185:RXQ983185 SHF983185:SHM983185 SRB983185:SRI983185 TAX983185:TBE983185 TKT983185:TLA983185 TUP983185:TUW983185 UEL983185:UES983185 UOH983185:UOO983185 UYD983185:UYK983185 VHZ983185:VIG983185 VRV983185:VSC983185 WBR983185:WBY983185 WLN983185:WLU983185 B48:I48">
      <formula1>Site_name_list</formula1>
    </dataValidation>
    <dataValidation type="custom" allowBlank="1" showInputMessage="1" showErrorMessage="1"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653:I65653 IX65653:JE65653 ST65653:TA65653 ACP65653:ACW65653 AML65653:AMS65653 AWH65653:AWO65653 BGD65653:BGK65653 BPZ65653:BQG65653 BZV65653:CAC65653 CJR65653:CJY65653 CTN65653:CTU65653 DDJ65653:DDQ65653 DNF65653:DNM65653 DXB65653:DXI65653 EGX65653:EHE65653 EQT65653:ERA65653 FAP65653:FAW65653 FKL65653:FKS65653 FUH65653:FUO65653 GED65653:GEK65653 GNZ65653:GOG65653 GXV65653:GYC65653 HHR65653:HHY65653 HRN65653:HRU65653 IBJ65653:IBQ65653 ILF65653:ILM65653 IVB65653:IVI65653 JEX65653:JFE65653 JOT65653:JPA65653 JYP65653:JYW65653 KIL65653:KIS65653 KSH65653:KSO65653 LCD65653:LCK65653 LLZ65653:LMG65653 LVV65653:LWC65653 MFR65653:MFY65653 MPN65653:MPU65653 MZJ65653:MZQ65653 NJF65653:NJM65653 NTB65653:NTI65653 OCX65653:ODE65653 OMT65653:ONA65653 OWP65653:OWW65653 PGL65653:PGS65653 PQH65653:PQO65653 QAD65653:QAK65653 QJZ65653:QKG65653 QTV65653:QUC65653 RDR65653:RDY65653 RNN65653:RNU65653 RXJ65653:RXQ65653 SHF65653:SHM65653 SRB65653:SRI65653 TAX65653:TBE65653 TKT65653:TLA65653 TUP65653:TUW65653 UEL65653:UES65653 UOH65653:UOO65653 UYD65653:UYK65653 VHZ65653:VIG65653 VRV65653:VSC65653 WBR65653:WBY65653 WLN65653:WLU65653 WVJ65653:WVQ65653 B131189:I131189 IX131189:JE131189 ST131189:TA131189 ACP131189:ACW131189 AML131189:AMS131189 AWH131189:AWO131189 BGD131189:BGK131189 BPZ131189:BQG131189 BZV131189:CAC131189 CJR131189:CJY131189 CTN131189:CTU131189 DDJ131189:DDQ131189 DNF131189:DNM131189 DXB131189:DXI131189 EGX131189:EHE131189 EQT131189:ERA131189 FAP131189:FAW131189 FKL131189:FKS131189 FUH131189:FUO131189 GED131189:GEK131189 GNZ131189:GOG131189 GXV131189:GYC131189 HHR131189:HHY131189 HRN131189:HRU131189 IBJ131189:IBQ131189 ILF131189:ILM131189 IVB131189:IVI131189 JEX131189:JFE131189 JOT131189:JPA131189 JYP131189:JYW131189 KIL131189:KIS131189 KSH131189:KSO131189 LCD131189:LCK131189 LLZ131189:LMG131189 LVV131189:LWC131189 MFR131189:MFY131189 MPN131189:MPU131189 MZJ131189:MZQ131189 NJF131189:NJM131189 NTB131189:NTI131189 OCX131189:ODE131189 OMT131189:ONA131189 OWP131189:OWW131189 PGL131189:PGS131189 PQH131189:PQO131189 QAD131189:QAK131189 QJZ131189:QKG131189 QTV131189:QUC131189 RDR131189:RDY131189 RNN131189:RNU131189 RXJ131189:RXQ131189 SHF131189:SHM131189 SRB131189:SRI131189 TAX131189:TBE131189 TKT131189:TLA131189 TUP131189:TUW131189 UEL131189:UES131189 UOH131189:UOO131189 UYD131189:UYK131189 VHZ131189:VIG131189 VRV131189:VSC131189 WBR131189:WBY131189 WLN131189:WLU131189 WVJ131189:WVQ131189 B196725:I196725 IX196725:JE196725 ST196725:TA196725 ACP196725:ACW196725 AML196725:AMS196725 AWH196725:AWO196725 BGD196725:BGK196725 BPZ196725:BQG196725 BZV196725:CAC196725 CJR196725:CJY196725 CTN196725:CTU196725 DDJ196725:DDQ196725 DNF196725:DNM196725 DXB196725:DXI196725 EGX196725:EHE196725 EQT196725:ERA196725 FAP196725:FAW196725 FKL196725:FKS196725 FUH196725:FUO196725 GED196725:GEK196725 GNZ196725:GOG196725 GXV196725:GYC196725 HHR196725:HHY196725 HRN196725:HRU196725 IBJ196725:IBQ196725 ILF196725:ILM196725 IVB196725:IVI196725 JEX196725:JFE196725 JOT196725:JPA196725 JYP196725:JYW196725 KIL196725:KIS196725 KSH196725:KSO196725 LCD196725:LCK196725 LLZ196725:LMG196725 LVV196725:LWC196725 MFR196725:MFY196725 MPN196725:MPU196725 MZJ196725:MZQ196725 NJF196725:NJM196725 NTB196725:NTI196725 OCX196725:ODE196725 OMT196725:ONA196725 OWP196725:OWW196725 PGL196725:PGS196725 PQH196725:PQO196725 QAD196725:QAK196725 QJZ196725:QKG196725 QTV196725:QUC196725 RDR196725:RDY196725 RNN196725:RNU196725 RXJ196725:RXQ196725 SHF196725:SHM196725 SRB196725:SRI196725 TAX196725:TBE196725 TKT196725:TLA196725 TUP196725:TUW196725 UEL196725:UES196725 UOH196725:UOO196725 UYD196725:UYK196725 VHZ196725:VIG196725 VRV196725:VSC196725 WBR196725:WBY196725 WLN196725:WLU196725 WVJ196725:WVQ196725 B262261:I262261 IX262261:JE262261 ST262261:TA262261 ACP262261:ACW262261 AML262261:AMS262261 AWH262261:AWO262261 BGD262261:BGK262261 BPZ262261:BQG262261 BZV262261:CAC262261 CJR262261:CJY262261 CTN262261:CTU262261 DDJ262261:DDQ262261 DNF262261:DNM262261 DXB262261:DXI262261 EGX262261:EHE262261 EQT262261:ERA262261 FAP262261:FAW262261 FKL262261:FKS262261 FUH262261:FUO262261 GED262261:GEK262261 GNZ262261:GOG262261 GXV262261:GYC262261 HHR262261:HHY262261 HRN262261:HRU262261 IBJ262261:IBQ262261 ILF262261:ILM262261 IVB262261:IVI262261 JEX262261:JFE262261 JOT262261:JPA262261 JYP262261:JYW262261 KIL262261:KIS262261 KSH262261:KSO262261 LCD262261:LCK262261 LLZ262261:LMG262261 LVV262261:LWC262261 MFR262261:MFY262261 MPN262261:MPU262261 MZJ262261:MZQ262261 NJF262261:NJM262261 NTB262261:NTI262261 OCX262261:ODE262261 OMT262261:ONA262261 OWP262261:OWW262261 PGL262261:PGS262261 PQH262261:PQO262261 QAD262261:QAK262261 QJZ262261:QKG262261 QTV262261:QUC262261 RDR262261:RDY262261 RNN262261:RNU262261 RXJ262261:RXQ262261 SHF262261:SHM262261 SRB262261:SRI262261 TAX262261:TBE262261 TKT262261:TLA262261 TUP262261:TUW262261 UEL262261:UES262261 UOH262261:UOO262261 UYD262261:UYK262261 VHZ262261:VIG262261 VRV262261:VSC262261 WBR262261:WBY262261 WLN262261:WLU262261 WVJ262261:WVQ262261 B327797:I327797 IX327797:JE327797 ST327797:TA327797 ACP327797:ACW327797 AML327797:AMS327797 AWH327797:AWO327797 BGD327797:BGK327797 BPZ327797:BQG327797 BZV327797:CAC327797 CJR327797:CJY327797 CTN327797:CTU327797 DDJ327797:DDQ327797 DNF327797:DNM327797 DXB327797:DXI327797 EGX327797:EHE327797 EQT327797:ERA327797 FAP327797:FAW327797 FKL327797:FKS327797 FUH327797:FUO327797 GED327797:GEK327797 GNZ327797:GOG327797 GXV327797:GYC327797 HHR327797:HHY327797 HRN327797:HRU327797 IBJ327797:IBQ327797 ILF327797:ILM327797 IVB327797:IVI327797 JEX327797:JFE327797 JOT327797:JPA327797 JYP327797:JYW327797 KIL327797:KIS327797 KSH327797:KSO327797 LCD327797:LCK327797 LLZ327797:LMG327797 LVV327797:LWC327797 MFR327797:MFY327797 MPN327797:MPU327797 MZJ327797:MZQ327797 NJF327797:NJM327797 NTB327797:NTI327797 OCX327797:ODE327797 OMT327797:ONA327797 OWP327797:OWW327797 PGL327797:PGS327797 PQH327797:PQO327797 QAD327797:QAK327797 QJZ327797:QKG327797 QTV327797:QUC327797 RDR327797:RDY327797 RNN327797:RNU327797 RXJ327797:RXQ327797 SHF327797:SHM327797 SRB327797:SRI327797 TAX327797:TBE327797 TKT327797:TLA327797 TUP327797:TUW327797 UEL327797:UES327797 UOH327797:UOO327797 UYD327797:UYK327797 VHZ327797:VIG327797 VRV327797:VSC327797 WBR327797:WBY327797 WLN327797:WLU327797 WVJ327797:WVQ327797 B393333:I393333 IX393333:JE393333 ST393333:TA393333 ACP393333:ACW393333 AML393333:AMS393333 AWH393333:AWO393333 BGD393333:BGK393333 BPZ393333:BQG393333 BZV393333:CAC393333 CJR393333:CJY393333 CTN393333:CTU393333 DDJ393333:DDQ393333 DNF393333:DNM393333 DXB393333:DXI393333 EGX393333:EHE393333 EQT393333:ERA393333 FAP393333:FAW393333 FKL393333:FKS393333 FUH393333:FUO393333 GED393333:GEK393333 GNZ393333:GOG393333 GXV393333:GYC393333 HHR393333:HHY393333 HRN393333:HRU393333 IBJ393333:IBQ393333 ILF393333:ILM393333 IVB393333:IVI393333 JEX393333:JFE393333 JOT393333:JPA393333 JYP393333:JYW393333 KIL393333:KIS393333 KSH393333:KSO393333 LCD393333:LCK393333 LLZ393333:LMG393333 LVV393333:LWC393333 MFR393333:MFY393333 MPN393333:MPU393333 MZJ393333:MZQ393333 NJF393333:NJM393333 NTB393333:NTI393333 OCX393333:ODE393333 OMT393333:ONA393333 OWP393333:OWW393333 PGL393333:PGS393333 PQH393333:PQO393333 QAD393333:QAK393333 QJZ393333:QKG393333 QTV393333:QUC393333 RDR393333:RDY393333 RNN393333:RNU393333 RXJ393333:RXQ393333 SHF393333:SHM393333 SRB393333:SRI393333 TAX393333:TBE393333 TKT393333:TLA393333 TUP393333:TUW393333 UEL393333:UES393333 UOH393333:UOO393333 UYD393333:UYK393333 VHZ393333:VIG393333 VRV393333:VSC393333 WBR393333:WBY393333 WLN393333:WLU393333 WVJ393333:WVQ393333 B458869:I458869 IX458869:JE458869 ST458869:TA458869 ACP458869:ACW458869 AML458869:AMS458869 AWH458869:AWO458869 BGD458869:BGK458869 BPZ458869:BQG458869 BZV458869:CAC458869 CJR458869:CJY458869 CTN458869:CTU458869 DDJ458869:DDQ458869 DNF458869:DNM458869 DXB458869:DXI458869 EGX458869:EHE458869 EQT458869:ERA458869 FAP458869:FAW458869 FKL458869:FKS458869 FUH458869:FUO458869 GED458869:GEK458869 GNZ458869:GOG458869 GXV458869:GYC458869 HHR458869:HHY458869 HRN458869:HRU458869 IBJ458869:IBQ458869 ILF458869:ILM458869 IVB458869:IVI458869 JEX458869:JFE458869 JOT458869:JPA458869 JYP458869:JYW458869 KIL458869:KIS458869 KSH458869:KSO458869 LCD458869:LCK458869 LLZ458869:LMG458869 LVV458869:LWC458869 MFR458869:MFY458869 MPN458869:MPU458869 MZJ458869:MZQ458869 NJF458869:NJM458869 NTB458869:NTI458869 OCX458869:ODE458869 OMT458869:ONA458869 OWP458869:OWW458869 PGL458869:PGS458869 PQH458869:PQO458869 QAD458869:QAK458869 QJZ458869:QKG458869 QTV458869:QUC458869 RDR458869:RDY458869 RNN458869:RNU458869 RXJ458869:RXQ458869 SHF458869:SHM458869 SRB458869:SRI458869 TAX458869:TBE458869 TKT458869:TLA458869 TUP458869:TUW458869 UEL458869:UES458869 UOH458869:UOO458869 UYD458869:UYK458869 VHZ458869:VIG458869 VRV458869:VSC458869 WBR458869:WBY458869 WLN458869:WLU458869 WVJ458869:WVQ458869 B524405:I524405 IX524405:JE524405 ST524405:TA524405 ACP524405:ACW524405 AML524405:AMS524405 AWH524405:AWO524405 BGD524405:BGK524405 BPZ524405:BQG524405 BZV524405:CAC524405 CJR524405:CJY524405 CTN524405:CTU524405 DDJ524405:DDQ524405 DNF524405:DNM524405 DXB524405:DXI524405 EGX524405:EHE524405 EQT524405:ERA524405 FAP524405:FAW524405 FKL524405:FKS524405 FUH524405:FUO524405 GED524405:GEK524405 GNZ524405:GOG524405 GXV524405:GYC524405 HHR524405:HHY524405 HRN524405:HRU524405 IBJ524405:IBQ524405 ILF524405:ILM524405 IVB524405:IVI524405 JEX524405:JFE524405 JOT524405:JPA524405 JYP524405:JYW524405 KIL524405:KIS524405 KSH524405:KSO524405 LCD524405:LCK524405 LLZ524405:LMG524405 LVV524405:LWC524405 MFR524405:MFY524405 MPN524405:MPU524405 MZJ524405:MZQ524405 NJF524405:NJM524405 NTB524405:NTI524405 OCX524405:ODE524405 OMT524405:ONA524405 OWP524405:OWW524405 PGL524405:PGS524405 PQH524405:PQO524405 QAD524405:QAK524405 QJZ524405:QKG524405 QTV524405:QUC524405 RDR524405:RDY524405 RNN524405:RNU524405 RXJ524405:RXQ524405 SHF524405:SHM524405 SRB524405:SRI524405 TAX524405:TBE524405 TKT524405:TLA524405 TUP524405:TUW524405 UEL524405:UES524405 UOH524405:UOO524405 UYD524405:UYK524405 VHZ524405:VIG524405 VRV524405:VSC524405 WBR524405:WBY524405 WLN524405:WLU524405 WVJ524405:WVQ524405 B589941:I589941 IX589941:JE589941 ST589941:TA589941 ACP589941:ACW589941 AML589941:AMS589941 AWH589941:AWO589941 BGD589941:BGK589941 BPZ589941:BQG589941 BZV589941:CAC589941 CJR589941:CJY589941 CTN589941:CTU589941 DDJ589941:DDQ589941 DNF589941:DNM589941 DXB589941:DXI589941 EGX589941:EHE589941 EQT589941:ERA589941 FAP589941:FAW589941 FKL589941:FKS589941 FUH589941:FUO589941 GED589941:GEK589941 GNZ589941:GOG589941 GXV589941:GYC589941 HHR589941:HHY589941 HRN589941:HRU589941 IBJ589941:IBQ589941 ILF589941:ILM589941 IVB589941:IVI589941 JEX589941:JFE589941 JOT589941:JPA589941 JYP589941:JYW589941 KIL589941:KIS589941 KSH589941:KSO589941 LCD589941:LCK589941 LLZ589941:LMG589941 LVV589941:LWC589941 MFR589941:MFY589941 MPN589941:MPU589941 MZJ589941:MZQ589941 NJF589941:NJM589941 NTB589941:NTI589941 OCX589941:ODE589941 OMT589941:ONA589941 OWP589941:OWW589941 PGL589941:PGS589941 PQH589941:PQO589941 QAD589941:QAK589941 QJZ589941:QKG589941 QTV589941:QUC589941 RDR589941:RDY589941 RNN589941:RNU589941 RXJ589941:RXQ589941 SHF589941:SHM589941 SRB589941:SRI589941 TAX589941:TBE589941 TKT589941:TLA589941 TUP589941:TUW589941 UEL589941:UES589941 UOH589941:UOO589941 UYD589941:UYK589941 VHZ589941:VIG589941 VRV589941:VSC589941 WBR589941:WBY589941 WLN589941:WLU589941 WVJ589941:WVQ589941 B655477:I655477 IX655477:JE655477 ST655477:TA655477 ACP655477:ACW655477 AML655477:AMS655477 AWH655477:AWO655477 BGD655477:BGK655477 BPZ655477:BQG655477 BZV655477:CAC655477 CJR655477:CJY655477 CTN655477:CTU655477 DDJ655477:DDQ655477 DNF655477:DNM655477 DXB655477:DXI655477 EGX655477:EHE655477 EQT655477:ERA655477 FAP655477:FAW655477 FKL655477:FKS655477 FUH655477:FUO655477 GED655477:GEK655477 GNZ655477:GOG655477 GXV655477:GYC655477 HHR655477:HHY655477 HRN655477:HRU655477 IBJ655477:IBQ655477 ILF655477:ILM655477 IVB655477:IVI655477 JEX655477:JFE655477 JOT655477:JPA655477 JYP655477:JYW655477 KIL655477:KIS655477 KSH655477:KSO655477 LCD655477:LCK655477 LLZ655477:LMG655477 LVV655477:LWC655477 MFR655477:MFY655477 MPN655477:MPU655477 MZJ655477:MZQ655477 NJF655477:NJM655477 NTB655477:NTI655477 OCX655477:ODE655477 OMT655477:ONA655477 OWP655477:OWW655477 PGL655477:PGS655477 PQH655477:PQO655477 QAD655477:QAK655477 QJZ655477:QKG655477 QTV655477:QUC655477 RDR655477:RDY655477 RNN655477:RNU655477 RXJ655477:RXQ655477 SHF655477:SHM655477 SRB655477:SRI655477 TAX655477:TBE655477 TKT655477:TLA655477 TUP655477:TUW655477 UEL655477:UES655477 UOH655477:UOO655477 UYD655477:UYK655477 VHZ655477:VIG655477 VRV655477:VSC655477 WBR655477:WBY655477 WLN655477:WLU655477 WVJ655477:WVQ655477 B721013:I721013 IX721013:JE721013 ST721013:TA721013 ACP721013:ACW721013 AML721013:AMS721013 AWH721013:AWO721013 BGD721013:BGK721013 BPZ721013:BQG721013 BZV721013:CAC721013 CJR721013:CJY721013 CTN721013:CTU721013 DDJ721013:DDQ721013 DNF721013:DNM721013 DXB721013:DXI721013 EGX721013:EHE721013 EQT721013:ERA721013 FAP721013:FAW721013 FKL721013:FKS721013 FUH721013:FUO721013 GED721013:GEK721013 GNZ721013:GOG721013 GXV721013:GYC721013 HHR721013:HHY721013 HRN721013:HRU721013 IBJ721013:IBQ721013 ILF721013:ILM721013 IVB721013:IVI721013 JEX721013:JFE721013 JOT721013:JPA721013 JYP721013:JYW721013 KIL721013:KIS721013 KSH721013:KSO721013 LCD721013:LCK721013 LLZ721013:LMG721013 LVV721013:LWC721013 MFR721013:MFY721013 MPN721013:MPU721013 MZJ721013:MZQ721013 NJF721013:NJM721013 NTB721013:NTI721013 OCX721013:ODE721013 OMT721013:ONA721013 OWP721013:OWW721013 PGL721013:PGS721013 PQH721013:PQO721013 QAD721013:QAK721013 QJZ721013:QKG721013 QTV721013:QUC721013 RDR721013:RDY721013 RNN721013:RNU721013 RXJ721013:RXQ721013 SHF721013:SHM721013 SRB721013:SRI721013 TAX721013:TBE721013 TKT721013:TLA721013 TUP721013:TUW721013 UEL721013:UES721013 UOH721013:UOO721013 UYD721013:UYK721013 VHZ721013:VIG721013 VRV721013:VSC721013 WBR721013:WBY721013 WLN721013:WLU721013 WVJ721013:WVQ721013 B786549:I786549 IX786549:JE786549 ST786549:TA786549 ACP786549:ACW786549 AML786549:AMS786549 AWH786549:AWO786549 BGD786549:BGK786549 BPZ786549:BQG786549 BZV786549:CAC786549 CJR786549:CJY786549 CTN786549:CTU786549 DDJ786549:DDQ786549 DNF786549:DNM786549 DXB786549:DXI786549 EGX786549:EHE786549 EQT786549:ERA786549 FAP786549:FAW786549 FKL786549:FKS786549 FUH786549:FUO786549 GED786549:GEK786549 GNZ786549:GOG786549 GXV786549:GYC786549 HHR786549:HHY786549 HRN786549:HRU786549 IBJ786549:IBQ786549 ILF786549:ILM786549 IVB786549:IVI786549 JEX786549:JFE786549 JOT786549:JPA786549 JYP786549:JYW786549 KIL786549:KIS786549 KSH786549:KSO786549 LCD786549:LCK786549 LLZ786549:LMG786549 LVV786549:LWC786549 MFR786549:MFY786549 MPN786549:MPU786549 MZJ786549:MZQ786549 NJF786549:NJM786549 NTB786549:NTI786549 OCX786549:ODE786549 OMT786549:ONA786549 OWP786549:OWW786549 PGL786549:PGS786549 PQH786549:PQO786549 QAD786549:QAK786549 QJZ786549:QKG786549 QTV786549:QUC786549 RDR786549:RDY786549 RNN786549:RNU786549 RXJ786549:RXQ786549 SHF786549:SHM786549 SRB786549:SRI786549 TAX786549:TBE786549 TKT786549:TLA786549 TUP786549:TUW786549 UEL786549:UES786549 UOH786549:UOO786549 UYD786549:UYK786549 VHZ786549:VIG786549 VRV786549:VSC786549 WBR786549:WBY786549 WLN786549:WLU786549 WVJ786549:WVQ786549 B852085:I852085 IX852085:JE852085 ST852085:TA852085 ACP852085:ACW852085 AML852085:AMS852085 AWH852085:AWO852085 BGD852085:BGK852085 BPZ852085:BQG852085 BZV852085:CAC852085 CJR852085:CJY852085 CTN852085:CTU852085 DDJ852085:DDQ852085 DNF852085:DNM852085 DXB852085:DXI852085 EGX852085:EHE852085 EQT852085:ERA852085 FAP852085:FAW852085 FKL852085:FKS852085 FUH852085:FUO852085 GED852085:GEK852085 GNZ852085:GOG852085 GXV852085:GYC852085 HHR852085:HHY852085 HRN852085:HRU852085 IBJ852085:IBQ852085 ILF852085:ILM852085 IVB852085:IVI852085 JEX852085:JFE852085 JOT852085:JPA852085 JYP852085:JYW852085 KIL852085:KIS852085 KSH852085:KSO852085 LCD852085:LCK852085 LLZ852085:LMG852085 LVV852085:LWC852085 MFR852085:MFY852085 MPN852085:MPU852085 MZJ852085:MZQ852085 NJF852085:NJM852085 NTB852085:NTI852085 OCX852085:ODE852085 OMT852085:ONA852085 OWP852085:OWW852085 PGL852085:PGS852085 PQH852085:PQO852085 QAD852085:QAK852085 QJZ852085:QKG852085 QTV852085:QUC852085 RDR852085:RDY852085 RNN852085:RNU852085 RXJ852085:RXQ852085 SHF852085:SHM852085 SRB852085:SRI852085 TAX852085:TBE852085 TKT852085:TLA852085 TUP852085:TUW852085 UEL852085:UES852085 UOH852085:UOO852085 UYD852085:UYK852085 VHZ852085:VIG852085 VRV852085:VSC852085 WBR852085:WBY852085 WLN852085:WLU852085 WVJ852085:WVQ852085 B917621:I917621 IX917621:JE917621 ST917621:TA917621 ACP917621:ACW917621 AML917621:AMS917621 AWH917621:AWO917621 BGD917621:BGK917621 BPZ917621:BQG917621 BZV917621:CAC917621 CJR917621:CJY917621 CTN917621:CTU917621 DDJ917621:DDQ917621 DNF917621:DNM917621 DXB917621:DXI917621 EGX917621:EHE917621 EQT917621:ERA917621 FAP917621:FAW917621 FKL917621:FKS917621 FUH917621:FUO917621 GED917621:GEK917621 GNZ917621:GOG917621 GXV917621:GYC917621 HHR917621:HHY917621 HRN917621:HRU917621 IBJ917621:IBQ917621 ILF917621:ILM917621 IVB917621:IVI917621 JEX917621:JFE917621 JOT917621:JPA917621 JYP917621:JYW917621 KIL917621:KIS917621 KSH917621:KSO917621 LCD917621:LCK917621 LLZ917621:LMG917621 LVV917621:LWC917621 MFR917621:MFY917621 MPN917621:MPU917621 MZJ917621:MZQ917621 NJF917621:NJM917621 NTB917621:NTI917621 OCX917621:ODE917621 OMT917621:ONA917621 OWP917621:OWW917621 PGL917621:PGS917621 PQH917621:PQO917621 QAD917621:QAK917621 QJZ917621:QKG917621 QTV917621:QUC917621 RDR917621:RDY917621 RNN917621:RNU917621 RXJ917621:RXQ917621 SHF917621:SHM917621 SRB917621:SRI917621 TAX917621:TBE917621 TKT917621:TLA917621 TUP917621:TUW917621 UEL917621:UES917621 UOH917621:UOO917621 UYD917621:UYK917621 VHZ917621:VIG917621 VRV917621:VSC917621 WBR917621:WBY917621 WLN917621:WLU917621 WVJ917621:WVQ917621 B983157:I983157 IX983157:JE983157 ST983157:TA983157 ACP983157:ACW983157 AML983157:AMS983157 AWH983157:AWO983157 BGD983157:BGK983157 BPZ983157:BQG983157 BZV983157:CAC983157 CJR983157:CJY983157 CTN983157:CTU983157 DDJ983157:DDQ983157 DNF983157:DNM983157 DXB983157:DXI983157 EGX983157:EHE983157 EQT983157:ERA983157 FAP983157:FAW983157 FKL983157:FKS983157 FUH983157:FUO983157 GED983157:GEK983157 GNZ983157:GOG983157 GXV983157:GYC983157 HHR983157:HHY983157 HRN983157:HRU983157 IBJ983157:IBQ983157 ILF983157:ILM983157 IVB983157:IVI983157 JEX983157:JFE983157 JOT983157:JPA983157 JYP983157:JYW983157 KIL983157:KIS983157 KSH983157:KSO983157 LCD983157:LCK983157 LLZ983157:LMG983157 LVV983157:LWC983157 MFR983157:MFY983157 MPN983157:MPU983157 MZJ983157:MZQ983157 NJF983157:NJM983157 NTB983157:NTI983157 OCX983157:ODE983157 OMT983157:ONA983157 OWP983157:OWW983157 PGL983157:PGS983157 PQH983157:PQO983157 QAD983157:QAK983157 QJZ983157:QKG983157 QTV983157:QUC983157 RDR983157:RDY983157 RNN983157:RNU983157 RXJ983157:RXQ983157 SHF983157:SHM983157 SRB983157:SRI983157 TAX983157:TBE983157 TKT983157:TLA983157 TUP983157:TUW983157 UEL983157:UES983157 UOH983157:UOO983157 UYD983157:UYK983157 VHZ983157:VIG983157 VRV983157:VSC983157 WBR983157:WBY983157 WLN983157:WLU983157 WVJ983157:WVQ983157">
      <formula1>NOT(ISERR(AND(FIND(".",B20),FIND("@",B20))))</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9:I19 WVJ983156:WVQ983156 WLN983156:WLU983156 WBR983156:WBY983156 VRV983156:VSC983156 VHZ983156:VIG983156 UYD983156:UYK983156 UOH983156:UOO983156 UEL983156:UES983156 TUP983156:TUW983156 TKT983156:TLA983156 TAX983156:TBE983156 SRB983156:SRI983156 SHF983156:SHM983156 RXJ983156:RXQ983156 RNN983156:RNU983156 RDR983156:RDY983156 QTV983156:QUC983156 QJZ983156:QKG983156 QAD983156:QAK983156 PQH983156:PQO983156 PGL983156:PGS983156 OWP983156:OWW983156 OMT983156:ONA983156 OCX983156:ODE983156 NTB983156:NTI983156 NJF983156:NJM983156 MZJ983156:MZQ983156 MPN983156:MPU983156 MFR983156:MFY983156 LVV983156:LWC983156 LLZ983156:LMG983156 LCD983156:LCK983156 KSH983156:KSO983156 KIL983156:KIS983156 JYP983156:JYW983156 JOT983156:JPA983156 JEX983156:JFE983156 IVB983156:IVI983156 ILF983156:ILM983156 IBJ983156:IBQ983156 HRN983156:HRU983156 HHR983156:HHY983156 GXV983156:GYC983156 GNZ983156:GOG983156 GED983156:GEK983156 FUH983156:FUO983156 FKL983156:FKS983156 FAP983156:FAW983156 EQT983156:ERA983156 EGX983156:EHE983156 DXB983156:DXI983156 DNF983156:DNM983156 DDJ983156:DDQ983156 CTN983156:CTU983156 CJR983156:CJY983156 BZV983156:CAC983156 BPZ983156:BQG983156 BGD983156:BGK983156 AWH983156:AWO983156 AML983156:AMS983156 ACP983156:ACW983156 ST983156:TA983156 IX983156:JE983156 B983156:I983156 WVJ917620:WVQ917620 WLN917620:WLU917620 WBR917620:WBY917620 VRV917620:VSC917620 VHZ917620:VIG917620 UYD917620:UYK917620 UOH917620:UOO917620 UEL917620:UES917620 TUP917620:TUW917620 TKT917620:TLA917620 TAX917620:TBE917620 SRB917620:SRI917620 SHF917620:SHM917620 RXJ917620:RXQ917620 RNN917620:RNU917620 RDR917620:RDY917620 QTV917620:QUC917620 QJZ917620:QKG917620 QAD917620:QAK917620 PQH917620:PQO917620 PGL917620:PGS917620 OWP917620:OWW917620 OMT917620:ONA917620 OCX917620:ODE917620 NTB917620:NTI917620 NJF917620:NJM917620 MZJ917620:MZQ917620 MPN917620:MPU917620 MFR917620:MFY917620 LVV917620:LWC917620 LLZ917620:LMG917620 LCD917620:LCK917620 KSH917620:KSO917620 KIL917620:KIS917620 JYP917620:JYW917620 JOT917620:JPA917620 JEX917620:JFE917620 IVB917620:IVI917620 ILF917620:ILM917620 IBJ917620:IBQ917620 HRN917620:HRU917620 HHR917620:HHY917620 GXV917620:GYC917620 GNZ917620:GOG917620 GED917620:GEK917620 FUH917620:FUO917620 FKL917620:FKS917620 FAP917620:FAW917620 EQT917620:ERA917620 EGX917620:EHE917620 DXB917620:DXI917620 DNF917620:DNM917620 DDJ917620:DDQ917620 CTN917620:CTU917620 CJR917620:CJY917620 BZV917620:CAC917620 BPZ917620:BQG917620 BGD917620:BGK917620 AWH917620:AWO917620 AML917620:AMS917620 ACP917620:ACW917620 ST917620:TA917620 IX917620:JE917620 B917620:I917620 WVJ852084:WVQ852084 WLN852084:WLU852084 WBR852084:WBY852084 VRV852084:VSC852084 VHZ852084:VIG852084 UYD852084:UYK852084 UOH852084:UOO852084 UEL852084:UES852084 TUP852084:TUW852084 TKT852084:TLA852084 TAX852084:TBE852084 SRB852084:SRI852084 SHF852084:SHM852084 RXJ852084:RXQ852084 RNN852084:RNU852084 RDR852084:RDY852084 QTV852084:QUC852084 QJZ852084:QKG852084 QAD852084:QAK852084 PQH852084:PQO852084 PGL852084:PGS852084 OWP852084:OWW852084 OMT852084:ONA852084 OCX852084:ODE852084 NTB852084:NTI852084 NJF852084:NJM852084 MZJ852084:MZQ852084 MPN852084:MPU852084 MFR852084:MFY852084 LVV852084:LWC852084 LLZ852084:LMG852084 LCD852084:LCK852084 KSH852084:KSO852084 KIL852084:KIS852084 JYP852084:JYW852084 JOT852084:JPA852084 JEX852084:JFE852084 IVB852084:IVI852084 ILF852084:ILM852084 IBJ852084:IBQ852084 HRN852084:HRU852084 HHR852084:HHY852084 GXV852084:GYC852084 GNZ852084:GOG852084 GED852084:GEK852084 FUH852084:FUO852084 FKL852084:FKS852084 FAP852084:FAW852084 EQT852084:ERA852084 EGX852084:EHE852084 DXB852084:DXI852084 DNF852084:DNM852084 DDJ852084:DDQ852084 CTN852084:CTU852084 CJR852084:CJY852084 BZV852084:CAC852084 BPZ852084:BQG852084 BGD852084:BGK852084 AWH852084:AWO852084 AML852084:AMS852084 ACP852084:ACW852084 ST852084:TA852084 IX852084:JE852084 B852084:I852084 WVJ786548:WVQ786548 WLN786548:WLU786548 WBR786548:WBY786548 VRV786548:VSC786548 VHZ786548:VIG786548 UYD786548:UYK786548 UOH786548:UOO786548 UEL786548:UES786548 TUP786548:TUW786548 TKT786548:TLA786548 TAX786548:TBE786548 SRB786548:SRI786548 SHF786548:SHM786548 RXJ786548:RXQ786548 RNN786548:RNU786548 RDR786548:RDY786548 QTV786548:QUC786548 QJZ786548:QKG786548 QAD786548:QAK786548 PQH786548:PQO786548 PGL786548:PGS786548 OWP786548:OWW786548 OMT786548:ONA786548 OCX786548:ODE786548 NTB786548:NTI786548 NJF786548:NJM786548 MZJ786548:MZQ786548 MPN786548:MPU786548 MFR786548:MFY786548 LVV786548:LWC786548 LLZ786548:LMG786548 LCD786548:LCK786548 KSH786548:KSO786548 KIL786548:KIS786548 JYP786548:JYW786548 JOT786548:JPA786548 JEX786548:JFE786548 IVB786548:IVI786548 ILF786548:ILM786548 IBJ786548:IBQ786548 HRN786548:HRU786548 HHR786548:HHY786548 GXV786548:GYC786548 GNZ786548:GOG786548 GED786548:GEK786548 FUH786548:FUO786548 FKL786548:FKS786548 FAP786548:FAW786548 EQT786548:ERA786548 EGX786548:EHE786548 DXB786548:DXI786548 DNF786548:DNM786548 DDJ786548:DDQ786548 CTN786548:CTU786548 CJR786548:CJY786548 BZV786548:CAC786548 BPZ786548:BQG786548 BGD786548:BGK786548 AWH786548:AWO786548 AML786548:AMS786548 ACP786548:ACW786548 ST786548:TA786548 IX786548:JE786548 B786548:I786548 WVJ721012:WVQ721012 WLN721012:WLU721012 WBR721012:WBY721012 VRV721012:VSC721012 VHZ721012:VIG721012 UYD721012:UYK721012 UOH721012:UOO721012 UEL721012:UES721012 TUP721012:TUW721012 TKT721012:TLA721012 TAX721012:TBE721012 SRB721012:SRI721012 SHF721012:SHM721012 RXJ721012:RXQ721012 RNN721012:RNU721012 RDR721012:RDY721012 QTV721012:QUC721012 QJZ721012:QKG721012 QAD721012:QAK721012 PQH721012:PQO721012 PGL721012:PGS721012 OWP721012:OWW721012 OMT721012:ONA721012 OCX721012:ODE721012 NTB721012:NTI721012 NJF721012:NJM721012 MZJ721012:MZQ721012 MPN721012:MPU721012 MFR721012:MFY721012 LVV721012:LWC721012 LLZ721012:LMG721012 LCD721012:LCK721012 KSH721012:KSO721012 KIL721012:KIS721012 JYP721012:JYW721012 JOT721012:JPA721012 JEX721012:JFE721012 IVB721012:IVI721012 ILF721012:ILM721012 IBJ721012:IBQ721012 HRN721012:HRU721012 HHR721012:HHY721012 GXV721012:GYC721012 GNZ721012:GOG721012 GED721012:GEK721012 FUH721012:FUO721012 FKL721012:FKS721012 FAP721012:FAW721012 EQT721012:ERA721012 EGX721012:EHE721012 DXB721012:DXI721012 DNF721012:DNM721012 DDJ721012:DDQ721012 CTN721012:CTU721012 CJR721012:CJY721012 BZV721012:CAC721012 BPZ721012:BQG721012 BGD721012:BGK721012 AWH721012:AWO721012 AML721012:AMS721012 ACP721012:ACW721012 ST721012:TA721012 IX721012:JE721012 B721012:I721012 WVJ655476:WVQ655476 WLN655476:WLU655476 WBR655476:WBY655476 VRV655476:VSC655476 VHZ655476:VIG655476 UYD655476:UYK655476 UOH655476:UOO655476 UEL655476:UES655476 TUP655476:TUW655476 TKT655476:TLA655476 TAX655476:TBE655476 SRB655476:SRI655476 SHF655476:SHM655476 RXJ655476:RXQ655476 RNN655476:RNU655476 RDR655476:RDY655476 QTV655476:QUC655476 QJZ655476:QKG655476 QAD655476:QAK655476 PQH655476:PQO655476 PGL655476:PGS655476 OWP655476:OWW655476 OMT655476:ONA655476 OCX655476:ODE655476 NTB655476:NTI655476 NJF655476:NJM655476 MZJ655476:MZQ655476 MPN655476:MPU655476 MFR655476:MFY655476 LVV655476:LWC655476 LLZ655476:LMG655476 LCD655476:LCK655476 KSH655476:KSO655476 KIL655476:KIS655476 JYP655476:JYW655476 JOT655476:JPA655476 JEX655476:JFE655476 IVB655476:IVI655476 ILF655476:ILM655476 IBJ655476:IBQ655476 HRN655476:HRU655476 HHR655476:HHY655476 GXV655476:GYC655476 GNZ655476:GOG655476 GED655476:GEK655476 FUH655476:FUO655476 FKL655476:FKS655476 FAP655476:FAW655476 EQT655476:ERA655476 EGX655476:EHE655476 DXB655476:DXI655476 DNF655476:DNM655476 DDJ655476:DDQ655476 CTN655476:CTU655476 CJR655476:CJY655476 BZV655476:CAC655476 BPZ655476:BQG655476 BGD655476:BGK655476 AWH655476:AWO655476 AML655476:AMS655476 ACP655476:ACW655476 ST655476:TA655476 IX655476:JE655476 B655476:I655476 WVJ589940:WVQ589940 WLN589940:WLU589940 WBR589940:WBY589940 VRV589940:VSC589940 VHZ589940:VIG589940 UYD589940:UYK589940 UOH589940:UOO589940 UEL589940:UES589940 TUP589940:TUW589940 TKT589940:TLA589940 TAX589940:TBE589940 SRB589940:SRI589940 SHF589940:SHM589940 RXJ589940:RXQ589940 RNN589940:RNU589940 RDR589940:RDY589940 QTV589940:QUC589940 QJZ589940:QKG589940 QAD589940:QAK589940 PQH589940:PQO589940 PGL589940:PGS589940 OWP589940:OWW589940 OMT589940:ONA589940 OCX589940:ODE589940 NTB589940:NTI589940 NJF589940:NJM589940 MZJ589940:MZQ589940 MPN589940:MPU589940 MFR589940:MFY589940 LVV589940:LWC589940 LLZ589940:LMG589940 LCD589940:LCK589940 KSH589940:KSO589940 KIL589940:KIS589940 JYP589940:JYW589940 JOT589940:JPA589940 JEX589940:JFE589940 IVB589940:IVI589940 ILF589940:ILM589940 IBJ589940:IBQ589940 HRN589940:HRU589940 HHR589940:HHY589940 GXV589940:GYC589940 GNZ589940:GOG589940 GED589940:GEK589940 FUH589940:FUO589940 FKL589940:FKS589940 FAP589940:FAW589940 EQT589940:ERA589940 EGX589940:EHE589940 DXB589940:DXI589940 DNF589940:DNM589940 DDJ589940:DDQ589940 CTN589940:CTU589940 CJR589940:CJY589940 BZV589940:CAC589940 BPZ589940:BQG589940 BGD589940:BGK589940 AWH589940:AWO589940 AML589940:AMS589940 ACP589940:ACW589940 ST589940:TA589940 IX589940:JE589940 B589940:I589940 WVJ524404:WVQ524404 WLN524404:WLU524404 WBR524404:WBY524404 VRV524404:VSC524404 VHZ524404:VIG524404 UYD524404:UYK524404 UOH524404:UOO524404 UEL524404:UES524404 TUP524404:TUW524404 TKT524404:TLA524404 TAX524404:TBE524404 SRB524404:SRI524404 SHF524404:SHM524404 RXJ524404:RXQ524404 RNN524404:RNU524404 RDR524404:RDY524404 QTV524404:QUC524404 QJZ524404:QKG524404 QAD524404:QAK524404 PQH524404:PQO524404 PGL524404:PGS524404 OWP524404:OWW524404 OMT524404:ONA524404 OCX524404:ODE524404 NTB524404:NTI524404 NJF524404:NJM524404 MZJ524404:MZQ524404 MPN524404:MPU524404 MFR524404:MFY524404 LVV524404:LWC524404 LLZ524404:LMG524404 LCD524404:LCK524404 KSH524404:KSO524404 KIL524404:KIS524404 JYP524404:JYW524404 JOT524404:JPA524404 JEX524404:JFE524404 IVB524404:IVI524404 ILF524404:ILM524404 IBJ524404:IBQ524404 HRN524404:HRU524404 HHR524404:HHY524404 GXV524404:GYC524404 GNZ524404:GOG524404 GED524404:GEK524404 FUH524404:FUO524404 FKL524404:FKS524404 FAP524404:FAW524404 EQT524404:ERA524404 EGX524404:EHE524404 DXB524404:DXI524404 DNF524404:DNM524404 DDJ524404:DDQ524404 CTN524404:CTU524404 CJR524404:CJY524404 BZV524404:CAC524404 BPZ524404:BQG524404 BGD524404:BGK524404 AWH524404:AWO524404 AML524404:AMS524404 ACP524404:ACW524404 ST524404:TA524404 IX524404:JE524404 B524404:I524404 WVJ458868:WVQ458868 WLN458868:WLU458868 WBR458868:WBY458868 VRV458868:VSC458868 VHZ458868:VIG458868 UYD458868:UYK458868 UOH458868:UOO458868 UEL458868:UES458868 TUP458868:TUW458868 TKT458868:TLA458868 TAX458868:TBE458868 SRB458868:SRI458868 SHF458868:SHM458868 RXJ458868:RXQ458868 RNN458868:RNU458868 RDR458868:RDY458868 QTV458868:QUC458868 QJZ458868:QKG458868 QAD458868:QAK458868 PQH458868:PQO458868 PGL458868:PGS458868 OWP458868:OWW458868 OMT458868:ONA458868 OCX458868:ODE458868 NTB458868:NTI458868 NJF458868:NJM458868 MZJ458868:MZQ458868 MPN458868:MPU458868 MFR458868:MFY458868 LVV458868:LWC458868 LLZ458868:LMG458868 LCD458868:LCK458868 KSH458868:KSO458868 KIL458868:KIS458868 JYP458868:JYW458868 JOT458868:JPA458868 JEX458868:JFE458868 IVB458868:IVI458868 ILF458868:ILM458868 IBJ458868:IBQ458868 HRN458868:HRU458868 HHR458868:HHY458868 GXV458868:GYC458868 GNZ458868:GOG458868 GED458868:GEK458868 FUH458868:FUO458868 FKL458868:FKS458868 FAP458868:FAW458868 EQT458868:ERA458868 EGX458868:EHE458868 DXB458868:DXI458868 DNF458868:DNM458868 DDJ458868:DDQ458868 CTN458868:CTU458868 CJR458868:CJY458868 BZV458868:CAC458868 BPZ458868:BQG458868 BGD458868:BGK458868 AWH458868:AWO458868 AML458868:AMS458868 ACP458868:ACW458868 ST458868:TA458868 IX458868:JE458868 B458868:I458868 WVJ393332:WVQ393332 WLN393332:WLU393332 WBR393332:WBY393332 VRV393332:VSC393332 VHZ393332:VIG393332 UYD393332:UYK393332 UOH393332:UOO393332 UEL393332:UES393332 TUP393332:TUW393332 TKT393332:TLA393332 TAX393332:TBE393332 SRB393332:SRI393332 SHF393332:SHM393332 RXJ393332:RXQ393332 RNN393332:RNU393332 RDR393332:RDY393332 QTV393332:QUC393332 QJZ393332:QKG393332 QAD393332:QAK393332 PQH393332:PQO393332 PGL393332:PGS393332 OWP393332:OWW393332 OMT393332:ONA393332 OCX393332:ODE393332 NTB393332:NTI393332 NJF393332:NJM393332 MZJ393332:MZQ393332 MPN393332:MPU393332 MFR393332:MFY393332 LVV393332:LWC393332 LLZ393332:LMG393332 LCD393332:LCK393332 KSH393332:KSO393332 KIL393332:KIS393332 JYP393332:JYW393332 JOT393332:JPA393332 JEX393332:JFE393332 IVB393332:IVI393332 ILF393332:ILM393332 IBJ393332:IBQ393332 HRN393332:HRU393332 HHR393332:HHY393332 GXV393332:GYC393332 GNZ393332:GOG393332 GED393332:GEK393332 FUH393332:FUO393332 FKL393332:FKS393332 FAP393332:FAW393332 EQT393332:ERA393332 EGX393332:EHE393332 DXB393332:DXI393332 DNF393332:DNM393332 DDJ393332:DDQ393332 CTN393332:CTU393332 CJR393332:CJY393332 BZV393332:CAC393332 BPZ393332:BQG393332 BGD393332:BGK393332 AWH393332:AWO393332 AML393332:AMS393332 ACP393332:ACW393332 ST393332:TA393332 IX393332:JE393332 B393332:I393332 WVJ327796:WVQ327796 WLN327796:WLU327796 WBR327796:WBY327796 VRV327796:VSC327796 VHZ327796:VIG327796 UYD327796:UYK327796 UOH327796:UOO327796 UEL327796:UES327796 TUP327796:TUW327796 TKT327796:TLA327796 TAX327796:TBE327796 SRB327796:SRI327796 SHF327796:SHM327796 RXJ327796:RXQ327796 RNN327796:RNU327796 RDR327796:RDY327796 QTV327796:QUC327796 QJZ327796:QKG327796 QAD327796:QAK327796 PQH327796:PQO327796 PGL327796:PGS327796 OWP327796:OWW327796 OMT327796:ONA327796 OCX327796:ODE327796 NTB327796:NTI327796 NJF327796:NJM327796 MZJ327796:MZQ327796 MPN327796:MPU327796 MFR327796:MFY327796 LVV327796:LWC327796 LLZ327796:LMG327796 LCD327796:LCK327796 KSH327796:KSO327796 KIL327796:KIS327796 JYP327796:JYW327796 JOT327796:JPA327796 JEX327796:JFE327796 IVB327796:IVI327796 ILF327796:ILM327796 IBJ327796:IBQ327796 HRN327796:HRU327796 HHR327796:HHY327796 GXV327796:GYC327796 GNZ327796:GOG327796 GED327796:GEK327796 FUH327796:FUO327796 FKL327796:FKS327796 FAP327796:FAW327796 EQT327796:ERA327796 EGX327796:EHE327796 DXB327796:DXI327796 DNF327796:DNM327796 DDJ327796:DDQ327796 CTN327796:CTU327796 CJR327796:CJY327796 BZV327796:CAC327796 BPZ327796:BQG327796 BGD327796:BGK327796 AWH327796:AWO327796 AML327796:AMS327796 ACP327796:ACW327796 ST327796:TA327796 IX327796:JE327796 B327796:I327796 WVJ262260:WVQ262260 WLN262260:WLU262260 WBR262260:WBY262260 VRV262260:VSC262260 VHZ262260:VIG262260 UYD262260:UYK262260 UOH262260:UOO262260 UEL262260:UES262260 TUP262260:TUW262260 TKT262260:TLA262260 TAX262260:TBE262260 SRB262260:SRI262260 SHF262260:SHM262260 RXJ262260:RXQ262260 RNN262260:RNU262260 RDR262260:RDY262260 QTV262260:QUC262260 QJZ262260:QKG262260 QAD262260:QAK262260 PQH262260:PQO262260 PGL262260:PGS262260 OWP262260:OWW262260 OMT262260:ONA262260 OCX262260:ODE262260 NTB262260:NTI262260 NJF262260:NJM262260 MZJ262260:MZQ262260 MPN262260:MPU262260 MFR262260:MFY262260 LVV262260:LWC262260 LLZ262260:LMG262260 LCD262260:LCK262260 KSH262260:KSO262260 KIL262260:KIS262260 JYP262260:JYW262260 JOT262260:JPA262260 JEX262260:JFE262260 IVB262260:IVI262260 ILF262260:ILM262260 IBJ262260:IBQ262260 HRN262260:HRU262260 HHR262260:HHY262260 GXV262260:GYC262260 GNZ262260:GOG262260 GED262260:GEK262260 FUH262260:FUO262260 FKL262260:FKS262260 FAP262260:FAW262260 EQT262260:ERA262260 EGX262260:EHE262260 DXB262260:DXI262260 DNF262260:DNM262260 DDJ262260:DDQ262260 CTN262260:CTU262260 CJR262260:CJY262260 BZV262260:CAC262260 BPZ262260:BQG262260 BGD262260:BGK262260 AWH262260:AWO262260 AML262260:AMS262260 ACP262260:ACW262260 ST262260:TA262260 IX262260:JE262260 B262260:I262260 WVJ196724:WVQ196724 WLN196724:WLU196724 WBR196724:WBY196724 VRV196724:VSC196724 VHZ196724:VIG196724 UYD196724:UYK196724 UOH196724:UOO196724 UEL196724:UES196724 TUP196724:TUW196724 TKT196724:TLA196724 TAX196724:TBE196724 SRB196724:SRI196724 SHF196724:SHM196724 RXJ196724:RXQ196724 RNN196724:RNU196724 RDR196724:RDY196724 QTV196724:QUC196724 QJZ196724:QKG196724 QAD196724:QAK196724 PQH196724:PQO196724 PGL196724:PGS196724 OWP196724:OWW196724 OMT196724:ONA196724 OCX196724:ODE196724 NTB196724:NTI196724 NJF196724:NJM196724 MZJ196724:MZQ196724 MPN196724:MPU196724 MFR196724:MFY196724 LVV196724:LWC196724 LLZ196724:LMG196724 LCD196724:LCK196724 KSH196724:KSO196724 KIL196724:KIS196724 JYP196724:JYW196724 JOT196724:JPA196724 JEX196724:JFE196724 IVB196724:IVI196724 ILF196724:ILM196724 IBJ196724:IBQ196724 HRN196724:HRU196724 HHR196724:HHY196724 GXV196724:GYC196724 GNZ196724:GOG196724 GED196724:GEK196724 FUH196724:FUO196724 FKL196724:FKS196724 FAP196724:FAW196724 EQT196724:ERA196724 EGX196724:EHE196724 DXB196724:DXI196724 DNF196724:DNM196724 DDJ196724:DDQ196724 CTN196724:CTU196724 CJR196724:CJY196724 BZV196724:CAC196724 BPZ196724:BQG196724 BGD196724:BGK196724 AWH196724:AWO196724 AML196724:AMS196724 ACP196724:ACW196724 ST196724:TA196724 IX196724:JE196724 B196724:I196724 WVJ131188:WVQ131188 WLN131188:WLU131188 WBR131188:WBY131188 VRV131188:VSC131188 VHZ131188:VIG131188 UYD131188:UYK131188 UOH131188:UOO131188 UEL131188:UES131188 TUP131188:TUW131188 TKT131188:TLA131188 TAX131188:TBE131188 SRB131188:SRI131188 SHF131188:SHM131188 RXJ131188:RXQ131188 RNN131188:RNU131188 RDR131188:RDY131188 QTV131188:QUC131188 QJZ131188:QKG131188 QAD131188:QAK131188 PQH131188:PQO131188 PGL131188:PGS131188 OWP131188:OWW131188 OMT131188:ONA131188 OCX131188:ODE131188 NTB131188:NTI131188 NJF131188:NJM131188 MZJ131188:MZQ131188 MPN131188:MPU131188 MFR131188:MFY131188 LVV131188:LWC131188 LLZ131188:LMG131188 LCD131188:LCK131188 KSH131188:KSO131188 KIL131188:KIS131188 JYP131188:JYW131188 JOT131188:JPA131188 JEX131188:JFE131188 IVB131188:IVI131188 ILF131188:ILM131188 IBJ131188:IBQ131188 HRN131188:HRU131188 HHR131188:HHY131188 GXV131188:GYC131188 GNZ131188:GOG131188 GED131188:GEK131188 FUH131188:FUO131188 FKL131188:FKS131188 FAP131188:FAW131188 EQT131188:ERA131188 EGX131188:EHE131188 DXB131188:DXI131188 DNF131188:DNM131188 DDJ131188:DDQ131188 CTN131188:CTU131188 CJR131188:CJY131188 BZV131188:CAC131188 BPZ131188:BQG131188 BGD131188:BGK131188 AWH131188:AWO131188 AML131188:AMS131188 ACP131188:ACW131188 ST131188:TA131188 IX131188:JE131188 B131188:I131188 WVJ65652:WVQ65652 WLN65652:WLU65652 WBR65652:WBY65652 VRV65652:VSC65652 VHZ65652:VIG65652 UYD65652:UYK65652 UOH65652:UOO65652 UEL65652:UES65652 TUP65652:TUW65652 TKT65652:TLA65652 TAX65652:TBE65652 SRB65652:SRI65652 SHF65652:SHM65652 RXJ65652:RXQ65652 RNN65652:RNU65652 RDR65652:RDY65652 QTV65652:QUC65652 QJZ65652:QKG65652 QAD65652:QAK65652 PQH65652:PQO65652 PGL65652:PGS65652 OWP65652:OWW65652 OMT65652:ONA65652 OCX65652:ODE65652 NTB65652:NTI65652 NJF65652:NJM65652 MZJ65652:MZQ65652 MPN65652:MPU65652 MFR65652:MFY65652 LVV65652:LWC65652 LLZ65652:LMG65652 LCD65652:LCK65652 KSH65652:KSO65652 KIL65652:KIS65652 JYP65652:JYW65652 JOT65652:JPA65652 JEX65652:JFE65652 IVB65652:IVI65652 ILF65652:ILM65652 IBJ65652:IBQ65652 HRN65652:HRU65652 HHR65652:HHY65652 GXV65652:GYC65652 GNZ65652:GOG65652 GED65652:GEK65652 FUH65652:FUO65652 FKL65652:FKS65652 FAP65652:FAW65652 EQT65652:ERA65652 EGX65652:EHE65652 DXB65652:DXI65652 DNF65652:DNM65652 DDJ65652:DDQ65652 CTN65652:CTU65652 CJR65652:CJY65652 BZV65652:CAC65652 BPZ65652:BQG65652 BGD65652:BGK65652 AWH65652:AWO65652 AML65652:AMS65652 ACP65652:ACW65652 ST65652:TA65652 IX65652:JE65652 B65652:I65652 WVJ19:WVQ19 WLN19:WLU19 WBR19:WBY19 VRV19:VSC19 VHZ19:VIG19 UYD19:UYK19 UOH19:UOO19 UEL19:UES19 TUP19:TUW19 TKT19:TLA19 TAX19:TBE19 SRB19:SRI19 SHF19:SHM19 RXJ19:RXQ19 RNN19:RNU19 RDR19:RDY19 QTV19:QUC19 QJZ19:QKG19 QAD19:QAK19 PQH19:PQO19 PGL19:PGS19 OWP19:OWW19 OMT19:ONA19 OCX19:ODE19 NTB19:NTI19 NJF19:NJM19 MZJ19:MZQ19 MPN19:MPU19 MFR19:MFY19 LVV19:LWC19 LLZ19:LMG19 LCD19:LCK19 KSH19:KSO19 KIL19:KIS19 JYP19:JYW19 JOT19:JPA19 JEX19:JFE19 IVB19:IVI19 ILF19:ILM19 IBJ19:IBQ19 HRN19:HRU19 HHR19:HHY19 GXV19:GYC19 GNZ19:GOG19 GED19:GEK19 FUH19:FUO19 FKL19:FKS19 FAP19:FAW19 EQT19:ERA19 EGX19:EHE19 DXB19:DXI19 DNF19:DNM19 DDJ19:DDQ19 CTN19:CTU19 CJR19:CJY19 BZV19:CAC19 BPZ19:BQG19 BGD19:BGK19 AWH19:AWO19 AML19:AMS19 ACP19:ACW19 ST19:TA19 IX19:JE19">
      <formula1>$K$221:$K$226</formula1>
    </dataValidation>
    <dataValidation type="list" allowBlank="1" showInputMessage="1" showErrorMessage="1" error="Please Select fromt he drop-down list." promptTitle="Data Type" prompt="Please select DateTime, Number or Text from the drop-down list." sqref="C221:C433 WVK983261:WVK983473 WLO983261:WLO983473 WBS983261:WBS983473 VRW983261:VRW983473 VIA983261:VIA983473 UYE983261:UYE983473 UOI983261:UOI983473 UEM983261:UEM983473 TUQ983261:TUQ983473 TKU983261:TKU983473 TAY983261:TAY983473 SRC983261:SRC983473 SHG983261:SHG983473 RXK983261:RXK983473 RNO983261:RNO983473 RDS983261:RDS983473 QTW983261:QTW983473 QKA983261:QKA983473 QAE983261:QAE983473 PQI983261:PQI983473 PGM983261:PGM983473 OWQ983261:OWQ983473 OMU983261:OMU983473 OCY983261:OCY983473 NTC983261:NTC983473 NJG983261:NJG983473 MZK983261:MZK983473 MPO983261:MPO983473 MFS983261:MFS983473 LVW983261:LVW983473 LMA983261:LMA983473 LCE983261:LCE983473 KSI983261:KSI983473 KIM983261:KIM983473 JYQ983261:JYQ983473 JOU983261:JOU983473 JEY983261:JEY983473 IVC983261:IVC983473 ILG983261:ILG983473 IBK983261:IBK983473 HRO983261:HRO983473 HHS983261:HHS983473 GXW983261:GXW983473 GOA983261:GOA983473 GEE983261:GEE983473 FUI983261:FUI983473 FKM983261:FKM983473 FAQ983261:FAQ983473 EQU983261:EQU983473 EGY983261:EGY983473 DXC983261:DXC983473 DNG983261:DNG983473 DDK983261:DDK983473 CTO983261:CTO983473 CJS983261:CJS983473 BZW983261:BZW983473 BQA983261:BQA983473 BGE983261:BGE983473 AWI983261:AWI983473 AMM983261:AMM983473 ACQ983261:ACQ983473 SU983261:SU983473 IY983261:IY983473 C983261:C983473 WVK917725:WVK917937 WLO917725:WLO917937 WBS917725:WBS917937 VRW917725:VRW917937 VIA917725:VIA917937 UYE917725:UYE917937 UOI917725:UOI917937 UEM917725:UEM917937 TUQ917725:TUQ917937 TKU917725:TKU917937 TAY917725:TAY917937 SRC917725:SRC917937 SHG917725:SHG917937 RXK917725:RXK917937 RNO917725:RNO917937 RDS917725:RDS917937 QTW917725:QTW917937 QKA917725:QKA917937 QAE917725:QAE917937 PQI917725:PQI917937 PGM917725:PGM917937 OWQ917725:OWQ917937 OMU917725:OMU917937 OCY917725:OCY917937 NTC917725:NTC917937 NJG917725:NJG917937 MZK917725:MZK917937 MPO917725:MPO917937 MFS917725:MFS917937 LVW917725:LVW917937 LMA917725:LMA917937 LCE917725:LCE917937 KSI917725:KSI917937 KIM917725:KIM917937 JYQ917725:JYQ917937 JOU917725:JOU917937 JEY917725:JEY917937 IVC917725:IVC917937 ILG917725:ILG917937 IBK917725:IBK917937 HRO917725:HRO917937 HHS917725:HHS917937 GXW917725:GXW917937 GOA917725:GOA917937 GEE917725:GEE917937 FUI917725:FUI917937 FKM917725:FKM917937 FAQ917725:FAQ917937 EQU917725:EQU917937 EGY917725:EGY917937 DXC917725:DXC917937 DNG917725:DNG917937 DDK917725:DDK917937 CTO917725:CTO917937 CJS917725:CJS917937 BZW917725:BZW917937 BQA917725:BQA917937 BGE917725:BGE917937 AWI917725:AWI917937 AMM917725:AMM917937 ACQ917725:ACQ917937 SU917725:SU917937 IY917725:IY917937 C917725:C917937 WVK852189:WVK852401 WLO852189:WLO852401 WBS852189:WBS852401 VRW852189:VRW852401 VIA852189:VIA852401 UYE852189:UYE852401 UOI852189:UOI852401 UEM852189:UEM852401 TUQ852189:TUQ852401 TKU852189:TKU852401 TAY852189:TAY852401 SRC852189:SRC852401 SHG852189:SHG852401 RXK852189:RXK852401 RNO852189:RNO852401 RDS852189:RDS852401 QTW852189:QTW852401 QKA852189:QKA852401 QAE852189:QAE852401 PQI852189:PQI852401 PGM852189:PGM852401 OWQ852189:OWQ852401 OMU852189:OMU852401 OCY852189:OCY852401 NTC852189:NTC852401 NJG852189:NJG852401 MZK852189:MZK852401 MPO852189:MPO852401 MFS852189:MFS852401 LVW852189:LVW852401 LMA852189:LMA852401 LCE852189:LCE852401 KSI852189:KSI852401 KIM852189:KIM852401 JYQ852189:JYQ852401 JOU852189:JOU852401 JEY852189:JEY852401 IVC852189:IVC852401 ILG852189:ILG852401 IBK852189:IBK852401 HRO852189:HRO852401 HHS852189:HHS852401 GXW852189:GXW852401 GOA852189:GOA852401 GEE852189:GEE852401 FUI852189:FUI852401 FKM852189:FKM852401 FAQ852189:FAQ852401 EQU852189:EQU852401 EGY852189:EGY852401 DXC852189:DXC852401 DNG852189:DNG852401 DDK852189:DDK852401 CTO852189:CTO852401 CJS852189:CJS852401 BZW852189:BZW852401 BQA852189:BQA852401 BGE852189:BGE852401 AWI852189:AWI852401 AMM852189:AMM852401 ACQ852189:ACQ852401 SU852189:SU852401 IY852189:IY852401 C852189:C852401 WVK786653:WVK786865 WLO786653:WLO786865 WBS786653:WBS786865 VRW786653:VRW786865 VIA786653:VIA786865 UYE786653:UYE786865 UOI786653:UOI786865 UEM786653:UEM786865 TUQ786653:TUQ786865 TKU786653:TKU786865 TAY786653:TAY786865 SRC786653:SRC786865 SHG786653:SHG786865 RXK786653:RXK786865 RNO786653:RNO786865 RDS786653:RDS786865 QTW786653:QTW786865 QKA786653:QKA786865 QAE786653:QAE786865 PQI786653:PQI786865 PGM786653:PGM786865 OWQ786653:OWQ786865 OMU786653:OMU786865 OCY786653:OCY786865 NTC786653:NTC786865 NJG786653:NJG786865 MZK786653:MZK786865 MPO786653:MPO786865 MFS786653:MFS786865 LVW786653:LVW786865 LMA786653:LMA786865 LCE786653:LCE786865 KSI786653:KSI786865 KIM786653:KIM786865 JYQ786653:JYQ786865 JOU786653:JOU786865 JEY786653:JEY786865 IVC786653:IVC786865 ILG786653:ILG786865 IBK786653:IBK786865 HRO786653:HRO786865 HHS786653:HHS786865 GXW786653:GXW786865 GOA786653:GOA786865 GEE786653:GEE786865 FUI786653:FUI786865 FKM786653:FKM786865 FAQ786653:FAQ786865 EQU786653:EQU786865 EGY786653:EGY786865 DXC786653:DXC786865 DNG786653:DNG786865 DDK786653:DDK786865 CTO786653:CTO786865 CJS786653:CJS786865 BZW786653:BZW786865 BQA786653:BQA786865 BGE786653:BGE786865 AWI786653:AWI786865 AMM786653:AMM786865 ACQ786653:ACQ786865 SU786653:SU786865 IY786653:IY786865 C786653:C786865 WVK721117:WVK721329 WLO721117:WLO721329 WBS721117:WBS721329 VRW721117:VRW721329 VIA721117:VIA721329 UYE721117:UYE721329 UOI721117:UOI721329 UEM721117:UEM721329 TUQ721117:TUQ721329 TKU721117:TKU721329 TAY721117:TAY721329 SRC721117:SRC721329 SHG721117:SHG721329 RXK721117:RXK721329 RNO721117:RNO721329 RDS721117:RDS721329 QTW721117:QTW721329 QKA721117:QKA721329 QAE721117:QAE721329 PQI721117:PQI721329 PGM721117:PGM721329 OWQ721117:OWQ721329 OMU721117:OMU721329 OCY721117:OCY721329 NTC721117:NTC721329 NJG721117:NJG721329 MZK721117:MZK721329 MPO721117:MPO721329 MFS721117:MFS721329 LVW721117:LVW721329 LMA721117:LMA721329 LCE721117:LCE721329 KSI721117:KSI721329 KIM721117:KIM721329 JYQ721117:JYQ721329 JOU721117:JOU721329 JEY721117:JEY721329 IVC721117:IVC721329 ILG721117:ILG721329 IBK721117:IBK721329 HRO721117:HRO721329 HHS721117:HHS721329 GXW721117:GXW721329 GOA721117:GOA721329 GEE721117:GEE721329 FUI721117:FUI721329 FKM721117:FKM721329 FAQ721117:FAQ721329 EQU721117:EQU721329 EGY721117:EGY721329 DXC721117:DXC721329 DNG721117:DNG721329 DDK721117:DDK721329 CTO721117:CTO721329 CJS721117:CJS721329 BZW721117:BZW721329 BQA721117:BQA721329 BGE721117:BGE721329 AWI721117:AWI721329 AMM721117:AMM721329 ACQ721117:ACQ721329 SU721117:SU721329 IY721117:IY721329 C721117:C721329 WVK655581:WVK655793 WLO655581:WLO655793 WBS655581:WBS655793 VRW655581:VRW655793 VIA655581:VIA655793 UYE655581:UYE655793 UOI655581:UOI655793 UEM655581:UEM655793 TUQ655581:TUQ655793 TKU655581:TKU655793 TAY655581:TAY655793 SRC655581:SRC655793 SHG655581:SHG655793 RXK655581:RXK655793 RNO655581:RNO655793 RDS655581:RDS655793 QTW655581:QTW655793 QKA655581:QKA655793 QAE655581:QAE655793 PQI655581:PQI655793 PGM655581:PGM655793 OWQ655581:OWQ655793 OMU655581:OMU655793 OCY655581:OCY655793 NTC655581:NTC655793 NJG655581:NJG655793 MZK655581:MZK655793 MPO655581:MPO655793 MFS655581:MFS655793 LVW655581:LVW655793 LMA655581:LMA655793 LCE655581:LCE655793 KSI655581:KSI655793 KIM655581:KIM655793 JYQ655581:JYQ655793 JOU655581:JOU655793 JEY655581:JEY655793 IVC655581:IVC655793 ILG655581:ILG655793 IBK655581:IBK655793 HRO655581:HRO655793 HHS655581:HHS655793 GXW655581:GXW655793 GOA655581:GOA655793 GEE655581:GEE655793 FUI655581:FUI655793 FKM655581:FKM655793 FAQ655581:FAQ655793 EQU655581:EQU655793 EGY655581:EGY655793 DXC655581:DXC655793 DNG655581:DNG655793 DDK655581:DDK655793 CTO655581:CTO655793 CJS655581:CJS655793 BZW655581:BZW655793 BQA655581:BQA655793 BGE655581:BGE655793 AWI655581:AWI655793 AMM655581:AMM655793 ACQ655581:ACQ655793 SU655581:SU655793 IY655581:IY655793 C655581:C655793 WVK590045:WVK590257 WLO590045:WLO590257 WBS590045:WBS590257 VRW590045:VRW590257 VIA590045:VIA590257 UYE590045:UYE590257 UOI590045:UOI590257 UEM590045:UEM590257 TUQ590045:TUQ590257 TKU590045:TKU590257 TAY590045:TAY590257 SRC590045:SRC590257 SHG590045:SHG590257 RXK590045:RXK590257 RNO590045:RNO590257 RDS590045:RDS590257 QTW590045:QTW590257 QKA590045:QKA590257 QAE590045:QAE590257 PQI590045:PQI590257 PGM590045:PGM590257 OWQ590045:OWQ590257 OMU590045:OMU590257 OCY590045:OCY590257 NTC590045:NTC590257 NJG590045:NJG590257 MZK590045:MZK590257 MPO590045:MPO590257 MFS590045:MFS590257 LVW590045:LVW590257 LMA590045:LMA590257 LCE590045:LCE590257 KSI590045:KSI590257 KIM590045:KIM590257 JYQ590045:JYQ590257 JOU590045:JOU590257 JEY590045:JEY590257 IVC590045:IVC590257 ILG590045:ILG590257 IBK590045:IBK590257 HRO590045:HRO590257 HHS590045:HHS590257 GXW590045:GXW590257 GOA590045:GOA590257 GEE590045:GEE590257 FUI590045:FUI590257 FKM590045:FKM590257 FAQ590045:FAQ590257 EQU590045:EQU590257 EGY590045:EGY590257 DXC590045:DXC590257 DNG590045:DNG590257 DDK590045:DDK590257 CTO590045:CTO590257 CJS590045:CJS590257 BZW590045:BZW590257 BQA590045:BQA590257 BGE590045:BGE590257 AWI590045:AWI590257 AMM590045:AMM590257 ACQ590045:ACQ590257 SU590045:SU590257 IY590045:IY590257 C590045:C590257 WVK524509:WVK524721 WLO524509:WLO524721 WBS524509:WBS524721 VRW524509:VRW524721 VIA524509:VIA524721 UYE524509:UYE524721 UOI524509:UOI524721 UEM524509:UEM524721 TUQ524509:TUQ524721 TKU524509:TKU524721 TAY524509:TAY524721 SRC524509:SRC524721 SHG524509:SHG524721 RXK524509:RXK524721 RNO524509:RNO524721 RDS524509:RDS524721 QTW524509:QTW524721 QKA524509:QKA524721 QAE524509:QAE524721 PQI524509:PQI524721 PGM524509:PGM524721 OWQ524509:OWQ524721 OMU524509:OMU524721 OCY524509:OCY524721 NTC524509:NTC524721 NJG524509:NJG524721 MZK524509:MZK524721 MPO524509:MPO524721 MFS524509:MFS524721 LVW524509:LVW524721 LMA524509:LMA524721 LCE524509:LCE524721 KSI524509:KSI524721 KIM524509:KIM524721 JYQ524509:JYQ524721 JOU524509:JOU524721 JEY524509:JEY524721 IVC524509:IVC524721 ILG524509:ILG524721 IBK524509:IBK524721 HRO524509:HRO524721 HHS524509:HHS524721 GXW524509:GXW524721 GOA524509:GOA524721 GEE524509:GEE524721 FUI524509:FUI524721 FKM524509:FKM524721 FAQ524509:FAQ524721 EQU524509:EQU524721 EGY524509:EGY524721 DXC524509:DXC524721 DNG524509:DNG524721 DDK524509:DDK524721 CTO524509:CTO524721 CJS524509:CJS524721 BZW524509:BZW524721 BQA524509:BQA524721 BGE524509:BGE524721 AWI524509:AWI524721 AMM524509:AMM524721 ACQ524509:ACQ524721 SU524509:SU524721 IY524509:IY524721 C524509:C524721 WVK458973:WVK459185 WLO458973:WLO459185 WBS458973:WBS459185 VRW458973:VRW459185 VIA458973:VIA459185 UYE458973:UYE459185 UOI458973:UOI459185 UEM458973:UEM459185 TUQ458973:TUQ459185 TKU458973:TKU459185 TAY458973:TAY459185 SRC458973:SRC459185 SHG458973:SHG459185 RXK458973:RXK459185 RNO458973:RNO459185 RDS458973:RDS459185 QTW458973:QTW459185 QKA458973:QKA459185 QAE458973:QAE459185 PQI458973:PQI459185 PGM458973:PGM459185 OWQ458973:OWQ459185 OMU458973:OMU459185 OCY458973:OCY459185 NTC458973:NTC459185 NJG458973:NJG459185 MZK458973:MZK459185 MPO458973:MPO459185 MFS458973:MFS459185 LVW458973:LVW459185 LMA458973:LMA459185 LCE458973:LCE459185 KSI458973:KSI459185 KIM458973:KIM459185 JYQ458973:JYQ459185 JOU458973:JOU459185 JEY458973:JEY459185 IVC458973:IVC459185 ILG458973:ILG459185 IBK458973:IBK459185 HRO458973:HRO459185 HHS458973:HHS459185 GXW458973:GXW459185 GOA458973:GOA459185 GEE458973:GEE459185 FUI458973:FUI459185 FKM458973:FKM459185 FAQ458973:FAQ459185 EQU458973:EQU459185 EGY458973:EGY459185 DXC458973:DXC459185 DNG458973:DNG459185 DDK458973:DDK459185 CTO458973:CTO459185 CJS458973:CJS459185 BZW458973:BZW459185 BQA458973:BQA459185 BGE458973:BGE459185 AWI458973:AWI459185 AMM458973:AMM459185 ACQ458973:ACQ459185 SU458973:SU459185 IY458973:IY459185 C458973:C459185 WVK393437:WVK393649 WLO393437:WLO393649 WBS393437:WBS393649 VRW393437:VRW393649 VIA393437:VIA393649 UYE393437:UYE393649 UOI393437:UOI393649 UEM393437:UEM393649 TUQ393437:TUQ393649 TKU393437:TKU393649 TAY393437:TAY393649 SRC393437:SRC393649 SHG393437:SHG393649 RXK393437:RXK393649 RNO393437:RNO393649 RDS393437:RDS393649 QTW393437:QTW393649 QKA393437:QKA393649 QAE393437:QAE393649 PQI393437:PQI393649 PGM393437:PGM393649 OWQ393437:OWQ393649 OMU393437:OMU393649 OCY393437:OCY393649 NTC393437:NTC393649 NJG393437:NJG393649 MZK393437:MZK393649 MPO393437:MPO393649 MFS393437:MFS393649 LVW393437:LVW393649 LMA393437:LMA393649 LCE393437:LCE393649 KSI393437:KSI393649 KIM393437:KIM393649 JYQ393437:JYQ393649 JOU393437:JOU393649 JEY393437:JEY393649 IVC393437:IVC393649 ILG393437:ILG393649 IBK393437:IBK393649 HRO393437:HRO393649 HHS393437:HHS393649 GXW393437:GXW393649 GOA393437:GOA393649 GEE393437:GEE393649 FUI393437:FUI393649 FKM393437:FKM393649 FAQ393437:FAQ393649 EQU393437:EQU393649 EGY393437:EGY393649 DXC393437:DXC393649 DNG393437:DNG393649 DDK393437:DDK393649 CTO393437:CTO393649 CJS393437:CJS393649 BZW393437:BZW393649 BQA393437:BQA393649 BGE393437:BGE393649 AWI393437:AWI393649 AMM393437:AMM393649 ACQ393437:ACQ393649 SU393437:SU393649 IY393437:IY393649 C393437:C393649 WVK327901:WVK328113 WLO327901:WLO328113 WBS327901:WBS328113 VRW327901:VRW328113 VIA327901:VIA328113 UYE327901:UYE328113 UOI327901:UOI328113 UEM327901:UEM328113 TUQ327901:TUQ328113 TKU327901:TKU328113 TAY327901:TAY328113 SRC327901:SRC328113 SHG327901:SHG328113 RXK327901:RXK328113 RNO327901:RNO328113 RDS327901:RDS328113 QTW327901:QTW328113 QKA327901:QKA328113 QAE327901:QAE328113 PQI327901:PQI328113 PGM327901:PGM328113 OWQ327901:OWQ328113 OMU327901:OMU328113 OCY327901:OCY328113 NTC327901:NTC328113 NJG327901:NJG328113 MZK327901:MZK328113 MPO327901:MPO328113 MFS327901:MFS328113 LVW327901:LVW328113 LMA327901:LMA328113 LCE327901:LCE328113 KSI327901:KSI328113 KIM327901:KIM328113 JYQ327901:JYQ328113 JOU327901:JOU328113 JEY327901:JEY328113 IVC327901:IVC328113 ILG327901:ILG328113 IBK327901:IBK328113 HRO327901:HRO328113 HHS327901:HHS328113 GXW327901:GXW328113 GOA327901:GOA328113 GEE327901:GEE328113 FUI327901:FUI328113 FKM327901:FKM328113 FAQ327901:FAQ328113 EQU327901:EQU328113 EGY327901:EGY328113 DXC327901:DXC328113 DNG327901:DNG328113 DDK327901:DDK328113 CTO327901:CTO328113 CJS327901:CJS328113 BZW327901:BZW328113 BQA327901:BQA328113 BGE327901:BGE328113 AWI327901:AWI328113 AMM327901:AMM328113 ACQ327901:ACQ328113 SU327901:SU328113 IY327901:IY328113 C327901:C328113 WVK262365:WVK262577 WLO262365:WLO262577 WBS262365:WBS262577 VRW262365:VRW262577 VIA262365:VIA262577 UYE262365:UYE262577 UOI262365:UOI262577 UEM262365:UEM262577 TUQ262365:TUQ262577 TKU262365:TKU262577 TAY262365:TAY262577 SRC262365:SRC262577 SHG262365:SHG262577 RXK262365:RXK262577 RNO262365:RNO262577 RDS262365:RDS262577 QTW262365:QTW262577 QKA262365:QKA262577 QAE262365:QAE262577 PQI262365:PQI262577 PGM262365:PGM262577 OWQ262365:OWQ262577 OMU262365:OMU262577 OCY262365:OCY262577 NTC262365:NTC262577 NJG262365:NJG262577 MZK262365:MZK262577 MPO262365:MPO262577 MFS262365:MFS262577 LVW262365:LVW262577 LMA262365:LMA262577 LCE262365:LCE262577 KSI262365:KSI262577 KIM262365:KIM262577 JYQ262365:JYQ262577 JOU262365:JOU262577 JEY262365:JEY262577 IVC262365:IVC262577 ILG262365:ILG262577 IBK262365:IBK262577 HRO262365:HRO262577 HHS262365:HHS262577 GXW262365:GXW262577 GOA262365:GOA262577 GEE262365:GEE262577 FUI262365:FUI262577 FKM262365:FKM262577 FAQ262365:FAQ262577 EQU262365:EQU262577 EGY262365:EGY262577 DXC262365:DXC262577 DNG262365:DNG262577 DDK262365:DDK262577 CTO262365:CTO262577 CJS262365:CJS262577 BZW262365:BZW262577 BQA262365:BQA262577 BGE262365:BGE262577 AWI262365:AWI262577 AMM262365:AMM262577 ACQ262365:ACQ262577 SU262365:SU262577 IY262365:IY262577 C262365:C262577 WVK196829:WVK197041 WLO196829:WLO197041 WBS196829:WBS197041 VRW196829:VRW197041 VIA196829:VIA197041 UYE196829:UYE197041 UOI196829:UOI197041 UEM196829:UEM197041 TUQ196829:TUQ197041 TKU196829:TKU197041 TAY196829:TAY197041 SRC196829:SRC197041 SHG196829:SHG197041 RXK196829:RXK197041 RNO196829:RNO197041 RDS196829:RDS197041 QTW196829:QTW197041 QKA196829:QKA197041 QAE196829:QAE197041 PQI196829:PQI197041 PGM196829:PGM197041 OWQ196829:OWQ197041 OMU196829:OMU197041 OCY196829:OCY197041 NTC196829:NTC197041 NJG196829:NJG197041 MZK196829:MZK197041 MPO196829:MPO197041 MFS196829:MFS197041 LVW196829:LVW197041 LMA196829:LMA197041 LCE196829:LCE197041 KSI196829:KSI197041 KIM196829:KIM197041 JYQ196829:JYQ197041 JOU196829:JOU197041 JEY196829:JEY197041 IVC196829:IVC197041 ILG196829:ILG197041 IBK196829:IBK197041 HRO196829:HRO197041 HHS196829:HHS197041 GXW196829:GXW197041 GOA196829:GOA197041 GEE196829:GEE197041 FUI196829:FUI197041 FKM196829:FKM197041 FAQ196829:FAQ197041 EQU196829:EQU197041 EGY196829:EGY197041 DXC196829:DXC197041 DNG196829:DNG197041 DDK196829:DDK197041 CTO196829:CTO197041 CJS196829:CJS197041 BZW196829:BZW197041 BQA196829:BQA197041 BGE196829:BGE197041 AWI196829:AWI197041 AMM196829:AMM197041 ACQ196829:ACQ197041 SU196829:SU197041 IY196829:IY197041 C196829:C197041 WVK131293:WVK131505 WLO131293:WLO131505 WBS131293:WBS131505 VRW131293:VRW131505 VIA131293:VIA131505 UYE131293:UYE131505 UOI131293:UOI131505 UEM131293:UEM131505 TUQ131293:TUQ131505 TKU131293:TKU131505 TAY131293:TAY131505 SRC131293:SRC131505 SHG131293:SHG131505 RXK131293:RXK131505 RNO131293:RNO131505 RDS131293:RDS131505 QTW131293:QTW131505 QKA131293:QKA131505 QAE131293:QAE131505 PQI131293:PQI131505 PGM131293:PGM131505 OWQ131293:OWQ131505 OMU131293:OMU131505 OCY131293:OCY131505 NTC131293:NTC131505 NJG131293:NJG131505 MZK131293:MZK131505 MPO131293:MPO131505 MFS131293:MFS131505 LVW131293:LVW131505 LMA131293:LMA131505 LCE131293:LCE131505 KSI131293:KSI131505 KIM131293:KIM131505 JYQ131293:JYQ131505 JOU131293:JOU131505 JEY131293:JEY131505 IVC131293:IVC131505 ILG131293:ILG131505 IBK131293:IBK131505 HRO131293:HRO131505 HHS131293:HHS131505 GXW131293:GXW131505 GOA131293:GOA131505 GEE131293:GEE131505 FUI131293:FUI131505 FKM131293:FKM131505 FAQ131293:FAQ131505 EQU131293:EQU131505 EGY131293:EGY131505 DXC131293:DXC131505 DNG131293:DNG131505 DDK131293:DDK131505 CTO131293:CTO131505 CJS131293:CJS131505 BZW131293:BZW131505 BQA131293:BQA131505 BGE131293:BGE131505 AWI131293:AWI131505 AMM131293:AMM131505 ACQ131293:ACQ131505 SU131293:SU131505 IY131293:IY131505 C131293:C131505 WVK65757:WVK65969 WLO65757:WLO65969 WBS65757:WBS65969 VRW65757:VRW65969 VIA65757:VIA65969 UYE65757:UYE65969 UOI65757:UOI65969 UEM65757:UEM65969 TUQ65757:TUQ65969 TKU65757:TKU65969 TAY65757:TAY65969 SRC65757:SRC65969 SHG65757:SHG65969 RXK65757:RXK65969 RNO65757:RNO65969 RDS65757:RDS65969 QTW65757:QTW65969 QKA65757:QKA65969 QAE65757:QAE65969 PQI65757:PQI65969 PGM65757:PGM65969 OWQ65757:OWQ65969 OMU65757:OMU65969 OCY65757:OCY65969 NTC65757:NTC65969 NJG65757:NJG65969 MZK65757:MZK65969 MPO65757:MPO65969 MFS65757:MFS65969 LVW65757:LVW65969 LMA65757:LMA65969 LCE65757:LCE65969 KSI65757:KSI65969 KIM65757:KIM65969 JYQ65757:JYQ65969 JOU65757:JOU65969 JEY65757:JEY65969 IVC65757:IVC65969 ILG65757:ILG65969 IBK65757:IBK65969 HRO65757:HRO65969 HHS65757:HHS65969 GXW65757:GXW65969 GOA65757:GOA65969 GEE65757:GEE65969 FUI65757:FUI65969 FKM65757:FKM65969 FAQ65757:FAQ65969 EQU65757:EQU65969 EGY65757:EGY65969 DXC65757:DXC65969 DNG65757:DNG65969 DDK65757:DDK65969 CTO65757:CTO65969 CJS65757:CJS65969 BZW65757:BZW65969 BQA65757:BQA65969 BGE65757:BGE65969 AWI65757:AWI65969 AMM65757:AMM65969 ACQ65757:ACQ65969 SU65757:SU65969 IY65757:IY65969 C65757:C65969 WVK221:WVK433 WLO221:WLO433 WBS221:WBS433 VRW221:VRW433 VIA221:VIA433 UYE221:UYE433 UOI221:UOI433 UEM221:UEM433 TUQ221:TUQ433 TKU221:TKU433 TAY221:TAY433 SRC221:SRC433 SHG221:SHG433 RXK221:RXK433 RNO221:RNO433 RDS221:RDS433 QTW221:QTW433 QKA221:QKA433 QAE221:QAE433 PQI221:PQI433 PGM221:PGM433 OWQ221:OWQ433 OMU221:OMU433 OCY221:OCY433 NTC221:NTC433 NJG221:NJG433 MZK221:MZK433 MPO221:MPO433 MFS221:MFS433 LVW221:LVW433 LMA221:LMA433 LCE221:LCE433 KSI221:KSI433 KIM221:KIM433 JYQ221:JYQ433 JOU221:JOU433 JEY221:JEY433 IVC221:IVC433 ILG221:ILG433 IBK221:IBK433 HRO221:HRO433 HHS221:HHS433 GXW221:GXW433 GOA221:GOA433 GEE221:GEE433 FUI221:FUI433 FKM221:FKM433 FAQ221:FAQ433 EQU221:EQU433 EGY221:EGY433 DXC221:DXC433 DNG221:DNG433 DDK221:DDK433 CTO221:CTO433 CJS221:CJS433 BZW221:BZW433 BQA221:BQA433 BGE221:BGE433 AWI221:AWI433 AMM221:AMM433 ACQ221:ACQ433 SU221:SU433 IY221:IY433">
      <formula1>$M$222:$M$224</formula1>
    </dataValidation>
  </dataValidations>
  <hyperlinks>
    <hyperlink ref="B4" r:id="rId1"/>
    <hyperlink ref="B33" r:id="rId2"/>
  </hyperlinks>
  <printOptions gridLines="1"/>
  <pageMargins left="0.53" right="0.38" top="0.5" bottom="0.5" header="0.5" footer="0.5"/>
  <pageSetup scale="99" fitToHeight="10" orientation="landscape" cellComments="atEnd" r:id="rId3"/>
  <headerFooter alignWithMargins="0"/>
  <rowBreaks count="1" manualBreakCount="1">
    <brk id="62"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S1127"/>
  <sheetViews>
    <sheetView zoomScale="80" zoomScaleNormal="80" zoomScalePageLayoutView="70" workbookViewId="0"/>
  </sheetViews>
  <sheetFormatPr defaultColWidth="8.85546875" defaultRowHeight="12.75" x14ac:dyDescent="0.2"/>
  <cols>
    <col min="1" max="1" width="8.85546875" style="7"/>
    <col min="2" max="2" width="14" style="104" bestFit="1" customWidth="1"/>
    <col min="3" max="3" width="10.140625" style="7" customWidth="1"/>
    <col min="4" max="4" width="15.28515625" style="7" customWidth="1"/>
    <col min="5" max="5" width="9.42578125" style="7" customWidth="1"/>
    <col min="6" max="8" width="12.85546875" style="7" customWidth="1"/>
    <col min="9" max="9" width="11.7109375" style="7" customWidth="1"/>
    <col min="10" max="10" width="9.140625" style="102" bestFit="1" customWidth="1"/>
    <col min="11" max="11" width="10" style="7" customWidth="1"/>
    <col min="12" max="13" width="8.85546875" style="7"/>
    <col min="14" max="14" width="12.7109375" style="7" customWidth="1"/>
    <col min="15" max="15" width="11.7109375" style="7" customWidth="1"/>
    <col min="16" max="16" width="8.85546875" style="7"/>
    <col min="17" max="17" width="17.140625" style="6" customWidth="1"/>
    <col min="18" max="18" width="14.7109375" style="7" bestFit="1" customWidth="1"/>
    <col min="19" max="16384" width="8.85546875" style="7"/>
  </cols>
  <sheetData>
    <row r="1" spans="1:19" ht="25.5" x14ac:dyDescent="0.2">
      <c r="A1" s="100" t="s">
        <v>346</v>
      </c>
      <c r="B1" s="23" t="s">
        <v>54</v>
      </c>
      <c r="C1" s="8" t="s">
        <v>349</v>
      </c>
      <c r="D1" s="8" t="s">
        <v>358</v>
      </c>
      <c r="E1" s="101" t="s">
        <v>350</v>
      </c>
      <c r="F1" s="8" t="s">
        <v>352</v>
      </c>
      <c r="G1" s="8" t="s">
        <v>365</v>
      </c>
      <c r="H1" s="100" t="s">
        <v>353</v>
      </c>
      <c r="I1" s="8" t="s">
        <v>56</v>
      </c>
      <c r="J1" s="123" t="s">
        <v>363</v>
      </c>
      <c r="K1" s="124" t="s">
        <v>367</v>
      </c>
      <c r="L1" s="124" t="s">
        <v>368</v>
      </c>
      <c r="M1" s="124" t="s">
        <v>369</v>
      </c>
      <c r="N1" s="124" t="s">
        <v>370</v>
      </c>
      <c r="O1" s="124" t="s">
        <v>371</v>
      </c>
      <c r="P1" s="124" t="s">
        <v>373</v>
      </c>
      <c r="Q1" s="125" t="s">
        <v>374</v>
      </c>
      <c r="R1" s="124" t="s">
        <v>375</v>
      </c>
      <c r="S1" s="124" t="s">
        <v>377</v>
      </c>
    </row>
    <row r="2" spans="1:19" x14ac:dyDescent="0.2">
      <c r="A2" s="7">
        <v>2012</v>
      </c>
      <c r="B2" s="24">
        <v>41083</v>
      </c>
      <c r="C2" s="9" t="s">
        <v>35</v>
      </c>
      <c r="D2" s="9" t="s">
        <v>36</v>
      </c>
      <c r="E2" s="9" t="s">
        <v>37</v>
      </c>
      <c r="F2" s="9" t="s">
        <v>38</v>
      </c>
      <c r="G2" s="9" t="s">
        <v>39</v>
      </c>
      <c r="H2" s="10" t="s">
        <v>55</v>
      </c>
      <c r="I2" s="9" t="s">
        <v>41</v>
      </c>
      <c r="J2" s="103">
        <v>0.39217592592592593</v>
      </c>
      <c r="K2" s="10">
        <v>47.8</v>
      </c>
      <c r="L2" s="10">
        <v>0.93</v>
      </c>
      <c r="M2" s="10">
        <v>1008.3</v>
      </c>
      <c r="N2" s="10">
        <v>0.82</v>
      </c>
      <c r="O2" s="10">
        <v>60.7</v>
      </c>
      <c r="P2" s="10">
        <v>3.6</v>
      </c>
      <c r="Q2" s="11">
        <v>5</v>
      </c>
      <c r="R2" s="10" t="s">
        <v>46</v>
      </c>
    </row>
    <row r="3" spans="1:19" x14ac:dyDescent="0.2">
      <c r="A3" s="7">
        <v>2012</v>
      </c>
      <c r="B3" s="104">
        <v>41083</v>
      </c>
      <c r="C3" s="7" t="s">
        <v>35</v>
      </c>
      <c r="D3" s="7" t="s">
        <v>36</v>
      </c>
      <c r="E3" s="7" t="s">
        <v>37</v>
      </c>
      <c r="F3" s="7" t="s">
        <v>38</v>
      </c>
      <c r="G3" s="9" t="s">
        <v>39</v>
      </c>
      <c r="H3" s="10" t="s">
        <v>55</v>
      </c>
      <c r="I3" s="7" t="s">
        <v>41</v>
      </c>
      <c r="J3" s="103">
        <v>0.39383101851851854</v>
      </c>
      <c r="K3" s="10">
        <v>39.299999999999997</v>
      </c>
      <c r="L3" s="10">
        <v>0.44</v>
      </c>
      <c r="M3" s="10">
        <v>323.5</v>
      </c>
      <c r="N3" s="10">
        <v>0.12</v>
      </c>
      <c r="O3" s="10">
        <v>60.5</v>
      </c>
      <c r="P3" s="10">
        <v>3</v>
      </c>
      <c r="Q3" s="11">
        <v>5</v>
      </c>
      <c r="R3" s="10" t="s">
        <v>0</v>
      </c>
    </row>
    <row r="4" spans="1:19" x14ac:dyDescent="0.2">
      <c r="A4" s="7">
        <v>2012</v>
      </c>
      <c r="B4" s="104">
        <v>41083</v>
      </c>
      <c r="C4" s="7" t="s">
        <v>35</v>
      </c>
      <c r="D4" s="7" t="s">
        <v>36</v>
      </c>
      <c r="E4" s="7" t="s">
        <v>37</v>
      </c>
      <c r="F4" s="7" t="s">
        <v>38</v>
      </c>
      <c r="G4" s="9" t="s">
        <v>39</v>
      </c>
      <c r="H4" s="10" t="s">
        <v>55</v>
      </c>
      <c r="I4" s="7" t="s">
        <v>41</v>
      </c>
      <c r="J4" s="103">
        <v>0.39482638888888894</v>
      </c>
      <c r="K4" s="10">
        <v>160.80000000000001</v>
      </c>
      <c r="L4" s="10">
        <v>1.05</v>
      </c>
      <c r="M4" s="10">
        <v>1008.3</v>
      </c>
      <c r="N4" s="10">
        <v>0.84</v>
      </c>
      <c r="O4" s="10">
        <v>60.3</v>
      </c>
      <c r="P4" s="10">
        <v>2.1</v>
      </c>
      <c r="Q4" s="11">
        <v>20</v>
      </c>
      <c r="R4" s="10" t="s">
        <v>46</v>
      </c>
    </row>
    <row r="5" spans="1:19" x14ac:dyDescent="0.2">
      <c r="A5" s="7">
        <v>2012</v>
      </c>
      <c r="B5" s="104">
        <v>41083</v>
      </c>
      <c r="C5" s="7" t="s">
        <v>35</v>
      </c>
      <c r="D5" s="7" t="s">
        <v>36</v>
      </c>
      <c r="E5" s="7" t="s">
        <v>37</v>
      </c>
      <c r="F5" s="7" t="s">
        <v>38</v>
      </c>
      <c r="G5" s="9" t="s">
        <v>39</v>
      </c>
      <c r="H5" s="10" t="s">
        <v>55</v>
      </c>
      <c r="I5" s="7" t="s">
        <v>41</v>
      </c>
      <c r="J5" s="103">
        <v>0.39524305555555556</v>
      </c>
      <c r="K5" s="10">
        <v>77.599999999999994</v>
      </c>
      <c r="L5" s="10">
        <v>0.19</v>
      </c>
      <c r="M5" s="10">
        <v>286.89999999999998</v>
      </c>
      <c r="N5" s="10">
        <v>0.2</v>
      </c>
      <c r="O5" s="10">
        <v>60.3</v>
      </c>
      <c r="P5" s="10">
        <v>1.7</v>
      </c>
      <c r="Q5" s="11">
        <v>20</v>
      </c>
      <c r="R5" s="10" t="s">
        <v>0</v>
      </c>
    </row>
    <row r="6" spans="1:19" x14ac:dyDescent="0.2">
      <c r="A6" s="7">
        <v>2012</v>
      </c>
      <c r="B6" s="104">
        <v>41083</v>
      </c>
      <c r="C6" s="7" t="s">
        <v>35</v>
      </c>
      <c r="D6" s="7" t="s">
        <v>36</v>
      </c>
      <c r="E6" s="7" t="s">
        <v>37</v>
      </c>
      <c r="F6" s="7" t="s">
        <v>38</v>
      </c>
      <c r="G6" s="9" t="s">
        <v>39</v>
      </c>
      <c r="H6" s="10" t="s">
        <v>55</v>
      </c>
      <c r="I6" s="7" t="s">
        <v>41</v>
      </c>
      <c r="J6" s="103">
        <v>0.39571759259259259</v>
      </c>
      <c r="K6" s="10">
        <v>282.60000000000002</v>
      </c>
      <c r="L6" s="10">
        <v>0.91</v>
      </c>
      <c r="M6" s="10">
        <v>1032.7</v>
      </c>
      <c r="N6" s="10">
        <v>0.82</v>
      </c>
      <c r="O6" s="10">
        <v>60.2</v>
      </c>
      <c r="P6" s="10">
        <v>1.5</v>
      </c>
      <c r="Q6" s="11">
        <v>35</v>
      </c>
      <c r="R6" s="10" t="s">
        <v>46</v>
      </c>
    </row>
    <row r="7" spans="1:19" x14ac:dyDescent="0.2">
      <c r="A7" s="7">
        <v>2012</v>
      </c>
      <c r="B7" s="104">
        <v>41083</v>
      </c>
      <c r="C7" s="7" t="s">
        <v>35</v>
      </c>
      <c r="D7" s="7" t="s">
        <v>36</v>
      </c>
      <c r="E7" s="7" t="s">
        <v>37</v>
      </c>
      <c r="F7" s="7" t="s">
        <v>38</v>
      </c>
      <c r="G7" s="9" t="s">
        <v>39</v>
      </c>
      <c r="H7" s="10" t="s">
        <v>55</v>
      </c>
      <c r="I7" s="7" t="s">
        <v>41</v>
      </c>
      <c r="J7" s="103">
        <v>0.39589120370370368</v>
      </c>
      <c r="K7" s="10">
        <v>128.19999999999999</v>
      </c>
      <c r="L7" s="10">
        <v>0.26</v>
      </c>
      <c r="M7" s="10">
        <v>361.3</v>
      </c>
      <c r="N7" s="10">
        <v>0.13</v>
      </c>
      <c r="O7" s="10">
        <v>60.2</v>
      </c>
      <c r="P7" s="10">
        <v>1.4</v>
      </c>
      <c r="Q7" s="11">
        <v>35</v>
      </c>
      <c r="R7" s="10" t="s">
        <v>0</v>
      </c>
    </row>
    <row r="8" spans="1:19" x14ac:dyDescent="0.2">
      <c r="A8" s="7">
        <v>2012</v>
      </c>
      <c r="B8" s="104">
        <v>41083</v>
      </c>
      <c r="C8" s="7" t="s">
        <v>35</v>
      </c>
      <c r="D8" s="7" t="s">
        <v>36</v>
      </c>
      <c r="E8" s="7" t="s">
        <v>37</v>
      </c>
      <c r="F8" s="7" t="s">
        <v>38</v>
      </c>
      <c r="G8" s="9" t="s">
        <v>39</v>
      </c>
      <c r="H8" s="10" t="s">
        <v>55</v>
      </c>
      <c r="I8" s="7" t="s">
        <v>41</v>
      </c>
      <c r="J8" s="103">
        <v>0.39642361111111107</v>
      </c>
      <c r="K8" s="10">
        <v>560.79999999999995</v>
      </c>
      <c r="L8" s="10">
        <v>0.45</v>
      </c>
      <c r="M8" s="10">
        <v>1032.7</v>
      </c>
      <c r="N8" s="10">
        <v>0.82</v>
      </c>
      <c r="O8" s="10">
        <v>60.1</v>
      </c>
      <c r="P8" s="10">
        <v>0.7</v>
      </c>
      <c r="Q8" s="11">
        <v>50</v>
      </c>
      <c r="R8" s="10" t="s">
        <v>46</v>
      </c>
    </row>
    <row r="9" spans="1:19" x14ac:dyDescent="0.2">
      <c r="A9" s="7">
        <v>2012</v>
      </c>
      <c r="B9" s="104">
        <v>41083</v>
      </c>
      <c r="C9" s="7" t="s">
        <v>35</v>
      </c>
      <c r="D9" s="7" t="s">
        <v>36</v>
      </c>
      <c r="E9" s="7" t="s">
        <v>37</v>
      </c>
      <c r="F9" s="7" t="s">
        <v>38</v>
      </c>
      <c r="G9" s="9" t="s">
        <v>39</v>
      </c>
      <c r="H9" s="10" t="s">
        <v>55</v>
      </c>
      <c r="I9" s="7" t="s">
        <v>41</v>
      </c>
      <c r="J9" s="103">
        <v>0.39674768518518522</v>
      </c>
      <c r="K9" s="10">
        <v>220.2</v>
      </c>
      <c r="L9" s="10">
        <v>0.08</v>
      </c>
      <c r="M9" s="10">
        <v>517.6</v>
      </c>
      <c r="N9" s="10">
        <v>0.22</v>
      </c>
      <c r="O9" s="10">
        <v>60.1</v>
      </c>
      <c r="P9" s="10">
        <v>1.1000000000000001</v>
      </c>
      <c r="Q9" s="11">
        <v>50</v>
      </c>
      <c r="R9" s="10" t="s">
        <v>0</v>
      </c>
    </row>
    <row r="10" spans="1:19" x14ac:dyDescent="0.2">
      <c r="A10" s="7">
        <v>2012</v>
      </c>
      <c r="B10" s="104">
        <v>41083</v>
      </c>
      <c r="C10" s="7" t="s">
        <v>35</v>
      </c>
      <c r="D10" s="7" t="s">
        <v>36</v>
      </c>
      <c r="E10" s="7" t="s">
        <v>37</v>
      </c>
      <c r="F10" s="7" t="s">
        <v>38</v>
      </c>
      <c r="G10" s="9" t="s">
        <v>39</v>
      </c>
      <c r="H10" s="10" t="s">
        <v>55</v>
      </c>
      <c r="I10" s="7" t="s">
        <v>41</v>
      </c>
      <c r="J10" s="103">
        <v>0.39721064814814816</v>
      </c>
      <c r="K10" s="10">
        <v>705.9</v>
      </c>
      <c r="L10" s="10">
        <v>0.26</v>
      </c>
      <c r="M10" s="10">
        <v>1040</v>
      </c>
      <c r="N10" s="10">
        <v>0.82</v>
      </c>
      <c r="O10" s="10">
        <v>60</v>
      </c>
      <c r="P10" s="10">
        <v>0.4</v>
      </c>
      <c r="Q10" s="11">
        <v>65</v>
      </c>
      <c r="R10" s="10" t="s">
        <v>46</v>
      </c>
    </row>
    <row r="11" spans="1:19" x14ac:dyDescent="0.2">
      <c r="A11" s="7">
        <v>2012</v>
      </c>
      <c r="B11" s="104">
        <v>41083</v>
      </c>
      <c r="C11" s="7" t="s">
        <v>35</v>
      </c>
      <c r="D11" s="7" t="s">
        <v>36</v>
      </c>
      <c r="E11" s="7" t="s">
        <v>37</v>
      </c>
      <c r="F11" s="7" t="s">
        <v>38</v>
      </c>
      <c r="G11" s="9" t="s">
        <v>39</v>
      </c>
      <c r="H11" s="10" t="s">
        <v>55</v>
      </c>
      <c r="I11" s="7" t="s">
        <v>41</v>
      </c>
      <c r="J11" s="103">
        <v>0.39733796296296298</v>
      </c>
      <c r="K11" s="10">
        <v>303.2</v>
      </c>
      <c r="L11" s="10">
        <v>0.18</v>
      </c>
      <c r="M11" s="10">
        <v>557.9</v>
      </c>
      <c r="N11" s="10">
        <v>0.14000000000000001</v>
      </c>
      <c r="O11" s="10">
        <v>60</v>
      </c>
      <c r="P11" s="10">
        <v>0.8</v>
      </c>
      <c r="Q11" s="11">
        <v>65</v>
      </c>
      <c r="R11" s="10" t="s">
        <v>0</v>
      </c>
    </row>
    <row r="12" spans="1:19" x14ac:dyDescent="0.2">
      <c r="A12" s="7">
        <v>2012</v>
      </c>
      <c r="B12" s="104">
        <v>41083</v>
      </c>
      <c r="C12" s="7" t="s">
        <v>35</v>
      </c>
      <c r="D12" s="7" t="s">
        <v>36</v>
      </c>
      <c r="E12" s="7" t="s">
        <v>37</v>
      </c>
      <c r="F12" s="7" t="s">
        <v>38</v>
      </c>
      <c r="G12" s="9" t="s">
        <v>39</v>
      </c>
      <c r="H12" s="10" t="s">
        <v>55</v>
      </c>
      <c r="I12" s="7" t="s">
        <v>41</v>
      </c>
      <c r="J12" s="103">
        <v>0.39788194444444441</v>
      </c>
      <c r="K12" s="10">
        <v>803</v>
      </c>
      <c r="L12" s="10">
        <v>0.15</v>
      </c>
      <c r="M12" s="10">
        <v>1040</v>
      </c>
      <c r="N12" s="10">
        <v>0.83</v>
      </c>
      <c r="O12" s="10">
        <v>59.9</v>
      </c>
      <c r="P12" s="10">
        <v>0.3</v>
      </c>
      <c r="Q12" s="11">
        <v>80</v>
      </c>
      <c r="R12" s="10" t="s">
        <v>46</v>
      </c>
    </row>
    <row r="13" spans="1:19" x14ac:dyDescent="0.2">
      <c r="A13" s="7">
        <v>2012</v>
      </c>
      <c r="B13" s="104">
        <v>41083</v>
      </c>
      <c r="C13" s="7" t="s">
        <v>35</v>
      </c>
      <c r="D13" s="7" t="s">
        <v>36</v>
      </c>
      <c r="E13" s="7" t="s">
        <v>37</v>
      </c>
      <c r="F13" s="7" t="s">
        <v>38</v>
      </c>
      <c r="G13" s="9" t="s">
        <v>39</v>
      </c>
      <c r="H13" s="10" t="s">
        <v>55</v>
      </c>
      <c r="I13" s="7" t="s">
        <v>41</v>
      </c>
      <c r="J13" s="103">
        <v>0.39799768518518519</v>
      </c>
      <c r="K13" s="10">
        <v>379</v>
      </c>
      <c r="L13" s="10">
        <v>0.31</v>
      </c>
      <c r="M13" s="10">
        <v>529.79999999999995</v>
      </c>
      <c r="N13" s="10">
        <v>0.16</v>
      </c>
      <c r="O13" s="10">
        <v>59.9</v>
      </c>
      <c r="P13" s="10">
        <v>0.4</v>
      </c>
      <c r="Q13" s="11">
        <v>80</v>
      </c>
      <c r="R13" s="10" t="s">
        <v>0</v>
      </c>
    </row>
    <row r="14" spans="1:19" x14ac:dyDescent="0.2">
      <c r="A14" s="7">
        <v>2012</v>
      </c>
      <c r="B14" s="104">
        <v>41083</v>
      </c>
      <c r="C14" s="7" t="s">
        <v>35</v>
      </c>
      <c r="D14" s="7" t="s">
        <v>36</v>
      </c>
      <c r="E14" s="7" t="s">
        <v>37</v>
      </c>
      <c r="F14" s="7" t="s">
        <v>38</v>
      </c>
      <c r="G14" s="9" t="s">
        <v>39</v>
      </c>
      <c r="H14" s="10" t="s">
        <v>55</v>
      </c>
      <c r="I14" s="7" t="s">
        <v>41</v>
      </c>
      <c r="J14" s="103">
        <v>0.39840277777777783</v>
      </c>
      <c r="K14" s="10">
        <v>824.3</v>
      </c>
      <c r="L14" s="10">
        <v>0.02</v>
      </c>
      <c r="M14" s="10">
        <v>1043.7</v>
      </c>
      <c r="N14" s="10">
        <v>0.82</v>
      </c>
      <c r="O14" s="10">
        <v>59.9</v>
      </c>
      <c r="P14" s="10">
        <v>0.3</v>
      </c>
      <c r="Q14" s="11" t="s">
        <v>43</v>
      </c>
      <c r="R14" s="10" t="s">
        <v>46</v>
      </c>
    </row>
    <row r="15" spans="1:19" x14ac:dyDescent="0.2">
      <c r="A15" s="7">
        <v>2012</v>
      </c>
      <c r="B15" s="104">
        <v>41083</v>
      </c>
      <c r="C15" s="7" t="s">
        <v>35</v>
      </c>
      <c r="D15" s="7" t="s">
        <v>36</v>
      </c>
      <c r="E15" s="7" t="s">
        <v>37</v>
      </c>
      <c r="F15" s="7" t="s">
        <v>38</v>
      </c>
      <c r="G15" s="9" t="s">
        <v>39</v>
      </c>
      <c r="H15" s="10" t="s">
        <v>55</v>
      </c>
      <c r="I15" s="7" t="s">
        <v>41</v>
      </c>
      <c r="J15" s="103">
        <v>0.39856481481481482</v>
      </c>
      <c r="K15" s="10">
        <v>362.7</v>
      </c>
      <c r="L15" s="10">
        <v>0.38</v>
      </c>
      <c r="M15" s="10">
        <v>496.8</v>
      </c>
      <c r="N15" s="10">
        <v>0.21</v>
      </c>
      <c r="O15" s="10">
        <v>59.9</v>
      </c>
      <c r="P15" s="10">
        <v>0.4</v>
      </c>
      <c r="Q15" s="11" t="s">
        <v>43</v>
      </c>
      <c r="R15" s="10" t="s">
        <v>0</v>
      </c>
    </row>
    <row r="16" spans="1:19" x14ac:dyDescent="0.2">
      <c r="A16" s="7">
        <v>2012</v>
      </c>
      <c r="B16" s="104">
        <v>41083</v>
      </c>
      <c r="C16" s="7" t="s">
        <v>35</v>
      </c>
      <c r="D16" s="7" t="s">
        <v>36</v>
      </c>
      <c r="E16" s="7" t="s">
        <v>37</v>
      </c>
      <c r="F16" s="7" t="s">
        <v>38</v>
      </c>
      <c r="G16" s="9" t="s">
        <v>39</v>
      </c>
      <c r="H16" s="10" t="s">
        <v>55</v>
      </c>
      <c r="I16" s="7" t="s">
        <v>41</v>
      </c>
      <c r="J16" s="103">
        <v>0.40111111111111114</v>
      </c>
      <c r="K16" s="10">
        <v>61.9</v>
      </c>
      <c r="L16" s="10">
        <v>1.18</v>
      </c>
      <c r="M16" s="10">
        <v>1053.5</v>
      </c>
      <c r="N16" s="10">
        <v>0.83</v>
      </c>
      <c r="O16" s="10">
        <v>59.5</v>
      </c>
      <c r="P16" s="10">
        <v>3.4</v>
      </c>
      <c r="Q16" s="11">
        <v>5</v>
      </c>
      <c r="R16" s="10" t="s">
        <v>46</v>
      </c>
    </row>
    <row r="17" spans="1:18" x14ac:dyDescent="0.2">
      <c r="A17" s="7">
        <v>2012</v>
      </c>
      <c r="B17" s="104">
        <v>41083</v>
      </c>
      <c r="C17" s="7" t="s">
        <v>35</v>
      </c>
      <c r="D17" s="7" t="s">
        <v>36</v>
      </c>
      <c r="E17" s="7" t="s">
        <v>37</v>
      </c>
      <c r="F17" s="7" t="s">
        <v>38</v>
      </c>
      <c r="G17" s="9" t="s">
        <v>39</v>
      </c>
      <c r="H17" s="10" t="s">
        <v>55</v>
      </c>
      <c r="I17" s="7" t="s">
        <v>41</v>
      </c>
      <c r="J17" s="103">
        <v>0.40129629629629626</v>
      </c>
      <c r="K17" s="10">
        <v>31.2</v>
      </c>
      <c r="L17" s="10">
        <v>0.51</v>
      </c>
      <c r="M17" s="10">
        <v>644.5</v>
      </c>
      <c r="N17" s="10">
        <v>0.1</v>
      </c>
      <c r="O17" s="10">
        <v>59.5</v>
      </c>
      <c r="P17" s="10">
        <v>4.5999999999999996</v>
      </c>
      <c r="Q17" s="11">
        <v>5</v>
      </c>
      <c r="R17" s="10" t="s">
        <v>0</v>
      </c>
    </row>
    <row r="18" spans="1:18" x14ac:dyDescent="0.2">
      <c r="A18" s="7">
        <v>2012</v>
      </c>
      <c r="B18" s="104">
        <v>41083</v>
      </c>
      <c r="C18" s="7" t="s">
        <v>35</v>
      </c>
      <c r="D18" s="7" t="s">
        <v>36</v>
      </c>
      <c r="E18" s="7" t="s">
        <v>37</v>
      </c>
      <c r="F18" s="7" t="s">
        <v>38</v>
      </c>
      <c r="G18" s="9" t="s">
        <v>39</v>
      </c>
      <c r="H18" s="10" t="s">
        <v>55</v>
      </c>
      <c r="I18" s="7" t="s">
        <v>41</v>
      </c>
      <c r="J18" s="103">
        <v>0.40188657407407408</v>
      </c>
      <c r="K18" s="10">
        <v>102.4</v>
      </c>
      <c r="L18" s="10">
        <v>1.18</v>
      </c>
      <c r="M18" s="10">
        <v>1057.0999999999999</v>
      </c>
      <c r="N18" s="10">
        <v>0.83</v>
      </c>
      <c r="O18" s="10">
        <v>59.4</v>
      </c>
      <c r="P18" s="10">
        <v>2.8</v>
      </c>
      <c r="Q18" s="11">
        <v>20</v>
      </c>
      <c r="R18" s="10" t="s">
        <v>46</v>
      </c>
    </row>
    <row r="19" spans="1:18" x14ac:dyDescent="0.2">
      <c r="A19" s="7">
        <v>2012</v>
      </c>
      <c r="B19" s="104">
        <v>41083</v>
      </c>
      <c r="C19" s="7" t="s">
        <v>35</v>
      </c>
      <c r="D19" s="7" t="s">
        <v>36</v>
      </c>
      <c r="E19" s="7" t="s">
        <v>37</v>
      </c>
      <c r="F19" s="7" t="s">
        <v>38</v>
      </c>
      <c r="G19" s="9" t="s">
        <v>39</v>
      </c>
      <c r="H19" s="10" t="s">
        <v>55</v>
      </c>
      <c r="I19" s="7" t="s">
        <v>41</v>
      </c>
      <c r="J19" s="103">
        <v>0.40203703703703703</v>
      </c>
      <c r="K19" s="10">
        <v>67.3</v>
      </c>
      <c r="L19" s="10">
        <v>0.4</v>
      </c>
      <c r="M19" s="10">
        <v>488.3</v>
      </c>
      <c r="N19" s="10">
        <v>0.24</v>
      </c>
      <c r="O19" s="10">
        <v>59.4</v>
      </c>
      <c r="P19" s="10">
        <v>2.7</v>
      </c>
      <c r="Q19" s="11">
        <v>20</v>
      </c>
      <c r="R19" s="10" t="s">
        <v>0</v>
      </c>
    </row>
    <row r="20" spans="1:18" x14ac:dyDescent="0.2">
      <c r="A20" s="7">
        <v>2012</v>
      </c>
      <c r="B20" s="104">
        <v>41083</v>
      </c>
      <c r="C20" s="7" t="s">
        <v>35</v>
      </c>
      <c r="D20" s="7" t="s">
        <v>36</v>
      </c>
      <c r="E20" s="7" t="s">
        <v>37</v>
      </c>
      <c r="F20" s="7" t="s">
        <v>38</v>
      </c>
      <c r="G20" s="9" t="s">
        <v>39</v>
      </c>
      <c r="H20" s="10" t="s">
        <v>55</v>
      </c>
      <c r="I20" s="7" t="s">
        <v>41</v>
      </c>
      <c r="J20" s="103">
        <v>0.40256944444444448</v>
      </c>
      <c r="K20" s="10">
        <v>390.9</v>
      </c>
      <c r="L20" s="10">
        <v>0.67</v>
      </c>
      <c r="M20" s="10">
        <v>1062</v>
      </c>
      <c r="N20" s="10">
        <v>0.83</v>
      </c>
      <c r="O20" s="10">
        <v>59.3</v>
      </c>
      <c r="P20" s="10">
        <v>1.2</v>
      </c>
      <c r="Q20" s="11">
        <v>35</v>
      </c>
      <c r="R20" s="10" t="s">
        <v>46</v>
      </c>
    </row>
    <row r="21" spans="1:18" x14ac:dyDescent="0.2">
      <c r="A21" s="7">
        <v>2012</v>
      </c>
      <c r="B21" s="104">
        <v>41083</v>
      </c>
      <c r="C21" s="7" t="s">
        <v>35</v>
      </c>
      <c r="D21" s="7" t="s">
        <v>36</v>
      </c>
      <c r="E21" s="7" t="s">
        <v>37</v>
      </c>
      <c r="F21" s="7" t="s">
        <v>38</v>
      </c>
      <c r="G21" s="9" t="s">
        <v>39</v>
      </c>
      <c r="H21" s="10" t="s">
        <v>55</v>
      </c>
      <c r="I21" s="7" t="s">
        <v>41</v>
      </c>
      <c r="J21" s="103">
        <v>0.40269675925925924</v>
      </c>
      <c r="K21" s="10">
        <v>126.9</v>
      </c>
      <c r="L21" s="10">
        <v>0.25</v>
      </c>
      <c r="M21" s="10">
        <v>336.9</v>
      </c>
      <c r="N21" s="10">
        <v>0.36</v>
      </c>
      <c r="O21" s="10">
        <v>59.3</v>
      </c>
      <c r="P21" s="10">
        <v>1.2</v>
      </c>
      <c r="Q21" s="11">
        <v>35</v>
      </c>
      <c r="R21" s="10" t="s">
        <v>0</v>
      </c>
    </row>
    <row r="22" spans="1:18" x14ac:dyDescent="0.2">
      <c r="A22" s="7">
        <v>2012</v>
      </c>
      <c r="B22" s="104">
        <v>41083</v>
      </c>
      <c r="C22" s="7" t="s">
        <v>35</v>
      </c>
      <c r="D22" s="7" t="s">
        <v>36</v>
      </c>
      <c r="E22" s="7" t="s">
        <v>37</v>
      </c>
      <c r="F22" s="7" t="s">
        <v>38</v>
      </c>
      <c r="G22" s="9" t="s">
        <v>39</v>
      </c>
      <c r="H22" s="10" t="s">
        <v>55</v>
      </c>
      <c r="I22" s="7" t="s">
        <v>41</v>
      </c>
      <c r="J22" s="103">
        <v>0.40311342592592592</v>
      </c>
      <c r="K22" s="10">
        <v>551.20000000000005</v>
      </c>
      <c r="L22" s="10">
        <v>0.54</v>
      </c>
      <c r="M22" s="10">
        <v>1062</v>
      </c>
      <c r="N22" s="10">
        <v>0.83</v>
      </c>
      <c r="O22" s="10">
        <v>59.3</v>
      </c>
      <c r="P22" s="10">
        <v>0.8</v>
      </c>
      <c r="Q22" s="11">
        <v>50</v>
      </c>
      <c r="R22" s="10" t="s">
        <v>46</v>
      </c>
    </row>
    <row r="23" spans="1:18" x14ac:dyDescent="0.2">
      <c r="A23" s="7">
        <v>2012</v>
      </c>
      <c r="B23" s="104">
        <v>41083</v>
      </c>
      <c r="C23" s="7" t="s">
        <v>35</v>
      </c>
      <c r="D23" s="7" t="s">
        <v>36</v>
      </c>
      <c r="E23" s="7" t="s">
        <v>37</v>
      </c>
      <c r="F23" s="7" t="s">
        <v>38</v>
      </c>
      <c r="G23" s="9" t="s">
        <v>39</v>
      </c>
      <c r="H23" s="10" t="s">
        <v>55</v>
      </c>
      <c r="I23" s="7" t="s">
        <v>41</v>
      </c>
      <c r="J23" s="103">
        <v>0.40322916666666669</v>
      </c>
      <c r="K23" s="10">
        <v>241.6</v>
      </c>
      <c r="L23" s="10">
        <v>0.47</v>
      </c>
      <c r="M23" s="10">
        <v>336.9</v>
      </c>
      <c r="N23" s="10">
        <v>0.36</v>
      </c>
      <c r="O23" s="10">
        <v>59.3</v>
      </c>
      <c r="P23" s="10">
        <v>0.4</v>
      </c>
      <c r="Q23" s="11">
        <v>50</v>
      </c>
      <c r="R23" s="10" t="s">
        <v>0</v>
      </c>
    </row>
    <row r="24" spans="1:18" x14ac:dyDescent="0.2">
      <c r="A24" s="7">
        <v>2012</v>
      </c>
      <c r="B24" s="104">
        <v>41083</v>
      </c>
      <c r="C24" s="7" t="s">
        <v>35</v>
      </c>
      <c r="D24" s="7" t="s">
        <v>36</v>
      </c>
      <c r="E24" s="7" t="s">
        <v>37</v>
      </c>
      <c r="F24" s="7" t="s">
        <v>38</v>
      </c>
      <c r="G24" s="9" t="s">
        <v>39</v>
      </c>
      <c r="H24" s="10" t="s">
        <v>55</v>
      </c>
      <c r="I24" s="7" t="s">
        <v>41</v>
      </c>
      <c r="J24" s="103">
        <v>0.40353009259259259</v>
      </c>
      <c r="K24" s="10">
        <v>695.2</v>
      </c>
      <c r="L24" s="10">
        <v>0.33</v>
      </c>
      <c r="M24" s="10">
        <v>1066.9000000000001</v>
      </c>
      <c r="N24" s="10">
        <v>0.83</v>
      </c>
      <c r="O24" s="10">
        <v>59.2</v>
      </c>
      <c r="P24" s="10">
        <v>0.5</v>
      </c>
      <c r="Q24" s="11">
        <v>65</v>
      </c>
      <c r="R24" s="10" t="s">
        <v>46</v>
      </c>
    </row>
    <row r="25" spans="1:18" x14ac:dyDescent="0.2">
      <c r="A25" s="7">
        <v>2012</v>
      </c>
      <c r="B25" s="104">
        <v>41083</v>
      </c>
      <c r="C25" s="7" t="s">
        <v>35</v>
      </c>
      <c r="D25" s="7" t="s">
        <v>36</v>
      </c>
      <c r="E25" s="7" t="s">
        <v>37</v>
      </c>
      <c r="F25" s="7" t="s">
        <v>38</v>
      </c>
      <c r="G25" s="9" t="s">
        <v>39</v>
      </c>
      <c r="H25" s="10" t="s">
        <v>55</v>
      </c>
      <c r="I25" s="7" t="s">
        <v>41</v>
      </c>
      <c r="J25" s="103">
        <v>0.40364583333333331</v>
      </c>
      <c r="K25" s="10">
        <v>253.4</v>
      </c>
      <c r="L25" s="10">
        <v>0.39</v>
      </c>
      <c r="M25" s="10">
        <v>339.4</v>
      </c>
      <c r="N25" s="10">
        <v>0.36</v>
      </c>
      <c r="O25" s="10">
        <v>59.2</v>
      </c>
      <c r="P25" s="10">
        <v>0.3</v>
      </c>
      <c r="Q25" s="11">
        <v>65</v>
      </c>
      <c r="R25" s="10" t="s">
        <v>0</v>
      </c>
    </row>
    <row r="26" spans="1:18" x14ac:dyDescent="0.2">
      <c r="A26" s="7">
        <v>2012</v>
      </c>
      <c r="B26" s="104">
        <v>41083</v>
      </c>
      <c r="C26" s="7" t="s">
        <v>35</v>
      </c>
      <c r="D26" s="7" t="s">
        <v>36</v>
      </c>
      <c r="E26" s="7" t="s">
        <v>37</v>
      </c>
      <c r="F26" s="7" t="s">
        <v>38</v>
      </c>
      <c r="G26" s="9" t="s">
        <v>39</v>
      </c>
      <c r="H26" s="10" t="s">
        <v>55</v>
      </c>
      <c r="I26" s="7" t="s">
        <v>41</v>
      </c>
      <c r="J26" s="103">
        <v>0.40406249999999999</v>
      </c>
      <c r="K26" s="10">
        <v>780.2</v>
      </c>
      <c r="L26" s="10">
        <v>0.24</v>
      </c>
      <c r="M26" s="10">
        <v>1076.7</v>
      </c>
      <c r="N26" s="10">
        <v>0.83</v>
      </c>
      <c r="O26" s="10">
        <v>59.2</v>
      </c>
      <c r="P26" s="10">
        <v>0.4</v>
      </c>
      <c r="Q26" s="11">
        <v>80</v>
      </c>
      <c r="R26" s="10" t="s">
        <v>46</v>
      </c>
    </row>
    <row r="27" spans="1:18" x14ac:dyDescent="0.2">
      <c r="A27" s="7">
        <v>2012</v>
      </c>
      <c r="B27" s="104">
        <v>41083</v>
      </c>
      <c r="C27" s="7" t="s">
        <v>35</v>
      </c>
      <c r="D27" s="7" t="s">
        <v>36</v>
      </c>
      <c r="E27" s="7" t="s">
        <v>37</v>
      </c>
      <c r="F27" s="7" t="s">
        <v>38</v>
      </c>
      <c r="G27" s="9" t="s">
        <v>39</v>
      </c>
      <c r="H27" s="10" t="s">
        <v>55</v>
      </c>
      <c r="I27" s="7" t="s">
        <v>41</v>
      </c>
      <c r="J27" s="103">
        <v>0.40421296296296294</v>
      </c>
      <c r="K27" s="10">
        <v>291.8</v>
      </c>
      <c r="L27" s="10">
        <v>0.26</v>
      </c>
      <c r="M27" s="10">
        <v>351.6</v>
      </c>
      <c r="N27" s="10">
        <v>0.32</v>
      </c>
      <c r="O27" s="10">
        <v>59.1</v>
      </c>
      <c r="P27" s="10">
        <v>0.2</v>
      </c>
      <c r="Q27" s="11">
        <v>80</v>
      </c>
      <c r="R27" s="10" t="s">
        <v>0</v>
      </c>
    </row>
    <row r="28" spans="1:18" x14ac:dyDescent="0.2">
      <c r="A28" s="7">
        <v>2012</v>
      </c>
      <c r="B28" s="104">
        <v>41083</v>
      </c>
      <c r="C28" s="7" t="s">
        <v>35</v>
      </c>
      <c r="D28" s="7" t="s">
        <v>36</v>
      </c>
      <c r="E28" s="7" t="s">
        <v>37</v>
      </c>
      <c r="F28" s="7" t="s">
        <v>38</v>
      </c>
      <c r="G28" s="9" t="s">
        <v>39</v>
      </c>
      <c r="H28" s="10" t="s">
        <v>55</v>
      </c>
      <c r="I28" s="7" t="s">
        <v>41</v>
      </c>
      <c r="J28" s="103">
        <v>0.40531249999999996</v>
      </c>
      <c r="K28" s="10">
        <v>101.4</v>
      </c>
      <c r="L28" s="10">
        <v>0.82</v>
      </c>
      <c r="M28" s="10">
        <v>1086.4000000000001</v>
      </c>
      <c r="N28" s="10">
        <v>0.83</v>
      </c>
      <c r="O28" s="10">
        <v>59</v>
      </c>
      <c r="P28" s="10">
        <v>2.8</v>
      </c>
      <c r="Q28" s="11">
        <v>5</v>
      </c>
      <c r="R28" s="10" t="s">
        <v>46</v>
      </c>
    </row>
    <row r="29" spans="1:18" x14ac:dyDescent="0.2">
      <c r="A29" s="7">
        <v>2012</v>
      </c>
      <c r="B29" s="104">
        <v>41083</v>
      </c>
      <c r="C29" s="7" t="s">
        <v>35</v>
      </c>
      <c r="D29" s="7" t="s">
        <v>36</v>
      </c>
      <c r="E29" s="7" t="s">
        <v>37</v>
      </c>
      <c r="F29" s="7" t="s">
        <v>38</v>
      </c>
      <c r="G29" s="9" t="s">
        <v>39</v>
      </c>
      <c r="H29" s="10" t="s">
        <v>55</v>
      </c>
      <c r="I29" s="7" t="s">
        <v>41</v>
      </c>
      <c r="J29" s="103">
        <v>0.40547453703703701</v>
      </c>
      <c r="K29" s="10">
        <v>48.5</v>
      </c>
      <c r="L29" s="10">
        <v>0.15</v>
      </c>
      <c r="M29" s="10">
        <v>401.6</v>
      </c>
      <c r="N29" s="10">
        <v>0.3</v>
      </c>
      <c r="O29" s="10">
        <v>59</v>
      </c>
      <c r="P29" s="10">
        <v>2.9</v>
      </c>
      <c r="Q29" s="11">
        <v>5</v>
      </c>
      <c r="R29" s="10" t="s">
        <v>0</v>
      </c>
    </row>
    <row r="30" spans="1:18" x14ac:dyDescent="0.2">
      <c r="A30" s="7">
        <v>2012</v>
      </c>
      <c r="B30" s="104">
        <v>41083</v>
      </c>
      <c r="C30" s="7" t="s">
        <v>35</v>
      </c>
      <c r="D30" s="7" t="s">
        <v>36</v>
      </c>
      <c r="E30" s="7" t="s">
        <v>37</v>
      </c>
      <c r="F30" s="7" t="s">
        <v>38</v>
      </c>
      <c r="G30" s="9" t="s">
        <v>39</v>
      </c>
      <c r="H30" s="10" t="s">
        <v>55</v>
      </c>
      <c r="I30" s="7" t="s">
        <v>41</v>
      </c>
      <c r="J30" s="103">
        <v>0.40584490740740736</v>
      </c>
      <c r="K30" s="10">
        <v>121.6</v>
      </c>
      <c r="L30" s="10">
        <v>0.89</v>
      </c>
      <c r="M30" s="10">
        <v>1088.9000000000001</v>
      </c>
      <c r="N30" s="10">
        <v>0.83</v>
      </c>
      <c r="O30" s="10">
        <v>58.9</v>
      </c>
      <c r="P30" s="10">
        <v>2.6</v>
      </c>
      <c r="Q30" s="11">
        <v>20</v>
      </c>
      <c r="R30" s="10" t="s">
        <v>46</v>
      </c>
    </row>
    <row r="31" spans="1:18" x14ac:dyDescent="0.2">
      <c r="A31" s="7">
        <v>2012</v>
      </c>
      <c r="B31" s="104">
        <v>41083</v>
      </c>
      <c r="C31" s="7" t="s">
        <v>35</v>
      </c>
      <c r="D31" s="7" t="s">
        <v>36</v>
      </c>
      <c r="E31" s="7" t="s">
        <v>37</v>
      </c>
      <c r="F31" s="7" t="s">
        <v>38</v>
      </c>
      <c r="G31" s="9" t="s">
        <v>39</v>
      </c>
      <c r="H31" s="10" t="s">
        <v>55</v>
      </c>
      <c r="I31" s="7" t="s">
        <v>41</v>
      </c>
      <c r="J31" s="103">
        <v>0.40598379629629627</v>
      </c>
      <c r="K31" s="10">
        <v>65.3</v>
      </c>
      <c r="L31" s="10">
        <v>0.13</v>
      </c>
      <c r="M31" s="10">
        <v>349.1</v>
      </c>
      <c r="N31" s="10">
        <v>0.34</v>
      </c>
      <c r="O31" s="10">
        <v>58.9</v>
      </c>
      <c r="P31" s="10">
        <v>2.2000000000000002</v>
      </c>
      <c r="Q31" s="11">
        <v>20</v>
      </c>
      <c r="R31" s="10" t="s">
        <v>0</v>
      </c>
    </row>
    <row r="32" spans="1:18" x14ac:dyDescent="0.2">
      <c r="A32" s="7">
        <v>2012</v>
      </c>
      <c r="B32" s="104">
        <v>41083</v>
      </c>
      <c r="C32" s="7" t="s">
        <v>35</v>
      </c>
      <c r="D32" s="7" t="s">
        <v>36</v>
      </c>
      <c r="E32" s="7" t="s">
        <v>37</v>
      </c>
      <c r="F32" s="7" t="s">
        <v>38</v>
      </c>
      <c r="G32" s="9" t="s">
        <v>39</v>
      </c>
      <c r="H32" s="10" t="s">
        <v>55</v>
      </c>
      <c r="I32" s="7" t="s">
        <v>41</v>
      </c>
      <c r="J32" s="103">
        <v>0.40653935185185186</v>
      </c>
      <c r="K32" s="10">
        <v>199.3</v>
      </c>
      <c r="L32" s="10">
        <v>0.97</v>
      </c>
      <c r="M32" s="10">
        <v>1092.5</v>
      </c>
      <c r="N32" s="10">
        <v>0.83</v>
      </c>
      <c r="O32" s="10">
        <v>58.8</v>
      </c>
      <c r="P32" s="10">
        <v>2</v>
      </c>
      <c r="Q32" s="11">
        <v>35</v>
      </c>
      <c r="R32" s="10" t="s">
        <v>46</v>
      </c>
    </row>
    <row r="33" spans="1:18" x14ac:dyDescent="0.2">
      <c r="A33" s="7">
        <v>2012</v>
      </c>
      <c r="B33" s="104">
        <v>41083</v>
      </c>
      <c r="C33" s="7" t="s">
        <v>35</v>
      </c>
      <c r="D33" s="7" t="s">
        <v>36</v>
      </c>
      <c r="E33" s="7" t="s">
        <v>37</v>
      </c>
      <c r="F33" s="7" t="s">
        <v>38</v>
      </c>
      <c r="G33" s="9" t="s">
        <v>39</v>
      </c>
      <c r="H33" s="10" t="s">
        <v>55</v>
      </c>
      <c r="I33" s="7" t="s">
        <v>41</v>
      </c>
      <c r="J33" s="103">
        <v>0.40663194444444445</v>
      </c>
      <c r="K33" s="10">
        <v>94.4</v>
      </c>
      <c r="L33" s="10">
        <v>0.2</v>
      </c>
      <c r="M33" s="10">
        <v>384.5</v>
      </c>
      <c r="N33" s="10">
        <v>0.28999999999999998</v>
      </c>
      <c r="O33" s="10">
        <v>58.8</v>
      </c>
      <c r="P33" s="10">
        <v>1.9</v>
      </c>
      <c r="Q33" s="11">
        <v>35</v>
      </c>
      <c r="R33" s="10" t="s">
        <v>0</v>
      </c>
    </row>
    <row r="34" spans="1:18" x14ac:dyDescent="0.2">
      <c r="A34" s="7">
        <v>2012</v>
      </c>
      <c r="B34" s="104">
        <v>41083</v>
      </c>
      <c r="C34" s="7" t="s">
        <v>35</v>
      </c>
      <c r="D34" s="7" t="s">
        <v>36</v>
      </c>
      <c r="E34" s="7" t="s">
        <v>37</v>
      </c>
      <c r="F34" s="7" t="s">
        <v>38</v>
      </c>
      <c r="G34" s="9" t="s">
        <v>39</v>
      </c>
      <c r="H34" s="10" t="s">
        <v>55</v>
      </c>
      <c r="I34" s="7" t="s">
        <v>41</v>
      </c>
      <c r="J34" s="103">
        <v>0.40712962962962962</v>
      </c>
      <c r="K34" s="10">
        <v>438.4</v>
      </c>
      <c r="L34" s="10">
        <v>0.62</v>
      </c>
      <c r="M34" s="10">
        <v>1093.8</v>
      </c>
      <c r="N34" s="10">
        <v>0.83</v>
      </c>
      <c r="O34" s="10">
        <v>58.8</v>
      </c>
      <c r="P34" s="10">
        <v>1.1000000000000001</v>
      </c>
      <c r="Q34" s="11">
        <v>50</v>
      </c>
      <c r="R34" s="10" t="s">
        <v>46</v>
      </c>
    </row>
    <row r="35" spans="1:18" x14ac:dyDescent="0.2">
      <c r="A35" s="7">
        <v>2012</v>
      </c>
      <c r="B35" s="104">
        <v>41083</v>
      </c>
      <c r="C35" s="7" t="s">
        <v>35</v>
      </c>
      <c r="D35" s="7" t="s">
        <v>36</v>
      </c>
      <c r="E35" s="7" t="s">
        <v>37</v>
      </c>
      <c r="F35" s="7" t="s">
        <v>38</v>
      </c>
      <c r="G35" s="9" t="s">
        <v>39</v>
      </c>
      <c r="H35" s="10" t="s">
        <v>55</v>
      </c>
      <c r="I35" s="7" t="s">
        <v>41</v>
      </c>
      <c r="J35" s="103">
        <v>0.40722222222222221</v>
      </c>
      <c r="K35" s="10">
        <v>239.2</v>
      </c>
      <c r="L35" s="10">
        <v>0.3</v>
      </c>
      <c r="M35" s="10">
        <v>380.9</v>
      </c>
      <c r="N35" s="10">
        <v>0.31</v>
      </c>
      <c r="O35" s="10">
        <v>58.8</v>
      </c>
      <c r="P35" s="10">
        <v>0.6</v>
      </c>
      <c r="Q35" s="11">
        <v>50</v>
      </c>
      <c r="R35" s="10" t="s">
        <v>0</v>
      </c>
    </row>
    <row r="36" spans="1:18" x14ac:dyDescent="0.2">
      <c r="A36" s="7">
        <v>2012</v>
      </c>
      <c r="B36" s="104">
        <v>41083</v>
      </c>
      <c r="C36" s="7" t="s">
        <v>35</v>
      </c>
      <c r="D36" s="7" t="s">
        <v>36</v>
      </c>
      <c r="E36" s="7" t="s">
        <v>37</v>
      </c>
      <c r="F36" s="7" t="s">
        <v>38</v>
      </c>
      <c r="G36" s="9" t="s">
        <v>39</v>
      </c>
      <c r="H36" s="10" t="s">
        <v>55</v>
      </c>
      <c r="I36" s="7" t="s">
        <v>41</v>
      </c>
      <c r="J36" s="103">
        <v>0.40768518518518521</v>
      </c>
      <c r="K36" s="10">
        <v>781.3</v>
      </c>
      <c r="L36" s="10">
        <v>0.25</v>
      </c>
      <c r="M36" s="10">
        <v>1096.2</v>
      </c>
      <c r="N36" s="10">
        <v>0.83</v>
      </c>
      <c r="O36" s="10">
        <v>58.7</v>
      </c>
      <c r="P36" s="10">
        <v>0.4</v>
      </c>
      <c r="Q36" s="11">
        <v>65</v>
      </c>
      <c r="R36" s="10" t="s">
        <v>46</v>
      </c>
    </row>
    <row r="37" spans="1:18" x14ac:dyDescent="0.2">
      <c r="A37" s="7">
        <v>2012</v>
      </c>
      <c r="B37" s="104">
        <v>41083</v>
      </c>
      <c r="C37" s="7" t="s">
        <v>35</v>
      </c>
      <c r="D37" s="7" t="s">
        <v>36</v>
      </c>
      <c r="E37" s="7" t="s">
        <v>37</v>
      </c>
      <c r="F37" s="7" t="s">
        <v>38</v>
      </c>
      <c r="G37" s="9" t="s">
        <v>39</v>
      </c>
      <c r="H37" s="10" t="s">
        <v>55</v>
      </c>
      <c r="I37" s="7" t="s">
        <v>41</v>
      </c>
      <c r="J37" s="103">
        <v>0.40789351851851857</v>
      </c>
      <c r="K37" s="10">
        <v>366.4</v>
      </c>
      <c r="L37" s="10">
        <v>0.36</v>
      </c>
      <c r="M37" s="10">
        <v>351.6</v>
      </c>
      <c r="N37" s="10">
        <v>0.35</v>
      </c>
      <c r="O37" s="10">
        <v>58.7</v>
      </c>
      <c r="P37" s="10">
        <v>-0.1</v>
      </c>
      <c r="Q37" s="11">
        <v>65</v>
      </c>
      <c r="R37" s="10" t="s">
        <v>0</v>
      </c>
    </row>
    <row r="38" spans="1:18" x14ac:dyDescent="0.2">
      <c r="A38" s="7">
        <v>2012</v>
      </c>
      <c r="B38" s="104">
        <v>41083</v>
      </c>
      <c r="C38" s="7" t="s">
        <v>35</v>
      </c>
      <c r="D38" s="7" t="s">
        <v>36</v>
      </c>
      <c r="E38" s="7" t="s">
        <v>37</v>
      </c>
      <c r="F38" s="7" t="s">
        <v>38</v>
      </c>
      <c r="G38" s="9" t="s">
        <v>39</v>
      </c>
      <c r="H38" s="10" t="s">
        <v>55</v>
      </c>
      <c r="I38" s="7" t="s">
        <v>41</v>
      </c>
      <c r="J38" s="103">
        <v>0.40825231481481478</v>
      </c>
      <c r="K38" s="10">
        <v>832.8</v>
      </c>
      <c r="L38" s="10">
        <v>0.14000000000000001</v>
      </c>
      <c r="M38" s="10">
        <v>1102.3</v>
      </c>
      <c r="N38" s="10">
        <v>0.83</v>
      </c>
      <c r="O38" s="10">
        <v>58.6</v>
      </c>
      <c r="P38" s="10">
        <v>0.3</v>
      </c>
      <c r="Q38" s="11">
        <v>80</v>
      </c>
      <c r="R38" s="10" t="s">
        <v>46</v>
      </c>
    </row>
    <row r="39" spans="1:18" x14ac:dyDescent="0.2">
      <c r="A39" s="7">
        <v>2012</v>
      </c>
      <c r="B39" s="104">
        <v>41083</v>
      </c>
      <c r="C39" s="7" t="s">
        <v>35</v>
      </c>
      <c r="D39" s="7" t="s">
        <v>36</v>
      </c>
      <c r="E39" s="7" t="s">
        <v>37</v>
      </c>
      <c r="F39" s="7" t="s">
        <v>38</v>
      </c>
      <c r="G39" s="9" t="s">
        <v>39</v>
      </c>
      <c r="H39" s="10" t="s">
        <v>55</v>
      </c>
      <c r="I39" s="7" t="s">
        <v>41</v>
      </c>
      <c r="J39" s="103">
        <v>0.40834490740740742</v>
      </c>
      <c r="K39" s="10">
        <v>376.9</v>
      </c>
      <c r="L39" s="10">
        <v>0.35</v>
      </c>
      <c r="M39" s="10">
        <v>330.8</v>
      </c>
      <c r="N39" s="10">
        <v>0.32</v>
      </c>
      <c r="O39" s="10">
        <v>58.6</v>
      </c>
      <c r="P39" s="10">
        <v>-0.2</v>
      </c>
      <c r="Q39" s="11">
        <v>80</v>
      </c>
      <c r="R39" s="10" t="s">
        <v>0</v>
      </c>
    </row>
    <row r="40" spans="1:18" x14ac:dyDescent="0.2">
      <c r="A40" s="7">
        <v>2012</v>
      </c>
      <c r="B40" s="24">
        <v>41093</v>
      </c>
      <c r="C40" s="4" t="s">
        <v>35</v>
      </c>
      <c r="D40" s="3" t="s">
        <v>2</v>
      </c>
      <c r="E40" s="4" t="s">
        <v>5</v>
      </c>
      <c r="F40" s="3" t="s">
        <v>38</v>
      </c>
      <c r="G40" s="9" t="s">
        <v>39</v>
      </c>
      <c r="H40" s="10" t="s">
        <v>55</v>
      </c>
      <c r="I40" s="3" t="s">
        <v>4</v>
      </c>
      <c r="J40" s="102">
        <v>0.44333333333333336</v>
      </c>
      <c r="K40" s="7">
        <v>220.4</v>
      </c>
      <c r="L40" s="7">
        <v>0.73</v>
      </c>
      <c r="M40" s="7">
        <v>585.9</v>
      </c>
      <c r="N40" s="7">
        <v>0.1</v>
      </c>
      <c r="O40" s="7">
        <v>55</v>
      </c>
      <c r="P40" s="7">
        <v>1.3</v>
      </c>
      <c r="Q40" s="6">
        <v>5</v>
      </c>
      <c r="R40" s="7" t="s">
        <v>46</v>
      </c>
    </row>
    <row r="41" spans="1:18" x14ac:dyDescent="0.2">
      <c r="A41" s="7">
        <v>2012</v>
      </c>
      <c r="B41" s="24">
        <v>41093</v>
      </c>
      <c r="C41" s="4" t="s">
        <v>35</v>
      </c>
      <c r="D41" s="3" t="s">
        <v>2</v>
      </c>
      <c r="E41" s="4" t="s">
        <v>5</v>
      </c>
      <c r="F41" s="3" t="s">
        <v>38</v>
      </c>
      <c r="G41" s="9" t="s">
        <v>39</v>
      </c>
      <c r="H41" s="10" t="s">
        <v>55</v>
      </c>
      <c r="I41" s="3" t="s">
        <v>4</v>
      </c>
      <c r="J41" s="102">
        <v>0.44353009259259263</v>
      </c>
      <c r="K41" s="7">
        <v>77.400000000000006</v>
      </c>
      <c r="L41" s="7">
        <v>0.3</v>
      </c>
      <c r="M41" s="7">
        <v>517.6</v>
      </c>
      <c r="N41" s="7">
        <v>0.09</v>
      </c>
      <c r="O41" s="7">
        <v>54.9</v>
      </c>
      <c r="P41" s="7">
        <v>2.8</v>
      </c>
      <c r="Q41" s="6">
        <v>5</v>
      </c>
      <c r="R41" s="7" t="s">
        <v>0</v>
      </c>
    </row>
    <row r="42" spans="1:18" x14ac:dyDescent="0.2">
      <c r="A42" s="7">
        <v>2012</v>
      </c>
      <c r="B42" s="24">
        <v>41093</v>
      </c>
      <c r="C42" s="4" t="s">
        <v>35</v>
      </c>
      <c r="D42" s="3" t="s">
        <v>2</v>
      </c>
      <c r="E42" s="4" t="s">
        <v>5</v>
      </c>
      <c r="F42" s="3" t="s">
        <v>38</v>
      </c>
      <c r="G42" s="9" t="s">
        <v>39</v>
      </c>
      <c r="H42" s="10" t="s">
        <v>55</v>
      </c>
      <c r="I42" s="3" t="s">
        <v>4</v>
      </c>
      <c r="J42" s="102">
        <v>0.44377314814814817</v>
      </c>
      <c r="K42" s="7">
        <v>313.8</v>
      </c>
      <c r="L42" s="7">
        <v>0.84</v>
      </c>
      <c r="M42" s="7">
        <v>1364.7</v>
      </c>
      <c r="N42" s="7">
        <v>0.69</v>
      </c>
      <c r="O42" s="7">
        <v>54.9</v>
      </c>
      <c r="P42" s="7">
        <v>1.9</v>
      </c>
      <c r="Q42" s="6">
        <v>20</v>
      </c>
      <c r="R42" s="7" t="s">
        <v>46</v>
      </c>
    </row>
    <row r="43" spans="1:18" x14ac:dyDescent="0.2">
      <c r="A43" s="7">
        <v>2012</v>
      </c>
      <c r="B43" s="24">
        <v>41093</v>
      </c>
      <c r="C43" s="4" t="s">
        <v>35</v>
      </c>
      <c r="D43" s="3" t="s">
        <v>2</v>
      </c>
      <c r="E43" s="4" t="s">
        <v>5</v>
      </c>
      <c r="F43" s="3" t="s">
        <v>38</v>
      </c>
      <c r="G43" s="9" t="s">
        <v>39</v>
      </c>
      <c r="H43" s="10" t="s">
        <v>55</v>
      </c>
      <c r="I43" s="3" t="s">
        <v>4</v>
      </c>
      <c r="J43" s="102">
        <v>0.4440162037037037</v>
      </c>
      <c r="K43" s="7">
        <v>95.3</v>
      </c>
      <c r="L43" s="7">
        <v>0.28999999999999998</v>
      </c>
      <c r="M43" s="7">
        <v>582.29999999999995</v>
      </c>
      <c r="N43" s="7">
        <v>0.1</v>
      </c>
      <c r="O43" s="7">
        <v>54.9</v>
      </c>
      <c r="P43" s="7">
        <v>2.6</v>
      </c>
      <c r="Q43" s="6">
        <v>20</v>
      </c>
      <c r="R43" s="7" t="s">
        <v>0</v>
      </c>
    </row>
    <row r="44" spans="1:18" x14ac:dyDescent="0.2">
      <c r="A44" s="7">
        <v>2012</v>
      </c>
      <c r="B44" s="24">
        <v>41093</v>
      </c>
      <c r="C44" s="4" t="s">
        <v>35</v>
      </c>
      <c r="D44" s="3" t="s">
        <v>2</v>
      </c>
      <c r="E44" s="4" t="s">
        <v>5</v>
      </c>
      <c r="F44" s="3" t="s">
        <v>38</v>
      </c>
      <c r="G44" s="9" t="s">
        <v>39</v>
      </c>
      <c r="H44" s="10" t="s">
        <v>55</v>
      </c>
      <c r="I44" s="3" t="s">
        <v>4</v>
      </c>
      <c r="J44" s="102">
        <v>0.44432870370370375</v>
      </c>
      <c r="K44" s="7">
        <v>218.7</v>
      </c>
      <c r="L44" s="7">
        <v>0.79</v>
      </c>
      <c r="M44" s="7">
        <v>1185.3</v>
      </c>
      <c r="N44" s="7">
        <v>0.65</v>
      </c>
      <c r="O44" s="7">
        <v>54.8</v>
      </c>
      <c r="P44" s="7">
        <v>2.2000000000000002</v>
      </c>
      <c r="Q44" s="6">
        <v>35</v>
      </c>
      <c r="R44" s="7" t="s">
        <v>46</v>
      </c>
    </row>
    <row r="45" spans="1:18" x14ac:dyDescent="0.2">
      <c r="A45" s="7">
        <v>2012</v>
      </c>
      <c r="B45" s="24">
        <v>41093</v>
      </c>
      <c r="C45" s="4" t="s">
        <v>35</v>
      </c>
      <c r="D45" s="3" t="s">
        <v>2</v>
      </c>
      <c r="E45" s="4" t="s">
        <v>5</v>
      </c>
      <c r="F45" s="3" t="s">
        <v>38</v>
      </c>
      <c r="G45" s="9" t="s">
        <v>39</v>
      </c>
      <c r="H45" s="10" t="s">
        <v>55</v>
      </c>
      <c r="I45" s="3" t="s">
        <v>4</v>
      </c>
      <c r="J45" s="102">
        <v>0.4443981481481481</v>
      </c>
      <c r="K45" s="7">
        <v>106.2</v>
      </c>
      <c r="L45" s="7">
        <v>0.24</v>
      </c>
      <c r="M45" s="7">
        <v>493.2</v>
      </c>
      <c r="N45" s="7">
        <v>7.0000000000000007E-2</v>
      </c>
      <c r="O45" s="7">
        <v>54.8</v>
      </c>
      <c r="P45" s="7">
        <v>2.2000000000000002</v>
      </c>
      <c r="Q45" s="6">
        <v>35</v>
      </c>
      <c r="R45" s="7" t="s">
        <v>0</v>
      </c>
    </row>
    <row r="46" spans="1:18" x14ac:dyDescent="0.2">
      <c r="A46" s="7">
        <v>2012</v>
      </c>
      <c r="B46" s="24">
        <v>41093</v>
      </c>
      <c r="C46" s="4" t="s">
        <v>35</v>
      </c>
      <c r="D46" s="3" t="s">
        <v>2</v>
      </c>
      <c r="E46" s="4" t="s">
        <v>5</v>
      </c>
      <c r="F46" s="3" t="s">
        <v>38</v>
      </c>
      <c r="G46" s="9" t="s">
        <v>39</v>
      </c>
      <c r="H46" s="10" t="s">
        <v>55</v>
      </c>
      <c r="I46" s="3" t="s">
        <v>4</v>
      </c>
      <c r="J46" s="102">
        <v>0.44467592592592592</v>
      </c>
      <c r="K46" s="7">
        <v>295.5</v>
      </c>
      <c r="L46" s="7">
        <v>0.51</v>
      </c>
      <c r="M46" s="7">
        <v>1075.4000000000001</v>
      </c>
      <c r="N46" s="7">
        <v>0.61</v>
      </c>
      <c r="O46" s="7">
        <v>54.8</v>
      </c>
      <c r="P46" s="7">
        <v>1.7</v>
      </c>
      <c r="Q46" s="6">
        <v>50</v>
      </c>
      <c r="R46" s="7" t="s">
        <v>46</v>
      </c>
    </row>
    <row r="47" spans="1:18" x14ac:dyDescent="0.2">
      <c r="A47" s="7">
        <v>2012</v>
      </c>
      <c r="B47" s="24">
        <v>41093</v>
      </c>
      <c r="C47" s="4" t="s">
        <v>35</v>
      </c>
      <c r="D47" s="3" t="s">
        <v>2</v>
      </c>
      <c r="E47" s="4" t="s">
        <v>5</v>
      </c>
      <c r="F47" s="3" t="s">
        <v>38</v>
      </c>
      <c r="G47" s="9" t="s">
        <v>39</v>
      </c>
      <c r="H47" s="10" t="s">
        <v>55</v>
      </c>
      <c r="I47" s="3" t="s">
        <v>4</v>
      </c>
      <c r="J47" s="102">
        <v>0.4447800925925926</v>
      </c>
      <c r="K47" s="7">
        <v>147.4</v>
      </c>
      <c r="L47" s="7">
        <v>0.2</v>
      </c>
      <c r="M47" s="7">
        <v>505.4</v>
      </c>
      <c r="N47" s="7">
        <v>0.09</v>
      </c>
      <c r="O47" s="7">
        <v>54.8</v>
      </c>
      <c r="P47" s="7">
        <v>1.7</v>
      </c>
      <c r="Q47" s="6">
        <v>50</v>
      </c>
      <c r="R47" s="7" t="s">
        <v>0</v>
      </c>
    </row>
    <row r="48" spans="1:18" x14ac:dyDescent="0.2">
      <c r="A48" s="7">
        <v>2012</v>
      </c>
      <c r="B48" s="24">
        <v>41093</v>
      </c>
      <c r="C48" s="4" t="s">
        <v>35</v>
      </c>
      <c r="D48" s="3" t="s">
        <v>2</v>
      </c>
      <c r="E48" s="4" t="s">
        <v>5</v>
      </c>
      <c r="F48" s="3" t="s">
        <v>38</v>
      </c>
      <c r="G48" s="9" t="s">
        <v>39</v>
      </c>
      <c r="H48" s="10" t="s">
        <v>55</v>
      </c>
      <c r="I48" s="3" t="s">
        <v>4</v>
      </c>
      <c r="J48" s="102">
        <v>0.44494212962962965</v>
      </c>
      <c r="K48" s="7">
        <v>847.2</v>
      </c>
      <c r="L48" s="7">
        <v>0.33</v>
      </c>
      <c r="M48" s="7">
        <v>1398.9</v>
      </c>
      <c r="N48" s="7">
        <v>0.7</v>
      </c>
      <c r="O48" s="7">
        <v>54.8</v>
      </c>
      <c r="P48" s="7">
        <v>0.6</v>
      </c>
      <c r="Q48" s="6">
        <v>65</v>
      </c>
      <c r="R48" s="7" t="s">
        <v>46</v>
      </c>
    </row>
    <row r="49" spans="1:18" x14ac:dyDescent="0.2">
      <c r="A49" s="7">
        <v>2012</v>
      </c>
      <c r="B49" s="24">
        <v>41093</v>
      </c>
      <c r="C49" s="4" t="s">
        <v>35</v>
      </c>
      <c r="D49" s="3" t="s">
        <v>2</v>
      </c>
      <c r="E49" s="4" t="s">
        <v>5</v>
      </c>
      <c r="F49" s="3" t="s">
        <v>38</v>
      </c>
      <c r="G49" s="9" t="s">
        <v>39</v>
      </c>
      <c r="H49" s="10" t="s">
        <v>55</v>
      </c>
      <c r="I49" s="3" t="s">
        <v>4</v>
      </c>
      <c r="J49" s="102">
        <v>0.44504629629629627</v>
      </c>
      <c r="K49" s="7">
        <v>303</v>
      </c>
      <c r="L49" s="7">
        <v>0.14000000000000001</v>
      </c>
      <c r="M49" s="7">
        <v>678.7</v>
      </c>
      <c r="N49" s="7">
        <v>0.09</v>
      </c>
      <c r="O49" s="7">
        <v>54.8</v>
      </c>
      <c r="P49" s="7">
        <v>1.1000000000000001</v>
      </c>
      <c r="Q49" s="6">
        <v>65</v>
      </c>
      <c r="R49" s="7" t="s">
        <v>0</v>
      </c>
    </row>
    <row r="50" spans="1:18" x14ac:dyDescent="0.2">
      <c r="A50" s="7">
        <v>2012</v>
      </c>
      <c r="B50" s="24">
        <v>41093</v>
      </c>
      <c r="C50" s="4" t="s">
        <v>35</v>
      </c>
      <c r="D50" s="3" t="s">
        <v>2</v>
      </c>
      <c r="E50" s="4" t="s">
        <v>5</v>
      </c>
      <c r="F50" s="3" t="s">
        <v>38</v>
      </c>
      <c r="G50" s="9" t="s">
        <v>39</v>
      </c>
      <c r="H50" s="10" t="s">
        <v>55</v>
      </c>
      <c r="I50" s="3" t="s">
        <v>4</v>
      </c>
      <c r="J50" s="102">
        <v>0.44527777777777783</v>
      </c>
      <c r="K50" s="7">
        <v>1113.8</v>
      </c>
      <c r="L50" s="7">
        <v>0.02</v>
      </c>
      <c r="M50" s="7">
        <v>1392.8</v>
      </c>
      <c r="N50" s="7">
        <v>0.7</v>
      </c>
      <c r="O50" s="7">
        <v>54.7</v>
      </c>
      <c r="P50" s="7">
        <v>0.3</v>
      </c>
      <c r="Q50" s="6">
        <v>80</v>
      </c>
      <c r="R50" s="7" t="s">
        <v>46</v>
      </c>
    </row>
    <row r="51" spans="1:18" x14ac:dyDescent="0.2">
      <c r="A51" s="7">
        <v>2012</v>
      </c>
      <c r="B51" s="24">
        <v>41093</v>
      </c>
      <c r="C51" s="4" t="s">
        <v>35</v>
      </c>
      <c r="D51" s="3" t="s">
        <v>2</v>
      </c>
      <c r="E51" s="4" t="s">
        <v>5</v>
      </c>
      <c r="F51" s="3" t="s">
        <v>38</v>
      </c>
      <c r="G51" s="9" t="s">
        <v>39</v>
      </c>
      <c r="H51" s="10" t="s">
        <v>55</v>
      </c>
      <c r="I51" s="3" t="s">
        <v>4</v>
      </c>
      <c r="J51" s="102">
        <v>0.44542824074074078</v>
      </c>
      <c r="K51" s="7">
        <v>409.4</v>
      </c>
      <c r="L51" s="7">
        <v>0.11</v>
      </c>
      <c r="M51" s="7">
        <v>661.6</v>
      </c>
      <c r="N51" s="7">
        <v>0.1</v>
      </c>
      <c r="O51" s="7">
        <v>54.7</v>
      </c>
      <c r="P51" s="7">
        <v>0.6</v>
      </c>
      <c r="Q51" s="6">
        <v>80</v>
      </c>
      <c r="R51" s="7" t="s">
        <v>0</v>
      </c>
    </row>
    <row r="52" spans="1:18" x14ac:dyDescent="0.2">
      <c r="A52" s="7">
        <v>2012</v>
      </c>
      <c r="B52" s="24">
        <v>41093</v>
      </c>
      <c r="C52" s="4" t="s">
        <v>35</v>
      </c>
      <c r="D52" s="3" t="s">
        <v>2</v>
      </c>
      <c r="E52" s="4" t="s">
        <v>5</v>
      </c>
      <c r="F52" s="3" t="s">
        <v>38</v>
      </c>
      <c r="G52" s="9" t="s">
        <v>39</v>
      </c>
      <c r="H52" s="10" t="s">
        <v>55</v>
      </c>
      <c r="I52" s="3" t="s">
        <v>4</v>
      </c>
      <c r="J52" s="102">
        <v>0.44589120370370372</v>
      </c>
      <c r="K52" s="7">
        <v>185.6</v>
      </c>
      <c r="L52" s="7">
        <v>0.93</v>
      </c>
      <c r="M52" s="7">
        <v>1491.7</v>
      </c>
      <c r="N52" s="7">
        <v>0.72</v>
      </c>
      <c r="O52" s="7">
        <v>54.7</v>
      </c>
      <c r="P52" s="7">
        <v>2.8</v>
      </c>
      <c r="Q52" s="6">
        <v>5</v>
      </c>
      <c r="R52" s="7" t="s">
        <v>46</v>
      </c>
    </row>
    <row r="53" spans="1:18" x14ac:dyDescent="0.2">
      <c r="A53" s="7">
        <v>2012</v>
      </c>
      <c r="B53" s="24">
        <v>41093</v>
      </c>
      <c r="C53" s="4" t="s">
        <v>35</v>
      </c>
      <c r="D53" s="3" t="s">
        <v>2</v>
      </c>
      <c r="E53" s="4" t="s">
        <v>5</v>
      </c>
      <c r="F53" s="3" t="s">
        <v>38</v>
      </c>
      <c r="G53" s="9" t="s">
        <v>39</v>
      </c>
      <c r="H53" s="10" t="s">
        <v>55</v>
      </c>
      <c r="I53" s="3" t="s">
        <v>4</v>
      </c>
      <c r="J53" s="102">
        <v>0.44598379629629631</v>
      </c>
      <c r="K53" s="7">
        <v>74.8</v>
      </c>
      <c r="L53" s="7">
        <v>0.22</v>
      </c>
      <c r="M53" s="7">
        <v>491.9</v>
      </c>
      <c r="N53" s="7">
        <v>0.09</v>
      </c>
      <c r="O53" s="7">
        <v>54.7</v>
      </c>
      <c r="P53" s="7">
        <v>2.7</v>
      </c>
      <c r="Q53" s="6">
        <v>5</v>
      </c>
      <c r="R53" s="7" t="s">
        <v>0</v>
      </c>
    </row>
    <row r="54" spans="1:18" x14ac:dyDescent="0.2">
      <c r="A54" s="7">
        <v>2012</v>
      </c>
      <c r="B54" s="24">
        <v>41093</v>
      </c>
      <c r="C54" s="4" t="s">
        <v>35</v>
      </c>
      <c r="D54" s="3" t="s">
        <v>2</v>
      </c>
      <c r="E54" s="4" t="s">
        <v>5</v>
      </c>
      <c r="F54" s="3" t="s">
        <v>38</v>
      </c>
      <c r="G54" s="9" t="s">
        <v>39</v>
      </c>
      <c r="H54" s="10" t="s">
        <v>55</v>
      </c>
      <c r="I54" s="3" t="s">
        <v>4</v>
      </c>
      <c r="J54" s="102">
        <v>0.4462268518518519</v>
      </c>
      <c r="K54" s="7">
        <v>148.6</v>
      </c>
      <c r="L54" s="7">
        <v>0.72</v>
      </c>
      <c r="M54" s="7">
        <v>1403.8</v>
      </c>
      <c r="N54" s="7">
        <v>0.7</v>
      </c>
      <c r="O54" s="7">
        <v>54.6</v>
      </c>
      <c r="P54" s="7">
        <v>3</v>
      </c>
      <c r="Q54" s="6">
        <v>20</v>
      </c>
      <c r="R54" s="7" t="s">
        <v>46</v>
      </c>
    </row>
    <row r="55" spans="1:18" x14ac:dyDescent="0.2">
      <c r="A55" s="7">
        <v>2012</v>
      </c>
      <c r="B55" s="24">
        <v>41093</v>
      </c>
      <c r="C55" s="4" t="s">
        <v>35</v>
      </c>
      <c r="D55" s="3" t="s">
        <v>2</v>
      </c>
      <c r="E55" s="4" t="s">
        <v>5</v>
      </c>
      <c r="F55" s="3" t="s">
        <v>38</v>
      </c>
      <c r="G55" s="9" t="s">
        <v>39</v>
      </c>
      <c r="H55" s="10" t="s">
        <v>55</v>
      </c>
      <c r="I55" s="3" t="s">
        <v>4</v>
      </c>
      <c r="J55" s="102">
        <v>0.44633101851851853</v>
      </c>
      <c r="K55" s="7">
        <v>77.3</v>
      </c>
      <c r="L55" s="7">
        <v>0.23</v>
      </c>
      <c r="M55" s="7">
        <v>554.20000000000005</v>
      </c>
      <c r="N55" s="7">
        <v>0.12</v>
      </c>
      <c r="O55" s="7">
        <v>54.6</v>
      </c>
      <c r="P55" s="7">
        <v>2.9</v>
      </c>
      <c r="Q55" s="6">
        <v>20</v>
      </c>
      <c r="R55" s="7" t="s">
        <v>0</v>
      </c>
    </row>
    <row r="56" spans="1:18" x14ac:dyDescent="0.2">
      <c r="A56" s="7">
        <v>2012</v>
      </c>
      <c r="B56" s="24">
        <v>41093</v>
      </c>
      <c r="C56" s="4" t="s">
        <v>35</v>
      </c>
      <c r="D56" s="3" t="s">
        <v>2</v>
      </c>
      <c r="E56" s="4" t="s">
        <v>5</v>
      </c>
      <c r="F56" s="3" t="s">
        <v>38</v>
      </c>
      <c r="G56" s="9" t="s">
        <v>39</v>
      </c>
      <c r="H56" s="10" t="s">
        <v>55</v>
      </c>
      <c r="I56" s="3" t="s">
        <v>4</v>
      </c>
      <c r="J56" s="102">
        <v>0.4465277777777778</v>
      </c>
      <c r="K56" s="7">
        <v>159.69999999999999</v>
      </c>
      <c r="L56" s="7">
        <v>0.52</v>
      </c>
      <c r="M56" s="7">
        <v>988.8</v>
      </c>
      <c r="N56" s="7">
        <v>0.57999999999999996</v>
      </c>
      <c r="O56" s="7">
        <v>54.6</v>
      </c>
      <c r="P56" s="7">
        <v>2.4</v>
      </c>
      <c r="Q56" s="6">
        <v>35</v>
      </c>
      <c r="R56" s="7" t="s">
        <v>46</v>
      </c>
    </row>
    <row r="57" spans="1:18" x14ac:dyDescent="0.2">
      <c r="A57" s="7">
        <v>2012</v>
      </c>
      <c r="B57" s="24">
        <v>41093</v>
      </c>
      <c r="C57" s="4" t="s">
        <v>35</v>
      </c>
      <c r="D57" s="3" t="s">
        <v>2</v>
      </c>
      <c r="E57" s="4" t="s">
        <v>5</v>
      </c>
      <c r="F57" s="3" t="s">
        <v>38</v>
      </c>
      <c r="G57" s="9" t="s">
        <v>39</v>
      </c>
      <c r="H57" s="10" t="s">
        <v>55</v>
      </c>
      <c r="I57" s="3" t="s">
        <v>4</v>
      </c>
      <c r="J57" s="102">
        <v>0.44662037037037039</v>
      </c>
      <c r="K57" s="7">
        <v>92.2</v>
      </c>
      <c r="L57" s="7">
        <v>0.16</v>
      </c>
      <c r="M57" s="7">
        <v>481</v>
      </c>
      <c r="N57" s="7">
        <v>0.12</v>
      </c>
      <c r="O57" s="7">
        <v>54.6</v>
      </c>
      <c r="P57" s="7">
        <v>2.2999999999999998</v>
      </c>
      <c r="Q57" s="6">
        <v>35</v>
      </c>
      <c r="R57" s="7" t="s">
        <v>0</v>
      </c>
    </row>
    <row r="58" spans="1:18" x14ac:dyDescent="0.2">
      <c r="A58" s="7">
        <v>2012</v>
      </c>
      <c r="B58" s="24">
        <v>41093</v>
      </c>
      <c r="C58" s="4" t="s">
        <v>35</v>
      </c>
      <c r="D58" s="3" t="s">
        <v>2</v>
      </c>
      <c r="E58" s="4" t="s">
        <v>5</v>
      </c>
      <c r="F58" s="3" t="s">
        <v>38</v>
      </c>
      <c r="G58" s="9" t="s">
        <v>39</v>
      </c>
      <c r="H58" s="10" t="s">
        <v>55</v>
      </c>
      <c r="I58" s="3" t="s">
        <v>4</v>
      </c>
      <c r="J58" s="102">
        <v>0.44687499999999997</v>
      </c>
      <c r="K58" s="7">
        <v>287.60000000000002</v>
      </c>
      <c r="L58" s="7">
        <v>0.47</v>
      </c>
      <c r="M58" s="7">
        <v>1234.0999999999999</v>
      </c>
      <c r="N58" s="7">
        <v>0.67</v>
      </c>
      <c r="O58" s="7">
        <v>54.6</v>
      </c>
      <c r="P58" s="7">
        <v>1.9</v>
      </c>
      <c r="Q58" s="6">
        <v>50</v>
      </c>
      <c r="R58" s="7" t="s">
        <v>46</v>
      </c>
    </row>
    <row r="59" spans="1:18" x14ac:dyDescent="0.2">
      <c r="A59" s="7">
        <v>2012</v>
      </c>
      <c r="B59" s="24">
        <v>41093</v>
      </c>
      <c r="C59" s="4" t="s">
        <v>35</v>
      </c>
      <c r="D59" s="3" t="s">
        <v>2</v>
      </c>
      <c r="E59" s="4" t="s">
        <v>5</v>
      </c>
      <c r="F59" s="3" t="s">
        <v>38</v>
      </c>
      <c r="G59" s="9" t="s">
        <v>39</v>
      </c>
      <c r="H59" s="10" t="s">
        <v>55</v>
      </c>
      <c r="I59" s="3" t="s">
        <v>4</v>
      </c>
      <c r="J59" s="102">
        <v>0.44697916666666665</v>
      </c>
      <c r="K59" s="7">
        <v>138.69999999999999</v>
      </c>
      <c r="L59" s="7">
        <v>0.18</v>
      </c>
      <c r="M59" s="7">
        <v>568.79999999999995</v>
      </c>
      <c r="N59" s="7">
        <v>0.12</v>
      </c>
      <c r="O59" s="7">
        <v>54.5</v>
      </c>
      <c r="P59" s="7">
        <v>2</v>
      </c>
      <c r="Q59" s="6">
        <v>50</v>
      </c>
      <c r="R59" s="7" t="s">
        <v>0</v>
      </c>
    </row>
    <row r="60" spans="1:18" x14ac:dyDescent="0.2">
      <c r="A60" s="7">
        <v>2012</v>
      </c>
      <c r="B60" s="24">
        <v>41093</v>
      </c>
      <c r="C60" s="4" t="s">
        <v>35</v>
      </c>
      <c r="D60" s="3" t="s">
        <v>2</v>
      </c>
      <c r="E60" s="4" t="s">
        <v>5</v>
      </c>
      <c r="F60" s="3" t="s">
        <v>38</v>
      </c>
      <c r="G60" s="9" t="s">
        <v>39</v>
      </c>
      <c r="H60" s="10" t="s">
        <v>55</v>
      </c>
      <c r="I60" s="3" t="s">
        <v>4</v>
      </c>
      <c r="J60" s="102">
        <v>0.44719907407407411</v>
      </c>
      <c r="K60" s="7">
        <v>839</v>
      </c>
      <c r="L60" s="7">
        <v>0.36</v>
      </c>
      <c r="M60" s="7">
        <v>1445.3</v>
      </c>
      <c r="N60" s="7">
        <v>0.71</v>
      </c>
      <c r="O60" s="7">
        <v>54.5</v>
      </c>
      <c r="P60" s="7">
        <v>0.7</v>
      </c>
      <c r="Q60" s="6">
        <v>65</v>
      </c>
      <c r="R60" s="7" t="s">
        <v>46</v>
      </c>
    </row>
    <row r="61" spans="1:18" x14ac:dyDescent="0.2">
      <c r="A61" s="7">
        <v>2012</v>
      </c>
      <c r="B61" s="24">
        <v>41093</v>
      </c>
      <c r="C61" s="4" t="s">
        <v>35</v>
      </c>
      <c r="D61" s="3" t="s">
        <v>2</v>
      </c>
      <c r="E61" s="4" t="s">
        <v>5</v>
      </c>
      <c r="F61" s="3" t="s">
        <v>38</v>
      </c>
      <c r="G61" s="9" t="s">
        <v>39</v>
      </c>
      <c r="H61" s="10" t="s">
        <v>55</v>
      </c>
      <c r="I61" s="3" t="s">
        <v>4</v>
      </c>
      <c r="J61" s="102">
        <v>0.44730324074074074</v>
      </c>
      <c r="K61" s="7">
        <v>284.10000000000002</v>
      </c>
      <c r="L61" s="7">
        <v>0.16</v>
      </c>
      <c r="M61" s="7">
        <v>651.9</v>
      </c>
      <c r="N61" s="7">
        <v>0.16</v>
      </c>
      <c r="O61" s="7">
        <v>54.5</v>
      </c>
      <c r="P61" s="7">
        <v>1.1000000000000001</v>
      </c>
      <c r="Q61" s="6">
        <v>65</v>
      </c>
      <c r="R61" s="7" t="s">
        <v>0</v>
      </c>
    </row>
    <row r="62" spans="1:18" x14ac:dyDescent="0.2">
      <c r="A62" s="7">
        <v>2012</v>
      </c>
      <c r="B62" s="24">
        <v>41093</v>
      </c>
      <c r="C62" s="4" t="s">
        <v>35</v>
      </c>
      <c r="D62" s="3" t="s">
        <v>2</v>
      </c>
      <c r="E62" s="4" t="s">
        <v>5</v>
      </c>
      <c r="F62" s="3" t="s">
        <v>38</v>
      </c>
      <c r="G62" s="9" t="s">
        <v>39</v>
      </c>
      <c r="H62" s="10" t="s">
        <v>55</v>
      </c>
      <c r="I62" s="3" t="s">
        <v>4</v>
      </c>
      <c r="J62" s="102">
        <v>0.44744212962962965</v>
      </c>
      <c r="K62" s="7">
        <v>1156.7</v>
      </c>
      <c r="L62" s="7">
        <v>0.02</v>
      </c>
      <c r="M62" s="7">
        <v>1452.6</v>
      </c>
      <c r="N62" s="7">
        <v>0.72</v>
      </c>
      <c r="O62" s="7">
        <v>54.5</v>
      </c>
      <c r="P62" s="7">
        <v>0.3</v>
      </c>
      <c r="Q62" s="6">
        <v>80</v>
      </c>
      <c r="R62" s="7" t="s">
        <v>46</v>
      </c>
    </row>
    <row r="63" spans="1:18" x14ac:dyDescent="0.2">
      <c r="A63" s="7">
        <v>2012</v>
      </c>
      <c r="B63" s="24">
        <v>41093</v>
      </c>
      <c r="C63" s="4" t="s">
        <v>35</v>
      </c>
      <c r="D63" s="3" t="s">
        <v>2</v>
      </c>
      <c r="E63" s="4" t="s">
        <v>5</v>
      </c>
      <c r="F63" s="3" t="s">
        <v>38</v>
      </c>
      <c r="G63" s="9" t="s">
        <v>39</v>
      </c>
      <c r="H63" s="10" t="s">
        <v>55</v>
      </c>
      <c r="I63" s="3" t="s">
        <v>4</v>
      </c>
      <c r="J63" s="102">
        <v>0.44760416666666664</v>
      </c>
      <c r="K63" s="7">
        <v>337.9</v>
      </c>
      <c r="L63" s="7">
        <v>0.03</v>
      </c>
      <c r="M63" s="7">
        <v>496.8</v>
      </c>
      <c r="N63" s="7">
        <v>0.1</v>
      </c>
      <c r="O63" s="7">
        <v>54.5</v>
      </c>
      <c r="P63" s="7">
        <v>0.5</v>
      </c>
      <c r="Q63" s="6">
        <v>80</v>
      </c>
      <c r="R63" s="7" t="s">
        <v>0</v>
      </c>
    </row>
    <row r="64" spans="1:18" x14ac:dyDescent="0.2">
      <c r="A64" s="7">
        <v>2012</v>
      </c>
      <c r="B64" s="24">
        <v>41093</v>
      </c>
      <c r="C64" s="4" t="s">
        <v>35</v>
      </c>
      <c r="D64" s="3" t="s">
        <v>2</v>
      </c>
      <c r="E64" s="4" t="s">
        <v>5</v>
      </c>
      <c r="F64" s="3" t="s">
        <v>38</v>
      </c>
      <c r="G64" s="9" t="s">
        <v>39</v>
      </c>
      <c r="H64" s="10" t="s">
        <v>55</v>
      </c>
      <c r="I64" s="3" t="s">
        <v>4</v>
      </c>
      <c r="J64" s="102">
        <v>0.4481944444444444</v>
      </c>
      <c r="K64" s="7">
        <v>188.8</v>
      </c>
      <c r="L64" s="7">
        <v>0.71</v>
      </c>
      <c r="M64" s="7">
        <v>1528.3</v>
      </c>
      <c r="N64" s="7">
        <v>0.74</v>
      </c>
      <c r="O64" s="7">
        <v>54.4</v>
      </c>
      <c r="P64" s="7">
        <v>2.8</v>
      </c>
      <c r="Q64" s="6">
        <v>5</v>
      </c>
      <c r="R64" s="7" t="s">
        <v>46</v>
      </c>
    </row>
    <row r="65" spans="1:18" x14ac:dyDescent="0.2">
      <c r="A65" s="7">
        <v>2012</v>
      </c>
      <c r="B65" s="24">
        <v>41093</v>
      </c>
      <c r="C65" s="4" t="s">
        <v>35</v>
      </c>
      <c r="D65" s="3" t="s">
        <v>2</v>
      </c>
      <c r="E65" s="4" t="s">
        <v>5</v>
      </c>
      <c r="F65" s="3" t="s">
        <v>38</v>
      </c>
      <c r="G65" s="9" t="s">
        <v>39</v>
      </c>
      <c r="H65" s="10" t="s">
        <v>55</v>
      </c>
      <c r="I65" s="3" t="s">
        <v>4</v>
      </c>
      <c r="J65" s="102">
        <v>0.44831018518518517</v>
      </c>
      <c r="K65" s="7">
        <v>86.7</v>
      </c>
      <c r="L65" s="7">
        <v>0.26</v>
      </c>
      <c r="M65" s="7">
        <v>681.2</v>
      </c>
      <c r="N65" s="7">
        <v>0.11</v>
      </c>
      <c r="O65" s="7">
        <v>54.4</v>
      </c>
      <c r="P65" s="7">
        <v>3</v>
      </c>
      <c r="Q65" s="6">
        <v>5</v>
      </c>
      <c r="R65" s="7" t="s">
        <v>0</v>
      </c>
    </row>
    <row r="66" spans="1:18" x14ac:dyDescent="0.2">
      <c r="A66" s="7">
        <v>2012</v>
      </c>
      <c r="B66" s="24">
        <v>41093</v>
      </c>
      <c r="C66" s="4" t="s">
        <v>35</v>
      </c>
      <c r="D66" s="3" t="s">
        <v>2</v>
      </c>
      <c r="E66" s="4" t="s">
        <v>5</v>
      </c>
      <c r="F66" s="3" t="s">
        <v>38</v>
      </c>
      <c r="G66" s="9" t="s">
        <v>39</v>
      </c>
      <c r="H66" s="10" t="s">
        <v>55</v>
      </c>
      <c r="I66" s="3" t="s">
        <v>4</v>
      </c>
      <c r="J66" s="102">
        <v>0.44864583333333335</v>
      </c>
      <c r="K66" s="7">
        <v>259.89999999999998</v>
      </c>
      <c r="L66" s="7">
        <v>0.87</v>
      </c>
      <c r="M66" s="7">
        <v>1438</v>
      </c>
      <c r="N66" s="7">
        <v>0.72</v>
      </c>
      <c r="O66" s="7">
        <v>54.4</v>
      </c>
      <c r="P66" s="7">
        <v>2.2000000000000002</v>
      </c>
      <c r="Q66" s="6">
        <v>20</v>
      </c>
      <c r="R66" s="7" t="s">
        <v>46</v>
      </c>
    </row>
    <row r="67" spans="1:18" x14ac:dyDescent="0.2">
      <c r="A67" s="7">
        <v>2012</v>
      </c>
      <c r="B67" s="24">
        <v>41093</v>
      </c>
      <c r="C67" s="4" t="s">
        <v>35</v>
      </c>
      <c r="D67" s="3" t="s">
        <v>2</v>
      </c>
      <c r="E67" s="4" t="s">
        <v>5</v>
      </c>
      <c r="F67" s="3" t="s">
        <v>38</v>
      </c>
      <c r="G67" s="9" t="s">
        <v>39</v>
      </c>
      <c r="H67" s="10" t="s">
        <v>55</v>
      </c>
      <c r="I67" s="3" t="s">
        <v>4</v>
      </c>
      <c r="J67" s="102">
        <v>0.44877314814814812</v>
      </c>
      <c r="K67" s="7">
        <v>93.7</v>
      </c>
      <c r="L67" s="7">
        <v>0.23</v>
      </c>
      <c r="M67" s="7">
        <v>615.20000000000005</v>
      </c>
      <c r="N67" s="7">
        <v>0.18</v>
      </c>
      <c r="O67" s="7">
        <v>54.3</v>
      </c>
      <c r="P67" s="7">
        <v>2.7</v>
      </c>
      <c r="Q67" s="6">
        <v>20</v>
      </c>
      <c r="R67" s="7" t="s">
        <v>0</v>
      </c>
    </row>
    <row r="68" spans="1:18" x14ac:dyDescent="0.2">
      <c r="A68" s="7">
        <v>2012</v>
      </c>
      <c r="B68" s="24">
        <v>41093</v>
      </c>
      <c r="C68" s="4" t="s">
        <v>35</v>
      </c>
      <c r="D68" s="3" t="s">
        <v>2</v>
      </c>
      <c r="E68" s="4" t="s">
        <v>5</v>
      </c>
      <c r="F68" s="3" t="s">
        <v>38</v>
      </c>
      <c r="G68" s="9" t="s">
        <v>39</v>
      </c>
      <c r="H68" s="10" t="s">
        <v>55</v>
      </c>
      <c r="I68" s="3" t="s">
        <v>4</v>
      </c>
      <c r="J68" s="102">
        <v>0.44920138888888889</v>
      </c>
      <c r="K68" s="7">
        <v>247.4</v>
      </c>
      <c r="L68" s="7">
        <v>0.48</v>
      </c>
      <c r="M68" s="7">
        <v>1106</v>
      </c>
      <c r="N68" s="7">
        <v>0.65</v>
      </c>
      <c r="O68" s="7">
        <v>54.3</v>
      </c>
      <c r="P68" s="7">
        <v>2</v>
      </c>
      <c r="Q68" s="6">
        <v>35</v>
      </c>
      <c r="R68" s="7" t="s">
        <v>46</v>
      </c>
    </row>
    <row r="69" spans="1:18" x14ac:dyDescent="0.2">
      <c r="A69" s="7">
        <v>2012</v>
      </c>
      <c r="B69" s="24">
        <v>41093</v>
      </c>
      <c r="C69" s="4" t="s">
        <v>35</v>
      </c>
      <c r="D69" s="3" t="s">
        <v>2</v>
      </c>
      <c r="E69" s="4" t="s">
        <v>5</v>
      </c>
      <c r="F69" s="3" t="s">
        <v>38</v>
      </c>
      <c r="G69" s="9" t="s">
        <v>39</v>
      </c>
      <c r="H69" s="10" t="s">
        <v>55</v>
      </c>
      <c r="I69" s="3" t="s">
        <v>4</v>
      </c>
      <c r="J69" s="102">
        <v>0.4493287037037037</v>
      </c>
      <c r="K69" s="7">
        <v>108.2</v>
      </c>
      <c r="L69" s="7">
        <v>0.13</v>
      </c>
      <c r="M69" s="7">
        <v>463.9</v>
      </c>
      <c r="N69" s="7">
        <v>0.12</v>
      </c>
      <c r="O69" s="7">
        <v>54.3</v>
      </c>
      <c r="P69" s="7">
        <v>2</v>
      </c>
      <c r="Q69" s="6">
        <v>35</v>
      </c>
      <c r="R69" s="7" t="s">
        <v>0</v>
      </c>
    </row>
    <row r="70" spans="1:18" x14ac:dyDescent="0.2">
      <c r="A70" s="7">
        <v>2012</v>
      </c>
      <c r="B70" s="24">
        <v>41093</v>
      </c>
      <c r="C70" s="4" t="s">
        <v>35</v>
      </c>
      <c r="D70" s="3" t="s">
        <v>2</v>
      </c>
      <c r="E70" s="4" t="s">
        <v>5</v>
      </c>
      <c r="F70" s="3" t="s">
        <v>38</v>
      </c>
      <c r="G70" s="9" t="s">
        <v>39</v>
      </c>
      <c r="H70" s="10" t="s">
        <v>55</v>
      </c>
      <c r="I70" s="3" t="s">
        <v>4</v>
      </c>
      <c r="J70" s="102">
        <v>0.44951388888888894</v>
      </c>
      <c r="K70" s="7">
        <v>403.8</v>
      </c>
      <c r="L70" s="7">
        <v>0.45</v>
      </c>
      <c r="M70" s="7">
        <v>900.9</v>
      </c>
      <c r="N70" s="7">
        <v>0.57999999999999996</v>
      </c>
      <c r="O70" s="7">
        <v>54.3</v>
      </c>
      <c r="P70" s="7">
        <v>1</v>
      </c>
      <c r="Q70" s="6">
        <v>50</v>
      </c>
      <c r="R70" s="7" t="s">
        <v>46</v>
      </c>
    </row>
    <row r="71" spans="1:18" x14ac:dyDescent="0.2">
      <c r="A71" s="7">
        <v>2012</v>
      </c>
      <c r="B71" s="24">
        <v>41093</v>
      </c>
      <c r="C71" s="4" t="s">
        <v>35</v>
      </c>
      <c r="D71" s="3" t="s">
        <v>2</v>
      </c>
      <c r="E71" s="4" t="s">
        <v>5</v>
      </c>
      <c r="F71" s="3" t="s">
        <v>38</v>
      </c>
      <c r="G71" s="9" t="s">
        <v>39</v>
      </c>
      <c r="H71" s="10" t="s">
        <v>55</v>
      </c>
      <c r="I71" s="3" t="s">
        <v>4</v>
      </c>
      <c r="J71" s="102">
        <v>0.44960648148148147</v>
      </c>
      <c r="K71" s="7">
        <v>176.6</v>
      </c>
      <c r="L71" s="7">
        <v>0.28000000000000003</v>
      </c>
      <c r="M71" s="7">
        <v>955.8</v>
      </c>
      <c r="N71" s="7">
        <v>0.59</v>
      </c>
      <c r="O71" s="7">
        <v>54.2</v>
      </c>
      <c r="P71" s="7">
        <v>2.2999999999999998</v>
      </c>
      <c r="Q71" s="6">
        <v>50</v>
      </c>
      <c r="R71" s="7" t="s">
        <v>0</v>
      </c>
    </row>
    <row r="72" spans="1:18" x14ac:dyDescent="0.2">
      <c r="A72" s="7">
        <v>2012</v>
      </c>
      <c r="B72" s="24">
        <v>41093</v>
      </c>
      <c r="C72" s="4" t="s">
        <v>35</v>
      </c>
      <c r="D72" s="3" t="s">
        <v>2</v>
      </c>
      <c r="E72" s="4" t="s">
        <v>5</v>
      </c>
      <c r="F72" s="3" t="s">
        <v>38</v>
      </c>
      <c r="G72" s="9" t="s">
        <v>39</v>
      </c>
      <c r="H72" s="10" t="s">
        <v>55</v>
      </c>
      <c r="I72" s="3" t="s">
        <v>4</v>
      </c>
      <c r="J72" s="102">
        <v>0.4498611111111111</v>
      </c>
      <c r="K72" s="7">
        <v>558.4</v>
      </c>
      <c r="L72" s="7">
        <v>0.34</v>
      </c>
      <c r="M72" s="7">
        <v>898.4</v>
      </c>
      <c r="N72" s="7">
        <v>0.59</v>
      </c>
      <c r="O72" s="7">
        <v>54.2</v>
      </c>
      <c r="P72" s="7">
        <v>0.6</v>
      </c>
      <c r="Q72" s="6">
        <v>65</v>
      </c>
      <c r="R72" s="7" t="s">
        <v>46</v>
      </c>
    </row>
    <row r="73" spans="1:18" x14ac:dyDescent="0.2">
      <c r="A73" s="7">
        <v>2012</v>
      </c>
      <c r="B73" s="24">
        <v>41093</v>
      </c>
      <c r="C73" s="4" t="s">
        <v>35</v>
      </c>
      <c r="D73" s="3" t="s">
        <v>2</v>
      </c>
      <c r="E73" s="4" t="s">
        <v>5</v>
      </c>
      <c r="F73" s="3" t="s">
        <v>38</v>
      </c>
      <c r="G73" s="9" t="s">
        <v>39</v>
      </c>
      <c r="H73" s="10" t="s">
        <v>55</v>
      </c>
      <c r="I73" s="3" t="s">
        <v>4</v>
      </c>
      <c r="J73" s="102">
        <v>0.44995370370370374</v>
      </c>
      <c r="K73" s="7">
        <v>226.9</v>
      </c>
      <c r="L73" s="7">
        <v>0.19</v>
      </c>
      <c r="M73" s="7">
        <v>435.8</v>
      </c>
      <c r="N73" s="7">
        <v>0.08</v>
      </c>
      <c r="O73" s="7">
        <v>54.2</v>
      </c>
      <c r="P73" s="7">
        <v>0.8</v>
      </c>
      <c r="Q73" s="6">
        <v>65</v>
      </c>
      <c r="R73" s="7" t="s">
        <v>0</v>
      </c>
    </row>
    <row r="74" spans="1:18" x14ac:dyDescent="0.2">
      <c r="A74" s="7">
        <v>2012</v>
      </c>
      <c r="B74" s="24">
        <v>41093</v>
      </c>
      <c r="C74" s="4" t="s">
        <v>35</v>
      </c>
      <c r="D74" s="3" t="s">
        <v>2</v>
      </c>
      <c r="E74" s="4" t="s">
        <v>5</v>
      </c>
      <c r="F74" s="3" t="s">
        <v>38</v>
      </c>
      <c r="G74" s="9" t="s">
        <v>39</v>
      </c>
      <c r="H74" s="10" t="s">
        <v>55</v>
      </c>
      <c r="I74" s="3" t="s">
        <v>4</v>
      </c>
      <c r="J74" s="102">
        <v>0.45006944444444441</v>
      </c>
      <c r="K74" s="7">
        <v>724.3</v>
      </c>
      <c r="L74" s="7">
        <v>0.02</v>
      </c>
      <c r="M74" s="7">
        <v>907</v>
      </c>
      <c r="N74" s="7">
        <v>0.59</v>
      </c>
      <c r="O74" s="7">
        <v>54.2</v>
      </c>
      <c r="P74" s="7">
        <v>0.3</v>
      </c>
      <c r="Q74" s="6">
        <v>80</v>
      </c>
      <c r="R74" s="7" t="s">
        <v>46</v>
      </c>
    </row>
    <row r="75" spans="1:18" x14ac:dyDescent="0.2">
      <c r="A75" s="7">
        <v>2012</v>
      </c>
      <c r="B75" s="24">
        <v>41093</v>
      </c>
      <c r="C75" s="4" t="s">
        <v>35</v>
      </c>
      <c r="D75" s="3" t="s">
        <v>2</v>
      </c>
      <c r="E75" s="4" t="s">
        <v>5</v>
      </c>
      <c r="F75" s="3" t="s">
        <v>38</v>
      </c>
      <c r="G75" s="9" t="s">
        <v>39</v>
      </c>
      <c r="H75" s="10" t="s">
        <v>55</v>
      </c>
      <c r="I75" s="3" t="s">
        <v>4</v>
      </c>
      <c r="J75" s="102">
        <v>0.45019675925925928</v>
      </c>
      <c r="K75" s="7">
        <v>323.5</v>
      </c>
      <c r="L75" s="7">
        <v>0.05</v>
      </c>
      <c r="M75" s="7">
        <v>489.5</v>
      </c>
      <c r="N75" s="7">
        <v>0.13</v>
      </c>
      <c r="O75" s="7">
        <v>54.2</v>
      </c>
      <c r="P75" s="7">
        <v>0.5</v>
      </c>
      <c r="Q75" s="6">
        <v>80</v>
      </c>
      <c r="R75" s="7" t="s">
        <v>0</v>
      </c>
    </row>
    <row r="76" spans="1:18" x14ac:dyDescent="0.2">
      <c r="A76" s="7">
        <v>2012</v>
      </c>
      <c r="B76" s="24">
        <v>41093</v>
      </c>
      <c r="C76" s="4" t="s">
        <v>35</v>
      </c>
      <c r="D76" s="3" t="s">
        <v>2</v>
      </c>
      <c r="E76" s="4" t="s">
        <v>6</v>
      </c>
      <c r="F76" s="3" t="s">
        <v>38</v>
      </c>
      <c r="G76" s="9" t="s">
        <v>39</v>
      </c>
      <c r="H76" s="10" t="s">
        <v>55</v>
      </c>
      <c r="I76" s="3" t="s">
        <v>41</v>
      </c>
      <c r="J76" s="102">
        <v>0.46758101851851852</v>
      </c>
      <c r="K76" s="7">
        <v>133.5</v>
      </c>
      <c r="L76" s="7">
        <v>1</v>
      </c>
      <c r="M76" s="7">
        <v>1467.3</v>
      </c>
      <c r="N76" s="7">
        <v>0.81</v>
      </c>
      <c r="O76" s="7">
        <v>52.3</v>
      </c>
      <c r="P76" s="7">
        <v>3.3</v>
      </c>
      <c r="Q76" s="6">
        <v>5</v>
      </c>
      <c r="R76" s="7" t="s">
        <v>46</v>
      </c>
    </row>
    <row r="77" spans="1:18" x14ac:dyDescent="0.2">
      <c r="A77" s="7">
        <v>2012</v>
      </c>
      <c r="B77" s="24">
        <v>41093</v>
      </c>
      <c r="C77" s="4" t="s">
        <v>35</v>
      </c>
      <c r="D77" s="3" t="s">
        <v>2</v>
      </c>
      <c r="E77" s="4" t="s">
        <v>6</v>
      </c>
      <c r="F77" s="3" t="s">
        <v>38</v>
      </c>
      <c r="G77" s="9" t="s">
        <v>39</v>
      </c>
      <c r="H77" s="10" t="s">
        <v>55</v>
      </c>
      <c r="I77" s="3" t="s">
        <v>41</v>
      </c>
      <c r="J77" s="102">
        <v>0.46774305555555556</v>
      </c>
      <c r="K77" s="7">
        <v>54.7</v>
      </c>
      <c r="L77" s="7">
        <v>0.31</v>
      </c>
      <c r="M77" s="7">
        <v>1467.3</v>
      </c>
      <c r="N77" s="7">
        <v>0.81</v>
      </c>
      <c r="O77" s="7">
        <v>52.3</v>
      </c>
      <c r="P77" s="7">
        <v>4.5</v>
      </c>
      <c r="Q77" s="6">
        <v>5</v>
      </c>
      <c r="R77" s="7" t="s">
        <v>0</v>
      </c>
    </row>
    <row r="78" spans="1:18" x14ac:dyDescent="0.2">
      <c r="A78" s="7">
        <v>2012</v>
      </c>
      <c r="B78" s="24">
        <v>41093</v>
      </c>
      <c r="C78" s="4" t="s">
        <v>35</v>
      </c>
      <c r="D78" s="3" t="s">
        <v>2</v>
      </c>
      <c r="E78" s="4" t="s">
        <v>6</v>
      </c>
      <c r="F78" s="3" t="s">
        <v>38</v>
      </c>
      <c r="G78" s="9" t="s">
        <v>39</v>
      </c>
      <c r="H78" s="10" t="s">
        <v>55</v>
      </c>
      <c r="I78" s="3" t="s">
        <v>41</v>
      </c>
      <c r="J78" s="102">
        <v>0.46810185185185182</v>
      </c>
      <c r="K78" s="7">
        <v>149.5</v>
      </c>
      <c r="L78" s="7">
        <v>0.74</v>
      </c>
      <c r="M78" s="7">
        <v>1472.2</v>
      </c>
      <c r="N78" s="7">
        <v>0.81</v>
      </c>
      <c r="O78" s="7">
        <v>52.3</v>
      </c>
      <c r="P78" s="7">
        <v>3.1</v>
      </c>
      <c r="Q78" s="6">
        <v>20</v>
      </c>
      <c r="R78" s="7" t="s">
        <v>46</v>
      </c>
    </row>
    <row r="79" spans="1:18" x14ac:dyDescent="0.2">
      <c r="A79" s="7">
        <v>2012</v>
      </c>
      <c r="B79" s="24">
        <v>41093</v>
      </c>
      <c r="C79" s="4" t="s">
        <v>35</v>
      </c>
      <c r="D79" s="3" t="s">
        <v>2</v>
      </c>
      <c r="E79" s="4" t="s">
        <v>6</v>
      </c>
      <c r="F79" s="3" t="s">
        <v>38</v>
      </c>
      <c r="G79" s="9" t="s">
        <v>39</v>
      </c>
      <c r="H79" s="10" t="s">
        <v>55</v>
      </c>
      <c r="I79" s="3" t="s">
        <v>41</v>
      </c>
      <c r="J79" s="102">
        <v>0.4682291666666667</v>
      </c>
      <c r="K79" s="7">
        <v>65.5</v>
      </c>
      <c r="L79" s="7">
        <v>0.19</v>
      </c>
      <c r="M79" s="7">
        <v>511.5</v>
      </c>
      <c r="N79" s="7">
        <v>0.2</v>
      </c>
      <c r="O79" s="7">
        <v>52.2</v>
      </c>
      <c r="P79" s="7">
        <v>3</v>
      </c>
      <c r="Q79" s="6">
        <v>20</v>
      </c>
      <c r="R79" s="7" t="s">
        <v>0</v>
      </c>
    </row>
    <row r="80" spans="1:18" x14ac:dyDescent="0.2">
      <c r="A80" s="7">
        <v>2012</v>
      </c>
      <c r="B80" s="24">
        <v>41093</v>
      </c>
      <c r="C80" s="4" t="s">
        <v>35</v>
      </c>
      <c r="D80" s="3" t="s">
        <v>2</v>
      </c>
      <c r="E80" s="4" t="s">
        <v>6</v>
      </c>
      <c r="F80" s="3" t="s">
        <v>38</v>
      </c>
      <c r="G80" s="9" t="s">
        <v>39</v>
      </c>
      <c r="H80" s="10" t="s">
        <v>55</v>
      </c>
      <c r="I80" s="3" t="s">
        <v>41</v>
      </c>
      <c r="J80" s="102">
        <v>0.46855324074074073</v>
      </c>
      <c r="K80" s="7">
        <v>342.2</v>
      </c>
      <c r="L80" s="7">
        <v>0.73</v>
      </c>
      <c r="M80" s="7">
        <v>1472.2</v>
      </c>
      <c r="N80" s="7">
        <v>0.81</v>
      </c>
      <c r="O80" s="7">
        <v>52.2</v>
      </c>
      <c r="P80" s="7">
        <v>2</v>
      </c>
      <c r="Q80" s="6">
        <v>35</v>
      </c>
      <c r="R80" s="7" t="s">
        <v>46</v>
      </c>
    </row>
    <row r="81" spans="1:18" x14ac:dyDescent="0.2">
      <c r="A81" s="7">
        <v>2012</v>
      </c>
      <c r="B81" s="24">
        <v>41093</v>
      </c>
      <c r="C81" s="4" t="s">
        <v>35</v>
      </c>
      <c r="D81" s="3" t="s">
        <v>2</v>
      </c>
      <c r="E81" s="4" t="s">
        <v>6</v>
      </c>
      <c r="F81" s="3" t="s">
        <v>38</v>
      </c>
      <c r="G81" s="9" t="s">
        <v>39</v>
      </c>
      <c r="H81" s="10" t="s">
        <v>55</v>
      </c>
      <c r="I81" s="3" t="s">
        <v>41</v>
      </c>
      <c r="J81" s="102">
        <v>0.46864583333333337</v>
      </c>
      <c r="K81" s="7">
        <v>128.30000000000001</v>
      </c>
      <c r="L81" s="7">
        <v>0.22</v>
      </c>
      <c r="M81" s="7">
        <v>544.4</v>
      </c>
      <c r="N81" s="7">
        <v>0.15</v>
      </c>
      <c r="O81" s="7">
        <v>52.2</v>
      </c>
      <c r="P81" s="7">
        <v>2</v>
      </c>
      <c r="Q81" s="6">
        <v>35</v>
      </c>
      <c r="R81" s="7" t="s">
        <v>0</v>
      </c>
    </row>
    <row r="82" spans="1:18" x14ac:dyDescent="0.2">
      <c r="A82" s="7">
        <v>2012</v>
      </c>
      <c r="B82" s="24">
        <v>41093</v>
      </c>
      <c r="C82" s="4" t="s">
        <v>35</v>
      </c>
      <c r="D82" s="3" t="s">
        <v>2</v>
      </c>
      <c r="E82" s="4" t="s">
        <v>6</v>
      </c>
      <c r="F82" s="3" t="s">
        <v>38</v>
      </c>
      <c r="G82" s="9" t="s">
        <v>39</v>
      </c>
      <c r="H82" s="10" t="s">
        <v>55</v>
      </c>
      <c r="I82" s="3" t="s">
        <v>41</v>
      </c>
      <c r="J82" s="102">
        <v>0.46893518518518523</v>
      </c>
      <c r="K82" s="7">
        <v>1097.2</v>
      </c>
      <c r="L82" s="7">
        <v>0.26</v>
      </c>
      <c r="M82" s="7">
        <v>1474.6</v>
      </c>
      <c r="N82" s="7">
        <v>0.81</v>
      </c>
      <c r="O82" s="7">
        <v>52.2</v>
      </c>
      <c r="P82" s="7">
        <v>0.4</v>
      </c>
      <c r="Q82" s="6">
        <v>50</v>
      </c>
      <c r="R82" s="7" t="s">
        <v>46</v>
      </c>
    </row>
    <row r="83" spans="1:18" x14ac:dyDescent="0.2">
      <c r="A83" s="7">
        <v>2012</v>
      </c>
      <c r="B83" s="24">
        <v>41093</v>
      </c>
      <c r="C83" s="4" t="s">
        <v>35</v>
      </c>
      <c r="D83" s="3" t="s">
        <v>2</v>
      </c>
      <c r="E83" s="4" t="s">
        <v>6</v>
      </c>
      <c r="F83" s="3" t="s">
        <v>38</v>
      </c>
      <c r="G83" s="9" t="s">
        <v>39</v>
      </c>
      <c r="H83" s="10" t="s">
        <v>55</v>
      </c>
      <c r="I83" s="3" t="s">
        <v>41</v>
      </c>
      <c r="J83" s="102">
        <v>0.46925925925925926</v>
      </c>
      <c r="K83" s="7">
        <v>275.60000000000002</v>
      </c>
      <c r="L83" s="7">
        <v>0.08</v>
      </c>
      <c r="M83" s="7">
        <v>522.5</v>
      </c>
      <c r="N83" s="7">
        <v>0.21</v>
      </c>
      <c r="O83" s="7">
        <v>52.1</v>
      </c>
      <c r="P83" s="7">
        <v>0.8</v>
      </c>
      <c r="Q83" s="6">
        <v>50</v>
      </c>
      <c r="R83" s="7" t="s">
        <v>0</v>
      </c>
    </row>
    <row r="84" spans="1:18" x14ac:dyDescent="0.2">
      <c r="A84" s="7">
        <v>2012</v>
      </c>
      <c r="B84" s="24">
        <v>41093</v>
      </c>
      <c r="C84" s="4" t="s">
        <v>35</v>
      </c>
      <c r="D84" s="3" t="s">
        <v>2</v>
      </c>
      <c r="E84" s="4" t="s">
        <v>6</v>
      </c>
      <c r="F84" s="3" t="s">
        <v>38</v>
      </c>
      <c r="G84" s="9" t="s">
        <v>39</v>
      </c>
      <c r="H84" s="10" t="s">
        <v>55</v>
      </c>
      <c r="I84" s="3" t="s">
        <v>41</v>
      </c>
      <c r="J84" s="102">
        <v>0.47043981481481478</v>
      </c>
      <c r="K84" s="7">
        <v>1178.4000000000001</v>
      </c>
      <c r="L84" s="7">
        <v>0.03</v>
      </c>
      <c r="M84" s="7">
        <v>1470.9</v>
      </c>
      <c r="N84" s="7">
        <v>0.82</v>
      </c>
      <c r="O84" s="7">
        <v>52</v>
      </c>
      <c r="P84" s="7">
        <v>0.3</v>
      </c>
      <c r="Q84" s="6">
        <v>65</v>
      </c>
      <c r="R84" s="7" t="s">
        <v>46</v>
      </c>
    </row>
    <row r="85" spans="1:18" x14ac:dyDescent="0.2">
      <c r="A85" s="7">
        <v>2012</v>
      </c>
      <c r="B85" s="24">
        <v>41093</v>
      </c>
      <c r="C85" s="4" t="s">
        <v>35</v>
      </c>
      <c r="D85" s="3" t="s">
        <v>2</v>
      </c>
      <c r="E85" s="4" t="s">
        <v>6</v>
      </c>
      <c r="F85" s="3" t="s">
        <v>38</v>
      </c>
      <c r="G85" s="9" t="s">
        <v>39</v>
      </c>
      <c r="H85" s="10" t="s">
        <v>55</v>
      </c>
      <c r="I85" s="3" t="s">
        <v>41</v>
      </c>
      <c r="J85" s="102">
        <v>0.47056712962962965</v>
      </c>
      <c r="K85" s="7">
        <v>313.7</v>
      </c>
      <c r="L85" s="7">
        <v>0.05</v>
      </c>
      <c r="M85" s="7">
        <v>605.5</v>
      </c>
      <c r="N85" s="7">
        <v>0.14000000000000001</v>
      </c>
      <c r="O85" s="7">
        <v>52</v>
      </c>
      <c r="P85" s="7">
        <v>0.8</v>
      </c>
      <c r="Q85" s="6">
        <v>65</v>
      </c>
      <c r="R85" s="7" t="s">
        <v>0</v>
      </c>
    </row>
    <row r="86" spans="1:18" x14ac:dyDescent="0.2">
      <c r="A86" s="7">
        <v>2012</v>
      </c>
      <c r="B86" s="24">
        <v>41093</v>
      </c>
      <c r="C86" s="4" t="s">
        <v>35</v>
      </c>
      <c r="D86" s="3" t="s">
        <v>2</v>
      </c>
      <c r="E86" s="4" t="s">
        <v>6</v>
      </c>
      <c r="F86" s="3" t="s">
        <v>38</v>
      </c>
      <c r="G86" s="9" t="s">
        <v>39</v>
      </c>
      <c r="H86" s="10" t="s">
        <v>55</v>
      </c>
      <c r="I86" s="3" t="s">
        <v>41</v>
      </c>
      <c r="J86" s="102">
        <v>0.47085648148148151</v>
      </c>
      <c r="K86" s="7">
        <v>242.6</v>
      </c>
      <c r="L86" s="7">
        <v>0.96</v>
      </c>
      <c r="M86" s="7">
        <v>1467.3</v>
      </c>
      <c r="N86" s="7">
        <v>0.82</v>
      </c>
      <c r="O86" s="7">
        <v>52</v>
      </c>
      <c r="P86" s="7">
        <v>2.4</v>
      </c>
      <c r="Q86" s="6">
        <v>5</v>
      </c>
      <c r="R86" s="7" t="s">
        <v>46</v>
      </c>
    </row>
    <row r="87" spans="1:18" x14ac:dyDescent="0.2">
      <c r="A87" s="7">
        <v>2012</v>
      </c>
      <c r="B87" s="24">
        <v>41093</v>
      </c>
      <c r="C87" s="4" t="s">
        <v>35</v>
      </c>
      <c r="D87" s="3" t="s">
        <v>2</v>
      </c>
      <c r="E87" s="4" t="s">
        <v>6</v>
      </c>
      <c r="F87" s="3" t="s">
        <v>38</v>
      </c>
      <c r="G87" s="9" t="s">
        <v>39</v>
      </c>
      <c r="H87" s="10" t="s">
        <v>55</v>
      </c>
      <c r="I87" s="3" t="s">
        <v>41</v>
      </c>
      <c r="J87" s="102">
        <v>0.47096064814814814</v>
      </c>
      <c r="K87" s="7">
        <v>61.1</v>
      </c>
      <c r="L87" s="7">
        <v>0.18</v>
      </c>
      <c r="M87" s="7">
        <v>546.9</v>
      </c>
      <c r="N87" s="7">
        <v>0.19</v>
      </c>
      <c r="O87" s="7">
        <v>52</v>
      </c>
      <c r="P87" s="7">
        <v>3.2</v>
      </c>
      <c r="Q87" s="6">
        <v>5</v>
      </c>
      <c r="R87" s="7" t="s">
        <v>0</v>
      </c>
    </row>
    <row r="88" spans="1:18" x14ac:dyDescent="0.2">
      <c r="A88" s="7">
        <v>2012</v>
      </c>
      <c r="B88" s="24">
        <v>41093</v>
      </c>
      <c r="C88" s="4" t="s">
        <v>35</v>
      </c>
      <c r="D88" s="3" t="s">
        <v>2</v>
      </c>
      <c r="E88" s="4" t="s">
        <v>6</v>
      </c>
      <c r="F88" s="3" t="s">
        <v>38</v>
      </c>
      <c r="G88" s="9" t="s">
        <v>39</v>
      </c>
      <c r="H88" s="10" t="s">
        <v>55</v>
      </c>
      <c r="I88" s="3" t="s">
        <v>41</v>
      </c>
      <c r="J88" s="102">
        <v>0.47128472222222223</v>
      </c>
      <c r="K88" s="7">
        <v>300.8</v>
      </c>
      <c r="L88" s="7">
        <v>0.9</v>
      </c>
      <c r="M88" s="7">
        <v>1464.8</v>
      </c>
      <c r="N88" s="7">
        <v>0.82</v>
      </c>
      <c r="O88" s="7">
        <v>51.9</v>
      </c>
      <c r="P88" s="7">
        <v>2.1</v>
      </c>
      <c r="Q88" s="6">
        <v>20</v>
      </c>
      <c r="R88" s="7" t="s">
        <v>46</v>
      </c>
    </row>
    <row r="89" spans="1:18" x14ac:dyDescent="0.2">
      <c r="A89" s="7">
        <v>2012</v>
      </c>
      <c r="B89" s="24">
        <v>41093</v>
      </c>
      <c r="C89" s="4" t="s">
        <v>35</v>
      </c>
      <c r="D89" s="3" t="s">
        <v>2</v>
      </c>
      <c r="E89" s="4" t="s">
        <v>6</v>
      </c>
      <c r="F89" s="3" t="s">
        <v>38</v>
      </c>
      <c r="G89" s="9" t="s">
        <v>39</v>
      </c>
      <c r="H89" s="10" t="s">
        <v>55</v>
      </c>
      <c r="I89" s="3" t="s">
        <v>41</v>
      </c>
      <c r="J89" s="102">
        <v>0.47140046296296295</v>
      </c>
      <c r="K89" s="7">
        <v>75.400000000000006</v>
      </c>
      <c r="L89" s="7">
        <v>0.21</v>
      </c>
      <c r="M89" s="7">
        <v>501.7</v>
      </c>
      <c r="N89" s="7">
        <v>0.22</v>
      </c>
      <c r="O89" s="7">
        <v>51.9</v>
      </c>
      <c r="P89" s="7">
        <v>2.7</v>
      </c>
      <c r="Q89" s="6">
        <v>20</v>
      </c>
      <c r="R89" s="7" t="s">
        <v>0</v>
      </c>
    </row>
    <row r="90" spans="1:18" x14ac:dyDescent="0.2">
      <c r="A90" s="7">
        <v>2012</v>
      </c>
      <c r="B90" s="24">
        <v>41093</v>
      </c>
      <c r="C90" s="4" t="s">
        <v>35</v>
      </c>
      <c r="D90" s="3" t="s">
        <v>2</v>
      </c>
      <c r="E90" s="4" t="s">
        <v>6</v>
      </c>
      <c r="F90" s="3" t="s">
        <v>38</v>
      </c>
      <c r="G90" s="9" t="s">
        <v>39</v>
      </c>
      <c r="H90" s="10" t="s">
        <v>55</v>
      </c>
      <c r="I90" s="3" t="s">
        <v>41</v>
      </c>
      <c r="J90" s="102">
        <v>0.47158564814814818</v>
      </c>
      <c r="K90" s="7">
        <v>468.2</v>
      </c>
      <c r="L90" s="7">
        <v>0.69</v>
      </c>
      <c r="M90" s="7">
        <v>1466.1</v>
      </c>
      <c r="N90" s="7">
        <v>0.82</v>
      </c>
      <c r="O90" s="7">
        <v>51.9</v>
      </c>
      <c r="P90" s="7">
        <v>1.5</v>
      </c>
      <c r="Q90" s="6">
        <v>35</v>
      </c>
      <c r="R90" s="7" t="s">
        <v>46</v>
      </c>
    </row>
    <row r="91" spans="1:18" x14ac:dyDescent="0.2">
      <c r="A91" s="7">
        <v>2012</v>
      </c>
      <c r="B91" s="24">
        <v>41093</v>
      </c>
      <c r="C91" s="4" t="s">
        <v>35</v>
      </c>
      <c r="D91" s="3" t="s">
        <v>2</v>
      </c>
      <c r="E91" s="4" t="s">
        <v>6</v>
      </c>
      <c r="F91" s="3" t="s">
        <v>38</v>
      </c>
      <c r="G91" s="9" t="s">
        <v>39</v>
      </c>
      <c r="H91" s="10" t="s">
        <v>55</v>
      </c>
      <c r="I91" s="3" t="s">
        <v>41</v>
      </c>
      <c r="J91" s="102">
        <v>0.47177083333333331</v>
      </c>
      <c r="K91" s="7">
        <v>116</v>
      </c>
      <c r="L91" s="7">
        <v>0.26</v>
      </c>
      <c r="M91" s="7">
        <v>561.5</v>
      </c>
      <c r="N91" s="7">
        <v>0.17</v>
      </c>
      <c r="O91" s="7">
        <v>51.9</v>
      </c>
      <c r="P91" s="7">
        <v>2.2000000000000002</v>
      </c>
      <c r="Q91" s="6">
        <v>35</v>
      </c>
      <c r="R91" s="7" t="s">
        <v>0</v>
      </c>
    </row>
    <row r="92" spans="1:18" x14ac:dyDescent="0.2">
      <c r="A92" s="7">
        <v>2012</v>
      </c>
      <c r="B92" s="24">
        <v>41093</v>
      </c>
      <c r="C92" s="4" t="s">
        <v>35</v>
      </c>
      <c r="D92" s="3" t="s">
        <v>2</v>
      </c>
      <c r="E92" s="4" t="s">
        <v>6</v>
      </c>
      <c r="F92" s="3" t="s">
        <v>38</v>
      </c>
      <c r="G92" s="9" t="s">
        <v>39</v>
      </c>
      <c r="H92" s="10" t="s">
        <v>55</v>
      </c>
      <c r="I92" s="3" t="s">
        <v>41</v>
      </c>
      <c r="J92" s="102">
        <v>0.47197916666666667</v>
      </c>
      <c r="K92" s="7">
        <v>1002.3</v>
      </c>
      <c r="L92" s="7">
        <v>0.28000000000000003</v>
      </c>
      <c r="M92" s="7">
        <v>1463.6</v>
      </c>
      <c r="N92" s="7">
        <v>0.82</v>
      </c>
      <c r="O92" s="7">
        <v>51.9</v>
      </c>
      <c r="P92" s="7">
        <v>0.5</v>
      </c>
      <c r="Q92" s="6">
        <v>50</v>
      </c>
      <c r="R92" s="7" t="s">
        <v>46</v>
      </c>
    </row>
    <row r="93" spans="1:18" x14ac:dyDescent="0.2">
      <c r="A93" s="7">
        <v>2012</v>
      </c>
      <c r="B93" s="24">
        <v>41093</v>
      </c>
      <c r="C93" s="4" t="s">
        <v>35</v>
      </c>
      <c r="D93" s="3" t="s">
        <v>2</v>
      </c>
      <c r="E93" s="4" t="s">
        <v>6</v>
      </c>
      <c r="F93" s="3" t="s">
        <v>38</v>
      </c>
      <c r="G93" s="9" t="s">
        <v>39</v>
      </c>
      <c r="H93" s="10" t="s">
        <v>55</v>
      </c>
      <c r="I93" s="3" t="s">
        <v>41</v>
      </c>
      <c r="J93" s="102">
        <v>0.47206018518518517</v>
      </c>
      <c r="K93" s="7">
        <v>265</v>
      </c>
      <c r="L93" s="7">
        <v>0.12</v>
      </c>
      <c r="M93" s="7">
        <v>465.1</v>
      </c>
      <c r="N93" s="7">
        <v>0.19</v>
      </c>
      <c r="O93" s="7">
        <v>51.9</v>
      </c>
      <c r="P93" s="7">
        <v>0.7</v>
      </c>
      <c r="Q93" s="6">
        <v>50</v>
      </c>
      <c r="R93" s="7" t="s">
        <v>0</v>
      </c>
    </row>
    <row r="94" spans="1:18" x14ac:dyDescent="0.2">
      <c r="A94" s="7">
        <v>2012</v>
      </c>
      <c r="B94" s="24">
        <v>41093</v>
      </c>
      <c r="C94" s="4" t="s">
        <v>35</v>
      </c>
      <c r="D94" s="3" t="s">
        <v>2</v>
      </c>
      <c r="E94" s="4" t="s">
        <v>6</v>
      </c>
      <c r="F94" s="3" t="s">
        <v>38</v>
      </c>
      <c r="G94" s="9" t="s">
        <v>39</v>
      </c>
      <c r="H94" s="10" t="s">
        <v>55</v>
      </c>
      <c r="I94" s="3" t="s">
        <v>41</v>
      </c>
      <c r="J94" s="102">
        <v>0.47215277777777781</v>
      </c>
      <c r="K94" s="7">
        <v>1178.4000000000001</v>
      </c>
      <c r="L94" s="7">
        <v>0.03</v>
      </c>
      <c r="M94" s="7">
        <v>1464.8</v>
      </c>
      <c r="N94" s="7">
        <v>0.82</v>
      </c>
      <c r="O94" s="7">
        <v>51.9</v>
      </c>
      <c r="P94" s="7">
        <v>0.3</v>
      </c>
      <c r="Q94" s="6">
        <v>65</v>
      </c>
      <c r="R94" s="7" t="s">
        <v>46</v>
      </c>
    </row>
    <row r="95" spans="1:18" x14ac:dyDescent="0.2">
      <c r="A95" s="7">
        <v>2012</v>
      </c>
      <c r="B95" s="24">
        <v>41093</v>
      </c>
      <c r="C95" s="4" t="s">
        <v>35</v>
      </c>
      <c r="D95" s="3" t="s">
        <v>2</v>
      </c>
      <c r="E95" s="4" t="s">
        <v>6</v>
      </c>
      <c r="F95" s="3" t="s">
        <v>38</v>
      </c>
      <c r="G95" s="9" t="s">
        <v>39</v>
      </c>
      <c r="H95" s="10" t="s">
        <v>55</v>
      </c>
      <c r="I95" s="3" t="s">
        <v>41</v>
      </c>
      <c r="J95" s="102">
        <v>0.4722453703703704</v>
      </c>
      <c r="K95" s="7">
        <v>271.39999999999998</v>
      </c>
      <c r="L95" s="7">
        <v>0.05</v>
      </c>
      <c r="M95" s="7">
        <v>570.1</v>
      </c>
      <c r="N95" s="7">
        <v>0.16</v>
      </c>
      <c r="O95" s="7">
        <v>51.8</v>
      </c>
      <c r="P95" s="7">
        <v>1</v>
      </c>
      <c r="Q95" s="6">
        <v>65</v>
      </c>
      <c r="R95" s="7" t="s">
        <v>0</v>
      </c>
    </row>
    <row r="96" spans="1:18" x14ac:dyDescent="0.2">
      <c r="A96" s="7">
        <v>2012</v>
      </c>
      <c r="B96" s="24">
        <v>41093</v>
      </c>
      <c r="C96" s="4" t="s">
        <v>35</v>
      </c>
      <c r="D96" s="3" t="s">
        <v>2</v>
      </c>
      <c r="E96" s="4" t="s">
        <v>6</v>
      </c>
      <c r="F96" s="3" t="s">
        <v>38</v>
      </c>
      <c r="G96" s="9" t="s">
        <v>39</v>
      </c>
      <c r="H96" s="10" t="s">
        <v>55</v>
      </c>
      <c r="I96" s="3" t="s">
        <v>41</v>
      </c>
      <c r="J96" s="102">
        <v>0.47320601851851851</v>
      </c>
      <c r="K96" s="7">
        <v>201</v>
      </c>
      <c r="L96" s="7">
        <v>0.95</v>
      </c>
      <c r="M96" s="7">
        <v>1468.5</v>
      </c>
      <c r="N96" s="7">
        <v>0.82</v>
      </c>
      <c r="O96" s="7">
        <v>51.7</v>
      </c>
      <c r="P96" s="7">
        <v>2.7</v>
      </c>
      <c r="Q96" s="6">
        <v>5</v>
      </c>
      <c r="R96" s="7" t="s">
        <v>46</v>
      </c>
    </row>
    <row r="97" spans="1:18" x14ac:dyDescent="0.2">
      <c r="A97" s="7">
        <v>2012</v>
      </c>
      <c r="B97" s="24">
        <v>41093</v>
      </c>
      <c r="C97" s="4" t="s">
        <v>35</v>
      </c>
      <c r="D97" s="3" t="s">
        <v>2</v>
      </c>
      <c r="E97" s="4" t="s">
        <v>6</v>
      </c>
      <c r="F97" s="3" t="s">
        <v>38</v>
      </c>
      <c r="G97" s="9" t="s">
        <v>39</v>
      </c>
      <c r="H97" s="10" t="s">
        <v>55</v>
      </c>
      <c r="I97" s="3" t="s">
        <v>41</v>
      </c>
      <c r="J97" s="102">
        <v>0.47340277777777778</v>
      </c>
      <c r="K97" s="7">
        <v>65.2</v>
      </c>
      <c r="L97" s="7">
        <v>0.22</v>
      </c>
      <c r="M97" s="7">
        <v>333.3</v>
      </c>
      <c r="N97" s="7">
        <v>0.15</v>
      </c>
      <c r="O97" s="7">
        <v>51.7</v>
      </c>
      <c r="P97" s="7">
        <v>2.2999999999999998</v>
      </c>
      <c r="Q97" s="6">
        <v>5</v>
      </c>
      <c r="R97" s="7" t="s">
        <v>0</v>
      </c>
    </row>
    <row r="98" spans="1:18" x14ac:dyDescent="0.2">
      <c r="A98" s="7">
        <v>2012</v>
      </c>
      <c r="B98" s="24">
        <v>41093</v>
      </c>
      <c r="C98" s="4" t="s">
        <v>35</v>
      </c>
      <c r="D98" s="3" t="s">
        <v>2</v>
      </c>
      <c r="E98" s="4" t="s">
        <v>6</v>
      </c>
      <c r="F98" s="3" t="s">
        <v>38</v>
      </c>
      <c r="G98" s="9" t="s">
        <v>39</v>
      </c>
      <c r="H98" s="10" t="s">
        <v>55</v>
      </c>
      <c r="I98" s="3" t="s">
        <v>41</v>
      </c>
      <c r="J98" s="102">
        <v>0.47349537037037037</v>
      </c>
      <c r="K98" s="7">
        <v>241.9</v>
      </c>
      <c r="L98" s="7">
        <v>1.07</v>
      </c>
      <c r="M98" s="7">
        <v>1462.4</v>
      </c>
      <c r="N98" s="7">
        <v>0.82</v>
      </c>
      <c r="O98" s="7">
        <v>51.7</v>
      </c>
      <c r="P98" s="7">
        <v>2.4</v>
      </c>
      <c r="Q98" s="6">
        <v>20</v>
      </c>
      <c r="R98" s="7" t="s">
        <v>46</v>
      </c>
    </row>
    <row r="99" spans="1:18" x14ac:dyDescent="0.2">
      <c r="A99" s="7">
        <v>2012</v>
      </c>
      <c r="B99" s="24">
        <v>41093</v>
      </c>
      <c r="C99" s="4" t="s">
        <v>35</v>
      </c>
      <c r="D99" s="3" t="s">
        <v>2</v>
      </c>
      <c r="E99" s="4" t="s">
        <v>6</v>
      </c>
      <c r="F99" s="3" t="s">
        <v>38</v>
      </c>
      <c r="G99" s="9" t="s">
        <v>39</v>
      </c>
      <c r="H99" s="10" t="s">
        <v>55</v>
      </c>
      <c r="I99" s="3" t="s">
        <v>41</v>
      </c>
      <c r="J99" s="102">
        <v>0.47358796296296296</v>
      </c>
      <c r="K99" s="7">
        <v>82.3</v>
      </c>
      <c r="L99" s="7">
        <v>0.26</v>
      </c>
      <c r="M99" s="7">
        <v>648.20000000000005</v>
      </c>
      <c r="N99" s="7">
        <v>0.12</v>
      </c>
      <c r="O99" s="7">
        <v>51.7</v>
      </c>
      <c r="P99" s="7">
        <v>3</v>
      </c>
      <c r="Q99" s="6">
        <v>20</v>
      </c>
      <c r="R99" s="7" t="s">
        <v>0</v>
      </c>
    </row>
    <row r="100" spans="1:18" x14ac:dyDescent="0.2">
      <c r="A100" s="7">
        <v>2012</v>
      </c>
      <c r="B100" s="24">
        <v>41093</v>
      </c>
      <c r="C100" s="4" t="s">
        <v>35</v>
      </c>
      <c r="D100" s="3" t="s">
        <v>2</v>
      </c>
      <c r="E100" s="4" t="s">
        <v>6</v>
      </c>
      <c r="F100" s="3" t="s">
        <v>38</v>
      </c>
      <c r="G100" s="9" t="s">
        <v>39</v>
      </c>
      <c r="H100" s="10" t="s">
        <v>55</v>
      </c>
      <c r="I100" s="3" t="s">
        <v>41</v>
      </c>
      <c r="J100" s="102">
        <v>0.47379629629629627</v>
      </c>
      <c r="K100" s="7">
        <v>593.6</v>
      </c>
      <c r="L100" s="7">
        <v>0.5</v>
      </c>
      <c r="M100" s="7">
        <v>1464.8</v>
      </c>
      <c r="N100" s="7">
        <v>0.82</v>
      </c>
      <c r="O100" s="7">
        <v>51.7</v>
      </c>
      <c r="P100" s="7">
        <v>1.2</v>
      </c>
      <c r="Q100" s="6">
        <v>35</v>
      </c>
      <c r="R100" s="7" t="s">
        <v>46</v>
      </c>
    </row>
    <row r="101" spans="1:18" x14ac:dyDescent="0.2">
      <c r="A101" s="7">
        <v>2012</v>
      </c>
      <c r="B101" s="24">
        <v>41093</v>
      </c>
      <c r="C101" s="4" t="s">
        <v>35</v>
      </c>
      <c r="D101" s="3" t="s">
        <v>2</v>
      </c>
      <c r="E101" s="4" t="s">
        <v>6</v>
      </c>
      <c r="F101" s="3" t="s">
        <v>38</v>
      </c>
      <c r="G101" s="9" t="s">
        <v>39</v>
      </c>
      <c r="H101" s="10" t="s">
        <v>55</v>
      </c>
      <c r="I101" s="3" t="s">
        <v>41</v>
      </c>
      <c r="J101" s="102">
        <v>0.47385416666666669</v>
      </c>
      <c r="K101" s="7">
        <v>168.6</v>
      </c>
      <c r="L101" s="7">
        <v>0.2</v>
      </c>
      <c r="M101" s="7">
        <v>509</v>
      </c>
      <c r="N101" s="7">
        <v>0.21</v>
      </c>
      <c r="O101" s="7">
        <v>51.7</v>
      </c>
      <c r="P101" s="7">
        <v>1.5</v>
      </c>
      <c r="Q101" s="6">
        <v>35</v>
      </c>
      <c r="R101" s="7" t="s">
        <v>0</v>
      </c>
    </row>
    <row r="102" spans="1:18" x14ac:dyDescent="0.2">
      <c r="A102" s="7">
        <v>2012</v>
      </c>
      <c r="B102" s="24">
        <v>41093</v>
      </c>
      <c r="C102" s="4" t="s">
        <v>35</v>
      </c>
      <c r="D102" s="3" t="s">
        <v>2</v>
      </c>
      <c r="E102" s="4" t="s">
        <v>6</v>
      </c>
      <c r="F102" s="3" t="s">
        <v>38</v>
      </c>
      <c r="G102" s="9" t="s">
        <v>39</v>
      </c>
      <c r="H102" s="10" t="s">
        <v>55</v>
      </c>
      <c r="I102" s="3" t="s">
        <v>41</v>
      </c>
      <c r="J102" s="102">
        <v>0.47407407407407409</v>
      </c>
      <c r="K102" s="7">
        <v>1063.9000000000001</v>
      </c>
      <c r="L102" s="7">
        <v>0.04</v>
      </c>
      <c r="M102" s="7">
        <v>1462.4</v>
      </c>
      <c r="N102" s="7">
        <v>0.82</v>
      </c>
      <c r="O102" s="7">
        <v>51.7</v>
      </c>
      <c r="P102" s="7">
        <v>0.4</v>
      </c>
      <c r="Q102" s="6">
        <v>50</v>
      </c>
      <c r="R102" s="7" t="s">
        <v>46</v>
      </c>
    </row>
    <row r="103" spans="1:18" x14ac:dyDescent="0.2">
      <c r="A103" s="7">
        <v>2012</v>
      </c>
      <c r="B103" s="24">
        <v>41093</v>
      </c>
      <c r="C103" s="4" t="s">
        <v>35</v>
      </c>
      <c r="D103" s="3" t="s">
        <v>2</v>
      </c>
      <c r="E103" s="4" t="s">
        <v>6</v>
      </c>
      <c r="F103" s="3" t="s">
        <v>38</v>
      </c>
      <c r="G103" s="9" t="s">
        <v>39</v>
      </c>
      <c r="H103" s="10" t="s">
        <v>55</v>
      </c>
      <c r="I103" s="3" t="s">
        <v>41</v>
      </c>
      <c r="J103" s="102">
        <v>0.47414351851851855</v>
      </c>
      <c r="K103" s="7">
        <v>282</v>
      </c>
      <c r="L103" s="7">
        <v>0.05</v>
      </c>
      <c r="M103" s="7">
        <v>517.6</v>
      </c>
      <c r="N103" s="7">
        <v>0.26</v>
      </c>
      <c r="O103" s="7">
        <v>51.7</v>
      </c>
      <c r="P103" s="7">
        <v>0.8</v>
      </c>
      <c r="Q103" s="6">
        <v>50</v>
      </c>
      <c r="R103" s="7" t="s">
        <v>0</v>
      </c>
    </row>
    <row r="104" spans="1:18" x14ac:dyDescent="0.2">
      <c r="A104" s="7">
        <v>2012</v>
      </c>
      <c r="B104" s="24">
        <v>41093</v>
      </c>
      <c r="C104" s="4" t="s">
        <v>35</v>
      </c>
      <c r="D104" s="3" t="s">
        <v>2</v>
      </c>
      <c r="E104" s="4" t="s">
        <v>6</v>
      </c>
      <c r="F104" s="3" t="s">
        <v>38</v>
      </c>
      <c r="G104" s="9" t="s">
        <v>39</v>
      </c>
      <c r="H104" s="10" t="s">
        <v>55</v>
      </c>
      <c r="I104" s="3" t="s">
        <v>41</v>
      </c>
      <c r="J104" s="102">
        <v>0.47422453703703704</v>
      </c>
      <c r="K104" s="7">
        <v>1153.0999999999999</v>
      </c>
      <c r="L104" s="7">
        <v>0.03</v>
      </c>
      <c r="M104" s="7">
        <v>1458.7</v>
      </c>
      <c r="N104" s="7">
        <v>0.82</v>
      </c>
      <c r="O104" s="7">
        <v>51.6</v>
      </c>
      <c r="P104" s="7">
        <v>0.3</v>
      </c>
      <c r="Q104" s="6">
        <v>65</v>
      </c>
      <c r="R104" s="7" t="s">
        <v>46</v>
      </c>
    </row>
    <row r="105" spans="1:18" x14ac:dyDescent="0.2">
      <c r="A105" s="7">
        <v>2012</v>
      </c>
      <c r="B105" s="24">
        <v>41093</v>
      </c>
      <c r="C105" s="4" t="s">
        <v>35</v>
      </c>
      <c r="D105" s="3" t="s">
        <v>2</v>
      </c>
      <c r="E105" s="4" t="s">
        <v>6</v>
      </c>
      <c r="F105" s="3" t="s">
        <v>38</v>
      </c>
      <c r="G105" s="9" t="s">
        <v>39</v>
      </c>
      <c r="H105" s="10" t="s">
        <v>55</v>
      </c>
      <c r="I105" s="3" t="s">
        <v>41</v>
      </c>
      <c r="J105" s="102">
        <v>0.4742939814814815</v>
      </c>
      <c r="K105" s="7">
        <v>284.5</v>
      </c>
      <c r="L105" s="7">
        <v>0.06</v>
      </c>
      <c r="M105" s="7">
        <v>440.7</v>
      </c>
      <c r="N105" s="7">
        <v>0.21</v>
      </c>
      <c r="O105" s="7">
        <v>51.6</v>
      </c>
      <c r="P105" s="7">
        <v>0.5</v>
      </c>
      <c r="Q105" s="6">
        <v>65</v>
      </c>
      <c r="R105" s="7" t="s">
        <v>0</v>
      </c>
    </row>
    <row r="106" spans="1:18" x14ac:dyDescent="0.2">
      <c r="A106" s="7">
        <v>2012</v>
      </c>
      <c r="B106" s="24">
        <v>41095</v>
      </c>
      <c r="C106" s="4" t="s">
        <v>35</v>
      </c>
      <c r="D106" s="3" t="s">
        <v>2</v>
      </c>
      <c r="E106" s="4" t="s">
        <v>7</v>
      </c>
      <c r="F106" s="3" t="s">
        <v>38</v>
      </c>
      <c r="G106" s="9" t="s">
        <v>39</v>
      </c>
      <c r="H106" s="10" t="s">
        <v>55</v>
      </c>
      <c r="I106" s="3" t="s">
        <v>4</v>
      </c>
      <c r="J106" s="102">
        <v>0.40081018518518513</v>
      </c>
      <c r="K106" s="7">
        <v>89.5</v>
      </c>
      <c r="L106" s="7">
        <v>0.23</v>
      </c>
      <c r="M106" s="7">
        <v>471.2</v>
      </c>
      <c r="N106" s="7">
        <v>0.05</v>
      </c>
      <c r="O106" s="7">
        <v>60.3</v>
      </c>
      <c r="P106" s="7">
        <v>2.4</v>
      </c>
      <c r="Q106" s="6">
        <v>5</v>
      </c>
      <c r="R106" s="7" t="s">
        <v>0</v>
      </c>
    </row>
    <row r="107" spans="1:18" x14ac:dyDescent="0.2">
      <c r="A107" s="7">
        <v>2012</v>
      </c>
      <c r="B107" s="24">
        <v>41095</v>
      </c>
      <c r="C107" s="4" t="s">
        <v>35</v>
      </c>
      <c r="D107" s="3" t="s">
        <v>2</v>
      </c>
      <c r="E107" s="4" t="s">
        <v>7</v>
      </c>
      <c r="F107" s="3" t="s">
        <v>38</v>
      </c>
      <c r="G107" s="9" t="s">
        <v>39</v>
      </c>
      <c r="H107" s="10" t="s">
        <v>55</v>
      </c>
      <c r="I107" s="3" t="s">
        <v>4</v>
      </c>
      <c r="J107" s="102">
        <v>0.40100694444444446</v>
      </c>
      <c r="K107" s="7">
        <v>92.2</v>
      </c>
      <c r="L107" s="7">
        <v>0.24</v>
      </c>
      <c r="M107" s="7">
        <v>477.3</v>
      </c>
      <c r="N107" s="7">
        <v>0.04</v>
      </c>
      <c r="O107" s="7">
        <v>60.3</v>
      </c>
      <c r="P107" s="7">
        <v>2.2999999999999998</v>
      </c>
      <c r="Q107" s="6">
        <v>20</v>
      </c>
      <c r="R107" s="7" t="s">
        <v>0</v>
      </c>
    </row>
    <row r="108" spans="1:18" x14ac:dyDescent="0.2">
      <c r="A108" s="7">
        <v>2012</v>
      </c>
      <c r="B108" s="24">
        <v>41095</v>
      </c>
      <c r="C108" s="4" t="s">
        <v>35</v>
      </c>
      <c r="D108" s="3" t="s">
        <v>2</v>
      </c>
      <c r="E108" s="4" t="s">
        <v>7</v>
      </c>
      <c r="F108" s="3" t="s">
        <v>38</v>
      </c>
      <c r="G108" s="9" t="s">
        <v>39</v>
      </c>
      <c r="H108" s="10" t="s">
        <v>55</v>
      </c>
      <c r="I108" s="3" t="s">
        <v>4</v>
      </c>
      <c r="J108" s="102">
        <v>0.4011805555555556</v>
      </c>
      <c r="K108" s="7">
        <v>103.2</v>
      </c>
      <c r="L108" s="7">
        <v>0.27</v>
      </c>
      <c r="M108" s="7">
        <v>483.4</v>
      </c>
      <c r="N108" s="7">
        <v>0.04</v>
      </c>
      <c r="O108" s="7">
        <v>60.3</v>
      </c>
      <c r="P108" s="7">
        <v>2.2000000000000002</v>
      </c>
      <c r="Q108" s="6">
        <v>35</v>
      </c>
      <c r="R108" s="7" t="s">
        <v>0</v>
      </c>
    </row>
    <row r="109" spans="1:18" x14ac:dyDescent="0.2">
      <c r="A109" s="7">
        <v>2012</v>
      </c>
      <c r="B109" s="24">
        <v>41095</v>
      </c>
      <c r="C109" s="4" t="s">
        <v>35</v>
      </c>
      <c r="D109" s="3" t="s">
        <v>2</v>
      </c>
      <c r="E109" s="4" t="s">
        <v>7</v>
      </c>
      <c r="F109" s="3" t="s">
        <v>38</v>
      </c>
      <c r="G109" s="9" t="s">
        <v>39</v>
      </c>
      <c r="H109" s="10" t="s">
        <v>55</v>
      </c>
      <c r="I109" s="3" t="s">
        <v>4</v>
      </c>
      <c r="J109" s="102">
        <v>0.40171296296296299</v>
      </c>
      <c r="K109" s="7">
        <v>90.5</v>
      </c>
      <c r="L109" s="7">
        <v>0.24</v>
      </c>
      <c r="M109" s="7">
        <v>490.7</v>
      </c>
      <c r="N109" s="7">
        <v>0.03</v>
      </c>
      <c r="O109" s="7">
        <v>60.2</v>
      </c>
      <c r="P109" s="7">
        <v>2.4</v>
      </c>
      <c r="Q109" s="6">
        <v>50</v>
      </c>
      <c r="R109" s="7" t="s">
        <v>0</v>
      </c>
    </row>
    <row r="110" spans="1:18" x14ac:dyDescent="0.2">
      <c r="A110" s="7">
        <v>2012</v>
      </c>
      <c r="B110" s="24">
        <v>41095</v>
      </c>
      <c r="C110" s="4" t="s">
        <v>35</v>
      </c>
      <c r="D110" s="3" t="s">
        <v>2</v>
      </c>
      <c r="E110" s="4" t="s">
        <v>7</v>
      </c>
      <c r="F110" s="3" t="s">
        <v>38</v>
      </c>
      <c r="G110" s="9" t="s">
        <v>39</v>
      </c>
      <c r="H110" s="10" t="s">
        <v>55</v>
      </c>
      <c r="I110" s="3" t="s">
        <v>4</v>
      </c>
      <c r="J110" s="102">
        <v>0.40189814814814812</v>
      </c>
      <c r="K110" s="7">
        <v>102.9</v>
      </c>
      <c r="L110" s="7">
        <v>0.31</v>
      </c>
      <c r="M110" s="7">
        <v>490.7</v>
      </c>
      <c r="N110" s="7">
        <v>0.02</v>
      </c>
      <c r="O110" s="7">
        <v>60.2</v>
      </c>
      <c r="P110" s="7">
        <v>2.2000000000000002</v>
      </c>
      <c r="Q110" s="6">
        <v>65</v>
      </c>
      <c r="R110" s="7" t="s">
        <v>0</v>
      </c>
    </row>
    <row r="111" spans="1:18" x14ac:dyDescent="0.2">
      <c r="A111" s="7">
        <v>2012</v>
      </c>
      <c r="B111" s="24">
        <v>41095</v>
      </c>
      <c r="C111" s="4" t="s">
        <v>35</v>
      </c>
      <c r="D111" s="3" t="s">
        <v>2</v>
      </c>
      <c r="E111" s="4" t="s">
        <v>7</v>
      </c>
      <c r="F111" s="3" t="s">
        <v>38</v>
      </c>
      <c r="G111" s="9" t="s">
        <v>39</v>
      </c>
      <c r="H111" s="10" t="s">
        <v>55</v>
      </c>
      <c r="I111" s="3" t="s">
        <v>4</v>
      </c>
      <c r="J111" s="102">
        <v>0.40221064814814816</v>
      </c>
      <c r="K111" s="7">
        <v>210.6</v>
      </c>
      <c r="L111" s="7">
        <v>0.22</v>
      </c>
      <c r="M111" s="7">
        <v>493.2</v>
      </c>
      <c r="N111" s="7">
        <v>0.02</v>
      </c>
      <c r="O111" s="7">
        <v>60.2</v>
      </c>
      <c r="P111" s="7">
        <v>1.1000000000000001</v>
      </c>
      <c r="Q111" s="6">
        <v>80</v>
      </c>
      <c r="R111" s="7" t="s">
        <v>0</v>
      </c>
    </row>
    <row r="112" spans="1:18" x14ac:dyDescent="0.2">
      <c r="A112" s="7">
        <v>2012</v>
      </c>
      <c r="B112" s="24">
        <v>41095</v>
      </c>
      <c r="C112" s="4" t="s">
        <v>35</v>
      </c>
      <c r="D112" s="3" t="s">
        <v>2</v>
      </c>
      <c r="E112" s="4" t="s">
        <v>7</v>
      </c>
      <c r="F112" s="3" t="s">
        <v>38</v>
      </c>
      <c r="G112" s="9" t="s">
        <v>39</v>
      </c>
      <c r="H112" s="10" t="s">
        <v>55</v>
      </c>
      <c r="I112" s="3" t="s">
        <v>4</v>
      </c>
      <c r="J112" s="102">
        <v>0.40232638888888889</v>
      </c>
      <c r="K112" s="7">
        <v>390.4</v>
      </c>
      <c r="L112" s="7">
        <v>0.05</v>
      </c>
      <c r="M112" s="7">
        <v>493.2</v>
      </c>
      <c r="N112" s="7">
        <v>0.02</v>
      </c>
      <c r="O112" s="7">
        <v>60.1</v>
      </c>
      <c r="P112" s="7">
        <v>0.3</v>
      </c>
      <c r="Q112" s="6" t="s">
        <v>43</v>
      </c>
      <c r="R112" s="7" t="s">
        <v>0</v>
      </c>
    </row>
    <row r="113" spans="1:18" x14ac:dyDescent="0.2">
      <c r="A113" s="7">
        <v>2012</v>
      </c>
      <c r="B113" s="24">
        <v>41095</v>
      </c>
      <c r="C113" s="4" t="s">
        <v>35</v>
      </c>
      <c r="D113" s="3" t="s">
        <v>2</v>
      </c>
      <c r="E113" s="4" t="s">
        <v>7</v>
      </c>
      <c r="F113" s="3" t="s">
        <v>38</v>
      </c>
      <c r="G113" s="9" t="s">
        <v>39</v>
      </c>
      <c r="H113" s="10" t="s">
        <v>55</v>
      </c>
      <c r="I113" s="3" t="s">
        <v>4</v>
      </c>
      <c r="J113" s="102">
        <v>0.40248842592592587</v>
      </c>
      <c r="K113" s="7">
        <v>407.2</v>
      </c>
      <c r="L113" s="7">
        <v>0.02</v>
      </c>
      <c r="M113" s="7">
        <v>498</v>
      </c>
      <c r="N113" s="7">
        <v>0.02</v>
      </c>
      <c r="O113" s="7">
        <v>60.1</v>
      </c>
      <c r="P113" s="7">
        <v>0.2</v>
      </c>
      <c r="Q113" s="6" t="s">
        <v>50</v>
      </c>
      <c r="R113" s="7" t="s">
        <v>0</v>
      </c>
    </row>
    <row r="114" spans="1:18" x14ac:dyDescent="0.2">
      <c r="A114" s="7">
        <v>2012</v>
      </c>
      <c r="B114" s="24">
        <v>41095</v>
      </c>
      <c r="C114" s="4" t="s">
        <v>35</v>
      </c>
      <c r="D114" s="3" t="s">
        <v>2</v>
      </c>
      <c r="E114" s="4" t="s">
        <v>7</v>
      </c>
      <c r="F114" s="3" t="s">
        <v>38</v>
      </c>
      <c r="G114" s="9" t="s">
        <v>39</v>
      </c>
      <c r="H114" s="10" t="s">
        <v>55</v>
      </c>
      <c r="I114" s="3" t="s">
        <v>4</v>
      </c>
      <c r="J114" s="102">
        <v>0.40307870370370374</v>
      </c>
      <c r="K114" s="7">
        <v>82.9</v>
      </c>
      <c r="L114" s="7">
        <v>0.43</v>
      </c>
      <c r="M114" s="7">
        <v>509</v>
      </c>
      <c r="N114" s="7">
        <v>0.03</v>
      </c>
      <c r="O114" s="7">
        <v>60</v>
      </c>
      <c r="P114" s="7">
        <v>2.6</v>
      </c>
      <c r="Q114" s="6">
        <v>5</v>
      </c>
      <c r="R114" s="7" t="s">
        <v>0</v>
      </c>
    </row>
    <row r="115" spans="1:18" x14ac:dyDescent="0.2">
      <c r="A115" s="7">
        <v>2012</v>
      </c>
      <c r="B115" s="24">
        <v>41095</v>
      </c>
      <c r="C115" s="4" t="s">
        <v>35</v>
      </c>
      <c r="D115" s="3" t="s">
        <v>2</v>
      </c>
      <c r="E115" s="4" t="s">
        <v>7</v>
      </c>
      <c r="F115" s="3" t="s">
        <v>38</v>
      </c>
      <c r="G115" s="9" t="s">
        <v>39</v>
      </c>
      <c r="H115" s="10" t="s">
        <v>55</v>
      </c>
      <c r="I115" s="3" t="s">
        <v>4</v>
      </c>
      <c r="J115" s="102">
        <v>0.40346064814814814</v>
      </c>
      <c r="K115" s="7">
        <v>94.2</v>
      </c>
      <c r="L115" s="7">
        <v>0.36</v>
      </c>
      <c r="M115" s="7">
        <v>518.79999999999995</v>
      </c>
      <c r="N115" s="7">
        <v>0.03</v>
      </c>
      <c r="O115" s="7">
        <v>60</v>
      </c>
      <c r="P115" s="7">
        <v>2.5</v>
      </c>
      <c r="Q115" s="6">
        <v>20</v>
      </c>
      <c r="R115" s="7" t="s">
        <v>0</v>
      </c>
    </row>
    <row r="116" spans="1:18" x14ac:dyDescent="0.2">
      <c r="A116" s="7">
        <v>2012</v>
      </c>
      <c r="B116" s="24">
        <v>41095</v>
      </c>
      <c r="C116" s="4" t="s">
        <v>35</v>
      </c>
      <c r="D116" s="3" t="s">
        <v>2</v>
      </c>
      <c r="E116" s="4" t="s">
        <v>7</v>
      </c>
      <c r="F116" s="3" t="s">
        <v>38</v>
      </c>
      <c r="G116" s="9" t="s">
        <v>39</v>
      </c>
      <c r="H116" s="10" t="s">
        <v>55</v>
      </c>
      <c r="I116" s="3" t="s">
        <v>4</v>
      </c>
      <c r="J116" s="102">
        <v>0.40393518518518517</v>
      </c>
      <c r="K116" s="7">
        <v>92.8</v>
      </c>
      <c r="L116" s="7">
        <v>0.46</v>
      </c>
      <c r="M116" s="7">
        <v>529.79999999999995</v>
      </c>
      <c r="N116" s="7">
        <v>0.03</v>
      </c>
      <c r="O116" s="7">
        <v>59.9</v>
      </c>
      <c r="P116" s="7">
        <v>2.5</v>
      </c>
      <c r="Q116" s="6">
        <v>35</v>
      </c>
      <c r="R116" s="7" t="s">
        <v>0</v>
      </c>
    </row>
    <row r="117" spans="1:18" x14ac:dyDescent="0.2">
      <c r="A117" s="7">
        <v>2012</v>
      </c>
      <c r="B117" s="24">
        <v>41095</v>
      </c>
      <c r="C117" s="4" t="s">
        <v>35</v>
      </c>
      <c r="D117" s="3" t="s">
        <v>2</v>
      </c>
      <c r="E117" s="4" t="s">
        <v>7</v>
      </c>
      <c r="F117" s="3" t="s">
        <v>38</v>
      </c>
      <c r="G117" s="9" t="s">
        <v>39</v>
      </c>
      <c r="H117" s="10" t="s">
        <v>55</v>
      </c>
      <c r="I117" s="3" t="s">
        <v>4</v>
      </c>
      <c r="J117" s="102">
        <v>0.40417824074074077</v>
      </c>
      <c r="K117" s="7">
        <v>106.9</v>
      </c>
      <c r="L117" s="7">
        <v>0.41</v>
      </c>
      <c r="M117" s="7">
        <v>534.70000000000005</v>
      </c>
      <c r="N117" s="7">
        <v>0.03</v>
      </c>
      <c r="O117" s="7">
        <v>59.9</v>
      </c>
      <c r="P117" s="7">
        <v>2.2999999999999998</v>
      </c>
      <c r="Q117" s="6">
        <v>50</v>
      </c>
      <c r="R117" s="7" t="s">
        <v>0</v>
      </c>
    </row>
    <row r="118" spans="1:18" x14ac:dyDescent="0.2">
      <c r="A118" s="7">
        <v>2012</v>
      </c>
      <c r="B118" s="24">
        <v>41095</v>
      </c>
      <c r="C118" s="4" t="s">
        <v>35</v>
      </c>
      <c r="D118" s="3" t="s">
        <v>2</v>
      </c>
      <c r="E118" s="4" t="s">
        <v>7</v>
      </c>
      <c r="F118" s="3" t="s">
        <v>38</v>
      </c>
      <c r="G118" s="9" t="s">
        <v>39</v>
      </c>
      <c r="H118" s="10" t="s">
        <v>55</v>
      </c>
      <c r="I118" s="3" t="s">
        <v>4</v>
      </c>
      <c r="J118" s="102">
        <v>0.4045023148148148</v>
      </c>
      <c r="K118" s="7">
        <v>156.9</v>
      </c>
      <c r="L118" s="7">
        <v>0.34</v>
      </c>
      <c r="M118" s="7">
        <v>542</v>
      </c>
      <c r="N118" s="7">
        <v>0.03</v>
      </c>
      <c r="O118" s="7">
        <v>59.9</v>
      </c>
      <c r="P118" s="7">
        <v>1.7</v>
      </c>
      <c r="Q118" s="6">
        <v>65</v>
      </c>
      <c r="R118" s="7" t="s">
        <v>0</v>
      </c>
    </row>
    <row r="119" spans="1:18" x14ac:dyDescent="0.2">
      <c r="A119" s="7">
        <v>2012</v>
      </c>
      <c r="B119" s="24">
        <v>41095</v>
      </c>
      <c r="C119" s="4" t="s">
        <v>35</v>
      </c>
      <c r="D119" s="3" t="s">
        <v>2</v>
      </c>
      <c r="E119" s="4" t="s">
        <v>7</v>
      </c>
      <c r="F119" s="3" t="s">
        <v>38</v>
      </c>
      <c r="G119" s="9" t="s">
        <v>39</v>
      </c>
      <c r="H119" s="10" t="s">
        <v>55</v>
      </c>
      <c r="I119" s="3" t="s">
        <v>4</v>
      </c>
      <c r="J119" s="102">
        <v>0.40475694444444449</v>
      </c>
      <c r="K119" s="7">
        <v>357.5</v>
      </c>
      <c r="L119" s="7">
        <v>0.14000000000000001</v>
      </c>
      <c r="M119" s="7">
        <v>544.4</v>
      </c>
      <c r="N119" s="7">
        <v>0.02</v>
      </c>
      <c r="O119" s="7">
        <v>59.8</v>
      </c>
      <c r="P119" s="7">
        <v>0.5</v>
      </c>
      <c r="Q119" s="6">
        <v>80</v>
      </c>
      <c r="R119" s="7" t="s">
        <v>0</v>
      </c>
    </row>
    <row r="120" spans="1:18" x14ac:dyDescent="0.2">
      <c r="A120" s="7">
        <v>2012</v>
      </c>
      <c r="B120" s="24">
        <v>41095</v>
      </c>
      <c r="C120" s="4" t="s">
        <v>35</v>
      </c>
      <c r="D120" s="3" t="s">
        <v>2</v>
      </c>
      <c r="E120" s="4" t="s">
        <v>7</v>
      </c>
      <c r="F120" s="3" t="s">
        <v>38</v>
      </c>
      <c r="G120" s="9" t="s">
        <v>39</v>
      </c>
      <c r="H120" s="10" t="s">
        <v>55</v>
      </c>
      <c r="I120" s="3" t="s">
        <v>4</v>
      </c>
      <c r="J120" s="102">
        <v>0.40481481481481479</v>
      </c>
      <c r="K120" s="7">
        <v>436.3</v>
      </c>
      <c r="L120" s="7">
        <v>0.05</v>
      </c>
      <c r="M120" s="7">
        <v>544.4</v>
      </c>
      <c r="N120" s="7">
        <v>0.02</v>
      </c>
      <c r="O120" s="7">
        <v>59.8</v>
      </c>
      <c r="P120" s="7">
        <v>0.3</v>
      </c>
      <c r="Q120" s="6" t="s">
        <v>43</v>
      </c>
      <c r="R120" s="7" t="s">
        <v>0</v>
      </c>
    </row>
    <row r="121" spans="1:18" x14ac:dyDescent="0.2">
      <c r="A121" s="7">
        <v>2012</v>
      </c>
      <c r="B121" s="24">
        <v>41095</v>
      </c>
      <c r="C121" s="4" t="s">
        <v>35</v>
      </c>
      <c r="D121" s="3" t="s">
        <v>2</v>
      </c>
      <c r="E121" s="4" t="s">
        <v>7</v>
      </c>
      <c r="F121" s="3" t="s">
        <v>38</v>
      </c>
      <c r="G121" s="9" t="s">
        <v>39</v>
      </c>
      <c r="H121" s="10" t="s">
        <v>55</v>
      </c>
      <c r="I121" s="3" t="s">
        <v>4</v>
      </c>
      <c r="J121" s="102">
        <v>0.40496527777777774</v>
      </c>
      <c r="K121" s="7">
        <v>442.6</v>
      </c>
      <c r="L121" s="7">
        <v>0.03</v>
      </c>
      <c r="M121" s="7">
        <v>544.4</v>
      </c>
      <c r="N121" s="7">
        <v>0.02</v>
      </c>
      <c r="O121" s="7">
        <v>59.8</v>
      </c>
      <c r="P121" s="7">
        <v>0.2</v>
      </c>
      <c r="Q121" s="6" t="s">
        <v>50</v>
      </c>
      <c r="R121" s="7" t="s">
        <v>0</v>
      </c>
    </row>
    <row r="122" spans="1:18" x14ac:dyDescent="0.2">
      <c r="A122" s="7">
        <v>2012</v>
      </c>
      <c r="B122" s="24">
        <v>41095</v>
      </c>
      <c r="C122" s="4" t="s">
        <v>35</v>
      </c>
      <c r="D122" s="3" t="s">
        <v>2</v>
      </c>
      <c r="E122" s="4" t="s">
        <v>7</v>
      </c>
      <c r="F122" s="3" t="s">
        <v>38</v>
      </c>
      <c r="G122" s="9" t="s">
        <v>39</v>
      </c>
      <c r="H122" s="10" t="s">
        <v>55</v>
      </c>
      <c r="I122" s="3" t="s">
        <v>4</v>
      </c>
      <c r="J122" s="102">
        <v>0.40560185185185182</v>
      </c>
      <c r="K122" s="7">
        <v>59.8</v>
      </c>
      <c r="L122" s="7">
        <v>0.3</v>
      </c>
      <c r="M122" s="7">
        <v>543.20000000000005</v>
      </c>
      <c r="N122" s="7">
        <v>0.03</v>
      </c>
      <c r="O122" s="7">
        <v>59.7</v>
      </c>
      <c r="P122" s="7">
        <v>3.3</v>
      </c>
      <c r="Q122" s="6">
        <v>5</v>
      </c>
      <c r="R122" s="7" t="s">
        <v>0</v>
      </c>
    </row>
    <row r="123" spans="1:18" x14ac:dyDescent="0.2">
      <c r="A123" s="7">
        <v>2012</v>
      </c>
      <c r="B123" s="24">
        <v>41095</v>
      </c>
      <c r="C123" s="4" t="s">
        <v>35</v>
      </c>
      <c r="D123" s="3" t="s">
        <v>2</v>
      </c>
      <c r="E123" s="4" t="s">
        <v>7</v>
      </c>
      <c r="F123" s="3" t="s">
        <v>38</v>
      </c>
      <c r="G123" s="9" t="s">
        <v>39</v>
      </c>
      <c r="H123" s="10" t="s">
        <v>55</v>
      </c>
      <c r="I123" s="3" t="s">
        <v>4</v>
      </c>
      <c r="J123" s="102">
        <v>0.40584490740740736</v>
      </c>
      <c r="K123" s="7">
        <v>79.7</v>
      </c>
      <c r="L123" s="7">
        <v>0.31</v>
      </c>
      <c r="M123" s="7">
        <v>532.20000000000005</v>
      </c>
      <c r="N123" s="7">
        <v>0.03</v>
      </c>
      <c r="O123" s="7">
        <v>59.7</v>
      </c>
      <c r="P123" s="7">
        <v>2.8</v>
      </c>
      <c r="Q123" s="6">
        <v>20</v>
      </c>
      <c r="R123" s="7" t="s">
        <v>0</v>
      </c>
    </row>
    <row r="124" spans="1:18" x14ac:dyDescent="0.2">
      <c r="A124" s="7">
        <v>2012</v>
      </c>
      <c r="B124" s="24">
        <v>41095</v>
      </c>
      <c r="C124" s="4" t="s">
        <v>35</v>
      </c>
      <c r="D124" s="3" t="s">
        <v>2</v>
      </c>
      <c r="E124" s="4" t="s">
        <v>7</v>
      </c>
      <c r="F124" s="3" t="s">
        <v>38</v>
      </c>
      <c r="G124" s="9" t="s">
        <v>39</v>
      </c>
      <c r="H124" s="10" t="s">
        <v>55</v>
      </c>
      <c r="I124" s="3" t="s">
        <v>4</v>
      </c>
      <c r="J124" s="102">
        <v>0.40619212962962964</v>
      </c>
      <c r="K124" s="7">
        <v>75.2</v>
      </c>
      <c r="L124" s="7">
        <v>0.32</v>
      </c>
      <c r="M124" s="7">
        <v>517.6</v>
      </c>
      <c r="N124" s="7">
        <v>0.03</v>
      </c>
      <c r="O124" s="7">
        <v>59.7</v>
      </c>
      <c r="P124" s="7">
        <v>2.8</v>
      </c>
      <c r="Q124" s="6">
        <v>35</v>
      </c>
      <c r="R124" s="7" t="s">
        <v>0</v>
      </c>
    </row>
    <row r="125" spans="1:18" x14ac:dyDescent="0.2">
      <c r="A125" s="7">
        <v>2012</v>
      </c>
      <c r="B125" s="24">
        <v>41095</v>
      </c>
      <c r="C125" s="4" t="s">
        <v>35</v>
      </c>
      <c r="D125" s="3" t="s">
        <v>2</v>
      </c>
      <c r="E125" s="4" t="s">
        <v>7</v>
      </c>
      <c r="F125" s="3" t="s">
        <v>38</v>
      </c>
      <c r="G125" s="9" t="s">
        <v>39</v>
      </c>
      <c r="H125" s="10" t="s">
        <v>55</v>
      </c>
      <c r="I125" s="3" t="s">
        <v>4</v>
      </c>
      <c r="J125" s="102">
        <v>0.40645833333333337</v>
      </c>
      <c r="K125" s="7">
        <v>109.2</v>
      </c>
      <c r="L125" s="7">
        <v>0.51</v>
      </c>
      <c r="M125" s="7">
        <v>506.6</v>
      </c>
      <c r="N125" s="7">
        <v>0.03</v>
      </c>
      <c r="O125" s="7">
        <v>59.6</v>
      </c>
      <c r="P125" s="7">
        <v>2.2000000000000002</v>
      </c>
      <c r="Q125" s="6">
        <v>50</v>
      </c>
      <c r="R125" s="7" t="s">
        <v>0</v>
      </c>
    </row>
    <row r="126" spans="1:18" x14ac:dyDescent="0.2">
      <c r="A126" s="7">
        <v>2012</v>
      </c>
      <c r="B126" s="24">
        <v>41095</v>
      </c>
      <c r="C126" s="4" t="s">
        <v>35</v>
      </c>
      <c r="D126" s="3" t="s">
        <v>2</v>
      </c>
      <c r="E126" s="4" t="s">
        <v>7</v>
      </c>
      <c r="F126" s="3" t="s">
        <v>38</v>
      </c>
      <c r="G126" s="9" t="s">
        <v>39</v>
      </c>
      <c r="H126" s="10" t="s">
        <v>55</v>
      </c>
      <c r="I126" s="3" t="s">
        <v>4</v>
      </c>
      <c r="J126" s="102">
        <v>0.40664351851851849</v>
      </c>
      <c r="K126" s="7">
        <v>173.4</v>
      </c>
      <c r="L126" s="7">
        <v>0.47</v>
      </c>
      <c r="M126" s="7">
        <v>498</v>
      </c>
      <c r="N126" s="7">
        <v>0.02</v>
      </c>
      <c r="O126" s="7">
        <v>59.6</v>
      </c>
      <c r="P126" s="7">
        <v>1.4</v>
      </c>
      <c r="Q126" s="6">
        <v>65</v>
      </c>
      <c r="R126" s="7" t="s">
        <v>0</v>
      </c>
    </row>
    <row r="127" spans="1:18" x14ac:dyDescent="0.2">
      <c r="A127" s="7">
        <v>2012</v>
      </c>
      <c r="B127" s="24">
        <v>41095</v>
      </c>
      <c r="C127" s="4" t="s">
        <v>35</v>
      </c>
      <c r="D127" s="3" t="s">
        <v>2</v>
      </c>
      <c r="E127" s="4" t="s">
        <v>7</v>
      </c>
      <c r="F127" s="3" t="s">
        <v>38</v>
      </c>
      <c r="G127" s="9" t="s">
        <v>39</v>
      </c>
      <c r="H127" s="10" t="s">
        <v>55</v>
      </c>
      <c r="I127" s="3" t="s">
        <v>4</v>
      </c>
      <c r="J127" s="102">
        <v>0.40672453703703698</v>
      </c>
      <c r="K127" s="7">
        <v>340</v>
      </c>
      <c r="L127" s="7">
        <v>0.13</v>
      </c>
      <c r="M127" s="7">
        <v>495.6</v>
      </c>
      <c r="N127" s="7">
        <v>0.03</v>
      </c>
      <c r="O127" s="7">
        <v>59.6</v>
      </c>
      <c r="P127" s="7">
        <v>0.4</v>
      </c>
      <c r="Q127" s="6">
        <v>80</v>
      </c>
      <c r="R127" s="7" t="s">
        <v>0</v>
      </c>
    </row>
    <row r="128" spans="1:18" x14ac:dyDescent="0.2">
      <c r="A128" s="7">
        <v>2012</v>
      </c>
      <c r="B128" s="24">
        <v>41095</v>
      </c>
      <c r="C128" s="4" t="s">
        <v>35</v>
      </c>
      <c r="D128" s="3" t="s">
        <v>2</v>
      </c>
      <c r="E128" s="4" t="s">
        <v>7</v>
      </c>
      <c r="F128" s="3" t="s">
        <v>38</v>
      </c>
      <c r="G128" s="9" t="s">
        <v>39</v>
      </c>
      <c r="H128" s="10" t="s">
        <v>55</v>
      </c>
      <c r="I128" s="3" t="s">
        <v>4</v>
      </c>
      <c r="J128" s="102">
        <v>0.40682870370370372</v>
      </c>
      <c r="K128" s="7">
        <v>392.9</v>
      </c>
      <c r="L128" s="7">
        <v>0.03</v>
      </c>
      <c r="M128" s="7">
        <v>489.5</v>
      </c>
      <c r="N128" s="7">
        <v>0.03</v>
      </c>
      <c r="O128" s="7">
        <v>59.6</v>
      </c>
      <c r="P128" s="7">
        <v>0.3</v>
      </c>
      <c r="Q128" s="6" t="s">
        <v>43</v>
      </c>
      <c r="R128" s="7" t="s">
        <v>0</v>
      </c>
    </row>
    <row r="129" spans="1:18" x14ac:dyDescent="0.2">
      <c r="A129" s="7">
        <v>2012</v>
      </c>
      <c r="B129" s="24">
        <v>41095</v>
      </c>
      <c r="C129" s="4" t="s">
        <v>35</v>
      </c>
      <c r="D129" s="3" t="s">
        <v>2</v>
      </c>
      <c r="E129" s="4" t="s">
        <v>7</v>
      </c>
      <c r="F129" s="3" t="s">
        <v>38</v>
      </c>
      <c r="G129" s="9" t="s">
        <v>39</v>
      </c>
      <c r="H129" s="10" t="s">
        <v>55</v>
      </c>
      <c r="I129" s="3" t="s">
        <v>4</v>
      </c>
      <c r="J129" s="102">
        <v>0.4069444444444445</v>
      </c>
      <c r="K129" s="7">
        <v>406.1</v>
      </c>
      <c r="L129" s="7">
        <v>0.02</v>
      </c>
      <c r="M129" s="7">
        <v>485.8</v>
      </c>
      <c r="N129" s="7">
        <v>0.03</v>
      </c>
      <c r="O129" s="7">
        <v>59.6</v>
      </c>
      <c r="P129" s="7">
        <v>0.2</v>
      </c>
      <c r="Q129" s="6" t="s">
        <v>50</v>
      </c>
      <c r="R129" s="7" t="s">
        <v>0</v>
      </c>
    </row>
    <row r="130" spans="1:18" x14ac:dyDescent="0.2">
      <c r="A130" s="7">
        <v>2012</v>
      </c>
      <c r="B130" s="12">
        <v>41099</v>
      </c>
      <c r="C130" s="105" t="s">
        <v>35</v>
      </c>
      <c r="D130" s="105" t="s">
        <v>2</v>
      </c>
      <c r="E130" s="105" t="s">
        <v>8</v>
      </c>
      <c r="F130" s="105" t="s">
        <v>38</v>
      </c>
      <c r="G130" s="9" t="s">
        <v>39</v>
      </c>
      <c r="H130" s="10" t="s">
        <v>55</v>
      </c>
      <c r="I130" s="105" t="s">
        <v>41</v>
      </c>
      <c r="J130" s="103">
        <v>0.53753472222222221</v>
      </c>
      <c r="K130" s="10">
        <v>71.099999999999994</v>
      </c>
      <c r="L130" s="10">
        <v>0.26</v>
      </c>
      <c r="M130" s="10">
        <v>483.4</v>
      </c>
      <c r="N130" s="10">
        <v>0.02</v>
      </c>
      <c r="O130" s="10">
        <v>47.6</v>
      </c>
      <c r="P130" s="10">
        <v>2.8</v>
      </c>
      <c r="Q130" s="11">
        <v>5</v>
      </c>
      <c r="R130" s="10" t="s">
        <v>0</v>
      </c>
    </row>
    <row r="131" spans="1:18" x14ac:dyDescent="0.2">
      <c r="A131" s="7">
        <v>2012</v>
      </c>
      <c r="B131" s="12">
        <v>41099</v>
      </c>
      <c r="C131" s="105" t="s">
        <v>35</v>
      </c>
      <c r="D131" s="105" t="s">
        <v>2</v>
      </c>
      <c r="E131" s="105" t="s">
        <v>8</v>
      </c>
      <c r="F131" s="105" t="s">
        <v>38</v>
      </c>
      <c r="G131" s="9" t="s">
        <v>39</v>
      </c>
      <c r="H131" s="10" t="s">
        <v>55</v>
      </c>
      <c r="I131" s="105" t="s">
        <v>41</v>
      </c>
      <c r="J131" s="103">
        <v>0.53781250000000003</v>
      </c>
      <c r="K131" s="10">
        <v>86</v>
      </c>
      <c r="L131" s="10">
        <v>0.26</v>
      </c>
      <c r="M131" s="10">
        <v>483.4</v>
      </c>
      <c r="N131" s="10">
        <v>0.02</v>
      </c>
      <c r="O131" s="10">
        <v>47.6</v>
      </c>
      <c r="P131" s="10">
        <v>2.5</v>
      </c>
      <c r="Q131" s="11">
        <v>20</v>
      </c>
      <c r="R131" s="10" t="s">
        <v>0</v>
      </c>
    </row>
    <row r="132" spans="1:18" x14ac:dyDescent="0.2">
      <c r="A132" s="7">
        <v>2012</v>
      </c>
      <c r="B132" s="12">
        <v>41099</v>
      </c>
      <c r="C132" s="105" t="s">
        <v>35</v>
      </c>
      <c r="D132" s="105" t="s">
        <v>2</v>
      </c>
      <c r="E132" s="105" t="s">
        <v>8</v>
      </c>
      <c r="F132" s="105" t="s">
        <v>38</v>
      </c>
      <c r="G132" s="9" t="s">
        <v>39</v>
      </c>
      <c r="H132" s="10" t="s">
        <v>55</v>
      </c>
      <c r="I132" s="105" t="s">
        <v>41</v>
      </c>
      <c r="J132" s="103">
        <v>0.53828703703703706</v>
      </c>
      <c r="K132" s="10">
        <v>154.5</v>
      </c>
      <c r="L132" s="10">
        <v>0.19</v>
      </c>
      <c r="M132" s="10">
        <v>483.4</v>
      </c>
      <c r="N132" s="10">
        <v>0.05</v>
      </c>
      <c r="O132" s="10">
        <v>47.6</v>
      </c>
      <c r="P132" s="10">
        <v>1.6</v>
      </c>
      <c r="Q132" s="11">
        <v>35</v>
      </c>
      <c r="R132" s="10" t="s">
        <v>0</v>
      </c>
    </row>
    <row r="133" spans="1:18" x14ac:dyDescent="0.2">
      <c r="A133" s="7">
        <v>2012</v>
      </c>
      <c r="B133" s="12">
        <v>41099</v>
      </c>
      <c r="C133" s="105" t="s">
        <v>35</v>
      </c>
      <c r="D133" s="105" t="s">
        <v>2</v>
      </c>
      <c r="E133" s="105" t="s">
        <v>8</v>
      </c>
      <c r="F133" s="105" t="s">
        <v>38</v>
      </c>
      <c r="G133" s="9" t="s">
        <v>39</v>
      </c>
      <c r="H133" s="10" t="s">
        <v>55</v>
      </c>
      <c r="I133" s="105" t="s">
        <v>41</v>
      </c>
      <c r="J133" s="103">
        <v>0.53861111111111104</v>
      </c>
      <c r="K133" s="10">
        <v>219.8</v>
      </c>
      <c r="L133" s="10">
        <v>0.26</v>
      </c>
      <c r="M133" s="10">
        <v>479.7</v>
      </c>
      <c r="N133" s="10">
        <v>0.06</v>
      </c>
      <c r="O133" s="10">
        <v>47.6</v>
      </c>
      <c r="P133" s="10">
        <v>1</v>
      </c>
      <c r="Q133" s="11">
        <v>50</v>
      </c>
      <c r="R133" s="10" t="s">
        <v>0</v>
      </c>
    </row>
    <row r="134" spans="1:18" x14ac:dyDescent="0.2">
      <c r="A134" s="7">
        <v>2012</v>
      </c>
      <c r="B134" s="12">
        <v>41099</v>
      </c>
      <c r="C134" s="105" t="s">
        <v>35</v>
      </c>
      <c r="D134" s="105" t="s">
        <v>2</v>
      </c>
      <c r="E134" s="105" t="s">
        <v>8</v>
      </c>
      <c r="F134" s="105" t="s">
        <v>38</v>
      </c>
      <c r="G134" s="9" t="s">
        <v>39</v>
      </c>
      <c r="H134" s="10" t="s">
        <v>55</v>
      </c>
      <c r="I134" s="105" t="s">
        <v>41</v>
      </c>
      <c r="J134" s="103">
        <v>0.53877314814814814</v>
      </c>
      <c r="K134" s="10">
        <v>328.5</v>
      </c>
      <c r="L134" s="10">
        <v>0.12</v>
      </c>
      <c r="M134" s="10">
        <v>478.5</v>
      </c>
      <c r="N134" s="10">
        <v>7.0000000000000007E-2</v>
      </c>
      <c r="O134" s="10">
        <v>47.6</v>
      </c>
      <c r="P134" s="10">
        <v>0.5</v>
      </c>
      <c r="Q134" s="11">
        <v>65</v>
      </c>
      <c r="R134" s="10" t="s">
        <v>0</v>
      </c>
    </row>
    <row r="135" spans="1:18" x14ac:dyDescent="0.2">
      <c r="A135" s="7">
        <v>2012</v>
      </c>
      <c r="B135" s="12">
        <v>41099</v>
      </c>
      <c r="C135" s="105" t="s">
        <v>35</v>
      </c>
      <c r="D135" s="105" t="s">
        <v>2</v>
      </c>
      <c r="E135" s="105" t="s">
        <v>8</v>
      </c>
      <c r="F135" s="105" t="s">
        <v>38</v>
      </c>
      <c r="G135" s="9" t="s">
        <v>39</v>
      </c>
      <c r="H135" s="10" t="s">
        <v>55</v>
      </c>
      <c r="I135" s="105" t="s">
        <v>41</v>
      </c>
      <c r="J135" s="103">
        <v>0.53883101851851845</v>
      </c>
      <c r="K135" s="10">
        <v>393.8</v>
      </c>
      <c r="L135" s="10">
        <v>0.03</v>
      </c>
      <c r="M135" s="10">
        <v>476.1</v>
      </c>
      <c r="N135" s="10">
        <v>7.0000000000000007E-2</v>
      </c>
      <c r="O135" s="10">
        <v>47.6</v>
      </c>
      <c r="P135" s="10">
        <v>0.2</v>
      </c>
      <c r="Q135" s="11">
        <v>80</v>
      </c>
      <c r="R135" s="10" t="s">
        <v>0</v>
      </c>
    </row>
    <row r="136" spans="1:18" x14ac:dyDescent="0.2">
      <c r="A136" s="7">
        <v>2012</v>
      </c>
      <c r="B136" s="12">
        <v>41099</v>
      </c>
      <c r="C136" s="105" t="s">
        <v>35</v>
      </c>
      <c r="D136" s="105" t="s">
        <v>2</v>
      </c>
      <c r="E136" s="105" t="s">
        <v>8</v>
      </c>
      <c r="F136" s="105" t="s">
        <v>38</v>
      </c>
      <c r="G136" s="9" t="s">
        <v>39</v>
      </c>
      <c r="H136" s="10" t="s">
        <v>55</v>
      </c>
      <c r="I136" s="105" t="s">
        <v>41</v>
      </c>
      <c r="J136" s="103">
        <v>0.53931712962962963</v>
      </c>
      <c r="K136" s="10">
        <v>73.8</v>
      </c>
      <c r="L136" s="10">
        <v>0.22</v>
      </c>
      <c r="M136" s="10">
        <v>470</v>
      </c>
      <c r="N136" s="10">
        <v>7.0000000000000007E-2</v>
      </c>
      <c r="O136" s="10">
        <v>47.5</v>
      </c>
      <c r="P136" s="10">
        <v>2.7</v>
      </c>
      <c r="Q136" s="11">
        <v>5</v>
      </c>
      <c r="R136" s="10" t="s">
        <v>0</v>
      </c>
    </row>
    <row r="137" spans="1:18" x14ac:dyDescent="0.2">
      <c r="A137" s="7">
        <v>2012</v>
      </c>
      <c r="B137" s="12">
        <v>41099</v>
      </c>
      <c r="C137" s="105" t="s">
        <v>35</v>
      </c>
      <c r="D137" s="105" t="s">
        <v>2</v>
      </c>
      <c r="E137" s="105" t="s">
        <v>8</v>
      </c>
      <c r="F137" s="105" t="s">
        <v>38</v>
      </c>
      <c r="G137" s="9" t="s">
        <v>39</v>
      </c>
      <c r="H137" s="10" t="s">
        <v>55</v>
      </c>
      <c r="I137" s="105" t="s">
        <v>41</v>
      </c>
      <c r="J137" s="103">
        <v>0.53965277777777776</v>
      </c>
      <c r="K137" s="10">
        <v>87.1</v>
      </c>
      <c r="L137" s="10">
        <v>0.18</v>
      </c>
      <c r="M137" s="10">
        <v>463.9</v>
      </c>
      <c r="N137" s="10">
        <v>7.0000000000000007E-2</v>
      </c>
      <c r="O137" s="10">
        <v>47.5</v>
      </c>
      <c r="P137" s="10">
        <v>2.4</v>
      </c>
      <c r="Q137" s="11">
        <v>20</v>
      </c>
      <c r="R137" s="10" t="s">
        <v>0</v>
      </c>
    </row>
    <row r="138" spans="1:18" x14ac:dyDescent="0.2">
      <c r="A138" s="7">
        <v>2012</v>
      </c>
      <c r="B138" s="12">
        <v>41099</v>
      </c>
      <c r="C138" s="105" t="s">
        <v>35</v>
      </c>
      <c r="D138" s="105" t="s">
        <v>2</v>
      </c>
      <c r="E138" s="105" t="s">
        <v>8</v>
      </c>
      <c r="F138" s="105" t="s">
        <v>38</v>
      </c>
      <c r="G138" s="9" t="s">
        <v>39</v>
      </c>
      <c r="H138" s="10" t="s">
        <v>55</v>
      </c>
      <c r="I138" s="105" t="s">
        <v>41</v>
      </c>
      <c r="J138" s="103">
        <v>0.5398263888888889</v>
      </c>
      <c r="K138" s="10">
        <v>119.2</v>
      </c>
      <c r="L138" s="10">
        <v>0.16</v>
      </c>
      <c r="M138" s="10">
        <v>461.4</v>
      </c>
      <c r="N138" s="10">
        <v>7.0000000000000007E-2</v>
      </c>
      <c r="O138" s="10">
        <v>47.5</v>
      </c>
      <c r="P138" s="10">
        <v>1.9</v>
      </c>
      <c r="Q138" s="11">
        <v>35</v>
      </c>
      <c r="R138" s="10" t="s">
        <v>0</v>
      </c>
    </row>
    <row r="139" spans="1:18" x14ac:dyDescent="0.2">
      <c r="A139" s="7">
        <v>2012</v>
      </c>
      <c r="B139" s="12">
        <v>41099</v>
      </c>
      <c r="C139" s="105" t="s">
        <v>35</v>
      </c>
      <c r="D139" s="105" t="s">
        <v>2</v>
      </c>
      <c r="E139" s="105" t="s">
        <v>8</v>
      </c>
      <c r="F139" s="105" t="s">
        <v>38</v>
      </c>
      <c r="G139" s="9" t="s">
        <v>39</v>
      </c>
      <c r="H139" s="10" t="s">
        <v>55</v>
      </c>
      <c r="I139" s="105" t="s">
        <v>41</v>
      </c>
      <c r="J139" s="103">
        <v>0.54008101851851853</v>
      </c>
      <c r="K139" s="10">
        <v>194.2</v>
      </c>
      <c r="L139" s="10">
        <v>0.17</v>
      </c>
      <c r="M139" s="10">
        <v>457.8</v>
      </c>
      <c r="N139" s="10">
        <v>7.0000000000000007E-2</v>
      </c>
      <c r="O139" s="10">
        <v>47.5</v>
      </c>
      <c r="P139" s="10">
        <v>1.1000000000000001</v>
      </c>
      <c r="Q139" s="11">
        <v>50</v>
      </c>
      <c r="R139" s="10" t="s">
        <v>0</v>
      </c>
    </row>
    <row r="140" spans="1:18" x14ac:dyDescent="0.2">
      <c r="A140" s="7">
        <v>2012</v>
      </c>
      <c r="B140" s="12">
        <v>41099</v>
      </c>
      <c r="C140" s="105" t="s">
        <v>35</v>
      </c>
      <c r="D140" s="105" t="s">
        <v>2</v>
      </c>
      <c r="E140" s="105" t="s">
        <v>8</v>
      </c>
      <c r="F140" s="105" t="s">
        <v>38</v>
      </c>
      <c r="G140" s="9" t="s">
        <v>39</v>
      </c>
      <c r="H140" s="10" t="s">
        <v>55</v>
      </c>
      <c r="I140" s="105" t="s">
        <v>41</v>
      </c>
      <c r="J140" s="103">
        <v>0.54025462962962967</v>
      </c>
      <c r="K140" s="10">
        <v>296.8</v>
      </c>
      <c r="L140" s="10">
        <v>0.09</v>
      </c>
      <c r="M140" s="10">
        <v>456.5</v>
      </c>
      <c r="N140" s="10">
        <v>7.0000000000000007E-2</v>
      </c>
      <c r="O140" s="10">
        <v>47.5</v>
      </c>
      <c r="P140" s="10">
        <v>0.5</v>
      </c>
      <c r="Q140" s="11">
        <v>65</v>
      </c>
      <c r="R140" s="10" t="s">
        <v>0</v>
      </c>
    </row>
    <row r="141" spans="1:18" x14ac:dyDescent="0.2">
      <c r="A141" s="7">
        <v>2012</v>
      </c>
      <c r="B141" s="12">
        <v>41099</v>
      </c>
      <c r="C141" s="105" t="s">
        <v>35</v>
      </c>
      <c r="D141" s="105" t="s">
        <v>2</v>
      </c>
      <c r="E141" s="105" t="s">
        <v>8</v>
      </c>
      <c r="F141" s="105" t="s">
        <v>38</v>
      </c>
      <c r="G141" s="9" t="s">
        <v>39</v>
      </c>
      <c r="H141" s="10" t="s">
        <v>55</v>
      </c>
      <c r="I141" s="105" t="s">
        <v>41</v>
      </c>
      <c r="J141" s="103">
        <v>0.54031249999999997</v>
      </c>
      <c r="K141" s="10">
        <v>380.5</v>
      </c>
      <c r="L141" s="10">
        <v>0.03</v>
      </c>
      <c r="M141" s="10">
        <v>456.5</v>
      </c>
      <c r="N141" s="10">
        <v>0.06</v>
      </c>
      <c r="O141" s="10">
        <v>47.5</v>
      </c>
      <c r="P141" s="10">
        <v>0.2</v>
      </c>
      <c r="Q141" s="11">
        <v>80</v>
      </c>
      <c r="R141" s="10" t="s">
        <v>0</v>
      </c>
    </row>
    <row r="142" spans="1:18" x14ac:dyDescent="0.2">
      <c r="A142" s="7">
        <v>2012</v>
      </c>
      <c r="B142" s="12">
        <v>41099</v>
      </c>
      <c r="C142" s="105" t="s">
        <v>35</v>
      </c>
      <c r="D142" s="105" t="s">
        <v>2</v>
      </c>
      <c r="E142" s="105" t="s">
        <v>8</v>
      </c>
      <c r="F142" s="105" t="s">
        <v>38</v>
      </c>
      <c r="G142" s="9" t="s">
        <v>39</v>
      </c>
      <c r="H142" s="10" t="s">
        <v>55</v>
      </c>
      <c r="I142" s="105" t="s">
        <v>41</v>
      </c>
      <c r="J142" s="103">
        <v>0.54067129629629629</v>
      </c>
      <c r="K142" s="10">
        <v>56.8</v>
      </c>
      <c r="L142" s="10">
        <v>0.23</v>
      </c>
      <c r="M142" s="10">
        <v>454.1</v>
      </c>
      <c r="N142" s="10">
        <v>0.06</v>
      </c>
      <c r="O142" s="10">
        <v>47.5</v>
      </c>
      <c r="P142" s="10">
        <v>3.1</v>
      </c>
      <c r="Q142" s="11">
        <v>5</v>
      </c>
      <c r="R142" s="10" t="s">
        <v>0</v>
      </c>
    </row>
    <row r="143" spans="1:18" x14ac:dyDescent="0.2">
      <c r="A143" s="7">
        <v>2012</v>
      </c>
      <c r="B143" s="12">
        <v>41099</v>
      </c>
      <c r="C143" s="105" t="s">
        <v>35</v>
      </c>
      <c r="D143" s="105" t="s">
        <v>2</v>
      </c>
      <c r="E143" s="105" t="s">
        <v>8</v>
      </c>
      <c r="F143" s="105" t="s">
        <v>38</v>
      </c>
      <c r="G143" s="9" t="s">
        <v>39</v>
      </c>
      <c r="H143" s="10" t="s">
        <v>55</v>
      </c>
      <c r="I143" s="105" t="s">
        <v>41</v>
      </c>
      <c r="J143" s="103">
        <v>0.54089120370370369</v>
      </c>
      <c r="K143" s="10">
        <v>91.3</v>
      </c>
      <c r="L143" s="10">
        <v>0.18</v>
      </c>
      <c r="M143" s="10">
        <v>454.1</v>
      </c>
      <c r="N143" s="10">
        <v>0.06</v>
      </c>
      <c r="O143" s="10">
        <v>47.5</v>
      </c>
      <c r="P143" s="10">
        <v>2.2999999999999998</v>
      </c>
      <c r="Q143" s="11">
        <v>20</v>
      </c>
      <c r="R143" s="10" t="s">
        <v>0</v>
      </c>
    </row>
    <row r="144" spans="1:18" x14ac:dyDescent="0.2">
      <c r="A144" s="7">
        <v>2012</v>
      </c>
      <c r="B144" s="12">
        <v>41099</v>
      </c>
      <c r="C144" s="105" t="s">
        <v>35</v>
      </c>
      <c r="D144" s="105" t="s">
        <v>2</v>
      </c>
      <c r="E144" s="105" t="s">
        <v>8</v>
      </c>
      <c r="F144" s="105" t="s">
        <v>38</v>
      </c>
      <c r="G144" s="9" t="s">
        <v>39</v>
      </c>
      <c r="H144" s="10" t="s">
        <v>55</v>
      </c>
      <c r="I144" s="105" t="s">
        <v>41</v>
      </c>
      <c r="J144" s="103">
        <v>0.54104166666666664</v>
      </c>
      <c r="K144" s="10">
        <v>132.6</v>
      </c>
      <c r="L144" s="10">
        <v>0.18</v>
      </c>
      <c r="M144" s="10">
        <v>454.1</v>
      </c>
      <c r="N144" s="10">
        <v>0.06</v>
      </c>
      <c r="O144" s="10">
        <v>47.5</v>
      </c>
      <c r="P144" s="10">
        <v>1.7</v>
      </c>
      <c r="Q144" s="11">
        <v>35</v>
      </c>
      <c r="R144" s="10" t="s">
        <v>0</v>
      </c>
    </row>
    <row r="145" spans="1:18" x14ac:dyDescent="0.2">
      <c r="A145" s="7">
        <v>2012</v>
      </c>
      <c r="B145" s="12">
        <v>41099</v>
      </c>
      <c r="C145" s="105" t="s">
        <v>35</v>
      </c>
      <c r="D145" s="105" t="s">
        <v>2</v>
      </c>
      <c r="E145" s="105" t="s">
        <v>8</v>
      </c>
      <c r="F145" s="105" t="s">
        <v>38</v>
      </c>
      <c r="G145" s="9" t="s">
        <v>39</v>
      </c>
      <c r="H145" s="10" t="s">
        <v>55</v>
      </c>
      <c r="I145" s="105" t="s">
        <v>41</v>
      </c>
      <c r="J145" s="103">
        <v>0.54121527777777778</v>
      </c>
      <c r="K145" s="10">
        <v>206.5</v>
      </c>
      <c r="L145" s="10">
        <v>0.27</v>
      </c>
      <c r="M145" s="10">
        <v>455.3</v>
      </c>
      <c r="N145" s="10">
        <v>0.06</v>
      </c>
      <c r="O145" s="10">
        <v>47.4</v>
      </c>
      <c r="P145" s="10">
        <v>1</v>
      </c>
      <c r="Q145" s="11">
        <v>50</v>
      </c>
      <c r="R145" s="10" t="s">
        <v>0</v>
      </c>
    </row>
    <row r="146" spans="1:18" x14ac:dyDescent="0.2">
      <c r="A146" s="7">
        <v>2012</v>
      </c>
      <c r="B146" s="12">
        <v>41099</v>
      </c>
      <c r="C146" s="105" t="s">
        <v>35</v>
      </c>
      <c r="D146" s="105" t="s">
        <v>2</v>
      </c>
      <c r="E146" s="105" t="s">
        <v>8</v>
      </c>
      <c r="F146" s="105" t="s">
        <v>38</v>
      </c>
      <c r="G146" s="9" t="s">
        <v>39</v>
      </c>
      <c r="H146" s="10" t="s">
        <v>55</v>
      </c>
      <c r="I146" s="105" t="s">
        <v>41</v>
      </c>
      <c r="J146" s="103">
        <v>0.54135416666666669</v>
      </c>
      <c r="K146" s="10">
        <v>300</v>
      </c>
      <c r="L146" s="10">
        <v>0.22</v>
      </c>
      <c r="M146" s="10">
        <v>456.5</v>
      </c>
      <c r="N146" s="10">
        <v>0.06</v>
      </c>
      <c r="O146" s="10">
        <v>47.4</v>
      </c>
      <c r="P146" s="10">
        <v>0.5</v>
      </c>
      <c r="Q146" s="11">
        <v>65</v>
      </c>
      <c r="R146" s="10" t="s">
        <v>0</v>
      </c>
    </row>
    <row r="147" spans="1:18" x14ac:dyDescent="0.2">
      <c r="A147" s="7">
        <v>2012</v>
      </c>
      <c r="B147" s="12">
        <v>41099</v>
      </c>
      <c r="C147" s="105" t="s">
        <v>35</v>
      </c>
      <c r="D147" s="105" t="s">
        <v>2</v>
      </c>
      <c r="E147" s="105" t="s">
        <v>8</v>
      </c>
      <c r="F147" s="105" t="s">
        <v>38</v>
      </c>
      <c r="G147" s="9" t="s">
        <v>39</v>
      </c>
      <c r="H147" s="10" t="s">
        <v>55</v>
      </c>
      <c r="I147" s="105" t="s">
        <v>41</v>
      </c>
      <c r="J147" s="103">
        <v>0.54141203703703711</v>
      </c>
      <c r="K147" s="10">
        <v>390.7</v>
      </c>
      <c r="L147" s="10">
        <v>0.03</v>
      </c>
      <c r="M147" s="10">
        <v>457.8</v>
      </c>
      <c r="N147" s="10">
        <v>0.06</v>
      </c>
      <c r="O147" s="10">
        <v>47.4</v>
      </c>
      <c r="P147" s="10">
        <v>0.2</v>
      </c>
      <c r="Q147" s="11">
        <v>80</v>
      </c>
      <c r="R147" s="10" t="s">
        <v>0</v>
      </c>
    </row>
    <row r="148" spans="1:18" x14ac:dyDescent="0.2">
      <c r="A148" s="7">
        <v>2012</v>
      </c>
      <c r="B148" s="12">
        <v>41101</v>
      </c>
      <c r="C148" s="105" t="s">
        <v>35</v>
      </c>
      <c r="D148" s="105" t="s">
        <v>2</v>
      </c>
      <c r="E148" s="105" t="s">
        <v>8</v>
      </c>
      <c r="F148" s="105" t="s">
        <v>38</v>
      </c>
      <c r="G148" s="9" t="s">
        <v>39</v>
      </c>
      <c r="H148" s="10" t="s">
        <v>55</v>
      </c>
      <c r="I148" s="105" t="s">
        <v>41</v>
      </c>
      <c r="J148" s="103">
        <v>0.66494212962962962</v>
      </c>
      <c r="K148" s="10">
        <v>539.9</v>
      </c>
      <c r="L148" s="10">
        <v>0.65</v>
      </c>
      <c r="M148" s="10">
        <v>1449</v>
      </c>
      <c r="N148" s="10">
        <v>0.8</v>
      </c>
      <c r="O148" s="10">
        <v>49.8</v>
      </c>
      <c r="P148" s="10">
        <v>1.4</v>
      </c>
      <c r="Q148" s="11">
        <v>5</v>
      </c>
      <c r="R148" s="10" t="s">
        <v>46</v>
      </c>
    </row>
    <row r="149" spans="1:18" x14ac:dyDescent="0.2">
      <c r="A149" s="7">
        <v>2012</v>
      </c>
      <c r="B149" s="12">
        <v>41101</v>
      </c>
      <c r="C149" s="105" t="s">
        <v>35</v>
      </c>
      <c r="D149" s="105" t="s">
        <v>2</v>
      </c>
      <c r="E149" s="105" t="s">
        <v>8</v>
      </c>
      <c r="F149" s="105" t="s">
        <v>38</v>
      </c>
      <c r="G149" s="9" t="s">
        <v>39</v>
      </c>
      <c r="H149" s="10" t="s">
        <v>55</v>
      </c>
      <c r="I149" s="105" t="s">
        <v>41</v>
      </c>
      <c r="J149" s="103">
        <v>0.66525462962962967</v>
      </c>
      <c r="K149" s="10">
        <v>500.3</v>
      </c>
      <c r="L149" s="10">
        <v>0.72</v>
      </c>
      <c r="M149" s="10">
        <v>1472.2</v>
      </c>
      <c r="N149" s="10">
        <v>0.8</v>
      </c>
      <c r="O149" s="10">
        <v>49.8</v>
      </c>
      <c r="P149" s="10">
        <v>1.5</v>
      </c>
      <c r="Q149" s="11">
        <v>20</v>
      </c>
      <c r="R149" s="10" t="s">
        <v>46</v>
      </c>
    </row>
    <row r="150" spans="1:18" x14ac:dyDescent="0.2">
      <c r="A150" s="7">
        <v>2012</v>
      </c>
      <c r="B150" s="12">
        <v>41101</v>
      </c>
      <c r="C150" s="105" t="s">
        <v>35</v>
      </c>
      <c r="D150" s="105" t="s">
        <v>2</v>
      </c>
      <c r="E150" s="105" t="s">
        <v>8</v>
      </c>
      <c r="F150" s="105" t="s">
        <v>38</v>
      </c>
      <c r="G150" s="9" t="s">
        <v>39</v>
      </c>
      <c r="H150" s="10" t="s">
        <v>55</v>
      </c>
      <c r="I150" s="105" t="s">
        <v>41</v>
      </c>
      <c r="J150" s="103">
        <v>0.66543981481481485</v>
      </c>
      <c r="K150" s="10">
        <v>701.8</v>
      </c>
      <c r="L150" s="10">
        <v>0.56000000000000005</v>
      </c>
      <c r="M150" s="10">
        <v>1462.4</v>
      </c>
      <c r="N150" s="10">
        <v>0.8</v>
      </c>
      <c r="O150" s="10">
        <v>49.8</v>
      </c>
      <c r="P150" s="10">
        <v>1</v>
      </c>
      <c r="Q150" s="11">
        <v>35</v>
      </c>
      <c r="R150" s="10" t="s">
        <v>46</v>
      </c>
    </row>
    <row r="151" spans="1:18" x14ac:dyDescent="0.2">
      <c r="A151" s="7">
        <v>2012</v>
      </c>
      <c r="B151" s="12">
        <v>41101</v>
      </c>
      <c r="C151" s="105" t="s">
        <v>35</v>
      </c>
      <c r="D151" s="105" t="s">
        <v>2</v>
      </c>
      <c r="E151" s="105" t="s">
        <v>8</v>
      </c>
      <c r="F151" s="105" t="s">
        <v>38</v>
      </c>
      <c r="G151" s="9" t="s">
        <v>39</v>
      </c>
      <c r="H151" s="10" t="s">
        <v>55</v>
      </c>
      <c r="I151" s="105" t="s">
        <v>41</v>
      </c>
      <c r="J151" s="103">
        <v>0.66561342592592598</v>
      </c>
      <c r="K151" s="10">
        <v>853.7</v>
      </c>
      <c r="L151" s="10">
        <v>0.44</v>
      </c>
      <c r="M151" s="10">
        <v>1470.9</v>
      </c>
      <c r="N151" s="10">
        <v>0.8</v>
      </c>
      <c r="O151" s="10">
        <v>49.8</v>
      </c>
      <c r="P151" s="10">
        <v>0.7</v>
      </c>
      <c r="Q151" s="11">
        <v>50</v>
      </c>
      <c r="R151" s="10" t="s">
        <v>46</v>
      </c>
    </row>
    <row r="152" spans="1:18" x14ac:dyDescent="0.2">
      <c r="A152" s="7">
        <v>2012</v>
      </c>
      <c r="B152" s="12">
        <v>41101</v>
      </c>
      <c r="C152" s="105" t="s">
        <v>35</v>
      </c>
      <c r="D152" s="105" t="s">
        <v>2</v>
      </c>
      <c r="E152" s="105" t="s">
        <v>8</v>
      </c>
      <c r="F152" s="105" t="s">
        <v>38</v>
      </c>
      <c r="G152" s="9" t="s">
        <v>39</v>
      </c>
      <c r="H152" s="10" t="s">
        <v>55</v>
      </c>
      <c r="I152" s="105" t="s">
        <v>41</v>
      </c>
      <c r="J152" s="103">
        <v>0.66576388888888893</v>
      </c>
      <c r="K152" s="10">
        <v>1091</v>
      </c>
      <c r="L152" s="10">
        <v>0.17</v>
      </c>
      <c r="M152" s="10">
        <v>1460</v>
      </c>
      <c r="N152" s="10">
        <v>0.8</v>
      </c>
      <c r="O152" s="10">
        <v>49.9</v>
      </c>
      <c r="P152" s="10">
        <v>0.4</v>
      </c>
      <c r="Q152" s="11">
        <v>65</v>
      </c>
      <c r="R152" s="10" t="s">
        <v>46</v>
      </c>
    </row>
    <row r="153" spans="1:18" x14ac:dyDescent="0.2">
      <c r="A153" s="7">
        <v>2012</v>
      </c>
      <c r="B153" s="12">
        <v>41101</v>
      </c>
      <c r="C153" s="105" t="s">
        <v>35</v>
      </c>
      <c r="D153" s="105" t="s">
        <v>2</v>
      </c>
      <c r="E153" s="105" t="s">
        <v>8</v>
      </c>
      <c r="F153" s="105" t="s">
        <v>38</v>
      </c>
      <c r="G153" s="9" t="s">
        <v>39</v>
      </c>
      <c r="H153" s="10" t="s">
        <v>55</v>
      </c>
      <c r="I153" s="105" t="s">
        <v>41</v>
      </c>
      <c r="J153" s="103">
        <v>0.66589120370370369</v>
      </c>
      <c r="K153" s="10">
        <v>1198.7</v>
      </c>
      <c r="L153" s="10">
        <v>0.02</v>
      </c>
      <c r="M153" s="10">
        <v>1474.6</v>
      </c>
      <c r="N153" s="10">
        <v>0.8</v>
      </c>
      <c r="O153" s="10">
        <v>49.9</v>
      </c>
      <c r="P153" s="10">
        <v>0.3</v>
      </c>
      <c r="Q153" s="11">
        <v>80</v>
      </c>
      <c r="R153" s="10" t="s">
        <v>46</v>
      </c>
    </row>
    <row r="154" spans="1:18" x14ac:dyDescent="0.2">
      <c r="A154" s="7">
        <v>2012</v>
      </c>
      <c r="B154" s="12">
        <v>41101</v>
      </c>
      <c r="C154" s="105" t="s">
        <v>35</v>
      </c>
      <c r="D154" s="105" t="s">
        <v>2</v>
      </c>
      <c r="E154" s="105" t="s">
        <v>8</v>
      </c>
      <c r="F154" s="105" t="s">
        <v>38</v>
      </c>
      <c r="G154" s="9" t="s">
        <v>39</v>
      </c>
      <c r="H154" s="10" t="s">
        <v>55</v>
      </c>
      <c r="I154" s="105" t="s">
        <v>41</v>
      </c>
      <c r="J154" s="103">
        <v>0.66604166666666664</v>
      </c>
      <c r="K154" s="10">
        <v>946.3</v>
      </c>
      <c r="L154" s="10">
        <v>0.23</v>
      </c>
      <c r="M154" s="10">
        <v>1486.8</v>
      </c>
      <c r="N154" s="10">
        <v>0.8</v>
      </c>
      <c r="O154" s="10">
        <v>49.9</v>
      </c>
      <c r="P154" s="10">
        <v>0.6</v>
      </c>
      <c r="Q154" s="11">
        <v>95</v>
      </c>
      <c r="R154" s="10" t="s">
        <v>46</v>
      </c>
    </row>
    <row r="155" spans="1:18" x14ac:dyDescent="0.2">
      <c r="A155" s="7">
        <v>2012</v>
      </c>
      <c r="B155" s="12">
        <v>41101</v>
      </c>
      <c r="C155" s="105" t="s">
        <v>35</v>
      </c>
      <c r="D155" s="105" t="s">
        <v>2</v>
      </c>
      <c r="E155" s="105" t="s">
        <v>8</v>
      </c>
      <c r="F155" s="105" t="s">
        <v>38</v>
      </c>
      <c r="G155" s="9" t="s">
        <v>39</v>
      </c>
      <c r="H155" s="10" t="s">
        <v>55</v>
      </c>
      <c r="I155" s="105" t="s">
        <v>41</v>
      </c>
      <c r="J155" s="103">
        <v>0.66644675925925922</v>
      </c>
      <c r="K155" s="10">
        <v>1190.7</v>
      </c>
      <c r="L155" s="10">
        <v>0.02</v>
      </c>
      <c r="M155" s="10">
        <v>1479.5</v>
      </c>
      <c r="N155" s="10">
        <v>0.8</v>
      </c>
      <c r="O155" s="10">
        <v>49.9</v>
      </c>
      <c r="P155" s="10">
        <v>0.3</v>
      </c>
      <c r="Q155" s="11" t="s">
        <v>50</v>
      </c>
      <c r="R155" s="10" t="s">
        <v>46</v>
      </c>
    </row>
    <row r="156" spans="1:18" x14ac:dyDescent="0.2">
      <c r="A156" s="7">
        <v>2012</v>
      </c>
      <c r="B156" s="12">
        <v>41101</v>
      </c>
      <c r="C156" s="105" t="s">
        <v>35</v>
      </c>
      <c r="D156" s="105" t="s">
        <v>2</v>
      </c>
      <c r="E156" s="105" t="s">
        <v>8</v>
      </c>
      <c r="F156" s="105" t="s">
        <v>38</v>
      </c>
      <c r="G156" s="9" t="s">
        <v>39</v>
      </c>
      <c r="H156" s="10" t="s">
        <v>55</v>
      </c>
      <c r="I156" s="105" t="s">
        <v>41</v>
      </c>
      <c r="J156" s="103">
        <v>0.66690972222222211</v>
      </c>
      <c r="K156" s="10">
        <v>276</v>
      </c>
      <c r="L156" s="10">
        <v>0.96</v>
      </c>
      <c r="M156" s="10">
        <v>1486.8</v>
      </c>
      <c r="N156" s="10">
        <v>0.8</v>
      </c>
      <c r="O156" s="10">
        <v>49.9</v>
      </c>
      <c r="P156" s="10">
        <v>2.4</v>
      </c>
      <c r="Q156" s="11">
        <v>5</v>
      </c>
      <c r="R156" s="10" t="s">
        <v>46</v>
      </c>
    </row>
    <row r="157" spans="1:18" x14ac:dyDescent="0.2">
      <c r="A157" s="7">
        <v>2012</v>
      </c>
      <c r="B157" s="12">
        <v>41101</v>
      </c>
      <c r="C157" s="105" t="s">
        <v>35</v>
      </c>
      <c r="D157" s="105" t="s">
        <v>2</v>
      </c>
      <c r="E157" s="105" t="s">
        <v>8</v>
      </c>
      <c r="F157" s="105" t="s">
        <v>38</v>
      </c>
      <c r="G157" s="9" t="s">
        <v>39</v>
      </c>
      <c r="H157" s="10" t="s">
        <v>55</v>
      </c>
      <c r="I157" s="105" t="s">
        <v>41</v>
      </c>
      <c r="J157" s="103">
        <v>0.66732638888888884</v>
      </c>
      <c r="K157" s="10">
        <v>405.9</v>
      </c>
      <c r="L157" s="10">
        <v>0.88</v>
      </c>
      <c r="M157" s="10">
        <v>1486.8</v>
      </c>
      <c r="N157" s="10">
        <v>0.8</v>
      </c>
      <c r="O157" s="10">
        <v>50</v>
      </c>
      <c r="P157" s="10">
        <v>1.8</v>
      </c>
      <c r="Q157" s="11">
        <v>20</v>
      </c>
      <c r="R157" s="10" t="s">
        <v>46</v>
      </c>
    </row>
    <row r="158" spans="1:18" x14ac:dyDescent="0.2">
      <c r="A158" s="7">
        <v>2012</v>
      </c>
      <c r="B158" s="12">
        <v>41101</v>
      </c>
      <c r="C158" s="105" t="s">
        <v>35</v>
      </c>
      <c r="D158" s="105" t="s">
        <v>2</v>
      </c>
      <c r="E158" s="105" t="s">
        <v>8</v>
      </c>
      <c r="F158" s="105" t="s">
        <v>38</v>
      </c>
      <c r="G158" s="9" t="s">
        <v>39</v>
      </c>
      <c r="H158" s="10" t="s">
        <v>55</v>
      </c>
      <c r="I158" s="105" t="s">
        <v>41</v>
      </c>
      <c r="J158" s="103">
        <v>0.66766203703703697</v>
      </c>
      <c r="K158" s="10">
        <v>521.6</v>
      </c>
      <c r="L158" s="10">
        <v>0.67</v>
      </c>
      <c r="M158" s="10">
        <v>1485.6</v>
      </c>
      <c r="N158" s="10">
        <v>0.8</v>
      </c>
      <c r="O158" s="10">
        <v>50</v>
      </c>
      <c r="P158" s="10">
        <v>1.4</v>
      </c>
      <c r="Q158" s="11">
        <v>35</v>
      </c>
      <c r="R158" s="10" t="s">
        <v>46</v>
      </c>
    </row>
    <row r="159" spans="1:18" x14ac:dyDescent="0.2">
      <c r="A159" s="7">
        <v>2012</v>
      </c>
      <c r="B159" s="12">
        <v>41101</v>
      </c>
      <c r="C159" s="105" t="s">
        <v>35</v>
      </c>
      <c r="D159" s="105" t="s">
        <v>2</v>
      </c>
      <c r="E159" s="105" t="s">
        <v>8</v>
      </c>
      <c r="F159" s="105" t="s">
        <v>38</v>
      </c>
      <c r="G159" s="9" t="s">
        <v>39</v>
      </c>
      <c r="H159" s="10" t="s">
        <v>55</v>
      </c>
      <c r="I159" s="105" t="s">
        <v>41</v>
      </c>
      <c r="J159" s="103">
        <v>0.6677777777777778</v>
      </c>
      <c r="K159" s="10">
        <v>875.9</v>
      </c>
      <c r="L159" s="10">
        <v>0.4</v>
      </c>
      <c r="M159" s="10">
        <v>1481.9</v>
      </c>
      <c r="N159" s="10">
        <v>0.8</v>
      </c>
      <c r="O159" s="10">
        <v>50</v>
      </c>
      <c r="P159" s="10">
        <v>0.7</v>
      </c>
      <c r="Q159" s="11">
        <v>50</v>
      </c>
      <c r="R159" s="10" t="s">
        <v>46</v>
      </c>
    </row>
    <row r="160" spans="1:18" x14ac:dyDescent="0.2">
      <c r="A160" s="7">
        <v>2012</v>
      </c>
      <c r="B160" s="12">
        <v>41101</v>
      </c>
      <c r="C160" s="105" t="s">
        <v>35</v>
      </c>
      <c r="D160" s="105" t="s">
        <v>2</v>
      </c>
      <c r="E160" s="105" t="s">
        <v>8</v>
      </c>
      <c r="F160" s="105" t="s">
        <v>38</v>
      </c>
      <c r="G160" s="9" t="s">
        <v>39</v>
      </c>
      <c r="H160" s="10" t="s">
        <v>55</v>
      </c>
      <c r="I160" s="105" t="s">
        <v>41</v>
      </c>
      <c r="J160" s="103">
        <v>0.66787037037037045</v>
      </c>
      <c r="K160" s="10">
        <v>1129</v>
      </c>
      <c r="L160" s="10">
        <v>0.15</v>
      </c>
      <c r="M160" s="10">
        <v>1479.5</v>
      </c>
      <c r="N160" s="10">
        <v>0.8</v>
      </c>
      <c r="O160" s="10">
        <v>50</v>
      </c>
      <c r="P160" s="10">
        <v>0.4</v>
      </c>
      <c r="Q160" s="11">
        <v>65</v>
      </c>
      <c r="R160" s="10" t="s">
        <v>46</v>
      </c>
    </row>
    <row r="161" spans="1:18" x14ac:dyDescent="0.2">
      <c r="A161" s="7">
        <v>2012</v>
      </c>
      <c r="B161" s="12">
        <v>41101</v>
      </c>
      <c r="C161" s="105" t="s">
        <v>35</v>
      </c>
      <c r="D161" s="105" t="s">
        <v>2</v>
      </c>
      <c r="E161" s="105" t="s">
        <v>8</v>
      </c>
      <c r="F161" s="105" t="s">
        <v>38</v>
      </c>
      <c r="G161" s="9" t="s">
        <v>39</v>
      </c>
      <c r="H161" s="10" t="s">
        <v>55</v>
      </c>
      <c r="I161" s="105" t="s">
        <v>41</v>
      </c>
      <c r="J161" s="103">
        <v>0.6680787037037037</v>
      </c>
      <c r="K161" s="10">
        <v>1180.0999999999999</v>
      </c>
      <c r="L161" s="10">
        <v>0.02</v>
      </c>
      <c r="M161" s="10">
        <v>1481.9</v>
      </c>
      <c r="N161" s="10">
        <v>0.8</v>
      </c>
      <c r="O161" s="10">
        <v>50</v>
      </c>
      <c r="P161" s="10">
        <v>0.3</v>
      </c>
      <c r="Q161" s="11">
        <v>80</v>
      </c>
      <c r="R161" s="10" t="s">
        <v>46</v>
      </c>
    </row>
    <row r="162" spans="1:18" x14ac:dyDescent="0.2">
      <c r="A162" s="7">
        <v>2012</v>
      </c>
      <c r="B162" s="12">
        <v>41101</v>
      </c>
      <c r="C162" s="105" t="s">
        <v>35</v>
      </c>
      <c r="D162" s="105" t="s">
        <v>2</v>
      </c>
      <c r="E162" s="105" t="s">
        <v>8</v>
      </c>
      <c r="F162" s="105" t="s">
        <v>38</v>
      </c>
      <c r="G162" s="9" t="s">
        <v>39</v>
      </c>
      <c r="H162" s="10" t="s">
        <v>55</v>
      </c>
      <c r="I162" s="105" t="s">
        <v>41</v>
      </c>
      <c r="J162" s="103">
        <v>0.66862268518518519</v>
      </c>
      <c r="K162" s="10">
        <v>190.3</v>
      </c>
      <c r="L162" s="10">
        <v>0.96</v>
      </c>
      <c r="M162" s="10">
        <v>1473.4</v>
      </c>
      <c r="N162" s="10">
        <v>0.8</v>
      </c>
      <c r="O162" s="10">
        <v>50.1</v>
      </c>
      <c r="P162" s="10">
        <v>2.9</v>
      </c>
      <c r="Q162" s="11">
        <v>5</v>
      </c>
      <c r="R162" s="10" t="s">
        <v>46</v>
      </c>
    </row>
    <row r="163" spans="1:18" x14ac:dyDescent="0.2">
      <c r="A163" s="7">
        <v>2012</v>
      </c>
      <c r="B163" s="12">
        <v>41101</v>
      </c>
      <c r="C163" s="105" t="s">
        <v>35</v>
      </c>
      <c r="D163" s="105" t="s">
        <v>2</v>
      </c>
      <c r="E163" s="105" t="s">
        <v>8</v>
      </c>
      <c r="F163" s="105" t="s">
        <v>38</v>
      </c>
      <c r="G163" s="9" t="s">
        <v>39</v>
      </c>
      <c r="H163" s="10" t="s">
        <v>55</v>
      </c>
      <c r="I163" s="105" t="s">
        <v>41</v>
      </c>
      <c r="J163" s="103">
        <v>0.66880787037037026</v>
      </c>
      <c r="K163" s="10">
        <v>287.89999999999998</v>
      </c>
      <c r="L163" s="10">
        <v>0.92</v>
      </c>
      <c r="M163" s="10">
        <v>1469.7</v>
      </c>
      <c r="N163" s="10">
        <v>0.8</v>
      </c>
      <c r="O163" s="10">
        <v>50.1</v>
      </c>
      <c r="P163" s="10">
        <v>2.2999999999999998</v>
      </c>
      <c r="Q163" s="11">
        <v>20</v>
      </c>
      <c r="R163" s="10" t="s">
        <v>46</v>
      </c>
    </row>
    <row r="164" spans="1:18" x14ac:dyDescent="0.2">
      <c r="A164" s="7">
        <v>2012</v>
      </c>
      <c r="B164" s="12">
        <v>41101</v>
      </c>
      <c r="C164" s="105" t="s">
        <v>35</v>
      </c>
      <c r="D164" s="105" t="s">
        <v>2</v>
      </c>
      <c r="E164" s="105" t="s">
        <v>8</v>
      </c>
      <c r="F164" s="105" t="s">
        <v>38</v>
      </c>
      <c r="G164" s="9" t="s">
        <v>39</v>
      </c>
      <c r="H164" s="10" t="s">
        <v>55</v>
      </c>
      <c r="I164" s="105" t="s">
        <v>41</v>
      </c>
      <c r="J164" s="103">
        <v>0.66901620370370374</v>
      </c>
      <c r="K164" s="10">
        <v>441</v>
      </c>
      <c r="L164" s="10">
        <v>0.68</v>
      </c>
      <c r="M164" s="10">
        <v>1467.3</v>
      </c>
      <c r="N164" s="10">
        <v>0.8</v>
      </c>
      <c r="O164" s="10">
        <v>50.1</v>
      </c>
      <c r="P164" s="10">
        <v>1.7</v>
      </c>
      <c r="Q164" s="11">
        <v>35</v>
      </c>
      <c r="R164" s="10" t="s">
        <v>46</v>
      </c>
    </row>
    <row r="165" spans="1:18" x14ac:dyDescent="0.2">
      <c r="A165" s="7">
        <v>2012</v>
      </c>
      <c r="B165" s="12">
        <v>41101</v>
      </c>
      <c r="C165" s="105" t="s">
        <v>35</v>
      </c>
      <c r="D165" s="105" t="s">
        <v>2</v>
      </c>
      <c r="E165" s="105" t="s">
        <v>8</v>
      </c>
      <c r="F165" s="105" t="s">
        <v>38</v>
      </c>
      <c r="G165" s="9" t="s">
        <v>39</v>
      </c>
      <c r="H165" s="10" t="s">
        <v>55</v>
      </c>
      <c r="I165" s="105" t="s">
        <v>41</v>
      </c>
      <c r="J165" s="103">
        <v>0.66915509259259265</v>
      </c>
      <c r="K165" s="10">
        <v>881.4</v>
      </c>
      <c r="L165" s="10">
        <v>0.43</v>
      </c>
      <c r="M165" s="10">
        <v>1464.8</v>
      </c>
      <c r="N165" s="10">
        <v>0.8</v>
      </c>
      <c r="O165" s="10">
        <v>50.1</v>
      </c>
      <c r="P165" s="10">
        <v>0.7</v>
      </c>
      <c r="Q165" s="11">
        <v>50</v>
      </c>
      <c r="R165" s="10" t="s">
        <v>46</v>
      </c>
    </row>
    <row r="166" spans="1:18" x14ac:dyDescent="0.2">
      <c r="A166" s="7">
        <v>2012</v>
      </c>
      <c r="B166" s="12">
        <v>41101</v>
      </c>
      <c r="C166" s="105" t="s">
        <v>35</v>
      </c>
      <c r="D166" s="105" t="s">
        <v>2</v>
      </c>
      <c r="E166" s="105" t="s">
        <v>8</v>
      </c>
      <c r="F166" s="105" t="s">
        <v>38</v>
      </c>
      <c r="G166" s="9" t="s">
        <v>39</v>
      </c>
      <c r="H166" s="10" t="s">
        <v>55</v>
      </c>
      <c r="I166" s="105" t="s">
        <v>41</v>
      </c>
      <c r="J166" s="103">
        <v>0.66924768518518529</v>
      </c>
      <c r="K166" s="10">
        <v>1010.8</v>
      </c>
      <c r="L166" s="10">
        <v>0.31</v>
      </c>
      <c r="M166" s="10">
        <v>1462.4</v>
      </c>
      <c r="N166" s="10">
        <v>0.8</v>
      </c>
      <c r="O166" s="10">
        <v>50.1</v>
      </c>
      <c r="P166" s="10">
        <v>0.5</v>
      </c>
      <c r="Q166" s="11">
        <v>65</v>
      </c>
      <c r="R166" s="10" t="s">
        <v>46</v>
      </c>
    </row>
    <row r="167" spans="1:18" x14ac:dyDescent="0.2">
      <c r="A167" s="7">
        <v>2012</v>
      </c>
      <c r="B167" s="12">
        <v>41101</v>
      </c>
      <c r="C167" s="105" t="s">
        <v>35</v>
      </c>
      <c r="D167" s="105" t="s">
        <v>2</v>
      </c>
      <c r="E167" s="105" t="s">
        <v>8</v>
      </c>
      <c r="F167" s="105" t="s">
        <v>38</v>
      </c>
      <c r="G167" s="9" t="s">
        <v>39</v>
      </c>
      <c r="H167" s="10" t="s">
        <v>55</v>
      </c>
      <c r="I167" s="105" t="s">
        <v>41</v>
      </c>
      <c r="J167" s="103">
        <v>0.66938657407407398</v>
      </c>
      <c r="K167" s="10">
        <v>1165.4000000000001</v>
      </c>
      <c r="L167" s="10">
        <v>0.03</v>
      </c>
      <c r="M167" s="10">
        <v>1460</v>
      </c>
      <c r="N167" s="10">
        <v>0.8</v>
      </c>
      <c r="O167" s="10">
        <v>50.1</v>
      </c>
      <c r="P167" s="10">
        <v>0.3</v>
      </c>
      <c r="Q167" s="11">
        <v>80</v>
      </c>
      <c r="R167" s="10" t="s">
        <v>46</v>
      </c>
    </row>
    <row r="168" spans="1:18" x14ac:dyDescent="0.2">
      <c r="A168" s="7">
        <v>2012</v>
      </c>
      <c r="B168" s="12">
        <v>41101</v>
      </c>
      <c r="C168" s="105" t="s">
        <v>35</v>
      </c>
      <c r="D168" s="105" t="s">
        <v>2</v>
      </c>
      <c r="E168" s="105" t="s">
        <v>8</v>
      </c>
      <c r="F168" s="105" t="s">
        <v>38</v>
      </c>
      <c r="G168" s="9" t="s">
        <v>39</v>
      </c>
      <c r="H168" s="10" t="s">
        <v>55</v>
      </c>
      <c r="I168" s="105" t="s">
        <v>41</v>
      </c>
      <c r="J168" s="103">
        <v>0.66952546296296289</v>
      </c>
      <c r="K168" s="10">
        <v>1161</v>
      </c>
      <c r="L168" s="10">
        <v>0.03</v>
      </c>
      <c r="M168" s="10">
        <v>1462.4</v>
      </c>
      <c r="N168" s="10">
        <v>0.8</v>
      </c>
      <c r="O168" s="10">
        <v>50.2</v>
      </c>
      <c r="P168" s="10">
        <v>0.3</v>
      </c>
      <c r="Q168" s="11">
        <v>95</v>
      </c>
      <c r="R168" s="10" t="s">
        <v>46</v>
      </c>
    </row>
    <row r="169" spans="1:18" x14ac:dyDescent="0.2">
      <c r="A169" s="7">
        <v>2012</v>
      </c>
      <c r="B169" s="104">
        <v>41099</v>
      </c>
      <c r="C169" s="105" t="s">
        <v>35</v>
      </c>
      <c r="D169" s="105" t="s">
        <v>2</v>
      </c>
      <c r="E169" s="105" t="s">
        <v>9</v>
      </c>
      <c r="F169" s="105" t="s">
        <v>38</v>
      </c>
      <c r="G169" s="9" t="s">
        <v>39</v>
      </c>
      <c r="H169" s="10" t="s">
        <v>55</v>
      </c>
      <c r="I169" s="3" t="s">
        <v>4</v>
      </c>
      <c r="J169" s="102">
        <v>0.55245370370370372</v>
      </c>
      <c r="K169" s="7">
        <v>58.1</v>
      </c>
      <c r="L169" s="7">
        <v>0.34</v>
      </c>
      <c r="M169" s="7">
        <v>539.6</v>
      </c>
      <c r="N169" s="7">
        <v>0.18</v>
      </c>
      <c r="O169" s="7">
        <v>47</v>
      </c>
      <c r="P169" s="7">
        <v>3.3</v>
      </c>
      <c r="Q169" s="6">
        <v>5</v>
      </c>
      <c r="R169" s="7" t="s">
        <v>0</v>
      </c>
    </row>
    <row r="170" spans="1:18" x14ac:dyDescent="0.2">
      <c r="A170" s="7">
        <v>2012</v>
      </c>
      <c r="B170" s="104">
        <v>41099</v>
      </c>
      <c r="C170" s="105" t="s">
        <v>35</v>
      </c>
      <c r="D170" s="105" t="s">
        <v>2</v>
      </c>
      <c r="E170" s="105" t="s">
        <v>9</v>
      </c>
      <c r="F170" s="105" t="s">
        <v>38</v>
      </c>
      <c r="G170" s="9" t="s">
        <v>39</v>
      </c>
      <c r="H170" s="10" t="s">
        <v>55</v>
      </c>
      <c r="I170" s="3" t="s">
        <v>4</v>
      </c>
      <c r="J170" s="102">
        <v>0.55267361111111113</v>
      </c>
      <c r="K170" s="7">
        <v>95.7</v>
      </c>
      <c r="L170" s="7">
        <v>0.46</v>
      </c>
      <c r="M170" s="7">
        <v>653.1</v>
      </c>
      <c r="N170" s="7">
        <v>0.32</v>
      </c>
      <c r="O170" s="7">
        <v>47</v>
      </c>
      <c r="P170" s="7">
        <v>2.8</v>
      </c>
      <c r="Q170" s="6">
        <v>20</v>
      </c>
      <c r="R170" s="7" t="s">
        <v>0</v>
      </c>
    </row>
    <row r="171" spans="1:18" x14ac:dyDescent="0.2">
      <c r="A171" s="7">
        <v>2012</v>
      </c>
      <c r="B171" s="104">
        <v>41099</v>
      </c>
      <c r="C171" s="105" t="s">
        <v>35</v>
      </c>
      <c r="D171" s="105" t="s">
        <v>2</v>
      </c>
      <c r="E171" s="105" t="s">
        <v>9</v>
      </c>
      <c r="F171" s="105" t="s">
        <v>38</v>
      </c>
      <c r="G171" s="9" t="s">
        <v>39</v>
      </c>
      <c r="H171" s="10" t="s">
        <v>55</v>
      </c>
      <c r="I171" s="3" t="s">
        <v>4</v>
      </c>
      <c r="J171" s="102">
        <v>0.55289351851851853</v>
      </c>
      <c r="K171" s="7">
        <v>138.5</v>
      </c>
      <c r="L171" s="7">
        <v>0.41</v>
      </c>
      <c r="M171" s="7">
        <v>710.4</v>
      </c>
      <c r="N171" s="7">
        <v>0.38</v>
      </c>
      <c r="O171" s="7">
        <v>47</v>
      </c>
      <c r="P171" s="7">
        <v>2.4</v>
      </c>
      <c r="Q171" s="6">
        <v>35</v>
      </c>
      <c r="R171" s="7" t="s">
        <v>0</v>
      </c>
    </row>
    <row r="172" spans="1:18" x14ac:dyDescent="0.2">
      <c r="A172" s="7">
        <v>2012</v>
      </c>
      <c r="B172" s="104">
        <v>41099</v>
      </c>
      <c r="C172" s="105" t="s">
        <v>35</v>
      </c>
      <c r="D172" s="105" t="s">
        <v>2</v>
      </c>
      <c r="E172" s="105" t="s">
        <v>9</v>
      </c>
      <c r="F172" s="105" t="s">
        <v>38</v>
      </c>
      <c r="G172" s="9" t="s">
        <v>39</v>
      </c>
      <c r="H172" s="10" t="s">
        <v>55</v>
      </c>
      <c r="I172" s="3" t="s">
        <v>4</v>
      </c>
      <c r="J172" s="102">
        <v>0.5533217592592593</v>
      </c>
      <c r="K172" s="7">
        <v>210.6</v>
      </c>
      <c r="L172" s="7">
        <v>0.6</v>
      </c>
      <c r="M172" s="7">
        <v>1358.6</v>
      </c>
      <c r="N172" s="7">
        <v>0.67</v>
      </c>
      <c r="O172" s="7">
        <v>47</v>
      </c>
      <c r="P172" s="7">
        <v>2.7</v>
      </c>
      <c r="Q172" s="6">
        <v>50</v>
      </c>
      <c r="R172" s="7" t="s">
        <v>46</v>
      </c>
    </row>
    <row r="173" spans="1:18" x14ac:dyDescent="0.2">
      <c r="A173" s="7">
        <v>2012</v>
      </c>
      <c r="B173" s="104">
        <v>41099</v>
      </c>
      <c r="C173" s="105" t="s">
        <v>35</v>
      </c>
      <c r="D173" s="105" t="s">
        <v>2</v>
      </c>
      <c r="E173" s="105" t="s">
        <v>9</v>
      </c>
      <c r="F173" s="105" t="s">
        <v>38</v>
      </c>
      <c r="G173" s="9" t="s">
        <v>39</v>
      </c>
      <c r="H173" s="10" t="s">
        <v>55</v>
      </c>
      <c r="I173" s="3" t="s">
        <v>4</v>
      </c>
      <c r="J173" s="102">
        <v>0.55356481481481479</v>
      </c>
      <c r="K173" s="7">
        <v>387.1</v>
      </c>
      <c r="L173" s="7">
        <v>0.52</v>
      </c>
      <c r="M173" s="7">
        <v>993.7</v>
      </c>
      <c r="N173" s="7">
        <v>0.56999999999999995</v>
      </c>
      <c r="O173" s="7">
        <v>47</v>
      </c>
      <c r="P173" s="7">
        <v>1.3</v>
      </c>
      <c r="Q173" s="6">
        <v>65</v>
      </c>
      <c r="R173" s="7" t="s">
        <v>46</v>
      </c>
    </row>
    <row r="174" spans="1:18" x14ac:dyDescent="0.2">
      <c r="A174" s="7">
        <v>2012</v>
      </c>
      <c r="B174" s="104">
        <v>41099</v>
      </c>
      <c r="C174" s="105" t="s">
        <v>35</v>
      </c>
      <c r="D174" s="105" t="s">
        <v>2</v>
      </c>
      <c r="E174" s="105" t="s">
        <v>9</v>
      </c>
      <c r="F174" s="105" t="s">
        <v>38</v>
      </c>
      <c r="G174" s="9" t="s">
        <v>39</v>
      </c>
      <c r="H174" s="10" t="s">
        <v>55</v>
      </c>
      <c r="I174" s="3" t="s">
        <v>4</v>
      </c>
      <c r="J174" s="102">
        <v>0.55374999999999996</v>
      </c>
      <c r="K174" s="7">
        <v>834.1</v>
      </c>
      <c r="L174" s="7">
        <v>0.18</v>
      </c>
      <c r="M174" s="7">
        <v>1068.0999999999999</v>
      </c>
      <c r="N174" s="7">
        <v>0.6</v>
      </c>
      <c r="O174" s="7">
        <v>46.9</v>
      </c>
      <c r="P174" s="7">
        <v>0.3</v>
      </c>
      <c r="Q174" s="6">
        <v>80</v>
      </c>
      <c r="R174" s="7" t="s">
        <v>0</v>
      </c>
    </row>
    <row r="175" spans="1:18" x14ac:dyDescent="0.2">
      <c r="A175" s="7">
        <v>2012</v>
      </c>
      <c r="B175" s="104">
        <v>41099</v>
      </c>
      <c r="C175" s="105" t="s">
        <v>35</v>
      </c>
      <c r="D175" s="105" t="s">
        <v>2</v>
      </c>
      <c r="E175" s="105" t="s">
        <v>9</v>
      </c>
      <c r="F175" s="105" t="s">
        <v>38</v>
      </c>
      <c r="G175" s="9" t="s">
        <v>39</v>
      </c>
      <c r="H175" s="10" t="s">
        <v>55</v>
      </c>
      <c r="I175" s="3" t="s">
        <v>4</v>
      </c>
      <c r="J175" s="102">
        <v>0.55393518518518514</v>
      </c>
      <c r="K175" s="7">
        <v>478.2</v>
      </c>
      <c r="L175" s="7">
        <v>0.03</v>
      </c>
      <c r="M175" s="7">
        <v>610.4</v>
      </c>
      <c r="N175" s="7">
        <v>0.32</v>
      </c>
      <c r="O175" s="7">
        <v>46.9</v>
      </c>
      <c r="P175" s="7">
        <v>0.3</v>
      </c>
      <c r="Q175" s="6">
        <v>95</v>
      </c>
      <c r="R175" s="7" t="s">
        <v>0</v>
      </c>
    </row>
    <row r="176" spans="1:18" x14ac:dyDescent="0.2">
      <c r="A176" s="7">
        <v>2012</v>
      </c>
      <c r="B176" s="104">
        <v>41099</v>
      </c>
      <c r="C176" s="105" t="s">
        <v>35</v>
      </c>
      <c r="D176" s="105" t="s">
        <v>2</v>
      </c>
      <c r="E176" s="105" t="s">
        <v>9</v>
      </c>
      <c r="F176" s="105" t="s">
        <v>38</v>
      </c>
      <c r="G176" s="9" t="s">
        <v>39</v>
      </c>
      <c r="H176" s="10" t="s">
        <v>55</v>
      </c>
      <c r="I176" s="3" t="s">
        <v>4</v>
      </c>
      <c r="J176" s="102">
        <v>0.55435185185185187</v>
      </c>
      <c r="K176" s="7">
        <v>455.2</v>
      </c>
      <c r="L176" s="7">
        <v>0.02</v>
      </c>
      <c r="M176" s="7">
        <v>567.6</v>
      </c>
      <c r="N176" s="7">
        <v>0.27</v>
      </c>
      <c r="O176" s="7">
        <v>46.9</v>
      </c>
      <c r="P176" s="7">
        <v>0.3</v>
      </c>
      <c r="Q176" s="6">
        <v>110</v>
      </c>
      <c r="R176" s="7" t="s">
        <v>0</v>
      </c>
    </row>
    <row r="177" spans="1:18" x14ac:dyDescent="0.2">
      <c r="A177" s="7">
        <v>2012</v>
      </c>
      <c r="B177" s="104">
        <v>41099</v>
      </c>
      <c r="C177" s="105" t="s">
        <v>35</v>
      </c>
      <c r="D177" s="105" t="s">
        <v>2</v>
      </c>
      <c r="E177" s="105" t="s">
        <v>9</v>
      </c>
      <c r="F177" s="105" t="s">
        <v>38</v>
      </c>
      <c r="G177" s="9" t="s">
        <v>39</v>
      </c>
      <c r="H177" s="10" t="s">
        <v>55</v>
      </c>
      <c r="I177" s="3" t="s">
        <v>4</v>
      </c>
      <c r="J177" s="102">
        <v>0.55658564814814815</v>
      </c>
      <c r="K177" s="7">
        <v>125.9</v>
      </c>
      <c r="L177" s="7">
        <v>1.24</v>
      </c>
      <c r="M177" s="7">
        <v>1772.5</v>
      </c>
      <c r="N177" s="7">
        <v>0.76</v>
      </c>
      <c r="O177" s="7">
        <v>46.9</v>
      </c>
      <c r="P177" s="7">
        <v>3.9</v>
      </c>
      <c r="Q177" s="6">
        <v>5</v>
      </c>
      <c r="R177" s="7" t="s">
        <v>46</v>
      </c>
    </row>
    <row r="178" spans="1:18" x14ac:dyDescent="0.2">
      <c r="A178" s="7">
        <v>2012</v>
      </c>
      <c r="B178" s="104">
        <v>41099</v>
      </c>
      <c r="C178" s="105" t="s">
        <v>35</v>
      </c>
      <c r="D178" s="105" t="s">
        <v>2</v>
      </c>
      <c r="E178" s="105" t="s">
        <v>9</v>
      </c>
      <c r="F178" s="105" t="s">
        <v>38</v>
      </c>
      <c r="G178" s="9" t="s">
        <v>39</v>
      </c>
      <c r="H178" s="10" t="s">
        <v>55</v>
      </c>
      <c r="I178" s="3" t="s">
        <v>4</v>
      </c>
      <c r="J178" s="102">
        <v>0.55687500000000001</v>
      </c>
      <c r="K178" s="7">
        <v>46.4</v>
      </c>
      <c r="L178" s="7">
        <v>0.15</v>
      </c>
      <c r="M178" s="7">
        <v>734.9</v>
      </c>
      <c r="N178" s="7">
        <v>0.11</v>
      </c>
      <c r="O178" s="7">
        <v>46.8</v>
      </c>
      <c r="P178" s="7">
        <v>4.3</v>
      </c>
      <c r="Q178" s="6">
        <v>5</v>
      </c>
      <c r="R178" s="7" t="s">
        <v>0</v>
      </c>
    </row>
    <row r="179" spans="1:18" x14ac:dyDescent="0.2">
      <c r="A179" s="7">
        <v>2012</v>
      </c>
      <c r="B179" s="104">
        <v>41099</v>
      </c>
      <c r="C179" s="105" t="s">
        <v>35</v>
      </c>
      <c r="D179" s="105" t="s">
        <v>2</v>
      </c>
      <c r="E179" s="105" t="s">
        <v>9</v>
      </c>
      <c r="F179" s="105" t="s">
        <v>38</v>
      </c>
      <c r="G179" s="9" t="s">
        <v>39</v>
      </c>
      <c r="H179" s="10" t="s">
        <v>55</v>
      </c>
      <c r="I179" s="3" t="s">
        <v>4</v>
      </c>
      <c r="J179" s="102">
        <v>0.55715277777777772</v>
      </c>
      <c r="K179" s="7">
        <v>326.39999999999998</v>
      </c>
      <c r="L179" s="7">
        <v>0.9</v>
      </c>
      <c r="M179" s="7">
        <v>1774.9</v>
      </c>
      <c r="N179" s="7">
        <v>0.77</v>
      </c>
      <c r="O179" s="7">
        <v>46.8</v>
      </c>
      <c r="P179" s="7">
        <v>2.5</v>
      </c>
      <c r="Q179" s="6">
        <v>20</v>
      </c>
      <c r="R179" s="7" t="s">
        <v>46</v>
      </c>
    </row>
    <row r="180" spans="1:18" x14ac:dyDescent="0.2">
      <c r="A180" s="7">
        <v>2012</v>
      </c>
      <c r="B180" s="104">
        <v>41099</v>
      </c>
      <c r="C180" s="105" t="s">
        <v>35</v>
      </c>
      <c r="D180" s="105" t="s">
        <v>2</v>
      </c>
      <c r="E180" s="105" t="s">
        <v>9</v>
      </c>
      <c r="F180" s="105" t="s">
        <v>38</v>
      </c>
      <c r="G180" s="9" t="s">
        <v>39</v>
      </c>
      <c r="H180" s="10" t="s">
        <v>55</v>
      </c>
      <c r="I180" s="3" t="s">
        <v>4</v>
      </c>
      <c r="J180" s="102">
        <v>0.55726851851851855</v>
      </c>
      <c r="K180" s="7">
        <v>74.599999999999994</v>
      </c>
      <c r="L180" s="7">
        <v>0.14000000000000001</v>
      </c>
      <c r="M180" s="7">
        <v>683.6</v>
      </c>
      <c r="N180" s="7">
        <v>0.06</v>
      </c>
      <c r="O180" s="7">
        <v>46.8</v>
      </c>
      <c r="P180" s="7">
        <v>3.3</v>
      </c>
      <c r="Q180" s="6">
        <v>20</v>
      </c>
      <c r="R180" s="7" t="s">
        <v>0</v>
      </c>
    </row>
    <row r="181" spans="1:18" x14ac:dyDescent="0.2">
      <c r="A181" s="7">
        <v>2012</v>
      </c>
      <c r="B181" s="104">
        <v>41099</v>
      </c>
      <c r="C181" s="105" t="s">
        <v>35</v>
      </c>
      <c r="D181" s="105" t="s">
        <v>2</v>
      </c>
      <c r="E181" s="105" t="s">
        <v>9</v>
      </c>
      <c r="F181" s="105" t="s">
        <v>38</v>
      </c>
      <c r="G181" s="9" t="s">
        <v>39</v>
      </c>
      <c r="H181" s="10" t="s">
        <v>55</v>
      </c>
      <c r="I181" s="3" t="s">
        <v>4</v>
      </c>
      <c r="J181" s="102">
        <v>0.5575</v>
      </c>
      <c r="K181" s="7">
        <v>404.1</v>
      </c>
      <c r="L181" s="7">
        <v>0.85</v>
      </c>
      <c r="M181" s="7">
        <v>1770</v>
      </c>
      <c r="N181" s="7">
        <v>0.77</v>
      </c>
      <c r="O181" s="7">
        <v>46.8</v>
      </c>
      <c r="P181" s="7">
        <v>2.1</v>
      </c>
      <c r="Q181" s="6">
        <v>35</v>
      </c>
      <c r="R181" s="7" t="s">
        <v>46</v>
      </c>
    </row>
    <row r="182" spans="1:18" x14ac:dyDescent="0.2">
      <c r="A182" s="7">
        <v>2012</v>
      </c>
      <c r="B182" s="104">
        <v>41099</v>
      </c>
      <c r="C182" s="105" t="s">
        <v>35</v>
      </c>
      <c r="D182" s="105" t="s">
        <v>2</v>
      </c>
      <c r="E182" s="105" t="s">
        <v>9</v>
      </c>
      <c r="F182" s="105" t="s">
        <v>38</v>
      </c>
      <c r="G182" s="9" t="s">
        <v>39</v>
      </c>
      <c r="H182" s="10" t="s">
        <v>55</v>
      </c>
      <c r="I182" s="3" t="s">
        <v>4</v>
      </c>
      <c r="J182" s="102">
        <v>0.55767361111111113</v>
      </c>
      <c r="K182" s="7">
        <v>74.7</v>
      </c>
      <c r="L182" s="7">
        <v>0.13</v>
      </c>
      <c r="M182" s="7">
        <v>573.70000000000005</v>
      </c>
      <c r="N182" s="7">
        <v>0.14000000000000001</v>
      </c>
      <c r="O182" s="7">
        <v>46.8</v>
      </c>
      <c r="P182" s="7">
        <v>3</v>
      </c>
      <c r="Q182" s="6">
        <v>35</v>
      </c>
      <c r="R182" s="7" t="s">
        <v>0</v>
      </c>
    </row>
    <row r="183" spans="1:18" x14ac:dyDescent="0.2">
      <c r="A183" s="7">
        <v>2012</v>
      </c>
      <c r="B183" s="104">
        <v>41099</v>
      </c>
      <c r="C183" s="105" t="s">
        <v>35</v>
      </c>
      <c r="D183" s="105" t="s">
        <v>2</v>
      </c>
      <c r="E183" s="105" t="s">
        <v>9</v>
      </c>
      <c r="F183" s="105" t="s">
        <v>38</v>
      </c>
      <c r="G183" s="9" t="s">
        <v>39</v>
      </c>
      <c r="H183" s="10" t="s">
        <v>55</v>
      </c>
      <c r="I183" s="3" t="s">
        <v>4</v>
      </c>
      <c r="J183" s="102">
        <v>0.55784722222222227</v>
      </c>
      <c r="K183" s="7">
        <v>357.7</v>
      </c>
      <c r="L183" s="7">
        <v>1.07</v>
      </c>
      <c r="M183" s="7">
        <v>1765.1</v>
      </c>
      <c r="N183" s="7">
        <v>0.77</v>
      </c>
      <c r="O183" s="7">
        <v>46.8</v>
      </c>
      <c r="P183" s="7">
        <v>2.2999999999999998</v>
      </c>
      <c r="Q183" s="6">
        <v>50</v>
      </c>
      <c r="R183" s="7" t="s">
        <v>46</v>
      </c>
    </row>
    <row r="184" spans="1:18" x14ac:dyDescent="0.2">
      <c r="A184" s="7">
        <v>2012</v>
      </c>
      <c r="B184" s="104">
        <v>41099</v>
      </c>
      <c r="C184" s="105" t="s">
        <v>35</v>
      </c>
      <c r="D184" s="105" t="s">
        <v>2</v>
      </c>
      <c r="E184" s="105" t="s">
        <v>9</v>
      </c>
      <c r="F184" s="105" t="s">
        <v>38</v>
      </c>
      <c r="G184" s="9" t="s">
        <v>39</v>
      </c>
      <c r="H184" s="10" t="s">
        <v>55</v>
      </c>
      <c r="I184" s="3" t="s">
        <v>4</v>
      </c>
      <c r="J184" s="102">
        <v>0.55798611111111118</v>
      </c>
      <c r="K184" s="7">
        <v>77.5</v>
      </c>
      <c r="L184" s="7">
        <v>0.22</v>
      </c>
      <c r="M184" s="7">
        <v>675</v>
      </c>
      <c r="N184" s="7">
        <v>7.0000000000000007E-2</v>
      </c>
      <c r="O184" s="7">
        <v>46.8</v>
      </c>
      <c r="P184" s="7">
        <v>3.2</v>
      </c>
      <c r="Q184" s="6">
        <v>50</v>
      </c>
      <c r="R184" s="7" t="s">
        <v>0</v>
      </c>
    </row>
    <row r="185" spans="1:18" x14ac:dyDescent="0.2">
      <c r="A185" s="7">
        <v>2012</v>
      </c>
      <c r="B185" s="104">
        <v>41099</v>
      </c>
      <c r="C185" s="105" t="s">
        <v>35</v>
      </c>
      <c r="D185" s="105" t="s">
        <v>2</v>
      </c>
      <c r="E185" s="105" t="s">
        <v>9</v>
      </c>
      <c r="F185" s="105" t="s">
        <v>38</v>
      </c>
      <c r="G185" s="9" t="s">
        <v>39</v>
      </c>
      <c r="H185" s="10" t="s">
        <v>55</v>
      </c>
      <c r="I185" s="3" t="s">
        <v>4</v>
      </c>
      <c r="J185" s="102">
        <v>0.55855324074074075</v>
      </c>
      <c r="K185" s="7">
        <v>593.20000000000005</v>
      </c>
      <c r="L185" s="7">
        <v>0.62</v>
      </c>
      <c r="M185" s="7">
        <v>1491.7</v>
      </c>
      <c r="N185" s="7">
        <v>0.75</v>
      </c>
      <c r="O185" s="7">
        <v>46.8</v>
      </c>
      <c r="P185" s="7">
        <v>1.3</v>
      </c>
      <c r="Q185" s="6">
        <v>65</v>
      </c>
      <c r="R185" s="7" t="s">
        <v>46</v>
      </c>
    </row>
    <row r="186" spans="1:18" x14ac:dyDescent="0.2">
      <c r="A186" s="7">
        <v>2012</v>
      </c>
      <c r="B186" s="104">
        <v>41099</v>
      </c>
      <c r="C186" s="105" t="s">
        <v>35</v>
      </c>
      <c r="D186" s="105" t="s">
        <v>2</v>
      </c>
      <c r="E186" s="105" t="s">
        <v>9</v>
      </c>
      <c r="F186" s="105" t="s">
        <v>38</v>
      </c>
      <c r="G186" s="9" t="s">
        <v>39</v>
      </c>
      <c r="H186" s="10" t="s">
        <v>55</v>
      </c>
      <c r="I186" s="3" t="s">
        <v>4</v>
      </c>
      <c r="J186" s="102">
        <v>0.5586458333333334</v>
      </c>
      <c r="K186" s="7">
        <v>133.19999999999999</v>
      </c>
      <c r="L186" s="7">
        <v>0.21</v>
      </c>
      <c r="M186" s="7">
        <v>513.9</v>
      </c>
      <c r="N186" s="7">
        <v>0.06</v>
      </c>
      <c r="O186" s="7">
        <v>46.8</v>
      </c>
      <c r="P186" s="7">
        <v>1.9</v>
      </c>
      <c r="Q186" s="6">
        <v>65</v>
      </c>
      <c r="R186" s="7" t="s">
        <v>0</v>
      </c>
    </row>
    <row r="187" spans="1:18" x14ac:dyDescent="0.2">
      <c r="A187" s="7">
        <v>2012</v>
      </c>
      <c r="B187" s="104">
        <v>41099</v>
      </c>
      <c r="C187" s="105" t="s">
        <v>35</v>
      </c>
      <c r="D187" s="105" t="s">
        <v>2</v>
      </c>
      <c r="E187" s="105" t="s">
        <v>9</v>
      </c>
      <c r="F187" s="105" t="s">
        <v>38</v>
      </c>
      <c r="G187" s="9" t="s">
        <v>39</v>
      </c>
      <c r="H187" s="10" t="s">
        <v>55</v>
      </c>
      <c r="I187" s="3" t="s">
        <v>4</v>
      </c>
      <c r="J187" s="102">
        <v>0.55896990740740737</v>
      </c>
      <c r="K187" s="7">
        <v>746</v>
      </c>
      <c r="L187" s="7">
        <v>0.28000000000000003</v>
      </c>
      <c r="M187" s="7">
        <v>988.8</v>
      </c>
      <c r="N187" s="7">
        <v>0.64</v>
      </c>
      <c r="O187" s="7">
        <v>46.8</v>
      </c>
      <c r="P187" s="7">
        <v>0.4</v>
      </c>
      <c r="Q187" s="6">
        <v>80</v>
      </c>
      <c r="R187" s="7" t="s">
        <v>46</v>
      </c>
    </row>
    <row r="188" spans="1:18" x14ac:dyDescent="0.2">
      <c r="A188" s="7">
        <v>2012</v>
      </c>
      <c r="B188" s="104">
        <v>41099</v>
      </c>
      <c r="C188" s="105" t="s">
        <v>35</v>
      </c>
      <c r="D188" s="105" t="s">
        <v>2</v>
      </c>
      <c r="E188" s="105" t="s">
        <v>9</v>
      </c>
      <c r="F188" s="105" t="s">
        <v>38</v>
      </c>
      <c r="G188" s="9" t="s">
        <v>39</v>
      </c>
      <c r="H188" s="10" t="s">
        <v>55</v>
      </c>
      <c r="I188" s="3" t="s">
        <v>4</v>
      </c>
      <c r="J188" s="102">
        <v>0.55908564814814821</v>
      </c>
      <c r="K188" s="7">
        <v>227.6</v>
      </c>
      <c r="L188" s="7">
        <v>0.14000000000000001</v>
      </c>
      <c r="M188" s="7">
        <v>456.5</v>
      </c>
      <c r="N188" s="7">
        <v>0.02</v>
      </c>
      <c r="O188" s="7">
        <v>46.8</v>
      </c>
      <c r="P188" s="7">
        <v>0.9</v>
      </c>
      <c r="Q188" s="6">
        <v>80</v>
      </c>
      <c r="R188" s="7" t="s">
        <v>0</v>
      </c>
    </row>
    <row r="189" spans="1:18" x14ac:dyDescent="0.2">
      <c r="A189" s="7">
        <v>2012</v>
      </c>
      <c r="B189" s="104">
        <v>41099</v>
      </c>
      <c r="C189" s="105" t="s">
        <v>35</v>
      </c>
      <c r="D189" s="105" t="s">
        <v>2</v>
      </c>
      <c r="E189" s="105" t="s">
        <v>9</v>
      </c>
      <c r="F189" s="105" t="s">
        <v>38</v>
      </c>
      <c r="G189" s="9" t="s">
        <v>39</v>
      </c>
      <c r="H189" s="10" t="s">
        <v>55</v>
      </c>
      <c r="I189" s="3" t="s">
        <v>4</v>
      </c>
      <c r="J189" s="102">
        <v>0.55932870370370369</v>
      </c>
      <c r="K189" s="7">
        <v>382.1</v>
      </c>
      <c r="L189" s="7">
        <v>0.03</v>
      </c>
      <c r="M189" s="7">
        <v>493.2</v>
      </c>
      <c r="N189" s="7">
        <v>0.32</v>
      </c>
      <c r="O189" s="7">
        <v>46.8</v>
      </c>
      <c r="P189" s="7">
        <v>0.3</v>
      </c>
      <c r="Q189" s="6">
        <v>95</v>
      </c>
      <c r="R189" s="7" t="s">
        <v>0</v>
      </c>
    </row>
    <row r="190" spans="1:18" x14ac:dyDescent="0.2">
      <c r="A190" s="7">
        <v>2012</v>
      </c>
      <c r="B190" s="104">
        <v>41099</v>
      </c>
      <c r="C190" s="105" t="s">
        <v>35</v>
      </c>
      <c r="D190" s="105" t="s">
        <v>2</v>
      </c>
      <c r="E190" s="105" t="s">
        <v>9</v>
      </c>
      <c r="F190" s="105" t="s">
        <v>38</v>
      </c>
      <c r="G190" s="9" t="s">
        <v>39</v>
      </c>
      <c r="H190" s="10" t="s">
        <v>55</v>
      </c>
      <c r="I190" s="3" t="s">
        <v>4</v>
      </c>
      <c r="J190" s="102">
        <v>0.55995370370370368</v>
      </c>
      <c r="K190" s="7">
        <v>379.1</v>
      </c>
      <c r="L190" s="7">
        <v>0.04</v>
      </c>
      <c r="M190" s="7">
        <v>513.9</v>
      </c>
      <c r="N190" s="7">
        <v>0.34</v>
      </c>
      <c r="O190" s="7">
        <v>46.8</v>
      </c>
      <c r="P190" s="7">
        <v>0.4</v>
      </c>
      <c r="Q190" s="6">
        <v>95</v>
      </c>
      <c r="R190" s="7" t="s">
        <v>0</v>
      </c>
    </row>
    <row r="191" spans="1:18" x14ac:dyDescent="0.2">
      <c r="A191" s="7">
        <v>2012</v>
      </c>
      <c r="B191" s="104">
        <v>41099</v>
      </c>
      <c r="C191" s="105" t="s">
        <v>35</v>
      </c>
      <c r="D191" s="105" t="s">
        <v>2</v>
      </c>
      <c r="E191" s="105" t="s">
        <v>9</v>
      </c>
      <c r="F191" s="105" t="s">
        <v>38</v>
      </c>
      <c r="G191" s="9" t="s">
        <v>39</v>
      </c>
      <c r="H191" s="10" t="s">
        <v>55</v>
      </c>
      <c r="I191" s="3" t="s">
        <v>4</v>
      </c>
      <c r="J191" s="102">
        <v>0.56031249999999999</v>
      </c>
      <c r="K191" s="7">
        <v>309.2</v>
      </c>
      <c r="L191" s="7">
        <v>0.14000000000000001</v>
      </c>
      <c r="M191" s="7">
        <v>319.8</v>
      </c>
      <c r="N191" s="7">
        <v>0.02</v>
      </c>
      <c r="O191" s="7">
        <v>46.8</v>
      </c>
      <c r="P191" s="7">
        <v>0</v>
      </c>
      <c r="Q191" s="6">
        <v>95</v>
      </c>
      <c r="R191" s="7" t="s">
        <v>0</v>
      </c>
    </row>
    <row r="192" spans="1:18" x14ac:dyDescent="0.2">
      <c r="A192" s="7">
        <v>2012</v>
      </c>
      <c r="B192" s="104">
        <v>41099</v>
      </c>
      <c r="C192" s="105" t="s">
        <v>35</v>
      </c>
      <c r="D192" s="105" t="s">
        <v>2</v>
      </c>
      <c r="E192" s="105" t="s">
        <v>9</v>
      </c>
      <c r="F192" s="105" t="s">
        <v>38</v>
      </c>
      <c r="G192" s="9" t="s">
        <v>39</v>
      </c>
      <c r="H192" s="10" t="s">
        <v>55</v>
      </c>
      <c r="I192" s="3" t="s">
        <v>4</v>
      </c>
      <c r="J192" s="102">
        <v>0.56060185185185185</v>
      </c>
      <c r="K192" s="7">
        <v>352.4</v>
      </c>
      <c r="L192" s="7">
        <v>0.03</v>
      </c>
      <c r="M192" s="7">
        <v>437</v>
      </c>
      <c r="N192" s="7">
        <v>0.22</v>
      </c>
      <c r="O192" s="7">
        <v>46.7</v>
      </c>
      <c r="P192" s="7">
        <v>0.3</v>
      </c>
      <c r="Q192" s="6">
        <v>110</v>
      </c>
      <c r="R192" s="7" t="s">
        <v>0</v>
      </c>
    </row>
    <row r="193" spans="1:19" x14ac:dyDescent="0.2">
      <c r="A193" s="7">
        <v>2012</v>
      </c>
      <c r="B193" s="104">
        <v>41099</v>
      </c>
      <c r="C193" s="105" t="s">
        <v>35</v>
      </c>
      <c r="D193" s="105" t="s">
        <v>2</v>
      </c>
      <c r="E193" s="105" t="s">
        <v>9</v>
      </c>
      <c r="F193" s="105" t="s">
        <v>38</v>
      </c>
      <c r="G193" s="9" t="s">
        <v>39</v>
      </c>
      <c r="H193" s="10" t="s">
        <v>55</v>
      </c>
      <c r="I193" s="3" t="s">
        <v>4</v>
      </c>
      <c r="J193" s="102">
        <v>0.56130787037037033</v>
      </c>
      <c r="K193" s="7">
        <v>431.9</v>
      </c>
      <c r="L193" s="7">
        <v>0.03</v>
      </c>
      <c r="M193" s="7">
        <v>505.4</v>
      </c>
      <c r="N193" s="7">
        <v>0.28000000000000003</v>
      </c>
      <c r="O193" s="7">
        <v>46.7</v>
      </c>
      <c r="P193" s="7">
        <v>0.2</v>
      </c>
      <c r="Q193" s="6">
        <v>110</v>
      </c>
      <c r="R193" s="7" t="s">
        <v>0</v>
      </c>
    </row>
    <row r="194" spans="1:19" x14ac:dyDescent="0.2">
      <c r="A194" s="7">
        <v>2012</v>
      </c>
      <c r="B194" s="104">
        <v>41099</v>
      </c>
      <c r="C194" s="105" t="s">
        <v>35</v>
      </c>
      <c r="D194" s="105" t="s">
        <v>2</v>
      </c>
      <c r="E194" s="105" t="s">
        <v>9</v>
      </c>
      <c r="F194" s="105" t="s">
        <v>38</v>
      </c>
      <c r="G194" s="9" t="s">
        <v>39</v>
      </c>
      <c r="H194" s="10" t="s">
        <v>55</v>
      </c>
      <c r="I194" s="3" t="s">
        <v>4</v>
      </c>
      <c r="J194" s="102">
        <v>0.56150462962962966</v>
      </c>
      <c r="K194" s="7">
        <v>335.4</v>
      </c>
      <c r="L194" s="7">
        <v>0.03</v>
      </c>
      <c r="M194" s="7">
        <v>307.60000000000002</v>
      </c>
      <c r="N194" s="7">
        <v>0.11</v>
      </c>
      <c r="O194" s="7">
        <v>46.7</v>
      </c>
      <c r="P194" s="7">
        <v>-0.1</v>
      </c>
      <c r="Q194" s="6">
        <v>110</v>
      </c>
      <c r="R194" s="7" t="s">
        <v>0</v>
      </c>
    </row>
    <row r="195" spans="1:19" x14ac:dyDescent="0.2">
      <c r="A195" s="7">
        <v>2012</v>
      </c>
      <c r="B195" s="104">
        <v>41099</v>
      </c>
      <c r="C195" s="105" t="s">
        <v>35</v>
      </c>
      <c r="D195" s="105" t="s">
        <v>2</v>
      </c>
      <c r="E195" s="105" t="s">
        <v>9</v>
      </c>
      <c r="F195" s="105" t="s">
        <v>38</v>
      </c>
      <c r="G195" s="9" t="s">
        <v>39</v>
      </c>
      <c r="H195" s="10" t="s">
        <v>55</v>
      </c>
      <c r="I195" s="3" t="s">
        <v>4</v>
      </c>
      <c r="J195" s="102">
        <v>0.56277777777777771</v>
      </c>
      <c r="K195" s="7">
        <v>59.7</v>
      </c>
      <c r="L195" s="7">
        <v>0.12</v>
      </c>
      <c r="M195" s="7">
        <v>439.5</v>
      </c>
      <c r="N195" s="7">
        <v>0.06</v>
      </c>
      <c r="O195" s="7">
        <v>46.7</v>
      </c>
      <c r="P195" s="7">
        <v>3</v>
      </c>
      <c r="Q195" s="6">
        <v>5</v>
      </c>
      <c r="R195" s="7" t="s">
        <v>0</v>
      </c>
    </row>
    <row r="196" spans="1:19" x14ac:dyDescent="0.2">
      <c r="A196" s="7">
        <v>2012</v>
      </c>
      <c r="B196" s="104">
        <v>41099</v>
      </c>
      <c r="C196" s="105" t="s">
        <v>35</v>
      </c>
      <c r="D196" s="105" t="s">
        <v>2</v>
      </c>
      <c r="E196" s="105" t="s">
        <v>9</v>
      </c>
      <c r="F196" s="105" t="s">
        <v>38</v>
      </c>
      <c r="G196" s="9" t="s">
        <v>39</v>
      </c>
      <c r="H196" s="10" t="s">
        <v>55</v>
      </c>
      <c r="I196" s="3" t="s">
        <v>4</v>
      </c>
      <c r="J196" s="102">
        <v>0.56313657407407403</v>
      </c>
      <c r="K196" s="7">
        <v>69.900000000000006</v>
      </c>
      <c r="L196" s="7">
        <v>0.15</v>
      </c>
      <c r="M196" s="7">
        <v>434.6</v>
      </c>
      <c r="N196" s="7">
        <v>7.0000000000000007E-2</v>
      </c>
      <c r="O196" s="7">
        <v>46.7</v>
      </c>
      <c r="P196" s="7">
        <v>2.7</v>
      </c>
      <c r="Q196" s="6">
        <v>20</v>
      </c>
      <c r="R196" s="7" t="s">
        <v>0</v>
      </c>
    </row>
    <row r="197" spans="1:19" x14ac:dyDescent="0.2">
      <c r="A197" s="7">
        <v>2012</v>
      </c>
      <c r="B197" s="104">
        <v>41099</v>
      </c>
      <c r="C197" s="105" t="s">
        <v>35</v>
      </c>
      <c r="D197" s="105" t="s">
        <v>2</v>
      </c>
      <c r="E197" s="105" t="s">
        <v>9</v>
      </c>
      <c r="F197" s="105" t="s">
        <v>38</v>
      </c>
      <c r="G197" s="9" t="s">
        <v>39</v>
      </c>
      <c r="H197" s="10" t="s">
        <v>55</v>
      </c>
      <c r="I197" s="3" t="s">
        <v>4</v>
      </c>
      <c r="J197" s="102">
        <v>0.56342592592592589</v>
      </c>
      <c r="K197" s="7">
        <v>80.599999999999994</v>
      </c>
      <c r="L197" s="7">
        <v>0.21</v>
      </c>
      <c r="M197" s="7">
        <v>440.7</v>
      </c>
      <c r="N197" s="7">
        <v>0.08</v>
      </c>
      <c r="O197" s="7">
        <v>46.7</v>
      </c>
      <c r="P197" s="7">
        <v>2.5</v>
      </c>
      <c r="Q197" s="6">
        <v>35</v>
      </c>
      <c r="R197" s="7" t="s">
        <v>0</v>
      </c>
    </row>
    <row r="198" spans="1:19" x14ac:dyDescent="0.2">
      <c r="A198" s="7">
        <v>2012</v>
      </c>
      <c r="B198" s="104">
        <v>41099</v>
      </c>
      <c r="C198" s="105" t="s">
        <v>35</v>
      </c>
      <c r="D198" s="105" t="s">
        <v>2</v>
      </c>
      <c r="E198" s="105" t="s">
        <v>9</v>
      </c>
      <c r="F198" s="105" t="s">
        <v>38</v>
      </c>
      <c r="G198" s="9" t="s">
        <v>39</v>
      </c>
      <c r="H198" s="10" t="s">
        <v>55</v>
      </c>
      <c r="I198" s="3" t="s">
        <v>4</v>
      </c>
      <c r="J198" s="102">
        <v>0.56395833333333334</v>
      </c>
      <c r="K198" s="7">
        <v>97.9</v>
      </c>
      <c r="L198" s="7">
        <v>0.2</v>
      </c>
      <c r="M198" s="7">
        <v>450.4</v>
      </c>
      <c r="N198" s="7">
        <v>0.08</v>
      </c>
      <c r="O198" s="7">
        <v>46.7</v>
      </c>
      <c r="P198" s="7">
        <v>2.2000000000000002</v>
      </c>
      <c r="Q198" s="6">
        <v>50</v>
      </c>
      <c r="R198" s="7" t="s">
        <v>0</v>
      </c>
    </row>
    <row r="199" spans="1:19" x14ac:dyDescent="0.2">
      <c r="A199" s="7">
        <v>2012</v>
      </c>
      <c r="B199" s="104">
        <v>41099</v>
      </c>
      <c r="C199" s="105" t="s">
        <v>35</v>
      </c>
      <c r="D199" s="105" t="s">
        <v>2</v>
      </c>
      <c r="E199" s="105" t="s">
        <v>9</v>
      </c>
      <c r="F199" s="105" t="s">
        <v>38</v>
      </c>
      <c r="G199" s="9" t="s">
        <v>39</v>
      </c>
      <c r="H199" s="10" t="s">
        <v>55</v>
      </c>
      <c r="I199" s="3" t="s">
        <v>4</v>
      </c>
      <c r="J199" s="102">
        <v>0.56451388888888887</v>
      </c>
      <c r="K199" s="7">
        <v>132.9</v>
      </c>
      <c r="L199" s="7">
        <v>0.31</v>
      </c>
      <c r="M199" s="7">
        <v>466.3</v>
      </c>
      <c r="N199" s="7">
        <v>0.08</v>
      </c>
      <c r="O199" s="7">
        <v>46.6</v>
      </c>
      <c r="P199" s="7">
        <v>1.8</v>
      </c>
      <c r="Q199" s="6">
        <v>65</v>
      </c>
      <c r="R199" s="7" t="s">
        <v>0</v>
      </c>
    </row>
    <row r="200" spans="1:19" x14ac:dyDescent="0.2">
      <c r="A200" s="7">
        <v>2012</v>
      </c>
      <c r="B200" s="104">
        <v>41099</v>
      </c>
      <c r="C200" s="105" t="s">
        <v>35</v>
      </c>
      <c r="D200" s="105" t="s">
        <v>2</v>
      </c>
      <c r="E200" s="105" t="s">
        <v>9</v>
      </c>
      <c r="F200" s="105" t="s">
        <v>38</v>
      </c>
      <c r="G200" s="9" t="s">
        <v>39</v>
      </c>
      <c r="H200" s="10" t="s">
        <v>55</v>
      </c>
      <c r="I200" s="3" t="s">
        <v>4</v>
      </c>
      <c r="J200" s="102">
        <v>0.56467592592592586</v>
      </c>
      <c r="K200" s="7">
        <v>236</v>
      </c>
      <c r="L200" s="7">
        <v>0.28999999999999998</v>
      </c>
      <c r="M200" s="7">
        <v>472.4</v>
      </c>
      <c r="N200" s="7">
        <v>0.09</v>
      </c>
      <c r="O200" s="7">
        <v>46.6</v>
      </c>
      <c r="P200" s="7">
        <v>0.9</v>
      </c>
      <c r="Q200" s="6">
        <v>80</v>
      </c>
      <c r="R200" s="7" t="s">
        <v>0</v>
      </c>
    </row>
    <row r="201" spans="1:19" x14ac:dyDescent="0.2">
      <c r="A201" s="7">
        <v>2012</v>
      </c>
      <c r="B201" s="104">
        <v>41099</v>
      </c>
      <c r="C201" s="105" t="s">
        <v>35</v>
      </c>
      <c r="D201" s="105" t="s">
        <v>2</v>
      </c>
      <c r="E201" s="105" t="s">
        <v>9</v>
      </c>
      <c r="F201" s="105" t="s">
        <v>38</v>
      </c>
      <c r="G201" s="9" t="s">
        <v>39</v>
      </c>
      <c r="H201" s="10" t="s">
        <v>55</v>
      </c>
      <c r="I201" s="3" t="s">
        <v>4</v>
      </c>
      <c r="J201" s="102">
        <v>0.56478009259259265</v>
      </c>
      <c r="K201" s="7">
        <v>366.4</v>
      </c>
      <c r="L201" s="7">
        <v>0.09</v>
      </c>
      <c r="M201" s="7">
        <v>476.1</v>
      </c>
      <c r="N201" s="7">
        <v>0.09</v>
      </c>
      <c r="O201" s="7">
        <v>46.6</v>
      </c>
      <c r="P201" s="7">
        <v>0.3</v>
      </c>
      <c r="Q201" s="6">
        <v>95</v>
      </c>
      <c r="R201" s="7" t="s">
        <v>0</v>
      </c>
    </row>
    <row r="202" spans="1:19" x14ac:dyDescent="0.2">
      <c r="A202" s="7">
        <v>2012</v>
      </c>
      <c r="B202" s="104">
        <v>41099</v>
      </c>
      <c r="C202" s="105" t="s">
        <v>35</v>
      </c>
      <c r="D202" s="105" t="s">
        <v>2</v>
      </c>
      <c r="E202" s="105" t="s">
        <v>9</v>
      </c>
      <c r="F202" s="105" t="s">
        <v>38</v>
      </c>
      <c r="G202" s="9" t="s">
        <v>39</v>
      </c>
      <c r="H202" s="10" t="s">
        <v>55</v>
      </c>
      <c r="I202" s="3" t="s">
        <v>4</v>
      </c>
      <c r="J202" s="102">
        <v>0.56511574074074067</v>
      </c>
      <c r="K202" s="7">
        <v>405.8</v>
      </c>
      <c r="L202" s="7">
        <v>0.02</v>
      </c>
      <c r="M202" s="7">
        <v>483.4</v>
      </c>
      <c r="N202" s="7">
        <v>0.09</v>
      </c>
      <c r="O202" s="7">
        <v>46.6</v>
      </c>
      <c r="P202" s="7">
        <v>0.2</v>
      </c>
      <c r="Q202" s="6">
        <v>110</v>
      </c>
      <c r="R202" s="7" t="s">
        <v>0</v>
      </c>
    </row>
    <row r="203" spans="1:19" x14ac:dyDescent="0.2">
      <c r="A203" s="7">
        <v>2012</v>
      </c>
      <c r="B203" s="104">
        <v>41134</v>
      </c>
      <c r="C203" s="105" t="s">
        <v>35</v>
      </c>
      <c r="D203" s="105" t="s">
        <v>2</v>
      </c>
      <c r="E203" s="105" t="s">
        <v>9</v>
      </c>
      <c r="F203" s="105" t="s">
        <v>38</v>
      </c>
      <c r="G203" s="9" t="s">
        <v>39</v>
      </c>
      <c r="H203" s="10" t="s">
        <v>55</v>
      </c>
      <c r="I203" s="3" t="s">
        <v>4</v>
      </c>
      <c r="J203" s="102">
        <v>0.65297453703703701</v>
      </c>
      <c r="K203" s="7">
        <v>99.9</v>
      </c>
      <c r="L203" s="7">
        <v>0.82</v>
      </c>
      <c r="M203" s="7">
        <v>1298.2</v>
      </c>
      <c r="N203" s="7">
        <v>0.67</v>
      </c>
      <c r="O203" s="7">
        <v>56.5</v>
      </c>
      <c r="P203" s="7">
        <v>3.4</v>
      </c>
      <c r="Q203" s="6">
        <v>5</v>
      </c>
      <c r="R203" s="7" t="s">
        <v>46</v>
      </c>
      <c r="S203" s="7">
        <v>1</v>
      </c>
    </row>
    <row r="204" spans="1:19" x14ac:dyDescent="0.2">
      <c r="A204" s="7">
        <v>2012</v>
      </c>
      <c r="B204" s="104">
        <v>41134</v>
      </c>
      <c r="C204" s="105" t="s">
        <v>35</v>
      </c>
      <c r="D204" s="105" t="s">
        <v>2</v>
      </c>
      <c r="E204" s="105" t="s">
        <v>9</v>
      </c>
      <c r="F204" s="105" t="s">
        <v>38</v>
      </c>
      <c r="G204" s="9" t="s">
        <v>39</v>
      </c>
      <c r="H204" s="10" t="s">
        <v>55</v>
      </c>
      <c r="I204" s="3" t="s">
        <v>4</v>
      </c>
      <c r="J204" s="102">
        <v>0.65333333333333332</v>
      </c>
      <c r="K204" s="7">
        <v>236.9</v>
      </c>
      <c r="L204" s="7">
        <v>0.99</v>
      </c>
      <c r="M204" s="7">
        <v>1275.8</v>
      </c>
      <c r="N204" s="7">
        <v>0.67</v>
      </c>
      <c r="O204" s="7">
        <v>56.5</v>
      </c>
      <c r="P204" s="7">
        <v>2.2000000000000002</v>
      </c>
      <c r="Q204" s="6">
        <v>20</v>
      </c>
      <c r="R204" s="7" t="s">
        <v>46</v>
      </c>
      <c r="S204" s="7">
        <v>1</v>
      </c>
    </row>
    <row r="205" spans="1:19" x14ac:dyDescent="0.2">
      <c r="A205" s="7">
        <v>2012</v>
      </c>
      <c r="B205" s="104">
        <v>41134</v>
      </c>
      <c r="C205" s="105" t="s">
        <v>35</v>
      </c>
      <c r="D205" s="105" t="s">
        <v>2</v>
      </c>
      <c r="E205" s="105" t="s">
        <v>9</v>
      </c>
      <c r="F205" s="105" t="s">
        <v>38</v>
      </c>
      <c r="G205" s="9" t="s">
        <v>39</v>
      </c>
      <c r="H205" s="10" t="s">
        <v>55</v>
      </c>
      <c r="I205" s="3" t="s">
        <v>4</v>
      </c>
      <c r="J205" s="102">
        <v>0.65369212962962964</v>
      </c>
      <c r="K205" s="7">
        <v>240.9</v>
      </c>
      <c r="L205" s="7">
        <v>0.74</v>
      </c>
      <c r="M205" s="7">
        <v>1260.7</v>
      </c>
      <c r="N205" s="7">
        <v>0.67</v>
      </c>
      <c r="O205" s="7">
        <v>56.5</v>
      </c>
      <c r="P205" s="7">
        <v>2.1</v>
      </c>
      <c r="Q205" s="6">
        <v>35</v>
      </c>
      <c r="R205" s="7" t="s">
        <v>46</v>
      </c>
      <c r="S205" s="7">
        <v>1</v>
      </c>
    </row>
    <row r="206" spans="1:19" x14ac:dyDescent="0.2">
      <c r="A206" s="7">
        <v>2012</v>
      </c>
      <c r="B206" s="104">
        <v>41134</v>
      </c>
      <c r="C206" s="105" t="s">
        <v>35</v>
      </c>
      <c r="D206" s="105" t="s">
        <v>2</v>
      </c>
      <c r="E206" s="105" t="s">
        <v>9</v>
      </c>
      <c r="F206" s="105" t="s">
        <v>38</v>
      </c>
      <c r="G206" s="9" t="s">
        <v>39</v>
      </c>
      <c r="H206" s="10" t="s">
        <v>55</v>
      </c>
      <c r="I206" s="3" t="s">
        <v>4</v>
      </c>
      <c r="J206" s="102">
        <v>0.6539814814814815</v>
      </c>
      <c r="K206" s="7">
        <v>279.7</v>
      </c>
      <c r="L206" s="7">
        <v>0.72</v>
      </c>
      <c r="M206" s="7">
        <v>1236</v>
      </c>
      <c r="N206" s="7">
        <v>0.67</v>
      </c>
      <c r="O206" s="7">
        <v>56.6</v>
      </c>
      <c r="P206" s="7">
        <v>1.9</v>
      </c>
      <c r="Q206" s="6">
        <v>50</v>
      </c>
      <c r="R206" s="7" t="s">
        <v>46</v>
      </c>
      <c r="S206" s="7">
        <v>1</v>
      </c>
    </row>
    <row r="207" spans="1:19" x14ac:dyDescent="0.2">
      <c r="A207" s="7">
        <v>2012</v>
      </c>
      <c r="B207" s="104">
        <v>41134</v>
      </c>
      <c r="C207" s="105" t="s">
        <v>35</v>
      </c>
      <c r="D207" s="105" t="s">
        <v>2</v>
      </c>
      <c r="E207" s="105" t="s">
        <v>9</v>
      </c>
      <c r="F207" s="105" t="s">
        <v>38</v>
      </c>
      <c r="G207" s="9" t="s">
        <v>39</v>
      </c>
      <c r="H207" s="10" t="s">
        <v>55</v>
      </c>
      <c r="I207" s="3" t="s">
        <v>4</v>
      </c>
      <c r="J207" s="102">
        <v>0.65434027777777781</v>
      </c>
      <c r="K207" s="7">
        <v>826.3</v>
      </c>
      <c r="L207" s="7">
        <v>0.47</v>
      </c>
      <c r="M207" s="7">
        <v>1277.5</v>
      </c>
      <c r="N207" s="7">
        <v>0.67</v>
      </c>
      <c r="O207" s="7">
        <v>56.6</v>
      </c>
      <c r="P207" s="7">
        <v>0.5</v>
      </c>
      <c r="Q207" s="6">
        <v>65</v>
      </c>
      <c r="R207" s="7" t="s">
        <v>46</v>
      </c>
      <c r="S207" s="7">
        <v>1</v>
      </c>
    </row>
    <row r="208" spans="1:19" x14ac:dyDescent="0.2">
      <c r="A208" s="7">
        <v>2012</v>
      </c>
      <c r="B208" s="104">
        <v>41134</v>
      </c>
      <c r="C208" s="105" t="s">
        <v>35</v>
      </c>
      <c r="D208" s="105" t="s">
        <v>2</v>
      </c>
      <c r="E208" s="105" t="s">
        <v>9</v>
      </c>
      <c r="F208" s="105" t="s">
        <v>38</v>
      </c>
      <c r="G208" s="9" t="s">
        <v>39</v>
      </c>
      <c r="H208" s="10" t="s">
        <v>55</v>
      </c>
      <c r="I208" s="3" t="s">
        <v>4</v>
      </c>
      <c r="J208" s="102">
        <v>0.6546643518518519</v>
      </c>
      <c r="K208" s="7">
        <v>1146</v>
      </c>
      <c r="L208" s="7">
        <v>0.18</v>
      </c>
      <c r="M208" s="7">
        <v>1258.8</v>
      </c>
      <c r="N208" s="7">
        <v>0.67</v>
      </c>
      <c r="O208" s="7">
        <v>56.6</v>
      </c>
      <c r="P208" s="7">
        <v>0.1</v>
      </c>
      <c r="Q208" s="6">
        <v>80</v>
      </c>
      <c r="R208" s="7" t="s">
        <v>46</v>
      </c>
      <c r="S208" s="7">
        <v>1</v>
      </c>
    </row>
    <row r="209" spans="1:19" x14ac:dyDescent="0.2">
      <c r="A209" s="7">
        <v>2012</v>
      </c>
      <c r="B209" s="104">
        <v>41134</v>
      </c>
      <c r="C209" s="105" t="s">
        <v>35</v>
      </c>
      <c r="D209" s="105" t="s">
        <v>2</v>
      </c>
      <c r="E209" s="105" t="s">
        <v>9</v>
      </c>
      <c r="F209" s="105" t="s">
        <v>38</v>
      </c>
      <c r="G209" s="9" t="s">
        <v>39</v>
      </c>
      <c r="H209" s="10" t="s">
        <v>55</v>
      </c>
      <c r="I209" s="3" t="s">
        <v>4</v>
      </c>
      <c r="J209" s="102">
        <v>0.65489583333333334</v>
      </c>
      <c r="K209" s="7">
        <v>1231.0999999999999</v>
      </c>
      <c r="L209" s="7">
        <v>0.02</v>
      </c>
      <c r="M209" s="7">
        <v>1268.7</v>
      </c>
      <c r="N209" s="7">
        <v>0.67</v>
      </c>
      <c r="O209" s="7">
        <v>56.6</v>
      </c>
      <c r="P209" s="7">
        <v>0</v>
      </c>
      <c r="Q209" s="6">
        <v>95</v>
      </c>
      <c r="R209" s="7" t="s">
        <v>46</v>
      </c>
      <c r="S209" s="7">
        <v>1</v>
      </c>
    </row>
    <row r="210" spans="1:19" x14ac:dyDescent="0.2">
      <c r="A210" s="7">
        <v>2012</v>
      </c>
      <c r="B210" s="104">
        <v>41134</v>
      </c>
      <c r="C210" s="105" t="s">
        <v>35</v>
      </c>
      <c r="D210" s="105" t="s">
        <v>2</v>
      </c>
      <c r="E210" s="105" t="s">
        <v>9</v>
      </c>
      <c r="F210" s="105" t="s">
        <v>38</v>
      </c>
      <c r="G210" s="9" t="s">
        <v>39</v>
      </c>
      <c r="H210" s="10" t="s">
        <v>55</v>
      </c>
      <c r="I210" s="3" t="s">
        <v>4</v>
      </c>
      <c r="J210" s="102">
        <v>0.6560300925925926</v>
      </c>
      <c r="K210" s="7">
        <v>240.6</v>
      </c>
      <c r="L210" s="7">
        <v>0.85</v>
      </c>
      <c r="M210" s="7">
        <v>1266</v>
      </c>
      <c r="N210" s="7">
        <v>0.67</v>
      </c>
      <c r="O210" s="7">
        <v>56.7</v>
      </c>
      <c r="P210" s="7">
        <v>2.1</v>
      </c>
      <c r="Q210" s="6">
        <v>5</v>
      </c>
      <c r="R210" s="7" t="s">
        <v>46</v>
      </c>
      <c r="S210" s="7">
        <v>2</v>
      </c>
    </row>
    <row r="211" spans="1:19" x14ac:dyDescent="0.2">
      <c r="A211" s="7">
        <v>2012</v>
      </c>
      <c r="B211" s="104">
        <v>41134</v>
      </c>
      <c r="C211" s="105" t="s">
        <v>35</v>
      </c>
      <c r="D211" s="105" t="s">
        <v>2</v>
      </c>
      <c r="E211" s="105" t="s">
        <v>9</v>
      </c>
      <c r="F211" s="105" t="s">
        <v>38</v>
      </c>
      <c r="G211" s="9" t="s">
        <v>39</v>
      </c>
      <c r="H211" s="10" t="s">
        <v>55</v>
      </c>
      <c r="I211" s="3" t="s">
        <v>4</v>
      </c>
      <c r="J211" s="102">
        <v>0.65709490740740739</v>
      </c>
      <c r="K211" s="7">
        <v>413.1</v>
      </c>
      <c r="L211" s="7">
        <v>0.72</v>
      </c>
      <c r="M211" s="7">
        <v>1237.5999999999999</v>
      </c>
      <c r="N211" s="7">
        <v>0.67</v>
      </c>
      <c r="O211" s="7">
        <v>56.8</v>
      </c>
      <c r="P211" s="7">
        <v>1.4</v>
      </c>
      <c r="Q211" s="6">
        <v>20</v>
      </c>
      <c r="R211" s="7" t="s">
        <v>46</v>
      </c>
      <c r="S211" s="7">
        <v>2</v>
      </c>
    </row>
    <row r="212" spans="1:19" x14ac:dyDescent="0.2">
      <c r="A212" s="7">
        <v>2012</v>
      </c>
      <c r="B212" s="104">
        <v>41134</v>
      </c>
      <c r="C212" s="105" t="s">
        <v>35</v>
      </c>
      <c r="D212" s="105" t="s">
        <v>2</v>
      </c>
      <c r="E212" s="105" t="s">
        <v>9</v>
      </c>
      <c r="F212" s="105" t="s">
        <v>38</v>
      </c>
      <c r="G212" s="9" t="s">
        <v>39</v>
      </c>
      <c r="H212" s="10" t="s">
        <v>55</v>
      </c>
      <c r="I212" s="3" t="s">
        <v>4</v>
      </c>
      <c r="J212" s="102">
        <v>0.65751157407407412</v>
      </c>
      <c r="K212" s="7">
        <v>305.89999999999998</v>
      </c>
      <c r="L212" s="7">
        <v>0.65</v>
      </c>
      <c r="M212" s="7">
        <v>1222</v>
      </c>
      <c r="N212" s="7">
        <v>0.67</v>
      </c>
      <c r="O212" s="7">
        <v>56.8</v>
      </c>
      <c r="P212" s="7">
        <v>1.8</v>
      </c>
      <c r="Q212" s="6">
        <v>35</v>
      </c>
      <c r="R212" s="7" t="s">
        <v>46</v>
      </c>
      <c r="S212" s="7">
        <v>2</v>
      </c>
    </row>
    <row r="213" spans="1:19" x14ac:dyDescent="0.2">
      <c r="A213" s="7">
        <v>2012</v>
      </c>
      <c r="B213" s="104">
        <v>41134</v>
      </c>
      <c r="C213" s="105" t="s">
        <v>35</v>
      </c>
      <c r="D213" s="105" t="s">
        <v>2</v>
      </c>
      <c r="E213" s="105" t="s">
        <v>9</v>
      </c>
      <c r="F213" s="105" t="s">
        <v>38</v>
      </c>
      <c r="G213" s="9" t="s">
        <v>39</v>
      </c>
      <c r="H213" s="10" t="s">
        <v>55</v>
      </c>
      <c r="I213" s="3" t="s">
        <v>4</v>
      </c>
      <c r="J213" s="102">
        <v>0.65788194444444448</v>
      </c>
      <c r="K213" s="7">
        <v>384.7</v>
      </c>
      <c r="L213" s="7">
        <v>0.76</v>
      </c>
      <c r="M213" s="7">
        <v>1219.5</v>
      </c>
      <c r="N213" s="7">
        <v>0.67</v>
      </c>
      <c r="O213" s="7">
        <v>56.8</v>
      </c>
      <c r="P213" s="7">
        <v>1.4</v>
      </c>
      <c r="Q213" s="6">
        <v>50</v>
      </c>
      <c r="R213" s="7" t="s">
        <v>46</v>
      </c>
      <c r="S213" s="7">
        <v>2</v>
      </c>
    </row>
    <row r="214" spans="1:19" x14ac:dyDescent="0.2">
      <c r="A214" s="7">
        <v>2012</v>
      </c>
      <c r="B214" s="104">
        <v>41134</v>
      </c>
      <c r="C214" s="105" t="s">
        <v>35</v>
      </c>
      <c r="D214" s="105" t="s">
        <v>2</v>
      </c>
      <c r="E214" s="105" t="s">
        <v>9</v>
      </c>
      <c r="F214" s="105" t="s">
        <v>38</v>
      </c>
      <c r="G214" s="9" t="s">
        <v>39</v>
      </c>
      <c r="H214" s="10" t="s">
        <v>55</v>
      </c>
      <c r="I214" s="3" t="s">
        <v>4</v>
      </c>
      <c r="J214" s="102">
        <v>0.65814814814814815</v>
      </c>
      <c r="K214" s="7">
        <v>407</v>
      </c>
      <c r="L214" s="7">
        <v>0.56999999999999995</v>
      </c>
      <c r="M214" s="7">
        <v>1208.0999999999999</v>
      </c>
      <c r="N214" s="7">
        <v>0.67</v>
      </c>
      <c r="O214" s="7">
        <v>56.8</v>
      </c>
      <c r="P214" s="7">
        <v>1.4</v>
      </c>
      <c r="Q214" s="6">
        <v>65</v>
      </c>
      <c r="R214" s="7" t="s">
        <v>46</v>
      </c>
      <c r="S214" s="7">
        <v>2</v>
      </c>
    </row>
    <row r="215" spans="1:19" x14ac:dyDescent="0.2">
      <c r="A215" s="7">
        <v>2012</v>
      </c>
      <c r="B215" s="104">
        <v>41134</v>
      </c>
      <c r="C215" s="105" t="s">
        <v>35</v>
      </c>
      <c r="D215" s="105" t="s">
        <v>2</v>
      </c>
      <c r="E215" s="105" t="s">
        <v>9</v>
      </c>
      <c r="F215" s="105" t="s">
        <v>38</v>
      </c>
      <c r="G215" s="9" t="s">
        <v>39</v>
      </c>
      <c r="H215" s="10" t="s">
        <v>55</v>
      </c>
      <c r="I215" s="3" t="s">
        <v>4</v>
      </c>
      <c r="J215" s="102">
        <v>0.65855324074074073</v>
      </c>
      <c r="K215" s="7">
        <v>911.8</v>
      </c>
      <c r="L215" s="7">
        <v>0.34</v>
      </c>
      <c r="M215" s="7">
        <v>1203.5999999999999</v>
      </c>
      <c r="N215" s="7">
        <v>0.67</v>
      </c>
      <c r="O215" s="7">
        <v>56.9</v>
      </c>
      <c r="P215" s="7">
        <v>0.3</v>
      </c>
      <c r="Q215" s="6">
        <v>80</v>
      </c>
      <c r="R215" s="7" t="s">
        <v>46</v>
      </c>
      <c r="S215" s="7">
        <v>2</v>
      </c>
    </row>
    <row r="216" spans="1:19" x14ac:dyDescent="0.2">
      <c r="A216" s="7">
        <v>2012</v>
      </c>
      <c r="B216" s="104">
        <v>41134</v>
      </c>
      <c r="C216" s="105" t="s">
        <v>35</v>
      </c>
      <c r="D216" s="105" t="s">
        <v>2</v>
      </c>
      <c r="E216" s="105" t="s">
        <v>9</v>
      </c>
      <c r="F216" s="105" t="s">
        <v>38</v>
      </c>
      <c r="G216" s="9" t="s">
        <v>39</v>
      </c>
      <c r="H216" s="10" t="s">
        <v>55</v>
      </c>
      <c r="I216" s="3" t="s">
        <v>4</v>
      </c>
      <c r="J216" s="102">
        <v>0.65893518518518512</v>
      </c>
      <c r="K216" s="7">
        <v>1190.2</v>
      </c>
      <c r="L216" s="7">
        <v>0.02</v>
      </c>
      <c r="M216" s="7">
        <v>1258</v>
      </c>
      <c r="N216" s="7">
        <v>0.67</v>
      </c>
      <c r="O216" s="7">
        <v>56.9</v>
      </c>
      <c r="P216" s="7">
        <v>0.1</v>
      </c>
      <c r="Q216" s="6">
        <v>95</v>
      </c>
      <c r="R216" s="7" t="s">
        <v>46</v>
      </c>
      <c r="S216" s="7">
        <v>2</v>
      </c>
    </row>
    <row r="217" spans="1:19" x14ac:dyDescent="0.2">
      <c r="A217" s="7">
        <v>2012</v>
      </c>
      <c r="B217" s="104">
        <v>41134</v>
      </c>
      <c r="C217" s="105" t="s">
        <v>35</v>
      </c>
      <c r="D217" s="105" t="s">
        <v>2</v>
      </c>
      <c r="E217" s="105" t="s">
        <v>9</v>
      </c>
      <c r="F217" s="105" t="s">
        <v>38</v>
      </c>
      <c r="G217" s="9" t="s">
        <v>39</v>
      </c>
      <c r="H217" s="10" t="s">
        <v>55</v>
      </c>
      <c r="I217" s="3" t="s">
        <v>4</v>
      </c>
      <c r="J217" s="102">
        <v>0.66041666666666665</v>
      </c>
      <c r="K217" s="7">
        <v>238</v>
      </c>
      <c r="L217" s="7">
        <v>0.92</v>
      </c>
      <c r="M217" s="7">
        <v>1178.3</v>
      </c>
      <c r="N217" s="7">
        <v>0.67</v>
      </c>
      <c r="O217" s="7">
        <v>57</v>
      </c>
      <c r="P217" s="7">
        <v>2</v>
      </c>
      <c r="Q217" s="6">
        <v>5</v>
      </c>
      <c r="R217" s="7" t="s">
        <v>46</v>
      </c>
      <c r="S217" s="7">
        <v>3</v>
      </c>
    </row>
    <row r="218" spans="1:19" x14ac:dyDescent="0.2">
      <c r="A218" s="7">
        <v>2012</v>
      </c>
      <c r="B218" s="104">
        <v>41134</v>
      </c>
      <c r="C218" s="105" t="s">
        <v>35</v>
      </c>
      <c r="D218" s="105" t="s">
        <v>2</v>
      </c>
      <c r="E218" s="105" t="s">
        <v>9</v>
      </c>
      <c r="F218" s="105" t="s">
        <v>38</v>
      </c>
      <c r="G218" s="9" t="s">
        <v>39</v>
      </c>
      <c r="H218" s="10" t="s">
        <v>55</v>
      </c>
      <c r="I218" s="3" t="s">
        <v>4</v>
      </c>
      <c r="J218" s="102">
        <v>0.66083333333333327</v>
      </c>
      <c r="K218" s="7">
        <v>468.7</v>
      </c>
      <c r="L218" s="7">
        <v>0.63</v>
      </c>
      <c r="M218" s="7">
        <v>1201.9000000000001</v>
      </c>
      <c r="N218" s="7">
        <v>0.67</v>
      </c>
      <c r="O218" s="7">
        <v>57</v>
      </c>
      <c r="P218" s="7">
        <v>1.2</v>
      </c>
      <c r="Q218" s="6">
        <v>20</v>
      </c>
      <c r="R218" s="7" t="s">
        <v>46</v>
      </c>
      <c r="S218" s="7">
        <v>3</v>
      </c>
    </row>
    <row r="219" spans="1:19" x14ac:dyDescent="0.2">
      <c r="A219" s="7">
        <v>2012</v>
      </c>
      <c r="B219" s="104">
        <v>41134</v>
      </c>
      <c r="C219" s="105" t="s">
        <v>35</v>
      </c>
      <c r="D219" s="105" t="s">
        <v>2</v>
      </c>
      <c r="E219" s="105" t="s">
        <v>9</v>
      </c>
      <c r="F219" s="105" t="s">
        <v>38</v>
      </c>
      <c r="G219" s="9" t="s">
        <v>39</v>
      </c>
      <c r="H219" s="10" t="s">
        <v>55</v>
      </c>
      <c r="I219" s="3" t="s">
        <v>4</v>
      </c>
      <c r="J219" s="102">
        <v>0.66145833333333337</v>
      </c>
      <c r="K219" s="7">
        <v>489.4</v>
      </c>
      <c r="L219" s="7">
        <v>0.56000000000000005</v>
      </c>
      <c r="M219" s="7">
        <v>1251.0999999999999</v>
      </c>
      <c r="N219" s="7">
        <v>0.67</v>
      </c>
      <c r="O219" s="7">
        <v>57.1</v>
      </c>
      <c r="P219" s="7">
        <v>1.2</v>
      </c>
      <c r="Q219" s="6">
        <v>35</v>
      </c>
      <c r="R219" s="7" t="s">
        <v>46</v>
      </c>
      <c r="S219" s="7">
        <v>3</v>
      </c>
    </row>
    <row r="220" spans="1:19" x14ac:dyDescent="0.2">
      <c r="A220" s="7">
        <v>2012</v>
      </c>
      <c r="B220" s="104">
        <v>41134</v>
      </c>
      <c r="C220" s="105" t="s">
        <v>35</v>
      </c>
      <c r="D220" s="105" t="s">
        <v>2</v>
      </c>
      <c r="E220" s="105" t="s">
        <v>9</v>
      </c>
      <c r="F220" s="105" t="s">
        <v>38</v>
      </c>
      <c r="G220" s="9" t="s">
        <v>39</v>
      </c>
      <c r="H220" s="10" t="s">
        <v>55</v>
      </c>
      <c r="I220" s="3" t="s">
        <v>4</v>
      </c>
      <c r="J220" s="102">
        <v>0.66206018518518517</v>
      </c>
      <c r="K220" s="7">
        <v>610.4</v>
      </c>
      <c r="L220" s="7">
        <v>0.64</v>
      </c>
      <c r="M220" s="7">
        <v>1116</v>
      </c>
      <c r="N220" s="7">
        <v>0.67</v>
      </c>
      <c r="O220" s="7">
        <v>57.1</v>
      </c>
      <c r="P220" s="7">
        <v>0.7</v>
      </c>
      <c r="Q220" s="6">
        <v>50</v>
      </c>
      <c r="R220" s="7" t="s">
        <v>46</v>
      </c>
      <c r="S220" s="7">
        <v>3</v>
      </c>
    </row>
    <row r="221" spans="1:19" x14ac:dyDescent="0.2">
      <c r="A221" s="7">
        <v>2012</v>
      </c>
      <c r="B221" s="104">
        <v>41134</v>
      </c>
      <c r="C221" s="105" t="s">
        <v>35</v>
      </c>
      <c r="D221" s="105" t="s">
        <v>2</v>
      </c>
      <c r="E221" s="105" t="s">
        <v>9</v>
      </c>
      <c r="F221" s="105" t="s">
        <v>38</v>
      </c>
      <c r="G221" s="9" t="s">
        <v>39</v>
      </c>
      <c r="H221" s="10" t="s">
        <v>55</v>
      </c>
      <c r="I221" s="3" t="s">
        <v>4</v>
      </c>
      <c r="J221" s="102">
        <v>0.66260416666666666</v>
      </c>
      <c r="K221" s="7">
        <v>605.79999999999995</v>
      </c>
      <c r="L221" s="7">
        <v>0.64</v>
      </c>
      <c r="M221" s="7">
        <v>1081.8</v>
      </c>
      <c r="N221" s="7">
        <v>0.67</v>
      </c>
      <c r="O221" s="7">
        <v>57.1</v>
      </c>
      <c r="P221" s="7">
        <v>0.7</v>
      </c>
      <c r="Q221" s="6">
        <v>65</v>
      </c>
      <c r="R221" s="7" t="s">
        <v>46</v>
      </c>
      <c r="S221" s="7">
        <v>3</v>
      </c>
    </row>
    <row r="222" spans="1:19" x14ac:dyDescent="0.2">
      <c r="A222" s="7">
        <v>2012</v>
      </c>
      <c r="B222" s="104">
        <v>41134</v>
      </c>
      <c r="C222" s="105" t="s">
        <v>35</v>
      </c>
      <c r="D222" s="105" t="s">
        <v>2</v>
      </c>
      <c r="E222" s="105" t="s">
        <v>9</v>
      </c>
      <c r="F222" s="105" t="s">
        <v>38</v>
      </c>
      <c r="G222" s="9" t="s">
        <v>39</v>
      </c>
      <c r="H222" s="10" t="s">
        <v>55</v>
      </c>
      <c r="I222" s="3" t="s">
        <v>4</v>
      </c>
      <c r="J222" s="102">
        <v>0.66288194444444437</v>
      </c>
      <c r="K222" s="7">
        <v>535</v>
      </c>
      <c r="L222" s="7">
        <v>0.6</v>
      </c>
      <c r="M222" s="7">
        <v>1218.5999999999999</v>
      </c>
      <c r="N222" s="7">
        <v>0.67</v>
      </c>
      <c r="O222" s="7">
        <v>57.2</v>
      </c>
      <c r="P222" s="7">
        <v>1</v>
      </c>
      <c r="Q222" s="6">
        <v>80</v>
      </c>
      <c r="R222" s="7" t="s">
        <v>46</v>
      </c>
      <c r="S222" s="7">
        <v>3</v>
      </c>
    </row>
    <row r="223" spans="1:19" x14ac:dyDescent="0.2">
      <c r="A223" s="7">
        <v>2012</v>
      </c>
      <c r="B223" s="104">
        <v>41134</v>
      </c>
      <c r="C223" s="105" t="s">
        <v>35</v>
      </c>
      <c r="D223" s="105" t="s">
        <v>2</v>
      </c>
      <c r="E223" s="105" t="s">
        <v>9</v>
      </c>
      <c r="F223" s="105" t="s">
        <v>38</v>
      </c>
      <c r="G223" s="9" t="s">
        <v>39</v>
      </c>
      <c r="H223" s="10" t="s">
        <v>55</v>
      </c>
      <c r="I223" s="3" t="s">
        <v>4</v>
      </c>
      <c r="J223" s="102">
        <v>0.66325231481481484</v>
      </c>
      <c r="K223" s="7">
        <v>1023.5</v>
      </c>
      <c r="L223" s="7">
        <v>0.25</v>
      </c>
      <c r="M223" s="7">
        <v>1079.5</v>
      </c>
      <c r="N223" s="7">
        <v>0.67</v>
      </c>
      <c r="O223" s="7">
        <v>57.2</v>
      </c>
      <c r="P223" s="7">
        <v>0.1</v>
      </c>
      <c r="Q223" s="6">
        <v>95</v>
      </c>
      <c r="R223" s="7" t="s">
        <v>46</v>
      </c>
      <c r="S223" s="7">
        <v>3</v>
      </c>
    </row>
    <row r="224" spans="1:19" x14ac:dyDescent="0.2">
      <c r="A224" s="7">
        <v>2012</v>
      </c>
      <c r="B224" s="104">
        <v>41134</v>
      </c>
      <c r="C224" s="105" t="s">
        <v>35</v>
      </c>
      <c r="D224" s="105" t="s">
        <v>2</v>
      </c>
      <c r="E224" s="105" t="s">
        <v>9</v>
      </c>
      <c r="F224" s="105" t="s">
        <v>38</v>
      </c>
      <c r="G224" s="9" t="s">
        <v>39</v>
      </c>
      <c r="H224" s="10" t="s">
        <v>55</v>
      </c>
      <c r="I224" s="3" t="s">
        <v>4</v>
      </c>
      <c r="J224" s="102">
        <v>0.66344907407407405</v>
      </c>
      <c r="K224" s="7">
        <v>1175</v>
      </c>
      <c r="L224" s="7">
        <v>0.01</v>
      </c>
      <c r="M224" s="7">
        <v>1179.2</v>
      </c>
      <c r="N224" s="7">
        <v>0.67</v>
      </c>
      <c r="O224" s="7">
        <v>57.2</v>
      </c>
      <c r="P224" s="7">
        <v>0</v>
      </c>
      <c r="Q224" s="6">
        <v>110</v>
      </c>
      <c r="R224" s="7" t="s">
        <v>46</v>
      </c>
      <c r="S224" s="7">
        <v>3</v>
      </c>
    </row>
    <row r="225" spans="1:18" x14ac:dyDescent="0.2">
      <c r="A225" s="7">
        <v>2012</v>
      </c>
      <c r="B225" s="25">
        <v>41101</v>
      </c>
      <c r="C225" s="10" t="s">
        <v>35</v>
      </c>
      <c r="D225" s="10" t="s">
        <v>2</v>
      </c>
      <c r="E225" s="10" t="s">
        <v>10</v>
      </c>
      <c r="F225" s="10" t="s">
        <v>38</v>
      </c>
      <c r="G225" s="9" t="s">
        <v>39</v>
      </c>
      <c r="H225" s="10" t="s">
        <v>55</v>
      </c>
      <c r="I225" s="10" t="s">
        <v>41</v>
      </c>
      <c r="J225" s="102">
        <v>0.39749999999999996</v>
      </c>
      <c r="K225" s="7">
        <v>177.2</v>
      </c>
      <c r="L225" s="7">
        <v>0.8</v>
      </c>
      <c r="M225" s="7">
        <v>1002.2</v>
      </c>
      <c r="N225" s="7">
        <v>0.83</v>
      </c>
      <c r="O225" s="7">
        <v>61.6</v>
      </c>
      <c r="P225" s="7">
        <v>1.9</v>
      </c>
      <c r="Q225" s="6">
        <v>5</v>
      </c>
      <c r="R225" s="7" t="s">
        <v>46</v>
      </c>
    </row>
    <row r="226" spans="1:18" x14ac:dyDescent="0.2">
      <c r="A226" s="7">
        <v>2012</v>
      </c>
      <c r="B226" s="25">
        <v>41101</v>
      </c>
      <c r="C226" s="10" t="s">
        <v>35</v>
      </c>
      <c r="D226" s="10" t="s">
        <v>2</v>
      </c>
      <c r="E226" s="10" t="s">
        <v>10</v>
      </c>
      <c r="F226" s="10" t="s">
        <v>38</v>
      </c>
      <c r="G226" s="9" t="s">
        <v>39</v>
      </c>
      <c r="H226" s="10" t="s">
        <v>55</v>
      </c>
      <c r="I226" s="10" t="s">
        <v>41</v>
      </c>
      <c r="J226" s="102">
        <v>0.3976041666666667</v>
      </c>
      <c r="K226" s="7">
        <v>49.9</v>
      </c>
      <c r="L226" s="7">
        <v>0.22</v>
      </c>
      <c r="M226" s="7">
        <v>468.8</v>
      </c>
      <c r="N226" s="7">
        <v>0.17</v>
      </c>
      <c r="O226" s="7">
        <v>61.6</v>
      </c>
      <c r="P226" s="7">
        <v>3.2</v>
      </c>
      <c r="Q226" s="6">
        <v>5</v>
      </c>
      <c r="R226" s="7" t="s">
        <v>0</v>
      </c>
    </row>
    <row r="227" spans="1:18" x14ac:dyDescent="0.2">
      <c r="A227" s="7">
        <v>2012</v>
      </c>
      <c r="B227" s="25">
        <v>41101</v>
      </c>
      <c r="C227" s="10" t="s">
        <v>35</v>
      </c>
      <c r="D227" s="10" t="s">
        <v>2</v>
      </c>
      <c r="E227" s="10" t="s">
        <v>10</v>
      </c>
      <c r="F227" s="10" t="s">
        <v>38</v>
      </c>
      <c r="G227" s="9" t="s">
        <v>39</v>
      </c>
      <c r="H227" s="10" t="s">
        <v>55</v>
      </c>
      <c r="I227" s="10" t="s">
        <v>41</v>
      </c>
      <c r="J227" s="102">
        <v>0.39777777777777779</v>
      </c>
      <c r="K227" s="7">
        <v>181.6</v>
      </c>
      <c r="L227" s="7">
        <v>0.66</v>
      </c>
      <c r="M227" s="7">
        <v>1003.4</v>
      </c>
      <c r="N227" s="7">
        <v>0.84</v>
      </c>
      <c r="O227" s="7">
        <v>61.6</v>
      </c>
      <c r="P227" s="7">
        <v>1.9</v>
      </c>
      <c r="Q227" s="6">
        <v>20</v>
      </c>
      <c r="R227" s="7" t="s">
        <v>46</v>
      </c>
    </row>
    <row r="228" spans="1:18" x14ac:dyDescent="0.2">
      <c r="A228" s="7">
        <v>2012</v>
      </c>
      <c r="B228" s="25">
        <v>41101</v>
      </c>
      <c r="C228" s="10" t="s">
        <v>35</v>
      </c>
      <c r="D228" s="10" t="s">
        <v>2</v>
      </c>
      <c r="E228" s="10" t="s">
        <v>10</v>
      </c>
      <c r="F228" s="10" t="s">
        <v>38</v>
      </c>
      <c r="G228" s="9" t="s">
        <v>39</v>
      </c>
      <c r="H228" s="10" t="s">
        <v>55</v>
      </c>
      <c r="I228" s="10" t="s">
        <v>41</v>
      </c>
      <c r="J228" s="102">
        <v>0.3979050925925926</v>
      </c>
      <c r="K228" s="7">
        <v>70.7</v>
      </c>
      <c r="L228" s="7">
        <v>0.15</v>
      </c>
      <c r="M228" s="7">
        <v>498</v>
      </c>
      <c r="N228" s="7">
        <v>0.22</v>
      </c>
      <c r="O228" s="7">
        <v>61.6</v>
      </c>
      <c r="P228" s="7">
        <v>2.7</v>
      </c>
      <c r="Q228" s="6">
        <v>20</v>
      </c>
      <c r="R228" s="7" t="s">
        <v>0</v>
      </c>
    </row>
    <row r="229" spans="1:18" x14ac:dyDescent="0.2">
      <c r="A229" s="7">
        <v>2012</v>
      </c>
      <c r="B229" s="25">
        <v>41101</v>
      </c>
      <c r="C229" s="10" t="s">
        <v>35</v>
      </c>
      <c r="D229" s="10" t="s">
        <v>2</v>
      </c>
      <c r="E229" s="10" t="s">
        <v>10</v>
      </c>
      <c r="F229" s="10" t="s">
        <v>38</v>
      </c>
      <c r="G229" s="9" t="s">
        <v>39</v>
      </c>
      <c r="H229" s="10" t="s">
        <v>55</v>
      </c>
      <c r="I229" s="10" t="s">
        <v>41</v>
      </c>
      <c r="J229" s="102">
        <v>0.39809027777777778</v>
      </c>
      <c r="K229" s="7">
        <v>497.3</v>
      </c>
      <c r="L229" s="7">
        <v>0.5</v>
      </c>
      <c r="M229" s="7">
        <v>1005.9</v>
      </c>
      <c r="N229" s="7">
        <v>0.84</v>
      </c>
      <c r="O229" s="7">
        <v>61.5</v>
      </c>
      <c r="P229" s="7">
        <v>0.8</v>
      </c>
      <c r="Q229" s="6">
        <v>35</v>
      </c>
      <c r="R229" s="7" t="s">
        <v>46</v>
      </c>
    </row>
    <row r="230" spans="1:18" x14ac:dyDescent="0.2">
      <c r="A230" s="7">
        <v>2012</v>
      </c>
      <c r="B230" s="25">
        <v>41101</v>
      </c>
      <c r="C230" s="10" t="s">
        <v>35</v>
      </c>
      <c r="D230" s="10" t="s">
        <v>2</v>
      </c>
      <c r="E230" s="10" t="s">
        <v>10</v>
      </c>
      <c r="F230" s="10" t="s">
        <v>38</v>
      </c>
      <c r="G230" s="9" t="s">
        <v>39</v>
      </c>
      <c r="H230" s="10" t="s">
        <v>55</v>
      </c>
      <c r="I230" s="10" t="s">
        <v>41</v>
      </c>
      <c r="J230" s="102">
        <v>0.39817129629629627</v>
      </c>
      <c r="K230" s="7">
        <v>111.2</v>
      </c>
      <c r="L230" s="7">
        <v>0.23</v>
      </c>
      <c r="M230" s="7">
        <v>649.4</v>
      </c>
      <c r="N230" s="7">
        <v>0.02</v>
      </c>
      <c r="O230" s="7">
        <v>61.5</v>
      </c>
      <c r="P230" s="7">
        <v>2.6</v>
      </c>
      <c r="Q230" s="6">
        <v>35</v>
      </c>
      <c r="R230" s="7" t="s">
        <v>0</v>
      </c>
    </row>
    <row r="231" spans="1:18" x14ac:dyDescent="0.2">
      <c r="A231" s="7">
        <v>2012</v>
      </c>
      <c r="B231" s="25">
        <v>41101</v>
      </c>
      <c r="C231" s="10" t="s">
        <v>35</v>
      </c>
      <c r="D231" s="10" t="s">
        <v>2</v>
      </c>
      <c r="E231" s="10" t="s">
        <v>10</v>
      </c>
      <c r="F231" s="10" t="s">
        <v>38</v>
      </c>
      <c r="G231" s="9" t="s">
        <v>39</v>
      </c>
      <c r="H231" s="10" t="s">
        <v>55</v>
      </c>
      <c r="I231" s="10" t="s">
        <v>41</v>
      </c>
      <c r="J231" s="102">
        <v>0.39817129629629627</v>
      </c>
      <c r="K231" s="7">
        <v>111.2</v>
      </c>
      <c r="L231" s="7">
        <v>0.23</v>
      </c>
      <c r="M231" s="7">
        <v>649.4</v>
      </c>
      <c r="N231" s="7">
        <v>0.02</v>
      </c>
      <c r="O231" s="7">
        <v>61.5</v>
      </c>
      <c r="P231" s="7">
        <v>2.6</v>
      </c>
      <c r="Q231" s="6">
        <v>50</v>
      </c>
      <c r="R231" s="7" t="s">
        <v>46</v>
      </c>
    </row>
    <row r="232" spans="1:18" x14ac:dyDescent="0.2">
      <c r="A232" s="7">
        <v>2012</v>
      </c>
      <c r="B232" s="25">
        <v>41101</v>
      </c>
      <c r="C232" s="10" t="s">
        <v>35</v>
      </c>
      <c r="D232" s="10" t="s">
        <v>2</v>
      </c>
      <c r="E232" s="10" t="s">
        <v>10</v>
      </c>
      <c r="F232" s="10" t="s">
        <v>38</v>
      </c>
      <c r="G232" s="9" t="s">
        <v>39</v>
      </c>
      <c r="H232" s="10" t="s">
        <v>55</v>
      </c>
      <c r="I232" s="10" t="s">
        <v>41</v>
      </c>
      <c r="J232" s="102">
        <v>0.39839120370370368</v>
      </c>
      <c r="K232" s="7">
        <v>723.8</v>
      </c>
      <c r="L232" s="7">
        <v>0.21</v>
      </c>
      <c r="M232" s="7">
        <v>1003.4</v>
      </c>
      <c r="N232" s="7">
        <v>0.84</v>
      </c>
      <c r="O232" s="7">
        <v>61.5</v>
      </c>
      <c r="P232" s="7">
        <v>0.4</v>
      </c>
      <c r="Q232" s="6">
        <v>50</v>
      </c>
      <c r="R232" s="7" t="s">
        <v>0</v>
      </c>
    </row>
    <row r="233" spans="1:18" x14ac:dyDescent="0.2">
      <c r="A233" s="7">
        <v>2012</v>
      </c>
      <c r="B233" s="25">
        <v>41101</v>
      </c>
      <c r="C233" s="10" t="s">
        <v>35</v>
      </c>
      <c r="D233" s="10" t="s">
        <v>2</v>
      </c>
      <c r="E233" s="10" t="s">
        <v>10</v>
      </c>
      <c r="F233" s="10" t="s">
        <v>38</v>
      </c>
      <c r="G233" s="9" t="s">
        <v>39</v>
      </c>
      <c r="H233" s="10" t="s">
        <v>55</v>
      </c>
      <c r="I233" s="10" t="s">
        <v>41</v>
      </c>
      <c r="J233" s="102">
        <v>0.39861111111111108</v>
      </c>
      <c r="K233" s="7">
        <v>174.1</v>
      </c>
      <c r="L233" s="7">
        <v>0.11</v>
      </c>
      <c r="M233" s="7">
        <v>716.6</v>
      </c>
      <c r="N233" s="7">
        <v>7.0000000000000007E-2</v>
      </c>
      <c r="O233" s="7">
        <v>61.5</v>
      </c>
      <c r="P233" s="7">
        <v>2</v>
      </c>
      <c r="Q233" s="6">
        <v>65</v>
      </c>
      <c r="R233" s="7" t="s">
        <v>46</v>
      </c>
    </row>
    <row r="234" spans="1:18" x14ac:dyDescent="0.2">
      <c r="A234" s="7">
        <v>2012</v>
      </c>
      <c r="B234" s="25">
        <v>41101</v>
      </c>
      <c r="C234" s="10" t="s">
        <v>35</v>
      </c>
      <c r="D234" s="10" t="s">
        <v>2</v>
      </c>
      <c r="E234" s="10" t="s">
        <v>10</v>
      </c>
      <c r="F234" s="10" t="s">
        <v>38</v>
      </c>
      <c r="G234" s="9" t="s">
        <v>39</v>
      </c>
      <c r="H234" s="10" t="s">
        <v>55</v>
      </c>
      <c r="I234" s="10" t="s">
        <v>41</v>
      </c>
      <c r="J234" s="102">
        <v>0.39877314814814818</v>
      </c>
      <c r="K234" s="7">
        <v>764.8</v>
      </c>
      <c r="L234" s="7">
        <v>0.11</v>
      </c>
      <c r="M234" s="7">
        <v>1005.9</v>
      </c>
      <c r="N234" s="7">
        <v>0.84</v>
      </c>
      <c r="O234" s="7">
        <v>61.4</v>
      </c>
      <c r="P234" s="7">
        <v>0.3</v>
      </c>
      <c r="Q234" s="6">
        <v>65</v>
      </c>
      <c r="R234" s="7" t="s">
        <v>0</v>
      </c>
    </row>
    <row r="235" spans="1:18" x14ac:dyDescent="0.2">
      <c r="A235" s="7">
        <v>2012</v>
      </c>
      <c r="B235" s="25">
        <v>41101</v>
      </c>
      <c r="C235" s="10" t="s">
        <v>35</v>
      </c>
      <c r="D235" s="10" t="s">
        <v>2</v>
      </c>
      <c r="E235" s="10" t="s">
        <v>10</v>
      </c>
      <c r="F235" s="10" t="s">
        <v>38</v>
      </c>
      <c r="G235" s="9" t="s">
        <v>39</v>
      </c>
      <c r="H235" s="10" t="s">
        <v>55</v>
      </c>
      <c r="I235" s="10" t="s">
        <v>41</v>
      </c>
      <c r="J235" s="102">
        <v>0.39884259259259264</v>
      </c>
      <c r="K235" s="7">
        <v>174.1</v>
      </c>
      <c r="L235" s="7">
        <v>0.1</v>
      </c>
      <c r="M235" s="7">
        <v>688.5</v>
      </c>
      <c r="N235" s="7">
        <v>0.08</v>
      </c>
      <c r="O235" s="7">
        <v>61.4</v>
      </c>
      <c r="P235" s="7">
        <v>1.9</v>
      </c>
      <c r="Q235" s="6">
        <v>5</v>
      </c>
      <c r="R235" s="7" t="s">
        <v>46</v>
      </c>
    </row>
    <row r="236" spans="1:18" x14ac:dyDescent="0.2">
      <c r="A236" s="7">
        <v>2012</v>
      </c>
      <c r="B236" s="25">
        <v>41101</v>
      </c>
      <c r="C236" s="10" t="s">
        <v>35</v>
      </c>
      <c r="D236" s="10" t="s">
        <v>2</v>
      </c>
      <c r="E236" s="10" t="s">
        <v>10</v>
      </c>
      <c r="F236" s="10" t="s">
        <v>38</v>
      </c>
      <c r="G236" s="9" t="s">
        <v>39</v>
      </c>
      <c r="H236" s="10" t="s">
        <v>55</v>
      </c>
      <c r="I236" s="10" t="s">
        <v>41</v>
      </c>
      <c r="J236" s="102">
        <v>0.39922453703703703</v>
      </c>
      <c r="K236" s="7">
        <v>103.5</v>
      </c>
      <c r="L236" s="7">
        <v>1.0900000000000001</v>
      </c>
      <c r="M236" s="7">
        <v>1010.7</v>
      </c>
      <c r="N236" s="7">
        <v>0.84</v>
      </c>
      <c r="O236" s="7">
        <v>61.4</v>
      </c>
      <c r="P236" s="7">
        <v>2.6</v>
      </c>
      <c r="Q236" s="6">
        <v>5</v>
      </c>
      <c r="R236" s="7" t="s">
        <v>0</v>
      </c>
    </row>
    <row r="237" spans="1:18" x14ac:dyDescent="0.2">
      <c r="A237" s="7">
        <v>2012</v>
      </c>
      <c r="B237" s="25">
        <v>41101</v>
      </c>
      <c r="C237" s="10" t="s">
        <v>35</v>
      </c>
      <c r="D237" s="10" t="s">
        <v>2</v>
      </c>
      <c r="E237" s="10" t="s">
        <v>10</v>
      </c>
      <c r="F237" s="10" t="s">
        <v>38</v>
      </c>
      <c r="G237" s="9" t="s">
        <v>39</v>
      </c>
      <c r="H237" s="10" t="s">
        <v>55</v>
      </c>
      <c r="I237" s="10" t="s">
        <v>41</v>
      </c>
      <c r="J237" s="102">
        <v>0.39930555555555558</v>
      </c>
      <c r="K237" s="7">
        <v>53.9</v>
      </c>
      <c r="L237" s="7">
        <v>0.39</v>
      </c>
      <c r="M237" s="7">
        <v>773.9</v>
      </c>
      <c r="N237" s="7">
        <v>7.0000000000000007E-2</v>
      </c>
      <c r="O237" s="7">
        <v>61.4</v>
      </c>
      <c r="P237" s="7">
        <v>4</v>
      </c>
      <c r="Q237" s="6">
        <v>20</v>
      </c>
      <c r="R237" s="7" t="s">
        <v>46</v>
      </c>
    </row>
    <row r="238" spans="1:18" x14ac:dyDescent="0.2">
      <c r="A238" s="7">
        <v>2012</v>
      </c>
      <c r="B238" s="25">
        <v>41101</v>
      </c>
      <c r="C238" s="10" t="s">
        <v>35</v>
      </c>
      <c r="D238" s="10" t="s">
        <v>2</v>
      </c>
      <c r="E238" s="10" t="s">
        <v>10</v>
      </c>
      <c r="F238" s="10" t="s">
        <v>38</v>
      </c>
      <c r="G238" s="9" t="s">
        <v>39</v>
      </c>
      <c r="H238" s="10" t="s">
        <v>55</v>
      </c>
      <c r="I238" s="10" t="s">
        <v>41</v>
      </c>
      <c r="J238" s="102">
        <v>0.39944444444444444</v>
      </c>
      <c r="K238" s="7">
        <v>280.8</v>
      </c>
      <c r="L238" s="7">
        <v>0.74</v>
      </c>
      <c r="M238" s="7">
        <v>1010.7</v>
      </c>
      <c r="N238" s="7">
        <v>0.84</v>
      </c>
      <c r="O238" s="7">
        <v>61.4</v>
      </c>
      <c r="P238" s="7">
        <v>1.4</v>
      </c>
      <c r="Q238" s="6">
        <v>20</v>
      </c>
      <c r="R238" s="7" t="s">
        <v>0</v>
      </c>
    </row>
    <row r="239" spans="1:18" x14ac:dyDescent="0.2">
      <c r="A239" s="7">
        <v>2012</v>
      </c>
      <c r="B239" s="25">
        <v>41101</v>
      </c>
      <c r="C239" s="10" t="s">
        <v>35</v>
      </c>
      <c r="D239" s="10" t="s">
        <v>2</v>
      </c>
      <c r="E239" s="10" t="s">
        <v>10</v>
      </c>
      <c r="F239" s="10" t="s">
        <v>38</v>
      </c>
      <c r="G239" s="9" t="s">
        <v>39</v>
      </c>
      <c r="H239" s="10" t="s">
        <v>55</v>
      </c>
      <c r="I239" s="10" t="s">
        <v>41</v>
      </c>
      <c r="J239" s="102">
        <v>0.39953703703703702</v>
      </c>
      <c r="K239" s="7">
        <v>103</v>
      </c>
      <c r="L239" s="7">
        <v>0.36</v>
      </c>
      <c r="M239" s="7">
        <v>687.3</v>
      </c>
      <c r="N239" s="7">
        <v>0.11</v>
      </c>
      <c r="O239" s="7">
        <v>61.3</v>
      </c>
      <c r="P239" s="7">
        <v>2.7</v>
      </c>
      <c r="Q239" s="6">
        <v>35</v>
      </c>
      <c r="R239" s="7" t="s">
        <v>46</v>
      </c>
    </row>
    <row r="240" spans="1:18" x14ac:dyDescent="0.2">
      <c r="A240" s="7">
        <v>2012</v>
      </c>
      <c r="B240" s="25">
        <v>41101</v>
      </c>
      <c r="C240" s="10" t="s">
        <v>35</v>
      </c>
      <c r="D240" s="10" t="s">
        <v>2</v>
      </c>
      <c r="E240" s="10" t="s">
        <v>10</v>
      </c>
      <c r="F240" s="10" t="s">
        <v>38</v>
      </c>
      <c r="G240" s="9" t="s">
        <v>39</v>
      </c>
      <c r="H240" s="10" t="s">
        <v>55</v>
      </c>
      <c r="I240" s="10" t="s">
        <v>41</v>
      </c>
      <c r="J240" s="102">
        <v>0.39971064814814811</v>
      </c>
      <c r="K240" s="7">
        <v>457.6</v>
      </c>
      <c r="L240" s="7">
        <v>0.54</v>
      </c>
      <c r="M240" s="7">
        <v>1010.7</v>
      </c>
      <c r="N240" s="7">
        <v>0.84</v>
      </c>
      <c r="O240" s="7">
        <v>61.3</v>
      </c>
      <c r="P240" s="7">
        <v>0.9</v>
      </c>
      <c r="Q240" s="6">
        <v>35</v>
      </c>
      <c r="R240" s="7" t="s">
        <v>0</v>
      </c>
    </row>
    <row r="241" spans="1:18" x14ac:dyDescent="0.2">
      <c r="A241" s="7">
        <v>2012</v>
      </c>
      <c r="B241" s="25">
        <v>41101</v>
      </c>
      <c r="C241" s="10" t="s">
        <v>35</v>
      </c>
      <c r="D241" s="10" t="s">
        <v>2</v>
      </c>
      <c r="E241" s="10" t="s">
        <v>10</v>
      </c>
      <c r="F241" s="10" t="s">
        <v>38</v>
      </c>
      <c r="G241" s="9" t="s">
        <v>39</v>
      </c>
      <c r="H241" s="10" t="s">
        <v>55</v>
      </c>
      <c r="I241" s="10" t="s">
        <v>41</v>
      </c>
      <c r="J241" s="102">
        <v>0.39980324074074075</v>
      </c>
      <c r="K241" s="7">
        <v>137</v>
      </c>
      <c r="L241" s="7">
        <v>0.16</v>
      </c>
      <c r="M241" s="7">
        <v>629.9</v>
      </c>
      <c r="N241" s="7">
        <v>0.12</v>
      </c>
      <c r="O241" s="7">
        <v>61.3</v>
      </c>
      <c r="P241" s="7">
        <v>2.1</v>
      </c>
      <c r="Q241" s="6">
        <v>50</v>
      </c>
      <c r="R241" s="7" t="s">
        <v>46</v>
      </c>
    </row>
    <row r="242" spans="1:18" x14ac:dyDescent="0.2">
      <c r="A242" s="7">
        <v>2012</v>
      </c>
      <c r="B242" s="25">
        <v>41101</v>
      </c>
      <c r="C242" s="10" t="s">
        <v>35</v>
      </c>
      <c r="D242" s="10" t="s">
        <v>2</v>
      </c>
      <c r="E242" s="10" t="s">
        <v>10</v>
      </c>
      <c r="F242" s="10" t="s">
        <v>38</v>
      </c>
      <c r="G242" s="9" t="s">
        <v>39</v>
      </c>
      <c r="H242" s="10" t="s">
        <v>55</v>
      </c>
      <c r="I242" s="10" t="s">
        <v>41</v>
      </c>
      <c r="J242" s="102">
        <v>0.39993055555555551</v>
      </c>
      <c r="K242" s="7">
        <v>739.2</v>
      </c>
      <c r="L242" s="7">
        <v>0.2</v>
      </c>
      <c r="M242" s="7">
        <v>1013.2</v>
      </c>
      <c r="N242" s="7">
        <v>0.84</v>
      </c>
      <c r="O242" s="7">
        <v>61.3</v>
      </c>
      <c r="P242" s="7">
        <v>0.3</v>
      </c>
      <c r="Q242" s="6">
        <v>50</v>
      </c>
      <c r="R242" s="7" t="s">
        <v>0</v>
      </c>
    </row>
    <row r="243" spans="1:18" x14ac:dyDescent="0.2">
      <c r="A243" s="7">
        <v>2012</v>
      </c>
      <c r="B243" s="25">
        <v>41101</v>
      </c>
      <c r="C243" s="10" t="s">
        <v>35</v>
      </c>
      <c r="D243" s="10" t="s">
        <v>2</v>
      </c>
      <c r="E243" s="10" t="s">
        <v>10</v>
      </c>
      <c r="F243" s="10" t="s">
        <v>38</v>
      </c>
      <c r="G243" s="9" t="s">
        <v>39</v>
      </c>
      <c r="H243" s="10" t="s">
        <v>55</v>
      </c>
      <c r="I243" s="10" t="s">
        <v>41</v>
      </c>
      <c r="J243" s="102">
        <v>0.40005787037037038</v>
      </c>
      <c r="K243" s="7">
        <v>175</v>
      </c>
      <c r="L243" s="7">
        <v>0.1</v>
      </c>
      <c r="M243" s="7">
        <v>715.3</v>
      </c>
      <c r="N243" s="7">
        <v>7.0000000000000007E-2</v>
      </c>
      <c r="O243" s="7">
        <v>61.3</v>
      </c>
      <c r="P243" s="7">
        <v>1.9</v>
      </c>
      <c r="Q243" s="6">
        <v>65</v>
      </c>
      <c r="R243" s="7" t="s">
        <v>46</v>
      </c>
    </row>
    <row r="244" spans="1:18" x14ac:dyDescent="0.2">
      <c r="A244" s="7">
        <v>2012</v>
      </c>
      <c r="B244" s="25">
        <v>41101</v>
      </c>
      <c r="C244" s="10" t="s">
        <v>35</v>
      </c>
      <c r="D244" s="10" t="s">
        <v>2</v>
      </c>
      <c r="E244" s="10" t="s">
        <v>10</v>
      </c>
      <c r="F244" s="10" t="s">
        <v>38</v>
      </c>
      <c r="G244" s="9" t="s">
        <v>39</v>
      </c>
      <c r="H244" s="10" t="s">
        <v>55</v>
      </c>
      <c r="I244" s="10" t="s">
        <v>41</v>
      </c>
      <c r="J244" s="102">
        <v>0.4001851851851852</v>
      </c>
      <c r="K244" s="7">
        <v>781.2</v>
      </c>
      <c r="L244" s="7">
        <v>0.02</v>
      </c>
      <c r="M244" s="7">
        <v>1013.2</v>
      </c>
      <c r="N244" s="7">
        <v>0.84</v>
      </c>
      <c r="O244" s="7">
        <v>61.3</v>
      </c>
      <c r="P244" s="7">
        <v>0.3</v>
      </c>
      <c r="Q244" s="6">
        <v>65</v>
      </c>
      <c r="R244" s="7" t="s">
        <v>0</v>
      </c>
    </row>
    <row r="245" spans="1:18" x14ac:dyDescent="0.2">
      <c r="A245" s="7">
        <v>2012</v>
      </c>
      <c r="B245" s="25">
        <v>41101</v>
      </c>
      <c r="C245" s="10" t="s">
        <v>35</v>
      </c>
      <c r="D245" s="10" t="s">
        <v>2</v>
      </c>
      <c r="E245" s="10" t="s">
        <v>10</v>
      </c>
      <c r="F245" s="10" t="s">
        <v>38</v>
      </c>
      <c r="G245" s="9" t="s">
        <v>39</v>
      </c>
      <c r="H245" s="10" t="s">
        <v>55</v>
      </c>
      <c r="I245" s="10" t="s">
        <v>41</v>
      </c>
      <c r="J245" s="102">
        <v>0.40026620370370369</v>
      </c>
      <c r="K245" s="7">
        <v>188.5</v>
      </c>
      <c r="L245" s="7">
        <v>0.12</v>
      </c>
      <c r="M245" s="7">
        <v>614</v>
      </c>
      <c r="N245" s="7">
        <v>0.06</v>
      </c>
      <c r="O245" s="7">
        <v>61.2</v>
      </c>
      <c r="P245" s="7">
        <v>1.6</v>
      </c>
      <c r="Q245" s="6">
        <v>5</v>
      </c>
      <c r="R245" s="7" t="s">
        <v>46</v>
      </c>
    </row>
    <row r="246" spans="1:18" x14ac:dyDescent="0.2">
      <c r="A246" s="7">
        <v>2012</v>
      </c>
      <c r="B246" s="25">
        <v>41101</v>
      </c>
      <c r="C246" s="10" t="s">
        <v>35</v>
      </c>
      <c r="D246" s="10" t="s">
        <v>2</v>
      </c>
      <c r="E246" s="10" t="s">
        <v>10</v>
      </c>
      <c r="F246" s="10" t="s">
        <v>38</v>
      </c>
      <c r="G246" s="9" t="s">
        <v>39</v>
      </c>
      <c r="H246" s="10" t="s">
        <v>55</v>
      </c>
      <c r="I246" s="10" t="s">
        <v>41</v>
      </c>
      <c r="J246" s="102">
        <v>0.40077546296296296</v>
      </c>
      <c r="K246" s="7">
        <v>82.8</v>
      </c>
      <c r="L246" s="7">
        <v>0.98</v>
      </c>
      <c r="M246" s="7">
        <v>1018.1</v>
      </c>
      <c r="N246" s="7">
        <v>0.84</v>
      </c>
      <c r="O246" s="7">
        <v>61.2</v>
      </c>
      <c r="P246" s="7">
        <v>2.9</v>
      </c>
      <c r="Q246" s="6">
        <v>5</v>
      </c>
      <c r="R246" s="7" t="s">
        <v>0</v>
      </c>
    </row>
    <row r="247" spans="1:18" x14ac:dyDescent="0.2">
      <c r="A247" s="7">
        <v>2012</v>
      </c>
      <c r="B247" s="25">
        <v>41101</v>
      </c>
      <c r="C247" s="10" t="s">
        <v>35</v>
      </c>
      <c r="D247" s="10" t="s">
        <v>2</v>
      </c>
      <c r="E247" s="10" t="s">
        <v>10</v>
      </c>
      <c r="F247" s="10" t="s">
        <v>38</v>
      </c>
      <c r="G247" s="9" t="s">
        <v>39</v>
      </c>
      <c r="H247" s="10" t="s">
        <v>55</v>
      </c>
      <c r="I247" s="10" t="s">
        <v>41</v>
      </c>
      <c r="J247" s="102">
        <v>0.40087962962962959</v>
      </c>
      <c r="K247" s="7">
        <v>33</v>
      </c>
      <c r="L247" s="7">
        <v>0.25</v>
      </c>
      <c r="M247" s="7">
        <v>743.4</v>
      </c>
      <c r="N247" s="7">
        <v>0.06</v>
      </c>
      <c r="O247" s="7">
        <v>61.2</v>
      </c>
      <c r="P247" s="7">
        <v>4.9000000000000004</v>
      </c>
      <c r="Q247" s="6">
        <v>20</v>
      </c>
      <c r="R247" s="7" t="s">
        <v>46</v>
      </c>
    </row>
    <row r="248" spans="1:18" x14ac:dyDescent="0.2">
      <c r="A248" s="7">
        <v>2012</v>
      </c>
      <c r="B248" s="25">
        <v>41101</v>
      </c>
      <c r="C248" s="10" t="s">
        <v>35</v>
      </c>
      <c r="D248" s="10" t="s">
        <v>2</v>
      </c>
      <c r="E248" s="10" t="s">
        <v>10</v>
      </c>
      <c r="F248" s="10" t="s">
        <v>38</v>
      </c>
      <c r="G248" s="9" t="s">
        <v>39</v>
      </c>
      <c r="H248" s="10" t="s">
        <v>55</v>
      </c>
      <c r="I248" s="10" t="s">
        <v>41</v>
      </c>
      <c r="J248" s="102">
        <v>0.40100694444444446</v>
      </c>
      <c r="K248" s="7">
        <v>186</v>
      </c>
      <c r="L248" s="7">
        <v>0.94</v>
      </c>
      <c r="M248" s="7">
        <v>1020.5</v>
      </c>
      <c r="N248" s="7">
        <v>0.84</v>
      </c>
      <c r="O248" s="7">
        <v>61.2</v>
      </c>
      <c r="P248" s="7">
        <v>1.9</v>
      </c>
      <c r="Q248" s="6">
        <v>20</v>
      </c>
      <c r="R248" s="7" t="s">
        <v>0</v>
      </c>
    </row>
    <row r="249" spans="1:18" x14ac:dyDescent="0.2">
      <c r="A249" s="7">
        <v>2012</v>
      </c>
      <c r="B249" s="25">
        <v>41101</v>
      </c>
      <c r="C249" s="10" t="s">
        <v>35</v>
      </c>
      <c r="D249" s="10" t="s">
        <v>2</v>
      </c>
      <c r="E249" s="10" t="s">
        <v>10</v>
      </c>
      <c r="F249" s="10" t="s">
        <v>38</v>
      </c>
      <c r="G249" s="9" t="s">
        <v>39</v>
      </c>
      <c r="H249" s="10" t="s">
        <v>55</v>
      </c>
      <c r="I249" s="10" t="s">
        <v>41</v>
      </c>
      <c r="J249" s="102">
        <v>0.40108796296296295</v>
      </c>
      <c r="K249" s="7">
        <v>81.3</v>
      </c>
      <c r="L249" s="7">
        <v>0.25</v>
      </c>
      <c r="M249" s="7">
        <v>728.8</v>
      </c>
      <c r="N249" s="7">
        <v>7.0000000000000007E-2</v>
      </c>
      <c r="O249" s="7">
        <v>61.1</v>
      </c>
      <c r="P249" s="7">
        <v>3.2</v>
      </c>
      <c r="Q249" s="6">
        <v>35</v>
      </c>
      <c r="R249" s="7" t="s">
        <v>46</v>
      </c>
    </row>
    <row r="250" spans="1:18" x14ac:dyDescent="0.2">
      <c r="A250" s="7">
        <v>2012</v>
      </c>
      <c r="B250" s="25">
        <v>41101</v>
      </c>
      <c r="C250" s="10" t="s">
        <v>35</v>
      </c>
      <c r="D250" s="10" t="s">
        <v>2</v>
      </c>
      <c r="E250" s="10" t="s">
        <v>10</v>
      </c>
      <c r="F250" s="10" t="s">
        <v>38</v>
      </c>
      <c r="G250" s="9" t="s">
        <v>39</v>
      </c>
      <c r="H250" s="10" t="s">
        <v>55</v>
      </c>
      <c r="I250" s="10" t="s">
        <v>41</v>
      </c>
      <c r="J250" s="102">
        <v>0.40121527777777777</v>
      </c>
      <c r="K250" s="7">
        <v>405.7</v>
      </c>
      <c r="L250" s="7">
        <v>0.64</v>
      </c>
      <c r="M250" s="7">
        <v>1021.7</v>
      </c>
      <c r="N250" s="7">
        <v>0.84</v>
      </c>
      <c r="O250" s="7">
        <v>61.1</v>
      </c>
      <c r="P250" s="7">
        <v>1</v>
      </c>
      <c r="Q250" s="6">
        <v>35</v>
      </c>
      <c r="R250" s="7" t="s">
        <v>0</v>
      </c>
    </row>
    <row r="251" spans="1:18" x14ac:dyDescent="0.2">
      <c r="A251" s="7">
        <v>2012</v>
      </c>
      <c r="B251" s="25">
        <v>41101</v>
      </c>
      <c r="C251" s="10" t="s">
        <v>35</v>
      </c>
      <c r="D251" s="10" t="s">
        <v>2</v>
      </c>
      <c r="E251" s="10" t="s">
        <v>10</v>
      </c>
      <c r="F251" s="10" t="s">
        <v>38</v>
      </c>
      <c r="G251" s="9" t="s">
        <v>39</v>
      </c>
      <c r="H251" s="10" t="s">
        <v>55</v>
      </c>
      <c r="I251" s="10" t="s">
        <v>41</v>
      </c>
      <c r="J251" s="102">
        <v>0.40129629629629626</v>
      </c>
      <c r="K251" s="7">
        <v>98.2</v>
      </c>
      <c r="L251" s="7">
        <v>0.27</v>
      </c>
      <c r="M251" s="7">
        <v>678.7</v>
      </c>
      <c r="N251" s="7">
        <v>0.04</v>
      </c>
      <c r="O251" s="7">
        <v>61.1</v>
      </c>
      <c r="P251" s="7">
        <v>2.8</v>
      </c>
      <c r="Q251" s="6">
        <v>50</v>
      </c>
      <c r="R251" s="7" t="s">
        <v>46</v>
      </c>
    </row>
    <row r="252" spans="1:18" x14ac:dyDescent="0.2">
      <c r="A252" s="7">
        <v>2012</v>
      </c>
      <c r="B252" s="25">
        <v>41101</v>
      </c>
      <c r="C252" s="10" t="s">
        <v>35</v>
      </c>
      <c r="D252" s="10" t="s">
        <v>2</v>
      </c>
      <c r="E252" s="10" t="s">
        <v>10</v>
      </c>
      <c r="F252" s="10" t="s">
        <v>38</v>
      </c>
      <c r="G252" s="9" t="s">
        <v>39</v>
      </c>
      <c r="H252" s="10" t="s">
        <v>55</v>
      </c>
      <c r="I252" s="10" t="s">
        <v>41</v>
      </c>
      <c r="J252" s="102">
        <v>0.40141203703703704</v>
      </c>
      <c r="K252" s="7">
        <v>675.1</v>
      </c>
      <c r="L252" s="7">
        <v>0.32</v>
      </c>
      <c r="M252" s="7">
        <v>1020.5</v>
      </c>
      <c r="N252" s="7">
        <v>0.84</v>
      </c>
      <c r="O252" s="7">
        <v>61.1</v>
      </c>
      <c r="P252" s="7">
        <v>0.5</v>
      </c>
      <c r="Q252" s="6">
        <v>50</v>
      </c>
      <c r="R252" s="7" t="s">
        <v>0</v>
      </c>
    </row>
    <row r="253" spans="1:18" x14ac:dyDescent="0.2">
      <c r="A253" s="7">
        <v>2012</v>
      </c>
      <c r="B253" s="25">
        <v>41101</v>
      </c>
      <c r="C253" s="10" t="s">
        <v>35</v>
      </c>
      <c r="D253" s="10" t="s">
        <v>2</v>
      </c>
      <c r="E253" s="10" t="s">
        <v>10</v>
      </c>
      <c r="F253" s="10" t="s">
        <v>38</v>
      </c>
      <c r="G253" s="9" t="s">
        <v>39</v>
      </c>
      <c r="H253" s="10" t="s">
        <v>55</v>
      </c>
      <c r="I253" s="10" t="s">
        <v>41</v>
      </c>
      <c r="J253" s="102">
        <v>0.40150462962962963</v>
      </c>
      <c r="K253" s="7">
        <v>181</v>
      </c>
      <c r="L253" s="7">
        <v>0.16</v>
      </c>
      <c r="M253" s="7">
        <v>773.9</v>
      </c>
      <c r="N253" s="7">
        <v>0.09</v>
      </c>
      <c r="O253" s="7">
        <v>61.1</v>
      </c>
      <c r="P253" s="7">
        <v>2</v>
      </c>
      <c r="Q253" s="6">
        <v>65</v>
      </c>
      <c r="R253" s="7" t="s">
        <v>46</v>
      </c>
    </row>
    <row r="254" spans="1:18" x14ac:dyDescent="0.2">
      <c r="A254" s="7">
        <v>2012</v>
      </c>
      <c r="B254" s="25">
        <v>41101</v>
      </c>
      <c r="C254" s="10" t="s">
        <v>35</v>
      </c>
      <c r="D254" s="10" t="s">
        <v>2</v>
      </c>
      <c r="E254" s="10" t="s">
        <v>10</v>
      </c>
      <c r="F254" s="10" t="s">
        <v>38</v>
      </c>
      <c r="G254" s="9" t="s">
        <v>39</v>
      </c>
      <c r="H254" s="10" t="s">
        <v>55</v>
      </c>
      <c r="I254" s="10" t="s">
        <v>41</v>
      </c>
      <c r="J254" s="102">
        <v>0.40162037037037041</v>
      </c>
      <c r="K254" s="7">
        <v>807.2</v>
      </c>
      <c r="L254" s="7">
        <v>0.02</v>
      </c>
      <c r="M254" s="7">
        <v>1020.5</v>
      </c>
      <c r="N254" s="7">
        <v>0.84</v>
      </c>
      <c r="O254" s="7">
        <v>61.1</v>
      </c>
      <c r="P254" s="7">
        <v>0.3</v>
      </c>
      <c r="Q254" s="6">
        <v>65</v>
      </c>
      <c r="R254" s="7" t="s">
        <v>0</v>
      </c>
    </row>
    <row r="255" spans="1:18" x14ac:dyDescent="0.2">
      <c r="A255" s="7">
        <v>2012</v>
      </c>
      <c r="B255" s="104">
        <v>41102</v>
      </c>
      <c r="C255" s="7" t="s">
        <v>35</v>
      </c>
      <c r="D255" s="7" t="s">
        <v>36</v>
      </c>
      <c r="E255" s="7" t="s">
        <v>11</v>
      </c>
      <c r="F255" s="7" t="s">
        <v>38</v>
      </c>
      <c r="G255" s="9" t="s">
        <v>39</v>
      </c>
      <c r="H255" s="10" t="s">
        <v>55</v>
      </c>
      <c r="I255" s="7" t="s">
        <v>41</v>
      </c>
      <c r="J255" s="102">
        <v>0.38745370370370374</v>
      </c>
      <c r="K255" s="7">
        <v>26.4</v>
      </c>
      <c r="L255" s="7">
        <v>0.68</v>
      </c>
      <c r="M255" s="7">
        <v>970.5</v>
      </c>
      <c r="N255" s="7">
        <v>0.77</v>
      </c>
      <c r="O255" s="7">
        <v>63</v>
      </c>
      <c r="P255" s="7">
        <v>4.2</v>
      </c>
      <c r="Q255" s="6">
        <v>5</v>
      </c>
      <c r="R255" s="7" t="s">
        <v>46</v>
      </c>
    </row>
    <row r="256" spans="1:18" x14ac:dyDescent="0.2">
      <c r="A256" s="7">
        <v>2012</v>
      </c>
      <c r="B256" s="25">
        <v>41102</v>
      </c>
      <c r="C256" s="10" t="s">
        <v>35</v>
      </c>
      <c r="D256" s="10" t="s">
        <v>36</v>
      </c>
      <c r="E256" s="10" t="s">
        <v>11</v>
      </c>
      <c r="F256" s="10" t="s">
        <v>38</v>
      </c>
      <c r="G256" s="9" t="s">
        <v>39</v>
      </c>
      <c r="H256" s="10" t="s">
        <v>55</v>
      </c>
      <c r="I256" s="10" t="s">
        <v>41</v>
      </c>
      <c r="J256" s="102">
        <v>0.38755787037037037</v>
      </c>
      <c r="K256" s="7">
        <v>15.5</v>
      </c>
      <c r="L256" s="7">
        <v>0.56000000000000005</v>
      </c>
      <c r="M256" s="7">
        <v>274.7</v>
      </c>
      <c r="N256" s="7">
        <v>0.18</v>
      </c>
      <c r="O256" s="7">
        <v>63</v>
      </c>
      <c r="P256" s="7">
        <v>4.2</v>
      </c>
      <c r="Q256" s="6">
        <v>5</v>
      </c>
      <c r="R256" s="7" t="s">
        <v>0</v>
      </c>
    </row>
    <row r="257" spans="1:18" x14ac:dyDescent="0.2">
      <c r="A257" s="7">
        <v>2012</v>
      </c>
      <c r="B257" s="25">
        <v>41102</v>
      </c>
      <c r="C257" s="10" t="s">
        <v>35</v>
      </c>
      <c r="D257" s="10" t="s">
        <v>36</v>
      </c>
      <c r="E257" s="10" t="s">
        <v>11</v>
      </c>
      <c r="F257" s="10" t="s">
        <v>38</v>
      </c>
      <c r="G257" s="9" t="s">
        <v>39</v>
      </c>
      <c r="H257" s="10" t="s">
        <v>55</v>
      </c>
      <c r="I257" s="10" t="s">
        <v>41</v>
      </c>
      <c r="J257" s="102">
        <v>0.38771990740740742</v>
      </c>
      <c r="K257" s="7">
        <v>128.6</v>
      </c>
      <c r="L257" s="7">
        <v>0.99</v>
      </c>
      <c r="M257" s="7">
        <v>971.7</v>
      </c>
      <c r="N257" s="7">
        <v>0.77</v>
      </c>
      <c r="O257" s="7">
        <v>63</v>
      </c>
      <c r="P257" s="7">
        <v>2.2999999999999998</v>
      </c>
      <c r="Q257" s="6">
        <v>20</v>
      </c>
      <c r="R257" s="7" t="s">
        <v>46</v>
      </c>
    </row>
    <row r="258" spans="1:18" x14ac:dyDescent="0.2">
      <c r="A258" s="7">
        <v>2012</v>
      </c>
      <c r="B258" s="25">
        <v>41102</v>
      </c>
      <c r="C258" s="10" t="s">
        <v>35</v>
      </c>
      <c r="D258" s="10" t="s">
        <v>36</v>
      </c>
      <c r="E258" s="10" t="s">
        <v>11</v>
      </c>
      <c r="F258" s="10" t="s">
        <v>38</v>
      </c>
      <c r="G258" s="9" t="s">
        <v>39</v>
      </c>
      <c r="H258" s="10" t="s">
        <v>55</v>
      </c>
      <c r="I258" s="10" t="s">
        <v>41</v>
      </c>
      <c r="J258" s="102">
        <v>0.38778935185185182</v>
      </c>
      <c r="K258" s="7">
        <v>50.9</v>
      </c>
      <c r="L258" s="7">
        <v>0.22</v>
      </c>
      <c r="M258" s="7">
        <v>271</v>
      </c>
      <c r="N258" s="7">
        <v>0.15</v>
      </c>
      <c r="O258" s="7">
        <v>63</v>
      </c>
      <c r="P258" s="7">
        <v>2.2999999999999998</v>
      </c>
      <c r="Q258" s="6">
        <v>20</v>
      </c>
      <c r="R258" s="7" t="s">
        <v>0</v>
      </c>
    </row>
    <row r="259" spans="1:18" x14ac:dyDescent="0.2">
      <c r="A259" s="7">
        <v>2012</v>
      </c>
      <c r="B259" s="25">
        <v>41102</v>
      </c>
      <c r="C259" s="10" t="s">
        <v>35</v>
      </c>
      <c r="D259" s="10" t="s">
        <v>36</v>
      </c>
      <c r="E259" s="10" t="s">
        <v>11</v>
      </c>
      <c r="F259" s="10" t="s">
        <v>38</v>
      </c>
      <c r="G259" s="9" t="s">
        <v>39</v>
      </c>
      <c r="H259" s="10" t="s">
        <v>55</v>
      </c>
      <c r="I259" s="10" t="s">
        <v>41</v>
      </c>
      <c r="J259" s="102">
        <v>0.38800925925925928</v>
      </c>
      <c r="K259" s="7">
        <v>480.3</v>
      </c>
      <c r="L259" s="7">
        <v>0.44</v>
      </c>
      <c r="M259" s="7">
        <v>971.7</v>
      </c>
      <c r="N259" s="7">
        <v>0.77</v>
      </c>
      <c r="O259" s="7">
        <v>63</v>
      </c>
      <c r="P259" s="7">
        <v>0.8</v>
      </c>
      <c r="Q259" s="6">
        <v>35</v>
      </c>
      <c r="R259" s="7" t="s">
        <v>46</v>
      </c>
    </row>
    <row r="260" spans="1:18" x14ac:dyDescent="0.2">
      <c r="A260" s="7">
        <v>2012</v>
      </c>
      <c r="B260" s="25">
        <v>41102</v>
      </c>
      <c r="C260" s="10" t="s">
        <v>35</v>
      </c>
      <c r="D260" s="10" t="s">
        <v>36</v>
      </c>
      <c r="E260" s="10" t="s">
        <v>11</v>
      </c>
      <c r="F260" s="10" t="s">
        <v>38</v>
      </c>
      <c r="G260" s="9" t="s">
        <v>39</v>
      </c>
      <c r="H260" s="10" t="s">
        <v>55</v>
      </c>
      <c r="I260" s="10" t="s">
        <v>41</v>
      </c>
      <c r="J260" s="102">
        <v>0.38807870370370368</v>
      </c>
      <c r="K260" s="7">
        <v>144.6</v>
      </c>
      <c r="L260" s="7">
        <v>0.2</v>
      </c>
      <c r="M260" s="7">
        <v>266.10000000000002</v>
      </c>
      <c r="N260" s="7">
        <v>0.12</v>
      </c>
      <c r="O260" s="7">
        <v>63</v>
      </c>
      <c r="P260" s="7">
        <v>0.7</v>
      </c>
      <c r="Q260" s="6">
        <v>35</v>
      </c>
      <c r="R260" s="7" t="s">
        <v>0</v>
      </c>
    </row>
    <row r="261" spans="1:18" x14ac:dyDescent="0.2">
      <c r="A261" s="7">
        <v>2012</v>
      </c>
      <c r="B261" s="25">
        <v>41102</v>
      </c>
      <c r="C261" s="10" t="s">
        <v>35</v>
      </c>
      <c r="D261" s="10" t="s">
        <v>36</v>
      </c>
      <c r="E261" s="10" t="s">
        <v>11</v>
      </c>
      <c r="F261" s="10" t="s">
        <v>38</v>
      </c>
      <c r="G261" s="9" t="s">
        <v>39</v>
      </c>
      <c r="H261" s="10" t="s">
        <v>55</v>
      </c>
      <c r="I261" s="10" t="s">
        <v>41</v>
      </c>
      <c r="J261" s="102">
        <v>0.38819444444444445</v>
      </c>
      <c r="K261" s="7">
        <v>720.2</v>
      </c>
      <c r="L261" s="7">
        <v>0.13</v>
      </c>
      <c r="M261" s="7">
        <v>971.7</v>
      </c>
      <c r="N261" s="7">
        <v>0.77</v>
      </c>
      <c r="O261" s="7">
        <v>62.9</v>
      </c>
      <c r="P261" s="7">
        <v>0.3</v>
      </c>
      <c r="Q261" s="6">
        <v>50</v>
      </c>
      <c r="R261" s="7" t="s">
        <v>46</v>
      </c>
    </row>
    <row r="262" spans="1:18" x14ac:dyDescent="0.2">
      <c r="A262" s="7">
        <v>2012</v>
      </c>
      <c r="B262" s="25">
        <v>41102</v>
      </c>
      <c r="C262" s="10" t="s">
        <v>35</v>
      </c>
      <c r="D262" s="10" t="s">
        <v>36</v>
      </c>
      <c r="E262" s="10" t="s">
        <v>11</v>
      </c>
      <c r="F262" s="10" t="s">
        <v>38</v>
      </c>
      <c r="G262" s="9" t="s">
        <v>39</v>
      </c>
      <c r="H262" s="10" t="s">
        <v>55</v>
      </c>
      <c r="I262" s="10" t="s">
        <v>41</v>
      </c>
      <c r="J262" s="102">
        <v>0.38825231481481487</v>
      </c>
      <c r="K262" s="7">
        <v>207.2</v>
      </c>
      <c r="L262" s="7">
        <v>0.05</v>
      </c>
      <c r="M262" s="7">
        <v>256.3</v>
      </c>
      <c r="N262" s="7">
        <v>0.15</v>
      </c>
      <c r="O262" s="7">
        <v>62.9</v>
      </c>
      <c r="P262" s="7">
        <v>0.2</v>
      </c>
      <c r="Q262" s="6">
        <v>50</v>
      </c>
      <c r="R262" s="7" t="s">
        <v>0</v>
      </c>
    </row>
    <row r="263" spans="1:18" x14ac:dyDescent="0.2">
      <c r="A263" s="7">
        <v>2012</v>
      </c>
      <c r="B263" s="25">
        <v>41102</v>
      </c>
      <c r="C263" s="10" t="s">
        <v>35</v>
      </c>
      <c r="D263" s="10" t="s">
        <v>36</v>
      </c>
      <c r="E263" s="10" t="s">
        <v>11</v>
      </c>
      <c r="F263" s="10" t="s">
        <v>38</v>
      </c>
      <c r="G263" s="9" t="s">
        <v>39</v>
      </c>
      <c r="H263" s="10" t="s">
        <v>55</v>
      </c>
      <c r="I263" s="10" t="s">
        <v>41</v>
      </c>
      <c r="J263" s="102">
        <v>0.38832175925925921</v>
      </c>
      <c r="K263" s="7">
        <v>741.1</v>
      </c>
      <c r="L263" s="7">
        <v>0.02</v>
      </c>
      <c r="M263" s="7">
        <v>971.7</v>
      </c>
      <c r="N263" s="7">
        <v>0.78</v>
      </c>
      <c r="O263" s="7">
        <v>62.9</v>
      </c>
      <c r="P263" s="7">
        <v>0.3</v>
      </c>
      <c r="Q263" s="6">
        <v>65</v>
      </c>
      <c r="R263" s="7" t="s">
        <v>46</v>
      </c>
    </row>
    <row r="264" spans="1:18" x14ac:dyDescent="0.2">
      <c r="A264" s="7">
        <v>2012</v>
      </c>
      <c r="B264" s="25">
        <v>41102</v>
      </c>
      <c r="C264" s="10" t="s">
        <v>35</v>
      </c>
      <c r="D264" s="10" t="s">
        <v>36</v>
      </c>
      <c r="E264" s="10" t="s">
        <v>11</v>
      </c>
      <c r="F264" s="10" t="s">
        <v>38</v>
      </c>
      <c r="G264" s="9" t="s">
        <v>39</v>
      </c>
      <c r="H264" s="10" t="s">
        <v>55</v>
      </c>
      <c r="I264" s="10" t="s">
        <v>41</v>
      </c>
      <c r="J264" s="102">
        <v>0.38839120370370367</v>
      </c>
      <c r="K264" s="7">
        <v>213</v>
      </c>
      <c r="L264" s="7">
        <v>7.0000000000000007E-2</v>
      </c>
      <c r="M264" s="7">
        <v>251.5</v>
      </c>
      <c r="N264" s="7">
        <v>0.17</v>
      </c>
      <c r="O264" s="7">
        <v>62.9</v>
      </c>
      <c r="P264" s="7">
        <v>0.2</v>
      </c>
      <c r="Q264" s="6">
        <v>65</v>
      </c>
      <c r="R264" s="7" t="s">
        <v>0</v>
      </c>
    </row>
    <row r="265" spans="1:18" x14ac:dyDescent="0.2">
      <c r="A265" s="7">
        <v>2012</v>
      </c>
      <c r="B265" s="25">
        <v>41102</v>
      </c>
      <c r="C265" s="10" t="s">
        <v>35</v>
      </c>
      <c r="D265" s="10" t="s">
        <v>36</v>
      </c>
      <c r="E265" s="10" t="s">
        <v>11</v>
      </c>
      <c r="F265" s="10" t="s">
        <v>38</v>
      </c>
      <c r="G265" s="9" t="s">
        <v>39</v>
      </c>
      <c r="H265" s="10" t="s">
        <v>55</v>
      </c>
      <c r="I265" s="10" t="s">
        <v>41</v>
      </c>
      <c r="J265" s="102">
        <v>0.38890046296296293</v>
      </c>
      <c r="K265" s="7">
        <v>42.3</v>
      </c>
      <c r="L265" s="7">
        <v>0.68</v>
      </c>
      <c r="M265" s="7">
        <v>971.7</v>
      </c>
      <c r="N265" s="7">
        <v>0.78</v>
      </c>
      <c r="O265" s="7">
        <v>62.9</v>
      </c>
      <c r="P265" s="7">
        <v>3.6</v>
      </c>
      <c r="Q265" s="6">
        <v>5</v>
      </c>
      <c r="R265" s="7" t="s">
        <v>46</v>
      </c>
    </row>
    <row r="266" spans="1:18" x14ac:dyDescent="0.2">
      <c r="A266" s="7">
        <v>2012</v>
      </c>
      <c r="B266" s="25">
        <v>41102</v>
      </c>
      <c r="C266" s="10" t="s">
        <v>35</v>
      </c>
      <c r="D266" s="10" t="s">
        <v>36</v>
      </c>
      <c r="E266" s="10" t="s">
        <v>11</v>
      </c>
      <c r="F266" s="10" t="s">
        <v>38</v>
      </c>
      <c r="G266" s="9" t="s">
        <v>39</v>
      </c>
      <c r="H266" s="10" t="s">
        <v>55</v>
      </c>
      <c r="I266" s="10" t="s">
        <v>41</v>
      </c>
      <c r="J266" s="102">
        <v>0.38895833333333335</v>
      </c>
      <c r="K266" s="7">
        <v>20.5</v>
      </c>
      <c r="L266" s="7">
        <v>0.32</v>
      </c>
      <c r="M266" s="7">
        <v>295.39999999999998</v>
      </c>
      <c r="N266" s="7">
        <v>0.17</v>
      </c>
      <c r="O266" s="7">
        <v>62.8</v>
      </c>
      <c r="P266" s="7">
        <v>3.9</v>
      </c>
      <c r="Q266" s="6">
        <v>5</v>
      </c>
      <c r="R266" s="7" t="s">
        <v>0</v>
      </c>
    </row>
    <row r="267" spans="1:18" x14ac:dyDescent="0.2">
      <c r="A267" s="7">
        <v>2012</v>
      </c>
      <c r="B267" s="25">
        <v>41102</v>
      </c>
      <c r="C267" s="10" t="s">
        <v>35</v>
      </c>
      <c r="D267" s="10" t="s">
        <v>36</v>
      </c>
      <c r="E267" s="10" t="s">
        <v>11</v>
      </c>
      <c r="F267" s="10" t="s">
        <v>38</v>
      </c>
      <c r="G267" s="9" t="s">
        <v>39</v>
      </c>
      <c r="H267" s="10" t="s">
        <v>55</v>
      </c>
      <c r="I267" s="10" t="s">
        <v>41</v>
      </c>
      <c r="J267" s="102">
        <v>0.38916666666666666</v>
      </c>
      <c r="K267" s="7">
        <v>109.3</v>
      </c>
      <c r="L267" s="7">
        <v>1.01</v>
      </c>
      <c r="M267" s="7">
        <v>969.2</v>
      </c>
      <c r="N267" s="7">
        <v>0.78</v>
      </c>
      <c r="O267" s="7">
        <v>62.8</v>
      </c>
      <c r="P267" s="7">
        <v>2.5</v>
      </c>
      <c r="Q267" s="6">
        <v>20</v>
      </c>
      <c r="R267" s="7" t="s">
        <v>46</v>
      </c>
    </row>
    <row r="268" spans="1:18" x14ac:dyDescent="0.2">
      <c r="A268" s="7">
        <v>2012</v>
      </c>
      <c r="B268" s="25">
        <v>41102</v>
      </c>
      <c r="C268" s="10" t="s">
        <v>35</v>
      </c>
      <c r="D268" s="10" t="s">
        <v>36</v>
      </c>
      <c r="E268" s="10" t="s">
        <v>11</v>
      </c>
      <c r="F268" s="10" t="s">
        <v>38</v>
      </c>
      <c r="G268" s="9" t="s">
        <v>39</v>
      </c>
      <c r="H268" s="10" t="s">
        <v>55</v>
      </c>
      <c r="I268" s="10" t="s">
        <v>41</v>
      </c>
      <c r="J268" s="102">
        <v>0.38922453703703702</v>
      </c>
      <c r="K268" s="7">
        <v>43.9</v>
      </c>
      <c r="L268" s="7">
        <v>0.25</v>
      </c>
      <c r="M268" s="7">
        <v>275.89999999999998</v>
      </c>
      <c r="N268" s="7">
        <v>0.18</v>
      </c>
      <c r="O268" s="7">
        <v>62.8</v>
      </c>
      <c r="P268" s="7">
        <v>2.5</v>
      </c>
      <c r="Q268" s="6">
        <v>20</v>
      </c>
      <c r="R268" s="7" t="s">
        <v>0</v>
      </c>
    </row>
    <row r="269" spans="1:18" x14ac:dyDescent="0.2">
      <c r="A269" s="7">
        <v>2012</v>
      </c>
      <c r="B269" s="25">
        <v>41102</v>
      </c>
      <c r="C269" s="10" t="s">
        <v>35</v>
      </c>
      <c r="D269" s="10" t="s">
        <v>36</v>
      </c>
      <c r="E269" s="10" t="s">
        <v>11</v>
      </c>
      <c r="F269" s="10" t="s">
        <v>38</v>
      </c>
      <c r="G269" s="9" t="s">
        <v>39</v>
      </c>
      <c r="H269" s="10" t="s">
        <v>55</v>
      </c>
      <c r="I269" s="10" t="s">
        <v>41</v>
      </c>
      <c r="J269" s="102">
        <v>0.38938657407407407</v>
      </c>
      <c r="K269" s="7">
        <v>569.79999999999995</v>
      </c>
      <c r="L269" s="7">
        <v>0.28000000000000003</v>
      </c>
      <c r="M269" s="7">
        <v>971.7</v>
      </c>
      <c r="N269" s="7">
        <v>0.78</v>
      </c>
      <c r="O269" s="7">
        <v>62.8</v>
      </c>
      <c r="P269" s="7">
        <v>0.6</v>
      </c>
      <c r="Q269" s="6">
        <v>35</v>
      </c>
      <c r="R269" s="7" t="s">
        <v>46</v>
      </c>
    </row>
    <row r="270" spans="1:18" x14ac:dyDescent="0.2">
      <c r="A270" s="7">
        <v>2012</v>
      </c>
      <c r="B270" s="25">
        <v>41102</v>
      </c>
      <c r="C270" s="10" t="s">
        <v>35</v>
      </c>
      <c r="D270" s="10" t="s">
        <v>36</v>
      </c>
      <c r="E270" s="10" t="s">
        <v>11</v>
      </c>
      <c r="F270" s="10" t="s">
        <v>38</v>
      </c>
      <c r="G270" s="9" t="s">
        <v>39</v>
      </c>
      <c r="H270" s="10" t="s">
        <v>55</v>
      </c>
      <c r="I270" s="10" t="s">
        <v>41</v>
      </c>
      <c r="J270" s="102">
        <v>0.38946759259259256</v>
      </c>
      <c r="K270" s="7">
        <v>154.69999999999999</v>
      </c>
      <c r="L270" s="7">
        <v>0.18</v>
      </c>
      <c r="M270" s="7">
        <v>240.5</v>
      </c>
      <c r="N270" s="7">
        <v>0.17</v>
      </c>
      <c r="O270" s="7">
        <v>62.8</v>
      </c>
      <c r="P270" s="7">
        <v>0.5</v>
      </c>
      <c r="Q270" s="6">
        <v>35</v>
      </c>
      <c r="R270" s="7" t="s">
        <v>0</v>
      </c>
    </row>
    <row r="271" spans="1:18" x14ac:dyDescent="0.2">
      <c r="A271" s="7">
        <v>2012</v>
      </c>
      <c r="B271" s="25">
        <v>41102</v>
      </c>
      <c r="C271" s="10" t="s">
        <v>35</v>
      </c>
      <c r="D271" s="10" t="s">
        <v>36</v>
      </c>
      <c r="E271" s="10" t="s">
        <v>11</v>
      </c>
      <c r="F271" s="10" t="s">
        <v>38</v>
      </c>
      <c r="G271" s="9" t="s">
        <v>39</v>
      </c>
      <c r="H271" s="10" t="s">
        <v>55</v>
      </c>
      <c r="I271" s="10" t="s">
        <v>41</v>
      </c>
      <c r="J271" s="102">
        <v>0.38959490740740743</v>
      </c>
      <c r="K271" s="7">
        <v>707.6</v>
      </c>
      <c r="L271" s="7">
        <v>0.12</v>
      </c>
      <c r="M271" s="7">
        <v>971.7</v>
      </c>
      <c r="N271" s="7">
        <v>0.78</v>
      </c>
      <c r="O271" s="7">
        <v>62.8</v>
      </c>
      <c r="P271" s="7">
        <v>0.3</v>
      </c>
      <c r="Q271" s="6">
        <v>50</v>
      </c>
      <c r="R271" s="7" t="s">
        <v>46</v>
      </c>
    </row>
    <row r="272" spans="1:18" x14ac:dyDescent="0.2">
      <c r="A272" s="7">
        <v>2012</v>
      </c>
      <c r="B272" s="25">
        <v>41102</v>
      </c>
      <c r="C272" s="10" t="s">
        <v>35</v>
      </c>
      <c r="D272" s="10" t="s">
        <v>36</v>
      </c>
      <c r="E272" s="10" t="s">
        <v>11</v>
      </c>
      <c r="F272" s="10" t="s">
        <v>38</v>
      </c>
      <c r="G272" s="9" t="s">
        <v>39</v>
      </c>
      <c r="H272" s="10" t="s">
        <v>55</v>
      </c>
      <c r="I272" s="10" t="s">
        <v>41</v>
      </c>
      <c r="J272" s="102">
        <v>0.38965277777777779</v>
      </c>
      <c r="K272" s="7">
        <v>194.8</v>
      </c>
      <c r="L272" s="7">
        <v>0.05</v>
      </c>
      <c r="M272" s="7">
        <v>239.3</v>
      </c>
      <c r="N272" s="7">
        <v>0.15</v>
      </c>
      <c r="O272" s="7">
        <v>62.8</v>
      </c>
      <c r="P272" s="7">
        <v>0.2</v>
      </c>
      <c r="Q272" s="6">
        <v>50</v>
      </c>
      <c r="R272" s="7" t="s">
        <v>0</v>
      </c>
    </row>
    <row r="273" spans="1:18" x14ac:dyDescent="0.2">
      <c r="A273" s="7">
        <v>2012</v>
      </c>
      <c r="B273" s="25">
        <v>41102</v>
      </c>
      <c r="C273" s="10" t="s">
        <v>35</v>
      </c>
      <c r="D273" s="10" t="s">
        <v>36</v>
      </c>
      <c r="E273" s="10" t="s">
        <v>11</v>
      </c>
      <c r="F273" s="10" t="s">
        <v>38</v>
      </c>
      <c r="G273" s="9" t="s">
        <v>39</v>
      </c>
      <c r="H273" s="10" t="s">
        <v>55</v>
      </c>
      <c r="I273" s="10" t="s">
        <v>41</v>
      </c>
      <c r="J273" s="102">
        <v>0.38973379629629629</v>
      </c>
      <c r="K273" s="7">
        <v>732.1</v>
      </c>
      <c r="L273" s="7">
        <v>0.02</v>
      </c>
      <c r="M273" s="7">
        <v>969.2</v>
      </c>
      <c r="N273" s="7">
        <v>0.78</v>
      </c>
      <c r="O273" s="7">
        <v>62.7</v>
      </c>
      <c r="P273" s="7">
        <v>0.3</v>
      </c>
      <c r="Q273" s="6">
        <v>65</v>
      </c>
      <c r="R273" s="7" t="s">
        <v>46</v>
      </c>
    </row>
    <row r="274" spans="1:18" x14ac:dyDescent="0.2">
      <c r="A274" s="7">
        <v>2012</v>
      </c>
      <c r="B274" s="25">
        <v>41102</v>
      </c>
      <c r="C274" s="10" t="s">
        <v>35</v>
      </c>
      <c r="D274" s="10" t="s">
        <v>36</v>
      </c>
      <c r="E274" s="10" t="s">
        <v>11</v>
      </c>
      <c r="F274" s="10" t="s">
        <v>38</v>
      </c>
      <c r="G274" s="9" t="s">
        <v>39</v>
      </c>
      <c r="H274" s="10" t="s">
        <v>55</v>
      </c>
      <c r="I274" s="10" t="s">
        <v>41</v>
      </c>
      <c r="J274" s="102">
        <v>0.38980324074074074</v>
      </c>
      <c r="K274" s="7">
        <v>206.8</v>
      </c>
      <c r="L274" s="7">
        <v>0.06</v>
      </c>
      <c r="M274" s="7">
        <v>268.60000000000002</v>
      </c>
      <c r="N274" s="7">
        <v>0.16</v>
      </c>
      <c r="O274" s="7">
        <v>62.7</v>
      </c>
      <c r="P274" s="7">
        <v>0.3</v>
      </c>
      <c r="Q274" s="6">
        <v>65</v>
      </c>
      <c r="R274" s="7" t="s">
        <v>0</v>
      </c>
    </row>
    <row r="275" spans="1:18" x14ac:dyDescent="0.2">
      <c r="A275" s="7">
        <v>2012</v>
      </c>
      <c r="B275" s="25">
        <v>41102</v>
      </c>
      <c r="C275" s="10" t="s">
        <v>35</v>
      </c>
      <c r="D275" s="10" t="s">
        <v>36</v>
      </c>
      <c r="E275" s="10" t="s">
        <v>11</v>
      </c>
      <c r="F275" s="10" t="s">
        <v>38</v>
      </c>
      <c r="G275" s="9" t="s">
        <v>39</v>
      </c>
      <c r="H275" s="10" t="s">
        <v>55</v>
      </c>
      <c r="I275" s="10" t="s">
        <v>41</v>
      </c>
      <c r="J275" s="102">
        <v>0.39024305555555555</v>
      </c>
      <c r="K275" s="7">
        <v>33.299999999999997</v>
      </c>
      <c r="L275" s="7">
        <v>0.49</v>
      </c>
      <c r="M275" s="7">
        <v>974.1</v>
      </c>
      <c r="N275" s="7">
        <v>0.78</v>
      </c>
      <c r="O275" s="7">
        <v>62.7</v>
      </c>
      <c r="P275" s="7">
        <v>3.9</v>
      </c>
      <c r="Q275" s="6">
        <v>5</v>
      </c>
      <c r="R275" s="7" t="s">
        <v>46</v>
      </c>
    </row>
    <row r="276" spans="1:18" x14ac:dyDescent="0.2">
      <c r="A276" s="7">
        <v>2012</v>
      </c>
      <c r="B276" s="25">
        <v>41102</v>
      </c>
      <c r="C276" s="10" t="s">
        <v>35</v>
      </c>
      <c r="D276" s="10" t="s">
        <v>36</v>
      </c>
      <c r="E276" s="10" t="s">
        <v>11</v>
      </c>
      <c r="F276" s="10" t="s">
        <v>38</v>
      </c>
      <c r="G276" s="9" t="s">
        <v>39</v>
      </c>
      <c r="H276" s="10" t="s">
        <v>55</v>
      </c>
      <c r="I276" s="10" t="s">
        <v>41</v>
      </c>
      <c r="J276" s="102">
        <v>0.39033564814814814</v>
      </c>
      <c r="K276" s="7">
        <v>21.9</v>
      </c>
      <c r="L276" s="7">
        <v>0.4</v>
      </c>
      <c r="M276" s="7">
        <v>251.5</v>
      </c>
      <c r="N276" s="7">
        <v>0.16</v>
      </c>
      <c r="O276" s="7">
        <v>62.7</v>
      </c>
      <c r="P276" s="7">
        <v>3.5</v>
      </c>
      <c r="Q276" s="6">
        <v>5</v>
      </c>
      <c r="R276" s="7" t="s">
        <v>0</v>
      </c>
    </row>
    <row r="277" spans="1:18" x14ac:dyDescent="0.2">
      <c r="A277" s="7">
        <v>2012</v>
      </c>
      <c r="B277" s="25">
        <v>41102</v>
      </c>
      <c r="C277" s="10" t="s">
        <v>35</v>
      </c>
      <c r="D277" s="10" t="s">
        <v>36</v>
      </c>
      <c r="E277" s="10" t="s">
        <v>11</v>
      </c>
      <c r="F277" s="10" t="s">
        <v>38</v>
      </c>
      <c r="G277" s="9" t="s">
        <v>39</v>
      </c>
      <c r="H277" s="10" t="s">
        <v>55</v>
      </c>
      <c r="I277" s="10" t="s">
        <v>41</v>
      </c>
      <c r="J277" s="102">
        <v>0.39053240740740741</v>
      </c>
      <c r="K277" s="7">
        <v>72.900000000000006</v>
      </c>
      <c r="L277" s="7">
        <v>0.87</v>
      </c>
      <c r="M277" s="7">
        <v>976.6</v>
      </c>
      <c r="N277" s="7">
        <v>0.78</v>
      </c>
      <c r="O277" s="7">
        <v>62.6</v>
      </c>
      <c r="P277" s="7">
        <v>3</v>
      </c>
      <c r="Q277" s="6">
        <v>20</v>
      </c>
      <c r="R277" s="7" t="s">
        <v>46</v>
      </c>
    </row>
    <row r="278" spans="1:18" x14ac:dyDescent="0.2">
      <c r="A278" s="7">
        <v>2012</v>
      </c>
      <c r="B278" s="25">
        <v>41102</v>
      </c>
      <c r="C278" s="10" t="s">
        <v>35</v>
      </c>
      <c r="D278" s="10" t="s">
        <v>36</v>
      </c>
      <c r="E278" s="10" t="s">
        <v>11</v>
      </c>
      <c r="F278" s="10" t="s">
        <v>38</v>
      </c>
      <c r="G278" s="9" t="s">
        <v>39</v>
      </c>
      <c r="H278" s="10" t="s">
        <v>55</v>
      </c>
      <c r="I278" s="10" t="s">
        <v>41</v>
      </c>
      <c r="J278" s="102">
        <v>0.390625</v>
      </c>
      <c r="K278" s="7">
        <v>33.6</v>
      </c>
      <c r="L278" s="7">
        <v>0.36</v>
      </c>
      <c r="M278" s="7">
        <v>263.7</v>
      </c>
      <c r="N278" s="7">
        <v>0.18</v>
      </c>
      <c r="O278" s="7">
        <v>62.6</v>
      </c>
      <c r="P278" s="7">
        <v>2.9</v>
      </c>
      <c r="Q278" s="6">
        <v>20</v>
      </c>
      <c r="R278" s="7" t="s">
        <v>0</v>
      </c>
    </row>
    <row r="279" spans="1:18" x14ac:dyDescent="0.2">
      <c r="A279" s="7">
        <v>2012</v>
      </c>
      <c r="B279" s="25">
        <v>41102</v>
      </c>
      <c r="C279" s="10" t="s">
        <v>35</v>
      </c>
      <c r="D279" s="10" t="s">
        <v>36</v>
      </c>
      <c r="E279" s="10" t="s">
        <v>11</v>
      </c>
      <c r="F279" s="10" t="s">
        <v>38</v>
      </c>
      <c r="G279" s="9" t="s">
        <v>39</v>
      </c>
      <c r="H279" s="10" t="s">
        <v>55</v>
      </c>
      <c r="I279" s="10" t="s">
        <v>41</v>
      </c>
      <c r="J279" s="102">
        <v>0.39081018518518523</v>
      </c>
      <c r="K279" s="7">
        <v>443</v>
      </c>
      <c r="L279" s="7">
        <v>0.46</v>
      </c>
      <c r="M279" s="7">
        <v>979</v>
      </c>
      <c r="N279" s="7">
        <v>0.78</v>
      </c>
      <c r="O279" s="7">
        <v>62.6</v>
      </c>
      <c r="P279" s="7">
        <v>0.9</v>
      </c>
      <c r="Q279" s="6">
        <v>35</v>
      </c>
      <c r="R279" s="7" t="s">
        <v>46</v>
      </c>
    </row>
    <row r="280" spans="1:18" x14ac:dyDescent="0.2">
      <c r="A280" s="7">
        <v>2012</v>
      </c>
      <c r="B280" s="25">
        <v>41102</v>
      </c>
      <c r="C280" s="10" t="s">
        <v>35</v>
      </c>
      <c r="D280" s="10" t="s">
        <v>36</v>
      </c>
      <c r="E280" s="10" t="s">
        <v>11</v>
      </c>
      <c r="F280" s="10" t="s">
        <v>38</v>
      </c>
      <c r="G280" s="9" t="s">
        <v>39</v>
      </c>
      <c r="H280" s="10" t="s">
        <v>55</v>
      </c>
      <c r="I280" s="10" t="s">
        <v>41</v>
      </c>
      <c r="J280" s="102">
        <v>0.39087962962962958</v>
      </c>
      <c r="K280" s="7">
        <v>113.7</v>
      </c>
      <c r="L280" s="7">
        <v>0.28000000000000003</v>
      </c>
      <c r="M280" s="7">
        <v>279.5</v>
      </c>
      <c r="N280" s="7">
        <v>0.19</v>
      </c>
      <c r="O280" s="7">
        <v>62.6</v>
      </c>
      <c r="P280" s="7">
        <v>1.1000000000000001</v>
      </c>
      <c r="Q280" s="6">
        <v>35</v>
      </c>
      <c r="R280" s="7" t="s">
        <v>0</v>
      </c>
    </row>
    <row r="281" spans="1:18" x14ac:dyDescent="0.2">
      <c r="A281" s="7">
        <v>2012</v>
      </c>
      <c r="B281" s="25">
        <v>41102</v>
      </c>
      <c r="C281" s="10" t="s">
        <v>35</v>
      </c>
      <c r="D281" s="10" t="s">
        <v>36</v>
      </c>
      <c r="E281" s="10" t="s">
        <v>11</v>
      </c>
      <c r="F281" s="10" t="s">
        <v>38</v>
      </c>
      <c r="G281" s="9" t="s">
        <v>39</v>
      </c>
      <c r="H281" s="10" t="s">
        <v>55</v>
      </c>
      <c r="I281" s="10" t="s">
        <v>41</v>
      </c>
      <c r="J281" s="102">
        <v>0.39098379629629632</v>
      </c>
      <c r="K281" s="7">
        <v>746.5</v>
      </c>
      <c r="L281" s="7">
        <v>0.05</v>
      </c>
      <c r="M281" s="7">
        <v>981.4</v>
      </c>
      <c r="N281" s="7">
        <v>0.78</v>
      </c>
      <c r="O281" s="7">
        <v>62.6</v>
      </c>
      <c r="P281" s="7">
        <v>0.3</v>
      </c>
      <c r="Q281" s="6">
        <v>50</v>
      </c>
      <c r="R281" s="7" t="s">
        <v>46</v>
      </c>
    </row>
    <row r="282" spans="1:18" x14ac:dyDescent="0.2">
      <c r="A282" s="7">
        <v>2012</v>
      </c>
      <c r="B282" s="25">
        <v>41102</v>
      </c>
      <c r="C282" s="10" t="s">
        <v>35</v>
      </c>
      <c r="D282" s="10" t="s">
        <v>36</v>
      </c>
      <c r="E282" s="10" t="s">
        <v>11</v>
      </c>
      <c r="F282" s="10" t="s">
        <v>38</v>
      </c>
      <c r="G282" s="9" t="s">
        <v>39</v>
      </c>
      <c r="H282" s="10" t="s">
        <v>55</v>
      </c>
      <c r="I282" s="10" t="s">
        <v>41</v>
      </c>
      <c r="J282" s="102">
        <v>0.39103009259259264</v>
      </c>
      <c r="K282" s="7">
        <v>198.9</v>
      </c>
      <c r="L282" s="7">
        <v>0.05</v>
      </c>
      <c r="M282" s="7">
        <v>301.5</v>
      </c>
      <c r="N282" s="7">
        <v>0.2</v>
      </c>
      <c r="O282" s="7">
        <v>62.6</v>
      </c>
      <c r="P282" s="7">
        <v>0.5</v>
      </c>
      <c r="Q282" s="6">
        <v>50</v>
      </c>
      <c r="R282" s="7" t="s">
        <v>0</v>
      </c>
    </row>
    <row r="283" spans="1:18" x14ac:dyDescent="0.2">
      <c r="A283" s="7">
        <v>2012</v>
      </c>
      <c r="B283" s="25">
        <v>41102</v>
      </c>
      <c r="C283" s="10" t="s">
        <v>35</v>
      </c>
      <c r="D283" s="10" t="s">
        <v>36</v>
      </c>
      <c r="E283" s="10" t="s">
        <v>11</v>
      </c>
      <c r="F283" s="10" t="s">
        <v>38</v>
      </c>
      <c r="G283" s="9" t="s">
        <v>39</v>
      </c>
      <c r="H283" s="10" t="s">
        <v>55</v>
      </c>
      <c r="I283" s="10" t="s">
        <v>41</v>
      </c>
      <c r="J283" s="102">
        <v>0.39112268518518517</v>
      </c>
      <c r="K283" s="7">
        <v>769.3</v>
      </c>
      <c r="L283" s="7">
        <v>0.02</v>
      </c>
      <c r="M283" s="7">
        <v>981.4</v>
      </c>
      <c r="N283" s="7">
        <v>0.78</v>
      </c>
      <c r="O283" s="7">
        <v>62.6</v>
      </c>
      <c r="P283" s="7">
        <v>0.3</v>
      </c>
      <c r="Q283" s="6">
        <v>65</v>
      </c>
      <c r="R283" s="7" t="s">
        <v>46</v>
      </c>
    </row>
    <row r="284" spans="1:18" x14ac:dyDescent="0.2">
      <c r="A284" s="7">
        <v>2012</v>
      </c>
      <c r="B284" s="25">
        <v>41102</v>
      </c>
      <c r="C284" s="10" t="s">
        <v>35</v>
      </c>
      <c r="D284" s="10" t="s">
        <v>36</v>
      </c>
      <c r="E284" s="10" t="s">
        <v>11</v>
      </c>
      <c r="F284" s="10" t="s">
        <v>38</v>
      </c>
      <c r="G284" s="9" t="s">
        <v>39</v>
      </c>
      <c r="H284" s="10" t="s">
        <v>55</v>
      </c>
      <c r="I284" s="10" t="s">
        <v>41</v>
      </c>
      <c r="J284" s="102">
        <v>0.39121527777777776</v>
      </c>
      <c r="K284" s="7">
        <v>202.2</v>
      </c>
      <c r="L284" s="7">
        <v>0.05</v>
      </c>
      <c r="M284" s="7">
        <v>266.10000000000002</v>
      </c>
      <c r="N284" s="7">
        <v>0.15</v>
      </c>
      <c r="O284" s="7">
        <v>62.6</v>
      </c>
      <c r="P284" s="7">
        <v>0.3</v>
      </c>
      <c r="Q284" s="6">
        <v>65</v>
      </c>
      <c r="R284" s="7" t="s">
        <v>0</v>
      </c>
    </row>
    <row r="285" spans="1:18" x14ac:dyDescent="0.2">
      <c r="A285" s="7">
        <v>2012</v>
      </c>
      <c r="B285" s="104">
        <v>41102</v>
      </c>
      <c r="C285" s="7" t="s">
        <v>35</v>
      </c>
      <c r="D285" s="7" t="s">
        <v>51</v>
      </c>
      <c r="E285" s="7" t="s">
        <v>12</v>
      </c>
      <c r="F285" s="7" t="s">
        <v>38</v>
      </c>
      <c r="G285" s="9" t="s">
        <v>39</v>
      </c>
      <c r="H285" s="10" t="s">
        <v>55</v>
      </c>
      <c r="I285" s="3" t="s">
        <v>4</v>
      </c>
      <c r="J285" s="102">
        <v>0.40226851851851847</v>
      </c>
      <c r="K285" s="7">
        <v>104.2</v>
      </c>
      <c r="L285" s="7">
        <v>1.1399999999999999</v>
      </c>
      <c r="M285" s="7">
        <v>1140.0999999999999</v>
      </c>
      <c r="N285" s="7">
        <v>0.75</v>
      </c>
      <c r="O285" s="7">
        <v>61.1</v>
      </c>
      <c r="P285" s="7">
        <v>2.8</v>
      </c>
      <c r="Q285" s="6">
        <v>5</v>
      </c>
      <c r="R285" s="7" t="s">
        <v>46</v>
      </c>
    </row>
    <row r="286" spans="1:18" x14ac:dyDescent="0.2">
      <c r="A286" s="7">
        <v>2012</v>
      </c>
      <c r="B286" s="104">
        <v>41102</v>
      </c>
      <c r="C286" s="7" t="s">
        <v>35</v>
      </c>
      <c r="D286" s="7" t="s">
        <v>51</v>
      </c>
      <c r="E286" s="7" t="s">
        <v>12</v>
      </c>
      <c r="F286" s="7" t="s">
        <v>38</v>
      </c>
      <c r="G286" s="9" t="s">
        <v>39</v>
      </c>
      <c r="H286" s="10" t="s">
        <v>55</v>
      </c>
      <c r="I286" s="3" t="s">
        <v>4</v>
      </c>
      <c r="J286" s="102">
        <v>0.40244212962962966</v>
      </c>
      <c r="K286" s="7">
        <v>24</v>
      </c>
      <c r="L286" s="7">
        <v>0.45</v>
      </c>
      <c r="M286" s="7">
        <v>533.4</v>
      </c>
      <c r="N286" s="7">
        <v>0.08</v>
      </c>
      <c r="O286" s="7">
        <v>61.1</v>
      </c>
      <c r="P286" s="7">
        <v>4.8</v>
      </c>
      <c r="Q286" s="6">
        <v>5</v>
      </c>
      <c r="R286" s="7" t="s">
        <v>0</v>
      </c>
    </row>
    <row r="287" spans="1:18" x14ac:dyDescent="0.2">
      <c r="A287" s="7">
        <v>2012</v>
      </c>
      <c r="B287" s="104">
        <v>41102</v>
      </c>
      <c r="C287" s="7" t="s">
        <v>35</v>
      </c>
      <c r="D287" s="7" t="s">
        <v>51</v>
      </c>
      <c r="E287" s="7" t="s">
        <v>12</v>
      </c>
      <c r="F287" s="7" t="s">
        <v>38</v>
      </c>
      <c r="G287" s="9" t="s">
        <v>39</v>
      </c>
      <c r="H287" s="10" t="s">
        <v>55</v>
      </c>
      <c r="I287" s="3" t="s">
        <v>4</v>
      </c>
      <c r="J287" s="102">
        <v>0.40259259259259261</v>
      </c>
      <c r="K287" s="7">
        <v>133.4</v>
      </c>
      <c r="L287" s="7">
        <v>1.03</v>
      </c>
      <c r="M287" s="7">
        <v>1154.8</v>
      </c>
      <c r="N287" s="7">
        <v>0.75</v>
      </c>
      <c r="O287" s="7">
        <v>61.1</v>
      </c>
      <c r="P287" s="7">
        <v>2.5</v>
      </c>
      <c r="Q287" s="6">
        <v>20</v>
      </c>
      <c r="R287" s="7" t="s">
        <v>46</v>
      </c>
    </row>
    <row r="288" spans="1:18" x14ac:dyDescent="0.2">
      <c r="A288" s="7">
        <v>2012</v>
      </c>
      <c r="B288" s="104">
        <v>41102</v>
      </c>
      <c r="C288" s="7" t="s">
        <v>35</v>
      </c>
      <c r="D288" s="7" t="s">
        <v>51</v>
      </c>
      <c r="E288" s="7" t="s">
        <v>12</v>
      </c>
      <c r="F288" s="7" t="s">
        <v>38</v>
      </c>
      <c r="G288" s="9" t="s">
        <v>39</v>
      </c>
      <c r="H288" s="10" t="s">
        <v>55</v>
      </c>
      <c r="I288" s="3" t="s">
        <v>4</v>
      </c>
      <c r="J288" s="102">
        <v>0.40269675925925924</v>
      </c>
      <c r="K288" s="7">
        <v>37.799999999999997</v>
      </c>
      <c r="L288" s="7">
        <v>0.28000000000000003</v>
      </c>
      <c r="M288" s="7">
        <v>452.9</v>
      </c>
      <c r="N288" s="7">
        <v>0.08</v>
      </c>
      <c r="O288" s="7">
        <v>61.1</v>
      </c>
      <c r="P288" s="7">
        <v>3.7</v>
      </c>
      <c r="Q288" s="6">
        <v>20</v>
      </c>
      <c r="R288" s="7" t="s">
        <v>0</v>
      </c>
    </row>
    <row r="289" spans="1:18" x14ac:dyDescent="0.2">
      <c r="A289" s="7">
        <v>2012</v>
      </c>
      <c r="B289" s="104">
        <v>41102</v>
      </c>
      <c r="C289" s="7" t="s">
        <v>35</v>
      </c>
      <c r="D289" s="7" t="s">
        <v>51</v>
      </c>
      <c r="E289" s="7" t="s">
        <v>12</v>
      </c>
      <c r="F289" s="7" t="s">
        <v>38</v>
      </c>
      <c r="G289" s="9" t="s">
        <v>39</v>
      </c>
      <c r="H289" s="10" t="s">
        <v>55</v>
      </c>
      <c r="I289" s="3" t="s">
        <v>4</v>
      </c>
      <c r="J289" s="102">
        <v>0.40306712962962959</v>
      </c>
      <c r="K289" s="7">
        <v>183.3</v>
      </c>
      <c r="L289" s="7">
        <v>0.93</v>
      </c>
      <c r="M289" s="7">
        <v>1170.7</v>
      </c>
      <c r="N289" s="7">
        <v>0.74</v>
      </c>
      <c r="O289" s="7">
        <v>61</v>
      </c>
      <c r="P289" s="7">
        <v>2.2000000000000002</v>
      </c>
      <c r="Q289" s="6">
        <v>35</v>
      </c>
      <c r="R289" s="7" t="s">
        <v>46</v>
      </c>
    </row>
    <row r="290" spans="1:18" x14ac:dyDescent="0.2">
      <c r="A290" s="7">
        <v>2012</v>
      </c>
      <c r="B290" s="104">
        <v>41102</v>
      </c>
      <c r="C290" s="7" t="s">
        <v>35</v>
      </c>
      <c r="D290" s="7" t="s">
        <v>51</v>
      </c>
      <c r="E290" s="7" t="s">
        <v>12</v>
      </c>
      <c r="F290" s="7" t="s">
        <v>38</v>
      </c>
      <c r="G290" s="9" t="s">
        <v>39</v>
      </c>
      <c r="H290" s="10" t="s">
        <v>55</v>
      </c>
      <c r="I290" s="3" t="s">
        <v>4</v>
      </c>
      <c r="J290" s="102">
        <v>0.40315972222222224</v>
      </c>
      <c r="K290" s="7">
        <v>53.7</v>
      </c>
      <c r="L290" s="7">
        <v>0.26</v>
      </c>
      <c r="M290" s="7">
        <v>448</v>
      </c>
      <c r="N290" s="7">
        <v>0.12</v>
      </c>
      <c r="O290" s="7">
        <v>61</v>
      </c>
      <c r="P290" s="7">
        <v>3.1</v>
      </c>
      <c r="Q290" s="6">
        <v>35</v>
      </c>
      <c r="R290" s="7" t="s">
        <v>0</v>
      </c>
    </row>
    <row r="291" spans="1:18" x14ac:dyDescent="0.2">
      <c r="A291" s="7">
        <v>2012</v>
      </c>
      <c r="B291" s="104">
        <v>41102</v>
      </c>
      <c r="C291" s="7" t="s">
        <v>35</v>
      </c>
      <c r="D291" s="7" t="s">
        <v>51</v>
      </c>
      <c r="E291" s="7" t="s">
        <v>12</v>
      </c>
      <c r="F291" s="7" t="s">
        <v>38</v>
      </c>
      <c r="G291" s="9" t="s">
        <v>39</v>
      </c>
      <c r="H291" s="10" t="s">
        <v>55</v>
      </c>
      <c r="I291" s="3" t="s">
        <v>4</v>
      </c>
      <c r="J291" s="102">
        <v>0.4033680555555556</v>
      </c>
      <c r="K291" s="7">
        <v>301.7</v>
      </c>
      <c r="L291" s="7">
        <v>0.95</v>
      </c>
      <c r="M291" s="7">
        <v>1147.5</v>
      </c>
      <c r="N291" s="7">
        <v>0.73</v>
      </c>
      <c r="O291" s="7">
        <v>61</v>
      </c>
      <c r="P291" s="7">
        <v>1.5</v>
      </c>
      <c r="Q291" s="6">
        <v>50</v>
      </c>
      <c r="R291" s="7" t="s">
        <v>46</v>
      </c>
    </row>
    <row r="292" spans="1:18" x14ac:dyDescent="0.2">
      <c r="A292" s="7">
        <v>2012</v>
      </c>
      <c r="B292" s="104">
        <v>41102</v>
      </c>
      <c r="C292" s="7" t="s">
        <v>35</v>
      </c>
      <c r="D292" s="7" t="s">
        <v>51</v>
      </c>
      <c r="E292" s="7" t="s">
        <v>12</v>
      </c>
      <c r="F292" s="7" t="s">
        <v>38</v>
      </c>
      <c r="G292" s="9" t="s">
        <v>39</v>
      </c>
      <c r="H292" s="10" t="s">
        <v>55</v>
      </c>
      <c r="I292" s="3" t="s">
        <v>4</v>
      </c>
      <c r="J292" s="102">
        <v>0.40342592592592591</v>
      </c>
      <c r="K292" s="7">
        <v>95.7</v>
      </c>
      <c r="L292" s="7">
        <v>0.4</v>
      </c>
      <c r="M292" s="7">
        <v>441.9</v>
      </c>
      <c r="N292" s="7">
        <v>0.14000000000000001</v>
      </c>
      <c r="O292" s="7">
        <v>61</v>
      </c>
      <c r="P292" s="7">
        <v>2.1</v>
      </c>
      <c r="Q292" s="6">
        <v>50</v>
      </c>
      <c r="R292" s="7" t="s">
        <v>0</v>
      </c>
    </row>
    <row r="293" spans="1:18" x14ac:dyDescent="0.2">
      <c r="A293" s="7">
        <v>2012</v>
      </c>
      <c r="B293" s="104">
        <v>41102</v>
      </c>
      <c r="C293" s="7" t="s">
        <v>35</v>
      </c>
      <c r="D293" s="7" t="s">
        <v>51</v>
      </c>
      <c r="E293" s="7" t="s">
        <v>12</v>
      </c>
      <c r="F293" s="7" t="s">
        <v>38</v>
      </c>
      <c r="G293" s="9" t="s">
        <v>39</v>
      </c>
      <c r="H293" s="10" t="s">
        <v>55</v>
      </c>
      <c r="I293" s="3" t="s">
        <v>4</v>
      </c>
      <c r="J293" s="102">
        <v>0.40365740740740735</v>
      </c>
      <c r="K293" s="7">
        <v>646.9</v>
      </c>
      <c r="L293" s="7">
        <v>0.46</v>
      </c>
      <c r="M293" s="7">
        <v>1174.3</v>
      </c>
      <c r="N293" s="7">
        <v>0.73</v>
      </c>
      <c r="O293" s="7">
        <v>61</v>
      </c>
      <c r="P293" s="7">
        <v>0.7</v>
      </c>
      <c r="Q293" s="6">
        <v>65</v>
      </c>
      <c r="R293" s="7" t="s">
        <v>46</v>
      </c>
    </row>
    <row r="294" spans="1:18" x14ac:dyDescent="0.2">
      <c r="A294" s="7">
        <v>2012</v>
      </c>
      <c r="B294" s="104">
        <v>41102</v>
      </c>
      <c r="C294" s="7" t="s">
        <v>35</v>
      </c>
      <c r="D294" s="7" t="s">
        <v>51</v>
      </c>
      <c r="E294" s="7" t="s">
        <v>12</v>
      </c>
      <c r="F294" s="7" t="s">
        <v>38</v>
      </c>
      <c r="G294" s="9" t="s">
        <v>39</v>
      </c>
      <c r="H294" s="10" t="s">
        <v>55</v>
      </c>
      <c r="I294" s="3" t="s">
        <v>4</v>
      </c>
      <c r="J294" s="102">
        <v>0.40371527777777777</v>
      </c>
      <c r="K294" s="7">
        <v>196.8</v>
      </c>
      <c r="L294" s="7">
        <v>0.3</v>
      </c>
      <c r="M294" s="7">
        <v>505.4</v>
      </c>
      <c r="N294" s="7">
        <v>0.04</v>
      </c>
      <c r="O294" s="7">
        <v>61</v>
      </c>
      <c r="P294" s="7">
        <v>1.3</v>
      </c>
      <c r="Q294" s="6">
        <v>65</v>
      </c>
      <c r="R294" s="7" t="s">
        <v>0</v>
      </c>
    </row>
    <row r="295" spans="1:18" x14ac:dyDescent="0.2">
      <c r="A295" s="7">
        <v>2012</v>
      </c>
      <c r="B295" s="104">
        <v>41102</v>
      </c>
      <c r="C295" s="7" t="s">
        <v>35</v>
      </c>
      <c r="D295" s="7" t="s">
        <v>51</v>
      </c>
      <c r="E295" s="7" t="s">
        <v>12</v>
      </c>
      <c r="F295" s="7" t="s">
        <v>38</v>
      </c>
      <c r="G295" s="9" t="s">
        <v>39</v>
      </c>
      <c r="H295" s="10" t="s">
        <v>55</v>
      </c>
      <c r="I295" s="3" t="s">
        <v>4</v>
      </c>
      <c r="J295" s="102">
        <v>0.40391203703703704</v>
      </c>
      <c r="K295" s="7">
        <v>904.1</v>
      </c>
      <c r="L295" s="7">
        <v>0.06</v>
      </c>
      <c r="M295" s="7">
        <v>1174.3</v>
      </c>
      <c r="N295" s="7">
        <v>0.73</v>
      </c>
      <c r="O295" s="7">
        <v>60.9</v>
      </c>
      <c r="P295" s="7">
        <v>0.3</v>
      </c>
      <c r="Q295" s="6">
        <v>80</v>
      </c>
      <c r="R295" s="7" t="s">
        <v>46</v>
      </c>
    </row>
    <row r="296" spans="1:18" x14ac:dyDescent="0.2">
      <c r="A296" s="7">
        <v>2012</v>
      </c>
      <c r="B296" s="104">
        <v>41102</v>
      </c>
      <c r="C296" s="7" t="s">
        <v>35</v>
      </c>
      <c r="D296" s="7" t="s">
        <v>51</v>
      </c>
      <c r="E296" s="7" t="s">
        <v>12</v>
      </c>
      <c r="F296" s="7" t="s">
        <v>38</v>
      </c>
      <c r="G296" s="9" t="s">
        <v>39</v>
      </c>
      <c r="H296" s="10" t="s">
        <v>55</v>
      </c>
      <c r="I296" s="3" t="s">
        <v>4</v>
      </c>
      <c r="J296" s="102">
        <v>0.40400462962962963</v>
      </c>
      <c r="K296" s="7">
        <v>251</v>
      </c>
      <c r="L296" s="7">
        <v>0.06</v>
      </c>
      <c r="M296" s="7">
        <v>494.4</v>
      </c>
      <c r="N296" s="7">
        <v>0.06</v>
      </c>
      <c r="O296" s="7">
        <v>60.9</v>
      </c>
      <c r="P296" s="7">
        <v>0.9</v>
      </c>
      <c r="Q296" s="6">
        <v>80</v>
      </c>
      <c r="R296" s="7" t="s">
        <v>0</v>
      </c>
    </row>
    <row r="297" spans="1:18" x14ac:dyDescent="0.2">
      <c r="A297" s="7">
        <v>2012</v>
      </c>
      <c r="B297" s="104">
        <v>41102</v>
      </c>
      <c r="C297" s="7" t="s">
        <v>35</v>
      </c>
      <c r="D297" s="7" t="s">
        <v>51</v>
      </c>
      <c r="E297" s="7" t="s">
        <v>12</v>
      </c>
      <c r="F297" s="7" t="s">
        <v>38</v>
      </c>
      <c r="G297" s="9" t="s">
        <v>39</v>
      </c>
      <c r="H297" s="10" t="s">
        <v>55</v>
      </c>
      <c r="I297" s="3" t="s">
        <v>4</v>
      </c>
      <c r="J297" s="102">
        <v>0.40424768518518522</v>
      </c>
      <c r="K297" s="7">
        <v>937.1</v>
      </c>
      <c r="L297" s="7">
        <v>0.04</v>
      </c>
      <c r="M297" s="7">
        <v>1208.5</v>
      </c>
      <c r="N297" s="7">
        <v>0.73</v>
      </c>
      <c r="O297" s="7">
        <v>60.9</v>
      </c>
      <c r="P297" s="7">
        <v>0.3</v>
      </c>
      <c r="Q297" s="6">
        <v>95</v>
      </c>
      <c r="R297" s="7" t="s">
        <v>46</v>
      </c>
    </row>
    <row r="298" spans="1:18" x14ac:dyDescent="0.2">
      <c r="A298" s="7">
        <v>2012</v>
      </c>
      <c r="B298" s="104">
        <v>41102</v>
      </c>
      <c r="C298" s="7" t="s">
        <v>35</v>
      </c>
      <c r="D298" s="7" t="s">
        <v>51</v>
      </c>
      <c r="E298" s="7" t="s">
        <v>12</v>
      </c>
      <c r="F298" s="7" t="s">
        <v>38</v>
      </c>
      <c r="G298" s="9" t="s">
        <v>39</v>
      </c>
      <c r="H298" s="10" t="s">
        <v>55</v>
      </c>
      <c r="I298" s="3" t="s">
        <v>4</v>
      </c>
      <c r="J298" s="102">
        <v>0.40435185185185185</v>
      </c>
      <c r="K298" s="7">
        <v>278.10000000000002</v>
      </c>
      <c r="L298" s="7">
        <v>0.02</v>
      </c>
      <c r="M298" s="7">
        <v>485.8</v>
      </c>
      <c r="N298" s="7">
        <v>0.1</v>
      </c>
      <c r="O298" s="7">
        <v>60.9</v>
      </c>
      <c r="P298" s="7">
        <v>0.7</v>
      </c>
      <c r="Q298" s="6">
        <v>95</v>
      </c>
      <c r="R298" s="7" t="s">
        <v>0</v>
      </c>
    </row>
    <row r="299" spans="1:18" x14ac:dyDescent="0.2">
      <c r="A299" s="7">
        <v>2012</v>
      </c>
      <c r="B299" s="104">
        <v>41102</v>
      </c>
      <c r="C299" s="7" t="s">
        <v>35</v>
      </c>
      <c r="D299" s="7" t="s">
        <v>51</v>
      </c>
      <c r="E299" s="7" t="s">
        <v>12</v>
      </c>
      <c r="F299" s="7" t="s">
        <v>38</v>
      </c>
      <c r="G299" s="9" t="s">
        <v>39</v>
      </c>
      <c r="H299" s="10" t="s">
        <v>55</v>
      </c>
      <c r="I299" s="3" t="s">
        <v>4</v>
      </c>
      <c r="J299" s="102">
        <v>0.4158101851851852</v>
      </c>
      <c r="K299" s="7">
        <v>31.2</v>
      </c>
      <c r="L299" s="7">
        <v>0.32</v>
      </c>
      <c r="M299" s="7">
        <v>385.7</v>
      </c>
      <c r="N299" s="7">
        <v>0.04</v>
      </c>
      <c r="O299" s="7">
        <v>59.4</v>
      </c>
      <c r="P299" s="7">
        <v>3.8</v>
      </c>
      <c r="Q299" s="6">
        <v>5</v>
      </c>
      <c r="R299" s="7" t="s">
        <v>46</v>
      </c>
    </row>
    <row r="300" spans="1:18" x14ac:dyDescent="0.2">
      <c r="A300" s="7">
        <v>2012</v>
      </c>
      <c r="B300" s="104">
        <v>41102</v>
      </c>
      <c r="C300" s="7" t="s">
        <v>35</v>
      </c>
      <c r="D300" s="7" t="s">
        <v>51</v>
      </c>
      <c r="E300" s="7" t="s">
        <v>12</v>
      </c>
      <c r="F300" s="7" t="s">
        <v>38</v>
      </c>
      <c r="G300" s="9" t="s">
        <v>39</v>
      </c>
      <c r="H300" s="10" t="s">
        <v>55</v>
      </c>
      <c r="I300" s="3" t="s">
        <v>4</v>
      </c>
      <c r="J300" s="102">
        <v>0.41608796296296297</v>
      </c>
      <c r="K300" s="7">
        <v>39</v>
      </c>
      <c r="L300" s="7">
        <v>0.25</v>
      </c>
      <c r="M300" s="7">
        <v>387</v>
      </c>
      <c r="N300" s="7">
        <v>0.04</v>
      </c>
      <c r="O300" s="7">
        <v>59.4</v>
      </c>
      <c r="P300" s="7">
        <v>3.4</v>
      </c>
      <c r="Q300" s="6">
        <v>20</v>
      </c>
      <c r="R300" s="7" t="s">
        <v>46</v>
      </c>
    </row>
    <row r="301" spans="1:18" x14ac:dyDescent="0.2">
      <c r="A301" s="7">
        <v>2012</v>
      </c>
      <c r="B301" s="104">
        <v>41102</v>
      </c>
      <c r="C301" s="7" t="s">
        <v>35</v>
      </c>
      <c r="D301" s="7" t="s">
        <v>51</v>
      </c>
      <c r="E301" s="7" t="s">
        <v>12</v>
      </c>
      <c r="F301" s="7" t="s">
        <v>38</v>
      </c>
      <c r="G301" s="9" t="s">
        <v>39</v>
      </c>
      <c r="H301" s="10" t="s">
        <v>55</v>
      </c>
      <c r="I301" s="3" t="s">
        <v>4</v>
      </c>
      <c r="J301" s="102">
        <v>0.4163310185185185</v>
      </c>
      <c r="K301" s="7">
        <v>54.6</v>
      </c>
      <c r="L301" s="7">
        <v>0.26</v>
      </c>
      <c r="M301" s="7">
        <v>388.2</v>
      </c>
      <c r="N301" s="7">
        <v>0.04</v>
      </c>
      <c r="O301" s="7">
        <v>59.4</v>
      </c>
      <c r="P301" s="7">
        <v>2.9</v>
      </c>
      <c r="Q301" s="6">
        <v>35</v>
      </c>
      <c r="R301" s="7" t="s">
        <v>46</v>
      </c>
    </row>
    <row r="302" spans="1:18" x14ac:dyDescent="0.2">
      <c r="A302" s="7">
        <v>2012</v>
      </c>
      <c r="B302" s="104">
        <v>41102</v>
      </c>
      <c r="C302" s="7" t="s">
        <v>35</v>
      </c>
      <c r="D302" s="7" t="s">
        <v>51</v>
      </c>
      <c r="E302" s="7" t="s">
        <v>12</v>
      </c>
      <c r="F302" s="7" t="s">
        <v>38</v>
      </c>
      <c r="G302" s="9" t="s">
        <v>39</v>
      </c>
      <c r="H302" s="10" t="s">
        <v>55</v>
      </c>
      <c r="I302" s="3" t="s">
        <v>4</v>
      </c>
      <c r="J302" s="102">
        <v>0.41646990740740741</v>
      </c>
      <c r="K302" s="7">
        <v>90.5</v>
      </c>
      <c r="L302" s="7">
        <v>0.21</v>
      </c>
      <c r="M302" s="7">
        <v>389.4</v>
      </c>
      <c r="N302" s="7">
        <v>0.04</v>
      </c>
      <c r="O302" s="7">
        <v>59.4</v>
      </c>
      <c r="P302" s="7">
        <v>2.1</v>
      </c>
      <c r="Q302" s="6">
        <v>50</v>
      </c>
      <c r="R302" s="7" t="s">
        <v>46</v>
      </c>
    </row>
    <row r="303" spans="1:18" x14ac:dyDescent="0.2">
      <c r="A303" s="7">
        <v>2012</v>
      </c>
      <c r="B303" s="104">
        <v>41102</v>
      </c>
      <c r="C303" s="7" t="s">
        <v>35</v>
      </c>
      <c r="D303" s="7" t="s">
        <v>51</v>
      </c>
      <c r="E303" s="7" t="s">
        <v>12</v>
      </c>
      <c r="F303" s="7" t="s">
        <v>38</v>
      </c>
      <c r="G303" s="9" t="s">
        <v>39</v>
      </c>
      <c r="H303" s="10" t="s">
        <v>55</v>
      </c>
      <c r="I303" s="3" t="s">
        <v>4</v>
      </c>
      <c r="J303" s="102">
        <v>0.41685185185185186</v>
      </c>
      <c r="K303" s="7">
        <v>217.4</v>
      </c>
      <c r="L303" s="7">
        <v>0.27</v>
      </c>
      <c r="M303" s="7">
        <v>396.7</v>
      </c>
      <c r="N303" s="7">
        <v>0.03</v>
      </c>
      <c r="O303" s="7">
        <v>59.3</v>
      </c>
      <c r="P303" s="7">
        <v>0.8</v>
      </c>
      <c r="Q303" s="6">
        <v>65</v>
      </c>
      <c r="R303" s="7" t="s">
        <v>46</v>
      </c>
    </row>
    <row r="304" spans="1:18" x14ac:dyDescent="0.2">
      <c r="A304" s="7">
        <v>2012</v>
      </c>
      <c r="B304" s="104">
        <v>41102</v>
      </c>
      <c r="C304" s="7" t="s">
        <v>35</v>
      </c>
      <c r="D304" s="7" t="s">
        <v>51</v>
      </c>
      <c r="E304" s="7" t="s">
        <v>12</v>
      </c>
      <c r="F304" s="7" t="s">
        <v>38</v>
      </c>
      <c r="G304" s="9" t="s">
        <v>39</v>
      </c>
      <c r="H304" s="10" t="s">
        <v>55</v>
      </c>
      <c r="I304" s="3" t="s">
        <v>4</v>
      </c>
      <c r="J304" s="102">
        <v>0.41697916666666668</v>
      </c>
      <c r="K304" s="7">
        <v>310.5</v>
      </c>
      <c r="L304" s="7">
        <v>0.09</v>
      </c>
      <c r="M304" s="7">
        <v>400.4</v>
      </c>
      <c r="N304" s="7">
        <v>0.03</v>
      </c>
      <c r="O304" s="7">
        <v>59.3</v>
      </c>
      <c r="P304" s="7">
        <v>0.3</v>
      </c>
      <c r="Q304" s="6">
        <v>80</v>
      </c>
      <c r="R304" s="7" t="s">
        <v>46</v>
      </c>
    </row>
    <row r="305" spans="1:18" x14ac:dyDescent="0.2">
      <c r="A305" s="7">
        <v>2012</v>
      </c>
      <c r="B305" s="104">
        <v>41102</v>
      </c>
      <c r="C305" s="7" t="s">
        <v>35</v>
      </c>
      <c r="D305" s="7" t="s">
        <v>51</v>
      </c>
      <c r="E305" s="7" t="s">
        <v>12</v>
      </c>
      <c r="F305" s="7" t="s">
        <v>38</v>
      </c>
      <c r="G305" s="9" t="s">
        <v>39</v>
      </c>
      <c r="H305" s="10" t="s">
        <v>55</v>
      </c>
      <c r="I305" s="3" t="s">
        <v>4</v>
      </c>
      <c r="J305" s="102">
        <v>0.41706018518518517</v>
      </c>
      <c r="K305" s="7">
        <v>327.9</v>
      </c>
      <c r="L305" s="7">
        <v>0.02</v>
      </c>
      <c r="M305" s="7">
        <v>402.8</v>
      </c>
      <c r="N305" s="7">
        <v>0.03</v>
      </c>
      <c r="O305" s="7">
        <v>59.3</v>
      </c>
      <c r="P305" s="7">
        <v>0.2</v>
      </c>
      <c r="Q305" s="6">
        <v>95</v>
      </c>
      <c r="R305" s="7" t="s">
        <v>46</v>
      </c>
    </row>
    <row r="306" spans="1:18" x14ac:dyDescent="0.2">
      <c r="A306" s="7">
        <v>2012</v>
      </c>
      <c r="B306" s="104">
        <v>41102</v>
      </c>
      <c r="C306" s="7" t="s">
        <v>35</v>
      </c>
      <c r="D306" s="7" t="s">
        <v>51</v>
      </c>
      <c r="E306" s="7" t="s">
        <v>12</v>
      </c>
      <c r="F306" s="7" t="s">
        <v>38</v>
      </c>
      <c r="G306" s="9" t="s">
        <v>39</v>
      </c>
      <c r="H306" s="10" t="s">
        <v>55</v>
      </c>
      <c r="I306" s="3" t="s">
        <v>4</v>
      </c>
      <c r="J306" s="102">
        <v>0.4175578703703704</v>
      </c>
      <c r="K306" s="7">
        <v>32.1</v>
      </c>
      <c r="L306" s="7">
        <v>0.25</v>
      </c>
      <c r="M306" s="7">
        <v>415</v>
      </c>
      <c r="N306" s="7">
        <v>0.02</v>
      </c>
      <c r="O306" s="7">
        <v>59.2</v>
      </c>
      <c r="P306" s="7">
        <v>3.9</v>
      </c>
      <c r="Q306" s="6">
        <v>5</v>
      </c>
      <c r="R306" s="7" t="s">
        <v>46</v>
      </c>
    </row>
    <row r="307" spans="1:18" x14ac:dyDescent="0.2">
      <c r="A307" s="7">
        <v>2012</v>
      </c>
      <c r="B307" s="104">
        <v>41102</v>
      </c>
      <c r="C307" s="7" t="s">
        <v>35</v>
      </c>
      <c r="D307" s="7" t="s">
        <v>51</v>
      </c>
      <c r="E307" s="7" t="s">
        <v>12</v>
      </c>
      <c r="F307" s="7" t="s">
        <v>38</v>
      </c>
      <c r="G307" s="9" t="s">
        <v>39</v>
      </c>
      <c r="H307" s="10" t="s">
        <v>55</v>
      </c>
      <c r="I307" s="3" t="s">
        <v>4</v>
      </c>
      <c r="J307" s="102">
        <v>0.41781249999999998</v>
      </c>
      <c r="K307" s="7">
        <v>49</v>
      </c>
      <c r="L307" s="7">
        <v>0.25</v>
      </c>
      <c r="M307" s="7">
        <v>419.9</v>
      </c>
      <c r="N307" s="7">
        <v>0.02</v>
      </c>
      <c r="O307" s="7">
        <v>59.2</v>
      </c>
      <c r="P307" s="7">
        <v>3.2</v>
      </c>
      <c r="Q307" s="6">
        <v>20</v>
      </c>
      <c r="R307" s="7" t="s">
        <v>46</v>
      </c>
    </row>
    <row r="308" spans="1:18" x14ac:dyDescent="0.2">
      <c r="A308" s="7">
        <v>2012</v>
      </c>
      <c r="B308" s="104">
        <v>41102</v>
      </c>
      <c r="C308" s="7" t="s">
        <v>35</v>
      </c>
      <c r="D308" s="7" t="s">
        <v>51</v>
      </c>
      <c r="E308" s="7" t="s">
        <v>12</v>
      </c>
      <c r="F308" s="7" t="s">
        <v>38</v>
      </c>
      <c r="G308" s="9" t="s">
        <v>39</v>
      </c>
      <c r="H308" s="10" t="s">
        <v>55</v>
      </c>
      <c r="I308" s="3" t="s">
        <v>4</v>
      </c>
      <c r="J308" s="102">
        <v>0.41798611111111111</v>
      </c>
      <c r="K308" s="7">
        <v>55.3</v>
      </c>
      <c r="L308" s="7">
        <v>0.27</v>
      </c>
      <c r="M308" s="7">
        <v>422.4</v>
      </c>
      <c r="N308" s="7">
        <v>0.02</v>
      </c>
      <c r="O308" s="7">
        <v>59.2</v>
      </c>
      <c r="P308" s="7">
        <v>3</v>
      </c>
      <c r="Q308" s="6">
        <v>35</v>
      </c>
      <c r="R308" s="7" t="s">
        <v>46</v>
      </c>
    </row>
    <row r="309" spans="1:18" x14ac:dyDescent="0.2">
      <c r="A309" s="7">
        <v>2012</v>
      </c>
      <c r="B309" s="104">
        <v>41102</v>
      </c>
      <c r="C309" s="7" t="s">
        <v>35</v>
      </c>
      <c r="D309" s="7" t="s">
        <v>51</v>
      </c>
      <c r="E309" s="7" t="s">
        <v>12</v>
      </c>
      <c r="F309" s="7" t="s">
        <v>38</v>
      </c>
      <c r="G309" s="9" t="s">
        <v>39</v>
      </c>
      <c r="H309" s="10" t="s">
        <v>55</v>
      </c>
      <c r="I309" s="3" t="s">
        <v>4</v>
      </c>
      <c r="J309" s="102">
        <v>0.41821759259259261</v>
      </c>
      <c r="K309" s="7">
        <v>82.9</v>
      </c>
      <c r="L309" s="7">
        <v>0.18</v>
      </c>
      <c r="M309" s="7">
        <v>426</v>
      </c>
      <c r="N309" s="7">
        <v>0.01</v>
      </c>
      <c r="O309" s="7">
        <v>59.1</v>
      </c>
      <c r="P309" s="7">
        <v>2.4</v>
      </c>
      <c r="Q309" s="6">
        <v>50</v>
      </c>
      <c r="R309" s="7" t="s">
        <v>46</v>
      </c>
    </row>
    <row r="310" spans="1:18" x14ac:dyDescent="0.2">
      <c r="A310" s="7">
        <v>2012</v>
      </c>
      <c r="B310" s="104">
        <v>41102</v>
      </c>
      <c r="C310" s="7" t="s">
        <v>35</v>
      </c>
      <c r="D310" s="7" t="s">
        <v>51</v>
      </c>
      <c r="E310" s="7" t="s">
        <v>12</v>
      </c>
      <c r="F310" s="7" t="s">
        <v>38</v>
      </c>
      <c r="G310" s="9" t="s">
        <v>39</v>
      </c>
      <c r="H310" s="10" t="s">
        <v>55</v>
      </c>
      <c r="I310" s="3" t="s">
        <v>4</v>
      </c>
      <c r="J310" s="102">
        <v>0.4183796296296296</v>
      </c>
      <c r="K310" s="7">
        <v>260.60000000000002</v>
      </c>
      <c r="L310" s="7">
        <v>0.15</v>
      </c>
      <c r="M310" s="7">
        <v>427.2</v>
      </c>
      <c r="N310" s="7">
        <v>0.02</v>
      </c>
      <c r="O310" s="7">
        <v>59.1</v>
      </c>
      <c r="P310" s="7">
        <v>0.6</v>
      </c>
      <c r="Q310" s="6">
        <v>65</v>
      </c>
      <c r="R310" s="7" t="s">
        <v>46</v>
      </c>
    </row>
    <row r="311" spans="1:18" x14ac:dyDescent="0.2">
      <c r="A311" s="7">
        <v>2012</v>
      </c>
      <c r="B311" s="104">
        <v>41102</v>
      </c>
      <c r="C311" s="7" t="s">
        <v>35</v>
      </c>
      <c r="D311" s="7" t="s">
        <v>51</v>
      </c>
      <c r="E311" s="7" t="s">
        <v>12</v>
      </c>
      <c r="F311" s="7" t="s">
        <v>38</v>
      </c>
      <c r="G311" s="9" t="s">
        <v>39</v>
      </c>
      <c r="H311" s="10" t="s">
        <v>55</v>
      </c>
      <c r="I311" s="3" t="s">
        <v>4</v>
      </c>
      <c r="J311" s="102">
        <v>0.41851851851851851</v>
      </c>
      <c r="K311" s="7">
        <v>342</v>
      </c>
      <c r="L311" s="7">
        <v>0.04</v>
      </c>
      <c r="M311" s="7">
        <v>427.2</v>
      </c>
      <c r="N311" s="7">
        <v>0.02</v>
      </c>
      <c r="O311" s="7">
        <v>59.1</v>
      </c>
      <c r="P311" s="7">
        <v>0.3</v>
      </c>
      <c r="Q311" s="6">
        <v>80</v>
      </c>
      <c r="R311" s="7" t="s">
        <v>46</v>
      </c>
    </row>
    <row r="312" spans="1:18" x14ac:dyDescent="0.2">
      <c r="A312" s="7">
        <v>2012</v>
      </c>
      <c r="B312" s="104">
        <v>41115</v>
      </c>
      <c r="C312" s="7" t="s">
        <v>35</v>
      </c>
      <c r="D312" s="7" t="s">
        <v>36</v>
      </c>
      <c r="E312" s="7" t="s">
        <v>13</v>
      </c>
      <c r="F312" s="7" t="s">
        <v>38</v>
      </c>
      <c r="G312" s="9" t="s">
        <v>39</v>
      </c>
      <c r="H312" s="10" t="s">
        <v>55</v>
      </c>
      <c r="I312" s="7" t="s">
        <v>41</v>
      </c>
      <c r="J312" s="102">
        <v>0.64629629629629626</v>
      </c>
      <c r="K312" s="7">
        <v>145.4</v>
      </c>
      <c r="L312" s="7">
        <v>0.92</v>
      </c>
      <c r="M312" s="7">
        <v>1242.7</v>
      </c>
      <c r="N312" s="7">
        <v>0.7</v>
      </c>
      <c r="O312" s="7">
        <v>106.2</v>
      </c>
      <c r="P312" s="7">
        <v>1.3</v>
      </c>
      <c r="Q312" s="6">
        <v>5</v>
      </c>
      <c r="R312" s="7" t="s">
        <v>46</v>
      </c>
    </row>
    <row r="313" spans="1:18" x14ac:dyDescent="0.2">
      <c r="A313" s="7">
        <v>2012</v>
      </c>
      <c r="B313" s="104">
        <v>41115</v>
      </c>
      <c r="C313" s="7" t="s">
        <v>35</v>
      </c>
      <c r="D313" s="7" t="s">
        <v>36</v>
      </c>
      <c r="E313" s="7" t="s">
        <v>13</v>
      </c>
      <c r="F313" s="7" t="s">
        <v>38</v>
      </c>
      <c r="G313" s="9" t="s">
        <v>39</v>
      </c>
      <c r="H313" s="10" t="s">
        <v>55</v>
      </c>
      <c r="I313" s="7" t="s">
        <v>41</v>
      </c>
      <c r="J313" s="102">
        <v>0.6463888888888889</v>
      </c>
      <c r="K313" s="7">
        <v>50.2</v>
      </c>
      <c r="L313" s="7">
        <v>0.37</v>
      </c>
      <c r="M313" s="7">
        <v>429.7</v>
      </c>
      <c r="N313" s="7">
        <v>0.15</v>
      </c>
      <c r="O313" s="7">
        <v>106.3</v>
      </c>
      <c r="P313" s="7">
        <v>2.9</v>
      </c>
      <c r="Q313" s="6">
        <v>5</v>
      </c>
      <c r="R313" s="7" t="s">
        <v>0</v>
      </c>
    </row>
    <row r="314" spans="1:18" x14ac:dyDescent="0.2">
      <c r="A314" s="7">
        <v>2012</v>
      </c>
      <c r="B314" s="104">
        <v>41115</v>
      </c>
      <c r="C314" s="7" t="s">
        <v>35</v>
      </c>
      <c r="D314" s="7" t="s">
        <v>36</v>
      </c>
      <c r="E314" s="7" t="s">
        <v>13</v>
      </c>
      <c r="F314" s="7" t="s">
        <v>38</v>
      </c>
      <c r="G314" s="9" t="s">
        <v>39</v>
      </c>
      <c r="H314" s="10" t="s">
        <v>55</v>
      </c>
      <c r="I314" s="7" t="s">
        <v>41</v>
      </c>
      <c r="J314" s="102">
        <v>0.64682870370370371</v>
      </c>
      <c r="K314" s="7">
        <v>198.9</v>
      </c>
      <c r="L314" s="7">
        <v>0.76</v>
      </c>
      <c r="M314" s="7">
        <v>1060.8</v>
      </c>
      <c r="N314" s="7">
        <v>0.65</v>
      </c>
      <c r="O314" s="7">
        <v>106.3</v>
      </c>
      <c r="P314" s="7">
        <v>0.8</v>
      </c>
      <c r="Q314" s="6">
        <v>20</v>
      </c>
      <c r="R314" s="7" t="s">
        <v>46</v>
      </c>
    </row>
    <row r="315" spans="1:18" x14ac:dyDescent="0.2">
      <c r="A315" s="7">
        <v>2012</v>
      </c>
      <c r="B315" s="104">
        <v>41115</v>
      </c>
      <c r="C315" s="7" t="s">
        <v>35</v>
      </c>
      <c r="D315" s="7" t="s">
        <v>36</v>
      </c>
      <c r="E315" s="7" t="s">
        <v>13</v>
      </c>
      <c r="F315" s="7" t="s">
        <v>38</v>
      </c>
      <c r="G315" s="9" t="s">
        <v>39</v>
      </c>
      <c r="H315" s="10" t="s">
        <v>55</v>
      </c>
      <c r="I315" s="7" t="s">
        <v>41</v>
      </c>
      <c r="J315" s="102">
        <v>0.64689814814814817</v>
      </c>
      <c r="K315" s="7">
        <v>67.5</v>
      </c>
      <c r="L315" s="7">
        <v>0.34</v>
      </c>
      <c r="M315" s="7">
        <v>459</v>
      </c>
      <c r="N315" s="7">
        <v>0.14000000000000001</v>
      </c>
      <c r="O315" s="7">
        <v>106.3</v>
      </c>
      <c r="P315" s="7">
        <v>2.6</v>
      </c>
      <c r="Q315" s="6">
        <v>50</v>
      </c>
      <c r="R315" s="7" t="s">
        <v>0</v>
      </c>
    </row>
    <row r="316" spans="1:18" x14ac:dyDescent="0.2">
      <c r="A316" s="7">
        <v>2012</v>
      </c>
      <c r="B316" s="104">
        <v>41115</v>
      </c>
      <c r="C316" s="7" t="s">
        <v>35</v>
      </c>
      <c r="D316" s="7" t="s">
        <v>36</v>
      </c>
      <c r="E316" s="7" t="s">
        <v>13</v>
      </c>
      <c r="F316" s="7" t="s">
        <v>38</v>
      </c>
      <c r="G316" s="9" t="s">
        <v>39</v>
      </c>
      <c r="H316" s="10" t="s">
        <v>55</v>
      </c>
      <c r="I316" s="7" t="s">
        <v>41</v>
      </c>
      <c r="J316" s="102">
        <v>0.64709490740740738</v>
      </c>
      <c r="K316" s="7">
        <v>357</v>
      </c>
      <c r="L316" s="7">
        <v>0.59</v>
      </c>
      <c r="M316" s="7">
        <v>1154.8</v>
      </c>
      <c r="N316" s="7">
        <v>0.67</v>
      </c>
      <c r="O316" s="7">
        <v>106.3</v>
      </c>
      <c r="P316" s="7">
        <v>0.1</v>
      </c>
      <c r="Q316" s="6">
        <v>35</v>
      </c>
      <c r="R316" s="7" t="s">
        <v>46</v>
      </c>
    </row>
    <row r="317" spans="1:18" x14ac:dyDescent="0.2">
      <c r="A317" s="7">
        <v>2012</v>
      </c>
      <c r="B317" s="104">
        <v>41115</v>
      </c>
      <c r="C317" s="7" t="s">
        <v>35</v>
      </c>
      <c r="D317" s="7" t="s">
        <v>36</v>
      </c>
      <c r="E317" s="7" t="s">
        <v>13</v>
      </c>
      <c r="F317" s="7" t="s">
        <v>38</v>
      </c>
      <c r="G317" s="9" t="s">
        <v>39</v>
      </c>
      <c r="H317" s="10" t="s">
        <v>55</v>
      </c>
      <c r="I317" s="7" t="s">
        <v>41</v>
      </c>
      <c r="J317" s="102">
        <v>0.64716435185185184</v>
      </c>
      <c r="K317" s="7">
        <v>127.8</v>
      </c>
      <c r="L317" s="7">
        <v>0.24</v>
      </c>
      <c r="M317" s="7">
        <v>443.1</v>
      </c>
      <c r="N317" s="7">
        <v>0.16</v>
      </c>
      <c r="O317" s="7">
        <v>106.3</v>
      </c>
      <c r="P317" s="7">
        <v>1.5</v>
      </c>
      <c r="Q317" s="6">
        <v>35</v>
      </c>
      <c r="R317" s="7" t="s">
        <v>0</v>
      </c>
    </row>
    <row r="318" spans="1:18" x14ac:dyDescent="0.2">
      <c r="A318" s="7">
        <v>2012</v>
      </c>
      <c r="B318" s="104">
        <v>41115</v>
      </c>
      <c r="C318" s="7" t="s">
        <v>35</v>
      </c>
      <c r="D318" s="7" t="s">
        <v>36</v>
      </c>
      <c r="E318" s="7" t="s">
        <v>13</v>
      </c>
      <c r="F318" s="7" t="s">
        <v>38</v>
      </c>
      <c r="G318" s="9" t="s">
        <v>39</v>
      </c>
      <c r="H318" s="10" t="s">
        <v>55</v>
      </c>
      <c r="I318" s="7" t="s">
        <v>41</v>
      </c>
      <c r="J318" s="102">
        <v>0.64741898148148147</v>
      </c>
      <c r="K318" s="7">
        <v>956.9</v>
      </c>
      <c r="L318" s="7">
        <v>0.13</v>
      </c>
      <c r="M318" s="7">
        <v>1289.0999999999999</v>
      </c>
      <c r="N318" s="7">
        <v>0.7</v>
      </c>
      <c r="O318" s="7">
        <v>106.3</v>
      </c>
      <c r="P318" s="7">
        <v>0</v>
      </c>
      <c r="Q318" s="6">
        <v>50</v>
      </c>
      <c r="R318" s="7" t="s">
        <v>46</v>
      </c>
    </row>
    <row r="319" spans="1:18" x14ac:dyDescent="0.2">
      <c r="A319" s="7">
        <v>2012</v>
      </c>
      <c r="B319" s="104">
        <v>41115</v>
      </c>
      <c r="C319" s="7" t="s">
        <v>35</v>
      </c>
      <c r="D319" s="7" t="s">
        <v>36</v>
      </c>
      <c r="E319" s="7" t="s">
        <v>13</v>
      </c>
      <c r="F319" s="7" t="s">
        <v>38</v>
      </c>
      <c r="G319" s="9" t="s">
        <v>39</v>
      </c>
      <c r="H319" s="10" t="s">
        <v>55</v>
      </c>
      <c r="I319" s="7" t="s">
        <v>41</v>
      </c>
      <c r="J319" s="102">
        <v>0.64751157407407411</v>
      </c>
      <c r="K319" s="7">
        <v>281.7</v>
      </c>
      <c r="L319" s="7">
        <v>7.0000000000000007E-2</v>
      </c>
      <c r="M319" s="7">
        <v>473.6</v>
      </c>
      <c r="N319" s="7">
        <v>0.16</v>
      </c>
      <c r="O319" s="7">
        <v>106.3</v>
      </c>
      <c r="P319" s="7">
        <v>0.4</v>
      </c>
      <c r="Q319" s="6">
        <v>50</v>
      </c>
      <c r="R319" s="7" t="s">
        <v>0</v>
      </c>
    </row>
    <row r="320" spans="1:18" x14ac:dyDescent="0.2">
      <c r="A320" s="7">
        <v>2012</v>
      </c>
      <c r="B320" s="104">
        <v>41115</v>
      </c>
      <c r="C320" s="7" t="s">
        <v>35</v>
      </c>
      <c r="D320" s="7" t="s">
        <v>36</v>
      </c>
      <c r="E320" s="7" t="s">
        <v>13</v>
      </c>
      <c r="F320" s="7" t="s">
        <v>38</v>
      </c>
      <c r="G320" s="9" t="s">
        <v>39</v>
      </c>
      <c r="H320" s="10" t="s">
        <v>55</v>
      </c>
      <c r="I320" s="7" t="s">
        <v>41</v>
      </c>
      <c r="J320" s="102">
        <v>0.64770833333333333</v>
      </c>
      <c r="K320" s="7">
        <v>1037.5999999999999</v>
      </c>
      <c r="L320" s="7">
        <v>0.03</v>
      </c>
      <c r="M320" s="7">
        <v>1337.9</v>
      </c>
      <c r="N320" s="7">
        <v>0.71</v>
      </c>
      <c r="O320" s="7">
        <v>106.3</v>
      </c>
      <c r="P320" s="7">
        <v>0</v>
      </c>
      <c r="Q320" s="6">
        <v>65</v>
      </c>
      <c r="R320" s="7" t="s">
        <v>46</v>
      </c>
    </row>
    <row r="321" spans="1:18" x14ac:dyDescent="0.2">
      <c r="A321" s="7">
        <v>2012</v>
      </c>
      <c r="B321" s="104">
        <v>41115</v>
      </c>
      <c r="C321" s="7" t="s">
        <v>35</v>
      </c>
      <c r="D321" s="7" t="s">
        <v>36</v>
      </c>
      <c r="E321" s="7" t="s">
        <v>13</v>
      </c>
      <c r="F321" s="7" t="s">
        <v>38</v>
      </c>
      <c r="G321" s="9" t="s">
        <v>39</v>
      </c>
      <c r="H321" s="10" t="s">
        <v>55</v>
      </c>
      <c r="I321" s="7" t="s">
        <v>41</v>
      </c>
      <c r="J321" s="102">
        <v>0.64780092592592597</v>
      </c>
      <c r="K321" s="7">
        <v>302.60000000000002</v>
      </c>
      <c r="L321" s="7">
        <v>0.06</v>
      </c>
      <c r="M321" s="7">
        <v>500.5</v>
      </c>
      <c r="N321" s="7">
        <v>0.18</v>
      </c>
      <c r="O321" s="7">
        <v>106.3</v>
      </c>
      <c r="P321" s="7">
        <v>0.4</v>
      </c>
      <c r="Q321" s="6">
        <v>65</v>
      </c>
      <c r="R321" s="7" t="s">
        <v>0</v>
      </c>
    </row>
    <row r="322" spans="1:18" x14ac:dyDescent="0.2">
      <c r="A322" s="7">
        <v>2012</v>
      </c>
      <c r="B322" s="104">
        <v>41115</v>
      </c>
      <c r="C322" s="7" t="s">
        <v>35</v>
      </c>
      <c r="D322" s="7" t="s">
        <v>36</v>
      </c>
      <c r="E322" s="7" t="s">
        <v>13</v>
      </c>
      <c r="F322" s="7" t="s">
        <v>38</v>
      </c>
      <c r="G322" s="9" t="s">
        <v>39</v>
      </c>
      <c r="H322" s="10" t="s">
        <v>55</v>
      </c>
      <c r="I322" s="7" t="s">
        <v>41</v>
      </c>
      <c r="J322" s="102">
        <v>0.6481365740740741</v>
      </c>
      <c r="K322" s="7">
        <v>171.9</v>
      </c>
      <c r="L322" s="7">
        <v>0.93</v>
      </c>
      <c r="M322" s="7">
        <v>1356.2</v>
      </c>
      <c r="N322" s="7">
        <v>0.71</v>
      </c>
      <c r="O322" s="7">
        <v>106.3</v>
      </c>
      <c r="P322" s="7">
        <v>1.1000000000000001</v>
      </c>
      <c r="Q322" s="6">
        <v>5</v>
      </c>
      <c r="R322" s="7" t="s">
        <v>46</v>
      </c>
    </row>
    <row r="323" spans="1:18" x14ac:dyDescent="0.2">
      <c r="A323" s="7">
        <v>2012</v>
      </c>
      <c r="B323" s="104">
        <v>41115</v>
      </c>
      <c r="C323" s="7" t="s">
        <v>35</v>
      </c>
      <c r="D323" s="7" t="s">
        <v>36</v>
      </c>
      <c r="E323" s="7" t="s">
        <v>13</v>
      </c>
      <c r="F323" s="7" t="s">
        <v>38</v>
      </c>
      <c r="G323" s="9" t="s">
        <v>39</v>
      </c>
      <c r="H323" s="10" t="s">
        <v>55</v>
      </c>
      <c r="I323" s="7" t="s">
        <v>41</v>
      </c>
      <c r="J323" s="102">
        <v>0.64822916666666663</v>
      </c>
      <c r="K323" s="7">
        <v>43</v>
      </c>
      <c r="L323" s="7">
        <v>0.36</v>
      </c>
      <c r="M323" s="7">
        <v>549.29999999999995</v>
      </c>
      <c r="N323" s="7">
        <v>0.16</v>
      </c>
      <c r="O323" s="7">
        <v>106.3</v>
      </c>
      <c r="P323" s="7">
        <v>3.6</v>
      </c>
      <c r="Q323" s="6">
        <v>5</v>
      </c>
      <c r="R323" s="7" t="s">
        <v>0</v>
      </c>
    </row>
    <row r="324" spans="1:18" x14ac:dyDescent="0.2">
      <c r="A324" s="7">
        <v>2012</v>
      </c>
      <c r="B324" s="104">
        <v>41115</v>
      </c>
      <c r="C324" s="7" t="s">
        <v>35</v>
      </c>
      <c r="D324" s="7" t="s">
        <v>36</v>
      </c>
      <c r="E324" s="7" t="s">
        <v>13</v>
      </c>
      <c r="F324" s="7" t="s">
        <v>38</v>
      </c>
      <c r="G324" s="9" t="s">
        <v>39</v>
      </c>
      <c r="H324" s="10" t="s">
        <v>55</v>
      </c>
      <c r="I324" s="7" t="s">
        <v>41</v>
      </c>
      <c r="J324" s="102">
        <v>0.64846064814814819</v>
      </c>
      <c r="K324" s="7">
        <v>291.3</v>
      </c>
      <c r="L324" s="7">
        <v>0.78</v>
      </c>
      <c r="M324" s="7">
        <v>1392.8</v>
      </c>
      <c r="N324" s="7">
        <v>0.72</v>
      </c>
      <c r="O324" s="7">
        <v>106.3</v>
      </c>
      <c r="P324" s="7">
        <v>0.4</v>
      </c>
      <c r="Q324" s="6">
        <v>20</v>
      </c>
      <c r="R324" s="7" t="s">
        <v>46</v>
      </c>
    </row>
    <row r="325" spans="1:18" x14ac:dyDescent="0.2">
      <c r="A325" s="7">
        <v>2012</v>
      </c>
      <c r="B325" s="104">
        <v>41115</v>
      </c>
      <c r="C325" s="7" t="s">
        <v>35</v>
      </c>
      <c r="D325" s="7" t="s">
        <v>36</v>
      </c>
      <c r="E325" s="7" t="s">
        <v>13</v>
      </c>
      <c r="F325" s="7" t="s">
        <v>38</v>
      </c>
      <c r="G325" s="9" t="s">
        <v>39</v>
      </c>
      <c r="H325" s="10" t="s">
        <v>55</v>
      </c>
      <c r="I325" s="7" t="s">
        <v>41</v>
      </c>
      <c r="J325" s="102">
        <v>0.64854166666666668</v>
      </c>
      <c r="K325" s="7">
        <v>92.4</v>
      </c>
      <c r="L325" s="7">
        <v>0.32</v>
      </c>
      <c r="M325" s="7">
        <v>512.70000000000005</v>
      </c>
      <c r="N325" s="7">
        <v>0.18</v>
      </c>
      <c r="O325" s="7">
        <v>106.3</v>
      </c>
      <c r="P325" s="7">
        <v>2.2000000000000002</v>
      </c>
      <c r="Q325" s="6">
        <v>50</v>
      </c>
      <c r="R325" s="7" t="s">
        <v>0</v>
      </c>
    </row>
    <row r="326" spans="1:18" x14ac:dyDescent="0.2">
      <c r="A326" s="7">
        <v>2012</v>
      </c>
      <c r="B326" s="104">
        <v>41115</v>
      </c>
      <c r="C326" s="7" t="s">
        <v>35</v>
      </c>
      <c r="D326" s="7" t="s">
        <v>36</v>
      </c>
      <c r="E326" s="7" t="s">
        <v>13</v>
      </c>
      <c r="F326" s="7" t="s">
        <v>38</v>
      </c>
      <c r="G326" s="9" t="s">
        <v>39</v>
      </c>
      <c r="H326" s="10" t="s">
        <v>55</v>
      </c>
      <c r="I326" s="7" t="s">
        <v>41</v>
      </c>
      <c r="J326" s="102">
        <v>0.64900462962962957</v>
      </c>
      <c r="K326" s="7">
        <v>413.6</v>
      </c>
      <c r="L326" s="7">
        <v>0.7</v>
      </c>
      <c r="M326" s="7">
        <v>1431.9</v>
      </c>
      <c r="N326" s="7">
        <v>0.72</v>
      </c>
      <c r="O326" s="7">
        <v>106.3</v>
      </c>
      <c r="P326" s="7">
        <v>0.1</v>
      </c>
      <c r="Q326" s="6">
        <v>35</v>
      </c>
      <c r="R326" s="7" t="s">
        <v>46</v>
      </c>
    </row>
    <row r="327" spans="1:18" x14ac:dyDescent="0.2">
      <c r="A327" s="7">
        <v>2012</v>
      </c>
      <c r="B327" s="104">
        <v>41115</v>
      </c>
      <c r="C327" s="7" t="s">
        <v>35</v>
      </c>
      <c r="D327" s="7" t="s">
        <v>36</v>
      </c>
      <c r="E327" s="7" t="s">
        <v>13</v>
      </c>
      <c r="F327" s="7" t="s">
        <v>38</v>
      </c>
      <c r="G327" s="9" t="s">
        <v>39</v>
      </c>
      <c r="H327" s="10" t="s">
        <v>55</v>
      </c>
      <c r="I327" s="7" t="s">
        <v>41</v>
      </c>
      <c r="J327" s="102">
        <v>0.64906249999999999</v>
      </c>
      <c r="K327" s="7">
        <v>130.19999999999999</v>
      </c>
      <c r="L327" s="7">
        <v>0.26</v>
      </c>
      <c r="M327" s="7">
        <v>510.3</v>
      </c>
      <c r="N327" s="7">
        <v>0.19</v>
      </c>
      <c r="O327" s="7">
        <v>106.4</v>
      </c>
      <c r="P327" s="7">
        <v>1.6</v>
      </c>
      <c r="Q327" s="6">
        <v>35</v>
      </c>
      <c r="R327" s="7" t="s">
        <v>0</v>
      </c>
    </row>
    <row r="328" spans="1:18" x14ac:dyDescent="0.2">
      <c r="A328" s="7">
        <v>2012</v>
      </c>
      <c r="B328" s="104">
        <v>41115</v>
      </c>
      <c r="C328" s="7" t="s">
        <v>35</v>
      </c>
      <c r="D328" s="7" t="s">
        <v>36</v>
      </c>
      <c r="E328" s="7" t="s">
        <v>13</v>
      </c>
      <c r="F328" s="7" t="s">
        <v>38</v>
      </c>
      <c r="G328" s="9" t="s">
        <v>39</v>
      </c>
      <c r="H328" s="10" t="s">
        <v>55</v>
      </c>
      <c r="I328" s="7" t="s">
        <v>41</v>
      </c>
      <c r="J328" s="102">
        <v>0.64916666666666667</v>
      </c>
      <c r="K328" s="7">
        <v>1055.2</v>
      </c>
      <c r="L328" s="7">
        <v>0.18</v>
      </c>
      <c r="M328" s="7">
        <v>1438</v>
      </c>
      <c r="N328" s="7">
        <v>0.72</v>
      </c>
      <c r="O328" s="7">
        <v>106.4</v>
      </c>
      <c r="P328" s="7">
        <v>0</v>
      </c>
      <c r="Q328" s="6">
        <v>50</v>
      </c>
      <c r="R328" s="7" t="s">
        <v>46</v>
      </c>
    </row>
    <row r="329" spans="1:18" x14ac:dyDescent="0.2">
      <c r="A329" s="7">
        <v>2012</v>
      </c>
      <c r="B329" s="104">
        <v>41115</v>
      </c>
      <c r="C329" s="7" t="s">
        <v>35</v>
      </c>
      <c r="D329" s="7" t="s">
        <v>36</v>
      </c>
      <c r="E329" s="7" t="s">
        <v>13</v>
      </c>
      <c r="F329" s="7" t="s">
        <v>38</v>
      </c>
      <c r="G329" s="9" t="s">
        <v>39</v>
      </c>
      <c r="H329" s="10" t="s">
        <v>55</v>
      </c>
      <c r="I329" s="7" t="s">
        <v>41</v>
      </c>
      <c r="J329" s="102">
        <v>0.64923611111111112</v>
      </c>
      <c r="K329" s="7">
        <v>288.39999999999998</v>
      </c>
      <c r="L329" s="7">
        <v>0.09</v>
      </c>
      <c r="M329" s="7">
        <v>518.79999999999995</v>
      </c>
      <c r="N329" s="7">
        <v>0.18</v>
      </c>
      <c r="O329" s="7">
        <v>106.4</v>
      </c>
      <c r="P329" s="7">
        <v>0.5</v>
      </c>
      <c r="Q329" s="6">
        <v>50</v>
      </c>
      <c r="R329" s="7" t="s">
        <v>0</v>
      </c>
    </row>
    <row r="330" spans="1:18" x14ac:dyDescent="0.2">
      <c r="A330" s="7">
        <v>2012</v>
      </c>
      <c r="B330" s="104">
        <v>41115</v>
      </c>
      <c r="C330" s="7" t="s">
        <v>35</v>
      </c>
      <c r="D330" s="7" t="s">
        <v>36</v>
      </c>
      <c r="E330" s="7" t="s">
        <v>13</v>
      </c>
      <c r="F330" s="7" t="s">
        <v>38</v>
      </c>
      <c r="G330" s="9" t="s">
        <v>39</v>
      </c>
      <c r="H330" s="10" t="s">
        <v>55</v>
      </c>
      <c r="I330" s="7" t="s">
        <v>41</v>
      </c>
      <c r="J330" s="102">
        <v>0.64931712962962962</v>
      </c>
      <c r="K330" s="7">
        <v>1149.5999999999999</v>
      </c>
      <c r="L330" s="7">
        <v>0.03</v>
      </c>
      <c r="M330" s="7">
        <v>482.2</v>
      </c>
      <c r="N330" s="7">
        <v>0.17</v>
      </c>
      <c r="O330" s="7">
        <v>106.4</v>
      </c>
      <c r="P330" s="7">
        <v>-1.1000000000000001</v>
      </c>
      <c r="Q330" s="6">
        <v>65</v>
      </c>
      <c r="R330" s="7" t="s">
        <v>46</v>
      </c>
    </row>
    <row r="331" spans="1:18" x14ac:dyDescent="0.2">
      <c r="A331" s="7">
        <v>2012</v>
      </c>
      <c r="B331" s="104">
        <v>41115</v>
      </c>
      <c r="C331" s="7" t="s">
        <v>35</v>
      </c>
      <c r="D331" s="7" t="s">
        <v>36</v>
      </c>
      <c r="E331" s="7" t="s">
        <v>13</v>
      </c>
      <c r="F331" s="7" t="s">
        <v>38</v>
      </c>
      <c r="G331" s="9" t="s">
        <v>39</v>
      </c>
      <c r="H331" s="10" t="s">
        <v>55</v>
      </c>
      <c r="I331" s="7" t="s">
        <v>41</v>
      </c>
      <c r="J331" s="102">
        <v>0.64944444444444438</v>
      </c>
      <c r="K331" s="7">
        <v>303.5</v>
      </c>
      <c r="L331" s="7">
        <v>0.06</v>
      </c>
      <c r="M331" s="7">
        <v>504.2</v>
      </c>
      <c r="N331" s="7">
        <v>0.19</v>
      </c>
      <c r="O331" s="7">
        <v>106.4</v>
      </c>
      <c r="P331" s="7">
        <v>0.3</v>
      </c>
      <c r="Q331" s="6">
        <v>65</v>
      </c>
      <c r="R331" s="7" t="s">
        <v>0</v>
      </c>
    </row>
    <row r="332" spans="1:18" x14ac:dyDescent="0.2">
      <c r="A332" s="7">
        <v>2012</v>
      </c>
      <c r="B332" s="104">
        <v>41115</v>
      </c>
      <c r="C332" s="7" t="s">
        <v>35</v>
      </c>
      <c r="D332" s="7" t="s">
        <v>36</v>
      </c>
      <c r="E332" s="7" t="s">
        <v>13</v>
      </c>
      <c r="F332" s="7" t="s">
        <v>38</v>
      </c>
      <c r="G332" s="9" t="s">
        <v>39</v>
      </c>
      <c r="H332" s="10" t="s">
        <v>55</v>
      </c>
      <c r="I332" s="7" t="s">
        <v>41</v>
      </c>
      <c r="J332" s="102">
        <v>0.64988425925925919</v>
      </c>
      <c r="K332" s="7">
        <v>153</v>
      </c>
      <c r="L332" s="7">
        <v>1.1299999999999999</v>
      </c>
      <c r="M332" s="7">
        <v>1464.8</v>
      </c>
      <c r="N332" s="7">
        <v>0.72</v>
      </c>
      <c r="O332" s="7">
        <v>106.4</v>
      </c>
      <c r="P332" s="7">
        <v>1.3</v>
      </c>
      <c r="Q332" s="6">
        <v>5</v>
      </c>
      <c r="R332" s="7" t="s">
        <v>46</v>
      </c>
    </row>
    <row r="333" spans="1:18" x14ac:dyDescent="0.2">
      <c r="A333" s="7">
        <v>2012</v>
      </c>
      <c r="B333" s="104">
        <v>41115</v>
      </c>
      <c r="C333" s="7" t="s">
        <v>35</v>
      </c>
      <c r="D333" s="7" t="s">
        <v>36</v>
      </c>
      <c r="E333" s="7" t="s">
        <v>13</v>
      </c>
      <c r="F333" s="7" t="s">
        <v>38</v>
      </c>
      <c r="G333" s="9" t="s">
        <v>39</v>
      </c>
      <c r="H333" s="10" t="s">
        <v>55</v>
      </c>
      <c r="I333" s="7" t="s">
        <v>41</v>
      </c>
      <c r="J333" s="102">
        <v>0.64995370370370364</v>
      </c>
      <c r="K333" s="7">
        <v>37.299999999999997</v>
      </c>
      <c r="L333" s="7">
        <v>0.38</v>
      </c>
      <c r="M333" s="7">
        <v>510.3</v>
      </c>
      <c r="N333" s="7">
        <v>0.2</v>
      </c>
      <c r="O333" s="7">
        <v>106.4</v>
      </c>
      <c r="P333" s="7">
        <v>3.6</v>
      </c>
      <c r="Q333" s="6">
        <v>5</v>
      </c>
      <c r="R333" s="7" t="s">
        <v>0</v>
      </c>
    </row>
    <row r="334" spans="1:18" x14ac:dyDescent="0.2">
      <c r="A334" s="7">
        <v>2012</v>
      </c>
      <c r="B334" s="104">
        <v>41115</v>
      </c>
      <c r="C334" s="7" t="s">
        <v>35</v>
      </c>
      <c r="D334" s="7" t="s">
        <v>36</v>
      </c>
      <c r="E334" s="7" t="s">
        <v>13</v>
      </c>
      <c r="F334" s="7" t="s">
        <v>38</v>
      </c>
      <c r="G334" s="9" t="s">
        <v>39</v>
      </c>
      <c r="H334" s="10" t="s">
        <v>55</v>
      </c>
      <c r="I334" s="7" t="s">
        <v>41</v>
      </c>
      <c r="J334" s="102">
        <v>0.65017361111111105</v>
      </c>
      <c r="K334" s="7">
        <v>238</v>
      </c>
      <c r="L334" s="7">
        <v>0.79</v>
      </c>
      <c r="M334" s="7">
        <v>1462.4</v>
      </c>
      <c r="N334" s="7">
        <v>0.72</v>
      </c>
      <c r="O334" s="7">
        <v>106.4</v>
      </c>
      <c r="P334" s="7">
        <v>0.7</v>
      </c>
      <c r="Q334" s="6">
        <v>20</v>
      </c>
      <c r="R334" s="7" t="s">
        <v>46</v>
      </c>
    </row>
    <row r="335" spans="1:18" x14ac:dyDescent="0.2">
      <c r="A335" s="7">
        <v>2012</v>
      </c>
      <c r="B335" s="104">
        <v>41115</v>
      </c>
      <c r="C335" s="7" t="s">
        <v>35</v>
      </c>
      <c r="D335" s="7" t="s">
        <v>36</v>
      </c>
      <c r="E335" s="7" t="s">
        <v>13</v>
      </c>
      <c r="F335" s="7" t="s">
        <v>38</v>
      </c>
      <c r="G335" s="9" t="s">
        <v>39</v>
      </c>
      <c r="H335" s="10" t="s">
        <v>55</v>
      </c>
      <c r="I335" s="7" t="s">
        <v>41</v>
      </c>
      <c r="J335" s="102">
        <v>0.65035879629629634</v>
      </c>
      <c r="K335" s="7">
        <v>108.2</v>
      </c>
      <c r="L335" s="7">
        <v>1.1200000000000001</v>
      </c>
      <c r="M335" s="7">
        <v>526.1</v>
      </c>
      <c r="N335" s="7">
        <v>0.18</v>
      </c>
      <c r="O335" s="7">
        <v>106.4</v>
      </c>
      <c r="P335" s="7">
        <v>1.9</v>
      </c>
      <c r="Q335" s="6">
        <v>50</v>
      </c>
      <c r="R335" s="7" t="s">
        <v>0</v>
      </c>
    </row>
    <row r="336" spans="1:18" x14ac:dyDescent="0.2">
      <c r="A336" s="7">
        <v>2012</v>
      </c>
      <c r="B336" s="104">
        <v>41115</v>
      </c>
      <c r="C336" s="7" t="s">
        <v>35</v>
      </c>
      <c r="D336" s="7" t="s">
        <v>36</v>
      </c>
      <c r="E336" s="7" t="s">
        <v>13</v>
      </c>
      <c r="F336" s="7" t="s">
        <v>38</v>
      </c>
      <c r="G336" s="9" t="s">
        <v>39</v>
      </c>
      <c r="H336" s="10" t="s">
        <v>55</v>
      </c>
      <c r="I336" s="7" t="s">
        <v>41</v>
      </c>
      <c r="J336" s="102">
        <v>0.6505671296296297</v>
      </c>
      <c r="K336" s="7">
        <v>682.7</v>
      </c>
      <c r="L336" s="7">
        <v>0.48</v>
      </c>
      <c r="M336" s="7">
        <v>1451.4</v>
      </c>
      <c r="N336" s="7">
        <v>0.72</v>
      </c>
      <c r="O336" s="7">
        <v>106.4</v>
      </c>
      <c r="P336" s="7">
        <v>0</v>
      </c>
      <c r="Q336" s="6">
        <v>35</v>
      </c>
      <c r="R336" s="7" t="s">
        <v>46</v>
      </c>
    </row>
    <row r="337" spans="1:18" x14ac:dyDescent="0.2">
      <c r="A337" s="7">
        <v>2012</v>
      </c>
      <c r="B337" s="104">
        <v>41115</v>
      </c>
      <c r="C337" s="7" t="s">
        <v>35</v>
      </c>
      <c r="D337" s="7" t="s">
        <v>36</v>
      </c>
      <c r="E337" s="7" t="s">
        <v>13</v>
      </c>
      <c r="F337" s="7" t="s">
        <v>38</v>
      </c>
      <c r="G337" s="9" t="s">
        <v>39</v>
      </c>
      <c r="H337" s="10" t="s">
        <v>55</v>
      </c>
      <c r="I337" s="7" t="s">
        <v>41</v>
      </c>
      <c r="J337" s="102">
        <v>0.65077546296296296</v>
      </c>
      <c r="K337" s="7">
        <v>161.80000000000001</v>
      </c>
      <c r="L337" s="7">
        <v>0.27</v>
      </c>
      <c r="M337" s="7">
        <v>490.7</v>
      </c>
      <c r="N337" s="7">
        <v>0.19</v>
      </c>
      <c r="O337" s="7">
        <v>106.4</v>
      </c>
      <c r="P337" s="7">
        <v>1.2</v>
      </c>
      <c r="Q337" s="6">
        <v>35</v>
      </c>
      <c r="R337" s="7" t="s">
        <v>0</v>
      </c>
    </row>
    <row r="338" spans="1:18" x14ac:dyDescent="0.2">
      <c r="A338" s="7">
        <v>2012</v>
      </c>
      <c r="B338" s="104">
        <v>41115</v>
      </c>
      <c r="C338" s="7" t="s">
        <v>35</v>
      </c>
      <c r="D338" s="7" t="s">
        <v>36</v>
      </c>
      <c r="E338" s="7" t="s">
        <v>13</v>
      </c>
      <c r="F338" s="7" t="s">
        <v>38</v>
      </c>
      <c r="G338" s="9" t="s">
        <v>39</v>
      </c>
      <c r="H338" s="10" t="s">
        <v>55</v>
      </c>
      <c r="I338" s="7" t="s">
        <v>41</v>
      </c>
      <c r="J338" s="102">
        <v>0.65090277777777772</v>
      </c>
      <c r="K338" s="7">
        <v>1079</v>
      </c>
      <c r="L338" s="7">
        <v>0.16</v>
      </c>
      <c r="M338" s="7">
        <v>1477.1</v>
      </c>
      <c r="N338" s="7">
        <v>0.72</v>
      </c>
      <c r="O338" s="7">
        <v>106.4</v>
      </c>
      <c r="P338" s="7">
        <v>0</v>
      </c>
      <c r="Q338" s="6">
        <v>50</v>
      </c>
      <c r="R338" s="7" t="s">
        <v>46</v>
      </c>
    </row>
    <row r="339" spans="1:18" x14ac:dyDescent="0.2">
      <c r="A339" s="7">
        <v>2012</v>
      </c>
      <c r="B339" s="104">
        <v>41115</v>
      </c>
      <c r="C339" s="7" t="s">
        <v>35</v>
      </c>
      <c r="D339" s="7" t="s">
        <v>36</v>
      </c>
      <c r="E339" s="7" t="s">
        <v>13</v>
      </c>
      <c r="F339" s="7" t="s">
        <v>38</v>
      </c>
      <c r="G339" s="9" t="s">
        <v>39</v>
      </c>
      <c r="H339" s="10" t="s">
        <v>55</v>
      </c>
      <c r="I339" s="7" t="s">
        <v>41</v>
      </c>
      <c r="J339" s="102">
        <v>0.65096064814814814</v>
      </c>
      <c r="K339" s="7">
        <v>337.2</v>
      </c>
      <c r="L339" s="7">
        <v>0.15</v>
      </c>
      <c r="M339" s="7">
        <v>600.6</v>
      </c>
      <c r="N339" s="7">
        <v>0.18</v>
      </c>
      <c r="O339" s="7">
        <v>106.4</v>
      </c>
      <c r="P339" s="7">
        <v>0.4</v>
      </c>
      <c r="Q339" s="6">
        <v>50</v>
      </c>
      <c r="R339" s="7" t="s">
        <v>0</v>
      </c>
    </row>
    <row r="340" spans="1:18" x14ac:dyDescent="0.2">
      <c r="A340" s="7">
        <v>2012</v>
      </c>
      <c r="B340" s="104">
        <v>41115</v>
      </c>
      <c r="C340" s="7" t="s">
        <v>35</v>
      </c>
      <c r="D340" s="7" t="s">
        <v>36</v>
      </c>
      <c r="E340" s="7" t="s">
        <v>13</v>
      </c>
      <c r="F340" s="7" t="s">
        <v>38</v>
      </c>
      <c r="G340" s="9" t="s">
        <v>39</v>
      </c>
      <c r="H340" s="10" t="s">
        <v>55</v>
      </c>
      <c r="I340" s="7" t="s">
        <v>41</v>
      </c>
      <c r="J340" s="102">
        <v>0.65105324074074067</v>
      </c>
      <c r="K340" s="7">
        <v>1165.8</v>
      </c>
      <c r="L340" s="7">
        <v>0.03</v>
      </c>
      <c r="M340" s="7">
        <v>1477.1</v>
      </c>
      <c r="N340" s="7">
        <v>0.72</v>
      </c>
      <c r="O340" s="7">
        <v>106.4</v>
      </c>
      <c r="P340" s="7">
        <v>0</v>
      </c>
      <c r="Q340" s="6">
        <v>65</v>
      </c>
      <c r="R340" s="7" t="s">
        <v>46</v>
      </c>
    </row>
    <row r="341" spans="1:18" x14ac:dyDescent="0.2">
      <c r="A341" s="7">
        <v>2012</v>
      </c>
      <c r="B341" s="104">
        <v>41115</v>
      </c>
      <c r="C341" s="7" t="s">
        <v>35</v>
      </c>
      <c r="D341" s="7" t="s">
        <v>36</v>
      </c>
      <c r="E341" s="7" t="s">
        <v>13</v>
      </c>
      <c r="F341" s="7" t="s">
        <v>38</v>
      </c>
      <c r="G341" s="9" t="s">
        <v>39</v>
      </c>
      <c r="H341" s="10" t="s">
        <v>55</v>
      </c>
      <c r="I341" s="7" t="s">
        <v>41</v>
      </c>
      <c r="J341" s="102">
        <v>0.65111111111111108</v>
      </c>
      <c r="K341" s="7">
        <v>393.1</v>
      </c>
      <c r="L341" s="7">
        <v>0.17</v>
      </c>
      <c r="M341" s="7">
        <v>557.9</v>
      </c>
      <c r="N341" s="7">
        <v>0.2</v>
      </c>
      <c r="O341" s="7">
        <v>106.4</v>
      </c>
      <c r="P341" s="7">
        <v>0.1</v>
      </c>
      <c r="Q341" s="6">
        <v>65</v>
      </c>
      <c r="R341" s="7" t="s">
        <v>0</v>
      </c>
    </row>
    <row r="342" spans="1:18" x14ac:dyDescent="0.2">
      <c r="A342" s="7">
        <v>2012</v>
      </c>
      <c r="B342" s="104">
        <v>41112</v>
      </c>
      <c r="C342" s="7" t="s">
        <v>35</v>
      </c>
      <c r="D342" s="7" t="s">
        <v>36</v>
      </c>
      <c r="E342" s="7" t="s">
        <v>14</v>
      </c>
      <c r="F342" s="7" t="s">
        <v>38</v>
      </c>
      <c r="G342" s="9" t="s">
        <v>39</v>
      </c>
      <c r="H342" s="10" t="s">
        <v>55</v>
      </c>
      <c r="I342" s="7" t="s">
        <v>4</v>
      </c>
      <c r="J342" s="103">
        <v>0.70771990740740742</v>
      </c>
      <c r="K342" s="10">
        <v>119.6</v>
      </c>
      <c r="L342" s="10">
        <v>0.64</v>
      </c>
      <c r="M342" s="10">
        <v>1022.9</v>
      </c>
      <c r="N342" s="10">
        <v>0.63</v>
      </c>
      <c r="O342" s="10">
        <v>106.2</v>
      </c>
      <c r="P342" s="10">
        <v>1.6</v>
      </c>
      <c r="Q342" s="11">
        <v>5</v>
      </c>
      <c r="R342" s="10" t="s">
        <v>46</v>
      </c>
    </row>
    <row r="343" spans="1:18" x14ac:dyDescent="0.2">
      <c r="A343" s="7">
        <v>2012</v>
      </c>
      <c r="B343" s="104">
        <v>41112</v>
      </c>
      <c r="C343" s="7" t="s">
        <v>35</v>
      </c>
      <c r="D343" s="7" t="s">
        <v>36</v>
      </c>
      <c r="E343" s="7" t="s">
        <v>14</v>
      </c>
      <c r="F343" s="7" t="s">
        <v>38</v>
      </c>
      <c r="G343" s="9" t="s">
        <v>39</v>
      </c>
      <c r="H343" s="10" t="s">
        <v>55</v>
      </c>
      <c r="I343" s="7" t="s">
        <v>4</v>
      </c>
      <c r="J343" s="103">
        <v>0.70806712962962959</v>
      </c>
      <c r="K343" s="10">
        <v>155.6</v>
      </c>
      <c r="L343" s="10">
        <v>0.79</v>
      </c>
      <c r="M343" s="10">
        <v>1097.4000000000001</v>
      </c>
      <c r="N343" s="10">
        <v>0.66</v>
      </c>
      <c r="O343" s="10">
        <v>106.1</v>
      </c>
      <c r="P343" s="10">
        <v>1.2</v>
      </c>
      <c r="Q343" s="11">
        <v>20</v>
      </c>
      <c r="R343" s="10" t="s">
        <v>46</v>
      </c>
    </row>
    <row r="344" spans="1:18" x14ac:dyDescent="0.2">
      <c r="A344" s="7">
        <v>2012</v>
      </c>
      <c r="B344" s="104">
        <v>41112</v>
      </c>
      <c r="C344" s="7" t="s">
        <v>35</v>
      </c>
      <c r="D344" s="7" t="s">
        <v>36</v>
      </c>
      <c r="E344" s="7" t="s">
        <v>14</v>
      </c>
      <c r="F344" s="7" t="s">
        <v>38</v>
      </c>
      <c r="G344" s="9" t="s">
        <v>39</v>
      </c>
      <c r="H344" s="10" t="s">
        <v>55</v>
      </c>
      <c r="I344" s="7" t="s">
        <v>4</v>
      </c>
      <c r="J344" s="103">
        <v>0.70813657407407404</v>
      </c>
      <c r="K344" s="10">
        <v>67.3</v>
      </c>
      <c r="L344" s="10">
        <v>0.14000000000000001</v>
      </c>
      <c r="M344" s="10">
        <v>496.8</v>
      </c>
      <c r="N344" s="10">
        <v>0.09</v>
      </c>
      <c r="O344" s="10">
        <v>106.1</v>
      </c>
      <c r="P344" s="10">
        <v>2.8</v>
      </c>
      <c r="Q344" s="11">
        <v>20</v>
      </c>
      <c r="R344" s="10" t="s">
        <v>0</v>
      </c>
    </row>
    <row r="345" spans="1:18" x14ac:dyDescent="0.2">
      <c r="A345" s="7">
        <v>2012</v>
      </c>
      <c r="B345" s="104">
        <v>41112</v>
      </c>
      <c r="C345" s="7" t="s">
        <v>35</v>
      </c>
      <c r="D345" s="7" t="s">
        <v>36</v>
      </c>
      <c r="E345" s="7" t="s">
        <v>14</v>
      </c>
      <c r="F345" s="7" t="s">
        <v>38</v>
      </c>
      <c r="G345" s="9" t="s">
        <v>39</v>
      </c>
      <c r="H345" s="10" t="s">
        <v>55</v>
      </c>
      <c r="I345" s="7" t="s">
        <v>4</v>
      </c>
      <c r="J345" s="103">
        <v>0.70831018518518529</v>
      </c>
      <c r="K345" s="10">
        <v>92.6</v>
      </c>
      <c r="L345" s="10">
        <v>0.48</v>
      </c>
      <c r="M345" s="10">
        <v>1138.9000000000001</v>
      </c>
      <c r="N345" s="10">
        <v>0.67</v>
      </c>
      <c r="O345" s="10">
        <v>106.1</v>
      </c>
      <c r="P345" s="10">
        <v>2</v>
      </c>
      <c r="Q345" s="11">
        <v>35</v>
      </c>
      <c r="R345" s="10" t="s">
        <v>46</v>
      </c>
    </row>
    <row r="346" spans="1:18" x14ac:dyDescent="0.2">
      <c r="A346" s="7">
        <v>2012</v>
      </c>
      <c r="B346" s="104">
        <v>41112</v>
      </c>
      <c r="C346" s="7" t="s">
        <v>35</v>
      </c>
      <c r="D346" s="7" t="s">
        <v>36</v>
      </c>
      <c r="E346" s="7" t="s">
        <v>14</v>
      </c>
      <c r="F346" s="7" t="s">
        <v>38</v>
      </c>
      <c r="G346" s="9" t="s">
        <v>39</v>
      </c>
      <c r="H346" s="10" t="s">
        <v>55</v>
      </c>
      <c r="I346" s="7" t="s">
        <v>4</v>
      </c>
      <c r="J346" s="103">
        <v>0.70837962962962964</v>
      </c>
      <c r="K346" s="10">
        <v>75.8</v>
      </c>
      <c r="L346" s="10">
        <v>0.24</v>
      </c>
      <c r="M346" s="10">
        <v>518.79999999999995</v>
      </c>
      <c r="N346" s="10">
        <v>0.16</v>
      </c>
      <c r="O346" s="10">
        <v>106.1</v>
      </c>
      <c r="P346" s="10">
        <v>2.5</v>
      </c>
      <c r="Q346" s="11">
        <v>35</v>
      </c>
      <c r="R346" s="10" t="s">
        <v>0</v>
      </c>
    </row>
    <row r="347" spans="1:18" x14ac:dyDescent="0.2">
      <c r="A347" s="7">
        <v>2012</v>
      </c>
      <c r="B347" s="104">
        <v>41112</v>
      </c>
      <c r="C347" s="7" t="s">
        <v>35</v>
      </c>
      <c r="D347" s="7" t="s">
        <v>36</v>
      </c>
      <c r="E347" s="7" t="s">
        <v>14</v>
      </c>
      <c r="F347" s="7" t="s">
        <v>38</v>
      </c>
      <c r="G347" s="9" t="s">
        <v>39</v>
      </c>
      <c r="H347" s="10" t="s">
        <v>55</v>
      </c>
      <c r="I347" s="7" t="s">
        <v>4</v>
      </c>
      <c r="J347" s="103">
        <v>0.70855324074074078</v>
      </c>
      <c r="K347" s="10">
        <v>603.4</v>
      </c>
      <c r="L347" s="10">
        <v>0.47</v>
      </c>
      <c r="M347" s="10">
        <v>1162.0999999999999</v>
      </c>
      <c r="N347" s="10">
        <v>0.68</v>
      </c>
      <c r="O347" s="10">
        <v>106.1</v>
      </c>
      <c r="P347" s="10">
        <v>0</v>
      </c>
      <c r="Q347" s="11">
        <v>50</v>
      </c>
      <c r="R347" s="10" t="s">
        <v>46</v>
      </c>
    </row>
    <row r="348" spans="1:18" x14ac:dyDescent="0.2">
      <c r="A348" s="7">
        <v>2012</v>
      </c>
      <c r="B348" s="104">
        <v>41112</v>
      </c>
      <c r="C348" s="7" t="s">
        <v>35</v>
      </c>
      <c r="D348" s="7" t="s">
        <v>36</v>
      </c>
      <c r="E348" s="7" t="s">
        <v>14</v>
      </c>
      <c r="F348" s="7" t="s">
        <v>38</v>
      </c>
      <c r="G348" s="9" t="s">
        <v>39</v>
      </c>
      <c r="H348" s="10" t="s">
        <v>55</v>
      </c>
      <c r="I348" s="7" t="s">
        <v>4</v>
      </c>
      <c r="J348" s="103">
        <v>0.70862268518518512</v>
      </c>
      <c r="K348" s="10">
        <v>212.5</v>
      </c>
      <c r="L348" s="10">
        <v>0.28000000000000003</v>
      </c>
      <c r="M348" s="10">
        <v>410.2</v>
      </c>
      <c r="N348" s="10">
        <v>0.1</v>
      </c>
      <c r="O348" s="10">
        <v>106.1</v>
      </c>
      <c r="P348" s="10">
        <v>0.7</v>
      </c>
      <c r="Q348" s="11">
        <v>50</v>
      </c>
      <c r="R348" s="10" t="s">
        <v>0</v>
      </c>
    </row>
    <row r="349" spans="1:18" x14ac:dyDescent="0.2">
      <c r="A349" s="7">
        <v>2012</v>
      </c>
      <c r="B349" s="104">
        <v>41112</v>
      </c>
      <c r="C349" s="7" t="s">
        <v>35</v>
      </c>
      <c r="D349" s="7" t="s">
        <v>36</v>
      </c>
      <c r="E349" s="7" t="s">
        <v>14</v>
      </c>
      <c r="F349" s="7" t="s">
        <v>38</v>
      </c>
      <c r="G349" s="9" t="s">
        <v>39</v>
      </c>
      <c r="H349" s="10" t="s">
        <v>55</v>
      </c>
      <c r="I349" s="7" t="s">
        <v>4</v>
      </c>
      <c r="J349" s="103">
        <v>0.70878472222222222</v>
      </c>
      <c r="K349" s="10">
        <v>813.1</v>
      </c>
      <c r="L349" s="10">
        <v>0.22</v>
      </c>
      <c r="M349" s="10">
        <v>1186.5</v>
      </c>
      <c r="N349" s="10">
        <v>0.68</v>
      </c>
      <c r="O349" s="10">
        <v>106.1</v>
      </c>
      <c r="P349" s="10">
        <v>0</v>
      </c>
      <c r="Q349" s="11">
        <v>65</v>
      </c>
      <c r="R349" s="10" t="s">
        <v>46</v>
      </c>
    </row>
    <row r="350" spans="1:18" x14ac:dyDescent="0.2">
      <c r="A350" s="7">
        <v>2012</v>
      </c>
      <c r="B350" s="104">
        <v>41112</v>
      </c>
      <c r="C350" s="7" t="s">
        <v>35</v>
      </c>
      <c r="D350" s="7" t="s">
        <v>36</v>
      </c>
      <c r="E350" s="7" t="s">
        <v>14</v>
      </c>
      <c r="F350" s="7" t="s">
        <v>38</v>
      </c>
      <c r="G350" s="9" t="s">
        <v>39</v>
      </c>
      <c r="H350" s="10" t="s">
        <v>55</v>
      </c>
      <c r="I350" s="7" t="s">
        <v>4</v>
      </c>
      <c r="J350" s="103">
        <v>0.70881944444444445</v>
      </c>
      <c r="K350" s="10">
        <v>304.3</v>
      </c>
      <c r="L350" s="10">
        <v>0.11</v>
      </c>
      <c r="M350" s="10">
        <v>511.5</v>
      </c>
      <c r="N350" s="10">
        <v>0.15</v>
      </c>
      <c r="O350" s="10">
        <v>106.1</v>
      </c>
      <c r="P350" s="10">
        <v>0.4</v>
      </c>
      <c r="Q350" s="11">
        <v>65</v>
      </c>
      <c r="R350" s="10" t="s">
        <v>0</v>
      </c>
    </row>
    <row r="351" spans="1:18" x14ac:dyDescent="0.2">
      <c r="A351" s="7">
        <v>2012</v>
      </c>
      <c r="B351" s="104">
        <v>41112</v>
      </c>
      <c r="C351" s="7" t="s">
        <v>35</v>
      </c>
      <c r="D351" s="7" t="s">
        <v>36</v>
      </c>
      <c r="E351" s="7" t="s">
        <v>14</v>
      </c>
      <c r="F351" s="7" t="s">
        <v>38</v>
      </c>
      <c r="G351" s="9" t="s">
        <v>39</v>
      </c>
      <c r="H351" s="10" t="s">
        <v>55</v>
      </c>
      <c r="I351" s="7" t="s">
        <v>4</v>
      </c>
      <c r="J351" s="103">
        <v>0.70896990740740751</v>
      </c>
      <c r="K351" s="10">
        <v>979</v>
      </c>
      <c r="L351" s="10">
        <v>0.02</v>
      </c>
      <c r="M351" s="10">
        <v>1202.4000000000001</v>
      </c>
      <c r="N351" s="10">
        <v>0.69</v>
      </c>
      <c r="O351" s="10">
        <v>106.1</v>
      </c>
      <c r="P351" s="10">
        <v>0</v>
      </c>
      <c r="Q351" s="11">
        <v>80</v>
      </c>
      <c r="R351" s="10" t="s">
        <v>46</v>
      </c>
    </row>
    <row r="352" spans="1:18" x14ac:dyDescent="0.2">
      <c r="A352" s="7">
        <v>2012</v>
      </c>
      <c r="B352" s="104">
        <v>41112</v>
      </c>
      <c r="C352" s="7" t="s">
        <v>35</v>
      </c>
      <c r="D352" s="7" t="s">
        <v>36</v>
      </c>
      <c r="E352" s="7" t="s">
        <v>14</v>
      </c>
      <c r="F352" s="7" t="s">
        <v>38</v>
      </c>
      <c r="G352" s="9" t="s">
        <v>39</v>
      </c>
      <c r="H352" s="10" t="s">
        <v>55</v>
      </c>
      <c r="I352" s="7" t="s">
        <v>4</v>
      </c>
      <c r="J352" s="103">
        <v>0.70903935185185185</v>
      </c>
      <c r="K352" s="10">
        <v>353.1</v>
      </c>
      <c r="L352" s="10">
        <v>0.1</v>
      </c>
      <c r="M352" s="10">
        <v>478.5</v>
      </c>
      <c r="N352" s="10">
        <v>0.18</v>
      </c>
      <c r="O352" s="10">
        <v>106.1</v>
      </c>
      <c r="P352" s="10">
        <v>0.1</v>
      </c>
      <c r="Q352" s="11">
        <v>80</v>
      </c>
      <c r="R352" s="10" t="s">
        <v>0</v>
      </c>
    </row>
    <row r="353" spans="1:18" x14ac:dyDescent="0.2">
      <c r="A353" s="7">
        <v>2012</v>
      </c>
      <c r="B353" s="104">
        <v>41112</v>
      </c>
      <c r="C353" s="7" t="s">
        <v>35</v>
      </c>
      <c r="D353" s="7" t="s">
        <v>36</v>
      </c>
      <c r="E353" s="7" t="s">
        <v>14</v>
      </c>
      <c r="F353" s="7" t="s">
        <v>38</v>
      </c>
      <c r="G353" s="9" t="s">
        <v>39</v>
      </c>
      <c r="H353" s="10" t="s">
        <v>55</v>
      </c>
      <c r="I353" s="7" t="s">
        <v>4</v>
      </c>
      <c r="J353" s="103">
        <v>0.70960648148148142</v>
      </c>
      <c r="K353" s="10">
        <v>91.6</v>
      </c>
      <c r="L353" s="10">
        <v>0.75</v>
      </c>
      <c r="M353" s="10">
        <v>1218.3</v>
      </c>
      <c r="N353" s="10">
        <v>0.69</v>
      </c>
      <c r="O353" s="10">
        <v>106.1</v>
      </c>
      <c r="P353" s="10">
        <v>2</v>
      </c>
      <c r="Q353" s="11">
        <v>5</v>
      </c>
      <c r="R353" s="10" t="s">
        <v>46</v>
      </c>
    </row>
    <row r="354" spans="1:18" x14ac:dyDescent="0.2">
      <c r="A354" s="7">
        <v>2012</v>
      </c>
      <c r="B354" s="104">
        <v>41112</v>
      </c>
      <c r="C354" s="7" t="s">
        <v>35</v>
      </c>
      <c r="D354" s="7" t="s">
        <v>36</v>
      </c>
      <c r="E354" s="7" t="s">
        <v>14</v>
      </c>
      <c r="F354" s="7" t="s">
        <v>38</v>
      </c>
      <c r="G354" s="9" t="s">
        <v>39</v>
      </c>
      <c r="H354" s="10" t="s">
        <v>55</v>
      </c>
      <c r="I354" s="7" t="s">
        <v>4</v>
      </c>
      <c r="J354" s="103">
        <v>0.70967592592592599</v>
      </c>
      <c r="K354" s="10">
        <v>47.8</v>
      </c>
      <c r="L354" s="10">
        <v>0.21</v>
      </c>
      <c r="M354" s="10">
        <v>496.8</v>
      </c>
      <c r="N354" s="10">
        <v>0.14000000000000001</v>
      </c>
      <c r="O354" s="10">
        <v>106.1</v>
      </c>
      <c r="P354" s="10">
        <v>3.3</v>
      </c>
      <c r="Q354" s="11">
        <v>5</v>
      </c>
      <c r="R354" s="10" t="s">
        <v>0</v>
      </c>
    </row>
    <row r="355" spans="1:18" x14ac:dyDescent="0.2">
      <c r="A355" s="7">
        <v>2012</v>
      </c>
      <c r="B355" s="104">
        <v>41112</v>
      </c>
      <c r="C355" s="7" t="s">
        <v>35</v>
      </c>
      <c r="D355" s="7" t="s">
        <v>36</v>
      </c>
      <c r="E355" s="7" t="s">
        <v>14</v>
      </c>
      <c r="F355" s="7" t="s">
        <v>38</v>
      </c>
      <c r="G355" s="9" t="s">
        <v>39</v>
      </c>
      <c r="H355" s="10" t="s">
        <v>55</v>
      </c>
      <c r="I355" s="7" t="s">
        <v>4</v>
      </c>
      <c r="J355" s="103">
        <v>0.70983796296296298</v>
      </c>
      <c r="K355" s="10">
        <v>225.5</v>
      </c>
      <c r="L355" s="10">
        <v>0.8</v>
      </c>
      <c r="M355" s="10">
        <v>1225.5999999999999</v>
      </c>
      <c r="N355" s="10">
        <v>0.69</v>
      </c>
      <c r="O355" s="10">
        <v>106.1</v>
      </c>
      <c r="P355" s="10">
        <v>0.6</v>
      </c>
      <c r="Q355" s="11">
        <v>20</v>
      </c>
      <c r="R355" s="10" t="s">
        <v>46</v>
      </c>
    </row>
    <row r="356" spans="1:18" x14ac:dyDescent="0.2">
      <c r="A356" s="7">
        <v>2012</v>
      </c>
      <c r="B356" s="104">
        <v>41112</v>
      </c>
      <c r="C356" s="7" t="s">
        <v>35</v>
      </c>
      <c r="D356" s="7" t="s">
        <v>36</v>
      </c>
      <c r="E356" s="7" t="s">
        <v>14</v>
      </c>
      <c r="F356" s="7" t="s">
        <v>38</v>
      </c>
      <c r="G356" s="9" t="s">
        <v>39</v>
      </c>
      <c r="H356" s="10" t="s">
        <v>55</v>
      </c>
      <c r="I356" s="7" t="s">
        <v>4</v>
      </c>
      <c r="J356" s="103">
        <v>0.70989583333333339</v>
      </c>
      <c r="K356" s="10">
        <v>76.099999999999994</v>
      </c>
      <c r="L356" s="10">
        <v>0.35</v>
      </c>
      <c r="M356" s="10">
        <v>518.79999999999995</v>
      </c>
      <c r="N356" s="10">
        <v>0.14000000000000001</v>
      </c>
      <c r="O356" s="10">
        <v>106.1</v>
      </c>
      <c r="P356" s="10">
        <v>2.6</v>
      </c>
      <c r="Q356" s="11">
        <v>20</v>
      </c>
      <c r="R356" s="10" t="s">
        <v>0</v>
      </c>
    </row>
    <row r="357" spans="1:18" x14ac:dyDescent="0.2">
      <c r="A357" s="7">
        <v>2012</v>
      </c>
      <c r="B357" s="104">
        <v>41112</v>
      </c>
      <c r="C357" s="7" t="s">
        <v>35</v>
      </c>
      <c r="D357" s="7" t="s">
        <v>36</v>
      </c>
      <c r="E357" s="7" t="s">
        <v>14</v>
      </c>
      <c r="F357" s="7" t="s">
        <v>38</v>
      </c>
      <c r="G357" s="9" t="s">
        <v>39</v>
      </c>
      <c r="H357" s="10" t="s">
        <v>55</v>
      </c>
      <c r="I357" s="7" t="s">
        <v>4</v>
      </c>
      <c r="J357" s="103">
        <v>0.71010416666666665</v>
      </c>
      <c r="K357" s="10">
        <v>184.4</v>
      </c>
      <c r="L357" s="10">
        <v>0.86</v>
      </c>
      <c r="M357" s="10">
        <v>1246.3</v>
      </c>
      <c r="N357" s="10">
        <v>0.7</v>
      </c>
      <c r="O357" s="10">
        <v>106</v>
      </c>
      <c r="P357" s="10">
        <v>0.9</v>
      </c>
      <c r="Q357" s="11">
        <v>35</v>
      </c>
      <c r="R357" s="10" t="s">
        <v>46</v>
      </c>
    </row>
    <row r="358" spans="1:18" x14ac:dyDescent="0.2">
      <c r="A358" s="7">
        <v>2012</v>
      </c>
      <c r="B358" s="104">
        <v>41112</v>
      </c>
      <c r="C358" s="7" t="s">
        <v>35</v>
      </c>
      <c r="D358" s="7" t="s">
        <v>36</v>
      </c>
      <c r="E358" s="7" t="s">
        <v>14</v>
      </c>
      <c r="F358" s="7" t="s">
        <v>38</v>
      </c>
      <c r="G358" s="9" t="s">
        <v>39</v>
      </c>
      <c r="H358" s="10" t="s">
        <v>55</v>
      </c>
      <c r="I358" s="7" t="s">
        <v>4</v>
      </c>
      <c r="J358" s="103">
        <v>0.71018518518518514</v>
      </c>
      <c r="K358" s="10">
        <v>86.4</v>
      </c>
      <c r="L358" s="10">
        <v>0.39</v>
      </c>
      <c r="M358" s="10">
        <v>527.29999999999995</v>
      </c>
      <c r="N358" s="10">
        <v>0.13</v>
      </c>
      <c r="O358" s="10">
        <v>106</v>
      </c>
      <c r="P358" s="10">
        <v>2.4</v>
      </c>
      <c r="Q358" s="11">
        <v>35</v>
      </c>
      <c r="R358" s="10" t="s">
        <v>0</v>
      </c>
    </row>
    <row r="359" spans="1:18" x14ac:dyDescent="0.2">
      <c r="A359" s="7">
        <v>2012</v>
      </c>
      <c r="B359" s="104">
        <v>41112</v>
      </c>
      <c r="C359" s="7" t="s">
        <v>35</v>
      </c>
      <c r="D359" s="7" t="s">
        <v>36</v>
      </c>
      <c r="E359" s="7" t="s">
        <v>14</v>
      </c>
      <c r="F359" s="7" t="s">
        <v>38</v>
      </c>
      <c r="G359" s="9" t="s">
        <v>39</v>
      </c>
      <c r="H359" s="10" t="s">
        <v>55</v>
      </c>
      <c r="I359" s="7" t="s">
        <v>4</v>
      </c>
      <c r="J359" s="103">
        <v>0.71038194444444447</v>
      </c>
      <c r="K359" s="10">
        <v>460.5</v>
      </c>
      <c r="L359" s="10">
        <v>0.56999999999999995</v>
      </c>
      <c r="M359" s="10">
        <v>1228</v>
      </c>
      <c r="N359" s="10">
        <v>0.69</v>
      </c>
      <c r="O359" s="10">
        <v>106</v>
      </c>
      <c r="P359" s="10">
        <v>0</v>
      </c>
      <c r="Q359" s="11">
        <v>50</v>
      </c>
      <c r="R359" s="10" t="s">
        <v>46</v>
      </c>
    </row>
    <row r="360" spans="1:18" x14ac:dyDescent="0.2">
      <c r="A360" s="7">
        <v>2012</v>
      </c>
      <c r="B360" s="104">
        <v>41112</v>
      </c>
      <c r="C360" s="7" t="s">
        <v>35</v>
      </c>
      <c r="D360" s="7" t="s">
        <v>36</v>
      </c>
      <c r="E360" s="7" t="s">
        <v>14</v>
      </c>
      <c r="F360" s="7" t="s">
        <v>38</v>
      </c>
      <c r="G360" s="9" t="s">
        <v>39</v>
      </c>
      <c r="H360" s="10" t="s">
        <v>55</v>
      </c>
      <c r="I360" s="7" t="s">
        <v>4</v>
      </c>
      <c r="J360" s="103">
        <v>0.71045138888888892</v>
      </c>
      <c r="K360" s="10">
        <v>152.1</v>
      </c>
      <c r="L360" s="10">
        <v>0.46</v>
      </c>
      <c r="M360" s="10">
        <v>529.79999999999995</v>
      </c>
      <c r="N360" s="10">
        <v>0.13</v>
      </c>
      <c r="O360" s="10">
        <v>106</v>
      </c>
      <c r="P360" s="10">
        <v>1.5</v>
      </c>
      <c r="Q360" s="11">
        <v>50</v>
      </c>
      <c r="R360" s="10" t="s">
        <v>0</v>
      </c>
    </row>
    <row r="361" spans="1:18" x14ac:dyDescent="0.2">
      <c r="A361" s="7">
        <v>2012</v>
      </c>
      <c r="B361" s="104">
        <v>41112</v>
      </c>
      <c r="C361" s="7" t="s">
        <v>35</v>
      </c>
      <c r="D361" s="7" t="s">
        <v>36</v>
      </c>
      <c r="E361" s="7" t="s">
        <v>14</v>
      </c>
      <c r="F361" s="7" t="s">
        <v>38</v>
      </c>
      <c r="G361" s="9" t="s">
        <v>39</v>
      </c>
      <c r="H361" s="10" t="s">
        <v>55</v>
      </c>
      <c r="I361" s="7" t="s">
        <v>4</v>
      </c>
      <c r="J361" s="103">
        <v>0.71055555555555561</v>
      </c>
      <c r="K361" s="10">
        <v>679.4</v>
      </c>
      <c r="L361" s="10">
        <v>0.44</v>
      </c>
      <c r="M361" s="10">
        <v>1223.0999999999999</v>
      </c>
      <c r="N361" s="10">
        <v>0.69</v>
      </c>
      <c r="O361" s="10">
        <v>106</v>
      </c>
      <c r="P361" s="10">
        <v>0</v>
      </c>
      <c r="Q361" s="11">
        <v>65</v>
      </c>
      <c r="R361" s="10" t="s">
        <v>46</v>
      </c>
    </row>
    <row r="362" spans="1:18" x14ac:dyDescent="0.2">
      <c r="A362" s="7">
        <v>2012</v>
      </c>
      <c r="B362" s="104">
        <v>41112</v>
      </c>
      <c r="C362" s="7" t="s">
        <v>35</v>
      </c>
      <c r="D362" s="7" t="s">
        <v>36</v>
      </c>
      <c r="E362" s="7" t="s">
        <v>14</v>
      </c>
      <c r="F362" s="7" t="s">
        <v>38</v>
      </c>
      <c r="G362" s="9" t="s">
        <v>39</v>
      </c>
      <c r="H362" s="10" t="s">
        <v>55</v>
      </c>
      <c r="I362" s="7" t="s">
        <v>4</v>
      </c>
      <c r="J362" s="103">
        <v>0.71060185185185187</v>
      </c>
      <c r="K362" s="10">
        <v>225.7</v>
      </c>
      <c r="L362" s="10">
        <v>0.24</v>
      </c>
      <c r="M362" s="10">
        <v>573.70000000000005</v>
      </c>
      <c r="N362" s="10">
        <v>0.08</v>
      </c>
      <c r="O362" s="10">
        <v>106</v>
      </c>
      <c r="P362" s="10">
        <v>1.1000000000000001</v>
      </c>
      <c r="Q362" s="11">
        <v>65</v>
      </c>
      <c r="R362" s="10" t="s">
        <v>0</v>
      </c>
    </row>
    <row r="363" spans="1:18" x14ac:dyDescent="0.2">
      <c r="A363" s="7">
        <v>2012</v>
      </c>
      <c r="B363" s="104">
        <v>41112</v>
      </c>
      <c r="C363" s="7" t="s">
        <v>35</v>
      </c>
      <c r="D363" s="7" t="s">
        <v>36</v>
      </c>
      <c r="E363" s="7" t="s">
        <v>14</v>
      </c>
      <c r="F363" s="7" t="s">
        <v>38</v>
      </c>
      <c r="G363" s="9" t="s">
        <v>39</v>
      </c>
      <c r="H363" s="10" t="s">
        <v>55</v>
      </c>
      <c r="I363" s="7" t="s">
        <v>4</v>
      </c>
      <c r="J363" s="103">
        <v>0.7107175925925926</v>
      </c>
      <c r="K363" s="10">
        <v>943</v>
      </c>
      <c r="L363" s="10">
        <v>0.02</v>
      </c>
      <c r="M363" s="10">
        <v>1218.3</v>
      </c>
      <c r="N363" s="10">
        <v>0.69</v>
      </c>
      <c r="O363" s="10">
        <v>106</v>
      </c>
      <c r="P363" s="10">
        <v>0</v>
      </c>
      <c r="Q363" s="11">
        <v>80</v>
      </c>
      <c r="R363" s="10" t="s">
        <v>46</v>
      </c>
    </row>
    <row r="364" spans="1:18" x14ac:dyDescent="0.2">
      <c r="A364" s="7">
        <v>2012</v>
      </c>
      <c r="B364" s="104">
        <v>41112</v>
      </c>
      <c r="C364" s="7" t="s">
        <v>35</v>
      </c>
      <c r="D364" s="7" t="s">
        <v>36</v>
      </c>
      <c r="E364" s="7" t="s">
        <v>14</v>
      </c>
      <c r="F364" s="7" t="s">
        <v>38</v>
      </c>
      <c r="G364" s="9" t="s">
        <v>39</v>
      </c>
      <c r="H364" s="10" t="s">
        <v>55</v>
      </c>
      <c r="I364" s="7" t="s">
        <v>4</v>
      </c>
      <c r="J364" s="103">
        <v>0.71077546296296301</v>
      </c>
      <c r="K364" s="10">
        <v>275.10000000000002</v>
      </c>
      <c r="L364" s="10">
        <v>0.03</v>
      </c>
      <c r="M364" s="10">
        <v>570.1</v>
      </c>
      <c r="N364" s="10">
        <v>0.08</v>
      </c>
      <c r="O364" s="10">
        <v>106</v>
      </c>
      <c r="P364" s="10">
        <v>0.8</v>
      </c>
      <c r="Q364" s="11">
        <v>80</v>
      </c>
      <c r="R364" s="10" t="s">
        <v>0</v>
      </c>
    </row>
    <row r="365" spans="1:18" x14ac:dyDescent="0.2">
      <c r="A365" s="7">
        <v>2012</v>
      </c>
      <c r="B365" s="104">
        <v>41112</v>
      </c>
      <c r="C365" s="7" t="s">
        <v>35</v>
      </c>
      <c r="D365" s="7" t="s">
        <v>36</v>
      </c>
      <c r="E365" s="7" t="s">
        <v>14</v>
      </c>
      <c r="F365" s="7" t="s">
        <v>38</v>
      </c>
      <c r="G365" s="9" t="s">
        <v>39</v>
      </c>
      <c r="H365" s="10" t="s">
        <v>55</v>
      </c>
      <c r="I365" s="7" t="s">
        <v>4</v>
      </c>
      <c r="J365" s="103">
        <v>0.71142361111111108</v>
      </c>
      <c r="K365" s="10">
        <v>124.3</v>
      </c>
      <c r="L365" s="10">
        <v>0.69</v>
      </c>
      <c r="M365" s="10">
        <v>1218.3</v>
      </c>
      <c r="N365" s="10">
        <v>0.69</v>
      </c>
      <c r="O365" s="10">
        <v>106</v>
      </c>
      <c r="P365" s="10">
        <v>1.5</v>
      </c>
      <c r="Q365" s="11">
        <v>5</v>
      </c>
      <c r="R365" s="10" t="s">
        <v>46</v>
      </c>
    </row>
    <row r="366" spans="1:18" x14ac:dyDescent="0.2">
      <c r="A366" s="7">
        <v>2012</v>
      </c>
      <c r="B366" s="104">
        <v>41112</v>
      </c>
      <c r="C366" s="7" t="s">
        <v>35</v>
      </c>
      <c r="D366" s="7" t="s">
        <v>36</v>
      </c>
      <c r="E366" s="7" t="s">
        <v>14</v>
      </c>
      <c r="F366" s="7" t="s">
        <v>38</v>
      </c>
      <c r="G366" s="9" t="s">
        <v>39</v>
      </c>
      <c r="H366" s="10" t="s">
        <v>55</v>
      </c>
      <c r="I366" s="7" t="s">
        <v>4</v>
      </c>
      <c r="J366" s="103">
        <v>0.71150462962962957</v>
      </c>
      <c r="K366" s="10">
        <v>55.9</v>
      </c>
      <c r="L366" s="10">
        <v>0.28999999999999998</v>
      </c>
      <c r="M366" s="10">
        <v>496.8</v>
      </c>
      <c r="N366" s="10">
        <v>0.14000000000000001</v>
      </c>
      <c r="O366" s="10">
        <v>106</v>
      </c>
      <c r="P366" s="10">
        <v>3</v>
      </c>
      <c r="Q366" s="11">
        <v>5</v>
      </c>
      <c r="R366" s="10" t="s">
        <v>0</v>
      </c>
    </row>
    <row r="367" spans="1:18" x14ac:dyDescent="0.2">
      <c r="A367" s="7">
        <v>2012</v>
      </c>
      <c r="B367" s="104">
        <v>41112</v>
      </c>
      <c r="C367" s="7" t="s">
        <v>35</v>
      </c>
      <c r="D367" s="7" t="s">
        <v>36</v>
      </c>
      <c r="E367" s="7" t="s">
        <v>14</v>
      </c>
      <c r="F367" s="7" t="s">
        <v>38</v>
      </c>
      <c r="G367" s="9" t="s">
        <v>39</v>
      </c>
      <c r="H367" s="10" t="s">
        <v>55</v>
      </c>
      <c r="I367" s="7" t="s">
        <v>4</v>
      </c>
      <c r="J367" s="103">
        <v>0.71165509259259263</v>
      </c>
      <c r="K367" s="10">
        <v>225</v>
      </c>
      <c r="L367" s="10">
        <v>0.65</v>
      </c>
      <c r="M367" s="10">
        <v>1196.3</v>
      </c>
      <c r="N367" s="10">
        <v>0.68</v>
      </c>
      <c r="O367" s="10">
        <v>106</v>
      </c>
      <c r="P367" s="10">
        <v>0.6</v>
      </c>
      <c r="Q367" s="11">
        <v>20</v>
      </c>
      <c r="R367" s="10" t="s">
        <v>46</v>
      </c>
    </row>
    <row r="368" spans="1:18" x14ac:dyDescent="0.2">
      <c r="A368" s="7">
        <v>2012</v>
      </c>
      <c r="B368" s="104">
        <v>41112</v>
      </c>
      <c r="C368" s="7" t="s">
        <v>35</v>
      </c>
      <c r="D368" s="7" t="s">
        <v>36</v>
      </c>
      <c r="E368" s="7" t="s">
        <v>14</v>
      </c>
      <c r="F368" s="7" t="s">
        <v>38</v>
      </c>
      <c r="G368" s="9" t="s">
        <v>39</v>
      </c>
      <c r="H368" s="10" t="s">
        <v>55</v>
      </c>
      <c r="I368" s="7" t="s">
        <v>4</v>
      </c>
      <c r="J368" s="103">
        <v>0.71172453703703698</v>
      </c>
      <c r="K368" s="10">
        <v>82.1</v>
      </c>
      <c r="L368" s="10">
        <v>0.16</v>
      </c>
      <c r="M368" s="10">
        <v>507.8</v>
      </c>
      <c r="N368" s="10">
        <v>0.15</v>
      </c>
      <c r="O368" s="10">
        <v>106</v>
      </c>
      <c r="P368" s="10">
        <v>2.4</v>
      </c>
      <c r="Q368" s="11">
        <v>20</v>
      </c>
      <c r="R368" s="10" t="s">
        <v>0</v>
      </c>
    </row>
    <row r="369" spans="1:18" x14ac:dyDescent="0.2">
      <c r="A369" s="7">
        <v>2012</v>
      </c>
      <c r="B369" s="104">
        <v>41112</v>
      </c>
      <c r="C369" s="7" t="s">
        <v>35</v>
      </c>
      <c r="D369" s="7" t="s">
        <v>36</v>
      </c>
      <c r="E369" s="7" t="s">
        <v>14</v>
      </c>
      <c r="F369" s="7" t="s">
        <v>38</v>
      </c>
      <c r="G369" s="9" t="s">
        <v>39</v>
      </c>
      <c r="H369" s="10" t="s">
        <v>55</v>
      </c>
      <c r="I369" s="7" t="s">
        <v>4</v>
      </c>
      <c r="J369" s="103">
        <v>0.71187500000000004</v>
      </c>
      <c r="K369" s="10">
        <v>315.5</v>
      </c>
      <c r="L369" s="10">
        <v>0.65</v>
      </c>
      <c r="M369" s="10">
        <v>1162.0999999999999</v>
      </c>
      <c r="N369" s="10">
        <v>0.67</v>
      </c>
      <c r="O369" s="10">
        <v>106</v>
      </c>
      <c r="P369" s="10">
        <v>0.2</v>
      </c>
      <c r="Q369" s="11">
        <v>35</v>
      </c>
      <c r="R369" s="10" t="s">
        <v>46</v>
      </c>
    </row>
    <row r="370" spans="1:18" x14ac:dyDescent="0.2">
      <c r="A370" s="7">
        <v>2012</v>
      </c>
      <c r="B370" s="104">
        <v>41112</v>
      </c>
      <c r="C370" s="7" t="s">
        <v>35</v>
      </c>
      <c r="D370" s="7" t="s">
        <v>36</v>
      </c>
      <c r="E370" s="7" t="s">
        <v>14</v>
      </c>
      <c r="F370" s="7" t="s">
        <v>38</v>
      </c>
      <c r="G370" s="9" t="s">
        <v>39</v>
      </c>
      <c r="H370" s="10" t="s">
        <v>55</v>
      </c>
      <c r="I370" s="7" t="s">
        <v>4</v>
      </c>
      <c r="J370" s="103">
        <v>0.7119212962962963</v>
      </c>
      <c r="K370" s="10">
        <v>103.6</v>
      </c>
      <c r="L370" s="10">
        <v>0.17</v>
      </c>
      <c r="M370" s="10">
        <v>366.2</v>
      </c>
      <c r="N370" s="10">
        <v>0.03</v>
      </c>
      <c r="O370" s="10">
        <v>106</v>
      </c>
      <c r="P370" s="10">
        <v>1.7</v>
      </c>
      <c r="Q370" s="11">
        <v>35</v>
      </c>
      <c r="R370" s="10" t="s">
        <v>0</v>
      </c>
    </row>
    <row r="371" spans="1:18" x14ac:dyDescent="0.2">
      <c r="A371" s="7">
        <v>2012</v>
      </c>
      <c r="B371" s="104">
        <v>41112</v>
      </c>
      <c r="C371" s="7" t="s">
        <v>35</v>
      </c>
      <c r="D371" s="7" t="s">
        <v>36</v>
      </c>
      <c r="E371" s="7" t="s">
        <v>14</v>
      </c>
      <c r="F371" s="7" t="s">
        <v>38</v>
      </c>
      <c r="G371" s="9" t="s">
        <v>39</v>
      </c>
      <c r="H371" s="10" t="s">
        <v>55</v>
      </c>
      <c r="I371" s="7" t="s">
        <v>4</v>
      </c>
      <c r="J371" s="103">
        <v>0.71202546296296287</v>
      </c>
      <c r="K371" s="10">
        <v>477.5</v>
      </c>
      <c r="L371" s="10">
        <v>0.53</v>
      </c>
      <c r="M371" s="10">
        <v>1107.2</v>
      </c>
      <c r="N371" s="10">
        <v>0.66</v>
      </c>
      <c r="O371" s="10">
        <v>106</v>
      </c>
      <c r="P371" s="10">
        <v>0</v>
      </c>
      <c r="Q371" s="11">
        <v>50</v>
      </c>
      <c r="R371" s="10" t="s">
        <v>46</v>
      </c>
    </row>
    <row r="372" spans="1:18" x14ac:dyDescent="0.2">
      <c r="A372" s="7">
        <v>2012</v>
      </c>
      <c r="B372" s="104">
        <v>41112</v>
      </c>
      <c r="C372" s="7" t="s">
        <v>35</v>
      </c>
      <c r="D372" s="7" t="s">
        <v>36</v>
      </c>
      <c r="E372" s="7" t="s">
        <v>14</v>
      </c>
      <c r="F372" s="7" t="s">
        <v>38</v>
      </c>
      <c r="G372" s="9" t="s">
        <v>39</v>
      </c>
      <c r="H372" s="10" t="s">
        <v>55</v>
      </c>
      <c r="I372" s="7" t="s">
        <v>4</v>
      </c>
      <c r="J372" s="103">
        <v>0.71208333333333329</v>
      </c>
      <c r="K372" s="10">
        <v>167.2</v>
      </c>
      <c r="L372" s="10">
        <v>0.42</v>
      </c>
      <c r="M372" s="10">
        <v>573.70000000000005</v>
      </c>
      <c r="N372" s="10">
        <v>0.03</v>
      </c>
      <c r="O372" s="10">
        <v>106</v>
      </c>
      <c r="P372" s="10">
        <v>1.7</v>
      </c>
      <c r="Q372" s="11">
        <v>50</v>
      </c>
      <c r="R372" s="10" t="s">
        <v>0</v>
      </c>
    </row>
    <row r="373" spans="1:18" x14ac:dyDescent="0.2">
      <c r="A373" s="7">
        <v>2012</v>
      </c>
      <c r="B373" s="104">
        <v>41112</v>
      </c>
      <c r="C373" s="7" t="s">
        <v>35</v>
      </c>
      <c r="D373" s="7" t="s">
        <v>36</v>
      </c>
      <c r="E373" s="7" t="s">
        <v>14</v>
      </c>
      <c r="F373" s="7" t="s">
        <v>38</v>
      </c>
      <c r="G373" s="9" t="s">
        <v>39</v>
      </c>
      <c r="H373" s="10" t="s">
        <v>55</v>
      </c>
      <c r="I373" s="7" t="s">
        <v>4</v>
      </c>
      <c r="J373" s="103">
        <v>0.71223379629629635</v>
      </c>
      <c r="K373" s="10">
        <v>581.9</v>
      </c>
      <c r="L373" s="10">
        <v>0.36</v>
      </c>
      <c r="M373" s="10">
        <v>1003.4</v>
      </c>
      <c r="N373" s="10">
        <v>0.63</v>
      </c>
      <c r="O373" s="10">
        <v>105.9</v>
      </c>
      <c r="P373" s="10">
        <v>0</v>
      </c>
      <c r="Q373" s="11">
        <v>65</v>
      </c>
      <c r="R373" s="10" t="s">
        <v>46</v>
      </c>
    </row>
    <row r="374" spans="1:18" x14ac:dyDescent="0.2">
      <c r="A374" s="7">
        <v>2012</v>
      </c>
      <c r="B374" s="104">
        <v>41112</v>
      </c>
      <c r="C374" s="7" t="s">
        <v>35</v>
      </c>
      <c r="D374" s="7" t="s">
        <v>36</v>
      </c>
      <c r="E374" s="7" t="s">
        <v>14</v>
      </c>
      <c r="F374" s="7" t="s">
        <v>38</v>
      </c>
      <c r="G374" s="9" t="s">
        <v>39</v>
      </c>
      <c r="H374" s="10" t="s">
        <v>55</v>
      </c>
      <c r="I374" s="7" t="s">
        <v>4</v>
      </c>
      <c r="J374" s="103">
        <v>0.71236111111111111</v>
      </c>
      <c r="K374" s="10">
        <v>224.1</v>
      </c>
      <c r="L374" s="10">
        <v>0.24</v>
      </c>
      <c r="M374" s="10">
        <v>512.70000000000005</v>
      </c>
      <c r="N374" s="10">
        <v>0.06</v>
      </c>
      <c r="O374" s="10">
        <v>105.9</v>
      </c>
      <c r="P374" s="10">
        <v>1</v>
      </c>
      <c r="Q374" s="11">
        <v>65</v>
      </c>
      <c r="R374" s="10" t="s">
        <v>0</v>
      </c>
    </row>
    <row r="375" spans="1:18" x14ac:dyDescent="0.2">
      <c r="A375" s="7">
        <v>2012</v>
      </c>
      <c r="B375" s="104">
        <v>41112</v>
      </c>
      <c r="C375" s="7" t="s">
        <v>35</v>
      </c>
      <c r="D375" s="7" t="s">
        <v>36</v>
      </c>
      <c r="E375" s="7" t="s">
        <v>14</v>
      </c>
      <c r="F375" s="7" t="s">
        <v>38</v>
      </c>
      <c r="G375" s="9" t="s">
        <v>39</v>
      </c>
      <c r="H375" s="10" t="s">
        <v>55</v>
      </c>
      <c r="I375" s="7" t="s">
        <v>4</v>
      </c>
      <c r="J375" s="103">
        <v>0.7125231481481481</v>
      </c>
      <c r="K375" s="10">
        <v>745</v>
      </c>
      <c r="L375" s="10">
        <v>0.02</v>
      </c>
      <c r="M375" s="10">
        <v>907</v>
      </c>
      <c r="N375" s="10">
        <v>0.59</v>
      </c>
      <c r="O375" s="10">
        <v>105.9</v>
      </c>
      <c r="P375" s="10">
        <v>0</v>
      </c>
      <c r="Q375" s="11">
        <v>80</v>
      </c>
      <c r="R375" s="10" t="s">
        <v>46</v>
      </c>
    </row>
    <row r="376" spans="1:18" x14ac:dyDescent="0.2">
      <c r="A376" s="7">
        <v>2012</v>
      </c>
      <c r="B376" s="104">
        <v>41112</v>
      </c>
      <c r="C376" s="7" t="s">
        <v>35</v>
      </c>
      <c r="D376" s="7" t="s">
        <v>36</v>
      </c>
      <c r="E376" s="7" t="s">
        <v>14</v>
      </c>
      <c r="F376" s="7" t="s">
        <v>38</v>
      </c>
      <c r="G376" s="9" t="s">
        <v>39</v>
      </c>
      <c r="H376" s="10" t="s">
        <v>55</v>
      </c>
      <c r="I376" s="7" t="s">
        <v>4</v>
      </c>
      <c r="J376" s="103">
        <v>0.71258101851851852</v>
      </c>
      <c r="K376" s="10">
        <v>294.39999999999998</v>
      </c>
      <c r="L376" s="10">
        <v>0.1</v>
      </c>
      <c r="M376" s="10">
        <v>430.9</v>
      </c>
      <c r="N376" s="10">
        <v>0.06</v>
      </c>
      <c r="O376" s="10">
        <v>105.9</v>
      </c>
      <c r="P376" s="10">
        <v>0.4</v>
      </c>
      <c r="Q376" s="11">
        <v>80</v>
      </c>
      <c r="R376" s="10" t="s">
        <v>0</v>
      </c>
    </row>
    <row r="377" spans="1:18" x14ac:dyDescent="0.2">
      <c r="A377" s="7">
        <v>2012</v>
      </c>
      <c r="B377" s="104">
        <v>41112</v>
      </c>
      <c r="C377" s="7" t="s">
        <v>35</v>
      </c>
      <c r="D377" s="7" t="s">
        <v>36</v>
      </c>
      <c r="E377" s="7" t="s">
        <v>14</v>
      </c>
      <c r="F377" s="7" t="s">
        <v>38</v>
      </c>
      <c r="G377" s="9" t="s">
        <v>39</v>
      </c>
      <c r="H377" s="10" t="s">
        <v>55</v>
      </c>
      <c r="I377" s="7" t="s">
        <v>4</v>
      </c>
      <c r="J377" s="103">
        <v>0.71262731481481489</v>
      </c>
      <c r="K377" s="10">
        <v>755</v>
      </c>
      <c r="L377" s="10">
        <v>0.02</v>
      </c>
      <c r="M377" s="10">
        <v>896</v>
      </c>
      <c r="N377" s="10">
        <v>0.59</v>
      </c>
      <c r="O377" s="10">
        <v>105.9</v>
      </c>
      <c r="P377" s="10">
        <v>0</v>
      </c>
      <c r="Q377" s="11">
        <v>95</v>
      </c>
      <c r="R377" s="10" t="s">
        <v>46</v>
      </c>
    </row>
    <row r="378" spans="1:18" x14ac:dyDescent="0.2">
      <c r="A378" s="7">
        <v>2012</v>
      </c>
      <c r="B378" s="104">
        <v>41112</v>
      </c>
      <c r="C378" s="7" t="s">
        <v>35</v>
      </c>
      <c r="D378" s="7" t="s">
        <v>36</v>
      </c>
      <c r="E378" s="7" t="s">
        <v>14</v>
      </c>
      <c r="F378" s="7" t="s">
        <v>38</v>
      </c>
      <c r="G378" s="9" t="s">
        <v>39</v>
      </c>
      <c r="H378" s="10" t="s">
        <v>55</v>
      </c>
      <c r="I378" s="7" t="s">
        <v>4</v>
      </c>
      <c r="J378" s="103">
        <v>0.71267361111111116</v>
      </c>
      <c r="K378" s="10">
        <v>293.89999999999998</v>
      </c>
      <c r="L378" s="10">
        <v>0.04</v>
      </c>
      <c r="M378" s="10">
        <v>485.8</v>
      </c>
      <c r="N378" s="10">
        <v>0.05</v>
      </c>
      <c r="O378" s="10">
        <v>105.9</v>
      </c>
      <c r="P378" s="10">
        <v>0.5</v>
      </c>
      <c r="Q378" s="11">
        <v>95</v>
      </c>
      <c r="R378" s="10" t="s">
        <v>0</v>
      </c>
    </row>
    <row r="379" spans="1:18" x14ac:dyDescent="0.2">
      <c r="A379" s="7">
        <v>2012</v>
      </c>
      <c r="B379" s="25">
        <v>41129</v>
      </c>
      <c r="C379" s="10" t="s">
        <v>35</v>
      </c>
      <c r="D379" s="10" t="s">
        <v>36</v>
      </c>
      <c r="E379" s="10" t="s">
        <v>15</v>
      </c>
      <c r="F379" s="10" t="s">
        <v>38</v>
      </c>
      <c r="G379" s="9" t="s">
        <v>39</v>
      </c>
      <c r="H379" s="10" t="s">
        <v>55</v>
      </c>
      <c r="I379" s="10" t="s">
        <v>41</v>
      </c>
      <c r="J379" s="103">
        <v>0.66783564814814822</v>
      </c>
      <c r="K379" s="10">
        <v>193.9</v>
      </c>
      <c r="L379" s="10">
        <v>0.37</v>
      </c>
      <c r="M379" s="10">
        <v>559.9</v>
      </c>
      <c r="N379" s="10">
        <v>0.13</v>
      </c>
      <c r="O379" s="10">
        <v>56</v>
      </c>
      <c r="P379" s="10">
        <v>1.4</v>
      </c>
      <c r="Q379" s="11">
        <v>5</v>
      </c>
      <c r="R379" s="10" t="s">
        <v>0</v>
      </c>
    </row>
    <row r="380" spans="1:18" x14ac:dyDescent="0.2">
      <c r="A380" s="7">
        <v>2012</v>
      </c>
      <c r="B380" s="25">
        <v>41129</v>
      </c>
      <c r="C380" s="10" t="s">
        <v>35</v>
      </c>
      <c r="D380" s="10" t="s">
        <v>36</v>
      </c>
      <c r="E380" s="10" t="s">
        <v>15</v>
      </c>
      <c r="F380" s="10" t="s">
        <v>38</v>
      </c>
      <c r="G380" s="9" t="s">
        <v>39</v>
      </c>
      <c r="H380" s="10" t="s">
        <v>55</v>
      </c>
      <c r="I380" s="10" t="s">
        <v>41</v>
      </c>
      <c r="J380" s="103">
        <v>0.66835648148148152</v>
      </c>
      <c r="K380" s="10">
        <v>231.6</v>
      </c>
      <c r="L380" s="10">
        <v>0.43</v>
      </c>
      <c r="M380" s="10">
        <v>577.4</v>
      </c>
      <c r="N380" s="10">
        <v>0.13</v>
      </c>
      <c r="O380" s="10">
        <v>56.1</v>
      </c>
      <c r="P380" s="10">
        <v>1.2</v>
      </c>
      <c r="Q380" s="11">
        <v>20</v>
      </c>
      <c r="R380" s="10" t="s">
        <v>0</v>
      </c>
    </row>
    <row r="381" spans="1:18" x14ac:dyDescent="0.2">
      <c r="A381" s="7">
        <v>2012</v>
      </c>
      <c r="B381" s="25">
        <v>41129</v>
      </c>
      <c r="C381" s="10" t="s">
        <v>35</v>
      </c>
      <c r="D381" s="10" t="s">
        <v>36</v>
      </c>
      <c r="E381" s="10" t="s">
        <v>15</v>
      </c>
      <c r="F381" s="10" t="s">
        <v>38</v>
      </c>
      <c r="G381" s="9" t="s">
        <v>39</v>
      </c>
      <c r="H381" s="10" t="s">
        <v>55</v>
      </c>
      <c r="I381" s="10" t="s">
        <v>41</v>
      </c>
      <c r="J381" s="103">
        <v>0.66902777777777789</v>
      </c>
      <c r="K381" s="10">
        <v>402.8</v>
      </c>
      <c r="L381" s="10">
        <v>0.2</v>
      </c>
      <c r="M381" s="10">
        <v>578.9</v>
      </c>
      <c r="N381" s="10">
        <v>0.13</v>
      </c>
      <c r="O381" s="10">
        <v>56.1</v>
      </c>
      <c r="P381" s="10">
        <v>0.4</v>
      </c>
      <c r="Q381" s="11">
        <v>35</v>
      </c>
      <c r="R381" s="10" t="s">
        <v>0</v>
      </c>
    </row>
    <row r="382" spans="1:18" x14ac:dyDescent="0.2">
      <c r="A382" s="7">
        <v>2012</v>
      </c>
      <c r="B382" s="25">
        <v>41129</v>
      </c>
      <c r="C382" s="10" t="s">
        <v>35</v>
      </c>
      <c r="D382" s="10" t="s">
        <v>36</v>
      </c>
      <c r="E382" s="10" t="s">
        <v>15</v>
      </c>
      <c r="F382" s="10" t="s">
        <v>38</v>
      </c>
      <c r="G382" s="9" t="s">
        <v>39</v>
      </c>
      <c r="H382" s="10" t="s">
        <v>55</v>
      </c>
      <c r="I382" s="10" t="s">
        <v>41</v>
      </c>
      <c r="J382" s="103">
        <v>0.66959490740740746</v>
      </c>
      <c r="K382" s="10">
        <v>578.6</v>
      </c>
      <c r="L382" s="10">
        <v>0.04</v>
      </c>
      <c r="M382" s="10">
        <v>587.20000000000005</v>
      </c>
      <c r="N382" s="10">
        <v>0.13</v>
      </c>
      <c r="O382" s="10">
        <v>56.1</v>
      </c>
      <c r="P382" s="10">
        <v>0</v>
      </c>
      <c r="Q382" s="11">
        <v>50</v>
      </c>
      <c r="R382" s="10" t="s">
        <v>0</v>
      </c>
    </row>
    <row r="383" spans="1:18" x14ac:dyDescent="0.2">
      <c r="A383" s="7">
        <v>2012</v>
      </c>
      <c r="B383" s="25">
        <v>41129</v>
      </c>
      <c r="C383" s="10" t="s">
        <v>35</v>
      </c>
      <c r="D383" s="10" t="s">
        <v>36</v>
      </c>
      <c r="E383" s="10" t="s">
        <v>15</v>
      </c>
      <c r="F383" s="10" t="s">
        <v>38</v>
      </c>
      <c r="G383" s="9" t="s">
        <v>39</v>
      </c>
      <c r="H383" s="10" t="s">
        <v>55</v>
      </c>
      <c r="I383" s="10" t="s">
        <v>41</v>
      </c>
      <c r="J383" s="103">
        <v>0.66978009259259252</v>
      </c>
      <c r="K383" s="10">
        <v>596.20000000000005</v>
      </c>
      <c r="L383" s="10">
        <v>0.02</v>
      </c>
      <c r="M383" s="10">
        <v>602.20000000000005</v>
      </c>
      <c r="N383" s="10">
        <v>0.13</v>
      </c>
      <c r="O383" s="10">
        <v>56.2</v>
      </c>
      <c r="P383" s="10">
        <v>0</v>
      </c>
      <c r="Q383" s="11">
        <v>65</v>
      </c>
      <c r="R383" s="10" t="s">
        <v>0</v>
      </c>
    </row>
    <row r="384" spans="1:18" x14ac:dyDescent="0.2">
      <c r="A384" s="7">
        <v>2012</v>
      </c>
      <c r="B384" s="25">
        <v>41129</v>
      </c>
      <c r="C384" s="10" t="s">
        <v>35</v>
      </c>
      <c r="D384" s="10" t="s">
        <v>36</v>
      </c>
      <c r="E384" s="10" t="s">
        <v>15</v>
      </c>
      <c r="F384" s="10" t="s">
        <v>38</v>
      </c>
      <c r="G384" s="9" t="s">
        <v>39</v>
      </c>
      <c r="H384" s="10" t="s">
        <v>55</v>
      </c>
      <c r="I384" s="10" t="s">
        <v>41</v>
      </c>
      <c r="J384" s="103">
        <v>0.67063657407407407</v>
      </c>
      <c r="K384" s="10">
        <v>115</v>
      </c>
      <c r="L384" s="10">
        <v>0.46</v>
      </c>
      <c r="M384" s="10">
        <v>607.6</v>
      </c>
      <c r="N384" s="10">
        <v>0.13</v>
      </c>
      <c r="O384" s="10">
        <v>56.2</v>
      </c>
      <c r="P384" s="10">
        <v>2.4</v>
      </c>
      <c r="Q384" s="11">
        <v>5</v>
      </c>
      <c r="R384" s="10" t="s">
        <v>0</v>
      </c>
    </row>
    <row r="385" spans="1:19" x14ac:dyDescent="0.2">
      <c r="A385" s="7">
        <v>2012</v>
      </c>
      <c r="B385" s="25">
        <v>41129</v>
      </c>
      <c r="C385" s="10" t="s">
        <v>35</v>
      </c>
      <c r="D385" s="10" t="s">
        <v>36</v>
      </c>
      <c r="E385" s="10" t="s">
        <v>15</v>
      </c>
      <c r="F385" s="10" t="s">
        <v>38</v>
      </c>
      <c r="G385" s="9" t="s">
        <v>39</v>
      </c>
      <c r="H385" s="10" t="s">
        <v>55</v>
      </c>
      <c r="I385" s="10" t="s">
        <v>41</v>
      </c>
      <c r="J385" s="103">
        <v>0.67128472222222213</v>
      </c>
      <c r="K385" s="10">
        <v>259.8</v>
      </c>
      <c r="L385" s="10">
        <v>0.24</v>
      </c>
      <c r="M385" s="10">
        <v>617.9</v>
      </c>
      <c r="N385" s="10">
        <v>0.13</v>
      </c>
      <c r="O385" s="10">
        <v>56.3</v>
      </c>
      <c r="P385" s="10">
        <v>1.1000000000000001</v>
      </c>
      <c r="Q385" s="11">
        <v>20</v>
      </c>
      <c r="R385" s="10" t="s">
        <v>0</v>
      </c>
    </row>
    <row r="386" spans="1:19" x14ac:dyDescent="0.2">
      <c r="A386" s="7">
        <v>2012</v>
      </c>
      <c r="B386" s="25">
        <v>41129</v>
      </c>
      <c r="C386" s="10" t="s">
        <v>35</v>
      </c>
      <c r="D386" s="10" t="s">
        <v>36</v>
      </c>
      <c r="E386" s="10" t="s">
        <v>15</v>
      </c>
      <c r="F386" s="10" t="s">
        <v>38</v>
      </c>
      <c r="G386" s="9" t="s">
        <v>39</v>
      </c>
      <c r="H386" s="10" t="s">
        <v>55</v>
      </c>
      <c r="I386" s="10" t="s">
        <v>41</v>
      </c>
      <c r="J386" s="103">
        <v>0.6715740740740741</v>
      </c>
      <c r="K386" s="10">
        <v>437.5</v>
      </c>
      <c r="L386" s="10">
        <v>0.18</v>
      </c>
      <c r="M386" s="10">
        <v>627.9</v>
      </c>
      <c r="N386" s="10">
        <v>0.13</v>
      </c>
      <c r="O386" s="10">
        <v>56.3</v>
      </c>
      <c r="P386" s="10">
        <v>0.4</v>
      </c>
      <c r="Q386" s="11">
        <v>35</v>
      </c>
      <c r="R386" s="10" t="s">
        <v>0</v>
      </c>
    </row>
    <row r="387" spans="1:19" x14ac:dyDescent="0.2">
      <c r="A387" s="7">
        <v>2012</v>
      </c>
      <c r="B387" s="25">
        <v>41129</v>
      </c>
      <c r="C387" s="10" t="s">
        <v>35</v>
      </c>
      <c r="D387" s="10" t="s">
        <v>36</v>
      </c>
      <c r="E387" s="10" t="s">
        <v>15</v>
      </c>
      <c r="F387" s="10" t="s">
        <v>38</v>
      </c>
      <c r="G387" s="9" t="s">
        <v>39</v>
      </c>
      <c r="H387" s="10" t="s">
        <v>55</v>
      </c>
      <c r="I387" s="10" t="s">
        <v>41</v>
      </c>
      <c r="J387" s="103">
        <v>0.67188657407407415</v>
      </c>
      <c r="K387" s="10">
        <v>621.70000000000005</v>
      </c>
      <c r="L387" s="10">
        <v>0.01</v>
      </c>
      <c r="M387" s="10">
        <v>628.9</v>
      </c>
      <c r="N387" s="10">
        <v>0.13</v>
      </c>
      <c r="O387" s="10">
        <v>56.3</v>
      </c>
      <c r="P387" s="10">
        <v>0</v>
      </c>
      <c r="Q387" s="11">
        <v>50</v>
      </c>
      <c r="R387" s="10" t="s">
        <v>0</v>
      </c>
    </row>
    <row r="388" spans="1:19" x14ac:dyDescent="0.2">
      <c r="A388" s="7">
        <v>2012</v>
      </c>
      <c r="B388" s="25">
        <v>41129</v>
      </c>
      <c r="C388" s="10" t="s">
        <v>35</v>
      </c>
      <c r="D388" s="10" t="s">
        <v>36</v>
      </c>
      <c r="E388" s="10" t="s">
        <v>15</v>
      </c>
      <c r="F388" s="10" t="s">
        <v>38</v>
      </c>
      <c r="G388" s="9" t="s">
        <v>39</v>
      </c>
      <c r="H388" s="10" t="s">
        <v>55</v>
      </c>
      <c r="I388" s="10" t="s">
        <v>41</v>
      </c>
      <c r="J388" s="103">
        <v>0.67211805555555548</v>
      </c>
      <c r="K388" s="10">
        <v>639.20000000000005</v>
      </c>
      <c r="L388" s="10">
        <v>0.01</v>
      </c>
      <c r="M388" s="10">
        <v>630.1</v>
      </c>
      <c r="N388" s="10">
        <v>0.13</v>
      </c>
      <c r="O388" s="10">
        <v>56.3</v>
      </c>
      <c r="P388" s="10">
        <v>0</v>
      </c>
      <c r="Q388" s="11">
        <v>65</v>
      </c>
      <c r="R388" s="10" t="s">
        <v>0</v>
      </c>
    </row>
    <row r="389" spans="1:19" x14ac:dyDescent="0.2">
      <c r="A389" s="7">
        <v>2012</v>
      </c>
      <c r="B389" s="25">
        <v>41129</v>
      </c>
      <c r="C389" s="10" t="s">
        <v>35</v>
      </c>
      <c r="D389" s="10" t="s">
        <v>36</v>
      </c>
      <c r="E389" s="10" t="s">
        <v>15</v>
      </c>
      <c r="F389" s="10" t="s">
        <v>38</v>
      </c>
      <c r="G389" s="9" t="s">
        <v>39</v>
      </c>
      <c r="H389" s="10" t="s">
        <v>55</v>
      </c>
      <c r="I389" s="10" t="s">
        <v>41</v>
      </c>
      <c r="J389" s="103">
        <v>0.67289351851851853</v>
      </c>
      <c r="K389" s="10">
        <v>364.7</v>
      </c>
      <c r="L389" s="10">
        <v>0.22</v>
      </c>
      <c r="M389" s="10">
        <v>623.79999999999995</v>
      </c>
      <c r="N389" s="10">
        <v>0.13</v>
      </c>
      <c r="O389" s="10">
        <v>56.4</v>
      </c>
      <c r="P389" s="10">
        <v>0.7</v>
      </c>
      <c r="Q389" s="11">
        <v>5</v>
      </c>
      <c r="R389" s="10" t="s">
        <v>0</v>
      </c>
    </row>
    <row r="390" spans="1:19" x14ac:dyDescent="0.2">
      <c r="A390" s="7">
        <v>2012</v>
      </c>
      <c r="B390" s="25">
        <v>41129</v>
      </c>
      <c r="C390" s="10" t="s">
        <v>35</v>
      </c>
      <c r="D390" s="10" t="s">
        <v>36</v>
      </c>
      <c r="E390" s="10" t="s">
        <v>15</v>
      </c>
      <c r="F390" s="10" t="s">
        <v>38</v>
      </c>
      <c r="G390" s="9" t="s">
        <v>39</v>
      </c>
      <c r="H390" s="10" t="s">
        <v>55</v>
      </c>
      <c r="I390" s="10" t="s">
        <v>41</v>
      </c>
      <c r="J390" s="103">
        <v>0.67318287037037028</v>
      </c>
      <c r="K390" s="10">
        <v>369.7</v>
      </c>
      <c r="L390" s="10">
        <v>0.32</v>
      </c>
      <c r="M390" s="10">
        <v>619.1</v>
      </c>
      <c r="N390" s="10">
        <v>0.13</v>
      </c>
      <c r="O390" s="10">
        <v>56.4</v>
      </c>
      <c r="P390" s="10">
        <v>0.6</v>
      </c>
      <c r="Q390" s="11">
        <v>20</v>
      </c>
      <c r="R390" s="10" t="s">
        <v>0</v>
      </c>
    </row>
    <row r="391" spans="1:19" x14ac:dyDescent="0.2">
      <c r="A391" s="7">
        <v>2012</v>
      </c>
      <c r="B391" s="25">
        <v>41129</v>
      </c>
      <c r="C391" s="10" t="s">
        <v>35</v>
      </c>
      <c r="D391" s="10" t="s">
        <v>36</v>
      </c>
      <c r="E391" s="10" t="s">
        <v>15</v>
      </c>
      <c r="F391" s="10" t="s">
        <v>38</v>
      </c>
      <c r="G391" s="9" t="s">
        <v>39</v>
      </c>
      <c r="H391" s="10" t="s">
        <v>55</v>
      </c>
      <c r="I391" s="10" t="s">
        <v>41</v>
      </c>
      <c r="J391" s="103">
        <v>0.67340277777777768</v>
      </c>
      <c r="K391" s="10">
        <v>471</v>
      </c>
      <c r="L391" s="10">
        <v>0.24</v>
      </c>
      <c r="M391" s="10">
        <v>603.79999999999995</v>
      </c>
      <c r="N391" s="10">
        <v>0.13</v>
      </c>
      <c r="O391" s="10">
        <v>56.4</v>
      </c>
      <c r="P391" s="10">
        <v>0.3</v>
      </c>
      <c r="Q391" s="11">
        <v>35</v>
      </c>
      <c r="R391" s="10" t="s">
        <v>0</v>
      </c>
    </row>
    <row r="392" spans="1:19" x14ac:dyDescent="0.2">
      <c r="A392" s="7">
        <v>2012</v>
      </c>
      <c r="B392" s="25">
        <v>41129</v>
      </c>
      <c r="C392" s="10" t="s">
        <v>35</v>
      </c>
      <c r="D392" s="10" t="s">
        <v>36</v>
      </c>
      <c r="E392" s="10" t="s">
        <v>15</v>
      </c>
      <c r="F392" s="10" t="s">
        <v>38</v>
      </c>
      <c r="G392" s="9" t="s">
        <v>39</v>
      </c>
      <c r="H392" s="10" t="s">
        <v>55</v>
      </c>
      <c r="I392" s="10" t="s">
        <v>41</v>
      </c>
      <c r="J392" s="103">
        <v>0.67369212962962965</v>
      </c>
      <c r="K392" s="10">
        <v>557.6</v>
      </c>
      <c r="L392" s="10">
        <v>0.1</v>
      </c>
      <c r="M392" s="10">
        <v>597.79999999999995</v>
      </c>
      <c r="N392" s="10">
        <v>0.13</v>
      </c>
      <c r="O392" s="10">
        <v>56.5</v>
      </c>
      <c r="P392" s="10">
        <v>0.1</v>
      </c>
      <c r="Q392" s="11">
        <v>50</v>
      </c>
      <c r="R392" s="10" t="s">
        <v>0</v>
      </c>
    </row>
    <row r="393" spans="1:19" x14ac:dyDescent="0.2">
      <c r="A393" s="7">
        <v>2012</v>
      </c>
      <c r="B393" s="25">
        <v>41129</v>
      </c>
      <c r="C393" s="10" t="s">
        <v>35</v>
      </c>
      <c r="D393" s="10" t="s">
        <v>36</v>
      </c>
      <c r="E393" s="10" t="s">
        <v>15</v>
      </c>
      <c r="F393" s="10" t="s">
        <v>38</v>
      </c>
      <c r="G393" s="9" t="s">
        <v>39</v>
      </c>
      <c r="H393" s="10" t="s">
        <v>55</v>
      </c>
      <c r="I393" s="10" t="s">
        <v>41</v>
      </c>
      <c r="J393" s="103">
        <v>0.67384259259259249</v>
      </c>
      <c r="K393" s="10">
        <v>596.4</v>
      </c>
      <c r="L393" s="10">
        <v>0.01</v>
      </c>
      <c r="M393" s="10">
        <v>605.9</v>
      </c>
      <c r="N393" s="10">
        <v>0.13</v>
      </c>
      <c r="O393" s="10">
        <v>56.5</v>
      </c>
      <c r="P393" s="10">
        <v>0</v>
      </c>
      <c r="Q393" s="11">
        <v>65</v>
      </c>
      <c r="R393" s="10" t="s">
        <v>0</v>
      </c>
    </row>
    <row r="394" spans="1:19" x14ac:dyDescent="0.2">
      <c r="A394" s="7">
        <v>2012</v>
      </c>
      <c r="B394" s="25">
        <v>41129</v>
      </c>
      <c r="C394" s="10" t="s">
        <v>35</v>
      </c>
      <c r="D394" s="10" t="s">
        <v>36</v>
      </c>
      <c r="E394" s="10" t="s">
        <v>16</v>
      </c>
      <c r="F394" s="10" t="s">
        <v>3</v>
      </c>
      <c r="G394" s="9" t="s">
        <v>39</v>
      </c>
      <c r="H394" s="10" t="s">
        <v>55</v>
      </c>
      <c r="I394" s="10" t="s">
        <v>41</v>
      </c>
      <c r="J394" s="103">
        <v>0.70047453703703699</v>
      </c>
      <c r="K394" s="10">
        <v>41.5</v>
      </c>
      <c r="L394" s="10">
        <v>0.81</v>
      </c>
      <c r="M394" s="10">
        <v>613.29999999999995</v>
      </c>
      <c r="N394" s="10">
        <v>0.13</v>
      </c>
      <c r="O394" s="10">
        <v>58.8</v>
      </c>
      <c r="P394" s="10">
        <v>4</v>
      </c>
      <c r="Q394" s="11">
        <v>5</v>
      </c>
      <c r="R394" s="10" t="s">
        <v>0</v>
      </c>
    </row>
    <row r="395" spans="1:19" x14ac:dyDescent="0.2">
      <c r="A395" s="7">
        <v>2012</v>
      </c>
      <c r="B395" s="104">
        <v>41129</v>
      </c>
      <c r="C395" s="7" t="s">
        <v>35</v>
      </c>
      <c r="D395" s="7" t="s">
        <v>36</v>
      </c>
      <c r="E395" s="7" t="s">
        <v>16</v>
      </c>
      <c r="F395" s="7" t="s">
        <v>3</v>
      </c>
      <c r="G395" s="9" t="s">
        <v>39</v>
      </c>
      <c r="H395" s="10" t="s">
        <v>55</v>
      </c>
      <c r="I395" s="7" t="s">
        <v>41</v>
      </c>
      <c r="J395" s="102">
        <v>0.70047453703703699</v>
      </c>
      <c r="K395" s="7">
        <v>41.5</v>
      </c>
      <c r="L395" s="7">
        <v>0.81</v>
      </c>
      <c r="M395" s="7">
        <v>613.29999999999995</v>
      </c>
      <c r="N395" s="7">
        <v>0.13</v>
      </c>
      <c r="O395" s="7">
        <v>58.8</v>
      </c>
      <c r="P395" s="7">
        <v>4</v>
      </c>
      <c r="Q395" s="6">
        <v>5</v>
      </c>
      <c r="R395" s="7" t="s">
        <v>0</v>
      </c>
    </row>
    <row r="396" spans="1:19" x14ac:dyDescent="0.2">
      <c r="A396" s="7">
        <v>2012</v>
      </c>
      <c r="B396" s="25">
        <v>41129</v>
      </c>
      <c r="C396" s="10" t="s">
        <v>35</v>
      </c>
      <c r="D396" s="10" t="s">
        <v>36</v>
      </c>
      <c r="E396" s="10" t="s">
        <v>16</v>
      </c>
      <c r="F396" s="10" t="s">
        <v>3</v>
      </c>
      <c r="G396" s="9" t="s">
        <v>39</v>
      </c>
      <c r="H396" s="10" t="s">
        <v>55</v>
      </c>
      <c r="I396" s="10" t="s">
        <v>41</v>
      </c>
      <c r="J396" s="103">
        <v>0.70128472222222227</v>
      </c>
      <c r="K396" s="10">
        <v>29.8</v>
      </c>
      <c r="L396" s="10">
        <v>0.77</v>
      </c>
      <c r="M396" s="10">
        <v>591.5</v>
      </c>
      <c r="N396" s="10">
        <v>0.13</v>
      </c>
      <c r="O396" s="10">
        <v>58.9</v>
      </c>
      <c r="P396" s="10">
        <v>4.5</v>
      </c>
      <c r="Q396" s="11">
        <v>5</v>
      </c>
      <c r="R396" s="10" t="s">
        <v>0</v>
      </c>
    </row>
    <row r="397" spans="1:19" x14ac:dyDescent="0.2">
      <c r="A397" s="7">
        <v>2012</v>
      </c>
      <c r="B397" s="104">
        <v>41129</v>
      </c>
      <c r="C397" s="7" t="s">
        <v>35</v>
      </c>
      <c r="D397" s="7" t="s">
        <v>36</v>
      </c>
      <c r="E397" s="7" t="s">
        <v>16</v>
      </c>
      <c r="F397" s="7" t="s">
        <v>3</v>
      </c>
      <c r="G397" s="9" t="s">
        <v>39</v>
      </c>
      <c r="H397" s="10" t="s">
        <v>55</v>
      </c>
      <c r="I397" s="7" t="s">
        <v>41</v>
      </c>
      <c r="J397" s="102">
        <v>0.70128472222222227</v>
      </c>
      <c r="K397" s="7">
        <v>29.8</v>
      </c>
      <c r="L397" s="7">
        <v>0.77</v>
      </c>
      <c r="M397" s="7">
        <v>591.5</v>
      </c>
      <c r="N397" s="7">
        <v>0.13</v>
      </c>
      <c r="O397" s="7">
        <v>58.9</v>
      </c>
      <c r="P397" s="7">
        <v>4.5</v>
      </c>
      <c r="Q397" s="6">
        <v>5</v>
      </c>
      <c r="R397" s="7" t="s">
        <v>0</v>
      </c>
    </row>
    <row r="398" spans="1:19" x14ac:dyDescent="0.2">
      <c r="A398" s="7">
        <v>2012</v>
      </c>
      <c r="B398" s="25">
        <v>41129</v>
      </c>
      <c r="C398" s="10" t="s">
        <v>35</v>
      </c>
      <c r="D398" s="10" t="s">
        <v>36</v>
      </c>
      <c r="E398" s="10" t="s">
        <v>16</v>
      </c>
      <c r="F398" s="10" t="s">
        <v>3</v>
      </c>
      <c r="G398" s="9" t="s">
        <v>39</v>
      </c>
      <c r="H398" s="10" t="s">
        <v>55</v>
      </c>
      <c r="I398" s="10" t="s">
        <v>41</v>
      </c>
      <c r="J398" s="103">
        <v>0.70251157407407405</v>
      </c>
      <c r="K398" s="10">
        <v>38.9</v>
      </c>
      <c r="L398" s="10">
        <v>0.44</v>
      </c>
      <c r="M398" s="10">
        <v>585.79999999999995</v>
      </c>
      <c r="N398" s="10">
        <v>0.13</v>
      </c>
      <c r="O398" s="10">
        <v>59</v>
      </c>
      <c r="P398" s="10">
        <v>4.0999999999999996</v>
      </c>
      <c r="Q398" s="11">
        <v>5</v>
      </c>
      <c r="R398" s="10" t="s">
        <v>0</v>
      </c>
    </row>
    <row r="399" spans="1:19" x14ac:dyDescent="0.2">
      <c r="A399" s="7">
        <v>2012</v>
      </c>
      <c r="B399" s="104">
        <v>41129</v>
      </c>
      <c r="C399" s="7" t="s">
        <v>35</v>
      </c>
      <c r="D399" s="7" t="s">
        <v>36</v>
      </c>
      <c r="E399" s="7" t="s">
        <v>16</v>
      </c>
      <c r="F399" s="7" t="s">
        <v>3</v>
      </c>
      <c r="G399" s="9" t="s">
        <v>39</v>
      </c>
      <c r="H399" s="10" t="s">
        <v>55</v>
      </c>
      <c r="I399" s="7" t="s">
        <v>41</v>
      </c>
      <c r="J399" s="102">
        <v>0.70251157407407405</v>
      </c>
      <c r="K399" s="7">
        <v>38.9</v>
      </c>
      <c r="L399" s="7">
        <v>0.44</v>
      </c>
      <c r="M399" s="7">
        <v>585.79999999999995</v>
      </c>
      <c r="N399" s="7">
        <v>0.13</v>
      </c>
      <c r="O399" s="7">
        <v>59</v>
      </c>
      <c r="P399" s="7">
        <v>4.0999999999999996</v>
      </c>
      <c r="Q399" s="6">
        <v>5</v>
      </c>
      <c r="R399" s="7" t="s">
        <v>0</v>
      </c>
    </row>
    <row r="400" spans="1:19" ht="15" x14ac:dyDescent="0.25">
      <c r="A400" s="7">
        <v>2012</v>
      </c>
      <c r="B400" s="26">
        <v>41128</v>
      </c>
      <c r="C400" s="16" t="s">
        <v>52</v>
      </c>
      <c r="D400" s="16" t="s">
        <v>51</v>
      </c>
      <c r="E400" s="16" t="s">
        <v>34</v>
      </c>
      <c r="F400" s="16" t="s">
        <v>58</v>
      </c>
      <c r="G400" s="30" t="s">
        <v>42</v>
      </c>
      <c r="H400" s="10" t="s">
        <v>55</v>
      </c>
      <c r="I400" s="16" t="s">
        <v>41</v>
      </c>
      <c r="J400" s="113">
        <v>0.45682870370370371</v>
      </c>
      <c r="K400" s="114">
        <v>27.9</v>
      </c>
      <c r="L400" s="114">
        <v>0.55000000000000004</v>
      </c>
      <c r="M400" s="114">
        <v>315.10000000000002</v>
      </c>
      <c r="N400" s="114">
        <v>0.45</v>
      </c>
      <c r="O400" s="114">
        <v>60</v>
      </c>
      <c r="P400" s="114">
        <v>3.2</v>
      </c>
      <c r="Q400" s="114">
        <v>5</v>
      </c>
      <c r="R400" s="114" t="s">
        <v>45</v>
      </c>
      <c r="S400" s="5" t="s">
        <v>59</v>
      </c>
    </row>
    <row r="401" spans="1:19" ht="15" x14ac:dyDescent="0.25">
      <c r="A401" s="7">
        <v>2012</v>
      </c>
      <c r="B401" s="115">
        <v>41128</v>
      </c>
      <c r="C401" s="114" t="s">
        <v>52</v>
      </c>
      <c r="D401" s="114" t="s">
        <v>51</v>
      </c>
      <c r="E401" s="114" t="s">
        <v>34</v>
      </c>
      <c r="F401" s="114" t="s">
        <v>58</v>
      </c>
      <c r="G401" s="30" t="s">
        <v>42</v>
      </c>
      <c r="H401" s="10" t="s">
        <v>55</v>
      </c>
      <c r="I401" s="114" t="s">
        <v>41</v>
      </c>
      <c r="J401" s="113">
        <v>0.4574421296296296</v>
      </c>
      <c r="K401" s="114">
        <v>13.4</v>
      </c>
      <c r="L401" s="114">
        <v>0.43</v>
      </c>
      <c r="M401" s="114">
        <v>320.7</v>
      </c>
      <c r="N401" s="114">
        <v>0.45</v>
      </c>
      <c r="O401" s="114">
        <v>60</v>
      </c>
      <c r="P401" s="114">
        <v>4.4000000000000004</v>
      </c>
      <c r="Q401" s="114">
        <v>5</v>
      </c>
      <c r="R401" s="114" t="s">
        <v>45</v>
      </c>
      <c r="S401" s="5" t="s">
        <v>59</v>
      </c>
    </row>
    <row r="402" spans="1:19" ht="15" x14ac:dyDescent="0.25">
      <c r="A402" s="7">
        <v>2012</v>
      </c>
      <c r="B402" s="115">
        <v>41128</v>
      </c>
      <c r="C402" s="114" t="s">
        <v>52</v>
      </c>
      <c r="D402" s="114" t="s">
        <v>51</v>
      </c>
      <c r="E402" s="114" t="s">
        <v>34</v>
      </c>
      <c r="F402" s="114" t="s">
        <v>58</v>
      </c>
      <c r="G402" s="30" t="s">
        <v>42</v>
      </c>
      <c r="H402" s="10" t="s">
        <v>55</v>
      </c>
      <c r="I402" s="114" t="s">
        <v>41</v>
      </c>
      <c r="J402" s="113">
        <v>0.45778935185185188</v>
      </c>
      <c r="K402" s="114">
        <v>12.8</v>
      </c>
      <c r="L402" s="114">
        <v>0.53</v>
      </c>
      <c r="M402" s="114">
        <v>309.39999999999998</v>
      </c>
      <c r="N402" s="114">
        <v>0.45</v>
      </c>
      <c r="O402" s="114">
        <v>59.9</v>
      </c>
      <c r="P402" s="114">
        <v>4.4000000000000004</v>
      </c>
      <c r="Q402" s="114">
        <v>5</v>
      </c>
      <c r="R402" s="114" t="s">
        <v>45</v>
      </c>
      <c r="S402" s="5" t="s">
        <v>59</v>
      </c>
    </row>
    <row r="403" spans="1:19" ht="15" x14ac:dyDescent="0.25">
      <c r="A403" s="7">
        <v>2012</v>
      </c>
      <c r="B403" s="26">
        <v>41124</v>
      </c>
      <c r="C403" s="16" t="s">
        <v>35</v>
      </c>
      <c r="D403" s="16" t="s">
        <v>2</v>
      </c>
      <c r="E403" s="16" t="s">
        <v>33</v>
      </c>
      <c r="F403" s="16" t="s">
        <v>38</v>
      </c>
      <c r="G403" s="30" t="s">
        <v>42</v>
      </c>
      <c r="H403" s="10" t="s">
        <v>55</v>
      </c>
      <c r="I403" s="16" t="s">
        <v>44</v>
      </c>
      <c r="J403" s="113">
        <v>0.47265046296296293</v>
      </c>
      <c r="K403" s="114">
        <v>64.2</v>
      </c>
      <c r="L403" s="114">
        <v>0.27</v>
      </c>
      <c r="M403" s="114">
        <v>275.89999999999998</v>
      </c>
      <c r="N403" s="114">
        <v>0.03</v>
      </c>
      <c r="O403" s="114">
        <v>57.4</v>
      </c>
      <c r="P403" s="114">
        <v>2.1</v>
      </c>
      <c r="Q403" s="114">
        <v>5</v>
      </c>
      <c r="R403" s="114" t="s">
        <v>45</v>
      </c>
      <c r="S403" s="99">
        <v>1</v>
      </c>
    </row>
    <row r="404" spans="1:19" ht="15" x14ac:dyDescent="0.25">
      <c r="A404" s="7">
        <v>2012</v>
      </c>
      <c r="B404" s="115">
        <v>41124</v>
      </c>
      <c r="C404" s="114" t="s">
        <v>35</v>
      </c>
      <c r="D404" s="114" t="s">
        <v>2</v>
      </c>
      <c r="E404" s="114" t="s">
        <v>33</v>
      </c>
      <c r="F404" s="114" t="s">
        <v>38</v>
      </c>
      <c r="G404" s="30" t="s">
        <v>42</v>
      </c>
      <c r="H404" s="10" t="s">
        <v>55</v>
      </c>
      <c r="I404" s="114" t="s">
        <v>44</v>
      </c>
      <c r="J404" s="113">
        <v>0.47289351851851852</v>
      </c>
      <c r="K404" s="114">
        <v>65.099999999999994</v>
      </c>
      <c r="L404" s="114">
        <v>0.23</v>
      </c>
      <c r="M404" s="114">
        <v>261.2</v>
      </c>
      <c r="N404" s="114">
        <v>0.02</v>
      </c>
      <c r="O404" s="114">
        <v>57.4</v>
      </c>
      <c r="P404" s="114">
        <v>2</v>
      </c>
      <c r="Q404" s="114">
        <v>20</v>
      </c>
      <c r="R404" s="114" t="s">
        <v>45</v>
      </c>
      <c r="S404" s="99">
        <v>1</v>
      </c>
    </row>
    <row r="405" spans="1:19" ht="15" x14ac:dyDescent="0.25">
      <c r="A405" s="7">
        <v>2012</v>
      </c>
      <c r="B405" s="115">
        <v>41124</v>
      </c>
      <c r="C405" s="114" t="s">
        <v>35</v>
      </c>
      <c r="D405" s="114" t="s">
        <v>2</v>
      </c>
      <c r="E405" s="114" t="s">
        <v>33</v>
      </c>
      <c r="F405" s="114" t="s">
        <v>38</v>
      </c>
      <c r="G405" s="30" t="s">
        <v>42</v>
      </c>
      <c r="H405" s="10" t="s">
        <v>55</v>
      </c>
      <c r="I405" s="114" t="s">
        <v>44</v>
      </c>
      <c r="J405" s="113">
        <v>0.47331018518518514</v>
      </c>
      <c r="K405" s="114">
        <v>96</v>
      </c>
      <c r="L405" s="114">
        <v>0.24</v>
      </c>
      <c r="M405" s="114">
        <v>260</v>
      </c>
      <c r="N405" s="114">
        <v>0.02</v>
      </c>
      <c r="O405" s="114">
        <v>57.3</v>
      </c>
      <c r="P405" s="114">
        <v>1.3</v>
      </c>
      <c r="Q405" s="114">
        <v>35</v>
      </c>
      <c r="R405" s="114" t="s">
        <v>45</v>
      </c>
      <c r="S405" s="99">
        <v>1</v>
      </c>
    </row>
    <row r="406" spans="1:19" ht="15" x14ac:dyDescent="0.25">
      <c r="A406" s="7">
        <v>2012</v>
      </c>
      <c r="B406" s="115">
        <v>41124</v>
      </c>
      <c r="C406" s="114" t="s">
        <v>35</v>
      </c>
      <c r="D406" s="114" t="s">
        <v>2</v>
      </c>
      <c r="E406" s="114" t="s">
        <v>33</v>
      </c>
      <c r="F406" s="114" t="s">
        <v>38</v>
      </c>
      <c r="G406" s="30" t="s">
        <v>42</v>
      </c>
      <c r="H406" s="10" t="s">
        <v>55</v>
      </c>
      <c r="I406" s="114" t="s">
        <v>44</v>
      </c>
      <c r="J406" s="113">
        <v>0.47347222222222224</v>
      </c>
      <c r="K406" s="114">
        <v>125.4</v>
      </c>
      <c r="L406" s="114">
        <v>0.25</v>
      </c>
      <c r="M406" s="114">
        <v>266.10000000000002</v>
      </c>
      <c r="N406" s="114">
        <v>0.03</v>
      </c>
      <c r="O406" s="114">
        <v>57.3</v>
      </c>
      <c r="P406" s="114">
        <v>1</v>
      </c>
      <c r="Q406" s="114">
        <v>50</v>
      </c>
      <c r="R406" s="114" t="s">
        <v>45</v>
      </c>
      <c r="S406" s="99">
        <v>1</v>
      </c>
    </row>
    <row r="407" spans="1:19" ht="15" x14ac:dyDescent="0.25">
      <c r="A407" s="7">
        <v>2012</v>
      </c>
      <c r="B407" s="115">
        <v>41124</v>
      </c>
      <c r="C407" s="114" t="s">
        <v>35</v>
      </c>
      <c r="D407" s="114" t="s">
        <v>2</v>
      </c>
      <c r="E407" s="114" t="s">
        <v>33</v>
      </c>
      <c r="F407" s="114" t="s">
        <v>38</v>
      </c>
      <c r="G407" s="30" t="s">
        <v>42</v>
      </c>
      <c r="H407" s="10" t="s">
        <v>55</v>
      </c>
      <c r="I407" s="114" t="s">
        <v>44</v>
      </c>
      <c r="J407" s="113">
        <v>0.4736805555555556</v>
      </c>
      <c r="K407" s="114">
        <v>227.8</v>
      </c>
      <c r="L407" s="114">
        <v>0.13</v>
      </c>
      <c r="M407" s="114">
        <v>268.60000000000002</v>
      </c>
      <c r="N407" s="114">
        <v>0.02</v>
      </c>
      <c r="O407" s="114">
        <v>57.3</v>
      </c>
      <c r="P407" s="114">
        <v>0.2</v>
      </c>
      <c r="Q407" s="114">
        <v>65</v>
      </c>
      <c r="R407" s="114" t="s">
        <v>45</v>
      </c>
      <c r="S407" s="99">
        <v>1</v>
      </c>
    </row>
    <row r="408" spans="1:19" ht="15" x14ac:dyDescent="0.25">
      <c r="A408" s="7">
        <v>2012</v>
      </c>
      <c r="B408" s="115">
        <v>41124</v>
      </c>
      <c r="C408" s="114" t="s">
        <v>35</v>
      </c>
      <c r="D408" s="114" t="s">
        <v>2</v>
      </c>
      <c r="E408" s="114" t="s">
        <v>33</v>
      </c>
      <c r="F408" s="114" t="s">
        <v>38</v>
      </c>
      <c r="G408" s="30" t="s">
        <v>42</v>
      </c>
      <c r="H408" s="10" t="s">
        <v>55</v>
      </c>
      <c r="I408" s="114" t="s">
        <v>44</v>
      </c>
      <c r="J408" s="113">
        <v>0.47379629629629627</v>
      </c>
      <c r="K408" s="114">
        <v>265.8</v>
      </c>
      <c r="L408" s="114">
        <v>0.03</v>
      </c>
      <c r="M408" s="114">
        <v>267.3</v>
      </c>
      <c r="N408" s="114">
        <v>0.02</v>
      </c>
      <c r="O408" s="114">
        <v>57.3</v>
      </c>
      <c r="P408" s="114">
        <v>0</v>
      </c>
      <c r="Q408" s="114">
        <v>80</v>
      </c>
      <c r="R408" s="114" t="s">
        <v>45</v>
      </c>
      <c r="S408" s="99">
        <v>1</v>
      </c>
    </row>
    <row r="409" spans="1:19" ht="15" x14ac:dyDescent="0.25">
      <c r="A409" s="7">
        <v>2012</v>
      </c>
      <c r="B409" s="115">
        <v>41124</v>
      </c>
      <c r="C409" s="114" t="s">
        <v>35</v>
      </c>
      <c r="D409" s="114" t="s">
        <v>2</v>
      </c>
      <c r="E409" s="114" t="s">
        <v>33</v>
      </c>
      <c r="F409" s="114" t="s">
        <v>38</v>
      </c>
      <c r="G409" s="30" t="s">
        <v>42</v>
      </c>
      <c r="H409" s="10" t="s">
        <v>55</v>
      </c>
      <c r="I409" s="114" t="s">
        <v>44</v>
      </c>
      <c r="J409" s="113">
        <v>0.47391203703703705</v>
      </c>
      <c r="K409" s="114">
        <v>269.5</v>
      </c>
      <c r="L409" s="114">
        <v>0.01</v>
      </c>
      <c r="M409" s="114">
        <v>264.89999999999998</v>
      </c>
      <c r="N409" s="114">
        <v>0.02</v>
      </c>
      <c r="O409" s="114">
        <v>57.3</v>
      </c>
      <c r="P409" s="114">
        <v>0</v>
      </c>
      <c r="Q409" s="114">
        <v>95</v>
      </c>
      <c r="R409" s="114" t="s">
        <v>45</v>
      </c>
      <c r="S409" s="99">
        <v>1</v>
      </c>
    </row>
    <row r="410" spans="1:19" ht="15" x14ac:dyDescent="0.25">
      <c r="A410" s="7">
        <v>2012</v>
      </c>
      <c r="B410" s="115">
        <v>41124</v>
      </c>
      <c r="C410" s="114" t="s">
        <v>35</v>
      </c>
      <c r="D410" s="114" t="s">
        <v>2</v>
      </c>
      <c r="E410" s="114" t="s">
        <v>33</v>
      </c>
      <c r="F410" s="114" t="s">
        <v>38</v>
      </c>
      <c r="G410" s="30" t="s">
        <v>42</v>
      </c>
      <c r="H410" s="10" t="s">
        <v>55</v>
      </c>
      <c r="I410" s="114" t="s">
        <v>44</v>
      </c>
      <c r="J410" s="113">
        <v>0.47597222222222224</v>
      </c>
      <c r="K410" s="114">
        <v>37.4</v>
      </c>
      <c r="L410" s="114">
        <v>0.37</v>
      </c>
      <c r="M410" s="114">
        <v>206.3</v>
      </c>
      <c r="N410" s="114">
        <v>0.03</v>
      </c>
      <c r="O410" s="114">
        <v>57.1</v>
      </c>
      <c r="P410" s="114">
        <v>2.5</v>
      </c>
      <c r="Q410" s="114">
        <v>5</v>
      </c>
      <c r="R410" s="114" t="s">
        <v>45</v>
      </c>
      <c r="S410" s="99">
        <v>2</v>
      </c>
    </row>
    <row r="411" spans="1:19" ht="15" x14ac:dyDescent="0.25">
      <c r="A411" s="7">
        <v>2012</v>
      </c>
      <c r="B411" s="115">
        <v>41124</v>
      </c>
      <c r="C411" s="114" t="s">
        <v>35</v>
      </c>
      <c r="D411" s="114" t="s">
        <v>2</v>
      </c>
      <c r="E411" s="114" t="s">
        <v>33</v>
      </c>
      <c r="F411" s="114" t="s">
        <v>38</v>
      </c>
      <c r="G411" s="30" t="s">
        <v>42</v>
      </c>
      <c r="H411" s="10" t="s">
        <v>55</v>
      </c>
      <c r="I411" s="114" t="s">
        <v>44</v>
      </c>
      <c r="J411" s="113">
        <v>0.47645833333333337</v>
      </c>
      <c r="K411" s="114">
        <v>41.8</v>
      </c>
      <c r="L411" s="114">
        <v>0.41</v>
      </c>
      <c r="M411" s="114">
        <v>200.2</v>
      </c>
      <c r="N411" s="114">
        <v>0.02</v>
      </c>
      <c r="O411" s="114">
        <v>57</v>
      </c>
      <c r="P411" s="114">
        <v>2.2000000000000002</v>
      </c>
      <c r="Q411" s="114">
        <v>20</v>
      </c>
      <c r="R411" s="114" t="s">
        <v>45</v>
      </c>
      <c r="S411" s="99">
        <v>2</v>
      </c>
    </row>
    <row r="412" spans="1:19" ht="15" x14ac:dyDescent="0.25">
      <c r="A412" s="7">
        <v>2012</v>
      </c>
      <c r="B412" s="115">
        <v>41124</v>
      </c>
      <c r="C412" s="114" t="s">
        <v>35</v>
      </c>
      <c r="D412" s="114" t="s">
        <v>2</v>
      </c>
      <c r="E412" s="114" t="s">
        <v>33</v>
      </c>
      <c r="F412" s="114" t="s">
        <v>38</v>
      </c>
      <c r="G412" s="30" t="s">
        <v>42</v>
      </c>
      <c r="H412" s="10" t="s">
        <v>55</v>
      </c>
      <c r="I412" s="114" t="s">
        <v>44</v>
      </c>
      <c r="J412" s="113">
        <v>0.47665509259259259</v>
      </c>
      <c r="K412" s="114">
        <v>74.400000000000006</v>
      </c>
      <c r="L412" s="114">
        <v>0.21</v>
      </c>
      <c r="M412" s="114">
        <v>202.6</v>
      </c>
      <c r="N412" s="114">
        <v>0.02</v>
      </c>
      <c r="O412" s="114">
        <v>57</v>
      </c>
      <c r="P412" s="114">
        <v>1.4</v>
      </c>
      <c r="Q412" s="114">
        <v>35</v>
      </c>
      <c r="R412" s="114" t="s">
        <v>45</v>
      </c>
      <c r="S412" s="99">
        <v>2</v>
      </c>
    </row>
    <row r="413" spans="1:19" ht="15" x14ac:dyDescent="0.25">
      <c r="A413" s="7">
        <v>2012</v>
      </c>
      <c r="B413" s="115">
        <v>41124</v>
      </c>
      <c r="C413" s="114" t="s">
        <v>35</v>
      </c>
      <c r="D413" s="114" t="s">
        <v>2</v>
      </c>
      <c r="E413" s="114" t="s">
        <v>33</v>
      </c>
      <c r="F413" s="114" t="s">
        <v>38</v>
      </c>
      <c r="G413" s="30" t="s">
        <v>42</v>
      </c>
      <c r="H413" s="10" t="s">
        <v>55</v>
      </c>
      <c r="I413" s="114" t="s">
        <v>44</v>
      </c>
      <c r="J413" s="113">
        <v>0.47677083333333337</v>
      </c>
      <c r="K413" s="114">
        <v>95.4</v>
      </c>
      <c r="L413" s="114">
        <v>0.16</v>
      </c>
      <c r="M413" s="114">
        <v>206.3</v>
      </c>
      <c r="N413" s="114">
        <v>0.03</v>
      </c>
      <c r="O413" s="114">
        <v>57</v>
      </c>
      <c r="P413" s="114">
        <v>1</v>
      </c>
      <c r="Q413" s="114">
        <v>50</v>
      </c>
      <c r="R413" s="114" t="s">
        <v>45</v>
      </c>
      <c r="S413" s="99">
        <v>2</v>
      </c>
    </row>
    <row r="414" spans="1:19" ht="15" x14ac:dyDescent="0.25">
      <c r="A414" s="7">
        <v>2012</v>
      </c>
      <c r="B414" s="115">
        <v>41124</v>
      </c>
      <c r="C414" s="114" t="s">
        <v>35</v>
      </c>
      <c r="D414" s="114" t="s">
        <v>2</v>
      </c>
      <c r="E414" s="114" t="s">
        <v>33</v>
      </c>
      <c r="F414" s="114" t="s">
        <v>38</v>
      </c>
      <c r="G414" s="30" t="s">
        <v>42</v>
      </c>
      <c r="H414" s="10" t="s">
        <v>55</v>
      </c>
      <c r="I414" s="114" t="s">
        <v>44</v>
      </c>
      <c r="J414" s="113">
        <v>0.47688657407407403</v>
      </c>
      <c r="K414" s="114">
        <v>123.5</v>
      </c>
      <c r="L414" s="114">
        <v>0.2</v>
      </c>
      <c r="M414" s="114">
        <v>212.4</v>
      </c>
      <c r="N414" s="114">
        <v>0.03</v>
      </c>
      <c r="O414" s="114">
        <v>57</v>
      </c>
      <c r="P414" s="114">
        <v>0.7</v>
      </c>
      <c r="Q414" s="114">
        <v>65</v>
      </c>
      <c r="R414" s="114" t="s">
        <v>45</v>
      </c>
      <c r="S414" s="99">
        <v>2</v>
      </c>
    </row>
    <row r="415" spans="1:19" ht="15" x14ac:dyDescent="0.25">
      <c r="A415" s="7">
        <v>2012</v>
      </c>
      <c r="B415" s="115">
        <v>41124</v>
      </c>
      <c r="C415" s="114" t="s">
        <v>35</v>
      </c>
      <c r="D415" s="114" t="s">
        <v>2</v>
      </c>
      <c r="E415" s="114" t="s">
        <v>33</v>
      </c>
      <c r="F415" s="114" t="s">
        <v>38</v>
      </c>
      <c r="G415" s="30" t="s">
        <v>42</v>
      </c>
      <c r="H415" s="10" t="s">
        <v>55</v>
      </c>
      <c r="I415" s="114" t="s">
        <v>44</v>
      </c>
      <c r="J415" s="113">
        <v>0.47710648148148144</v>
      </c>
      <c r="K415" s="114">
        <v>193.4</v>
      </c>
      <c r="L415" s="114">
        <v>0.13</v>
      </c>
      <c r="M415" s="114">
        <v>225.8</v>
      </c>
      <c r="N415" s="114">
        <v>0.03</v>
      </c>
      <c r="O415" s="114">
        <v>57</v>
      </c>
      <c r="P415" s="114">
        <v>0.2</v>
      </c>
      <c r="Q415" s="114">
        <v>80</v>
      </c>
      <c r="R415" s="114" t="s">
        <v>45</v>
      </c>
      <c r="S415" s="99">
        <v>2</v>
      </c>
    </row>
    <row r="416" spans="1:19" ht="15" x14ac:dyDescent="0.25">
      <c r="A416" s="7">
        <v>2012</v>
      </c>
      <c r="B416" s="115">
        <v>41124</v>
      </c>
      <c r="C416" s="114" t="s">
        <v>35</v>
      </c>
      <c r="D416" s="114" t="s">
        <v>2</v>
      </c>
      <c r="E416" s="114" t="s">
        <v>33</v>
      </c>
      <c r="F416" s="114" t="s">
        <v>38</v>
      </c>
      <c r="G416" s="30" t="s">
        <v>42</v>
      </c>
      <c r="H416" s="10" t="s">
        <v>55</v>
      </c>
      <c r="I416" s="114" t="s">
        <v>44</v>
      </c>
      <c r="J416" s="113">
        <v>0.47724537037037035</v>
      </c>
      <c r="K416" s="114">
        <v>236</v>
      </c>
      <c r="L416" s="114">
        <v>0.03</v>
      </c>
      <c r="M416" s="114">
        <v>235.6</v>
      </c>
      <c r="N416" s="114">
        <v>0.03</v>
      </c>
      <c r="O416" s="114">
        <v>57</v>
      </c>
      <c r="P416" s="114">
        <v>0</v>
      </c>
      <c r="Q416" s="114">
        <v>95</v>
      </c>
      <c r="R416" s="114" t="s">
        <v>45</v>
      </c>
      <c r="S416" s="99">
        <v>2</v>
      </c>
    </row>
    <row r="417" spans="1:19" ht="15" x14ac:dyDescent="0.25">
      <c r="A417" s="7">
        <v>2012</v>
      </c>
      <c r="B417" s="115">
        <v>41124</v>
      </c>
      <c r="C417" s="114" t="s">
        <v>35</v>
      </c>
      <c r="D417" s="114" t="s">
        <v>2</v>
      </c>
      <c r="E417" s="114" t="s">
        <v>33</v>
      </c>
      <c r="F417" s="114" t="s">
        <v>38</v>
      </c>
      <c r="G417" s="30" t="s">
        <v>42</v>
      </c>
      <c r="H417" s="10" t="s">
        <v>55</v>
      </c>
      <c r="I417" s="114" t="s">
        <v>44</v>
      </c>
      <c r="J417" s="113">
        <v>0.47817129629629629</v>
      </c>
      <c r="K417" s="114">
        <v>62.7</v>
      </c>
      <c r="L417" s="114">
        <v>0.26</v>
      </c>
      <c r="M417" s="114">
        <v>283.2</v>
      </c>
      <c r="N417" s="114">
        <v>0.03</v>
      </c>
      <c r="O417" s="114">
        <v>56.9</v>
      </c>
      <c r="P417" s="114">
        <v>2.1</v>
      </c>
      <c r="Q417" s="114">
        <v>5</v>
      </c>
      <c r="R417" s="114" t="s">
        <v>45</v>
      </c>
      <c r="S417" s="2">
        <v>3</v>
      </c>
    </row>
    <row r="418" spans="1:19" ht="15" x14ac:dyDescent="0.25">
      <c r="A418" s="7">
        <v>2012</v>
      </c>
      <c r="B418" s="115">
        <v>41124</v>
      </c>
      <c r="C418" s="114" t="s">
        <v>35</v>
      </c>
      <c r="D418" s="114" t="s">
        <v>2</v>
      </c>
      <c r="E418" s="114" t="s">
        <v>33</v>
      </c>
      <c r="F418" s="114" t="s">
        <v>38</v>
      </c>
      <c r="G418" s="30" t="s">
        <v>42</v>
      </c>
      <c r="H418" s="10" t="s">
        <v>55</v>
      </c>
      <c r="I418" s="114" t="s">
        <v>44</v>
      </c>
      <c r="J418" s="113">
        <v>0.47834490740740737</v>
      </c>
      <c r="K418" s="114">
        <v>104.7</v>
      </c>
      <c r="L418" s="114">
        <v>0.13</v>
      </c>
      <c r="M418" s="114">
        <v>299.10000000000002</v>
      </c>
      <c r="N418" s="114">
        <v>0.02</v>
      </c>
      <c r="O418" s="114">
        <v>56.9</v>
      </c>
      <c r="P418" s="114">
        <v>1.4</v>
      </c>
      <c r="Q418" s="114">
        <v>20</v>
      </c>
      <c r="R418" s="114" t="s">
        <v>45</v>
      </c>
      <c r="S418" s="2">
        <v>3</v>
      </c>
    </row>
    <row r="419" spans="1:19" ht="15" x14ac:dyDescent="0.25">
      <c r="A419" s="7">
        <v>2012</v>
      </c>
      <c r="B419" s="115">
        <v>41124</v>
      </c>
      <c r="C419" s="114" t="s">
        <v>35</v>
      </c>
      <c r="D419" s="114" t="s">
        <v>2</v>
      </c>
      <c r="E419" s="114" t="s">
        <v>33</v>
      </c>
      <c r="F419" s="114" t="s">
        <v>38</v>
      </c>
      <c r="G419" s="30" t="s">
        <v>42</v>
      </c>
      <c r="H419" s="10" t="s">
        <v>55</v>
      </c>
      <c r="I419" s="114" t="s">
        <v>44</v>
      </c>
      <c r="J419" s="113">
        <v>0.47851851851851851</v>
      </c>
      <c r="K419" s="114">
        <v>146</v>
      </c>
      <c r="L419" s="114">
        <v>0.2</v>
      </c>
      <c r="M419" s="114">
        <v>319.8</v>
      </c>
      <c r="N419" s="114">
        <v>0.02</v>
      </c>
      <c r="O419" s="114">
        <v>56.8</v>
      </c>
      <c r="P419" s="114">
        <v>1</v>
      </c>
      <c r="Q419" s="114">
        <v>35</v>
      </c>
      <c r="R419" s="114" t="s">
        <v>45</v>
      </c>
      <c r="S419" s="2">
        <v>3</v>
      </c>
    </row>
    <row r="420" spans="1:19" ht="15" x14ac:dyDescent="0.25">
      <c r="A420" s="7">
        <v>2012</v>
      </c>
      <c r="B420" s="115">
        <v>41124</v>
      </c>
      <c r="C420" s="114" t="s">
        <v>35</v>
      </c>
      <c r="D420" s="114" t="s">
        <v>2</v>
      </c>
      <c r="E420" s="114" t="s">
        <v>33</v>
      </c>
      <c r="F420" s="114" t="s">
        <v>38</v>
      </c>
      <c r="G420" s="30" t="s">
        <v>42</v>
      </c>
      <c r="H420" s="10" t="s">
        <v>55</v>
      </c>
      <c r="I420" s="114" t="s">
        <v>44</v>
      </c>
      <c r="J420" s="113">
        <v>0.47868055555555555</v>
      </c>
      <c r="K420" s="114">
        <v>198.6</v>
      </c>
      <c r="L420" s="114">
        <v>0.15</v>
      </c>
      <c r="M420" s="114">
        <v>336.9</v>
      </c>
      <c r="N420" s="114">
        <v>0.02</v>
      </c>
      <c r="O420" s="114">
        <v>56.8</v>
      </c>
      <c r="P420" s="114">
        <v>0.7</v>
      </c>
      <c r="Q420" s="114">
        <v>50</v>
      </c>
      <c r="R420" s="114" t="s">
        <v>45</v>
      </c>
      <c r="S420" s="2">
        <v>3</v>
      </c>
    </row>
    <row r="421" spans="1:19" ht="15" x14ac:dyDescent="0.25">
      <c r="A421" s="7">
        <v>2012</v>
      </c>
      <c r="B421" s="115">
        <v>41124</v>
      </c>
      <c r="C421" s="114" t="s">
        <v>35</v>
      </c>
      <c r="D421" s="114" t="s">
        <v>2</v>
      </c>
      <c r="E421" s="114" t="s">
        <v>33</v>
      </c>
      <c r="F421" s="114" t="s">
        <v>38</v>
      </c>
      <c r="G421" s="30" t="s">
        <v>42</v>
      </c>
      <c r="H421" s="10" t="s">
        <v>55</v>
      </c>
      <c r="I421" s="114" t="s">
        <v>44</v>
      </c>
      <c r="J421" s="113">
        <v>0.47877314814814814</v>
      </c>
      <c r="K421" s="114">
        <v>284</v>
      </c>
      <c r="L421" s="114">
        <v>7.0000000000000007E-2</v>
      </c>
      <c r="M421" s="114">
        <v>340.6</v>
      </c>
      <c r="N421" s="114">
        <v>0.02</v>
      </c>
      <c r="O421" s="114">
        <v>56.8</v>
      </c>
      <c r="P421" s="114">
        <v>0.2</v>
      </c>
      <c r="Q421" s="114">
        <v>65</v>
      </c>
      <c r="R421" s="114" t="s">
        <v>45</v>
      </c>
      <c r="S421" s="2">
        <v>3</v>
      </c>
    </row>
    <row r="422" spans="1:19" ht="15" x14ac:dyDescent="0.25">
      <c r="A422" s="7">
        <v>2012</v>
      </c>
      <c r="B422" s="115">
        <v>41124</v>
      </c>
      <c r="C422" s="114" t="s">
        <v>35</v>
      </c>
      <c r="D422" s="114" t="s">
        <v>2</v>
      </c>
      <c r="E422" s="114" t="s">
        <v>33</v>
      </c>
      <c r="F422" s="114" t="s">
        <v>38</v>
      </c>
      <c r="G422" s="30" t="s">
        <v>42</v>
      </c>
      <c r="H422" s="10" t="s">
        <v>55</v>
      </c>
      <c r="I422" s="114" t="s">
        <v>44</v>
      </c>
      <c r="J422" s="113">
        <v>0.47888888888888892</v>
      </c>
      <c r="K422" s="114">
        <v>339.8</v>
      </c>
      <c r="L422" s="114">
        <v>0.05</v>
      </c>
      <c r="M422" s="114">
        <v>343</v>
      </c>
      <c r="N422" s="114">
        <v>0.02</v>
      </c>
      <c r="O422" s="114">
        <v>56.8</v>
      </c>
      <c r="P422" s="114">
        <v>0</v>
      </c>
      <c r="Q422" s="114">
        <v>80</v>
      </c>
      <c r="R422" s="114" t="s">
        <v>45</v>
      </c>
      <c r="S422" s="2">
        <v>3</v>
      </c>
    </row>
    <row r="423" spans="1:19" ht="15" x14ac:dyDescent="0.25">
      <c r="A423" s="7">
        <v>2012</v>
      </c>
      <c r="B423" s="115">
        <v>41124</v>
      </c>
      <c r="C423" s="114" t="s">
        <v>35</v>
      </c>
      <c r="D423" s="114" t="s">
        <v>2</v>
      </c>
      <c r="E423" s="114" t="s">
        <v>33</v>
      </c>
      <c r="F423" s="114" t="s">
        <v>38</v>
      </c>
      <c r="G423" s="30" t="s">
        <v>42</v>
      </c>
      <c r="H423" s="10" t="s">
        <v>55</v>
      </c>
      <c r="I423" s="114" t="s">
        <v>44</v>
      </c>
      <c r="J423" s="113">
        <v>0.47898148148148145</v>
      </c>
      <c r="K423" s="114">
        <v>351.7</v>
      </c>
      <c r="L423" s="114">
        <v>0.02</v>
      </c>
      <c r="M423" s="114">
        <v>346.7</v>
      </c>
      <c r="N423" s="114">
        <v>0.02</v>
      </c>
      <c r="O423" s="114">
        <v>56.8</v>
      </c>
      <c r="P423" s="114">
        <v>0</v>
      </c>
      <c r="Q423" s="114">
        <v>95</v>
      </c>
      <c r="R423" s="114" t="s">
        <v>45</v>
      </c>
      <c r="S423" s="2">
        <v>3</v>
      </c>
    </row>
    <row r="424" spans="1:19" ht="15" x14ac:dyDescent="0.25">
      <c r="A424" s="7">
        <v>2012</v>
      </c>
      <c r="B424" s="115">
        <v>41134</v>
      </c>
      <c r="C424" s="114" t="s">
        <v>35</v>
      </c>
      <c r="D424" s="114" t="s">
        <v>2</v>
      </c>
      <c r="E424" s="114" t="s">
        <v>33</v>
      </c>
      <c r="F424" s="114" t="s">
        <v>38</v>
      </c>
      <c r="G424" s="30" t="s">
        <v>42</v>
      </c>
      <c r="H424" s="10" t="s">
        <v>55</v>
      </c>
      <c r="I424" s="114" t="s">
        <v>44</v>
      </c>
      <c r="J424" s="113">
        <v>0.61885416666666659</v>
      </c>
      <c r="K424" s="114">
        <v>238.9</v>
      </c>
      <c r="L424" s="114">
        <v>0.92</v>
      </c>
      <c r="M424" s="114">
        <v>1243.4000000000001</v>
      </c>
      <c r="N424" s="114">
        <v>0.78</v>
      </c>
      <c r="O424" s="114">
        <v>54.9</v>
      </c>
      <c r="P424" s="114">
        <v>2.1</v>
      </c>
      <c r="Q424" s="114">
        <v>5</v>
      </c>
      <c r="R424" s="114" t="s">
        <v>46</v>
      </c>
      <c r="S424" s="114">
        <v>2</v>
      </c>
    </row>
    <row r="425" spans="1:19" ht="15" x14ac:dyDescent="0.25">
      <c r="A425" s="7">
        <v>2012</v>
      </c>
      <c r="B425" s="115">
        <v>41134</v>
      </c>
      <c r="C425" s="114" t="s">
        <v>35</v>
      </c>
      <c r="D425" s="114" t="s">
        <v>2</v>
      </c>
      <c r="E425" s="114" t="s">
        <v>33</v>
      </c>
      <c r="F425" s="114" t="s">
        <v>38</v>
      </c>
      <c r="G425" s="30" t="s">
        <v>42</v>
      </c>
      <c r="H425" s="10" t="s">
        <v>55</v>
      </c>
      <c r="I425" s="114" t="s">
        <v>44</v>
      </c>
      <c r="J425" s="113">
        <v>0.61936342592592586</v>
      </c>
      <c r="K425" s="114">
        <v>283</v>
      </c>
      <c r="L425" s="114">
        <v>0.84</v>
      </c>
      <c r="M425" s="114">
        <v>1218.9000000000001</v>
      </c>
      <c r="N425" s="114">
        <v>0.78</v>
      </c>
      <c r="O425" s="114">
        <v>54.9</v>
      </c>
      <c r="P425" s="114">
        <v>1.9</v>
      </c>
      <c r="Q425" s="114">
        <v>20</v>
      </c>
      <c r="R425" s="114" t="s">
        <v>46</v>
      </c>
      <c r="S425" s="114">
        <v>2</v>
      </c>
    </row>
    <row r="426" spans="1:19" ht="15" x14ac:dyDescent="0.25">
      <c r="A426" s="7">
        <v>2012</v>
      </c>
      <c r="B426" s="115">
        <v>41134</v>
      </c>
      <c r="C426" s="114" t="s">
        <v>35</v>
      </c>
      <c r="D426" s="114" t="s">
        <v>2</v>
      </c>
      <c r="E426" s="114" t="s">
        <v>33</v>
      </c>
      <c r="F426" s="114" t="s">
        <v>38</v>
      </c>
      <c r="G426" s="30" t="s">
        <v>42</v>
      </c>
      <c r="H426" s="10" t="s">
        <v>55</v>
      </c>
      <c r="I426" s="114" t="s">
        <v>44</v>
      </c>
      <c r="J426" s="113">
        <v>0.61962962962962964</v>
      </c>
      <c r="K426" s="114">
        <v>401.4</v>
      </c>
      <c r="L426" s="114">
        <v>0.54</v>
      </c>
      <c r="M426" s="114">
        <v>1231.9000000000001</v>
      </c>
      <c r="N426" s="114">
        <v>0.78</v>
      </c>
      <c r="O426" s="114">
        <v>54.9</v>
      </c>
      <c r="P426" s="114">
        <v>1.4</v>
      </c>
      <c r="Q426" s="114">
        <v>35</v>
      </c>
      <c r="R426" s="114" t="s">
        <v>46</v>
      </c>
      <c r="S426" s="114">
        <v>2</v>
      </c>
    </row>
    <row r="427" spans="1:19" ht="15" x14ac:dyDescent="0.25">
      <c r="A427" s="7">
        <v>2012</v>
      </c>
      <c r="B427" s="115">
        <v>41134</v>
      </c>
      <c r="C427" s="114" t="s">
        <v>35</v>
      </c>
      <c r="D427" s="114" t="s">
        <v>2</v>
      </c>
      <c r="E427" s="114" t="s">
        <v>33</v>
      </c>
      <c r="F427" s="114" t="s">
        <v>38</v>
      </c>
      <c r="G427" s="30" t="s">
        <v>42</v>
      </c>
      <c r="H427" s="10" t="s">
        <v>55</v>
      </c>
      <c r="I427" s="114" t="s">
        <v>44</v>
      </c>
      <c r="J427" s="113">
        <v>0.61989583333333331</v>
      </c>
      <c r="K427" s="114">
        <v>773.1</v>
      </c>
      <c r="L427" s="114">
        <v>0.4</v>
      </c>
      <c r="M427" s="114">
        <v>1238.3</v>
      </c>
      <c r="N427" s="114">
        <v>0.78</v>
      </c>
      <c r="O427" s="114">
        <v>54.9</v>
      </c>
      <c r="P427" s="114">
        <v>0.6</v>
      </c>
      <c r="Q427" s="114">
        <v>50</v>
      </c>
      <c r="R427" s="114" t="s">
        <v>46</v>
      </c>
      <c r="S427" s="114">
        <v>2</v>
      </c>
    </row>
    <row r="428" spans="1:19" ht="15" x14ac:dyDescent="0.25">
      <c r="A428" s="7">
        <v>2012</v>
      </c>
      <c r="B428" s="115">
        <v>41134</v>
      </c>
      <c r="C428" s="114" t="s">
        <v>35</v>
      </c>
      <c r="D428" s="114" t="s">
        <v>2</v>
      </c>
      <c r="E428" s="114" t="s">
        <v>33</v>
      </c>
      <c r="F428" s="114" t="s">
        <v>38</v>
      </c>
      <c r="G428" s="30" t="s">
        <v>42</v>
      </c>
      <c r="H428" s="10" t="s">
        <v>55</v>
      </c>
      <c r="I428" s="114" t="s">
        <v>44</v>
      </c>
      <c r="J428" s="113">
        <v>0.62023148148148144</v>
      </c>
      <c r="K428" s="114">
        <v>1169.4000000000001</v>
      </c>
      <c r="L428" s="114">
        <v>0.11</v>
      </c>
      <c r="M428" s="114">
        <v>1260.9000000000001</v>
      </c>
      <c r="N428" s="114">
        <v>0.78</v>
      </c>
      <c r="O428" s="114">
        <v>54.9</v>
      </c>
      <c r="P428" s="114">
        <v>0.1</v>
      </c>
      <c r="Q428" s="114">
        <v>65</v>
      </c>
      <c r="R428" s="114" t="s">
        <v>46</v>
      </c>
      <c r="S428" s="114">
        <v>2</v>
      </c>
    </row>
    <row r="429" spans="1:19" ht="15" x14ac:dyDescent="0.25">
      <c r="A429" s="7">
        <v>2012</v>
      </c>
      <c r="B429" s="115">
        <v>41134</v>
      </c>
      <c r="C429" s="114" t="s">
        <v>35</v>
      </c>
      <c r="D429" s="114" t="s">
        <v>2</v>
      </c>
      <c r="E429" s="114" t="s">
        <v>33</v>
      </c>
      <c r="F429" s="114" t="s">
        <v>38</v>
      </c>
      <c r="G429" s="30" t="s">
        <v>42</v>
      </c>
      <c r="H429" s="10" t="s">
        <v>55</v>
      </c>
      <c r="I429" s="114" t="s">
        <v>44</v>
      </c>
      <c r="J429" s="113">
        <v>0.62047453703703703</v>
      </c>
      <c r="K429" s="114">
        <v>1247.5</v>
      </c>
      <c r="L429" s="114">
        <v>0.01</v>
      </c>
      <c r="M429" s="114">
        <v>1240.2</v>
      </c>
      <c r="N429" s="114">
        <v>0.78</v>
      </c>
      <c r="O429" s="114">
        <v>54.9</v>
      </c>
      <c r="P429" s="114">
        <v>0</v>
      </c>
      <c r="Q429" s="114">
        <v>80</v>
      </c>
      <c r="R429" s="114" t="s">
        <v>46</v>
      </c>
      <c r="S429" s="114">
        <v>2</v>
      </c>
    </row>
    <row r="430" spans="1:19" ht="15" x14ac:dyDescent="0.25">
      <c r="A430" s="7">
        <v>2012</v>
      </c>
      <c r="B430" s="115">
        <v>41134</v>
      </c>
      <c r="C430" s="114" t="s">
        <v>35</v>
      </c>
      <c r="D430" s="114" t="s">
        <v>2</v>
      </c>
      <c r="E430" s="114" t="s">
        <v>33</v>
      </c>
      <c r="F430" s="114" t="s">
        <v>38</v>
      </c>
      <c r="G430" s="30" t="s">
        <v>42</v>
      </c>
      <c r="H430" s="10" t="s">
        <v>55</v>
      </c>
      <c r="I430" s="114" t="s">
        <v>44</v>
      </c>
      <c r="J430" s="113">
        <v>0.6274305555555556</v>
      </c>
      <c r="K430" s="114">
        <v>214.8</v>
      </c>
      <c r="L430" s="114">
        <v>0.8</v>
      </c>
      <c r="M430" s="114">
        <v>1234.9000000000001</v>
      </c>
      <c r="N430" s="114">
        <v>0.78</v>
      </c>
      <c r="O430" s="114">
        <v>55.2</v>
      </c>
      <c r="P430" s="114">
        <v>2.2999999999999998</v>
      </c>
      <c r="Q430" s="114">
        <v>5</v>
      </c>
      <c r="R430" s="114" t="s">
        <v>46</v>
      </c>
      <c r="S430" s="114">
        <v>5</v>
      </c>
    </row>
    <row r="431" spans="1:19" ht="15" x14ac:dyDescent="0.25">
      <c r="A431" s="7">
        <v>2012</v>
      </c>
      <c r="B431" s="115">
        <v>41134</v>
      </c>
      <c r="C431" s="114" t="s">
        <v>35</v>
      </c>
      <c r="D431" s="114" t="s">
        <v>2</v>
      </c>
      <c r="E431" s="114" t="s">
        <v>33</v>
      </c>
      <c r="F431" s="114" t="s">
        <v>38</v>
      </c>
      <c r="G431" s="30" t="s">
        <v>42</v>
      </c>
      <c r="H431" s="10" t="s">
        <v>55</v>
      </c>
      <c r="I431" s="114" t="s">
        <v>44</v>
      </c>
      <c r="J431" s="113">
        <v>0.6277314814814815</v>
      </c>
      <c r="K431" s="114">
        <v>370.2</v>
      </c>
      <c r="L431" s="114">
        <v>0.65</v>
      </c>
      <c r="M431" s="114">
        <v>1186.2</v>
      </c>
      <c r="N431" s="114">
        <v>0.78</v>
      </c>
      <c r="O431" s="114">
        <v>55.2</v>
      </c>
      <c r="P431" s="114">
        <v>1.5</v>
      </c>
      <c r="Q431" s="114">
        <v>20</v>
      </c>
      <c r="R431" s="114" t="s">
        <v>46</v>
      </c>
      <c r="S431" s="114">
        <v>5</v>
      </c>
    </row>
    <row r="432" spans="1:19" ht="15" x14ac:dyDescent="0.25">
      <c r="A432" s="7">
        <v>2012</v>
      </c>
      <c r="B432" s="115">
        <v>41134</v>
      </c>
      <c r="C432" s="114" t="s">
        <v>35</v>
      </c>
      <c r="D432" s="114" t="s">
        <v>2</v>
      </c>
      <c r="E432" s="114" t="s">
        <v>33</v>
      </c>
      <c r="F432" s="114" t="s">
        <v>38</v>
      </c>
      <c r="G432" s="30" t="s">
        <v>42</v>
      </c>
      <c r="H432" s="10" t="s">
        <v>55</v>
      </c>
      <c r="I432" s="114" t="s">
        <v>44</v>
      </c>
      <c r="J432" s="113">
        <v>0.62797453703703698</v>
      </c>
      <c r="K432" s="114">
        <v>450.6</v>
      </c>
      <c r="L432" s="114">
        <v>0.53</v>
      </c>
      <c r="M432" s="114">
        <v>1226.4000000000001</v>
      </c>
      <c r="N432" s="114">
        <v>0.78</v>
      </c>
      <c r="O432" s="114">
        <v>55.2</v>
      </c>
      <c r="P432" s="114">
        <v>1.3</v>
      </c>
      <c r="Q432" s="114">
        <v>35</v>
      </c>
      <c r="R432" s="114" t="s">
        <v>46</v>
      </c>
      <c r="S432" s="114">
        <v>5</v>
      </c>
    </row>
    <row r="433" spans="1:19" ht="15" x14ac:dyDescent="0.25">
      <c r="A433" s="7">
        <v>2012</v>
      </c>
      <c r="B433" s="115">
        <v>41134</v>
      </c>
      <c r="C433" s="114" t="s">
        <v>35</v>
      </c>
      <c r="D433" s="114" t="s">
        <v>2</v>
      </c>
      <c r="E433" s="114" t="s">
        <v>33</v>
      </c>
      <c r="F433" s="114" t="s">
        <v>38</v>
      </c>
      <c r="G433" s="30" t="s">
        <v>42</v>
      </c>
      <c r="H433" s="10" t="s">
        <v>55</v>
      </c>
      <c r="I433" s="114" t="s">
        <v>44</v>
      </c>
      <c r="J433" s="113">
        <v>0.62822916666666673</v>
      </c>
      <c r="K433" s="114">
        <v>689.9</v>
      </c>
      <c r="L433" s="114">
        <v>0.47</v>
      </c>
      <c r="M433" s="114">
        <v>1223.5999999999999</v>
      </c>
      <c r="N433" s="114">
        <v>0.78</v>
      </c>
      <c r="O433" s="114">
        <v>55.2</v>
      </c>
      <c r="P433" s="114">
        <v>0.7</v>
      </c>
      <c r="Q433" s="114">
        <v>50</v>
      </c>
      <c r="R433" s="114" t="s">
        <v>46</v>
      </c>
      <c r="S433" s="114">
        <v>5</v>
      </c>
    </row>
    <row r="434" spans="1:19" ht="15" x14ac:dyDescent="0.25">
      <c r="A434" s="7">
        <v>2012</v>
      </c>
      <c r="B434" s="115">
        <v>41134</v>
      </c>
      <c r="C434" s="114" t="s">
        <v>35</v>
      </c>
      <c r="D434" s="114" t="s">
        <v>2</v>
      </c>
      <c r="E434" s="114" t="s">
        <v>33</v>
      </c>
      <c r="F434" s="114" t="s">
        <v>38</v>
      </c>
      <c r="G434" s="30" t="s">
        <v>42</v>
      </c>
      <c r="H434" s="10" t="s">
        <v>55</v>
      </c>
      <c r="I434" s="114" t="s">
        <v>44</v>
      </c>
      <c r="J434" s="113">
        <v>0.62843749999999998</v>
      </c>
      <c r="K434" s="114">
        <v>701.9</v>
      </c>
      <c r="L434" s="114">
        <v>0.54</v>
      </c>
      <c r="M434" s="114">
        <v>1205.8</v>
      </c>
      <c r="N434" s="114">
        <v>0.78</v>
      </c>
      <c r="O434" s="114">
        <v>55.2</v>
      </c>
      <c r="P434" s="114">
        <v>0.7</v>
      </c>
      <c r="Q434" s="114">
        <v>65</v>
      </c>
      <c r="R434" s="114" t="s">
        <v>46</v>
      </c>
      <c r="S434" s="114">
        <v>5</v>
      </c>
    </row>
    <row r="435" spans="1:19" ht="15" x14ac:dyDescent="0.25">
      <c r="A435" s="7">
        <v>2012</v>
      </c>
      <c r="B435" s="115">
        <v>41134</v>
      </c>
      <c r="C435" s="114" t="s">
        <v>35</v>
      </c>
      <c r="D435" s="114" t="s">
        <v>2</v>
      </c>
      <c r="E435" s="114" t="s">
        <v>33</v>
      </c>
      <c r="F435" s="114" t="s">
        <v>38</v>
      </c>
      <c r="G435" s="30" t="s">
        <v>42</v>
      </c>
      <c r="H435" s="10" t="s">
        <v>55</v>
      </c>
      <c r="I435" s="114" t="s">
        <v>44</v>
      </c>
      <c r="J435" s="113">
        <v>0.62868055555555558</v>
      </c>
      <c r="K435" s="114">
        <v>1152.5999999999999</v>
      </c>
      <c r="L435" s="114">
        <v>0.15</v>
      </c>
      <c r="M435" s="114">
        <v>1212.9000000000001</v>
      </c>
      <c r="N435" s="114">
        <v>0.78</v>
      </c>
      <c r="O435" s="114">
        <v>55.2</v>
      </c>
      <c r="P435" s="114">
        <v>0.1</v>
      </c>
      <c r="Q435" s="114">
        <v>80</v>
      </c>
      <c r="R435" s="114" t="s">
        <v>46</v>
      </c>
      <c r="S435" s="114">
        <v>5</v>
      </c>
    </row>
    <row r="436" spans="1:19" ht="15" x14ac:dyDescent="0.25">
      <c r="A436" s="7">
        <v>2012</v>
      </c>
      <c r="B436" s="115">
        <v>41134</v>
      </c>
      <c r="C436" s="114" t="s">
        <v>35</v>
      </c>
      <c r="D436" s="114" t="s">
        <v>2</v>
      </c>
      <c r="E436" s="114" t="s">
        <v>33</v>
      </c>
      <c r="F436" s="114" t="s">
        <v>38</v>
      </c>
      <c r="G436" s="30" t="s">
        <v>42</v>
      </c>
      <c r="H436" s="10" t="s">
        <v>55</v>
      </c>
      <c r="I436" s="114" t="s">
        <v>44</v>
      </c>
      <c r="J436" s="113">
        <v>0.62887731481481479</v>
      </c>
      <c r="K436" s="114">
        <v>1251.3</v>
      </c>
      <c r="L436" s="114">
        <v>0.01</v>
      </c>
      <c r="M436" s="114">
        <v>1241.8</v>
      </c>
      <c r="N436" s="114">
        <v>0.78</v>
      </c>
      <c r="O436" s="114">
        <v>55.2</v>
      </c>
      <c r="P436" s="114">
        <v>0</v>
      </c>
      <c r="Q436" s="114">
        <v>95</v>
      </c>
      <c r="R436" s="114" t="s">
        <v>46</v>
      </c>
      <c r="S436" s="114">
        <v>5</v>
      </c>
    </row>
    <row r="437" spans="1:19" ht="15" x14ac:dyDescent="0.25">
      <c r="A437" s="7">
        <v>2012</v>
      </c>
      <c r="B437" s="115">
        <v>41134</v>
      </c>
      <c r="C437" s="114" t="s">
        <v>35</v>
      </c>
      <c r="D437" s="114" t="s">
        <v>2</v>
      </c>
      <c r="E437" s="114" t="s">
        <v>33</v>
      </c>
      <c r="F437" s="114" t="s">
        <v>38</v>
      </c>
      <c r="G437" s="30" t="s">
        <v>42</v>
      </c>
      <c r="H437" s="10" t="s">
        <v>55</v>
      </c>
      <c r="I437" s="114" t="s">
        <v>44</v>
      </c>
      <c r="J437" s="113">
        <v>0.63004629629629627</v>
      </c>
      <c r="K437" s="114">
        <v>368.7</v>
      </c>
      <c r="L437" s="114">
        <v>0.54</v>
      </c>
      <c r="M437" s="114">
        <v>1264.5</v>
      </c>
      <c r="N437" s="114">
        <v>0.78</v>
      </c>
      <c r="O437" s="114">
        <v>55.3</v>
      </c>
      <c r="P437" s="114">
        <v>1.6</v>
      </c>
      <c r="Q437" s="114">
        <v>5</v>
      </c>
      <c r="R437" s="114" t="s">
        <v>46</v>
      </c>
      <c r="S437" s="114">
        <v>8</v>
      </c>
    </row>
    <row r="438" spans="1:19" ht="15" x14ac:dyDescent="0.25">
      <c r="A438" s="7">
        <v>2012</v>
      </c>
      <c r="B438" s="115">
        <v>41134</v>
      </c>
      <c r="C438" s="114" t="s">
        <v>35</v>
      </c>
      <c r="D438" s="114" t="s">
        <v>2</v>
      </c>
      <c r="E438" s="114" t="s">
        <v>33</v>
      </c>
      <c r="F438" s="114" t="s">
        <v>38</v>
      </c>
      <c r="G438" s="30" t="s">
        <v>42</v>
      </c>
      <c r="H438" s="10" t="s">
        <v>55</v>
      </c>
      <c r="I438" s="114" t="s">
        <v>44</v>
      </c>
      <c r="J438" s="113">
        <v>0.63047453703703704</v>
      </c>
      <c r="K438" s="114">
        <v>343</v>
      </c>
      <c r="L438" s="114">
        <v>0.57999999999999996</v>
      </c>
      <c r="M438" s="114">
        <v>1205.7</v>
      </c>
      <c r="N438" s="114">
        <v>0.78</v>
      </c>
      <c r="O438" s="114">
        <v>55.3</v>
      </c>
      <c r="P438" s="114">
        <v>1.6</v>
      </c>
      <c r="Q438" s="114">
        <v>20</v>
      </c>
      <c r="R438" s="114" t="s">
        <v>46</v>
      </c>
      <c r="S438" s="114">
        <v>8</v>
      </c>
    </row>
    <row r="439" spans="1:19" ht="15" x14ac:dyDescent="0.25">
      <c r="A439" s="7">
        <v>2012</v>
      </c>
      <c r="B439" s="115">
        <v>41134</v>
      </c>
      <c r="C439" s="114" t="s">
        <v>35</v>
      </c>
      <c r="D439" s="114" t="s">
        <v>2</v>
      </c>
      <c r="E439" s="114" t="s">
        <v>33</v>
      </c>
      <c r="F439" s="114" t="s">
        <v>38</v>
      </c>
      <c r="G439" s="30" t="s">
        <v>42</v>
      </c>
      <c r="H439" s="10" t="s">
        <v>55</v>
      </c>
      <c r="I439" s="114" t="s">
        <v>44</v>
      </c>
      <c r="J439" s="113">
        <v>0.63085648148148155</v>
      </c>
      <c r="K439" s="114">
        <v>703.4</v>
      </c>
      <c r="L439" s="114">
        <v>0.41</v>
      </c>
      <c r="M439" s="114">
        <v>1228.7</v>
      </c>
      <c r="N439" s="114">
        <v>0.78</v>
      </c>
      <c r="O439" s="114">
        <v>55.3</v>
      </c>
      <c r="P439" s="114">
        <v>0.7</v>
      </c>
      <c r="Q439" s="114">
        <v>35</v>
      </c>
      <c r="R439" s="114" t="s">
        <v>46</v>
      </c>
      <c r="S439" s="114">
        <v>8</v>
      </c>
    </row>
    <row r="440" spans="1:19" ht="15" x14ac:dyDescent="0.25">
      <c r="A440" s="7">
        <v>2012</v>
      </c>
      <c r="B440" s="115">
        <v>41134</v>
      </c>
      <c r="C440" s="114" t="s">
        <v>35</v>
      </c>
      <c r="D440" s="114" t="s">
        <v>2</v>
      </c>
      <c r="E440" s="114" t="s">
        <v>33</v>
      </c>
      <c r="F440" s="114" t="s">
        <v>38</v>
      </c>
      <c r="G440" s="30" t="s">
        <v>42</v>
      </c>
      <c r="H440" s="10" t="s">
        <v>55</v>
      </c>
      <c r="I440" s="114" t="s">
        <v>44</v>
      </c>
      <c r="J440" s="113">
        <v>0.63120370370370371</v>
      </c>
      <c r="K440" s="114">
        <v>830.9</v>
      </c>
      <c r="L440" s="114">
        <v>0.32</v>
      </c>
      <c r="M440" s="114">
        <v>1290.8</v>
      </c>
      <c r="N440" s="114">
        <v>0.78</v>
      </c>
      <c r="O440" s="114">
        <v>55.3</v>
      </c>
      <c r="P440" s="114">
        <v>0.5</v>
      </c>
      <c r="Q440" s="114">
        <v>50</v>
      </c>
      <c r="R440" s="114" t="s">
        <v>46</v>
      </c>
      <c r="S440" s="114">
        <v>8</v>
      </c>
    </row>
    <row r="441" spans="1:19" ht="15" x14ac:dyDescent="0.25">
      <c r="A441" s="7">
        <v>2012</v>
      </c>
      <c r="B441" s="115">
        <v>41134</v>
      </c>
      <c r="C441" s="114" t="s">
        <v>35</v>
      </c>
      <c r="D441" s="114" t="s">
        <v>2</v>
      </c>
      <c r="E441" s="114" t="s">
        <v>33</v>
      </c>
      <c r="F441" s="114" t="s">
        <v>38</v>
      </c>
      <c r="G441" s="30" t="s">
        <v>42</v>
      </c>
      <c r="H441" s="10" t="s">
        <v>55</v>
      </c>
      <c r="I441" s="114" t="s">
        <v>44</v>
      </c>
      <c r="J441" s="113">
        <v>0.63145833333333334</v>
      </c>
      <c r="K441" s="114">
        <v>1093.4000000000001</v>
      </c>
      <c r="L441" s="114">
        <v>0.17</v>
      </c>
      <c r="M441" s="114">
        <v>1254.5</v>
      </c>
      <c r="N441" s="114">
        <v>0.78</v>
      </c>
      <c r="O441" s="114">
        <v>55.3</v>
      </c>
      <c r="P441" s="114">
        <v>0.2</v>
      </c>
      <c r="Q441" s="114">
        <v>65</v>
      </c>
      <c r="R441" s="114" t="s">
        <v>46</v>
      </c>
      <c r="S441" s="114">
        <v>8</v>
      </c>
    </row>
    <row r="442" spans="1:19" ht="15" x14ac:dyDescent="0.25">
      <c r="A442" s="7">
        <v>2012</v>
      </c>
      <c r="B442" s="115">
        <v>41134</v>
      </c>
      <c r="C442" s="114" t="s">
        <v>35</v>
      </c>
      <c r="D442" s="114" t="s">
        <v>2</v>
      </c>
      <c r="E442" s="114" t="s">
        <v>33</v>
      </c>
      <c r="F442" s="114" t="s">
        <v>38</v>
      </c>
      <c r="G442" s="30" t="s">
        <v>42</v>
      </c>
      <c r="H442" s="10" t="s">
        <v>55</v>
      </c>
      <c r="I442" s="114" t="s">
        <v>44</v>
      </c>
      <c r="J442" s="113">
        <v>0.63178240740740743</v>
      </c>
      <c r="K442" s="114">
        <v>1199.2</v>
      </c>
      <c r="L442" s="114">
        <v>0.01</v>
      </c>
      <c r="M442" s="114">
        <v>1234.7</v>
      </c>
      <c r="N442" s="114">
        <v>0.78</v>
      </c>
      <c r="O442" s="114">
        <v>55.4</v>
      </c>
      <c r="P442" s="114">
        <v>0</v>
      </c>
      <c r="Q442" s="114">
        <v>80</v>
      </c>
      <c r="R442" s="114" t="s">
        <v>46</v>
      </c>
      <c r="S442" s="114">
        <v>8</v>
      </c>
    </row>
    <row r="443" spans="1:19" ht="15" x14ac:dyDescent="0.25">
      <c r="A443" s="7">
        <v>2012</v>
      </c>
      <c r="B443" s="115">
        <v>41124</v>
      </c>
      <c r="C443" s="114" t="s">
        <v>35</v>
      </c>
      <c r="D443" s="114" t="s">
        <v>2</v>
      </c>
      <c r="E443" s="114" t="s">
        <v>32</v>
      </c>
      <c r="F443" s="114" t="s">
        <v>3</v>
      </c>
      <c r="G443" s="30" t="s">
        <v>42</v>
      </c>
      <c r="H443" s="10" t="s">
        <v>55</v>
      </c>
      <c r="I443" s="114" t="s">
        <v>60</v>
      </c>
      <c r="J443" s="113">
        <v>0.45703703703703707</v>
      </c>
      <c r="K443" s="114">
        <v>6.4</v>
      </c>
      <c r="L443" s="114">
        <v>0.55000000000000004</v>
      </c>
      <c r="M443" s="114">
        <v>155</v>
      </c>
      <c r="N443" s="114">
        <v>0.04</v>
      </c>
      <c r="O443" s="114">
        <v>59</v>
      </c>
      <c r="P443" s="114">
        <v>5</v>
      </c>
      <c r="Q443" s="114">
        <v>5</v>
      </c>
      <c r="R443" s="114" t="s">
        <v>45</v>
      </c>
      <c r="S443" s="114"/>
    </row>
    <row r="444" spans="1:19" ht="15" x14ac:dyDescent="0.25">
      <c r="A444" s="7">
        <v>2012</v>
      </c>
      <c r="B444" s="115">
        <v>41124</v>
      </c>
      <c r="C444" s="114" t="s">
        <v>35</v>
      </c>
      <c r="D444" s="114" t="s">
        <v>2</v>
      </c>
      <c r="E444" s="114" t="s">
        <v>32</v>
      </c>
      <c r="F444" s="114" t="s">
        <v>3</v>
      </c>
      <c r="G444" s="30" t="s">
        <v>42</v>
      </c>
      <c r="H444" s="10" t="s">
        <v>55</v>
      </c>
      <c r="I444" s="114" t="s">
        <v>60</v>
      </c>
      <c r="J444" s="113">
        <v>0.45743055555555556</v>
      </c>
      <c r="K444" s="114">
        <v>18.100000000000001</v>
      </c>
      <c r="L444" s="114">
        <v>0.37</v>
      </c>
      <c r="M444" s="114">
        <v>157.5</v>
      </c>
      <c r="N444" s="114">
        <v>0.04</v>
      </c>
      <c r="O444" s="114">
        <v>58.9</v>
      </c>
      <c r="P444" s="114">
        <v>3.2</v>
      </c>
      <c r="Q444" s="114">
        <v>20</v>
      </c>
      <c r="R444" s="114" t="s">
        <v>45</v>
      </c>
      <c r="S444" s="114"/>
    </row>
    <row r="445" spans="1:19" ht="15" x14ac:dyDescent="0.25">
      <c r="A445" s="7">
        <v>2012</v>
      </c>
      <c r="B445" s="115">
        <v>41124</v>
      </c>
      <c r="C445" s="114" t="s">
        <v>35</v>
      </c>
      <c r="D445" s="114" t="s">
        <v>2</v>
      </c>
      <c r="E445" s="114" t="s">
        <v>32</v>
      </c>
      <c r="F445" s="114" t="s">
        <v>3</v>
      </c>
      <c r="G445" s="30" t="s">
        <v>42</v>
      </c>
      <c r="H445" s="10" t="s">
        <v>55</v>
      </c>
      <c r="I445" s="114" t="s">
        <v>60</v>
      </c>
      <c r="J445" s="113">
        <v>0.45782407407407405</v>
      </c>
      <c r="K445" s="114">
        <v>24.6</v>
      </c>
      <c r="L445" s="114">
        <v>0.15</v>
      </c>
      <c r="M445" s="114">
        <v>157.5</v>
      </c>
      <c r="N445" s="114">
        <v>0.04</v>
      </c>
      <c r="O445" s="114">
        <v>58.9</v>
      </c>
      <c r="P445" s="114">
        <v>2.7</v>
      </c>
      <c r="Q445" s="114">
        <v>35</v>
      </c>
      <c r="R445" s="114" t="s">
        <v>45</v>
      </c>
      <c r="S445" s="114"/>
    </row>
    <row r="446" spans="1:19" ht="15" x14ac:dyDescent="0.25">
      <c r="A446" s="7">
        <v>2012</v>
      </c>
      <c r="B446" s="115">
        <v>41124</v>
      </c>
      <c r="C446" s="114" t="s">
        <v>35</v>
      </c>
      <c r="D446" s="114" t="s">
        <v>2</v>
      </c>
      <c r="E446" s="114" t="s">
        <v>32</v>
      </c>
      <c r="F446" s="114" t="s">
        <v>3</v>
      </c>
      <c r="G446" s="30" t="s">
        <v>42</v>
      </c>
      <c r="H446" s="10" t="s">
        <v>55</v>
      </c>
      <c r="I446" s="114" t="s">
        <v>60</v>
      </c>
      <c r="J446" s="113">
        <v>0.45818287037037037</v>
      </c>
      <c r="K446" s="114">
        <v>23.4</v>
      </c>
      <c r="L446" s="114">
        <v>0.21</v>
      </c>
      <c r="M446" s="114">
        <v>156.19999999999999</v>
      </c>
      <c r="N446" s="114">
        <v>0.05</v>
      </c>
      <c r="O446" s="114">
        <v>58.9</v>
      </c>
      <c r="P446" s="114">
        <v>2.8</v>
      </c>
      <c r="Q446" s="114">
        <v>50</v>
      </c>
      <c r="R446" s="114" t="s">
        <v>45</v>
      </c>
      <c r="S446" s="114"/>
    </row>
    <row r="447" spans="1:19" ht="15" x14ac:dyDescent="0.25">
      <c r="A447" s="7">
        <v>2012</v>
      </c>
      <c r="B447" s="115">
        <v>41124</v>
      </c>
      <c r="C447" s="114" t="s">
        <v>35</v>
      </c>
      <c r="D447" s="114" t="s">
        <v>2</v>
      </c>
      <c r="E447" s="114" t="s">
        <v>32</v>
      </c>
      <c r="F447" s="114" t="s">
        <v>3</v>
      </c>
      <c r="G447" s="30" t="s">
        <v>42</v>
      </c>
      <c r="H447" s="10" t="s">
        <v>55</v>
      </c>
      <c r="I447" s="114" t="s">
        <v>60</v>
      </c>
      <c r="J447" s="113">
        <v>0.45836805555555554</v>
      </c>
      <c r="K447" s="114">
        <v>34.9</v>
      </c>
      <c r="L447" s="114">
        <v>0.33</v>
      </c>
      <c r="M447" s="114">
        <v>153.80000000000001</v>
      </c>
      <c r="N447" s="114">
        <v>0.04</v>
      </c>
      <c r="O447" s="114">
        <v>58.8</v>
      </c>
      <c r="P447" s="114">
        <v>2.1</v>
      </c>
      <c r="Q447" s="114">
        <v>65</v>
      </c>
      <c r="R447" s="114" t="s">
        <v>45</v>
      </c>
      <c r="S447" s="114"/>
    </row>
    <row r="448" spans="1:19" ht="15" x14ac:dyDescent="0.25">
      <c r="A448" s="7">
        <v>2012</v>
      </c>
      <c r="B448" s="115">
        <v>41124</v>
      </c>
      <c r="C448" s="114" t="s">
        <v>35</v>
      </c>
      <c r="D448" s="114" t="s">
        <v>2</v>
      </c>
      <c r="E448" s="114" t="s">
        <v>32</v>
      </c>
      <c r="F448" s="114" t="s">
        <v>3</v>
      </c>
      <c r="G448" s="30" t="s">
        <v>42</v>
      </c>
      <c r="H448" s="10" t="s">
        <v>55</v>
      </c>
      <c r="I448" s="114" t="s">
        <v>60</v>
      </c>
      <c r="J448" s="113">
        <v>0.45853009259259259</v>
      </c>
      <c r="K448" s="114">
        <v>59.7</v>
      </c>
      <c r="L448" s="114">
        <v>0.21</v>
      </c>
      <c r="M448" s="114">
        <v>151.4</v>
      </c>
      <c r="N448" s="114">
        <v>0.03</v>
      </c>
      <c r="O448" s="114">
        <v>58.8</v>
      </c>
      <c r="P448" s="114">
        <v>1.2</v>
      </c>
      <c r="Q448" s="114">
        <v>80</v>
      </c>
      <c r="R448" s="114" t="s">
        <v>45</v>
      </c>
      <c r="S448" s="114"/>
    </row>
    <row r="449" spans="1:19" ht="15" x14ac:dyDescent="0.25">
      <c r="A449" s="7">
        <v>2012</v>
      </c>
      <c r="B449" s="115">
        <v>41124</v>
      </c>
      <c r="C449" s="114" t="s">
        <v>35</v>
      </c>
      <c r="D449" s="114" t="s">
        <v>2</v>
      </c>
      <c r="E449" s="114" t="s">
        <v>32</v>
      </c>
      <c r="F449" s="114" t="s">
        <v>3</v>
      </c>
      <c r="G449" s="30" t="s">
        <v>42</v>
      </c>
      <c r="H449" s="10" t="s">
        <v>55</v>
      </c>
      <c r="I449" s="114" t="s">
        <v>60</v>
      </c>
      <c r="J449" s="113">
        <v>0.45885416666666662</v>
      </c>
      <c r="K449" s="114">
        <v>95.2</v>
      </c>
      <c r="L449" s="114">
        <v>0.24</v>
      </c>
      <c r="M449" s="114">
        <v>153.80000000000001</v>
      </c>
      <c r="N449" s="114">
        <v>0.03</v>
      </c>
      <c r="O449" s="114">
        <v>58.8</v>
      </c>
      <c r="P449" s="114">
        <v>0.6</v>
      </c>
      <c r="Q449" s="114">
        <v>95</v>
      </c>
      <c r="R449" s="114" t="s">
        <v>45</v>
      </c>
      <c r="S449" s="114"/>
    </row>
    <row r="450" spans="1:19" ht="15" x14ac:dyDescent="0.25">
      <c r="A450" s="7">
        <v>2012</v>
      </c>
      <c r="B450" s="115">
        <v>41124</v>
      </c>
      <c r="C450" s="114" t="s">
        <v>35</v>
      </c>
      <c r="D450" s="114" t="s">
        <v>2</v>
      </c>
      <c r="E450" s="114" t="s">
        <v>32</v>
      </c>
      <c r="F450" s="114" t="s">
        <v>3</v>
      </c>
      <c r="G450" s="30" t="s">
        <v>42</v>
      </c>
      <c r="H450" s="10" t="s">
        <v>55</v>
      </c>
      <c r="I450" s="114" t="s">
        <v>60</v>
      </c>
      <c r="J450" s="113">
        <v>0.45905092592592589</v>
      </c>
      <c r="K450" s="114">
        <v>126.8</v>
      </c>
      <c r="L450" s="114">
        <v>0.13</v>
      </c>
      <c r="M450" s="114">
        <v>155</v>
      </c>
      <c r="N450" s="114">
        <v>0.02</v>
      </c>
      <c r="O450" s="114">
        <v>58.8</v>
      </c>
      <c r="P450" s="114">
        <v>0.2</v>
      </c>
      <c r="Q450" s="114">
        <v>110</v>
      </c>
      <c r="R450" s="114" t="s">
        <v>45</v>
      </c>
      <c r="S450" s="114"/>
    </row>
    <row r="451" spans="1:19" ht="15" x14ac:dyDescent="0.25">
      <c r="A451" s="7">
        <v>2012</v>
      </c>
      <c r="B451" s="115">
        <v>41124</v>
      </c>
      <c r="C451" s="114" t="s">
        <v>35</v>
      </c>
      <c r="D451" s="114" t="s">
        <v>2</v>
      </c>
      <c r="E451" s="114" t="s">
        <v>32</v>
      </c>
      <c r="F451" s="114" t="s">
        <v>3</v>
      </c>
      <c r="G451" s="30" t="s">
        <v>42</v>
      </c>
      <c r="H451" s="10" t="s">
        <v>55</v>
      </c>
      <c r="I451" s="114" t="s">
        <v>60</v>
      </c>
      <c r="J451" s="113">
        <v>0.45930555555555558</v>
      </c>
      <c r="K451" s="114">
        <v>146.80000000000001</v>
      </c>
      <c r="L451" s="114">
        <v>0.1</v>
      </c>
      <c r="M451" s="114">
        <v>156.19999999999999</v>
      </c>
      <c r="N451" s="114">
        <v>0.04</v>
      </c>
      <c r="O451" s="114">
        <v>58.8</v>
      </c>
      <c r="P451" s="114">
        <v>0.1</v>
      </c>
      <c r="Q451" s="114">
        <v>125</v>
      </c>
      <c r="R451" s="114" t="s">
        <v>45</v>
      </c>
      <c r="S451" s="114"/>
    </row>
    <row r="452" spans="1:19" ht="15" x14ac:dyDescent="0.25">
      <c r="A452" s="7">
        <v>2012</v>
      </c>
      <c r="B452" s="115">
        <v>41124</v>
      </c>
      <c r="C452" s="114" t="s">
        <v>35</v>
      </c>
      <c r="D452" s="114" t="s">
        <v>2</v>
      </c>
      <c r="E452" s="114" t="s">
        <v>32</v>
      </c>
      <c r="F452" s="114" t="s">
        <v>3</v>
      </c>
      <c r="G452" s="30" t="s">
        <v>42</v>
      </c>
      <c r="H452" s="10" t="s">
        <v>55</v>
      </c>
      <c r="I452" s="114" t="s">
        <v>60</v>
      </c>
      <c r="J452" s="113">
        <v>0.45951388888888894</v>
      </c>
      <c r="K452" s="114">
        <v>155.6</v>
      </c>
      <c r="L452" s="114">
        <v>0.03</v>
      </c>
      <c r="M452" s="114">
        <v>156.19999999999999</v>
      </c>
      <c r="N452" s="114">
        <v>0.03</v>
      </c>
      <c r="O452" s="114">
        <v>58.7</v>
      </c>
      <c r="P452" s="114">
        <v>0</v>
      </c>
      <c r="Q452" s="114">
        <v>140</v>
      </c>
      <c r="R452" s="114" t="s">
        <v>45</v>
      </c>
      <c r="S452" s="114"/>
    </row>
    <row r="453" spans="1:19" ht="15" x14ac:dyDescent="0.25">
      <c r="A453" s="7">
        <v>2012</v>
      </c>
      <c r="B453" s="115">
        <v>41124</v>
      </c>
      <c r="C453" s="114" t="s">
        <v>35</v>
      </c>
      <c r="D453" s="114" t="s">
        <v>2</v>
      </c>
      <c r="E453" s="114" t="s">
        <v>32</v>
      </c>
      <c r="F453" s="114" t="s">
        <v>3</v>
      </c>
      <c r="G453" s="30" t="s">
        <v>42</v>
      </c>
      <c r="H453" s="10" t="s">
        <v>55</v>
      </c>
      <c r="I453" s="114" t="s">
        <v>60</v>
      </c>
      <c r="J453" s="113">
        <v>0.45962962962962961</v>
      </c>
      <c r="K453" s="114">
        <v>159.5</v>
      </c>
      <c r="L453" s="114">
        <v>0.03</v>
      </c>
      <c r="M453" s="114">
        <v>156.19999999999999</v>
      </c>
      <c r="N453" s="114">
        <v>0.05</v>
      </c>
      <c r="O453" s="114">
        <v>58.7</v>
      </c>
      <c r="P453" s="114">
        <v>0</v>
      </c>
      <c r="Q453" s="114">
        <v>155</v>
      </c>
      <c r="R453" s="114" t="s">
        <v>45</v>
      </c>
      <c r="S453" s="114"/>
    </row>
    <row r="454" spans="1:19" ht="15" x14ac:dyDescent="0.25">
      <c r="A454" s="7">
        <v>2012</v>
      </c>
      <c r="B454" s="115">
        <v>41124</v>
      </c>
      <c r="C454" s="114" t="s">
        <v>35</v>
      </c>
      <c r="D454" s="114" t="s">
        <v>2</v>
      </c>
      <c r="E454" s="114" t="s">
        <v>32</v>
      </c>
      <c r="F454" s="114" t="s">
        <v>3</v>
      </c>
      <c r="G454" s="30" t="s">
        <v>42</v>
      </c>
      <c r="H454" s="10" t="s">
        <v>55</v>
      </c>
      <c r="I454" s="114" t="s">
        <v>60</v>
      </c>
      <c r="J454" s="113">
        <v>0.46098379629629632</v>
      </c>
      <c r="K454" s="114">
        <v>4.9000000000000004</v>
      </c>
      <c r="L454" s="114">
        <v>0.7</v>
      </c>
      <c r="M454" s="114">
        <v>156.19999999999999</v>
      </c>
      <c r="N454" s="114">
        <v>0.03</v>
      </c>
      <c r="O454" s="114">
        <v>58.6</v>
      </c>
      <c r="P454" s="114">
        <v>5.6</v>
      </c>
      <c r="Q454" s="114">
        <v>5</v>
      </c>
      <c r="R454" s="114" t="s">
        <v>45</v>
      </c>
      <c r="S454" s="114"/>
    </row>
    <row r="455" spans="1:19" ht="15" x14ac:dyDescent="0.25">
      <c r="A455" s="7">
        <v>2012</v>
      </c>
      <c r="B455" s="115">
        <v>41124</v>
      </c>
      <c r="C455" s="114" t="s">
        <v>35</v>
      </c>
      <c r="D455" s="114" t="s">
        <v>2</v>
      </c>
      <c r="E455" s="114" t="s">
        <v>32</v>
      </c>
      <c r="F455" s="114" t="s">
        <v>3</v>
      </c>
      <c r="G455" s="30" t="s">
        <v>42</v>
      </c>
      <c r="H455" s="10" t="s">
        <v>55</v>
      </c>
      <c r="I455" s="114" t="s">
        <v>60</v>
      </c>
      <c r="J455" s="113">
        <v>0.46134259259259264</v>
      </c>
      <c r="K455" s="114">
        <v>12.5</v>
      </c>
      <c r="L455" s="114">
        <v>0.43</v>
      </c>
      <c r="M455" s="114">
        <v>156.19999999999999</v>
      </c>
      <c r="N455" s="114">
        <v>0.03</v>
      </c>
      <c r="O455" s="114">
        <v>58.5</v>
      </c>
      <c r="P455" s="114">
        <v>3.8</v>
      </c>
      <c r="Q455" s="114">
        <v>20</v>
      </c>
      <c r="R455" s="114" t="s">
        <v>45</v>
      </c>
      <c r="S455" s="114"/>
    </row>
    <row r="456" spans="1:19" ht="15" x14ac:dyDescent="0.25">
      <c r="A456" s="7">
        <v>2012</v>
      </c>
      <c r="B456" s="115">
        <v>41124</v>
      </c>
      <c r="C456" s="114" t="s">
        <v>35</v>
      </c>
      <c r="D456" s="114" t="s">
        <v>2</v>
      </c>
      <c r="E456" s="114" t="s">
        <v>32</v>
      </c>
      <c r="F456" s="114" t="s">
        <v>3</v>
      </c>
      <c r="G456" s="30" t="s">
        <v>42</v>
      </c>
      <c r="H456" s="10" t="s">
        <v>55</v>
      </c>
      <c r="I456" s="114" t="s">
        <v>60</v>
      </c>
      <c r="J456" s="113">
        <v>0.46155092592592589</v>
      </c>
      <c r="K456" s="114">
        <v>15.6</v>
      </c>
      <c r="L456" s="114">
        <v>0.37</v>
      </c>
      <c r="M456" s="114">
        <v>155</v>
      </c>
      <c r="N456" s="114">
        <v>0.04</v>
      </c>
      <c r="O456" s="114">
        <v>58.5</v>
      </c>
      <c r="P456" s="114">
        <v>3.4</v>
      </c>
      <c r="Q456" s="114">
        <v>35</v>
      </c>
      <c r="R456" s="114" t="s">
        <v>45</v>
      </c>
      <c r="S456" s="114"/>
    </row>
    <row r="457" spans="1:19" ht="15" x14ac:dyDescent="0.25">
      <c r="A457" s="7">
        <v>2012</v>
      </c>
      <c r="B457" s="115">
        <v>41124</v>
      </c>
      <c r="C457" s="114" t="s">
        <v>35</v>
      </c>
      <c r="D457" s="114" t="s">
        <v>2</v>
      </c>
      <c r="E457" s="114" t="s">
        <v>32</v>
      </c>
      <c r="F457" s="114" t="s">
        <v>3</v>
      </c>
      <c r="G457" s="30" t="s">
        <v>42</v>
      </c>
      <c r="H457" s="10" t="s">
        <v>55</v>
      </c>
      <c r="I457" s="114" t="s">
        <v>60</v>
      </c>
      <c r="J457" s="113">
        <v>0.46174768518518516</v>
      </c>
      <c r="K457" s="114">
        <v>22</v>
      </c>
      <c r="L457" s="114">
        <v>0.2</v>
      </c>
      <c r="M457" s="114">
        <v>153.80000000000001</v>
      </c>
      <c r="N457" s="114">
        <v>0.03</v>
      </c>
      <c r="O457" s="114">
        <v>58.5</v>
      </c>
      <c r="P457" s="114">
        <v>2.8</v>
      </c>
      <c r="Q457" s="114">
        <v>50</v>
      </c>
      <c r="R457" s="114" t="s">
        <v>45</v>
      </c>
      <c r="S457" s="114"/>
    </row>
    <row r="458" spans="1:19" ht="15" x14ac:dyDescent="0.25">
      <c r="A458" s="7">
        <v>2012</v>
      </c>
      <c r="B458" s="115">
        <v>41124</v>
      </c>
      <c r="C458" s="114" t="s">
        <v>35</v>
      </c>
      <c r="D458" s="114" t="s">
        <v>2</v>
      </c>
      <c r="E458" s="114" t="s">
        <v>32</v>
      </c>
      <c r="F458" s="114" t="s">
        <v>3</v>
      </c>
      <c r="G458" s="30" t="s">
        <v>42</v>
      </c>
      <c r="H458" s="10" t="s">
        <v>55</v>
      </c>
      <c r="I458" s="114" t="s">
        <v>60</v>
      </c>
      <c r="J458" s="113">
        <v>0.46204861111111112</v>
      </c>
      <c r="K458" s="114">
        <v>25.5</v>
      </c>
      <c r="L458" s="114">
        <v>0.31</v>
      </c>
      <c r="M458" s="114">
        <v>153.80000000000001</v>
      </c>
      <c r="N458" s="114">
        <v>0.03</v>
      </c>
      <c r="O458" s="114">
        <v>58.5</v>
      </c>
      <c r="P458" s="114">
        <v>2.6</v>
      </c>
      <c r="Q458" s="114">
        <v>65</v>
      </c>
      <c r="R458" s="114" t="s">
        <v>45</v>
      </c>
      <c r="S458" s="114"/>
    </row>
    <row r="459" spans="1:19" ht="15" x14ac:dyDescent="0.25">
      <c r="A459" s="7">
        <v>2012</v>
      </c>
      <c r="B459" s="115">
        <v>41124</v>
      </c>
      <c r="C459" s="114" t="s">
        <v>35</v>
      </c>
      <c r="D459" s="114" t="s">
        <v>2</v>
      </c>
      <c r="E459" s="114" t="s">
        <v>32</v>
      </c>
      <c r="F459" s="114" t="s">
        <v>3</v>
      </c>
      <c r="G459" s="30" t="s">
        <v>42</v>
      </c>
      <c r="H459" s="10" t="s">
        <v>55</v>
      </c>
      <c r="I459" s="114" t="s">
        <v>60</v>
      </c>
      <c r="J459" s="113">
        <v>0.46219907407407407</v>
      </c>
      <c r="K459" s="114">
        <v>39.200000000000003</v>
      </c>
      <c r="L459" s="114">
        <v>0.23</v>
      </c>
      <c r="M459" s="114">
        <v>156.19999999999999</v>
      </c>
      <c r="N459" s="114">
        <v>0.05</v>
      </c>
      <c r="O459" s="114">
        <v>58.5</v>
      </c>
      <c r="P459" s="114">
        <v>1.9</v>
      </c>
      <c r="Q459" s="114">
        <v>80</v>
      </c>
      <c r="R459" s="114" t="s">
        <v>45</v>
      </c>
      <c r="S459" s="114"/>
    </row>
    <row r="460" spans="1:19" ht="15" x14ac:dyDescent="0.25">
      <c r="A460" s="7">
        <v>2012</v>
      </c>
      <c r="B460" s="115">
        <v>41124</v>
      </c>
      <c r="C460" s="114" t="s">
        <v>35</v>
      </c>
      <c r="D460" s="114" t="s">
        <v>2</v>
      </c>
      <c r="E460" s="114" t="s">
        <v>32</v>
      </c>
      <c r="F460" s="114" t="s">
        <v>3</v>
      </c>
      <c r="G460" s="30" t="s">
        <v>42</v>
      </c>
      <c r="H460" s="10" t="s">
        <v>55</v>
      </c>
      <c r="I460" s="114" t="s">
        <v>60</v>
      </c>
      <c r="J460" s="113">
        <v>0.46244212962962966</v>
      </c>
      <c r="K460" s="114">
        <v>65.8</v>
      </c>
      <c r="L460" s="114">
        <v>0.28999999999999998</v>
      </c>
      <c r="M460" s="114">
        <v>161.1</v>
      </c>
      <c r="N460" s="114">
        <v>0.05</v>
      </c>
      <c r="O460" s="114">
        <v>58.4</v>
      </c>
      <c r="P460" s="114">
        <v>1.2</v>
      </c>
      <c r="Q460" s="114">
        <v>95</v>
      </c>
      <c r="R460" s="114" t="s">
        <v>45</v>
      </c>
      <c r="S460" s="114"/>
    </row>
    <row r="461" spans="1:19" ht="15" x14ac:dyDescent="0.25">
      <c r="A461" s="7">
        <v>2012</v>
      </c>
      <c r="B461" s="115">
        <v>41124</v>
      </c>
      <c r="C461" s="114" t="s">
        <v>35</v>
      </c>
      <c r="D461" s="114" t="s">
        <v>2</v>
      </c>
      <c r="E461" s="114" t="s">
        <v>32</v>
      </c>
      <c r="F461" s="114" t="s">
        <v>3</v>
      </c>
      <c r="G461" s="30" t="s">
        <v>42</v>
      </c>
      <c r="H461" s="10" t="s">
        <v>55</v>
      </c>
      <c r="I461" s="114" t="s">
        <v>60</v>
      </c>
      <c r="J461" s="113">
        <v>0.46262731481481478</v>
      </c>
      <c r="K461" s="114">
        <v>113.2</v>
      </c>
      <c r="L461" s="114">
        <v>0.2</v>
      </c>
      <c r="M461" s="114">
        <v>162.4</v>
      </c>
      <c r="N461" s="114">
        <v>0.04</v>
      </c>
      <c r="O461" s="114">
        <v>58.4</v>
      </c>
      <c r="P461" s="114">
        <v>0.4</v>
      </c>
      <c r="Q461" s="114">
        <v>110</v>
      </c>
      <c r="R461" s="114" t="s">
        <v>45</v>
      </c>
      <c r="S461" s="114"/>
    </row>
    <row r="462" spans="1:19" ht="15" x14ac:dyDescent="0.25">
      <c r="A462" s="7">
        <v>2012</v>
      </c>
      <c r="B462" s="115">
        <v>41124</v>
      </c>
      <c r="C462" s="114" t="s">
        <v>35</v>
      </c>
      <c r="D462" s="114" t="s">
        <v>2</v>
      </c>
      <c r="E462" s="114" t="s">
        <v>32</v>
      </c>
      <c r="F462" s="114" t="s">
        <v>3</v>
      </c>
      <c r="G462" s="30" t="s">
        <v>42</v>
      </c>
      <c r="H462" s="10" t="s">
        <v>55</v>
      </c>
      <c r="I462" s="114" t="s">
        <v>60</v>
      </c>
      <c r="J462" s="113">
        <v>0.46282407407407411</v>
      </c>
      <c r="K462" s="114">
        <v>161.69999999999999</v>
      </c>
      <c r="L462" s="114">
        <v>0.04</v>
      </c>
      <c r="M462" s="114">
        <v>170.9</v>
      </c>
      <c r="N462" s="114">
        <v>0.04</v>
      </c>
      <c r="O462" s="114">
        <v>58.4</v>
      </c>
      <c r="P462" s="114">
        <v>0.1</v>
      </c>
      <c r="Q462" s="114">
        <v>125</v>
      </c>
      <c r="R462" s="114" t="s">
        <v>45</v>
      </c>
      <c r="S462" s="114"/>
    </row>
    <row r="463" spans="1:19" ht="15" x14ac:dyDescent="0.25">
      <c r="A463" s="7">
        <v>2012</v>
      </c>
      <c r="B463" s="115">
        <v>41124</v>
      </c>
      <c r="C463" s="114" t="s">
        <v>35</v>
      </c>
      <c r="D463" s="114" t="s">
        <v>2</v>
      </c>
      <c r="E463" s="114" t="s">
        <v>32</v>
      </c>
      <c r="F463" s="114" t="s">
        <v>3</v>
      </c>
      <c r="G463" s="30" t="s">
        <v>42</v>
      </c>
      <c r="H463" s="10" t="s">
        <v>55</v>
      </c>
      <c r="I463" s="114" t="s">
        <v>60</v>
      </c>
      <c r="J463" s="113">
        <v>0.46311342592592591</v>
      </c>
      <c r="K463" s="114">
        <v>190.8</v>
      </c>
      <c r="L463" s="114">
        <v>0.03</v>
      </c>
      <c r="M463" s="114">
        <v>185.5</v>
      </c>
      <c r="N463" s="114">
        <v>0.03</v>
      </c>
      <c r="O463" s="114">
        <v>58.4</v>
      </c>
      <c r="P463" s="114">
        <v>0</v>
      </c>
      <c r="Q463" s="114">
        <v>140</v>
      </c>
      <c r="R463" s="114" t="s">
        <v>45</v>
      </c>
      <c r="S463" s="114"/>
    </row>
    <row r="464" spans="1:19" ht="15" x14ac:dyDescent="0.25">
      <c r="A464" s="7">
        <v>2012</v>
      </c>
      <c r="B464" s="115">
        <v>41124</v>
      </c>
      <c r="C464" s="114" t="s">
        <v>35</v>
      </c>
      <c r="D464" s="114" t="s">
        <v>2</v>
      </c>
      <c r="E464" s="114" t="s">
        <v>32</v>
      </c>
      <c r="F464" s="114" t="s">
        <v>3</v>
      </c>
      <c r="G464" s="30" t="s">
        <v>42</v>
      </c>
      <c r="H464" s="10" t="s">
        <v>55</v>
      </c>
      <c r="I464" s="114" t="s">
        <v>60</v>
      </c>
      <c r="J464" s="113">
        <v>0.46439814814814812</v>
      </c>
      <c r="K464" s="114">
        <v>7.2</v>
      </c>
      <c r="L464" s="114">
        <v>0.78</v>
      </c>
      <c r="M464" s="114">
        <v>178.2</v>
      </c>
      <c r="N464" s="114">
        <v>0.03</v>
      </c>
      <c r="O464" s="114">
        <v>58.2</v>
      </c>
      <c r="P464" s="114">
        <v>5.0999999999999996</v>
      </c>
      <c r="Q464" s="114">
        <v>5</v>
      </c>
      <c r="R464" s="114" t="s">
        <v>45</v>
      </c>
      <c r="S464" s="114"/>
    </row>
    <row r="465" spans="1:19" ht="15" x14ac:dyDescent="0.25">
      <c r="A465" s="7">
        <v>2012</v>
      </c>
      <c r="B465" s="115">
        <v>41124</v>
      </c>
      <c r="C465" s="114" t="s">
        <v>35</v>
      </c>
      <c r="D465" s="114" t="s">
        <v>2</v>
      </c>
      <c r="E465" s="114" t="s">
        <v>32</v>
      </c>
      <c r="F465" s="114" t="s">
        <v>3</v>
      </c>
      <c r="G465" s="30" t="s">
        <v>42</v>
      </c>
      <c r="H465" s="10" t="s">
        <v>55</v>
      </c>
      <c r="I465" s="114" t="s">
        <v>60</v>
      </c>
      <c r="J465" s="113">
        <v>0.46460648148148148</v>
      </c>
      <c r="K465" s="114">
        <v>15.4</v>
      </c>
      <c r="L465" s="114">
        <v>0.4</v>
      </c>
      <c r="M465" s="114">
        <v>178.2</v>
      </c>
      <c r="N465" s="114">
        <v>0.03</v>
      </c>
      <c r="O465" s="114">
        <v>58.2</v>
      </c>
      <c r="P465" s="114">
        <v>3.7</v>
      </c>
      <c r="Q465" s="114">
        <v>20</v>
      </c>
      <c r="R465" s="114" t="s">
        <v>45</v>
      </c>
      <c r="S465" s="114"/>
    </row>
    <row r="466" spans="1:19" ht="15" x14ac:dyDescent="0.25">
      <c r="A466" s="7">
        <v>2012</v>
      </c>
      <c r="B466" s="115">
        <v>41124</v>
      </c>
      <c r="C466" s="114" t="s">
        <v>35</v>
      </c>
      <c r="D466" s="114" t="s">
        <v>2</v>
      </c>
      <c r="E466" s="114" t="s">
        <v>32</v>
      </c>
      <c r="F466" s="114" t="s">
        <v>3</v>
      </c>
      <c r="G466" s="30" t="s">
        <v>42</v>
      </c>
      <c r="H466" s="10" t="s">
        <v>55</v>
      </c>
      <c r="I466" s="114" t="s">
        <v>60</v>
      </c>
      <c r="J466" s="113">
        <v>0.46519675925925924</v>
      </c>
      <c r="K466" s="114">
        <v>19.3</v>
      </c>
      <c r="L466" s="114">
        <v>0.39</v>
      </c>
      <c r="M466" s="114">
        <v>178.2</v>
      </c>
      <c r="N466" s="114">
        <v>0.03</v>
      </c>
      <c r="O466" s="114">
        <v>58.1</v>
      </c>
      <c r="P466" s="114">
        <v>3.3</v>
      </c>
      <c r="Q466" s="114">
        <v>35</v>
      </c>
      <c r="R466" s="114" t="s">
        <v>45</v>
      </c>
      <c r="S466" s="114"/>
    </row>
    <row r="467" spans="1:19" ht="15" x14ac:dyDescent="0.25">
      <c r="A467" s="7">
        <v>2012</v>
      </c>
      <c r="B467" s="115">
        <v>41124</v>
      </c>
      <c r="C467" s="114" t="s">
        <v>35</v>
      </c>
      <c r="D467" s="114" t="s">
        <v>2</v>
      </c>
      <c r="E467" s="114" t="s">
        <v>32</v>
      </c>
      <c r="F467" s="114" t="s">
        <v>3</v>
      </c>
      <c r="G467" s="30" t="s">
        <v>42</v>
      </c>
      <c r="H467" s="10" t="s">
        <v>55</v>
      </c>
      <c r="I467" s="114" t="s">
        <v>60</v>
      </c>
      <c r="J467" s="113">
        <v>0.4656481481481482</v>
      </c>
      <c r="K467" s="114">
        <v>28.9</v>
      </c>
      <c r="L467" s="114">
        <v>0.23</v>
      </c>
      <c r="M467" s="114">
        <v>183.1</v>
      </c>
      <c r="N467" s="114">
        <v>0.03</v>
      </c>
      <c r="O467" s="114">
        <v>58.1</v>
      </c>
      <c r="P467" s="114">
        <v>2.7</v>
      </c>
      <c r="Q467" s="114">
        <v>50</v>
      </c>
      <c r="R467" s="114" t="s">
        <v>45</v>
      </c>
      <c r="S467" s="114"/>
    </row>
    <row r="468" spans="1:19" ht="15" x14ac:dyDescent="0.25">
      <c r="A468" s="7">
        <v>2012</v>
      </c>
      <c r="B468" s="115">
        <v>41124</v>
      </c>
      <c r="C468" s="114" t="s">
        <v>35</v>
      </c>
      <c r="D468" s="114" t="s">
        <v>2</v>
      </c>
      <c r="E468" s="114" t="s">
        <v>32</v>
      </c>
      <c r="F468" s="114" t="s">
        <v>3</v>
      </c>
      <c r="G468" s="30" t="s">
        <v>42</v>
      </c>
      <c r="H468" s="10" t="s">
        <v>55</v>
      </c>
      <c r="I468" s="114" t="s">
        <v>60</v>
      </c>
      <c r="J468" s="113">
        <v>0.46593749999999995</v>
      </c>
      <c r="K468" s="114">
        <v>41.1</v>
      </c>
      <c r="L468" s="114">
        <v>0.36</v>
      </c>
      <c r="M468" s="114">
        <v>190.4</v>
      </c>
      <c r="N468" s="114">
        <v>0.03</v>
      </c>
      <c r="O468" s="114">
        <v>58.1</v>
      </c>
      <c r="P468" s="114">
        <v>2.2000000000000002</v>
      </c>
      <c r="Q468" s="114">
        <v>65</v>
      </c>
      <c r="R468" s="114" t="s">
        <v>45</v>
      </c>
      <c r="S468" s="114"/>
    </row>
    <row r="469" spans="1:19" ht="15" x14ac:dyDescent="0.25">
      <c r="A469" s="7">
        <v>2012</v>
      </c>
      <c r="B469" s="115">
        <v>41124</v>
      </c>
      <c r="C469" s="114" t="s">
        <v>35</v>
      </c>
      <c r="D469" s="114" t="s">
        <v>2</v>
      </c>
      <c r="E469" s="114" t="s">
        <v>32</v>
      </c>
      <c r="F469" s="114" t="s">
        <v>3</v>
      </c>
      <c r="G469" s="30" t="s">
        <v>42</v>
      </c>
      <c r="H469" s="10" t="s">
        <v>55</v>
      </c>
      <c r="I469" s="114" t="s">
        <v>60</v>
      </c>
      <c r="J469" s="113">
        <v>0.46620370370370368</v>
      </c>
      <c r="K469" s="114">
        <v>46.9</v>
      </c>
      <c r="L469" s="114">
        <v>0.39</v>
      </c>
      <c r="M469" s="114">
        <v>195.3</v>
      </c>
      <c r="N469" s="114">
        <v>0.03</v>
      </c>
      <c r="O469" s="114">
        <v>58</v>
      </c>
      <c r="P469" s="114">
        <v>2</v>
      </c>
      <c r="Q469" s="114">
        <v>80</v>
      </c>
      <c r="R469" s="114" t="s">
        <v>45</v>
      </c>
      <c r="S469" s="114"/>
    </row>
    <row r="470" spans="1:19" ht="15" x14ac:dyDescent="0.25">
      <c r="A470" s="7">
        <v>2012</v>
      </c>
      <c r="B470" s="115">
        <v>41124</v>
      </c>
      <c r="C470" s="114" t="s">
        <v>35</v>
      </c>
      <c r="D470" s="114" t="s">
        <v>2</v>
      </c>
      <c r="E470" s="114" t="s">
        <v>32</v>
      </c>
      <c r="F470" s="114" t="s">
        <v>3</v>
      </c>
      <c r="G470" s="30" t="s">
        <v>42</v>
      </c>
      <c r="H470" s="10" t="s">
        <v>55</v>
      </c>
      <c r="I470" s="114" t="s">
        <v>60</v>
      </c>
      <c r="J470" s="113">
        <v>0.46638888888888891</v>
      </c>
      <c r="K470" s="114">
        <v>102.1</v>
      </c>
      <c r="L470" s="114">
        <v>0.34</v>
      </c>
      <c r="M470" s="114">
        <v>202.6</v>
      </c>
      <c r="N470" s="114">
        <v>0.02</v>
      </c>
      <c r="O470" s="114">
        <v>58</v>
      </c>
      <c r="P470" s="114">
        <v>0.9</v>
      </c>
      <c r="Q470" s="114">
        <v>95</v>
      </c>
      <c r="R470" s="114" t="s">
        <v>45</v>
      </c>
      <c r="S470" s="114"/>
    </row>
    <row r="471" spans="1:19" ht="15" x14ac:dyDescent="0.25">
      <c r="A471" s="7">
        <v>2012</v>
      </c>
      <c r="B471" s="115">
        <v>41124</v>
      </c>
      <c r="C471" s="114" t="s">
        <v>35</v>
      </c>
      <c r="D471" s="114" t="s">
        <v>2</v>
      </c>
      <c r="E471" s="114" t="s">
        <v>32</v>
      </c>
      <c r="F471" s="114" t="s">
        <v>3</v>
      </c>
      <c r="G471" s="30" t="s">
        <v>42</v>
      </c>
      <c r="H471" s="10" t="s">
        <v>55</v>
      </c>
      <c r="I471" s="114" t="s">
        <v>60</v>
      </c>
      <c r="J471" s="113">
        <v>0.46662037037037035</v>
      </c>
      <c r="K471" s="114">
        <v>150.5</v>
      </c>
      <c r="L471" s="114">
        <v>0.26</v>
      </c>
      <c r="M471" s="114">
        <v>216.1</v>
      </c>
      <c r="N471" s="114">
        <v>0.03</v>
      </c>
      <c r="O471" s="114">
        <v>58</v>
      </c>
      <c r="P471" s="114">
        <v>0.4</v>
      </c>
      <c r="Q471" s="114">
        <v>110</v>
      </c>
      <c r="R471" s="114" t="s">
        <v>45</v>
      </c>
      <c r="S471" s="114"/>
    </row>
    <row r="472" spans="1:19" ht="15" x14ac:dyDescent="0.25">
      <c r="A472" s="7">
        <v>2012</v>
      </c>
      <c r="B472" s="115">
        <v>41124</v>
      </c>
      <c r="C472" s="114" t="s">
        <v>35</v>
      </c>
      <c r="D472" s="114" t="s">
        <v>2</v>
      </c>
      <c r="E472" s="114" t="s">
        <v>32</v>
      </c>
      <c r="F472" s="114" t="s">
        <v>3</v>
      </c>
      <c r="G472" s="30" t="s">
        <v>42</v>
      </c>
      <c r="H472" s="10" t="s">
        <v>55</v>
      </c>
      <c r="I472" s="114" t="s">
        <v>60</v>
      </c>
      <c r="J472" s="113">
        <v>0.46681712962962968</v>
      </c>
      <c r="K472" s="114">
        <v>229.3</v>
      </c>
      <c r="L472" s="114">
        <v>0.04</v>
      </c>
      <c r="M472" s="114">
        <v>231.9</v>
      </c>
      <c r="N472" s="114">
        <v>0.02</v>
      </c>
      <c r="O472" s="114">
        <v>58</v>
      </c>
      <c r="P472" s="114">
        <v>0</v>
      </c>
      <c r="Q472" s="114">
        <v>125</v>
      </c>
      <c r="R472" s="114" t="s">
        <v>45</v>
      </c>
      <c r="S472" s="114"/>
    </row>
    <row r="473" spans="1:19" ht="15" x14ac:dyDescent="0.25">
      <c r="A473" s="7">
        <v>2012</v>
      </c>
      <c r="B473" s="115">
        <v>41124</v>
      </c>
      <c r="C473" s="114" t="s">
        <v>35</v>
      </c>
      <c r="D473" s="114" t="s">
        <v>2</v>
      </c>
      <c r="E473" s="114" t="s">
        <v>32</v>
      </c>
      <c r="F473" s="114" t="s">
        <v>3</v>
      </c>
      <c r="G473" s="30" t="s">
        <v>42</v>
      </c>
      <c r="H473" s="10" t="s">
        <v>55</v>
      </c>
      <c r="I473" s="114" t="s">
        <v>60</v>
      </c>
      <c r="J473" s="113">
        <v>0.46708333333333335</v>
      </c>
      <c r="K473" s="114">
        <v>264.5</v>
      </c>
      <c r="L473" s="114">
        <v>0.04</v>
      </c>
      <c r="M473" s="114">
        <v>261.2</v>
      </c>
      <c r="N473" s="114">
        <v>0.02</v>
      </c>
      <c r="O473" s="114">
        <v>58</v>
      </c>
      <c r="P473" s="114">
        <v>0</v>
      </c>
      <c r="Q473" s="114">
        <v>140</v>
      </c>
      <c r="R473" s="114" t="s">
        <v>45</v>
      </c>
      <c r="S473" s="114"/>
    </row>
    <row r="474" spans="1:19" ht="15" x14ac:dyDescent="0.25">
      <c r="A474" s="7">
        <v>2012</v>
      </c>
      <c r="B474" s="115">
        <v>41134</v>
      </c>
      <c r="C474" s="114" t="s">
        <v>35</v>
      </c>
      <c r="D474" s="114" t="s">
        <v>2</v>
      </c>
      <c r="E474" s="114" t="s">
        <v>32</v>
      </c>
      <c r="F474" s="114" t="s">
        <v>3</v>
      </c>
      <c r="G474" s="30" t="s">
        <v>42</v>
      </c>
      <c r="H474" s="10" t="s">
        <v>55</v>
      </c>
      <c r="I474" s="114" t="s">
        <v>60</v>
      </c>
      <c r="J474" s="113">
        <v>0.56041666666666667</v>
      </c>
      <c r="K474" s="114">
        <v>74.400000000000006</v>
      </c>
      <c r="L474" s="114">
        <v>0.56000000000000005</v>
      </c>
      <c r="M474" s="114">
        <v>1195.2</v>
      </c>
      <c r="N474" s="114">
        <v>0.75</v>
      </c>
      <c r="O474" s="114">
        <v>54.6</v>
      </c>
      <c r="P474" s="114">
        <v>3.7</v>
      </c>
      <c r="Q474" s="114">
        <v>5</v>
      </c>
      <c r="R474" s="114" t="s">
        <v>48</v>
      </c>
      <c r="S474" s="114">
        <v>1</v>
      </c>
    </row>
    <row r="475" spans="1:19" ht="15" x14ac:dyDescent="0.25">
      <c r="A475" s="7">
        <v>2012</v>
      </c>
      <c r="B475" s="115">
        <v>41134</v>
      </c>
      <c r="C475" s="114" t="s">
        <v>35</v>
      </c>
      <c r="D475" s="114" t="s">
        <v>2</v>
      </c>
      <c r="E475" s="114" t="s">
        <v>32</v>
      </c>
      <c r="F475" s="114" t="s">
        <v>3</v>
      </c>
      <c r="G475" s="30" t="s">
        <v>42</v>
      </c>
      <c r="H475" s="10" t="s">
        <v>55</v>
      </c>
      <c r="I475" s="114" t="s">
        <v>60</v>
      </c>
      <c r="J475" s="113">
        <v>0.56125000000000003</v>
      </c>
      <c r="K475" s="114">
        <v>1203.4000000000001</v>
      </c>
      <c r="L475" s="114">
        <v>0.02</v>
      </c>
      <c r="M475" s="114">
        <v>1195.2</v>
      </c>
      <c r="N475" s="114">
        <v>0.75</v>
      </c>
      <c r="O475" s="114">
        <v>54.6</v>
      </c>
      <c r="P475" s="114">
        <v>0</v>
      </c>
      <c r="Q475" s="114" t="s">
        <v>61</v>
      </c>
      <c r="R475" s="114" t="s">
        <v>48</v>
      </c>
      <c r="S475" s="114">
        <v>1</v>
      </c>
    </row>
    <row r="476" spans="1:19" ht="15" x14ac:dyDescent="0.25">
      <c r="A476" s="7">
        <v>2012</v>
      </c>
      <c r="B476" s="115">
        <v>41134</v>
      </c>
      <c r="C476" s="114" t="s">
        <v>35</v>
      </c>
      <c r="D476" s="114" t="s">
        <v>2</v>
      </c>
      <c r="E476" s="114" t="s">
        <v>32</v>
      </c>
      <c r="F476" s="114" t="s">
        <v>3</v>
      </c>
      <c r="G476" s="30" t="s">
        <v>42</v>
      </c>
      <c r="H476" s="10" t="s">
        <v>55</v>
      </c>
      <c r="I476" s="114" t="s">
        <v>60</v>
      </c>
      <c r="J476" s="113">
        <v>0.56209490740740742</v>
      </c>
      <c r="K476" s="114">
        <v>75</v>
      </c>
      <c r="L476" s="114">
        <v>0.35</v>
      </c>
      <c r="M476" s="114">
        <v>1219.2</v>
      </c>
      <c r="N476" s="114">
        <v>0.75</v>
      </c>
      <c r="O476" s="114">
        <v>54.6</v>
      </c>
      <c r="P476" s="114">
        <v>3.7</v>
      </c>
      <c r="Q476" s="114">
        <v>20</v>
      </c>
      <c r="R476" s="114" t="s">
        <v>48</v>
      </c>
      <c r="S476" s="114">
        <v>1</v>
      </c>
    </row>
    <row r="477" spans="1:19" ht="15" x14ac:dyDescent="0.25">
      <c r="A477" s="7">
        <v>2012</v>
      </c>
      <c r="B477" s="115">
        <v>41134</v>
      </c>
      <c r="C477" s="114" t="s">
        <v>35</v>
      </c>
      <c r="D477" s="114" t="s">
        <v>2</v>
      </c>
      <c r="E477" s="114" t="s">
        <v>32</v>
      </c>
      <c r="F477" s="114" t="s">
        <v>3</v>
      </c>
      <c r="G477" s="30" t="s">
        <v>42</v>
      </c>
      <c r="H477" s="10" t="s">
        <v>55</v>
      </c>
      <c r="I477" s="114" t="s">
        <v>60</v>
      </c>
      <c r="J477" s="113">
        <v>0.56292824074074077</v>
      </c>
      <c r="K477" s="114">
        <v>60.3</v>
      </c>
      <c r="L477" s="114">
        <v>0.31</v>
      </c>
      <c r="M477" s="114">
        <v>1184.4000000000001</v>
      </c>
      <c r="N477" s="114">
        <v>0.75</v>
      </c>
      <c r="O477" s="114">
        <v>54.5</v>
      </c>
      <c r="P477" s="114">
        <v>4</v>
      </c>
      <c r="Q477" s="114" t="s">
        <v>62</v>
      </c>
      <c r="R477" s="114" t="s">
        <v>48</v>
      </c>
      <c r="S477" s="114">
        <v>1</v>
      </c>
    </row>
    <row r="478" spans="1:19" ht="15" x14ac:dyDescent="0.25">
      <c r="A478" s="7">
        <v>2012</v>
      </c>
      <c r="B478" s="115">
        <v>41134</v>
      </c>
      <c r="C478" s="114" t="s">
        <v>35</v>
      </c>
      <c r="D478" s="114" t="s">
        <v>2</v>
      </c>
      <c r="E478" s="114" t="s">
        <v>32</v>
      </c>
      <c r="F478" s="114" t="s">
        <v>3</v>
      </c>
      <c r="G478" s="30" t="s">
        <v>42</v>
      </c>
      <c r="H478" s="10" t="s">
        <v>55</v>
      </c>
      <c r="I478" s="114" t="s">
        <v>60</v>
      </c>
      <c r="J478" s="113">
        <v>0.56410879629629629</v>
      </c>
      <c r="K478" s="114">
        <v>69.099999999999994</v>
      </c>
      <c r="L478" s="114">
        <v>0.37</v>
      </c>
      <c r="M478" s="114">
        <v>1184.4000000000001</v>
      </c>
      <c r="N478" s="114">
        <v>0.75</v>
      </c>
      <c r="O478" s="114">
        <v>54.5</v>
      </c>
      <c r="P478" s="114">
        <v>3.8</v>
      </c>
      <c r="Q478" s="114">
        <v>35</v>
      </c>
      <c r="R478" s="114" t="s">
        <v>48</v>
      </c>
      <c r="S478" s="114">
        <v>1</v>
      </c>
    </row>
    <row r="479" spans="1:19" ht="15" x14ac:dyDescent="0.25">
      <c r="A479" s="7">
        <v>2012</v>
      </c>
      <c r="B479" s="115">
        <v>41134</v>
      </c>
      <c r="C479" s="114" t="s">
        <v>35</v>
      </c>
      <c r="D479" s="114" t="s">
        <v>2</v>
      </c>
      <c r="E479" s="114" t="s">
        <v>32</v>
      </c>
      <c r="F479" s="114" t="s">
        <v>3</v>
      </c>
      <c r="G479" s="30" t="s">
        <v>42</v>
      </c>
      <c r="H479" s="10" t="s">
        <v>55</v>
      </c>
      <c r="I479" s="114" t="s">
        <v>60</v>
      </c>
      <c r="J479" s="113">
        <v>0.56753472222222223</v>
      </c>
      <c r="K479" s="114">
        <v>97.2</v>
      </c>
      <c r="L479" s="114">
        <v>0.56999999999999995</v>
      </c>
      <c r="M479" s="114">
        <v>1240.5</v>
      </c>
      <c r="N479" s="114">
        <v>0.79</v>
      </c>
      <c r="O479" s="114">
        <v>54.5</v>
      </c>
      <c r="P479" s="114">
        <v>3.4</v>
      </c>
      <c r="Q479" s="114">
        <v>50</v>
      </c>
      <c r="R479" s="114" t="s">
        <v>48</v>
      </c>
      <c r="S479" s="114">
        <v>1</v>
      </c>
    </row>
    <row r="480" spans="1:19" ht="15" x14ac:dyDescent="0.25">
      <c r="A480" s="7">
        <v>2012</v>
      </c>
      <c r="B480" s="115">
        <v>41134</v>
      </c>
      <c r="C480" s="114" t="s">
        <v>35</v>
      </c>
      <c r="D480" s="114" t="s">
        <v>2</v>
      </c>
      <c r="E480" s="114" t="s">
        <v>32</v>
      </c>
      <c r="F480" s="114" t="s">
        <v>3</v>
      </c>
      <c r="G480" s="30" t="s">
        <v>42</v>
      </c>
      <c r="H480" s="10" t="s">
        <v>55</v>
      </c>
      <c r="I480" s="114" t="s">
        <v>60</v>
      </c>
      <c r="J480" s="113">
        <v>0.56873842592592594</v>
      </c>
      <c r="K480" s="114">
        <v>290.7</v>
      </c>
      <c r="L480" s="114">
        <v>0.96</v>
      </c>
      <c r="M480" s="114">
        <v>1254.5</v>
      </c>
      <c r="N480" s="114">
        <v>0.79</v>
      </c>
      <c r="O480" s="114">
        <v>54.4</v>
      </c>
      <c r="P480" s="114">
        <v>1.9</v>
      </c>
      <c r="Q480" s="114">
        <v>65</v>
      </c>
      <c r="R480" s="114" t="s">
        <v>48</v>
      </c>
      <c r="S480" s="114">
        <v>1</v>
      </c>
    </row>
    <row r="481" spans="1:19" ht="15" x14ac:dyDescent="0.25">
      <c r="A481" s="7">
        <v>2012</v>
      </c>
      <c r="B481" s="115">
        <v>41134</v>
      </c>
      <c r="C481" s="114" t="s">
        <v>35</v>
      </c>
      <c r="D481" s="114" t="s">
        <v>2</v>
      </c>
      <c r="E481" s="114" t="s">
        <v>32</v>
      </c>
      <c r="F481" s="114" t="s">
        <v>3</v>
      </c>
      <c r="G481" s="30" t="s">
        <v>42</v>
      </c>
      <c r="H481" s="10" t="s">
        <v>55</v>
      </c>
      <c r="I481" s="114" t="s">
        <v>60</v>
      </c>
      <c r="J481" s="113">
        <v>0.56910879629629629</v>
      </c>
      <c r="K481" s="114">
        <v>332.2</v>
      </c>
      <c r="L481" s="114">
        <v>0.68</v>
      </c>
      <c r="M481" s="114">
        <v>1203.0999999999999</v>
      </c>
      <c r="N481" s="114">
        <v>0.79</v>
      </c>
      <c r="O481" s="114">
        <v>54.4</v>
      </c>
      <c r="P481" s="114">
        <v>1.7</v>
      </c>
      <c r="Q481" s="114">
        <v>80</v>
      </c>
      <c r="R481" s="114" t="s">
        <v>48</v>
      </c>
      <c r="S481" s="114">
        <v>1</v>
      </c>
    </row>
    <row r="482" spans="1:19" ht="15" x14ac:dyDescent="0.25">
      <c r="A482" s="7">
        <v>2012</v>
      </c>
      <c r="B482" s="115">
        <v>41134</v>
      </c>
      <c r="C482" s="114" t="s">
        <v>35</v>
      </c>
      <c r="D482" s="114" t="s">
        <v>2</v>
      </c>
      <c r="E482" s="114" t="s">
        <v>32</v>
      </c>
      <c r="F482" s="114" t="s">
        <v>3</v>
      </c>
      <c r="G482" s="30" t="s">
        <v>42</v>
      </c>
      <c r="H482" s="10" t="s">
        <v>55</v>
      </c>
      <c r="I482" s="114" t="s">
        <v>60</v>
      </c>
      <c r="J482" s="113">
        <v>0.56950231481481484</v>
      </c>
      <c r="K482" s="114">
        <v>794.3</v>
      </c>
      <c r="L482" s="114">
        <v>0.37</v>
      </c>
      <c r="M482" s="114">
        <v>1213.4000000000001</v>
      </c>
      <c r="N482" s="114">
        <v>0.79</v>
      </c>
      <c r="O482" s="114">
        <v>54.4</v>
      </c>
      <c r="P482" s="114">
        <v>0.5</v>
      </c>
      <c r="Q482" s="114">
        <v>95</v>
      </c>
      <c r="R482" s="114" t="s">
        <v>48</v>
      </c>
      <c r="S482" s="114">
        <v>1</v>
      </c>
    </row>
    <row r="483" spans="1:19" ht="15" x14ac:dyDescent="0.25">
      <c r="A483" s="7">
        <v>2012</v>
      </c>
      <c r="B483" s="115">
        <v>41134</v>
      </c>
      <c r="C483" s="114" t="s">
        <v>35</v>
      </c>
      <c r="D483" s="114" t="s">
        <v>2</v>
      </c>
      <c r="E483" s="114" t="s">
        <v>32</v>
      </c>
      <c r="F483" s="114" t="s">
        <v>3</v>
      </c>
      <c r="G483" s="30" t="s">
        <v>42</v>
      </c>
      <c r="H483" s="10" t="s">
        <v>55</v>
      </c>
      <c r="I483" s="114" t="s">
        <v>60</v>
      </c>
      <c r="J483" s="113">
        <v>0.56980324074074074</v>
      </c>
      <c r="K483" s="114">
        <v>1204.9000000000001</v>
      </c>
      <c r="L483" s="114">
        <v>0.14000000000000001</v>
      </c>
      <c r="M483" s="114">
        <v>968.6</v>
      </c>
      <c r="N483" s="114">
        <v>0.79</v>
      </c>
      <c r="O483" s="114">
        <v>54.4</v>
      </c>
      <c r="P483" s="114">
        <v>-0.8</v>
      </c>
      <c r="Q483" s="114">
        <v>110</v>
      </c>
      <c r="R483" s="114" t="s">
        <v>48</v>
      </c>
      <c r="S483" s="114">
        <v>1</v>
      </c>
    </row>
    <row r="484" spans="1:19" ht="15" x14ac:dyDescent="0.25">
      <c r="A484" s="7">
        <v>2012</v>
      </c>
      <c r="B484" s="116">
        <v>41134</v>
      </c>
      <c r="C484" s="114" t="s">
        <v>35</v>
      </c>
      <c r="D484" s="114" t="s">
        <v>2</v>
      </c>
      <c r="E484" s="114" t="s">
        <v>32</v>
      </c>
      <c r="F484" s="114" t="s">
        <v>3</v>
      </c>
      <c r="G484" s="30" t="s">
        <v>42</v>
      </c>
      <c r="H484" s="10" t="s">
        <v>55</v>
      </c>
      <c r="I484" s="114" t="s">
        <v>60</v>
      </c>
      <c r="J484" s="113">
        <v>0.57413194444444449</v>
      </c>
      <c r="K484" s="114">
        <v>413.4</v>
      </c>
      <c r="L484" s="114">
        <v>0.03</v>
      </c>
      <c r="M484" s="114">
        <v>607.70000000000005</v>
      </c>
      <c r="N484" s="114">
        <v>0.79</v>
      </c>
      <c r="O484" s="114">
        <v>54.4</v>
      </c>
      <c r="P484" s="114">
        <v>0.5</v>
      </c>
      <c r="Q484" s="114" t="s">
        <v>63</v>
      </c>
      <c r="R484" s="114" t="s">
        <v>48</v>
      </c>
      <c r="S484" s="114">
        <v>1</v>
      </c>
    </row>
    <row r="485" spans="1:19" ht="15" x14ac:dyDescent="0.25">
      <c r="A485" s="7">
        <v>2012</v>
      </c>
      <c r="B485" s="116">
        <v>41134</v>
      </c>
      <c r="C485" s="114" t="s">
        <v>35</v>
      </c>
      <c r="D485" s="114" t="s">
        <v>2</v>
      </c>
      <c r="E485" s="114" t="s">
        <v>32</v>
      </c>
      <c r="F485" s="114" t="s">
        <v>3</v>
      </c>
      <c r="G485" s="30" t="s">
        <v>42</v>
      </c>
      <c r="H485" s="10" t="s">
        <v>55</v>
      </c>
      <c r="I485" s="114" t="s">
        <v>60</v>
      </c>
      <c r="J485" s="113">
        <v>0.57476851851851851</v>
      </c>
      <c r="K485" s="114">
        <v>426.9</v>
      </c>
      <c r="L485" s="114">
        <v>0.03</v>
      </c>
      <c r="M485" s="114">
        <v>482.9</v>
      </c>
      <c r="N485" s="114">
        <v>0.79</v>
      </c>
      <c r="O485" s="114">
        <v>54.4</v>
      </c>
      <c r="P485" s="114">
        <v>0.2</v>
      </c>
      <c r="Q485" s="114" t="s">
        <v>64</v>
      </c>
      <c r="R485" s="114" t="s">
        <v>48</v>
      </c>
      <c r="S485" s="114">
        <v>1</v>
      </c>
    </row>
    <row r="486" spans="1:19" ht="15" x14ac:dyDescent="0.25">
      <c r="A486" s="7">
        <v>2012</v>
      </c>
      <c r="B486" s="116">
        <v>41134</v>
      </c>
      <c r="C486" s="114" t="s">
        <v>35</v>
      </c>
      <c r="D486" s="114" t="s">
        <v>2</v>
      </c>
      <c r="E486" s="114" t="s">
        <v>32</v>
      </c>
      <c r="F486" s="114" t="s">
        <v>3</v>
      </c>
      <c r="G486" s="30" t="s">
        <v>42</v>
      </c>
      <c r="H486" s="10" t="s">
        <v>55</v>
      </c>
      <c r="I486" s="114" t="s">
        <v>60</v>
      </c>
      <c r="J486" s="113">
        <v>0.57568287037037036</v>
      </c>
      <c r="K486" s="114">
        <v>1242.8</v>
      </c>
      <c r="L486" s="114">
        <v>0.03</v>
      </c>
      <c r="M486" s="114">
        <v>1219.5</v>
      </c>
      <c r="N486" s="114">
        <v>0.79</v>
      </c>
      <c r="O486" s="114">
        <v>54.3</v>
      </c>
      <c r="P486" s="114">
        <v>-0.1</v>
      </c>
      <c r="Q486" s="114">
        <v>125</v>
      </c>
      <c r="R486" s="114" t="s">
        <v>48</v>
      </c>
      <c r="S486" s="114">
        <v>1</v>
      </c>
    </row>
    <row r="487" spans="1:19" ht="15" x14ac:dyDescent="0.25">
      <c r="A487" s="7">
        <v>2012</v>
      </c>
      <c r="B487" s="116">
        <v>41134</v>
      </c>
      <c r="C487" s="114" t="s">
        <v>35</v>
      </c>
      <c r="D487" s="114" t="s">
        <v>2</v>
      </c>
      <c r="E487" s="114" t="s">
        <v>32</v>
      </c>
      <c r="F487" s="114" t="s">
        <v>3</v>
      </c>
      <c r="G487" s="30" t="s">
        <v>42</v>
      </c>
      <c r="H487" s="10" t="s">
        <v>55</v>
      </c>
      <c r="I487" s="114" t="s">
        <v>60</v>
      </c>
      <c r="J487" s="113">
        <v>0.57730324074074069</v>
      </c>
      <c r="K487" s="114">
        <v>38.5</v>
      </c>
      <c r="L487" s="114">
        <v>1.1200000000000001</v>
      </c>
      <c r="M487" s="114">
        <v>1237.4000000000001</v>
      </c>
      <c r="N487" s="114">
        <v>0.79</v>
      </c>
      <c r="O487" s="114">
        <v>54.3</v>
      </c>
      <c r="P487" s="114">
        <v>4.7</v>
      </c>
      <c r="Q487" s="114">
        <v>5</v>
      </c>
      <c r="R487" s="114" t="s">
        <v>48</v>
      </c>
      <c r="S487" s="114">
        <v>2</v>
      </c>
    </row>
    <row r="488" spans="1:19" ht="15" x14ac:dyDescent="0.25">
      <c r="A488" s="7">
        <v>2012</v>
      </c>
      <c r="B488" s="116">
        <v>41134</v>
      </c>
      <c r="C488" s="114" t="s">
        <v>35</v>
      </c>
      <c r="D488" s="114" t="s">
        <v>2</v>
      </c>
      <c r="E488" s="114" t="s">
        <v>32</v>
      </c>
      <c r="F488" s="114" t="s">
        <v>3</v>
      </c>
      <c r="G488" s="30" t="s">
        <v>42</v>
      </c>
      <c r="H488" s="10" t="s">
        <v>55</v>
      </c>
      <c r="I488" s="114" t="s">
        <v>60</v>
      </c>
      <c r="J488" s="113">
        <v>0.57775462962962965</v>
      </c>
      <c r="K488" s="114">
        <v>113.5</v>
      </c>
      <c r="L488" s="114">
        <v>0.92</v>
      </c>
      <c r="M488" s="114">
        <v>1227</v>
      </c>
      <c r="N488" s="114">
        <v>0.79</v>
      </c>
      <c r="O488" s="114">
        <v>54.3</v>
      </c>
      <c r="P488" s="114">
        <v>3.1</v>
      </c>
      <c r="Q488" s="114">
        <v>20</v>
      </c>
      <c r="R488" s="114" t="s">
        <v>48</v>
      </c>
      <c r="S488" s="114">
        <v>2</v>
      </c>
    </row>
    <row r="489" spans="1:19" ht="15" x14ac:dyDescent="0.25">
      <c r="A489" s="7">
        <v>2012</v>
      </c>
      <c r="B489" s="116">
        <v>41134</v>
      </c>
      <c r="C489" s="114" t="s">
        <v>35</v>
      </c>
      <c r="D489" s="114" t="s">
        <v>2</v>
      </c>
      <c r="E489" s="114" t="s">
        <v>32</v>
      </c>
      <c r="F489" s="114" t="s">
        <v>3</v>
      </c>
      <c r="G489" s="30" t="s">
        <v>42</v>
      </c>
      <c r="H489" s="10" t="s">
        <v>55</v>
      </c>
      <c r="I489" s="114" t="s">
        <v>60</v>
      </c>
      <c r="J489" s="113">
        <v>0.5788888888888889</v>
      </c>
      <c r="K489" s="114">
        <v>235.5</v>
      </c>
      <c r="L489" s="114">
        <v>0.79</v>
      </c>
      <c r="M489" s="114">
        <v>1210.5999999999999</v>
      </c>
      <c r="N489" s="114">
        <v>0.79</v>
      </c>
      <c r="O489" s="114">
        <v>54.3</v>
      </c>
      <c r="P489" s="114">
        <v>2.1</v>
      </c>
      <c r="Q489" s="114">
        <v>35</v>
      </c>
      <c r="R489" s="114" t="s">
        <v>48</v>
      </c>
      <c r="S489" s="114">
        <v>2</v>
      </c>
    </row>
    <row r="490" spans="1:19" ht="15" x14ac:dyDescent="0.25">
      <c r="A490" s="7">
        <v>2012</v>
      </c>
      <c r="B490" s="116">
        <v>41134</v>
      </c>
      <c r="C490" s="114" t="s">
        <v>35</v>
      </c>
      <c r="D490" s="114" t="s">
        <v>2</v>
      </c>
      <c r="E490" s="114" t="s">
        <v>32</v>
      </c>
      <c r="F490" s="114" t="s">
        <v>3</v>
      </c>
      <c r="G490" s="30" t="s">
        <v>42</v>
      </c>
      <c r="H490" s="10" t="s">
        <v>55</v>
      </c>
      <c r="I490" s="114" t="s">
        <v>60</v>
      </c>
      <c r="J490" s="113">
        <v>0.57945601851851858</v>
      </c>
      <c r="K490" s="114">
        <v>199.7</v>
      </c>
      <c r="L490" s="114">
        <v>0.87</v>
      </c>
      <c r="M490" s="114">
        <v>1308.0999999999999</v>
      </c>
      <c r="N490" s="114">
        <v>0.79</v>
      </c>
      <c r="O490" s="114">
        <v>54.3</v>
      </c>
      <c r="P490" s="114">
        <v>2.5</v>
      </c>
      <c r="Q490" s="114">
        <v>50</v>
      </c>
      <c r="R490" s="114" t="s">
        <v>48</v>
      </c>
      <c r="S490" s="114">
        <v>2</v>
      </c>
    </row>
    <row r="491" spans="1:19" ht="15" x14ac:dyDescent="0.25">
      <c r="A491" s="7">
        <v>2012</v>
      </c>
      <c r="B491" s="116">
        <v>41134</v>
      </c>
      <c r="C491" s="114" t="s">
        <v>35</v>
      </c>
      <c r="D491" s="114" t="s">
        <v>2</v>
      </c>
      <c r="E491" s="114" t="s">
        <v>32</v>
      </c>
      <c r="F491" s="114" t="s">
        <v>3</v>
      </c>
      <c r="G491" s="30" t="s">
        <v>42</v>
      </c>
      <c r="H491" s="10" t="s">
        <v>55</v>
      </c>
      <c r="I491" s="114" t="s">
        <v>60</v>
      </c>
      <c r="J491" s="113">
        <v>0.57995370370370369</v>
      </c>
      <c r="K491" s="114">
        <v>207.7</v>
      </c>
      <c r="L491" s="114">
        <v>0.85</v>
      </c>
      <c r="M491" s="114">
        <v>1248.4000000000001</v>
      </c>
      <c r="N491" s="114">
        <v>0.79</v>
      </c>
      <c r="O491" s="114">
        <v>54.3</v>
      </c>
      <c r="P491" s="114">
        <v>2.2999999999999998</v>
      </c>
      <c r="Q491" s="114">
        <v>65</v>
      </c>
      <c r="R491" s="114" t="s">
        <v>48</v>
      </c>
      <c r="S491" s="114">
        <v>2</v>
      </c>
    </row>
    <row r="492" spans="1:19" ht="15" x14ac:dyDescent="0.25">
      <c r="A492" s="7">
        <v>2012</v>
      </c>
      <c r="B492" s="116">
        <v>41134</v>
      </c>
      <c r="C492" s="114" t="s">
        <v>35</v>
      </c>
      <c r="D492" s="114" t="s">
        <v>2</v>
      </c>
      <c r="E492" s="114" t="s">
        <v>32</v>
      </c>
      <c r="F492" s="114" t="s">
        <v>3</v>
      </c>
      <c r="G492" s="30" t="s">
        <v>42</v>
      </c>
      <c r="H492" s="10" t="s">
        <v>55</v>
      </c>
      <c r="I492" s="114" t="s">
        <v>60</v>
      </c>
      <c r="J492" s="113">
        <v>0.58035879629629628</v>
      </c>
      <c r="K492" s="114">
        <v>304.3</v>
      </c>
      <c r="L492" s="114">
        <v>0.87</v>
      </c>
      <c r="M492" s="114">
        <v>1219.8</v>
      </c>
      <c r="N492" s="114">
        <v>0.79</v>
      </c>
      <c r="O492" s="114">
        <v>54.3</v>
      </c>
      <c r="P492" s="114">
        <v>1.8</v>
      </c>
      <c r="Q492" s="114">
        <v>80</v>
      </c>
      <c r="R492" s="114" t="s">
        <v>48</v>
      </c>
      <c r="S492" s="114">
        <v>2</v>
      </c>
    </row>
    <row r="493" spans="1:19" ht="15" x14ac:dyDescent="0.25">
      <c r="A493" s="7">
        <v>2012</v>
      </c>
      <c r="B493" s="116">
        <v>41134</v>
      </c>
      <c r="C493" s="114" t="s">
        <v>35</v>
      </c>
      <c r="D493" s="114" t="s">
        <v>2</v>
      </c>
      <c r="E493" s="114" t="s">
        <v>32</v>
      </c>
      <c r="F493" s="114" t="s">
        <v>3</v>
      </c>
      <c r="G493" s="30" t="s">
        <v>42</v>
      </c>
      <c r="H493" s="10" t="s">
        <v>55</v>
      </c>
      <c r="I493" s="114" t="s">
        <v>60</v>
      </c>
      <c r="J493" s="113">
        <v>0.58076388888888886</v>
      </c>
      <c r="K493" s="114">
        <v>393.5</v>
      </c>
      <c r="L493" s="114">
        <v>0.67</v>
      </c>
      <c r="M493" s="114">
        <v>1239.3</v>
      </c>
      <c r="N493" s="114">
        <v>0.79</v>
      </c>
      <c r="O493" s="114">
        <v>54.3</v>
      </c>
      <c r="P493" s="114">
        <v>1.5</v>
      </c>
      <c r="Q493" s="114">
        <v>95</v>
      </c>
      <c r="R493" s="114" t="s">
        <v>48</v>
      </c>
      <c r="S493" s="114">
        <v>2</v>
      </c>
    </row>
    <row r="494" spans="1:19" ht="15" x14ac:dyDescent="0.25">
      <c r="A494" s="7">
        <v>2012</v>
      </c>
      <c r="B494" s="116">
        <v>41134</v>
      </c>
      <c r="C494" s="114" t="s">
        <v>35</v>
      </c>
      <c r="D494" s="114" t="s">
        <v>2</v>
      </c>
      <c r="E494" s="114" t="s">
        <v>32</v>
      </c>
      <c r="F494" s="114" t="s">
        <v>3</v>
      </c>
      <c r="G494" s="30" t="s">
        <v>42</v>
      </c>
      <c r="H494" s="10" t="s">
        <v>55</v>
      </c>
      <c r="I494" s="114" t="s">
        <v>60</v>
      </c>
      <c r="J494" s="113">
        <v>0.58124999999999993</v>
      </c>
      <c r="K494" s="114">
        <v>743.3</v>
      </c>
      <c r="L494" s="114">
        <v>0.43</v>
      </c>
      <c r="M494" s="114">
        <v>1211.9000000000001</v>
      </c>
      <c r="N494" s="114">
        <v>0.79</v>
      </c>
      <c r="O494" s="114">
        <v>54.3</v>
      </c>
      <c r="P494" s="114">
        <v>0.6</v>
      </c>
      <c r="Q494" s="114">
        <v>110</v>
      </c>
      <c r="R494" s="114" t="s">
        <v>48</v>
      </c>
      <c r="S494" s="114">
        <v>2</v>
      </c>
    </row>
    <row r="495" spans="1:19" ht="15" x14ac:dyDescent="0.25">
      <c r="A495" s="7">
        <v>2012</v>
      </c>
      <c r="B495" s="116">
        <v>41134</v>
      </c>
      <c r="C495" s="114" t="s">
        <v>35</v>
      </c>
      <c r="D495" s="114" t="s">
        <v>2</v>
      </c>
      <c r="E495" s="114" t="s">
        <v>32</v>
      </c>
      <c r="F495" s="114" t="s">
        <v>3</v>
      </c>
      <c r="G495" s="30" t="s">
        <v>42</v>
      </c>
      <c r="H495" s="10" t="s">
        <v>55</v>
      </c>
      <c r="I495" s="114" t="s">
        <v>60</v>
      </c>
      <c r="J495" s="113">
        <v>0.58146990740740734</v>
      </c>
      <c r="K495" s="114">
        <v>1038.0999999999999</v>
      </c>
      <c r="L495" s="114">
        <v>0.21</v>
      </c>
      <c r="M495" s="114">
        <v>1211.9000000000001</v>
      </c>
      <c r="N495" s="114">
        <v>0.79</v>
      </c>
      <c r="O495" s="114">
        <v>54.3</v>
      </c>
      <c r="P495" s="114">
        <v>0.2</v>
      </c>
      <c r="Q495" s="114">
        <v>125</v>
      </c>
      <c r="R495" s="114" t="s">
        <v>48</v>
      </c>
      <c r="S495" s="114">
        <v>2</v>
      </c>
    </row>
    <row r="496" spans="1:19" ht="15" x14ac:dyDescent="0.25">
      <c r="A496" s="7">
        <v>2012</v>
      </c>
      <c r="B496" s="116">
        <v>41134</v>
      </c>
      <c r="C496" s="114" t="s">
        <v>35</v>
      </c>
      <c r="D496" s="114" t="s">
        <v>2</v>
      </c>
      <c r="E496" s="114" t="s">
        <v>32</v>
      </c>
      <c r="F496" s="114" t="s">
        <v>3</v>
      </c>
      <c r="G496" s="30" t="s">
        <v>42</v>
      </c>
      <c r="H496" s="10" t="s">
        <v>55</v>
      </c>
      <c r="I496" s="114" t="s">
        <v>60</v>
      </c>
      <c r="J496" s="113">
        <v>0.58168981481481474</v>
      </c>
      <c r="K496" s="114">
        <v>1225.5999999999999</v>
      </c>
      <c r="L496" s="114">
        <v>0.02</v>
      </c>
      <c r="M496" s="114">
        <v>1223.0999999999999</v>
      </c>
      <c r="N496" s="114">
        <v>0.79</v>
      </c>
      <c r="O496" s="114">
        <v>54.3</v>
      </c>
      <c r="P496" s="114">
        <v>0</v>
      </c>
      <c r="Q496" s="114">
        <v>140</v>
      </c>
      <c r="R496" s="114" t="s">
        <v>48</v>
      </c>
      <c r="S496" s="114">
        <v>2</v>
      </c>
    </row>
    <row r="497" spans="1:19" ht="15" x14ac:dyDescent="0.25">
      <c r="A497" s="7">
        <v>2012</v>
      </c>
      <c r="B497" s="116">
        <v>41134</v>
      </c>
      <c r="C497" s="114" t="s">
        <v>35</v>
      </c>
      <c r="D497" s="114" t="s">
        <v>2</v>
      </c>
      <c r="E497" s="114" t="s">
        <v>32</v>
      </c>
      <c r="F497" s="114" t="s">
        <v>3</v>
      </c>
      <c r="G497" s="30" t="s">
        <v>42</v>
      </c>
      <c r="H497" s="10" t="s">
        <v>55</v>
      </c>
      <c r="I497" s="114" t="s">
        <v>60</v>
      </c>
      <c r="J497" s="113">
        <v>0.58374999999999999</v>
      </c>
      <c r="K497" s="114">
        <v>88.8</v>
      </c>
      <c r="L497" s="114">
        <v>0.8</v>
      </c>
      <c r="M497" s="114">
        <v>1245</v>
      </c>
      <c r="N497" s="114">
        <v>0.79</v>
      </c>
      <c r="O497" s="114">
        <v>54.3</v>
      </c>
      <c r="P497" s="114">
        <v>3.5</v>
      </c>
      <c r="Q497" s="114">
        <v>5</v>
      </c>
      <c r="R497" s="114" t="s">
        <v>48</v>
      </c>
      <c r="S497" s="114">
        <v>3</v>
      </c>
    </row>
    <row r="498" spans="1:19" ht="15" x14ac:dyDescent="0.25">
      <c r="A498" s="7">
        <v>2012</v>
      </c>
      <c r="B498" s="116">
        <v>41134</v>
      </c>
      <c r="C498" s="114" t="s">
        <v>35</v>
      </c>
      <c r="D498" s="114" t="s">
        <v>2</v>
      </c>
      <c r="E498" s="114" t="s">
        <v>32</v>
      </c>
      <c r="F498" s="114" t="s">
        <v>3</v>
      </c>
      <c r="G498" s="30" t="s">
        <v>42</v>
      </c>
      <c r="H498" s="10" t="s">
        <v>55</v>
      </c>
      <c r="I498" s="114" t="s">
        <v>60</v>
      </c>
      <c r="J498" s="113">
        <v>0.58436342592592594</v>
      </c>
      <c r="K498" s="114">
        <v>93.9</v>
      </c>
      <c r="L498" s="114">
        <v>0.91</v>
      </c>
      <c r="M498" s="114">
        <v>1223.0999999999999</v>
      </c>
      <c r="N498" s="114">
        <v>0.79</v>
      </c>
      <c r="O498" s="114">
        <v>54.3</v>
      </c>
      <c r="P498" s="114">
        <v>3.4</v>
      </c>
      <c r="Q498" s="114">
        <v>20</v>
      </c>
      <c r="R498" s="114" t="s">
        <v>48</v>
      </c>
      <c r="S498" s="114">
        <v>3</v>
      </c>
    </row>
    <row r="499" spans="1:19" ht="15" x14ac:dyDescent="0.25">
      <c r="A499" s="7">
        <v>2012</v>
      </c>
      <c r="B499" s="116">
        <v>41134</v>
      </c>
      <c r="C499" s="114" t="s">
        <v>35</v>
      </c>
      <c r="D499" s="114" t="s">
        <v>2</v>
      </c>
      <c r="E499" s="114" t="s">
        <v>32</v>
      </c>
      <c r="F499" s="114" t="s">
        <v>3</v>
      </c>
      <c r="G499" s="30" t="s">
        <v>42</v>
      </c>
      <c r="H499" s="10" t="s">
        <v>55</v>
      </c>
      <c r="I499" s="114" t="s">
        <v>60</v>
      </c>
      <c r="J499" s="113">
        <v>0.58486111111111116</v>
      </c>
      <c r="K499" s="114">
        <v>196.5</v>
      </c>
      <c r="L499" s="114">
        <v>0.71</v>
      </c>
      <c r="M499" s="114">
        <v>1213.8</v>
      </c>
      <c r="N499" s="114">
        <v>0.79</v>
      </c>
      <c r="O499" s="114">
        <v>54.3</v>
      </c>
      <c r="P499" s="114">
        <v>2.4</v>
      </c>
      <c r="Q499" s="114">
        <v>35</v>
      </c>
      <c r="R499" s="114" t="s">
        <v>48</v>
      </c>
      <c r="S499" s="114">
        <v>3</v>
      </c>
    </row>
    <row r="500" spans="1:19" ht="15" x14ac:dyDescent="0.25">
      <c r="A500" s="7">
        <v>2012</v>
      </c>
      <c r="B500" s="116">
        <v>41134</v>
      </c>
      <c r="C500" s="114" t="s">
        <v>35</v>
      </c>
      <c r="D500" s="114" t="s">
        <v>2</v>
      </c>
      <c r="E500" s="114" t="s">
        <v>32</v>
      </c>
      <c r="F500" s="114" t="s">
        <v>3</v>
      </c>
      <c r="G500" s="30" t="s">
        <v>42</v>
      </c>
      <c r="H500" s="10" t="s">
        <v>55</v>
      </c>
      <c r="I500" s="114" t="s">
        <v>60</v>
      </c>
      <c r="J500" s="113">
        <v>0.58527777777777779</v>
      </c>
      <c r="K500" s="114">
        <v>299</v>
      </c>
      <c r="L500" s="114">
        <v>0.72</v>
      </c>
      <c r="M500" s="114">
        <v>1216.8</v>
      </c>
      <c r="N500" s="114">
        <v>0.79</v>
      </c>
      <c r="O500" s="114">
        <v>54.3</v>
      </c>
      <c r="P500" s="114">
        <v>1.8</v>
      </c>
      <c r="Q500" s="114">
        <v>50</v>
      </c>
      <c r="R500" s="114" t="s">
        <v>48</v>
      </c>
      <c r="S500" s="114">
        <v>3</v>
      </c>
    </row>
    <row r="501" spans="1:19" ht="15" x14ac:dyDescent="0.25">
      <c r="A501" s="7">
        <v>2012</v>
      </c>
      <c r="B501" s="116">
        <v>41134</v>
      </c>
      <c r="C501" s="114" t="s">
        <v>35</v>
      </c>
      <c r="D501" s="114" t="s">
        <v>2</v>
      </c>
      <c r="E501" s="114" t="s">
        <v>32</v>
      </c>
      <c r="F501" s="114" t="s">
        <v>3</v>
      </c>
      <c r="G501" s="30" t="s">
        <v>42</v>
      </c>
      <c r="H501" s="10" t="s">
        <v>55</v>
      </c>
      <c r="I501" s="114" t="s">
        <v>60</v>
      </c>
      <c r="J501" s="113">
        <v>0.58576388888888886</v>
      </c>
      <c r="K501" s="114">
        <v>384.6</v>
      </c>
      <c r="L501" s="114">
        <v>0.71</v>
      </c>
      <c r="M501" s="114">
        <v>1190.0999999999999</v>
      </c>
      <c r="N501" s="114">
        <v>0.79</v>
      </c>
      <c r="O501" s="114">
        <v>54.3</v>
      </c>
      <c r="P501" s="114">
        <v>1.5</v>
      </c>
      <c r="Q501" s="114">
        <v>65</v>
      </c>
      <c r="R501" s="114" t="s">
        <v>48</v>
      </c>
      <c r="S501" s="114">
        <v>3</v>
      </c>
    </row>
    <row r="502" spans="1:19" ht="15" x14ac:dyDescent="0.25">
      <c r="A502" s="7">
        <v>2012</v>
      </c>
      <c r="B502" s="116">
        <v>41134</v>
      </c>
      <c r="C502" s="114" t="s">
        <v>35</v>
      </c>
      <c r="D502" s="114" t="s">
        <v>2</v>
      </c>
      <c r="E502" s="114" t="s">
        <v>32</v>
      </c>
      <c r="F502" s="114" t="s">
        <v>3</v>
      </c>
      <c r="G502" s="30" t="s">
        <v>42</v>
      </c>
      <c r="H502" s="10" t="s">
        <v>55</v>
      </c>
      <c r="I502" s="114" t="s">
        <v>60</v>
      </c>
      <c r="J502" s="113">
        <v>0.58616898148148155</v>
      </c>
      <c r="K502" s="114">
        <v>597</v>
      </c>
      <c r="L502" s="114">
        <v>0.56999999999999995</v>
      </c>
      <c r="M502" s="114">
        <v>1195.0999999999999</v>
      </c>
      <c r="N502" s="114">
        <v>0.79</v>
      </c>
      <c r="O502" s="114">
        <v>54.3</v>
      </c>
      <c r="P502" s="114">
        <v>0.9</v>
      </c>
      <c r="Q502" s="114">
        <v>80</v>
      </c>
      <c r="R502" s="114" t="s">
        <v>48</v>
      </c>
      <c r="S502" s="114">
        <v>3</v>
      </c>
    </row>
    <row r="503" spans="1:19" ht="15" x14ac:dyDescent="0.25">
      <c r="A503" s="7">
        <v>2012</v>
      </c>
      <c r="B503" s="116">
        <v>41134</v>
      </c>
      <c r="C503" s="114" t="s">
        <v>35</v>
      </c>
      <c r="D503" s="114" t="s">
        <v>2</v>
      </c>
      <c r="E503" s="114" t="s">
        <v>32</v>
      </c>
      <c r="F503" s="114" t="s">
        <v>3</v>
      </c>
      <c r="G503" s="30" t="s">
        <v>42</v>
      </c>
      <c r="H503" s="10" t="s">
        <v>55</v>
      </c>
      <c r="I503" s="114" t="s">
        <v>60</v>
      </c>
      <c r="J503" s="113">
        <v>0.58652777777777776</v>
      </c>
      <c r="K503" s="114">
        <v>682.5</v>
      </c>
      <c r="L503" s="114">
        <v>0.48</v>
      </c>
      <c r="M503" s="114">
        <v>1194.4000000000001</v>
      </c>
      <c r="N503" s="114">
        <v>0.79</v>
      </c>
      <c r="O503" s="114">
        <v>54.3</v>
      </c>
      <c r="P503" s="114">
        <v>0.7</v>
      </c>
      <c r="Q503" s="114">
        <v>95</v>
      </c>
      <c r="R503" s="114" t="s">
        <v>48</v>
      </c>
      <c r="S503" s="114">
        <v>3</v>
      </c>
    </row>
    <row r="504" spans="1:19" ht="15" x14ac:dyDescent="0.25">
      <c r="A504" s="7">
        <v>2012</v>
      </c>
      <c r="B504" s="116">
        <v>41134</v>
      </c>
      <c r="C504" s="114" t="s">
        <v>35</v>
      </c>
      <c r="D504" s="114" t="s">
        <v>2</v>
      </c>
      <c r="E504" s="114" t="s">
        <v>32</v>
      </c>
      <c r="F504" s="114" t="s">
        <v>3</v>
      </c>
      <c r="G504" s="30" t="s">
        <v>42</v>
      </c>
      <c r="H504" s="10" t="s">
        <v>55</v>
      </c>
      <c r="I504" s="114" t="s">
        <v>60</v>
      </c>
      <c r="J504" s="113">
        <v>0.58688657407407407</v>
      </c>
      <c r="K504" s="114">
        <v>989.5</v>
      </c>
      <c r="L504" s="114">
        <v>0.32</v>
      </c>
      <c r="M504" s="114">
        <v>1138</v>
      </c>
      <c r="N504" s="114">
        <v>0.79</v>
      </c>
      <c r="O504" s="114">
        <v>54.3</v>
      </c>
      <c r="P504" s="114">
        <v>0.2</v>
      </c>
      <c r="Q504" s="114">
        <v>110</v>
      </c>
      <c r="R504" s="114" t="s">
        <v>48</v>
      </c>
      <c r="S504" s="114">
        <v>3</v>
      </c>
    </row>
    <row r="505" spans="1:19" ht="15" x14ac:dyDescent="0.25">
      <c r="A505" s="7">
        <v>2012</v>
      </c>
      <c r="B505" s="116">
        <v>41134</v>
      </c>
      <c r="C505" s="114" t="s">
        <v>35</v>
      </c>
      <c r="D505" s="114" t="s">
        <v>2</v>
      </c>
      <c r="E505" s="114" t="s">
        <v>32</v>
      </c>
      <c r="F505" s="114" t="s">
        <v>3</v>
      </c>
      <c r="G505" s="30" t="s">
        <v>42</v>
      </c>
      <c r="H505" s="10" t="s">
        <v>55</v>
      </c>
      <c r="I505" s="114" t="s">
        <v>60</v>
      </c>
      <c r="J505" s="113">
        <v>0.58723379629629624</v>
      </c>
      <c r="K505" s="114">
        <v>1149.8</v>
      </c>
      <c r="L505" s="114">
        <v>0.13</v>
      </c>
      <c r="M505" s="114">
        <v>1174.3</v>
      </c>
      <c r="N505" s="114">
        <v>0.79</v>
      </c>
      <c r="O505" s="114">
        <v>54.3</v>
      </c>
      <c r="P505" s="114">
        <v>0</v>
      </c>
      <c r="Q505" s="114">
        <v>125</v>
      </c>
      <c r="R505" s="114" t="s">
        <v>48</v>
      </c>
      <c r="S505" s="114">
        <v>3</v>
      </c>
    </row>
    <row r="506" spans="1:19" ht="15" x14ac:dyDescent="0.25">
      <c r="A506" s="7">
        <v>2012</v>
      </c>
      <c r="B506" s="116">
        <v>41134</v>
      </c>
      <c r="C506" s="114" t="s">
        <v>35</v>
      </c>
      <c r="D506" s="114" t="s">
        <v>2</v>
      </c>
      <c r="E506" s="114" t="s">
        <v>32</v>
      </c>
      <c r="F506" s="114" t="s">
        <v>3</v>
      </c>
      <c r="G506" s="30" t="s">
        <v>42</v>
      </c>
      <c r="H506" s="10" t="s">
        <v>55</v>
      </c>
      <c r="I506" s="114" t="s">
        <v>60</v>
      </c>
      <c r="J506" s="113">
        <v>0.58743055555555557</v>
      </c>
      <c r="K506" s="114">
        <v>1202.7</v>
      </c>
      <c r="L506" s="114">
        <v>0.02</v>
      </c>
      <c r="M506" s="114">
        <v>1206.2</v>
      </c>
      <c r="N506" s="114">
        <v>0.79</v>
      </c>
      <c r="O506" s="114">
        <v>54.3</v>
      </c>
      <c r="P506" s="114">
        <v>0</v>
      </c>
      <c r="Q506" s="114">
        <v>140</v>
      </c>
      <c r="R506" s="114" t="s">
        <v>48</v>
      </c>
      <c r="S506" s="114">
        <v>3</v>
      </c>
    </row>
    <row r="507" spans="1:19" ht="15" x14ac:dyDescent="0.25">
      <c r="A507" s="7">
        <v>2012</v>
      </c>
      <c r="B507" s="116">
        <v>41117</v>
      </c>
      <c r="C507" s="114" t="s">
        <v>35</v>
      </c>
      <c r="D507" s="114" t="s">
        <v>53</v>
      </c>
      <c r="E507" s="114" t="s">
        <v>31</v>
      </c>
      <c r="F507" s="114" t="s">
        <v>38</v>
      </c>
      <c r="G507" s="30" t="s">
        <v>42</v>
      </c>
      <c r="H507" s="10" t="s">
        <v>55</v>
      </c>
      <c r="I507" s="114" t="s">
        <v>41</v>
      </c>
      <c r="J507" s="113">
        <v>0.4027662037037037</v>
      </c>
      <c r="K507" s="114">
        <v>49.3</v>
      </c>
      <c r="L507" s="114">
        <v>0.28000000000000003</v>
      </c>
      <c r="M507" s="114">
        <v>347.9</v>
      </c>
      <c r="N507" s="114">
        <v>0.02</v>
      </c>
      <c r="O507" s="114">
        <v>63.8</v>
      </c>
      <c r="P507" s="114">
        <v>2.9</v>
      </c>
      <c r="Q507" s="114">
        <v>5</v>
      </c>
      <c r="R507" s="114" t="s">
        <v>45</v>
      </c>
      <c r="S507" s="117"/>
    </row>
    <row r="508" spans="1:19" ht="15" x14ac:dyDescent="0.25">
      <c r="A508" s="7">
        <v>2012</v>
      </c>
      <c r="B508" s="116">
        <v>41117</v>
      </c>
      <c r="C508" s="114" t="s">
        <v>35</v>
      </c>
      <c r="D508" s="114" t="s">
        <v>53</v>
      </c>
      <c r="E508" s="114" t="s">
        <v>31</v>
      </c>
      <c r="F508" s="114" t="s">
        <v>38</v>
      </c>
      <c r="G508" s="30" t="s">
        <v>42</v>
      </c>
      <c r="H508" s="10" t="s">
        <v>55</v>
      </c>
      <c r="I508" s="114" t="s">
        <v>41</v>
      </c>
      <c r="J508" s="113">
        <v>0.40313657407407405</v>
      </c>
      <c r="K508" s="114">
        <v>64.3</v>
      </c>
      <c r="L508" s="114">
        <v>0.13</v>
      </c>
      <c r="M508" s="114">
        <v>345.5</v>
      </c>
      <c r="N508" s="114">
        <v>0.02</v>
      </c>
      <c r="O508" s="114">
        <v>63.7</v>
      </c>
      <c r="P508" s="114">
        <v>2.4</v>
      </c>
      <c r="Q508" s="114">
        <v>20</v>
      </c>
      <c r="R508" s="114" t="s">
        <v>45</v>
      </c>
      <c r="S508" s="117"/>
    </row>
    <row r="509" spans="1:19" ht="15" x14ac:dyDescent="0.25">
      <c r="A509" s="7">
        <v>2012</v>
      </c>
      <c r="B509" s="116">
        <v>41117</v>
      </c>
      <c r="C509" s="114" t="s">
        <v>35</v>
      </c>
      <c r="D509" s="114" t="s">
        <v>53</v>
      </c>
      <c r="E509" s="114" t="s">
        <v>31</v>
      </c>
      <c r="F509" s="114" t="s">
        <v>38</v>
      </c>
      <c r="G509" s="30" t="s">
        <v>42</v>
      </c>
      <c r="H509" s="10" t="s">
        <v>55</v>
      </c>
      <c r="I509" s="114" t="s">
        <v>41</v>
      </c>
      <c r="J509" s="113">
        <v>0.40331018518518519</v>
      </c>
      <c r="K509" s="114">
        <v>85</v>
      </c>
      <c r="L509" s="114">
        <v>0.1</v>
      </c>
      <c r="M509" s="114">
        <v>344.2</v>
      </c>
      <c r="N509" s="114">
        <v>0.02</v>
      </c>
      <c r="O509" s="114">
        <v>63.7</v>
      </c>
      <c r="P509" s="114">
        <v>2</v>
      </c>
      <c r="Q509" s="114">
        <v>35</v>
      </c>
      <c r="R509" s="114" t="s">
        <v>45</v>
      </c>
      <c r="S509" s="117"/>
    </row>
    <row r="510" spans="1:19" ht="15" x14ac:dyDescent="0.25">
      <c r="A510" s="7">
        <v>2012</v>
      </c>
      <c r="B510" s="116">
        <v>41117</v>
      </c>
      <c r="C510" s="114" t="s">
        <v>35</v>
      </c>
      <c r="D510" s="114" t="s">
        <v>53</v>
      </c>
      <c r="E510" s="114" t="s">
        <v>31</v>
      </c>
      <c r="F510" s="114" t="s">
        <v>38</v>
      </c>
      <c r="G510" s="30" t="s">
        <v>42</v>
      </c>
      <c r="H510" s="10" t="s">
        <v>55</v>
      </c>
      <c r="I510" s="114" t="s">
        <v>41</v>
      </c>
      <c r="J510" s="113">
        <v>0.40349537037037037</v>
      </c>
      <c r="K510" s="114">
        <v>109.5</v>
      </c>
      <c r="L510" s="114">
        <v>0.17</v>
      </c>
      <c r="M510" s="114">
        <v>341.8</v>
      </c>
      <c r="N510" s="114">
        <v>0.01</v>
      </c>
      <c r="O510" s="114">
        <v>63.7</v>
      </c>
      <c r="P510" s="114">
        <v>1.6</v>
      </c>
      <c r="Q510" s="117">
        <v>50</v>
      </c>
      <c r="R510" s="114" t="s">
        <v>45</v>
      </c>
      <c r="S510" s="117"/>
    </row>
    <row r="511" spans="1:19" ht="15" x14ac:dyDescent="0.25">
      <c r="A511" s="7">
        <v>2012</v>
      </c>
      <c r="B511" s="116">
        <v>41117</v>
      </c>
      <c r="C511" s="114" t="s">
        <v>35</v>
      </c>
      <c r="D511" s="114" t="s">
        <v>53</v>
      </c>
      <c r="E511" s="114" t="s">
        <v>31</v>
      </c>
      <c r="F511" s="114" t="s">
        <v>38</v>
      </c>
      <c r="G511" s="30" t="s">
        <v>42</v>
      </c>
      <c r="H511" s="10" t="s">
        <v>55</v>
      </c>
      <c r="I511" s="114" t="s">
        <v>41</v>
      </c>
      <c r="J511" s="113">
        <v>0.40365740740740735</v>
      </c>
      <c r="K511" s="114">
        <v>173.5</v>
      </c>
      <c r="L511" s="114">
        <v>0.17</v>
      </c>
      <c r="M511" s="114">
        <v>341.8</v>
      </c>
      <c r="N511" s="114">
        <v>0.02</v>
      </c>
      <c r="O511" s="114">
        <v>63.6</v>
      </c>
      <c r="P511" s="114">
        <v>0.9</v>
      </c>
      <c r="Q511" s="117">
        <v>65</v>
      </c>
      <c r="R511" s="114" t="s">
        <v>45</v>
      </c>
      <c r="S511" s="117"/>
    </row>
    <row r="512" spans="1:19" ht="15" x14ac:dyDescent="0.25">
      <c r="A512" s="7">
        <v>2012</v>
      </c>
      <c r="B512" s="116">
        <v>41117</v>
      </c>
      <c r="C512" s="114" t="s">
        <v>35</v>
      </c>
      <c r="D512" s="114" t="s">
        <v>53</v>
      </c>
      <c r="E512" s="114" t="s">
        <v>31</v>
      </c>
      <c r="F512" s="114" t="s">
        <v>38</v>
      </c>
      <c r="G512" s="30" t="s">
        <v>42</v>
      </c>
      <c r="H512" s="10" t="s">
        <v>55</v>
      </c>
      <c r="I512" s="114" t="s">
        <v>41</v>
      </c>
      <c r="J512" s="113">
        <v>0.40378472222222223</v>
      </c>
      <c r="K512" s="114">
        <v>249.8</v>
      </c>
      <c r="L512" s="114">
        <v>0.12</v>
      </c>
      <c r="M512" s="114">
        <v>340.6</v>
      </c>
      <c r="N512" s="114">
        <v>0.02</v>
      </c>
      <c r="O512" s="114">
        <v>63.6</v>
      </c>
      <c r="P512" s="114">
        <v>0.4</v>
      </c>
      <c r="Q512" s="117">
        <v>80</v>
      </c>
      <c r="R512" s="114" t="s">
        <v>45</v>
      </c>
      <c r="S512" s="117"/>
    </row>
    <row r="513" spans="1:19" ht="15" x14ac:dyDescent="0.25">
      <c r="A513" s="7">
        <v>2012</v>
      </c>
      <c r="B513" s="116">
        <v>41117</v>
      </c>
      <c r="C513" s="114" t="s">
        <v>35</v>
      </c>
      <c r="D513" s="114" t="s">
        <v>53</v>
      </c>
      <c r="E513" s="114" t="s">
        <v>31</v>
      </c>
      <c r="F513" s="114" t="s">
        <v>38</v>
      </c>
      <c r="G513" s="30" t="s">
        <v>42</v>
      </c>
      <c r="H513" s="10" t="s">
        <v>55</v>
      </c>
      <c r="I513" s="114" t="s">
        <v>41</v>
      </c>
      <c r="J513" s="113">
        <v>0.40395833333333336</v>
      </c>
      <c r="K513" s="114">
        <v>290</v>
      </c>
      <c r="L513" s="114">
        <v>0.05</v>
      </c>
      <c r="M513" s="114">
        <v>339.4</v>
      </c>
      <c r="N513" s="114">
        <v>0.02</v>
      </c>
      <c r="O513" s="114">
        <v>63.6</v>
      </c>
      <c r="P513" s="114">
        <v>0.2</v>
      </c>
      <c r="Q513" s="117">
        <v>95</v>
      </c>
      <c r="R513" s="114" t="s">
        <v>45</v>
      </c>
      <c r="S513" s="114"/>
    </row>
    <row r="514" spans="1:19" ht="15" x14ac:dyDescent="0.25">
      <c r="A514" s="7">
        <v>2012</v>
      </c>
      <c r="B514" s="116">
        <v>41117</v>
      </c>
      <c r="C514" s="114" t="s">
        <v>35</v>
      </c>
      <c r="D514" s="114" t="s">
        <v>53</v>
      </c>
      <c r="E514" s="114" t="s">
        <v>31</v>
      </c>
      <c r="F514" s="114" t="s">
        <v>38</v>
      </c>
      <c r="G514" s="30" t="s">
        <v>42</v>
      </c>
      <c r="H514" s="10" t="s">
        <v>55</v>
      </c>
      <c r="I514" s="114" t="s">
        <v>41</v>
      </c>
      <c r="J514" s="113">
        <v>0.4042013888888889</v>
      </c>
      <c r="K514" s="114">
        <v>309.3</v>
      </c>
      <c r="L514" s="114">
        <v>0.03</v>
      </c>
      <c r="M514" s="114">
        <v>338.1</v>
      </c>
      <c r="N514" s="114">
        <v>0.02</v>
      </c>
      <c r="O514" s="114">
        <v>63.6</v>
      </c>
      <c r="P514" s="114">
        <v>0.1</v>
      </c>
      <c r="Q514" s="117">
        <v>110</v>
      </c>
      <c r="R514" s="114" t="s">
        <v>45</v>
      </c>
      <c r="S514" s="114"/>
    </row>
    <row r="515" spans="1:19" ht="15" x14ac:dyDescent="0.25">
      <c r="A515" s="7">
        <v>2012</v>
      </c>
      <c r="B515" s="116">
        <v>41117</v>
      </c>
      <c r="C515" s="114" t="s">
        <v>35</v>
      </c>
      <c r="D515" s="114" t="s">
        <v>53</v>
      </c>
      <c r="E515" s="114" t="s">
        <v>31</v>
      </c>
      <c r="F515" s="114" t="s">
        <v>38</v>
      </c>
      <c r="G515" s="30" t="s">
        <v>42</v>
      </c>
      <c r="H515" s="10" t="s">
        <v>55</v>
      </c>
      <c r="I515" s="114" t="s">
        <v>41</v>
      </c>
      <c r="J515" s="113">
        <v>0.40430555555555553</v>
      </c>
      <c r="K515" s="114">
        <v>330.4</v>
      </c>
      <c r="L515" s="114">
        <v>0.02</v>
      </c>
      <c r="M515" s="114">
        <v>336.9</v>
      </c>
      <c r="N515" s="114">
        <v>0.02</v>
      </c>
      <c r="O515" s="114">
        <v>63.6</v>
      </c>
      <c r="P515" s="114">
        <v>0</v>
      </c>
      <c r="Q515" s="117">
        <v>125</v>
      </c>
      <c r="R515" s="114" t="s">
        <v>45</v>
      </c>
      <c r="S515" s="114"/>
    </row>
    <row r="516" spans="1:19" ht="15" x14ac:dyDescent="0.25">
      <c r="A516" s="7">
        <v>2012</v>
      </c>
      <c r="B516" s="116">
        <v>41117</v>
      </c>
      <c r="C516" s="114" t="s">
        <v>35</v>
      </c>
      <c r="D516" s="114" t="s">
        <v>53</v>
      </c>
      <c r="E516" s="114" t="s">
        <v>31</v>
      </c>
      <c r="F516" s="114" t="s">
        <v>38</v>
      </c>
      <c r="G516" s="30" t="s">
        <v>42</v>
      </c>
      <c r="H516" s="10" t="s">
        <v>55</v>
      </c>
      <c r="I516" s="114" t="s">
        <v>41</v>
      </c>
      <c r="J516" s="113">
        <v>0.40445601851851848</v>
      </c>
      <c r="K516" s="114">
        <v>333.8</v>
      </c>
      <c r="L516" s="114">
        <v>0.01</v>
      </c>
      <c r="M516" s="114">
        <v>335.7</v>
      </c>
      <c r="N516" s="114">
        <v>0.02</v>
      </c>
      <c r="O516" s="114">
        <v>63.5</v>
      </c>
      <c r="P516" s="114">
        <v>0</v>
      </c>
      <c r="Q516" s="117">
        <v>140</v>
      </c>
      <c r="R516" s="114" t="s">
        <v>45</v>
      </c>
      <c r="S516" s="114"/>
    </row>
    <row r="517" spans="1:19" ht="15" x14ac:dyDescent="0.25">
      <c r="A517" s="7">
        <v>2012</v>
      </c>
      <c r="B517" s="116">
        <v>41117</v>
      </c>
      <c r="C517" s="114" t="s">
        <v>35</v>
      </c>
      <c r="D517" s="114" t="s">
        <v>53</v>
      </c>
      <c r="E517" s="114" t="s">
        <v>31</v>
      </c>
      <c r="F517" s="114" t="s">
        <v>38</v>
      </c>
      <c r="G517" s="30" t="s">
        <v>42</v>
      </c>
      <c r="H517" s="10" t="s">
        <v>55</v>
      </c>
      <c r="I517" s="114" t="s">
        <v>41</v>
      </c>
      <c r="J517" s="113">
        <v>0.40532407407407406</v>
      </c>
      <c r="K517" s="114">
        <v>40.1</v>
      </c>
      <c r="L517" s="114">
        <v>0.21</v>
      </c>
      <c r="M517" s="114">
        <v>327.10000000000002</v>
      </c>
      <c r="N517" s="114">
        <v>0.02</v>
      </c>
      <c r="O517" s="114">
        <v>63.4</v>
      </c>
      <c r="P517" s="114">
        <v>3.1</v>
      </c>
      <c r="Q517" s="114">
        <v>5</v>
      </c>
      <c r="R517" s="114" t="s">
        <v>45</v>
      </c>
      <c r="S517" s="117"/>
    </row>
    <row r="518" spans="1:19" ht="15" x14ac:dyDescent="0.25">
      <c r="A518" s="7">
        <v>2012</v>
      </c>
      <c r="B518" s="116">
        <v>41117</v>
      </c>
      <c r="C518" s="114" t="s">
        <v>35</v>
      </c>
      <c r="D518" s="114" t="s">
        <v>53</v>
      </c>
      <c r="E518" s="114" t="s">
        <v>31</v>
      </c>
      <c r="F518" s="114" t="s">
        <v>38</v>
      </c>
      <c r="G518" s="30" t="s">
        <v>42</v>
      </c>
      <c r="H518" s="10" t="s">
        <v>55</v>
      </c>
      <c r="I518" s="114" t="s">
        <v>41</v>
      </c>
      <c r="J518" s="113">
        <v>0.40556712962962965</v>
      </c>
      <c r="K518" s="114">
        <v>59.5</v>
      </c>
      <c r="L518" s="114">
        <v>0.12</v>
      </c>
      <c r="M518" s="114">
        <v>322.3</v>
      </c>
      <c r="N518" s="114">
        <v>0.02</v>
      </c>
      <c r="O518" s="114">
        <v>63.4</v>
      </c>
      <c r="P518" s="114">
        <v>2.4</v>
      </c>
      <c r="Q518" s="114">
        <v>20</v>
      </c>
      <c r="R518" s="114" t="s">
        <v>45</v>
      </c>
      <c r="S518" s="117"/>
    </row>
    <row r="519" spans="1:19" ht="15" x14ac:dyDescent="0.25">
      <c r="A519" s="7">
        <v>2012</v>
      </c>
      <c r="B519" s="116">
        <v>41117</v>
      </c>
      <c r="C519" s="114" t="s">
        <v>35</v>
      </c>
      <c r="D519" s="114" t="s">
        <v>53</v>
      </c>
      <c r="E519" s="114" t="s">
        <v>31</v>
      </c>
      <c r="F519" s="114" t="s">
        <v>38</v>
      </c>
      <c r="G519" s="30" t="s">
        <v>42</v>
      </c>
      <c r="H519" s="10" t="s">
        <v>55</v>
      </c>
      <c r="I519" s="114" t="s">
        <v>41</v>
      </c>
      <c r="J519" s="113">
        <v>0.40569444444444441</v>
      </c>
      <c r="K519" s="114">
        <v>82.4</v>
      </c>
      <c r="L519" s="114">
        <v>0.13</v>
      </c>
      <c r="M519" s="114">
        <v>321</v>
      </c>
      <c r="N519" s="114">
        <v>0.02</v>
      </c>
      <c r="O519" s="114">
        <v>63.4</v>
      </c>
      <c r="P519" s="114">
        <v>1.9</v>
      </c>
      <c r="Q519" s="114">
        <v>35</v>
      </c>
      <c r="R519" s="114" t="s">
        <v>45</v>
      </c>
      <c r="S519" s="117"/>
    </row>
    <row r="520" spans="1:19" ht="15" x14ac:dyDescent="0.25">
      <c r="A520" s="7">
        <v>2012</v>
      </c>
      <c r="B520" s="116">
        <v>41117</v>
      </c>
      <c r="C520" s="114" t="s">
        <v>35</v>
      </c>
      <c r="D520" s="114" t="s">
        <v>53</v>
      </c>
      <c r="E520" s="114" t="s">
        <v>31</v>
      </c>
      <c r="F520" s="114" t="s">
        <v>38</v>
      </c>
      <c r="G520" s="30" t="s">
        <v>42</v>
      </c>
      <c r="H520" s="10" t="s">
        <v>55</v>
      </c>
      <c r="I520" s="114" t="s">
        <v>41</v>
      </c>
      <c r="J520" s="113">
        <v>0.40585648148148151</v>
      </c>
      <c r="K520" s="114">
        <v>107.7</v>
      </c>
      <c r="L520" s="114">
        <v>0.14000000000000001</v>
      </c>
      <c r="M520" s="114">
        <v>318.60000000000002</v>
      </c>
      <c r="N520" s="114">
        <v>0.02</v>
      </c>
      <c r="O520" s="114">
        <v>63.4</v>
      </c>
      <c r="P520" s="114">
        <v>1.5</v>
      </c>
      <c r="Q520" s="117">
        <v>50</v>
      </c>
      <c r="R520" s="114" t="s">
        <v>45</v>
      </c>
      <c r="S520" s="117"/>
    </row>
    <row r="521" spans="1:19" ht="15" x14ac:dyDescent="0.25">
      <c r="A521" s="7">
        <v>2012</v>
      </c>
      <c r="B521" s="116">
        <v>41117</v>
      </c>
      <c r="C521" s="114" t="s">
        <v>35</v>
      </c>
      <c r="D521" s="114" t="s">
        <v>53</v>
      </c>
      <c r="E521" s="114" t="s">
        <v>31</v>
      </c>
      <c r="F521" s="114" t="s">
        <v>38</v>
      </c>
      <c r="G521" s="30" t="s">
        <v>42</v>
      </c>
      <c r="H521" s="10" t="s">
        <v>55</v>
      </c>
      <c r="I521" s="114" t="s">
        <v>41</v>
      </c>
      <c r="J521" s="113">
        <v>0.40596064814814814</v>
      </c>
      <c r="K521" s="114">
        <v>151.1</v>
      </c>
      <c r="L521" s="114">
        <v>0.24</v>
      </c>
      <c r="M521" s="114">
        <v>317.39999999999998</v>
      </c>
      <c r="N521" s="114">
        <v>0.02</v>
      </c>
      <c r="O521" s="114">
        <v>63.4</v>
      </c>
      <c r="P521" s="114">
        <v>1</v>
      </c>
      <c r="Q521" s="117">
        <v>65</v>
      </c>
      <c r="R521" s="114" t="s">
        <v>45</v>
      </c>
      <c r="S521" s="117"/>
    </row>
    <row r="522" spans="1:19" ht="15" x14ac:dyDescent="0.25">
      <c r="A522" s="7">
        <v>2012</v>
      </c>
      <c r="B522" s="116">
        <v>41117</v>
      </c>
      <c r="C522" s="114" t="s">
        <v>35</v>
      </c>
      <c r="D522" s="114" t="s">
        <v>53</v>
      </c>
      <c r="E522" s="114" t="s">
        <v>31</v>
      </c>
      <c r="F522" s="114" t="s">
        <v>38</v>
      </c>
      <c r="G522" s="30" t="s">
        <v>42</v>
      </c>
      <c r="H522" s="10" t="s">
        <v>55</v>
      </c>
      <c r="I522" s="114" t="s">
        <v>41</v>
      </c>
      <c r="J522" s="113">
        <v>0.40613425925925922</v>
      </c>
      <c r="K522" s="114">
        <v>207.5</v>
      </c>
      <c r="L522" s="114">
        <v>0.15</v>
      </c>
      <c r="M522" s="114">
        <v>316.2</v>
      </c>
      <c r="N522" s="114">
        <v>0.02</v>
      </c>
      <c r="O522" s="114">
        <v>63.3</v>
      </c>
      <c r="P522" s="114">
        <v>0.5</v>
      </c>
      <c r="Q522" s="117">
        <v>80</v>
      </c>
      <c r="R522" s="114" t="s">
        <v>45</v>
      </c>
      <c r="S522" s="117"/>
    </row>
    <row r="523" spans="1:19" ht="15" x14ac:dyDescent="0.25">
      <c r="A523" s="7">
        <v>2012</v>
      </c>
      <c r="B523" s="116">
        <v>41117</v>
      </c>
      <c r="C523" s="114" t="s">
        <v>35</v>
      </c>
      <c r="D523" s="114" t="s">
        <v>53</v>
      </c>
      <c r="E523" s="114" t="s">
        <v>31</v>
      </c>
      <c r="F523" s="114" t="s">
        <v>38</v>
      </c>
      <c r="G523" s="30" t="s">
        <v>42</v>
      </c>
      <c r="H523" s="10" t="s">
        <v>55</v>
      </c>
      <c r="I523" s="114" t="s">
        <v>41</v>
      </c>
      <c r="J523" s="113">
        <v>0.40630787037037036</v>
      </c>
      <c r="K523" s="114">
        <v>268.8</v>
      </c>
      <c r="L523" s="114">
        <v>7.0000000000000007E-2</v>
      </c>
      <c r="M523" s="114">
        <v>314.89999999999998</v>
      </c>
      <c r="N523" s="114">
        <v>0.02</v>
      </c>
      <c r="O523" s="114">
        <v>63.3</v>
      </c>
      <c r="P523" s="114">
        <v>0.2</v>
      </c>
      <c r="Q523" s="117">
        <v>95</v>
      </c>
      <c r="R523" s="114" t="s">
        <v>45</v>
      </c>
      <c r="S523" s="114"/>
    </row>
    <row r="524" spans="1:19" ht="15" x14ac:dyDescent="0.25">
      <c r="A524" s="7">
        <v>2012</v>
      </c>
      <c r="B524" s="116">
        <v>41117</v>
      </c>
      <c r="C524" s="114" t="s">
        <v>35</v>
      </c>
      <c r="D524" s="114" t="s">
        <v>53</v>
      </c>
      <c r="E524" s="114" t="s">
        <v>31</v>
      </c>
      <c r="F524" s="114" t="s">
        <v>38</v>
      </c>
      <c r="G524" s="30" t="s">
        <v>42</v>
      </c>
      <c r="H524" s="10" t="s">
        <v>55</v>
      </c>
      <c r="I524" s="114" t="s">
        <v>41</v>
      </c>
      <c r="J524" s="113">
        <v>0.40641203703703704</v>
      </c>
      <c r="K524" s="114">
        <v>297.7</v>
      </c>
      <c r="L524" s="114">
        <v>0.02</v>
      </c>
      <c r="M524" s="114">
        <v>313.7</v>
      </c>
      <c r="N524" s="114">
        <v>0.02</v>
      </c>
      <c r="O524" s="114">
        <v>63.3</v>
      </c>
      <c r="P524" s="114">
        <v>0.1</v>
      </c>
      <c r="Q524" s="117">
        <v>110</v>
      </c>
      <c r="R524" s="114" t="s">
        <v>45</v>
      </c>
      <c r="S524" s="114"/>
    </row>
    <row r="525" spans="1:19" ht="15" x14ac:dyDescent="0.25">
      <c r="A525" s="7">
        <v>2012</v>
      </c>
      <c r="B525" s="116">
        <v>41117</v>
      </c>
      <c r="C525" s="114" t="s">
        <v>35</v>
      </c>
      <c r="D525" s="114" t="s">
        <v>53</v>
      </c>
      <c r="E525" s="114" t="s">
        <v>31</v>
      </c>
      <c r="F525" s="114" t="s">
        <v>38</v>
      </c>
      <c r="G525" s="30" t="s">
        <v>42</v>
      </c>
      <c r="H525" s="10" t="s">
        <v>55</v>
      </c>
      <c r="I525" s="114" t="s">
        <v>41</v>
      </c>
      <c r="J525" s="113">
        <v>0.40651620370370373</v>
      </c>
      <c r="K525" s="114">
        <v>307.7</v>
      </c>
      <c r="L525" s="114">
        <v>0.01</v>
      </c>
      <c r="M525" s="114">
        <v>312.5</v>
      </c>
      <c r="N525" s="114">
        <v>0.02</v>
      </c>
      <c r="O525" s="114">
        <v>63.3</v>
      </c>
      <c r="P525" s="114">
        <v>0</v>
      </c>
      <c r="Q525" s="117">
        <v>125</v>
      </c>
      <c r="R525" s="114" t="s">
        <v>45</v>
      </c>
      <c r="S525" s="114"/>
    </row>
    <row r="526" spans="1:19" ht="15" x14ac:dyDescent="0.25">
      <c r="A526" s="7">
        <v>2012</v>
      </c>
      <c r="B526" s="116">
        <v>41117</v>
      </c>
      <c r="C526" s="114" t="s">
        <v>35</v>
      </c>
      <c r="D526" s="114" t="s">
        <v>53</v>
      </c>
      <c r="E526" s="114" t="s">
        <v>31</v>
      </c>
      <c r="F526" s="114" t="s">
        <v>38</v>
      </c>
      <c r="G526" s="30" t="s">
        <v>42</v>
      </c>
      <c r="H526" s="10" t="s">
        <v>55</v>
      </c>
      <c r="I526" s="114" t="s">
        <v>41</v>
      </c>
      <c r="J526" s="113">
        <v>0.40664351851851849</v>
      </c>
      <c r="K526" s="114">
        <v>310.8</v>
      </c>
      <c r="L526" s="114">
        <v>0.01</v>
      </c>
      <c r="M526" s="114">
        <v>312.5</v>
      </c>
      <c r="N526" s="114">
        <v>0.02</v>
      </c>
      <c r="O526" s="114">
        <v>63.3</v>
      </c>
      <c r="P526" s="114">
        <v>0</v>
      </c>
      <c r="Q526" s="117">
        <v>140</v>
      </c>
      <c r="R526" s="114" t="s">
        <v>45</v>
      </c>
      <c r="S526" s="114"/>
    </row>
    <row r="527" spans="1:19" ht="15" x14ac:dyDescent="0.25">
      <c r="A527" s="7">
        <v>2012</v>
      </c>
      <c r="B527" s="116">
        <v>41117</v>
      </c>
      <c r="C527" s="114" t="s">
        <v>35</v>
      </c>
      <c r="D527" s="114" t="s">
        <v>53</v>
      </c>
      <c r="E527" s="114" t="s">
        <v>31</v>
      </c>
      <c r="F527" s="114" t="s">
        <v>38</v>
      </c>
      <c r="G527" s="30" t="s">
        <v>42</v>
      </c>
      <c r="H527" s="10" t="s">
        <v>55</v>
      </c>
      <c r="I527" s="114" t="s">
        <v>41</v>
      </c>
      <c r="J527" s="113">
        <v>0.40758101851851852</v>
      </c>
      <c r="K527" s="114">
        <v>31.4</v>
      </c>
      <c r="L527" s="114">
        <v>0.31</v>
      </c>
      <c r="M527" s="114">
        <v>304</v>
      </c>
      <c r="N527" s="114">
        <v>0.02</v>
      </c>
      <c r="O527" s="114">
        <v>63.2</v>
      </c>
      <c r="P527" s="114">
        <v>3.4</v>
      </c>
      <c r="Q527" s="114">
        <v>5</v>
      </c>
      <c r="R527" s="114" t="s">
        <v>45</v>
      </c>
      <c r="S527" s="117"/>
    </row>
    <row r="528" spans="1:19" ht="15" x14ac:dyDescent="0.25">
      <c r="A528" s="7">
        <v>2012</v>
      </c>
      <c r="B528" s="116">
        <v>41117</v>
      </c>
      <c r="C528" s="114" t="s">
        <v>35</v>
      </c>
      <c r="D528" s="114" t="s">
        <v>53</v>
      </c>
      <c r="E528" s="114" t="s">
        <v>31</v>
      </c>
      <c r="F528" s="114" t="s">
        <v>38</v>
      </c>
      <c r="G528" s="30" t="s">
        <v>42</v>
      </c>
      <c r="H528" s="10" t="s">
        <v>55</v>
      </c>
      <c r="I528" s="114" t="s">
        <v>41</v>
      </c>
      <c r="J528" s="113">
        <v>0.40783564814814816</v>
      </c>
      <c r="K528" s="114">
        <v>36</v>
      </c>
      <c r="L528" s="114">
        <v>0.37</v>
      </c>
      <c r="M528" s="114">
        <v>304</v>
      </c>
      <c r="N528" s="114">
        <v>0.03</v>
      </c>
      <c r="O528" s="114">
        <v>63.1</v>
      </c>
      <c r="P528" s="114">
        <v>3.2</v>
      </c>
      <c r="Q528" s="114">
        <v>20</v>
      </c>
      <c r="R528" s="114" t="s">
        <v>45</v>
      </c>
      <c r="S528" s="117"/>
    </row>
    <row r="529" spans="1:19" ht="15" x14ac:dyDescent="0.25">
      <c r="A529" s="7">
        <v>2012</v>
      </c>
      <c r="B529" s="116">
        <v>41117</v>
      </c>
      <c r="C529" s="114" t="s">
        <v>35</v>
      </c>
      <c r="D529" s="114" t="s">
        <v>53</v>
      </c>
      <c r="E529" s="114" t="s">
        <v>31</v>
      </c>
      <c r="F529" s="114" t="s">
        <v>38</v>
      </c>
      <c r="G529" s="30" t="s">
        <v>42</v>
      </c>
      <c r="H529" s="10" t="s">
        <v>55</v>
      </c>
      <c r="I529" s="114" t="s">
        <v>41</v>
      </c>
      <c r="J529" s="113">
        <v>0.40797453703703707</v>
      </c>
      <c r="K529" s="114">
        <v>49.3</v>
      </c>
      <c r="L529" s="114">
        <v>0.31</v>
      </c>
      <c r="M529" s="114">
        <v>300.3</v>
      </c>
      <c r="N529" s="114">
        <v>0.02</v>
      </c>
      <c r="O529" s="114">
        <v>63.1</v>
      </c>
      <c r="P529" s="114">
        <v>2.6</v>
      </c>
      <c r="Q529" s="114">
        <v>35</v>
      </c>
      <c r="R529" s="114" t="s">
        <v>45</v>
      </c>
      <c r="S529" s="117"/>
    </row>
    <row r="530" spans="1:19" ht="15" x14ac:dyDescent="0.25">
      <c r="A530" s="7">
        <v>2012</v>
      </c>
      <c r="B530" s="116">
        <v>41117</v>
      </c>
      <c r="C530" s="114" t="s">
        <v>35</v>
      </c>
      <c r="D530" s="114" t="s">
        <v>53</v>
      </c>
      <c r="E530" s="114" t="s">
        <v>31</v>
      </c>
      <c r="F530" s="114" t="s">
        <v>38</v>
      </c>
      <c r="G530" s="30" t="s">
        <v>42</v>
      </c>
      <c r="H530" s="10" t="s">
        <v>55</v>
      </c>
      <c r="I530" s="114" t="s">
        <v>41</v>
      </c>
      <c r="J530" s="113">
        <v>0.40811342592592598</v>
      </c>
      <c r="K530" s="114">
        <v>82.1</v>
      </c>
      <c r="L530" s="114">
        <v>0.21</v>
      </c>
      <c r="M530" s="114">
        <v>300.3</v>
      </c>
      <c r="N530" s="114">
        <v>0.02</v>
      </c>
      <c r="O530" s="114">
        <v>63.1</v>
      </c>
      <c r="P530" s="114">
        <v>1.8</v>
      </c>
      <c r="Q530" s="117">
        <v>50</v>
      </c>
      <c r="R530" s="114" t="s">
        <v>45</v>
      </c>
      <c r="S530" s="117"/>
    </row>
    <row r="531" spans="1:19" ht="15" x14ac:dyDescent="0.25">
      <c r="A531" s="7">
        <v>2012</v>
      </c>
      <c r="B531" s="116">
        <v>41117</v>
      </c>
      <c r="C531" s="114" t="s">
        <v>35</v>
      </c>
      <c r="D531" s="114" t="s">
        <v>53</v>
      </c>
      <c r="E531" s="114" t="s">
        <v>31</v>
      </c>
      <c r="F531" s="114" t="s">
        <v>38</v>
      </c>
      <c r="G531" s="30" t="s">
        <v>42</v>
      </c>
      <c r="H531" s="10" t="s">
        <v>55</v>
      </c>
      <c r="I531" s="114" t="s">
        <v>41</v>
      </c>
      <c r="J531" s="113">
        <v>0.40828703703703706</v>
      </c>
      <c r="K531" s="114">
        <v>138.69999999999999</v>
      </c>
      <c r="L531" s="114">
        <v>0.13</v>
      </c>
      <c r="M531" s="114">
        <v>299.10000000000002</v>
      </c>
      <c r="N531" s="114">
        <v>0.02</v>
      </c>
      <c r="O531" s="114">
        <v>63.1</v>
      </c>
      <c r="P531" s="114">
        <v>1</v>
      </c>
      <c r="Q531" s="117">
        <v>65</v>
      </c>
      <c r="R531" s="114" t="s">
        <v>45</v>
      </c>
      <c r="S531" s="117"/>
    </row>
    <row r="532" spans="1:19" ht="15" x14ac:dyDescent="0.25">
      <c r="A532" s="7">
        <v>2012</v>
      </c>
      <c r="B532" s="116">
        <v>41117</v>
      </c>
      <c r="C532" s="114" t="s">
        <v>35</v>
      </c>
      <c r="D532" s="114" t="s">
        <v>53</v>
      </c>
      <c r="E532" s="114" t="s">
        <v>31</v>
      </c>
      <c r="F532" s="114" t="s">
        <v>38</v>
      </c>
      <c r="G532" s="30" t="s">
        <v>42</v>
      </c>
      <c r="H532" s="10" t="s">
        <v>55</v>
      </c>
      <c r="I532" s="114" t="s">
        <v>41</v>
      </c>
      <c r="J532" s="113">
        <v>0.40839120370370369</v>
      </c>
      <c r="K532" s="114">
        <v>201.6</v>
      </c>
      <c r="L532" s="114">
        <v>0.16</v>
      </c>
      <c r="M532" s="114">
        <v>299.10000000000002</v>
      </c>
      <c r="N532" s="114">
        <v>0.02</v>
      </c>
      <c r="O532" s="114">
        <v>63.1</v>
      </c>
      <c r="P532" s="114">
        <v>0.5</v>
      </c>
      <c r="Q532" s="117">
        <v>80</v>
      </c>
      <c r="R532" s="114" t="s">
        <v>45</v>
      </c>
      <c r="S532" s="114"/>
    </row>
    <row r="533" spans="1:19" ht="15" x14ac:dyDescent="0.25">
      <c r="A533" s="7">
        <v>2012</v>
      </c>
      <c r="B533" s="116">
        <v>41117</v>
      </c>
      <c r="C533" s="114" t="s">
        <v>35</v>
      </c>
      <c r="D533" s="114" t="s">
        <v>53</v>
      </c>
      <c r="E533" s="114" t="s">
        <v>31</v>
      </c>
      <c r="F533" s="114" t="s">
        <v>38</v>
      </c>
      <c r="G533" s="30" t="s">
        <v>42</v>
      </c>
      <c r="H533" s="10" t="s">
        <v>55</v>
      </c>
      <c r="I533" s="114" t="s">
        <v>41</v>
      </c>
      <c r="J533" s="113">
        <v>0.40848379629629633</v>
      </c>
      <c r="K533" s="114">
        <v>269.60000000000002</v>
      </c>
      <c r="L533" s="114">
        <v>0.04</v>
      </c>
      <c r="M533" s="114">
        <v>297.89999999999998</v>
      </c>
      <c r="N533" s="114">
        <v>0.02</v>
      </c>
      <c r="O533" s="114">
        <v>63</v>
      </c>
      <c r="P533" s="114">
        <v>0.1</v>
      </c>
      <c r="Q533" s="117">
        <v>95</v>
      </c>
      <c r="R533" s="114" t="s">
        <v>45</v>
      </c>
      <c r="S533" s="114"/>
    </row>
    <row r="534" spans="1:19" ht="15" x14ac:dyDescent="0.25">
      <c r="A534" s="7">
        <v>2012</v>
      </c>
      <c r="B534" s="116">
        <v>41117</v>
      </c>
      <c r="C534" s="114" t="s">
        <v>35</v>
      </c>
      <c r="D534" s="114" t="s">
        <v>53</v>
      </c>
      <c r="E534" s="114" t="s">
        <v>31</v>
      </c>
      <c r="F534" s="114" t="s">
        <v>38</v>
      </c>
      <c r="G534" s="30" t="s">
        <v>42</v>
      </c>
      <c r="H534" s="10" t="s">
        <v>55</v>
      </c>
      <c r="I534" s="114" t="s">
        <v>41</v>
      </c>
      <c r="J534" s="113">
        <v>0.40862268518518513</v>
      </c>
      <c r="K534" s="114">
        <v>281.3</v>
      </c>
      <c r="L534" s="114">
        <v>0.02</v>
      </c>
      <c r="M534" s="114">
        <v>297.89999999999998</v>
      </c>
      <c r="N534" s="114">
        <v>0.02</v>
      </c>
      <c r="O534" s="114">
        <v>63</v>
      </c>
      <c r="P534" s="114">
        <v>0.1</v>
      </c>
      <c r="Q534" s="117">
        <v>110</v>
      </c>
      <c r="R534" s="114" t="s">
        <v>45</v>
      </c>
      <c r="S534" s="114"/>
    </row>
    <row r="535" spans="1:19" ht="15" x14ac:dyDescent="0.25">
      <c r="A535" s="7">
        <v>2012</v>
      </c>
      <c r="B535" s="116">
        <v>41117</v>
      </c>
      <c r="C535" s="114" t="s">
        <v>35</v>
      </c>
      <c r="D535" s="114" t="s">
        <v>53</v>
      </c>
      <c r="E535" s="114" t="s">
        <v>31</v>
      </c>
      <c r="F535" s="114" t="s">
        <v>38</v>
      </c>
      <c r="G535" s="30" t="s">
        <v>42</v>
      </c>
      <c r="H535" s="10" t="s">
        <v>55</v>
      </c>
      <c r="I535" s="114" t="s">
        <v>41</v>
      </c>
      <c r="J535" s="113">
        <v>0.40871527777777777</v>
      </c>
      <c r="K535" s="114">
        <v>288.2</v>
      </c>
      <c r="L535" s="114">
        <v>0.02</v>
      </c>
      <c r="M535" s="114">
        <v>297.89999999999998</v>
      </c>
      <c r="N535" s="114">
        <v>0.02</v>
      </c>
      <c r="O535" s="114">
        <v>63</v>
      </c>
      <c r="P535" s="114">
        <v>0</v>
      </c>
      <c r="Q535" s="117">
        <v>125</v>
      </c>
      <c r="R535" s="114" t="s">
        <v>45</v>
      </c>
      <c r="S535" s="114"/>
    </row>
    <row r="536" spans="1:19" ht="15" x14ac:dyDescent="0.25">
      <c r="A536" s="7">
        <v>2012</v>
      </c>
      <c r="B536" s="116">
        <v>41117</v>
      </c>
      <c r="C536" s="114" t="s">
        <v>35</v>
      </c>
      <c r="D536" s="114" t="s">
        <v>53</v>
      </c>
      <c r="E536" s="114" t="s">
        <v>31</v>
      </c>
      <c r="F536" s="114" t="s">
        <v>38</v>
      </c>
      <c r="G536" s="30" t="s">
        <v>42</v>
      </c>
      <c r="H536" s="10" t="s">
        <v>55</v>
      </c>
      <c r="I536" s="114" t="s">
        <v>41</v>
      </c>
      <c r="J536" s="113">
        <v>0.40884259259259265</v>
      </c>
      <c r="K536" s="114">
        <v>295.10000000000002</v>
      </c>
      <c r="L536" s="114">
        <v>0.01</v>
      </c>
      <c r="M536" s="114">
        <v>296.60000000000002</v>
      </c>
      <c r="N536" s="114">
        <v>0.02</v>
      </c>
      <c r="O536" s="114">
        <v>63</v>
      </c>
      <c r="P536" s="114">
        <v>0</v>
      </c>
      <c r="Q536" s="117">
        <v>140</v>
      </c>
      <c r="R536" s="114" t="s">
        <v>45</v>
      </c>
      <c r="S536" s="114"/>
    </row>
    <row r="537" spans="1:19" ht="15" x14ac:dyDescent="0.25">
      <c r="A537" s="7">
        <v>2012</v>
      </c>
      <c r="B537" s="27">
        <v>41109</v>
      </c>
      <c r="C537" s="17" t="s">
        <v>35</v>
      </c>
      <c r="D537" s="14" t="s">
        <v>2</v>
      </c>
      <c r="E537" s="17" t="s">
        <v>30</v>
      </c>
      <c r="F537" s="18" t="s">
        <v>38</v>
      </c>
      <c r="G537" s="30" t="s">
        <v>42</v>
      </c>
      <c r="H537" s="10" t="s">
        <v>55</v>
      </c>
      <c r="I537" s="106" t="s">
        <v>41</v>
      </c>
      <c r="J537" s="118">
        <v>0.61645833333333333</v>
      </c>
      <c r="K537" s="117">
        <v>47.1</v>
      </c>
      <c r="L537" s="117">
        <v>0.22</v>
      </c>
      <c r="M537" s="117">
        <v>397.9</v>
      </c>
      <c r="N537" s="117">
        <v>0.02</v>
      </c>
      <c r="O537" s="117">
        <v>103.9</v>
      </c>
      <c r="P537" s="117">
        <v>3.2</v>
      </c>
      <c r="Q537" s="117">
        <v>5</v>
      </c>
      <c r="R537" s="117" t="s">
        <v>45</v>
      </c>
      <c r="S537" s="117">
        <v>1</v>
      </c>
    </row>
    <row r="538" spans="1:19" ht="15" x14ac:dyDescent="0.25">
      <c r="A538" s="7">
        <v>2012</v>
      </c>
      <c r="B538" s="27">
        <v>41109</v>
      </c>
      <c r="C538" s="17" t="s">
        <v>35</v>
      </c>
      <c r="D538" s="14" t="s">
        <v>2</v>
      </c>
      <c r="E538" s="17" t="s">
        <v>30</v>
      </c>
      <c r="F538" s="18" t="s">
        <v>38</v>
      </c>
      <c r="G538" s="30" t="s">
        <v>42</v>
      </c>
      <c r="H538" s="10" t="s">
        <v>55</v>
      </c>
      <c r="I538" s="106" t="s">
        <v>41</v>
      </c>
      <c r="J538" s="118">
        <v>0.61684027777777783</v>
      </c>
      <c r="K538" s="117">
        <v>77.599999999999994</v>
      </c>
      <c r="L538" s="117">
        <v>0.28000000000000003</v>
      </c>
      <c r="M538" s="117">
        <v>393.1</v>
      </c>
      <c r="N538" s="117">
        <v>0.02</v>
      </c>
      <c r="O538" s="117">
        <v>104</v>
      </c>
      <c r="P538" s="117">
        <v>2.2999999999999998</v>
      </c>
      <c r="Q538" s="117">
        <v>20</v>
      </c>
      <c r="R538" s="117" t="s">
        <v>45</v>
      </c>
      <c r="S538" s="117">
        <v>1</v>
      </c>
    </row>
    <row r="539" spans="1:19" ht="15" x14ac:dyDescent="0.25">
      <c r="A539" s="7">
        <v>2012</v>
      </c>
      <c r="B539" s="27">
        <v>41109</v>
      </c>
      <c r="C539" s="17" t="s">
        <v>35</v>
      </c>
      <c r="D539" s="14" t="s">
        <v>2</v>
      </c>
      <c r="E539" s="17" t="s">
        <v>30</v>
      </c>
      <c r="F539" s="18" t="s">
        <v>38</v>
      </c>
      <c r="G539" s="30" t="s">
        <v>42</v>
      </c>
      <c r="H539" s="10" t="s">
        <v>55</v>
      </c>
      <c r="I539" s="106" t="s">
        <v>41</v>
      </c>
      <c r="J539" s="118">
        <v>0.6169675925925926</v>
      </c>
      <c r="K539" s="117">
        <v>115.6</v>
      </c>
      <c r="L539" s="117">
        <v>0.18</v>
      </c>
      <c r="M539" s="117">
        <v>390.6</v>
      </c>
      <c r="N539" s="117">
        <v>0.02</v>
      </c>
      <c r="O539" s="117">
        <v>104</v>
      </c>
      <c r="P539" s="117">
        <v>1.7</v>
      </c>
      <c r="Q539" s="117">
        <v>35</v>
      </c>
      <c r="R539" s="117" t="s">
        <v>45</v>
      </c>
      <c r="S539" s="117">
        <v>1</v>
      </c>
    </row>
    <row r="540" spans="1:19" ht="15" x14ac:dyDescent="0.25">
      <c r="A540" s="7">
        <v>2012</v>
      </c>
      <c r="B540" s="27">
        <v>41109</v>
      </c>
      <c r="C540" s="17" t="s">
        <v>35</v>
      </c>
      <c r="D540" s="14" t="s">
        <v>2</v>
      </c>
      <c r="E540" s="17" t="s">
        <v>30</v>
      </c>
      <c r="F540" s="18" t="s">
        <v>38</v>
      </c>
      <c r="G540" s="30" t="s">
        <v>42</v>
      </c>
      <c r="H540" s="10" t="s">
        <v>55</v>
      </c>
      <c r="I540" s="106" t="s">
        <v>41</v>
      </c>
      <c r="J540" s="118">
        <v>0.61716435185185181</v>
      </c>
      <c r="K540" s="117">
        <v>163.5</v>
      </c>
      <c r="L540" s="117">
        <v>0.17</v>
      </c>
      <c r="M540" s="117">
        <v>389.4</v>
      </c>
      <c r="N540" s="117">
        <v>0.02</v>
      </c>
      <c r="O540" s="117">
        <v>104</v>
      </c>
      <c r="P540" s="117">
        <v>1.1000000000000001</v>
      </c>
      <c r="Q540" s="117">
        <v>50</v>
      </c>
      <c r="R540" s="117" t="s">
        <v>45</v>
      </c>
      <c r="S540" s="117">
        <v>1</v>
      </c>
    </row>
    <row r="541" spans="1:19" ht="15" x14ac:dyDescent="0.25">
      <c r="A541" s="7">
        <v>2012</v>
      </c>
      <c r="B541" s="27">
        <v>41109</v>
      </c>
      <c r="C541" s="17" t="s">
        <v>35</v>
      </c>
      <c r="D541" s="14" t="s">
        <v>2</v>
      </c>
      <c r="E541" s="17" t="s">
        <v>30</v>
      </c>
      <c r="F541" s="18" t="s">
        <v>38</v>
      </c>
      <c r="G541" s="30" t="s">
        <v>42</v>
      </c>
      <c r="H541" s="10" t="s">
        <v>55</v>
      </c>
      <c r="I541" s="106" t="s">
        <v>41</v>
      </c>
      <c r="J541" s="118">
        <v>0.61728009259259264</v>
      </c>
      <c r="K541" s="117">
        <v>256.7</v>
      </c>
      <c r="L541" s="117">
        <v>0.13</v>
      </c>
      <c r="M541" s="117">
        <v>388.2</v>
      </c>
      <c r="N541" s="117">
        <v>0.02</v>
      </c>
      <c r="O541" s="117">
        <v>104</v>
      </c>
      <c r="P541" s="117">
        <v>0.5</v>
      </c>
      <c r="Q541" s="117">
        <v>65</v>
      </c>
      <c r="R541" s="117" t="s">
        <v>45</v>
      </c>
      <c r="S541" s="117">
        <v>1</v>
      </c>
    </row>
    <row r="542" spans="1:19" ht="15" x14ac:dyDescent="0.25">
      <c r="A542" s="7">
        <v>2012</v>
      </c>
      <c r="B542" s="27">
        <v>41109</v>
      </c>
      <c r="C542" s="17" t="s">
        <v>35</v>
      </c>
      <c r="D542" s="14" t="s">
        <v>2</v>
      </c>
      <c r="E542" s="17" t="s">
        <v>30</v>
      </c>
      <c r="F542" s="18" t="s">
        <v>38</v>
      </c>
      <c r="G542" s="30" t="s">
        <v>42</v>
      </c>
      <c r="H542" s="10" t="s">
        <v>55</v>
      </c>
      <c r="I542" s="106" t="s">
        <v>41</v>
      </c>
      <c r="J542" s="118">
        <v>0.61741898148148155</v>
      </c>
      <c r="K542" s="117">
        <v>315</v>
      </c>
      <c r="L542" s="117">
        <v>0.04</v>
      </c>
      <c r="M542" s="117">
        <v>387</v>
      </c>
      <c r="N542" s="117">
        <v>0.02</v>
      </c>
      <c r="O542" s="117">
        <v>104</v>
      </c>
      <c r="P542" s="117">
        <v>0.2</v>
      </c>
      <c r="Q542" s="117">
        <v>80</v>
      </c>
      <c r="R542" s="117" t="s">
        <v>45</v>
      </c>
      <c r="S542" s="117">
        <v>1</v>
      </c>
    </row>
    <row r="543" spans="1:19" ht="15" x14ac:dyDescent="0.25">
      <c r="A543" s="7">
        <v>2012</v>
      </c>
      <c r="B543" s="27">
        <v>41109</v>
      </c>
      <c r="C543" s="17" t="s">
        <v>35</v>
      </c>
      <c r="D543" s="14" t="s">
        <v>2</v>
      </c>
      <c r="E543" s="17" t="s">
        <v>30</v>
      </c>
      <c r="F543" s="18" t="s">
        <v>38</v>
      </c>
      <c r="G543" s="30" t="s">
        <v>42</v>
      </c>
      <c r="H543" s="10" t="s">
        <v>55</v>
      </c>
      <c r="I543" s="106" t="s">
        <v>41</v>
      </c>
      <c r="J543" s="118">
        <v>0.61790509259259252</v>
      </c>
      <c r="K543" s="117">
        <v>48.1</v>
      </c>
      <c r="L543" s="117">
        <v>0.35</v>
      </c>
      <c r="M543" s="117">
        <v>384.5</v>
      </c>
      <c r="N543" s="117">
        <v>0.02</v>
      </c>
      <c r="O543" s="117">
        <v>104.1</v>
      </c>
      <c r="P543" s="117">
        <v>3.1</v>
      </c>
      <c r="Q543" s="117">
        <v>5</v>
      </c>
      <c r="R543" s="117" t="s">
        <v>45</v>
      </c>
      <c r="S543" s="117">
        <v>2</v>
      </c>
    </row>
    <row r="544" spans="1:19" ht="15" x14ac:dyDescent="0.25">
      <c r="A544" s="7">
        <v>2012</v>
      </c>
      <c r="B544" s="27">
        <v>41109</v>
      </c>
      <c r="C544" s="17" t="s">
        <v>35</v>
      </c>
      <c r="D544" s="14" t="s">
        <v>2</v>
      </c>
      <c r="E544" s="17" t="s">
        <v>30</v>
      </c>
      <c r="F544" s="18" t="s">
        <v>38</v>
      </c>
      <c r="G544" s="30" t="s">
        <v>42</v>
      </c>
      <c r="H544" s="10" t="s">
        <v>55</v>
      </c>
      <c r="I544" s="106" t="s">
        <v>41</v>
      </c>
      <c r="J544" s="118">
        <v>0.61822916666666672</v>
      </c>
      <c r="K544" s="117">
        <v>83.6</v>
      </c>
      <c r="L544" s="117">
        <v>0.28000000000000003</v>
      </c>
      <c r="M544" s="117">
        <v>380.9</v>
      </c>
      <c r="N544" s="117">
        <v>0.02</v>
      </c>
      <c r="O544" s="117">
        <v>104.1</v>
      </c>
      <c r="P544" s="117">
        <v>2.1</v>
      </c>
      <c r="Q544" s="117">
        <v>20</v>
      </c>
      <c r="R544" s="117" t="s">
        <v>45</v>
      </c>
      <c r="S544" s="117">
        <v>2</v>
      </c>
    </row>
    <row r="545" spans="1:19" ht="15" x14ac:dyDescent="0.25">
      <c r="A545" s="7">
        <v>2012</v>
      </c>
      <c r="B545" s="27">
        <v>41109</v>
      </c>
      <c r="C545" s="17" t="s">
        <v>35</v>
      </c>
      <c r="D545" s="14" t="s">
        <v>2</v>
      </c>
      <c r="E545" s="17" t="s">
        <v>30</v>
      </c>
      <c r="F545" s="18" t="s">
        <v>38</v>
      </c>
      <c r="G545" s="30" t="s">
        <v>42</v>
      </c>
      <c r="H545" s="10" t="s">
        <v>55</v>
      </c>
      <c r="I545" s="106" t="s">
        <v>41</v>
      </c>
      <c r="J545" s="118">
        <v>0.61839120370370371</v>
      </c>
      <c r="K545" s="117">
        <v>120.2</v>
      </c>
      <c r="L545" s="117">
        <v>0.18</v>
      </c>
      <c r="M545" s="117">
        <v>377.2</v>
      </c>
      <c r="N545" s="117">
        <v>0.02</v>
      </c>
      <c r="O545" s="117">
        <v>104.1</v>
      </c>
      <c r="P545" s="117">
        <v>1.5</v>
      </c>
      <c r="Q545" s="117">
        <v>35</v>
      </c>
      <c r="R545" s="117" t="s">
        <v>45</v>
      </c>
      <c r="S545" s="117">
        <v>2</v>
      </c>
    </row>
    <row r="546" spans="1:19" ht="15" x14ac:dyDescent="0.25">
      <c r="A546" s="7">
        <v>2012</v>
      </c>
      <c r="B546" s="27">
        <v>41109</v>
      </c>
      <c r="C546" s="17" t="s">
        <v>35</v>
      </c>
      <c r="D546" s="14" t="s">
        <v>2</v>
      </c>
      <c r="E546" s="17" t="s">
        <v>30</v>
      </c>
      <c r="F546" s="18" t="s">
        <v>38</v>
      </c>
      <c r="G546" s="30" t="s">
        <v>42</v>
      </c>
      <c r="H546" s="10" t="s">
        <v>55</v>
      </c>
      <c r="I546" s="106" t="s">
        <v>41</v>
      </c>
      <c r="J546" s="118">
        <v>0.61870370370370364</v>
      </c>
      <c r="K546" s="117">
        <v>188.1</v>
      </c>
      <c r="L546" s="117">
        <v>0.22</v>
      </c>
      <c r="M546" s="117">
        <v>371.1</v>
      </c>
      <c r="N546" s="117">
        <v>0.02</v>
      </c>
      <c r="O546" s="117">
        <v>104.1</v>
      </c>
      <c r="P546" s="117">
        <v>0.8</v>
      </c>
      <c r="Q546" s="117">
        <v>50</v>
      </c>
      <c r="R546" s="117" t="s">
        <v>45</v>
      </c>
      <c r="S546" s="117">
        <v>2</v>
      </c>
    </row>
    <row r="547" spans="1:19" ht="15" x14ac:dyDescent="0.25">
      <c r="A547" s="7">
        <v>2012</v>
      </c>
      <c r="B547" s="27">
        <v>41109</v>
      </c>
      <c r="C547" s="17" t="s">
        <v>35</v>
      </c>
      <c r="D547" s="14" t="s">
        <v>2</v>
      </c>
      <c r="E547" s="17" t="s">
        <v>30</v>
      </c>
      <c r="F547" s="18" t="s">
        <v>38</v>
      </c>
      <c r="G547" s="30" t="s">
        <v>42</v>
      </c>
      <c r="H547" s="10" t="s">
        <v>55</v>
      </c>
      <c r="I547" s="106" t="s">
        <v>41</v>
      </c>
      <c r="J547" s="118">
        <v>0.61878472222222225</v>
      </c>
      <c r="K547" s="117">
        <v>279.39999999999998</v>
      </c>
      <c r="L547" s="117">
        <v>0.08</v>
      </c>
      <c r="M547" s="117">
        <v>368.7</v>
      </c>
      <c r="N547" s="117">
        <v>0.01</v>
      </c>
      <c r="O547" s="117">
        <v>104.1</v>
      </c>
      <c r="P547" s="117">
        <v>0.3</v>
      </c>
      <c r="Q547" s="117">
        <v>65</v>
      </c>
      <c r="R547" s="117" t="s">
        <v>45</v>
      </c>
      <c r="S547" s="117">
        <v>2</v>
      </c>
    </row>
    <row r="548" spans="1:19" ht="15" x14ac:dyDescent="0.25">
      <c r="A548" s="7">
        <v>2012</v>
      </c>
      <c r="B548" s="27">
        <v>41109</v>
      </c>
      <c r="C548" s="17" t="s">
        <v>35</v>
      </c>
      <c r="D548" s="14" t="s">
        <v>2</v>
      </c>
      <c r="E548" s="17" t="s">
        <v>30</v>
      </c>
      <c r="F548" s="18" t="s">
        <v>38</v>
      </c>
      <c r="G548" s="30" t="s">
        <v>42</v>
      </c>
      <c r="H548" s="10" t="s">
        <v>55</v>
      </c>
      <c r="I548" s="106" t="s">
        <v>41</v>
      </c>
      <c r="J548" s="118">
        <v>0.61900462962962965</v>
      </c>
      <c r="K548" s="117">
        <v>299.2</v>
      </c>
      <c r="L548" s="117">
        <v>0.04</v>
      </c>
      <c r="M548" s="117">
        <v>365</v>
      </c>
      <c r="N548" s="117">
        <v>0.02</v>
      </c>
      <c r="O548" s="117">
        <v>104.1</v>
      </c>
      <c r="P548" s="117">
        <v>0.2</v>
      </c>
      <c r="Q548" s="117">
        <v>80</v>
      </c>
      <c r="R548" s="117" t="s">
        <v>45</v>
      </c>
      <c r="S548" s="117">
        <v>2</v>
      </c>
    </row>
    <row r="549" spans="1:19" ht="15" x14ac:dyDescent="0.25">
      <c r="A549" s="7">
        <v>2012</v>
      </c>
      <c r="B549" s="27">
        <v>41109</v>
      </c>
      <c r="C549" s="17" t="s">
        <v>35</v>
      </c>
      <c r="D549" s="14" t="s">
        <v>2</v>
      </c>
      <c r="E549" s="17" t="s">
        <v>30</v>
      </c>
      <c r="F549" s="18" t="s">
        <v>38</v>
      </c>
      <c r="G549" s="30" t="s">
        <v>42</v>
      </c>
      <c r="H549" s="10" t="s">
        <v>55</v>
      </c>
      <c r="I549" s="106" t="s">
        <v>41</v>
      </c>
      <c r="J549" s="118">
        <v>0.61956018518518519</v>
      </c>
      <c r="K549" s="117">
        <v>38.700000000000003</v>
      </c>
      <c r="L549" s="117">
        <v>0.48</v>
      </c>
      <c r="M549" s="117">
        <v>357.7</v>
      </c>
      <c r="N549" s="117">
        <v>0.02</v>
      </c>
      <c r="O549" s="117">
        <v>104.2</v>
      </c>
      <c r="P549" s="117">
        <v>3.3</v>
      </c>
      <c r="Q549" s="117">
        <v>5</v>
      </c>
      <c r="R549" s="117" t="s">
        <v>45</v>
      </c>
      <c r="S549" s="117">
        <v>3</v>
      </c>
    </row>
    <row r="550" spans="1:19" ht="15" x14ac:dyDescent="0.25">
      <c r="A550" s="7">
        <v>2012</v>
      </c>
      <c r="B550" s="27">
        <v>41109</v>
      </c>
      <c r="C550" s="17" t="s">
        <v>35</v>
      </c>
      <c r="D550" s="14" t="s">
        <v>2</v>
      </c>
      <c r="E550" s="17" t="s">
        <v>30</v>
      </c>
      <c r="F550" s="18" t="s">
        <v>38</v>
      </c>
      <c r="G550" s="30" t="s">
        <v>42</v>
      </c>
      <c r="H550" s="10" t="s">
        <v>55</v>
      </c>
      <c r="I550" s="106" t="s">
        <v>41</v>
      </c>
      <c r="J550" s="118">
        <v>0.61990740740740746</v>
      </c>
      <c r="K550" s="117">
        <v>71</v>
      </c>
      <c r="L550" s="117">
        <v>0.12</v>
      </c>
      <c r="M550" s="117">
        <v>354</v>
      </c>
      <c r="N550" s="117">
        <v>0.02</v>
      </c>
      <c r="O550" s="117">
        <v>104.2</v>
      </c>
      <c r="P550" s="117">
        <v>2.2999999999999998</v>
      </c>
      <c r="Q550" s="117">
        <v>20</v>
      </c>
      <c r="R550" s="117" t="s">
        <v>45</v>
      </c>
      <c r="S550" s="117">
        <v>3</v>
      </c>
    </row>
    <row r="551" spans="1:19" ht="15" x14ac:dyDescent="0.25">
      <c r="A551" s="7">
        <v>2012</v>
      </c>
      <c r="B551" s="27">
        <v>41109</v>
      </c>
      <c r="C551" s="17" t="s">
        <v>35</v>
      </c>
      <c r="D551" s="14" t="s">
        <v>2</v>
      </c>
      <c r="E551" s="17" t="s">
        <v>30</v>
      </c>
      <c r="F551" s="18" t="s">
        <v>38</v>
      </c>
      <c r="G551" s="30" t="s">
        <v>42</v>
      </c>
      <c r="H551" s="10" t="s">
        <v>55</v>
      </c>
      <c r="I551" s="106" t="s">
        <v>41</v>
      </c>
      <c r="J551" s="118">
        <v>0.6202199074074074</v>
      </c>
      <c r="K551" s="117">
        <v>80.5</v>
      </c>
      <c r="L551" s="117">
        <v>0.18</v>
      </c>
      <c r="M551" s="117">
        <v>350.3</v>
      </c>
      <c r="N551" s="117">
        <v>0.02</v>
      </c>
      <c r="O551" s="117">
        <v>104.2</v>
      </c>
      <c r="P551" s="117">
        <v>2.1</v>
      </c>
      <c r="Q551" s="117">
        <v>35</v>
      </c>
      <c r="R551" s="117" t="s">
        <v>45</v>
      </c>
      <c r="S551" s="117">
        <v>3</v>
      </c>
    </row>
    <row r="552" spans="1:19" ht="15" x14ac:dyDescent="0.25">
      <c r="A552" s="7">
        <v>2012</v>
      </c>
      <c r="B552" s="27">
        <v>41109</v>
      </c>
      <c r="C552" s="17" t="s">
        <v>35</v>
      </c>
      <c r="D552" s="14" t="s">
        <v>2</v>
      </c>
      <c r="E552" s="17" t="s">
        <v>30</v>
      </c>
      <c r="F552" s="18" t="s">
        <v>38</v>
      </c>
      <c r="G552" s="30" t="s">
        <v>42</v>
      </c>
      <c r="H552" s="10" t="s">
        <v>55</v>
      </c>
      <c r="I552" s="106" t="s">
        <v>41</v>
      </c>
      <c r="J552" s="118">
        <v>0.62035879629629631</v>
      </c>
      <c r="K552" s="117">
        <v>121.7</v>
      </c>
      <c r="L552" s="117">
        <v>0.31</v>
      </c>
      <c r="M552" s="117">
        <v>349.1</v>
      </c>
      <c r="N552" s="117">
        <v>0.02</v>
      </c>
      <c r="O552" s="117">
        <v>104.2</v>
      </c>
      <c r="P552" s="117">
        <v>1.4</v>
      </c>
      <c r="Q552" s="117">
        <v>50</v>
      </c>
      <c r="R552" s="117" t="s">
        <v>45</v>
      </c>
      <c r="S552" s="117">
        <v>3</v>
      </c>
    </row>
    <row r="553" spans="1:19" ht="15" x14ac:dyDescent="0.25">
      <c r="A553" s="7">
        <v>2012</v>
      </c>
      <c r="B553" s="27">
        <v>41109</v>
      </c>
      <c r="C553" s="17" t="s">
        <v>35</v>
      </c>
      <c r="D553" s="14" t="s">
        <v>2</v>
      </c>
      <c r="E553" s="17" t="s">
        <v>30</v>
      </c>
      <c r="F553" s="18" t="s">
        <v>38</v>
      </c>
      <c r="G553" s="30" t="s">
        <v>42</v>
      </c>
      <c r="H553" s="10" t="s">
        <v>55</v>
      </c>
      <c r="I553" s="106" t="s">
        <v>41</v>
      </c>
      <c r="J553" s="118">
        <v>0.62059027777777775</v>
      </c>
      <c r="K553" s="117">
        <v>236.7</v>
      </c>
      <c r="L553" s="117">
        <v>0.13</v>
      </c>
      <c r="M553" s="117">
        <v>346.7</v>
      </c>
      <c r="N553" s="117">
        <v>0.01</v>
      </c>
      <c r="O553" s="117">
        <v>104.3</v>
      </c>
      <c r="P553" s="117">
        <v>0.4</v>
      </c>
      <c r="Q553" s="117">
        <v>65</v>
      </c>
      <c r="R553" s="117" t="s">
        <v>45</v>
      </c>
      <c r="S553" s="117">
        <v>3</v>
      </c>
    </row>
    <row r="554" spans="1:19" ht="15" x14ac:dyDescent="0.25">
      <c r="A554" s="7">
        <v>2012</v>
      </c>
      <c r="B554" s="27">
        <v>41109</v>
      </c>
      <c r="C554" s="17" t="s">
        <v>35</v>
      </c>
      <c r="D554" s="14" t="s">
        <v>2</v>
      </c>
      <c r="E554" s="17" t="s">
        <v>30</v>
      </c>
      <c r="F554" s="18" t="s">
        <v>38</v>
      </c>
      <c r="G554" s="30" t="s">
        <v>42</v>
      </c>
      <c r="H554" s="10" t="s">
        <v>55</v>
      </c>
      <c r="I554" s="106" t="s">
        <v>41</v>
      </c>
      <c r="J554" s="118">
        <v>0.62076388888888889</v>
      </c>
      <c r="K554" s="117">
        <v>272.89999999999998</v>
      </c>
      <c r="L554" s="117">
        <v>0.05</v>
      </c>
      <c r="M554" s="117">
        <v>344.2</v>
      </c>
      <c r="N554" s="117">
        <v>0.02</v>
      </c>
      <c r="O554" s="117">
        <v>104.3</v>
      </c>
      <c r="P554" s="117">
        <v>0.2</v>
      </c>
      <c r="Q554" s="117">
        <v>80</v>
      </c>
      <c r="R554" s="117" t="s">
        <v>45</v>
      </c>
      <c r="S554" s="117">
        <v>3</v>
      </c>
    </row>
    <row r="555" spans="1:19" ht="15" x14ac:dyDescent="0.25">
      <c r="A555" s="7">
        <v>2012</v>
      </c>
      <c r="B555" s="107">
        <v>41109</v>
      </c>
      <c r="C555" s="106" t="s">
        <v>52</v>
      </c>
      <c r="D555" s="108" t="s">
        <v>53</v>
      </c>
      <c r="E555" s="108" t="s">
        <v>29</v>
      </c>
      <c r="F555" s="108" t="s">
        <v>38</v>
      </c>
      <c r="G555" s="30" t="s">
        <v>42</v>
      </c>
      <c r="H555" s="10" t="s">
        <v>55</v>
      </c>
      <c r="I555" s="18" t="s">
        <v>60</v>
      </c>
      <c r="J555" s="118">
        <v>0.61050925925925925</v>
      </c>
      <c r="K555" s="117">
        <v>144.6</v>
      </c>
      <c r="L555" s="117">
        <v>0.24</v>
      </c>
      <c r="M555" s="117">
        <v>573.70000000000005</v>
      </c>
      <c r="N555" s="117">
        <v>0.04</v>
      </c>
      <c r="O555" s="117">
        <v>103.5</v>
      </c>
      <c r="P555" s="117">
        <v>1.9</v>
      </c>
      <c r="Q555" s="117">
        <v>5</v>
      </c>
      <c r="R555" s="117" t="s">
        <v>45</v>
      </c>
      <c r="S555" s="117">
        <v>1</v>
      </c>
    </row>
    <row r="556" spans="1:19" ht="15" x14ac:dyDescent="0.25">
      <c r="A556" s="7">
        <v>2012</v>
      </c>
      <c r="B556" s="107">
        <v>41109</v>
      </c>
      <c r="C556" s="106" t="s">
        <v>52</v>
      </c>
      <c r="D556" s="108" t="s">
        <v>53</v>
      </c>
      <c r="E556" s="108" t="s">
        <v>29</v>
      </c>
      <c r="F556" s="108" t="s">
        <v>38</v>
      </c>
      <c r="G556" s="30" t="s">
        <v>42</v>
      </c>
      <c r="H556" s="10" t="s">
        <v>55</v>
      </c>
      <c r="I556" s="18" t="s">
        <v>60</v>
      </c>
      <c r="J556" s="118">
        <v>0.61076388888888888</v>
      </c>
      <c r="K556" s="117">
        <v>157.6</v>
      </c>
      <c r="L556" s="117">
        <v>0.3</v>
      </c>
      <c r="M556" s="117">
        <v>553</v>
      </c>
      <c r="N556" s="117">
        <v>0.03</v>
      </c>
      <c r="O556" s="117">
        <v>103.5</v>
      </c>
      <c r="P556" s="117">
        <v>1.7</v>
      </c>
      <c r="Q556" s="117">
        <v>20</v>
      </c>
      <c r="R556" s="117" t="s">
        <v>45</v>
      </c>
      <c r="S556" s="117">
        <v>1</v>
      </c>
    </row>
    <row r="557" spans="1:19" ht="15" x14ac:dyDescent="0.25">
      <c r="A557" s="7">
        <v>2012</v>
      </c>
      <c r="B557" s="107">
        <v>41109</v>
      </c>
      <c r="C557" s="106" t="s">
        <v>52</v>
      </c>
      <c r="D557" s="108" t="s">
        <v>53</v>
      </c>
      <c r="E557" s="108" t="s">
        <v>29</v>
      </c>
      <c r="F557" s="108" t="s">
        <v>38</v>
      </c>
      <c r="G557" s="30" t="s">
        <v>42</v>
      </c>
      <c r="H557" s="10" t="s">
        <v>55</v>
      </c>
      <c r="I557" s="18" t="s">
        <v>60</v>
      </c>
      <c r="J557" s="118">
        <v>0.61084490740740738</v>
      </c>
      <c r="K557" s="117">
        <v>201.9</v>
      </c>
      <c r="L557" s="117">
        <v>0.42</v>
      </c>
      <c r="M557" s="117">
        <v>546.9</v>
      </c>
      <c r="N557" s="117">
        <v>0.03</v>
      </c>
      <c r="O557" s="117">
        <v>103.5</v>
      </c>
      <c r="P557" s="117">
        <v>1.3</v>
      </c>
      <c r="Q557" s="117">
        <v>35</v>
      </c>
      <c r="R557" s="117" t="s">
        <v>45</v>
      </c>
      <c r="S557" s="117">
        <v>1</v>
      </c>
    </row>
    <row r="558" spans="1:19" ht="15" x14ac:dyDescent="0.25">
      <c r="A558" s="7">
        <v>2012</v>
      </c>
      <c r="B558" s="107">
        <v>41109</v>
      </c>
      <c r="C558" s="106" t="s">
        <v>52</v>
      </c>
      <c r="D558" s="108" t="s">
        <v>53</v>
      </c>
      <c r="E558" s="108" t="s">
        <v>29</v>
      </c>
      <c r="F558" s="108" t="s">
        <v>38</v>
      </c>
      <c r="G558" s="30" t="s">
        <v>42</v>
      </c>
      <c r="H558" s="10" t="s">
        <v>55</v>
      </c>
      <c r="I558" s="18" t="s">
        <v>60</v>
      </c>
      <c r="J558" s="118">
        <v>0.61093750000000002</v>
      </c>
      <c r="K558" s="117">
        <v>368.9</v>
      </c>
      <c r="L558" s="117">
        <v>0.16</v>
      </c>
      <c r="M558" s="117">
        <v>538.29999999999995</v>
      </c>
      <c r="N558" s="117">
        <v>0.03</v>
      </c>
      <c r="O558" s="117">
        <v>103.5</v>
      </c>
      <c r="P558" s="117">
        <v>0.4</v>
      </c>
      <c r="Q558" s="117">
        <v>50</v>
      </c>
      <c r="R558" s="117" t="s">
        <v>45</v>
      </c>
      <c r="S558" s="117">
        <v>1</v>
      </c>
    </row>
    <row r="559" spans="1:19" ht="15" x14ac:dyDescent="0.25">
      <c r="A559" s="7">
        <v>2012</v>
      </c>
      <c r="B559" s="107">
        <v>41109</v>
      </c>
      <c r="C559" s="106" t="s">
        <v>52</v>
      </c>
      <c r="D559" s="108" t="s">
        <v>53</v>
      </c>
      <c r="E559" s="108" t="s">
        <v>29</v>
      </c>
      <c r="F559" s="108" t="s">
        <v>38</v>
      </c>
      <c r="G559" s="30" t="s">
        <v>42</v>
      </c>
      <c r="H559" s="10" t="s">
        <v>55</v>
      </c>
      <c r="I559" s="18" t="s">
        <v>60</v>
      </c>
      <c r="J559" s="118">
        <v>0.61101851851851852</v>
      </c>
      <c r="K559" s="117">
        <v>431</v>
      </c>
      <c r="L559" s="117">
        <v>0.04</v>
      </c>
      <c r="M559" s="117">
        <v>532.20000000000005</v>
      </c>
      <c r="N559" s="117">
        <v>0.03</v>
      </c>
      <c r="O559" s="117">
        <v>103.5</v>
      </c>
      <c r="P559" s="117">
        <v>0.2</v>
      </c>
      <c r="Q559" s="117">
        <v>65</v>
      </c>
      <c r="R559" s="117" t="s">
        <v>45</v>
      </c>
      <c r="S559" s="117">
        <v>1</v>
      </c>
    </row>
    <row r="560" spans="1:19" ht="15" x14ac:dyDescent="0.25">
      <c r="A560" s="7">
        <v>2012</v>
      </c>
      <c r="B560" s="107">
        <v>41109</v>
      </c>
      <c r="C560" s="106" t="s">
        <v>52</v>
      </c>
      <c r="D560" s="108" t="s">
        <v>53</v>
      </c>
      <c r="E560" s="108" t="s">
        <v>29</v>
      </c>
      <c r="F560" s="108" t="s">
        <v>38</v>
      </c>
      <c r="G560" s="30" t="s">
        <v>42</v>
      </c>
      <c r="H560" s="10" t="s">
        <v>55</v>
      </c>
      <c r="I560" s="18" t="s">
        <v>60</v>
      </c>
      <c r="J560" s="118">
        <v>0.61113425925925924</v>
      </c>
      <c r="K560" s="117">
        <v>438.1</v>
      </c>
      <c r="L560" s="117">
        <v>0.03</v>
      </c>
      <c r="M560" s="117">
        <v>524.9</v>
      </c>
      <c r="N560" s="117">
        <v>0.02</v>
      </c>
      <c r="O560" s="117">
        <v>103.5</v>
      </c>
      <c r="P560" s="117">
        <v>0.2</v>
      </c>
      <c r="Q560" s="117">
        <v>80</v>
      </c>
      <c r="R560" s="117" t="s">
        <v>45</v>
      </c>
      <c r="S560" s="117">
        <v>1</v>
      </c>
    </row>
    <row r="561" spans="1:19" ht="15" x14ac:dyDescent="0.25">
      <c r="A561" s="7">
        <v>2012</v>
      </c>
      <c r="B561" s="107">
        <v>41109</v>
      </c>
      <c r="C561" s="106" t="s">
        <v>52</v>
      </c>
      <c r="D561" s="108" t="s">
        <v>53</v>
      </c>
      <c r="E561" s="108" t="s">
        <v>29</v>
      </c>
      <c r="F561" s="108" t="s">
        <v>38</v>
      </c>
      <c r="G561" s="30" t="s">
        <v>42</v>
      </c>
      <c r="H561" s="10" t="s">
        <v>55</v>
      </c>
      <c r="I561" s="18" t="s">
        <v>60</v>
      </c>
      <c r="J561" s="118">
        <v>0.61148148148148151</v>
      </c>
      <c r="K561" s="117">
        <v>139.80000000000001</v>
      </c>
      <c r="L561" s="117">
        <v>0.19</v>
      </c>
      <c r="M561" s="117">
        <v>500.5</v>
      </c>
      <c r="N561" s="117">
        <v>0.02</v>
      </c>
      <c r="O561" s="117">
        <v>103.6</v>
      </c>
      <c r="P561" s="117">
        <v>1.7</v>
      </c>
      <c r="Q561" s="117">
        <v>5</v>
      </c>
      <c r="R561" s="117" t="s">
        <v>45</v>
      </c>
      <c r="S561" s="117">
        <v>2</v>
      </c>
    </row>
    <row r="562" spans="1:19" ht="15" x14ac:dyDescent="0.25">
      <c r="A562" s="7">
        <v>2012</v>
      </c>
      <c r="B562" s="107">
        <v>41109</v>
      </c>
      <c r="C562" s="106" t="s">
        <v>52</v>
      </c>
      <c r="D562" s="108" t="s">
        <v>53</v>
      </c>
      <c r="E562" s="108" t="s">
        <v>29</v>
      </c>
      <c r="F562" s="108" t="s">
        <v>38</v>
      </c>
      <c r="G562" s="30" t="s">
        <v>42</v>
      </c>
      <c r="H562" s="10" t="s">
        <v>55</v>
      </c>
      <c r="I562" s="18" t="s">
        <v>60</v>
      </c>
      <c r="J562" s="118">
        <v>0.61166666666666669</v>
      </c>
      <c r="K562" s="117">
        <v>164.2</v>
      </c>
      <c r="L562" s="117">
        <v>0.18</v>
      </c>
      <c r="M562" s="117">
        <v>491.9</v>
      </c>
      <c r="N562" s="117">
        <v>0.02</v>
      </c>
      <c r="O562" s="117">
        <v>103.6</v>
      </c>
      <c r="P562" s="117">
        <v>1.5</v>
      </c>
      <c r="Q562" s="117">
        <v>20</v>
      </c>
      <c r="R562" s="117" t="s">
        <v>45</v>
      </c>
      <c r="S562" s="117">
        <v>2</v>
      </c>
    </row>
    <row r="563" spans="1:19" ht="15" x14ac:dyDescent="0.25">
      <c r="A563" s="7">
        <v>2012</v>
      </c>
      <c r="B563" s="107">
        <v>41109</v>
      </c>
      <c r="C563" s="106" t="s">
        <v>52</v>
      </c>
      <c r="D563" s="108" t="s">
        <v>53</v>
      </c>
      <c r="E563" s="108" t="s">
        <v>29</v>
      </c>
      <c r="F563" s="108" t="s">
        <v>38</v>
      </c>
      <c r="G563" s="30" t="s">
        <v>42</v>
      </c>
      <c r="H563" s="10" t="s">
        <v>55</v>
      </c>
      <c r="I563" s="18" t="s">
        <v>60</v>
      </c>
      <c r="J563" s="118">
        <v>0.61190972222222217</v>
      </c>
      <c r="K563" s="117">
        <v>238.6</v>
      </c>
      <c r="L563" s="117">
        <v>0.16</v>
      </c>
      <c r="M563" s="117">
        <v>482.2</v>
      </c>
      <c r="N563" s="117">
        <v>0.03</v>
      </c>
      <c r="O563" s="117">
        <v>103.6</v>
      </c>
      <c r="P563" s="117">
        <v>0.9</v>
      </c>
      <c r="Q563" s="117">
        <v>35</v>
      </c>
      <c r="R563" s="117" t="s">
        <v>45</v>
      </c>
      <c r="S563" s="117">
        <v>2</v>
      </c>
    </row>
    <row r="564" spans="1:19" ht="15" x14ac:dyDescent="0.25">
      <c r="A564" s="7">
        <v>2012</v>
      </c>
      <c r="B564" s="107">
        <v>41109</v>
      </c>
      <c r="C564" s="106" t="s">
        <v>52</v>
      </c>
      <c r="D564" s="108" t="s">
        <v>53</v>
      </c>
      <c r="E564" s="108" t="s">
        <v>29</v>
      </c>
      <c r="F564" s="108" t="s">
        <v>38</v>
      </c>
      <c r="G564" s="30" t="s">
        <v>42</v>
      </c>
      <c r="H564" s="10" t="s">
        <v>55</v>
      </c>
      <c r="I564" s="18" t="s">
        <v>60</v>
      </c>
      <c r="J564" s="118">
        <v>0.61202546296296301</v>
      </c>
      <c r="K564" s="117">
        <v>269.39999999999998</v>
      </c>
      <c r="L564" s="117">
        <v>0.24</v>
      </c>
      <c r="M564" s="117">
        <v>477.3</v>
      </c>
      <c r="N564" s="117">
        <v>0.03</v>
      </c>
      <c r="O564" s="117">
        <v>103.6</v>
      </c>
      <c r="P564" s="117">
        <v>0.7</v>
      </c>
      <c r="Q564" s="117">
        <v>50</v>
      </c>
      <c r="R564" s="117" t="s">
        <v>45</v>
      </c>
      <c r="S564" s="117">
        <v>2</v>
      </c>
    </row>
    <row r="565" spans="1:19" ht="15" x14ac:dyDescent="0.25">
      <c r="A565" s="7">
        <v>2012</v>
      </c>
      <c r="B565" s="107">
        <v>41109</v>
      </c>
      <c r="C565" s="106" t="s">
        <v>52</v>
      </c>
      <c r="D565" s="108" t="s">
        <v>53</v>
      </c>
      <c r="E565" s="108" t="s">
        <v>29</v>
      </c>
      <c r="F565" s="108" t="s">
        <v>38</v>
      </c>
      <c r="G565" s="30" t="s">
        <v>42</v>
      </c>
      <c r="H565" s="10" t="s">
        <v>55</v>
      </c>
      <c r="I565" s="18" t="s">
        <v>60</v>
      </c>
      <c r="J565" s="118">
        <v>0.61225694444444445</v>
      </c>
      <c r="K565" s="117">
        <v>314.10000000000002</v>
      </c>
      <c r="L565" s="117">
        <v>0.27</v>
      </c>
      <c r="M565" s="117">
        <v>467.5</v>
      </c>
      <c r="N565" s="117">
        <v>0.02</v>
      </c>
      <c r="O565" s="117">
        <v>103.6</v>
      </c>
      <c r="P565" s="117">
        <v>0.5</v>
      </c>
      <c r="Q565" s="117">
        <v>65</v>
      </c>
      <c r="R565" s="117" t="s">
        <v>45</v>
      </c>
      <c r="S565" s="117">
        <v>2</v>
      </c>
    </row>
    <row r="566" spans="1:19" ht="15" x14ac:dyDescent="0.25">
      <c r="A566" s="7">
        <v>2012</v>
      </c>
      <c r="B566" s="107">
        <v>41109</v>
      </c>
      <c r="C566" s="106" t="s">
        <v>52</v>
      </c>
      <c r="D566" s="108" t="s">
        <v>53</v>
      </c>
      <c r="E566" s="108" t="s">
        <v>29</v>
      </c>
      <c r="F566" s="108" t="s">
        <v>38</v>
      </c>
      <c r="G566" s="30" t="s">
        <v>42</v>
      </c>
      <c r="H566" s="10" t="s">
        <v>55</v>
      </c>
      <c r="I566" s="18" t="s">
        <v>60</v>
      </c>
      <c r="J566" s="118">
        <v>0.61241898148148144</v>
      </c>
      <c r="K566" s="117">
        <v>361.5</v>
      </c>
      <c r="L566" s="117">
        <v>0.12</v>
      </c>
      <c r="M566" s="117">
        <v>462.6</v>
      </c>
      <c r="N566" s="117">
        <v>0.02</v>
      </c>
      <c r="O566" s="117">
        <v>103.6</v>
      </c>
      <c r="P566" s="117">
        <v>0.3</v>
      </c>
      <c r="Q566" s="117">
        <v>80</v>
      </c>
      <c r="R566" s="117" t="s">
        <v>45</v>
      </c>
      <c r="S566" s="117">
        <v>2</v>
      </c>
    </row>
    <row r="567" spans="1:19" ht="15" x14ac:dyDescent="0.25">
      <c r="A567" s="7">
        <v>2012</v>
      </c>
      <c r="B567" s="107">
        <v>41109</v>
      </c>
      <c r="C567" s="106" t="s">
        <v>52</v>
      </c>
      <c r="D567" s="108" t="s">
        <v>53</v>
      </c>
      <c r="E567" s="108" t="s">
        <v>29</v>
      </c>
      <c r="F567" s="108" t="s">
        <v>38</v>
      </c>
      <c r="G567" s="30" t="s">
        <v>42</v>
      </c>
      <c r="H567" s="10" t="s">
        <v>55</v>
      </c>
      <c r="I567" s="18" t="s">
        <v>60</v>
      </c>
      <c r="J567" s="118">
        <v>0.61251157407407408</v>
      </c>
      <c r="K567" s="117">
        <v>375.9</v>
      </c>
      <c r="L567" s="117">
        <v>0.03</v>
      </c>
      <c r="M567" s="117">
        <v>459</v>
      </c>
      <c r="N567" s="117">
        <v>0.02</v>
      </c>
      <c r="O567" s="117">
        <v>103.6</v>
      </c>
      <c r="P567" s="117">
        <v>0.2</v>
      </c>
      <c r="Q567" s="117">
        <v>95</v>
      </c>
      <c r="R567" s="117" t="s">
        <v>45</v>
      </c>
      <c r="S567" s="117">
        <v>2</v>
      </c>
    </row>
    <row r="568" spans="1:19" ht="15" x14ac:dyDescent="0.25">
      <c r="A568" s="7">
        <v>2012</v>
      </c>
      <c r="B568" s="107">
        <v>41109</v>
      </c>
      <c r="C568" s="106" t="s">
        <v>52</v>
      </c>
      <c r="D568" s="108" t="s">
        <v>53</v>
      </c>
      <c r="E568" s="108" t="s">
        <v>29</v>
      </c>
      <c r="F568" s="108" t="s">
        <v>38</v>
      </c>
      <c r="G568" s="30" t="s">
        <v>42</v>
      </c>
      <c r="H568" s="10" t="s">
        <v>55</v>
      </c>
      <c r="I568" s="18" t="s">
        <v>60</v>
      </c>
      <c r="J568" s="118">
        <v>0.61288194444444444</v>
      </c>
      <c r="K568" s="117">
        <v>72</v>
      </c>
      <c r="L568" s="117">
        <v>0.28000000000000003</v>
      </c>
      <c r="M568" s="117">
        <v>446.8</v>
      </c>
      <c r="N568" s="117">
        <v>0.02</v>
      </c>
      <c r="O568" s="117">
        <v>103.7</v>
      </c>
      <c r="P568" s="117">
        <v>2.6</v>
      </c>
      <c r="Q568" s="117">
        <v>5</v>
      </c>
      <c r="R568" s="117" t="s">
        <v>45</v>
      </c>
      <c r="S568" s="117">
        <v>3</v>
      </c>
    </row>
    <row r="569" spans="1:19" ht="15" x14ac:dyDescent="0.25">
      <c r="A569" s="7">
        <v>2012</v>
      </c>
      <c r="B569" s="107">
        <v>41109</v>
      </c>
      <c r="C569" s="106" t="s">
        <v>52</v>
      </c>
      <c r="D569" s="108" t="s">
        <v>53</v>
      </c>
      <c r="E569" s="108" t="s">
        <v>29</v>
      </c>
      <c r="F569" s="108" t="s">
        <v>38</v>
      </c>
      <c r="G569" s="30" t="s">
        <v>42</v>
      </c>
      <c r="H569" s="10" t="s">
        <v>55</v>
      </c>
      <c r="I569" s="18" t="s">
        <v>60</v>
      </c>
      <c r="J569" s="118">
        <v>0.61337962962962966</v>
      </c>
      <c r="K569" s="117">
        <v>88.8</v>
      </c>
      <c r="L569" s="117">
        <v>0.16</v>
      </c>
      <c r="M569" s="117">
        <v>429.7</v>
      </c>
      <c r="N569" s="117">
        <v>0.02</v>
      </c>
      <c r="O569" s="117">
        <v>103.7</v>
      </c>
      <c r="P569" s="117">
        <v>2.2000000000000002</v>
      </c>
      <c r="Q569" s="117">
        <v>20</v>
      </c>
      <c r="R569" s="117" t="s">
        <v>45</v>
      </c>
      <c r="S569" s="117">
        <v>3</v>
      </c>
    </row>
    <row r="570" spans="1:19" ht="15" x14ac:dyDescent="0.25">
      <c r="A570" s="7">
        <v>2012</v>
      </c>
      <c r="B570" s="107">
        <v>41109</v>
      </c>
      <c r="C570" s="106" t="s">
        <v>52</v>
      </c>
      <c r="D570" s="108" t="s">
        <v>53</v>
      </c>
      <c r="E570" s="108" t="s">
        <v>29</v>
      </c>
      <c r="F570" s="108" t="s">
        <v>38</v>
      </c>
      <c r="G570" s="30" t="s">
        <v>42</v>
      </c>
      <c r="H570" s="10" t="s">
        <v>55</v>
      </c>
      <c r="I570" s="18" t="s">
        <v>60</v>
      </c>
      <c r="J570" s="118">
        <v>0.61356481481481484</v>
      </c>
      <c r="K570" s="117">
        <v>114.5</v>
      </c>
      <c r="L570" s="117">
        <v>0.23</v>
      </c>
      <c r="M570" s="117">
        <v>423.6</v>
      </c>
      <c r="N570" s="117">
        <v>0.02</v>
      </c>
      <c r="O570" s="117">
        <v>103.7</v>
      </c>
      <c r="P570" s="117">
        <v>1.8</v>
      </c>
      <c r="Q570" s="117">
        <v>35</v>
      </c>
      <c r="R570" s="117" t="s">
        <v>45</v>
      </c>
      <c r="S570" s="117">
        <v>3</v>
      </c>
    </row>
    <row r="571" spans="1:19" ht="15" x14ac:dyDescent="0.25">
      <c r="A571" s="7">
        <v>2012</v>
      </c>
      <c r="B571" s="109">
        <v>41109</v>
      </c>
      <c r="C571" s="106" t="s">
        <v>52</v>
      </c>
      <c r="D571" s="108" t="s">
        <v>53</v>
      </c>
      <c r="E571" s="108" t="s">
        <v>29</v>
      </c>
      <c r="F571" s="108" t="s">
        <v>38</v>
      </c>
      <c r="G571" s="30" t="s">
        <v>42</v>
      </c>
      <c r="H571" s="10" t="s">
        <v>55</v>
      </c>
      <c r="I571" s="18" t="s">
        <v>60</v>
      </c>
      <c r="J571" s="118">
        <v>0.61373842592592587</v>
      </c>
      <c r="K571" s="117">
        <v>222.2</v>
      </c>
      <c r="L571" s="117">
        <v>0.23</v>
      </c>
      <c r="M571" s="117">
        <v>419.9</v>
      </c>
      <c r="N571" s="117">
        <v>0.02</v>
      </c>
      <c r="O571" s="117">
        <v>103.7</v>
      </c>
      <c r="P571" s="117">
        <v>0.8</v>
      </c>
      <c r="Q571" s="117">
        <v>50</v>
      </c>
      <c r="R571" s="117" t="s">
        <v>45</v>
      </c>
      <c r="S571" s="117">
        <v>3</v>
      </c>
    </row>
    <row r="572" spans="1:19" ht="15" x14ac:dyDescent="0.25">
      <c r="A572" s="7">
        <v>2012</v>
      </c>
      <c r="B572" s="109">
        <v>41109</v>
      </c>
      <c r="C572" s="106" t="s">
        <v>52</v>
      </c>
      <c r="D572" s="108" t="s">
        <v>53</v>
      </c>
      <c r="E572" s="108" t="s">
        <v>29</v>
      </c>
      <c r="F572" s="108" t="s">
        <v>38</v>
      </c>
      <c r="G572" s="30" t="s">
        <v>42</v>
      </c>
      <c r="H572" s="10" t="s">
        <v>55</v>
      </c>
      <c r="I572" s="18" t="s">
        <v>60</v>
      </c>
      <c r="J572" s="118">
        <v>0.61388888888888882</v>
      </c>
      <c r="K572" s="117">
        <v>313.60000000000002</v>
      </c>
      <c r="L572" s="117">
        <v>0.13</v>
      </c>
      <c r="M572" s="117">
        <v>416.3</v>
      </c>
      <c r="N572" s="117">
        <v>0.02</v>
      </c>
      <c r="O572" s="117">
        <v>103.8</v>
      </c>
      <c r="P572" s="117">
        <v>0.3</v>
      </c>
      <c r="Q572" s="117">
        <v>65</v>
      </c>
      <c r="R572" s="117" t="s">
        <v>45</v>
      </c>
      <c r="S572" s="117">
        <v>3</v>
      </c>
    </row>
    <row r="573" spans="1:19" ht="15" x14ac:dyDescent="0.25">
      <c r="A573" s="7">
        <v>2012</v>
      </c>
      <c r="B573" s="109">
        <v>41109</v>
      </c>
      <c r="C573" s="106" t="s">
        <v>52</v>
      </c>
      <c r="D573" s="108" t="s">
        <v>53</v>
      </c>
      <c r="E573" s="108" t="s">
        <v>29</v>
      </c>
      <c r="F573" s="108" t="s">
        <v>38</v>
      </c>
      <c r="G573" s="30" t="s">
        <v>42</v>
      </c>
      <c r="H573" s="10" t="s">
        <v>55</v>
      </c>
      <c r="I573" s="18" t="s">
        <v>60</v>
      </c>
      <c r="J573" s="118">
        <v>0.61396990740740742</v>
      </c>
      <c r="K573" s="117">
        <v>339.1</v>
      </c>
      <c r="L573" s="117">
        <v>0.03</v>
      </c>
      <c r="M573" s="117">
        <v>415</v>
      </c>
      <c r="N573" s="117">
        <v>0.02</v>
      </c>
      <c r="O573" s="117">
        <v>103.8</v>
      </c>
      <c r="P573" s="117">
        <v>0.2</v>
      </c>
      <c r="Q573" s="117">
        <v>80</v>
      </c>
      <c r="R573" s="117" t="s">
        <v>45</v>
      </c>
      <c r="S573" s="117">
        <v>3</v>
      </c>
    </row>
    <row r="574" spans="1:19" ht="15" x14ac:dyDescent="0.25">
      <c r="A574" s="7">
        <v>2012</v>
      </c>
      <c r="B574" s="26">
        <v>41107</v>
      </c>
      <c r="C574" s="16" t="s">
        <v>35</v>
      </c>
      <c r="D574" s="16" t="s">
        <v>36</v>
      </c>
      <c r="E574" s="16" t="s">
        <v>28</v>
      </c>
      <c r="F574" s="16" t="s">
        <v>38</v>
      </c>
      <c r="G574" s="30" t="s">
        <v>42</v>
      </c>
      <c r="H574" s="10" t="s">
        <v>55</v>
      </c>
      <c r="I574" s="16" t="s">
        <v>4</v>
      </c>
      <c r="J574" s="113">
        <v>0.39042824074074073</v>
      </c>
      <c r="K574" s="114">
        <v>47.3</v>
      </c>
      <c r="L574" s="114">
        <v>0.39</v>
      </c>
      <c r="M574" s="114">
        <v>466.3</v>
      </c>
      <c r="N574" s="114">
        <v>0.02</v>
      </c>
      <c r="O574" s="114">
        <v>63.4</v>
      </c>
      <c r="P574" s="114">
        <v>3.4</v>
      </c>
      <c r="Q574" s="114">
        <v>5</v>
      </c>
      <c r="R574" s="114" t="s">
        <v>45</v>
      </c>
      <c r="S574" s="114">
        <v>3</v>
      </c>
    </row>
    <row r="575" spans="1:19" ht="15" x14ac:dyDescent="0.25">
      <c r="A575" s="7">
        <v>2012</v>
      </c>
      <c r="B575" s="26">
        <v>41107</v>
      </c>
      <c r="C575" s="16" t="s">
        <v>35</v>
      </c>
      <c r="D575" s="16" t="s">
        <v>36</v>
      </c>
      <c r="E575" s="16" t="s">
        <v>28</v>
      </c>
      <c r="F575" s="16" t="s">
        <v>38</v>
      </c>
      <c r="G575" s="30" t="s">
        <v>42</v>
      </c>
      <c r="H575" s="10" t="s">
        <v>55</v>
      </c>
      <c r="I575" s="16" t="s">
        <v>4</v>
      </c>
      <c r="J575" s="113">
        <v>0.39093749999999999</v>
      </c>
      <c r="K575" s="114">
        <v>83.1</v>
      </c>
      <c r="L575" s="114">
        <v>0.31</v>
      </c>
      <c r="M575" s="114">
        <v>461.4</v>
      </c>
      <c r="N575" s="114">
        <v>0.02</v>
      </c>
      <c r="O575" s="114">
        <v>63.4</v>
      </c>
      <c r="P575" s="114">
        <v>2.5</v>
      </c>
      <c r="Q575" s="114">
        <v>20</v>
      </c>
      <c r="R575" s="114" t="s">
        <v>45</v>
      </c>
      <c r="S575" s="114">
        <v>3</v>
      </c>
    </row>
    <row r="576" spans="1:19" ht="15" x14ac:dyDescent="0.25">
      <c r="A576" s="7">
        <v>2012</v>
      </c>
      <c r="B576" s="26">
        <v>41107</v>
      </c>
      <c r="C576" s="16" t="s">
        <v>35</v>
      </c>
      <c r="D576" s="16" t="s">
        <v>36</v>
      </c>
      <c r="E576" s="16" t="s">
        <v>28</v>
      </c>
      <c r="F576" s="16" t="s">
        <v>38</v>
      </c>
      <c r="G576" s="30" t="s">
        <v>42</v>
      </c>
      <c r="H576" s="10" t="s">
        <v>55</v>
      </c>
      <c r="I576" s="16" t="s">
        <v>4</v>
      </c>
      <c r="J576" s="113">
        <v>0.39128472222222221</v>
      </c>
      <c r="K576" s="114">
        <v>139.6</v>
      </c>
      <c r="L576" s="114">
        <v>0.15</v>
      </c>
      <c r="M576" s="114">
        <v>461.4</v>
      </c>
      <c r="N576" s="114">
        <v>0.02</v>
      </c>
      <c r="O576" s="114">
        <v>63.3</v>
      </c>
      <c r="P576" s="114">
        <v>1.6</v>
      </c>
      <c r="Q576" s="114">
        <v>35</v>
      </c>
      <c r="R576" s="114" t="s">
        <v>45</v>
      </c>
      <c r="S576" s="114">
        <v>3</v>
      </c>
    </row>
    <row r="577" spans="1:19" ht="15" x14ac:dyDescent="0.25">
      <c r="A577" s="7">
        <v>2012</v>
      </c>
      <c r="B577" s="26">
        <v>41107</v>
      </c>
      <c r="C577" s="16" t="s">
        <v>35</v>
      </c>
      <c r="D577" s="16" t="s">
        <v>36</v>
      </c>
      <c r="E577" s="16" t="s">
        <v>28</v>
      </c>
      <c r="F577" s="16" t="s">
        <v>38</v>
      </c>
      <c r="G577" s="30" t="s">
        <v>42</v>
      </c>
      <c r="H577" s="10" t="s">
        <v>55</v>
      </c>
      <c r="I577" s="16" t="s">
        <v>4</v>
      </c>
      <c r="J577" s="113">
        <v>0.3916203703703704</v>
      </c>
      <c r="K577" s="114">
        <v>247</v>
      </c>
      <c r="L577" s="114">
        <v>0.24</v>
      </c>
      <c r="M577" s="114">
        <v>455.3</v>
      </c>
      <c r="N577" s="114">
        <v>0.02</v>
      </c>
      <c r="O577" s="114">
        <v>63.3</v>
      </c>
      <c r="P577" s="114">
        <v>0.8</v>
      </c>
      <c r="Q577" s="114">
        <v>50</v>
      </c>
      <c r="R577" s="114" t="s">
        <v>45</v>
      </c>
      <c r="S577" s="114">
        <v>3</v>
      </c>
    </row>
    <row r="578" spans="1:19" ht="15" x14ac:dyDescent="0.25">
      <c r="A578" s="7">
        <v>2012</v>
      </c>
      <c r="B578" s="26">
        <v>41107</v>
      </c>
      <c r="C578" s="16" t="s">
        <v>35</v>
      </c>
      <c r="D578" s="16" t="s">
        <v>36</v>
      </c>
      <c r="E578" s="16" t="s">
        <v>28</v>
      </c>
      <c r="F578" s="16" t="s">
        <v>38</v>
      </c>
      <c r="G578" s="30" t="s">
        <v>42</v>
      </c>
      <c r="H578" s="10" t="s">
        <v>55</v>
      </c>
      <c r="I578" s="16" t="s">
        <v>4</v>
      </c>
      <c r="J578" s="113">
        <v>0.39180555555555552</v>
      </c>
      <c r="K578" s="114">
        <v>350.4</v>
      </c>
      <c r="L578" s="114">
        <v>0.12</v>
      </c>
      <c r="M578" s="114">
        <v>454.1</v>
      </c>
      <c r="N578" s="114">
        <v>0.02</v>
      </c>
      <c r="O578" s="114">
        <v>63.3</v>
      </c>
      <c r="P578" s="114">
        <v>0.3</v>
      </c>
      <c r="Q578" s="114">
        <v>65</v>
      </c>
      <c r="R578" s="114" t="s">
        <v>45</v>
      </c>
      <c r="S578" s="114">
        <v>3</v>
      </c>
    </row>
    <row r="579" spans="1:19" ht="15" x14ac:dyDescent="0.25">
      <c r="A579" s="7">
        <v>2012</v>
      </c>
      <c r="B579" s="26">
        <v>41107</v>
      </c>
      <c r="C579" s="16" t="s">
        <v>35</v>
      </c>
      <c r="D579" s="16" t="s">
        <v>36</v>
      </c>
      <c r="E579" s="16" t="s">
        <v>28</v>
      </c>
      <c r="F579" s="16" t="s">
        <v>38</v>
      </c>
      <c r="G579" s="30" t="s">
        <v>42</v>
      </c>
      <c r="H579" s="10" t="s">
        <v>55</v>
      </c>
      <c r="I579" s="16" t="s">
        <v>4</v>
      </c>
      <c r="J579" s="113">
        <v>0.39201388888888888</v>
      </c>
      <c r="K579" s="114">
        <v>378.8</v>
      </c>
      <c r="L579" s="114">
        <v>0.03</v>
      </c>
      <c r="M579" s="114">
        <v>451.7</v>
      </c>
      <c r="N579" s="114">
        <v>0.02</v>
      </c>
      <c r="O579" s="114">
        <v>63.2</v>
      </c>
      <c r="P579" s="114">
        <v>0.2</v>
      </c>
      <c r="Q579" s="114">
        <v>80</v>
      </c>
      <c r="R579" s="114" t="s">
        <v>45</v>
      </c>
      <c r="S579" s="114">
        <v>3</v>
      </c>
    </row>
    <row r="580" spans="1:19" ht="15" x14ac:dyDescent="0.25">
      <c r="A580" s="7">
        <v>2012</v>
      </c>
      <c r="B580" s="26">
        <v>41107</v>
      </c>
      <c r="C580" s="16" t="s">
        <v>35</v>
      </c>
      <c r="D580" s="16" t="s">
        <v>36</v>
      </c>
      <c r="E580" s="16" t="s">
        <v>28</v>
      </c>
      <c r="F580" s="16" t="s">
        <v>38</v>
      </c>
      <c r="G580" s="30" t="s">
        <v>42</v>
      </c>
      <c r="H580" s="10" t="s">
        <v>55</v>
      </c>
      <c r="I580" s="16" t="s">
        <v>4</v>
      </c>
      <c r="J580" s="113">
        <v>0.39275462962962965</v>
      </c>
      <c r="K580" s="114">
        <v>56.5</v>
      </c>
      <c r="L580" s="114">
        <v>0.39</v>
      </c>
      <c r="M580" s="114">
        <v>455.3</v>
      </c>
      <c r="N580" s="114">
        <v>0.02</v>
      </c>
      <c r="O580" s="114">
        <v>63.1</v>
      </c>
      <c r="P580" s="114">
        <v>3.1</v>
      </c>
      <c r="Q580" s="114">
        <v>95</v>
      </c>
      <c r="R580" s="114" t="s">
        <v>45</v>
      </c>
      <c r="S580" s="114">
        <v>3</v>
      </c>
    </row>
    <row r="581" spans="1:19" ht="15" x14ac:dyDescent="0.25">
      <c r="A581" s="7">
        <v>2012</v>
      </c>
      <c r="B581" s="115">
        <v>41122</v>
      </c>
      <c r="C581" s="16" t="s">
        <v>35</v>
      </c>
      <c r="D581" s="16" t="s">
        <v>36</v>
      </c>
      <c r="E581" s="16" t="s">
        <v>28</v>
      </c>
      <c r="F581" s="16" t="s">
        <v>38</v>
      </c>
      <c r="G581" s="30" t="s">
        <v>42</v>
      </c>
      <c r="H581" s="10" t="s">
        <v>55</v>
      </c>
      <c r="I581" s="16" t="s">
        <v>4</v>
      </c>
      <c r="J581" s="113">
        <v>0.39282407407407405</v>
      </c>
      <c r="K581" s="114">
        <v>144.69999999999999</v>
      </c>
      <c r="L581" s="114">
        <v>0.41</v>
      </c>
      <c r="M581" s="114">
        <v>1091.3</v>
      </c>
      <c r="N581" s="114">
        <v>0.62</v>
      </c>
      <c r="O581" s="114">
        <v>66.099999999999994</v>
      </c>
      <c r="P581" s="114">
        <v>2.2999999999999998</v>
      </c>
      <c r="Q581" s="114">
        <v>5</v>
      </c>
      <c r="R581" s="114" t="s">
        <v>48</v>
      </c>
      <c r="S581" s="114">
        <v>1</v>
      </c>
    </row>
    <row r="582" spans="1:19" ht="15" x14ac:dyDescent="0.25">
      <c r="A582" s="7">
        <v>2012</v>
      </c>
      <c r="B582" s="115">
        <v>41122</v>
      </c>
      <c r="C582" s="16" t="s">
        <v>35</v>
      </c>
      <c r="D582" s="16" t="s">
        <v>36</v>
      </c>
      <c r="E582" s="16" t="s">
        <v>28</v>
      </c>
      <c r="F582" s="16" t="s">
        <v>38</v>
      </c>
      <c r="G582" s="30" t="s">
        <v>42</v>
      </c>
      <c r="H582" s="10" t="s">
        <v>55</v>
      </c>
      <c r="I582" s="16" t="s">
        <v>4</v>
      </c>
      <c r="J582" s="113">
        <v>0.39296296296296296</v>
      </c>
      <c r="K582" s="114">
        <v>253.4</v>
      </c>
      <c r="L582" s="114">
        <v>0.5</v>
      </c>
      <c r="M582" s="114">
        <v>1091.3</v>
      </c>
      <c r="N582" s="114">
        <v>0.62</v>
      </c>
      <c r="O582" s="114">
        <v>66.099999999999994</v>
      </c>
      <c r="P582" s="114">
        <v>1.6</v>
      </c>
      <c r="Q582" s="114">
        <v>20</v>
      </c>
      <c r="R582" s="114" t="s">
        <v>48</v>
      </c>
      <c r="S582" s="114">
        <v>1</v>
      </c>
    </row>
    <row r="583" spans="1:19" ht="15" x14ac:dyDescent="0.25">
      <c r="A583" s="7">
        <v>2012</v>
      </c>
      <c r="B583" s="26">
        <v>41107</v>
      </c>
      <c r="C583" s="16" t="s">
        <v>35</v>
      </c>
      <c r="D583" s="16" t="s">
        <v>36</v>
      </c>
      <c r="E583" s="16" t="s">
        <v>28</v>
      </c>
      <c r="F583" s="16" t="s">
        <v>38</v>
      </c>
      <c r="G583" s="30" t="s">
        <v>42</v>
      </c>
      <c r="H583" s="10" t="s">
        <v>55</v>
      </c>
      <c r="I583" s="16" t="s">
        <v>4</v>
      </c>
      <c r="J583" s="113">
        <v>0.39299768518518513</v>
      </c>
      <c r="K583" s="114">
        <v>106.1</v>
      </c>
      <c r="L583" s="114">
        <v>0.23</v>
      </c>
      <c r="M583" s="114">
        <v>459</v>
      </c>
      <c r="N583" s="114">
        <v>0.02</v>
      </c>
      <c r="O583" s="114">
        <v>63.1</v>
      </c>
      <c r="P583" s="114">
        <v>2.1</v>
      </c>
      <c r="Q583" s="114">
        <v>5</v>
      </c>
      <c r="R583" s="114" t="s">
        <v>45</v>
      </c>
      <c r="S583" s="114">
        <v>2</v>
      </c>
    </row>
    <row r="584" spans="1:19" ht="15" x14ac:dyDescent="0.25">
      <c r="A584" s="7">
        <v>2012</v>
      </c>
      <c r="B584" s="115">
        <v>41122</v>
      </c>
      <c r="C584" s="16" t="s">
        <v>35</v>
      </c>
      <c r="D584" s="16" t="s">
        <v>36</v>
      </c>
      <c r="E584" s="16" t="s">
        <v>28</v>
      </c>
      <c r="F584" s="16" t="s">
        <v>38</v>
      </c>
      <c r="G584" s="30" t="s">
        <v>42</v>
      </c>
      <c r="H584" s="10" t="s">
        <v>55</v>
      </c>
      <c r="I584" s="16" t="s">
        <v>4</v>
      </c>
      <c r="J584" s="113">
        <v>0.39314814814814819</v>
      </c>
      <c r="K584" s="114">
        <v>330</v>
      </c>
      <c r="L584" s="114">
        <v>0.45</v>
      </c>
      <c r="M584" s="114">
        <v>1091.3</v>
      </c>
      <c r="N584" s="114">
        <v>0.62</v>
      </c>
      <c r="O584" s="114">
        <v>66.099999999999994</v>
      </c>
      <c r="P584" s="114">
        <v>1.3</v>
      </c>
      <c r="Q584" s="114">
        <v>35</v>
      </c>
      <c r="R584" s="114" t="s">
        <v>48</v>
      </c>
      <c r="S584" s="114">
        <v>1</v>
      </c>
    </row>
    <row r="585" spans="1:19" ht="15" x14ac:dyDescent="0.25">
      <c r="A585" s="7">
        <v>2012</v>
      </c>
      <c r="B585" s="26">
        <v>41107</v>
      </c>
      <c r="C585" s="16" t="s">
        <v>35</v>
      </c>
      <c r="D585" s="16" t="s">
        <v>36</v>
      </c>
      <c r="E585" s="16" t="s">
        <v>28</v>
      </c>
      <c r="F585" s="16" t="s">
        <v>38</v>
      </c>
      <c r="G585" s="30" t="s">
        <v>42</v>
      </c>
      <c r="H585" s="10" t="s">
        <v>55</v>
      </c>
      <c r="I585" s="16" t="s">
        <v>4</v>
      </c>
      <c r="J585" s="113">
        <v>0.39325231481481482</v>
      </c>
      <c r="K585" s="114">
        <v>154.80000000000001</v>
      </c>
      <c r="L585" s="114">
        <v>0.21</v>
      </c>
      <c r="M585" s="114">
        <v>460.2</v>
      </c>
      <c r="N585" s="114">
        <v>0.02</v>
      </c>
      <c r="O585" s="114">
        <v>63.1</v>
      </c>
      <c r="P585" s="114">
        <v>1.5</v>
      </c>
      <c r="Q585" s="114">
        <v>20</v>
      </c>
      <c r="R585" s="114" t="s">
        <v>45</v>
      </c>
      <c r="S585" s="114">
        <v>2</v>
      </c>
    </row>
    <row r="586" spans="1:19" ht="15" x14ac:dyDescent="0.25">
      <c r="A586" s="7">
        <v>2012</v>
      </c>
      <c r="B586" s="115">
        <v>41122</v>
      </c>
      <c r="C586" s="16" t="s">
        <v>35</v>
      </c>
      <c r="D586" s="16" t="s">
        <v>36</v>
      </c>
      <c r="E586" s="16" t="s">
        <v>28</v>
      </c>
      <c r="F586" s="16" t="s">
        <v>38</v>
      </c>
      <c r="G586" s="30" t="s">
        <v>42</v>
      </c>
      <c r="H586" s="10" t="s">
        <v>55</v>
      </c>
      <c r="I586" s="16" t="s">
        <v>4</v>
      </c>
      <c r="J586" s="113">
        <v>0.39325231481481482</v>
      </c>
      <c r="K586" s="114">
        <v>691.7</v>
      </c>
      <c r="L586" s="114">
        <v>0.34</v>
      </c>
      <c r="M586" s="114">
        <v>1091.3</v>
      </c>
      <c r="N586" s="114">
        <v>0.62</v>
      </c>
      <c r="O586" s="114">
        <v>66.099999999999994</v>
      </c>
      <c r="P586" s="114">
        <v>0.5</v>
      </c>
      <c r="Q586" s="114">
        <v>50</v>
      </c>
      <c r="R586" s="114" t="s">
        <v>48</v>
      </c>
      <c r="S586" s="114">
        <v>1</v>
      </c>
    </row>
    <row r="587" spans="1:19" ht="15" x14ac:dyDescent="0.25">
      <c r="A587" s="7">
        <v>2012</v>
      </c>
      <c r="B587" s="115">
        <v>41122</v>
      </c>
      <c r="C587" s="16" t="s">
        <v>35</v>
      </c>
      <c r="D587" s="16" t="s">
        <v>36</v>
      </c>
      <c r="E587" s="16" t="s">
        <v>28</v>
      </c>
      <c r="F587" s="16" t="s">
        <v>38</v>
      </c>
      <c r="G587" s="30" t="s">
        <v>42</v>
      </c>
      <c r="H587" s="10" t="s">
        <v>55</v>
      </c>
      <c r="I587" s="16" t="s">
        <v>4</v>
      </c>
      <c r="J587" s="113">
        <v>0.39334490740740741</v>
      </c>
      <c r="K587" s="114">
        <v>903</v>
      </c>
      <c r="L587" s="114">
        <v>0.23</v>
      </c>
      <c r="M587" s="114">
        <v>1093.8</v>
      </c>
      <c r="N587" s="114">
        <v>0.62</v>
      </c>
      <c r="O587" s="114">
        <v>66.099999999999994</v>
      </c>
      <c r="P587" s="114">
        <v>0.2</v>
      </c>
      <c r="Q587" s="114">
        <v>65</v>
      </c>
      <c r="R587" s="114" t="s">
        <v>48</v>
      </c>
      <c r="S587" s="114">
        <v>1</v>
      </c>
    </row>
    <row r="588" spans="1:19" ht="15" x14ac:dyDescent="0.25">
      <c r="A588" s="7">
        <v>2012</v>
      </c>
      <c r="B588" s="26">
        <v>41107</v>
      </c>
      <c r="C588" s="16" t="s">
        <v>35</v>
      </c>
      <c r="D588" s="16" t="s">
        <v>36</v>
      </c>
      <c r="E588" s="16" t="s">
        <v>28</v>
      </c>
      <c r="F588" s="16" t="s">
        <v>38</v>
      </c>
      <c r="G588" s="30" t="s">
        <v>42</v>
      </c>
      <c r="H588" s="10" t="s">
        <v>55</v>
      </c>
      <c r="I588" s="16" t="s">
        <v>4</v>
      </c>
      <c r="J588" s="113">
        <v>0.39337962962962963</v>
      </c>
      <c r="K588" s="114">
        <v>233.6</v>
      </c>
      <c r="L588" s="114">
        <v>0.27</v>
      </c>
      <c r="M588" s="114">
        <v>461.4</v>
      </c>
      <c r="N588" s="114">
        <v>0.02</v>
      </c>
      <c r="O588" s="114">
        <v>63.1</v>
      </c>
      <c r="P588" s="114">
        <v>0.9</v>
      </c>
      <c r="Q588" s="114">
        <v>35</v>
      </c>
      <c r="R588" s="114" t="s">
        <v>45</v>
      </c>
      <c r="S588" s="114">
        <v>2</v>
      </c>
    </row>
    <row r="589" spans="1:19" ht="15" x14ac:dyDescent="0.25">
      <c r="A589" s="7">
        <v>2012</v>
      </c>
      <c r="B589" s="115">
        <v>41122</v>
      </c>
      <c r="C589" s="16" t="s">
        <v>35</v>
      </c>
      <c r="D589" s="16" t="s">
        <v>36</v>
      </c>
      <c r="E589" s="16" t="s">
        <v>28</v>
      </c>
      <c r="F589" s="16" t="s">
        <v>38</v>
      </c>
      <c r="G589" s="30" t="s">
        <v>42</v>
      </c>
      <c r="H589" s="10" t="s">
        <v>55</v>
      </c>
      <c r="I589" s="16" t="s">
        <v>4</v>
      </c>
      <c r="J589" s="113">
        <v>0.3934259259259259</v>
      </c>
      <c r="K589" s="114">
        <v>1009.5</v>
      </c>
      <c r="L589" s="114">
        <v>0.02</v>
      </c>
      <c r="M589" s="114">
        <v>1096.2</v>
      </c>
      <c r="N589" s="114">
        <v>0.62</v>
      </c>
      <c r="O589" s="114">
        <v>66.099999999999994</v>
      </c>
      <c r="P589" s="114">
        <v>0.1</v>
      </c>
      <c r="Q589" s="114">
        <v>80</v>
      </c>
      <c r="R589" s="114" t="s">
        <v>48</v>
      </c>
      <c r="S589" s="114">
        <v>1</v>
      </c>
    </row>
    <row r="590" spans="1:19" ht="15" x14ac:dyDescent="0.25">
      <c r="A590" s="7">
        <v>2012</v>
      </c>
      <c r="B590" s="26">
        <v>41107</v>
      </c>
      <c r="C590" s="16" t="s">
        <v>35</v>
      </c>
      <c r="D590" s="16" t="s">
        <v>36</v>
      </c>
      <c r="E590" s="16" t="s">
        <v>28</v>
      </c>
      <c r="F590" s="16" t="s">
        <v>38</v>
      </c>
      <c r="G590" s="30" t="s">
        <v>42</v>
      </c>
      <c r="H590" s="10" t="s">
        <v>55</v>
      </c>
      <c r="I590" s="16" t="s">
        <v>4</v>
      </c>
      <c r="J590" s="113">
        <v>0.39347222222222222</v>
      </c>
      <c r="K590" s="114">
        <v>344.7</v>
      </c>
      <c r="L590" s="114">
        <v>0.1</v>
      </c>
      <c r="M590" s="114">
        <v>461.4</v>
      </c>
      <c r="N590" s="114">
        <v>0.02</v>
      </c>
      <c r="O590" s="114">
        <v>63</v>
      </c>
      <c r="P590" s="114">
        <v>0.3</v>
      </c>
      <c r="Q590" s="114">
        <v>50</v>
      </c>
      <c r="R590" s="114" t="s">
        <v>45</v>
      </c>
      <c r="S590" s="114">
        <v>2</v>
      </c>
    </row>
    <row r="591" spans="1:19" ht="15" x14ac:dyDescent="0.25">
      <c r="A591" s="7">
        <v>2012</v>
      </c>
      <c r="B591" s="26">
        <v>41107</v>
      </c>
      <c r="C591" s="16" t="s">
        <v>35</v>
      </c>
      <c r="D591" s="16" t="s">
        <v>36</v>
      </c>
      <c r="E591" s="16" t="s">
        <v>28</v>
      </c>
      <c r="F591" s="16" t="s">
        <v>38</v>
      </c>
      <c r="G591" s="30" t="s">
        <v>42</v>
      </c>
      <c r="H591" s="10" t="s">
        <v>55</v>
      </c>
      <c r="I591" s="16" t="s">
        <v>4</v>
      </c>
      <c r="J591" s="113">
        <v>0.39359953703703704</v>
      </c>
      <c r="K591" s="114">
        <v>388.2</v>
      </c>
      <c r="L591" s="114">
        <v>0.03</v>
      </c>
      <c r="M591" s="114">
        <v>462.6</v>
      </c>
      <c r="N591" s="114">
        <v>0.02</v>
      </c>
      <c r="O591" s="114">
        <v>63</v>
      </c>
      <c r="P591" s="114">
        <v>0.2</v>
      </c>
      <c r="Q591" s="114">
        <v>65</v>
      </c>
      <c r="R591" s="114" t="s">
        <v>45</v>
      </c>
      <c r="S591" s="114">
        <v>2</v>
      </c>
    </row>
    <row r="592" spans="1:19" ht="15" x14ac:dyDescent="0.25">
      <c r="A592" s="7">
        <v>2012</v>
      </c>
      <c r="B592" s="26">
        <v>41107</v>
      </c>
      <c r="C592" s="16" t="s">
        <v>35</v>
      </c>
      <c r="D592" s="16" t="s">
        <v>36</v>
      </c>
      <c r="E592" s="16" t="s">
        <v>28</v>
      </c>
      <c r="F592" s="16" t="s">
        <v>38</v>
      </c>
      <c r="G592" s="30" t="s">
        <v>42</v>
      </c>
      <c r="H592" s="10" t="s">
        <v>55</v>
      </c>
      <c r="I592" s="16" t="s">
        <v>4</v>
      </c>
      <c r="J592" s="113">
        <v>0.3938888888888889</v>
      </c>
      <c r="K592" s="114">
        <v>381.3</v>
      </c>
      <c r="L592" s="114">
        <v>0.05</v>
      </c>
      <c r="M592" s="114">
        <v>463.9</v>
      </c>
      <c r="N592" s="114">
        <v>0.02</v>
      </c>
      <c r="O592" s="114">
        <v>63</v>
      </c>
      <c r="P592" s="114">
        <v>0.2</v>
      </c>
      <c r="Q592" s="114">
        <v>80</v>
      </c>
      <c r="R592" s="114" t="s">
        <v>45</v>
      </c>
      <c r="S592" s="114">
        <v>2</v>
      </c>
    </row>
    <row r="593" spans="1:19" ht="15" x14ac:dyDescent="0.25">
      <c r="A593" s="7">
        <v>2012</v>
      </c>
      <c r="B593" s="115">
        <v>41122</v>
      </c>
      <c r="C593" s="16" t="s">
        <v>35</v>
      </c>
      <c r="D593" s="16" t="s">
        <v>36</v>
      </c>
      <c r="E593" s="16" t="s">
        <v>28</v>
      </c>
      <c r="F593" s="16" t="s">
        <v>38</v>
      </c>
      <c r="G593" s="30" t="s">
        <v>42</v>
      </c>
      <c r="H593" s="10" t="s">
        <v>55</v>
      </c>
      <c r="I593" s="16" t="s">
        <v>4</v>
      </c>
      <c r="J593" s="113">
        <v>0.39401620370370366</v>
      </c>
      <c r="K593" s="114">
        <v>108.9</v>
      </c>
      <c r="L593" s="114">
        <v>0.76</v>
      </c>
      <c r="M593" s="114">
        <v>1101.0999999999999</v>
      </c>
      <c r="N593" s="114">
        <v>0.62</v>
      </c>
      <c r="O593" s="114">
        <v>66</v>
      </c>
      <c r="P593" s="114">
        <v>2.6</v>
      </c>
      <c r="Q593" s="114">
        <v>5</v>
      </c>
      <c r="R593" s="114" t="s">
        <v>48</v>
      </c>
      <c r="S593" s="114">
        <v>2</v>
      </c>
    </row>
    <row r="594" spans="1:19" ht="15" x14ac:dyDescent="0.25">
      <c r="A594" s="7">
        <v>2012</v>
      </c>
      <c r="B594" s="115">
        <v>41122</v>
      </c>
      <c r="C594" s="16" t="s">
        <v>35</v>
      </c>
      <c r="D594" s="16" t="s">
        <v>36</v>
      </c>
      <c r="E594" s="16" t="s">
        <v>28</v>
      </c>
      <c r="F594" s="16" t="s">
        <v>38</v>
      </c>
      <c r="G594" s="30" t="s">
        <v>42</v>
      </c>
      <c r="H594" s="10" t="s">
        <v>55</v>
      </c>
      <c r="I594" s="16" t="s">
        <v>4</v>
      </c>
      <c r="J594" s="113">
        <v>0.39425925925925925</v>
      </c>
      <c r="K594" s="114">
        <v>299.3</v>
      </c>
      <c r="L594" s="114">
        <v>0.54</v>
      </c>
      <c r="M594" s="114">
        <v>1101.0999999999999</v>
      </c>
      <c r="N594" s="114">
        <v>0.62</v>
      </c>
      <c r="O594" s="114">
        <v>66</v>
      </c>
      <c r="P594" s="114">
        <v>1.4</v>
      </c>
      <c r="Q594" s="114">
        <v>20</v>
      </c>
      <c r="R594" s="114" t="s">
        <v>48</v>
      </c>
      <c r="S594" s="114">
        <v>2</v>
      </c>
    </row>
    <row r="595" spans="1:19" ht="15" x14ac:dyDescent="0.25">
      <c r="A595" s="7">
        <v>2012</v>
      </c>
      <c r="B595" s="115">
        <v>41122</v>
      </c>
      <c r="C595" s="16" t="s">
        <v>35</v>
      </c>
      <c r="D595" s="16" t="s">
        <v>36</v>
      </c>
      <c r="E595" s="16" t="s">
        <v>28</v>
      </c>
      <c r="F595" s="16" t="s">
        <v>38</v>
      </c>
      <c r="G595" s="30" t="s">
        <v>42</v>
      </c>
      <c r="H595" s="10" t="s">
        <v>55</v>
      </c>
      <c r="I595" s="16" t="s">
        <v>4</v>
      </c>
      <c r="J595" s="113">
        <v>0.39437499999999998</v>
      </c>
      <c r="K595" s="114">
        <v>404.6</v>
      </c>
      <c r="L595" s="114">
        <v>0.48</v>
      </c>
      <c r="M595" s="114">
        <v>1102.3</v>
      </c>
      <c r="N595" s="114">
        <v>0.62</v>
      </c>
      <c r="O595" s="114">
        <v>65.900000000000006</v>
      </c>
      <c r="P595" s="114">
        <v>1.1000000000000001</v>
      </c>
      <c r="Q595" s="114">
        <v>35</v>
      </c>
      <c r="R595" s="114" t="s">
        <v>48</v>
      </c>
      <c r="S595" s="114">
        <v>2</v>
      </c>
    </row>
    <row r="596" spans="1:19" ht="15" x14ac:dyDescent="0.25">
      <c r="A596" s="7">
        <v>2012</v>
      </c>
      <c r="B596" s="115">
        <v>41122</v>
      </c>
      <c r="C596" s="16" t="s">
        <v>35</v>
      </c>
      <c r="D596" s="16" t="s">
        <v>36</v>
      </c>
      <c r="E596" s="16" t="s">
        <v>28</v>
      </c>
      <c r="F596" s="16" t="s">
        <v>38</v>
      </c>
      <c r="G596" s="30" t="s">
        <v>42</v>
      </c>
      <c r="H596" s="10" t="s">
        <v>55</v>
      </c>
      <c r="I596" s="16" t="s">
        <v>4</v>
      </c>
      <c r="J596" s="113">
        <v>0.39445601851851847</v>
      </c>
      <c r="K596" s="114">
        <v>638.70000000000005</v>
      </c>
      <c r="L596" s="114">
        <v>0.41</v>
      </c>
      <c r="M596" s="114">
        <v>1101.0999999999999</v>
      </c>
      <c r="N596" s="114">
        <v>0.62</v>
      </c>
      <c r="O596" s="114">
        <v>65.900000000000006</v>
      </c>
      <c r="P596" s="114">
        <v>0.6</v>
      </c>
      <c r="Q596" s="114">
        <v>50</v>
      </c>
      <c r="R596" s="114" t="s">
        <v>48</v>
      </c>
      <c r="S596" s="114">
        <v>2</v>
      </c>
    </row>
    <row r="597" spans="1:19" ht="15" x14ac:dyDescent="0.25">
      <c r="A597" s="7">
        <v>2012</v>
      </c>
      <c r="B597" s="115">
        <v>41122</v>
      </c>
      <c r="C597" s="16" t="s">
        <v>35</v>
      </c>
      <c r="D597" s="16" t="s">
        <v>36</v>
      </c>
      <c r="E597" s="16" t="s">
        <v>28</v>
      </c>
      <c r="F597" s="16" t="s">
        <v>38</v>
      </c>
      <c r="G597" s="30" t="s">
        <v>42</v>
      </c>
      <c r="H597" s="10" t="s">
        <v>55</v>
      </c>
      <c r="I597" s="16" t="s">
        <v>4</v>
      </c>
      <c r="J597" s="113">
        <v>0.39454861111111111</v>
      </c>
      <c r="K597" s="114">
        <v>1019</v>
      </c>
      <c r="L597" s="114">
        <v>0.1</v>
      </c>
      <c r="M597" s="114">
        <v>1104.7</v>
      </c>
      <c r="N597" s="114">
        <v>0.62</v>
      </c>
      <c r="O597" s="114">
        <v>65.900000000000006</v>
      </c>
      <c r="P597" s="114">
        <v>0.1</v>
      </c>
      <c r="Q597" s="114">
        <v>65</v>
      </c>
      <c r="R597" s="114" t="s">
        <v>48</v>
      </c>
      <c r="S597" s="114">
        <v>2</v>
      </c>
    </row>
    <row r="598" spans="1:19" ht="15" x14ac:dyDescent="0.25">
      <c r="A598" s="7">
        <v>2012</v>
      </c>
      <c r="B598" s="115">
        <v>41122</v>
      </c>
      <c r="C598" s="16" t="s">
        <v>35</v>
      </c>
      <c r="D598" s="16" t="s">
        <v>36</v>
      </c>
      <c r="E598" s="16" t="s">
        <v>28</v>
      </c>
      <c r="F598" s="16" t="s">
        <v>38</v>
      </c>
      <c r="G598" s="30" t="s">
        <v>42</v>
      </c>
      <c r="H598" s="10" t="s">
        <v>55</v>
      </c>
      <c r="I598" s="16" t="s">
        <v>4</v>
      </c>
      <c r="J598" s="113">
        <v>0.39473379629629629</v>
      </c>
      <c r="K598" s="114">
        <v>1049.0999999999999</v>
      </c>
      <c r="L598" s="114">
        <v>0.04</v>
      </c>
      <c r="M598" s="114">
        <v>1108.4000000000001</v>
      </c>
      <c r="N598" s="114">
        <v>0.63</v>
      </c>
      <c r="O598" s="114">
        <v>65.900000000000006</v>
      </c>
      <c r="P598" s="114">
        <v>0.1</v>
      </c>
      <c r="Q598" s="114">
        <v>80</v>
      </c>
      <c r="R598" s="114" t="s">
        <v>48</v>
      </c>
      <c r="S598" s="114">
        <v>2</v>
      </c>
    </row>
    <row r="599" spans="1:19" ht="15" x14ac:dyDescent="0.25">
      <c r="A599" s="7">
        <v>2012</v>
      </c>
      <c r="B599" s="26">
        <v>41107</v>
      </c>
      <c r="C599" s="16" t="s">
        <v>35</v>
      </c>
      <c r="D599" s="16" t="s">
        <v>36</v>
      </c>
      <c r="E599" s="16" t="s">
        <v>28</v>
      </c>
      <c r="F599" s="16" t="s">
        <v>38</v>
      </c>
      <c r="G599" s="30" t="s">
        <v>42</v>
      </c>
      <c r="H599" s="10" t="s">
        <v>55</v>
      </c>
      <c r="I599" s="16" t="s">
        <v>4</v>
      </c>
      <c r="J599" s="113">
        <v>0.39513888888888887</v>
      </c>
      <c r="K599" s="114">
        <v>41.4</v>
      </c>
      <c r="L599" s="114">
        <v>0.36</v>
      </c>
      <c r="M599" s="114">
        <v>461.4</v>
      </c>
      <c r="N599" s="114">
        <v>0.02</v>
      </c>
      <c r="O599" s="114">
        <v>62.8</v>
      </c>
      <c r="P599" s="114">
        <v>3.6</v>
      </c>
      <c r="Q599" s="114">
        <v>5</v>
      </c>
      <c r="R599" s="114" t="s">
        <v>45</v>
      </c>
      <c r="S599" s="114">
        <v>1</v>
      </c>
    </row>
    <row r="600" spans="1:19" ht="15" x14ac:dyDescent="0.25">
      <c r="A600" s="7">
        <v>2012</v>
      </c>
      <c r="B600" s="26">
        <v>41107</v>
      </c>
      <c r="C600" s="16" t="s">
        <v>35</v>
      </c>
      <c r="D600" s="16" t="s">
        <v>36</v>
      </c>
      <c r="E600" s="16" t="s">
        <v>28</v>
      </c>
      <c r="F600" s="16" t="s">
        <v>38</v>
      </c>
      <c r="G600" s="30" t="s">
        <v>42</v>
      </c>
      <c r="H600" s="10" t="s">
        <v>55</v>
      </c>
      <c r="I600" s="16" t="s">
        <v>4</v>
      </c>
      <c r="J600" s="113">
        <v>0.39561342592592591</v>
      </c>
      <c r="K600" s="114">
        <v>85.6</v>
      </c>
      <c r="L600" s="114">
        <v>0.28999999999999998</v>
      </c>
      <c r="M600" s="114">
        <v>454.1</v>
      </c>
      <c r="N600" s="114">
        <v>0.02</v>
      </c>
      <c r="O600" s="114">
        <v>62.8</v>
      </c>
      <c r="P600" s="114">
        <v>2.4</v>
      </c>
      <c r="Q600" s="114">
        <v>20</v>
      </c>
      <c r="R600" s="114" t="s">
        <v>45</v>
      </c>
      <c r="S600" s="114">
        <v>1</v>
      </c>
    </row>
    <row r="601" spans="1:19" ht="15" x14ac:dyDescent="0.25">
      <c r="A601" s="7">
        <v>2012</v>
      </c>
      <c r="B601" s="115">
        <v>41122</v>
      </c>
      <c r="C601" s="16" t="s">
        <v>35</v>
      </c>
      <c r="D601" s="16" t="s">
        <v>36</v>
      </c>
      <c r="E601" s="16" t="s">
        <v>28</v>
      </c>
      <c r="F601" s="16" t="s">
        <v>38</v>
      </c>
      <c r="G601" s="30" t="s">
        <v>42</v>
      </c>
      <c r="H601" s="10" t="s">
        <v>55</v>
      </c>
      <c r="I601" s="16" t="s">
        <v>4</v>
      </c>
      <c r="J601" s="113">
        <v>0.39565972222222223</v>
      </c>
      <c r="K601" s="114">
        <v>79.400000000000006</v>
      </c>
      <c r="L601" s="114">
        <v>0.67</v>
      </c>
      <c r="M601" s="114">
        <v>1114.5</v>
      </c>
      <c r="N601" s="114">
        <v>0.63</v>
      </c>
      <c r="O601" s="114">
        <v>65.8</v>
      </c>
      <c r="P601" s="114">
        <v>3.1</v>
      </c>
      <c r="Q601" s="114">
        <v>5</v>
      </c>
      <c r="R601" s="114" t="s">
        <v>48</v>
      </c>
      <c r="S601" s="114">
        <v>3</v>
      </c>
    </row>
    <row r="602" spans="1:19" ht="15" x14ac:dyDescent="0.25">
      <c r="A602" s="7">
        <v>2012</v>
      </c>
      <c r="B602" s="26">
        <v>41107</v>
      </c>
      <c r="C602" s="16" t="s">
        <v>35</v>
      </c>
      <c r="D602" s="16" t="s">
        <v>36</v>
      </c>
      <c r="E602" s="16" t="s">
        <v>28</v>
      </c>
      <c r="F602" s="16" t="s">
        <v>38</v>
      </c>
      <c r="G602" s="30" t="s">
        <v>42</v>
      </c>
      <c r="H602" s="10" t="s">
        <v>55</v>
      </c>
      <c r="I602" s="16" t="s">
        <v>4</v>
      </c>
      <c r="J602" s="113">
        <v>0.39591435185185181</v>
      </c>
      <c r="K602" s="114">
        <v>152.19999999999999</v>
      </c>
      <c r="L602" s="114">
        <v>0.19</v>
      </c>
      <c r="M602" s="114">
        <v>449.2</v>
      </c>
      <c r="N602" s="114">
        <v>0.02</v>
      </c>
      <c r="O602" s="114">
        <v>62.7</v>
      </c>
      <c r="P602" s="114">
        <v>1.5</v>
      </c>
      <c r="Q602" s="114">
        <v>35</v>
      </c>
      <c r="R602" s="114" t="s">
        <v>45</v>
      </c>
      <c r="S602" s="114">
        <v>1</v>
      </c>
    </row>
    <row r="603" spans="1:19" ht="15" x14ac:dyDescent="0.25">
      <c r="A603" s="7">
        <v>2012</v>
      </c>
      <c r="B603" s="115">
        <v>41122</v>
      </c>
      <c r="C603" s="16" t="s">
        <v>35</v>
      </c>
      <c r="D603" s="16" t="s">
        <v>36</v>
      </c>
      <c r="E603" s="16" t="s">
        <v>28</v>
      </c>
      <c r="F603" s="16" t="s">
        <v>38</v>
      </c>
      <c r="G603" s="30" t="s">
        <v>42</v>
      </c>
      <c r="H603" s="10" t="s">
        <v>55</v>
      </c>
      <c r="I603" s="16" t="s">
        <v>4</v>
      </c>
      <c r="J603" s="113">
        <v>0.3959375</v>
      </c>
      <c r="K603" s="114">
        <v>226.1</v>
      </c>
      <c r="L603" s="114">
        <v>0.83</v>
      </c>
      <c r="M603" s="114">
        <v>1114.5</v>
      </c>
      <c r="N603" s="114">
        <v>0.63</v>
      </c>
      <c r="O603" s="114">
        <v>65.7</v>
      </c>
      <c r="P603" s="114">
        <v>1.8</v>
      </c>
      <c r="Q603" s="114">
        <v>20</v>
      </c>
      <c r="R603" s="114" t="s">
        <v>48</v>
      </c>
      <c r="S603" s="114">
        <v>3</v>
      </c>
    </row>
    <row r="604" spans="1:19" ht="15" x14ac:dyDescent="0.25">
      <c r="A604" s="7">
        <v>2012</v>
      </c>
      <c r="B604" s="115">
        <v>41122</v>
      </c>
      <c r="C604" s="16" t="s">
        <v>35</v>
      </c>
      <c r="D604" s="16" t="s">
        <v>36</v>
      </c>
      <c r="E604" s="16" t="s">
        <v>28</v>
      </c>
      <c r="F604" s="16" t="s">
        <v>38</v>
      </c>
      <c r="G604" s="30" t="s">
        <v>42</v>
      </c>
      <c r="H604" s="10" t="s">
        <v>55</v>
      </c>
      <c r="I604" s="16" t="s">
        <v>4</v>
      </c>
      <c r="J604" s="113">
        <v>0.39604166666666668</v>
      </c>
      <c r="K604" s="114">
        <v>413.3</v>
      </c>
      <c r="L604" s="114">
        <v>0.53</v>
      </c>
      <c r="M604" s="114">
        <v>1115.7</v>
      </c>
      <c r="N604" s="114">
        <v>0.63</v>
      </c>
      <c r="O604" s="114">
        <v>65.7</v>
      </c>
      <c r="P604" s="114">
        <v>1.1000000000000001</v>
      </c>
      <c r="Q604" s="114">
        <v>35</v>
      </c>
      <c r="R604" s="114" t="s">
        <v>48</v>
      </c>
      <c r="S604" s="114">
        <v>3</v>
      </c>
    </row>
    <row r="605" spans="1:19" ht="15" x14ac:dyDescent="0.25">
      <c r="A605" s="7">
        <v>2012</v>
      </c>
      <c r="B605" s="115">
        <v>41122</v>
      </c>
      <c r="C605" s="16" t="s">
        <v>35</v>
      </c>
      <c r="D605" s="16" t="s">
        <v>36</v>
      </c>
      <c r="E605" s="16" t="s">
        <v>28</v>
      </c>
      <c r="F605" s="16" t="s">
        <v>38</v>
      </c>
      <c r="G605" s="30" t="s">
        <v>42</v>
      </c>
      <c r="H605" s="10" t="s">
        <v>55</v>
      </c>
      <c r="I605" s="16" t="s">
        <v>4</v>
      </c>
      <c r="J605" s="113">
        <v>0.3961574074074074</v>
      </c>
      <c r="K605" s="114">
        <v>530.9</v>
      </c>
      <c r="L605" s="114">
        <v>0.45</v>
      </c>
      <c r="M605" s="114">
        <v>1115.7</v>
      </c>
      <c r="N605" s="114">
        <v>0.63</v>
      </c>
      <c r="O605" s="114">
        <v>65.7</v>
      </c>
      <c r="P605" s="114">
        <v>0.8</v>
      </c>
      <c r="Q605" s="114">
        <v>50</v>
      </c>
      <c r="R605" s="114" t="s">
        <v>48</v>
      </c>
      <c r="S605" s="114">
        <v>3</v>
      </c>
    </row>
    <row r="606" spans="1:19" ht="15" x14ac:dyDescent="0.25">
      <c r="A606" s="7">
        <v>2012</v>
      </c>
      <c r="B606" s="26">
        <v>41107</v>
      </c>
      <c r="C606" s="16" t="s">
        <v>35</v>
      </c>
      <c r="D606" s="16" t="s">
        <v>36</v>
      </c>
      <c r="E606" s="16" t="s">
        <v>28</v>
      </c>
      <c r="F606" s="16" t="s">
        <v>38</v>
      </c>
      <c r="G606" s="30" t="s">
        <v>42</v>
      </c>
      <c r="H606" s="10" t="s">
        <v>55</v>
      </c>
      <c r="I606" s="16" t="s">
        <v>4</v>
      </c>
      <c r="J606" s="113">
        <v>0.39621527777777782</v>
      </c>
      <c r="K606" s="114">
        <v>230.6</v>
      </c>
      <c r="L606" s="114">
        <v>0.21</v>
      </c>
      <c r="M606" s="114">
        <v>445.6</v>
      </c>
      <c r="N606" s="114">
        <v>0.02</v>
      </c>
      <c r="O606" s="114">
        <v>62.7</v>
      </c>
      <c r="P606" s="114">
        <v>0.8</v>
      </c>
      <c r="Q606" s="114">
        <v>50</v>
      </c>
      <c r="R606" s="114" t="s">
        <v>45</v>
      </c>
      <c r="S606" s="114">
        <v>1</v>
      </c>
    </row>
    <row r="607" spans="1:19" ht="15" x14ac:dyDescent="0.25">
      <c r="A607" s="7">
        <v>2012</v>
      </c>
      <c r="B607" s="115">
        <v>41122</v>
      </c>
      <c r="C607" s="16" t="s">
        <v>35</v>
      </c>
      <c r="D607" s="16" t="s">
        <v>36</v>
      </c>
      <c r="E607" s="16" t="s">
        <v>28</v>
      </c>
      <c r="F607" s="16" t="s">
        <v>38</v>
      </c>
      <c r="G607" s="30" t="s">
        <v>42</v>
      </c>
      <c r="H607" s="10" t="s">
        <v>55</v>
      </c>
      <c r="I607" s="16" t="s">
        <v>4</v>
      </c>
      <c r="J607" s="113">
        <v>0.39627314814814812</v>
      </c>
      <c r="K607" s="114">
        <v>893.7</v>
      </c>
      <c r="L607" s="114">
        <v>0.22</v>
      </c>
      <c r="M607" s="114">
        <v>1115.7</v>
      </c>
      <c r="N607" s="114">
        <v>0.63</v>
      </c>
      <c r="O607" s="114">
        <v>65.7</v>
      </c>
      <c r="P607" s="114">
        <v>0.2</v>
      </c>
      <c r="Q607" s="114">
        <v>65</v>
      </c>
      <c r="R607" s="114" t="s">
        <v>48</v>
      </c>
      <c r="S607" s="114">
        <v>3</v>
      </c>
    </row>
    <row r="608" spans="1:19" ht="15" x14ac:dyDescent="0.25">
      <c r="A608" s="7">
        <v>2012</v>
      </c>
      <c r="B608" s="26">
        <v>41107</v>
      </c>
      <c r="C608" s="16" t="s">
        <v>35</v>
      </c>
      <c r="D608" s="16" t="s">
        <v>36</v>
      </c>
      <c r="E608" s="16" t="s">
        <v>28</v>
      </c>
      <c r="F608" s="16" t="s">
        <v>38</v>
      </c>
      <c r="G608" s="30" t="s">
        <v>42</v>
      </c>
      <c r="H608" s="10" t="s">
        <v>55</v>
      </c>
      <c r="I608" s="16" t="s">
        <v>4</v>
      </c>
      <c r="J608" s="113">
        <v>0.39633101851851849</v>
      </c>
      <c r="K608" s="114">
        <v>309.89999999999998</v>
      </c>
      <c r="L608" s="114">
        <v>0.08</v>
      </c>
      <c r="M608" s="114">
        <v>444.3</v>
      </c>
      <c r="N608" s="114">
        <v>0.02</v>
      </c>
      <c r="O608" s="114">
        <v>62.7</v>
      </c>
      <c r="P608" s="114">
        <v>0.4</v>
      </c>
      <c r="Q608" s="114">
        <v>65</v>
      </c>
      <c r="R608" s="114" t="s">
        <v>45</v>
      </c>
      <c r="S608" s="114">
        <v>1</v>
      </c>
    </row>
    <row r="609" spans="1:19" ht="15" x14ac:dyDescent="0.25">
      <c r="A609" s="7">
        <v>2012</v>
      </c>
      <c r="B609" s="115">
        <v>41122</v>
      </c>
      <c r="C609" s="16" t="s">
        <v>35</v>
      </c>
      <c r="D609" s="16" t="s">
        <v>36</v>
      </c>
      <c r="E609" s="16" t="s">
        <v>28</v>
      </c>
      <c r="F609" s="16" t="s">
        <v>38</v>
      </c>
      <c r="G609" s="30" t="s">
        <v>42</v>
      </c>
      <c r="H609" s="10" t="s">
        <v>55</v>
      </c>
      <c r="I609" s="16" t="s">
        <v>4</v>
      </c>
      <c r="J609" s="113">
        <v>0.39636574074074077</v>
      </c>
      <c r="K609" s="114">
        <v>1049.8</v>
      </c>
      <c r="L609" s="114">
        <v>0.03</v>
      </c>
      <c r="M609" s="114">
        <v>1116.9000000000001</v>
      </c>
      <c r="N609" s="114">
        <v>0.63</v>
      </c>
      <c r="O609" s="114">
        <v>65.7</v>
      </c>
      <c r="P609" s="114">
        <v>0.1</v>
      </c>
      <c r="Q609" s="114">
        <v>80</v>
      </c>
      <c r="R609" s="114" t="s">
        <v>48</v>
      </c>
      <c r="S609" s="114">
        <v>3</v>
      </c>
    </row>
    <row r="610" spans="1:19" ht="15" x14ac:dyDescent="0.25">
      <c r="A610" s="7">
        <v>2012</v>
      </c>
      <c r="B610" s="26">
        <v>41107</v>
      </c>
      <c r="C610" s="16" t="s">
        <v>35</v>
      </c>
      <c r="D610" s="16" t="s">
        <v>36</v>
      </c>
      <c r="E610" s="16" t="s">
        <v>28</v>
      </c>
      <c r="F610" s="16" t="s">
        <v>38</v>
      </c>
      <c r="G610" s="30" t="s">
        <v>42</v>
      </c>
      <c r="H610" s="10" t="s">
        <v>55</v>
      </c>
      <c r="I610" s="16" t="s">
        <v>4</v>
      </c>
      <c r="J610" s="113">
        <v>0.39642361111111107</v>
      </c>
      <c r="K610" s="114">
        <v>355.8</v>
      </c>
      <c r="L610" s="114">
        <v>0.04</v>
      </c>
      <c r="M610" s="114">
        <v>441.9</v>
      </c>
      <c r="N610" s="114">
        <v>0.02</v>
      </c>
      <c r="O610" s="114">
        <v>62.7</v>
      </c>
      <c r="P610" s="114">
        <v>0.2</v>
      </c>
      <c r="Q610" s="114">
        <v>80</v>
      </c>
      <c r="R610" s="114" t="s">
        <v>45</v>
      </c>
      <c r="S610" s="114">
        <v>1</v>
      </c>
    </row>
    <row r="611" spans="1:19" ht="15" x14ac:dyDescent="0.25">
      <c r="A611" s="7">
        <v>2012</v>
      </c>
      <c r="B611" s="115">
        <v>41107</v>
      </c>
      <c r="C611" s="114" t="s">
        <v>35</v>
      </c>
      <c r="D611" s="114" t="s">
        <v>36</v>
      </c>
      <c r="E611" s="114" t="s">
        <v>27</v>
      </c>
      <c r="F611" s="114" t="s">
        <v>38</v>
      </c>
      <c r="G611" s="30" t="s">
        <v>42</v>
      </c>
      <c r="H611" s="10" t="s">
        <v>55</v>
      </c>
      <c r="I611" s="114" t="s">
        <v>60</v>
      </c>
      <c r="J611" s="113">
        <v>0.37975694444444441</v>
      </c>
      <c r="K611" s="114">
        <v>54.8</v>
      </c>
      <c r="L611" s="114">
        <v>0.35</v>
      </c>
      <c r="M611" s="114">
        <v>405.3</v>
      </c>
      <c r="N611" s="114">
        <v>0.02</v>
      </c>
      <c r="O611" s="114">
        <v>64.8</v>
      </c>
      <c r="P611" s="114">
        <v>2.9</v>
      </c>
      <c r="Q611" s="114">
        <v>5</v>
      </c>
      <c r="R611" s="114" t="s">
        <v>45</v>
      </c>
      <c r="S611" s="114">
        <v>1</v>
      </c>
    </row>
    <row r="612" spans="1:19" ht="15" x14ac:dyDescent="0.25">
      <c r="A612" s="7">
        <v>2012</v>
      </c>
      <c r="B612" s="115">
        <v>41107</v>
      </c>
      <c r="C612" s="114" t="s">
        <v>35</v>
      </c>
      <c r="D612" s="114" t="s">
        <v>36</v>
      </c>
      <c r="E612" s="114" t="s">
        <v>27</v>
      </c>
      <c r="F612" s="114" t="s">
        <v>38</v>
      </c>
      <c r="G612" s="30" t="s">
        <v>42</v>
      </c>
      <c r="H612" s="10" t="s">
        <v>55</v>
      </c>
      <c r="I612" s="114" t="s">
        <v>60</v>
      </c>
      <c r="J612" s="113">
        <v>0.38019675925925928</v>
      </c>
      <c r="K612" s="114">
        <v>77.099999999999994</v>
      </c>
      <c r="L612" s="114">
        <v>0.22</v>
      </c>
      <c r="M612" s="114">
        <v>413.8</v>
      </c>
      <c r="N612" s="114">
        <v>0.02</v>
      </c>
      <c r="O612" s="114">
        <v>64.8</v>
      </c>
      <c r="P612" s="114">
        <v>2.4</v>
      </c>
      <c r="Q612" s="114">
        <v>20</v>
      </c>
      <c r="R612" s="114" t="s">
        <v>45</v>
      </c>
      <c r="S612" s="114">
        <v>1</v>
      </c>
    </row>
    <row r="613" spans="1:19" ht="15" x14ac:dyDescent="0.25">
      <c r="A613" s="7">
        <v>2012</v>
      </c>
      <c r="B613" s="115">
        <v>41107</v>
      </c>
      <c r="C613" s="114" t="s">
        <v>35</v>
      </c>
      <c r="D613" s="114" t="s">
        <v>36</v>
      </c>
      <c r="E613" s="114" t="s">
        <v>27</v>
      </c>
      <c r="F613" s="114" t="s">
        <v>38</v>
      </c>
      <c r="G613" s="30" t="s">
        <v>42</v>
      </c>
      <c r="H613" s="10" t="s">
        <v>55</v>
      </c>
      <c r="I613" s="114" t="s">
        <v>60</v>
      </c>
      <c r="J613" s="113">
        <v>0.38057870370370367</v>
      </c>
      <c r="K613" s="114">
        <v>168.7</v>
      </c>
      <c r="L613" s="114">
        <v>0.36</v>
      </c>
      <c r="M613" s="114">
        <v>423.6</v>
      </c>
      <c r="N613" s="114">
        <v>0.01</v>
      </c>
      <c r="O613" s="114">
        <v>64.7</v>
      </c>
      <c r="P613" s="114">
        <v>1.2</v>
      </c>
      <c r="Q613" s="114">
        <v>35</v>
      </c>
      <c r="R613" s="114" t="s">
        <v>45</v>
      </c>
      <c r="S613" s="114">
        <v>1</v>
      </c>
    </row>
    <row r="614" spans="1:19" ht="15" x14ac:dyDescent="0.25">
      <c r="A614" s="7">
        <v>2012</v>
      </c>
      <c r="B614" s="115">
        <v>41107</v>
      </c>
      <c r="C614" s="114" t="s">
        <v>35</v>
      </c>
      <c r="D614" s="114" t="s">
        <v>36</v>
      </c>
      <c r="E614" s="114" t="s">
        <v>27</v>
      </c>
      <c r="F614" s="114" t="s">
        <v>38</v>
      </c>
      <c r="G614" s="30" t="s">
        <v>42</v>
      </c>
      <c r="H614" s="10" t="s">
        <v>55</v>
      </c>
      <c r="I614" s="114" t="s">
        <v>60</v>
      </c>
      <c r="J614" s="113">
        <v>0.38070601851851849</v>
      </c>
      <c r="K614" s="114">
        <v>239</v>
      </c>
      <c r="L614" s="114">
        <v>0.2</v>
      </c>
      <c r="M614" s="114">
        <v>427.2</v>
      </c>
      <c r="N614" s="114">
        <v>0.02</v>
      </c>
      <c r="O614" s="114">
        <v>64.7</v>
      </c>
      <c r="P614" s="114">
        <v>0.7</v>
      </c>
      <c r="Q614" s="114">
        <v>50</v>
      </c>
      <c r="R614" s="114" t="s">
        <v>45</v>
      </c>
      <c r="S614" s="114">
        <v>1</v>
      </c>
    </row>
    <row r="615" spans="1:19" ht="15" x14ac:dyDescent="0.25">
      <c r="A615" s="7">
        <v>2012</v>
      </c>
      <c r="B615" s="115">
        <v>41107</v>
      </c>
      <c r="C615" s="114" t="s">
        <v>35</v>
      </c>
      <c r="D615" s="114" t="s">
        <v>36</v>
      </c>
      <c r="E615" s="114" t="s">
        <v>27</v>
      </c>
      <c r="F615" s="114" t="s">
        <v>38</v>
      </c>
      <c r="G615" s="30" t="s">
        <v>42</v>
      </c>
      <c r="H615" s="10" t="s">
        <v>55</v>
      </c>
      <c r="I615" s="114" t="s">
        <v>60</v>
      </c>
      <c r="J615" s="113">
        <v>0.38083333333333336</v>
      </c>
      <c r="K615" s="114">
        <v>347.5</v>
      </c>
      <c r="L615" s="114">
        <v>0.06</v>
      </c>
      <c r="M615" s="114">
        <v>429.7</v>
      </c>
      <c r="N615" s="114">
        <v>0.02</v>
      </c>
      <c r="O615" s="114">
        <v>64.7</v>
      </c>
      <c r="P615" s="114">
        <v>0.2</v>
      </c>
      <c r="Q615" s="114">
        <v>65</v>
      </c>
      <c r="R615" s="114" t="s">
        <v>45</v>
      </c>
      <c r="S615" s="114">
        <v>1</v>
      </c>
    </row>
    <row r="616" spans="1:19" ht="15" x14ac:dyDescent="0.25">
      <c r="A616" s="7">
        <v>2012</v>
      </c>
      <c r="B616" s="115">
        <v>41107</v>
      </c>
      <c r="C616" s="114" t="s">
        <v>35</v>
      </c>
      <c r="D616" s="114" t="s">
        <v>36</v>
      </c>
      <c r="E616" s="114" t="s">
        <v>27</v>
      </c>
      <c r="F616" s="114" t="s">
        <v>38</v>
      </c>
      <c r="G616" s="30" t="s">
        <v>42</v>
      </c>
      <c r="H616" s="10" t="s">
        <v>55</v>
      </c>
      <c r="I616" s="114" t="s">
        <v>60</v>
      </c>
      <c r="J616" s="113">
        <v>0.38100694444444444</v>
      </c>
      <c r="K616" s="114">
        <v>357.3</v>
      </c>
      <c r="L616" s="114">
        <v>0.03</v>
      </c>
      <c r="M616" s="114">
        <v>433.3</v>
      </c>
      <c r="N616" s="114">
        <v>0.01</v>
      </c>
      <c r="O616" s="114">
        <v>64.7</v>
      </c>
      <c r="P616" s="114">
        <v>0.2</v>
      </c>
      <c r="Q616" s="114">
        <v>80</v>
      </c>
      <c r="R616" s="114" t="s">
        <v>45</v>
      </c>
      <c r="S616" s="114">
        <v>1</v>
      </c>
    </row>
    <row r="617" spans="1:19" ht="15" x14ac:dyDescent="0.25">
      <c r="A617" s="7">
        <v>2012</v>
      </c>
      <c r="B617" s="115">
        <v>41107</v>
      </c>
      <c r="C617" s="114" t="s">
        <v>35</v>
      </c>
      <c r="D617" s="114" t="s">
        <v>36</v>
      </c>
      <c r="E617" s="114" t="s">
        <v>27</v>
      </c>
      <c r="F617" s="114" t="s">
        <v>38</v>
      </c>
      <c r="G617" s="30" t="s">
        <v>42</v>
      </c>
      <c r="H617" s="10" t="s">
        <v>55</v>
      </c>
      <c r="I617" s="114" t="s">
        <v>60</v>
      </c>
      <c r="J617" s="113">
        <v>0.3818981481481481</v>
      </c>
      <c r="K617" s="114">
        <v>48</v>
      </c>
      <c r="L617" s="114">
        <v>0.41</v>
      </c>
      <c r="M617" s="114">
        <v>449.2</v>
      </c>
      <c r="N617" s="114">
        <v>0.02</v>
      </c>
      <c r="O617" s="114">
        <v>64.5</v>
      </c>
      <c r="P617" s="114">
        <v>3.3</v>
      </c>
      <c r="Q617" s="114">
        <v>5</v>
      </c>
      <c r="R617" s="114" t="s">
        <v>45</v>
      </c>
      <c r="S617" s="114">
        <v>2</v>
      </c>
    </row>
    <row r="618" spans="1:19" ht="15" x14ac:dyDescent="0.25">
      <c r="A618" s="7">
        <v>2012</v>
      </c>
      <c r="B618" s="115">
        <v>41107</v>
      </c>
      <c r="C618" s="114" t="s">
        <v>35</v>
      </c>
      <c r="D618" s="114" t="s">
        <v>36</v>
      </c>
      <c r="E618" s="114" t="s">
        <v>27</v>
      </c>
      <c r="F618" s="114" t="s">
        <v>38</v>
      </c>
      <c r="G618" s="30" t="s">
        <v>42</v>
      </c>
      <c r="H618" s="10" t="s">
        <v>55</v>
      </c>
      <c r="I618" s="114" t="s">
        <v>60</v>
      </c>
      <c r="J618" s="113">
        <v>0.38207175925925929</v>
      </c>
      <c r="K618" s="114">
        <v>99.8</v>
      </c>
      <c r="L618" s="114">
        <v>0.25</v>
      </c>
      <c r="M618" s="114">
        <v>450.4</v>
      </c>
      <c r="N618" s="114">
        <v>0.02</v>
      </c>
      <c r="O618" s="114">
        <v>64.5</v>
      </c>
      <c r="P618" s="114">
        <v>2.1</v>
      </c>
      <c r="Q618" s="114">
        <v>20</v>
      </c>
      <c r="R618" s="114" t="s">
        <v>45</v>
      </c>
      <c r="S618" s="114">
        <v>2</v>
      </c>
    </row>
    <row r="619" spans="1:19" ht="15" x14ac:dyDescent="0.25">
      <c r="A619" s="7">
        <v>2012</v>
      </c>
      <c r="B619" s="115">
        <v>41107</v>
      </c>
      <c r="C619" s="114" t="s">
        <v>35</v>
      </c>
      <c r="D619" s="114" t="s">
        <v>36</v>
      </c>
      <c r="E619" s="114" t="s">
        <v>27</v>
      </c>
      <c r="F619" s="114" t="s">
        <v>38</v>
      </c>
      <c r="G619" s="30" t="s">
        <v>42</v>
      </c>
      <c r="H619" s="10" t="s">
        <v>55</v>
      </c>
      <c r="I619" s="114" t="s">
        <v>60</v>
      </c>
      <c r="J619" s="113">
        <v>0.38223379629629628</v>
      </c>
      <c r="K619" s="114">
        <v>153.80000000000001</v>
      </c>
      <c r="L619" s="114">
        <v>0.22</v>
      </c>
      <c r="M619" s="114">
        <v>451.7</v>
      </c>
      <c r="N619" s="114">
        <v>0.02</v>
      </c>
      <c r="O619" s="114">
        <v>64.5</v>
      </c>
      <c r="P619" s="114">
        <v>1.5</v>
      </c>
      <c r="Q619" s="114">
        <v>35</v>
      </c>
      <c r="R619" s="114" t="s">
        <v>45</v>
      </c>
      <c r="S619" s="114">
        <v>2</v>
      </c>
    </row>
    <row r="620" spans="1:19" ht="15" x14ac:dyDescent="0.25">
      <c r="A620" s="7">
        <v>2012</v>
      </c>
      <c r="B620" s="115">
        <v>41107</v>
      </c>
      <c r="C620" s="114" t="s">
        <v>35</v>
      </c>
      <c r="D620" s="114" t="s">
        <v>36</v>
      </c>
      <c r="E620" s="114" t="s">
        <v>27</v>
      </c>
      <c r="F620" s="114" t="s">
        <v>38</v>
      </c>
      <c r="G620" s="30" t="s">
        <v>42</v>
      </c>
      <c r="H620" s="10" t="s">
        <v>55</v>
      </c>
      <c r="I620" s="114" t="s">
        <v>60</v>
      </c>
      <c r="J620" s="113">
        <v>0.38237268518518519</v>
      </c>
      <c r="K620" s="114">
        <v>278.89999999999998</v>
      </c>
      <c r="L620" s="114">
        <v>0.18</v>
      </c>
      <c r="M620" s="114">
        <v>451.7</v>
      </c>
      <c r="N620" s="114">
        <v>0.02</v>
      </c>
      <c r="O620" s="114">
        <v>64.5</v>
      </c>
      <c r="P620" s="114">
        <v>0.6</v>
      </c>
      <c r="Q620" s="114">
        <v>50</v>
      </c>
      <c r="R620" s="114" t="s">
        <v>45</v>
      </c>
      <c r="S620" s="114">
        <v>2</v>
      </c>
    </row>
    <row r="621" spans="1:19" ht="15" x14ac:dyDescent="0.25">
      <c r="A621" s="7">
        <v>2012</v>
      </c>
      <c r="B621" s="115">
        <v>41107</v>
      </c>
      <c r="C621" s="114" t="s">
        <v>35</v>
      </c>
      <c r="D621" s="114" t="s">
        <v>36</v>
      </c>
      <c r="E621" s="114" t="s">
        <v>27</v>
      </c>
      <c r="F621" s="114" t="s">
        <v>38</v>
      </c>
      <c r="G621" s="30" t="s">
        <v>42</v>
      </c>
      <c r="H621" s="10" t="s">
        <v>55</v>
      </c>
      <c r="I621" s="114" t="s">
        <v>60</v>
      </c>
      <c r="J621" s="113">
        <v>0.38247685185185182</v>
      </c>
      <c r="K621" s="114">
        <v>369.4</v>
      </c>
      <c r="L621" s="114">
        <v>0.04</v>
      </c>
      <c r="M621" s="114">
        <v>450.4</v>
      </c>
      <c r="N621" s="114">
        <v>0.01</v>
      </c>
      <c r="O621" s="114">
        <v>64.5</v>
      </c>
      <c r="P621" s="114">
        <v>0.2</v>
      </c>
      <c r="Q621" s="114">
        <v>65</v>
      </c>
      <c r="R621" s="114" t="s">
        <v>45</v>
      </c>
      <c r="S621" s="114">
        <v>2</v>
      </c>
    </row>
    <row r="622" spans="1:19" ht="15" x14ac:dyDescent="0.25">
      <c r="A622" s="7">
        <v>2012</v>
      </c>
      <c r="B622" s="115">
        <v>41107</v>
      </c>
      <c r="C622" s="114" t="s">
        <v>35</v>
      </c>
      <c r="D622" s="114" t="s">
        <v>36</v>
      </c>
      <c r="E622" s="114" t="s">
        <v>27</v>
      </c>
      <c r="F622" s="114" t="s">
        <v>38</v>
      </c>
      <c r="G622" s="30" t="s">
        <v>42</v>
      </c>
      <c r="H622" s="10" t="s">
        <v>55</v>
      </c>
      <c r="I622" s="114" t="s">
        <v>60</v>
      </c>
      <c r="J622" s="113">
        <v>0.38261574074074073</v>
      </c>
      <c r="K622" s="114">
        <v>370.4</v>
      </c>
      <c r="L622" s="114">
        <v>0.03</v>
      </c>
      <c r="M622" s="114">
        <v>449.2</v>
      </c>
      <c r="N622" s="114">
        <v>0.02</v>
      </c>
      <c r="O622" s="114">
        <v>64.400000000000006</v>
      </c>
      <c r="P622" s="114">
        <v>0.2</v>
      </c>
      <c r="Q622" s="114">
        <v>80</v>
      </c>
      <c r="R622" s="114" t="s">
        <v>45</v>
      </c>
      <c r="S622" s="114">
        <v>2</v>
      </c>
    </row>
    <row r="623" spans="1:19" ht="15" x14ac:dyDescent="0.25">
      <c r="A623" s="7">
        <v>2012</v>
      </c>
      <c r="B623" s="115">
        <v>41107</v>
      </c>
      <c r="C623" s="114" t="s">
        <v>35</v>
      </c>
      <c r="D623" s="114" t="s">
        <v>36</v>
      </c>
      <c r="E623" s="114" t="s">
        <v>27</v>
      </c>
      <c r="F623" s="114" t="s">
        <v>38</v>
      </c>
      <c r="G623" s="30" t="s">
        <v>42</v>
      </c>
      <c r="H623" s="10" t="s">
        <v>55</v>
      </c>
      <c r="I623" s="114" t="s">
        <v>60</v>
      </c>
      <c r="J623" s="113">
        <v>0.38395833333333335</v>
      </c>
      <c r="K623" s="114">
        <v>48.1</v>
      </c>
      <c r="L623" s="114">
        <v>0.36</v>
      </c>
      <c r="M623" s="114">
        <v>432.1</v>
      </c>
      <c r="N623" s="114">
        <v>0.02</v>
      </c>
      <c r="O623" s="114">
        <v>64.3</v>
      </c>
      <c r="P623" s="114">
        <v>3.3</v>
      </c>
      <c r="Q623" s="114">
        <v>5</v>
      </c>
      <c r="R623" s="114" t="s">
        <v>45</v>
      </c>
      <c r="S623" s="114">
        <v>3</v>
      </c>
    </row>
    <row r="624" spans="1:19" ht="15" x14ac:dyDescent="0.25">
      <c r="A624" s="7">
        <v>2012</v>
      </c>
      <c r="B624" s="115">
        <v>41107</v>
      </c>
      <c r="C624" s="114" t="s">
        <v>35</v>
      </c>
      <c r="D624" s="114" t="s">
        <v>36</v>
      </c>
      <c r="E624" s="114" t="s">
        <v>27</v>
      </c>
      <c r="F624" s="114" t="s">
        <v>38</v>
      </c>
      <c r="G624" s="30" t="s">
        <v>42</v>
      </c>
      <c r="H624" s="10" t="s">
        <v>55</v>
      </c>
      <c r="I624" s="114" t="s">
        <v>60</v>
      </c>
      <c r="J624" s="113">
        <v>0.38414351851851852</v>
      </c>
      <c r="K624" s="114">
        <v>86.3</v>
      </c>
      <c r="L624" s="114">
        <v>0.21</v>
      </c>
      <c r="M624" s="114">
        <v>427.2</v>
      </c>
      <c r="N624" s="114">
        <v>0.02</v>
      </c>
      <c r="O624" s="114">
        <v>64.2</v>
      </c>
      <c r="P624" s="114">
        <v>2.2999999999999998</v>
      </c>
      <c r="Q624" s="114">
        <v>20</v>
      </c>
      <c r="R624" s="114" t="s">
        <v>45</v>
      </c>
      <c r="S624" s="114">
        <v>3</v>
      </c>
    </row>
    <row r="625" spans="1:19" ht="15" x14ac:dyDescent="0.25">
      <c r="A625" s="7">
        <v>2012</v>
      </c>
      <c r="B625" s="115">
        <v>41107</v>
      </c>
      <c r="C625" s="114" t="s">
        <v>35</v>
      </c>
      <c r="D625" s="114" t="s">
        <v>36</v>
      </c>
      <c r="E625" s="114" t="s">
        <v>27</v>
      </c>
      <c r="F625" s="114" t="s">
        <v>38</v>
      </c>
      <c r="G625" s="30" t="s">
        <v>42</v>
      </c>
      <c r="H625" s="10" t="s">
        <v>55</v>
      </c>
      <c r="I625" s="114" t="s">
        <v>60</v>
      </c>
      <c r="J625" s="113">
        <v>0.38438657407407412</v>
      </c>
      <c r="K625" s="114">
        <v>146.30000000000001</v>
      </c>
      <c r="L625" s="114">
        <v>0.3</v>
      </c>
      <c r="M625" s="114">
        <v>423.6</v>
      </c>
      <c r="N625" s="114">
        <v>0.02</v>
      </c>
      <c r="O625" s="114">
        <v>64.2</v>
      </c>
      <c r="P625" s="114">
        <v>1.4</v>
      </c>
      <c r="Q625" s="114">
        <v>35</v>
      </c>
      <c r="R625" s="114" t="s">
        <v>45</v>
      </c>
      <c r="S625" s="114">
        <v>3</v>
      </c>
    </row>
    <row r="626" spans="1:19" ht="15" x14ac:dyDescent="0.25">
      <c r="A626" s="7">
        <v>2012</v>
      </c>
      <c r="B626" s="115">
        <v>41107</v>
      </c>
      <c r="C626" s="114" t="s">
        <v>35</v>
      </c>
      <c r="D626" s="114" t="s">
        <v>36</v>
      </c>
      <c r="E626" s="114" t="s">
        <v>27</v>
      </c>
      <c r="F626" s="114" t="s">
        <v>38</v>
      </c>
      <c r="G626" s="30" t="s">
        <v>42</v>
      </c>
      <c r="H626" s="10" t="s">
        <v>55</v>
      </c>
      <c r="I626" s="114" t="s">
        <v>60</v>
      </c>
      <c r="J626" s="113">
        <v>0.38451388888888888</v>
      </c>
      <c r="K626" s="114">
        <v>306.39999999999998</v>
      </c>
      <c r="L626" s="114">
        <v>0.04</v>
      </c>
      <c r="M626" s="114">
        <v>424.8</v>
      </c>
      <c r="N626" s="114">
        <v>0.02</v>
      </c>
      <c r="O626" s="114">
        <v>64.2</v>
      </c>
      <c r="P626" s="114">
        <v>0.4</v>
      </c>
      <c r="Q626" s="114">
        <v>50</v>
      </c>
      <c r="R626" s="114" t="s">
        <v>45</v>
      </c>
      <c r="S626" s="114">
        <v>3</v>
      </c>
    </row>
    <row r="627" spans="1:19" ht="15" x14ac:dyDescent="0.25">
      <c r="A627" s="7">
        <v>2012</v>
      </c>
      <c r="B627" s="115">
        <v>41107</v>
      </c>
      <c r="C627" s="114" t="s">
        <v>35</v>
      </c>
      <c r="D627" s="114" t="s">
        <v>36</v>
      </c>
      <c r="E627" s="114" t="s">
        <v>27</v>
      </c>
      <c r="F627" s="114" t="s">
        <v>38</v>
      </c>
      <c r="G627" s="30" t="s">
        <v>42</v>
      </c>
      <c r="H627" s="10" t="s">
        <v>55</v>
      </c>
      <c r="I627" s="114" t="s">
        <v>60</v>
      </c>
      <c r="J627" s="113">
        <v>0.38460648148148152</v>
      </c>
      <c r="K627" s="114">
        <v>331.4</v>
      </c>
      <c r="L627" s="114">
        <v>0.04</v>
      </c>
      <c r="M627" s="114">
        <v>426</v>
      </c>
      <c r="N627" s="114">
        <v>0.02</v>
      </c>
      <c r="O627" s="114">
        <v>64.2</v>
      </c>
      <c r="P627" s="114">
        <v>0.3</v>
      </c>
      <c r="Q627" s="114">
        <v>65</v>
      </c>
      <c r="R627" s="114" t="s">
        <v>45</v>
      </c>
      <c r="S627" s="114">
        <v>3</v>
      </c>
    </row>
    <row r="628" spans="1:19" ht="15" x14ac:dyDescent="0.25">
      <c r="A628" s="7">
        <v>2012</v>
      </c>
      <c r="B628" s="115">
        <v>41107</v>
      </c>
      <c r="C628" s="114" t="s">
        <v>35</v>
      </c>
      <c r="D628" s="114" t="s">
        <v>36</v>
      </c>
      <c r="E628" s="114" t="s">
        <v>27</v>
      </c>
      <c r="F628" s="114" t="s">
        <v>38</v>
      </c>
      <c r="G628" s="30" t="s">
        <v>42</v>
      </c>
      <c r="H628" s="10" t="s">
        <v>55</v>
      </c>
      <c r="I628" s="114" t="s">
        <v>60</v>
      </c>
      <c r="J628" s="113">
        <v>0.38471064814814815</v>
      </c>
      <c r="K628" s="114">
        <v>347.4</v>
      </c>
      <c r="L628" s="114">
        <v>0.02</v>
      </c>
      <c r="M628" s="114">
        <v>427.2</v>
      </c>
      <c r="N628" s="114">
        <v>0.02</v>
      </c>
      <c r="O628" s="114">
        <v>64.2</v>
      </c>
      <c r="P628" s="114">
        <v>0.2</v>
      </c>
      <c r="Q628" s="114">
        <v>80</v>
      </c>
      <c r="R628" s="114" t="s">
        <v>45</v>
      </c>
      <c r="S628" s="114">
        <v>3</v>
      </c>
    </row>
    <row r="629" spans="1:19" ht="15" x14ac:dyDescent="0.25">
      <c r="A629" s="7">
        <v>2012</v>
      </c>
      <c r="B629" s="115">
        <v>41122</v>
      </c>
      <c r="C629" s="114" t="s">
        <v>35</v>
      </c>
      <c r="D629" s="114" t="s">
        <v>36</v>
      </c>
      <c r="E629" s="114" t="s">
        <v>27</v>
      </c>
      <c r="F629" s="114" t="s">
        <v>38</v>
      </c>
      <c r="G629" s="30" t="s">
        <v>42</v>
      </c>
      <c r="H629" s="10" t="s">
        <v>55</v>
      </c>
      <c r="I629" s="114" t="s">
        <v>60</v>
      </c>
      <c r="J629" s="113">
        <v>0.40005787037037038</v>
      </c>
      <c r="K629" s="114">
        <v>95.8</v>
      </c>
      <c r="L629" s="114">
        <v>0.36</v>
      </c>
      <c r="M629" s="114">
        <v>1145</v>
      </c>
      <c r="N629" s="114">
        <v>0.6</v>
      </c>
      <c r="O629" s="114">
        <v>65.2</v>
      </c>
      <c r="P629" s="114">
        <v>2.9</v>
      </c>
      <c r="Q629" s="114">
        <v>5</v>
      </c>
      <c r="R629" s="114" t="s">
        <v>48</v>
      </c>
      <c r="S629" s="114">
        <v>1</v>
      </c>
    </row>
    <row r="630" spans="1:19" ht="15" x14ac:dyDescent="0.25">
      <c r="A630" s="7">
        <v>2012</v>
      </c>
      <c r="B630" s="115">
        <v>41122</v>
      </c>
      <c r="C630" s="114" t="s">
        <v>35</v>
      </c>
      <c r="D630" s="114" t="s">
        <v>36</v>
      </c>
      <c r="E630" s="114" t="s">
        <v>27</v>
      </c>
      <c r="F630" s="114" t="s">
        <v>38</v>
      </c>
      <c r="G630" s="30" t="s">
        <v>42</v>
      </c>
      <c r="H630" s="10" t="s">
        <v>55</v>
      </c>
      <c r="I630" s="114" t="s">
        <v>60</v>
      </c>
      <c r="J630" s="113">
        <v>0.40033564814814815</v>
      </c>
      <c r="K630" s="114">
        <v>239.1</v>
      </c>
      <c r="L630" s="114">
        <v>0.56999999999999995</v>
      </c>
      <c r="M630" s="114">
        <v>1147.5</v>
      </c>
      <c r="N630" s="114">
        <v>0.6</v>
      </c>
      <c r="O630" s="114">
        <v>65.2</v>
      </c>
      <c r="P630" s="114">
        <v>1.8</v>
      </c>
      <c r="Q630" s="114">
        <v>20</v>
      </c>
      <c r="R630" s="114" t="s">
        <v>48</v>
      </c>
      <c r="S630" s="114">
        <v>1</v>
      </c>
    </row>
    <row r="631" spans="1:19" ht="15" x14ac:dyDescent="0.25">
      <c r="A631" s="7">
        <v>2012</v>
      </c>
      <c r="B631" s="115">
        <v>41122</v>
      </c>
      <c r="C631" s="114" t="s">
        <v>35</v>
      </c>
      <c r="D631" s="114" t="s">
        <v>36</v>
      </c>
      <c r="E631" s="114" t="s">
        <v>27</v>
      </c>
      <c r="F631" s="114" t="s">
        <v>38</v>
      </c>
      <c r="G631" s="30" t="s">
        <v>42</v>
      </c>
      <c r="H631" s="10" t="s">
        <v>55</v>
      </c>
      <c r="I631" s="114" t="s">
        <v>60</v>
      </c>
      <c r="J631" s="113">
        <v>0.40047453703703706</v>
      </c>
      <c r="K631" s="114">
        <v>302.2</v>
      </c>
      <c r="L631" s="114">
        <v>0.63</v>
      </c>
      <c r="M631" s="114">
        <v>1135.3</v>
      </c>
      <c r="N631" s="114">
        <v>0.6</v>
      </c>
      <c r="O631" s="114">
        <v>65.2</v>
      </c>
      <c r="P631" s="114">
        <v>1.5</v>
      </c>
      <c r="Q631" s="114">
        <v>35</v>
      </c>
      <c r="R631" s="114" t="s">
        <v>48</v>
      </c>
      <c r="S631" s="114">
        <v>1</v>
      </c>
    </row>
    <row r="632" spans="1:19" ht="15" x14ac:dyDescent="0.25">
      <c r="A632" s="7">
        <v>2012</v>
      </c>
      <c r="B632" s="115">
        <v>41122</v>
      </c>
      <c r="C632" s="114" t="s">
        <v>35</v>
      </c>
      <c r="D632" s="114" t="s">
        <v>36</v>
      </c>
      <c r="E632" s="114" t="s">
        <v>27</v>
      </c>
      <c r="F632" s="114" t="s">
        <v>38</v>
      </c>
      <c r="G632" s="30" t="s">
        <v>42</v>
      </c>
      <c r="H632" s="10" t="s">
        <v>55</v>
      </c>
      <c r="I632" s="114" t="s">
        <v>60</v>
      </c>
      <c r="J632" s="113">
        <v>0.40055555555555555</v>
      </c>
      <c r="K632" s="114">
        <v>901.1</v>
      </c>
      <c r="L632" s="114">
        <v>0.25</v>
      </c>
      <c r="M632" s="114">
        <v>1135.3</v>
      </c>
      <c r="N632" s="114">
        <v>0.6</v>
      </c>
      <c r="O632" s="114">
        <v>65.2</v>
      </c>
      <c r="P632" s="114">
        <v>0.2</v>
      </c>
      <c r="Q632" s="114">
        <v>50</v>
      </c>
      <c r="R632" s="114" t="s">
        <v>48</v>
      </c>
      <c r="S632" s="114">
        <v>1</v>
      </c>
    </row>
    <row r="633" spans="1:19" ht="15" x14ac:dyDescent="0.25">
      <c r="A633" s="7">
        <v>2012</v>
      </c>
      <c r="B633" s="115">
        <v>41122</v>
      </c>
      <c r="C633" s="114" t="s">
        <v>35</v>
      </c>
      <c r="D633" s="114" t="s">
        <v>36</v>
      </c>
      <c r="E633" s="114" t="s">
        <v>27</v>
      </c>
      <c r="F633" s="114" t="s">
        <v>38</v>
      </c>
      <c r="G633" s="30" t="s">
        <v>42</v>
      </c>
      <c r="H633" s="10" t="s">
        <v>55</v>
      </c>
      <c r="I633" s="114" t="s">
        <v>60</v>
      </c>
      <c r="J633" s="113">
        <v>0.40064814814814814</v>
      </c>
      <c r="K633" s="114">
        <v>1013.7</v>
      </c>
      <c r="L633" s="114">
        <v>0.02</v>
      </c>
      <c r="M633" s="114">
        <v>1136.5</v>
      </c>
      <c r="N633" s="114">
        <v>0.59</v>
      </c>
      <c r="O633" s="114">
        <v>65.099999999999994</v>
      </c>
      <c r="P633" s="114">
        <v>0.1</v>
      </c>
      <c r="Q633" s="114">
        <v>65</v>
      </c>
      <c r="R633" s="114" t="s">
        <v>48</v>
      </c>
      <c r="S633" s="114">
        <v>1</v>
      </c>
    </row>
    <row r="634" spans="1:19" ht="15" x14ac:dyDescent="0.25">
      <c r="A634" s="7">
        <v>2012</v>
      </c>
      <c r="B634" s="115">
        <v>41122</v>
      </c>
      <c r="C634" s="114" t="s">
        <v>35</v>
      </c>
      <c r="D634" s="114" t="s">
        <v>36</v>
      </c>
      <c r="E634" s="114" t="s">
        <v>27</v>
      </c>
      <c r="F634" s="114" t="s">
        <v>38</v>
      </c>
      <c r="G634" s="30" t="s">
        <v>42</v>
      </c>
      <c r="H634" s="10" t="s">
        <v>55</v>
      </c>
      <c r="I634" s="114" t="s">
        <v>60</v>
      </c>
      <c r="J634" s="113">
        <v>0.40087962962962959</v>
      </c>
      <c r="K634" s="114">
        <v>122.2</v>
      </c>
      <c r="L634" s="114">
        <v>0.63</v>
      </c>
      <c r="M634" s="114">
        <v>1115.7</v>
      </c>
      <c r="N634" s="114">
        <v>0.59</v>
      </c>
      <c r="O634" s="114">
        <v>65.099999999999994</v>
      </c>
      <c r="P634" s="114">
        <v>2.6</v>
      </c>
      <c r="Q634" s="114">
        <v>5</v>
      </c>
      <c r="R634" s="114" t="s">
        <v>48</v>
      </c>
      <c r="S634" s="114">
        <v>2</v>
      </c>
    </row>
    <row r="635" spans="1:19" ht="15" x14ac:dyDescent="0.25">
      <c r="A635" s="7">
        <v>2012</v>
      </c>
      <c r="B635" s="115">
        <v>41122</v>
      </c>
      <c r="C635" s="114" t="s">
        <v>35</v>
      </c>
      <c r="D635" s="114" t="s">
        <v>36</v>
      </c>
      <c r="E635" s="114" t="s">
        <v>27</v>
      </c>
      <c r="F635" s="114" t="s">
        <v>38</v>
      </c>
      <c r="G635" s="30" t="s">
        <v>42</v>
      </c>
      <c r="H635" s="10" t="s">
        <v>55</v>
      </c>
      <c r="I635" s="114" t="s">
        <v>60</v>
      </c>
      <c r="J635" s="113">
        <v>0.40100694444444446</v>
      </c>
      <c r="K635" s="114">
        <v>198.7</v>
      </c>
      <c r="L635" s="114">
        <v>0.47</v>
      </c>
      <c r="M635" s="114">
        <v>1098.5999999999999</v>
      </c>
      <c r="N635" s="114">
        <v>0.57999999999999996</v>
      </c>
      <c r="O635" s="114">
        <v>65.099999999999994</v>
      </c>
      <c r="P635" s="114">
        <v>2</v>
      </c>
      <c r="Q635" s="114">
        <v>20</v>
      </c>
      <c r="R635" s="114" t="s">
        <v>48</v>
      </c>
      <c r="S635" s="114">
        <v>2</v>
      </c>
    </row>
    <row r="636" spans="1:19" ht="15" x14ac:dyDescent="0.25">
      <c r="A636" s="7">
        <v>2012</v>
      </c>
      <c r="B636" s="115">
        <v>41122</v>
      </c>
      <c r="C636" s="114" t="s">
        <v>35</v>
      </c>
      <c r="D636" s="114" t="s">
        <v>36</v>
      </c>
      <c r="E636" s="114" t="s">
        <v>27</v>
      </c>
      <c r="F636" s="114" t="s">
        <v>38</v>
      </c>
      <c r="G636" s="30" t="s">
        <v>42</v>
      </c>
      <c r="H636" s="10" t="s">
        <v>55</v>
      </c>
      <c r="I636" s="114" t="s">
        <v>60</v>
      </c>
      <c r="J636" s="113">
        <v>0.40119212962962963</v>
      </c>
      <c r="K636" s="114">
        <v>373.7</v>
      </c>
      <c r="L636" s="114">
        <v>0.47</v>
      </c>
      <c r="M636" s="114">
        <v>1081.5</v>
      </c>
      <c r="N636" s="114">
        <v>0.56999999999999995</v>
      </c>
      <c r="O636" s="114">
        <v>65.099999999999994</v>
      </c>
      <c r="P636" s="114">
        <v>1.2</v>
      </c>
      <c r="Q636" s="114">
        <v>35</v>
      </c>
      <c r="R636" s="114" t="s">
        <v>48</v>
      </c>
      <c r="S636" s="114">
        <v>2</v>
      </c>
    </row>
    <row r="637" spans="1:19" ht="15" x14ac:dyDescent="0.25">
      <c r="A637" s="7">
        <v>2012</v>
      </c>
      <c r="B637" s="115">
        <v>41122</v>
      </c>
      <c r="C637" s="114" t="s">
        <v>35</v>
      </c>
      <c r="D637" s="114" t="s">
        <v>36</v>
      </c>
      <c r="E637" s="114" t="s">
        <v>27</v>
      </c>
      <c r="F637" s="114" t="s">
        <v>38</v>
      </c>
      <c r="G637" s="30" t="s">
        <v>42</v>
      </c>
      <c r="H637" s="10" t="s">
        <v>55</v>
      </c>
      <c r="I637" s="114" t="s">
        <v>60</v>
      </c>
      <c r="J637" s="113">
        <v>0.4013194444444444</v>
      </c>
      <c r="K637" s="114">
        <v>456.3</v>
      </c>
      <c r="L637" s="114">
        <v>0.43</v>
      </c>
      <c r="M637" s="114">
        <v>1074.2</v>
      </c>
      <c r="N637" s="114">
        <v>0.56999999999999995</v>
      </c>
      <c r="O637" s="114">
        <v>65.099999999999994</v>
      </c>
      <c r="P637" s="114">
        <v>0.9</v>
      </c>
      <c r="Q637" s="114">
        <v>50</v>
      </c>
      <c r="R637" s="114" t="s">
        <v>48</v>
      </c>
      <c r="S637" s="114">
        <v>2</v>
      </c>
    </row>
    <row r="638" spans="1:19" ht="15" x14ac:dyDescent="0.25">
      <c r="A638" s="7">
        <v>2012</v>
      </c>
      <c r="B638" s="115">
        <v>41122</v>
      </c>
      <c r="C638" s="114" t="s">
        <v>35</v>
      </c>
      <c r="D638" s="114" t="s">
        <v>36</v>
      </c>
      <c r="E638" s="114" t="s">
        <v>27</v>
      </c>
      <c r="F638" s="114" t="s">
        <v>38</v>
      </c>
      <c r="G638" s="30" t="s">
        <v>42</v>
      </c>
      <c r="H638" s="10" t="s">
        <v>55</v>
      </c>
      <c r="I638" s="114" t="s">
        <v>60</v>
      </c>
      <c r="J638" s="113">
        <v>0.40142361111111113</v>
      </c>
      <c r="K638" s="114">
        <v>921.4</v>
      </c>
      <c r="L638" s="114">
        <v>7.0000000000000007E-2</v>
      </c>
      <c r="M638" s="114">
        <v>1057.0999999999999</v>
      </c>
      <c r="N638" s="114">
        <v>0.56000000000000005</v>
      </c>
      <c r="O638" s="114">
        <v>65</v>
      </c>
      <c r="P638" s="114">
        <v>0.1</v>
      </c>
      <c r="Q638" s="114">
        <v>65</v>
      </c>
      <c r="R638" s="114" t="s">
        <v>48</v>
      </c>
      <c r="S638" s="114">
        <v>2</v>
      </c>
    </row>
    <row r="639" spans="1:19" ht="15" x14ac:dyDescent="0.25">
      <c r="A639" s="7">
        <v>2012</v>
      </c>
      <c r="B639" s="115">
        <v>41122</v>
      </c>
      <c r="C639" s="114" t="s">
        <v>35</v>
      </c>
      <c r="D639" s="114" t="s">
        <v>36</v>
      </c>
      <c r="E639" s="114" t="s">
        <v>27</v>
      </c>
      <c r="F639" s="114" t="s">
        <v>38</v>
      </c>
      <c r="G639" s="30" t="s">
        <v>42</v>
      </c>
      <c r="H639" s="10" t="s">
        <v>55</v>
      </c>
      <c r="I639" s="114" t="s">
        <v>60</v>
      </c>
      <c r="J639" s="113">
        <v>0.40151620370370367</v>
      </c>
      <c r="K639" s="114">
        <v>957.8</v>
      </c>
      <c r="L639" s="114">
        <v>0.02</v>
      </c>
      <c r="M639" s="114">
        <v>1042.5</v>
      </c>
      <c r="N639" s="114">
        <v>0.56000000000000005</v>
      </c>
      <c r="O639" s="114">
        <v>65</v>
      </c>
      <c r="P639" s="114">
        <v>0.1</v>
      </c>
      <c r="Q639" s="114">
        <v>80</v>
      </c>
      <c r="R639" s="114" t="s">
        <v>48</v>
      </c>
      <c r="S639" s="114">
        <v>2</v>
      </c>
    </row>
    <row r="640" spans="1:19" ht="15" x14ac:dyDescent="0.25">
      <c r="A640" s="7">
        <v>2012</v>
      </c>
      <c r="B640" s="115">
        <v>41122</v>
      </c>
      <c r="C640" s="114" t="s">
        <v>35</v>
      </c>
      <c r="D640" s="114" t="s">
        <v>36</v>
      </c>
      <c r="E640" s="114" t="s">
        <v>27</v>
      </c>
      <c r="F640" s="114" t="s">
        <v>38</v>
      </c>
      <c r="G640" s="30" t="s">
        <v>42</v>
      </c>
      <c r="H640" s="10" t="s">
        <v>55</v>
      </c>
      <c r="I640" s="114" t="s">
        <v>60</v>
      </c>
      <c r="J640" s="113">
        <v>0.40261574074074075</v>
      </c>
      <c r="K640" s="114">
        <v>91</v>
      </c>
      <c r="L640" s="114">
        <v>0.72</v>
      </c>
      <c r="M640" s="114">
        <v>1063.2</v>
      </c>
      <c r="N640" s="114">
        <v>0.56000000000000005</v>
      </c>
      <c r="O640" s="114">
        <v>64.900000000000006</v>
      </c>
      <c r="P640" s="114">
        <v>3</v>
      </c>
      <c r="Q640" s="114">
        <v>5</v>
      </c>
      <c r="R640" s="114" t="s">
        <v>48</v>
      </c>
      <c r="S640" s="114">
        <v>3</v>
      </c>
    </row>
    <row r="641" spans="1:19" ht="15" x14ac:dyDescent="0.25">
      <c r="A641" s="7">
        <v>2012</v>
      </c>
      <c r="B641" s="115">
        <v>41122</v>
      </c>
      <c r="C641" s="114" t="s">
        <v>35</v>
      </c>
      <c r="D641" s="114" t="s">
        <v>36</v>
      </c>
      <c r="E641" s="114" t="s">
        <v>27</v>
      </c>
      <c r="F641" s="114" t="s">
        <v>38</v>
      </c>
      <c r="G641" s="30" t="s">
        <v>42</v>
      </c>
      <c r="H641" s="10" t="s">
        <v>55</v>
      </c>
      <c r="I641" s="114" t="s">
        <v>60</v>
      </c>
      <c r="J641" s="113">
        <v>0.4027662037037037</v>
      </c>
      <c r="K641" s="114">
        <v>150.30000000000001</v>
      </c>
      <c r="L641" s="114">
        <v>0.56999999999999995</v>
      </c>
      <c r="M641" s="114">
        <v>1052.2</v>
      </c>
      <c r="N641" s="114">
        <v>0.55000000000000004</v>
      </c>
      <c r="O641" s="114">
        <v>64.900000000000006</v>
      </c>
      <c r="P641" s="114">
        <v>2.2999999999999998</v>
      </c>
      <c r="Q641" s="114">
        <v>20</v>
      </c>
      <c r="R641" s="114" t="s">
        <v>48</v>
      </c>
      <c r="S641" s="114">
        <v>3</v>
      </c>
    </row>
    <row r="642" spans="1:19" ht="15" x14ac:dyDescent="0.25">
      <c r="A642" s="7">
        <v>2012</v>
      </c>
      <c r="B642" s="115">
        <v>41122</v>
      </c>
      <c r="C642" s="114" t="s">
        <v>35</v>
      </c>
      <c r="D642" s="114" t="s">
        <v>36</v>
      </c>
      <c r="E642" s="114" t="s">
        <v>27</v>
      </c>
      <c r="F642" s="114" t="s">
        <v>38</v>
      </c>
      <c r="G642" s="30" t="s">
        <v>42</v>
      </c>
      <c r="H642" s="10" t="s">
        <v>55</v>
      </c>
      <c r="I642" s="114" t="s">
        <v>60</v>
      </c>
      <c r="J642" s="113">
        <v>0.40283564814814815</v>
      </c>
      <c r="K642" s="114">
        <v>233.6</v>
      </c>
      <c r="L642" s="114">
        <v>0.59</v>
      </c>
      <c r="M642" s="114">
        <v>1057.0999999999999</v>
      </c>
      <c r="N642" s="114">
        <v>0.56000000000000005</v>
      </c>
      <c r="O642" s="114">
        <v>64.900000000000006</v>
      </c>
      <c r="P642" s="114">
        <v>1.7</v>
      </c>
      <c r="Q642" s="114">
        <v>35</v>
      </c>
      <c r="R642" s="114" t="s">
        <v>48</v>
      </c>
      <c r="S642" s="114">
        <v>3</v>
      </c>
    </row>
    <row r="643" spans="1:19" ht="15" x14ac:dyDescent="0.25">
      <c r="A643" s="7">
        <v>2012</v>
      </c>
      <c r="B643" s="115">
        <v>41122</v>
      </c>
      <c r="C643" s="114" t="s">
        <v>35</v>
      </c>
      <c r="D643" s="114" t="s">
        <v>36</v>
      </c>
      <c r="E643" s="114" t="s">
        <v>27</v>
      </c>
      <c r="F643" s="114" t="s">
        <v>38</v>
      </c>
      <c r="G643" s="30" t="s">
        <v>42</v>
      </c>
      <c r="H643" s="10" t="s">
        <v>55</v>
      </c>
      <c r="I643" s="114" t="s">
        <v>60</v>
      </c>
      <c r="J643" s="113">
        <v>0.4029282407407408</v>
      </c>
      <c r="K643" s="114">
        <v>390.7</v>
      </c>
      <c r="L643" s="114">
        <v>0.49</v>
      </c>
      <c r="M643" s="114">
        <v>1062</v>
      </c>
      <c r="N643" s="114">
        <v>0.56000000000000005</v>
      </c>
      <c r="O643" s="114">
        <v>64.900000000000006</v>
      </c>
      <c r="P643" s="114">
        <v>1.1000000000000001</v>
      </c>
      <c r="Q643" s="114">
        <v>50</v>
      </c>
      <c r="R643" s="114" t="s">
        <v>48</v>
      </c>
      <c r="S643" s="114">
        <v>3</v>
      </c>
    </row>
    <row r="644" spans="1:19" ht="15" x14ac:dyDescent="0.25">
      <c r="A644" s="7">
        <v>2012</v>
      </c>
      <c r="B644" s="115">
        <v>41122</v>
      </c>
      <c r="C644" s="114" t="s">
        <v>35</v>
      </c>
      <c r="D644" s="114" t="s">
        <v>36</v>
      </c>
      <c r="E644" s="114" t="s">
        <v>27</v>
      </c>
      <c r="F644" s="114" t="s">
        <v>38</v>
      </c>
      <c r="G644" s="30" t="s">
        <v>42</v>
      </c>
      <c r="H644" s="10" t="s">
        <v>55</v>
      </c>
      <c r="I644" s="114" t="s">
        <v>60</v>
      </c>
      <c r="J644" s="113">
        <v>0.4029861111111111</v>
      </c>
      <c r="K644" s="114">
        <v>914.5</v>
      </c>
      <c r="L644" s="114">
        <v>0.21</v>
      </c>
      <c r="M644" s="114">
        <v>1065.7</v>
      </c>
      <c r="N644" s="114">
        <v>0.56000000000000005</v>
      </c>
      <c r="O644" s="114">
        <v>64.8</v>
      </c>
      <c r="P644" s="114">
        <v>0.2</v>
      </c>
      <c r="Q644" s="114">
        <v>65</v>
      </c>
      <c r="R644" s="114" t="s">
        <v>48</v>
      </c>
      <c r="S644" s="114">
        <v>3</v>
      </c>
    </row>
    <row r="645" spans="1:19" ht="15" x14ac:dyDescent="0.25">
      <c r="A645" s="7">
        <v>2012</v>
      </c>
      <c r="B645" s="115">
        <v>41122</v>
      </c>
      <c r="C645" s="114" t="s">
        <v>35</v>
      </c>
      <c r="D645" s="114" t="s">
        <v>36</v>
      </c>
      <c r="E645" s="114" t="s">
        <v>27</v>
      </c>
      <c r="F645" s="114" t="s">
        <v>38</v>
      </c>
      <c r="G645" s="30" t="s">
        <v>42</v>
      </c>
      <c r="H645" s="10" t="s">
        <v>55</v>
      </c>
      <c r="I645" s="114" t="s">
        <v>60</v>
      </c>
      <c r="J645" s="113">
        <v>0.40303240740740742</v>
      </c>
      <c r="K645" s="114">
        <v>1068.9000000000001</v>
      </c>
      <c r="L645" s="114">
        <v>0.02</v>
      </c>
      <c r="M645" s="114">
        <v>1066.9000000000001</v>
      </c>
      <c r="N645" s="114">
        <v>0.56000000000000005</v>
      </c>
      <c r="O645" s="114">
        <v>64.8</v>
      </c>
      <c r="P645" s="114">
        <v>0</v>
      </c>
      <c r="Q645" s="114">
        <v>80</v>
      </c>
      <c r="R645" s="114" t="s">
        <v>48</v>
      </c>
      <c r="S645" s="114">
        <v>3</v>
      </c>
    </row>
    <row r="646" spans="1:19" ht="15" x14ac:dyDescent="0.25">
      <c r="A646" s="7">
        <v>2012</v>
      </c>
      <c r="B646" s="109">
        <v>41103</v>
      </c>
      <c r="C646" s="106" t="s">
        <v>35</v>
      </c>
      <c r="D646" s="106" t="s">
        <v>36</v>
      </c>
      <c r="E646" s="106" t="s">
        <v>26</v>
      </c>
      <c r="F646" s="106" t="s">
        <v>38</v>
      </c>
      <c r="G646" s="30" t="s">
        <v>42</v>
      </c>
      <c r="H646" s="10" t="s">
        <v>55</v>
      </c>
      <c r="I646" s="106" t="s">
        <v>41</v>
      </c>
      <c r="J646" s="118">
        <v>0.42108796296296297</v>
      </c>
      <c r="K646" s="117">
        <v>73</v>
      </c>
      <c r="L646" s="117">
        <v>0.2</v>
      </c>
      <c r="M646" s="117">
        <v>734.9</v>
      </c>
      <c r="N646" s="117">
        <v>0.09</v>
      </c>
      <c r="O646" s="117">
        <v>58.9</v>
      </c>
      <c r="P646" s="117">
        <v>3.4</v>
      </c>
      <c r="Q646" s="117">
        <v>5</v>
      </c>
      <c r="R646" s="117" t="s">
        <v>45</v>
      </c>
      <c r="S646" s="117">
        <v>1</v>
      </c>
    </row>
    <row r="647" spans="1:19" ht="15" x14ac:dyDescent="0.25">
      <c r="A647" s="7">
        <v>2012</v>
      </c>
      <c r="B647" s="109">
        <v>41103</v>
      </c>
      <c r="C647" s="106" t="s">
        <v>35</v>
      </c>
      <c r="D647" s="106" t="s">
        <v>36</v>
      </c>
      <c r="E647" s="106" t="s">
        <v>26</v>
      </c>
      <c r="F647" s="106" t="s">
        <v>38</v>
      </c>
      <c r="G647" s="30" t="s">
        <v>42</v>
      </c>
      <c r="H647" s="10" t="s">
        <v>55</v>
      </c>
      <c r="I647" s="106" t="s">
        <v>41</v>
      </c>
      <c r="J647" s="118">
        <v>0.42140046296296302</v>
      </c>
      <c r="K647" s="117">
        <v>119.9</v>
      </c>
      <c r="L647" s="117">
        <v>0.17</v>
      </c>
      <c r="M647" s="117">
        <v>753.2</v>
      </c>
      <c r="N647" s="117">
        <v>0.11</v>
      </c>
      <c r="O647" s="117">
        <v>58.9</v>
      </c>
      <c r="P647" s="117">
        <v>2.6</v>
      </c>
      <c r="Q647" s="117">
        <v>20</v>
      </c>
      <c r="R647" s="117" t="s">
        <v>45</v>
      </c>
      <c r="S647" s="117">
        <v>1</v>
      </c>
    </row>
    <row r="648" spans="1:19" ht="15" x14ac:dyDescent="0.25">
      <c r="A648" s="7">
        <v>2012</v>
      </c>
      <c r="B648" s="109">
        <v>41103</v>
      </c>
      <c r="C648" s="106" t="s">
        <v>35</v>
      </c>
      <c r="D648" s="106" t="s">
        <v>36</v>
      </c>
      <c r="E648" s="106" t="s">
        <v>26</v>
      </c>
      <c r="F648" s="106" t="s">
        <v>38</v>
      </c>
      <c r="G648" s="30" t="s">
        <v>42</v>
      </c>
      <c r="H648" s="10" t="s">
        <v>55</v>
      </c>
      <c r="I648" s="106" t="s">
        <v>41</v>
      </c>
      <c r="J648" s="118">
        <v>0.4216435185185185</v>
      </c>
      <c r="K648" s="117">
        <v>182.9</v>
      </c>
      <c r="L648" s="117">
        <v>0.18</v>
      </c>
      <c r="M648" s="117">
        <v>759.3</v>
      </c>
      <c r="N648" s="117">
        <v>0.12</v>
      </c>
      <c r="O648" s="117">
        <v>58.9</v>
      </c>
      <c r="P648" s="117">
        <v>2</v>
      </c>
      <c r="Q648" s="117">
        <v>35</v>
      </c>
      <c r="R648" s="117" t="s">
        <v>45</v>
      </c>
      <c r="S648" s="117">
        <v>1</v>
      </c>
    </row>
    <row r="649" spans="1:19" ht="15" x14ac:dyDescent="0.25">
      <c r="A649" s="7">
        <v>2012</v>
      </c>
      <c r="B649" s="109">
        <v>41103</v>
      </c>
      <c r="C649" s="106" t="s">
        <v>35</v>
      </c>
      <c r="D649" s="106" t="s">
        <v>36</v>
      </c>
      <c r="E649" s="106" t="s">
        <v>26</v>
      </c>
      <c r="F649" s="106" t="s">
        <v>38</v>
      </c>
      <c r="G649" s="30" t="s">
        <v>42</v>
      </c>
      <c r="H649" s="10" t="s">
        <v>55</v>
      </c>
      <c r="I649" s="106" t="s">
        <v>41</v>
      </c>
      <c r="J649" s="118">
        <v>0.42190972222222217</v>
      </c>
      <c r="K649" s="117">
        <v>442.8</v>
      </c>
      <c r="L649" s="117">
        <v>0.11</v>
      </c>
      <c r="M649" s="117">
        <v>769</v>
      </c>
      <c r="N649" s="117">
        <v>0.13</v>
      </c>
      <c r="O649" s="117">
        <v>58.8</v>
      </c>
      <c r="P649" s="117">
        <v>0.7</v>
      </c>
      <c r="Q649" s="117">
        <v>50</v>
      </c>
      <c r="R649" s="117" t="s">
        <v>45</v>
      </c>
      <c r="S649" s="117">
        <v>1</v>
      </c>
    </row>
    <row r="650" spans="1:19" ht="15" x14ac:dyDescent="0.25">
      <c r="A650" s="7">
        <v>2012</v>
      </c>
      <c r="B650" s="109">
        <v>41103</v>
      </c>
      <c r="C650" s="106" t="s">
        <v>35</v>
      </c>
      <c r="D650" s="106" t="s">
        <v>36</v>
      </c>
      <c r="E650" s="106" t="s">
        <v>26</v>
      </c>
      <c r="F650" s="106" t="s">
        <v>38</v>
      </c>
      <c r="G650" s="30" t="s">
        <v>42</v>
      </c>
      <c r="H650" s="10" t="s">
        <v>55</v>
      </c>
      <c r="I650" s="106" t="s">
        <v>41</v>
      </c>
      <c r="J650" s="118">
        <v>0.42206018518518523</v>
      </c>
      <c r="K650" s="117">
        <v>595.6</v>
      </c>
      <c r="L650" s="117">
        <v>0.04</v>
      </c>
      <c r="M650" s="117">
        <v>756.8</v>
      </c>
      <c r="N650" s="117">
        <v>0.11</v>
      </c>
      <c r="O650" s="117">
        <v>58.8</v>
      </c>
      <c r="P650" s="117">
        <v>0.3</v>
      </c>
      <c r="Q650" s="117">
        <v>65</v>
      </c>
      <c r="R650" s="117" t="s">
        <v>45</v>
      </c>
      <c r="S650" s="117">
        <v>1</v>
      </c>
    </row>
    <row r="651" spans="1:19" ht="15" x14ac:dyDescent="0.25">
      <c r="A651" s="7">
        <v>2012</v>
      </c>
      <c r="B651" s="109">
        <v>41103</v>
      </c>
      <c r="C651" s="106" t="s">
        <v>35</v>
      </c>
      <c r="D651" s="106" t="s">
        <v>36</v>
      </c>
      <c r="E651" s="106" t="s">
        <v>26</v>
      </c>
      <c r="F651" s="106" t="s">
        <v>38</v>
      </c>
      <c r="G651" s="30" t="s">
        <v>42</v>
      </c>
      <c r="H651" s="10" t="s">
        <v>55</v>
      </c>
      <c r="I651" s="106" t="s">
        <v>41</v>
      </c>
      <c r="J651" s="118">
        <v>0.42218749999999999</v>
      </c>
      <c r="K651" s="117">
        <v>620.70000000000005</v>
      </c>
      <c r="L651" s="117">
        <v>0.03</v>
      </c>
      <c r="M651" s="117">
        <v>756.8</v>
      </c>
      <c r="N651" s="117">
        <v>0.11</v>
      </c>
      <c r="O651" s="117">
        <v>58.8</v>
      </c>
      <c r="P651" s="117">
        <v>0.2</v>
      </c>
      <c r="Q651" s="117">
        <v>80</v>
      </c>
      <c r="R651" s="117" t="s">
        <v>45</v>
      </c>
      <c r="S651" s="117">
        <v>1</v>
      </c>
    </row>
    <row r="652" spans="1:19" ht="15" x14ac:dyDescent="0.25">
      <c r="A652" s="7">
        <v>2012</v>
      </c>
      <c r="B652" s="109">
        <v>41103</v>
      </c>
      <c r="C652" s="106" t="s">
        <v>35</v>
      </c>
      <c r="D652" s="106" t="s">
        <v>36</v>
      </c>
      <c r="E652" s="106" t="s">
        <v>26</v>
      </c>
      <c r="F652" s="106" t="s">
        <v>38</v>
      </c>
      <c r="G652" s="30" t="s">
        <v>42</v>
      </c>
      <c r="H652" s="10" t="s">
        <v>55</v>
      </c>
      <c r="I652" s="106" t="s">
        <v>41</v>
      </c>
      <c r="J652" s="118">
        <v>0.42263888888888884</v>
      </c>
      <c r="K652" s="117">
        <v>45</v>
      </c>
      <c r="L652" s="117">
        <v>0.41</v>
      </c>
      <c r="M652" s="117">
        <v>756.8</v>
      </c>
      <c r="N652" s="117">
        <v>0.11</v>
      </c>
      <c r="O652" s="117">
        <v>58.7</v>
      </c>
      <c r="P652" s="117">
        <v>4.3</v>
      </c>
      <c r="Q652" s="117">
        <v>5</v>
      </c>
      <c r="R652" s="117" t="s">
        <v>45</v>
      </c>
      <c r="S652" s="117">
        <v>2</v>
      </c>
    </row>
    <row r="653" spans="1:19" ht="15" x14ac:dyDescent="0.25">
      <c r="A653" s="7">
        <v>2012</v>
      </c>
      <c r="B653" s="109">
        <v>41103</v>
      </c>
      <c r="C653" s="106" t="s">
        <v>35</v>
      </c>
      <c r="D653" s="106" t="s">
        <v>36</v>
      </c>
      <c r="E653" s="106" t="s">
        <v>26</v>
      </c>
      <c r="F653" s="106" t="s">
        <v>38</v>
      </c>
      <c r="G653" s="30" t="s">
        <v>42</v>
      </c>
      <c r="H653" s="10" t="s">
        <v>55</v>
      </c>
      <c r="I653" s="106" t="s">
        <v>41</v>
      </c>
      <c r="J653" s="118">
        <v>0.42296296296296299</v>
      </c>
      <c r="K653" s="117">
        <v>99.5</v>
      </c>
      <c r="L653" s="117">
        <v>0.34</v>
      </c>
      <c r="M653" s="117">
        <v>755.6</v>
      </c>
      <c r="N653" s="117">
        <v>0.11</v>
      </c>
      <c r="O653" s="117">
        <v>58.7</v>
      </c>
      <c r="P653" s="117">
        <v>2.9</v>
      </c>
      <c r="Q653" s="117">
        <v>20</v>
      </c>
      <c r="R653" s="117" t="s">
        <v>45</v>
      </c>
      <c r="S653" s="117">
        <v>2</v>
      </c>
    </row>
    <row r="654" spans="1:19" ht="15" x14ac:dyDescent="0.25">
      <c r="A654" s="7">
        <v>2012</v>
      </c>
      <c r="B654" s="109">
        <v>41103</v>
      </c>
      <c r="C654" s="106" t="s">
        <v>35</v>
      </c>
      <c r="D654" s="106" t="s">
        <v>36</v>
      </c>
      <c r="E654" s="106" t="s">
        <v>26</v>
      </c>
      <c r="F654" s="106" t="s">
        <v>38</v>
      </c>
      <c r="G654" s="30" t="s">
        <v>42</v>
      </c>
      <c r="H654" s="10" t="s">
        <v>55</v>
      </c>
      <c r="I654" s="106" t="s">
        <v>41</v>
      </c>
      <c r="J654" s="118">
        <v>0.4231712962962963</v>
      </c>
      <c r="K654" s="117">
        <v>137.80000000000001</v>
      </c>
      <c r="L654" s="117">
        <v>0.34</v>
      </c>
      <c r="M654" s="117">
        <v>752</v>
      </c>
      <c r="N654" s="117">
        <v>0.1</v>
      </c>
      <c r="O654" s="117">
        <v>58.7</v>
      </c>
      <c r="P654" s="117">
        <v>2.4</v>
      </c>
      <c r="Q654" s="117">
        <v>35</v>
      </c>
      <c r="R654" s="117" t="s">
        <v>45</v>
      </c>
      <c r="S654" s="117">
        <v>2</v>
      </c>
    </row>
    <row r="655" spans="1:19" ht="15" x14ac:dyDescent="0.25">
      <c r="A655" s="7">
        <v>2012</v>
      </c>
      <c r="B655" s="109">
        <v>41103</v>
      </c>
      <c r="C655" s="106" t="s">
        <v>35</v>
      </c>
      <c r="D655" s="106" t="s">
        <v>36</v>
      </c>
      <c r="E655" s="106" t="s">
        <v>26</v>
      </c>
      <c r="F655" s="106" t="s">
        <v>38</v>
      </c>
      <c r="G655" s="30" t="s">
        <v>42</v>
      </c>
      <c r="H655" s="10" t="s">
        <v>55</v>
      </c>
      <c r="I655" s="106" t="s">
        <v>41</v>
      </c>
      <c r="J655" s="118">
        <v>0.42335648148148147</v>
      </c>
      <c r="K655" s="117">
        <v>321.8</v>
      </c>
      <c r="L655" s="117">
        <v>0.34</v>
      </c>
      <c r="M655" s="117">
        <v>744.6</v>
      </c>
      <c r="N655" s="117">
        <v>0.09</v>
      </c>
      <c r="O655" s="117">
        <v>58.7</v>
      </c>
      <c r="P655" s="117">
        <v>1.1000000000000001</v>
      </c>
      <c r="Q655" s="117">
        <v>50</v>
      </c>
      <c r="R655" s="117" t="s">
        <v>45</v>
      </c>
      <c r="S655" s="117">
        <v>2</v>
      </c>
    </row>
    <row r="656" spans="1:19" ht="15" x14ac:dyDescent="0.25">
      <c r="A656" s="7">
        <v>2012</v>
      </c>
      <c r="B656" s="109">
        <v>41103</v>
      </c>
      <c r="C656" s="106" t="s">
        <v>35</v>
      </c>
      <c r="D656" s="106" t="s">
        <v>36</v>
      </c>
      <c r="E656" s="106" t="s">
        <v>26</v>
      </c>
      <c r="F656" s="106" t="s">
        <v>38</v>
      </c>
      <c r="G656" s="30" t="s">
        <v>42</v>
      </c>
      <c r="H656" s="10" t="s">
        <v>55</v>
      </c>
      <c r="I656" s="106" t="s">
        <v>41</v>
      </c>
      <c r="J656" s="118">
        <v>0.42351851851851857</v>
      </c>
      <c r="K656" s="117">
        <v>533.4</v>
      </c>
      <c r="L656" s="117">
        <v>0.21</v>
      </c>
      <c r="M656" s="117">
        <v>743.4</v>
      </c>
      <c r="N656" s="117">
        <v>0.09</v>
      </c>
      <c r="O656" s="117">
        <v>58.6</v>
      </c>
      <c r="P656" s="117">
        <v>0.4</v>
      </c>
      <c r="Q656" s="117">
        <v>65</v>
      </c>
      <c r="R656" s="117" t="s">
        <v>45</v>
      </c>
      <c r="S656" s="117">
        <v>2</v>
      </c>
    </row>
    <row r="657" spans="1:19" ht="15" x14ac:dyDescent="0.25">
      <c r="A657" s="7">
        <v>2012</v>
      </c>
      <c r="B657" s="109">
        <v>41103</v>
      </c>
      <c r="C657" s="106" t="s">
        <v>35</v>
      </c>
      <c r="D657" s="106" t="s">
        <v>36</v>
      </c>
      <c r="E657" s="106" t="s">
        <v>26</v>
      </c>
      <c r="F657" s="106" t="s">
        <v>38</v>
      </c>
      <c r="G657" s="30" t="s">
        <v>42</v>
      </c>
      <c r="H657" s="10" t="s">
        <v>55</v>
      </c>
      <c r="I657" s="106" t="s">
        <v>41</v>
      </c>
      <c r="J657" s="118">
        <v>0.42364583333333333</v>
      </c>
      <c r="K657" s="117">
        <v>610.9</v>
      </c>
      <c r="L657" s="117">
        <v>0.03</v>
      </c>
      <c r="M657" s="117">
        <v>739.7</v>
      </c>
      <c r="N657" s="117">
        <v>0.09</v>
      </c>
      <c r="O657" s="117">
        <v>58.6</v>
      </c>
      <c r="P657" s="117">
        <v>0.2</v>
      </c>
      <c r="Q657" s="117">
        <v>80</v>
      </c>
      <c r="R657" s="117" t="s">
        <v>45</v>
      </c>
      <c r="S657" s="117">
        <v>2</v>
      </c>
    </row>
    <row r="658" spans="1:19" ht="15" x14ac:dyDescent="0.25">
      <c r="A658" s="7">
        <v>2012</v>
      </c>
      <c r="B658" s="109">
        <v>41103</v>
      </c>
      <c r="C658" s="106" t="s">
        <v>35</v>
      </c>
      <c r="D658" s="106" t="s">
        <v>36</v>
      </c>
      <c r="E658" s="106" t="s">
        <v>26</v>
      </c>
      <c r="F658" s="106" t="s">
        <v>38</v>
      </c>
      <c r="G658" s="30" t="s">
        <v>42</v>
      </c>
      <c r="H658" s="10" t="s">
        <v>55</v>
      </c>
      <c r="I658" s="106" t="s">
        <v>41</v>
      </c>
      <c r="J658" s="118">
        <v>0.42422453703703705</v>
      </c>
      <c r="K658" s="117">
        <v>78.599999999999994</v>
      </c>
      <c r="L658" s="117">
        <v>0.22</v>
      </c>
      <c r="M658" s="117">
        <v>741</v>
      </c>
      <c r="N658" s="117">
        <v>0.08</v>
      </c>
      <c r="O658" s="117">
        <v>58.5</v>
      </c>
      <c r="P658" s="117">
        <v>3.3</v>
      </c>
      <c r="Q658" s="117">
        <v>5</v>
      </c>
      <c r="R658" s="117" t="s">
        <v>45</v>
      </c>
      <c r="S658" s="117">
        <v>3</v>
      </c>
    </row>
    <row r="659" spans="1:19" ht="15" x14ac:dyDescent="0.25">
      <c r="A659" s="7">
        <v>2012</v>
      </c>
      <c r="B659" s="109">
        <v>41103</v>
      </c>
      <c r="C659" s="106" t="s">
        <v>35</v>
      </c>
      <c r="D659" s="106" t="s">
        <v>36</v>
      </c>
      <c r="E659" s="106" t="s">
        <v>26</v>
      </c>
      <c r="F659" s="106" t="s">
        <v>38</v>
      </c>
      <c r="G659" s="30" t="s">
        <v>42</v>
      </c>
      <c r="H659" s="10" t="s">
        <v>55</v>
      </c>
      <c r="I659" s="106" t="s">
        <v>41</v>
      </c>
      <c r="J659" s="118">
        <v>0.42454861111111114</v>
      </c>
      <c r="K659" s="117">
        <v>107.9</v>
      </c>
      <c r="L659" s="117">
        <v>0.2</v>
      </c>
      <c r="M659" s="117">
        <v>733.6</v>
      </c>
      <c r="N659" s="117">
        <v>7.0000000000000007E-2</v>
      </c>
      <c r="O659" s="117">
        <v>58.5</v>
      </c>
      <c r="P659" s="117">
        <v>2.8</v>
      </c>
      <c r="Q659" s="117">
        <v>20</v>
      </c>
      <c r="R659" s="117" t="s">
        <v>45</v>
      </c>
      <c r="S659" s="117">
        <v>3</v>
      </c>
    </row>
    <row r="660" spans="1:19" ht="15" x14ac:dyDescent="0.25">
      <c r="A660" s="7">
        <v>2012</v>
      </c>
      <c r="B660" s="109">
        <v>41103</v>
      </c>
      <c r="C660" s="106" t="s">
        <v>35</v>
      </c>
      <c r="D660" s="106" t="s">
        <v>36</v>
      </c>
      <c r="E660" s="106" t="s">
        <v>26</v>
      </c>
      <c r="F660" s="106" t="s">
        <v>38</v>
      </c>
      <c r="G660" s="30" t="s">
        <v>42</v>
      </c>
      <c r="H660" s="10" t="s">
        <v>55</v>
      </c>
      <c r="I660" s="106" t="s">
        <v>41</v>
      </c>
      <c r="J660" s="118">
        <v>0.42473379629629626</v>
      </c>
      <c r="K660" s="117">
        <v>169.2</v>
      </c>
      <c r="L660" s="117">
        <v>0.22</v>
      </c>
      <c r="M660" s="117">
        <v>731.2</v>
      </c>
      <c r="N660" s="117">
        <v>7.0000000000000007E-2</v>
      </c>
      <c r="O660" s="117">
        <v>58.5</v>
      </c>
      <c r="P660" s="117">
        <v>2</v>
      </c>
      <c r="Q660" s="117">
        <v>35</v>
      </c>
      <c r="R660" s="117" t="s">
        <v>45</v>
      </c>
      <c r="S660" s="117">
        <v>3</v>
      </c>
    </row>
    <row r="661" spans="1:19" ht="15" x14ac:dyDescent="0.25">
      <c r="A661" s="7">
        <v>2012</v>
      </c>
      <c r="B661" s="109">
        <v>41103</v>
      </c>
      <c r="C661" s="106" t="s">
        <v>35</v>
      </c>
      <c r="D661" s="106" t="s">
        <v>36</v>
      </c>
      <c r="E661" s="106" t="s">
        <v>26</v>
      </c>
      <c r="F661" s="106" t="s">
        <v>38</v>
      </c>
      <c r="G661" s="30" t="s">
        <v>42</v>
      </c>
      <c r="H661" s="10" t="s">
        <v>55</v>
      </c>
      <c r="I661" s="106" t="s">
        <v>41</v>
      </c>
      <c r="J661" s="118">
        <v>0.42488425925925927</v>
      </c>
      <c r="K661" s="117">
        <v>268.10000000000002</v>
      </c>
      <c r="L661" s="117">
        <v>0.34</v>
      </c>
      <c r="M661" s="117">
        <v>734.9</v>
      </c>
      <c r="N661" s="117">
        <v>0.08</v>
      </c>
      <c r="O661" s="117">
        <v>58.5</v>
      </c>
      <c r="P661" s="117">
        <v>1.3</v>
      </c>
      <c r="Q661" s="117">
        <v>50</v>
      </c>
      <c r="R661" s="117" t="s">
        <v>45</v>
      </c>
      <c r="S661" s="117">
        <v>3</v>
      </c>
    </row>
    <row r="662" spans="1:19" ht="15" x14ac:dyDescent="0.25">
      <c r="A662" s="7">
        <v>2012</v>
      </c>
      <c r="B662" s="109">
        <v>41103</v>
      </c>
      <c r="C662" s="106" t="s">
        <v>35</v>
      </c>
      <c r="D662" s="106" t="s">
        <v>36</v>
      </c>
      <c r="E662" s="106" t="s">
        <v>26</v>
      </c>
      <c r="F662" s="106" t="s">
        <v>38</v>
      </c>
      <c r="G662" s="30" t="s">
        <v>42</v>
      </c>
      <c r="H662" s="10" t="s">
        <v>55</v>
      </c>
      <c r="I662" s="106" t="s">
        <v>41</v>
      </c>
      <c r="J662" s="118">
        <v>0.42506944444444444</v>
      </c>
      <c r="K662" s="117">
        <v>547.6</v>
      </c>
      <c r="L662" s="117">
        <v>0.11</v>
      </c>
      <c r="M662" s="117">
        <v>733.6</v>
      </c>
      <c r="N662" s="117">
        <v>7.0000000000000007E-2</v>
      </c>
      <c r="O662" s="117">
        <v>58.4</v>
      </c>
      <c r="P662" s="117">
        <v>0.3</v>
      </c>
      <c r="Q662" s="117">
        <v>65</v>
      </c>
      <c r="R662" s="117" t="s">
        <v>45</v>
      </c>
      <c r="S662" s="117">
        <v>3</v>
      </c>
    </row>
    <row r="663" spans="1:19" ht="15" x14ac:dyDescent="0.25">
      <c r="A663" s="7">
        <v>2012</v>
      </c>
      <c r="B663" s="109">
        <v>41103</v>
      </c>
      <c r="C663" s="106" t="s">
        <v>35</v>
      </c>
      <c r="D663" s="106" t="s">
        <v>36</v>
      </c>
      <c r="E663" s="106" t="s">
        <v>26</v>
      </c>
      <c r="F663" s="106" t="s">
        <v>38</v>
      </c>
      <c r="G663" s="30" t="s">
        <v>42</v>
      </c>
      <c r="H663" s="10" t="s">
        <v>55</v>
      </c>
      <c r="I663" s="106" t="s">
        <v>41</v>
      </c>
      <c r="J663" s="118">
        <v>0.4251967592592592</v>
      </c>
      <c r="K663" s="117">
        <v>600.9</v>
      </c>
      <c r="L663" s="117">
        <v>0.03</v>
      </c>
      <c r="M663" s="117">
        <v>730</v>
      </c>
      <c r="N663" s="117">
        <v>7.0000000000000007E-2</v>
      </c>
      <c r="O663" s="117">
        <v>58.4</v>
      </c>
      <c r="P663" s="117">
        <v>0.2</v>
      </c>
      <c r="Q663" s="117">
        <v>80</v>
      </c>
      <c r="R663" s="117" t="s">
        <v>45</v>
      </c>
      <c r="S663" s="117">
        <v>3</v>
      </c>
    </row>
    <row r="664" spans="1:19" ht="15" x14ac:dyDescent="0.25">
      <c r="A664" s="7">
        <v>2012</v>
      </c>
      <c r="B664" s="28">
        <v>41097</v>
      </c>
      <c r="C664" s="13" t="s">
        <v>35</v>
      </c>
      <c r="D664" s="14" t="s">
        <v>36</v>
      </c>
      <c r="E664" s="13" t="s">
        <v>24</v>
      </c>
      <c r="F664" s="14" t="s">
        <v>49</v>
      </c>
      <c r="G664" s="30" t="s">
        <v>42</v>
      </c>
      <c r="H664" s="10" t="s">
        <v>55</v>
      </c>
      <c r="I664" s="106" t="s">
        <v>41</v>
      </c>
      <c r="J664" s="118">
        <v>0.39067129629629632</v>
      </c>
      <c r="K664" s="117">
        <v>16.399999999999999</v>
      </c>
      <c r="L664" s="117">
        <v>0.52</v>
      </c>
      <c r="M664" s="117">
        <v>592</v>
      </c>
      <c r="N664" s="117">
        <v>0.08</v>
      </c>
      <c r="O664" s="117">
        <v>62.8</v>
      </c>
      <c r="P664" s="117">
        <v>5.7</v>
      </c>
      <c r="Q664" s="117">
        <v>5</v>
      </c>
      <c r="R664" s="117" t="s">
        <v>45</v>
      </c>
      <c r="S664" s="117">
        <v>1</v>
      </c>
    </row>
    <row r="665" spans="1:19" ht="15" x14ac:dyDescent="0.25">
      <c r="A665" s="7">
        <v>2012</v>
      </c>
      <c r="B665" s="28">
        <v>41097</v>
      </c>
      <c r="C665" s="13" t="s">
        <v>35</v>
      </c>
      <c r="D665" s="14" t="s">
        <v>36</v>
      </c>
      <c r="E665" s="13" t="s">
        <v>24</v>
      </c>
      <c r="F665" s="14" t="s">
        <v>49</v>
      </c>
      <c r="G665" s="30" t="s">
        <v>42</v>
      </c>
      <c r="H665" s="10" t="s">
        <v>55</v>
      </c>
      <c r="I665" s="106" t="s">
        <v>41</v>
      </c>
      <c r="J665" s="118">
        <v>0.39121527777777776</v>
      </c>
      <c r="K665" s="117">
        <v>39.799999999999997</v>
      </c>
      <c r="L665" s="117">
        <v>0.41</v>
      </c>
      <c r="M665" s="117">
        <v>594.5</v>
      </c>
      <c r="N665" s="117">
        <v>0.08</v>
      </c>
      <c r="O665" s="117">
        <v>62.7</v>
      </c>
      <c r="P665" s="117">
        <v>4.0999999999999996</v>
      </c>
      <c r="Q665" s="117">
        <v>20</v>
      </c>
      <c r="R665" s="117" t="s">
        <v>45</v>
      </c>
      <c r="S665" s="117">
        <v>1</v>
      </c>
    </row>
    <row r="666" spans="1:19" ht="15" x14ac:dyDescent="0.25">
      <c r="A666" s="7">
        <v>2012</v>
      </c>
      <c r="B666" s="28">
        <v>41097</v>
      </c>
      <c r="C666" s="13" t="s">
        <v>35</v>
      </c>
      <c r="D666" s="14" t="s">
        <v>36</v>
      </c>
      <c r="E666" s="13" t="s">
        <v>24</v>
      </c>
      <c r="F666" s="14" t="s">
        <v>49</v>
      </c>
      <c r="G666" s="30" t="s">
        <v>42</v>
      </c>
      <c r="H666" s="10" t="s">
        <v>55</v>
      </c>
      <c r="I666" s="106" t="s">
        <v>41</v>
      </c>
      <c r="J666" s="118">
        <v>0.39149305555555558</v>
      </c>
      <c r="K666" s="117">
        <v>97.1</v>
      </c>
      <c r="L666" s="117">
        <v>0.33</v>
      </c>
      <c r="M666" s="117">
        <v>600.6</v>
      </c>
      <c r="N666" s="117">
        <v>0.08</v>
      </c>
      <c r="O666" s="117">
        <v>62.7</v>
      </c>
      <c r="P666" s="117">
        <v>2.6</v>
      </c>
      <c r="Q666" s="117">
        <v>35</v>
      </c>
      <c r="R666" s="117" t="s">
        <v>45</v>
      </c>
      <c r="S666" s="117">
        <v>1</v>
      </c>
    </row>
    <row r="667" spans="1:19" ht="15" x14ac:dyDescent="0.25">
      <c r="A667" s="7">
        <v>2012</v>
      </c>
      <c r="B667" s="28">
        <v>41097</v>
      </c>
      <c r="C667" s="13" t="s">
        <v>35</v>
      </c>
      <c r="D667" s="14" t="s">
        <v>36</v>
      </c>
      <c r="E667" s="13" t="s">
        <v>24</v>
      </c>
      <c r="F667" s="14" t="s">
        <v>49</v>
      </c>
      <c r="G667" s="30" t="s">
        <v>42</v>
      </c>
      <c r="H667" s="10" t="s">
        <v>55</v>
      </c>
      <c r="I667" s="106" t="s">
        <v>41</v>
      </c>
      <c r="J667" s="118">
        <v>0.39178240740740744</v>
      </c>
      <c r="K667" s="117">
        <v>410.6</v>
      </c>
      <c r="L667" s="117">
        <v>0.1</v>
      </c>
      <c r="M667" s="117">
        <v>605.5</v>
      </c>
      <c r="N667" s="117">
        <v>0.08</v>
      </c>
      <c r="O667" s="117">
        <v>62.6</v>
      </c>
      <c r="P667" s="117">
        <v>0.5</v>
      </c>
      <c r="Q667" s="117">
        <v>50</v>
      </c>
      <c r="R667" s="117" t="s">
        <v>45</v>
      </c>
      <c r="S667" s="117">
        <v>1</v>
      </c>
    </row>
    <row r="668" spans="1:19" ht="15" x14ac:dyDescent="0.25">
      <c r="A668" s="7">
        <v>2012</v>
      </c>
      <c r="B668" s="28">
        <v>41097</v>
      </c>
      <c r="C668" s="13" t="s">
        <v>35</v>
      </c>
      <c r="D668" s="14" t="s">
        <v>36</v>
      </c>
      <c r="E668" s="13" t="s">
        <v>24</v>
      </c>
      <c r="F668" s="14" t="s">
        <v>49</v>
      </c>
      <c r="G668" s="30" t="s">
        <v>42</v>
      </c>
      <c r="H668" s="10" t="s">
        <v>55</v>
      </c>
      <c r="I668" s="106" t="s">
        <v>41</v>
      </c>
      <c r="J668" s="118">
        <v>0.39195601851851852</v>
      </c>
      <c r="K668" s="117">
        <v>479.3</v>
      </c>
      <c r="L668" s="117">
        <v>0.04</v>
      </c>
      <c r="M668" s="117">
        <v>612.79999999999995</v>
      </c>
      <c r="N668" s="117">
        <v>0.09</v>
      </c>
      <c r="O668" s="117">
        <v>62.6</v>
      </c>
      <c r="P668" s="117">
        <v>0.3</v>
      </c>
      <c r="Q668" s="117">
        <v>65</v>
      </c>
      <c r="R668" s="117" t="s">
        <v>45</v>
      </c>
      <c r="S668" s="117">
        <v>1</v>
      </c>
    </row>
    <row r="669" spans="1:19" ht="15" x14ac:dyDescent="0.25">
      <c r="A669" s="7">
        <v>2012</v>
      </c>
      <c r="B669" s="28">
        <v>41097</v>
      </c>
      <c r="C669" s="13" t="s">
        <v>35</v>
      </c>
      <c r="D669" s="14" t="s">
        <v>36</v>
      </c>
      <c r="E669" s="13" t="s">
        <v>24</v>
      </c>
      <c r="F669" s="14" t="s">
        <v>49</v>
      </c>
      <c r="G669" s="30" t="s">
        <v>42</v>
      </c>
      <c r="H669" s="10" t="s">
        <v>55</v>
      </c>
      <c r="I669" s="106" t="s">
        <v>41</v>
      </c>
      <c r="J669" s="118">
        <v>0.39260416666666664</v>
      </c>
      <c r="K669" s="117">
        <v>23.2</v>
      </c>
      <c r="L669" s="117">
        <v>0.36</v>
      </c>
      <c r="M669" s="117">
        <v>607.9</v>
      </c>
      <c r="N669" s="117">
        <v>7.0000000000000007E-2</v>
      </c>
      <c r="O669" s="117">
        <v>62.5</v>
      </c>
      <c r="P669" s="117">
        <v>5.0999999999999996</v>
      </c>
      <c r="Q669" s="117">
        <v>5</v>
      </c>
      <c r="R669" s="117" t="s">
        <v>45</v>
      </c>
      <c r="S669" s="117">
        <v>2</v>
      </c>
    </row>
    <row r="670" spans="1:19" ht="15" x14ac:dyDescent="0.25">
      <c r="A670" s="7">
        <v>2012</v>
      </c>
      <c r="B670" s="28">
        <v>41097</v>
      </c>
      <c r="C670" s="13" t="s">
        <v>35</v>
      </c>
      <c r="D670" s="14" t="s">
        <v>36</v>
      </c>
      <c r="E670" s="13" t="s">
        <v>24</v>
      </c>
      <c r="F670" s="14" t="s">
        <v>49</v>
      </c>
      <c r="G670" s="30" t="s">
        <v>42</v>
      </c>
      <c r="H670" s="10" t="s">
        <v>55</v>
      </c>
      <c r="I670" s="106" t="s">
        <v>41</v>
      </c>
      <c r="J670" s="118">
        <v>0.39292824074074079</v>
      </c>
      <c r="K670" s="117">
        <v>45.1</v>
      </c>
      <c r="L670" s="117">
        <v>0.33</v>
      </c>
      <c r="M670" s="117">
        <v>610.4</v>
      </c>
      <c r="N670" s="117">
        <v>7.0000000000000007E-2</v>
      </c>
      <c r="O670" s="117">
        <v>62.5</v>
      </c>
      <c r="P670" s="117">
        <v>3.9</v>
      </c>
      <c r="Q670" s="117">
        <v>20</v>
      </c>
      <c r="R670" s="117" t="s">
        <v>45</v>
      </c>
      <c r="S670" s="117">
        <v>2</v>
      </c>
    </row>
    <row r="671" spans="1:19" ht="15" x14ac:dyDescent="0.25">
      <c r="A671" s="7">
        <v>2012</v>
      </c>
      <c r="B671" s="28">
        <v>41097</v>
      </c>
      <c r="C671" s="13" t="s">
        <v>35</v>
      </c>
      <c r="D671" s="14" t="s">
        <v>36</v>
      </c>
      <c r="E671" s="13" t="s">
        <v>24</v>
      </c>
      <c r="F671" s="14" t="s">
        <v>49</v>
      </c>
      <c r="G671" s="30" t="s">
        <v>42</v>
      </c>
      <c r="H671" s="10" t="s">
        <v>55</v>
      </c>
      <c r="I671" s="106" t="s">
        <v>41</v>
      </c>
      <c r="J671" s="118">
        <v>0.39317129629629632</v>
      </c>
      <c r="K671" s="117">
        <v>138.5</v>
      </c>
      <c r="L671" s="117">
        <v>0.26</v>
      </c>
      <c r="M671" s="117">
        <v>600.6</v>
      </c>
      <c r="N671" s="117">
        <v>0.05</v>
      </c>
      <c r="O671" s="117">
        <v>62.4</v>
      </c>
      <c r="P671" s="117">
        <v>2.1</v>
      </c>
      <c r="Q671" s="117">
        <v>35</v>
      </c>
      <c r="R671" s="117" t="s">
        <v>45</v>
      </c>
      <c r="S671" s="117">
        <v>2</v>
      </c>
    </row>
    <row r="672" spans="1:19" ht="15" x14ac:dyDescent="0.25">
      <c r="A672" s="7">
        <v>2012</v>
      </c>
      <c r="B672" s="28">
        <v>41097</v>
      </c>
      <c r="C672" s="13" t="s">
        <v>35</v>
      </c>
      <c r="D672" s="14" t="s">
        <v>36</v>
      </c>
      <c r="E672" s="13" t="s">
        <v>24</v>
      </c>
      <c r="F672" s="14" t="s">
        <v>49</v>
      </c>
      <c r="G672" s="30" t="s">
        <v>42</v>
      </c>
      <c r="H672" s="10" t="s">
        <v>55</v>
      </c>
      <c r="I672" s="106" t="s">
        <v>41</v>
      </c>
      <c r="J672" s="118">
        <v>0.39334490740740741</v>
      </c>
      <c r="K672" s="117">
        <v>327.9</v>
      </c>
      <c r="L672" s="117">
        <v>0.16</v>
      </c>
      <c r="M672" s="117">
        <v>598.1</v>
      </c>
      <c r="N672" s="117">
        <v>0.04</v>
      </c>
      <c r="O672" s="117">
        <v>62.4</v>
      </c>
      <c r="P672" s="117">
        <v>0.8</v>
      </c>
      <c r="Q672" s="117">
        <v>50</v>
      </c>
      <c r="R672" s="117" t="s">
        <v>45</v>
      </c>
      <c r="S672" s="117">
        <v>2</v>
      </c>
    </row>
    <row r="673" spans="1:19" ht="15" x14ac:dyDescent="0.25">
      <c r="A673" s="7">
        <v>2012</v>
      </c>
      <c r="B673" s="28">
        <v>41097</v>
      </c>
      <c r="C673" s="13" t="s">
        <v>35</v>
      </c>
      <c r="D673" s="14" t="s">
        <v>36</v>
      </c>
      <c r="E673" s="13" t="s">
        <v>24</v>
      </c>
      <c r="F673" s="14" t="s">
        <v>49</v>
      </c>
      <c r="G673" s="30" t="s">
        <v>42</v>
      </c>
      <c r="H673" s="10" t="s">
        <v>55</v>
      </c>
      <c r="I673" s="106" t="s">
        <v>41</v>
      </c>
      <c r="J673" s="118">
        <v>0.3935069444444444</v>
      </c>
      <c r="K673" s="117">
        <v>460.9</v>
      </c>
      <c r="L673" s="117">
        <v>0.05</v>
      </c>
      <c r="M673" s="117">
        <v>598.1</v>
      </c>
      <c r="N673" s="117">
        <v>0.04</v>
      </c>
      <c r="O673" s="117">
        <v>62.4</v>
      </c>
      <c r="P673" s="117">
        <v>0.3</v>
      </c>
      <c r="Q673" s="117">
        <v>65</v>
      </c>
      <c r="R673" s="117" t="s">
        <v>45</v>
      </c>
      <c r="S673" s="117">
        <v>2</v>
      </c>
    </row>
    <row r="674" spans="1:19" ht="15" x14ac:dyDescent="0.25">
      <c r="A674" s="7">
        <v>2012</v>
      </c>
      <c r="B674" s="28">
        <v>41097</v>
      </c>
      <c r="C674" s="13" t="s">
        <v>35</v>
      </c>
      <c r="D674" s="14" t="s">
        <v>36</v>
      </c>
      <c r="E674" s="13" t="s">
        <v>24</v>
      </c>
      <c r="F674" s="14" t="s">
        <v>49</v>
      </c>
      <c r="G674" s="30" t="s">
        <v>42</v>
      </c>
      <c r="H674" s="10" t="s">
        <v>55</v>
      </c>
      <c r="I674" s="106" t="s">
        <v>41</v>
      </c>
      <c r="J674" s="118">
        <v>0.39456018518518521</v>
      </c>
      <c r="K674" s="117">
        <v>15.8</v>
      </c>
      <c r="L674" s="117">
        <v>0.4</v>
      </c>
      <c r="M674" s="117">
        <v>598.1</v>
      </c>
      <c r="N674" s="117">
        <v>0.03</v>
      </c>
      <c r="O674" s="117">
        <v>62.3</v>
      </c>
      <c r="P674" s="117">
        <v>5.9</v>
      </c>
      <c r="Q674" s="117">
        <v>5</v>
      </c>
      <c r="R674" s="117" t="s">
        <v>45</v>
      </c>
      <c r="S674" s="117">
        <v>3</v>
      </c>
    </row>
    <row r="675" spans="1:19" ht="15" x14ac:dyDescent="0.25">
      <c r="A675" s="7">
        <v>2012</v>
      </c>
      <c r="B675" s="28">
        <v>41097</v>
      </c>
      <c r="C675" s="13" t="s">
        <v>35</v>
      </c>
      <c r="D675" s="14" t="s">
        <v>36</v>
      </c>
      <c r="E675" s="13" t="s">
        <v>24</v>
      </c>
      <c r="F675" s="14" t="s">
        <v>49</v>
      </c>
      <c r="G675" s="30" t="s">
        <v>42</v>
      </c>
      <c r="H675" s="10" t="s">
        <v>55</v>
      </c>
      <c r="I675" s="106" t="s">
        <v>41</v>
      </c>
      <c r="J675" s="118">
        <v>0.39478009259259261</v>
      </c>
      <c r="K675" s="117">
        <v>37.299999999999997</v>
      </c>
      <c r="L675" s="117">
        <v>0.23</v>
      </c>
      <c r="M675" s="117">
        <v>598.1</v>
      </c>
      <c r="N675" s="117">
        <v>0.03</v>
      </c>
      <c r="O675" s="117">
        <v>62.2</v>
      </c>
      <c r="P675" s="117">
        <v>4.3</v>
      </c>
      <c r="Q675" s="117">
        <v>20</v>
      </c>
      <c r="R675" s="117" t="s">
        <v>45</v>
      </c>
      <c r="S675" s="117">
        <v>3</v>
      </c>
    </row>
    <row r="676" spans="1:19" ht="15" x14ac:dyDescent="0.25">
      <c r="A676" s="7">
        <v>2012</v>
      </c>
      <c r="B676" s="28">
        <v>41097</v>
      </c>
      <c r="C676" s="13" t="s">
        <v>35</v>
      </c>
      <c r="D676" s="14" t="s">
        <v>36</v>
      </c>
      <c r="E676" s="13" t="s">
        <v>24</v>
      </c>
      <c r="F676" s="14" t="s">
        <v>49</v>
      </c>
      <c r="G676" s="30" t="s">
        <v>42</v>
      </c>
      <c r="H676" s="10" t="s">
        <v>55</v>
      </c>
      <c r="I676" s="106" t="s">
        <v>41</v>
      </c>
      <c r="J676" s="118">
        <v>0.39498842592592592</v>
      </c>
      <c r="K676" s="117">
        <v>93</v>
      </c>
      <c r="L676" s="117">
        <v>0.22</v>
      </c>
      <c r="M676" s="117">
        <v>603</v>
      </c>
      <c r="N676" s="117">
        <v>0.04</v>
      </c>
      <c r="O676" s="117">
        <v>62.2</v>
      </c>
      <c r="P676" s="117">
        <v>2.7</v>
      </c>
      <c r="Q676" s="117">
        <v>35</v>
      </c>
      <c r="R676" s="117" t="s">
        <v>45</v>
      </c>
      <c r="S676" s="117">
        <v>3</v>
      </c>
    </row>
    <row r="677" spans="1:19" ht="15" x14ac:dyDescent="0.25">
      <c r="A677" s="7">
        <v>2012</v>
      </c>
      <c r="B677" s="28">
        <v>41097</v>
      </c>
      <c r="C677" s="13" t="s">
        <v>35</v>
      </c>
      <c r="D677" s="14" t="s">
        <v>36</v>
      </c>
      <c r="E677" s="13" t="s">
        <v>24</v>
      </c>
      <c r="F677" s="14" t="s">
        <v>49</v>
      </c>
      <c r="G677" s="30" t="s">
        <v>42</v>
      </c>
      <c r="H677" s="10" t="s">
        <v>55</v>
      </c>
      <c r="I677" s="106" t="s">
        <v>41</v>
      </c>
      <c r="J677" s="118">
        <v>0.39515046296296297</v>
      </c>
      <c r="K677" s="117">
        <v>310.3</v>
      </c>
      <c r="L677" s="117">
        <v>0.19</v>
      </c>
      <c r="M677" s="117">
        <v>605.5</v>
      </c>
      <c r="N677" s="117">
        <v>0.04</v>
      </c>
      <c r="O677" s="117">
        <v>62.2</v>
      </c>
      <c r="P677" s="117">
        <v>0.8</v>
      </c>
      <c r="Q677" s="117">
        <v>50</v>
      </c>
      <c r="R677" s="117" t="s">
        <v>45</v>
      </c>
      <c r="S677" s="117">
        <v>3</v>
      </c>
    </row>
    <row r="678" spans="1:19" ht="15" x14ac:dyDescent="0.25">
      <c r="A678" s="7">
        <v>2012</v>
      </c>
      <c r="B678" s="28">
        <v>41097</v>
      </c>
      <c r="C678" s="13" t="s">
        <v>35</v>
      </c>
      <c r="D678" s="14" t="s">
        <v>36</v>
      </c>
      <c r="E678" s="13" t="s">
        <v>24</v>
      </c>
      <c r="F678" s="14" t="s">
        <v>49</v>
      </c>
      <c r="G678" s="30" t="s">
        <v>42</v>
      </c>
      <c r="H678" s="10" t="s">
        <v>55</v>
      </c>
      <c r="I678" s="106" t="s">
        <v>41</v>
      </c>
      <c r="J678" s="118">
        <v>0.39530092592592592</v>
      </c>
      <c r="K678" s="117">
        <v>462.9</v>
      </c>
      <c r="L678" s="117">
        <v>0.05</v>
      </c>
      <c r="M678" s="117">
        <v>607.9</v>
      </c>
      <c r="N678" s="117">
        <v>0.04</v>
      </c>
      <c r="O678" s="117">
        <v>62.2</v>
      </c>
      <c r="P678" s="117">
        <v>0.3</v>
      </c>
      <c r="Q678" s="117">
        <v>65</v>
      </c>
      <c r="R678" s="117" t="s">
        <v>45</v>
      </c>
      <c r="S678" s="117">
        <v>3</v>
      </c>
    </row>
    <row r="679" spans="1:19" ht="15" x14ac:dyDescent="0.25">
      <c r="A679" s="7">
        <v>2012</v>
      </c>
      <c r="B679" s="28">
        <v>41097</v>
      </c>
      <c r="C679" s="13" t="s">
        <v>35</v>
      </c>
      <c r="D679" s="14" t="s">
        <v>36</v>
      </c>
      <c r="E679" s="13" t="s">
        <v>24</v>
      </c>
      <c r="F679" s="14" t="s">
        <v>49</v>
      </c>
      <c r="G679" s="30" t="s">
        <v>42</v>
      </c>
      <c r="H679" s="10" t="s">
        <v>55</v>
      </c>
      <c r="I679" s="106" t="s">
        <v>41</v>
      </c>
      <c r="J679" s="118">
        <v>0.39601851851851855</v>
      </c>
      <c r="K679" s="117">
        <v>486.7</v>
      </c>
      <c r="L679" s="117">
        <v>0.04</v>
      </c>
      <c r="M679" s="117">
        <v>618.9</v>
      </c>
      <c r="N679" s="117">
        <v>0.06</v>
      </c>
      <c r="O679" s="117">
        <v>62.1</v>
      </c>
      <c r="P679" s="117">
        <v>0.3</v>
      </c>
      <c r="Q679" s="117">
        <v>80</v>
      </c>
      <c r="R679" s="117" t="s">
        <v>45</v>
      </c>
      <c r="S679" s="117">
        <v>3</v>
      </c>
    </row>
    <row r="680" spans="1:19" ht="15" x14ac:dyDescent="0.25">
      <c r="A680" s="7">
        <v>2012</v>
      </c>
      <c r="B680" s="28">
        <v>41097</v>
      </c>
      <c r="C680" s="13" t="s">
        <v>35</v>
      </c>
      <c r="D680" s="14" t="s">
        <v>36</v>
      </c>
      <c r="E680" s="13" t="s">
        <v>24</v>
      </c>
      <c r="F680" s="14" t="s">
        <v>49</v>
      </c>
      <c r="G680" s="30" t="s">
        <v>42</v>
      </c>
      <c r="H680" s="10" t="s">
        <v>55</v>
      </c>
      <c r="I680" s="106" t="s">
        <v>41</v>
      </c>
      <c r="J680" s="118">
        <v>0.44862268518518517</v>
      </c>
      <c r="K680" s="117">
        <v>145.6</v>
      </c>
      <c r="L680" s="117">
        <v>0.87</v>
      </c>
      <c r="M680" s="117">
        <v>1508.8</v>
      </c>
      <c r="N680" s="117">
        <v>0.64</v>
      </c>
      <c r="O680" s="117">
        <v>79.2</v>
      </c>
      <c r="P680" s="117">
        <v>2</v>
      </c>
      <c r="Q680" s="119">
        <v>5</v>
      </c>
      <c r="R680" s="117" t="s">
        <v>48</v>
      </c>
      <c r="S680" s="117">
        <v>1</v>
      </c>
    </row>
    <row r="681" spans="1:19" ht="15" x14ac:dyDescent="0.25">
      <c r="A681" s="7">
        <v>2012</v>
      </c>
      <c r="B681" s="28">
        <v>41097</v>
      </c>
      <c r="C681" s="13" t="s">
        <v>35</v>
      </c>
      <c r="D681" s="14" t="s">
        <v>36</v>
      </c>
      <c r="E681" s="13" t="s">
        <v>24</v>
      </c>
      <c r="F681" s="14" t="s">
        <v>49</v>
      </c>
      <c r="G681" s="30" t="s">
        <v>42</v>
      </c>
      <c r="H681" s="10" t="s">
        <v>55</v>
      </c>
      <c r="I681" s="106" t="s">
        <v>41</v>
      </c>
      <c r="J681" s="118">
        <v>0.44890046296296293</v>
      </c>
      <c r="K681" s="117">
        <v>251.4</v>
      </c>
      <c r="L681" s="117">
        <v>0.7</v>
      </c>
      <c r="M681" s="117">
        <v>1438</v>
      </c>
      <c r="N681" s="117">
        <v>0.62</v>
      </c>
      <c r="O681" s="117">
        <v>79.2</v>
      </c>
      <c r="P681" s="117">
        <v>1.4</v>
      </c>
      <c r="Q681" s="117">
        <v>20</v>
      </c>
      <c r="R681" s="117" t="s">
        <v>48</v>
      </c>
      <c r="S681" s="117">
        <v>1</v>
      </c>
    </row>
    <row r="682" spans="1:19" ht="15" x14ac:dyDescent="0.25">
      <c r="A682" s="7">
        <v>2012</v>
      </c>
      <c r="B682" s="28">
        <v>41097</v>
      </c>
      <c r="C682" s="13" t="s">
        <v>35</v>
      </c>
      <c r="D682" s="14" t="s">
        <v>36</v>
      </c>
      <c r="E682" s="13" t="s">
        <v>24</v>
      </c>
      <c r="F682" s="14" t="s">
        <v>49</v>
      </c>
      <c r="G682" s="30" t="s">
        <v>42</v>
      </c>
      <c r="H682" s="10" t="s">
        <v>55</v>
      </c>
      <c r="I682" s="106" t="s">
        <v>41</v>
      </c>
      <c r="J682" s="118">
        <v>0.44914351851851847</v>
      </c>
      <c r="K682" s="117">
        <v>375.3</v>
      </c>
      <c r="L682" s="117">
        <v>0.52</v>
      </c>
      <c r="M682" s="117">
        <v>1378.2</v>
      </c>
      <c r="N682" s="117">
        <v>0.6</v>
      </c>
      <c r="O682" s="117">
        <v>79.3</v>
      </c>
      <c r="P682" s="117">
        <v>1</v>
      </c>
      <c r="Q682" s="117">
        <v>35</v>
      </c>
      <c r="R682" s="117" t="s">
        <v>48</v>
      </c>
      <c r="S682" s="117">
        <v>1</v>
      </c>
    </row>
    <row r="683" spans="1:19" ht="15" x14ac:dyDescent="0.25">
      <c r="A683" s="7">
        <v>2012</v>
      </c>
      <c r="B683" s="29">
        <v>41097</v>
      </c>
      <c r="C683" s="13" t="s">
        <v>35</v>
      </c>
      <c r="D683" s="14" t="s">
        <v>36</v>
      </c>
      <c r="E683" s="13" t="s">
        <v>24</v>
      </c>
      <c r="F683" s="14" t="s">
        <v>49</v>
      </c>
      <c r="G683" s="30" t="s">
        <v>42</v>
      </c>
      <c r="H683" s="10" t="s">
        <v>55</v>
      </c>
      <c r="I683" s="106" t="s">
        <v>41</v>
      </c>
      <c r="J683" s="118">
        <v>0.44923611111111111</v>
      </c>
      <c r="K683" s="117">
        <v>720.2</v>
      </c>
      <c r="L683" s="117">
        <v>0.37</v>
      </c>
      <c r="M683" s="117">
        <v>1406.2</v>
      </c>
      <c r="N683" s="117">
        <v>0.6</v>
      </c>
      <c r="O683" s="117">
        <v>79.3</v>
      </c>
      <c r="P683" s="117">
        <v>0.5</v>
      </c>
      <c r="Q683" s="117">
        <v>50</v>
      </c>
      <c r="R683" s="117" t="s">
        <v>48</v>
      </c>
      <c r="S683" s="117">
        <v>1</v>
      </c>
    </row>
    <row r="684" spans="1:19" ht="15" x14ac:dyDescent="0.25">
      <c r="A684" s="7">
        <v>2012</v>
      </c>
      <c r="B684" s="29">
        <v>41097</v>
      </c>
      <c r="C684" s="13" t="s">
        <v>35</v>
      </c>
      <c r="D684" s="14" t="s">
        <v>36</v>
      </c>
      <c r="E684" s="13" t="s">
        <v>24</v>
      </c>
      <c r="F684" s="14" t="s">
        <v>49</v>
      </c>
      <c r="G684" s="30" t="s">
        <v>42</v>
      </c>
      <c r="H684" s="10" t="s">
        <v>55</v>
      </c>
      <c r="I684" s="106" t="s">
        <v>41</v>
      </c>
      <c r="J684" s="118">
        <v>0.4493287037037037</v>
      </c>
      <c r="K684" s="117">
        <v>1007</v>
      </c>
      <c r="L684" s="117">
        <v>0.15</v>
      </c>
      <c r="M684" s="117">
        <v>1337.9</v>
      </c>
      <c r="N684" s="117">
        <v>0.57999999999999996</v>
      </c>
      <c r="O684" s="117">
        <v>79.3</v>
      </c>
      <c r="P684" s="117">
        <v>0.2</v>
      </c>
      <c r="Q684" s="117">
        <v>65</v>
      </c>
      <c r="R684" s="117" t="s">
        <v>48</v>
      </c>
      <c r="S684" s="117">
        <v>1</v>
      </c>
    </row>
    <row r="685" spans="1:19" ht="15" x14ac:dyDescent="0.25">
      <c r="A685" s="7">
        <v>2012</v>
      </c>
      <c r="B685" s="29">
        <v>41097</v>
      </c>
      <c r="C685" s="13" t="s">
        <v>35</v>
      </c>
      <c r="D685" s="14" t="s">
        <v>36</v>
      </c>
      <c r="E685" s="13" t="s">
        <v>24</v>
      </c>
      <c r="F685" s="14" t="s">
        <v>49</v>
      </c>
      <c r="G685" s="30" t="s">
        <v>42</v>
      </c>
      <c r="H685" s="10" t="s">
        <v>55</v>
      </c>
      <c r="I685" s="106" t="s">
        <v>41</v>
      </c>
      <c r="J685" s="118">
        <v>0.4494097222222222</v>
      </c>
      <c r="K685" s="117">
        <v>1049.5999999999999</v>
      </c>
      <c r="L685" s="117">
        <v>0.03</v>
      </c>
      <c r="M685" s="117">
        <v>1311</v>
      </c>
      <c r="N685" s="117">
        <v>0.56999999999999995</v>
      </c>
      <c r="O685" s="117">
        <v>79.3</v>
      </c>
      <c r="P685" s="117">
        <v>0.1</v>
      </c>
      <c r="Q685" s="117">
        <v>80</v>
      </c>
      <c r="R685" s="117" t="s">
        <v>48</v>
      </c>
      <c r="S685" s="117">
        <v>1</v>
      </c>
    </row>
    <row r="686" spans="1:19" ht="15" x14ac:dyDescent="0.25">
      <c r="A686" s="7">
        <v>2012</v>
      </c>
      <c r="B686" s="29">
        <v>41097</v>
      </c>
      <c r="C686" s="13" t="s">
        <v>35</v>
      </c>
      <c r="D686" s="14" t="s">
        <v>36</v>
      </c>
      <c r="E686" s="13" t="s">
        <v>24</v>
      </c>
      <c r="F686" s="14" t="s">
        <v>49</v>
      </c>
      <c r="G686" s="30" t="s">
        <v>42</v>
      </c>
      <c r="H686" s="10" t="s">
        <v>55</v>
      </c>
      <c r="I686" s="106" t="s">
        <v>41</v>
      </c>
      <c r="J686" s="118">
        <v>0.44952546296296297</v>
      </c>
      <c r="K686" s="117">
        <v>122</v>
      </c>
      <c r="L686" s="117">
        <v>0.49</v>
      </c>
      <c r="M686" s="117">
        <v>1411.1</v>
      </c>
      <c r="N686" s="117">
        <v>0.59</v>
      </c>
      <c r="O686" s="117">
        <v>79.3</v>
      </c>
      <c r="P686" s="117">
        <v>2.2999999999999998</v>
      </c>
      <c r="Q686" s="117">
        <v>5</v>
      </c>
      <c r="R686" s="117" t="s">
        <v>48</v>
      </c>
      <c r="S686" s="117">
        <v>2</v>
      </c>
    </row>
    <row r="687" spans="1:19" ht="15" x14ac:dyDescent="0.25">
      <c r="A687" s="7">
        <v>2012</v>
      </c>
      <c r="B687" s="29">
        <v>41097</v>
      </c>
      <c r="C687" s="13" t="s">
        <v>35</v>
      </c>
      <c r="D687" s="14" t="s">
        <v>36</v>
      </c>
      <c r="E687" s="13" t="s">
        <v>24</v>
      </c>
      <c r="F687" s="14" t="s">
        <v>49</v>
      </c>
      <c r="G687" s="30" t="s">
        <v>42</v>
      </c>
      <c r="H687" s="10" t="s">
        <v>55</v>
      </c>
      <c r="I687" s="106" t="s">
        <v>41</v>
      </c>
      <c r="J687" s="118">
        <v>0.44966435185185188</v>
      </c>
      <c r="K687" s="117">
        <v>319.8</v>
      </c>
      <c r="L687" s="117">
        <v>0.59</v>
      </c>
      <c r="M687" s="117">
        <v>1489.3</v>
      </c>
      <c r="N687" s="117">
        <v>0.61</v>
      </c>
      <c r="O687" s="117">
        <v>79.400000000000006</v>
      </c>
      <c r="P687" s="117">
        <v>1.2</v>
      </c>
      <c r="Q687" s="117">
        <v>20</v>
      </c>
      <c r="R687" s="117" t="s">
        <v>48</v>
      </c>
      <c r="S687" s="117">
        <v>2</v>
      </c>
    </row>
    <row r="688" spans="1:19" ht="15" x14ac:dyDescent="0.25">
      <c r="A688" s="7">
        <v>2012</v>
      </c>
      <c r="B688" s="29">
        <v>41097</v>
      </c>
      <c r="C688" s="13" t="s">
        <v>35</v>
      </c>
      <c r="D688" s="14" t="s">
        <v>36</v>
      </c>
      <c r="E688" s="13" t="s">
        <v>24</v>
      </c>
      <c r="F688" s="14" t="s">
        <v>49</v>
      </c>
      <c r="G688" s="30" t="s">
        <v>42</v>
      </c>
      <c r="H688" s="10" t="s">
        <v>55</v>
      </c>
      <c r="I688" s="106" t="s">
        <v>41</v>
      </c>
      <c r="J688" s="118">
        <v>0.44976851851851851</v>
      </c>
      <c r="K688" s="117">
        <v>511.1</v>
      </c>
      <c r="L688" s="117">
        <v>0.48</v>
      </c>
      <c r="M688" s="117">
        <v>1516.1</v>
      </c>
      <c r="N688" s="117">
        <v>0.61</v>
      </c>
      <c r="O688" s="117">
        <v>79.400000000000006</v>
      </c>
      <c r="P688" s="117">
        <v>0.8</v>
      </c>
      <c r="Q688" s="117">
        <v>35</v>
      </c>
      <c r="R688" s="117" t="s">
        <v>48</v>
      </c>
      <c r="S688" s="117">
        <v>2</v>
      </c>
    </row>
    <row r="689" spans="1:19" ht="15" x14ac:dyDescent="0.25">
      <c r="A689" s="7">
        <v>2012</v>
      </c>
      <c r="B689" s="29">
        <v>41097</v>
      </c>
      <c r="C689" s="13" t="s">
        <v>35</v>
      </c>
      <c r="D689" s="14" t="s">
        <v>36</v>
      </c>
      <c r="E689" s="13" t="s">
        <v>24</v>
      </c>
      <c r="F689" s="14" t="s">
        <v>49</v>
      </c>
      <c r="G689" s="30" t="s">
        <v>42</v>
      </c>
      <c r="H689" s="10" t="s">
        <v>55</v>
      </c>
      <c r="I689" s="106" t="s">
        <v>41</v>
      </c>
      <c r="J689" s="118">
        <v>0.44983796296296297</v>
      </c>
      <c r="K689" s="117">
        <v>743.5</v>
      </c>
      <c r="L689" s="117">
        <v>0.39</v>
      </c>
      <c r="M689" s="117">
        <v>1523.4</v>
      </c>
      <c r="N689" s="117">
        <v>0.61</v>
      </c>
      <c r="O689" s="117">
        <v>79.400000000000006</v>
      </c>
      <c r="P689" s="117">
        <v>0.5</v>
      </c>
      <c r="Q689" s="117">
        <v>50</v>
      </c>
      <c r="R689" s="117" t="s">
        <v>48</v>
      </c>
      <c r="S689" s="117">
        <v>2</v>
      </c>
    </row>
    <row r="690" spans="1:19" ht="15" x14ac:dyDescent="0.25">
      <c r="A690" s="7">
        <v>2012</v>
      </c>
      <c r="B690" s="29">
        <v>41097</v>
      </c>
      <c r="C690" s="13" t="s">
        <v>35</v>
      </c>
      <c r="D690" s="14" t="s">
        <v>36</v>
      </c>
      <c r="E690" s="13" t="s">
        <v>24</v>
      </c>
      <c r="F690" s="14" t="s">
        <v>49</v>
      </c>
      <c r="G690" s="30" t="s">
        <v>42</v>
      </c>
      <c r="H690" s="10" t="s">
        <v>55</v>
      </c>
      <c r="I690" s="106" t="s">
        <v>41</v>
      </c>
      <c r="J690" s="118">
        <v>0.44990740740740742</v>
      </c>
      <c r="K690" s="117">
        <v>1190.5999999999999</v>
      </c>
      <c r="L690" s="117">
        <v>0.09</v>
      </c>
      <c r="M690" s="117">
        <v>1510</v>
      </c>
      <c r="N690" s="117">
        <v>0.61</v>
      </c>
      <c r="O690" s="117">
        <v>79.400000000000006</v>
      </c>
      <c r="P690" s="117">
        <v>0.1</v>
      </c>
      <c r="Q690" s="117">
        <v>65</v>
      </c>
      <c r="R690" s="117" t="s">
        <v>48</v>
      </c>
      <c r="S690" s="117">
        <v>2</v>
      </c>
    </row>
    <row r="691" spans="1:19" ht="15" x14ac:dyDescent="0.25">
      <c r="A691" s="7">
        <v>2012</v>
      </c>
      <c r="B691" s="29">
        <v>41097</v>
      </c>
      <c r="C691" s="13" t="s">
        <v>35</v>
      </c>
      <c r="D691" s="14" t="s">
        <v>36</v>
      </c>
      <c r="E691" s="13" t="s">
        <v>24</v>
      </c>
      <c r="F691" s="14" t="s">
        <v>49</v>
      </c>
      <c r="G691" s="30" t="s">
        <v>42</v>
      </c>
      <c r="H691" s="10" t="s">
        <v>55</v>
      </c>
      <c r="I691" s="106" t="s">
        <v>41</v>
      </c>
      <c r="J691" s="118">
        <v>0.45</v>
      </c>
      <c r="K691" s="117">
        <v>1209.5999999999999</v>
      </c>
      <c r="L691" s="117">
        <v>0.03</v>
      </c>
      <c r="M691" s="117">
        <v>1522.2</v>
      </c>
      <c r="N691" s="117">
        <v>0.61</v>
      </c>
      <c r="O691" s="117">
        <v>79.400000000000006</v>
      </c>
      <c r="P691" s="117">
        <v>0.1</v>
      </c>
      <c r="Q691" s="117">
        <v>80</v>
      </c>
      <c r="R691" s="117" t="s">
        <v>48</v>
      </c>
      <c r="S691" s="117">
        <v>2</v>
      </c>
    </row>
    <row r="692" spans="1:19" ht="15" x14ac:dyDescent="0.25">
      <c r="A692" s="7">
        <v>2012</v>
      </c>
      <c r="B692" s="29">
        <v>41097</v>
      </c>
      <c r="C692" s="13" t="s">
        <v>35</v>
      </c>
      <c r="D692" s="14" t="s">
        <v>36</v>
      </c>
      <c r="E692" s="13" t="s">
        <v>24</v>
      </c>
      <c r="F692" s="14" t="s">
        <v>49</v>
      </c>
      <c r="G692" s="30" t="s">
        <v>42</v>
      </c>
      <c r="H692" s="10" t="s">
        <v>55</v>
      </c>
      <c r="I692" s="106" t="s">
        <v>41</v>
      </c>
      <c r="J692" s="118">
        <v>0.45009259259259254</v>
      </c>
      <c r="K692" s="117">
        <v>162.80000000000001</v>
      </c>
      <c r="L692" s="117">
        <v>0.44</v>
      </c>
      <c r="M692" s="117">
        <v>1534.4</v>
      </c>
      <c r="N692" s="117">
        <v>0.61</v>
      </c>
      <c r="O692" s="117">
        <v>79.5</v>
      </c>
      <c r="P692" s="117">
        <v>2</v>
      </c>
      <c r="Q692" s="117">
        <v>5</v>
      </c>
      <c r="R692" s="117" t="s">
        <v>48</v>
      </c>
      <c r="S692" s="117">
        <v>3</v>
      </c>
    </row>
    <row r="693" spans="1:19" ht="15" x14ac:dyDescent="0.25">
      <c r="A693" s="7">
        <v>2012</v>
      </c>
      <c r="B693" s="29">
        <v>41097</v>
      </c>
      <c r="C693" s="13" t="s">
        <v>35</v>
      </c>
      <c r="D693" s="14" t="s">
        <v>36</v>
      </c>
      <c r="E693" s="13" t="s">
        <v>24</v>
      </c>
      <c r="F693" s="14" t="s">
        <v>49</v>
      </c>
      <c r="G693" s="30" t="s">
        <v>42</v>
      </c>
      <c r="H693" s="10" t="s">
        <v>55</v>
      </c>
      <c r="I693" s="106" t="s">
        <v>41</v>
      </c>
      <c r="J693" s="118">
        <v>0.45023148148148145</v>
      </c>
      <c r="K693" s="117">
        <v>303.2</v>
      </c>
      <c r="L693" s="117">
        <v>0.59</v>
      </c>
      <c r="M693" s="117">
        <v>1540.5</v>
      </c>
      <c r="N693" s="117">
        <v>0.61</v>
      </c>
      <c r="O693" s="117">
        <v>79.5</v>
      </c>
      <c r="P693" s="117">
        <v>1.3</v>
      </c>
      <c r="Q693" s="117">
        <v>20</v>
      </c>
      <c r="R693" s="117" t="s">
        <v>48</v>
      </c>
      <c r="S693" s="117">
        <v>3</v>
      </c>
    </row>
    <row r="694" spans="1:19" ht="15" x14ac:dyDescent="0.25">
      <c r="A694" s="7">
        <v>2012</v>
      </c>
      <c r="B694" s="29">
        <v>41097</v>
      </c>
      <c r="C694" s="13" t="s">
        <v>35</v>
      </c>
      <c r="D694" s="14" t="s">
        <v>36</v>
      </c>
      <c r="E694" s="13" t="s">
        <v>24</v>
      </c>
      <c r="F694" s="14" t="s">
        <v>49</v>
      </c>
      <c r="G694" s="30" t="s">
        <v>42</v>
      </c>
      <c r="H694" s="10" t="s">
        <v>55</v>
      </c>
      <c r="I694" s="106" t="s">
        <v>41</v>
      </c>
      <c r="J694" s="118">
        <v>0.4503819444444444</v>
      </c>
      <c r="K694" s="117">
        <v>498.5</v>
      </c>
      <c r="L694" s="117">
        <v>0.66</v>
      </c>
      <c r="M694" s="117">
        <v>1523.4</v>
      </c>
      <c r="N694" s="117">
        <v>0.6</v>
      </c>
      <c r="O694" s="117">
        <v>79.5</v>
      </c>
      <c r="P694" s="117">
        <v>0.8</v>
      </c>
      <c r="Q694" s="117">
        <v>35</v>
      </c>
      <c r="R694" s="117" t="s">
        <v>48</v>
      </c>
      <c r="S694" s="117">
        <v>3</v>
      </c>
    </row>
    <row r="695" spans="1:19" ht="15" x14ac:dyDescent="0.25">
      <c r="A695" s="7">
        <v>2012</v>
      </c>
      <c r="B695" s="29">
        <v>41097</v>
      </c>
      <c r="C695" s="13" t="s">
        <v>35</v>
      </c>
      <c r="D695" s="14" t="s">
        <v>36</v>
      </c>
      <c r="E695" s="13" t="s">
        <v>24</v>
      </c>
      <c r="F695" s="14" t="s">
        <v>49</v>
      </c>
      <c r="G695" s="30" t="s">
        <v>42</v>
      </c>
      <c r="H695" s="10" t="s">
        <v>55</v>
      </c>
      <c r="I695" s="106" t="s">
        <v>41</v>
      </c>
      <c r="J695" s="118">
        <v>0.45049768518518518</v>
      </c>
      <c r="K695" s="117">
        <v>920.6</v>
      </c>
      <c r="L695" s="117">
        <v>0.31</v>
      </c>
      <c r="M695" s="117">
        <v>1535.6</v>
      </c>
      <c r="N695" s="117">
        <v>0.6</v>
      </c>
      <c r="O695" s="117">
        <v>79.5</v>
      </c>
      <c r="P695" s="117">
        <v>0.3</v>
      </c>
      <c r="Q695" s="117">
        <v>50</v>
      </c>
      <c r="R695" s="117" t="s">
        <v>48</v>
      </c>
      <c r="S695" s="117">
        <v>3</v>
      </c>
    </row>
    <row r="696" spans="1:19" ht="15" x14ac:dyDescent="0.25">
      <c r="A696" s="7">
        <v>2012</v>
      </c>
      <c r="B696" s="29">
        <v>41097</v>
      </c>
      <c r="C696" s="13" t="s">
        <v>35</v>
      </c>
      <c r="D696" s="14" t="s">
        <v>36</v>
      </c>
      <c r="E696" s="13" t="s">
        <v>24</v>
      </c>
      <c r="F696" s="14" t="s">
        <v>49</v>
      </c>
      <c r="G696" s="30" t="s">
        <v>42</v>
      </c>
      <c r="H696" s="10" t="s">
        <v>55</v>
      </c>
      <c r="I696" s="106" t="s">
        <v>41</v>
      </c>
      <c r="J696" s="118">
        <v>0.45055555555555554</v>
      </c>
      <c r="K696" s="117">
        <v>1207.4000000000001</v>
      </c>
      <c r="L696" s="117">
        <v>0.06</v>
      </c>
      <c r="M696" s="117">
        <v>1540.5</v>
      </c>
      <c r="N696" s="117">
        <v>0.61</v>
      </c>
      <c r="O696" s="117">
        <v>79.599999999999994</v>
      </c>
      <c r="P696" s="117">
        <v>0.2</v>
      </c>
      <c r="Q696" s="117">
        <v>65</v>
      </c>
      <c r="R696" s="117" t="s">
        <v>48</v>
      </c>
      <c r="S696" s="117">
        <v>3</v>
      </c>
    </row>
    <row r="697" spans="1:19" ht="15" x14ac:dyDescent="0.25">
      <c r="A697" s="7">
        <v>2012</v>
      </c>
      <c r="B697" s="29">
        <v>41097</v>
      </c>
      <c r="C697" s="13" t="s">
        <v>35</v>
      </c>
      <c r="D697" s="14" t="s">
        <v>36</v>
      </c>
      <c r="E697" s="13" t="s">
        <v>24</v>
      </c>
      <c r="F697" s="14" t="s">
        <v>49</v>
      </c>
      <c r="G697" s="30" t="s">
        <v>42</v>
      </c>
      <c r="H697" s="10" t="s">
        <v>55</v>
      </c>
      <c r="I697" s="106" t="s">
        <v>41</v>
      </c>
      <c r="J697" s="118">
        <v>0.450625</v>
      </c>
      <c r="K697" s="117">
        <v>1214.0999999999999</v>
      </c>
      <c r="L697" s="117">
        <v>0.03</v>
      </c>
      <c r="M697" s="117">
        <v>1547.9</v>
      </c>
      <c r="N697" s="117">
        <v>0.6</v>
      </c>
      <c r="O697" s="117">
        <v>79.599999999999994</v>
      </c>
      <c r="P697" s="117">
        <v>0.2</v>
      </c>
      <c r="Q697" s="117">
        <v>80</v>
      </c>
      <c r="R697" s="117" t="s">
        <v>48</v>
      </c>
      <c r="S697" s="117">
        <v>3</v>
      </c>
    </row>
    <row r="698" spans="1:19" ht="15" x14ac:dyDescent="0.25">
      <c r="A698" s="7">
        <v>2012</v>
      </c>
      <c r="B698" s="29">
        <v>41097</v>
      </c>
      <c r="C698" s="13" t="s">
        <v>35</v>
      </c>
      <c r="D698" s="14" t="s">
        <v>36</v>
      </c>
      <c r="E698" s="13" t="s">
        <v>24</v>
      </c>
      <c r="F698" s="14" t="s">
        <v>49</v>
      </c>
      <c r="G698" s="30" t="s">
        <v>42</v>
      </c>
      <c r="H698" s="10" t="s">
        <v>55</v>
      </c>
      <c r="I698" s="106" t="s">
        <v>41</v>
      </c>
      <c r="J698" s="118">
        <v>0.49898148148148147</v>
      </c>
      <c r="K698" s="117">
        <v>45.9</v>
      </c>
      <c r="L698" s="117">
        <v>0.48</v>
      </c>
      <c r="M698" s="117">
        <v>676.3</v>
      </c>
      <c r="N698" s="117">
        <v>0.02</v>
      </c>
      <c r="O698" s="117">
        <v>49.9</v>
      </c>
      <c r="P698" s="117">
        <v>4.2</v>
      </c>
      <c r="Q698" s="119">
        <v>5</v>
      </c>
      <c r="R698" s="117" t="s">
        <v>45</v>
      </c>
      <c r="S698" s="117">
        <v>1</v>
      </c>
    </row>
    <row r="699" spans="1:19" ht="15" x14ac:dyDescent="0.25">
      <c r="A699" s="7">
        <v>2012</v>
      </c>
      <c r="B699" s="29">
        <v>41097</v>
      </c>
      <c r="C699" s="13" t="s">
        <v>35</v>
      </c>
      <c r="D699" s="14" t="s">
        <v>36</v>
      </c>
      <c r="E699" s="13" t="s">
        <v>24</v>
      </c>
      <c r="F699" s="14" t="s">
        <v>49</v>
      </c>
      <c r="G699" s="30" t="s">
        <v>42</v>
      </c>
      <c r="H699" s="10" t="s">
        <v>55</v>
      </c>
      <c r="I699" s="106" t="s">
        <v>41</v>
      </c>
      <c r="J699" s="118">
        <v>0.49910879629629629</v>
      </c>
      <c r="K699" s="117">
        <v>75.3</v>
      </c>
      <c r="L699" s="117">
        <v>0.4</v>
      </c>
      <c r="M699" s="117">
        <v>676.3</v>
      </c>
      <c r="N699" s="117">
        <v>0.02</v>
      </c>
      <c r="O699" s="117">
        <v>49.9</v>
      </c>
      <c r="P699" s="117">
        <v>3.3</v>
      </c>
      <c r="Q699" s="119">
        <v>20</v>
      </c>
      <c r="R699" s="117" t="s">
        <v>45</v>
      </c>
      <c r="S699" s="117">
        <v>1</v>
      </c>
    </row>
    <row r="700" spans="1:19" ht="15" x14ac:dyDescent="0.25">
      <c r="A700" s="7">
        <v>2012</v>
      </c>
      <c r="B700" s="29">
        <v>41097</v>
      </c>
      <c r="C700" s="13" t="s">
        <v>35</v>
      </c>
      <c r="D700" s="14" t="s">
        <v>36</v>
      </c>
      <c r="E700" s="13" t="s">
        <v>24</v>
      </c>
      <c r="F700" s="14" t="s">
        <v>49</v>
      </c>
      <c r="G700" s="30" t="s">
        <v>42</v>
      </c>
      <c r="H700" s="10" t="s">
        <v>55</v>
      </c>
      <c r="I700" s="106" t="s">
        <v>41</v>
      </c>
      <c r="J700" s="118">
        <v>0.49928240740740742</v>
      </c>
      <c r="K700" s="117">
        <v>150.9</v>
      </c>
      <c r="L700" s="117">
        <v>0.34</v>
      </c>
      <c r="M700" s="117">
        <v>677.5</v>
      </c>
      <c r="N700" s="117">
        <v>0.02</v>
      </c>
      <c r="O700" s="117">
        <v>49.9</v>
      </c>
      <c r="P700" s="117">
        <v>2.1</v>
      </c>
      <c r="Q700" s="119">
        <v>35</v>
      </c>
      <c r="R700" s="117" t="s">
        <v>45</v>
      </c>
      <c r="S700" s="117">
        <v>1</v>
      </c>
    </row>
    <row r="701" spans="1:19" ht="15" x14ac:dyDescent="0.25">
      <c r="A701" s="7">
        <v>2012</v>
      </c>
      <c r="B701" s="29">
        <v>41097</v>
      </c>
      <c r="C701" s="13" t="s">
        <v>35</v>
      </c>
      <c r="D701" s="14" t="s">
        <v>36</v>
      </c>
      <c r="E701" s="13" t="s">
        <v>24</v>
      </c>
      <c r="F701" s="14" t="s">
        <v>49</v>
      </c>
      <c r="G701" s="30" t="s">
        <v>42</v>
      </c>
      <c r="H701" s="10" t="s">
        <v>55</v>
      </c>
      <c r="I701" s="106" t="s">
        <v>41</v>
      </c>
      <c r="J701" s="118">
        <v>0.49939814814814815</v>
      </c>
      <c r="K701" s="117">
        <v>301</v>
      </c>
      <c r="L701" s="117">
        <v>0.2</v>
      </c>
      <c r="M701" s="117">
        <v>676.3</v>
      </c>
      <c r="N701" s="117">
        <v>0.02</v>
      </c>
      <c r="O701" s="117">
        <v>49.9</v>
      </c>
      <c r="P701" s="117">
        <v>1.1000000000000001</v>
      </c>
      <c r="Q701" s="119">
        <v>50</v>
      </c>
      <c r="R701" s="117" t="s">
        <v>45</v>
      </c>
      <c r="S701" s="117">
        <v>1</v>
      </c>
    </row>
    <row r="702" spans="1:19" ht="15" x14ac:dyDescent="0.25">
      <c r="A702" s="7">
        <v>2012</v>
      </c>
      <c r="B702" s="28">
        <v>41097</v>
      </c>
      <c r="C702" s="13" t="s">
        <v>35</v>
      </c>
      <c r="D702" s="14" t="s">
        <v>36</v>
      </c>
      <c r="E702" s="13" t="s">
        <v>24</v>
      </c>
      <c r="F702" s="14" t="s">
        <v>49</v>
      </c>
      <c r="G702" s="30" t="s">
        <v>42</v>
      </c>
      <c r="H702" s="10" t="s">
        <v>55</v>
      </c>
      <c r="I702" s="106" t="s">
        <v>41</v>
      </c>
      <c r="J702" s="118">
        <v>0.49951388888888887</v>
      </c>
      <c r="K702" s="117">
        <v>455.1</v>
      </c>
      <c r="L702" s="117">
        <v>0.13</v>
      </c>
      <c r="M702" s="117">
        <v>676.3</v>
      </c>
      <c r="N702" s="117">
        <v>0.01</v>
      </c>
      <c r="O702" s="117">
        <v>49.9</v>
      </c>
      <c r="P702" s="117">
        <v>0.5</v>
      </c>
      <c r="Q702" s="119">
        <v>65</v>
      </c>
      <c r="R702" s="117" t="s">
        <v>45</v>
      </c>
      <c r="S702" s="117">
        <v>1</v>
      </c>
    </row>
    <row r="703" spans="1:19" ht="15" x14ac:dyDescent="0.25">
      <c r="A703" s="7">
        <v>2012</v>
      </c>
      <c r="B703" s="28">
        <v>41097</v>
      </c>
      <c r="C703" s="13" t="s">
        <v>35</v>
      </c>
      <c r="D703" s="14" t="s">
        <v>36</v>
      </c>
      <c r="E703" s="13" t="s">
        <v>24</v>
      </c>
      <c r="F703" s="14" t="s">
        <v>49</v>
      </c>
      <c r="G703" s="30" t="s">
        <v>42</v>
      </c>
      <c r="H703" s="10" t="s">
        <v>55</v>
      </c>
      <c r="I703" s="106" t="s">
        <v>41</v>
      </c>
      <c r="J703" s="118">
        <v>0.49965277777777778</v>
      </c>
      <c r="K703" s="117">
        <v>544.1</v>
      </c>
      <c r="L703" s="117">
        <v>0.04</v>
      </c>
      <c r="M703" s="117">
        <v>675</v>
      </c>
      <c r="N703" s="117">
        <v>0.01</v>
      </c>
      <c r="O703" s="117">
        <v>49.9</v>
      </c>
      <c r="P703" s="117">
        <v>0.2</v>
      </c>
      <c r="Q703" s="119">
        <v>80</v>
      </c>
      <c r="R703" s="117" t="s">
        <v>45</v>
      </c>
      <c r="S703" s="117">
        <v>1</v>
      </c>
    </row>
    <row r="704" spans="1:19" ht="15" x14ac:dyDescent="0.25">
      <c r="A704" s="7">
        <v>2012</v>
      </c>
      <c r="B704" s="28">
        <v>41097</v>
      </c>
      <c r="C704" s="13" t="s">
        <v>35</v>
      </c>
      <c r="D704" s="14" t="s">
        <v>36</v>
      </c>
      <c r="E704" s="13" t="s">
        <v>24</v>
      </c>
      <c r="F704" s="14" t="s">
        <v>49</v>
      </c>
      <c r="G704" s="30" t="s">
        <v>42</v>
      </c>
      <c r="H704" s="10" t="s">
        <v>55</v>
      </c>
      <c r="I704" s="106" t="s">
        <v>41</v>
      </c>
      <c r="J704" s="118">
        <v>0.49982638888888892</v>
      </c>
      <c r="K704" s="117">
        <v>560.5</v>
      </c>
      <c r="L704" s="117">
        <v>0.02</v>
      </c>
      <c r="M704" s="117">
        <v>675</v>
      </c>
      <c r="N704" s="117">
        <v>0.01</v>
      </c>
      <c r="O704" s="117">
        <v>49.9</v>
      </c>
      <c r="P704" s="117">
        <v>0.2</v>
      </c>
      <c r="Q704" s="119" t="s">
        <v>43</v>
      </c>
      <c r="R704" s="117" t="s">
        <v>45</v>
      </c>
      <c r="S704" s="117">
        <v>1</v>
      </c>
    </row>
    <row r="705" spans="1:19" ht="15" x14ac:dyDescent="0.25">
      <c r="A705" s="7">
        <v>2012</v>
      </c>
      <c r="B705" s="28">
        <v>41097</v>
      </c>
      <c r="C705" s="13" t="s">
        <v>35</v>
      </c>
      <c r="D705" s="14" t="s">
        <v>36</v>
      </c>
      <c r="E705" s="13" t="s">
        <v>24</v>
      </c>
      <c r="F705" s="14" t="s">
        <v>49</v>
      </c>
      <c r="G705" s="30" t="s">
        <v>42</v>
      </c>
      <c r="H705" s="10" t="s">
        <v>55</v>
      </c>
      <c r="I705" s="106" t="s">
        <v>41</v>
      </c>
      <c r="J705" s="118">
        <v>0.50028935185185186</v>
      </c>
      <c r="K705" s="117">
        <v>86.2</v>
      </c>
      <c r="L705" s="117">
        <v>0.3</v>
      </c>
      <c r="M705" s="117">
        <v>676.3</v>
      </c>
      <c r="N705" s="117">
        <v>0.01</v>
      </c>
      <c r="O705" s="117">
        <v>49.8</v>
      </c>
      <c r="P705" s="117">
        <v>3.1</v>
      </c>
      <c r="Q705" s="119">
        <v>5</v>
      </c>
      <c r="R705" s="117" t="s">
        <v>45</v>
      </c>
      <c r="S705" s="117">
        <v>2</v>
      </c>
    </row>
    <row r="706" spans="1:19" ht="15" x14ac:dyDescent="0.25">
      <c r="A706" s="7">
        <v>2012</v>
      </c>
      <c r="B706" s="28">
        <v>41097</v>
      </c>
      <c r="C706" s="13" t="s">
        <v>35</v>
      </c>
      <c r="D706" s="14" t="s">
        <v>36</v>
      </c>
      <c r="E706" s="13" t="s">
        <v>24</v>
      </c>
      <c r="F706" s="14" t="s">
        <v>49</v>
      </c>
      <c r="G706" s="30" t="s">
        <v>42</v>
      </c>
      <c r="H706" s="10" t="s">
        <v>55</v>
      </c>
      <c r="I706" s="106" t="s">
        <v>41</v>
      </c>
      <c r="J706" s="118">
        <v>0.50040509259259258</v>
      </c>
      <c r="K706" s="117">
        <v>129.1</v>
      </c>
      <c r="L706" s="117">
        <v>0.23</v>
      </c>
      <c r="M706" s="117">
        <v>677.5</v>
      </c>
      <c r="N706" s="117">
        <v>0.01</v>
      </c>
      <c r="O706" s="117">
        <v>49.8</v>
      </c>
      <c r="P706" s="117">
        <v>2.4</v>
      </c>
      <c r="Q706" s="119">
        <v>20</v>
      </c>
      <c r="R706" s="117" t="s">
        <v>45</v>
      </c>
      <c r="S706" s="117">
        <v>2</v>
      </c>
    </row>
    <row r="707" spans="1:19" ht="15" x14ac:dyDescent="0.25">
      <c r="A707" s="7">
        <v>2012</v>
      </c>
      <c r="B707" s="28">
        <v>41097</v>
      </c>
      <c r="C707" s="13" t="s">
        <v>35</v>
      </c>
      <c r="D707" s="14" t="s">
        <v>36</v>
      </c>
      <c r="E707" s="13" t="s">
        <v>24</v>
      </c>
      <c r="F707" s="14" t="s">
        <v>49</v>
      </c>
      <c r="G707" s="30" t="s">
        <v>42</v>
      </c>
      <c r="H707" s="10" t="s">
        <v>55</v>
      </c>
      <c r="I707" s="106" t="s">
        <v>41</v>
      </c>
      <c r="J707" s="118">
        <v>0.50049768518518511</v>
      </c>
      <c r="K707" s="117">
        <v>243.5</v>
      </c>
      <c r="L707" s="117">
        <v>0.26</v>
      </c>
      <c r="M707" s="117">
        <v>678.7</v>
      </c>
      <c r="N707" s="117">
        <v>0.01</v>
      </c>
      <c r="O707" s="117">
        <v>49.8</v>
      </c>
      <c r="P707" s="117">
        <v>1.4</v>
      </c>
      <c r="Q707" s="119">
        <v>35</v>
      </c>
      <c r="R707" s="117" t="s">
        <v>45</v>
      </c>
      <c r="S707" s="117">
        <v>2</v>
      </c>
    </row>
    <row r="708" spans="1:19" ht="15" x14ac:dyDescent="0.25">
      <c r="A708" s="7">
        <v>2012</v>
      </c>
      <c r="B708" s="28">
        <v>41097</v>
      </c>
      <c r="C708" s="13" t="s">
        <v>35</v>
      </c>
      <c r="D708" s="14" t="s">
        <v>36</v>
      </c>
      <c r="E708" s="13" t="s">
        <v>24</v>
      </c>
      <c r="F708" s="14" t="s">
        <v>49</v>
      </c>
      <c r="G708" s="30" t="s">
        <v>42</v>
      </c>
      <c r="H708" s="10" t="s">
        <v>55</v>
      </c>
      <c r="I708" s="106" t="s">
        <v>41</v>
      </c>
      <c r="J708" s="118">
        <v>0.50061342592592595</v>
      </c>
      <c r="K708" s="117">
        <v>430</v>
      </c>
      <c r="L708" s="117">
        <v>0.16</v>
      </c>
      <c r="M708" s="117">
        <v>679.9</v>
      </c>
      <c r="N708" s="117">
        <v>0.02</v>
      </c>
      <c r="O708" s="117">
        <v>49.8</v>
      </c>
      <c r="P708" s="117">
        <v>0.6</v>
      </c>
      <c r="Q708" s="119">
        <v>50</v>
      </c>
      <c r="R708" s="117" t="s">
        <v>45</v>
      </c>
      <c r="S708" s="117">
        <v>2</v>
      </c>
    </row>
    <row r="709" spans="1:19" ht="15" x14ac:dyDescent="0.25">
      <c r="A709" s="7">
        <v>2012</v>
      </c>
      <c r="B709" s="28">
        <v>41097</v>
      </c>
      <c r="C709" s="13" t="s">
        <v>35</v>
      </c>
      <c r="D709" s="14" t="s">
        <v>36</v>
      </c>
      <c r="E709" s="13" t="s">
        <v>24</v>
      </c>
      <c r="F709" s="14" t="s">
        <v>49</v>
      </c>
      <c r="G709" s="30" t="s">
        <v>42</v>
      </c>
      <c r="H709" s="10" t="s">
        <v>55</v>
      </c>
      <c r="I709" s="106" t="s">
        <v>41</v>
      </c>
      <c r="J709" s="118">
        <v>0.50086805555555558</v>
      </c>
      <c r="K709" s="117">
        <v>546</v>
      </c>
      <c r="L709" s="117">
        <v>0.08</v>
      </c>
      <c r="M709" s="117">
        <v>682.4</v>
      </c>
      <c r="N709" s="117">
        <v>0.01</v>
      </c>
      <c r="O709" s="117">
        <v>49.8</v>
      </c>
      <c r="P709" s="117">
        <v>0.3</v>
      </c>
      <c r="Q709" s="119">
        <v>65</v>
      </c>
      <c r="R709" s="117" t="s">
        <v>45</v>
      </c>
      <c r="S709" s="117">
        <v>2</v>
      </c>
    </row>
    <row r="710" spans="1:19" ht="15" x14ac:dyDescent="0.25">
      <c r="A710" s="7">
        <v>2012</v>
      </c>
      <c r="B710" s="28">
        <v>41097</v>
      </c>
      <c r="C710" s="13" t="s">
        <v>35</v>
      </c>
      <c r="D710" s="14" t="s">
        <v>36</v>
      </c>
      <c r="E710" s="13" t="s">
        <v>24</v>
      </c>
      <c r="F710" s="14" t="s">
        <v>49</v>
      </c>
      <c r="G710" s="30" t="s">
        <v>42</v>
      </c>
      <c r="H710" s="10" t="s">
        <v>55</v>
      </c>
      <c r="I710" s="106" t="s">
        <v>41</v>
      </c>
      <c r="J710" s="118">
        <v>0.5010648148148148</v>
      </c>
      <c r="K710" s="117">
        <v>553.79999999999995</v>
      </c>
      <c r="L710" s="117">
        <v>0.04</v>
      </c>
      <c r="M710" s="117">
        <v>683.6</v>
      </c>
      <c r="N710" s="117">
        <v>0.01</v>
      </c>
      <c r="O710" s="117">
        <v>49.8</v>
      </c>
      <c r="P710" s="117">
        <v>0.2</v>
      </c>
      <c r="Q710" s="119">
        <v>80</v>
      </c>
      <c r="R710" s="117" t="s">
        <v>45</v>
      </c>
      <c r="S710" s="117">
        <v>2</v>
      </c>
    </row>
    <row r="711" spans="1:19" ht="15" x14ac:dyDescent="0.25">
      <c r="A711" s="7">
        <v>2012</v>
      </c>
      <c r="B711" s="28">
        <v>41097</v>
      </c>
      <c r="C711" s="13" t="s">
        <v>35</v>
      </c>
      <c r="D711" s="14" t="s">
        <v>36</v>
      </c>
      <c r="E711" s="13" t="s">
        <v>24</v>
      </c>
      <c r="F711" s="14" t="s">
        <v>49</v>
      </c>
      <c r="G711" s="30" t="s">
        <v>42</v>
      </c>
      <c r="H711" s="10" t="s">
        <v>55</v>
      </c>
      <c r="I711" s="106" t="s">
        <v>41</v>
      </c>
      <c r="J711" s="118">
        <v>0.50123842592592593</v>
      </c>
      <c r="K711" s="117">
        <v>575.1</v>
      </c>
      <c r="L711" s="117">
        <v>0.02</v>
      </c>
      <c r="M711" s="117">
        <v>683.6</v>
      </c>
      <c r="N711" s="117">
        <v>0.01</v>
      </c>
      <c r="O711" s="117">
        <v>49.7</v>
      </c>
      <c r="P711" s="117">
        <v>0.2</v>
      </c>
      <c r="Q711" s="119" t="s">
        <v>43</v>
      </c>
      <c r="R711" s="117" t="s">
        <v>45</v>
      </c>
      <c r="S711" s="117">
        <v>2</v>
      </c>
    </row>
    <row r="712" spans="1:19" ht="15" x14ac:dyDescent="0.25">
      <c r="A712" s="7">
        <v>2012</v>
      </c>
      <c r="B712" s="28">
        <v>41097</v>
      </c>
      <c r="C712" s="13" t="s">
        <v>35</v>
      </c>
      <c r="D712" s="14" t="s">
        <v>36</v>
      </c>
      <c r="E712" s="13" t="s">
        <v>24</v>
      </c>
      <c r="F712" s="14" t="s">
        <v>49</v>
      </c>
      <c r="G712" s="30" t="s">
        <v>42</v>
      </c>
      <c r="H712" s="10" t="s">
        <v>55</v>
      </c>
      <c r="I712" s="106" t="s">
        <v>41</v>
      </c>
      <c r="J712" s="118">
        <v>0.50159722222222225</v>
      </c>
      <c r="K712" s="117">
        <v>89.3</v>
      </c>
      <c r="L712" s="117">
        <v>0.32</v>
      </c>
      <c r="M712" s="117">
        <v>689.7</v>
      </c>
      <c r="N712" s="117">
        <v>0.02</v>
      </c>
      <c r="O712" s="117">
        <v>49.7</v>
      </c>
      <c r="P712" s="117">
        <v>3</v>
      </c>
      <c r="Q712" s="119">
        <v>5</v>
      </c>
      <c r="R712" s="117" t="s">
        <v>45</v>
      </c>
      <c r="S712" s="117">
        <v>3</v>
      </c>
    </row>
    <row r="713" spans="1:19" ht="15" x14ac:dyDescent="0.25">
      <c r="A713" s="7">
        <v>2012</v>
      </c>
      <c r="B713" s="28">
        <v>41097</v>
      </c>
      <c r="C713" s="13" t="s">
        <v>35</v>
      </c>
      <c r="D713" s="14" t="s">
        <v>36</v>
      </c>
      <c r="E713" s="13" t="s">
        <v>24</v>
      </c>
      <c r="F713" s="14" t="s">
        <v>49</v>
      </c>
      <c r="G713" s="30" t="s">
        <v>42</v>
      </c>
      <c r="H713" s="10" t="s">
        <v>55</v>
      </c>
      <c r="I713" s="106" t="s">
        <v>41</v>
      </c>
      <c r="J713" s="118">
        <v>0.50186342592592592</v>
      </c>
      <c r="K713" s="117">
        <v>137</v>
      </c>
      <c r="L713" s="117">
        <v>0.31</v>
      </c>
      <c r="M713" s="117">
        <v>693.4</v>
      </c>
      <c r="N713" s="117">
        <v>0.02</v>
      </c>
      <c r="O713" s="117">
        <v>49.7</v>
      </c>
      <c r="P713" s="117">
        <v>2.2999999999999998</v>
      </c>
      <c r="Q713" s="119">
        <v>20</v>
      </c>
      <c r="R713" s="117" t="s">
        <v>45</v>
      </c>
      <c r="S713" s="117">
        <v>3</v>
      </c>
    </row>
    <row r="714" spans="1:19" ht="15" x14ac:dyDescent="0.25">
      <c r="A714" s="7">
        <v>2012</v>
      </c>
      <c r="B714" s="28">
        <v>41097</v>
      </c>
      <c r="C714" s="13" t="s">
        <v>35</v>
      </c>
      <c r="D714" s="14" t="s">
        <v>36</v>
      </c>
      <c r="E714" s="13" t="s">
        <v>24</v>
      </c>
      <c r="F714" s="14" t="s">
        <v>49</v>
      </c>
      <c r="G714" s="30" t="s">
        <v>42</v>
      </c>
      <c r="H714" s="10" t="s">
        <v>55</v>
      </c>
      <c r="I714" s="106" t="s">
        <v>41</v>
      </c>
      <c r="J714" s="118">
        <v>0.50201388888888887</v>
      </c>
      <c r="K714" s="117">
        <v>212.5</v>
      </c>
      <c r="L714" s="117">
        <v>0.43</v>
      </c>
      <c r="M714" s="117">
        <v>695.8</v>
      </c>
      <c r="N714" s="117">
        <v>0.02</v>
      </c>
      <c r="O714" s="117">
        <v>49.7</v>
      </c>
      <c r="P714" s="117">
        <v>1.6</v>
      </c>
      <c r="Q714" s="119">
        <v>35</v>
      </c>
      <c r="R714" s="117" t="s">
        <v>45</v>
      </c>
      <c r="S714" s="117">
        <v>3</v>
      </c>
    </row>
    <row r="715" spans="1:19" ht="15" x14ac:dyDescent="0.25">
      <c r="A715" s="7">
        <v>2012</v>
      </c>
      <c r="B715" s="28">
        <v>41097</v>
      </c>
      <c r="C715" s="13" t="s">
        <v>35</v>
      </c>
      <c r="D715" s="14" t="s">
        <v>36</v>
      </c>
      <c r="E715" s="13" t="s">
        <v>24</v>
      </c>
      <c r="F715" s="14" t="s">
        <v>49</v>
      </c>
      <c r="G715" s="30" t="s">
        <v>42</v>
      </c>
      <c r="H715" s="10" t="s">
        <v>55</v>
      </c>
      <c r="I715" s="106" t="s">
        <v>41</v>
      </c>
      <c r="J715" s="118">
        <v>0.50215277777777778</v>
      </c>
      <c r="K715" s="117">
        <v>432.6</v>
      </c>
      <c r="L715" s="117">
        <v>0.15</v>
      </c>
      <c r="M715" s="117">
        <v>698.2</v>
      </c>
      <c r="N715" s="117">
        <v>0.02</v>
      </c>
      <c r="O715" s="117">
        <v>49.7</v>
      </c>
      <c r="P715" s="117">
        <v>0.6</v>
      </c>
      <c r="Q715" s="119">
        <v>50</v>
      </c>
      <c r="R715" s="117" t="s">
        <v>45</v>
      </c>
      <c r="S715" s="117">
        <v>3</v>
      </c>
    </row>
    <row r="716" spans="1:19" ht="15" x14ac:dyDescent="0.25">
      <c r="A716" s="7">
        <v>2012</v>
      </c>
      <c r="B716" s="28">
        <v>41097</v>
      </c>
      <c r="C716" s="13" t="s">
        <v>35</v>
      </c>
      <c r="D716" s="14" t="s">
        <v>36</v>
      </c>
      <c r="E716" s="13" t="s">
        <v>24</v>
      </c>
      <c r="F716" s="14" t="s">
        <v>49</v>
      </c>
      <c r="G716" s="30" t="s">
        <v>42</v>
      </c>
      <c r="H716" s="10" t="s">
        <v>55</v>
      </c>
      <c r="I716" s="106" t="s">
        <v>41</v>
      </c>
      <c r="J716" s="118">
        <v>0.50223379629629628</v>
      </c>
      <c r="K716" s="117">
        <v>539.79999999999995</v>
      </c>
      <c r="L716" s="117">
        <v>7.0000000000000007E-2</v>
      </c>
      <c r="M716" s="117">
        <v>700.7</v>
      </c>
      <c r="N716" s="117">
        <v>0.03</v>
      </c>
      <c r="O716" s="117">
        <v>49.7</v>
      </c>
      <c r="P716" s="117">
        <v>0.3</v>
      </c>
      <c r="Q716" s="119">
        <v>65</v>
      </c>
      <c r="R716" s="117" t="s">
        <v>45</v>
      </c>
      <c r="S716" s="117">
        <v>3</v>
      </c>
    </row>
    <row r="717" spans="1:19" ht="15" x14ac:dyDescent="0.25">
      <c r="A717" s="7">
        <v>2012</v>
      </c>
      <c r="B717" s="28">
        <v>41097</v>
      </c>
      <c r="C717" s="13" t="s">
        <v>35</v>
      </c>
      <c r="D717" s="14" t="s">
        <v>36</v>
      </c>
      <c r="E717" s="13" t="s">
        <v>24</v>
      </c>
      <c r="F717" s="14" t="s">
        <v>49</v>
      </c>
      <c r="G717" s="30" t="s">
        <v>42</v>
      </c>
      <c r="H717" s="10" t="s">
        <v>55</v>
      </c>
      <c r="I717" s="106" t="s">
        <v>41</v>
      </c>
      <c r="J717" s="118">
        <v>0.50231481481481477</v>
      </c>
      <c r="K717" s="117">
        <v>566.4</v>
      </c>
      <c r="L717" s="117">
        <v>0.05</v>
      </c>
      <c r="M717" s="117">
        <v>700.7</v>
      </c>
      <c r="N717" s="117">
        <v>0.02</v>
      </c>
      <c r="O717" s="117">
        <v>49.7</v>
      </c>
      <c r="P717" s="117">
        <v>0.2</v>
      </c>
      <c r="Q717" s="119">
        <v>80</v>
      </c>
      <c r="R717" s="117" t="s">
        <v>45</v>
      </c>
      <c r="S717" s="117">
        <v>3</v>
      </c>
    </row>
    <row r="718" spans="1:19" ht="15" x14ac:dyDescent="0.25">
      <c r="A718" s="7">
        <v>2012</v>
      </c>
      <c r="B718" s="28">
        <v>41097</v>
      </c>
      <c r="C718" s="13" t="s">
        <v>35</v>
      </c>
      <c r="D718" s="14" t="s">
        <v>36</v>
      </c>
      <c r="E718" s="13" t="s">
        <v>24</v>
      </c>
      <c r="F718" s="14" t="s">
        <v>49</v>
      </c>
      <c r="G718" s="30" t="s">
        <v>42</v>
      </c>
      <c r="H718" s="10" t="s">
        <v>55</v>
      </c>
      <c r="I718" s="106" t="s">
        <v>41</v>
      </c>
      <c r="J718" s="118">
        <v>0.50241898148148145</v>
      </c>
      <c r="K718" s="117">
        <v>585.6</v>
      </c>
      <c r="L718" s="117">
        <v>0.02</v>
      </c>
      <c r="M718" s="117">
        <v>703.1</v>
      </c>
      <c r="N718" s="117">
        <v>0.03</v>
      </c>
      <c r="O718" s="117">
        <v>49.6</v>
      </c>
      <c r="P718" s="117">
        <v>0.2</v>
      </c>
      <c r="Q718" s="119" t="s">
        <v>43</v>
      </c>
      <c r="R718" s="117" t="s">
        <v>45</v>
      </c>
      <c r="S718" s="117">
        <v>3</v>
      </c>
    </row>
    <row r="719" spans="1:19" ht="15" x14ac:dyDescent="0.25">
      <c r="A719" s="7">
        <v>2012</v>
      </c>
      <c r="B719" s="26">
        <v>41097</v>
      </c>
      <c r="C719" s="17" t="s">
        <v>35</v>
      </c>
      <c r="D719" s="18" t="s">
        <v>36</v>
      </c>
      <c r="E719" s="17" t="s">
        <v>23</v>
      </c>
      <c r="F719" s="18" t="s">
        <v>49</v>
      </c>
      <c r="G719" s="30" t="s">
        <v>42</v>
      </c>
      <c r="H719" s="10" t="s">
        <v>55</v>
      </c>
      <c r="I719" s="18" t="s">
        <v>60</v>
      </c>
      <c r="J719" s="118">
        <v>0.47827546296296292</v>
      </c>
      <c r="K719" s="117">
        <v>117.8</v>
      </c>
      <c r="L719" s="117">
        <v>0.17</v>
      </c>
      <c r="M719" s="117">
        <v>559.1</v>
      </c>
      <c r="N719" s="117">
        <v>0.02</v>
      </c>
      <c r="O719" s="117">
        <v>51.8</v>
      </c>
      <c r="P719" s="117">
        <v>2.2000000000000002</v>
      </c>
      <c r="Q719" s="117">
        <v>5</v>
      </c>
      <c r="R719" s="117" t="s">
        <v>45</v>
      </c>
      <c r="S719" s="117">
        <v>1</v>
      </c>
    </row>
    <row r="720" spans="1:19" ht="15" x14ac:dyDescent="0.25">
      <c r="A720" s="7">
        <v>2012</v>
      </c>
      <c r="B720" s="27">
        <v>41097</v>
      </c>
      <c r="C720" s="17" t="s">
        <v>35</v>
      </c>
      <c r="D720" s="18" t="s">
        <v>36</v>
      </c>
      <c r="E720" s="17" t="s">
        <v>23</v>
      </c>
      <c r="F720" s="18" t="s">
        <v>49</v>
      </c>
      <c r="G720" s="30" t="s">
        <v>42</v>
      </c>
      <c r="H720" s="10" t="s">
        <v>55</v>
      </c>
      <c r="I720" s="18" t="s">
        <v>60</v>
      </c>
      <c r="J720" s="118">
        <v>0.4788425925925926</v>
      </c>
      <c r="K720" s="117">
        <v>129.4</v>
      </c>
      <c r="L720" s="117">
        <v>0.23</v>
      </c>
      <c r="M720" s="117">
        <v>559.1</v>
      </c>
      <c r="N720" s="117">
        <v>0.01</v>
      </c>
      <c r="O720" s="117">
        <v>51.7</v>
      </c>
      <c r="P720" s="117">
        <v>2.1</v>
      </c>
      <c r="Q720" s="117">
        <v>20</v>
      </c>
      <c r="R720" s="117" t="s">
        <v>45</v>
      </c>
      <c r="S720" s="117">
        <v>1</v>
      </c>
    </row>
    <row r="721" spans="1:19" ht="15" x14ac:dyDescent="0.25">
      <c r="A721" s="7">
        <v>2012</v>
      </c>
      <c r="B721" s="27">
        <v>41097</v>
      </c>
      <c r="C721" s="17" t="s">
        <v>35</v>
      </c>
      <c r="D721" s="18" t="s">
        <v>36</v>
      </c>
      <c r="E721" s="17" t="s">
        <v>23</v>
      </c>
      <c r="F721" s="18" t="s">
        <v>49</v>
      </c>
      <c r="G721" s="30" t="s">
        <v>42</v>
      </c>
      <c r="H721" s="10" t="s">
        <v>55</v>
      </c>
      <c r="I721" s="18" t="s">
        <v>60</v>
      </c>
      <c r="J721" s="118">
        <v>0.47912037037037036</v>
      </c>
      <c r="K721" s="117">
        <v>170.1</v>
      </c>
      <c r="L721" s="117">
        <v>0.25</v>
      </c>
      <c r="M721" s="117">
        <v>561.5</v>
      </c>
      <c r="N721" s="117">
        <v>0.02</v>
      </c>
      <c r="O721" s="117">
        <v>51.7</v>
      </c>
      <c r="P721" s="117">
        <v>1.7</v>
      </c>
      <c r="Q721" s="117">
        <v>35</v>
      </c>
      <c r="R721" s="117" t="s">
        <v>45</v>
      </c>
      <c r="S721" s="117">
        <v>1</v>
      </c>
    </row>
    <row r="722" spans="1:19" ht="15" x14ac:dyDescent="0.25">
      <c r="A722" s="7">
        <v>2012</v>
      </c>
      <c r="B722" s="27">
        <v>41097</v>
      </c>
      <c r="C722" s="17" t="s">
        <v>35</v>
      </c>
      <c r="D722" s="18" t="s">
        <v>36</v>
      </c>
      <c r="E722" s="17" t="s">
        <v>23</v>
      </c>
      <c r="F722" s="18" t="s">
        <v>49</v>
      </c>
      <c r="G722" s="30" t="s">
        <v>42</v>
      </c>
      <c r="H722" s="10" t="s">
        <v>55</v>
      </c>
      <c r="I722" s="18" t="s">
        <v>60</v>
      </c>
      <c r="J722" s="118">
        <v>0.47932870370370373</v>
      </c>
      <c r="K722" s="117">
        <v>384.2</v>
      </c>
      <c r="L722" s="117">
        <v>0.13</v>
      </c>
      <c r="M722" s="117">
        <v>562.70000000000005</v>
      </c>
      <c r="N722" s="117">
        <v>0.02</v>
      </c>
      <c r="O722" s="117">
        <v>51.7</v>
      </c>
      <c r="P722" s="117">
        <v>0.5</v>
      </c>
      <c r="Q722" s="117">
        <v>50</v>
      </c>
      <c r="R722" s="117" t="s">
        <v>45</v>
      </c>
      <c r="S722" s="117">
        <v>1</v>
      </c>
    </row>
    <row r="723" spans="1:19" ht="15" x14ac:dyDescent="0.25">
      <c r="A723" s="7">
        <v>2012</v>
      </c>
      <c r="B723" s="27">
        <v>41097</v>
      </c>
      <c r="C723" s="17" t="s">
        <v>35</v>
      </c>
      <c r="D723" s="18" t="s">
        <v>36</v>
      </c>
      <c r="E723" s="17" t="s">
        <v>23</v>
      </c>
      <c r="F723" s="18" t="s">
        <v>49</v>
      </c>
      <c r="G723" s="30" t="s">
        <v>42</v>
      </c>
      <c r="H723" s="10" t="s">
        <v>55</v>
      </c>
      <c r="I723" s="18" t="s">
        <v>60</v>
      </c>
      <c r="J723" s="118">
        <v>0.47949074074074072</v>
      </c>
      <c r="K723" s="117">
        <v>449.1</v>
      </c>
      <c r="L723" s="117">
        <v>0.04</v>
      </c>
      <c r="M723" s="117">
        <v>564</v>
      </c>
      <c r="N723" s="117">
        <v>0.01</v>
      </c>
      <c r="O723" s="117">
        <v>51.7</v>
      </c>
      <c r="P723" s="117">
        <v>0.3</v>
      </c>
      <c r="Q723" s="117">
        <v>65</v>
      </c>
      <c r="R723" s="117" t="s">
        <v>45</v>
      </c>
      <c r="S723" s="117">
        <v>1</v>
      </c>
    </row>
    <row r="724" spans="1:19" ht="15" x14ac:dyDescent="0.25">
      <c r="A724" s="7">
        <v>2012</v>
      </c>
      <c r="B724" s="27">
        <v>41097</v>
      </c>
      <c r="C724" s="17" t="s">
        <v>35</v>
      </c>
      <c r="D724" s="18" t="s">
        <v>36</v>
      </c>
      <c r="E724" s="17" t="s">
        <v>23</v>
      </c>
      <c r="F724" s="18" t="s">
        <v>49</v>
      </c>
      <c r="G724" s="30" t="s">
        <v>42</v>
      </c>
      <c r="H724" s="10" t="s">
        <v>55</v>
      </c>
      <c r="I724" s="18" t="s">
        <v>60</v>
      </c>
      <c r="J724" s="118">
        <v>0.47980324074074071</v>
      </c>
      <c r="K724" s="117">
        <v>475.8</v>
      </c>
      <c r="L724" s="117">
        <v>0.03</v>
      </c>
      <c r="M724" s="117">
        <v>565.20000000000005</v>
      </c>
      <c r="N724" s="117">
        <v>0.02</v>
      </c>
      <c r="O724" s="117">
        <v>51.6</v>
      </c>
      <c r="P724" s="117">
        <v>0.2</v>
      </c>
      <c r="Q724" s="117">
        <v>80</v>
      </c>
      <c r="R724" s="117" t="s">
        <v>45</v>
      </c>
      <c r="S724" s="117">
        <v>1</v>
      </c>
    </row>
    <row r="725" spans="1:19" ht="15" x14ac:dyDescent="0.25">
      <c r="A725" s="7">
        <v>2012</v>
      </c>
      <c r="B725" s="27">
        <v>41097</v>
      </c>
      <c r="C725" s="17" t="s">
        <v>35</v>
      </c>
      <c r="D725" s="18" t="s">
        <v>36</v>
      </c>
      <c r="E725" s="17" t="s">
        <v>23</v>
      </c>
      <c r="F725" s="18" t="s">
        <v>49</v>
      </c>
      <c r="G725" s="30" t="s">
        <v>42</v>
      </c>
      <c r="H725" s="10" t="s">
        <v>55</v>
      </c>
      <c r="I725" s="18" t="s">
        <v>60</v>
      </c>
      <c r="J725" s="118">
        <v>0.48030092592592594</v>
      </c>
      <c r="K725" s="117">
        <v>106.9</v>
      </c>
      <c r="L725" s="117">
        <v>0.18</v>
      </c>
      <c r="M725" s="117">
        <v>566.4</v>
      </c>
      <c r="N725" s="117">
        <v>0.01</v>
      </c>
      <c r="O725" s="117">
        <v>51.6</v>
      </c>
      <c r="P725" s="117">
        <v>2.4</v>
      </c>
      <c r="Q725" s="117">
        <v>5</v>
      </c>
      <c r="R725" s="117" t="s">
        <v>45</v>
      </c>
      <c r="S725" s="117">
        <v>2</v>
      </c>
    </row>
    <row r="726" spans="1:19" ht="15" x14ac:dyDescent="0.25">
      <c r="A726" s="7">
        <v>2012</v>
      </c>
      <c r="B726" s="27">
        <v>41097</v>
      </c>
      <c r="C726" s="17" t="s">
        <v>35</v>
      </c>
      <c r="D726" s="18" t="s">
        <v>36</v>
      </c>
      <c r="E726" s="17" t="s">
        <v>23</v>
      </c>
      <c r="F726" s="18" t="s">
        <v>49</v>
      </c>
      <c r="G726" s="30" t="s">
        <v>42</v>
      </c>
      <c r="H726" s="10" t="s">
        <v>55</v>
      </c>
      <c r="I726" s="18" t="s">
        <v>60</v>
      </c>
      <c r="J726" s="118">
        <v>0.4805787037037037</v>
      </c>
      <c r="K726" s="117">
        <v>151.69999999999999</v>
      </c>
      <c r="L726" s="117">
        <v>0.14000000000000001</v>
      </c>
      <c r="M726" s="117">
        <v>568.79999999999995</v>
      </c>
      <c r="N726" s="117">
        <v>0.02</v>
      </c>
      <c r="O726" s="117">
        <v>51.6</v>
      </c>
      <c r="P726" s="117">
        <v>1.9</v>
      </c>
      <c r="Q726" s="117">
        <v>20</v>
      </c>
      <c r="R726" s="117" t="s">
        <v>45</v>
      </c>
      <c r="S726" s="117">
        <v>2</v>
      </c>
    </row>
    <row r="727" spans="1:19" ht="15" x14ac:dyDescent="0.25">
      <c r="A727" s="7">
        <v>2012</v>
      </c>
      <c r="B727" s="27">
        <v>41097</v>
      </c>
      <c r="C727" s="17" t="s">
        <v>35</v>
      </c>
      <c r="D727" s="18" t="s">
        <v>36</v>
      </c>
      <c r="E727" s="17" t="s">
        <v>23</v>
      </c>
      <c r="F727" s="18" t="s">
        <v>49</v>
      </c>
      <c r="G727" s="30" t="s">
        <v>42</v>
      </c>
      <c r="H727" s="10" t="s">
        <v>55</v>
      </c>
      <c r="I727" s="18" t="s">
        <v>60</v>
      </c>
      <c r="J727" s="118">
        <v>0.48074074074074075</v>
      </c>
      <c r="K727" s="117">
        <v>245.7</v>
      </c>
      <c r="L727" s="117">
        <v>0.16</v>
      </c>
      <c r="M727" s="117">
        <v>568.79999999999995</v>
      </c>
      <c r="N727" s="117">
        <v>0.02</v>
      </c>
      <c r="O727" s="117">
        <v>51.5</v>
      </c>
      <c r="P727" s="117">
        <v>1.1000000000000001</v>
      </c>
      <c r="Q727" s="117">
        <v>35</v>
      </c>
      <c r="R727" s="117" t="s">
        <v>45</v>
      </c>
      <c r="S727" s="117">
        <v>2</v>
      </c>
    </row>
    <row r="728" spans="1:19" ht="15" x14ac:dyDescent="0.25">
      <c r="A728" s="7">
        <v>2012</v>
      </c>
      <c r="B728" s="27">
        <v>41097</v>
      </c>
      <c r="C728" s="17" t="s">
        <v>35</v>
      </c>
      <c r="D728" s="18" t="s">
        <v>36</v>
      </c>
      <c r="E728" s="17" t="s">
        <v>23</v>
      </c>
      <c r="F728" s="18" t="s">
        <v>49</v>
      </c>
      <c r="G728" s="30" t="s">
        <v>42</v>
      </c>
      <c r="H728" s="10" t="s">
        <v>55</v>
      </c>
      <c r="I728" s="18" t="s">
        <v>60</v>
      </c>
      <c r="J728" s="118">
        <v>0.48083333333333328</v>
      </c>
      <c r="K728" s="117">
        <v>380.3</v>
      </c>
      <c r="L728" s="117">
        <v>0.11</v>
      </c>
      <c r="M728" s="117">
        <v>568.79999999999995</v>
      </c>
      <c r="N728" s="117">
        <v>0.01</v>
      </c>
      <c r="O728" s="117">
        <v>51.5</v>
      </c>
      <c r="P728" s="117">
        <v>0.5</v>
      </c>
      <c r="Q728" s="119">
        <v>50</v>
      </c>
      <c r="R728" s="117" t="s">
        <v>45</v>
      </c>
      <c r="S728" s="117">
        <v>2</v>
      </c>
    </row>
    <row r="729" spans="1:19" ht="15" x14ac:dyDescent="0.25">
      <c r="A729" s="7">
        <v>2012</v>
      </c>
      <c r="B729" s="27">
        <v>41097</v>
      </c>
      <c r="C729" s="17" t="s">
        <v>35</v>
      </c>
      <c r="D729" s="18" t="s">
        <v>36</v>
      </c>
      <c r="E729" s="17" t="s">
        <v>23</v>
      </c>
      <c r="F729" s="18" t="s">
        <v>49</v>
      </c>
      <c r="G729" s="30" t="s">
        <v>42</v>
      </c>
      <c r="H729" s="10" t="s">
        <v>55</v>
      </c>
      <c r="I729" s="18" t="s">
        <v>60</v>
      </c>
      <c r="J729" s="118">
        <v>0.48098379629629634</v>
      </c>
      <c r="K729" s="117">
        <v>456</v>
      </c>
      <c r="L729" s="117">
        <v>0.04</v>
      </c>
      <c r="M729" s="117">
        <v>570.1</v>
      </c>
      <c r="N729" s="117">
        <v>0.02</v>
      </c>
      <c r="O729" s="117">
        <v>51.5</v>
      </c>
      <c r="P729" s="117">
        <v>0.3</v>
      </c>
      <c r="Q729" s="119">
        <v>65</v>
      </c>
      <c r="R729" s="117" t="s">
        <v>45</v>
      </c>
      <c r="S729" s="117">
        <v>2</v>
      </c>
    </row>
    <row r="730" spans="1:19" ht="15" x14ac:dyDescent="0.25">
      <c r="A730" s="7">
        <v>2012</v>
      </c>
      <c r="B730" s="27">
        <v>41097</v>
      </c>
      <c r="C730" s="17" t="s">
        <v>35</v>
      </c>
      <c r="D730" s="18" t="s">
        <v>36</v>
      </c>
      <c r="E730" s="17" t="s">
        <v>23</v>
      </c>
      <c r="F730" s="18" t="s">
        <v>49</v>
      </c>
      <c r="G730" s="30" t="s">
        <v>42</v>
      </c>
      <c r="H730" s="10" t="s">
        <v>55</v>
      </c>
      <c r="I730" s="18" t="s">
        <v>60</v>
      </c>
      <c r="J730" s="118">
        <v>0.48114583333333333</v>
      </c>
      <c r="K730" s="117">
        <v>477.3</v>
      </c>
      <c r="L730" s="117">
        <v>0.03</v>
      </c>
      <c r="M730" s="117">
        <v>568.79999999999995</v>
      </c>
      <c r="N730" s="117">
        <v>0.01</v>
      </c>
      <c r="O730" s="117">
        <v>51.5</v>
      </c>
      <c r="P730" s="117">
        <v>0.2</v>
      </c>
      <c r="Q730" s="119">
        <v>80</v>
      </c>
      <c r="R730" s="117" t="s">
        <v>45</v>
      </c>
      <c r="S730" s="117">
        <v>2</v>
      </c>
    </row>
    <row r="731" spans="1:19" ht="15" x14ac:dyDescent="0.25">
      <c r="A731" s="7">
        <v>2012</v>
      </c>
      <c r="B731" s="27">
        <v>41097</v>
      </c>
      <c r="C731" s="17" t="s">
        <v>35</v>
      </c>
      <c r="D731" s="18" t="s">
        <v>36</v>
      </c>
      <c r="E731" s="17" t="s">
        <v>23</v>
      </c>
      <c r="F731" s="18" t="s">
        <v>49</v>
      </c>
      <c r="G731" s="30" t="s">
        <v>42</v>
      </c>
      <c r="H731" s="10" t="s">
        <v>55</v>
      </c>
      <c r="I731" s="18" t="s">
        <v>60</v>
      </c>
      <c r="J731" s="118">
        <v>0.48160879629629627</v>
      </c>
      <c r="K731" s="117">
        <v>86.7</v>
      </c>
      <c r="L731" s="117">
        <v>0.17</v>
      </c>
      <c r="M731" s="117">
        <v>568.79999999999995</v>
      </c>
      <c r="N731" s="117">
        <v>0.02</v>
      </c>
      <c r="O731" s="117">
        <v>51.5</v>
      </c>
      <c r="P731" s="117">
        <v>2.8</v>
      </c>
      <c r="Q731" s="119">
        <v>5</v>
      </c>
      <c r="R731" s="117" t="s">
        <v>45</v>
      </c>
      <c r="S731" s="117">
        <v>3</v>
      </c>
    </row>
    <row r="732" spans="1:19" ht="15" x14ac:dyDescent="0.25">
      <c r="A732" s="7">
        <v>2012</v>
      </c>
      <c r="B732" s="27">
        <v>41097</v>
      </c>
      <c r="C732" s="17" t="s">
        <v>35</v>
      </c>
      <c r="D732" s="18" t="s">
        <v>36</v>
      </c>
      <c r="E732" s="17" t="s">
        <v>23</v>
      </c>
      <c r="F732" s="18" t="s">
        <v>49</v>
      </c>
      <c r="G732" s="30" t="s">
        <v>42</v>
      </c>
      <c r="H732" s="10" t="s">
        <v>55</v>
      </c>
      <c r="I732" s="18" t="s">
        <v>60</v>
      </c>
      <c r="J732" s="118">
        <v>0.48186342592592596</v>
      </c>
      <c r="K732" s="117">
        <v>113</v>
      </c>
      <c r="L732" s="117">
        <v>0.17</v>
      </c>
      <c r="M732" s="117">
        <v>565.20000000000005</v>
      </c>
      <c r="N732" s="117">
        <v>0.02</v>
      </c>
      <c r="O732" s="117">
        <v>51.4</v>
      </c>
      <c r="P732" s="117">
        <v>2.2999999999999998</v>
      </c>
      <c r="Q732" s="119">
        <v>20</v>
      </c>
      <c r="R732" s="117" t="s">
        <v>45</v>
      </c>
      <c r="S732" s="117">
        <v>3</v>
      </c>
    </row>
    <row r="733" spans="1:19" ht="15" x14ac:dyDescent="0.25">
      <c r="A733" s="7">
        <v>2012</v>
      </c>
      <c r="B733" s="27">
        <v>41097</v>
      </c>
      <c r="C733" s="17" t="s">
        <v>35</v>
      </c>
      <c r="D733" s="18" t="s">
        <v>36</v>
      </c>
      <c r="E733" s="17" t="s">
        <v>23</v>
      </c>
      <c r="F733" s="18" t="s">
        <v>49</v>
      </c>
      <c r="G733" s="30" t="s">
        <v>42</v>
      </c>
      <c r="H733" s="10" t="s">
        <v>55</v>
      </c>
      <c r="I733" s="18" t="s">
        <v>60</v>
      </c>
      <c r="J733" s="118">
        <v>0.48218749999999999</v>
      </c>
      <c r="K733" s="117">
        <v>179.2</v>
      </c>
      <c r="L733" s="117">
        <v>0.21</v>
      </c>
      <c r="M733" s="117">
        <v>564</v>
      </c>
      <c r="N733" s="117">
        <v>0.01</v>
      </c>
      <c r="O733" s="117">
        <v>51.4</v>
      </c>
      <c r="P733" s="117">
        <v>1.6</v>
      </c>
      <c r="Q733" s="119">
        <v>35</v>
      </c>
      <c r="R733" s="117" t="s">
        <v>45</v>
      </c>
      <c r="S733" s="117">
        <v>3</v>
      </c>
    </row>
    <row r="734" spans="1:19" ht="15" x14ac:dyDescent="0.25">
      <c r="A734" s="7">
        <v>2012</v>
      </c>
      <c r="B734" s="27">
        <v>41097</v>
      </c>
      <c r="C734" s="17" t="s">
        <v>35</v>
      </c>
      <c r="D734" s="18" t="s">
        <v>36</v>
      </c>
      <c r="E734" s="17" t="s">
        <v>23</v>
      </c>
      <c r="F734" s="18" t="s">
        <v>49</v>
      </c>
      <c r="G734" s="30" t="s">
        <v>42</v>
      </c>
      <c r="H734" s="10" t="s">
        <v>55</v>
      </c>
      <c r="I734" s="18" t="s">
        <v>60</v>
      </c>
      <c r="J734" s="118">
        <v>0.4824074074074074</v>
      </c>
      <c r="K734" s="117">
        <v>283.39999999999998</v>
      </c>
      <c r="L734" s="117">
        <v>0.2</v>
      </c>
      <c r="M734" s="117">
        <v>564</v>
      </c>
      <c r="N734" s="117">
        <v>0.01</v>
      </c>
      <c r="O734" s="117">
        <v>51.4</v>
      </c>
      <c r="P734" s="117">
        <v>0.9</v>
      </c>
      <c r="Q734" s="119">
        <v>50</v>
      </c>
      <c r="R734" s="117" t="s">
        <v>45</v>
      </c>
      <c r="S734" s="117">
        <v>3</v>
      </c>
    </row>
    <row r="735" spans="1:19" ht="15" x14ac:dyDescent="0.25">
      <c r="A735" s="7">
        <v>2012</v>
      </c>
      <c r="B735" s="27">
        <v>41097</v>
      </c>
      <c r="C735" s="17" t="s">
        <v>35</v>
      </c>
      <c r="D735" s="18" t="s">
        <v>36</v>
      </c>
      <c r="E735" s="17" t="s">
        <v>23</v>
      </c>
      <c r="F735" s="18" t="s">
        <v>49</v>
      </c>
      <c r="G735" s="30" t="s">
        <v>42</v>
      </c>
      <c r="H735" s="10" t="s">
        <v>55</v>
      </c>
      <c r="I735" s="18" t="s">
        <v>60</v>
      </c>
      <c r="J735" s="118">
        <v>0.48254629629629631</v>
      </c>
      <c r="K735" s="117">
        <v>442.3</v>
      </c>
      <c r="L735" s="117">
        <v>0.04</v>
      </c>
      <c r="M735" s="117">
        <v>565.20000000000005</v>
      </c>
      <c r="N735" s="117">
        <v>0.02</v>
      </c>
      <c r="O735" s="117">
        <v>51.4</v>
      </c>
      <c r="P735" s="117">
        <v>0.3</v>
      </c>
      <c r="Q735" s="119">
        <v>65</v>
      </c>
      <c r="R735" s="117" t="s">
        <v>45</v>
      </c>
      <c r="S735" s="117">
        <v>3</v>
      </c>
    </row>
    <row r="736" spans="1:19" ht="15" x14ac:dyDescent="0.25">
      <c r="A736" s="7">
        <v>2012</v>
      </c>
      <c r="B736" s="27">
        <v>41097</v>
      </c>
      <c r="C736" s="17" t="s">
        <v>35</v>
      </c>
      <c r="D736" s="18" t="s">
        <v>36</v>
      </c>
      <c r="E736" s="17" t="s">
        <v>23</v>
      </c>
      <c r="F736" s="18" t="s">
        <v>49</v>
      </c>
      <c r="G736" s="30" t="s">
        <v>42</v>
      </c>
      <c r="H736" s="10" t="s">
        <v>55</v>
      </c>
      <c r="I736" s="18" t="s">
        <v>60</v>
      </c>
      <c r="J736" s="118">
        <v>0.48335648148148147</v>
      </c>
      <c r="K736" s="117">
        <v>463.6</v>
      </c>
      <c r="L736" s="117">
        <v>0.03</v>
      </c>
      <c r="M736" s="117">
        <v>557.9</v>
      </c>
      <c r="N736" s="117">
        <v>0.02</v>
      </c>
      <c r="O736" s="117">
        <v>51.3</v>
      </c>
      <c r="P736" s="117">
        <v>0.2</v>
      </c>
      <c r="Q736" s="119">
        <v>80</v>
      </c>
      <c r="R736" s="117" t="s">
        <v>45</v>
      </c>
      <c r="S736" s="117">
        <v>3</v>
      </c>
    </row>
    <row r="737" spans="1:19" ht="15" x14ac:dyDescent="0.25">
      <c r="A737" s="7">
        <v>2012</v>
      </c>
      <c r="B737" s="27">
        <v>41097</v>
      </c>
      <c r="C737" s="17" t="s">
        <v>35</v>
      </c>
      <c r="D737" s="18" t="s">
        <v>36</v>
      </c>
      <c r="E737" s="18" t="s">
        <v>22</v>
      </c>
      <c r="F737" s="18" t="s">
        <v>49</v>
      </c>
      <c r="G737" s="30" t="s">
        <v>42</v>
      </c>
      <c r="H737" s="10" t="s">
        <v>55</v>
      </c>
      <c r="I737" s="106" t="s">
        <v>41</v>
      </c>
      <c r="J737" s="118">
        <v>0.39556712962962964</v>
      </c>
      <c r="K737" s="117">
        <v>25.5</v>
      </c>
      <c r="L737" s="117">
        <v>0.75</v>
      </c>
      <c r="M737" s="117">
        <v>532.20000000000005</v>
      </c>
      <c r="N737" s="117">
        <v>0.01</v>
      </c>
      <c r="O737" s="117">
        <v>60.6</v>
      </c>
      <c r="P737" s="117">
        <v>4.8</v>
      </c>
      <c r="Q737" s="117">
        <v>5</v>
      </c>
      <c r="R737" s="117" t="s">
        <v>47</v>
      </c>
      <c r="S737" s="117">
        <v>1</v>
      </c>
    </row>
    <row r="738" spans="1:19" ht="15" x14ac:dyDescent="0.25">
      <c r="A738" s="7">
        <v>2012</v>
      </c>
      <c r="B738" s="27">
        <v>41097</v>
      </c>
      <c r="C738" s="17" t="s">
        <v>35</v>
      </c>
      <c r="D738" s="18" t="s">
        <v>36</v>
      </c>
      <c r="E738" s="18" t="s">
        <v>22</v>
      </c>
      <c r="F738" s="18" t="s">
        <v>49</v>
      </c>
      <c r="G738" s="30" t="s">
        <v>42</v>
      </c>
      <c r="H738" s="10" t="s">
        <v>55</v>
      </c>
      <c r="I738" s="106" t="s">
        <v>41</v>
      </c>
      <c r="J738" s="118">
        <v>0.39594907407407409</v>
      </c>
      <c r="K738" s="117">
        <v>30.8</v>
      </c>
      <c r="L738" s="117">
        <v>0.85</v>
      </c>
      <c r="M738" s="117">
        <v>534.70000000000005</v>
      </c>
      <c r="N738" s="117">
        <v>0.01</v>
      </c>
      <c r="O738" s="117">
        <v>60.5</v>
      </c>
      <c r="P738" s="117">
        <v>4.4000000000000004</v>
      </c>
      <c r="Q738" s="117">
        <v>20</v>
      </c>
      <c r="R738" s="117" t="s">
        <v>45</v>
      </c>
      <c r="S738" s="117">
        <v>1</v>
      </c>
    </row>
    <row r="739" spans="1:19" ht="15" x14ac:dyDescent="0.25">
      <c r="A739" s="7">
        <v>2012</v>
      </c>
      <c r="B739" s="27">
        <v>41097</v>
      </c>
      <c r="C739" s="17" t="s">
        <v>35</v>
      </c>
      <c r="D739" s="18" t="s">
        <v>36</v>
      </c>
      <c r="E739" s="18" t="s">
        <v>22</v>
      </c>
      <c r="F739" s="18" t="s">
        <v>49</v>
      </c>
      <c r="G739" s="30" t="s">
        <v>42</v>
      </c>
      <c r="H739" s="10" t="s">
        <v>55</v>
      </c>
      <c r="I739" s="106" t="s">
        <v>41</v>
      </c>
      <c r="J739" s="118">
        <v>0.39637731481481481</v>
      </c>
      <c r="K739" s="117">
        <v>87</v>
      </c>
      <c r="L739" s="117">
        <v>0.3</v>
      </c>
      <c r="M739" s="117">
        <v>537.1</v>
      </c>
      <c r="N739" s="117">
        <v>0.01</v>
      </c>
      <c r="O739" s="117">
        <v>60.5</v>
      </c>
      <c r="P739" s="117">
        <v>2.6</v>
      </c>
      <c r="Q739" s="117">
        <v>35</v>
      </c>
      <c r="R739" s="117" t="s">
        <v>45</v>
      </c>
      <c r="S739" s="117">
        <v>1</v>
      </c>
    </row>
    <row r="740" spans="1:19" ht="15" x14ac:dyDescent="0.25">
      <c r="A740" s="7">
        <v>2012</v>
      </c>
      <c r="B740" s="27">
        <v>41097</v>
      </c>
      <c r="C740" s="17" t="s">
        <v>35</v>
      </c>
      <c r="D740" s="18" t="s">
        <v>36</v>
      </c>
      <c r="E740" s="18" t="s">
        <v>22</v>
      </c>
      <c r="F740" s="18" t="s">
        <v>49</v>
      </c>
      <c r="G740" s="30" t="s">
        <v>42</v>
      </c>
      <c r="H740" s="10" t="s">
        <v>55</v>
      </c>
      <c r="I740" s="106" t="s">
        <v>41</v>
      </c>
      <c r="J740" s="118">
        <v>0.39664351851851848</v>
      </c>
      <c r="K740" s="117">
        <v>187.3</v>
      </c>
      <c r="L740" s="117">
        <v>0.23</v>
      </c>
      <c r="M740" s="117">
        <v>539.6</v>
      </c>
      <c r="N740" s="117">
        <v>0.01</v>
      </c>
      <c r="O740" s="117">
        <v>60.4</v>
      </c>
      <c r="P740" s="117">
        <v>1.4</v>
      </c>
      <c r="Q740" s="117">
        <v>50</v>
      </c>
      <c r="R740" s="117" t="s">
        <v>45</v>
      </c>
      <c r="S740" s="117">
        <v>1</v>
      </c>
    </row>
    <row r="741" spans="1:19" ht="15" x14ac:dyDescent="0.25">
      <c r="A741" s="7">
        <v>2012</v>
      </c>
      <c r="B741" s="27">
        <v>41097</v>
      </c>
      <c r="C741" s="17" t="s">
        <v>35</v>
      </c>
      <c r="D741" s="18" t="s">
        <v>36</v>
      </c>
      <c r="E741" s="18" t="s">
        <v>22</v>
      </c>
      <c r="F741" s="18" t="s">
        <v>49</v>
      </c>
      <c r="G741" s="30" t="s">
        <v>42</v>
      </c>
      <c r="H741" s="10" t="s">
        <v>55</v>
      </c>
      <c r="I741" s="106" t="s">
        <v>41</v>
      </c>
      <c r="J741" s="118">
        <v>0.39700231481481479</v>
      </c>
      <c r="K741" s="117">
        <v>314.60000000000002</v>
      </c>
      <c r="L741" s="117">
        <v>0.16</v>
      </c>
      <c r="M741" s="117">
        <v>540.79999999999995</v>
      </c>
      <c r="N741" s="117">
        <v>0.02</v>
      </c>
      <c r="O741" s="117">
        <v>60.4</v>
      </c>
      <c r="P741" s="117">
        <v>0.7</v>
      </c>
      <c r="Q741" s="117">
        <v>65</v>
      </c>
      <c r="R741" s="117" t="s">
        <v>45</v>
      </c>
      <c r="S741" s="117">
        <v>1</v>
      </c>
    </row>
    <row r="742" spans="1:19" ht="15" x14ac:dyDescent="0.25">
      <c r="A742" s="7">
        <v>2012</v>
      </c>
      <c r="B742" s="27">
        <v>41097</v>
      </c>
      <c r="C742" s="17" t="s">
        <v>35</v>
      </c>
      <c r="D742" s="18" t="s">
        <v>36</v>
      </c>
      <c r="E742" s="18" t="s">
        <v>22</v>
      </c>
      <c r="F742" s="18" t="s">
        <v>49</v>
      </c>
      <c r="G742" s="30" t="s">
        <v>42</v>
      </c>
      <c r="H742" s="10" t="s">
        <v>55</v>
      </c>
      <c r="I742" s="106" t="s">
        <v>41</v>
      </c>
      <c r="J742" s="118">
        <v>0.39754629629629629</v>
      </c>
      <c r="K742" s="117">
        <v>446.9</v>
      </c>
      <c r="L742" s="117">
        <v>0.03</v>
      </c>
      <c r="M742" s="117">
        <v>535.9</v>
      </c>
      <c r="N742" s="117">
        <v>0.02</v>
      </c>
      <c r="O742" s="117">
        <v>60.3</v>
      </c>
      <c r="P742" s="117">
        <v>0.2</v>
      </c>
      <c r="Q742" s="117">
        <v>85</v>
      </c>
      <c r="R742" s="117" t="s">
        <v>45</v>
      </c>
      <c r="S742" s="117">
        <v>1</v>
      </c>
    </row>
    <row r="743" spans="1:19" ht="15" x14ac:dyDescent="0.25">
      <c r="A743" s="7">
        <v>2012</v>
      </c>
      <c r="B743" s="27">
        <v>41097</v>
      </c>
      <c r="C743" s="17" t="s">
        <v>35</v>
      </c>
      <c r="D743" s="18" t="s">
        <v>36</v>
      </c>
      <c r="E743" s="18" t="s">
        <v>22</v>
      </c>
      <c r="F743" s="18" t="s">
        <v>49</v>
      </c>
      <c r="G743" s="30" t="s">
        <v>42</v>
      </c>
      <c r="H743" s="10" t="s">
        <v>55</v>
      </c>
      <c r="I743" s="106" t="s">
        <v>41</v>
      </c>
      <c r="J743" s="118">
        <v>0.39850694444444446</v>
      </c>
      <c r="K743" s="117">
        <v>46.2</v>
      </c>
      <c r="L743" s="117">
        <v>0.67</v>
      </c>
      <c r="M743" s="117">
        <v>538.29999999999995</v>
      </c>
      <c r="N743" s="117">
        <v>0.02</v>
      </c>
      <c r="O743" s="117">
        <v>60.2</v>
      </c>
      <c r="P743" s="117">
        <v>3.7</v>
      </c>
      <c r="Q743" s="117">
        <v>5</v>
      </c>
      <c r="R743" s="117" t="s">
        <v>47</v>
      </c>
      <c r="S743" s="117">
        <v>3</v>
      </c>
    </row>
    <row r="744" spans="1:19" ht="15" x14ac:dyDescent="0.25">
      <c r="A744" s="7">
        <v>2012</v>
      </c>
      <c r="B744" s="27">
        <v>41097</v>
      </c>
      <c r="C744" s="17" t="s">
        <v>35</v>
      </c>
      <c r="D744" s="18" t="s">
        <v>36</v>
      </c>
      <c r="E744" s="18" t="s">
        <v>22</v>
      </c>
      <c r="F744" s="18" t="s">
        <v>49</v>
      </c>
      <c r="G744" s="30" t="s">
        <v>42</v>
      </c>
      <c r="H744" s="10" t="s">
        <v>55</v>
      </c>
      <c r="I744" s="106" t="s">
        <v>41</v>
      </c>
      <c r="J744" s="118">
        <v>0.3988888888888889</v>
      </c>
      <c r="K744" s="117">
        <v>74.5</v>
      </c>
      <c r="L744" s="117">
        <v>0.31</v>
      </c>
      <c r="M744" s="117">
        <v>537.1</v>
      </c>
      <c r="N744" s="117">
        <v>0.01</v>
      </c>
      <c r="O744" s="117">
        <v>60.1</v>
      </c>
      <c r="P744" s="117">
        <v>2.9</v>
      </c>
      <c r="Q744" s="117">
        <v>20</v>
      </c>
      <c r="R744" s="117" t="s">
        <v>47</v>
      </c>
      <c r="S744" s="117">
        <v>2</v>
      </c>
    </row>
    <row r="745" spans="1:19" ht="15" x14ac:dyDescent="0.25">
      <c r="A745" s="7">
        <v>2012</v>
      </c>
      <c r="B745" s="27">
        <v>41097</v>
      </c>
      <c r="C745" s="17" t="s">
        <v>35</v>
      </c>
      <c r="D745" s="18" t="s">
        <v>36</v>
      </c>
      <c r="E745" s="18" t="s">
        <v>22</v>
      </c>
      <c r="F745" s="18" t="s">
        <v>49</v>
      </c>
      <c r="G745" s="30" t="s">
        <v>42</v>
      </c>
      <c r="H745" s="10" t="s">
        <v>55</v>
      </c>
      <c r="I745" s="106" t="s">
        <v>41</v>
      </c>
      <c r="J745" s="118">
        <v>0.39920138888888884</v>
      </c>
      <c r="K745" s="117">
        <v>100.5</v>
      </c>
      <c r="L745" s="117">
        <v>0.22</v>
      </c>
      <c r="M745" s="117">
        <v>542</v>
      </c>
      <c r="N745" s="117">
        <v>0.02</v>
      </c>
      <c r="O745" s="117">
        <v>60.1</v>
      </c>
      <c r="P745" s="117">
        <v>2.4</v>
      </c>
      <c r="Q745" s="117">
        <v>35</v>
      </c>
      <c r="R745" s="117" t="s">
        <v>45</v>
      </c>
      <c r="S745" s="117">
        <v>2</v>
      </c>
    </row>
    <row r="746" spans="1:19" ht="15" x14ac:dyDescent="0.25">
      <c r="A746" s="7">
        <v>2012</v>
      </c>
      <c r="B746" s="27">
        <v>41097</v>
      </c>
      <c r="C746" s="17" t="s">
        <v>35</v>
      </c>
      <c r="D746" s="18" t="s">
        <v>36</v>
      </c>
      <c r="E746" s="18" t="s">
        <v>22</v>
      </c>
      <c r="F746" s="18" t="s">
        <v>49</v>
      </c>
      <c r="G746" s="30" t="s">
        <v>42</v>
      </c>
      <c r="H746" s="10" t="s">
        <v>55</v>
      </c>
      <c r="I746" s="106" t="s">
        <v>41</v>
      </c>
      <c r="J746" s="118">
        <v>0.39938657407407407</v>
      </c>
      <c r="K746" s="117">
        <v>187.2</v>
      </c>
      <c r="L746" s="117">
        <v>0.33</v>
      </c>
      <c r="M746" s="117">
        <v>548.1</v>
      </c>
      <c r="N746" s="117">
        <v>0.02</v>
      </c>
      <c r="O746" s="117">
        <v>60.1</v>
      </c>
      <c r="P746" s="117">
        <v>1.5</v>
      </c>
      <c r="Q746" s="117">
        <v>50</v>
      </c>
      <c r="R746" s="117" t="s">
        <v>45</v>
      </c>
      <c r="S746" s="117">
        <v>2</v>
      </c>
    </row>
    <row r="747" spans="1:19" ht="15" x14ac:dyDescent="0.25">
      <c r="A747" s="7">
        <v>2012</v>
      </c>
      <c r="B747" s="27">
        <v>41097</v>
      </c>
      <c r="C747" s="17" t="s">
        <v>35</v>
      </c>
      <c r="D747" s="18" t="s">
        <v>36</v>
      </c>
      <c r="E747" s="18" t="s">
        <v>22</v>
      </c>
      <c r="F747" s="18" t="s">
        <v>49</v>
      </c>
      <c r="G747" s="30" t="s">
        <v>42</v>
      </c>
      <c r="H747" s="10" t="s">
        <v>55</v>
      </c>
      <c r="I747" s="106" t="s">
        <v>41</v>
      </c>
      <c r="J747" s="118">
        <v>0.39962962962962961</v>
      </c>
      <c r="K747" s="117">
        <v>367.8</v>
      </c>
      <c r="L747" s="117">
        <v>0.13</v>
      </c>
      <c r="M747" s="117">
        <v>560.29999999999995</v>
      </c>
      <c r="N747" s="117">
        <v>0.02</v>
      </c>
      <c r="O747" s="117">
        <v>60</v>
      </c>
      <c r="P747" s="117">
        <v>0.5</v>
      </c>
      <c r="Q747" s="117">
        <v>65</v>
      </c>
      <c r="R747" s="117" t="s">
        <v>45</v>
      </c>
      <c r="S747" s="117">
        <v>2</v>
      </c>
    </row>
    <row r="748" spans="1:19" ht="15" x14ac:dyDescent="0.25">
      <c r="A748" s="7">
        <v>2012</v>
      </c>
      <c r="B748" s="27">
        <v>41097</v>
      </c>
      <c r="C748" s="17" t="s">
        <v>35</v>
      </c>
      <c r="D748" s="18" t="s">
        <v>36</v>
      </c>
      <c r="E748" s="18" t="s">
        <v>22</v>
      </c>
      <c r="F748" s="18" t="s">
        <v>49</v>
      </c>
      <c r="G748" s="30" t="s">
        <v>42</v>
      </c>
      <c r="H748" s="10" t="s">
        <v>55</v>
      </c>
      <c r="I748" s="106" t="s">
        <v>41</v>
      </c>
      <c r="J748" s="118">
        <v>0.39984953703703702</v>
      </c>
      <c r="K748" s="117">
        <v>482.1</v>
      </c>
      <c r="L748" s="117">
        <v>0.02</v>
      </c>
      <c r="M748" s="117">
        <v>571.29999999999995</v>
      </c>
      <c r="N748" s="117">
        <v>0.01</v>
      </c>
      <c r="O748" s="117">
        <v>60</v>
      </c>
      <c r="P748" s="117">
        <v>0.2</v>
      </c>
      <c r="Q748" s="117">
        <v>85</v>
      </c>
      <c r="R748" s="117" t="s">
        <v>45</v>
      </c>
      <c r="S748" s="117">
        <v>3</v>
      </c>
    </row>
    <row r="749" spans="1:19" ht="15" x14ac:dyDescent="0.25">
      <c r="A749" s="7">
        <v>2012</v>
      </c>
      <c r="B749" s="27">
        <v>41097</v>
      </c>
      <c r="C749" s="17" t="s">
        <v>35</v>
      </c>
      <c r="D749" s="18" t="s">
        <v>36</v>
      </c>
      <c r="E749" s="18" t="s">
        <v>22</v>
      </c>
      <c r="F749" s="18" t="s">
        <v>49</v>
      </c>
      <c r="G749" s="30" t="s">
        <v>42</v>
      </c>
      <c r="H749" s="10" t="s">
        <v>55</v>
      </c>
      <c r="I749" s="106" t="s">
        <v>41</v>
      </c>
      <c r="J749" s="118">
        <v>0.40049768518518519</v>
      </c>
      <c r="K749" s="117">
        <v>35.200000000000003</v>
      </c>
      <c r="L749" s="117">
        <v>0.66</v>
      </c>
      <c r="M749" s="117">
        <v>605.5</v>
      </c>
      <c r="N749" s="117">
        <v>0.02</v>
      </c>
      <c r="O749" s="117">
        <v>59.9</v>
      </c>
      <c r="P749" s="117">
        <v>4.4000000000000004</v>
      </c>
      <c r="Q749" s="117">
        <v>5</v>
      </c>
      <c r="R749" s="117" t="s">
        <v>47</v>
      </c>
      <c r="S749" s="117">
        <v>2</v>
      </c>
    </row>
    <row r="750" spans="1:19" ht="15" x14ac:dyDescent="0.25">
      <c r="A750" s="7">
        <v>2012</v>
      </c>
      <c r="B750" s="27">
        <v>41097</v>
      </c>
      <c r="C750" s="19" t="s">
        <v>35</v>
      </c>
      <c r="D750" s="20" t="s">
        <v>36</v>
      </c>
      <c r="E750" s="20" t="s">
        <v>22</v>
      </c>
      <c r="F750" s="20" t="s">
        <v>49</v>
      </c>
      <c r="G750" s="30" t="s">
        <v>42</v>
      </c>
      <c r="H750" s="10" t="s">
        <v>55</v>
      </c>
      <c r="I750" s="110" t="s">
        <v>41</v>
      </c>
      <c r="J750" s="118">
        <v>0.40097222222222223</v>
      </c>
      <c r="K750" s="117">
        <v>56.8</v>
      </c>
      <c r="L750" s="117">
        <v>0.57999999999999996</v>
      </c>
      <c r="M750" s="117">
        <v>622.6</v>
      </c>
      <c r="N750" s="117">
        <v>0.02</v>
      </c>
      <c r="O750" s="117">
        <v>59.9</v>
      </c>
      <c r="P750" s="117">
        <v>3.6</v>
      </c>
      <c r="Q750" s="117">
        <v>20</v>
      </c>
      <c r="R750" s="117" t="s">
        <v>45</v>
      </c>
      <c r="S750" s="117">
        <v>3</v>
      </c>
    </row>
    <row r="751" spans="1:19" ht="15" x14ac:dyDescent="0.25">
      <c r="A751" s="7">
        <v>2012</v>
      </c>
      <c r="B751" s="27">
        <v>41097</v>
      </c>
      <c r="C751" s="17" t="s">
        <v>35</v>
      </c>
      <c r="D751" s="18" t="s">
        <v>36</v>
      </c>
      <c r="E751" s="18" t="s">
        <v>22</v>
      </c>
      <c r="F751" s="18" t="s">
        <v>49</v>
      </c>
      <c r="G751" s="30" t="s">
        <v>42</v>
      </c>
      <c r="H751" s="10" t="s">
        <v>55</v>
      </c>
      <c r="I751" s="106" t="s">
        <v>41</v>
      </c>
      <c r="J751" s="118">
        <v>0.40115740740740741</v>
      </c>
      <c r="K751" s="117">
        <v>109.9</v>
      </c>
      <c r="L751" s="117">
        <v>0.17</v>
      </c>
      <c r="M751" s="117">
        <v>625</v>
      </c>
      <c r="N751" s="117">
        <v>0.02</v>
      </c>
      <c r="O751" s="117">
        <v>59.9</v>
      </c>
      <c r="P751" s="117">
        <v>2.5</v>
      </c>
      <c r="Q751" s="117">
        <v>35</v>
      </c>
      <c r="R751" s="117" t="s">
        <v>45</v>
      </c>
      <c r="S751" s="117">
        <v>3</v>
      </c>
    </row>
    <row r="752" spans="1:19" ht="15" x14ac:dyDescent="0.25">
      <c r="A752" s="7">
        <v>2012</v>
      </c>
      <c r="B752" s="27">
        <v>41097</v>
      </c>
      <c r="C752" s="17" t="s">
        <v>35</v>
      </c>
      <c r="D752" s="18" t="s">
        <v>36</v>
      </c>
      <c r="E752" s="18" t="s">
        <v>22</v>
      </c>
      <c r="F752" s="18" t="s">
        <v>49</v>
      </c>
      <c r="G752" s="30" t="s">
        <v>42</v>
      </c>
      <c r="H752" s="10" t="s">
        <v>55</v>
      </c>
      <c r="I752" s="106" t="s">
        <v>41</v>
      </c>
      <c r="J752" s="118">
        <v>0.401400462962963</v>
      </c>
      <c r="K752" s="117">
        <v>210</v>
      </c>
      <c r="L752" s="117">
        <v>0.33</v>
      </c>
      <c r="M752" s="117">
        <v>629.9</v>
      </c>
      <c r="N752" s="117">
        <v>0.02</v>
      </c>
      <c r="O752" s="117">
        <v>59.8</v>
      </c>
      <c r="P752" s="117">
        <v>1.5</v>
      </c>
      <c r="Q752" s="117">
        <v>50</v>
      </c>
      <c r="R752" s="117" t="s">
        <v>45</v>
      </c>
      <c r="S752" s="117">
        <v>3</v>
      </c>
    </row>
    <row r="753" spans="1:19" ht="15" x14ac:dyDescent="0.25">
      <c r="A753" s="7">
        <v>2012</v>
      </c>
      <c r="B753" s="27">
        <v>41097</v>
      </c>
      <c r="C753" s="17" t="s">
        <v>35</v>
      </c>
      <c r="D753" s="18" t="s">
        <v>36</v>
      </c>
      <c r="E753" s="18" t="s">
        <v>22</v>
      </c>
      <c r="F753" s="18" t="s">
        <v>49</v>
      </c>
      <c r="G753" s="30" t="s">
        <v>42</v>
      </c>
      <c r="H753" s="10" t="s">
        <v>55</v>
      </c>
      <c r="I753" s="106" t="s">
        <v>41</v>
      </c>
      <c r="J753" s="118">
        <v>0.4015393518518518</v>
      </c>
      <c r="K753" s="117">
        <v>367.9</v>
      </c>
      <c r="L753" s="117">
        <v>0.08</v>
      </c>
      <c r="M753" s="117">
        <v>629.9</v>
      </c>
      <c r="N753" s="117">
        <v>0.02</v>
      </c>
      <c r="O753" s="117">
        <v>59.8</v>
      </c>
      <c r="P753" s="117">
        <v>0.7</v>
      </c>
      <c r="Q753" s="117">
        <v>65</v>
      </c>
      <c r="R753" s="117" t="s">
        <v>45</v>
      </c>
      <c r="S753" s="117">
        <v>3</v>
      </c>
    </row>
    <row r="754" spans="1:19" ht="15" x14ac:dyDescent="0.25">
      <c r="A754" s="7">
        <v>2012</v>
      </c>
      <c r="B754" s="27">
        <v>41097</v>
      </c>
      <c r="C754" s="17" t="s">
        <v>35</v>
      </c>
      <c r="D754" s="18" t="s">
        <v>36</v>
      </c>
      <c r="E754" s="18" t="s">
        <v>22</v>
      </c>
      <c r="F754" s="18" t="s">
        <v>49</v>
      </c>
      <c r="G754" s="30" t="s">
        <v>42</v>
      </c>
      <c r="H754" s="10" t="s">
        <v>55</v>
      </c>
      <c r="I754" s="106" t="s">
        <v>41</v>
      </c>
      <c r="J754" s="118">
        <v>0.40177083333333335</v>
      </c>
      <c r="K754" s="117">
        <v>502.8</v>
      </c>
      <c r="L754" s="117">
        <v>0.04</v>
      </c>
      <c r="M754" s="117">
        <v>629.9</v>
      </c>
      <c r="N754" s="117">
        <v>0.02</v>
      </c>
      <c r="O754" s="117">
        <v>59.8</v>
      </c>
      <c r="P754" s="117">
        <v>0.3</v>
      </c>
      <c r="Q754" s="117">
        <v>85</v>
      </c>
      <c r="R754" s="117" t="s">
        <v>45</v>
      </c>
      <c r="S754" s="117">
        <v>2</v>
      </c>
    </row>
    <row r="755" spans="1:19" ht="15" x14ac:dyDescent="0.25">
      <c r="A755" s="7">
        <v>2012</v>
      </c>
      <c r="B755" s="27">
        <v>41097</v>
      </c>
      <c r="C755" s="17" t="s">
        <v>35</v>
      </c>
      <c r="D755" s="18" t="s">
        <v>36</v>
      </c>
      <c r="E755" s="18" t="s">
        <v>22</v>
      </c>
      <c r="F755" s="18" t="s">
        <v>49</v>
      </c>
      <c r="G755" s="30" t="s">
        <v>42</v>
      </c>
      <c r="H755" s="10" t="s">
        <v>55</v>
      </c>
      <c r="I755" s="106" t="s">
        <v>41</v>
      </c>
      <c r="J755" s="118">
        <v>0.40188657407407408</v>
      </c>
      <c r="K755" s="117">
        <v>530.6</v>
      </c>
      <c r="L755" s="117">
        <v>0.02</v>
      </c>
      <c r="M755" s="117">
        <v>629.9</v>
      </c>
      <c r="N755" s="117">
        <v>0.02</v>
      </c>
      <c r="O755" s="117">
        <v>59.8</v>
      </c>
      <c r="P755" s="117">
        <v>0.2</v>
      </c>
      <c r="Q755" s="117" t="s">
        <v>43</v>
      </c>
      <c r="R755" s="117" t="s">
        <v>45</v>
      </c>
      <c r="S755" s="117">
        <v>1</v>
      </c>
    </row>
    <row r="756" spans="1:19" ht="15" x14ac:dyDescent="0.25">
      <c r="A756" s="7">
        <v>2012</v>
      </c>
      <c r="B756" s="27">
        <v>41097</v>
      </c>
      <c r="C756" s="17" t="s">
        <v>35</v>
      </c>
      <c r="D756" s="18" t="s">
        <v>36</v>
      </c>
      <c r="E756" s="18" t="s">
        <v>22</v>
      </c>
      <c r="F756" s="18" t="s">
        <v>49</v>
      </c>
      <c r="G756" s="30" t="s">
        <v>42</v>
      </c>
      <c r="H756" s="10" t="s">
        <v>55</v>
      </c>
      <c r="I756" s="106" t="s">
        <v>41</v>
      </c>
      <c r="J756" s="118">
        <v>0.40371527777777777</v>
      </c>
      <c r="K756" s="117">
        <v>385.6</v>
      </c>
      <c r="L756" s="117">
        <v>0.08</v>
      </c>
      <c r="M756" s="117">
        <v>601.79999999999995</v>
      </c>
      <c r="N756" s="117">
        <v>0.04</v>
      </c>
      <c r="O756" s="117">
        <v>59.5</v>
      </c>
      <c r="P756" s="117">
        <v>0.5</v>
      </c>
      <c r="Q756" s="117" t="s">
        <v>43</v>
      </c>
      <c r="R756" s="117" t="s">
        <v>45</v>
      </c>
      <c r="S756" s="117">
        <v>2</v>
      </c>
    </row>
    <row r="757" spans="1:19" ht="15" x14ac:dyDescent="0.25">
      <c r="A757" s="7">
        <v>2012</v>
      </c>
      <c r="B757" s="27">
        <v>41097</v>
      </c>
      <c r="C757" s="17" t="s">
        <v>35</v>
      </c>
      <c r="D757" s="18" t="s">
        <v>36</v>
      </c>
      <c r="E757" s="18" t="s">
        <v>22</v>
      </c>
      <c r="F757" s="18" t="s">
        <v>49</v>
      </c>
      <c r="G757" s="30" t="s">
        <v>42</v>
      </c>
      <c r="H757" s="10" t="s">
        <v>55</v>
      </c>
      <c r="I757" s="106" t="s">
        <v>41</v>
      </c>
      <c r="J757" s="118">
        <v>0.40372685185185181</v>
      </c>
      <c r="K757" s="117">
        <v>387.5</v>
      </c>
      <c r="L757" s="117">
        <v>0.08</v>
      </c>
      <c r="M757" s="117">
        <v>600.6</v>
      </c>
      <c r="N757" s="117">
        <v>0.04</v>
      </c>
      <c r="O757" s="117">
        <v>59.5</v>
      </c>
      <c r="P757" s="117">
        <v>0.5</v>
      </c>
      <c r="Q757" s="117" t="s">
        <v>43</v>
      </c>
      <c r="R757" s="117" t="s">
        <v>45</v>
      </c>
      <c r="S757" s="117">
        <v>3</v>
      </c>
    </row>
    <row r="758" spans="1:19" ht="15" x14ac:dyDescent="0.25">
      <c r="A758" s="7">
        <v>2012</v>
      </c>
      <c r="B758" s="116">
        <v>41089</v>
      </c>
      <c r="C758" s="17" t="s">
        <v>35</v>
      </c>
      <c r="D758" s="18" t="s">
        <v>2</v>
      </c>
      <c r="E758" s="18" t="s">
        <v>21</v>
      </c>
      <c r="F758" s="18" t="s">
        <v>49</v>
      </c>
      <c r="G758" s="30" t="s">
        <v>42</v>
      </c>
      <c r="H758" s="10" t="s">
        <v>55</v>
      </c>
      <c r="I758" s="18" t="s">
        <v>60</v>
      </c>
      <c r="J758" s="118">
        <v>0.41972222222222227</v>
      </c>
      <c r="K758" s="117">
        <v>33.1</v>
      </c>
      <c r="L758" s="117">
        <v>0.53</v>
      </c>
      <c r="M758" s="117">
        <v>430.9</v>
      </c>
      <c r="N758" s="117">
        <v>0.02</v>
      </c>
      <c r="O758" s="117">
        <v>57.5</v>
      </c>
      <c r="P758" s="117">
        <v>3.9</v>
      </c>
      <c r="Q758" s="117">
        <v>5</v>
      </c>
      <c r="R758" s="117" t="s">
        <v>45</v>
      </c>
      <c r="S758" s="117">
        <v>1</v>
      </c>
    </row>
    <row r="759" spans="1:19" ht="15" x14ac:dyDescent="0.25">
      <c r="A759" s="7">
        <v>2012</v>
      </c>
      <c r="B759" s="116">
        <v>41089</v>
      </c>
      <c r="C759" s="17" t="s">
        <v>35</v>
      </c>
      <c r="D759" s="18" t="s">
        <v>2</v>
      </c>
      <c r="E759" s="18" t="s">
        <v>21</v>
      </c>
      <c r="F759" s="18" t="s">
        <v>49</v>
      </c>
      <c r="G759" s="30" t="s">
        <v>42</v>
      </c>
      <c r="H759" s="10" t="s">
        <v>55</v>
      </c>
      <c r="I759" s="18" t="s">
        <v>60</v>
      </c>
      <c r="J759" s="118">
        <v>0.42002314814814817</v>
      </c>
      <c r="K759" s="117">
        <v>49.1</v>
      </c>
      <c r="L759" s="117">
        <v>0.53</v>
      </c>
      <c r="M759" s="117">
        <v>429.7</v>
      </c>
      <c r="N759" s="117">
        <v>0.02</v>
      </c>
      <c r="O759" s="117">
        <v>57.5</v>
      </c>
      <c r="P759" s="117">
        <v>3.2</v>
      </c>
      <c r="Q759" s="117">
        <v>20</v>
      </c>
      <c r="R759" s="117" t="s">
        <v>45</v>
      </c>
      <c r="S759" s="117">
        <v>1</v>
      </c>
    </row>
    <row r="760" spans="1:19" ht="15" x14ac:dyDescent="0.25">
      <c r="A760" s="7">
        <v>2012</v>
      </c>
      <c r="B760" s="116">
        <v>41089</v>
      </c>
      <c r="C760" s="17" t="s">
        <v>35</v>
      </c>
      <c r="D760" s="18" t="s">
        <v>2</v>
      </c>
      <c r="E760" s="18" t="s">
        <v>21</v>
      </c>
      <c r="F760" s="18" t="s">
        <v>49</v>
      </c>
      <c r="G760" s="30" t="s">
        <v>42</v>
      </c>
      <c r="H760" s="10" t="s">
        <v>55</v>
      </c>
      <c r="I760" s="18" t="s">
        <v>60</v>
      </c>
      <c r="J760" s="118">
        <v>0.42018518518518522</v>
      </c>
      <c r="K760" s="117">
        <v>85.1</v>
      </c>
      <c r="L760" s="117">
        <v>0.22</v>
      </c>
      <c r="M760" s="117">
        <v>427.2</v>
      </c>
      <c r="N760" s="117">
        <v>0.02</v>
      </c>
      <c r="O760" s="117">
        <v>57.5</v>
      </c>
      <c r="P760" s="117">
        <v>2.2999999999999998</v>
      </c>
      <c r="Q760" s="117">
        <v>35</v>
      </c>
      <c r="R760" s="117" t="s">
        <v>45</v>
      </c>
      <c r="S760" s="117">
        <v>1</v>
      </c>
    </row>
    <row r="761" spans="1:19" ht="15" x14ac:dyDescent="0.25">
      <c r="A761" s="7">
        <v>2012</v>
      </c>
      <c r="B761" s="116">
        <v>41089</v>
      </c>
      <c r="C761" s="17" t="s">
        <v>35</v>
      </c>
      <c r="D761" s="18" t="s">
        <v>2</v>
      </c>
      <c r="E761" s="18" t="s">
        <v>21</v>
      </c>
      <c r="F761" s="18" t="s">
        <v>49</v>
      </c>
      <c r="G761" s="30" t="s">
        <v>42</v>
      </c>
      <c r="H761" s="10" t="s">
        <v>55</v>
      </c>
      <c r="I761" s="18" t="s">
        <v>60</v>
      </c>
      <c r="J761" s="118">
        <v>0.42033564814814817</v>
      </c>
      <c r="K761" s="117">
        <v>144.80000000000001</v>
      </c>
      <c r="L761" s="117">
        <v>0.25</v>
      </c>
      <c r="M761" s="117">
        <v>426</v>
      </c>
      <c r="N761" s="117">
        <v>0.01</v>
      </c>
      <c r="O761" s="117">
        <v>57.5</v>
      </c>
      <c r="P761" s="117">
        <v>1.5</v>
      </c>
      <c r="Q761" s="117">
        <v>50</v>
      </c>
      <c r="R761" s="117" t="s">
        <v>45</v>
      </c>
      <c r="S761" s="117">
        <v>1</v>
      </c>
    </row>
    <row r="762" spans="1:19" ht="15" x14ac:dyDescent="0.25">
      <c r="A762" s="7">
        <v>2012</v>
      </c>
      <c r="B762" s="116">
        <v>41089</v>
      </c>
      <c r="C762" s="17" t="s">
        <v>35</v>
      </c>
      <c r="D762" s="18" t="s">
        <v>2</v>
      </c>
      <c r="E762" s="18" t="s">
        <v>21</v>
      </c>
      <c r="F762" s="18" t="s">
        <v>49</v>
      </c>
      <c r="G762" s="30" t="s">
        <v>42</v>
      </c>
      <c r="H762" s="10" t="s">
        <v>55</v>
      </c>
      <c r="I762" s="18" t="s">
        <v>60</v>
      </c>
      <c r="J762" s="118">
        <v>0.42043981481481479</v>
      </c>
      <c r="K762" s="117">
        <v>270.39999999999998</v>
      </c>
      <c r="L762" s="117">
        <v>0.12</v>
      </c>
      <c r="M762" s="117">
        <v>424.8</v>
      </c>
      <c r="N762" s="117">
        <v>0.02</v>
      </c>
      <c r="O762" s="117">
        <v>57.4</v>
      </c>
      <c r="P762" s="117">
        <v>0.5</v>
      </c>
      <c r="Q762" s="117">
        <v>65</v>
      </c>
      <c r="R762" s="117" t="s">
        <v>45</v>
      </c>
      <c r="S762" s="117">
        <v>1</v>
      </c>
    </row>
    <row r="763" spans="1:19" ht="15" x14ac:dyDescent="0.25">
      <c r="A763" s="7">
        <v>2012</v>
      </c>
      <c r="B763" s="116">
        <v>41089</v>
      </c>
      <c r="C763" s="17" t="s">
        <v>35</v>
      </c>
      <c r="D763" s="18" t="s">
        <v>2</v>
      </c>
      <c r="E763" s="18" t="s">
        <v>21</v>
      </c>
      <c r="F763" s="18" t="s">
        <v>49</v>
      </c>
      <c r="G763" s="30" t="s">
        <v>42</v>
      </c>
      <c r="H763" s="10" t="s">
        <v>55</v>
      </c>
      <c r="I763" s="18" t="s">
        <v>60</v>
      </c>
      <c r="J763" s="118">
        <v>0.4206597222222222</v>
      </c>
      <c r="K763" s="117">
        <v>327.5</v>
      </c>
      <c r="L763" s="117">
        <v>0.05</v>
      </c>
      <c r="M763" s="117">
        <v>419.9</v>
      </c>
      <c r="N763" s="117">
        <v>0.02</v>
      </c>
      <c r="O763" s="117">
        <v>57.4</v>
      </c>
      <c r="P763" s="117">
        <v>0.3</v>
      </c>
      <c r="Q763" s="117">
        <v>80</v>
      </c>
      <c r="R763" s="117" t="s">
        <v>45</v>
      </c>
      <c r="S763" s="117">
        <v>1</v>
      </c>
    </row>
    <row r="764" spans="1:19" ht="15" x14ac:dyDescent="0.25">
      <c r="A764" s="7">
        <v>2012</v>
      </c>
      <c r="B764" s="116">
        <v>41089</v>
      </c>
      <c r="C764" s="17" t="s">
        <v>35</v>
      </c>
      <c r="D764" s="18" t="s">
        <v>2</v>
      </c>
      <c r="E764" s="18" t="s">
        <v>21</v>
      </c>
      <c r="F764" s="18" t="s">
        <v>49</v>
      </c>
      <c r="G764" s="30" t="s">
        <v>42</v>
      </c>
      <c r="H764" s="10" t="s">
        <v>55</v>
      </c>
      <c r="I764" s="18" t="s">
        <v>60</v>
      </c>
      <c r="J764" s="118">
        <v>0.42076388888888888</v>
      </c>
      <c r="K764" s="117">
        <v>339.8</v>
      </c>
      <c r="L764" s="117">
        <v>0.04</v>
      </c>
      <c r="M764" s="117">
        <v>416.3</v>
      </c>
      <c r="N764" s="117">
        <v>0.01</v>
      </c>
      <c r="O764" s="117">
        <v>57.4</v>
      </c>
      <c r="P764" s="117">
        <v>0.2</v>
      </c>
      <c r="Q764" s="117">
        <v>95</v>
      </c>
      <c r="R764" s="117" t="s">
        <v>45</v>
      </c>
      <c r="S764" s="117">
        <v>1</v>
      </c>
    </row>
    <row r="765" spans="1:19" ht="15" x14ac:dyDescent="0.25">
      <c r="A765" s="7">
        <v>2012</v>
      </c>
      <c r="B765" s="116">
        <v>41089</v>
      </c>
      <c r="C765" s="17" t="s">
        <v>35</v>
      </c>
      <c r="D765" s="18" t="s">
        <v>2</v>
      </c>
      <c r="E765" s="18" t="s">
        <v>21</v>
      </c>
      <c r="F765" s="18" t="s">
        <v>49</v>
      </c>
      <c r="G765" s="30" t="s">
        <v>42</v>
      </c>
      <c r="H765" s="10" t="s">
        <v>55</v>
      </c>
      <c r="I765" s="18" t="s">
        <v>60</v>
      </c>
      <c r="J765" s="118">
        <v>0.42186342592592596</v>
      </c>
      <c r="K765" s="117">
        <v>29.3</v>
      </c>
      <c r="L765" s="117">
        <v>0.5</v>
      </c>
      <c r="M765" s="117">
        <v>424.8</v>
      </c>
      <c r="N765" s="117">
        <v>0.02</v>
      </c>
      <c r="O765" s="117">
        <v>57.3</v>
      </c>
      <c r="P765" s="117">
        <v>4.0999999999999996</v>
      </c>
      <c r="Q765" s="117">
        <v>5</v>
      </c>
      <c r="R765" s="117" t="s">
        <v>45</v>
      </c>
      <c r="S765" s="117">
        <v>2</v>
      </c>
    </row>
    <row r="766" spans="1:19" ht="15" x14ac:dyDescent="0.25">
      <c r="A766" s="7">
        <v>2012</v>
      </c>
      <c r="B766" s="116">
        <v>41089</v>
      </c>
      <c r="C766" s="17" t="s">
        <v>35</v>
      </c>
      <c r="D766" s="18" t="s">
        <v>2</v>
      </c>
      <c r="E766" s="18" t="s">
        <v>21</v>
      </c>
      <c r="F766" s="18" t="s">
        <v>49</v>
      </c>
      <c r="G766" s="30" t="s">
        <v>42</v>
      </c>
      <c r="H766" s="10" t="s">
        <v>55</v>
      </c>
      <c r="I766" s="18" t="s">
        <v>60</v>
      </c>
      <c r="J766" s="118">
        <v>0.4220949074074074</v>
      </c>
      <c r="K766" s="117">
        <v>47.2</v>
      </c>
      <c r="L766" s="117">
        <v>0.25</v>
      </c>
      <c r="M766" s="117">
        <v>423.6</v>
      </c>
      <c r="N766" s="117">
        <v>0.01</v>
      </c>
      <c r="O766" s="117">
        <v>57.2</v>
      </c>
      <c r="P766" s="117">
        <v>3.3</v>
      </c>
      <c r="Q766" s="117">
        <v>20</v>
      </c>
      <c r="R766" s="117" t="s">
        <v>45</v>
      </c>
      <c r="S766" s="117">
        <v>2</v>
      </c>
    </row>
    <row r="767" spans="1:19" ht="15" x14ac:dyDescent="0.25">
      <c r="A767" s="7">
        <v>2012</v>
      </c>
      <c r="B767" s="116">
        <v>41089</v>
      </c>
      <c r="C767" s="17" t="s">
        <v>35</v>
      </c>
      <c r="D767" s="18" t="s">
        <v>2</v>
      </c>
      <c r="E767" s="18" t="s">
        <v>21</v>
      </c>
      <c r="F767" s="18" t="s">
        <v>49</v>
      </c>
      <c r="G767" s="30" t="s">
        <v>42</v>
      </c>
      <c r="H767" s="10" t="s">
        <v>55</v>
      </c>
      <c r="I767" s="18" t="s">
        <v>60</v>
      </c>
      <c r="J767" s="118">
        <v>0.42233796296296294</v>
      </c>
      <c r="K767" s="117">
        <v>85.5</v>
      </c>
      <c r="L767" s="117">
        <v>0.34</v>
      </c>
      <c r="M767" s="117">
        <v>428.5</v>
      </c>
      <c r="N767" s="117">
        <v>0.01</v>
      </c>
      <c r="O767" s="117">
        <v>57.2</v>
      </c>
      <c r="P767" s="117">
        <v>2.2999999999999998</v>
      </c>
      <c r="Q767" s="117">
        <v>35</v>
      </c>
      <c r="R767" s="117" t="s">
        <v>45</v>
      </c>
      <c r="S767" s="117">
        <v>2</v>
      </c>
    </row>
    <row r="768" spans="1:19" ht="15" x14ac:dyDescent="0.25">
      <c r="A768" s="7">
        <v>2012</v>
      </c>
      <c r="B768" s="116">
        <v>41089</v>
      </c>
      <c r="C768" s="17" t="s">
        <v>35</v>
      </c>
      <c r="D768" s="18" t="s">
        <v>2</v>
      </c>
      <c r="E768" s="18" t="s">
        <v>21</v>
      </c>
      <c r="F768" s="18" t="s">
        <v>49</v>
      </c>
      <c r="G768" s="30" t="s">
        <v>42</v>
      </c>
      <c r="H768" s="10" t="s">
        <v>55</v>
      </c>
      <c r="I768" s="18" t="s">
        <v>60</v>
      </c>
      <c r="J768" s="118">
        <v>0.42245370370370372</v>
      </c>
      <c r="K768" s="117">
        <v>202.1</v>
      </c>
      <c r="L768" s="117">
        <v>0.26</v>
      </c>
      <c r="M768" s="117">
        <v>430.9</v>
      </c>
      <c r="N768" s="117">
        <v>0.02</v>
      </c>
      <c r="O768" s="117">
        <v>57.2</v>
      </c>
      <c r="P768" s="117">
        <v>1</v>
      </c>
      <c r="Q768" s="117">
        <v>50</v>
      </c>
      <c r="R768" s="117" t="s">
        <v>45</v>
      </c>
      <c r="S768" s="117">
        <v>2</v>
      </c>
    </row>
    <row r="769" spans="1:19" ht="15" x14ac:dyDescent="0.25">
      <c r="A769" s="7">
        <v>2012</v>
      </c>
      <c r="B769" s="116">
        <v>41089</v>
      </c>
      <c r="C769" s="17" t="s">
        <v>35</v>
      </c>
      <c r="D769" s="18" t="s">
        <v>2</v>
      </c>
      <c r="E769" s="18" t="s">
        <v>21</v>
      </c>
      <c r="F769" s="18" t="s">
        <v>49</v>
      </c>
      <c r="G769" s="30" t="s">
        <v>42</v>
      </c>
      <c r="H769" s="10" t="s">
        <v>55</v>
      </c>
      <c r="I769" s="18" t="s">
        <v>60</v>
      </c>
      <c r="J769" s="118">
        <v>0.42255787037037035</v>
      </c>
      <c r="K769" s="117">
        <v>289.2</v>
      </c>
      <c r="L769" s="117">
        <v>0.16</v>
      </c>
      <c r="M769" s="117">
        <v>432.1</v>
      </c>
      <c r="N769" s="117">
        <v>0.02</v>
      </c>
      <c r="O769" s="117">
        <v>57.2</v>
      </c>
      <c r="P769" s="117">
        <v>0.5</v>
      </c>
      <c r="Q769" s="117">
        <v>65</v>
      </c>
      <c r="R769" s="117" t="s">
        <v>45</v>
      </c>
      <c r="S769" s="117">
        <v>2</v>
      </c>
    </row>
    <row r="770" spans="1:19" ht="15" x14ac:dyDescent="0.25">
      <c r="A770" s="7">
        <v>2012</v>
      </c>
      <c r="B770" s="116">
        <v>41089</v>
      </c>
      <c r="C770" s="17" t="s">
        <v>35</v>
      </c>
      <c r="D770" s="18" t="s">
        <v>2</v>
      </c>
      <c r="E770" s="18" t="s">
        <v>21</v>
      </c>
      <c r="F770" s="18" t="s">
        <v>49</v>
      </c>
      <c r="G770" s="30" t="s">
        <v>42</v>
      </c>
      <c r="H770" s="10" t="s">
        <v>55</v>
      </c>
      <c r="I770" s="18" t="s">
        <v>60</v>
      </c>
      <c r="J770" s="118">
        <v>0.42333333333333334</v>
      </c>
      <c r="K770" s="117">
        <v>349</v>
      </c>
      <c r="L770" s="117">
        <v>0.05</v>
      </c>
      <c r="M770" s="117">
        <v>432.1</v>
      </c>
      <c r="N770" s="117">
        <v>0.02</v>
      </c>
      <c r="O770" s="117">
        <v>57.1</v>
      </c>
      <c r="P770" s="117">
        <v>0.2</v>
      </c>
      <c r="Q770" s="117">
        <v>80</v>
      </c>
      <c r="R770" s="117" t="s">
        <v>45</v>
      </c>
      <c r="S770" s="117">
        <v>2</v>
      </c>
    </row>
    <row r="771" spans="1:19" ht="15" x14ac:dyDescent="0.25">
      <c r="A771" s="7">
        <v>2012</v>
      </c>
      <c r="B771" s="116">
        <v>41089</v>
      </c>
      <c r="C771" s="17" t="s">
        <v>35</v>
      </c>
      <c r="D771" s="18" t="s">
        <v>2</v>
      </c>
      <c r="E771" s="18" t="s">
        <v>21</v>
      </c>
      <c r="F771" s="18" t="s">
        <v>49</v>
      </c>
      <c r="G771" s="30" t="s">
        <v>42</v>
      </c>
      <c r="H771" s="10" t="s">
        <v>55</v>
      </c>
      <c r="I771" s="18" t="s">
        <v>60</v>
      </c>
      <c r="J771" s="118">
        <v>0.42391203703703706</v>
      </c>
      <c r="K771" s="117">
        <v>356.7</v>
      </c>
      <c r="L771" s="117">
        <v>0.03</v>
      </c>
      <c r="M771" s="117">
        <v>424.8</v>
      </c>
      <c r="N771" s="117">
        <v>0.02</v>
      </c>
      <c r="O771" s="117">
        <v>57</v>
      </c>
      <c r="P771" s="117">
        <v>0.2</v>
      </c>
      <c r="Q771" s="117">
        <v>95</v>
      </c>
      <c r="R771" s="117" t="s">
        <v>45</v>
      </c>
      <c r="S771" s="117">
        <v>2</v>
      </c>
    </row>
    <row r="772" spans="1:19" ht="15" x14ac:dyDescent="0.25">
      <c r="A772" s="7">
        <v>2012</v>
      </c>
      <c r="B772" s="116">
        <v>41089</v>
      </c>
      <c r="C772" s="17" t="s">
        <v>35</v>
      </c>
      <c r="D772" s="18" t="s">
        <v>2</v>
      </c>
      <c r="E772" s="18" t="s">
        <v>21</v>
      </c>
      <c r="F772" s="18" t="s">
        <v>49</v>
      </c>
      <c r="G772" s="30" t="s">
        <v>42</v>
      </c>
      <c r="H772" s="10" t="s">
        <v>55</v>
      </c>
      <c r="I772" s="18" t="s">
        <v>60</v>
      </c>
      <c r="J772" s="118">
        <v>0.42439814814814819</v>
      </c>
      <c r="K772" s="117">
        <v>31.7</v>
      </c>
      <c r="L772" s="117">
        <v>0.6</v>
      </c>
      <c r="M772" s="117">
        <v>424.8</v>
      </c>
      <c r="N772" s="117">
        <v>0.02</v>
      </c>
      <c r="O772" s="117">
        <v>57</v>
      </c>
      <c r="P772" s="117">
        <v>4</v>
      </c>
      <c r="Q772" s="117">
        <v>5</v>
      </c>
      <c r="R772" s="117" t="s">
        <v>45</v>
      </c>
      <c r="S772" s="117">
        <v>3</v>
      </c>
    </row>
    <row r="773" spans="1:19" ht="15" x14ac:dyDescent="0.25">
      <c r="A773" s="7">
        <v>2012</v>
      </c>
      <c r="B773" s="116">
        <v>41089</v>
      </c>
      <c r="C773" s="17" t="s">
        <v>35</v>
      </c>
      <c r="D773" s="18" t="s">
        <v>2</v>
      </c>
      <c r="E773" s="18" t="s">
        <v>21</v>
      </c>
      <c r="F773" s="18" t="s">
        <v>49</v>
      </c>
      <c r="G773" s="30" t="s">
        <v>42</v>
      </c>
      <c r="H773" s="10" t="s">
        <v>55</v>
      </c>
      <c r="I773" s="18" t="s">
        <v>60</v>
      </c>
      <c r="J773" s="118">
        <v>0.42493055555555559</v>
      </c>
      <c r="K773" s="117">
        <v>48.8</v>
      </c>
      <c r="L773" s="117">
        <v>0.28000000000000003</v>
      </c>
      <c r="M773" s="117">
        <v>426</v>
      </c>
      <c r="N773" s="117">
        <v>0.02</v>
      </c>
      <c r="O773" s="117">
        <v>56.9</v>
      </c>
      <c r="P773" s="117">
        <v>3.2</v>
      </c>
      <c r="Q773" s="117">
        <v>20</v>
      </c>
      <c r="R773" s="117" t="s">
        <v>45</v>
      </c>
      <c r="S773" s="117">
        <v>3</v>
      </c>
    </row>
    <row r="774" spans="1:19" ht="15" x14ac:dyDescent="0.25">
      <c r="A774" s="7">
        <v>2012</v>
      </c>
      <c r="B774" s="116">
        <v>41089</v>
      </c>
      <c r="C774" s="17" t="s">
        <v>35</v>
      </c>
      <c r="D774" s="18" t="s">
        <v>2</v>
      </c>
      <c r="E774" s="18" t="s">
        <v>21</v>
      </c>
      <c r="F774" s="18" t="s">
        <v>49</v>
      </c>
      <c r="G774" s="30" t="s">
        <v>42</v>
      </c>
      <c r="H774" s="10" t="s">
        <v>55</v>
      </c>
      <c r="I774" s="18" t="s">
        <v>60</v>
      </c>
      <c r="J774" s="118">
        <v>0.42510416666666667</v>
      </c>
      <c r="K774" s="117">
        <v>59.8</v>
      </c>
      <c r="L774" s="117">
        <v>0.22</v>
      </c>
      <c r="M774" s="117">
        <v>426</v>
      </c>
      <c r="N774" s="117">
        <v>0.02</v>
      </c>
      <c r="O774" s="117">
        <v>56.9</v>
      </c>
      <c r="P774" s="117">
        <v>2.9</v>
      </c>
      <c r="Q774" s="117">
        <v>35</v>
      </c>
      <c r="R774" s="117" t="s">
        <v>45</v>
      </c>
      <c r="S774" s="117">
        <v>3</v>
      </c>
    </row>
    <row r="775" spans="1:19" ht="15" x14ac:dyDescent="0.25">
      <c r="A775" s="7">
        <v>2012</v>
      </c>
      <c r="B775" s="116">
        <v>41089</v>
      </c>
      <c r="C775" s="17" t="s">
        <v>35</v>
      </c>
      <c r="D775" s="18" t="s">
        <v>2</v>
      </c>
      <c r="E775" s="18" t="s">
        <v>21</v>
      </c>
      <c r="F775" s="18" t="s">
        <v>49</v>
      </c>
      <c r="G775" s="30" t="s">
        <v>42</v>
      </c>
      <c r="H775" s="10" t="s">
        <v>55</v>
      </c>
      <c r="I775" s="18" t="s">
        <v>60</v>
      </c>
      <c r="J775" s="118">
        <v>0.42545138888888889</v>
      </c>
      <c r="K775" s="117">
        <v>130.1</v>
      </c>
      <c r="L775" s="117">
        <v>0.42</v>
      </c>
      <c r="M775" s="117">
        <v>424.8</v>
      </c>
      <c r="N775" s="117">
        <v>0.02</v>
      </c>
      <c r="O775" s="117">
        <v>56.8</v>
      </c>
      <c r="P775" s="117">
        <v>1.6</v>
      </c>
      <c r="Q775" s="117">
        <v>50</v>
      </c>
      <c r="R775" s="117" t="s">
        <v>45</v>
      </c>
      <c r="S775" s="117">
        <v>3</v>
      </c>
    </row>
    <row r="776" spans="1:19" ht="15" x14ac:dyDescent="0.25">
      <c r="A776" s="7">
        <v>2012</v>
      </c>
      <c r="B776" s="116">
        <v>41089</v>
      </c>
      <c r="C776" s="17" t="s">
        <v>35</v>
      </c>
      <c r="D776" s="18" t="s">
        <v>2</v>
      </c>
      <c r="E776" s="18" t="s">
        <v>21</v>
      </c>
      <c r="F776" s="18" t="s">
        <v>49</v>
      </c>
      <c r="G776" s="30" t="s">
        <v>42</v>
      </c>
      <c r="H776" s="10" t="s">
        <v>55</v>
      </c>
      <c r="I776" s="18" t="s">
        <v>60</v>
      </c>
      <c r="J776" s="118">
        <v>0.42575231481481479</v>
      </c>
      <c r="K776" s="117">
        <v>215.9</v>
      </c>
      <c r="L776" s="117">
        <v>0.36</v>
      </c>
      <c r="M776" s="117">
        <v>418.7</v>
      </c>
      <c r="N776" s="117">
        <v>0.01</v>
      </c>
      <c r="O776" s="117">
        <v>56.8</v>
      </c>
      <c r="P776" s="117">
        <v>0.8</v>
      </c>
      <c r="Q776" s="117">
        <v>65</v>
      </c>
      <c r="R776" s="117" t="s">
        <v>45</v>
      </c>
      <c r="S776" s="117">
        <v>3</v>
      </c>
    </row>
    <row r="777" spans="1:19" ht="15" x14ac:dyDescent="0.25">
      <c r="A777" s="7">
        <v>2012</v>
      </c>
      <c r="B777" s="116">
        <v>41089</v>
      </c>
      <c r="C777" s="17" t="s">
        <v>35</v>
      </c>
      <c r="D777" s="18" t="s">
        <v>2</v>
      </c>
      <c r="E777" s="18" t="s">
        <v>21</v>
      </c>
      <c r="F777" s="18" t="s">
        <v>49</v>
      </c>
      <c r="G777" s="30" t="s">
        <v>42</v>
      </c>
      <c r="H777" s="10" t="s">
        <v>55</v>
      </c>
      <c r="I777" s="18" t="s">
        <v>60</v>
      </c>
      <c r="J777" s="118">
        <v>0.42592592592592587</v>
      </c>
      <c r="K777" s="117">
        <v>299.7</v>
      </c>
      <c r="L777" s="117">
        <v>0.14000000000000001</v>
      </c>
      <c r="M777" s="117">
        <v>415</v>
      </c>
      <c r="N777" s="117">
        <v>0.02</v>
      </c>
      <c r="O777" s="117">
        <v>56.8</v>
      </c>
      <c r="P777" s="117">
        <v>0.4</v>
      </c>
      <c r="Q777" s="117">
        <v>80</v>
      </c>
      <c r="R777" s="117" t="s">
        <v>45</v>
      </c>
      <c r="S777" s="117">
        <v>3</v>
      </c>
    </row>
    <row r="778" spans="1:19" ht="15" x14ac:dyDescent="0.25">
      <c r="A778" s="7">
        <v>2012</v>
      </c>
      <c r="B778" s="116">
        <v>41089</v>
      </c>
      <c r="C778" s="17" t="s">
        <v>35</v>
      </c>
      <c r="D778" s="18" t="s">
        <v>2</v>
      </c>
      <c r="E778" s="18" t="s">
        <v>21</v>
      </c>
      <c r="F778" s="18" t="s">
        <v>49</v>
      </c>
      <c r="G778" s="30" t="s">
        <v>42</v>
      </c>
      <c r="H778" s="10" t="s">
        <v>55</v>
      </c>
      <c r="I778" s="18" t="s">
        <v>60</v>
      </c>
      <c r="J778" s="118">
        <v>0.42605324074074075</v>
      </c>
      <c r="K778" s="117">
        <v>344.7</v>
      </c>
      <c r="L778" s="117">
        <v>0.03</v>
      </c>
      <c r="M778" s="117">
        <v>411.4</v>
      </c>
      <c r="N778" s="117">
        <v>0.01</v>
      </c>
      <c r="O778" s="117">
        <v>56.8</v>
      </c>
      <c r="P778" s="117">
        <v>0.2</v>
      </c>
      <c r="Q778" s="117">
        <v>95</v>
      </c>
      <c r="R778" s="117" t="s">
        <v>45</v>
      </c>
      <c r="S778" s="117">
        <v>3</v>
      </c>
    </row>
    <row r="779" spans="1:19" ht="15" x14ac:dyDescent="0.25">
      <c r="A779" s="7">
        <v>2012</v>
      </c>
      <c r="B779" s="116">
        <v>41089</v>
      </c>
      <c r="C779" s="17" t="s">
        <v>35</v>
      </c>
      <c r="D779" s="18" t="s">
        <v>2</v>
      </c>
      <c r="E779" s="18" t="s">
        <v>21</v>
      </c>
      <c r="F779" s="18" t="s">
        <v>49</v>
      </c>
      <c r="G779" s="30" t="s">
        <v>42</v>
      </c>
      <c r="H779" s="10" t="s">
        <v>55</v>
      </c>
      <c r="I779" s="18" t="s">
        <v>60</v>
      </c>
      <c r="J779" s="118">
        <v>0.69884259259259263</v>
      </c>
      <c r="K779" s="117">
        <v>102</v>
      </c>
      <c r="L779" s="117">
        <v>0.9</v>
      </c>
      <c r="M779" s="117">
        <v>1413.6</v>
      </c>
      <c r="N779" s="117">
        <v>0.77</v>
      </c>
      <c r="O779" s="117">
        <v>52.8</v>
      </c>
      <c r="P779" s="117">
        <v>3.6</v>
      </c>
      <c r="Q779" s="117">
        <v>5</v>
      </c>
      <c r="R779" s="117" t="s">
        <v>48</v>
      </c>
      <c r="S779" s="117">
        <v>1</v>
      </c>
    </row>
    <row r="780" spans="1:19" ht="15" x14ac:dyDescent="0.25">
      <c r="A780" s="7">
        <v>2012</v>
      </c>
      <c r="B780" s="116">
        <v>41089</v>
      </c>
      <c r="C780" s="17" t="s">
        <v>35</v>
      </c>
      <c r="D780" s="18" t="s">
        <v>2</v>
      </c>
      <c r="E780" s="18" t="s">
        <v>21</v>
      </c>
      <c r="F780" s="18" t="s">
        <v>49</v>
      </c>
      <c r="G780" s="30" t="s">
        <v>42</v>
      </c>
      <c r="H780" s="10" t="s">
        <v>55</v>
      </c>
      <c r="I780" s="18" t="s">
        <v>60</v>
      </c>
      <c r="J780" s="118">
        <v>0.69953703703703696</v>
      </c>
      <c r="K780" s="117">
        <v>244.2</v>
      </c>
      <c r="L780" s="117">
        <v>1.02</v>
      </c>
      <c r="M780" s="117">
        <v>1425.8</v>
      </c>
      <c r="N780" s="117">
        <v>0.77</v>
      </c>
      <c r="O780" s="117">
        <v>52.9</v>
      </c>
      <c r="P780" s="117">
        <v>2.4</v>
      </c>
      <c r="Q780" s="117">
        <v>20</v>
      </c>
      <c r="R780" s="117" t="s">
        <v>48</v>
      </c>
      <c r="S780" s="117">
        <v>1</v>
      </c>
    </row>
    <row r="781" spans="1:19" ht="15" x14ac:dyDescent="0.25">
      <c r="A781" s="7">
        <v>2012</v>
      </c>
      <c r="B781" s="116">
        <v>41089</v>
      </c>
      <c r="C781" s="17" t="s">
        <v>35</v>
      </c>
      <c r="D781" s="18" t="s">
        <v>2</v>
      </c>
      <c r="E781" s="18" t="s">
        <v>21</v>
      </c>
      <c r="F781" s="18" t="s">
        <v>49</v>
      </c>
      <c r="G781" s="30" t="s">
        <v>42</v>
      </c>
      <c r="H781" s="10" t="s">
        <v>55</v>
      </c>
      <c r="I781" s="18" t="s">
        <v>60</v>
      </c>
      <c r="J781" s="118">
        <v>0.6997106481481481</v>
      </c>
      <c r="K781" s="117">
        <v>536.6</v>
      </c>
      <c r="L781" s="117">
        <v>0.56999999999999995</v>
      </c>
      <c r="M781" s="117">
        <v>1408.7</v>
      </c>
      <c r="N781" s="117">
        <v>0.76</v>
      </c>
      <c r="O781" s="117">
        <v>52.9</v>
      </c>
      <c r="P781" s="117">
        <v>1.3</v>
      </c>
      <c r="Q781" s="117">
        <v>35</v>
      </c>
      <c r="R781" s="117" t="s">
        <v>48</v>
      </c>
      <c r="S781" s="117">
        <v>1</v>
      </c>
    </row>
    <row r="782" spans="1:19" ht="15" x14ac:dyDescent="0.25">
      <c r="A782" s="7">
        <v>2012</v>
      </c>
      <c r="B782" s="116">
        <v>41089</v>
      </c>
      <c r="C782" s="17" t="s">
        <v>35</v>
      </c>
      <c r="D782" s="18" t="s">
        <v>2</v>
      </c>
      <c r="E782" s="18" t="s">
        <v>21</v>
      </c>
      <c r="F782" s="18" t="s">
        <v>49</v>
      </c>
      <c r="G782" s="30" t="s">
        <v>42</v>
      </c>
      <c r="H782" s="10" t="s">
        <v>55</v>
      </c>
      <c r="I782" s="18" t="s">
        <v>60</v>
      </c>
      <c r="J782" s="118">
        <v>0.69982638888888893</v>
      </c>
      <c r="K782" s="117">
        <v>1100.4000000000001</v>
      </c>
      <c r="L782" s="117">
        <v>0.11</v>
      </c>
      <c r="M782" s="117">
        <v>1389.2</v>
      </c>
      <c r="N782" s="117">
        <v>0.76</v>
      </c>
      <c r="O782" s="117">
        <v>52.9</v>
      </c>
      <c r="P782" s="117">
        <v>0.3</v>
      </c>
      <c r="Q782" s="117">
        <v>50</v>
      </c>
      <c r="R782" s="117" t="s">
        <v>48</v>
      </c>
      <c r="S782" s="117">
        <v>1</v>
      </c>
    </row>
    <row r="783" spans="1:19" ht="15" x14ac:dyDescent="0.25">
      <c r="A783" s="7">
        <v>2012</v>
      </c>
      <c r="B783" s="116">
        <v>41089</v>
      </c>
      <c r="C783" s="17" t="s">
        <v>35</v>
      </c>
      <c r="D783" s="18" t="s">
        <v>2</v>
      </c>
      <c r="E783" s="18" t="s">
        <v>21</v>
      </c>
      <c r="F783" s="18" t="s">
        <v>49</v>
      </c>
      <c r="G783" s="30" t="s">
        <v>42</v>
      </c>
      <c r="H783" s="10" t="s">
        <v>55</v>
      </c>
      <c r="I783" s="18" t="s">
        <v>60</v>
      </c>
      <c r="J783" s="118">
        <v>0.6999305555555555</v>
      </c>
      <c r="K783" s="117">
        <v>1143.4000000000001</v>
      </c>
      <c r="L783" s="117">
        <v>0.03</v>
      </c>
      <c r="M783" s="117">
        <v>1389.2</v>
      </c>
      <c r="N783" s="117">
        <v>0.76</v>
      </c>
      <c r="O783" s="117">
        <v>52.9</v>
      </c>
      <c r="P783" s="117">
        <v>0.2</v>
      </c>
      <c r="Q783" s="117">
        <v>65</v>
      </c>
      <c r="R783" s="117" t="s">
        <v>48</v>
      </c>
      <c r="S783" s="117">
        <v>1</v>
      </c>
    </row>
    <row r="784" spans="1:19" ht="15" x14ac:dyDescent="0.25">
      <c r="A784" s="7">
        <v>2012</v>
      </c>
      <c r="B784" s="116">
        <v>41089</v>
      </c>
      <c r="C784" s="17" t="s">
        <v>35</v>
      </c>
      <c r="D784" s="18" t="s">
        <v>2</v>
      </c>
      <c r="E784" s="18" t="s">
        <v>21</v>
      </c>
      <c r="F784" s="18" t="s">
        <v>49</v>
      </c>
      <c r="G784" s="30" t="s">
        <v>42</v>
      </c>
      <c r="H784" s="10" t="s">
        <v>55</v>
      </c>
      <c r="I784" s="18" t="s">
        <v>60</v>
      </c>
      <c r="J784" s="118">
        <v>0.70008101851851856</v>
      </c>
      <c r="K784" s="117">
        <v>1156</v>
      </c>
      <c r="L784" s="117">
        <v>0.03</v>
      </c>
      <c r="M784" s="117">
        <v>1384.3</v>
      </c>
      <c r="N784" s="117">
        <v>0.76</v>
      </c>
      <c r="O784" s="117">
        <v>52.9</v>
      </c>
      <c r="P784" s="117">
        <v>0.2</v>
      </c>
      <c r="Q784" s="117">
        <v>80</v>
      </c>
      <c r="R784" s="117" t="s">
        <v>48</v>
      </c>
      <c r="S784" s="117">
        <v>1</v>
      </c>
    </row>
    <row r="785" spans="1:19" ht="15" x14ac:dyDescent="0.25">
      <c r="A785" s="7">
        <v>2012</v>
      </c>
      <c r="B785" s="116">
        <v>41089</v>
      </c>
      <c r="C785" s="17" t="s">
        <v>35</v>
      </c>
      <c r="D785" s="18" t="s">
        <v>2</v>
      </c>
      <c r="E785" s="18" t="s">
        <v>21</v>
      </c>
      <c r="F785" s="18" t="s">
        <v>49</v>
      </c>
      <c r="G785" s="30" t="s">
        <v>42</v>
      </c>
      <c r="H785" s="10" t="s">
        <v>55</v>
      </c>
      <c r="I785" s="18" t="s">
        <v>60</v>
      </c>
      <c r="J785" s="118">
        <v>0.70045138888888892</v>
      </c>
      <c r="K785" s="117">
        <v>73.5</v>
      </c>
      <c r="L785" s="117">
        <v>1.19</v>
      </c>
      <c r="M785" s="117">
        <v>1398.9</v>
      </c>
      <c r="N785" s="117">
        <v>0.76</v>
      </c>
      <c r="O785" s="117">
        <v>52.9</v>
      </c>
      <c r="P785" s="117">
        <v>4</v>
      </c>
      <c r="Q785" s="117">
        <v>5</v>
      </c>
      <c r="R785" s="117" t="s">
        <v>48</v>
      </c>
      <c r="S785" s="117">
        <v>2</v>
      </c>
    </row>
    <row r="786" spans="1:19" ht="15" x14ac:dyDescent="0.25">
      <c r="A786" s="7">
        <v>2012</v>
      </c>
      <c r="B786" s="116">
        <v>41089</v>
      </c>
      <c r="C786" s="17" t="s">
        <v>35</v>
      </c>
      <c r="D786" s="18" t="s">
        <v>2</v>
      </c>
      <c r="E786" s="18" t="s">
        <v>21</v>
      </c>
      <c r="F786" s="18" t="s">
        <v>49</v>
      </c>
      <c r="G786" s="30" t="s">
        <v>42</v>
      </c>
      <c r="H786" s="10" t="s">
        <v>55</v>
      </c>
      <c r="I786" s="18" t="s">
        <v>60</v>
      </c>
      <c r="J786" s="118">
        <v>0.70082175925925927</v>
      </c>
      <c r="K786" s="117">
        <v>555.4</v>
      </c>
      <c r="L786" s="117">
        <v>0.65</v>
      </c>
      <c r="M786" s="117">
        <v>1406.2</v>
      </c>
      <c r="N786" s="117">
        <v>0.76</v>
      </c>
      <c r="O786" s="117">
        <v>53</v>
      </c>
      <c r="P786" s="117">
        <v>1.2</v>
      </c>
      <c r="Q786" s="117">
        <v>20</v>
      </c>
      <c r="R786" s="117" t="s">
        <v>48</v>
      </c>
      <c r="S786" s="117">
        <v>2</v>
      </c>
    </row>
    <row r="787" spans="1:19" ht="15" x14ac:dyDescent="0.25">
      <c r="A787" s="7">
        <v>2012</v>
      </c>
      <c r="B787" s="116">
        <v>41089</v>
      </c>
      <c r="C787" s="17" t="s">
        <v>35</v>
      </c>
      <c r="D787" s="18" t="s">
        <v>2</v>
      </c>
      <c r="E787" s="18" t="s">
        <v>21</v>
      </c>
      <c r="F787" s="18" t="s">
        <v>49</v>
      </c>
      <c r="G787" s="30" t="s">
        <v>42</v>
      </c>
      <c r="H787" s="10" t="s">
        <v>55</v>
      </c>
      <c r="I787" s="18" t="s">
        <v>60</v>
      </c>
      <c r="J787" s="118">
        <v>0.7015393518518519</v>
      </c>
      <c r="K787" s="117">
        <v>551.6</v>
      </c>
      <c r="L787" s="117">
        <v>0.67</v>
      </c>
      <c r="M787" s="117">
        <v>1401.4</v>
      </c>
      <c r="N787" s="117">
        <v>0.76</v>
      </c>
      <c r="O787" s="117">
        <v>53.1</v>
      </c>
      <c r="P787" s="117">
        <v>1.2</v>
      </c>
      <c r="Q787" s="117">
        <v>35</v>
      </c>
      <c r="R787" s="117" t="s">
        <v>48</v>
      </c>
      <c r="S787" s="117">
        <v>2</v>
      </c>
    </row>
    <row r="788" spans="1:19" ht="15" x14ac:dyDescent="0.25">
      <c r="A788" s="7">
        <v>2012</v>
      </c>
      <c r="B788" s="116">
        <v>41089</v>
      </c>
      <c r="C788" s="17" t="s">
        <v>35</v>
      </c>
      <c r="D788" s="18" t="s">
        <v>2</v>
      </c>
      <c r="E788" s="18" t="s">
        <v>21</v>
      </c>
      <c r="F788" s="18" t="s">
        <v>49</v>
      </c>
      <c r="G788" s="30" t="s">
        <v>42</v>
      </c>
      <c r="H788" s="10" t="s">
        <v>55</v>
      </c>
      <c r="I788" s="18" t="s">
        <v>60</v>
      </c>
      <c r="J788" s="118">
        <v>0.70164351851851858</v>
      </c>
      <c r="K788" s="117">
        <v>933.5</v>
      </c>
      <c r="L788" s="117">
        <v>0.3</v>
      </c>
      <c r="M788" s="117">
        <v>1398.9</v>
      </c>
      <c r="N788" s="117">
        <v>0.76</v>
      </c>
      <c r="O788" s="117">
        <v>53.1</v>
      </c>
      <c r="P788" s="117">
        <v>0.5</v>
      </c>
      <c r="Q788" s="117">
        <v>50</v>
      </c>
      <c r="R788" s="117" t="s">
        <v>48</v>
      </c>
      <c r="S788" s="117">
        <v>2</v>
      </c>
    </row>
    <row r="789" spans="1:19" ht="15" x14ac:dyDescent="0.25">
      <c r="A789" s="7">
        <v>2012</v>
      </c>
      <c r="B789" s="116">
        <v>41089</v>
      </c>
      <c r="C789" s="17" t="s">
        <v>35</v>
      </c>
      <c r="D789" s="18" t="s">
        <v>2</v>
      </c>
      <c r="E789" s="18" t="s">
        <v>21</v>
      </c>
      <c r="F789" s="18" t="s">
        <v>49</v>
      </c>
      <c r="G789" s="30" t="s">
        <v>42</v>
      </c>
      <c r="H789" s="10" t="s">
        <v>55</v>
      </c>
      <c r="I789" s="18" t="s">
        <v>60</v>
      </c>
      <c r="J789" s="118">
        <v>0.70179398148148142</v>
      </c>
      <c r="K789" s="117">
        <v>1121.4000000000001</v>
      </c>
      <c r="L789" s="117">
        <v>0.09</v>
      </c>
      <c r="M789" s="117">
        <v>1391.6</v>
      </c>
      <c r="N789" s="117">
        <v>0.76</v>
      </c>
      <c r="O789" s="117">
        <v>53.1</v>
      </c>
      <c r="P789" s="117">
        <v>0.3</v>
      </c>
      <c r="Q789" s="117">
        <v>65</v>
      </c>
      <c r="R789" s="117" t="s">
        <v>48</v>
      </c>
      <c r="S789" s="117">
        <v>2</v>
      </c>
    </row>
    <row r="790" spans="1:19" ht="15" x14ac:dyDescent="0.25">
      <c r="A790" s="7">
        <v>2012</v>
      </c>
      <c r="B790" s="115">
        <v>41089</v>
      </c>
      <c r="C790" s="19" t="s">
        <v>35</v>
      </c>
      <c r="D790" s="20" t="s">
        <v>2</v>
      </c>
      <c r="E790" s="20" t="s">
        <v>21</v>
      </c>
      <c r="F790" s="20" t="s">
        <v>49</v>
      </c>
      <c r="G790" s="30" t="s">
        <v>42</v>
      </c>
      <c r="H790" s="10" t="s">
        <v>55</v>
      </c>
      <c r="I790" s="20" t="s">
        <v>60</v>
      </c>
      <c r="J790" s="118">
        <v>0.70188657407407407</v>
      </c>
      <c r="K790" s="117">
        <v>1155.0999999999999</v>
      </c>
      <c r="L790" s="117">
        <v>0.03</v>
      </c>
      <c r="M790" s="117">
        <v>1391.6</v>
      </c>
      <c r="N790" s="117">
        <v>0.76</v>
      </c>
      <c r="O790" s="117">
        <v>53.1</v>
      </c>
      <c r="P790" s="117">
        <v>0.2</v>
      </c>
      <c r="Q790" s="117">
        <v>80</v>
      </c>
      <c r="R790" s="117" t="s">
        <v>48</v>
      </c>
      <c r="S790" s="117">
        <v>2</v>
      </c>
    </row>
    <row r="791" spans="1:19" ht="15" x14ac:dyDescent="0.25">
      <c r="A791" s="7">
        <v>2012</v>
      </c>
      <c r="B791" s="116">
        <v>41089</v>
      </c>
      <c r="C791" s="17" t="s">
        <v>35</v>
      </c>
      <c r="D791" s="18" t="s">
        <v>2</v>
      </c>
      <c r="E791" s="18" t="s">
        <v>21</v>
      </c>
      <c r="F791" s="18" t="s">
        <v>49</v>
      </c>
      <c r="G791" s="30" t="s">
        <v>42</v>
      </c>
      <c r="H791" s="10" t="s">
        <v>55</v>
      </c>
      <c r="I791" s="18" t="s">
        <v>60</v>
      </c>
      <c r="J791" s="118">
        <v>0.70237268518518514</v>
      </c>
      <c r="K791" s="117">
        <v>203.1</v>
      </c>
      <c r="L791" s="117">
        <v>1.22</v>
      </c>
      <c r="M791" s="117">
        <v>1358.6</v>
      </c>
      <c r="N791" s="117">
        <v>0.76</v>
      </c>
      <c r="O791" s="117">
        <v>53.1</v>
      </c>
      <c r="P791" s="117">
        <v>2.5</v>
      </c>
      <c r="Q791" s="117">
        <v>5</v>
      </c>
      <c r="R791" s="117" t="s">
        <v>48</v>
      </c>
      <c r="S791" s="117">
        <v>3</v>
      </c>
    </row>
    <row r="792" spans="1:19" ht="15" x14ac:dyDescent="0.25">
      <c r="A792" s="7">
        <v>2012</v>
      </c>
      <c r="B792" s="116">
        <v>41089</v>
      </c>
      <c r="C792" s="17" t="s">
        <v>35</v>
      </c>
      <c r="D792" s="18" t="s">
        <v>2</v>
      </c>
      <c r="E792" s="18" t="s">
        <v>21</v>
      </c>
      <c r="F792" s="18" t="s">
        <v>49</v>
      </c>
      <c r="G792" s="30" t="s">
        <v>42</v>
      </c>
      <c r="H792" s="10" t="s">
        <v>55</v>
      </c>
      <c r="I792" s="18" t="s">
        <v>60</v>
      </c>
      <c r="J792" s="118">
        <v>0.70284722222222218</v>
      </c>
      <c r="K792" s="117">
        <v>339</v>
      </c>
      <c r="L792" s="117">
        <v>0.82</v>
      </c>
      <c r="M792" s="117">
        <v>1374.5</v>
      </c>
      <c r="N792" s="117">
        <v>0.76</v>
      </c>
      <c r="O792" s="117">
        <v>53.2</v>
      </c>
      <c r="P792" s="117">
        <v>1.9</v>
      </c>
      <c r="Q792" s="117">
        <v>20</v>
      </c>
      <c r="R792" s="117" t="s">
        <v>48</v>
      </c>
      <c r="S792" s="117">
        <v>3</v>
      </c>
    </row>
    <row r="793" spans="1:19" ht="15" x14ac:dyDescent="0.25">
      <c r="A793" s="7">
        <v>2012</v>
      </c>
      <c r="B793" s="116">
        <v>41089</v>
      </c>
      <c r="C793" s="17" t="s">
        <v>35</v>
      </c>
      <c r="D793" s="18" t="s">
        <v>2</v>
      </c>
      <c r="E793" s="18" t="s">
        <v>21</v>
      </c>
      <c r="F793" s="18" t="s">
        <v>49</v>
      </c>
      <c r="G793" s="30" t="s">
        <v>42</v>
      </c>
      <c r="H793" s="10" t="s">
        <v>55</v>
      </c>
      <c r="I793" s="18" t="s">
        <v>60</v>
      </c>
      <c r="J793" s="118">
        <v>0.70303240740740736</v>
      </c>
      <c r="K793" s="117">
        <v>382.6</v>
      </c>
      <c r="L793" s="117">
        <v>0.79</v>
      </c>
      <c r="M793" s="117">
        <v>1373.3</v>
      </c>
      <c r="N793" s="117">
        <v>0.76</v>
      </c>
      <c r="O793" s="117">
        <v>53.2</v>
      </c>
      <c r="P793" s="117">
        <v>1.7</v>
      </c>
      <c r="Q793" s="117">
        <v>35</v>
      </c>
      <c r="R793" s="117" t="s">
        <v>48</v>
      </c>
      <c r="S793" s="117">
        <v>3</v>
      </c>
    </row>
    <row r="794" spans="1:19" ht="15" x14ac:dyDescent="0.25">
      <c r="A794" s="7">
        <v>2012</v>
      </c>
      <c r="B794" s="116">
        <v>41089</v>
      </c>
      <c r="C794" s="17" t="s">
        <v>35</v>
      </c>
      <c r="D794" s="18" t="s">
        <v>2</v>
      </c>
      <c r="E794" s="18" t="s">
        <v>21</v>
      </c>
      <c r="F794" s="18" t="s">
        <v>49</v>
      </c>
      <c r="G794" s="30" t="s">
        <v>42</v>
      </c>
      <c r="H794" s="10" t="s">
        <v>55</v>
      </c>
      <c r="I794" s="18" t="s">
        <v>60</v>
      </c>
      <c r="J794" s="118">
        <v>0.70319444444444434</v>
      </c>
      <c r="K794" s="117">
        <v>569.70000000000005</v>
      </c>
      <c r="L794" s="117">
        <v>0.66</v>
      </c>
      <c r="M794" s="117">
        <v>1363.5</v>
      </c>
      <c r="N794" s="117">
        <v>0.76</v>
      </c>
      <c r="O794" s="117">
        <v>53.2</v>
      </c>
      <c r="P794" s="117">
        <v>1.1000000000000001</v>
      </c>
      <c r="Q794" s="117">
        <v>50</v>
      </c>
      <c r="R794" s="117" t="s">
        <v>48</v>
      </c>
      <c r="S794" s="117">
        <v>3</v>
      </c>
    </row>
    <row r="795" spans="1:19" ht="15" x14ac:dyDescent="0.25">
      <c r="A795" s="7">
        <v>2012</v>
      </c>
      <c r="B795" s="116">
        <v>41089</v>
      </c>
      <c r="C795" s="17" t="s">
        <v>35</v>
      </c>
      <c r="D795" s="18" t="s">
        <v>2</v>
      </c>
      <c r="E795" s="18" t="s">
        <v>21</v>
      </c>
      <c r="F795" s="18" t="s">
        <v>49</v>
      </c>
      <c r="G795" s="30" t="s">
        <v>42</v>
      </c>
      <c r="H795" s="10" t="s">
        <v>55</v>
      </c>
      <c r="I795" s="18" t="s">
        <v>60</v>
      </c>
      <c r="J795" s="118">
        <v>0.7033449074074074</v>
      </c>
      <c r="K795" s="117">
        <v>944.3</v>
      </c>
      <c r="L795" s="117">
        <v>0.28999999999999998</v>
      </c>
      <c r="M795" s="117">
        <v>1344</v>
      </c>
      <c r="N795" s="117">
        <v>0.75</v>
      </c>
      <c r="O795" s="117">
        <v>53.2</v>
      </c>
      <c r="P795" s="117">
        <v>0.4</v>
      </c>
      <c r="Q795" s="117">
        <v>65</v>
      </c>
      <c r="R795" s="117" t="s">
        <v>48</v>
      </c>
      <c r="S795" s="117">
        <v>3</v>
      </c>
    </row>
    <row r="796" spans="1:19" ht="15" x14ac:dyDescent="0.25">
      <c r="A796" s="7">
        <v>2012</v>
      </c>
      <c r="B796" s="116">
        <v>41089</v>
      </c>
      <c r="C796" s="17" t="s">
        <v>35</v>
      </c>
      <c r="D796" s="18" t="s">
        <v>2</v>
      </c>
      <c r="E796" s="18" t="s">
        <v>21</v>
      </c>
      <c r="F796" s="18" t="s">
        <v>49</v>
      </c>
      <c r="G796" s="30" t="s">
        <v>42</v>
      </c>
      <c r="H796" s="10" t="s">
        <v>55</v>
      </c>
      <c r="I796" s="18" t="s">
        <v>60</v>
      </c>
      <c r="J796" s="118">
        <v>0.70356481481481481</v>
      </c>
      <c r="K796" s="117">
        <v>1095.5</v>
      </c>
      <c r="L796" s="117">
        <v>0.03</v>
      </c>
      <c r="M796" s="117">
        <v>1352.5</v>
      </c>
      <c r="N796" s="117">
        <v>0.75</v>
      </c>
      <c r="O796" s="117">
        <v>53.3</v>
      </c>
      <c r="P796" s="117">
        <v>0.3</v>
      </c>
      <c r="Q796" s="117">
        <v>80</v>
      </c>
      <c r="R796" s="117" t="s">
        <v>48</v>
      </c>
      <c r="S796" s="117">
        <v>3</v>
      </c>
    </row>
    <row r="797" spans="1:19" ht="15" x14ac:dyDescent="0.25">
      <c r="A797" s="7">
        <v>2012</v>
      </c>
      <c r="B797" s="116">
        <v>41089</v>
      </c>
      <c r="C797" s="17" t="s">
        <v>35</v>
      </c>
      <c r="D797" s="18" t="s">
        <v>2</v>
      </c>
      <c r="E797" s="18" t="s">
        <v>20</v>
      </c>
      <c r="F797" s="18" t="s">
        <v>49</v>
      </c>
      <c r="G797" s="30" t="s">
        <v>42</v>
      </c>
      <c r="H797" s="10" t="s">
        <v>55</v>
      </c>
      <c r="I797" s="18" t="s">
        <v>60</v>
      </c>
      <c r="J797" s="118">
        <v>0.41539351851851852</v>
      </c>
      <c r="K797" s="117">
        <v>17.2</v>
      </c>
      <c r="L797" s="117">
        <v>0.47</v>
      </c>
      <c r="M797" s="117">
        <v>168.5</v>
      </c>
      <c r="N797" s="117">
        <v>0.04</v>
      </c>
      <c r="O797" s="117">
        <v>58</v>
      </c>
      <c r="P797" s="117">
        <v>3.4</v>
      </c>
      <c r="Q797" s="117">
        <v>5</v>
      </c>
      <c r="R797" s="117" t="s">
        <v>45</v>
      </c>
      <c r="S797" s="117">
        <v>1</v>
      </c>
    </row>
    <row r="798" spans="1:19" ht="15" x14ac:dyDescent="0.25">
      <c r="A798" s="7">
        <v>2012</v>
      </c>
      <c r="B798" s="116">
        <v>41089</v>
      </c>
      <c r="C798" s="17" t="s">
        <v>35</v>
      </c>
      <c r="D798" s="18" t="s">
        <v>2</v>
      </c>
      <c r="E798" s="18" t="s">
        <v>20</v>
      </c>
      <c r="F798" s="18" t="s">
        <v>49</v>
      </c>
      <c r="G798" s="30" t="s">
        <v>42</v>
      </c>
      <c r="H798" s="10" t="s">
        <v>55</v>
      </c>
      <c r="I798" s="18" t="s">
        <v>60</v>
      </c>
      <c r="J798" s="118">
        <v>0.41585648148148152</v>
      </c>
      <c r="K798" s="117">
        <v>35</v>
      </c>
      <c r="L798" s="117">
        <v>0.15</v>
      </c>
      <c r="M798" s="117">
        <v>166</v>
      </c>
      <c r="N798" s="117">
        <v>0.03</v>
      </c>
      <c r="O798" s="117">
        <v>57.9</v>
      </c>
      <c r="P798" s="117">
        <v>2.2000000000000002</v>
      </c>
      <c r="Q798" s="117">
        <v>20</v>
      </c>
      <c r="R798" s="117" t="s">
        <v>45</v>
      </c>
      <c r="S798" s="117">
        <v>1</v>
      </c>
    </row>
    <row r="799" spans="1:19" ht="15" x14ac:dyDescent="0.25">
      <c r="A799" s="7">
        <v>2012</v>
      </c>
      <c r="B799" s="116">
        <v>41089</v>
      </c>
      <c r="C799" s="17" t="s">
        <v>35</v>
      </c>
      <c r="D799" s="18" t="s">
        <v>2</v>
      </c>
      <c r="E799" s="18" t="s">
        <v>20</v>
      </c>
      <c r="F799" s="18" t="s">
        <v>49</v>
      </c>
      <c r="G799" s="30" t="s">
        <v>42</v>
      </c>
      <c r="H799" s="10" t="s">
        <v>55</v>
      </c>
      <c r="I799" s="18" t="s">
        <v>60</v>
      </c>
      <c r="J799" s="118">
        <v>0.41607638888888893</v>
      </c>
      <c r="K799" s="117">
        <v>42.1</v>
      </c>
      <c r="L799" s="117">
        <v>0.22</v>
      </c>
      <c r="M799" s="117">
        <v>164.8</v>
      </c>
      <c r="N799" s="117">
        <v>0.04</v>
      </c>
      <c r="O799" s="117">
        <v>57.9</v>
      </c>
      <c r="P799" s="117">
        <v>1.9</v>
      </c>
      <c r="Q799" s="117">
        <v>35</v>
      </c>
      <c r="R799" s="117" t="s">
        <v>45</v>
      </c>
      <c r="S799" s="117">
        <v>1</v>
      </c>
    </row>
    <row r="800" spans="1:19" ht="15" x14ac:dyDescent="0.25">
      <c r="A800" s="7">
        <v>2012</v>
      </c>
      <c r="B800" s="116">
        <v>41089</v>
      </c>
      <c r="C800" s="17" t="s">
        <v>35</v>
      </c>
      <c r="D800" s="18" t="s">
        <v>2</v>
      </c>
      <c r="E800" s="18" t="s">
        <v>20</v>
      </c>
      <c r="F800" s="18" t="s">
        <v>49</v>
      </c>
      <c r="G800" s="30" t="s">
        <v>42</v>
      </c>
      <c r="H800" s="10" t="s">
        <v>55</v>
      </c>
      <c r="I800" s="18" t="s">
        <v>60</v>
      </c>
      <c r="J800" s="118">
        <v>0.41625000000000001</v>
      </c>
      <c r="K800" s="117">
        <v>67.2</v>
      </c>
      <c r="L800" s="117">
        <v>0.19</v>
      </c>
      <c r="M800" s="117">
        <v>164.8</v>
      </c>
      <c r="N800" s="117">
        <v>0.03</v>
      </c>
      <c r="O800" s="117">
        <v>57.9</v>
      </c>
      <c r="P800" s="117">
        <v>1.2</v>
      </c>
      <c r="Q800" s="117">
        <v>50</v>
      </c>
      <c r="R800" s="117" t="s">
        <v>45</v>
      </c>
      <c r="S800" s="117">
        <v>1</v>
      </c>
    </row>
    <row r="801" spans="1:19" ht="15" x14ac:dyDescent="0.25">
      <c r="A801" s="7">
        <v>2012</v>
      </c>
      <c r="B801" s="116">
        <v>41089</v>
      </c>
      <c r="C801" s="17" t="s">
        <v>35</v>
      </c>
      <c r="D801" s="18" t="s">
        <v>2</v>
      </c>
      <c r="E801" s="18" t="s">
        <v>20</v>
      </c>
      <c r="F801" s="18" t="s">
        <v>49</v>
      </c>
      <c r="G801" s="30" t="s">
        <v>42</v>
      </c>
      <c r="H801" s="10" t="s">
        <v>55</v>
      </c>
      <c r="I801" s="18" t="s">
        <v>60</v>
      </c>
      <c r="J801" s="118">
        <v>0.41644675925925928</v>
      </c>
      <c r="K801" s="117">
        <v>101.2</v>
      </c>
      <c r="L801" s="117">
        <v>0.3</v>
      </c>
      <c r="M801" s="117">
        <v>163.6</v>
      </c>
      <c r="N801" s="117">
        <v>0.03</v>
      </c>
      <c r="O801" s="117">
        <v>57.9</v>
      </c>
      <c r="P801" s="117">
        <v>0.6</v>
      </c>
      <c r="Q801" s="117">
        <v>65</v>
      </c>
      <c r="R801" s="117" t="s">
        <v>45</v>
      </c>
      <c r="S801" s="117">
        <v>1</v>
      </c>
    </row>
    <row r="802" spans="1:19" ht="15" x14ac:dyDescent="0.25">
      <c r="A802" s="7">
        <v>2012</v>
      </c>
      <c r="B802" s="116">
        <v>41089</v>
      </c>
      <c r="C802" s="17" t="s">
        <v>35</v>
      </c>
      <c r="D802" s="18" t="s">
        <v>2</v>
      </c>
      <c r="E802" s="18" t="s">
        <v>20</v>
      </c>
      <c r="F802" s="18" t="s">
        <v>49</v>
      </c>
      <c r="G802" s="30" t="s">
        <v>42</v>
      </c>
      <c r="H802" s="10" t="s">
        <v>55</v>
      </c>
      <c r="I802" s="18" t="s">
        <v>60</v>
      </c>
      <c r="J802" s="118">
        <v>0.4168634259259259</v>
      </c>
      <c r="K802" s="117">
        <v>141.1</v>
      </c>
      <c r="L802" s="117">
        <v>0.04</v>
      </c>
      <c r="M802" s="117">
        <v>163.6</v>
      </c>
      <c r="N802" s="117">
        <v>0.03</v>
      </c>
      <c r="O802" s="117">
        <v>57.8</v>
      </c>
      <c r="P802" s="117">
        <v>0.2</v>
      </c>
      <c r="Q802" s="117">
        <v>80</v>
      </c>
      <c r="R802" s="117" t="s">
        <v>45</v>
      </c>
      <c r="S802" s="117">
        <v>1</v>
      </c>
    </row>
    <row r="803" spans="1:19" ht="15" x14ac:dyDescent="0.25">
      <c r="A803" s="7">
        <v>2012</v>
      </c>
      <c r="B803" s="116">
        <v>41089</v>
      </c>
      <c r="C803" s="17" t="s">
        <v>35</v>
      </c>
      <c r="D803" s="18" t="s">
        <v>2</v>
      </c>
      <c r="E803" s="18" t="s">
        <v>20</v>
      </c>
      <c r="F803" s="18" t="s">
        <v>49</v>
      </c>
      <c r="G803" s="30" t="s">
        <v>42</v>
      </c>
      <c r="H803" s="10" t="s">
        <v>55</v>
      </c>
      <c r="I803" s="18" t="s">
        <v>60</v>
      </c>
      <c r="J803" s="118">
        <v>0.4183101851851852</v>
      </c>
      <c r="K803" s="117">
        <v>21.3</v>
      </c>
      <c r="L803" s="117">
        <v>0.28000000000000003</v>
      </c>
      <c r="M803" s="117">
        <v>148.9</v>
      </c>
      <c r="N803" s="117">
        <v>0.03</v>
      </c>
      <c r="O803" s="117">
        <v>57.6</v>
      </c>
      <c r="P803" s="117">
        <v>2.8</v>
      </c>
      <c r="Q803" s="117">
        <v>5</v>
      </c>
      <c r="R803" s="117" t="s">
        <v>45</v>
      </c>
      <c r="S803" s="117">
        <v>2</v>
      </c>
    </row>
    <row r="804" spans="1:19" ht="15" x14ac:dyDescent="0.25">
      <c r="A804" s="7">
        <v>2012</v>
      </c>
      <c r="B804" s="116">
        <v>41089</v>
      </c>
      <c r="C804" s="17" t="s">
        <v>35</v>
      </c>
      <c r="D804" s="18" t="s">
        <v>2</v>
      </c>
      <c r="E804" s="18" t="s">
        <v>20</v>
      </c>
      <c r="F804" s="18" t="s">
        <v>49</v>
      </c>
      <c r="G804" s="30" t="s">
        <v>42</v>
      </c>
      <c r="H804" s="10" t="s">
        <v>55</v>
      </c>
      <c r="I804" s="18" t="s">
        <v>60</v>
      </c>
      <c r="J804" s="118">
        <v>0.41888888888888887</v>
      </c>
      <c r="K804" s="117">
        <v>29</v>
      </c>
      <c r="L804" s="117">
        <v>0.32</v>
      </c>
      <c r="M804" s="117">
        <v>147.69999999999999</v>
      </c>
      <c r="N804" s="117">
        <v>0.04</v>
      </c>
      <c r="O804" s="117">
        <v>57.6</v>
      </c>
      <c r="P804" s="117">
        <v>2.2999999999999998</v>
      </c>
      <c r="Q804" s="117">
        <v>20</v>
      </c>
      <c r="R804" s="117" t="s">
        <v>45</v>
      </c>
      <c r="S804" s="117">
        <v>2</v>
      </c>
    </row>
    <row r="805" spans="1:19" ht="15" x14ac:dyDescent="0.25">
      <c r="A805" s="7">
        <v>2012</v>
      </c>
      <c r="B805" s="116">
        <v>41089</v>
      </c>
      <c r="C805" s="17" t="s">
        <v>35</v>
      </c>
      <c r="D805" s="18" t="s">
        <v>2</v>
      </c>
      <c r="E805" s="18" t="s">
        <v>20</v>
      </c>
      <c r="F805" s="18" t="s">
        <v>49</v>
      </c>
      <c r="G805" s="30" t="s">
        <v>42</v>
      </c>
      <c r="H805" s="10" t="s">
        <v>55</v>
      </c>
      <c r="I805" s="18" t="s">
        <v>60</v>
      </c>
      <c r="J805" s="118">
        <v>0.41923611111111114</v>
      </c>
      <c r="K805" s="117">
        <v>43.4</v>
      </c>
      <c r="L805" s="117">
        <v>0.34</v>
      </c>
      <c r="M805" s="117">
        <v>146.5</v>
      </c>
      <c r="N805" s="117">
        <v>0.03</v>
      </c>
      <c r="O805" s="117">
        <v>57.5</v>
      </c>
      <c r="P805" s="117">
        <v>1.7</v>
      </c>
      <c r="Q805" s="117">
        <v>35</v>
      </c>
      <c r="R805" s="117" t="s">
        <v>45</v>
      </c>
      <c r="S805" s="117">
        <v>2</v>
      </c>
    </row>
    <row r="806" spans="1:19" ht="15" x14ac:dyDescent="0.25">
      <c r="A806" s="7">
        <v>2012</v>
      </c>
      <c r="B806" s="116">
        <v>41089</v>
      </c>
      <c r="C806" s="17" t="s">
        <v>35</v>
      </c>
      <c r="D806" s="18" t="s">
        <v>2</v>
      </c>
      <c r="E806" s="18" t="s">
        <v>20</v>
      </c>
      <c r="F806" s="18" t="s">
        <v>49</v>
      </c>
      <c r="G806" s="30" t="s">
        <v>42</v>
      </c>
      <c r="H806" s="10" t="s">
        <v>55</v>
      </c>
      <c r="I806" s="18" t="s">
        <v>60</v>
      </c>
      <c r="J806" s="118">
        <v>0.419375</v>
      </c>
      <c r="K806" s="117">
        <v>72.099999999999994</v>
      </c>
      <c r="L806" s="117">
        <v>0.18</v>
      </c>
      <c r="M806" s="117">
        <v>146.5</v>
      </c>
      <c r="N806" s="117">
        <v>0.04</v>
      </c>
      <c r="O806" s="117">
        <v>57.5</v>
      </c>
      <c r="P806" s="117">
        <v>0.9</v>
      </c>
      <c r="Q806" s="117">
        <v>50</v>
      </c>
      <c r="R806" s="117" t="s">
        <v>45</v>
      </c>
      <c r="S806" s="117">
        <v>2</v>
      </c>
    </row>
    <row r="807" spans="1:19" ht="15" x14ac:dyDescent="0.25">
      <c r="A807" s="7">
        <v>2012</v>
      </c>
      <c r="B807" s="116">
        <v>41089</v>
      </c>
      <c r="C807" s="17" t="s">
        <v>35</v>
      </c>
      <c r="D807" s="18" t="s">
        <v>2</v>
      </c>
      <c r="E807" s="18" t="s">
        <v>20</v>
      </c>
      <c r="F807" s="18" t="s">
        <v>49</v>
      </c>
      <c r="G807" s="30" t="s">
        <v>42</v>
      </c>
      <c r="H807" s="10" t="s">
        <v>55</v>
      </c>
      <c r="I807" s="18" t="s">
        <v>60</v>
      </c>
      <c r="J807" s="118">
        <v>0.4196064814814815</v>
      </c>
      <c r="K807" s="117">
        <v>115.2</v>
      </c>
      <c r="L807" s="117">
        <v>0.11</v>
      </c>
      <c r="M807" s="117">
        <v>146.5</v>
      </c>
      <c r="N807" s="117">
        <v>0.05</v>
      </c>
      <c r="O807" s="117">
        <v>57.5</v>
      </c>
      <c r="P807" s="117">
        <v>0.3</v>
      </c>
      <c r="Q807" s="117">
        <v>65</v>
      </c>
      <c r="R807" s="117" t="s">
        <v>45</v>
      </c>
      <c r="S807" s="117">
        <v>2</v>
      </c>
    </row>
    <row r="808" spans="1:19" ht="15" x14ac:dyDescent="0.25">
      <c r="A808" s="7">
        <v>2012</v>
      </c>
      <c r="B808" s="116">
        <v>41089</v>
      </c>
      <c r="C808" s="17" t="s">
        <v>35</v>
      </c>
      <c r="D808" s="18" t="s">
        <v>2</v>
      </c>
      <c r="E808" s="18" t="s">
        <v>20</v>
      </c>
      <c r="F808" s="18" t="s">
        <v>49</v>
      </c>
      <c r="G808" s="30" t="s">
        <v>42</v>
      </c>
      <c r="H808" s="10" t="s">
        <v>55</v>
      </c>
      <c r="I808" s="18" t="s">
        <v>60</v>
      </c>
      <c r="J808" s="118">
        <v>0.41975694444444445</v>
      </c>
      <c r="K808" s="117">
        <v>124.5</v>
      </c>
      <c r="L808" s="117">
        <v>0.03</v>
      </c>
      <c r="M808" s="117">
        <v>145.30000000000001</v>
      </c>
      <c r="N808" s="117">
        <v>0.04</v>
      </c>
      <c r="O808" s="117">
        <v>57.5</v>
      </c>
      <c r="P808" s="117">
        <v>0.2</v>
      </c>
      <c r="Q808" s="117">
        <v>80</v>
      </c>
      <c r="R808" s="117" t="s">
        <v>45</v>
      </c>
      <c r="S808" s="117">
        <v>2</v>
      </c>
    </row>
    <row r="809" spans="1:19" ht="15" x14ac:dyDescent="0.25">
      <c r="A809" s="7">
        <v>2012</v>
      </c>
      <c r="B809" s="116">
        <v>41089</v>
      </c>
      <c r="C809" s="17" t="s">
        <v>35</v>
      </c>
      <c r="D809" s="18" t="s">
        <v>2</v>
      </c>
      <c r="E809" s="18" t="s">
        <v>20</v>
      </c>
      <c r="F809" s="18" t="s">
        <v>49</v>
      </c>
      <c r="G809" s="30" t="s">
        <v>42</v>
      </c>
      <c r="H809" s="10" t="s">
        <v>55</v>
      </c>
      <c r="I809" s="18" t="s">
        <v>60</v>
      </c>
      <c r="J809" s="118">
        <v>0.42074074074074069</v>
      </c>
      <c r="K809" s="117">
        <v>34.5</v>
      </c>
      <c r="L809" s="117">
        <v>0.26</v>
      </c>
      <c r="M809" s="117">
        <v>152.6</v>
      </c>
      <c r="N809" s="117">
        <v>0.04</v>
      </c>
      <c r="O809" s="117">
        <v>57.3</v>
      </c>
      <c r="P809" s="117">
        <v>2.1</v>
      </c>
      <c r="Q809" s="117">
        <v>5</v>
      </c>
      <c r="R809" s="117" t="s">
        <v>45</v>
      </c>
      <c r="S809" s="117">
        <v>3</v>
      </c>
    </row>
    <row r="810" spans="1:19" ht="15" x14ac:dyDescent="0.25">
      <c r="A810" s="7">
        <v>2012</v>
      </c>
      <c r="B810" s="116">
        <v>41089</v>
      </c>
      <c r="C810" s="17" t="s">
        <v>35</v>
      </c>
      <c r="D810" s="18" t="s">
        <v>2</v>
      </c>
      <c r="E810" s="18" t="s">
        <v>20</v>
      </c>
      <c r="F810" s="18" t="s">
        <v>49</v>
      </c>
      <c r="G810" s="30" t="s">
        <v>42</v>
      </c>
      <c r="H810" s="10" t="s">
        <v>55</v>
      </c>
      <c r="I810" s="18" t="s">
        <v>60</v>
      </c>
      <c r="J810" s="118">
        <v>0.42123842592592592</v>
      </c>
      <c r="K810" s="117">
        <v>46.7</v>
      </c>
      <c r="L810" s="117">
        <v>0.17</v>
      </c>
      <c r="M810" s="117">
        <v>152.6</v>
      </c>
      <c r="N810" s="117">
        <v>0.04</v>
      </c>
      <c r="O810" s="117">
        <v>57.3</v>
      </c>
      <c r="P810" s="117">
        <v>1.6</v>
      </c>
      <c r="Q810" s="117">
        <v>20</v>
      </c>
      <c r="R810" s="117" t="s">
        <v>45</v>
      </c>
      <c r="S810" s="117">
        <v>3</v>
      </c>
    </row>
    <row r="811" spans="1:19" ht="15" x14ac:dyDescent="0.25">
      <c r="A811" s="7">
        <v>2012</v>
      </c>
      <c r="B811" s="116">
        <v>41089</v>
      </c>
      <c r="C811" s="17" t="s">
        <v>35</v>
      </c>
      <c r="D811" s="18" t="s">
        <v>2</v>
      </c>
      <c r="E811" s="18" t="s">
        <v>20</v>
      </c>
      <c r="F811" s="18" t="s">
        <v>49</v>
      </c>
      <c r="G811" s="30" t="s">
        <v>42</v>
      </c>
      <c r="H811" s="10" t="s">
        <v>55</v>
      </c>
      <c r="I811" s="18" t="s">
        <v>60</v>
      </c>
      <c r="J811" s="118">
        <v>0.42156250000000001</v>
      </c>
      <c r="K811" s="117">
        <v>54.3</v>
      </c>
      <c r="L811" s="117">
        <v>0.16</v>
      </c>
      <c r="M811" s="117">
        <v>155</v>
      </c>
      <c r="N811" s="117">
        <v>0.04</v>
      </c>
      <c r="O811" s="117">
        <v>57.2</v>
      </c>
      <c r="P811" s="117">
        <v>1.4</v>
      </c>
      <c r="Q811" s="117">
        <v>35</v>
      </c>
      <c r="R811" s="117" t="s">
        <v>45</v>
      </c>
      <c r="S811" s="117">
        <v>3</v>
      </c>
    </row>
    <row r="812" spans="1:19" ht="15" x14ac:dyDescent="0.25">
      <c r="A812" s="7">
        <v>2012</v>
      </c>
      <c r="B812" s="116">
        <v>41089</v>
      </c>
      <c r="C812" s="17" t="s">
        <v>35</v>
      </c>
      <c r="D812" s="18" t="s">
        <v>2</v>
      </c>
      <c r="E812" s="18" t="s">
        <v>20</v>
      </c>
      <c r="F812" s="18" t="s">
        <v>49</v>
      </c>
      <c r="G812" s="30" t="s">
        <v>42</v>
      </c>
      <c r="H812" s="10" t="s">
        <v>55</v>
      </c>
      <c r="I812" s="18" t="s">
        <v>60</v>
      </c>
      <c r="J812" s="118">
        <v>0.42177083333333337</v>
      </c>
      <c r="K812" s="117">
        <v>86</v>
      </c>
      <c r="L812" s="117">
        <v>0.38</v>
      </c>
      <c r="M812" s="117">
        <v>153.80000000000001</v>
      </c>
      <c r="N812" s="117">
        <v>0.03</v>
      </c>
      <c r="O812" s="117">
        <v>57.2</v>
      </c>
      <c r="P812" s="117">
        <v>0.7</v>
      </c>
      <c r="Q812" s="117">
        <v>50</v>
      </c>
      <c r="R812" s="117" t="s">
        <v>45</v>
      </c>
      <c r="S812" s="117">
        <v>3</v>
      </c>
    </row>
    <row r="813" spans="1:19" ht="15" x14ac:dyDescent="0.25">
      <c r="A813" s="7">
        <v>2012</v>
      </c>
      <c r="B813" s="116">
        <v>41089</v>
      </c>
      <c r="C813" s="17" t="s">
        <v>35</v>
      </c>
      <c r="D813" s="18" t="s">
        <v>2</v>
      </c>
      <c r="E813" s="18" t="s">
        <v>20</v>
      </c>
      <c r="F813" s="18" t="s">
        <v>49</v>
      </c>
      <c r="G813" s="30" t="s">
        <v>42</v>
      </c>
      <c r="H813" s="10" t="s">
        <v>55</v>
      </c>
      <c r="I813" s="18" t="s">
        <v>60</v>
      </c>
      <c r="J813" s="118">
        <v>0.42203703703703704</v>
      </c>
      <c r="K813" s="117">
        <v>126.6</v>
      </c>
      <c r="L813" s="117">
        <v>7.0000000000000007E-2</v>
      </c>
      <c r="M813" s="117">
        <v>156.19999999999999</v>
      </c>
      <c r="N813" s="117">
        <v>0.03</v>
      </c>
      <c r="O813" s="117">
        <v>57.2</v>
      </c>
      <c r="P813" s="117">
        <v>0.2</v>
      </c>
      <c r="Q813" s="117">
        <v>65</v>
      </c>
      <c r="R813" s="117" t="s">
        <v>45</v>
      </c>
      <c r="S813" s="117">
        <v>3</v>
      </c>
    </row>
    <row r="814" spans="1:19" ht="15" x14ac:dyDescent="0.25">
      <c r="A814" s="7">
        <v>2012</v>
      </c>
      <c r="B814" s="116">
        <v>41089</v>
      </c>
      <c r="C814" s="17" t="s">
        <v>35</v>
      </c>
      <c r="D814" s="18" t="s">
        <v>2</v>
      </c>
      <c r="E814" s="18" t="s">
        <v>20</v>
      </c>
      <c r="F814" s="18" t="s">
        <v>49</v>
      </c>
      <c r="G814" s="30" t="s">
        <v>42</v>
      </c>
      <c r="H814" s="10" t="s">
        <v>55</v>
      </c>
      <c r="I814" s="18" t="s">
        <v>60</v>
      </c>
      <c r="J814" s="118">
        <v>0.42222222222222222</v>
      </c>
      <c r="K814" s="117">
        <v>133.69999999999999</v>
      </c>
      <c r="L814" s="117">
        <v>0.03</v>
      </c>
      <c r="M814" s="117">
        <v>156.19999999999999</v>
      </c>
      <c r="N814" s="117">
        <v>0.03</v>
      </c>
      <c r="O814" s="117">
        <v>57.2</v>
      </c>
      <c r="P814" s="117">
        <v>0.2</v>
      </c>
      <c r="Q814" s="117">
        <v>80</v>
      </c>
      <c r="R814" s="117" t="s">
        <v>45</v>
      </c>
      <c r="S814" s="117">
        <v>3</v>
      </c>
    </row>
    <row r="815" spans="1:19" ht="15" x14ac:dyDescent="0.25">
      <c r="A815" s="7">
        <v>2012</v>
      </c>
      <c r="B815" s="116">
        <v>41088</v>
      </c>
      <c r="C815" s="13" t="s">
        <v>35</v>
      </c>
      <c r="D815" s="14" t="s">
        <v>2</v>
      </c>
      <c r="E815" s="14" t="s">
        <v>19</v>
      </c>
      <c r="F815" s="14" t="s">
        <v>49</v>
      </c>
      <c r="G815" s="30" t="s">
        <v>42</v>
      </c>
      <c r="H815" s="10" t="s">
        <v>55</v>
      </c>
      <c r="I815" s="106" t="s">
        <v>41</v>
      </c>
      <c r="J815" s="118">
        <v>0.40074074074074079</v>
      </c>
      <c r="K815" s="117">
        <v>28.6</v>
      </c>
      <c r="L815" s="117">
        <v>0.26</v>
      </c>
      <c r="M815" s="117">
        <v>162.4</v>
      </c>
      <c r="N815" s="117">
        <v>0.04</v>
      </c>
      <c r="O815" s="117">
        <v>59.8</v>
      </c>
      <c r="P815" s="117">
        <v>2.5</v>
      </c>
      <c r="Q815" s="117">
        <v>5</v>
      </c>
      <c r="R815" s="117" t="s">
        <v>45</v>
      </c>
      <c r="S815" s="117">
        <v>1</v>
      </c>
    </row>
    <row r="816" spans="1:19" ht="15" x14ac:dyDescent="0.25">
      <c r="A816" s="7">
        <v>2012</v>
      </c>
      <c r="B816" s="116">
        <v>41088</v>
      </c>
      <c r="C816" s="13" t="s">
        <v>35</v>
      </c>
      <c r="D816" s="14" t="s">
        <v>2</v>
      </c>
      <c r="E816" s="14" t="s">
        <v>19</v>
      </c>
      <c r="F816" s="14" t="s">
        <v>49</v>
      </c>
      <c r="G816" s="30" t="s">
        <v>42</v>
      </c>
      <c r="H816" s="10" t="s">
        <v>55</v>
      </c>
      <c r="I816" s="106" t="s">
        <v>41</v>
      </c>
      <c r="J816" s="118">
        <v>0.40133101851851855</v>
      </c>
      <c r="K816" s="117">
        <v>52.7</v>
      </c>
      <c r="L816" s="117">
        <v>0.16</v>
      </c>
      <c r="M816" s="117">
        <v>162.4</v>
      </c>
      <c r="N816" s="117">
        <v>0.04</v>
      </c>
      <c r="O816" s="117">
        <v>59.8</v>
      </c>
      <c r="P816" s="117">
        <v>1.5</v>
      </c>
      <c r="Q816" s="117">
        <v>20</v>
      </c>
      <c r="R816" s="117" t="s">
        <v>45</v>
      </c>
      <c r="S816" s="117">
        <v>1</v>
      </c>
    </row>
    <row r="817" spans="1:19" ht="15" x14ac:dyDescent="0.25">
      <c r="A817" s="7">
        <v>2012</v>
      </c>
      <c r="B817" s="116">
        <v>41088</v>
      </c>
      <c r="C817" s="13" t="s">
        <v>35</v>
      </c>
      <c r="D817" s="14" t="s">
        <v>2</v>
      </c>
      <c r="E817" s="14" t="s">
        <v>19</v>
      </c>
      <c r="F817" s="14" t="s">
        <v>49</v>
      </c>
      <c r="G817" s="30" t="s">
        <v>42</v>
      </c>
      <c r="H817" s="10" t="s">
        <v>55</v>
      </c>
      <c r="I817" s="106" t="s">
        <v>41</v>
      </c>
      <c r="J817" s="118">
        <v>0.40167824074074071</v>
      </c>
      <c r="K817" s="117">
        <v>90</v>
      </c>
      <c r="L817" s="117">
        <v>0.16</v>
      </c>
      <c r="M817" s="117">
        <v>163.6</v>
      </c>
      <c r="N817" s="117">
        <v>0.03</v>
      </c>
      <c r="O817" s="117">
        <v>59.7</v>
      </c>
      <c r="P817" s="117">
        <v>0.7</v>
      </c>
      <c r="Q817" s="117">
        <v>35</v>
      </c>
      <c r="R817" s="117" t="s">
        <v>45</v>
      </c>
      <c r="S817" s="117">
        <v>1</v>
      </c>
    </row>
    <row r="818" spans="1:19" ht="15" x14ac:dyDescent="0.25">
      <c r="A818" s="7">
        <v>2012</v>
      </c>
      <c r="B818" s="116">
        <v>41088</v>
      </c>
      <c r="C818" s="13" t="s">
        <v>35</v>
      </c>
      <c r="D818" s="14" t="s">
        <v>2</v>
      </c>
      <c r="E818" s="14" t="s">
        <v>19</v>
      </c>
      <c r="F818" s="14" t="s">
        <v>49</v>
      </c>
      <c r="G818" s="30" t="s">
        <v>42</v>
      </c>
      <c r="H818" s="10" t="s">
        <v>55</v>
      </c>
      <c r="I818" s="106" t="s">
        <v>41</v>
      </c>
      <c r="J818" s="118">
        <v>0.40194444444444444</v>
      </c>
      <c r="K818" s="117">
        <v>131.19999999999999</v>
      </c>
      <c r="L818" s="117">
        <v>0.05</v>
      </c>
      <c r="M818" s="117">
        <v>164.8</v>
      </c>
      <c r="N818" s="117">
        <v>0.04</v>
      </c>
      <c r="O818" s="117">
        <v>59.7</v>
      </c>
      <c r="P818" s="117">
        <v>0.3</v>
      </c>
      <c r="Q818" s="117">
        <v>50</v>
      </c>
      <c r="R818" s="117" t="s">
        <v>45</v>
      </c>
      <c r="S818" s="117">
        <v>1</v>
      </c>
    </row>
    <row r="819" spans="1:19" ht="15" x14ac:dyDescent="0.25">
      <c r="A819" s="7">
        <v>2012</v>
      </c>
      <c r="B819" s="116">
        <v>41088</v>
      </c>
      <c r="C819" s="13" t="s">
        <v>35</v>
      </c>
      <c r="D819" s="14" t="s">
        <v>2</v>
      </c>
      <c r="E819" s="14" t="s">
        <v>19</v>
      </c>
      <c r="F819" s="14" t="s">
        <v>49</v>
      </c>
      <c r="G819" s="30" t="s">
        <v>42</v>
      </c>
      <c r="H819" s="10" t="s">
        <v>55</v>
      </c>
      <c r="I819" s="106" t="s">
        <v>41</v>
      </c>
      <c r="J819" s="118">
        <v>0.4024537037037037</v>
      </c>
      <c r="K819" s="117">
        <v>140.69999999999999</v>
      </c>
      <c r="L819" s="117">
        <v>0.03</v>
      </c>
      <c r="M819" s="117">
        <v>166</v>
      </c>
      <c r="N819" s="117">
        <v>0.03</v>
      </c>
      <c r="O819" s="117">
        <v>59.6</v>
      </c>
      <c r="P819" s="117">
        <v>0.2</v>
      </c>
      <c r="Q819" s="117">
        <v>65</v>
      </c>
      <c r="R819" s="117" t="s">
        <v>45</v>
      </c>
      <c r="S819" s="117">
        <v>1</v>
      </c>
    </row>
    <row r="820" spans="1:19" ht="15" x14ac:dyDescent="0.25">
      <c r="A820" s="7">
        <v>2012</v>
      </c>
      <c r="B820" s="116">
        <v>41088</v>
      </c>
      <c r="C820" s="13" t="s">
        <v>35</v>
      </c>
      <c r="D820" s="14" t="s">
        <v>2</v>
      </c>
      <c r="E820" s="14" t="s">
        <v>19</v>
      </c>
      <c r="F820" s="14" t="s">
        <v>49</v>
      </c>
      <c r="G820" s="30" t="s">
        <v>42</v>
      </c>
      <c r="H820" s="10" t="s">
        <v>55</v>
      </c>
      <c r="I820" s="106" t="s">
        <v>41</v>
      </c>
      <c r="J820" s="118">
        <v>0.40291666666666665</v>
      </c>
      <c r="K820" s="117">
        <v>37.5</v>
      </c>
      <c r="L820" s="117">
        <v>0.31</v>
      </c>
      <c r="M820" s="117">
        <v>166</v>
      </c>
      <c r="N820" s="117">
        <v>0.03</v>
      </c>
      <c r="O820" s="117">
        <v>59.6</v>
      </c>
      <c r="P820" s="117">
        <v>2.1</v>
      </c>
      <c r="Q820" s="117">
        <v>5</v>
      </c>
      <c r="R820" s="117" t="s">
        <v>45</v>
      </c>
      <c r="S820" s="117">
        <v>2</v>
      </c>
    </row>
    <row r="821" spans="1:19" ht="15" x14ac:dyDescent="0.25">
      <c r="A821" s="7">
        <v>2012</v>
      </c>
      <c r="B821" s="116">
        <v>41088</v>
      </c>
      <c r="C821" s="13" t="s">
        <v>35</v>
      </c>
      <c r="D821" s="14" t="s">
        <v>2</v>
      </c>
      <c r="E821" s="14" t="s">
        <v>19</v>
      </c>
      <c r="F821" s="14" t="s">
        <v>49</v>
      </c>
      <c r="G821" s="30" t="s">
        <v>42</v>
      </c>
      <c r="H821" s="10" t="s">
        <v>55</v>
      </c>
      <c r="I821" s="106" t="s">
        <v>41</v>
      </c>
      <c r="J821" s="118">
        <v>0.403287037037037</v>
      </c>
      <c r="K821" s="117">
        <v>54.2</v>
      </c>
      <c r="L821" s="117">
        <v>0.17</v>
      </c>
      <c r="M821" s="117">
        <v>166</v>
      </c>
      <c r="N821" s="117">
        <v>0.03</v>
      </c>
      <c r="O821" s="117">
        <v>59.5</v>
      </c>
      <c r="P821" s="117">
        <v>1.5</v>
      </c>
      <c r="Q821" s="117">
        <v>20</v>
      </c>
      <c r="R821" s="117" t="s">
        <v>45</v>
      </c>
      <c r="S821" s="117">
        <v>2</v>
      </c>
    </row>
    <row r="822" spans="1:19" ht="15" x14ac:dyDescent="0.25">
      <c r="A822" s="7">
        <v>2012</v>
      </c>
      <c r="B822" s="116">
        <v>41088</v>
      </c>
      <c r="C822" s="13" t="s">
        <v>35</v>
      </c>
      <c r="D822" s="14" t="s">
        <v>2</v>
      </c>
      <c r="E822" s="14" t="s">
        <v>19</v>
      </c>
      <c r="F822" s="14" t="s">
        <v>49</v>
      </c>
      <c r="G822" s="30" t="s">
        <v>42</v>
      </c>
      <c r="H822" s="10" t="s">
        <v>55</v>
      </c>
      <c r="I822" s="106" t="s">
        <v>41</v>
      </c>
      <c r="J822" s="118">
        <v>0.4034490740740741</v>
      </c>
      <c r="K822" s="117">
        <v>72.8</v>
      </c>
      <c r="L822" s="117">
        <v>0.18</v>
      </c>
      <c r="M822" s="117">
        <v>166</v>
      </c>
      <c r="N822" s="117">
        <v>0.03</v>
      </c>
      <c r="O822" s="117">
        <v>59.5</v>
      </c>
      <c r="P822" s="117">
        <v>1.1000000000000001</v>
      </c>
      <c r="Q822" s="117">
        <v>35</v>
      </c>
      <c r="R822" s="117" t="s">
        <v>45</v>
      </c>
      <c r="S822" s="117">
        <v>2</v>
      </c>
    </row>
    <row r="823" spans="1:19" ht="15" x14ac:dyDescent="0.25">
      <c r="A823" s="7">
        <v>2012</v>
      </c>
      <c r="B823" s="116">
        <v>41088</v>
      </c>
      <c r="C823" s="13" t="s">
        <v>35</v>
      </c>
      <c r="D823" s="14" t="s">
        <v>2</v>
      </c>
      <c r="E823" s="14" t="s">
        <v>19</v>
      </c>
      <c r="F823" s="14" t="s">
        <v>49</v>
      </c>
      <c r="G823" s="30" t="s">
        <v>42</v>
      </c>
      <c r="H823" s="10" t="s">
        <v>55</v>
      </c>
      <c r="I823" s="106" t="s">
        <v>41</v>
      </c>
      <c r="J823" s="118">
        <v>0.40377314814814813</v>
      </c>
      <c r="K823" s="117">
        <v>125.4</v>
      </c>
      <c r="L823" s="117">
        <v>0.08</v>
      </c>
      <c r="M823" s="117">
        <v>166</v>
      </c>
      <c r="N823" s="117">
        <v>0.03</v>
      </c>
      <c r="O823" s="117">
        <v>59.5</v>
      </c>
      <c r="P823" s="117">
        <v>0.3</v>
      </c>
      <c r="Q823" s="117">
        <v>50</v>
      </c>
      <c r="R823" s="117" t="s">
        <v>45</v>
      </c>
      <c r="S823" s="117">
        <v>2</v>
      </c>
    </row>
    <row r="824" spans="1:19" ht="15" x14ac:dyDescent="0.25">
      <c r="A824" s="7">
        <v>2012</v>
      </c>
      <c r="B824" s="116">
        <v>41088</v>
      </c>
      <c r="C824" s="13" t="s">
        <v>35</v>
      </c>
      <c r="D824" s="14" t="s">
        <v>2</v>
      </c>
      <c r="E824" s="14" t="s">
        <v>19</v>
      </c>
      <c r="F824" s="14" t="s">
        <v>49</v>
      </c>
      <c r="G824" s="30" t="s">
        <v>42</v>
      </c>
      <c r="H824" s="10" t="s">
        <v>55</v>
      </c>
      <c r="I824" s="106" t="s">
        <v>41</v>
      </c>
      <c r="J824" s="118">
        <v>0.40393518518518517</v>
      </c>
      <c r="K824" s="117">
        <v>139.5</v>
      </c>
      <c r="L824" s="117">
        <v>0.04</v>
      </c>
      <c r="M824" s="117">
        <v>167.2</v>
      </c>
      <c r="N824" s="117">
        <v>0.04</v>
      </c>
      <c r="O824" s="117">
        <v>59.4</v>
      </c>
      <c r="P824" s="117">
        <v>0.2</v>
      </c>
      <c r="Q824" s="117">
        <v>65</v>
      </c>
      <c r="R824" s="117" t="s">
        <v>45</v>
      </c>
      <c r="S824" s="117">
        <v>2</v>
      </c>
    </row>
    <row r="825" spans="1:19" ht="15" x14ac:dyDescent="0.25">
      <c r="A825" s="7">
        <v>2012</v>
      </c>
      <c r="B825" s="116">
        <v>41088</v>
      </c>
      <c r="C825" s="13" t="s">
        <v>35</v>
      </c>
      <c r="D825" s="14" t="s">
        <v>2</v>
      </c>
      <c r="E825" s="14" t="s">
        <v>19</v>
      </c>
      <c r="F825" s="14" t="s">
        <v>49</v>
      </c>
      <c r="G825" s="30" t="s">
        <v>42</v>
      </c>
      <c r="H825" s="10" t="s">
        <v>55</v>
      </c>
      <c r="I825" s="106" t="s">
        <v>41</v>
      </c>
      <c r="J825" s="118">
        <v>0.40425925925925926</v>
      </c>
      <c r="K825" s="117">
        <v>38.1</v>
      </c>
      <c r="L825" s="117">
        <v>0.31</v>
      </c>
      <c r="M825" s="117">
        <v>166</v>
      </c>
      <c r="N825" s="117">
        <v>0.03</v>
      </c>
      <c r="O825" s="117">
        <v>59.4</v>
      </c>
      <c r="P825" s="117">
        <v>2.1</v>
      </c>
      <c r="Q825" s="117">
        <v>5</v>
      </c>
      <c r="R825" s="117" t="s">
        <v>45</v>
      </c>
      <c r="S825" s="117">
        <v>3</v>
      </c>
    </row>
    <row r="826" spans="1:19" ht="15" x14ac:dyDescent="0.25">
      <c r="A826" s="7">
        <v>2012</v>
      </c>
      <c r="B826" s="116">
        <v>41088</v>
      </c>
      <c r="C826" s="13" t="s">
        <v>35</v>
      </c>
      <c r="D826" s="14" t="s">
        <v>2</v>
      </c>
      <c r="E826" s="14" t="s">
        <v>19</v>
      </c>
      <c r="F826" s="14" t="s">
        <v>49</v>
      </c>
      <c r="G826" s="30" t="s">
        <v>42</v>
      </c>
      <c r="H826" s="10" t="s">
        <v>55</v>
      </c>
      <c r="I826" s="106" t="s">
        <v>41</v>
      </c>
      <c r="J826" s="118">
        <v>0.40456018518518522</v>
      </c>
      <c r="K826" s="117">
        <v>71.8</v>
      </c>
      <c r="L826" s="117">
        <v>0.16</v>
      </c>
      <c r="M826" s="117">
        <v>167.2</v>
      </c>
      <c r="N826" s="117">
        <v>0.04</v>
      </c>
      <c r="O826" s="117">
        <v>59.4</v>
      </c>
      <c r="P826" s="117">
        <v>1.1000000000000001</v>
      </c>
      <c r="Q826" s="117">
        <v>20</v>
      </c>
      <c r="R826" s="117" t="s">
        <v>45</v>
      </c>
      <c r="S826" s="117">
        <v>3</v>
      </c>
    </row>
    <row r="827" spans="1:19" ht="15" x14ac:dyDescent="0.25">
      <c r="A827" s="7">
        <v>2012</v>
      </c>
      <c r="B827" s="116">
        <v>41088</v>
      </c>
      <c r="C827" s="13" t="s">
        <v>35</v>
      </c>
      <c r="D827" s="14" t="s">
        <v>2</v>
      </c>
      <c r="E827" s="14" t="s">
        <v>19</v>
      </c>
      <c r="F827" s="14" t="s">
        <v>49</v>
      </c>
      <c r="G827" s="30" t="s">
        <v>42</v>
      </c>
      <c r="H827" s="10" t="s">
        <v>55</v>
      </c>
      <c r="I827" s="106" t="s">
        <v>41</v>
      </c>
      <c r="J827" s="118">
        <v>0.40483796296296298</v>
      </c>
      <c r="K827" s="117">
        <v>108.3</v>
      </c>
      <c r="L827" s="117">
        <v>0.08</v>
      </c>
      <c r="M827" s="117">
        <v>168.5</v>
      </c>
      <c r="N827" s="117">
        <v>0.03</v>
      </c>
      <c r="O827" s="117">
        <v>59.3</v>
      </c>
      <c r="P827" s="117">
        <v>0.5</v>
      </c>
      <c r="Q827" s="117">
        <v>35</v>
      </c>
      <c r="R827" s="117" t="s">
        <v>45</v>
      </c>
      <c r="S827" s="117">
        <v>3</v>
      </c>
    </row>
    <row r="828" spans="1:19" ht="15" x14ac:dyDescent="0.25">
      <c r="A828" s="7">
        <v>2012</v>
      </c>
      <c r="B828" s="115">
        <v>41088</v>
      </c>
      <c r="C828" s="21" t="s">
        <v>35</v>
      </c>
      <c r="D828" s="22" t="s">
        <v>2</v>
      </c>
      <c r="E828" s="22" t="s">
        <v>19</v>
      </c>
      <c r="F828" s="22" t="s">
        <v>49</v>
      </c>
      <c r="G828" s="30" t="s">
        <v>42</v>
      </c>
      <c r="H828" s="10" t="s">
        <v>55</v>
      </c>
      <c r="I828" s="110" t="s">
        <v>41</v>
      </c>
      <c r="J828" s="118">
        <v>0.40498842592592593</v>
      </c>
      <c r="K828" s="117">
        <v>128.30000000000001</v>
      </c>
      <c r="L828" s="117">
        <v>0.05</v>
      </c>
      <c r="M828" s="117">
        <v>168.5</v>
      </c>
      <c r="N828" s="117">
        <v>0.03</v>
      </c>
      <c r="O828" s="117">
        <v>59.3</v>
      </c>
      <c r="P828" s="117">
        <v>0.3</v>
      </c>
      <c r="Q828" s="117">
        <v>50</v>
      </c>
      <c r="R828" s="117" t="s">
        <v>45</v>
      </c>
      <c r="S828" s="117">
        <v>3</v>
      </c>
    </row>
    <row r="829" spans="1:19" ht="15" x14ac:dyDescent="0.25">
      <c r="A829" s="7">
        <v>2012</v>
      </c>
      <c r="B829" s="115">
        <v>41088</v>
      </c>
      <c r="C829" s="21" t="s">
        <v>35</v>
      </c>
      <c r="D829" s="22" t="s">
        <v>2</v>
      </c>
      <c r="E829" s="22" t="s">
        <v>19</v>
      </c>
      <c r="F829" s="22" t="s">
        <v>49</v>
      </c>
      <c r="G829" s="30" t="s">
        <v>42</v>
      </c>
      <c r="H829" s="10" t="s">
        <v>55</v>
      </c>
      <c r="I829" s="110" t="s">
        <v>41</v>
      </c>
      <c r="J829" s="118">
        <v>0.40515046296296298</v>
      </c>
      <c r="K829" s="117">
        <v>139.9</v>
      </c>
      <c r="L829" s="117">
        <v>0.04</v>
      </c>
      <c r="M829" s="117">
        <v>168.5</v>
      </c>
      <c r="N829" s="117">
        <v>0.03</v>
      </c>
      <c r="O829" s="117">
        <v>59.3</v>
      </c>
      <c r="P829" s="117">
        <v>0.2</v>
      </c>
      <c r="Q829" s="117">
        <v>65</v>
      </c>
      <c r="R829" s="117" t="s">
        <v>45</v>
      </c>
      <c r="S829" s="117">
        <v>3</v>
      </c>
    </row>
    <row r="830" spans="1:19" ht="15" x14ac:dyDescent="0.25">
      <c r="A830" s="7">
        <v>2012</v>
      </c>
      <c r="B830" s="115">
        <v>41088</v>
      </c>
      <c r="C830" s="21" t="s">
        <v>35</v>
      </c>
      <c r="D830" s="22" t="s">
        <v>2</v>
      </c>
      <c r="E830" s="22" t="s">
        <v>19</v>
      </c>
      <c r="F830" s="22" t="s">
        <v>49</v>
      </c>
      <c r="G830" s="30" t="s">
        <v>42</v>
      </c>
      <c r="H830" s="10" t="s">
        <v>55</v>
      </c>
      <c r="I830" s="110" t="s">
        <v>41</v>
      </c>
      <c r="J830" s="118">
        <v>0.67450231481481471</v>
      </c>
      <c r="K830" s="117">
        <v>161.1</v>
      </c>
      <c r="L830" s="117">
        <v>0.6</v>
      </c>
      <c r="M830" s="117">
        <v>1396.5</v>
      </c>
      <c r="N830" s="117">
        <v>0.79</v>
      </c>
      <c r="O830" s="117">
        <v>50.6</v>
      </c>
      <c r="P830" s="117">
        <v>3</v>
      </c>
      <c r="Q830" s="117">
        <v>5</v>
      </c>
      <c r="R830" s="117" t="s">
        <v>48</v>
      </c>
      <c r="S830" s="117">
        <v>1</v>
      </c>
    </row>
    <row r="831" spans="1:19" ht="15" x14ac:dyDescent="0.25">
      <c r="A831" s="7">
        <v>2012</v>
      </c>
      <c r="B831" s="115">
        <v>41088</v>
      </c>
      <c r="C831" s="21" t="s">
        <v>35</v>
      </c>
      <c r="D831" s="22" t="s">
        <v>2</v>
      </c>
      <c r="E831" s="22" t="s">
        <v>19</v>
      </c>
      <c r="F831" s="22" t="s">
        <v>49</v>
      </c>
      <c r="G831" s="30" t="s">
        <v>42</v>
      </c>
      <c r="H831" s="10" t="s">
        <v>55</v>
      </c>
      <c r="I831" s="110" t="s">
        <v>41</v>
      </c>
      <c r="J831" s="118">
        <v>0.67488425925925932</v>
      </c>
      <c r="K831" s="117">
        <v>449.1</v>
      </c>
      <c r="L831" s="117">
        <v>0.62</v>
      </c>
      <c r="M831" s="117">
        <v>1400.1</v>
      </c>
      <c r="N831" s="117">
        <v>0.79</v>
      </c>
      <c r="O831" s="117">
        <v>50.6</v>
      </c>
      <c r="P831" s="117">
        <v>1.6</v>
      </c>
      <c r="Q831" s="117">
        <v>20</v>
      </c>
      <c r="R831" s="117" t="s">
        <v>48</v>
      </c>
      <c r="S831" s="117">
        <v>1</v>
      </c>
    </row>
    <row r="832" spans="1:19" ht="15" x14ac:dyDescent="0.25">
      <c r="A832" s="7">
        <v>2012</v>
      </c>
      <c r="B832" s="115">
        <v>41088</v>
      </c>
      <c r="C832" s="21" t="s">
        <v>35</v>
      </c>
      <c r="D832" s="22" t="s">
        <v>2</v>
      </c>
      <c r="E832" s="22" t="s">
        <v>19</v>
      </c>
      <c r="F832" s="22" t="s">
        <v>49</v>
      </c>
      <c r="G832" s="30" t="s">
        <v>42</v>
      </c>
      <c r="H832" s="10" t="s">
        <v>55</v>
      </c>
      <c r="I832" s="110" t="s">
        <v>41</v>
      </c>
      <c r="J832" s="118">
        <v>0.67504629629629631</v>
      </c>
      <c r="K832" s="117">
        <v>944.5</v>
      </c>
      <c r="L832" s="117">
        <v>0.27</v>
      </c>
      <c r="M832" s="117">
        <v>1398.9</v>
      </c>
      <c r="N832" s="117">
        <v>0.79</v>
      </c>
      <c r="O832" s="117">
        <v>50.6</v>
      </c>
      <c r="P832" s="117">
        <v>0.5</v>
      </c>
      <c r="Q832" s="117">
        <v>35</v>
      </c>
      <c r="R832" s="117" t="s">
        <v>48</v>
      </c>
      <c r="S832" s="117">
        <v>1</v>
      </c>
    </row>
    <row r="833" spans="1:19" ht="15" x14ac:dyDescent="0.25">
      <c r="A833" s="7">
        <v>2012</v>
      </c>
      <c r="B833" s="115">
        <v>41088</v>
      </c>
      <c r="C833" s="21" t="s">
        <v>35</v>
      </c>
      <c r="D833" s="22" t="s">
        <v>2</v>
      </c>
      <c r="E833" s="22" t="s">
        <v>19</v>
      </c>
      <c r="F833" s="22" t="s">
        <v>49</v>
      </c>
      <c r="G833" s="30" t="s">
        <v>42</v>
      </c>
      <c r="H833" s="10" t="s">
        <v>55</v>
      </c>
      <c r="I833" s="110" t="s">
        <v>41</v>
      </c>
      <c r="J833" s="118">
        <v>0.67517361111111107</v>
      </c>
      <c r="K833" s="117">
        <v>1132.3</v>
      </c>
      <c r="L833" s="117">
        <v>0.03</v>
      </c>
      <c r="M833" s="117">
        <v>1400.1</v>
      </c>
      <c r="N833" s="117">
        <v>0.79</v>
      </c>
      <c r="O833" s="117">
        <v>50.6</v>
      </c>
      <c r="P833" s="117">
        <v>0.3</v>
      </c>
      <c r="Q833" s="117">
        <v>50</v>
      </c>
      <c r="R833" s="117" t="s">
        <v>48</v>
      </c>
      <c r="S833" s="117">
        <v>1</v>
      </c>
    </row>
    <row r="834" spans="1:19" ht="15" x14ac:dyDescent="0.25">
      <c r="A834" s="7">
        <v>2012</v>
      </c>
      <c r="B834" s="115">
        <v>41088</v>
      </c>
      <c r="C834" s="21" t="s">
        <v>35</v>
      </c>
      <c r="D834" s="22" t="s">
        <v>2</v>
      </c>
      <c r="E834" s="22" t="s">
        <v>19</v>
      </c>
      <c r="F834" s="22" t="s">
        <v>49</v>
      </c>
      <c r="G834" s="30" t="s">
        <v>42</v>
      </c>
      <c r="H834" s="10" t="s">
        <v>55</v>
      </c>
      <c r="I834" s="110" t="s">
        <v>41</v>
      </c>
      <c r="J834" s="118">
        <v>0.67568287037037045</v>
      </c>
      <c r="K834" s="117">
        <v>149.80000000000001</v>
      </c>
      <c r="L834" s="117">
        <v>0.77</v>
      </c>
      <c r="M834" s="117">
        <v>1406.2</v>
      </c>
      <c r="N834" s="117">
        <v>0.79</v>
      </c>
      <c r="O834" s="117">
        <v>50.7</v>
      </c>
      <c r="P834" s="117">
        <v>3.1</v>
      </c>
      <c r="Q834" s="117">
        <v>20</v>
      </c>
      <c r="R834" s="117" t="s">
        <v>48</v>
      </c>
      <c r="S834" s="117">
        <v>1</v>
      </c>
    </row>
    <row r="835" spans="1:19" ht="15" x14ac:dyDescent="0.25">
      <c r="A835" s="7">
        <v>2012</v>
      </c>
      <c r="B835" s="115">
        <v>41088</v>
      </c>
      <c r="C835" s="21" t="s">
        <v>35</v>
      </c>
      <c r="D835" s="22" t="s">
        <v>2</v>
      </c>
      <c r="E835" s="22" t="s">
        <v>19</v>
      </c>
      <c r="F835" s="22" t="s">
        <v>49</v>
      </c>
      <c r="G835" s="30" t="s">
        <v>42</v>
      </c>
      <c r="H835" s="10" t="s">
        <v>55</v>
      </c>
      <c r="I835" s="110" t="s">
        <v>41</v>
      </c>
      <c r="J835" s="118">
        <v>0.67607638888888888</v>
      </c>
      <c r="K835" s="117">
        <v>321.39999999999998</v>
      </c>
      <c r="L835" s="117">
        <v>0.74</v>
      </c>
      <c r="M835" s="117">
        <v>1417.2</v>
      </c>
      <c r="N835" s="117">
        <v>0.79</v>
      </c>
      <c r="O835" s="117">
        <v>50.7</v>
      </c>
      <c r="P835" s="117">
        <v>2</v>
      </c>
      <c r="Q835" s="117">
        <v>35</v>
      </c>
      <c r="R835" s="117" t="s">
        <v>48</v>
      </c>
      <c r="S835" s="117">
        <v>2</v>
      </c>
    </row>
    <row r="836" spans="1:19" ht="15" x14ac:dyDescent="0.25">
      <c r="A836" s="7">
        <v>2012</v>
      </c>
      <c r="B836" s="115">
        <v>41088</v>
      </c>
      <c r="C836" s="21" t="s">
        <v>35</v>
      </c>
      <c r="D836" s="22" t="s">
        <v>2</v>
      </c>
      <c r="E836" s="22" t="s">
        <v>19</v>
      </c>
      <c r="F836" s="22" t="s">
        <v>49</v>
      </c>
      <c r="G836" s="30" t="s">
        <v>42</v>
      </c>
      <c r="H836" s="10" t="s">
        <v>55</v>
      </c>
      <c r="I836" s="110" t="s">
        <v>41</v>
      </c>
      <c r="J836" s="118">
        <v>0.67646990740740742</v>
      </c>
      <c r="K836" s="117">
        <v>456.5</v>
      </c>
      <c r="L836" s="117">
        <v>0.62</v>
      </c>
      <c r="M836" s="117">
        <v>1419.7</v>
      </c>
      <c r="N836" s="117">
        <v>0.79</v>
      </c>
      <c r="O836" s="117">
        <v>50.7</v>
      </c>
      <c r="P836" s="117">
        <v>1.6</v>
      </c>
      <c r="Q836" s="117">
        <v>50</v>
      </c>
      <c r="R836" s="117" t="s">
        <v>48</v>
      </c>
      <c r="S836" s="117">
        <v>2</v>
      </c>
    </row>
    <row r="837" spans="1:19" ht="15" x14ac:dyDescent="0.25">
      <c r="A837" s="7">
        <v>2012</v>
      </c>
      <c r="B837" s="115">
        <v>41088</v>
      </c>
      <c r="C837" s="21" t="s">
        <v>35</v>
      </c>
      <c r="D837" s="22" t="s">
        <v>2</v>
      </c>
      <c r="E837" s="22" t="s">
        <v>19</v>
      </c>
      <c r="F837" s="22" t="s">
        <v>49</v>
      </c>
      <c r="G837" s="30" t="s">
        <v>42</v>
      </c>
      <c r="H837" s="10" t="s">
        <v>55</v>
      </c>
      <c r="I837" s="110" t="s">
        <v>41</v>
      </c>
      <c r="J837" s="118">
        <v>0.67660879629629633</v>
      </c>
      <c r="K837" s="117">
        <v>1057.2</v>
      </c>
      <c r="L837" s="117">
        <v>0.17</v>
      </c>
      <c r="M837" s="117">
        <v>1416</v>
      </c>
      <c r="N837" s="117">
        <v>0.79</v>
      </c>
      <c r="O837" s="117">
        <v>50.7</v>
      </c>
      <c r="P837" s="117">
        <v>0.4</v>
      </c>
      <c r="Q837" s="117">
        <v>65</v>
      </c>
      <c r="R837" s="117" t="s">
        <v>65</v>
      </c>
      <c r="S837" s="117">
        <v>2</v>
      </c>
    </row>
    <row r="838" spans="1:19" ht="15" x14ac:dyDescent="0.25">
      <c r="A838" s="7">
        <v>2012</v>
      </c>
      <c r="B838" s="115">
        <v>41088</v>
      </c>
      <c r="C838" s="21" t="s">
        <v>35</v>
      </c>
      <c r="D838" s="22" t="s">
        <v>2</v>
      </c>
      <c r="E838" s="22" t="s">
        <v>19</v>
      </c>
      <c r="F838" s="22" t="s">
        <v>49</v>
      </c>
      <c r="G838" s="30" t="s">
        <v>42</v>
      </c>
      <c r="H838" s="10" t="s">
        <v>55</v>
      </c>
      <c r="I838" s="110" t="s">
        <v>41</v>
      </c>
      <c r="J838" s="118">
        <v>0.67675925925925917</v>
      </c>
      <c r="K838" s="117">
        <v>1165.8</v>
      </c>
      <c r="L838" s="117">
        <v>0.03</v>
      </c>
      <c r="M838" s="117">
        <v>1419.7</v>
      </c>
      <c r="N838" s="117">
        <v>0.79</v>
      </c>
      <c r="O838" s="117">
        <v>50.7</v>
      </c>
      <c r="P838" s="117">
        <v>0.3</v>
      </c>
      <c r="Q838" s="117">
        <v>80</v>
      </c>
      <c r="R838" s="117" t="s">
        <v>65</v>
      </c>
      <c r="S838" s="117">
        <v>2</v>
      </c>
    </row>
    <row r="839" spans="1:19" ht="15" x14ac:dyDescent="0.25">
      <c r="A839" s="7">
        <v>2012</v>
      </c>
      <c r="B839" s="115">
        <v>41088</v>
      </c>
      <c r="C839" s="21" t="s">
        <v>35</v>
      </c>
      <c r="D839" s="22" t="s">
        <v>2</v>
      </c>
      <c r="E839" s="22" t="s">
        <v>19</v>
      </c>
      <c r="F839" s="22" t="s">
        <v>49</v>
      </c>
      <c r="G839" s="30" t="s">
        <v>42</v>
      </c>
      <c r="H839" s="10" t="s">
        <v>55</v>
      </c>
      <c r="I839" s="110" t="s">
        <v>41</v>
      </c>
      <c r="J839" s="118">
        <v>0.67736111111111119</v>
      </c>
      <c r="K839" s="117">
        <v>125</v>
      </c>
      <c r="L839" s="117">
        <v>1</v>
      </c>
      <c r="M839" s="117">
        <v>1418.5</v>
      </c>
      <c r="N839" s="117">
        <v>0.79</v>
      </c>
      <c r="O839" s="117">
        <v>50.8</v>
      </c>
      <c r="P839" s="117">
        <v>3.4</v>
      </c>
      <c r="Q839" s="117">
        <v>5</v>
      </c>
      <c r="R839" s="117" t="s">
        <v>48</v>
      </c>
      <c r="S839" s="117">
        <v>2</v>
      </c>
    </row>
    <row r="840" spans="1:19" ht="15" x14ac:dyDescent="0.25">
      <c r="A840" s="7">
        <v>2012</v>
      </c>
      <c r="B840" s="115">
        <v>41088</v>
      </c>
      <c r="C840" s="21" t="s">
        <v>35</v>
      </c>
      <c r="D840" s="22" t="s">
        <v>2</v>
      </c>
      <c r="E840" s="22" t="s">
        <v>19</v>
      </c>
      <c r="F840" s="22" t="s">
        <v>49</v>
      </c>
      <c r="G840" s="30" t="s">
        <v>42</v>
      </c>
      <c r="H840" s="10" t="s">
        <v>55</v>
      </c>
      <c r="I840" s="110" t="s">
        <v>41</v>
      </c>
      <c r="J840" s="118">
        <v>0.67763888888888879</v>
      </c>
      <c r="K840" s="117">
        <v>318.10000000000002</v>
      </c>
      <c r="L840" s="117">
        <v>0.66</v>
      </c>
      <c r="M840" s="117">
        <v>1423.3</v>
      </c>
      <c r="N840" s="117">
        <v>0.79</v>
      </c>
      <c r="O840" s="117">
        <v>50.8</v>
      </c>
      <c r="P840" s="117">
        <v>2.1</v>
      </c>
      <c r="Q840" s="117">
        <v>20</v>
      </c>
      <c r="R840" s="117" t="s">
        <v>48</v>
      </c>
      <c r="S840" s="117">
        <v>3</v>
      </c>
    </row>
    <row r="841" spans="1:19" ht="15" x14ac:dyDescent="0.25">
      <c r="A841" s="7">
        <v>2012</v>
      </c>
      <c r="B841" s="115">
        <v>41088</v>
      </c>
      <c r="C841" s="21" t="s">
        <v>35</v>
      </c>
      <c r="D841" s="22" t="s">
        <v>2</v>
      </c>
      <c r="E841" s="22" t="s">
        <v>19</v>
      </c>
      <c r="F841" s="22" t="s">
        <v>49</v>
      </c>
      <c r="G841" s="30" t="s">
        <v>42</v>
      </c>
      <c r="H841" s="10" t="s">
        <v>55</v>
      </c>
      <c r="I841" s="110" t="s">
        <v>41</v>
      </c>
      <c r="J841" s="118">
        <v>0.67783564814814812</v>
      </c>
      <c r="K841" s="117">
        <v>561</v>
      </c>
      <c r="L841" s="117">
        <v>0.61</v>
      </c>
      <c r="M841" s="117">
        <v>1416</v>
      </c>
      <c r="N841" s="117">
        <v>0.79</v>
      </c>
      <c r="O841" s="117">
        <v>50.8</v>
      </c>
      <c r="P841" s="117">
        <v>1.3</v>
      </c>
      <c r="Q841" s="117">
        <v>35</v>
      </c>
      <c r="R841" s="117" t="s">
        <v>48</v>
      </c>
      <c r="S841" s="117">
        <v>3</v>
      </c>
    </row>
    <row r="842" spans="1:19" ht="15" x14ac:dyDescent="0.25">
      <c r="A842" s="7">
        <v>2012</v>
      </c>
      <c r="B842" s="115">
        <v>41088</v>
      </c>
      <c r="C842" s="21" t="s">
        <v>35</v>
      </c>
      <c r="D842" s="22" t="s">
        <v>2</v>
      </c>
      <c r="E842" s="22" t="s">
        <v>19</v>
      </c>
      <c r="F842" s="22" t="s">
        <v>49</v>
      </c>
      <c r="G842" s="30" t="s">
        <v>42</v>
      </c>
      <c r="H842" s="10" t="s">
        <v>55</v>
      </c>
      <c r="I842" s="110" t="s">
        <v>41</v>
      </c>
      <c r="J842" s="118">
        <v>0.67796296296296299</v>
      </c>
      <c r="K842" s="117">
        <v>775.4</v>
      </c>
      <c r="L842" s="117">
        <v>0.42</v>
      </c>
      <c r="M842" s="117">
        <v>1416</v>
      </c>
      <c r="N842" s="117">
        <v>0.79</v>
      </c>
      <c r="O842" s="117">
        <v>50.9</v>
      </c>
      <c r="P842" s="117">
        <v>0.8</v>
      </c>
      <c r="Q842" s="117">
        <v>50</v>
      </c>
      <c r="R842" s="117" t="s">
        <v>48</v>
      </c>
      <c r="S842" s="117">
        <v>3</v>
      </c>
    </row>
    <row r="843" spans="1:19" ht="15" x14ac:dyDescent="0.25">
      <c r="A843" s="7">
        <v>2012</v>
      </c>
      <c r="B843" s="115">
        <v>41088</v>
      </c>
      <c r="C843" s="21" t="s">
        <v>35</v>
      </c>
      <c r="D843" s="22" t="s">
        <v>2</v>
      </c>
      <c r="E843" s="22" t="s">
        <v>19</v>
      </c>
      <c r="F843" s="22" t="s">
        <v>49</v>
      </c>
      <c r="G843" s="30" t="s">
        <v>42</v>
      </c>
      <c r="H843" s="10" t="s">
        <v>55</v>
      </c>
      <c r="I843" s="110" t="s">
        <v>41</v>
      </c>
      <c r="J843" s="118">
        <v>0.67811342592592594</v>
      </c>
      <c r="K843" s="117">
        <v>1134.4000000000001</v>
      </c>
      <c r="L843" s="117">
        <v>0.03</v>
      </c>
      <c r="M843" s="117">
        <v>1411.1</v>
      </c>
      <c r="N843" s="117">
        <v>0.79</v>
      </c>
      <c r="O843" s="117">
        <v>50.9</v>
      </c>
      <c r="P843" s="117">
        <v>0.3</v>
      </c>
      <c r="Q843" s="117">
        <v>65</v>
      </c>
      <c r="R843" s="117" t="s">
        <v>65</v>
      </c>
      <c r="S843" s="117">
        <v>3</v>
      </c>
    </row>
    <row r="844" spans="1:19" ht="15" x14ac:dyDescent="0.25">
      <c r="A844" s="7">
        <v>2012</v>
      </c>
      <c r="B844" s="115">
        <v>41088</v>
      </c>
      <c r="C844" s="21" t="s">
        <v>35</v>
      </c>
      <c r="D844" s="22" t="s">
        <v>2</v>
      </c>
      <c r="E844" s="22" t="s">
        <v>19</v>
      </c>
      <c r="F844" s="22" t="s">
        <v>49</v>
      </c>
      <c r="G844" s="30" t="s">
        <v>42</v>
      </c>
      <c r="H844" s="10" t="s">
        <v>55</v>
      </c>
      <c r="I844" s="110" t="s">
        <v>41</v>
      </c>
      <c r="J844" s="118">
        <v>0.67834490740740738</v>
      </c>
      <c r="K844" s="117">
        <v>1146.7</v>
      </c>
      <c r="L844" s="117">
        <v>0.03</v>
      </c>
      <c r="M844" s="117">
        <v>1407.5</v>
      </c>
      <c r="N844" s="117">
        <v>0.79</v>
      </c>
      <c r="O844" s="117">
        <v>50.9</v>
      </c>
      <c r="P844" s="117">
        <v>0.3</v>
      </c>
      <c r="Q844" s="117">
        <v>80</v>
      </c>
      <c r="R844" s="117" t="s">
        <v>48</v>
      </c>
      <c r="S844" s="117">
        <v>3</v>
      </c>
    </row>
    <row r="845" spans="1:19" ht="15" x14ac:dyDescent="0.25">
      <c r="A845" s="7">
        <v>2012</v>
      </c>
      <c r="B845" s="26">
        <v>41086</v>
      </c>
      <c r="C845" s="19" t="s">
        <v>35</v>
      </c>
      <c r="D845" s="20" t="s">
        <v>36</v>
      </c>
      <c r="E845" s="19" t="s">
        <v>18</v>
      </c>
      <c r="F845" s="20" t="s">
        <v>49</v>
      </c>
      <c r="G845" s="30" t="s">
        <v>42</v>
      </c>
      <c r="H845" s="10" t="s">
        <v>55</v>
      </c>
      <c r="I845" s="110" t="s">
        <v>41</v>
      </c>
      <c r="J845" s="118">
        <v>0.39020833333333332</v>
      </c>
      <c r="K845" s="117">
        <v>36</v>
      </c>
      <c r="L845" s="117">
        <v>0.31</v>
      </c>
      <c r="M845" s="117">
        <v>275.89999999999998</v>
      </c>
      <c r="N845" s="117">
        <v>0.02</v>
      </c>
      <c r="O845" s="117">
        <v>61.1</v>
      </c>
      <c r="P845" s="117">
        <v>3</v>
      </c>
      <c r="Q845" s="117">
        <v>5</v>
      </c>
      <c r="R845" s="117" t="s">
        <v>45</v>
      </c>
      <c r="S845" s="117">
        <v>1</v>
      </c>
    </row>
    <row r="846" spans="1:19" ht="15" x14ac:dyDescent="0.25">
      <c r="A846" s="7">
        <v>2012</v>
      </c>
      <c r="B846" s="26">
        <v>41086</v>
      </c>
      <c r="C846" s="19" t="s">
        <v>35</v>
      </c>
      <c r="D846" s="20" t="s">
        <v>36</v>
      </c>
      <c r="E846" s="19" t="s">
        <v>18</v>
      </c>
      <c r="F846" s="20" t="s">
        <v>49</v>
      </c>
      <c r="G846" s="30" t="s">
        <v>42</v>
      </c>
      <c r="H846" s="10" t="s">
        <v>55</v>
      </c>
      <c r="I846" s="110" t="s">
        <v>41</v>
      </c>
      <c r="J846" s="118">
        <v>0.3914583333333333</v>
      </c>
      <c r="K846" s="117">
        <v>49.7</v>
      </c>
      <c r="L846" s="117">
        <v>0.28000000000000003</v>
      </c>
      <c r="M846" s="117">
        <v>271</v>
      </c>
      <c r="N846" s="117">
        <v>0.03</v>
      </c>
      <c r="O846" s="117">
        <v>60.9</v>
      </c>
      <c r="P846" s="117">
        <v>2.4</v>
      </c>
      <c r="Q846" s="117">
        <v>20</v>
      </c>
      <c r="R846" s="117" t="s">
        <v>45</v>
      </c>
      <c r="S846" s="117">
        <v>1</v>
      </c>
    </row>
    <row r="847" spans="1:19" ht="15" x14ac:dyDescent="0.25">
      <c r="A847" s="7">
        <v>2012</v>
      </c>
      <c r="B847" s="27">
        <v>41086</v>
      </c>
      <c r="C847" s="19" t="s">
        <v>35</v>
      </c>
      <c r="D847" s="20" t="s">
        <v>36</v>
      </c>
      <c r="E847" s="19" t="s">
        <v>18</v>
      </c>
      <c r="F847" s="20" t="s">
        <v>49</v>
      </c>
      <c r="G847" s="30" t="s">
        <v>42</v>
      </c>
      <c r="H847" s="10" t="s">
        <v>55</v>
      </c>
      <c r="I847" s="110" t="s">
        <v>41</v>
      </c>
      <c r="J847" s="118">
        <v>0.39196759259259256</v>
      </c>
      <c r="K847" s="117">
        <v>99.1</v>
      </c>
      <c r="L847" s="117">
        <v>0.21</v>
      </c>
      <c r="M847" s="117">
        <v>263.7</v>
      </c>
      <c r="N847" s="117">
        <v>0.02</v>
      </c>
      <c r="O847" s="117">
        <v>60.8</v>
      </c>
      <c r="P847" s="117">
        <v>1.3</v>
      </c>
      <c r="Q847" s="117">
        <v>35</v>
      </c>
      <c r="R847" s="117" t="s">
        <v>45</v>
      </c>
      <c r="S847" s="117">
        <v>1</v>
      </c>
    </row>
    <row r="848" spans="1:19" ht="15" x14ac:dyDescent="0.25">
      <c r="A848" s="7">
        <v>2012</v>
      </c>
      <c r="B848" s="27">
        <v>41086</v>
      </c>
      <c r="C848" s="19" t="s">
        <v>35</v>
      </c>
      <c r="D848" s="20" t="s">
        <v>36</v>
      </c>
      <c r="E848" s="19" t="s">
        <v>18</v>
      </c>
      <c r="F848" s="20" t="s">
        <v>49</v>
      </c>
      <c r="G848" s="30" t="s">
        <v>42</v>
      </c>
      <c r="H848" s="10" t="s">
        <v>55</v>
      </c>
      <c r="I848" s="110" t="s">
        <v>41</v>
      </c>
      <c r="J848" s="118">
        <v>0.39234953703703707</v>
      </c>
      <c r="K848" s="117">
        <v>171.3</v>
      </c>
      <c r="L848" s="117">
        <v>7.0000000000000007E-2</v>
      </c>
      <c r="M848" s="117">
        <v>256.3</v>
      </c>
      <c r="N848" s="117">
        <v>0.02</v>
      </c>
      <c r="O848" s="117">
        <v>60.8</v>
      </c>
      <c r="P848" s="117">
        <v>0.5</v>
      </c>
      <c r="Q848" s="117">
        <v>50</v>
      </c>
      <c r="R848" s="117" t="s">
        <v>45</v>
      </c>
      <c r="S848" s="117">
        <v>1</v>
      </c>
    </row>
    <row r="849" spans="1:19" ht="15" x14ac:dyDescent="0.25">
      <c r="A849" s="7">
        <v>2012</v>
      </c>
      <c r="B849" s="27">
        <v>41086</v>
      </c>
      <c r="C849" s="19" t="s">
        <v>35</v>
      </c>
      <c r="D849" s="20" t="s">
        <v>36</v>
      </c>
      <c r="E849" s="19" t="s">
        <v>18</v>
      </c>
      <c r="F849" s="20" t="s">
        <v>49</v>
      </c>
      <c r="G849" s="30" t="s">
        <v>42</v>
      </c>
      <c r="H849" s="10" t="s">
        <v>55</v>
      </c>
      <c r="I849" s="110" t="s">
        <v>41</v>
      </c>
      <c r="J849" s="118">
        <v>0.39288194444444446</v>
      </c>
      <c r="K849" s="117">
        <v>203.2</v>
      </c>
      <c r="L849" s="117">
        <v>0.06</v>
      </c>
      <c r="M849" s="117">
        <v>256.3</v>
      </c>
      <c r="N849" s="117">
        <v>0.02</v>
      </c>
      <c r="O849" s="117">
        <v>60.7</v>
      </c>
      <c r="P849" s="117">
        <v>0.3</v>
      </c>
      <c r="Q849" s="117">
        <v>65</v>
      </c>
      <c r="R849" s="117" t="s">
        <v>45</v>
      </c>
      <c r="S849" s="117">
        <v>1</v>
      </c>
    </row>
    <row r="850" spans="1:19" ht="15" x14ac:dyDescent="0.25">
      <c r="A850" s="7">
        <v>2012</v>
      </c>
      <c r="B850" s="27">
        <v>41086</v>
      </c>
      <c r="C850" s="19" t="s">
        <v>35</v>
      </c>
      <c r="D850" s="20" t="s">
        <v>36</v>
      </c>
      <c r="E850" s="19" t="s">
        <v>18</v>
      </c>
      <c r="F850" s="20" t="s">
        <v>49</v>
      </c>
      <c r="G850" s="30" t="s">
        <v>42</v>
      </c>
      <c r="H850" s="10" t="s">
        <v>55</v>
      </c>
      <c r="I850" s="110" t="s">
        <v>41</v>
      </c>
      <c r="J850" s="118">
        <v>0.39325231481481482</v>
      </c>
      <c r="K850" s="117">
        <v>220.6</v>
      </c>
      <c r="L850" s="117">
        <v>0.02</v>
      </c>
      <c r="M850" s="117">
        <v>260</v>
      </c>
      <c r="N850" s="117">
        <v>0.02</v>
      </c>
      <c r="O850" s="117">
        <v>60.7</v>
      </c>
      <c r="P850" s="117">
        <v>0.2</v>
      </c>
      <c r="Q850" s="117">
        <v>80</v>
      </c>
      <c r="R850" s="117" t="s">
        <v>45</v>
      </c>
      <c r="S850" s="117">
        <v>1</v>
      </c>
    </row>
    <row r="851" spans="1:19" ht="15" x14ac:dyDescent="0.25">
      <c r="A851" s="7">
        <v>2012</v>
      </c>
      <c r="B851" s="27">
        <v>41086</v>
      </c>
      <c r="C851" s="19" t="s">
        <v>35</v>
      </c>
      <c r="D851" s="20" t="s">
        <v>36</v>
      </c>
      <c r="E851" s="19" t="s">
        <v>18</v>
      </c>
      <c r="F851" s="20" t="s">
        <v>49</v>
      </c>
      <c r="G851" s="30" t="s">
        <v>42</v>
      </c>
      <c r="H851" s="10" t="s">
        <v>55</v>
      </c>
      <c r="I851" s="110" t="s">
        <v>41</v>
      </c>
      <c r="J851" s="118">
        <v>0.39416666666666672</v>
      </c>
      <c r="K851" s="117">
        <v>33.6</v>
      </c>
      <c r="L851" s="117">
        <v>0.27</v>
      </c>
      <c r="M851" s="117">
        <v>274.7</v>
      </c>
      <c r="N851" s="117">
        <v>0.02</v>
      </c>
      <c r="O851" s="117">
        <v>60.6</v>
      </c>
      <c r="P851" s="117">
        <v>3.1</v>
      </c>
      <c r="Q851" s="117">
        <v>5</v>
      </c>
      <c r="R851" s="117" t="s">
        <v>45</v>
      </c>
      <c r="S851" s="117">
        <v>2</v>
      </c>
    </row>
    <row r="852" spans="1:19" ht="15" x14ac:dyDescent="0.25">
      <c r="A852" s="7">
        <v>2012</v>
      </c>
      <c r="B852" s="27">
        <v>41086</v>
      </c>
      <c r="C852" s="19" t="s">
        <v>35</v>
      </c>
      <c r="D852" s="20" t="s">
        <v>36</v>
      </c>
      <c r="E852" s="19" t="s">
        <v>18</v>
      </c>
      <c r="F852" s="20" t="s">
        <v>49</v>
      </c>
      <c r="G852" s="30" t="s">
        <v>42</v>
      </c>
      <c r="H852" s="10" t="s">
        <v>55</v>
      </c>
      <c r="I852" s="110" t="s">
        <v>41</v>
      </c>
      <c r="J852" s="118">
        <v>0.39538194444444441</v>
      </c>
      <c r="K852" s="117">
        <v>79.900000000000006</v>
      </c>
      <c r="L852" s="117">
        <v>0.16</v>
      </c>
      <c r="M852" s="117">
        <v>304</v>
      </c>
      <c r="N852" s="117">
        <v>0.02</v>
      </c>
      <c r="O852" s="117">
        <v>60.4</v>
      </c>
      <c r="P852" s="117">
        <v>1.9</v>
      </c>
      <c r="Q852" s="117">
        <v>20</v>
      </c>
      <c r="R852" s="117" t="s">
        <v>45</v>
      </c>
      <c r="S852" s="117">
        <v>2</v>
      </c>
    </row>
    <row r="853" spans="1:19" ht="15" x14ac:dyDescent="0.25">
      <c r="A853" s="7">
        <v>2012</v>
      </c>
      <c r="B853" s="27">
        <v>41086</v>
      </c>
      <c r="C853" s="19" t="s">
        <v>35</v>
      </c>
      <c r="D853" s="20" t="s">
        <v>36</v>
      </c>
      <c r="E853" s="19" t="s">
        <v>18</v>
      </c>
      <c r="F853" s="20" t="s">
        <v>49</v>
      </c>
      <c r="G853" s="30" t="s">
        <v>42</v>
      </c>
      <c r="H853" s="10" t="s">
        <v>55</v>
      </c>
      <c r="I853" s="110" t="s">
        <v>41</v>
      </c>
      <c r="J853" s="118">
        <v>0.39570601851851855</v>
      </c>
      <c r="K853" s="117">
        <v>137.9</v>
      </c>
      <c r="L853" s="117">
        <v>0.25</v>
      </c>
      <c r="M853" s="117">
        <v>319.8</v>
      </c>
      <c r="N853" s="117">
        <v>0.02</v>
      </c>
      <c r="O853" s="117">
        <v>60.4</v>
      </c>
      <c r="P853" s="117">
        <v>1.1000000000000001</v>
      </c>
      <c r="Q853" s="117">
        <v>35</v>
      </c>
      <c r="R853" s="117" t="s">
        <v>45</v>
      </c>
      <c r="S853" s="117">
        <v>2</v>
      </c>
    </row>
    <row r="854" spans="1:19" ht="15" x14ac:dyDescent="0.25">
      <c r="A854" s="7">
        <v>2012</v>
      </c>
      <c r="B854" s="27">
        <v>41086</v>
      </c>
      <c r="C854" s="19" t="s">
        <v>35</v>
      </c>
      <c r="D854" s="20" t="s">
        <v>36</v>
      </c>
      <c r="E854" s="19" t="s">
        <v>18</v>
      </c>
      <c r="F854" s="20" t="s">
        <v>49</v>
      </c>
      <c r="G854" s="30" t="s">
        <v>42</v>
      </c>
      <c r="H854" s="10" t="s">
        <v>55</v>
      </c>
      <c r="I854" s="110" t="s">
        <v>41</v>
      </c>
      <c r="J854" s="118">
        <v>0.39671296296296293</v>
      </c>
      <c r="K854" s="117">
        <v>175.3</v>
      </c>
      <c r="L854" s="117">
        <v>0.25</v>
      </c>
      <c r="M854" s="117">
        <v>332</v>
      </c>
      <c r="N854" s="117">
        <v>0.01</v>
      </c>
      <c r="O854" s="117">
        <v>60.2</v>
      </c>
      <c r="P854" s="117">
        <v>0.8</v>
      </c>
      <c r="Q854" s="117">
        <v>50</v>
      </c>
      <c r="R854" s="117" t="s">
        <v>45</v>
      </c>
      <c r="S854" s="117">
        <v>2</v>
      </c>
    </row>
    <row r="855" spans="1:19" ht="15" x14ac:dyDescent="0.25">
      <c r="A855" s="7">
        <v>2012</v>
      </c>
      <c r="B855" s="27">
        <v>41086</v>
      </c>
      <c r="C855" s="19" t="s">
        <v>35</v>
      </c>
      <c r="D855" s="20" t="s">
        <v>36</v>
      </c>
      <c r="E855" s="19" t="s">
        <v>18</v>
      </c>
      <c r="F855" s="20" t="s">
        <v>49</v>
      </c>
      <c r="G855" s="30" t="s">
        <v>42</v>
      </c>
      <c r="H855" s="10" t="s">
        <v>55</v>
      </c>
      <c r="I855" s="110" t="s">
        <v>41</v>
      </c>
      <c r="J855" s="118">
        <v>0.39699074074074076</v>
      </c>
      <c r="K855" s="117">
        <v>259</v>
      </c>
      <c r="L855" s="117">
        <v>0.05</v>
      </c>
      <c r="M855" s="117">
        <v>333.3</v>
      </c>
      <c r="N855" s="117">
        <v>0.02</v>
      </c>
      <c r="O855" s="117">
        <v>60.2</v>
      </c>
      <c r="P855" s="117">
        <v>0.3</v>
      </c>
      <c r="Q855" s="117">
        <v>65</v>
      </c>
      <c r="R855" s="117" t="s">
        <v>45</v>
      </c>
      <c r="S855" s="117">
        <v>2</v>
      </c>
    </row>
    <row r="856" spans="1:19" ht="15" x14ac:dyDescent="0.25">
      <c r="A856" s="7">
        <v>2012</v>
      </c>
      <c r="B856" s="27">
        <v>41086</v>
      </c>
      <c r="C856" s="19" t="s">
        <v>35</v>
      </c>
      <c r="D856" s="20" t="s">
        <v>36</v>
      </c>
      <c r="E856" s="19" t="s">
        <v>18</v>
      </c>
      <c r="F856" s="20" t="s">
        <v>49</v>
      </c>
      <c r="G856" s="30" t="s">
        <v>42</v>
      </c>
      <c r="H856" s="10" t="s">
        <v>55</v>
      </c>
      <c r="I856" s="110" t="s">
        <v>41</v>
      </c>
      <c r="J856" s="118">
        <v>0.39719907407407407</v>
      </c>
      <c r="K856" s="117">
        <v>286.5</v>
      </c>
      <c r="L856" s="117">
        <v>0.02</v>
      </c>
      <c r="M856" s="117">
        <v>336.9</v>
      </c>
      <c r="N856" s="117">
        <v>0.02</v>
      </c>
      <c r="O856" s="117">
        <v>60.2</v>
      </c>
      <c r="P856" s="117">
        <v>0.2</v>
      </c>
      <c r="Q856" s="117">
        <v>80</v>
      </c>
      <c r="R856" s="117" t="s">
        <v>45</v>
      </c>
      <c r="S856" s="117">
        <v>2</v>
      </c>
    </row>
    <row r="857" spans="1:19" ht="15" x14ac:dyDescent="0.25">
      <c r="A857" s="7">
        <v>2012</v>
      </c>
      <c r="B857" s="27">
        <v>41086</v>
      </c>
      <c r="C857" s="19" t="s">
        <v>35</v>
      </c>
      <c r="D857" s="20" t="s">
        <v>36</v>
      </c>
      <c r="E857" s="19" t="s">
        <v>18</v>
      </c>
      <c r="F857" s="20" t="s">
        <v>49</v>
      </c>
      <c r="G857" s="30" t="s">
        <v>42</v>
      </c>
      <c r="H857" s="10" t="s">
        <v>55</v>
      </c>
      <c r="I857" s="110" t="s">
        <v>41</v>
      </c>
      <c r="J857" s="118">
        <v>0.39847222222222217</v>
      </c>
      <c r="K857" s="117">
        <v>28.5</v>
      </c>
      <c r="L857" s="117">
        <v>0.67</v>
      </c>
      <c r="M857" s="117">
        <v>349.1</v>
      </c>
      <c r="N857" s="117">
        <v>0.02</v>
      </c>
      <c r="O857" s="117">
        <v>60</v>
      </c>
      <c r="P857" s="117">
        <v>3.8</v>
      </c>
      <c r="Q857" s="117">
        <v>5</v>
      </c>
      <c r="R857" s="117" t="s">
        <v>45</v>
      </c>
      <c r="S857" s="117">
        <v>3</v>
      </c>
    </row>
    <row r="858" spans="1:19" ht="15" x14ac:dyDescent="0.25">
      <c r="A858" s="7">
        <v>2012</v>
      </c>
      <c r="B858" s="27">
        <v>41086</v>
      </c>
      <c r="C858" s="19" t="s">
        <v>35</v>
      </c>
      <c r="D858" s="20" t="s">
        <v>36</v>
      </c>
      <c r="E858" s="19" t="s">
        <v>18</v>
      </c>
      <c r="F858" s="20" t="s">
        <v>49</v>
      </c>
      <c r="G858" s="30" t="s">
        <v>42</v>
      </c>
      <c r="H858" s="10" t="s">
        <v>55</v>
      </c>
      <c r="I858" s="110" t="s">
        <v>41</v>
      </c>
      <c r="J858" s="118">
        <v>0.39891203703703698</v>
      </c>
      <c r="K858" s="117">
        <v>97.1</v>
      </c>
      <c r="L858" s="117">
        <v>0.34</v>
      </c>
      <c r="M858" s="117">
        <v>351.6</v>
      </c>
      <c r="N858" s="117">
        <v>0.02</v>
      </c>
      <c r="O858" s="117">
        <v>59.9</v>
      </c>
      <c r="P858" s="117">
        <v>1.8</v>
      </c>
      <c r="Q858" s="117">
        <v>20</v>
      </c>
      <c r="R858" s="117" t="s">
        <v>45</v>
      </c>
      <c r="S858" s="117">
        <v>3</v>
      </c>
    </row>
    <row r="859" spans="1:19" ht="15" x14ac:dyDescent="0.25">
      <c r="A859" s="7">
        <v>2012</v>
      </c>
      <c r="B859" s="27">
        <v>41086</v>
      </c>
      <c r="C859" s="19" t="s">
        <v>35</v>
      </c>
      <c r="D859" s="20" t="s">
        <v>36</v>
      </c>
      <c r="E859" s="19" t="s">
        <v>18</v>
      </c>
      <c r="F859" s="20" t="s">
        <v>49</v>
      </c>
      <c r="G859" s="30" t="s">
        <v>42</v>
      </c>
      <c r="H859" s="10" t="s">
        <v>55</v>
      </c>
      <c r="I859" s="110" t="s">
        <v>41</v>
      </c>
      <c r="J859" s="118">
        <v>0.39921296296296299</v>
      </c>
      <c r="K859" s="117">
        <v>106.3</v>
      </c>
      <c r="L859" s="117">
        <v>0.26</v>
      </c>
      <c r="M859" s="117">
        <v>351.6</v>
      </c>
      <c r="N859" s="117">
        <v>0.02</v>
      </c>
      <c r="O859" s="117">
        <v>59.9</v>
      </c>
      <c r="P859" s="117">
        <v>1.6</v>
      </c>
      <c r="Q859" s="117">
        <v>35</v>
      </c>
      <c r="R859" s="117" t="s">
        <v>45</v>
      </c>
      <c r="S859" s="117">
        <v>3</v>
      </c>
    </row>
    <row r="860" spans="1:19" ht="15" x14ac:dyDescent="0.25">
      <c r="A860" s="7">
        <v>2012</v>
      </c>
      <c r="B860" s="27">
        <v>41086</v>
      </c>
      <c r="C860" s="19" t="s">
        <v>35</v>
      </c>
      <c r="D860" s="20" t="s">
        <v>36</v>
      </c>
      <c r="E860" s="19" t="s">
        <v>18</v>
      </c>
      <c r="F860" s="20" t="s">
        <v>49</v>
      </c>
      <c r="G860" s="30" t="s">
        <v>42</v>
      </c>
      <c r="H860" s="10" t="s">
        <v>55</v>
      </c>
      <c r="I860" s="110" t="s">
        <v>41</v>
      </c>
      <c r="J860" s="118">
        <v>0.3994907407407407</v>
      </c>
      <c r="K860" s="117">
        <v>199.3</v>
      </c>
      <c r="L860" s="117">
        <v>0.16</v>
      </c>
      <c r="M860" s="117">
        <v>350.3</v>
      </c>
      <c r="N860" s="117">
        <v>0.02</v>
      </c>
      <c r="O860" s="117">
        <v>59.9</v>
      </c>
      <c r="P860" s="117">
        <v>0.7</v>
      </c>
      <c r="Q860" s="117">
        <v>50</v>
      </c>
      <c r="R860" s="117" t="s">
        <v>45</v>
      </c>
      <c r="S860" s="117">
        <v>3</v>
      </c>
    </row>
    <row r="861" spans="1:19" ht="15" x14ac:dyDescent="0.25">
      <c r="A861" s="7">
        <v>2012</v>
      </c>
      <c r="B861" s="27">
        <v>41086</v>
      </c>
      <c r="C861" s="19" t="s">
        <v>35</v>
      </c>
      <c r="D861" s="20" t="s">
        <v>36</v>
      </c>
      <c r="E861" s="19" t="s">
        <v>18</v>
      </c>
      <c r="F861" s="20" t="s">
        <v>49</v>
      </c>
      <c r="G861" s="30" t="s">
        <v>42</v>
      </c>
      <c r="H861" s="10" t="s">
        <v>55</v>
      </c>
      <c r="I861" s="110" t="s">
        <v>41</v>
      </c>
      <c r="J861" s="118">
        <v>0.39980324074074075</v>
      </c>
      <c r="K861" s="117">
        <v>272.8</v>
      </c>
      <c r="L861" s="117">
        <v>0.06</v>
      </c>
      <c r="M861" s="117">
        <v>347.9</v>
      </c>
      <c r="N861" s="117">
        <v>0.02</v>
      </c>
      <c r="O861" s="117">
        <v>59.8</v>
      </c>
      <c r="P861" s="117">
        <v>0.3</v>
      </c>
      <c r="Q861" s="117">
        <v>65</v>
      </c>
      <c r="R861" s="117" t="s">
        <v>45</v>
      </c>
      <c r="S861" s="117">
        <v>3</v>
      </c>
    </row>
    <row r="862" spans="1:19" ht="15" x14ac:dyDescent="0.25">
      <c r="A862" s="7">
        <v>2012</v>
      </c>
      <c r="B862" s="27">
        <v>41086</v>
      </c>
      <c r="C862" s="19" t="s">
        <v>35</v>
      </c>
      <c r="D862" s="20" t="s">
        <v>36</v>
      </c>
      <c r="E862" s="19" t="s">
        <v>18</v>
      </c>
      <c r="F862" s="20" t="s">
        <v>49</v>
      </c>
      <c r="G862" s="30" t="s">
        <v>42</v>
      </c>
      <c r="H862" s="10" t="s">
        <v>55</v>
      </c>
      <c r="I862" s="110" t="s">
        <v>41</v>
      </c>
      <c r="J862" s="118">
        <v>0.40001157407407412</v>
      </c>
      <c r="K862" s="117">
        <v>295.8</v>
      </c>
      <c r="L862" s="117">
        <v>0.02</v>
      </c>
      <c r="M862" s="117">
        <v>344.2</v>
      </c>
      <c r="N862" s="117">
        <v>0.01</v>
      </c>
      <c r="O862" s="117">
        <v>59.8</v>
      </c>
      <c r="P862" s="117">
        <v>0.2</v>
      </c>
      <c r="Q862" s="117">
        <v>80</v>
      </c>
      <c r="R862" s="117" t="s">
        <v>45</v>
      </c>
      <c r="S862" s="117">
        <v>3</v>
      </c>
    </row>
    <row r="863" spans="1:19" ht="15" x14ac:dyDescent="0.25">
      <c r="A863" s="7">
        <v>2012</v>
      </c>
      <c r="B863" s="27">
        <v>41086</v>
      </c>
      <c r="C863" s="19" t="s">
        <v>35</v>
      </c>
      <c r="D863" s="20" t="s">
        <v>36</v>
      </c>
      <c r="E863" s="19" t="s">
        <v>17</v>
      </c>
      <c r="F863" s="20" t="s">
        <v>49</v>
      </c>
      <c r="G863" s="30" t="s">
        <v>42</v>
      </c>
      <c r="H863" s="10" t="s">
        <v>55</v>
      </c>
      <c r="I863" s="20" t="s">
        <v>60</v>
      </c>
      <c r="J863" s="118">
        <v>0.41949074074074072</v>
      </c>
      <c r="K863" s="117">
        <v>25.2</v>
      </c>
      <c r="L863" s="117">
        <v>0.33</v>
      </c>
      <c r="M863" s="117">
        <v>283.2</v>
      </c>
      <c r="N863" s="117">
        <v>0.03</v>
      </c>
      <c r="O863" s="117">
        <v>57.4</v>
      </c>
      <c r="P863" s="117">
        <v>3.7</v>
      </c>
      <c r="Q863" s="117">
        <v>5</v>
      </c>
      <c r="R863" s="117" t="s">
        <v>45</v>
      </c>
      <c r="S863" s="117">
        <v>1</v>
      </c>
    </row>
    <row r="864" spans="1:19" ht="15" x14ac:dyDescent="0.25">
      <c r="A864" s="7">
        <v>2012</v>
      </c>
      <c r="B864" s="27">
        <v>41086</v>
      </c>
      <c r="C864" s="19" t="s">
        <v>35</v>
      </c>
      <c r="D864" s="20" t="s">
        <v>36</v>
      </c>
      <c r="E864" s="19" t="s">
        <v>17</v>
      </c>
      <c r="F864" s="20" t="s">
        <v>49</v>
      </c>
      <c r="G864" s="30" t="s">
        <v>42</v>
      </c>
      <c r="H864" s="10" t="s">
        <v>55</v>
      </c>
      <c r="I864" s="20" t="s">
        <v>60</v>
      </c>
      <c r="J864" s="118">
        <v>0.41978009259259258</v>
      </c>
      <c r="K864" s="117">
        <v>49.2</v>
      </c>
      <c r="L864" s="117">
        <v>0.24</v>
      </c>
      <c r="M864" s="117">
        <v>285.60000000000002</v>
      </c>
      <c r="N864" s="117">
        <v>0.02</v>
      </c>
      <c r="O864" s="117">
        <v>57.3</v>
      </c>
      <c r="P864" s="117">
        <v>2.6</v>
      </c>
      <c r="Q864" s="117">
        <v>20</v>
      </c>
      <c r="R864" s="117" t="s">
        <v>45</v>
      </c>
      <c r="S864" s="117">
        <v>1</v>
      </c>
    </row>
    <row r="865" spans="1:19" ht="15" x14ac:dyDescent="0.25">
      <c r="A865" s="7">
        <v>2012</v>
      </c>
      <c r="B865" s="27">
        <v>41086</v>
      </c>
      <c r="C865" s="17" t="s">
        <v>35</v>
      </c>
      <c r="D865" s="18" t="s">
        <v>36</v>
      </c>
      <c r="E865" s="17" t="s">
        <v>17</v>
      </c>
      <c r="F865" s="18" t="s">
        <v>49</v>
      </c>
      <c r="G865" s="30" t="s">
        <v>42</v>
      </c>
      <c r="H865" s="10" t="s">
        <v>55</v>
      </c>
      <c r="I865" s="18" t="s">
        <v>60</v>
      </c>
      <c r="J865" s="118">
        <v>0.42010416666666667</v>
      </c>
      <c r="K865" s="117">
        <v>71.7</v>
      </c>
      <c r="L865" s="117">
        <v>0.16</v>
      </c>
      <c r="M865" s="117">
        <v>295.39999999999998</v>
      </c>
      <c r="N865" s="117">
        <v>0.02</v>
      </c>
      <c r="O865" s="117">
        <v>57.3</v>
      </c>
      <c r="P865" s="117">
        <v>2</v>
      </c>
      <c r="Q865" s="117">
        <v>35</v>
      </c>
      <c r="R865" s="117" t="s">
        <v>45</v>
      </c>
      <c r="S865" s="117">
        <v>1</v>
      </c>
    </row>
    <row r="866" spans="1:19" ht="15" x14ac:dyDescent="0.25">
      <c r="A866" s="7">
        <v>2012</v>
      </c>
      <c r="B866" s="27">
        <v>41086</v>
      </c>
      <c r="C866" s="17" t="s">
        <v>35</v>
      </c>
      <c r="D866" s="18" t="s">
        <v>36</v>
      </c>
      <c r="E866" s="17" t="s">
        <v>17</v>
      </c>
      <c r="F866" s="18" t="s">
        <v>49</v>
      </c>
      <c r="G866" s="30" t="s">
        <v>42</v>
      </c>
      <c r="H866" s="10" t="s">
        <v>55</v>
      </c>
      <c r="I866" s="18" t="s">
        <v>60</v>
      </c>
      <c r="J866" s="118">
        <v>0.4203587962962963</v>
      </c>
      <c r="K866" s="117">
        <v>76.599999999999994</v>
      </c>
      <c r="L866" s="117">
        <v>0.25</v>
      </c>
      <c r="M866" s="117">
        <v>305.2</v>
      </c>
      <c r="N866" s="117">
        <v>0.02</v>
      </c>
      <c r="O866" s="117">
        <v>57.3</v>
      </c>
      <c r="P866" s="117">
        <v>1.9</v>
      </c>
      <c r="Q866" s="117">
        <v>50</v>
      </c>
      <c r="R866" s="117" t="s">
        <v>45</v>
      </c>
      <c r="S866" s="117">
        <v>1</v>
      </c>
    </row>
    <row r="867" spans="1:19" ht="15" x14ac:dyDescent="0.25">
      <c r="A867" s="7">
        <v>2012</v>
      </c>
      <c r="B867" s="27">
        <v>41086</v>
      </c>
      <c r="C867" s="17" t="s">
        <v>35</v>
      </c>
      <c r="D867" s="18" t="s">
        <v>36</v>
      </c>
      <c r="E867" s="17" t="s">
        <v>17</v>
      </c>
      <c r="F867" s="18" t="s">
        <v>49</v>
      </c>
      <c r="G867" s="30" t="s">
        <v>42</v>
      </c>
      <c r="H867" s="10" t="s">
        <v>55</v>
      </c>
      <c r="I867" s="18" t="s">
        <v>60</v>
      </c>
      <c r="J867" s="118">
        <v>0.42059027777777774</v>
      </c>
      <c r="K867" s="117">
        <v>114.7</v>
      </c>
      <c r="L867" s="117">
        <v>0.33</v>
      </c>
      <c r="M867" s="117">
        <v>307.60000000000002</v>
      </c>
      <c r="N867" s="117">
        <v>0.02</v>
      </c>
      <c r="O867" s="117">
        <v>57.2</v>
      </c>
      <c r="P867" s="117">
        <v>1.3</v>
      </c>
      <c r="Q867" s="117">
        <v>65</v>
      </c>
      <c r="R867" s="117" t="s">
        <v>45</v>
      </c>
      <c r="S867" s="117">
        <v>1</v>
      </c>
    </row>
    <row r="868" spans="1:19" ht="15" x14ac:dyDescent="0.25">
      <c r="A868" s="7">
        <v>2012</v>
      </c>
      <c r="B868" s="27">
        <v>41086</v>
      </c>
      <c r="C868" s="17" t="s">
        <v>35</v>
      </c>
      <c r="D868" s="18" t="s">
        <v>36</v>
      </c>
      <c r="E868" s="17" t="s">
        <v>17</v>
      </c>
      <c r="F868" s="18" t="s">
        <v>49</v>
      </c>
      <c r="G868" s="30" t="s">
        <v>42</v>
      </c>
      <c r="H868" s="10" t="s">
        <v>55</v>
      </c>
      <c r="I868" s="18" t="s">
        <v>60</v>
      </c>
      <c r="J868" s="118">
        <v>0.42075231481481484</v>
      </c>
      <c r="K868" s="117">
        <v>198.2</v>
      </c>
      <c r="L868" s="117">
        <v>0.23</v>
      </c>
      <c r="M868" s="117">
        <v>310.10000000000002</v>
      </c>
      <c r="N868" s="117">
        <v>0.02</v>
      </c>
      <c r="O868" s="117">
        <v>57.2</v>
      </c>
      <c r="P868" s="117">
        <v>0.5</v>
      </c>
      <c r="Q868" s="117">
        <v>80</v>
      </c>
      <c r="R868" s="117" t="s">
        <v>45</v>
      </c>
      <c r="S868" s="117">
        <v>1</v>
      </c>
    </row>
    <row r="869" spans="1:19" ht="15" x14ac:dyDescent="0.25">
      <c r="A869" s="7">
        <v>2012</v>
      </c>
      <c r="B869" s="27">
        <v>41086</v>
      </c>
      <c r="C869" s="17" t="s">
        <v>35</v>
      </c>
      <c r="D869" s="18" t="s">
        <v>36</v>
      </c>
      <c r="E869" s="17" t="s">
        <v>17</v>
      </c>
      <c r="F869" s="18" t="s">
        <v>49</v>
      </c>
      <c r="G869" s="30" t="s">
        <v>42</v>
      </c>
      <c r="H869" s="10" t="s">
        <v>55</v>
      </c>
      <c r="I869" s="18" t="s">
        <v>60</v>
      </c>
      <c r="J869" s="118">
        <v>0.4211805555555555</v>
      </c>
      <c r="K869" s="117">
        <v>255.5</v>
      </c>
      <c r="L869" s="117">
        <v>0.06</v>
      </c>
      <c r="M869" s="117">
        <v>317.39999999999998</v>
      </c>
      <c r="N869" s="117">
        <v>0.02</v>
      </c>
      <c r="O869" s="117">
        <v>57.2</v>
      </c>
      <c r="P869" s="117">
        <v>0.2</v>
      </c>
      <c r="Q869" s="117">
        <v>95</v>
      </c>
      <c r="R869" s="117" t="s">
        <v>45</v>
      </c>
      <c r="S869" s="117">
        <v>1</v>
      </c>
    </row>
    <row r="870" spans="1:19" ht="15" x14ac:dyDescent="0.25">
      <c r="A870" s="7">
        <v>2012</v>
      </c>
      <c r="B870" s="27">
        <v>41086</v>
      </c>
      <c r="C870" s="17" t="s">
        <v>35</v>
      </c>
      <c r="D870" s="18" t="s">
        <v>36</v>
      </c>
      <c r="E870" s="17" t="s">
        <v>17</v>
      </c>
      <c r="F870" s="18" t="s">
        <v>49</v>
      </c>
      <c r="G870" s="30" t="s">
        <v>42</v>
      </c>
      <c r="H870" s="10" t="s">
        <v>55</v>
      </c>
      <c r="I870" s="18" t="s">
        <v>60</v>
      </c>
      <c r="J870" s="118">
        <v>0.42218749999999999</v>
      </c>
      <c r="K870" s="117">
        <v>22.5</v>
      </c>
      <c r="L870" s="117">
        <v>0.28999999999999998</v>
      </c>
      <c r="M870" s="117">
        <v>316.2</v>
      </c>
      <c r="N870" s="117">
        <v>0.02</v>
      </c>
      <c r="O870" s="117">
        <v>57</v>
      </c>
      <c r="P870" s="117">
        <v>4.0999999999999996</v>
      </c>
      <c r="Q870" s="117">
        <v>5</v>
      </c>
      <c r="R870" s="117" t="s">
        <v>45</v>
      </c>
      <c r="S870" s="117">
        <v>2</v>
      </c>
    </row>
    <row r="871" spans="1:19" ht="15" x14ac:dyDescent="0.25">
      <c r="A871" s="7">
        <v>2012</v>
      </c>
      <c r="B871" s="27">
        <v>41086</v>
      </c>
      <c r="C871" s="17" t="s">
        <v>35</v>
      </c>
      <c r="D871" s="18" t="s">
        <v>36</v>
      </c>
      <c r="E871" s="17" t="s">
        <v>17</v>
      </c>
      <c r="F871" s="18" t="s">
        <v>49</v>
      </c>
      <c r="G871" s="30" t="s">
        <v>42</v>
      </c>
      <c r="H871" s="10" t="s">
        <v>55</v>
      </c>
      <c r="I871" s="18" t="s">
        <v>60</v>
      </c>
      <c r="J871" s="118">
        <v>0.42243055555555559</v>
      </c>
      <c r="K871" s="117">
        <v>40.6</v>
      </c>
      <c r="L871" s="117">
        <v>0.19</v>
      </c>
      <c r="M871" s="117">
        <v>308.8</v>
      </c>
      <c r="N871" s="117">
        <v>0.02</v>
      </c>
      <c r="O871" s="117">
        <v>57</v>
      </c>
      <c r="P871" s="117">
        <v>3</v>
      </c>
      <c r="Q871" s="117">
        <v>15</v>
      </c>
      <c r="R871" s="117" t="s">
        <v>45</v>
      </c>
      <c r="S871" s="117">
        <v>2</v>
      </c>
    </row>
    <row r="872" spans="1:19" ht="15" x14ac:dyDescent="0.25">
      <c r="A872" s="7">
        <v>2012</v>
      </c>
      <c r="B872" s="27">
        <v>41086</v>
      </c>
      <c r="C872" s="17" t="s">
        <v>35</v>
      </c>
      <c r="D872" s="18" t="s">
        <v>36</v>
      </c>
      <c r="E872" s="17" t="s">
        <v>17</v>
      </c>
      <c r="F872" s="18" t="s">
        <v>49</v>
      </c>
      <c r="G872" s="30" t="s">
        <v>42</v>
      </c>
      <c r="H872" s="10" t="s">
        <v>55</v>
      </c>
      <c r="I872" s="18" t="s">
        <v>60</v>
      </c>
      <c r="J872" s="118">
        <v>0.42266203703703703</v>
      </c>
      <c r="K872" s="117">
        <v>43</v>
      </c>
      <c r="L872" s="117">
        <v>0.11</v>
      </c>
      <c r="M872" s="117">
        <v>301.5</v>
      </c>
      <c r="N872" s="117">
        <v>0.02</v>
      </c>
      <c r="O872" s="117">
        <v>57</v>
      </c>
      <c r="P872" s="117">
        <v>2.9</v>
      </c>
      <c r="Q872" s="117">
        <v>20</v>
      </c>
      <c r="R872" s="117" t="s">
        <v>45</v>
      </c>
      <c r="S872" s="117">
        <v>2</v>
      </c>
    </row>
    <row r="873" spans="1:19" ht="15" x14ac:dyDescent="0.25">
      <c r="A873" s="7">
        <v>2012</v>
      </c>
      <c r="B873" s="27">
        <v>41086</v>
      </c>
      <c r="C873" s="17" t="s">
        <v>35</v>
      </c>
      <c r="D873" s="18" t="s">
        <v>36</v>
      </c>
      <c r="E873" s="17" t="s">
        <v>17</v>
      </c>
      <c r="F873" s="18" t="s">
        <v>49</v>
      </c>
      <c r="G873" s="30" t="s">
        <v>42</v>
      </c>
      <c r="H873" s="10" t="s">
        <v>55</v>
      </c>
      <c r="I873" s="18" t="s">
        <v>60</v>
      </c>
      <c r="J873" s="118">
        <v>0.42304398148148148</v>
      </c>
      <c r="K873" s="117">
        <v>55.2</v>
      </c>
      <c r="L873" s="117">
        <v>0.2</v>
      </c>
      <c r="M873" s="117">
        <v>288.10000000000002</v>
      </c>
      <c r="N873" s="117">
        <v>0.02</v>
      </c>
      <c r="O873" s="117">
        <v>56.9</v>
      </c>
      <c r="P873" s="117">
        <v>2.4</v>
      </c>
      <c r="Q873" s="117">
        <v>35</v>
      </c>
      <c r="R873" s="117" t="s">
        <v>45</v>
      </c>
      <c r="S873" s="117">
        <v>2</v>
      </c>
    </row>
    <row r="874" spans="1:19" ht="15" x14ac:dyDescent="0.25">
      <c r="A874" s="7">
        <v>2012</v>
      </c>
      <c r="B874" s="27">
        <v>41086</v>
      </c>
      <c r="C874" s="17" t="s">
        <v>35</v>
      </c>
      <c r="D874" s="18" t="s">
        <v>36</v>
      </c>
      <c r="E874" s="17" t="s">
        <v>17</v>
      </c>
      <c r="F874" s="18" t="s">
        <v>49</v>
      </c>
      <c r="G874" s="30" t="s">
        <v>42</v>
      </c>
      <c r="H874" s="10" t="s">
        <v>55</v>
      </c>
      <c r="I874" s="18" t="s">
        <v>60</v>
      </c>
      <c r="J874" s="118">
        <v>0.42322916666666671</v>
      </c>
      <c r="K874" s="117">
        <v>66.3</v>
      </c>
      <c r="L874" s="117">
        <v>0.15</v>
      </c>
      <c r="M874" s="117">
        <v>284.39999999999998</v>
      </c>
      <c r="N874" s="117">
        <v>0.02</v>
      </c>
      <c r="O874" s="117">
        <v>56.9</v>
      </c>
      <c r="P874" s="117">
        <v>2.1</v>
      </c>
      <c r="Q874" s="117">
        <v>50</v>
      </c>
      <c r="R874" s="117" t="s">
        <v>45</v>
      </c>
      <c r="S874" s="117">
        <v>2</v>
      </c>
    </row>
    <row r="875" spans="1:19" ht="15" x14ac:dyDescent="0.25">
      <c r="A875" s="7">
        <v>2012</v>
      </c>
      <c r="B875" s="27">
        <v>41086</v>
      </c>
      <c r="C875" s="17" t="s">
        <v>35</v>
      </c>
      <c r="D875" s="18" t="s">
        <v>36</v>
      </c>
      <c r="E875" s="17" t="s">
        <v>17</v>
      </c>
      <c r="F875" s="18" t="s">
        <v>49</v>
      </c>
      <c r="G875" s="30" t="s">
        <v>42</v>
      </c>
      <c r="H875" s="10" t="s">
        <v>55</v>
      </c>
      <c r="I875" s="18" t="s">
        <v>60</v>
      </c>
      <c r="J875" s="118">
        <v>0.42342592592592593</v>
      </c>
      <c r="K875" s="117">
        <v>100.5</v>
      </c>
      <c r="L875" s="117">
        <v>0.35</v>
      </c>
      <c r="M875" s="117">
        <v>280.8</v>
      </c>
      <c r="N875" s="117">
        <v>0.02</v>
      </c>
      <c r="O875" s="117">
        <v>56.9</v>
      </c>
      <c r="P875" s="117">
        <v>1.4</v>
      </c>
      <c r="Q875" s="117">
        <v>65</v>
      </c>
      <c r="R875" s="117" t="s">
        <v>45</v>
      </c>
      <c r="S875" s="117">
        <v>2</v>
      </c>
    </row>
    <row r="876" spans="1:19" ht="15" x14ac:dyDescent="0.25">
      <c r="A876" s="7">
        <v>2012</v>
      </c>
      <c r="B876" s="27">
        <v>41086</v>
      </c>
      <c r="C876" s="17" t="s">
        <v>35</v>
      </c>
      <c r="D876" s="18" t="s">
        <v>36</v>
      </c>
      <c r="E876" s="17" t="s">
        <v>17</v>
      </c>
      <c r="F876" s="18" t="s">
        <v>49</v>
      </c>
      <c r="G876" s="30" t="s">
        <v>42</v>
      </c>
      <c r="H876" s="10" t="s">
        <v>55</v>
      </c>
      <c r="I876" s="18" t="s">
        <v>60</v>
      </c>
      <c r="J876" s="118">
        <v>0.42363425925925924</v>
      </c>
      <c r="K876" s="117">
        <v>202.7</v>
      </c>
      <c r="L876" s="117">
        <v>0.14000000000000001</v>
      </c>
      <c r="M876" s="117">
        <v>282</v>
      </c>
      <c r="N876" s="117">
        <v>0.02</v>
      </c>
      <c r="O876" s="117">
        <v>56.9</v>
      </c>
      <c r="P876" s="117">
        <v>0.4</v>
      </c>
      <c r="Q876" s="117">
        <v>80</v>
      </c>
      <c r="R876" s="117" t="s">
        <v>45</v>
      </c>
      <c r="S876" s="117">
        <v>2</v>
      </c>
    </row>
    <row r="877" spans="1:19" ht="15" x14ac:dyDescent="0.25">
      <c r="A877" s="7">
        <v>2012</v>
      </c>
      <c r="B877" s="27">
        <v>41086</v>
      </c>
      <c r="C877" s="17" t="s">
        <v>35</v>
      </c>
      <c r="D877" s="18" t="s">
        <v>36</v>
      </c>
      <c r="E877" s="17" t="s">
        <v>17</v>
      </c>
      <c r="F877" s="18" t="s">
        <v>49</v>
      </c>
      <c r="G877" s="30" t="s">
        <v>42</v>
      </c>
      <c r="H877" s="10" t="s">
        <v>55</v>
      </c>
      <c r="I877" s="18" t="s">
        <v>60</v>
      </c>
      <c r="J877" s="118">
        <v>0.42378472222222219</v>
      </c>
      <c r="K877" s="117">
        <v>226.3</v>
      </c>
      <c r="L877" s="117">
        <v>0.06</v>
      </c>
      <c r="M877" s="117">
        <v>282</v>
      </c>
      <c r="N877" s="117">
        <v>0.02</v>
      </c>
      <c r="O877" s="117">
        <v>56.8</v>
      </c>
      <c r="P877" s="117">
        <v>0.3</v>
      </c>
      <c r="Q877" s="117">
        <v>95</v>
      </c>
      <c r="R877" s="117" t="s">
        <v>45</v>
      </c>
      <c r="S877" s="117">
        <v>2</v>
      </c>
    </row>
    <row r="878" spans="1:19" ht="15" x14ac:dyDescent="0.25">
      <c r="A878" s="7">
        <v>2012</v>
      </c>
      <c r="B878" s="27">
        <v>41086</v>
      </c>
      <c r="C878" s="17" t="s">
        <v>35</v>
      </c>
      <c r="D878" s="18" t="s">
        <v>36</v>
      </c>
      <c r="E878" s="17" t="s">
        <v>17</v>
      </c>
      <c r="F878" s="18" t="s">
        <v>49</v>
      </c>
      <c r="G878" s="30" t="s">
        <v>42</v>
      </c>
      <c r="H878" s="10" t="s">
        <v>55</v>
      </c>
      <c r="I878" s="18" t="s">
        <v>60</v>
      </c>
      <c r="J878" s="118">
        <v>0.42420138888888892</v>
      </c>
      <c r="K878" s="117">
        <v>26.1</v>
      </c>
      <c r="L878" s="117">
        <v>0.36</v>
      </c>
      <c r="M878" s="117">
        <v>275.89999999999998</v>
      </c>
      <c r="N878" s="117">
        <v>0.03</v>
      </c>
      <c r="O878" s="117">
        <v>56.8</v>
      </c>
      <c r="P878" s="117">
        <v>3.6</v>
      </c>
      <c r="Q878" s="117">
        <v>5</v>
      </c>
      <c r="R878" s="117" t="s">
        <v>45</v>
      </c>
      <c r="S878" s="117">
        <v>3</v>
      </c>
    </row>
    <row r="879" spans="1:19" ht="15" x14ac:dyDescent="0.25">
      <c r="A879" s="7">
        <v>2012</v>
      </c>
      <c r="B879" s="27">
        <v>41086</v>
      </c>
      <c r="C879" s="17" t="s">
        <v>35</v>
      </c>
      <c r="D879" s="18" t="s">
        <v>36</v>
      </c>
      <c r="E879" s="17" t="s">
        <v>17</v>
      </c>
      <c r="F879" s="18" t="s">
        <v>49</v>
      </c>
      <c r="G879" s="30" t="s">
        <v>42</v>
      </c>
      <c r="H879" s="10" t="s">
        <v>55</v>
      </c>
      <c r="I879" s="18" t="s">
        <v>60</v>
      </c>
      <c r="J879" s="118">
        <v>0.42468750000000005</v>
      </c>
      <c r="K879" s="117">
        <v>37.799999999999997</v>
      </c>
      <c r="L879" s="117">
        <v>0.18</v>
      </c>
      <c r="M879" s="117">
        <v>272.2</v>
      </c>
      <c r="N879" s="117">
        <v>0.02</v>
      </c>
      <c r="O879" s="117">
        <v>56.7</v>
      </c>
      <c r="P879" s="117">
        <v>2.9</v>
      </c>
      <c r="Q879" s="117">
        <v>20</v>
      </c>
      <c r="R879" s="117" t="s">
        <v>45</v>
      </c>
      <c r="S879" s="117">
        <v>3</v>
      </c>
    </row>
    <row r="880" spans="1:19" ht="15" x14ac:dyDescent="0.25">
      <c r="A880" s="7">
        <v>2012</v>
      </c>
      <c r="B880" s="27">
        <v>41086</v>
      </c>
      <c r="C880" s="17" t="s">
        <v>35</v>
      </c>
      <c r="D880" s="18" t="s">
        <v>36</v>
      </c>
      <c r="E880" s="17" t="s">
        <v>17</v>
      </c>
      <c r="F880" s="18" t="s">
        <v>49</v>
      </c>
      <c r="G880" s="30" t="s">
        <v>42</v>
      </c>
      <c r="H880" s="10" t="s">
        <v>55</v>
      </c>
      <c r="I880" s="18" t="s">
        <v>60</v>
      </c>
      <c r="J880" s="118">
        <v>0.42509259259259258</v>
      </c>
      <c r="K880" s="117">
        <v>50.1</v>
      </c>
      <c r="L880" s="117">
        <v>0.25</v>
      </c>
      <c r="M880" s="117">
        <v>273.39999999999998</v>
      </c>
      <c r="N880" s="117">
        <v>0.02</v>
      </c>
      <c r="O880" s="117">
        <v>56.7</v>
      </c>
      <c r="P880" s="117">
        <v>2.4</v>
      </c>
      <c r="Q880" s="117">
        <v>35</v>
      </c>
      <c r="R880" s="117" t="s">
        <v>45</v>
      </c>
      <c r="S880" s="117">
        <v>3</v>
      </c>
    </row>
    <row r="881" spans="1:19" ht="15" x14ac:dyDescent="0.25">
      <c r="A881" s="7">
        <v>2012</v>
      </c>
      <c r="B881" s="27">
        <v>41086</v>
      </c>
      <c r="C881" s="17" t="s">
        <v>35</v>
      </c>
      <c r="D881" s="18" t="s">
        <v>36</v>
      </c>
      <c r="E881" s="17" t="s">
        <v>17</v>
      </c>
      <c r="F881" s="18" t="s">
        <v>49</v>
      </c>
      <c r="G881" s="30" t="s">
        <v>42</v>
      </c>
      <c r="H881" s="10" t="s">
        <v>55</v>
      </c>
      <c r="I881" s="18" t="s">
        <v>60</v>
      </c>
      <c r="J881" s="118">
        <v>0.42524305555555553</v>
      </c>
      <c r="K881" s="117">
        <v>66.2</v>
      </c>
      <c r="L881" s="117">
        <v>0.19</v>
      </c>
      <c r="M881" s="117">
        <v>272.2</v>
      </c>
      <c r="N881" s="117">
        <v>0.02</v>
      </c>
      <c r="O881" s="117">
        <v>56.7</v>
      </c>
      <c r="P881" s="117">
        <v>2</v>
      </c>
      <c r="Q881" s="117">
        <v>50</v>
      </c>
      <c r="R881" s="117" t="s">
        <v>45</v>
      </c>
      <c r="S881" s="117">
        <v>3</v>
      </c>
    </row>
    <row r="882" spans="1:19" ht="15" x14ac:dyDescent="0.25">
      <c r="A882" s="7">
        <v>2012</v>
      </c>
      <c r="B882" s="27">
        <v>41086</v>
      </c>
      <c r="C882" s="17" t="s">
        <v>35</v>
      </c>
      <c r="D882" s="18" t="s">
        <v>36</v>
      </c>
      <c r="E882" s="17" t="s">
        <v>17</v>
      </c>
      <c r="F882" s="18" t="s">
        <v>49</v>
      </c>
      <c r="G882" s="30" t="s">
        <v>42</v>
      </c>
      <c r="H882" s="10" t="s">
        <v>55</v>
      </c>
      <c r="I882" s="18" t="s">
        <v>60</v>
      </c>
      <c r="J882" s="118">
        <v>0.42534722222222227</v>
      </c>
      <c r="K882" s="117">
        <v>87.9</v>
      </c>
      <c r="L882" s="117">
        <v>0.34</v>
      </c>
      <c r="M882" s="117">
        <v>273.39999999999998</v>
      </c>
      <c r="N882" s="117">
        <v>0.03</v>
      </c>
      <c r="O882" s="117">
        <v>56.6</v>
      </c>
      <c r="P882" s="117">
        <v>1.6</v>
      </c>
      <c r="Q882" s="117">
        <v>65</v>
      </c>
      <c r="R882" s="117" t="s">
        <v>45</v>
      </c>
      <c r="S882" s="117">
        <v>3</v>
      </c>
    </row>
    <row r="883" spans="1:19" ht="15" x14ac:dyDescent="0.25">
      <c r="A883" s="7">
        <v>2012</v>
      </c>
      <c r="B883" s="27">
        <v>41086</v>
      </c>
      <c r="C883" s="17" t="s">
        <v>35</v>
      </c>
      <c r="D883" s="18" t="s">
        <v>36</v>
      </c>
      <c r="E883" s="17" t="s">
        <v>17</v>
      </c>
      <c r="F883" s="18" t="s">
        <v>49</v>
      </c>
      <c r="G883" s="30" t="s">
        <v>42</v>
      </c>
      <c r="H883" s="10" t="s">
        <v>55</v>
      </c>
      <c r="I883" s="18" t="s">
        <v>60</v>
      </c>
      <c r="J883" s="118">
        <v>0.42577546296296293</v>
      </c>
      <c r="K883" s="117">
        <v>173.7</v>
      </c>
      <c r="L883" s="117">
        <v>0.16</v>
      </c>
      <c r="M883" s="117">
        <v>272.2</v>
      </c>
      <c r="N883" s="117">
        <v>0.02</v>
      </c>
      <c r="O883" s="117">
        <v>56.6</v>
      </c>
      <c r="P883" s="117">
        <v>0.5</v>
      </c>
      <c r="Q883" s="117">
        <v>80</v>
      </c>
      <c r="R883" s="117" t="s">
        <v>45</v>
      </c>
      <c r="S883" s="117">
        <v>3</v>
      </c>
    </row>
    <row r="884" spans="1:19" ht="15" x14ac:dyDescent="0.25">
      <c r="A884" s="7">
        <v>2012</v>
      </c>
      <c r="B884" s="27">
        <v>41086</v>
      </c>
      <c r="C884" s="17" t="s">
        <v>35</v>
      </c>
      <c r="D884" s="18" t="s">
        <v>36</v>
      </c>
      <c r="E884" s="17" t="s">
        <v>17</v>
      </c>
      <c r="F884" s="18" t="s">
        <v>49</v>
      </c>
      <c r="G884" s="30" t="s">
        <v>42</v>
      </c>
      <c r="H884" s="10" t="s">
        <v>55</v>
      </c>
      <c r="I884" s="18" t="s">
        <v>60</v>
      </c>
      <c r="J884" s="118">
        <v>0.4259027777777778</v>
      </c>
      <c r="K884" s="117">
        <v>226.2</v>
      </c>
      <c r="L884" s="117">
        <v>0.04</v>
      </c>
      <c r="M884" s="117">
        <v>269.8</v>
      </c>
      <c r="N884" s="117">
        <v>0.02</v>
      </c>
      <c r="O884" s="117">
        <v>56.6</v>
      </c>
      <c r="P884" s="117">
        <v>0.2</v>
      </c>
      <c r="Q884" s="117">
        <v>95</v>
      </c>
      <c r="R884" s="117" t="s">
        <v>45</v>
      </c>
      <c r="S884" s="117">
        <v>3</v>
      </c>
    </row>
    <row r="885" spans="1:19" ht="15" x14ac:dyDescent="0.25">
      <c r="A885" s="7">
        <v>2012</v>
      </c>
      <c r="B885" s="27">
        <v>45089</v>
      </c>
      <c r="C885" s="17" t="s">
        <v>35</v>
      </c>
      <c r="D885" s="18" t="s">
        <v>36</v>
      </c>
      <c r="E885" s="17" t="s">
        <v>1</v>
      </c>
      <c r="F885" s="18" t="s">
        <v>49</v>
      </c>
      <c r="G885" s="30" t="s">
        <v>42</v>
      </c>
      <c r="H885" s="10" t="s">
        <v>55</v>
      </c>
      <c r="I885" s="106" t="s">
        <v>41</v>
      </c>
      <c r="J885" s="113">
        <v>0.42814814814814817</v>
      </c>
      <c r="K885" s="114">
        <v>84.1</v>
      </c>
      <c r="L885" s="114">
        <v>1.02</v>
      </c>
      <c r="M885" s="114">
        <v>1201.2</v>
      </c>
      <c r="N885" s="114">
        <v>0.83</v>
      </c>
      <c r="O885" s="114">
        <v>56.2</v>
      </c>
      <c r="P885" s="114">
        <v>3.4</v>
      </c>
      <c r="Q885" s="114">
        <v>5</v>
      </c>
      <c r="R885" s="114" t="s">
        <v>48</v>
      </c>
      <c r="S885" s="114">
        <v>1</v>
      </c>
    </row>
    <row r="886" spans="1:19" ht="15" x14ac:dyDescent="0.25">
      <c r="A886" s="7">
        <v>2012</v>
      </c>
      <c r="B886" s="27">
        <v>45089</v>
      </c>
      <c r="C886" s="17" t="s">
        <v>35</v>
      </c>
      <c r="D886" s="18" t="s">
        <v>36</v>
      </c>
      <c r="E886" s="17" t="s">
        <v>1</v>
      </c>
      <c r="F886" s="18" t="s">
        <v>49</v>
      </c>
      <c r="G886" s="30" t="s">
        <v>42</v>
      </c>
      <c r="H886" s="10" t="s">
        <v>55</v>
      </c>
      <c r="I886" s="106" t="s">
        <v>41</v>
      </c>
      <c r="J886" s="113">
        <v>0.43005787037037035</v>
      </c>
      <c r="K886" s="114">
        <v>29</v>
      </c>
      <c r="L886" s="114">
        <v>0.59</v>
      </c>
      <c r="M886" s="114">
        <v>466.3</v>
      </c>
      <c r="N886" s="114">
        <v>0.3</v>
      </c>
      <c r="O886" s="114">
        <v>55.9</v>
      </c>
      <c r="P886" s="114">
        <v>4</v>
      </c>
      <c r="Q886" s="114">
        <v>5</v>
      </c>
      <c r="R886" s="114" t="s">
        <v>45</v>
      </c>
      <c r="S886" s="114">
        <v>1</v>
      </c>
    </row>
    <row r="887" spans="1:19" ht="15" x14ac:dyDescent="0.25">
      <c r="A887" s="7">
        <v>2012</v>
      </c>
      <c r="B887" s="27">
        <v>45089</v>
      </c>
      <c r="C887" s="17" t="s">
        <v>35</v>
      </c>
      <c r="D887" s="18" t="s">
        <v>36</v>
      </c>
      <c r="E887" s="17" t="s">
        <v>1</v>
      </c>
      <c r="F887" s="18" t="s">
        <v>49</v>
      </c>
      <c r="G887" s="30" t="s">
        <v>42</v>
      </c>
      <c r="H887" s="10" t="s">
        <v>55</v>
      </c>
      <c r="I887" s="106" t="s">
        <v>41</v>
      </c>
      <c r="J887" s="113">
        <v>0.43230324074074072</v>
      </c>
      <c r="K887" s="114">
        <v>120</v>
      </c>
      <c r="L887" s="114">
        <v>1.29</v>
      </c>
      <c r="M887" s="114">
        <v>1232.9000000000001</v>
      </c>
      <c r="N887" s="114">
        <v>0.83</v>
      </c>
      <c r="O887" s="114">
        <v>55.7</v>
      </c>
      <c r="P887" s="114">
        <v>3</v>
      </c>
      <c r="Q887" s="114">
        <v>5</v>
      </c>
      <c r="R887" s="114" t="s">
        <v>48</v>
      </c>
      <c r="S887" s="114">
        <v>1</v>
      </c>
    </row>
    <row r="888" spans="1:19" ht="15" x14ac:dyDescent="0.25">
      <c r="A888" s="7">
        <v>2012</v>
      </c>
      <c r="B888" s="27">
        <v>45089</v>
      </c>
      <c r="C888" s="17" t="s">
        <v>35</v>
      </c>
      <c r="D888" s="18" t="s">
        <v>36</v>
      </c>
      <c r="E888" s="17" t="s">
        <v>1</v>
      </c>
      <c r="F888" s="18" t="s">
        <v>49</v>
      </c>
      <c r="G888" s="30" t="s">
        <v>42</v>
      </c>
      <c r="H888" s="10" t="s">
        <v>55</v>
      </c>
      <c r="I888" s="106" t="s">
        <v>41</v>
      </c>
      <c r="J888" s="113">
        <v>0.43332175925925925</v>
      </c>
      <c r="K888" s="114">
        <v>29.1</v>
      </c>
      <c r="L888" s="114">
        <v>0.52</v>
      </c>
      <c r="M888" s="114">
        <v>488.3</v>
      </c>
      <c r="N888" s="114">
        <v>0.21</v>
      </c>
      <c r="O888" s="114">
        <v>55.6</v>
      </c>
      <c r="P888" s="114">
        <v>4.2</v>
      </c>
      <c r="Q888" s="114">
        <v>5</v>
      </c>
      <c r="R888" s="114" t="s">
        <v>45</v>
      </c>
      <c r="S888" s="114">
        <v>1</v>
      </c>
    </row>
    <row r="889" spans="1:19" ht="15" x14ac:dyDescent="0.25">
      <c r="A889" s="7">
        <v>2012</v>
      </c>
      <c r="B889" s="27">
        <v>45089</v>
      </c>
      <c r="C889" s="17" t="s">
        <v>35</v>
      </c>
      <c r="D889" s="18" t="s">
        <v>36</v>
      </c>
      <c r="E889" s="17" t="s">
        <v>1</v>
      </c>
      <c r="F889" s="18" t="s">
        <v>49</v>
      </c>
      <c r="G889" s="30" t="s">
        <v>42</v>
      </c>
      <c r="H889" s="10" t="s">
        <v>55</v>
      </c>
      <c r="I889" s="106" t="s">
        <v>41</v>
      </c>
      <c r="J889" s="113">
        <v>0.43355324074074075</v>
      </c>
      <c r="K889" s="114">
        <v>131.9</v>
      </c>
      <c r="L889" s="114">
        <v>1.05</v>
      </c>
      <c r="M889" s="114">
        <v>1186.5</v>
      </c>
      <c r="N889" s="114">
        <v>0.82</v>
      </c>
      <c r="O889" s="114">
        <v>55.5</v>
      </c>
      <c r="P889" s="114">
        <v>2.8</v>
      </c>
      <c r="Q889" s="114">
        <v>20</v>
      </c>
      <c r="R889" s="114" t="s">
        <v>48</v>
      </c>
      <c r="S889" s="114">
        <v>1</v>
      </c>
    </row>
    <row r="890" spans="1:19" ht="15" x14ac:dyDescent="0.25">
      <c r="A890" s="7">
        <v>2012</v>
      </c>
      <c r="B890" s="27">
        <v>45089</v>
      </c>
      <c r="C890" s="17" t="s">
        <v>35</v>
      </c>
      <c r="D890" s="18" t="s">
        <v>36</v>
      </c>
      <c r="E890" s="17" t="s">
        <v>1</v>
      </c>
      <c r="F890" s="18" t="s">
        <v>49</v>
      </c>
      <c r="G890" s="30" t="s">
        <v>42</v>
      </c>
      <c r="H890" s="10" t="s">
        <v>55</v>
      </c>
      <c r="I890" s="106" t="s">
        <v>41</v>
      </c>
      <c r="J890" s="113">
        <v>0.43385416666666665</v>
      </c>
      <c r="K890" s="114">
        <v>49.4</v>
      </c>
      <c r="L890" s="114">
        <v>1.0900000000000001</v>
      </c>
      <c r="M890" s="114">
        <v>452.9</v>
      </c>
      <c r="N890" s="114">
        <v>0.22</v>
      </c>
      <c r="O890" s="114">
        <v>55.5</v>
      </c>
      <c r="P890" s="114">
        <v>3.2</v>
      </c>
      <c r="Q890" s="114">
        <v>20</v>
      </c>
      <c r="R890" s="114" t="s">
        <v>45</v>
      </c>
      <c r="S890" s="114">
        <v>1</v>
      </c>
    </row>
    <row r="891" spans="1:19" ht="15" x14ac:dyDescent="0.25">
      <c r="A891" s="7">
        <v>2012</v>
      </c>
      <c r="B891" s="27">
        <v>45089</v>
      </c>
      <c r="C891" s="17" t="s">
        <v>35</v>
      </c>
      <c r="D891" s="18" t="s">
        <v>36</v>
      </c>
      <c r="E891" s="17" t="s">
        <v>1</v>
      </c>
      <c r="F891" s="18" t="s">
        <v>49</v>
      </c>
      <c r="G891" s="30" t="s">
        <v>42</v>
      </c>
      <c r="H891" s="10" t="s">
        <v>55</v>
      </c>
      <c r="I891" s="106" t="s">
        <v>41</v>
      </c>
      <c r="J891" s="113">
        <v>0.4342361111111111</v>
      </c>
      <c r="K891" s="114">
        <v>344.5</v>
      </c>
      <c r="L891" s="114">
        <v>0.85</v>
      </c>
      <c r="M891" s="114">
        <v>1167</v>
      </c>
      <c r="N891" s="114">
        <v>0.82</v>
      </c>
      <c r="O891" s="114">
        <v>55.4</v>
      </c>
      <c r="P891" s="114">
        <v>1.5</v>
      </c>
      <c r="Q891" s="114">
        <v>35</v>
      </c>
      <c r="R891" s="114" t="s">
        <v>48</v>
      </c>
      <c r="S891" s="114">
        <v>1</v>
      </c>
    </row>
    <row r="892" spans="1:19" ht="15" x14ac:dyDescent="0.25">
      <c r="A892" s="7">
        <v>2012</v>
      </c>
      <c r="B892" s="27">
        <v>45089</v>
      </c>
      <c r="C892" s="17" t="s">
        <v>35</v>
      </c>
      <c r="D892" s="18" t="s">
        <v>36</v>
      </c>
      <c r="E892" s="17" t="s">
        <v>1</v>
      </c>
      <c r="F892" s="18" t="s">
        <v>49</v>
      </c>
      <c r="G892" s="30" t="s">
        <v>42</v>
      </c>
      <c r="H892" s="10" t="s">
        <v>55</v>
      </c>
      <c r="I892" s="106" t="s">
        <v>41</v>
      </c>
      <c r="J892" s="113">
        <v>0.43436342592592592</v>
      </c>
      <c r="K892" s="114">
        <v>79.900000000000006</v>
      </c>
      <c r="L892" s="114">
        <v>0.42</v>
      </c>
      <c r="M892" s="114">
        <v>422.4</v>
      </c>
      <c r="N892" s="114">
        <v>0.27</v>
      </c>
      <c r="O892" s="114">
        <v>55.4</v>
      </c>
      <c r="P892" s="114">
        <v>2.2999999999999998</v>
      </c>
      <c r="Q892" s="114">
        <v>35</v>
      </c>
      <c r="R892" s="114" t="s">
        <v>45</v>
      </c>
      <c r="S892" s="114">
        <v>1</v>
      </c>
    </row>
    <row r="893" spans="1:19" ht="15" x14ac:dyDescent="0.25">
      <c r="A893" s="7">
        <v>2012</v>
      </c>
      <c r="B893" s="27">
        <v>45089</v>
      </c>
      <c r="C893" s="17" t="s">
        <v>35</v>
      </c>
      <c r="D893" s="18" t="s">
        <v>36</v>
      </c>
      <c r="E893" s="17" t="s">
        <v>1</v>
      </c>
      <c r="F893" s="18" t="s">
        <v>49</v>
      </c>
      <c r="G893" s="30" t="s">
        <v>42</v>
      </c>
      <c r="H893" s="10" t="s">
        <v>55</v>
      </c>
      <c r="I893" s="106" t="s">
        <v>41</v>
      </c>
      <c r="J893" s="113">
        <v>0.43462962962962964</v>
      </c>
      <c r="K893" s="114">
        <v>443.8</v>
      </c>
      <c r="L893" s="114">
        <v>0.66</v>
      </c>
      <c r="M893" s="114">
        <v>1154.8</v>
      </c>
      <c r="N893" s="114">
        <v>0.82</v>
      </c>
      <c r="O893" s="114">
        <v>55.4</v>
      </c>
      <c r="P893" s="114">
        <v>1.2</v>
      </c>
      <c r="Q893" s="114">
        <v>50</v>
      </c>
      <c r="R893" s="114" t="s">
        <v>48</v>
      </c>
      <c r="S893" s="114">
        <v>1</v>
      </c>
    </row>
    <row r="894" spans="1:19" ht="15" x14ac:dyDescent="0.25">
      <c r="A894" s="7">
        <v>2012</v>
      </c>
      <c r="B894" s="27">
        <v>45089</v>
      </c>
      <c r="C894" s="17" t="s">
        <v>35</v>
      </c>
      <c r="D894" s="18" t="s">
        <v>36</v>
      </c>
      <c r="E894" s="17" t="s">
        <v>1</v>
      </c>
      <c r="F894" s="18" t="s">
        <v>49</v>
      </c>
      <c r="G894" s="30" t="s">
        <v>42</v>
      </c>
      <c r="H894" s="10" t="s">
        <v>55</v>
      </c>
      <c r="I894" s="106" t="s">
        <v>41</v>
      </c>
      <c r="J894" s="113">
        <v>0.43480324074074073</v>
      </c>
      <c r="K894" s="114">
        <v>113.7</v>
      </c>
      <c r="L894" s="114">
        <v>0.3</v>
      </c>
      <c r="M894" s="114">
        <v>368.7</v>
      </c>
      <c r="N894" s="114">
        <v>0.23</v>
      </c>
      <c r="O894" s="114">
        <v>55.4</v>
      </c>
      <c r="P894" s="114">
        <v>1.6</v>
      </c>
      <c r="Q894" s="114">
        <v>50</v>
      </c>
      <c r="R894" s="114" t="s">
        <v>45</v>
      </c>
      <c r="S894" s="114">
        <v>1</v>
      </c>
    </row>
    <row r="895" spans="1:19" ht="15" x14ac:dyDescent="0.25">
      <c r="A895" s="7">
        <v>2012</v>
      </c>
      <c r="B895" s="27">
        <v>45089</v>
      </c>
      <c r="C895" s="17" t="s">
        <v>35</v>
      </c>
      <c r="D895" s="18" t="s">
        <v>36</v>
      </c>
      <c r="E895" s="17" t="s">
        <v>1</v>
      </c>
      <c r="F895" s="18" t="s">
        <v>49</v>
      </c>
      <c r="G895" s="30" t="s">
        <v>42</v>
      </c>
      <c r="H895" s="10" t="s">
        <v>55</v>
      </c>
      <c r="I895" s="106" t="s">
        <v>41</v>
      </c>
      <c r="J895" s="113">
        <v>0.43549768518518522</v>
      </c>
      <c r="K895" s="114">
        <v>458</v>
      </c>
      <c r="L895" s="114">
        <v>0.61</v>
      </c>
      <c r="M895" s="114">
        <v>1147.5</v>
      </c>
      <c r="N895" s="114">
        <v>0.81</v>
      </c>
      <c r="O895" s="114">
        <v>55.3</v>
      </c>
      <c r="P895" s="114">
        <v>1.2</v>
      </c>
      <c r="Q895" s="114">
        <v>65</v>
      </c>
      <c r="R895" s="114" t="s">
        <v>48</v>
      </c>
      <c r="S895" s="114">
        <v>1</v>
      </c>
    </row>
    <row r="896" spans="1:19" ht="15" x14ac:dyDescent="0.25">
      <c r="A896" s="7">
        <v>2012</v>
      </c>
      <c r="B896" s="27">
        <v>45089</v>
      </c>
      <c r="C896" s="17" t="s">
        <v>35</v>
      </c>
      <c r="D896" s="18" t="s">
        <v>36</v>
      </c>
      <c r="E896" s="17" t="s">
        <v>1</v>
      </c>
      <c r="F896" s="18" t="s">
        <v>49</v>
      </c>
      <c r="G896" s="30" t="s">
        <v>42</v>
      </c>
      <c r="H896" s="10" t="s">
        <v>55</v>
      </c>
      <c r="I896" s="106" t="s">
        <v>41</v>
      </c>
      <c r="J896" s="113">
        <v>0.43561342592592595</v>
      </c>
      <c r="K896" s="114">
        <v>128.1</v>
      </c>
      <c r="L896" s="114">
        <v>0.34</v>
      </c>
      <c r="M896" s="114">
        <v>322.3</v>
      </c>
      <c r="N896" s="114">
        <v>0.18</v>
      </c>
      <c r="O896" s="114">
        <v>55.3</v>
      </c>
      <c r="P896" s="114">
        <v>1.2</v>
      </c>
      <c r="Q896" s="114">
        <v>65</v>
      </c>
      <c r="R896" s="114" t="s">
        <v>45</v>
      </c>
      <c r="S896" s="114">
        <v>1</v>
      </c>
    </row>
    <row r="897" spans="1:19" ht="15" x14ac:dyDescent="0.25">
      <c r="A897" s="7">
        <v>2012</v>
      </c>
      <c r="B897" s="27">
        <v>45089</v>
      </c>
      <c r="C897" s="17" t="s">
        <v>35</v>
      </c>
      <c r="D897" s="18" t="s">
        <v>36</v>
      </c>
      <c r="E897" s="17" t="s">
        <v>1</v>
      </c>
      <c r="F897" s="18" t="s">
        <v>49</v>
      </c>
      <c r="G897" s="30" t="s">
        <v>42</v>
      </c>
      <c r="H897" s="10" t="s">
        <v>55</v>
      </c>
      <c r="I897" s="106" t="s">
        <v>41</v>
      </c>
      <c r="J897" s="113">
        <v>0.43601851851851853</v>
      </c>
      <c r="K897" s="114">
        <v>808.3</v>
      </c>
      <c r="L897" s="114">
        <v>0.26</v>
      </c>
      <c r="M897" s="114">
        <v>1171.9000000000001</v>
      </c>
      <c r="N897" s="114">
        <v>0.82</v>
      </c>
      <c r="O897" s="114">
        <v>55.2</v>
      </c>
      <c r="P897" s="114">
        <v>0.5</v>
      </c>
      <c r="Q897" s="114">
        <v>80</v>
      </c>
      <c r="R897" s="114" t="s">
        <v>48</v>
      </c>
      <c r="S897" s="114">
        <v>1</v>
      </c>
    </row>
    <row r="898" spans="1:19" ht="15" x14ac:dyDescent="0.25">
      <c r="A898" s="7">
        <v>2012</v>
      </c>
      <c r="B898" s="27">
        <v>45089</v>
      </c>
      <c r="C898" s="17" t="s">
        <v>35</v>
      </c>
      <c r="D898" s="18" t="s">
        <v>36</v>
      </c>
      <c r="E898" s="17" t="s">
        <v>1</v>
      </c>
      <c r="F898" s="18" t="s">
        <v>49</v>
      </c>
      <c r="G898" s="30" t="s">
        <v>42</v>
      </c>
      <c r="H898" s="10" t="s">
        <v>55</v>
      </c>
      <c r="I898" s="106" t="s">
        <v>41</v>
      </c>
      <c r="J898" s="118">
        <v>0.43627314814814816</v>
      </c>
      <c r="K898" s="117">
        <v>224.5</v>
      </c>
      <c r="L898" s="117">
        <v>0.18</v>
      </c>
      <c r="M898" s="117">
        <v>432.1</v>
      </c>
      <c r="N898" s="117">
        <v>0.21</v>
      </c>
      <c r="O898" s="117">
        <v>55.2</v>
      </c>
      <c r="P898" s="117">
        <v>0.8</v>
      </c>
      <c r="Q898" s="117">
        <v>80</v>
      </c>
      <c r="R898" s="117" t="s">
        <v>45</v>
      </c>
      <c r="S898" s="117">
        <v>1</v>
      </c>
    </row>
    <row r="899" spans="1:19" ht="15" x14ac:dyDescent="0.25">
      <c r="A899" s="7">
        <v>2012</v>
      </c>
      <c r="B899" s="27">
        <v>45089</v>
      </c>
      <c r="C899" s="17" t="s">
        <v>35</v>
      </c>
      <c r="D899" s="18" t="s">
        <v>36</v>
      </c>
      <c r="E899" s="17" t="s">
        <v>1</v>
      </c>
      <c r="F899" s="18" t="s">
        <v>49</v>
      </c>
      <c r="G899" s="30" t="s">
        <v>42</v>
      </c>
      <c r="H899" s="10" t="s">
        <v>55</v>
      </c>
      <c r="I899" s="106" t="s">
        <v>41</v>
      </c>
      <c r="J899" s="118">
        <v>0.43649305555555556</v>
      </c>
      <c r="K899" s="117">
        <v>945.4</v>
      </c>
      <c r="L899" s="117">
        <v>0.04</v>
      </c>
      <c r="M899" s="117">
        <v>1163.3</v>
      </c>
      <c r="N899" s="117">
        <v>0.82</v>
      </c>
      <c r="O899" s="117">
        <v>55.2</v>
      </c>
      <c r="P899" s="117">
        <v>0.3</v>
      </c>
      <c r="Q899" s="117">
        <v>95</v>
      </c>
      <c r="R899" s="117" t="s">
        <v>48</v>
      </c>
      <c r="S899" s="117">
        <v>1</v>
      </c>
    </row>
    <row r="900" spans="1:19" ht="15" x14ac:dyDescent="0.25">
      <c r="A900" s="7">
        <v>2012</v>
      </c>
      <c r="B900" s="27">
        <v>45089</v>
      </c>
      <c r="C900" s="17" t="s">
        <v>35</v>
      </c>
      <c r="D900" s="18" t="s">
        <v>36</v>
      </c>
      <c r="E900" s="17" t="s">
        <v>1</v>
      </c>
      <c r="F900" s="18" t="s">
        <v>49</v>
      </c>
      <c r="G900" s="30" t="s">
        <v>42</v>
      </c>
      <c r="H900" s="10" t="s">
        <v>55</v>
      </c>
      <c r="I900" s="106" t="s">
        <v>41</v>
      </c>
      <c r="J900" s="118">
        <v>0.43663194444444442</v>
      </c>
      <c r="K900" s="117">
        <v>284.8</v>
      </c>
      <c r="L900" s="117">
        <v>0.06</v>
      </c>
      <c r="M900" s="117">
        <v>411.4</v>
      </c>
      <c r="N900" s="117">
        <v>0.25</v>
      </c>
      <c r="O900" s="117">
        <v>55.2</v>
      </c>
      <c r="P900" s="117">
        <v>0.4</v>
      </c>
      <c r="Q900" s="117">
        <v>95</v>
      </c>
      <c r="R900" s="117" t="s">
        <v>45</v>
      </c>
      <c r="S900" s="117">
        <v>1</v>
      </c>
    </row>
    <row r="901" spans="1:19" ht="15" x14ac:dyDescent="0.25">
      <c r="A901" s="7">
        <v>2012</v>
      </c>
      <c r="B901" s="27">
        <v>45089</v>
      </c>
      <c r="C901" s="17" t="s">
        <v>35</v>
      </c>
      <c r="D901" s="18" t="s">
        <v>36</v>
      </c>
      <c r="E901" s="17" t="s">
        <v>1</v>
      </c>
      <c r="F901" s="18" t="s">
        <v>49</v>
      </c>
      <c r="G901" s="30" t="s">
        <v>42</v>
      </c>
      <c r="H901" s="10" t="s">
        <v>55</v>
      </c>
      <c r="I901" s="106" t="s">
        <v>41</v>
      </c>
      <c r="J901" s="118">
        <v>0.45496527777777779</v>
      </c>
      <c r="K901" s="117">
        <v>131.30000000000001</v>
      </c>
      <c r="L901" s="117">
        <v>1.1000000000000001</v>
      </c>
      <c r="M901" s="117">
        <v>1333</v>
      </c>
      <c r="N901" s="117">
        <v>0.81</v>
      </c>
      <c r="O901" s="117">
        <v>53.1</v>
      </c>
      <c r="P901" s="117">
        <v>3.1</v>
      </c>
      <c r="Q901" s="117">
        <v>5</v>
      </c>
      <c r="R901" s="117" t="s">
        <v>48</v>
      </c>
      <c r="S901" s="117">
        <v>2</v>
      </c>
    </row>
    <row r="902" spans="1:19" ht="15" x14ac:dyDescent="0.25">
      <c r="A902" s="7">
        <v>2012</v>
      </c>
      <c r="B902" s="27">
        <v>45089</v>
      </c>
      <c r="C902" s="17" t="s">
        <v>35</v>
      </c>
      <c r="D902" s="18" t="s">
        <v>36</v>
      </c>
      <c r="E902" s="17" t="s">
        <v>1</v>
      </c>
      <c r="F902" s="18" t="s">
        <v>49</v>
      </c>
      <c r="G902" s="30" t="s">
        <v>42</v>
      </c>
      <c r="H902" s="10" t="s">
        <v>55</v>
      </c>
      <c r="I902" s="106" t="s">
        <v>41</v>
      </c>
      <c r="J902" s="118">
        <v>0.45519675925925923</v>
      </c>
      <c r="K902" s="117">
        <v>48.5</v>
      </c>
      <c r="L902" s="117">
        <v>0.55000000000000004</v>
      </c>
      <c r="M902" s="117">
        <v>522.5</v>
      </c>
      <c r="N902" s="117">
        <v>0.17</v>
      </c>
      <c r="O902" s="117">
        <v>53.1</v>
      </c>
      <c r="P902" s="117">
        <v>3.5</v>
      </c>
      <c r="Q902" s="117">
        <v>5</v>
      </c>
      <c r="R902" s="117" t="s">
        <v>45</v>
      </c>
      <c r="S902" s="117">
        <v>2</v>
      </c>
    </row>
    <row r="903" spans="1:19" ht="15" x14ac:dyDescent="0.25">
      <c r="A903" s="7">
        <v>2012</v>
      </c>
      <c r="B903" s="27">
        <v>45089</v>
      </c>
      <c r="C903" s="17" t="s">
        <v>35</v>
      </c>
      <c r="D903" s="18" t="s">
        <v>36</v>
      </c>
      <c r="E903" s="17" t="s">
        <v>1</v>
      </c>
      <c r="F903" s="18" t="s">
        <v>49</v>
      </c>
      <c r="G903" s="30" t="s">
        <v>42</v>
      </c>
      <c r="H903" s="10" t="s">
        <v>55</v>
      </c>
      <c r="I903" s="106" t="s">
        <v>41</v>
      </c>
      <c r="J903" s="118">
        <v>0.45546296296296296</v>
      </c>
      <c r="K903" s="117">
        <v>271.89999999999998</v>
      </c>
      <c r="L903" s="117">
        <v>0.88</v>
      </c>
      <c r="M903" s="117">
        <v>1326.9</v>
      </c>
      <c r="N903" s="117">
        <v>0.81</v>
      </c>
      <c r="O903" s="117">
        <v>53</v>
      </c>
      <c r="P903" s="117">
        <v>2.1</v>
      </c>
      <c r="Q903" s="117">
        <v>20</v>
      </c>
      <c r="R903" s="117" t="s">
        <v>48</v>
      </c>
      <c r="S903" s="117">
        <v>2</v>
      </c>
    </row>
    <row r="904" spans="1:19" ht="15" x14ac:dyDescent="0.25">
      <c r="A904" s="7">
        <v>2012</v>
      </c>
      <c r="B904" s="27">
        <v>45089</v>
      </c>
      <c r="C904" s="17" t="s">
        <v>35</v>
      </c>
      <c r="D904" s="18" t="s">
        <v>36</v>
      </c>
      <c r="E904" s="17" t="s">
        <v>1</v>
      </c>
      <c r="F904" s="18" t="s">
        <v>49</v>
      </c>
      <c r="G904" s="30" t="s">
        <v>42</v>
      </c>
      <c r="H904" s="10" t="s">
        <v>55</v>
      </c>
      <c r="I904" s="106" t="s">
        <v>41</v>
      </c>
      <c r="J904" s="118">
        <v>0.45554398148148145</v>
      </c>
      <c r="K904" s="117">
        <v>79.7</v>
      </c>
      <c r="L904" s="117">
        <v>0.32</v>
      </c>
      <c r="M904" s="117">
        <v>498</v>
      </c>
      <c r="N904" s="117">
        <v>0.19</v>
      </c>
      <c r="O904" s="117">
        <v>53</v>
      </c>
      <c r="P904" s="117">
        <v>2.6</v>
      </c>
      <c r="Q904" s="117">
        <v>20</v>
      </c>
      <c r="R904" s="117" t="s">
        <v>45</v>
      </c>
      <c r="S904" s="117">
        <v>2</v>
      </c>
    </row>
    <row r="905" spans="1:19" ht="15" x14ac:dyDescent="0.25">
      <c r="A905" s="7">
        <v>2012</v>
      </c>
      <c r="B905" s="27">
        <v>45089</v>
      </c>
      <c r="C905" s="17" t="s">
        <v>35</v>
      </c>
      <c r="D905" s="18" t="s">
        <v>36</v>
      </c>
      <c r="E905" s="17" t="s">
        <v>1</v>
      </c>
      <c r="F905" s="18" t="s">
        <v>49</v>
      </c>
      <c r="G905" s="30" t="s">
        <v>42</v>
      </c>
      <c r="H905" s="10" t="s">
        <v>55</v>
      </c>
      <c r="I905" s="106" t="s">
        <v>41</v>
      </c>
      <c r="J905" s="118">
        <v>0.45593750000000005</v>
      </c>
      <c r="K905" s="117">
        <v>251.5</v>
      </c>
      <c r="L905" s="117">
        <v>0.97</v>
      </c>
      <c r="M905" s="117">
        <v>1352.5</v>
      </c>
      <c r="N905" s="117">
        <v>0.81</v>
      </c>
      <c r="O905" s="117">
        <v>53</v>
      </c>
      <c r="P905" s="117">
        <v>2.2000000000000002</v>
      </c>
      <c r="Q905" s="117">
        <v>35</v>
      </c>
      <c r="R905" s="117" t="s">
        <v>48</v>
      </c>
      <c r="S905" s="117">
        <v>2</v>
      </c>
    </row>
    <row r="906" spans="1:19" ht="15" x14ac:dyDescent="0.25">
      <c r="A906" s="7">
        <v>2012</v>
      </c>
      <c r="B906" s="27">
        <v>45089</v>
      </c>
      <c r="C906" s="17" t="s">
        <v>35</v>
      </c>
      <c r="D906" s="18" t="s">
        <v>36</v>
      </c>
      <c r="E906" s="17" t="s">
        <v>1</v>
      </c>
      <c r="F906" s="18" t="s">
        <v>49</v>
      </c>
      <c r="G906" s="30" t="s">
        <v>42</v>
      </c>
      <c r="H906" s="10" t="s">
        <v>55</v>
      </c>
      <c r="I906" s="106" t="s">
        <v>41</v>
      </c>
      <c r="J906" s="118">
        <v>0.45618055555555559</v>
      </c>
      <c r="K906" s="117">
        <v>108</v>
      </c>
      <c r="L906" s="117">
        <v>0.28000000000000003</v>
      </c>
      <c r="M906" s="117">
        <v>549.29999999999995</v>
      </c>
      <c r="N906" s="117">
        <v>0.14000000000000001</v>
      </c>
      <c r="O906" s="117">
        <v>53</v>
      </c>
      <c r="P906" s="117">
        <v>2.2999999999999998</v>
      </c>
      <c r="Q906" s="117">
        <v>35</v>
      </c>
      <c r="R906" s="117" t="s">
        <v>45</v>
      </c>
      <c r="S906" s="117">
        <v>2</v>
      </c>
    </row>
    <row r="907" spans="1:19" ht="15" x14ac:dyDescent="0.25">
      <c r="A907" s="7">
        <v>2012</v>
      </c>
      <c r="B907" s="27">
        <v>45089</v>
      </c>
      <c r="C907" s="17" t="s">
        <v>35</v>
      </c>
      <c r="D907" s="18" t="s">
        <v>36</v>
      </c>
      <c r="E907" s="17" t="s">
        <v>1</v>
      </c>
      <c r="F907" s="18" t="s">
        <v>49</v>
      </c>
      <c r="G907" s="30" t="s">
        <v>42</v>
      </c>
      <c r="H907" s="10" t="s">
        <v>55</v>
      </c>
      <c r="I907" s="106" t="s">
        <v>41</v>
      </c>
      <c r="J907" s="118">
        <v>0.4563888888888889</v>
      </c>
      <c r="K907" s="117">
        <v>99.5</v>
      </c>
      <c r="L907" s="117">
        <v>0.2</v>
      </c>
      <c r="M907" s="117">
        <v>1355</v>
      </c>
      <c r="N907" s="117">
        <v>0.81</v>
      </c>
      <c r="O907" s="117">
        <v>52.9</v>
      </c>
      <c r="P907" s="117">
        <v>3.5</v>
      </c>
      <c r="Q907" s="117">
        <v>50</v>
      </c>
      <c r="R907" s="117" t="s">
        <v>48</v>
      </c>
      <c r="S907" s="117">
        <v>2</v>
      </c>
    </row>
    <row r="908" spans="1:19" ht="15" x14ac:dyDescent="0.25">
      <c r="A908" s="7">
        <v>2012</v>
      </c>
      <c r="B908" s="27">
        <v>45089</v>
      </c>
      <c r="C908" s="17" t="s">
        <v>35</v>
      </c>
      <c r="D908" s="18" t="s">
        <v>36</v>
      </c>
      <c r="E908" s="17" t="s">
        <v>1</v>
      </c>
      <c r="F908" s="18" t="s">
        <v>49</v>
      </c>
      <c r="G908" s="30" t="s">
        <v>42</v>
      </c>
      <c r="H908" s="10" t="s">
        <v>55</v>
      </c>
      <c r="I908" s="106" t="s">
        <v>41</v>
      </c>
      <c r="J908" s="118">
        <v>0.45648148148148149</v>
      </c>
      <c r="K908" s="117">
        <v>111.6</v>
      </c>
      <c r="L908" s="117">
        <v>0.27</v>
      </c>
      <c r="M908" s="117">
        <v>540.79999999999995</v>
      </c>
      <c r="N908" s="117">
        <v>0.16</v>
      </c>
      <c r="O908" s="117">
        <v>52.9</v>
      </c>
      <c r="P908" s="117">
        <v>2.2000000000000002</v>
      </c>
      <c r="Q908" s="117">
        <v>50</v>
      </c>
      <c r="R908" s="117" t="s">
        <v>45</v>
      </c>
      <c r="S908" s="117">
        <v>2</v>
      </c>
    </row>
    <row r="909" spans="1:19" ht="15" x14ac:dyDescent="0.25">
      <c r="A909" s="7">
        <v>2012</v>
      </c>
      <c r="B909" s="27">
        <v>45089</v>
      </c>
      <c r="C909" s="17" t="s">
        <v>35</v>
      </c>
      <c r="D909" s="18" t="s">
        <v>36</v>
      </c>
      <c r="E909" s="17" t="s">
        <v>1</v>
      </c>
      <c r="F909" s="18" t="s">
        <v>49</v>
      </c>
      <c r="G909" s="30" t="s">
        <v>42</v>
      </c>
      <c r="H909" s="10" t="s">
        <v>55</v>
      </c>
      <c r="I909" s="106" t="s">
        <v>41</v>
      </c>
      <c r="J909" s="118">
        <v>0.45659722222222227</v>
      </c>
      <c r="K909" s="117">
        <v>503.9</v>
      </c>
      <c r="L909" s="117">
        <v>0.63</v>
      </c>
      <c r="M909" s="117">
        <v>1369.6</v>
      </c>
      <c r="N909" s="117">
        <v>0.81</v>
      </c>
      <c r="O909" s="117">
        <v>52.9</v>
      </c>
      <c r="P909" s="117">
        <v>1.3</v>
      </c>
      <c r="Q909" s="117">
        <v>65</v>
      </c>
      <c r="R909" s="117" t="s">
        <v>48</v>
      </c>
      <c r="S909" s="117">
        <v>2</v>
      </c>
    </row>
    <row r="910" spans="1:19" ht="15" x14ac:dyDescent="0.25">
      <c r="A910" s="7">
        <v>2012</v>
      </c>
      <c r="B910" s="27">
        <v>45089</v>
      </c>
      <c r="C910" s="17" t="s">
        <v>35</v>
      </c>
      <c r="D910" s="18" t="s">
        <v>36</v>
      </c>
      <c r="E910" s="17" t="s">
        <v>1</v>
      </c>
      <c r="F910" s="18" t="s">
        <v>49</v>
      </c>
      <c r="G910" s="30" t="s">
        <v>42</v>
      </c>
      <c r="H910" s="10" t="s">
        <v>55</v>
      </c>
      <c r="I910" s="106" t="s">
        <v>41</v>
      </c>
      <c r="J910" s="118">
        <v>0.45665509259259257</v>
      </c>
      <c r="K910" s="117">
        <v>492.9</v>
      </c>
      <c r="L910" s="117">
        <v>0.64</v>
      </c>
      <c r="M910" s="117">
        <v>1369.6</v>
      </c>
      <c r="N910" s="117">
        <v>0.81</v>
      </c>
      <c r="O910" s="117">
        <v>52.9</v>
      </c>
      <c r="P910" s="117">
        <v>1.3</v>
      </c>
      <c r="Q910" s="117">
        <v>65</v>
      </c>
      <c r="R910" s="117" t="s">
        <v>48</v>
      </c>
      <c r="S910" s="117">
        <v>2</v>
      </c>
    </row>
    <row r="911" spans="1:19" ht="15" x14ac:dyDescent="0.25">
      <c r="A911" s="7">
        <v>2012</v>
      </c>
      <c r="B911" s="27">
        <v>45089</v>
      </c>
      <c r="C911" s="17" t="s">
        <v>35</v>
      </c>
      <c r="D911" s="18" t="s">
        <v>36</v>
      </c>
      <c r="E911" s="17" t="s">
        <v>1</v>
      </c>
      <c r="F911" s="18" t="s">
        <v>49</v>
      </c>
      <c r="G911" s="30" t="s">
        <v>42</v>
      </c>
      <c r="H911" s="10" t="s">
        <v>55</v>
      </c>
      <c r="I911" s="106" t="s">
        <v>41</v>
      </c>
      <c r="J911" s="118">
        <v>0.4571412037037037</v>
      </c>
      <c r="K911" s="117">
        <v>198.5</v>
      </c>
      <c r="L911" s="117">
        <v>0.26</v>
      </c>
      <c r="M911" s="117">
        <v>524.9</v>
      </c>
      <c r="N911" s="117">
        <v>0.2</v>
      </c>
      <c r="O911" s="117">
        <v>52.9</v>
      </c>
      <c r="P911" s="117">
        <v>1.3</v>
      </c>
      <c r="Q911" s="117">
        <v>65</v>
      </c>
      <c r="R911" s="117" t="s">
        <v>45</v>
      </c>
      <c r="S911" s="117">
        <v>2</v>
      </c>
    </row>
    <row r="912" spans="1:19" ht="15" x14ac:dyDescent="0.25">
      <c r="A912" s="7">
        <v>2012</v>
      </c>
      <c r="B912" s="27">
        <v>45089</v>
      </c>
      <c r="C912" s="17" t="s">
        <v>35</v>
      </c>
      <c r="D912" s="18" t="s">
        <v>36</v>
      </c>
      <c r="E912" s="17" t="s">
        <v>1</v>
      </c>
      <c r="F912" s="18" t="s">
        <v>49</v>
      </c>
      <c r="G912" s="30" t="s">
        <v>42</v>
      </c>
      <c r="H912" s="10" t="s">
        <v>55</v>
      </c>
      <c r="I912" s="106" t="s">
        <v>41</v>
      </c>
      <c r="J912" s="118">
        <v>0.45733796296296297</v>
      </c>
      <c r="K912" s="117">
        <v>1028.7</v>
      </c>
      <c r="L912" s="117">
        <v>0.2</v>
      </c>
      <c r="M912" s="117">
        <v>1384.3</v>
      </c>
      <c r="N912" s="117">
        <v>0.81</v>
      </c>
      <c r="O912" s="117">
        <v>52.8</v>
      </c>
      <c r="P912" s="117">
        <v>0.4</v>
      </c>
      <c r="Q912" s="117">
        <v>80</v>
      </c>
      <c r="R912" s="117" t="s">
        <v>48</v>
      </c>
      <c r="S912" s="117">
        <v>2</v>
      </c>
    </row>
    <row r="913" spans="1:19" ht="15" x14ac:dyDescent="0.25">
      <c r="A913" s="7">
        <v>2012</v>
      </c>
      <c r="B913" s="27">
        <v>45089</v>
      </c>
      <c r="C913" s="17" t="s">
        <v>35</v>
      </c>
      <c r="D913" s="18" t="s">
        <v>36</v>
      </c>
      <c r="E913" s="17" t="s">
        <v>1</v>
      </c>
      <c r="F913" s="18" t="s">
        <v>49</v>
      </c>
      <c r="G913" s="30" t="s">
        <v>42</v>
      </c>
      <c r="H913" s="10" t="s">
        <v>55</v>
      </c>
      <c r="I913" s="106" t="s">
        <v>41</v>
      </c>
      <c r="J913" s="118">
        <v>0.4574537037037037</v>
      </c>
      <c r="K913" s="117">
        <v>300</v>
      </c>
      <c r="L913" s="117">
        <v>0.15</v>
      </c>
      <c r="M913" s="117">
        <v>524.9</v>
      </c>
      <c r="N913" s="117">
        <v>0.19</v>
      </c>
      <c r="O913" s="117">
        <v>52.8</v>
      </c>
      <c r="P913" s="117">
        <v>0.7</v>
      </c>
      <c r="Q913" s="117">
        <v>80</v>
      </c>
      <c r="R913" s="117" t="s">
        <v>45</v>
      </c>
      <c r="S913" s="117">
        <v>2</v>
      </c>
    </row>
    <row r="914" spans="1:19" ht="15" x14ac:dyDescent="0.25">
      <c r="A914" s="7">
        <v>2012</v>
      </c>
      <c r="B914" s="27">
        <v>45089</v>
      </c>
      <c r="C914" s="17" t="s">
        <v>35</v>
      </c>
      <c r="D914" s="18" t="s">
        <v>36</v>
      </c>
      <c r="E914" s="17" t="s">
        <v>1</v>
      </c>
      <c r="F914" s="18" t="s">
        <v>49</v>
      </c>
      <c r="G914" s="30" t="s">
        <v>42</v>
      </c>
      <c r="H914" s="10" t="s">
        <v>55</v>
      </c>
      <c r="I914" s="106" t="s">
        <v>41</v>
      </c>
      <c r="J914" s="118">
        <v>0.45770833333333333</v>
      </c>
      <c r="K914" s="117">
        <v>1123.4000000000001</v>
      </c>
      <c r="L914" s="117">
        <v>0.04</v>
      </c>
      <c r="M914" s="117">
        <v>1387.9</v>
      </c>
      <c r="N914" s="117">
        <v>0.81</v>
      </c>
      <c r="O914" s="117">
        <v>52.8</v>
      </c>
      <c r="P914" s="117">
        <v>0.3</v>
      </c>
      <c r="Q914" s="117">
        <v>95</v>
      </c>
      <c r="R914" s="117" t="s">
        <v>48</v>
      </c>
      <c r="S914" s="117">
        <v>2</v>
      </c>
    </row>
    <row r="915" spans="1:19" ht="15" x14ac:dyDescent="0.25">
      <c r="A915" s="7">
        <v>2012</v>
      </c>
      <c r="B915" s="27">
        <v>45089</v>
      </c>
      <c r="C915" s="17" t="s">
        <v>35</v>
      </c>
      <c r="D915" s="18" t="s">
        <v>36</v>
      </c>
      <c r="E915" s="17" t="s">
        <v>1</v>
      </c>
      <c r="F915" s="18" t="s">
        <v>49</v>
      </c>
      <c r="G915" s="30" t="s">
        <v>42</v>
      </c>
      <c r="H915" s="10" t="s">
        <v>55</v>
      </c>
      <c r="I915" s="106" t="s">
        <v>41</v>
      </c>
      <c r="J915" s="118">
        <v>0.45777777777777778</v>
      </c>
      <c r="K915" s="117">
        <v>315.89999999999998</v>
      </c>
      <c r="L915" s="117">
        <v>0.08</v>
      </c>
      <c r="M915" s="117">
        <v>516.4</v>
      </c>
      <c r="N915" s="117">
        <v>0.22</v>
      </c>
      <c r="O915" s="117">
        <v>52.8</v>
      </c>
      <c r="P915" s="117">
        <v>0.6</v>
      </c>
      <c r="Q915" s="117">
        <v>95</v>
      </c>
      <c r="R915" s="117" t="s">
        <v>45</v>
      </c>
      <c r="S915" s="117">
        <v>2</v>
      </c>
    </row>
    <row r="916" spans="1:19" ht="15" x14ac:dyDescent="0.25">
      <c r="A916" s="7">
        <v>2012</v>
      </c>
      <c r="B916" s="27">
        <v>45089</v>
      </c>
      <c r="C916" s="17" t="s">
        <v>35</v>
      </c>
      <c r="D916" s="18" t="s">
        <v>36</v>
      </c>
      <c r="E916" s="17" t="s">
        <v>1</v>
      </c>
      <c r="F916" s="18" t="s">
        <v>49</v>
      </c>
      <c r="G916" s="30" t="s">
        <v>42</v>
      </c>
      <c r="H916" s="10" t="s">
        <v>55</v>
      </c>
      <c r="I916" s="106" t="s">
        <v>41</v>
      </c>
      <c r="J916" s="118">
        <v>0.45847222222222223</v>
      </c>
      <c r="K916" s="117">
        <v>114.9</v>
      </c>
      <c r="L916" s="117">
        <v>1</v>
      </c>
      <c r="M916" s="117">
        <v>1412.4</v>
      </c>
      <c r="N916" s="117">
        <v>0.79</v>
      </c>
      <c r="O916" s="117">
        <v>52.7</v>
      </c>
      <c r="P916" s="117">
        <v>3.4</v>
      </c>
      <c r="Q916" s="117">
        <v>5</v>
      </c>
      <c r="R916" s="117" t="s">
        <v>48</v>
      </c>
      <c r="S916" s="117">
        <v>3</v>
      </c>
    </row>
    <row r="917" spans="1:19" ht="15" x14ac:dyDescent="0.25">
      <c r="A917" s="7">
        <v>2012</v>
      </c>
      <c r="B917" s="27">
        <v>45089</v>
      </c>
      <c r="C917" s="17" t="s">
        <v>35</v>
      </c>
      <c r="D917" s="18" t="s">
        <v>36</v>
      </c>
      <c r="E917" s="17" t="s">
        <v>1</v>
      </c>
      <c r="F917" s="18" t="s">
        <v>49</v>
      </c>
      <c r="G917" s="30" t="s">
        <v>42</v>
      </c>
      <c r="H917" s="10" t="s">
        <v>55</v>
      </c>
      <c r="I917" s="106" t="s">
        <v>41</v>
      </c>
      <c r="J917" s="118">
        <v>0.45861111111111108</v>
      </c>
      <c r="K917" s="117">
        <v>53.3</v>
      </c>
      <c r="L917" s="117">
        <v>0.2</v>
      </c>
      <c r="M917" s="117">
        <v>553</v>
      </c>
      <c r="N917" s="117">
        <v>0.18</v>
      </c>
      <c r="O917" s="117">
        <v>52.7</v>
      </c>
      <c r="P917" s="117">
        <v>3.4</v>
      </c>
      <c r="Q917" s="117">
        <v>5</v>
      </c>
      <c r="R917" s="117" t="s">
        <v>45</v>
      </c>
      <c r="S917" s="117">
        <v>3</v>
      </c>
    </row>
    <row r="918" spans="1:19" ht="15" x14ac:dyDescent="0.25">
      <c r="A918" s="7">
        <v>2012</v>
      </c>
      <c r="B918" s="27">
        <v>45089</v>
      </c>
      <c r="C918" s="17" t="s">
        <v>35</v>
      </c>
      <c r="D918" s="18" t="s">
        <v>36</v>
      </c>
      <c r="E918" s="17" t="s">
        <v>1</v>
      </c>
      <c r="F918" s="18" t="s">
        <v>49</v>
      </c>
      <c r="G918" s="30" t="s">
        <v>42</v>
      </c>
      <c r="H918" s="10" t="s">
        <v>55</v>
      </c>
      <c r="I918" s="106" t="s">
        <v>41</v>
      </c>
      <c r="J918" s="118">
        <v>0.45894675925925926</v>
      </c>
      <c r="K918" s="117">
        <v>271.2</v>
      </c>
      <c r="L918" s="117">
        <v>0.9</v>
      </c>
      <c r="M918" s="117">
        <v>1438</v>
      </c>
      <c r="N918" s="117">
        <v>0.78</v>
      </c>
      <c r="O918" s="117">
        <v>52.7</v>
      </c>
      <c r="P918" s="117">
        <v>2.2000000000000002</v>
      </c>
      <c r="Q918" s="117">
        <v>20</v>
      </c>
      <c r="R918" s="117" t="s">
        <v>48</v>
      </c>
      <c r="S918" s="117">
        <v>3</v>
      </c>
    </row>
    <row r="919" spans="1:19" ht="15" x14ac:dyDescent="0.25">
      <c r="A919" s="7">
        <v>2012</v>
      </c>
      <c r="B919" s="27">
        <v>45089</v>
      </c>
      <c r="C919" s="17" t="s">
        <v>35</v>
      </c>
      <c r="D919" s="18" t="s">
        <v>36</v>
      </c>
      <c r="E919" s="17" t="s">
        <v>1</v>
      </c>
      <c r="F919" s="18" t="s">
        <v>49</v>
      </c>
      <c r="G919" s="30" t="s">
        <v>42</v>
      </c>
      <c r="H919" s="10" t="s">
        <v>55</v>
      </c>
      <c r="I919" s="106" t="s">
        <v>41</v>
      </c>
      <c r="J919" s="118">
        <v>0.45903935185185185</v>
      </c>
      <c r="K919" s="117">
        <v>115.6</v>
      </c>
      <c r="L919" s="117">
        <v>0.19</v>
      </c>
      <c r="M919" s="117">
        <v>585.9</v>
      </c>
      <c r="N919" s="117">
        <v>0.15</v>
      </c>
      <c r="O919" s="117">
        <v>52.7</v>
      </c>
      <c r="P919" s="117">
        <v>2.2999999999999998</v>
      </c>
      <c r="Q919" s="117">
        <v>20</v>
      </c>
      <c r="R919" s="117" t="s">
        <v>45</v>
      </c>
      <c r="S919" s="117">
        <v>3</v>
      </c>
    </row>
    <row r="920" spans="1:19" ht="15" x14ac:dyDescent="0.25">
      <c r="A920" s="7">
        <v>2012</v>
      </c>
      <c r="B920" s="27">
        <v>45089</v>
      </c>
      <c r="C920" s="17" t="s">
        <v>35</v>
      </c>
      <c r="D920" s="18" t="s">
        <v>36</v>
      </c>
      <c r="E920" s="17" t="s">
        <v>1</v>
      </c>
      <c r="F920" s="18" t="s">
        <v>49</v>
      </c>
      <c r="G920" s="30" t="s">
        <v>42</v>
      </c>
      <c r="H920" s="10" t="s">
        <v>55</v>
      </c>
      <c r="I920" s="106" t="s">
        <v>41</v>
      </c>
      <c r="J920" s="118">
        <v>0.45930555555555558</v>
      </c>
      <c r="K920" s="117">
        <v>465.8</v>
      </c>
      <c r="L920" s="117">
        <v>0.63</v>
      </c>
      <c r="M920" s="117">
        <v>1445.3</v>
      </c>
      <c r="N920" s="117">
        <v>0.79</v>
      </c>
      <c r="O920" s="117">
        <v>52.6</v>
      </c>
      <c r="P920" s="117">
        <v>1.5</v>
      </c>
      <c r="Q920" s="117">
        <v>35</v>
      </c>
      <c r="R920" s="117" t="s">
        <v>48</v>
      </c>
      <c r="S920" s="117">
        <v>3</v>
      </c>
    </row>
    <row r="921" spans="1:19" ht="15" x14ac:dyDescent="0.25">
      <c r="A921" s="7">
        <v>2012</v>
      </c>
      <c r="B921" s="27">
        <v>45089</v>
      </c>
      <c r="C921" s="17" t="s">
        <v>35</v>
      </c>
      <c r="D921" s="18" t="s">
        <v>36</v>
      </c>
      <c r="E921" s="17" t="s">
        <v>1</v>
      </c>
      <c r="F921" s="18" t="s">
        <v>49</v>
      </c>
      <c r="G921" s="30" t="s">
        <v>42</v>
      </c>
      <c r="H921" s="10" t="s">
        <v>55</v>
      </c>
      <c r="I921" s="106" t="s">
        <v>41</v>
      </c>
      <c r="J921" s="118">
        <v>0.45939814814814817</v>
      </c>
      <c r="K921" s="117">
        <v>149</v>
      </c>
      <c r="L921" s="117">
        <v>0.17</v>
      </c>
      <c r="M921" s="117">
        <v>470</v>
      </c>
      <c r="N921" s="117">
        <v>0.25</v>
      </c>
      <c r="O921" s="117">
        <v>52.6</v>
      </c>
      <c r="P921" s="117">
        <v>1.6</v>
      </c>
      <c r="Q921" s="117">
        <v>35</v>
      </c>
      <c r="R921" s="117" t="s">
        <v>45</v>
      </c>
      <c r="S921" s="117">
        <v>3</v>
      </c>
    </row>
    <row r="922" spans="1:19" ht="15" x14ac:dyDescent="0.25">
      <c r="A922" s="7">
        <v>2012</v>
      </c>
      <c r="B922" s="27">
        <v>45089</v>
      </c>
      <c r="C922" s="17" t="s">
        <v>35</v>
      </c>
      <c r="D922" s="18" t="s">
        <v>36</v>
      </c>
      <c r="E922" s="17" t="s">
        <v>1</v>
      </c>
      <c r="F922" s="18" t="s">
        <v>49</v>
      </c>
      <c r="G922" s="30" t="s">
        <v>42</v>
      </c>
      <c r="H922" s="10" t="s">
        <v>55</v>
      </c>
      <c r="I922" s="106" t="s">
        <v>41</v>
      </c>
      <c r="J922" s="118">
        <v>0.45975694444444443</v>
      </c>
      <c r="K922" s="117">
        <v>635</v>
      </c>
      <c r="L922" s="117">
        <v>0.51</v>
      </c>
      <c r="M922" s="117">
        <v>1441.7</v>
      </c>
      <c r="N922" s="117">
        <v>0.78</v>
      </c>
      <c r="O922" s="117">
        <v>52.6</v>
      </c>
      <c r="P922" s="117">
        <v>1.1000000000000001</v>
      </c>
      <c r="Q922" s="117">
        <v>50</v>
      </c>
      <c r="R922" s="117" t="s">
        <v>48</v>
      </c>
      <c r="S922" s="117">
        <v>3</v>
      </c>
    </row>
    <row r="923" spans="1:19" ht="15" x14ac:dyDescent="0.25">
      <c r="A923" s="7">
        <v>2012</v>
      </c>
      <c r="B923" s="27">
        <v>45089</v>
      </c>
      <c r="C923" s="17" t="s">
        <v>35</v>
      </c>
      <c r="D923" s="18" t="s">
        <v>36</v>
      </c>
      <c r="E923" s="17" t="s">
        <v>1</v>
      </c>
      <c r="F923" s="18" t="s">
        <v>49</v>
      </c>
      <c r="G923" s="30" t="s">
        <v>42</v>
      </c>
      <c r="H923" s="10" t="s">
        <v>55</v>
      </c>
      <c r="I923" s="106" t="s">
        <v>41</v>
      </c>
      <c r="J923" s="118">
        <v>0.45984953703703701</v>
      </c>
      <c r="K923" s="117">
        <v>189</v>
      </c>
      <c r="L923" s="117">
        <v>0.16</v>
      </c>
      <c r="M923" s="117">
        <v>567.6</v>
      </c>
      <c r="N923" s="117">
        <v>0.16</v>
      </c>
      <c r="O923" s="117">
        <v>52.6</v>
      </c>
      <c r="P923" s="117">
        <v>1.5</v>
      </c>
      <c r="Q923" s="117">
        <v>50</v>
      </c>
      <c r="R923" s="117" t="s">
        <v>45</v>
      </c>
      <c r="S923" s="117">
        <v>3</v>
      </c>
    </row>
    <row r="924" spans="1:19" ht="15" x14ac:dyDescent="0.25">
      <c r="A924" s="7">
        <v>2012</v>
      </c>
      <c r="B924" s="27">
        <v>45089</v>
      </c>
      <c r="C924" s="17" t="s">
        <v>35</v>
      </c>
      <c r="D924" s="18" t="s">
        <v>36</v>
      </c>
      <c r="E924" s="17" t="s">
        <v>1</v>
      </c>
      <c r="F924" s="18" t="s">
        <v>49</v>
      </c>
      <c r="G924" s="30" t="s">
        <v>42</v>
      </c>
      <c r="H924" s="10" t="s">
        <v>55</v>
      </c>
      <c r="I924" s="106" t="s">
        <v>41</v>
      </c>
      <c r="J924" s="118">
        <v>0.46001157407407406</v>
      </c>
      <c r="K924" s="117">
        <v>875.3</v>
      </c>
      <c r="L924" s="117">
        <v>0.37</v>
      </c>
      <c r="M924" s="117">
        <v>1446.5</v>
      </c>
      <c r="N924" s="117">
        <v>0.78</v>
      </c>
      <c r="O924" s="117">
        <v>52.5</v>
      </c>
      <c r="P924" s="117">
        <v>0.7</v>
      </c>
      <c r="Q924" s="117">
        <v>65</v>
      </c>
      <c r="R924" s="117" t="s">
        <v>48</v>
      </c>
      <c r="S924" s="117">
        <v>3</v>
      </c>
    </row>
    <row r="925" spans="1:19" ht="15" x14ac:dyDescent="0.25">
      <c r="A925" s="7">
        <v>2012</v>
      </c>
      <c r="B925" s="27">
        <v>45089</v>
      </c>
      <c r="C925" s="17" t="s">
        <v>35</v>
      </c>
      <c r="D925" s="18" t="s">
        <v>36</v>
      </c>
      <c r="E925" s="17" t="s">
        <v>1</v>
      </c>
      <c r="F925" s="18" t="s">
        <v>49</v>
      </c>
      <c r="G925" s="30" t="s">
        <v>42</v>
      </c>
      <c r="H925" s="10" t="s">
        <v>55</v>
      </c>
      <c r="I925" s="106" t="s">
        <v>41</v>
      </c>
      <c r="J925" s="118">
        <v>0.46034722222222224</v>
      </c>
      <c r="K925" s="117">
        <v>224</v>
      </c>
      <c r="L925" s="117">
        <v>0.23</v>
      </c>
      <c r="M925" s="117">
        <v>543.20000000000005</v>
      </c>
      <c r="N925" s="117">
        <v>0.21</v>
      </c>
      <c r="O925" s="117">
        <v>52.5</v>
      </c>
      <c r="P925" s="117">
        <v>1.2</v>
      </c>
      <c r="Q925" s="117">
        <v>65</v>
      </c>
      <c r="R925" s="117" t="s">
        <v>45</v>
      </c>
      <c r="S925" s="117">
        <v>3</v>
      </c>
    </row>
    <row r="926" spans="1:19" ht="15" x14ac:dyDescent="0.25">
      <c r="A926" s="7">
        <v>2012</v>
      </c>
      <c r="B926" s="27">
        <v>45089</v>
      </c>
      <c r="C926" s="17" t="s">
        <v>35</v>
      </c>
      <c r="D926" s="18" t="s">
        <v>36</v>
      </c>
      <c r="E926" s="17" t="s">
        <v>1</v>
      </c>
      <c r="F926" s="18" t="s">
        <v>49</v>
      </c>
      <c r="G926" s="30" t="s">
        <v>42</v>
      </c>
      <c r="H926" s="10" t="s">
        <v>55</v>
      </c>
      <c r="I926" s="106" t="s">
        <v>41</v>
      </c>
      <c r="J926" s="118">
        <v>0.46057870370370368</v>
      </c>
      <c r="K926" s="117">
        <v>1246.5</v>
      </c>
      <c r="L926" s="117">
        <v>0.03</v>
      </c>
      <c r="M926" s="117">
        <v>1418.5</v>
      </c>
      <c r="N926" s="117">
        <v>0.78</v>
      </c>
      <c r="O926" s="117">
        <v>52.5</v>
      </c>
      <c r="P926" s="117">
        <v>0.2</v>
      </c>
      <c r="Q926" s="117">
        <v>80</v>
      </c>
      <c r="R926" s="117" t="s">
        <v>48</v>
      </c>
      <c r="S926" s="117">
        <v>3</v>
      </c>
    </row>
    <row r="927" spans="1:19" ht="15" x14ac:dyDescent="0.25">
      <c r="A927" s="7">
        <v>2012</v>
      </c>
      <c r="B927" s="27">
        <v>45089</v>
      </c>
      <c r="C927" s="17" t="s">
        <v>35</v>
      </c>
      <c r="D927" s="18" t="s">
        <v>36</v>
      </c>
      <c r="E927" s="17" t="s">
        <v>1</v>
      </c>
      <c r="F927" s="18" t="s">
        <v>49</v>
      </c>
      <c r="G927" s="30" t="s">
        <v>42</v>
      </c>
      <c r="H927" s="10" t="s">
        <v>55</v>
      </c>
      <c r="I927" s="106" t="s">
        <v>41</v>
      </c>
      <c r="J927" s="118">
        <v>0.46064814814814814</v>
      </c>
      <c r="K927" s="117">
        <v>1142.0999999999999</v>
      </c>
      <c r="L927" s="117">
        <v>0.03</v>
      </c>
      <c r="M927" s="117">
        <v>1420.9</v>
      </c>
      <c r="N927" s="117">
        <v>0.78</v>
      </c>
      <c r="O927" s="117">
        <v>52.5</v>
      </c>
      <c r="P927" s="117">
        <v>0.3</v>
      </c>
      <c r="Q927" s="117">
        <v>80</v>
      </c>
      <c r="R927" s="117" t="s">
        <v>48</v>
      </c>
      <c r="S927" s="117">
        <v>3</v>
      </c>
    </row>
    <row r="928" spans="1:19" ht="15" x14ac:dyDescent="0.25">
      <c r="A928" s="7">
        <v>2012</v>
      </c>
      <c r="B928" s="27">
        <v>45089</v>
      </c>
      <c r="C928" s="17" t="s">
        <v>35</v>
      </c>
      <c r="D928" s="18" t="s">
        <v>36</v>
      </c>
      <c r="E928" s="17" t="s">
        <v>1</v>
      </c>
      <c r="F928" s="18" t="s">
        <v>49</v>
      </c>
      <c r="G928" s="30" t="s">
        <v>42</v>
      </c>
      <c r="H928" s="10" t="s">
        <v>55</v>
      </c>
      <c r="I928" s="106" t="s">
        <v>41</v>
      </c>
      <c r="J928" s="118">
        <v>0.46109953703703704</v>
      </c>
      <c r="K928" s="117">
        <v>294.7</v>
      </c>
      <c r="L928" s="117">
        <v>0.05</v>
      </c>
      <c r="M928" s="117">
        <v>539.6</v>
      </c>
      <c r="N928" s="117">
        <v>0.16</v>
      </c>
      <c r="O928" s="117">
        <v>52.4</v>
      </c>
      <c r="P928" s="117">
        <v>0.8</v>
      </c>
      <c r="Q928" s="117">
        <v>80</v>
      </c>
      <c r="R928" s="117" t="s">
        <v>45</v>
      </c>
      <c r="S928" s="117">
        <v>3</v>
      </c>
    </row>
    <row r="929" spans="1:19" ht="15" x14ac:dyDescent="0.25">
      <c r="A929" s="7">
        <v>2012</v>
      </c>
      <c r="B929" s="111">
        <v>41103</v>
      </c>
      <c r="C929" s="15" t="s">
        <v>35</v>
      </c>
      <c r="D929" s="15" t="s">
        <v>36</v>
      </c>
      <c r="E929" s="15" t="s">
        <v>25</v>
      </c>
      <c r="F929" s="15" t="s">
        <v>38</v>
      </c>
      <c r="G929" s="30" t="s">
        <v>42</v>
      </c>
      <c r="H929" s="10" t="s">
        <v>55</v>
      </c>
      <c r="I929" s="15" t="s">
        <v>41</v>
      </c>
      <c r="J929" s="112">
        <v>0.39067129629629632</v>
      </c>
      <c r="K929" s="15">
        <v>16.399999999999999</v>
      </c>
      <c r="L929" s="15">
        <v>0.52</v>
      </c>
      <c r="M929" s="15">
        <v>592</v>
      </c>
      <c r="N929" s="15">
        <v>0.08</v>
      </c>
      <c r="O929" s="15">
        <v>62.8</v>
      </c>
      <c r="P929" s="15">
        <v>5.7</v>
      </c>
      <c r="Q929" s="15">
        <v>5</v>
      </c>
      <c r="R929" s="15" t="s">
        <v>45</v>
      </c>
      <c r="S929" s="2">
        <v>1</v>
      </c>
    </row>
    <row r="930" spans="1:19" ht="15" x14ac:dyDescent="0.25">
      <c r="A930" s="7">
        <v>2012</v>
      </c>
      <c r="B930" s="111">
        <v>41103</v>
      </c>
      <c r="C930" s="15" t="s">
        <v>35</v>
      </c>
      <c r="D930" s="15" t="s">
        <v>36</v>
      </c>
      <c r="E930" s="15" t="s">
        <v>25</v>
      </c>
      <c r="F930" s="15" t="s">
        <v>38</v>
      </c>
      <c r="G930" s="30" t="s">
        <v>42</v>
      </c>
      <c r="H930" s="10" t="s">
        <v>55</v>
      </c>
      <c r="I930" s="15" t="s">
        <v>41</v>
      </c>
      <c r="J930" s="112">
        <v>0.39121527777777776</v>
      </c>
      <c r="K930" s="15">
        <v>39.799999999999997</v>
      </c>
      <c r="L930" s="15">
        <v>0.41</v>
      </c>
      <c r="M930" s="15">
        <v>594.5</v>
      </c>
      <c r="N930" s="15">
        <v>0.08</v>
      </c>
      <c r="O930" s="15">
        <v>62.7</v>
      </c>
      <c r="P930" s="15">
        <v>4.0999999999999996</v>
      </c>
      <c r="Q930" s="15">
        <v>20</v>
      </c>
      <c r="R930" s="15" t="s">
        <v>45</v>
      </c>
      <c r="S930" s="2">
        <v>1</v>
      </c>
    </row>
    <row r="931" spans="1:19" ht="15" x14ac:dyDescent="0.25">
      <c r="A931" s="7">
        <v>2012</v>
      </c>
      <c r="B931" s="111">
        <v>41103</v>
      </c>
      <c r="C931" s="15" t="s">
        <v>35</v>
      </c>
      <c r="D931" s="15" t="s">
        <v>36</v>
      </c>
      <c r="E931" s="15" t="s">
        <v>25</v>
      </c>
      <c r="F931" s="15" t="s">
        <v>38</v>
      </c>
      <c r="G931" s="30" t="s">
        <v>42</v>
      </c>
      <c r="H931" s="10" t="s">
        <v>55</v>
      </c>
      <c r="I931" s="15" t="s">
        <v>41</v>
      </c>
      <c r="J931" s="112">
        <v>0.39149305555555558</v>
      </c>
      <c r="K931" s="15">
        <v>97.1</v>
      </c>
      <c r="L931" s="15">
        <v>0.33</v>
      </c>
      <c r="M931" s="15">
        <v>600.6</v>
      </c>
      <c r="N931" s="15">
        <v>0.08</v>
      </c>
      <c r="O931" s="15">
        <v>62.7</v>
      </c>
      <c r="P931" s="15">
        <v>2.6</v>
      </c>
      <c r="Q931" s="15">
        <v>35</v>
      </c>
      <c r="R931" s="15" t="s">
        <v>45</v>
      </c>
      <c r="S931" s="2">
        <v>1</v>
      </c>
    </row>
    <row r="932" spans="1:19" ht="15" x14ac:dyDescent="0.25">
      <c r="A932" s="7">
        <v>2012</v>
      </c>
      <c r="B932" s="111">
        <v>41103</v>
      </c>
      <c r="C932" s="15" t="s">
        <v>35</v>
      </c>
      <c r="D932" s="15" t="s">
        <v>36</v>
      </c>
      <c r="E932" s="15" t="s">
        <v>25</v>
      </c>
      <c r="F932" s="15" t="s">
        <v>38</v>
      </c>
      <c r="G932" s="30" t="s">
        <v>42</v>
      </c>
      <c r="H932" s="10" t="s">
        <v>55</v>
      </c>
      <c r="I932" s="15" t="s">
        <v>41</v>
      </c>
      <c r="J932" s="112">
        <v>0.39178240740740744</v>
      </c>
      <c r="K932" s="15">
        <v>410.6</v>
      </c>
      <c r="L932" s="15">
        <v>0.1</v>
      </c>
      <c r="M932" s="15">
        <v>605.5</v>
      </c>
      <c r="N932" s="15">
        <v>0.08</v>
      </c>
      <c r="O932" s="15">
        <v>62.6</v>
      </c>
      <c r="P932" s="15">
        <v>0.5</v>
      </c>
      <c r="Q932" s="1">
        <v>50</v>
      </c>
      <c r="R932" s="15" t="s">
        <v>45</v>
      </c>
      <c r="S932" s="2">
        <v>1</v>
      </c>
    </row>
    <row r="933" spans="1:19" ht="15" x14ac:dyDescent="0.25">
      <c r="A933" s="7">
        <v>2012</v>
      </c>
      <c r="B933" s="111">
        <v>41103</v>
      </c>
      <c r="C933" s="15" t="s">
        <v>35</v>
      </c>
      <c r="D933" s="15" t="s">
        <v>36</v>
      </c>
      <c r="E933" s="15" t="s">
        <v>25</v>
      </c>
      <c r="F933" s="15" t="s">
        <v>38</v>
      </c>
      <c r="G933" s="30" t="s">
        <v>42</v>
      </c>
      <c r="H933" s="10" t="s">
        <v>55</v>
      </c>
      <c r="I933" s="15" t="s">
        <v>41</v>
      </c>
      <c r="J933" s="112">
        <v>0.39195601851851852</v>
      </c>
      <c r="K933" s="15">
        <v>479.3</v>
      </c>
      <c r="L933" s="15">
        <v>0.04</v>
      </c>
      <c r="M933" s="15">
        <v>612.79999999999995</v>
      </c>
      <c r="N933" s="15">
        <v>0.09</v>
      </c>
      <c r="O933" s="15">
        <v>62.6</v>
      </c>
      <c r="P933" s="15">
        <v>0.3</v>
      </c>
      <c r="Q933" s="1">
        <v>65</v>
      </c>
      <c r="R933" s="15" t="s">
        <v>45</v>
      </c>
      <c r="S933" s="2">
        <v>1</v>
      </c>
    </row>
    <row r="934" spans="1:19" ht="15" x14ac:dyDescent="0.25">
      <c r="A934" s="7">
        <v>2012</v>
      </c>
      <c r="B934" s="111">
        <v>41103</v>
      </c>
      <c r="C934" s="15" t="s">
        <v>35</v>
      </c>
      <c r="D934" s="15" t="s">
        <v>36</v>
      </c>
      <c r="E934" s="15" t="s">
        <v>25</v>
      </c>
      <c r="F934" s="15" t="s">
        <v>38</v>
      </c>
      <c r="G934" s="30" t="s">
        <v>42</v>
      </c>
      <c r="H934" s="10" t="s">
        <v>55</v>
      </c>
      <c r="I934" s="15" t="s">
        <v>41</v>
      </c>
      <c r="J934" s="112">
        <v>0.39260416666666664</v>
      </c>
      <c r="K934" s="15">
        <v>23.2</v>
      </c>
      <c r="L934" s="15">
        <v>0.36</v>
      </c>
      <c r="M934" s="15">
        <v>607.9</v>
      </c>
      <c r="N934" s="15">
        <v>7.0000000000000007E-2</v>
      </c>
      <c r="O934" s="15">
        <v>62.5</v>
      </c>
      <c r="P934" s="15">
        <v>5.0999999999999996</v>
      </c>
      <c r="Q934" s="15">
        <v>5</v>
      </c>
      <c r="R934" s="15" t="s">
        <v>45</v>
      </c>
      <c r="S934" s="2">
        <v>2</v>
      </c>
    </row>
    <row r="935" spans="1:19" ht="15" x14ac:dyDescent="0.25">
      <c r="A935" s="7">
        <v>2012</v>
      </c>
      <c r="B935" s="111">
        <v>41103</v>
      </c>
      <c r="C935" s="15" t="s">
        <v>35</v>
      </c>
      <c r="D935" s="15" t="s">
        <v>36</v>
      </c>
      <c r="E935" s="15" t="s">
        <v>25</v>
      </c>
      <c r="F935" s="15" t="s">
        <v>38</v>
      </c>
      <c r="G935" s="30" t="s">
        <v>42</v>
      </c>
      <c r="H935" s="10" t="s">
        <v>55</v>
      </c>
      <c r="I935" s="15" t="s">
        <v>41</v>
      </c>
      <c r="J935" s="112">
        <v>0.39292824074074079</v>
      </c>
      <c r="K935" s="15">
        <v>45.1</v>
      </c>
      <c r="L935" s="15">
        <v>0.33</v>
      </c>
      <c r="M935" s="15">
        <v>610.4</v>
      </c>
      <c r="N935" s="15">
        <v>7.0000000000000007E-2</v>
      </c>
      <c r="O935" s="15">
        <v>62.5</v>
      </c>
      <c r="P935" s="15">
        <v>3.9</v>
      </c>
      <c r="Q935" s="15">
        <v>20</v>
      </c>
      <c r="R935" s="15" t="s">
        <v>45</v>
      </c>
      <c r="S935" s="2">
        <v>2</v>
      </c>
    </row>
    <row r="936" spans="1:19" ht="15" x14ac:dyDescent="0.25">
      <c r="A936" s="7">
        <v>2012</v>
      </c>
      <c r="B936" s="111">
        <v>41103</v>
      </c>
      <c r="C936" s="15" t="s">
        <v>35</v>
      </c>
      <c r="D936" s="15" t="s">
        <v>36</v>
      </c>
      <c r="E936" s="15" t="s">
        <v>25</v>
      </c>
      <c r="F936" s="15" t="s">
        <v>38</v>
      </c>
      <c r="G936" s="30" t="s">
        <v>42</v>
      </c>
      <c r="H936" s="10" t="s">
        <v>55</v>
      </c>
      <c r="I936" s="15" t="s">
        <v>41</v>
      </c>
      <c r="J936" s="112">
        <v>0.39317129629629632</v>
      </c>
      <c r="K936" s="15">
        <v>138.5</v>
      </c>
      <c r="L936" s="15">
        <v>0.26</v>
      </c>
      <c r="M936" s="15">
        <v>600.6</v>
      </c>
      <c r="N936" s="15">
        <v>0.05</v>
      </c>
      <c r="O936" s="15">
        <v>62.4</v>
      </c>
      <c r="P936" s="15">
        <v>2.1</v>
      </c>
      <c r="Q936" s="15">
        <v>35</v>
      </c>
      <c r="R936" s="15" t="s">
        <v>45</v>
      </c>
      <c r="S936" s="2">
        <v>2</v>
      </c>
    </row>
    <row r="937" spans="1:19" ht="15" x14ac:dyDescent="0.25">
      <c r="A937" s="7">
        <v>2012</v>
      </c>
      <c r="B937" s="111">
        <v>41103</v>
      </c>
      <c r="C937" s="15" t="s">
        <v>35</v>
      </c>
      <c r="D937" s="15" t="s">
        <v>36</v>
      </c>
      <c r="E937" s="15" t="s">
        <v>25</v>
      </c>
      <c r="F937" s="15" t="s">
        <v>38</v>
      </c>
      <c r="G937" s="30" t="s">
        <v>42</v>
      </c>
      <c r="H937" s="10" t="s">
        <v>55</v>
      </c>
      <c r="I937" s="15" t="s">
        <v>41</v>
      </c>
      <c r="J937" s="112">
        <v>0.39334490740740741</v>
      </c>
      <c r="K937" s="15">
        <v>327.9</v>
      </c>
      <c r="L937" s="15">
        <v>0.16</v>
      </c>
      <c r="M937" s="15">
        <v>598.1</v>
      </c>
      <c r="N937" s="15">
        <v>0.04</v>
      </c>
      <c r="O937" s="15">
        <v>62.4</v>
      </c>
      <c r="P937" s="15">
        <v>0.8</v>
      </c>
      <c r="Q937" s="1">
        <v>50</v>
      </c>
      <c r="R937" s="15" t="s">
        <v>45</v>
      </c>
      <c r="S937" s="2">
        <v>2</v>
      </c>
    </row>
    <row r="938" spans="1:19" ht="15" x14ac:dyDescent="0.25">
      <c r="A938" s="7">
        <v>2012</v>
      </c>
      <c r="B938" s="111">
        <v>41103</v>
      </c>
      <c r="C938" s="15" t="s">
        <v>35</v>
      </c>
      <c r="D938" s="15" t="s">
        <v>36</v>
      </c>
      <c r="E938" s="15" t="s">
        <v>25</v>
      </c>
      <c r="F938" s="15" t="s">
        <v>38</v>
      </c>
      <c r="G938" s="30" t="s">
        <v>42</v>
      </c>
      <c r="H938" s="10" t="s">
        <v>55</v>
      </c>
      <c r="I938" s="15" t="s">
        <v>41</v>
      </c>
      <c r="J938" s="112">
        <v>0.3935069444444444</v>
      </c>
      <c r="K938" s="15">
        <v>460.9</v>
      </c>
      <c r="L938" s="15">
        <v>0.05</v>
      </c>
      <c r="M938" s="15">
        <v>598.1</v>
      </c>
      <c r="N938" s="15">
        <v>0.04</v>
      </c>
      <c r="O938" s="15">
        <v>62.4</v>
      </c>
      <c r="P938" s="15">
        <v>0.3</v>
      </c>
      <c r="Q938" s="1">
        <v>65</v>
      </c>
      <c r="R938" s="15" t="s">
        <v>45</v>
      </c>
      <c r="S938" s="2">
        <v>2</v>
      </c>
    </row>
    <row r="939" spans="1:19" ht="15" x14ac:dyDescent="0.25">
      <c r="A939" s="7">
        <v>2012</v>
      </c>
      <c r="B939" s="111">
        <v>41103</v>
      </c>
      <c r="C939" s="15" t="s">
        <v>35</v>
      </c>
      <c r="D939" s="15" t="s">
        <v>36</v>
      </c>
      <c r="E939" s="15" t="s">
        <v>25</v>
      </c>
      <c r="F939" s="15" t="s">
        <v>38</v>
      </c>
      <c r="G939" s="30" t="s">
        <v>42</v>
      </c>
      <c r="H939" s="10" t="s">
        <v>55</v>
      </c>
      <c r="I939" s="15" t="s">
        <v>41</v>
      </c>
      <c r="J939" s="112">
        <v>0.39456018518518521</v>
      </c>
      <c r="K939" s="15">
        <v>15.8</v>
      </c>
      <c r="L939" s="15">
        <v>0.4</v>
      </c>
      <c r="M939" s="15">
        <v>598.1</v>
      </c>
      <c r="N939" s="15">
        <v>0.03</v>
      </c>
      <c r="O939" s="15">
        <v>62.3</v>
      </c>
      <c r="P939" s="15">
        <v>5.9</v>
      </c>
      <c r="Q939" s="15">
        <v>5</v>
      </c>
      <c r="R939" s="15" t="s">
        <v>45</v>
      </c>
      <c r="S939" s="2">
        <v>3</v>
      </c>
    </row>
    <row r="940" spans="1:19" ht="15" x14ac:dyDescent="0.25">
      <c r="A940" s="7">
        <v>2012</v>
      </c>
      <c r="B940" s="111">
        <v>41103</v>
      </c>
      <c r="C940" s="15" t="s">
        <v>35</v>
      </c>
      <c r="D940" s="15" t="s">
        <v>36</v>
      </c>
      <c r="E940" s="15" t="s">
        <v>25</v>
      </c>
      <c r="F940" s="15" t="s">
        <v>38</v>
      </c>
      <c r="G940" s="30" t="s">
        <v>42</v>
      </c>
      <c r="H940" s="10" t="s">
        <v>55</v>
      </c>
      <c r="I940" s="15" t="s">
        <v>41</v>
      </c>
      <c r="J940" s="112">
        <v>0.39478009259259261</v>
      </c>
      <c r="K940" s="15">
        <v>37.299999999999997</v>
      </c>
      <c r="L940" s="15">
        <v>0.23</v>
      </c>
      <c r="M940" s="15">
        <v>598.1</v>
      </c>
      <c r="N940" s="15">
        <v>0.03</v>
      </c>
      <c r="O940" s="15">
        <v>62.2</v>
      </c>
      <c r="P940" s="15">
        <v>4.3</v>
      </c>
      <c r="Q940" s="15">
        <v>20</v>
      </c>
      <c r="R940" s="15" t="s">
        <v>45</v>
      </c>
      <c r="S940" s="2">
        <v>3</v>
      </c>
    </row>
    <row r="941" spans="1:19" ht="15" x14ac:dyDescent="0.25">
      <c r="A941" s="7">
        <v>2012</v>
      </c>
      <c r="B941" s="111">
        <v>41103</v>
      </c>
      <c r="C941" s="15" t="s">
        <v>35</v>
      </c>
      <c r="D941" s="15" t="s">
        <v>36</v>
      </c>
      <c r="E941" s="15" t="s">
        <v>25</v>
      </c>
      <c r="F941" s="15" t="s">
        <v>38</v>
      </c>
      <c r="G941" s="30" t="s">
        <v>42</v>
      </c>
      <c r="H941" s="10" t="s">
        <v>55</v>
      </c>
      <c r="I941" s="15" t="s">
        <v>41</v>
      </c>
      <c r="J941" s="112">
        <v>0.39498842592592592</v>
      </c>
      <c r="K941" s="15">
        <v>93</v>
      </c>
      <c r="L941" s="15">
        <v>0.22</v>
      </c>
      <c r="M941" s="15">
        <v>603</v>
      </c>
      <c r="N941" s="15">
        <v>0.04</v>
      </c>
      <c r="O941" s="15">
        <v>62.2</v>
      </c>
      <c r="P941" s="15">
        <v>2.7</v>
      </c>
      <c r="Q941" s="15">
        <v>35</v>
      </c>
      <c r="R941" s="15" t="s">
        <v>45</v>
      </c>
      <c r="S941" s="2">
        <v>3</v>
      </c>
    </row>
    <row r="942" spans="1:19" ht="15" x14ac:dyDescent="0.25">
      <c r="A942" s="7">
        <v>2012</v>
      </c>
      <c r="B942" s="111">
        <v>41103</v>
      </c>
      <c r="C942" s="15" t="s">
        <v>35</v>
      </c>
      <c r="D942" s="15" t="s">
        <v>36</v>
      </c>
      <c r="E942" s="15" t="s">
        <v>25</v>
      </c>
      <c r="F942" s="15" t="s">
        <v>38</v>
      </c>
      <c r="G942" s="30" t="s">
        <v>42</v>
      </c>
      <c r="H942" s="10" t="s">
        <v>55</v>
      </c>
      <c r="I942" s="15" t="s">
        <v>41</v>
      </c>
      <c r="J942" s="112">
        <v>0.39515046296296297</v>
      </c>
      <c r="K942" s="15">
        <v>310.3</v>
      </c>
      <c r="L942" s="15">
        <v>0.19</v>
      </c>
      <c r="M942" s="15">
        <v>605.5</v>
      </c>
      <c r="N942" s="15">
        <v>0.04</v>
      </c>
      <c r="O942" s="15">
        <v>62.2</v>
      </c>
      <c r="P942" s="15">
        <v>0.8</v>
      </c>
      <c r="Q942" s="1">
        <v>50</v>
      </c>
      <c r="R942" s="15" t="s">
        <v>45</v>
      </c>
      <c r="S942" s="2">
        <v>3</v>
      </c>
    </row>
    <row r="943" spans="1:19" ht="15" x14ac:dyDescent="0.25">
      <c r="A943" s="7">
        <v>2012</v>
      </c>
      <c r="B943" s="111">
        <v>41103</v>
      </c>
      <c r="C943" s="15" t="s">
        <v>35</v>
      </c>
      <c r="D943" s="15" t="s">
        <v>36</v>
      </c>
      <c r="E943" s="15" t="s">
        <v>25</v>
      </c>
      <c r="F943" s="15" t="s">
        <v>38</v>
      </c>
      <c r="G943" s="30" t="s">
        <v>42</v>
      </c>
      <c r="H943" s="10" t="s">
        <v>55</v>
      </c>
      <c r="I943" s="15" t="s">
        <v>41</v>
      </c>
      <c r="J943" s="112">
        <v>0.39530092592592592</v>
      </c>
      <c r="K943" s="15">
        <v>462.9</v>
      </c>
      <c r="L943" s="15">
        <v>0.05</v>
      </c>
      <c r="M943" s="15">
        <v>607.9</v>
      </c>
      <c r="N943" s="15">
        <v>0.04</v>
      </c>
      <c r="O943" s="15">
        <v>62.2</v>
      </c>
      <c r="P943" s="15">
        <v>0.3</v>
      </c>
      <c r="Q943" s="1">
        <v>65</v>
      </c>
      <c r="R943" s="15" t="s">
        <v>45</v>
      </c>
      <c r="S943" s="2">
        <v>3</v>
      </c>
    </row>
    <row r="944" spans="1:19" ht="15" x14ac:dyDescent="0.25">
      <c r="A944" s="7">
        <v>2012</v>
      </c>
      <c r="B944" s="111">
        <v>41103</v>
      </c>
      <c r="C944" s="15" t="s">
        <v>35</v>
      </c>
      <c r="D944" s="15" t="s">
        <v>36</v>
      </c>
      <c r="E944" s="15" t="s">
        <v>25</v>
      </c>
      <c r="F944" s="15" t="s">
        <v>38</v>
      </c>
      <c r="G944" s="30" t="s">
        <v>42</v>
      </c>
      <c r="H944" s="10" t="s">
        <v>55</v>
      </c>
      <c r="I944" s="15" t="s">
        <v>41</v>
      </c>
      <c r="J944" s="112">
        <v>0.39601851851851855</v>
      </c>
      <c r="K944" s="15">
        <v>486.7</v>
      </c>
      <c r="L944" s="15">
        <v>0.04</v>
      </c>
      <c r="M944" s="15">
        <v>618.9</v>
      </c>
      <c r="N944" s="15">
        <v>0.06</v>
      </c>
      <c r="O944" s="15">
        <v>62.1</v>
      </c>
      <c r="P944" s="15">
        <v>0.3</v>
      </c>
      <c r="Q944" s="1">
        <v>80</v>
      </c>
      <c r="R944" s="15" t="s">
        <v>45</v>
      </c>
      <c r="S944" s="2">
        <v>3</v>
      </c>
    </row>
    <row r="945" spans="1:19" ht="15" x14ac:dyDescent="0.25">
      <c r="A945" s="7">
        <v>2012</v>
      </c>
      <c r="B945" s="120">
        <v>41132</v>
      </c>
      <c r="C945" t="s">
        <v>35</v>
      </c>
      <c r="D945" t="s">
        <v>36</v>
      </c>
      <c r="E945" t="s">
        <v>383</v>
      </c>
      <c r="F945" t="s">
        <v>38</v>
      </c>
      <c r="G945" t="s">
        <v>384</v>
      </c>
      <c r="H945" s="7" t="s">
        <v>379</v>
      </c>
      <c r="I945" t="s">
        <v>4</v>
      </c>
      <c r="J945" s="121">
        <v>0.72337962962962965</v>
      </c>
      <c r="K945" t="e">
        <v>#N/A</v>
      </c>
      <c r="L945" t="e">
        <v>#N/A</v>
      </c>
      <c r="M945">
        <v>530.1</v>
      </c>
      <c r="N945">
        <v>0.13</v>
      </c>
      <c r="O945" t="e">
        <v>#N/A</v>
      </c>
      <c r="P945" t="e">
        <v>#N/A</v>
      </c>
      <c r="Q945" s="15" t="s">
        <v>61</v>
      </c>
      <c r="R945" t="s">
        <v>45</v>
      </c>
      <c r="S945"/>
    </row>
    <row r="946" spans="1:19" ht="15" x14ac:dyDescent="0.25">
      <c r="A946" s="7">
        <v>2012</v>
      </c>
      <c r="B946" s="120">
        <v>41132</v>
      </c>
      <c r="C946" t="s">
        <v>35</v>
      </c>
      <c r="D946" t="s">
        <v>36</v>
      </c>
      <c r="E946" t="s">
        <v>383</v>
      </c>
      <c r="F946" t="s">
        <v>38</v>
      </c>
      <c r="G946" t="s">
        <v>384</v>
      </c>
      <c r="H946" s="7" t="s">
        <v>379</v>
      </c>
      <c r="I946" t="s">
        <v>4</v>
      </c>
      <c r="J946" s="121">
        <v>0.7240509259259259</v>
      </c>
      <c r="K946">
        <v>17.3</v>
      </c>
      <c r="L946">
        <v>0.38</v>
      </c>
      <c r="M946">
        <v>530.1</v>
      </c>
      <c r="N946">
        <v>0.13</v>
      </c>
      <c r="O946">
        <v>62.2</v>
      </c>
      <c r="P946">
        <v>5.3</v>
      </c>
      <c r="Q946" s="15">
        <v>5</v>
      </c>
      <c r="R946" t="s">
        <v>45</v>
      </c>
      <c r="S946"/>
    </row>
    <row r="947" spans="1:19" ht="15" x14ac:dyDescent="0.25">
      <c r="A947" s="7">
        <v>2012</v>
      </c>
      <c r="B947" s="120">
        <v>41132</v>
      </c>
      <c r="C947" t="s">
        <v>35</v>
      </c>
      <c r="D947" t="s">
        <v>36</v>
      </c>
      <c r="E947" t="s">
        <v>383</v>
      </c>
      <c r="F947" t="s">
        <v>38</v>
      </c>
      <c r="G947" t="s">
        <v>384</v>
      </c>
      <c r="H947" s="7" t="s">
        <v>379</v>
      </c>
      <c r="I947" t="s">
        <v>4</v>
      </c>
      <c r="J947" s="121">
        <v>0.72451388888888879</v>
      </c>
      <c r="K947">
        <v>47.8</v>
      </c>
      <c r="L947">
        <v>0.65</v>
      </c>
      <c r="M947">
        <v>530.1</v>
      </c>
      <c r="N947">
        <v>0.13</v>
      </c>
      <c r="O947">
        <v>62.2</v>
      </c>
      <c r="P947">
        <v>3.5</v>
      </c>
      <c r="Q947" s="15">
        <v>5</v>
      </c>
      <c r="R947" t="s">
        <v>45</v>
      </c>
      <c r="S947"/>
    </row>
    <row r="948" spans="1:19" ht="15" x14ac:dyDescent="0.25">
      <c r="A948" s="7">
        <v>2012</v>
      </c>
      <c r="B948" s="120">
        <v>41132</v>
      </c>
      <c r="C948" t="s">
        <v>35</v>
      </c>
      <c r="D948" t="s">
        <v>36</v>
      </c>
      <c r="E948" t="s">
        <v>383</v>
      </c>
      <c r="F948" t="s">
        <v>38</v>
      </c>
      <c r="G948" t="s">
        <v>384</v>
      </c>
      <c r="H948" s="7" t="s">
        <v>379</v>
      </c>
      <c r="I948" t="s">
        <v>4</v>
      </c>
      <c r="J948" s="121">
        <v>0.724675925925926</v>
      </c>
      <c r="K948">
        <v>59.7</v>
      </c>
      <c r="L948">
        <v>0.82</v>
      </c>
      <c r="M948">
        <v>530.1</v>
      </c>
      <c r="N948">
        <v>0.13</v>
      </c>
      <c r="O948">
        <v>62.2</v>
      </c>
      <c r="P948">
        <v>3.1</v>
      </c>
      <c r="Q948" s="15">
        <v>5</v>
      </c>
      <c r="R948" t="s">
        <v>45</v>
      </c>
      <c r="S948"/>
    </row>
    <row r="949" spans="1:19" ht="15" x14ac:dyDescent="0.25">
      <c r="A949" s="7">
        <v>2012</v>
      </c>
      <c r="B949" s="120">
        <v>41132</v>
      </c>
      <c r="C949" t="s">
        <v>35</v>
      </c>
      <c r="D949" t="s">
        <v>36</v>
      </c>
      <c r="E949" t="s">
        <v>383</v>
      </c>
      <c r="F949" t="s">
        <v>38</v>
      </c>
      <c r="G949" t="s">
        <v>384</v>
      </c>
      <c r="H949" s="7" t="s">
        <v>379</v>
      </c>
      <c r="I949" t="s">
        <v>4</v>
      </c>
      <c r="J949" s="121">
        <v>0.7249537037037036</v>
      </c>
      <c r="K949">
        <v>21.2</v>
      </c>
      <c r="L949">
        <v>0.61</v>
      </c>
      <c r="M949">
        <v>530.1</v>
      </c>
      <c r="N949">
        <v>0.13</v>
      </c>
      <c r="O949">
        <v>62.3</v>
      </c>
      <c r="P949">
        <v>4.9000000000000004</v>
      </c>
      <c r="Q949" s="15">
        <v>5</v>
      </c>
      <c r="R949" t="s">
        <v>45</v>
      </c>
      <c r="S949"/>
    </row>
    <row r="950" spans="1:19" ht="15" x14ac:dyDescent="0.25">
      <c r="A950" s="7">
        <v>2012</v>
      </c>
      <c r="B950" s="120">
        <v>41132</v>
      </c>
      <c r="C950" t="s">
        <v>35</v>
      </c>
      <c r="D950" t="s">
        <v>36</v>
      </c>
      <c r="E950" t="s">
        <v>383</v>
      </c>
      <c r="F950" t="s">
        <v>38</v>
      </c>
      <c r="G950" t="s">
        <v>384</v>
      </c>
      <c r="H950" s="7" t="s">
        <v>379</v>
      </c>
      <c r="I950" t="s">
        <v>4</v>
      </c>
      <c r="J950" s="121">
        <v>0.72510416666666666</v>
      </c>
      <c r="K950">
        <v>34.700000000000003</v>
      </c>
      <c r="L950">
        <v>0.23</v>
      </c>
      <c r="M950">
        <v>530.1</v>
      </c>
      <c r="N950">
        <v>0.13</v>
      </c>
      <c r="O950">
        <v>62.3</v>
      </c>
      <c r="P950">
        <v>4.0999999999999996</v>
      </c>
      <c r="Q950" s="15">
        <v>5</v>
      </c>
      <c r="R950" t="s">
        <v>45</v>
      </c>
      <c r="S950"/>
    </row>
    <row r="951" spans="1:19" ht="15" x14ac:dyDescent="0.25">
      <c r="A951" s="7">
        <v>2012</v>
      </c>
      <c r="B951" s="120">
        <v>41132</v>
      </c>
      <c r="C951" t="s">
        <v>35</v>
      </c>
      <c r="D951" t="s">
        <v>36</v>
      </c>
      <c r="E951" t="s">
        <v>383</v>
      </c>
      <c r="F951" t="s">
        <v>38</v>
      </c>
      <c r="G951" t="s">
        <v>384</v>
      </c>
      <c r="H951" s="7" t="s">
        <v>379</v>
      </c>
      <c r="I951" t="s">
        <v>4</v>
      </c>
      <c r="J951" s="121">
        <v>0.72548611111111105</v>
      </c>
      <c r="K951" t="e">
        <v>#N/A</v>
      </c>
      <c r="L951" t="e">
        <v>#N/A</v>
      </c>
      <c r="M951">
        <v>518.29999999999995</v>
      </c>
      <c r="N951">
        <v>0.09</v>
      </c>
      <c r="O951" t="e">
        <v>#N/A</v>
      </c>
      <c r="P951" t="e">
        <v>#N/A</v>
      </c>
      <c r="Q951" s="15" t="s">
        <v>385</v>
      </c>
      <c r="R951" t="s">
        <v>45</v>
      </c>
      <c r="S951"/>
    </row>
    <row r="952" spans="1:19" ht="15" x14ac:dyDescent="0.25">
      <c r="A952" s="7">
        <v>2012</v>
      </c>
      <c r="B952" s="120">
        <v>41132</v>
      </c>
      <c r="C952" t="s">
        <v>35</v>
      </c>
      <c r="D952" t="s">
        <v>36</v>
      </c>
      <c r="E952" t="s">
        <v>383</v>
      </c>
      <c r="F952" t="s">
        <v>38</v>
      </c>
      <c r="G952" t="s">
        <v>384</v>
      </c>
      <c r="H952" s="7" t="s">
        <v>379</v>
      </c>
      <c r="I952" t="s">
        <v>4</v>
      </c>
      <c r="J952" s="121">
        <v>0.72631944444444441</v>
      </c>
      <c r="K952">
        <v>58.9</v>
      </c>
      <c r="L952">
        <v>0.43</v>
      </c>
      <c r="M952">
        <v>518.29999999999995</v>
      </c>
      <c r="N952">
        <v>0.09</v>
      </c>
      <c r="O952">
        <v>62.4</v>
      </c>
      <c r="P952">
        <v>3.1</v>
      </c>
      <c r="Q952" s="15">
        <v>20</v>
      </c>
      <c r="R952" t="s">
        <v>45</v>
      </c>
      <c r="S952"/>
    </row>
    <row r="953" spans="1:19" ht="15" x14ac:dyDescent="0.25">
      <c r="A953" s="7">
        <v>2012</v>
      </c>
      <c r="B953" s="120">
        <v>41132</v>
      </c>
      <c r="C953" t="s">
        <v>35</v>
      </c>
      <c r="D953" t="s">
        <v>36</v>
      </c>
      <c r="E953" t="s">
        <v>383</v>
      </c>
      <c r="F953" t="s">
        <v>38</v>
      </c>
      <c r="G953" t="s">
        <v>384</v>
      </c>
      <c r="H953" s="7" t="s">
        <v>379</v>
      </c>
      <c r="I953" t="s">
        <v>4</v>
      </c>
      <c r="J953" s="121">
        <v>0.72653935185185192</v>
      </c>
      <c r="K953">
        <v>45.3</v>
      </c>
      <c r="L953">
        <v>0.15</v>
      </c>
      <c r="M953">
        <v>518.29999999999995</v>
      </c>
      <c r="N953">
        <v>0.09</v>
      </c>
      <c r="O953">
        <v>62.4</v>
      </c>
      <c r="P953">
        <v>3.6</v>
      </c>
      <c r="Q953" s="15">
        <v>20</v>
      </c>
      <c r="R953" t="s">
        <v>45</v>
      </c>
      <c r="S953"/>
    </row>
    <row r="954" spans="1:19" ht="15" x14ac:dyDescent="0.25">
      <c r="A954" s="7">
        <v>2012</v>
      </c>
      <c r="B954" s="120">
        <v>41132</v>
      </c>
      <c r="C954" t="s">
        <v>35</v>
      </c>
      <c r="D954" t="s">
        <v>36</v>
      </c>
      <c r="E954" t="s">
        <v>383</v>
      </c>
      <c r="F954" t="s">
        <v>38</v>
      </c>
      <c r="G954" t="s">
        <v>384</v>
      </c>
      <c r="H954" s="7" t="s">
        <v>379</v>
      </c>
      <c r="I954" t="s">
        <v>4</v>
      </c>
      <c r="J954" s="121">
        <v>0.72670138888888891</v>
      </c>
      <c r="K954">
        <v>37.4</v>
      </c>
      <c r="L954">
        <v>0.4</v>
      </c>
      <c r="M954">
        <v>518.29999999999995</v>
      </c>
      <c r="N954">
        <v>0.09</v>
      </c>
      <c r="O954">
        <v>62.5</v>
      </c>
      <c r="P954">
        <v>3.9</v>
      </c>
      <c r="Q954" s="15">
        <v>20</v>
      </c>
      <c r="R954" t="s">
        <v>45</v>
      </c>
      <c r="S954"/>
    </row>
    <row r="955" spans="1:19" ht="15" x14ac:dyDescent="0.25">
      <c r="A955" s="7">
        <v>2012</v>
      </c>
      <c r="B955" s="120">
        <v>41132</v>
      </c>
      <c r="C955" t="s">
        <v>35</v>
      </c>
      <c r="D955" t="s">
        <v>36</v>
      </c>
      <c r="E955" t="s">
        <v>383</v>
      </c>
      <c r="F955" t="s">
        <v>38</v>
      </c>
      <c r="G955" t="s">
        <v>384</v>
      </c>
      <c r="H955" s="7" t="s">
        <v>379</v>
      </c>
      <c r="I955" t="s">
        <v>4</v>
      </c>
      <c r="J955" s="121">
        <v>0.72704861111111108</v>
      </c>
      <c r="K955">
        <v>40.200000000000003</v>
      </c>
      <c r="L955">
        <v>0.34</v>
      </c>
      <c r="M955">
        <v>518.29999999999995</v>
      </c>
      <c r="N955">
        <v>0.09</v>
      </c>
      <c r="O955">
        <v>62.5</v>
      </c>
      <c r="P955">
        <v>3.8</v>
      </c>
      <c r="Q955" s="15">
        <v>20</v>
      </c>
      <c r="R955" t="s">
        <v>45</v>
      </c>
      <c r="S955"/>
    </row>
    <row r="956" spans="1:19" ht="15" x14ac:dyDescent="0.25">
      <c r="A956" s="7">
        <v>2012</v>
      </c>
      <c r="B956" s="120">
        <v>41132</v>
      </c>
      <c r="C956" t="s">
        <v>35</v>
      </c>
      <c r="D956" t="s">
        <v>36</v>
      </c>
      <c r="E956" t="s">
        <v>383</v>
      </c>
      <c r="F956" t="s">
        <v>38</v>
      </c>
      <c r="G956" t="s">
        <v>384</v>
      </c>
      <c r="H956" s="7" t="s">
        <v>379</v>
      </c>
      <c r="I956" t="s">
        <v>4</v>
      </c>
      <c r="J956" s="121">
        <v>0.72723379629629636</v>
      </c>
      <c r="K956">
        <v>84</v>
      </c>
      <c r="L956">
        <v>0.32</v>
      </c>
      <c r="M956">
        <v>518.29999999999995</v>
      </c>
      <c r="N956">
        <v>0.09</v>
      </c>
      <c r="O956">
        <v>62.5</v>
      </c>
      <c r="P956">
        <v>2.6</v>
      </c>
      <c r="Q956" s="15">
        <v>20</v>
      </c>
      <c r="R956" t="s">
        <v>45</v>
      </c>
      <c r="S956"/>
    </row>
    <row r="957" spans="1:19" ht="15" x14ac:dyDescent="0.25">
      <c r="A957" s="7">
        <v>2012</v>
      </c>
      <c r="B957" s="120">
        <v>41132</v>
      </c>
      <c r="C957" t="s">
        <v>35</v>
      </c>
      <c r="D957" t="s">
        <v>36</v>
      </c>
      <c r="E957" t="s">
        <v>383</v>
      </c>
      <c r="F957" t="s">
        <v>38</v>
      </c>
      <c r="G957" t="s">
        <v>384</v>
      </c>
      <c r="H957" s="7" t="s">
        <v>379</v>
      </c>
      <c r="I957" t="s">
        <v>4</v>
      </c>
      <c r="J957" s="121">
        <v>0.72758101851851853</v>
      </c>
      <c r="K957" t="e">
        <v>#N/A</v>
      </c>
      <c r="L957" t="e">
        <v>#N/A</v>
      </c>
      <c r="M957">
        <v>511.6</v>
      </c>
      <c r="N957">
        <v>0.12</v>
      </c>
      <c r="O957" t="e">
        <v>#N/A</v>
      </c>
      <c r="P957" t="e">
        <v>#N/A</v>
      </c>
      <c r="Q957" s="15" t="s">
        <v>386</v>
      </c>
      <c r="R957" t="s">
        <v>45</v>
      </c>
      <c r="S957"/>
    </row>
    <row r="958" spans="1:19" ht="15" x14ac:dyDescent="0.25">
      <c r="A958" s="7">
        <v>2012</v>
      </c>
      <c r="B958" s="120">
        <v>41132</v>
      </c>
      <c r="C958" t="s">
        <v>35</v>
      </c>
      <c r="D958" t="s">
        <v>36</v>
      </c>
      <c r="E958" t="s">
        <v>383</v>
      </c>
      <c r="F958" t="s">
        <v>38</v>
      </c>
      <c r="G958" t="s">
        <v>384</v>
      </c>
      <c r="H958" s="7" t="s">
        <v>379</v>
      </c>
      <c r="I958" t="s">
        <v>4</v>
      </c>
      <c r="J958" s="121">
        <v>0.72849537037037038</v>
      </c>
      <c r="K958">
        <v>70.900000000000006</v>
      </c>
      <c r="L958">
        <v>0.42</v>
      </c>
      <c r="M958">
        <v>511.6</v>
      </c>
      <c r="N958">
        <v>0.12</v>
      </c>
      <c r="O958">
        <v>62.7</v>
      </c>
      <c r="P958">
        <v>2.8</v>
      </c>
      <c r="Q958" s="15">
        <v>35</v>
      </c>
      <c r="R958" t="s">
        <v>45</v>
      </c>
      <c r="S958"/>
    </row>
    <row r="959" spans="1:19" ht="15" x14ac:dyDescent="0.25">
      <c r="A959" s="7">
        <v>2012</v>
      </c>
      <c r="B959" s="120">
        <v>41132</v>
      </c>
      <c r="C959" t="s">
        <v>35</v>
      </c>
      <c r="D959" t="s">
        <v>36</v>
      </c>
      <c r="E959" t="s">
        <v>383</v>
      </c>
      <c r="F959" t="s">
        <v>38</v>
      </c>
      <c r="G959" t="s">
        <v>384</v>
      </c>
      <c r="H959" s="7" t="s">
        <v>379</v>
      </c>
      <c r="I959" t="s">
        <v>4</v>
      </c>
      <c r="J959" s="121">
        <v>0.7287499999999999</v>
      </c>
      <c r="K959">
        <v>90.5</v>
      </c>
      <c r="L959">
        <v>0.33</v>
      </c>
      <c r="M959">
        <v>511.6</v>
      </c>
      <c r="N959">
        <v>0.12</v>
      </c>
      <c r="O959">
        <v>62.7</v>
      </c>
      <c r="P959">
        <v>2.4</v>
      </c>
      <c r="Q959" s="15">
        <v>35</v>
      </c>
      <c r="R959" t="s">
        <v>45</v>
      </c>
      <c r="S959"/>
    </row>
    <row r="960" spans="1:19" ht="15" x14ac:dyDescent="0.25">
      <c r="A960" s="7">
        <v>2012</v>
      </c>
      <c r="B960" s="120">
        <v>41132</v>
      </c>
      <c r="C960" t="s">
        <v>35</v>
      </c>
      <c r="D960" t="s">
        <v>36</v>
      </c>
      <c r="E960" t="s">
        <v>383</v>
      </c>
      <c r="F960" t="s">
        <v>38</v>
      </c>
      <c r="G960" t="s">
        <v>384</v>
      </c>
      <c r="H960" s="7" t="s">
        <v>379</v>
      </c>
      <c r="I960" t="s">
        <v>4</v>
      </c>
      <c r="J960" s="121">
        <v>0.7289930555555556</v>
      </c>
      <c r="K960">
        <v>69.5</v>
      </c>
      <c r="L960">
        <v>0.4</v>
      </c>
      <c r="M960">
        <v>511.6</v>
      </c>
      <c r="N960">
        <v>0.12</v>
      </c>
      <c r="O960">
        <v>62.7</v>
      </c>
      <c r="P960">
        <v>2.8</v>
      </c>
      <c r="Q960" s="15">
        <v>35</v>
      </c>
      <c r="R960" t="s">
        <v>45</v>
      </c>
      <c r="S960"/>
    </row>
    <row r="961" spans="1:19" ht="15" x14ac:dyDescent="0.25">
      <c r="A961" s="7">
        <v>2012</v>
      </c>
      <c r="B961" s="120">
        <v>41132</v>
      </c>
      <c r="C961" t="s">
        <v>35</v>
      </c>
      <c r="D961" t="s">
        <v>36</v>
      </c>
      <c r="E961" t="s">
        <v>383</v>
      </c>
      <c r="F961" t="s">
        <v>38</v>
      </c>
      <c r="G961" t="s">
        <v>384</v>
      </c>
      <c r="H961" s="7" t="s">
        <v>379</v>
      </c>
      <c r="I961" t="s">
        <v>4</v>
      </c>
      <c r="J961" s="121">
        <v>0.72921296296296301</v>
      </c>
      <c r="K961">
        <v>108</v>
      </c>
      <c r="L961">
        <v>0.33</v>
      </c>
      <c r="M961">
        <v>511.6</v>
      </c>
      <c r="N961">
        <v>0.12</v>
      </c>
      <c r="O961">
        <v>62.7</v>
      </c>
      <c r="P961">
        <v>2.1</v>
      </c>
      <c r="Q961" s="15">
        <v>35</v>
      </c>
      <c r="R961" t="s">
        <v>45</v>
      </c>
      <c r="S961"/>
    </row>
    <row r="962" spans="1:19" ht="15" x14ac:dyDescent="0.25">
      <c r="A962" s="7">
        <v>2012</v>
      </c>
      <c r="B962" s="120">
        <v>41132</v>
      </c>
      <c r="C962" t="s">
        <v>35</v>
      </c>
      <c r="D962" t="s">
        <v>36</v>
      </c>
      <c r="E962" t="s">
        <v>383</v>
      </c>
      <c r="F962" t="s">
        <v>38</v>
      </c>
      <c r="G962" t="s">
        <v>384</v>
      </c>
      <c r="H962" s="7" t="s">
        <v>379</v>
      </c>
      <c r="I962" t="s">
        <v>4</v>
      </c>
      <c r="J962" s="121">
        <v>0.72936342592592596</v>
      </c>
      <c r="K962">
        <v>173.5</v>
      </c>
      <c r="L962">
        <v>0.35</v>
      </c>
      <c r="M962">
        <v>511.6</v>
      </c>
      <c r="N962">
        <v>0.12</v>
      </c>
      <c r="O962">
        <v>62.8</v>
      </c>
      <c r="P962">
        <v>1.4</v>
      </c>
      <c r="Q962" s="15">
        <v>35</v>
      </c>
      <c r="R962" t="s">
        <v>45</v>
      </c>
      <c r="S962"/>
    </row>
    <row r="963" spans="1:19" ht="15" x14ac:dyDescent="0.25">
      <c r="A963" s="7">
        <v>2012</v>
      </c>
      <c r="B963" s="120">
        <v>41132</v>
      </c>
      <c r="C963" t="s">
        <v>35</v>
      </c>
      <c r="D963" t="s">
        <v>36</v>
      </c>
      <c r="E963" t="s">
        <v>383</v>
      </c>
      <c r="F963" t="s">
        <v>38</v>
      </c>
      <c r="G963" t="s">
        <v>384</v>
      </c>
      <c r="H963" s="7" t="s">
        <v>379</v>
      </c>
      <c r="I963" t="s">
        <v>4</v>
      </c>
      <c r="J963" s="121">
        <v>0.72968749999999993</v>
      </c>
      <c r="K963" t="e">
        <v>#N/A</v>
      </c>
      <c r="L963" t="e">
        <v>#N/A</v>
      </c>
      <c r="M963">
        <v>494.2</v>
      </c>
      <c r="N963">
        <v>0.1</v>
      </c>
      <c r="O963" t="e">
        <v>#N/A</v>
      </c>
      <c r="P963" t="e">
        <v>#N/A</v>
      </c>
      <c r="Q963" s="15" t="s">
        <v>387</v>
      </c>
      <c r="R963" t="s">
        <v>45</v>
      </c>
      <c r="S963"/>
    </row>
    <row r="964" spans="1:19" ht="15" x14ac:dyDescent="0.25">
      <c r="A964" s="7">
        <v>2012</v>
      </c>
      <c r="B964" s="120">
        <v>41132</v>
      </c>
      <c r="C964" t="s">
        <v>35</v>
      </c>
      <c r="D964" t="s">
        <v>36</v>
      </c>
      <c r="E964" t="s">
        <v>383</v>
      </c>
      <c r="F964" t="s">
        <v>38</v>
      </c>
      <c r="G964" t="s">
        <v>384</v>
      </c>
      <c r="H964" s="7" t="s">
        <v>379</v>
      </c>
      <c r="I964" t="s">
        <v>4</v>
      </c>
      <c r="J964" s="121">
        <v>0.7303587962962963</v>
      </c>
      <c r="K964">
        <v>155.1</v>
      </c>
      <c r="L964">
        <v>0.27</v>
      </c>
      <c r="M964">
        <v>494.2</v>
      </c>
      <c r="N964">
        <v>0.1</v>
      </c>
      <c r="O964">
        <v>62.9</v>
      </c>
      <c r="P964">
        <v>1.5</v>
      </c>
      <c r="Q964" s="15">
        <v>50</v>
      </c>
      <c r="R964" t="s">
        <v>45</v>
      </c>
      <c r="S964"/>
    </row>
    <row r="965" spans="1:19" ht="15" x14ac:dyDescent="0.25">
      <c r="A965" s="7">
        <v>2012</v>
      </c>
      <c r="B965" s="120">
        <v>41132</v>
      </c>
      <c r="C965" t="s">
        <v>35</v>
      </c>
      <c r="D965" t="s">
        <v>36</v>
      </c>
      <c r="E965" t="s">
        <v>383</v>
      </c>
      <c r="F965" t="s">
        <v>38</v>
      </c>
      <c r="G965" t="s">
        <v>384</v>
      </c>
      <c r="H965" s="7" t="s">
        <v>379</v>
      </c>
      <c r="I965" t="s">
        <v>4</v>
      </c>
      <c r="J965" s="121">
        <v>0.73053240740740744</v>
      </c>
      <c r="K965">
        <v>143.30000000000001</v>
      </c>
      <c r="L965">
        <v>0.39</v>
      </c>
      <c r="M965">
        <v>494.2</v>
      </c>
      <c r="N965">
        <v>0.1</v>
      </c>
      <c r="O965">
        <v>62.9</v>
      </c>
      <c r="P965">
        <v>1.7</v>
      </c>
      <c r="Q965" s="15">
        <v>50</v>
      </c>
      <c r="R965" t="s">
        <v>45</v>
      </c>
      <c r="S965"/>
    </row>
    <row r="966" spans="1:19" ht="15" x14ac:dyDescent="0.25">
      <c r="A966" s="7">
        <v>2012</v>
      </c>
      <c r="B966" s="120">
        <v>41132</v>
      </c>
      <c r="C966" t="s">
        <v>35</v>
      </c>
      <c r="D966" t="s">
        <v>36</v>
      </c>
      <c r="E966" t="s">
        <v>383</v>
      </c>
      <c r="F966" t="s">
        <v>38</v>
      </c>
      <c r="G966" t="s">
        <v>384</v>
      </c>
      <c r="H966" s="7" t="s">
        <v>379</v>
      </c>
      <c r="I966" t="s">
        <v>4</v>
      </c>
      <c r="J966" s="121">
        <v>0.73070601851851846</v>
      </c>
      <c r="K966">
        <v>170.3</v>
      </c>
      <c r="L966">
        <v>0.24</v>
      </c>
      <c r="M966">
        <v>494.2</v>
      </c>
      <c r="N966">
        <v>0.1</v>
      </c>
      <c r="O966">
        <v>62.9</v>
      </c>
      <c r="P966">
        <v>1.4</v>
      </c>
      <c r="Q966" s="15">
        <v>50</v>
      </c>
      <c r="R966" t="s">
        <v>45</v>
      </c>
      <c r="S966"/>
    </row>
    <row r="967" spans="1:19" ht="15" x14ac:dyDescent="0.25">
      <c r="A967" s="7">
        <v>2012</v>
      </c>
      <c r="B967" s="120">
        <v>41132</v>
      </c>
      <c r="C967" t="s">
        <v>35</v>
      </c>
      <c r="D967" t="s">
        <v>36</v>
      </c>
      <c r="E967" t="s">
        <v>383</v>
      </c>
      <c r="F967" t="s">
        <v>38</v>
      </c>
      <c r="G967" t="s">
        <v>384</v>
      </c>
      <c r="H967" s="7" t="s">
        <v>379</v>
      </c>
      <c r="I967" t="s">
        <v>4</v>
      </c>
      <c r="J967" s="121">
        <v>0.7308217592592593</v>
      </c>
      <c r="K967">
        <v>227.1</v>
      </c>
      <c r="L967">
        <v>0.36</v>
      </c>
      <c r="M967">
        <v>494.2</v>
      </c>
      <c r="N967">
        <v>0.1</v>
      </c>
      <c r="O967">
        <v>62.9</v>
      </c>
      <c r="P967">
        <v>1</v>
      </c>
      <c r="Q967" s="15">
        <v>50</v>
      </c>
      <c r="R967" t="s">
        <v>45</v>
      </c>
      <c r="S967"/>
    </row>
    <row r="968" spans="1:19" ht="15" x14ac:dyDescent="0.25">
      <c r="A968" s="7">
        <v>2012</v>
      </c>
      <c r="B968" s="120">
        <v>41132</v>
      </c>
      <c r="C968" t="s">
        <v>35</v>
      </c>
      <c r="D968" t="s">
        <v>36</v>
      </c>
      <c r="E968" t="s">
        <v>383</v>
      </c>
      <c r="F968" t="s">
        <v>38</v>
      </c>
      <c r="G968" t="s">
        <v>384</v>
      </c>
      <c r="H968" s="7" t="s">
        <v>379</v>
      </c>
      <c r="I968" t="s">
        <v>4</v>
      </c>
      <c r="J968" s="121">
        <v>0.73099537037037043</v>
      </c>
      <c r="K968">
        <v>261.3</v>
      </c>
      <c r="L968">
        <v>0.35</v>
      </c>
      <c r="M968">
        <v>494.2</v>
      </c>
      <c r="N968">
        <v>0.1</v>
      </c>
      <c r="O968">
        <v>62.9</v>
      </c>
      <c r="P968">
        <v>0.8</v>
      </c>
      <c r="Q968" s="15">
        <v>50</v>
      </c>
      <c r="R968" t="s">
        <v>45</v>
      </c>
      <c r="S968"/>
    </row>
    <row r="969" spans="1:19" ht="15" x14ac:dyDescent="0.25">
      <c r="A969" s="7">
        <v>2012</v>
      </c>
      <c r="B969" s="120">
        <v>41132</v>
      </c>
      <c r="C969" t="s">
        <v>35</v>
      </c>
      <c r="D969" t="s">
        <v>36</v>
      </c>
      <c r="E969" t="s">
        <v>383</v>
      </c>
      <c r="F969" t="s">
        <v>38</v>
      </c>
      <c r="G969" t="s">
        <v>384</v>
      </c>
      <c r="H969" s="7" t="s">
        <v>379</v>
      </c>
      <c r="I969" t="s">
        <v>4</v>
      </c>
      <c r="J969" s="121">
        <v>0.73136574074074068</v>
      </c>
      <c r="K969" t="e">
        <v>#N/A</v>
      </c>
      <c r="L969" t="e">
        <v>#N/A</v>
      </c>
      <c r="M969">
        <v>485.7</v>
      </c>
      <c r="N969">
        <v>0.15</v>
      </c>
      <c r="O969" t="e">
        <v>#N/A</v>
      </c>
      <c r="P969" t="e">
        <v>#N/A</v>
      </c>
      <c r="Q969" s="15" t="s">
        <v>388</v>
      </c>
      <c r="R969" t="s">
        <v>45</v>
      </c>
      <c r="S969"/>
    </row>
    <row r="970" spans="1:19" ht="15" x14ac:dyDescent="0.25">
      <c r="A970" s="7">
        <v>2012</v>
      </c>
      <c r="B970" s="120">
        <v>41132</v>
      </c>
      <c r="C970" t="s">
        <v>35</v>
      </c>
      <c r="D970" t="s">
        <v>36</v>
      </c>
      <c r="E970" t="s">
        <v>383</v>
      </c>
      <c r="F970" t="s">
        <v>38</v>
      </c>
      <c r="G970" t="s">
        <v>384</v>
      </c>
      <c r="H970" s="7" t="s">
        <v>379</v>
      </c>
      <c r="I970" t="s">
        <v>4</v>
      </c>
      <c r="J970" s="121">
        <v>0.73199074074074078</v>
      </c>
      <c r="K970">
        <v>311.2</v>
      </c>
      <c r="L970">
        <v>0.35</v>
      </c>
      <c r="M970">
        <v>485.7</v>
      </c>
      <c r="N970">
        <v>0.15</v>
      </c>
      <c r="O970">
        <v>63.1</v>
      </c>
      <c r="P970">
        <v>0.5</v>
      </c>
      <c r="Q970" s="15">
        <v>65</v>
      </c>
      <c r="R970" t="s">
        <v>45</v>
      </c>
      <c r="S970"/>
    </row>
    <row r="971" spans="1:19" ht="15" x14ac:dyDescent="0.25">
      <c r="A971" s="7">
        <v>2012</v>
      </c>
      <c r="B971" s="120">
        <v>41132</v>
      </c>
      <c r="C971" t="s">
        <v>35</v>
      </c>
      <c r="D971" t="s">
        <v>36</v>
      </c>
      <c r="E971" t="s">
        <v>383</v>
      </c>
      <c r="F971" t="s">
        <v>38</v>
      </c>
      <c r="G971" t="s">
        <v>384</v>
      </c>
      <c r="H971" s="7" t="s">
        <v>379</v>
      </c>
      <c r="I971" t="s">
        <v>4</v>
      </c>
      <c r="J971" s="121">
        <v>0.73211805555555554</v>
      </c>
      <c r="K971">
        <v>340.8</v>
      </c>
      <c r="L971">
        <v>0.22</v>
      </c>
      <c r="M971">
        <v>485.7</v>
      </c>
      <c r="N971">
        <v>0.15</v>
      </c>
      <c r="O971">
        <v>63.1</v>
      </c>
      <c r="P971">
        <v>0.4</v>
      </c>
      <c r="Q971" s="15">
        <v>65</v>
      </c>
      <c r="R971" t="s">
        <v>45</v>
      </c>
      <c r="S971"/>
    </row>
    <row r="972" spans="1:19" ht="15" x14ac:dyDescent="0.25">
      <c r="A972" s="7">
        <v>2012</v>
      </c>
      <c r="B972" s="120">
        <v>41132</v>
      </c>
      <c r="C972" t="s">
        <v>35</v>
      </c>
      <c r="D972" t="s">
        <v>36</v>
      </c>
      <c r="E972" t="s">
        <v>383</v>
      </c>
      <c r="F972" t="s">
        <v>38</v>
      </c>
      <c r="G972" t="s">
        <v>384</v>
      </c>
      <c r="H972" s="7" t="s">
        <v>379</v>
      </c>
      <c r="I972" t="s">
        <v>4</v>
      </c>
      <c r="J972" s="121">
        <v>0.73222222222222222</v>
      </c>
      <c r="K972">
        <v>337.1</v>
      </c>
      <c r="L972">
        <v>0.22</v>
      </c>
      <c r="M972">
        <v>485.7</v>
      </c>
      <c r="N972">
        <v>0.15</v>
      </c>
      <c r="O972">
        <v>63.1</v>
      </c>
      <c r="P972">
        <v>0.4</v>
      </c>
      <c r="Q972" s="15">
        <v>65</v>
      </c>
      <c r="R972" t="s">
        <v>45</v>
      </c>
      <c r="S972"/>
    </row>
    <row r="973" spans="1:19" ht="15" x14ac:dyDescent="0.25">
      <c r="A973" s="7">
        <v>2012</v>
      </c>
      <c r="B973" s="120">
        <v>41132</v>
      </c>
      <c r="C973" t="s">
        <v>35</v>
      </c>
      <c r="D973" t="s">
        <v>36</v>
      </c>
      <c r="E973" t="s">
        <v>383</v>
      </c>
      <c r="F973" t="s">
        <v>38</v>
      </c>
      <c r="G973" t="s">
        <v>384</v>
      </c>
      <c r="H973" s="7" t="s">
        <v>379</v>
      </c>
      <c r="I973" t="s">
        <v>4</v>
      </c>
      <c r="J973" s="121">
        <v>0.73230324074074071</v>
      </c>
      <c r="K973">
        <v>329</v>
      </c>
      <c r="L973">
        <v>0.22</v>
      </c>
      <c r="M973">
        <v>485.7</v>
      </c>
      <c r="N973">
        <v>0.15</v>
      </c>
      <c r="O973">
        <v>63.1</v>
      </c>
      <c r="P973">
        <v>0.5</v>
      </c>
      <c r="Q973" s="15">
        <v>65</v>
      </c>
      <c r="R973" t="s">
        <v>45</v>
      </c>
      <c r="S973"/>
    </row>
    <row r="974" spans="1:19" ht="15" x14ac:dyDescent="0.25">
      <c r="A974" s="7">
        <v>2012</v>
      </c>
      <c r="B974" s="120">
        <v>41132</v>
      </c>
      <c r="C974" t="s">
        <v>35</v>
      </c>
      <c r="D974" t="s">
        <v>36</v>
      </c>
      <c r="E974" t="s">
        <v>383</v>
      </c>
      <c r="F974" t="s">
        <v>38</v>
      </c>
      <c r="G974" t="s">
        <v>384</v>
      </c>
      <c r="H974" s="7" t="s">
        <v>379</v>
      </c>
      <c r="I974" t="s">
        <v>4</v>
      </c>
      <c r="J974" s="121">
        <v>0.73240740740740751</v>
      </c>
      <c r="K974">
        <v>369.6</v>
      </c>
      <c r="L974">
        <v>0.19</v>
      </c>
      <c r="M974">
        <v>485.7</v>
      </c>
      <c r="N974">
        <v>0.15</v>
      </c>
      <c r="O974">
        <v>63.1</v>
      </c>
      <c r="P974">
        <v>0.3</v>
      </c>
      <c r="Q974" s="15">
        <v>65</v>
      </c>
      <c r="R974" t="s">
        <v>45</v>
      </c>
      <c r="S974"/>
    </row>
    <row r="975" spans="1:19" ht="15" x14ac:dyDescent="0.25">
      <c r="A975" s="7">
        <v>2012</v>
      </c>
      <c r="B975" s="120">
        <v>41132</v>
      </c>
      <c r="C975" t="s">
        <v>35</v>
      </c>
      <c r="D975" t="s">
        <v>36</v>
      </c>
      <c r="E975" t="s">
        <v>383</v>
      </c>
      <c r="F975" t="s">
        <v>38</v>
      </c>
      <c r="G975" t="s">
        <v>384</v>
      </c>
      <c r="H975" s="7" t="s">
        <v>379</v>
      </c>
      <c r="I975" t="s">
        <v>4</v>
      </c>
      <c r="J975" s="121">
        <v>0.73269675925925926</v>
      </c>
      <c r="K975" t="e">
        <v>#N/A</v>
      </c>
      <c r="L975" t="e">
        <v>#N/A</v>
      </c>
      <c r="M975">
        <v>494.8</v>
      </c>
      <c r="N975">
        <v>0.15</v>
      </c>
      <c r="O975" t="e">
        <v>#N/A</v>
      </c>
      <c r="P975" t="e">
        <v>#N/A</v>
      </c>
      <c r="Q975" s="15" t="s">
        <v>389</v>
      </c>
      <c r="R975" t="s">
        <v>45</v>
      </c>
      <c r="S975"/>
    </row>
    <row r="976" spans="1:19" ht="15" x14ac:dyDescent="0.25">
      <c r="A976" s="7">
        <v>2012</v>
      </c>
      <c r="B976" s="120">
        <v>41132</v>
      </c>
      <c r="C976" t="s">
        <v>35</v>
      </c>
      <c r="D976" t="s">
        <v>36</v>
      </c>
      <c r="E976" t="s">
        <v>383</v>
      </c>
      <c r="F976" t="s">
        <v>38</v>
      </c>
      <c r="G976" t="s">
        <v>384</v>
      </c>
      <c r="H976" s="7" t="s">
        <v>379</v>
      </c>
      <c r="I976" t="s">
        <v>4</v>
      </c>
      <c r="J976" s="121">
        <v>0.7333101851851852</v>
      </c>
      <c r="K976">
        <v>424</v>
      </c>
      <c r="L976">
        <v>0.2</v>
      </c>
      <c r="M976">
        <v>494.8</v>
      </c>
      <c r="N976">
        <v>0.15</v>
      </c>
      <c r="O976">
        <v>63.2</v>
      </c>
      <c r="P976">
        <v>0.2</v>
      </c>
      <c r="Q976" s="15">
        <v>80</v>
      </c>
      <c r="R976" t="s">
        <v>45</v>
      </c>
      <c r="S976"/>
    </row>
    <row r="977" spans="1:19" ht="15" x14ac:dyDescent="0.25">
      <c r="A977" s="7">
        <v>2012</v>
      </c>
      <c r="B977" s="120">
        <v>41132</v>
      </c>
      <c r="C977" t="s">
        <v>35</v>
      </c>
      <c r="D977" t="s">
        <v>36</v>
      </c>
      <c r="E977" t="s">
        <v>383</v>
      </c>
      <c r="F977" t="s">
        <v>38</v>
      </c>
      <c r="G977" t="s">
        <v>384</v>
      </c>
      <c r="H977" s="7" t="s">
        <v>379</v>
      </c>
      <c r="I977" t="s">
        <v>4</v>
      </c>
      <c r="J977" s="121">
        <v>0.73342592592592604</v>
      </c>
      <c r="K977">
        <v>407.5</v>
      </c>
      <c r="L977">
        <v>0.26</v>
      </c>
      <c r="M977">
        <v>494.8</v>
      </c>
      <c r="N977">
        <v>0.15</v>
      </c>
      <c r="O977">
        <v>63.2</v>
      </c>
      <c r="P977">
        <v>0.2</v>
      </c>
      <c r="Q977" s="15">
        <v>80</v>
      </c>
      <c r="R977" t="s">
        <v>45</v>
      </c>
      <c r="S977"/>
    </row>
    <row r="978" spans="1:19" ht="15" x14ac:dyDescent="0.25">
      <c r="A978" s="7">
        <v>2012</v>
      </c>
      <c r="B978" s="120">
        <v>41132</v>
      </c>
      <c r="C978" t="s">
        <v>35</v>
      </c>
      <c r="D978" t="s">
        <v>36</v>
      </c>
      <c r="E978" t="s">
        <v>383</v>
      </c>
      <c r="F978" t="s">
        <v>38</v>
      </c>
      <c r="G978" t="s">
        <v>384</v>
      </c>
      <c r="H978" s="7" t="s">
        <v>379</v>
      </c>
      <c r="I978" t="s">
        <v>4</v>
      </c>
      <c r="J978" s="121">
        <v>0.73350694444444453</v>
      </c>
      <c r="K978">
        <v>441.7</v>
      </c>
      <c r="L978">
        <v>0.1</v>
      </c>
      <c r="M978">
        <v>494.8</v>
      </c>
      <c r="N978">
        <v>0.15</v>
      </c>
      <c r="O978">
        <v>63.2</v>
      </c>
      <c r="P978">
        <v>0.1</v>
      </c>
      <c r="Q978" s="15">
        <v>80</v>
      </c>
      <c r="R978" t="s">
        <v>45</v>
      </c>
      <c r="S978"/>
    </row>
    <row r="979" spans="1:19" ht="15" x14ac:dyDescent="0.25">
      <c r="A979" s="7">
        <v>2012</v>
      </c>
      <c r="B979" s="120">
        <v>41132</v>
      </c>
      <c r="C979" t="s">
        <v>35</v>
      </c>
      <c r="D979" t="s">
        <v>36</v>
      </c>
      <c r="E979" t="s">
        <v>383</v>
      </c>
      <c r="F979" t="s">
        <v>38</v>
      </c>
      <c r="G979" t="s">
        <v>384</v>
      </c>
      <c r="H979" s="7" t="s">
        <v>379</v>
      </c>
      <c r="I979" t="s">
        <v>4</v>
      </c>
      <c r="J979" s="121">
        <v>0.73364583333333344</v>
      </c>
      <c r="K979">
        <v>456</v>
      </c>
      <c r="L979">
        <v>0.11</v>
      </c>
      <c r="M979">
        <v>494.8</v>
      </c>
      <c r="N979">
        <v>0.15</v>
      </c>
      <c r="O979">
        <v>63.2</v>
      </c>
      <c r="P979">
        <v>0.1</v>
      </c>
      <c r="Q979" s="15">
        <v>80</v>
      </c>
      <c r="R979" t="s">
        <v>45</v>
      </c>
      <c r="S979"/>
    </row>
    <row r="980" spans="1:19" ht="15" x14ac:dyDescent="0.25">
      <c r="A980" s="7">
        <v>2012</v>
      </c>
      <c r="B980" s="120">
        <v>41132</v>
      </c>
      <c r="C980" t="s">
        <v>35</v>
      </c>
      <c r="D980" t="s">
        <v>36</v>
      </c>
      <c r="E980" t="s">
        <v>383</v>
      </c>
      <c r="F980" t="s">
        <v>38</v>
      </c>
      <c r="G980" t="s">
        <v>384</v>
      </c>
      <c r="H980" s="7" t="s">
        <v>379</v>
      </c>
      <c r="I980" t="s">
        <v>4</v>
      </c>
      <c r="J980" s="121">
        <v>0.73371527777777779</v>
      </c>
      <c r="K980">
        <v>486.1</v>
      </c>
      <c r="L980">
        <v>0.01</v>
      </c>
      <c r="M980">
        <v>494.8</v>
      </c>
      <c r="N980">
        <v>0.15</v>
      </c>
      <c r="O980">
        <v>63.3</v>
      </c>
      <c r="P980">
        <v>0</v>
      </c>
      <c r="Q980" s="15">
        <v>80</v>
      </c>
      <c r="R980" t="s">
        <v>45</v>
      </c>
      <c r="S980"/>
    </row>
    <row r="981" spans="1:19" ht="15" x14ac:dyDescent="0.25">
      <c r="A981" s="7">
        <v>2012</v>
      </c>
      <c r="B981" s="120">
        <v>41132</v>
      </c>
      <c r="C981" t="s">
        <v>35</v>
      </c>
      <c r="D981" t="s">
        <v>36</v>
      </c>
      <c r="E981" t="s">
        <v>383</v>
      </c>
      <c r="F981" t="s">
        <v>38</v>
      </c>
      <c r="G981" t="s">
        <v>384</v>
      </c>
      <c r="H981" s="7" t="s">
        <v>379</v>
      </c>
      <c r="I981" t="s">
        <v>4</v>
      </c>
      <c r="J981" s="121">
        <v>0.73432870370370373</v>
      </c>
      <c r="K981" t="e">
        <v>#N/A</v>
      </c>
      <c r="L981" t="e">
        <v>#N/A</v>
      </c>
      <c r="M981">
        <v>496.2</v>
      </c>
      <c r="N981">
        <v>0.13</v>
      </c>
      <c r="O981" t="e">
        <v>#N/A</v>
      </c>
      <c r="P981" t="e">
        <v>#N/A</v>
      </c>
      <c r="Q981" s="15" t="s">
        <v>390</v>
      </c>
      <c r="R981" t="s">
        <v>45</v>
      </c>
      <c r="S981"/>
    </row>
    <row r="982" spans="1:19" ht="15" x14ac:dyDescent="0.25">
      <c r="A982" s="7">
        <v>2012</v>
      </c>
      <c r="B982" s="120">
        <v>41132</v>
      </c>
      <c r="C982" t="s">
        <v>35</v>
      </c>
      <c r="D982" t="s">
        <v>36</v>
      </c>
      <c r="E982" t="s">
        <v>383</v>
      </c>
      <c r="F982" t="s">
        <v>38</v>
      </c>
      <c r="G982" t="s">
        <v>384</v>
      </c>
      <c r="H982" s="7" t="s">
        <v>379</v>
      </c>
      <c r="I982" t="s">
        <v>4</v>
      </c>
      <c r="J982" s="121">
        <v>0.73504629629629636</v>
      </c>
      <c r="K982">
        <v>486.3</v>
      </c>
      <c r="L982">
        <v>0.02</v>
      </c>
      <c r="M982">
        <v>496.2</v>
      </c>
      <c r="N982">
        <v>0.13</v>
      </c>
      <c r="O982">
        <v>63.4</v>
      </c>
      <c r="P982">
        <v>0</v>
      </c>
      <c r="Q982" s="15">
        <v>95</v>
      </c>
      <c r="R982" t="s">
        <v>45</v>
      </c>
      <c r="S982"/>
    </row>
    <row r="983" spans="1:19" ht="15" x14ac:dyDescent="0.25">
      <c r="A983" s="7">
        <v>2012</v>
      </c>
      <c r="B983" s="120">
        <v>41132</v>
      </c>
      <c r="C983" t="s">
        <v>35</v>
      </c>
      <c r="D983" t="s">
        <v>36</v>
      </c>
      <c r="E983" t="s">
        <v>383</v>
      </c>
      <c r="F983" t="s">
        <v>38</v>
      </c>
      <c r="G983" t="s">
        <v>384</v>
      </c>
      <c r="H983" s="7" t="s">
        <v>379</v>
      </c>
      <c r="I983" t="s">
        <v>4</v>
      </c>
      <c r="J983" s="121">
        <v>0.73516203703703698</v>
      </c>
      <c r="K983">
        <v>486.3</v>
      </c>
      <c r="L983">
        <v>0.01</v>
      </c>
      <c r="M983">
        <v>496.2</v>
      </c>
      <c r="N983">
        <v>0.13</v>
      </c>
      <c r="O983">
        <v>63.4</v>
      </c>
      <c r="P983">
        <v>0</v>
      </c>
      <c r="Q983" s="15">
        <v>95</v>
      </c>
      <c r="R983" t="s">
        <v>45</v>
      </c>
      <c r="S983"/>
    </row>
    <row r="984" spans="1:19" ht="15" x14ac:dyDescent="0.25">
      <c r="A984" s="7">
        <v>2012</v>
      </c>
      <c r="B984" s="120">
        <v>41132</v>
      </c>
      <c r="C984" t="s">
        <v>35</v>
      </c>
      <c r="D984" t="s">
        <v>36</v>
      </c>
      <c r="E984" t="s">
        <v>383</v>
      </c>
      <c r="F984" t="s">
        <v>38</v>
      </c>
      <c r="G984" t="s">
        <v>384</v>
      </c>
      <c r="H984" s="7" t="s">
        <v>379</v>
      </c>
      <c r="I984" t="s">
        <v>4</v>
      </c>
      <c r="J984" s="121">
        <v>0.73527777777777781</v>
      </c>
      <c r="K984">
        <v>478.1</v>
      </c>
      <c r="L984">
        <v>0.03</v>
      </c>
      <c r="M984">
        <v>496.2</v>
      </c>
      <c r="N984">
        <v>0.13</v>
      </c>
      <c r="O984">
        <v>63.4</v>
      </c>
      <c r="P984">
        <v>0</v>
      </c>
      <c r="Q984" s="15">
        <v>95</v>
      </c>
      <c r="R984" t="s">
        <v>45</v>
      </c>
      <c r="S984"/>
    </row>
    <row r="985" spans="1:19" ht="15" x14ac:dyDescent="0.25">
      <c r="A985" s="7">
        <v>2012</v>
      </c>
      <c r="B985" s="120">
        <v>41132</v>
      </c>
      <c r="C985" t="s">
        <v>35</v>
      </c>
      <c r="D985" t="s">
        <v>36</v>
      </c>
      <c r="E985" t="s">
        <v>383</v>
      </c>
      <c r="F985" t="s">
        <v>38</v>
      </c>
      <c r="G985" t="s">
        <v>384</v>
      </c>
      <c r="H985" s="7" t="s">
        <v>379</v>
      </c>
      <c r="I985" t="s">
        <v>4</v>
      </c>
      <c r="J985" s="121">
        <v>0.7353587962962963</v>
      </c>
      <c r="K985">
        <v>479.6</v>
      </c>
      <c r="L985">
        <v>0.02</v>
      </c>
      <c r="M985">
        <v>496.2</v>
      </c>
      <c r="N985">
        <v>0.13</v>
      </c>
      <c r="O985">
        <v>63.4</v>
      </c>
      <c r="P985">
        <v>0</v>
      </c>
      <c r="Q985" s="15">
        <v>95</v>
      </c>
      <c r="R985" t="s">
        <v>45</v>
      </c>
      <c r="S985"/>
    </row>
    <row r="986" spans="1:19" ht="15" x14ac:dyDescent="0.25">
      <c r="A986" s="7">
        <v>2012</v>
      </c>
      <c r="B986" s="120">
        <v>41132</v>
      </c>
      <c r="C986" t="s">
        <v>35</v>
      </c>
      <c r="D986" t="s">
        <v>36</v>
      </c>
      <c r="E986" t="s">
        <v>383</v>
      </c>
      <c r="F986" t="s">
        <v>38</v>
      </c>
      <c r="G986" t="s">
        <v>384</v>
      </c>
      <c r="H986" s="7" t="s">
        <v>379</v>
      </c>
      <c r="I986" t="s">
        <v>4</v>
      </c>
      <c r="J986" s="121">
        <v>0.73545138888888895</v>
      </c>
      <c r="K986">
        <v>487.6</v>
      </c>
      <c r="L986">
        <v>0.01</v>
      </c>
      <c r="M986">
        <v>496.2</v>
      </c>
      <c r="N986">
        <v>0.13</v>
      </c>
      <c r="O986">
        <v>63.5</v>
      </c>
      <c r="P986">
        <v>0</v>
      </c>
      <c r="Q986" s="15">
        <v>95</v>
      </c>
      <c r="R986" t="s">
        <v>45</v>
      </c>
      <c r="S986"/>
    </row>
    <row r="987" spans="1:19" ht="15" x14ac:dyDescent="0.25">
      <c r="A987" s="7">
        <v>2012</v>
      </c>
      <c r="B987" s="120">
        <v>41132</v>
      </c>
      <c r="C987" t="s">
        <v>35</v>
      </c>
      <c r="D987" t="s">
        <v>36</v>
      </c>
      <c r="E987" t="s">
        <v>383</v>
      </c>
      <c r="F987" t="s">
        <v>38</v>
      </c>
      <c r="G987" t="s">
        <v>384</v>
      </c>
      <c r="H987" s="7" t="s">
        <v>379</v>
      </c>
      <c r="I987" t="s">
        <v>4</v>
      </c>
      <c r="J987" s="121">
        <v>0.73582175925925919</v>
      </c>
      <c r="K987" t="e">
        <v>#N/A</v>
      </c>
      <c r="L987" t="e">
        <v>#N/A</v>
      </c>
      <c r="M987">
        <v>496.2</v>
      </c>
      <c r="N987">
        <v>0.12</v>
      </c>
      <c r="O987" t="e">
        <v>#N/A</v>
      </c>
      <c r="P987" t="e">
        <v>#N/A</v>
      </c>
      <c r="Q987" s="15" t="s">
        <v>50</v>
      </c>
      <c r="R987" t="s">
        <v>45</v>
      </c>
      <c r="S987"/>
    </row>
    <row r="988" spans="1:19" ht="15" x14ac:dyDescent="0.25">
      <c r="A988" s="7">
        <v>2012</v>
      </c>
      <c r="B988" s="120">
        <v>41132</v>
      </c>
      <c r="C988" t="s">
        <v>35</v>
      </c>
      <c r="D988" t="s">
        <v>36</v>
      </c>
      <c r="E988" t="s">
        <v>383</v>
      </c>
      <c r="F988" t="s">
        <v>38</v>
      </c>
      <c r="G988" t="s">
        <v>384</v>
      </c>
      <c r="H988" s="7" t="s">
        <v>379</v>
      </c>
      <c r="I988" t="s">
        <v>4</v>
      </c>
      <c r="J988" s="121">
        <v>0.73640046296296291</v>
      </c>
      <c r="K988">
        <v>491.5</v>
      </c>
      <c r="L988">
        <v>0.01</v>
      </c>
      <c r="M988">
        <v>496.2</v>
      </c>
      <c r="N988">
        <v>0.12</v>
      </c>
      <c r="O988">
        <v>63.6</v>
      </c>
      <c r="P988">
        <v>0</v>
      </c>
      <c r="Q988" s="15" t="s">
        <v>50</v>
      </c>
      <c r="R988" t="s">
        <v>45</v>
      </c>
      <c r="S988"/>
    </row>
    <row r="989" spans="1:19" ht="15" x14ac:dyDescent="0.25">
      <c r="A989" s="7">
        <v>2012</v>
      </c>
      <c r="B989" s="120">
        <v>41132</v>
      </c>
      <c r="C989" t="s">
        <v>35</v>
      </c>
      <c r="D989" t="s">
        <v>36</v>
      </c>
      <c r="E989" t="s">
        <v>383</v>
      </c>
      <c r="F989" t="s">
        <v>38</v>
      </c>
      <c r="G989" t="s">
        <v>384</v>
      </c>
      <c r="H989" s="7" t="s">
        <v>379</v>
      </c>
      <c r="I989" t="s">
        <v>4</v>
      </c>
      <c r="J989" s="121">
        <v>0.73642361111111121</v>
      </c>
      <c r="K989">
        <v>492.2</v>
      </c>
      <c r="L989">
        <v>0.01</v>
      </c>
      <c r="M989">
        <v>496.2</v>
      </c>
      <c r="N989">
        <v>0.12</v>
      </c>
      <c r="O989">
        <v>63.6</v>
      </c>
      <c r="P989">
        <v>0</v>
      </c>
      <c r="Q989" s="15" t="s">
        <v>50</v>
      </c>
      <c r="R989" t="s">
        <v>45</v>
      </c>
      <c r="S989"/>
    </row>
    <row r="990" spans="1:19" ht="15" x14ac:dyDescent="0.25">
      <c r="A990" s="7">
        <v>2012</v>
      </c>
      <c r="B990" s="120">
        <v>41132</v>
      </c>
      <c r="C990" t="s">
        <v>35</v>
      </c>
      <c r="D990" t="s">
        <v>36</v>
      </c>
      <c r="E990" t="s">
        <v>383</v>
      </c>
      <c r="F990" t="s">
        <v>38</v>
      </c>
      <c r="G990" t="s">
        <v>384</v>
      </c>
      <c r="H990" s="7" t="s">
        <v>379</v>
      </c>
      <c r="I990" t="s">
        <v>4</v>
      </c>
      <c r="J990" s="121">
        <v>0.73644675925925929</v>
      </c>
      <c r="K990">
        <v>492</v>
      </c>
      <c r="L990">
        <v>0.01</v>
      </c>
      <c r="M990">
        <v>496.2</v>
      </c>
      <c r="N990">
        <v>0.12</v>
      </c>
      <c r="O990">
        <v>63.6</v>
      </c>
      <c r="P990">
        <v>0</v>
      </c>
      <c r="Q990" s="15" t="s">
        <v>50</v>
      </c>
      <c r="R990" t="s">
        <v>45</v>
      </c>
      <c r="S990"/>
    </row>
    <row r="991" spans="1:19" ht="15" x14ac:dyDescent="0.25">
      <c r="A991" s="7">
        <v>2012</v>
      </c>
      <c r="B991" s="120">
        <v>41132</v>
      </c>
      <c r="C991" t="s">
        <v>35</v>
      </c>
      <c r="D991" t="s">
        <v>36</v>
      </c>
      <c r="E991" t="s">
        <v>383</v>
      </c>
      <c r="F991" t="s">
        <v>38</v>
      </c>
      <c r="G991" t="s">
        <v>384</v>
      </c>
      <c r="H991" s="7" t="s">
        <v>379</v>
      </c>
      <c r="I991" t="s">
        <v>4</v>
      </c>
      <c r="J991" s="121">
        <v>0.73646990740740748</v>
      </c>
      <c r="K991">
        <v>491.8</v>
      </c>
      <c r="L991">
        <v>0.01</v>
      </c>
      <c r="M991">
        <v>496.2</v>
      </c>
      <c r="N991">
        <v>0.12</v>
      </c>
      <c r="O991">
        <v>63.6</v>
      </c>
      <c r="P991">
        <v>0</v>
      </c>
      <c r="Q991" s="15" t="s">
        <v>50</v>
      </c>
      <c r="R991" t="s">
        <v>45</v>
      </c>
      <c r="S991"/>
    </row>
    <row r="992" spans="1:19" ht="15" x14ac:dyDescent="0.25">
      <c r="A992" s="7">
        <v>2012</v>
      </c>
      <c r="B992" s="120">
        <v>41132</v>
      </c>
      <c r="C992" t="s">
        <v>35</v>
      </c>
      <c r="D992" t="s">
        <v>36</v>
      </c>
      <c r="E992" t="s">
        <v>383</v>
      </c>
      <c r="F992" t="s">
        <v>38</v>
      </c>
      <c r="G992" t="s">
        <v>384</v>
      </c>
      <c r="H992" s="7" t="s">
        <v>379</v>
      </c>
      <c r="I992" t="s">
        <v>4</v>
      </c>
      <c r="J992" s="121">
        <v>0.73652777777777778</v>
      </c>
      <c r="K992">
        <v>491.6</v>
      </c>
      <c r="L992">
        <v>0.01</v>
      </c>
      <c r="M992">
        <v>496.2</v>
      </c>
      <c r="N992">
        <v>0.12</v>
      </c>
      <c r="O992">
        <v>63.6</v>
      </c>
      <c r="P992">
        <v>0</v>
      </c>
      <c r="Q992" s="15" t="s">
        <v>50</v>
      </c>
      <c r="R992" t="s">
        <v>45</v>
      </c>
      <c r="S992"/>
    </row>
    <row r="993" spans="1:19" ht="15" x14ac:dyDescent="0.25">
      <c r="A993" s="7">
        <v>2012</v>
      </c>
      <c r="B993" s="120">
        <v>41132</v>
      </c>
      <c r="C993" t="s">
        <v>35</v>
      </c>
      <c r="D993" t="s">
        <v>2</v>
      </c>
      <c r="E993" t="s">
        <v>391</v>
      </c>
      <c r="F993" t="s">
        <v>38</v>
      </c>
      <c r="G993" t="s">
        <v>384</v>
      </c>
      <c r="H993" s="7" t="s">
        <v>379</v>
      </c>
      <c r="I993" t="s">
        <v>41</v>
      </c>
      <c r="J993" s="121">
        <v>0.63021990740740741</v>
      </c>
      <c r="K993" t="e">
        <v>#N/A</v>
      </c>
      <c r="L993" t="e">
        <v>#N/A</v>
      </c>
      <c r="M993">
        <v>886.2</v>
      </c>
      <c r="N993">
        <v>0.09</v>
      </c>
      <c r="O993" t="e">
        <v>#N/A</v>
      </c>
      <c r="P993" t="e">
        <v>#N/A</v>
      </c>
      <c r="Q993" s="15" t="s">
        <v>50</v>
      </c>
      <c r="R993" t="s">
        <v>45</v>
      </c>
      <c r="S993"/>
    </row>
    <row r="994" spans="1:19" ht="15" x14ac:dyDescent="0.25">
      <c r="A994" s="7">
        <v>2012</v>
      </c>
      <c r="B994" s="120">
        <v>41132</v>
      </c>
      <c r="C994" t="s">
        <v>35</v>
      </c>
      <c r="D994" t="s">
        <v>2</v>
      </c>
      <c r="E994" t="s">
        <v>391</v>
      </c>
      <c r="F994" t="s">
        <v>38</v>
      </c>
      <c r="G994" t="s">
        <v>384</v>
      </c>
      <c r="H994" s="7" t="s">
        <v>379</v>
      </c>
      <c r="I994" t="s">
        <v>41</v>
      </c>
      <c r="J994" s="121">
        <v>0.63121527777777775</v>
      </c>
      <c r="K994" t="e">
        <v>#N/A</v>
      </c>
      <c r="L994" t="e">
        <v>#N/A</v>
      </c>
      <c r="M994">
        <v>911.6</v>
      </c>
      <c r="N994">
        <v>0.12</v>
      </c>
      <c r="O994" t="e">
        <v>#N/A</v>
      </c>
      <c r="P994" t="e">
        <v>#N/A</v>
      </c>
      <c r="Q994" s="15" t="s">
        <v>50</v>
      </c>
      <c r="R994" t="s">
        <v>45</v>
      </c>
      <c r="S994"/>
    </row>
    <row r="995" spans="1:19" ht="15" x14ac:dyDescent="0.25">
      <c r="A995" s="7">
        <v>2012</v>
      </c>
      <c r="B995" s="120">
        <v>41132</v>
      </c>
      <c r="C995" t="s">
        <v>35</v>
      </c>
      <c r="D995" t="s">
        <v>2</v>
      </c>
      <c r="E995" t="s">
        <v>391</v>
      </c>
      <c r="F995" t="s">
        <v>38</v>
      </c>
      <c r="G995" t="s">
        <v>384</v>
      </c>
      <c r="H995" s="7" t="s">
        <v>379</v>
      </c>
      <c r="I995" t="s">
        <v>41</v>
      </c>
      <c r="J995" s="121">
        <v>0.63396990740740744</v>
      </c>
      <c r="K995" t="e">
        <v>#N/A</v>
      </c>
      <c r="L995" t="e">
        <v>#N/A</v>
      </c>
      <c r="M995">
        <v>658.6</v>
      </c>
      <c r="N995">
        <v>0.18</v>
      </c>
      <c r="O995" t="e">
        <v>#N/A</v>
      </c>
      <c r="P995" t="e">
        <v>#N/A</v>
      </c>
      <c r="Q995" s="15" t="s">
        <v>61</v>
      </c>
      <c r="R995" t="s">
        <v>45</v>
      </c>
      <c r="S995"/>
    </row>
    <row r="996" spans="1:19" ht="15" x14ac:dyDescent="0.25">
      <c r="A996" s="7">
        <v>2012</v>
      </c>
      <c r="B996" s="120">
        <v>41132</v>
      </c>
      <c r="C996" t="s">
        <v>35</v>
      </c>
      <c r="D996" t="s">
        <v>2</v>
      </c>
      <c r="E996" t="s">
        <v>391</v>
      </c>
      <c r="F996" t="s">
        <v>38</v>
      </c>
      <c r="G996" t="s">
        <v>384</v>
      </c>
      <c r="H996" s="7" t="s">
        <v>379</v>
      </c>
      <c r="I996" t="s">
        <v>41</v>
      </c>
      <c r="J996" s="121">
        <v>0.63475694444444442</v>
      </c>
      <c r="K996">
        <v>67.8</v>
      </c>
      <c r="L996">
        <v>0.25</v>
      </c>
      <c r="M996">
        <v>658.6</v>
      </c>
      <c r="N996">
        <v>0.18</v>
      </c>
      <c r="O996">
        <v>54.9</v>
      </c>
      <c r="P996">
        <v>3.4</v>
      </c>
      <c r="Q996" s="15">
        <v>5</v>
      </c>
      <c r="R996" t="s">
        <v>45</v>
      </c>
      <c r="S996"/>
    </row>
    <row r="997" spans="1:19" ht="15" x14ac:dyDescent="0.25">
      <c r="A997" s="7">
        <v>2012</v>
      </c>
      <c r="B997" s="120">
        <v>41132</v>
      </c>
      <c r="C997" t="s">
        <v>35</v>
      </c>
      <c r="D997" t="s">
        <v>2</v>
      </c>
      <c r="E997" t="s">
        <v>391</v>
      </c>
      <c r="F997" t="s">
        <v>38</v>
      </c>
      <c r="G997" t="s">
        <v>384</v>
      </c>
      <c r="H997" s="7" t="s">
        <v>379</v>
      </c>
      <c r="I997" t="s">
        <v>41</v>
      </c>
      <c r="J997" s="121">
        <v>0.63497685185185182</v>
      </c>
      <c r="K997">
        <v>47.4</v>
      </c>
      <c r="L997">
        <v>0.36</v>
      </c>
      <c r="M997">
        <v>658.6</v>
      </c>
      <c r="N997">
        <v>0.18</v>
      </c>
      <c r="O997">
        <v>54.9</v>
      </c>
      <c r="P997">
        <v>4</v>
      </c>
      <c r="Q997" s="15">
        <v>5</v>
      </c>
      <c r="R997" t="s">
        <v>45</v>
      </c>
      <c r="S997"/>
    </row>
    <row r="998" spans="1:19" ht="15" x14ac:dyDescent="0.25">
      <c r="A998" s="7">
        <v>2012</v>
      </c>
      <c r="B998" s="120">
        <v>41132</v>
      </c>
      <c r="C998" t="s">
        <v>35</v>
      </c>
      <c r="D998" t="s">
        <v>2</v>
      </c>
      <c r="E998" t="s">
        <v>391</v>
      </c>
      <c r="F998" t="s">
        <v>38</v>
      </c>
      <c r="G998" t="s">
        <v>384</v>
      </c>
      <c r="H998" s="7" t="s">
        <v>379</v>
      </c>
      <c r="I998" t="s">
        <v>41</v>
      </c>
      <c r="J998" s="121">
        <v>0.63517361111111115</v>
      </c>
      <c r="K998">
        <v>82.9</v>
      </c>
      <c r="L998">
        <v>0.24</v>
      </c>
      <c r="M998">
        <v>658.6</v>
      </c>
      <c r="N998">
        <v>0.18</v>
      </c>
      <c r="O998">
        <v>54.9</v>
      </c>
      <c r="P998">
        <v>3</v>
      </c>
      <c r="Q998" s="15">
        <v>5</v>
      </c>
      <c r="R998" t="s">
        <v>45</v>
      </c>
      <c r="S998"/>
    </row>
    <row r="999" spans="1:19" ht="15" x14ac:dyDescent="0.25">
      <c r="A999" s="7">
        <v>2012</v>
      </c>
      <c r="B999" s="120">
        <v>41132</v>
      </c>
      <c r="C999" t="s">
        <v>35</v>
      </c>
      <c r="D999" t="s">
        <v>2</v>
      </c>
      <c r="E999" t="s">
        <v>391</v>
      </c>
      <c r="F999" t="s">
        <v>38</v>
      </c>
      <c r="G999" t="s">
        <v>384</v>
      </c>
      <c r="H999" s="7" t="s">
        <v>379</v>
      </c>
      <c r="I999" t="s">
        <v>41</v>
      </c>
      <c r="J999" s="121">
        <v>0.63539351851851855</v>
      </c>
      <c r="K999">
        <v>95.6</v>
      </c>
      <c r="L999">
        <v>0.08</v>
      </c>
      <c r="M999">
        <v>658.6</v>
      </c>
      <c r="N999">
        <v>0.18</v>
      </c>
      <c r="O999">
        <v>54.9</v>
      </c>
      <c r="P999">
        <v>2.8</v>
      </c>
      <c r="Q999" s="15">
        <v>5</v>
      </c>
      <c r="R999" t="s">
        <v>45</v>
      </c>
      <c r="S999"/>
    </row>
    <row r="1000" spans="1:19" ht="15" x14ac:dyDescent="0.25">
      <c r="A1000" s="7">
        <v>2012</v>
      </c>
      <c r="B1000" s="120">
        <v>41132</v>
      </c>
      <c r="C1000" t="s">
        <v>35</v>
      </c>
      <c r="D1000" t="s">
        <v>2</v>
      </c>
      <c r="E1000" t="s">
        <v>391</v>
      </c>
      <c r="F1000" t="s">
        <v>38</v>
      </c>
      <c r="G1000" t="s">
        <v>384</v>
      </c>
      <c r="H1000" s="7" t="s">
        <v>379</v>
      </c>
      <c r="I1000" t="s">
        <v>41</v>
      </c>
      <c r="J1000" s="121">
        <v>0.63556712962962958</v>
      </c>
      <c r="K1000">
        <v>66.2</v>
      </c>
      <c r="L1000">
        <v>0.21</v>
      </c>
      <c r="M1000">
        <v>658.6</v>
      </c>
      <c r="N1000">
        <v>0.18</v>
      </c>
      <c r="O1000">
        <v>54.9</v>
      </c>
      <c r="P1000">
        <v>3.4</v>
      </c>
      <c r="Q1000" s="15">
        <v>5</v>
      </c>
      <c r="R1000" t="s">
        <v>45</v>
      </c>
      <c r="S1000"/>
    </row>
    <row r="1001" spans="1:19" ht="15" x14ac:dyDescent="0.25">
      <c r="A1001" s="7">
        <v>2012</v>
      </c>
      <c r="B1001" s="120">
        <v>41132</v>
      </c>
      <c r="C1001" t="s">
        <v>35</v>
      </c>
      <c r="D1001" t="s">
        <v>2</v>
      </c>
      <c r="E1001" t="s">
        <v>391</v>
      </c>
      <c r="F1001" t="s">
        <v>38</v>
      </c>
      <c r="G1001" t="s">
        <v>384</v>
      </c>
      <c r="H1001" s="7" t="s">
        <v>379</v>
      </c>
      <c r="I1001" t="s">
        <v>41</v>
      </c>
      <c r="J1001" s="121">
        <v>0.6363657407407407</v>
      </c>
      <c r="K1001" t="e">
        <v>#N/A</v>
      </c>
      <c r="L1001" t="e">
        <v>#N/A</v>
      </c>
      <c r="M1001">
        <v>481.6</v>
      </c>
      <c r="N1001">
        <v>0.2</v>
      </c>
      <c r="O1001" t="e">
        <v>#N/A</v>
      </c>
      <c r="P1001" t="e">
        <v>#N/A</v>
      </c>
      <c r="Q1001" s="15" t="s">
        <v>385</v>
      </c>
      <c r="R1001" t="s">
        <v>45</v>
      </c>
      <c r="S1001"/>
    </row>
    <row r="1002" spans="1:19" ht="15" x14ac:dyDescent="0.25">
      <c r="A1002" s="7">
        <v>2012</v>
      </c>
      <c r="B1002" s="120">
        <v>41132</v>
      </c>
      <c r="C1002" t="s">
        <v>35</v>
      </c>
      <c r="D1002" t="s">
        <v>2</v>
      </c>
      <c r="E1002" t="s">
        <v>391</v>
      </c>
      <c r="F1002" t="s">
        <v>38</v>
      </c>
      <c r="G1002" t="s">
        <v>384</v>
      </c>
      <c r="H1002" s="7" t="s">
        <v>379</v>
      </c>
      <c r="I1002" t="s">
        <v>41</v>
      </c>
      <c r="J1002" s="121">
        <v>0.6369907407407408</v>
      </c>
      <c r="K1002">
        <v>85.2</v>
      </c>
      <c r="L1002">
        <v>0.15</v>
      </c>
      <c r="M1002">
        <v>481.6</v>
      </c>
      <c r="N1002">
        <v>0.2</v>
      </c>
      <c r="O1002">
        <v>55</v>
      </c>
      <c r="P1002">
        <v>2.5</v>
      </c>
      <c r="Q1002" s="15">
        <v>20</v>
      </c>
      <c r="R1002" t="s">
        <v>45</v>
      </c>
      <c r="S1002"/>
    </row>
    <row r="1003" spans="1:19" ht="15" x14ac:dyDescent="0.25">
      <c r="A1003" s="7">
        <v>2012</v>
      </c>
      <c r="B1003" s="120">
        <v>41132</v>
      </c>
      <c r="C1003" t="s">
        <v>35</v>
      </c>
      <c r="D1003" t="s">
        <v>2</v>
      </c>
      <c r="E1003" t="s">
        <v>391</v>
      </c>
      <c r="F1003" t="s">
        <v>38</v>
      </c>
      <c r="G1003" t="s">
        <v>384</v>
      </c>
      <c r="H1003" s="7" t="s">
        <v>379</v>
      </c>
      <c r="I1003" t="s">
        <v>41</v>
      </c>
      <c r="J1003" s="121">
        <v>0.63718750000000002</v>
      </c>
      <c r="K1003">
        <v>69.2</v>
      </c>
      <c r="L1003">
        <v>0.2</v>
      </c>
      <c r="M1003">
        <v>481.6</v>
      </c>
      <c r="N1003">
        <v>0.2</v>
      </c>
      <c r="O1003">
        <v>55</v>
      </c>
      <c r="P1003">
        <v>2.8</v>
      </c>
      <c r="Q1003" s="15">
        <v>20</v>
      </c>
      <c r="R1003" t="s">
        <v>45</v>
      </c>
      <c r="S1003"/>
    </row>
    <row r="1004" spans="1:19" ht="15" x14ac:dyDescent="0.25">
      <c r="A1004" s="7">
        <v>2012</v>
      </c>
      <c r="B1004" s="120">
        <v>41132</v>
      </c>
      <c r="C1004" t="s">
        <v>35</v>
      </c>
      <c r="D1004" t="s">
        <v>2</v>
      </c>
      <c r="E1004" t="s">
        <v>391</v>
      </c>
      <c r="F1004" t="s">
        <v>38</v>
      </c>
      <c r="G1004" t="s">
        <v>384</v>
      </c>
      <c r="H1004" s="7" t="s">
        <v>379</v>
      </c>
      <c r="I1004" t="s">
        <v>41</v>
      </c>
      <c r="J1004" s="121">
        <v>0.63739583333333327</v>
      </c>
      <c r="K1004">
        <v>45.8</v>
      </c>
      <c r="L1004">
        <v>0.2</v>
      </c>
      <c r="M1004">
        <v>481.6</v>
      </c>
      <c r="N1004">
        <v>0.2</v>
      </c>
      <c r="O1004">
        <v>55</v>
      </c>
      <c r="P1004">
        <v>3.5</v>
      </c>
      <c r="Q1004" s="15">
        <v>20</v>
      </c>
      <c r="R1004" t="s">
        <v>45</v>
      </c>
      <c r="S1004"/>
    </row>
    <row r="1005" spans="1:19" ht="15" x14ac:dyDescent="0.25">
      <c r="A1005" s="7">
        <v>2012</v>
      </c>
      <c r="B1005" s="120">
        <v>41132</v>
      </c>
      <c r="C1005" t="s">
        <v>35</v>
      </c>
      <c r="D1005" t="s">
        <v>2</v>
      </c>
      <c r="E1005" t="s">
        <v>391</v>
      </c>
      <c r="F1005" t="s">
        <v>38</v>
      </c>
      <c r="G1005" t="s">
        <v>384</v>
      </c>
      <c r="H1005" s="7" t="s">
        <v>379</v>
      </c>
      <c r="I1005" t="s">
        <v>41</v>
      </c>
      <c r="J1005" s="121">
        <v>0.63763888888888887</v>
      </c>
      <c r="K1005">
        <v>63.7</v>
      </c>
      <c r="L1005">
        <v>0.17</v>
      </c>
      <c r="M1005">
        <v>481.6</v>
      </c>
      <c r="N1005">
        <v>0.2</v>
      </c>
      <c r="O1005">
        <v>55</v>
      </c>
      <c r="P1005">
        <v>2.9</v>
      </c>
      <c r="Q1005" s="15">
        <v>20</v>
      </c>
      <c r="R1005" t="s">
        <v>45</v>
      </c>
      <c r="S1005"/>
    </row>
    <row r="1006" spans="1:19" ht="15" x14ac:dyDescent="0.25">
      <c r="A1006" s="7">
        <v>2012</v>
      </c>
      <c r="B1006" s="120">
        <v>41132</v>
      </c>
      <c r="C1006" t="s">
        <v>35</v>
      </c>
      <c r="D1006" t="s">
        <v>2</v>
      </c>
      <c r="E1006" t="s">
        <v>391</v>
      </c>
      <c r="F1006" t="s">
        <v>38</v>
      </c>
      <c r="G1006" t="s">
        <v>384</v>
      </c>
      <c r="H1006" s="7" t="s">
        <v>379</v>
      </c>
      <c r="I1006" t="s">
        <v>41</v>
      </c>
      <c r="J1006" s="121">
        <v>0.63784722222222223</v>
      </c>
      <c r="K1006">
        <v>74.599999999999994</v>
      </c>
      <c r="L1006">
        <v>0.16</v>
      </c>
      <c r="M1006">
        <v>481.6</v>
      </c>
      <c r="N1006">
        <v>0.2</v>
      </c>
      <c r="O1006">
        <v>55</v>
      </c>
      <c r="P1006">
        <v>2.7</v>
      </c>
      <c r="Q1006" s="15">
        <v>20</v>
      </c>
      <c r="R1006" t="s">
        <v>45</v>
      </c>
      <c r="S1006"/>
    </row>
    <row r="1007" spans="1:19" ht="15" x14ac:dyDescent="0.25">
      <c r="A1007" s="7">
        <v>2012</v>
      </c>
      <c r="B1007" s="120">
        <v>41132</v>
      </c>
      <c r="C1007" t="s">
        <v>35</v>
      </c>
      <c r="D1007" t="s">
        <v>2</v>
      </c>
      <c r="E1007" t="s">
        <v>391</v>
      </c>
      <c r="F1007" t="s">
        <v>38</v>
      </c>
      <c r="G1007" t="s">
        <v>384</v>
      </c>
      <c r="H1007" s="7" t="s">
        <v>379</v>
      </c>
      <c r="I1007" t="s">
        <v>41</v>
      </c>
      <c r="J1007" s="121">
        <v>0.63858796296296294</v>
      </c>
      <c r="K1007" t="e">
        <v>#N/A</v>
      </c>
      <c r="L1007" t="e">
        <v>#N/A</v>
      </c>
      <c r="M1007">
        <v>429.1</v>
      </c>
      <c r="N1007">
        <v>0.17</v>
      </c>
      <c r="O1007" t="e">
        <v>#N/A</v>
      </c>
      <c r="P1007" t="e">
        <v>#N/A</v>
      </c>
      <c r="Q1007" s="15" t="s">
        <v>386</v>
      </c>
      <c r="R1007"/>
      <c r="S1007"/>
    </row>
    <row r="1008" spans="1:19" ht="15" x14ac:dyDescent="0.25">
      <c r="A1008" s="7">
        <v>2012</v>
      </c>
      <c r="B1008" s="120">
        <v>41132</v>
      </c>
      <c r="C1008" t="s">
        <v>35</v>
      </c>
      <c r="D1008" t="s">
        <v>2</v>
      </c>
      <c r="E1008" t="s">
        <v>391</v>
      </c>
      <c r="F1008" t="s">
        <v>38</v>
      </c>
      <c r="G1008" t="s">
        <v>384</v>
      </c>
      <c r="H1008" s="7" t="s">
        <v>379</v>
      </c>
      <c r="I1008" t="s">
        <v>41</v>
      </c>
      <c r="J1008" s="121">
        <v>0.63939814814814822</v>
      </c>
      <c r="K1008">
        <v>60.5</v>
      </c>
      <c r="L1008">
        <v>0.19</v>
      </c>
      <c r="M1008">
        <v>429.1</v>
      </c>
      <c r="N1008">
        <v>0.17</v>
      </c>
      <c r="O1008">
        <v>55.1</v>
      </c>
      <c r="P1008">
        <v>2.8</v>
      </c>
      <c r="Q1008" s="15">
        <v>35</v>
      </c>
      <c r="R1008" t="s">
        <v>45</v>
      </c>
      <c r="S1008"/>
    </row>
    <row r="1009" spans="1:19" ht="15" x14ac:dyDescent="0.25">
      <c r="A1009" s="7">
        <v>2012</v>
      </c>
      <c r="B1009" s="120">
        <v>41132</v>
      </c>
      <c r="C1009" t="s">
        <v>35</v>
      </c>
      <c r="D1009" t="s">
        <v>2</v>
      </c>
      <c r="E1009" t="s">
        <v>391</v>
      </c>
      <c r="F1009" t="s">
        <v>38</v>
      </c>
      <c r="G1009" t="s">
        <v>384</v>
      </c>
      <c r="H1009" s="7" t="s">
        <v>379</v>
      </c>
      <c r="I1009" t="s">
        <v>41</v>
      </c>
      <c r="J1009" s="121">
        <v>0.63962962962962966</v>
      </c>
      <c r="K1009">
        <v>94.4</v>
      </c>
      <c r="L1009">
        <v>0.1</v>
      </c>
      <c r="M1009">
        <v>429.1</v>
      </c>
      <c r="N1009">
        <v>0.17</v>
      </c>
      <c r="O1009">
        <v>55.1</v>
      </c>
      <c r="P1009">
        <v>2.1</v>
      </c>
      <c r="Q1009" s="15">
        <v>35</v>
      </c>
      <c r="R1009" t="s">
        <v>45</v>
      </c>
      <c r="S1009"/>
    </row>
    <row r="1010" spans="1:19" ht="15" x14ac:dyDescent="0.25">
      <c r="A1010" s="7">
        <v>2012</v>
      </c>
      <c r="B1010" s="120">
        <v>41132</v>
      </c>
      <c r="C1010" t="s">
        <v>35</v>
      </c>
      <c r="D1010" t="s">
        <v>2</v>
      </c>
      <c r="E1010" t="s">
        <v>391</v>
      </c>
      <c r="F1010" t="s">
        <v>38</v>
      </c>
      <c r="G1010" t="s">
        <v>384</v>
      </c>
      <c r="H1010" s="7" t="s">
        <v>379</v>
      </c>
      <c r="I1010" t="s">
        <v>41</v>
      </c>
      <c r="J1010" s="121">
        <v>0.63984953703703706</v>
      </c>
      <c r="K1010">
        <v>93.4</v>
      </c>
      <c r="L1010">
        <v>0.25</v>
      </c>
      <c r="M1010">
        <v>429.1</v>
      </c>
      <c r="N1010">
        <v>0.17</v>
      </c>
      <c r="O1010">
        <v>55.1</v>
      </c>
      <c r="P1010">
        <v>2.1</v>
      </c>
      <c r="Q1010" s="15">
        <v>35</v>
      </c>
      <c r="R1010" t="s">
        <v>45</v>
      </c>
      <c r="S1010"/>
    </row>
    <row r="1011" spans="1:19" ht="15" x14ac:dyDescent="0.25">
      <c r="A1011" s="7">
        <v>2012</v>
      </c>
      <c r="B1011" s="120">
        <v>41132</v>
      </c>
      <c r="C1011" t="s">
        <v>35</v>
      </c>
      <c r="D1011" t="s">
        <v>2</v>
      </c>
      <c r="E1011" t="s">
        <v>391</v>
      </c>
      <c r="F1011" t="s">
        <v>38</v>
      </c>
      <c r="G1011" t="s">
        <v>384</v>
      </c>
      <c r="H1011" s="7" t="s">
        <v>379</v>
      </c>
      <c r="I1011" t="s">
        <v>41</v>
      </c>
      <c r="J1011" s="121">
        <v>0.64</v>
      </c>
      <c r="K1011">
        <v>115.6</v>
      </c>
      <c r="L1011">
        <v>0.19</v>
      </c>
      <c r="M1011">
        <v>429.1</v>
      </c>
      <c r="N1011">
        <v>0.17</v>
      </c>
      <c r="O1011">
        <v>55.1</v>
      </c>
      <c r="P1011">
        <v>1.8</v>
      </c>
      <c r="Q1011" s="15">
        <v>35</v>
      </c>
      <c r="R1011" t="s">
        <v>45</v>
      </c>
      <c r="S1011"/>
    </row>
    <row r="1012" spans="1:19" ht="15" x14ac:dyDescent="0.25">
      <c r="A1012" s="7">
        <v>2012</v>
      </c>
      <c r="B1012" s="120">
        <v>41132</v>
      </c>
      <c r="C1012" t="s">
        <v>35</v>
      </c>
      <c r="D1012" t="s">
        <v>2</v>
      </c>
      <c r="E1012" t="s">
        <v>391</v>
      </c>
      <c r="F1012" t="s">
        <v>38</v>
      </c>
      <c r="G1012" t="s">
        <v>384</v>
      </c>
      <c r="H1012" s="7" t="s">
        <v>379</v>
      </c>
      <c r="I1012" t="s">
        <v>41</v>
      </c>
      <c r="J1012" s="121">
        <v>0.64012731481481489</v>
      </c>
      <c r="K1012">
        <v>148.4</v>
      </c>
      <c r="L1012">
        <v>0.17</v>
      </c>
      <c r="M1012">
        <v>429.1</v>
      </c>
      <c r="N1012">
        <v>0.17</v>
      </c>
      <c r="O1012">
        <v>55.1</v>
      </c>
      <c r="P1012">
        <v>1.4</v>
      </c>
      <c r="Q1012" s="15">
        <v>35</v>
      </c>
      <c r="R1012" t="s">
        <v>45</v>
      </c>
      <c r="S1012"/>
    </row>
    <row r="1013" spans="1:19" ht="15" x14ac:dyDescent="0.25">
      <c r="A1013" s="7">
        <v>2012</v>
      </c>
      <c r="B1013" s="120">
        <v>41132</v>
      </c>
      <c r="C1013" t="s">
        <v>35</v>
      </c>
      <c r="D1013" t="s">
        <v>2</v>
      </c>
      <c r="E1013" t="s">
        <v>391</v>
      </c>
      <c r="F1013" t="s">
        <v>38</v>
      </c>
      <c r="G1013" t="s">
        <v>384</v>
      </c>
      <c r="H1013" s="7" t="s">
        <v>379</v>
      </c>
      <c r="I1013" t="s">
        <v>41</v>
      </c>
      <c r="J1013" s="121">
        <v>0.64127314814814818</v>
      </c>
      <c r="K1013" t="e">
        <v>#N/A</v>
      </c>
      <c r="L1013" t="e">
        <v>#N/A</v>
      </c>
      <c r="M1013">
        <v>501.4</v>
      </c>
      <c r="N1013">
        <v>0.09</v>
      </c>
      <c r="O1013" t="e">
        <v>#N/A</v>
      </c>
      <c r="P1013" t="e">
        <v>#N/A</v>
      </c>
      <c r="Q1013" s="15" t="s">
        <v>387</v>
      </c>
      <c r="R1013" t="s">
        <v>45</v>
      </c>
      <c r="S1013"/>
    </row>
    <row r="1014" spans="1:19" ht="15" x14ac:dyDescent="0.25">
      <c r="A1014" s="7">
        <v>2012</v>
      </c>
      <c r="B1014" s="120">
        <v>41132</v>
      </c>
      <c r="C1014" t="s">
        <v>35</v>
      </c>
      <c r="D1014" t="s">
        <v>2</v>
      </c>
      <c r="E1014" t="s">
        <v>391</v>
      </c>
      <c r="F1014" t="s">
        <v>38</v>
      </c>
      <c r="G1014" t="s">
        <v>384</v>
      </c>
      <c r="H1014" s="7" t="s">
        <v>379</v>
      </c>
      <c r="I1014" t="s">
        <v>41</v>
      </c>
      <c r="J1014" s="121">
        <v>0.64230324074074074</v>
      </c>
      <c r="K1014">
        <v>148.9</v>
      </c>
      <c r="L1014">
        <v>0.31</v>
      </c>
      <c r="M1014">
        <v>501.4</v>
      </c>
      <c r="N1014">
        <v>0.09</v>
      </c>
      <c r="O1014">
        <v>55.3</v>
      </c>
      <c r="P1014">
        <v>1.7</v>
      </c>
      <c r="Q1014" s="15">
        <v>50</v>
      </c>
      <c r="R1014" t="s">
        <v>45</v>
      </c>
      <c r="S1014"/>
    </row>
    <row r="1015" spans="1:19" ht="15" x14ac:dyDescent="0.25">
      <c r="A1015" s="7">
        <v>2012</v>
      </c>
      <c r="B1015" s="120">
        <v>41132</v>
      </c>
      <c r="C1015" t="s">
        <v>35</v>
      </c>
      <c r="D1015" t="s">
        <v>2</v>
      </c>
      <c r="E1015" t="s">
        <v>391</v>
      </c>
      <c r="F1015" t="s">
        <v>38</v>
      </c>
      <c r="G1015" t="s">
        <v>384</v>
      </c>
      <c r="H1015" s="7" t="s">
        <v>379</v>
      </c>
      <c r="I1015" t="s">
        <v>41</v>
      </c>
      <c r="J1015" s="121">
        <v>0.6424305555555555</v>
      </c>
      <c r="K1015">
        <v>192.6</v>
      </c>
      <c r="L1015">
        <v>0.22</v>
      </c>
      <c r="M1015">
        <v>501.4</v>
      </c>
      <c r="N1015">
        <v>0.09</v>
      </c>
      <c r="O1015">
        <v>55.3</v>
      </c>
      <c r="P1015">
        <v>1.3</v>
      </c>
      <c r="Q1015" s="15">
        <v>50</v>
      </c>
      <c r="R1015" t="s">
        <v>45</v>
      </c>
      <c r="S1015"/>
    </row>
    <row r="1016" spans="1:19" ht="15" x14ac:dyDescent="0.25">
      <c r="A1016" s="7">
        <v>2012</v>
      </c>
      <c r="B1016" s="120">
        <v>41132</v>
      </c>
      <c r="C1016" t="s">
        <v>35</v>
      </c>
      <c r="D1016" t="s">
        <v>2</v>
      </c>
      <c r="E1016" t="s">
        <v>391</v>
      </c>
      <c r="F1016" t="s">
        <v>38</v>
      </c>
      <c r="G1016" t="s">
        <v>384</v>
      </c>
      <c r="H1016" s="7" t="s">
        <v>379</v>
      </c>
      <c r="I1016" t="s">
        <v>41</v>
      </c>
      <c r="J1016" s="121">
        <v>0.6425925925925926</v>
      </c>
      <c r="K1016">
        <v>231.7</v>
      </c>
      <c r="L1016">
        <v>0.17</v>
      </c>
      <c r="M1016">
        <v>501.4</v>
      </c>
      <c r="N1016">
        <v>0.09</v>
      </c>
      <c r="O1016">
        <v>55.3</v>
      </c>
      <c r="P1016">
        <v>1</v>
      </c>
      <c r="Q1016" s="15">
        <v>50</v>
      </c>
      <c r="R1016" t="s">
        <v>45</v>
      </c>
      <c r="S1016"/>
    </row>
    <row r="1017" spans="1:19" ht="15" x14ac:dyDescent="0.25">
      <c r="A1017" s="7">
        <v>2012</v>
      </c>
      <c r="B1017" s="120">
        <v>41132</v>
      </c>
      <c r="C1017" t="s">
        <v>35</v>
      </c>
      <c r="D1017" t="s">
        <v>2</v>
      </c>
      <c r="E1017" t="s">
        <v>391</v>
      </c>
      <c r="F1017" t="s">
        <v>38</v>
      </c>
      <c r="G1017" t="s">
        <v>384</v>
      </c>
      <c r="H1017" s="7" t="s">
        <v>379</v>
      </c>
      <c r="I1017" t="s">
        <v>41</v>
      </c>
      <c r="J1017" s="121">
        <v>0.64277777777777778</v>
      </c>
      <c r="K1017">
        <v>239.3</v>
      </c>
      <c r="L1017">
        <v>0.27</v>
      </c>
      <c r="M1017">
        <v>501.4</v>
      </c>
      <c r="N1017">
        <v>0.09</v>
      </c>
      <c r="O1017">
        <v>55.3</v>
      </c>
      <c r="P1017">
        <v>1</v>
      </c>
      <c r="Q1017" s="15">
        <v>50</v>
      </c>
      <c r="R1017" t="s">
        <v>45</v>
      </c>
      <c r="S1017"/>
    </row>
    <row r="1018" spans="1:19" ht="15" x14ac:dyDescent="0.25">
      <c r="A1018" s="7">
        <v>2012</v>
      </c>
      <c r="B1018" s="120">
        <v>41132</v>
      </c>
      <c r="C1018" t="s">
        <v>35</v>
      </c>
      <c r="D1018" t="s">
        <v>2</v>
      </c>
      <c r="E1018" t="s">
        <v>391</v>
      </c>
      <c r="F1018" t="s">
        <v>38</v>
      </c>
      <c r="G1018" t="s">
        <v>384</v>
      </c>
      <c r="H1018" s="7" t="s">
        <v>379</v>
      </c>
      <c r="I1018" t="s">
        <v>41</v>
      </c>
      <c r="J1018" s="121">
        <v>0.64292824074074073</v>
      </c>
      <c r="K1018">
        <v>341.4</v>
      </c>
      <c r="L1018">
        <v>0.22</v>
      </c>
      <c r="M1018">
        <v>501.4</v>
      </c>
      <c r="N1018">
        <v>0.09</v>
      </c>
      <c r="O1018">
        <v>55.3</v>
      </c>
      <c r="P1018">
        <v>0.5</v>
      </c>
      <c r="Q1018" s="15">
        <v>50</v>
      </c>
      <c r="R1018" t="s">
        <v>45</v>
      </c>
      <c r="S1018"/>
    </row>
    <row r="1019" spans="1:19" ht="15" x14ac:dyDescent="0.25">
      <c r="A1019" s="7">
        <v>2012</v>
      </c>
      <c r="B1019" s="120">
        <v>41132</v>
      </c>
      <c r="C1019" t="s">
        <v>35</v>
      </c>
      <c r="D1019" t="s">
        <v>2</v>
      </c>
      <c r="E1019" t="s">
        <v>391</v>
      </c>
      <c r="F1019" t="s">
        <v>38</v>
      </c>
      <c r="G1019" t="s">
        <v>384</v>
      </c>
      <c r="H1019" s="7" t="s">
        <v>379</v>
      </c>
      <c r="I1019" t="s">
        <v>41</v>
      </c>
      <c r="J1019" s="121">
        <v>0.64381944444444439</v>
      </c>
      <c r="K1019" t="e">
        <v>#N/A</v>
      </c>
      <c r="L1019" t="e">
        <v>#N/A</v>
      </c>
      <c r="M1019">
        <v>606.1</v>
      </c>
      <c r="N1019">
        <v>0.16</v>
      </c>
      <c r="O1019" t="e">
        <v>#N/A</v>
      </c>
      <c r="P1019" t="e">
        <v>#N/A</v>
      </c>
      <c r="Q1019" s="15" t="s">
        <v>388</v>
      </c>
      <c r="R1019" t="s">
        <v>45</v>
      </c>
      <c r="S1019"/>
    </row>
    <row r="1020" spans="1:19" ht="15" x14ac:dyDescent="0.25">
      <c r="A1020" s="7">
        <v>2012</v>
      </c>
      <c r="B1020" s="120">
        <v>41132</v>
      </c>
      <c r="C1020" t="s">
        <v>35</v>
      </c>
      <c r="D1020" t="s">
        <v>2</v>
      </c>
      <c r="E1020" t="s">
        <v>391</v>
      </c>
      <c r="F1020" t="s">
        <v>38</v>
      </c>
      <c r="G1020" t="s">
        <v>384</v>
      </c>
      <c r="H1020" s="7" t="s">
        <v>379</v>
      </c>
      <c r="I1020" t="s">
        <v>41</v>
      </c>
      <c r="J1020" s="121">
        <v>0.64454861111111106</v>
      </c>
      <c r="K1020" t="e">
        <v>#N/A</v>
      </c>
      <c r="L1020" t="e">
        <v>#N/A</v>
      </c>
      <c r="M1020">
        <v>639.4</v>
      </c>
      <c r="N1020">
        <v>0.16</v>
      </c>
      <c r="O1020" t="e">
        <v>#N/A</v>
      </c>
      <c r="P1020" t="e">
        <v>#N/A</v>
      </c>
      <c r="Q1020" s="15" t="s">
        <v>388</v>
      </c>
      <c r="R1020" t="s">
        <v>45</v>
      </c>
      <c r="S1020"/>
    </row>
    <row r="1021" spans="1:19" ht="15" x14ac:dyDescent="0.25">
      <c r="A1021" s="7">
        <v>2012</v>
      </c>
      <c r="B1021" s="120">
        <v>41132</v>
      </c>
      <c r="C1021" t="s">
        <v>35</v>
      </c>
      <c r="D1021" t="s">
        <v>2</v>
      </c>
      <c r="E1021" t="s">
        <v>391</v>
      </c>
      <c r="F1021" t="s">
        <v>38</v>
      </c>
      <c r="G1021" t="s">
        <v>384</v>
      </c>
      <c r="H1021" s="7" t="s">
        <v>379</v>
      </c>
      <c r="I1021" t="s">
        <v>41</v>
      </c>
      <c r="J1021" s="121">
        <v>0.6449421296296296</v>
      </c>
      <c r="K1021">
        <v>396.7</v>
      </c>
      <c r="L1021">
        <v>0.15</v>
      </c>
      <c r="M1021">
        <v>606.1</v>
      </c>
      <c r="N1021">
        <v>0.16</v>
      </c>
      <c r="O1021">
        <v>55.4</v>
      </c>
      <c r="P1021">
        <v>0.6</v>
      </c>
      <c r="Q1021" s="15">
        <v>65</v>
      </c>
      <c r="R1021" t="s">
        <v>45</v>
      </c>
      <c r="S1021"/>
    </row>
    <row r="1022" spans="1:19" ht="15" x14ac:dyDescent="0.25">
      <c r="A1022" s="7">
        <v>2012</v>
      </c>
      <c r="B1022" s="120">
        <v>41132</v>
      </c>
      <c r="C1022" t="s">
        <v>35</v>
      </c>
      <c r="D1022" t="s">
        <v>2</v>
      </c>
      <c r="E1022" t="s">
        <v>391</v>
      </c>
      <c r="F1022" t="s">
        <v>38</v>
      </c>
      <c r="G1022" t="s">
        <v>384</v>
      </c>
      <c r="H1022" s="7" t="s">
        <v>379</v>
      </c>
      <c r="I1022" t="s">
        <v>41</v>
      </c>
      <c r="J1022" s="121">
        <v>0.64520833333333327</v>
      </c>
      <c r="K1022">
        <v>348.4</v>
      </c>
      <c r="L1022">
        <v>0.31</v>
      </c>
      <c r="M1022">
        <v>606.1</v>
      </c>
      <c r="N1022">
        <v>0.16</v>
      </c>
      <c r="O1022">
        <v>55.4</v>
      </c>
      <c r="P1022">
        <v>0.8</v>
      </c>
      <c r="Q1022" s="15">
        <v>65</v>
      </c>
      <c r="R1022" t="s">
        <v>45</v>
      </c>
      <c r="S1022"/>
    </row>
    <row r="1023" spans="1:19" ht="15" x14ac:dyDescent="0.25">
      <c r="A1023" s="7">
        <v>2012</v>
      </c>
      <c r="B1023" s="120">
        <v>41132</v>
      </c>
      <c r="C1023" t="s">
        <v>35</v>
      </c>
      <c r="D1023" t="s">
        <v>2</v>
      </c>
      <c r="E1023" t="s">
        <v>391</v>
      </c>
      <c r="F1023" t="s">
        <v>38</v>
      </c>
      <c r="G1023" t="s">
        <v>384</v>
      </c>
      <c r="H1023" s="7" t="s">
        <v>379</v>
      </c>
      <c r="I1023" t="s">
        <v>41</v>
      </c>
      <c r="J1023" s="121">
        <v>0.64545138888888887</v>
      </c>
      <c r="K1023">
        <v>292.60000000000002</v>
      </c>
      <c r="L1023">
        <v>0.38</v>
      </c>
      <c r="M1023">
        <v>606.1</v>
      </c>
      <c r="N1023">
        <v>0.16</v>
      </c>
      <c r="O1023">
        <v>55.4</v>
      </c>
      <c r="P1023">
        <v>1</v>
      </c>
      <c r="Q1023" s="15">
        <v>65</v>
      </c>
      <c r="R1023" t="s">
        <v>45</v>
      </c>
      <c r="S1023"/>
    </row>
    <row r="1024" spans="1:19" ht="15" x14ac:dyDescent="0.25">
      <c r="A1024" s="7">
        <v>2012</v>
      </c>
      <c r="B1024" s="120">
        <v>41132</v>
      </c>
      <c r="C1024" t="s">
        <v>35</v>
      </c>
      <c r="D1024" t="s">
        <v>2</v>
      </c>
      <c r="E1024" t="s">
        <v>391</v>
      </c>
      <c r="F1024" t="s">
        <v>38</v>
      </c>
      <c r="G1024" t="s">
        <v>384</v>
      </c>
      <c r="H1024" s="7" t="s">
        <v>379</v>
      </c>
      <c r="I1024" t="s">
        <v>41</v>
      </c>
      <c r="J1024" s="121">
        <v>0.64563657407407404</v>
      </c>
      <c r="K1024">
        <v>417.6</v>
      </c>
      <c r="L1024">
        <v>0.22</v>
      </c>
      <c r="M1024">
        <v>606.1</v>
      </c>
      <c r="N1024">
        <v>0.16</v>
      </c>
      <c r="O1024">
        <v>55.4</v>
      </c>
      <c r="P1024">
        <v>0.5</v>
      </c>
      <c r="Q1024" s="15">
        <v>65</v>
      </c>
      <c r="R1024" t="s">
        <v>45</v>
      </c>
      <c r="S1024"/>
    </row>
    <row r="1025" spans="1:19" ht="15" x14ac:dyDescent="0.25">
      <c r="A1025" s="7">
        <v>2012</v>
      </c>
      <c r="B1025" s="120">
        <v>41132</v>
      </c>
      <c r="C1025" t="s">
        <v>35</v>
      </c>
      <c r="D1025" t="s">
        <v>2</v>
      </c>
      <c r="E1025" t="s">
        <v>391</v>
      </c>
      <c r="F1025" t="s">
        <v>38</v>
      </c>
      <c r="G1025" t="s">
        <v>384</v>
      </c>
      <c r="H1025" s="7" t="s">
        <v>379</v>
      </c>
      <c r="I1025" t="s">
        <v>41</v>
      </c>
      <c r="J1025" s="121">
        <v>0.64598379629629632</v>
      </c>
      <c r="K1025">
        <v>552</v>
      </c>
      <c r="L1025">
        <v>0.14000000000000001</v>
      </c>
      <c r="M1025">
        <v>606.1</v>
      </c>
      <c r="N1025">
        <v>0.16</v>
      </c>
      <c r="O1025">
        <v>55.5</v>
      </c>
      <c r="P1025">
        <v>0.2</v>
      </c>
      <c r="Q1025" s="15">
        <v>65</v>
      </c>
      <c r="R1025" t="s">
        <v>45</v>
      </c>
      <c r="S1025"/>
    </row>
    <row r="1026" spans="1:19" ht="15" x14ac:dyDescent="0.25">
      <c r="A1026" s="7">
        <v>2012</v>
      </c>
      <c r="B1026" s="120">
        <v>41132</v>
      </c>
      <c r="C1026" t="s">
        <v>35</v>
      </c>
      <c r="D1026" t="s">
        <v>2</v>
      </c>
      <c r="E1026" t="s">
        <v>391</v>
      </c>
      <c r="F1026" t="s">
        <v>38</v>
      </c>
      <c r="G1026" t="s">
        <v>384</v>
      </c>
      <c r="H1026" s="7" t="s">
        <v>379</v>
      </c>
      <c r="I1026" t="s">
        <v>41</v>
      </c>
      <c r="J1026" s="121">
        <v>0.64636574074074071</v>
      </c>
      <c r="K1026" t="e">
        <v>#N/A</v>
      </c>
      <c r="L1026" t="e">
        <v>#N/A</v>
      </c>
      <c r="M1026">
        <v>681.2</v>
      </c>
      <c r="N1026">
        <v>0.13</v>
      </c>
      <c r="O1026" t="e">
        <v>#N/A</v>
      </c>
      <c r="P1026" t="e">
        <v>#N/A</v>
      </c>
      <c r="Q1026" s="15" t="s">
        <v>389</v>
      </c>
      <c r="R1026" t="s">
        <v>45</v>
      </c>
      <c r="S1026"/>
    </row>
    <row r="1027" spans="1:19" ht="15" x14ac:dyDescent="0.25">
      <c r="A1027" s="7">
        <v>2012</v>
      </c>
      <c r="B1027" s="120">
        <v>41132</v>
      </c>
      <c r="C1027" t="s">
        <v>35</v>
      </c>
      <c r="D1027" t="s">
        <v>2</v>
      </c>
      <c r="E1027" t="s">
        <v>391</v>
      </c>
      <c r="F1027" t="s">
        <v>38</v>
      </c>
      <c r="G1027" t="s">
        <v>384</v>
      </c>
      <c r="H1027" s="7" t="s">
        <v>379</v>
      </c>
      <c r="I1027" t="s">
        <v>41</v>
      </c>
      <c r="J1027" s="121">
        <v>0.64699074074074081</v>
      </c>
      <c r="K1027">
        <v>655.20000000000005</v>
      </c>
      <c r="L1027">
        <v>0.01</v>
      </c>
      <c r="M1027">
        <v>681.2</v>
      </c>
      <c r="N1027">
        <v>0.13</v>
      </c>
      <c r="O1027">
        <v>55.5</v>
      </c>
      <c r="P1027">
        <v>0</v>
      </c>
      <c r="Q1027" s="15">
        <v>80</v>
      </c>
      <c r="R1027" t="s">
        <v>45</v>
      </c>
      <c r="S1027"/>
    </row>
    <row r="1028" spans="1:19" ht="15" x14ac:dyDescent="0.25">
      <c r="A1028" s="7">
        <v>2012</v>
      </c>
      <c r="B1028" s="120">
        <v>41132</v>
      </c>
      <c r="C1028" t="s">
        <v>35</v>
      </c>
      <c r="D1028" t="s">
        <v>2</v>
      </c>
      <c r="E1028" t="s">
        <v>391</v>
      </c>
      <c r="F1028" t="s">
        <v>38</v>
      </c>
      <c r="G1028" t="s">
        <v>384</v>
      </c>
      <c r="H1028" s="7" t="s">
        <v>379</v>
      </c>
      <c r="I1028" t="s">
        <v>41</v>
      </c>
      <c r="J1028" s="121">
        <v>0.64711805555555557</v>
      </c>
      <c r="K1028">
        <v>636.20000000000005</v>
      </c>
      <c r="L1028">
        <v>0.06</v>
      </c>
      <c r="M1028">
        <v>681.2</v>
      </c>
      <c r="N1028">
        <v>0.13</v>
      </c>
      <c r="O1028">
        <v>55.5</v>
      </c>
      <c r="P1028">
        <v>0.1</v>
      </c>
      <c r="Q1028" s="15">
        <v>80</v>
      </c>
      <c r="R1028" t="s">
        <v>45</v>
      </c>
      <c r="S1028"/>
    </row>
    <row r="1029" spans="1:19" ht="15" x14ac:dyDescent="0.25">
      <c r="A1029" s="7">
        <v>2012</v>
      </c>
      <c r="B1029" s="120">
        <v>41132</v>
      </c>
      <c r="C1029" t="s">
        <v>35</v>
      </c>
      <c r="D1029" t="s">
        <v>2</v>
      </c>
      <c r="E1029" t="s">
        <v>391</v>
      </c>
      <c r="F1029" t="s">
        <v>38</v>
      </c>
      <c r="G1029" t="s">
        <v>384</v>
      </c>
      <c r="H1029" s="7" t="s">
        <v>379</v>
      </c>
      <c r="I1029" t="s">
        <v>41</v>
      </c>
      <c r="J1029" s="121">
        <v>0.64728009259259256</v>
      </c>
      <c r="K1029">
        <v>489.7</v>
      </c>
      <c r="L1029">
        <v>0.2</v>
      </c>
      <c r="M1029">
        <v>681.2</v>
      </c>
      <c r="N1029">
        <v>0.13</v>
      </c>
      <c r="O1029">
        <v>55.5</v>
      </c>
      <c r="P1029">
        <v>0.4</v>
      </c>
      <c r="Q1029" s="15">
        <v>80</v>
      </c>
      <c r="R1029" t="s">
        <v>45</v>
      </c>
      <c r="S1029"/>
    </row>
    <row r="1030" spans="1:19" ht="15" x14ac:dyDescent="0.25">
      <c r="A1030" s="7">
        <v>2012</v>
      </c>
      <c r="B1030" s="120">
        <v>41132</v>
      </c>
      <c r="C1030" t="s">
        <v>35</v>
      </c>
      <c r="D1030" t="s">
        <v>2</v>
      </c>
      <c r="E1030" t="s">
        <v>391</v>
      </c>
      <c r="F1030" t="s">
        <v>38</v>
      </c>
      <c r="G1030" t="s">
        <v>384</v>
      </c>
      <c r="H1030" s="7" t="s">
        <v>379</v>
      </c>
      <c r="I1030" t="s">
        <v>41</v>
      </c>
      <c r="J1030" s="121">
        <v>0.64741898148148147</v>
      </c>
      <c r="K1030">
        <v>561.6</v>
      </c>
      <c r="L1030">
        <v>0.13</v>
      </c>
      <c r="M1030">
        <v>681.2</v>
      </c>
      <c r="N1030">
        <v>0.13</v>
      </c>
      <c r="O1030">
        <v>55.5</v>
      </c>
      <c r="P1030">
        <v>0.2</v>
      </c>
      <c r="Q1030" s="15">
        <v>80</v>
      </c>
      <c r="R1030" t="s">
        <v>45</v>
      </c>
      <c r="S1030"/>
    </row>
    <row r="1031" spans="1:19" ht="15" x14ac:dyDescent="0.25">
      <c r="A1031" s="7">
        <v>2012</v>
      </c>
      <c r="B1031" s="120">
        <v>41132</v>
      </c>
      <c r="C1031" t="s">
        <v>35</v>
      </c>
      <c r="D1031" t="s">
        <v>2</v>
      </c>
      <c r="E1031" t="s">
        <v>391</v>
      </c>
      <c r="F1031" t="s">
        <v>38</v>
      </c>
      <c r="G1031" t="s">
        <v>384</v>
      </c>
      <c r="H1031" s="7" t="s">
        <v>379</v>
      </c>
      <c r="I1031" t="s">
        <v>41</v>
      </c>
      <c r="J1031" s="121">
        <v>0.64754629629629623</v>
      </c>
      <c r="K1031">
        <v>646.5</v>
      </c>
      <c r="L1031">
        <v>0.01</v>
      </c>
      <c r="M1031">
        <v>681.2</v>
      </c>
      <c r="N1031">
        <v>0.13</v>
      </c>
      <c r="O1031">
        <v>55.5</v>
      </c>
      <c r="P1031">
        <v>0.1</v>
      </c>
      <c r="Q1031" s="15">
        <v>80</v>
      </c>
      <c r="R1031" t="s">
        <v>45</v>
      </c>
      <c r="S1031"/>
    </row>
    <row r="1032" spans="1:19" ht="15" x14ac:dyDescent="0.25">
      <c r="A1032" s="7">
        <v>2012</v>
      </c>
      <c r="B1032" s="120">
        <v>41132</v>
      </c>
      <c r="C1032" t="s">
        <v>35</v>
      </c>
      <c r="D1032" t="s">
        <v>2</v>
      </c>
      <c r="E1032" t="s">
        <v>391</v>
      </c>
      <c r="F1032" t="s">
        <v>38</v>
      </c>
      <c r="G1032" t="s">
        <v>384</v>
      </c>
      <c r="H1032" s="7" t="s">
        <v>379</v>
      </c>
      <c r="I1032" t="s">
        <v>41</v>
      </c>
      <c r="J1032" s="121">
        <v>0.647974537037037</v>
      </c>
      <c r="K1032" t="e">
        <v>#N/A</v>
      </c>
      <c r="L1032" t="e">
        <v>#N/A</v>
      </c>
      <c r="M1032">
        <v>659.9</v>
      </c>
      <c r="N1032">
        <v>0.16</v>
      </c>
      <c r="O1032" t="e">
        <v>#N/A</v>
      </c>
      <c r="P1032" t="e">
        <v>#N/A</v>
      </c>
      <c r="Q1032" s="15" t="s">
        <v>50</v>
      </c>
      <c r="R1032" t="s">
        <v>45</v>
      </c>
      <c r="S1032"/>
    </row>
    <row r="1033" spans="1:19" ht="15" x14ac:dyDescent="0.25">
      <c r="A1033" s="7">
        <v>2012</v>
      </c>
      <c r="B1033" s="120">
        <v>41132</v>
      </c>
      <c r="C1033" t="s">
        <v>35</v>
      </c>
      <c r="D1033" t="s">
        <v>2</v>
      </c>
      <c r="E1033" t="s">
        <v>391</v>
      </c>
      <c r="F1033" t="s">
        <v>38</v>
      </c>
      <c r="G1033" t="s">
        <v>384</v>
      </c>
      <c r="H1033" s="7" t="s">
        <v>379</v>
      </c>
      <c r="I1033" t="s">
        <v>41</v>
      </c>
      <c r="J1033" s="121">
        <v>0.64856481481481476</v>
      </c>
      <c r="K1033">
        <v>652.9</v>
      </c>
      <c r="L1033">
        <v>0.01</v>
      </c>
      <c r="M1033">
        <v>659.9</v>
      </c>
      <c r="N1033">
        <v>0.16</v>
      </c>
      <c r="O1033">
        <v>55.6</v>
      </c>
      <c r="P1033">
        <v>0</v>
      </c>
      <c r="Q1033" s="15" t="s">
        <v>50</v>
      </c>
      <c r="R1033" t="s">
        <v>45</v>
      </c>
      <c r="S1033"/>
    </row>
    <row r="1034" spans="1:19" ht="15" x14ac:dyDescent="0.25">
      <c r="A1034" s="7">
        <v>2012</v>
      </c>
      <c r="B1034" s="120">
        <v>41132</v>
      </c>
      <c r="C1034" t="s">
        <v>35</v>
      </c>
      <c r="D1034" t="s">
        <v>2</v>
      </c>
      <c r="E1034" t="s">
        <v>391</v>
      </c>
      <c r="F1034" t="s">
        <v>38</v>
      </c>
      <c r="G1034" t="s">
        <v>384</v>
      </c>
      <c r="H1034" s="7" t="s">
        <v>379</v>
      </c>
      <c r="I1034" t="s">
        <v>41</v>
      </c>
      <c r="J1034" s="121">
        <v>0.64858796296296295</v>
      </c>
      <c r="K1034">
        <v>651.4</v>
      </c>
      <c r="L1034">
        <v>0.01</v>
      </c>
      <c r="M1034">
        <v>659.9</v>
      </c>
      <c r="N1034">
        <v>0.16</v>
      </c>
      <c r="O1034">
        <v>55.6</v>
      </c>
      <c r="P1034">
        <v>0</v>
      </c>
      <c r="Q1034" s="15" t="s">
        <v>50</v>
      </c>
      <c r="R1034" t="s">
        <v>45</v>
      </c>
      <c r="S1034"/>
    </row>
    <row r="1035" spans="1:19" ht="15" x14ac:dyDescent="0.25">
      <c r="A1035" s="7">
        <v>2012</v>
      </c>
      <c r="B1035" s="120">
        <v>41132</v>
      </c>
      <c r="C1035" t="s">
        <v>35</v>
      </c>
      <c r="D1035" t="s">
        <v>2</v>
      </c>
      <c r="E1035" t="s">
        <v>391</v>
      </c>
      <c r="F1035" t="s">
        <v>38</v>
      </c>
      <c r="G1035" t="s">
        <v>384</v>
      </c>
      <c r="H1035" s="7" t="s">
        <v>379</v>
      </c>
      <c r="I1035" t="s">
        <v>41</v>
      </c>
      <c r="J1035" s="121">
        <v>0.64862268518518518</v>
      </c>
      <c r="K1035">
        <v>651.29999999999995</v>
      </c>
      <c r="L1035">
        <v>0.01</v>
      </c>
      <c r="M1035">
        <v>659.9</v>
      </c>
      <c r="N1035">
        <v>0.16</v>
      </c>
      <c r="O1035">
        <v>55.6</v>
      </c>
      <c r="P1035">
        <v>0</v>
      </c>
      <c r="Q1035" s="15" t="s">
        <v>50</v>
      </c>
      <c r="R1035" t="s">
        <v>45</v>
      </c>
      <c r="S1035"/>
    </row>
    <row r="1036" spans="1:19" ht="15" x14ac:dyDescent="0.25">
      <c r="A1036" s="7">
        <v>2012</v>
      </c>
      <c r="B1036" s="120">
        <v>41132</v>
      </c>
      <c r="C1036" t="s">
        <v>35</v>
      </c>
      <c r="D1036" t="s">
        <v>2</v>
      </c>
      <c r="E1036" t="s">
        <v>391</v>
      </c>
      <c r="F1036" t="s">
        <v>38</v>
      </c>
      <c r="G1036" t="s">
        <v>384</v>
      </c>
      <c r="H1036" s="7" t="s">
        <v>379</v>
      </c>
      <c r="I1036" t="s">
        <v>41</v>
      </c>
      <c r="J1036" s="121">
        <v>0.64864583333333337</v>
      </c>
      <c r="K1036">
        <v>652.20000000000005</v>
      </c>
      <c r="L1036">
        <v>0.01</v>
      </c>
      <c r="M1036">
        <v>659.9</v>
      </c>
      <c r="N1036">
        <v>0.16</v>
      </c>
      <c r="O1036">
        <v>55.6</v>
      </c>
      <c r="P1036">
        <v>0</v>
      </c>
      <c r="Q1036" s="15" t="s">
        <v>50</v>
      </c>
      <c r="R1036" t="s">
        <v>45</v>
      </c>
      <c r="S1036"/>
    </row>
    <row r="1037" spans="1:19" ht="15" x14ac:dyDescent="0.25">
      <c r="A1037" s="7">
        <v>2012</v>
      </c>
      <c r="B1037" s="120">
        <v>41132</v>
      </c>
      <c r="C1037" t="s">
        <v>35</v>
      </c>
      <c r="D1037" t="s">
        <v>2</v>
      </c>
      <c r="E1037" t="s">
        <v>391</v>
      </c>
      <c r="F1037" t="s">
        <v>38</v>
      </c>
      <c r="G1037" t="s">
        <v>384</v>
      </c>
      <c r="H1037" s="7" t="s">
        <v>379</v>
      </c>
      <c r="I1037" t="s">
        <v>41</v>
      </c>
      <c r="J1037" s="121">
        <v>0.64866898148148155</v>
      </c>
      <c r="K1037">
        <v>651.20000000000005</v>
      </c>
      <c r="L1037">
        <v>0.01</v>
      </c>
      <c r="M1037">
        <v>659.9</v>
      </c>
      <c r="N1037">
        <v>0.16</v>
      </c>
      <c r="O1037">
        <v>55.6</v>
      </c>
      <c r="P1037">
        <v>0</v>
      </c>
      <c r="Q1037" s="15" t="s">
        <v>50</v>
      </c>
      <c r="R1037" t="s">
        <v>45</v>
      </c>
      <c r="S1037"/>
    </row>
    <row r="1038" spans="1:19" ht="15" x14ac:dyDescent="0.25">
      <c r="A1038" s="7">
        <v>2012</v>
      </c>
      <c r="B1038" s="120">
        <v>41132</v>
      </c>
      <c r="C1038" t="s">
        <v>35</v>
      </c>
      <c r="D1038" t="s">
        <v>2</v>
      </c>
      <c r="E1038" t="s">
        <v>392</v>
      </c>
      <c r="F1038" t="s">
        <v>38</v>
      </c>
      <c r="G1038" t="s">
        <v>384</v>
      </c>
      <c r="H1038" s="7" t="s">
        <v>379</v>
      </c>
      <c r="I1038" t="s">
        <v>4</v>
      </c>
      <c r="J1038" s="121">
        <v>0.68231481481481471</v>
      </c>
      <c r="K1038" t="e">
        <v>#N/A</v>
      </c>
      <c r="L1038" t="e">
        <v>#N/A</v>
      </c>
      <c r="M1038">
        <v>675.5</v>
      </c>
      <c r="N1038">
        <v>0.1</v>
      </c>
      <c r="O1038" t="e">
        <v>#N/A</v>
      </c>
      <c r="P1038" t="e">
        <v>#N/A</v>
      </c>
      <c r="Q1038" s="15" t="s">
        <v>61</v>
      </c>
      <c r="R1038" t="s">
        <v>45</v>
      </c>
      <c r="S1038"/>
    </row>
    <row r="1039" spans="1:19" ht="15" x14ac:dyDescent="0.25">
      <c r="A1039" s="7">
        <v>2012</v>
      </c>
      <c r="B1039" s="120">
        <v>41132</v>
      </c>
      <c r="C1039" t="s">
        <v>35</v>
      </c>
      <c r="D1039" t="s">
        <v>2</v>
      </c>
      <c r="E1039" t="s">
        <v>392</v>
      </c>
      <c r="F1039" t="s">
        <v>38</v>
      </c>
      <c r="G1039" t="s">
        <v>384</v>
      </c>
      <c r="H1039" s="7" t="s">
        <v>379</v>
      </c>
      <c r="I1039" t="s">
        <v>4</v>
      </c>
      <c r="J1039" s="121">
        <v>0.68284722222222216</v>
      </c>
      <c r="K1039">
        <v>161.19999999999999</v>
      </c>
      <c r="L1039">
        <v>0.24</v>
      </c>
      <c r="M1039">
        <v>675.5</v>
      </c>
      <c r="N1039">
        <v>0.1</v>
      </c>
      <c r="O1039">
        <v>58.1</v>
      </c>
      <c r="P1039">
        <v>2</v>
      </c>
      <c r="Q1039" s="15">
        <v>5</v>
      </c>
      <c r="R1039" t="s">
        <v>45</v>
      </c>
      <c r="S1039"/>
    </row>
    <row r="1040" spans="1:19" ht="15" x14ac:dyDescent="0.25">
      <c r="A1040" s="7">
        <v>2012</v>
      </c>
      <c r="B1040" s="120">
        <v>41132</v>
      </c>
      <c r="C1040" t="s">
        <v>35</v>
      </c>
      <c r="D1040" t="s">
        <v>2</v>
      </c>
      <c r="E1040" t="s">
        <v>392</v>
      </c>
      <c r="F1040" t="s">
        <v>38</v>
      </c>
      <c r="G1040" t="s">
        <v>384</v>
      </c>
      <c r="H1040" s="7" t="s">
        <v>379</v>
      </c>
      <c r="I1040" t="s">
        <v>4</v>
      </c>
      <c r="J1040" s="121">
        <v>0.68297453703703714</v>
      </c>
      <c r="K1040">
        <v>157.30000000000001</v>
      </c>
      <c r="L1040">
        <v>0.24</v>
      </c>
      <c r="M1040">
        <v>675.5</v>
      </c>
      <c r="N1040">
        <v>0.1</v>
      </c>
      <c r="O1040">
        <v>58.1</v>
      </c>
      <c r="P1040">
        <v>2</v>
      </c>
      <c r="Q1040" s="15">
        <v>5</v>
      </c>
      <c r="R1040" t="s">
        <v>45</v>
      </c>
      <c r="S1040"/>
    </row>
    <row r="1041" spans="1:19" ht="15" x14ac:dyDescent="0.25">
      <c r="A1041" s="7">
        <v>2012</v>
      </c>
      <c r="B1041" s="120">
        <v>41132</v>
      </c>
      <c r="C1041" t="s">
        <v>35</v>
      </c>
      <c r="D1041" t="s">
        <v>2</v>
      </c>
      <c r="E1041" t="s">
        <v>392</v>
      </c>
      <c r="F1041" t="s">
        <v>38</v>
      </c>
      <c r="G1041" t="s">
        <v>384</v>
      </c>
      <c r="H1041" s="7" t="s">
        <v>379</v>
      </c>
      <c r="I1041" t="s">
        <v>4</v>
      </c>
      <c r="J1041" s="121">
        <v>0.68311342592592583</v>
      </c>
      <c r="K1041">
        <v>114.9</v>
      </c>
      <c r="L1041">
        <v>0.39</v>
      </c>
      <c r="M1041">
        <v>675.5</v>
      </c>
      <c r="N1041">
        <v>0.1</v>
      </c>
      <c r="O1041">
        <v>58.1</v>
      </c>
      <c r="P1041">
        <v>2.5</v>
      </c>
      <c r="Q1041" s="15">
        <v>5</v>
      </c>
      <c r="R1041" t="s">
        <v>45</v>
      </c>
      <c r="S1041"/>
    </row>
    <row r="1042" spans="1:19" ht="15" x14ac:dyDescent="0.25">
      <c r="A1042" s="7">
        <v>2012</v>
      </c>
      <c r="B1042" s="120">
        <v>41132</v>
      </c>
      <c r="C1042" t="s">
        <v>35</v>
      </c>
      <c r="D1042" t="s">
        <v>2</v>
      </c>
      <c r="E1042" t="s">
        <v>392</v>
      </c>
      <c r="F1042" t="s">
        <v>38</v>
      </c>
      <c r="G1042" t="s">
        <v>384</v>
      </c>
      <c r="H1042" s="7" t="s">
        <v>379</v>
      </c>
      <c r="I1042" t="s">
        <v>4</v>
      </c>
      <c r="J1042" s="121">
        <v>0.68329861111111112</v>
      </c>
      <c r="K1042">
        <v>106.6</v>
      </c>
      <c r="L1042">
        <v>0.34</v>
      </c>
      <c r="M1042">
        <v>675.5</v>
      </c>
      <c r="N1042">
        <v>0.1</v>
      </c>
      <c r="O1042">
        <v>58.2</v>
      </c>
      <c r="P1042">
        <v>2.6</v>
      </c>
      <c r="Q1042" s="15">
        <v>5</v>
      </c>
      <c r="R1042" t="s">
        <v>45</v>
      </c>
      <c r="S1042"/>
    </row>
    <row r="1043" spans="1:19" ht="15" x14ac:dyDescent="0.25">
      <c r="A1043" s="7">
        <v>2012</v>
      </c>
      <c r="B1043" s="120">
        <v>41132</v>
      </c>
      <c r="C1043" t="s">
        <v>35</v>
      </c>
      <c r="D1043" t="s">
        <v>2</v>
      </c>
      <c r="E1043" t="s">
        <v>392</v>
      </c>
      <c r="F1043" t="s">
        <v>38</v>
      </c>
      <c r="G1043" t="s">
        <v>384</v>
      </c>
      <c r="H1043" s="7" t="s">
        <v>379</v>
      </c>
      <c r="I1043" t="s">
        <v>4</v>
      </c>
      <c r="J1043" s="121">
        <v>0.68354166666666671</v>
      </c>
      <c r="K1043">
        <v>155.6</v>
      </c>
      <c r="L1043">
        <v>0.26</v>
      </c>
      <c r="M1043">
        <v>675.5</v>
      </c>
      <c r="N1043">
        <v>0.1</v>
      </c>
      <c r="O1043">
        <v>58.2</v>
      </c>
      <c r="P1043">
        <v>2</v>
      </c>
      <c r="Q1043" s="15">
        <v>5</v>
      </c>
      <c r="R1043" t="s">
        <v>45</v>
      </c>
      <c r="S1043"/>
    </row>
    <row r="1044" spans="1:19" ht="15" x14ac:dyDescent="0.25">
      <c r="A1044" s="7">
        <v>2012</v>
      </c>
      <c r="B1044" s="120">
        <v>41132</v>
      </c>
      <c r="C1044" t="s">
        <v>35</v>
      </c>
      <c r="D1044" t="s">
        <v>2</v>
      </c>
      <c r="E1044" t="s">
        <v>392</v>
      </c>
      <c r="F1044" t="s">
        <v>38</v>
      </c>
      <c r="G1044" t="s">
        <v>384</v>
      </c>
      <c r="H1044" s="7" t="s">
        <v>379</v>
      </c>
      <c r="I1044" t="s">
        <v>4</v>
      </c>
      <c r="J1044" s="121">
        <v>0.68395833333333333</v>
      </c>
      <c r="K1044" t="e">
        <v>#N/A</v>
      </c>
      <c r="L1044" t="e">
        <v>#N/A</v>
      </c>
      <c r="M1044">
        <v>648.70000000000005</v>
      </c>
      <c r="N1044">
        <v>0.13</v>
      </c>
      <c r="O1044" t="e">
        <v>#N/A</v>
      </c>
      <c r="P1044" t="e">
        <v>#N/A</v>
      </c>
      <c r="Q1044" s="15" t="s">
        <v>385</v>
      </c>
      <c r="R1044" t="s">
        <v>45</v>
      </c>
      <c r="S1044"/>
    </row>
    <row r="1045" spans="1:19" ht="15" x14ac:dyDescent="0.25">
      <c r="A1045" s="7">
        <v>2012</v>
      </c>
      <c r="B1045" s="120">
        <v>41132</v>
      </c>
      <c r="C1045" t="s">
        <v>35</v>
      </c>
      <c r="D1045" t="s">
        <v>2</v>
      </c>
      <c r="E1045" t="s">
        <v>392</v>
      </c>
      <c r="F1045" t="s">
        <v>38</v>
      </c>
      <c r="G1045" t="s">
        <v>384</v>
      </c>
      <c r="H1045" s="7" t="s">
        <v>379</v>
      </c>
      <c r="I1045" t="s">
        <v>4</v>
      </c>
      <c r="J1045" s="121">
        <v>0.6849884259259259</v>
      </c>
      <c r="K1045">
        <v>162.5</v>
      </c>
      <c r="L1045">
        <v>0.3</v>
      </c>
      <c r="M1045">
        <v>648.70000000000005</v>
      </c>
      <c r="N1045">
        <v>0.13</v>
      </c>
      <c r="O1045">
        <v>58.3</v>
      </c>
      <c r="P1045">
        <v>1.9</v>
      </c>
      <c r="Q1045" s="15">
        <v>20</v>
      </c>
      <c r="R1045" t="s">
        <v>45</v>
      </c>
      <c r="S1045"/>
    </row>
    <row r="1046" spans="1:19" ht="15" x14ac:dyDescent="0.25">
      <c r="A1046" s="7">
        <v>2012</v>
      </c>
      <c r="B1046" s="120">
        <v>41132</v>
      </c>
      <c r="C1046" t="s">
        <v>35</v>
      </c>
      <c r="D1046" t="s">
        <v>2</v>
      </c>
      <c r="E1046" t="s">
        <v>392</v>
      </c>
      <c r="F1046" t="s">
        <v>38</v>
      </c>
      <c r="G1046" t="s">
        <v>384</v>
      </c>
      <c r="H1046" s="7" t="s">
        <v>379</v>
      </c>
      <c r="I1046" t="s">
        <v>4</v>
      </c>
      <c r="J1046" s="121">
        <v>0.68521990740740746</v>
      </c>
      <c r="K1046">
        <v>178</v>
      </c>
      <c r="L1046">
        <v>0.22</v>
      </c>
      <c r="M1046">
        <v>648.70000000000005</v>
      </c>
      <c r="N1046">
        <v>0.13</v>
      </c>
      <c r="O1046">
        <v>58.3</v>
      </c>
      <c r="P1046">
        <v>1.8</v>
      </c>
      <c r="Q1046" s="15">
        <v>20</v>
      </c>
      <c r="R1046" t="s">
        <v>45</v>
      </c>
      <c r="S1046"/>
    </row>
    <row r="1047" spans="1:19" ht="15" x14ac:dyDescent="0.25">
      <c r="A1047" s="7">
        <v>2012</v>
      </c>
      <c r="B1047" s="120">
        <v>41132</v>
      </c>
      <c r="C1047" t="s">
        <v>35</v>
      </c>
      <c r="D1047" t="s">
        <v>2</v>
      </c>
      <c r="E1047" t="s">
        <v>392</v>
      </c>
      <c r="F1047" t="s">
        <v>38</v>
      </c>
      <c r="G1047" t="s">
        <v>384</v>
      </c>
      <c r="H1047" s="7" t="s">
        <v>379</v>
      </c>
      <c r="I1047" t="s">
        <v>4</v>
      </c>
      <c r="J1047" s="121">
        <v>0.68549768518518517</v>
      </c>
      <c r="K1047">
        <v>110.3</v>
      </c>
      <c r="L1047">
        <v>0.31</v>
      </c>
      <c r="M1047">
        <v>648.70000000000005</v>
      </c>
      <c r="N1047">
        <v>0.13</v>
      </c>
      <c r="O1047">
        <v>58.3</v>
      </c>
      <c r="P1047">
        <v>2.5</v>
      </c>
      <c r="Q1047" s="15">
        <v>20</v>
      </c>
      <c r="R1047" t="s">
        <v>45</v>
      </c>
      <c r="S1047"/>
    </row>
    <row r="1048" spans="1:19" ht="15" x14ac:dyDescent="0.25">
      <c r="A1048" s="7">
        <v>2012</v>
      </c>
      <c r="B1048" s="120">
        <v>41132</v>
      </c>
      <c r="C1048" t="s">
        <v>35</v>
      </c>
      <c r="D1048" t="s">
        <v>2</v>
      </c>
      <c r="E1048" t="s">
        <v>392</v>
      </c>
      <c r="F1048" t="s">
        <v>38</v>
      </c>
      <c r="G1048" t="s">
        <v>384</v>
      </c>
      <c r="H1048" s="7" t="s">
        <v>379</v>
      </c>
      <c r="I1048" t="s">
        <v>4</v>
      </c>
      <c r="J1048" s="121">
        <v>0.68568287037037035</v>
      </c>
      <c r="K1048">
        <v>161.9</v>
      </c>
      <c r="L1048">
        <v>0.11</v>
      </c>
      <c r="M1048">
        <v>648.70000000000005</v>
      </c>
      <c r="N1048">
        <v>0.13</v>
      </c>
      <c r="O1048">
        <v>58.4</v>
      </c>
      <c r="P1048">
        <v>1.9</v>
      </c>
      <c r="Q1048" s="15">
        <v>20</v>
      </c>
      <c r="R1048" t="s">
        <v>45</v>
      </c>
      <c r="S1048"/>
    </row>
    <row r="1049" spans="1:19" ht="15" x14ac:dyDescent="0.25">
      <c r="A1049" s="7">
        <v>2012</v>
      </c>
      <c r="B1049" s="120">
        <v>41132</v>
      </c>
      <c r="C1049" t="s">
        <v>35</v>
      </c>
      <c r="D1049" t="s">
        <v>2</v>
      </c>
      <c r="E1049" t="s">
        <v>392</v>
      </c>
      <c r="F1049" t="s">
        <v>38</v>
      </c>
      <c r="G1049" t="s">
        <v>384</v>
      </c>
      <c r="H1049" s="7" t="s">
        <v>379</v>
      </c>
      <c r="I1049" t="s">
        <v>4</v>
      </c>
      <c r="J1049" s="121">
        <v>0.68584490740740733</v>
      </c>
      <c r="K1049">
        <v>180.3</v>
      </c>
      <c r="L1049">
        <v>0.3</v>
      </c>
      <c r="M1049">
        <v>648.70000000000005</v>
      </c>
      <c r="N1049">
        <v>0.13</v>
      </c>
      <c r="O1049">
        <v>58.4</v>
      </c>
      <c r="P1049">
        <v>1.8</v>
      </c>
      <c r="Q1049" s="15">
        <v>20</v>
      </c>
      <c r="R1049" t="s">
        <v>45</v>
      </c>
      <c r="S1049"/>
    </row>
    <row r="1050" spans="1:19" ht="15" x14ac:dyDescent="0.25">
      <c r="A1050" s="7">
        <v>2012</v>
      </c>
      <c r="B1050" s="120">
        <v>41132</v>
      </c>
      <c r="C1050" t="s">
        <v>35</v>
      </c>
      <c r="D1050" t="s">
        <v>2</v>
      </c>
      <c r="E1050" t="s">
        <v>392</v>
      </c>
      <c r="F1050" t="s">
        <v>38</v>
      </c>
      <c r="G1050" t="s">
        <v>384</v>
      </c>
      <c r="H1050" s="7" t="s">
        <v>379</v>
      </c>
      <c r="I1050" t="s">
        <v>4</v>
      </c>
      <c r="J1050" s="121">
        <v>0.68627314814814822</v>
      </c>
      <c r="K1050" t="e">
        <v>#N/A</v>
      </c>
      <c r="L1050" t="e">
        <v>#N/A</v>
      </c>
      <c r="M1050">
        <v>659.9</v>
      </c>
      <c r="N1050">
        <v>0.11</v>
      </c>
      <c r="O1050" t="e">
        <v>#N/A</v>
      </c>
      <c r="P1050" t="e">
        <v>#N/A</v>
      </c>
      <c r="Q1050" s="15" t="s">
        <v>386</v>
      </c>
      <c r="R1050" t="s">
        <v>45</v>
      </c>
      <c r="S1050"/>
    </row>
    <row r="1051" spans="1:19" ht="15" x14ac:dyDescent="0.25">
      <c r="A1051" s="7">
        <v>2012</v>
      </c>
      <c r="B1051" s="120">
        <v>41132</v>
      </c>
      <c r="C1051" t="s">
        <v>35</v>
      </c>
      <c r="D1051" t="s">
        <v>2</v>
      </c>
      <c r="E1051" t="s">
        <v>392</v>
      </c>
      <c r="F1051" t="s">
        <v>38</v>
      </c>
      <c r="G1051" t="s">
        <v>384</v>
      </c>
      <c r="H1051" s="7" t="s">
        <v>379</v>
      </c>
      <c r="I1051" t="s">
        <v>4</v>
      </c>
      <c r="J1051" s="121">
        <v>0.68741898148148151</v>
      </c>
      <c r="K1051">
        <v>173.8</v>
      </c>
      <c r="L1051">
        <v>0.17</v>
      </c>
      <c r="M1051">
        <v>659.9</v>
      </c>
      <c r="N1051">
        <v>0.11</v>
      </c>
      <c r="O1051">
        <v>58.5</v>
      </c>
      <c r="P1051">
        <v>1.8</v>
      </c>
      <c r="Q1051" s="15">
        <v>35</v>
      </c>
      <c r="R1051" t="s">
        <v>45</v>
      </c>
      <c r="S1051"/>
    </row>
    <row r="1052" spans="1:19" ht="15" x14ac:dyDescent="0.25">
      <c r="A1052" s="7">
        <v>2012</v>
      </c>
      <c r="B1052" s="120">
        <v>41132</v>
      </c>
      <c r="C1052" t="s">
        <v>35</v>
      </c>
      <c r="D1052" t="s">
        <v>2</v>
      </c>
      <c r="E1052" t="s">
        <v>392</v>
      </c>
      <c r="F1052" t="s">
        <v>38</v>
      </c>
      <c r="G1052" t="s">
        <v>384</v>
      </c>
      <c r="H1052" s="7" t="s">
        <v>379</v>
      </c>
      <c r="I1052" t="s">
        <v>4</v>
      </c>
      <c r="J1052" s="121">
        <v>0.68759259259259264</v>
      </c>
      <c r="K1052">
        <v>215.2</v>
      </c>
      <c r="L1052">
        <v>0.16</v>
      </c>
      <c r="M1052">
        <v>659.9</v>
      </c>
      <c r="N1052">
        <v>0.11</v>
      </c>
      <c r="O1052">
        <v>58.5</v>
      </c>
      <c r="P1052">
        <v>1.5</v>
      </c>
      <c r="Q1052" s="15">
        <v>35</v>
      </c>
      <c r="R1052" t="s">
        <v>45</v>
      </c>
      <c r="S1052"/>
    </row>
    <row r="1053" spans="1:19" ht="15" x14ac:dyDescent="0.25">
      <c r="A1053" s="7">
        <v>2012</v>
      </c>
      <c r="B1053" s="120">
        <v>41132</v>
      </c>
      <c r="C1053" t="s">
        <v>35</v>
      </c>
      <c r="D1053" t="s">
        <v>2</v>
      </c>
      <c r="E1053" t="s">
        <v>392</v>
      </c>
      <c r="F1053" t="s">
        <v>38</v>
      </c>
      <c r="G1053" t="s">
        <v>384</v>
      </c>
      <c r="H1053" s="7" t="s">
        <v>379</v>
      </c>
      <c r="I1053" t="s">
        <v>4</v>
      </c>
      <c r="J1053" s="121">
        <v>0.68778935185185175</v>
      </c>
      <c r="K1053">
        <v>193.4</v>
      </c>
      <c r="L1053">
        <v>0.28000000000000003</v>
      </c>
      <c r="M1053">
        <v>659.9</v>
      </c>
      <c r="N1053">
        <v>0.11</v>
      </c>
      <c r="O1053">
        <v>58.5</v>
      </c>
      <c r="P1053">
        <v>1.7</v>
      </c>
      <c r="Q1053" s="15">
        <v>35</v>
      </c>
      <c r="R1053" t="s">
        <v>45</v>
      </c>
      <c r="S1053"/>
    </row>
    <row r="1054" spans="1:19" ht="15" x14ac:dyDescent="0.25">
      <c r="A1054" s="7">
        <v>2012</v>
      </c>
      <c r="B1054" s="120">
        <v>41132</v>
      </c>
      <c r="C1054" t="s">
        <v>35</v>
      </c>
      <c r="D1054" t="s">
        <v>2</v>
      </c>
      <c r="E1054" t="s">
        <v>392</v>
      </c>
      <c r="F1054" t="s">
        <v>38</v>
      </c>
      <c r="G1054" t="s">
        <v>384</v>
      </c>
      <c r="H1054" s="7" t="s">
        <v>379</v>
      </c>
      <c r="I1054" t="s">
        <v>4</v>
      </c>
      <c r="J1054" s="121">
        <v>0.68792824074074066</v>
      </c>
      <c r="K1054">
        <v>195.8</v>
      </c>
      <c r="L1054">
        <v>0.14000000000000001</v>
      </c>
      <c r="M1054">
        <v>659.9</v>
      </c>
      <c r="N1054">
        <v>0.11</v>
      </c>
      <c r="O1054">
        <v>58.6</v>
      </c>
      <c r="P1054">
        <v>1.7</v>
      </c>
      <c r="Q1054" s="15">
        <v>35</v>
      </c>
      <c r="R1054" t="s">
        <v>45</v>
      </c>
      <c r="S1054"/>
    </row>
    <row r="1055" spans="1:19" ht="15" x14ac:dyDescent="0.25">
      <c r="A1055" s="7">
        <v>2012</v>
      </c>
      <c r="B1055" s="120">
        <v>41132</v>
      </c>
      <c r="C1055" t="s">
        <v>35</v>
      </c>
      <c r="D1055" t="s">
        <v>2</v>
      </c>
      <c r="E1055" t="s">
        <v>392</v>
      </c>
      <c r="F1055" t="s">
        <v>38</v>
      </c>
      <c r="G1055" t="s">
        <v>384</v>
      </c>
      <c r="H1055" s="7" t="s">
        <v>379</v>
      </c>
      <c r="I1055" t="s">
        <v>4</v>
      </c>
      <c r="J1055" s="121">
        <v>0.68812499999999999</v>
      </c>
      <c r="K1055">
        <v>147.69999999999999</v>
      </c>
      <c r="L1055">
        <v>0.18</v>
      </c>
      <c r="M1055">
        <v>659.9</v>
      </c>
      <c r="N1055">
        <v>0.11</v>
      </c>
      <c r="O1055">
        <v>58.6</v>
      </c>
      <c r="P1055">
        <v>2.1</v>
      </c>
      <c r="Q1055" s="15">
        <v>35</v>
      </c>
      <c r="R1055" t="s">
        <v>45</v>
      </c>
      <c r="S1055"/>
    </row>
    <row r="1056" spans="1:19" ht="15" x14ac:dyDescent="0.25">
      <c r="A1056" s="7">
        <v>2012</v>
      </c>
      <c r="B1056" s="120">
        <v>41132</v>
      </c>
      <c r="C1056" t="s">
        <v>35</v>
      </c>
      <c r="D1056" t="s">
        <v>2</v>
      </c>
      <c r="E1056" t="s">
        <v>392</v>
      </c>
      <c r="F1056" t="s">
        <v>38</v>
      </c>
      <c r="G1056" t="s">
        <v>384</v>
      </c>
      <c r="H1056" s="7" t="s">
        <v>379</v>
      </c>
      <c r="I1056" t="s">
        <v>4</v>
      </c>
      <c r="J1056" s="121">
        <v>0.68870370370370371</v>
      </c>
      <c r="K1056" t="e">
        <v>#N/A</v>
      </c>
      <c r="L1056" t="e">
        <v>#N/A</v>
      </c>
      <c r="M1056">
        <v>611.9</v>
      </c>
      <c r="N1056">
        <v>0.16</v>
      </c>
      <c r="O1056" t="e">
        <v>#N/A</v>
      </c>
      <c r="P1056" t="e">
        <v>#N/A</v>
      </c>
      <c r="Q1056" s="15" t="s">
        <v>387</v>
      </c>
      <c r="R1056" t="s">
        <v>45</v>
      </c>
      <c r="S1056"/>
    </row>
    <row r="1057" spans="1:19" ht="15" x14ac:dyDescent="0.25">
      <c r="A1057" s="7">
        <v>2012</v>
      </c>
      <c r="B1057" s="120">
        <v>41132</v>
      </c>
      <c r="C1057" t="s">
        <v>35</v>
      </c>
      <c r="D1057" t="s">
        <v>2</v>
      </c>
      <c r="E1057" t="s">
        <v>392</v>
      </c>
      <c r="F1057" t="s">
        <v>38</v>
      </c>
      <c r="G1057" t="s">
        <v>384</v>
      </c>
      <c r="H1057" s="7" t="s">
        <v>379</v>
      </c>
      <c r="I1057" t="s">
        <v>4</v>
      </c>
      <c r="J1057" s="121">
        <v>0.68974537037037031</v>
      </c>
      <c r="K1057">
        <v>254.9</v>
      </c>
      <c r="L1057">
        <v>0.19</v>
      </c>
      <c r="M1057">
        <v>611.9</v>
      </c>
      <c r="N1057">
        <v>0.16</v>
      </c>
      <c r="O1057">
        <v>58.7</v>
      </c>
      <c r="P1057">
        <v>1.1000000000000001</v>
      </c>
      <c r="Q1057" s="15">
        <v>50</v>
      </c>
      <c r="R1057" t="s">
        <v>45</v>
      </c>
      <c r="S1057"/>
    </row>
    <row r="1058" spans="1:19" ht="15" x14ac:dyDescent="0.25">
      <c r="A1058" s="7">
        <v>2012</v>
      </c>
      <c r="B1058" s="120">
        <v>41132</v>
      </c>
      <c r="C1058" t="s">
        <v>35</v>
      </c>
      <c r="D1058" t="s">
        <v>2</v>
      </c>
      <c r="E1058" t="s">
        <v>392</v>
      </c>
      <c r="F1058" t="s">
        <v>38</v>
      </c>
      <c r="G1058" t="s">
        <v>384</v>
      </c>
      <c r="H1058" s="7" t="s">
        <v>379</v>
      </c>
      <c r="I1058" t="s">
        <v>4</v>
      </c>
      <c r="J1058" s="121">
        <v>0.68989583333333337</v>
      </c>
      <c r="K1058">
        <v>215.3</v>
      </c>
      <c r="L1058">
        <v>0.17</v>
      </c>
      <c r="M1058">
        <v>611.9</v>
      </c>
      <c r="N1058">
        <v>0.16</v>
      </c>
      <c r="O1058">
        <v>58.7</v>
      </c>
      <c r="P1058">
        <v>1.4</v>
      </c>
      <c r="Q1058" s="15">
        <v>50</v>
      </c>
      <c r="R1058" t="s">
        <v>45</v>
      </c>
      <c r="S1058"/>
    </row>
    <row r="1059" spans="1:19" ht="15" x14ac:dyDescent="0.25">
      <c r="A1059" s="7">
        <v>2012</v>
      </c>
      <c r="B1059" s="120">
        <v>41132</v>
      </c>
      <c r="C1059" t="s">
        <v>35</v>
      </c>
      <c r="D1059" t="s">
        <v>2</v>
      </c>
      <c r="E1059" t="s">
        <v>392</v>
      </c>
      <c r="F1059" t="s">
        <v>38</v>
      </c>
      <c r="G1059" t="s">
        <v>384</v>
      </c>
      <c r="H1059" s="7" t="s">
        <v>379</v>
      </c>
      <c r="I1059" t="s">
        <v>4</v>
      </c>
      <c r="J1059" s="121">
        <v>0.69008101851851855</v>
      </c>
      <c r="K1059">
        <v>160.69999999999999</v>
      </c>
      <c r="L1059">
        <v>0.16</v>
      </c>
      <c r="M1059">
        <v>611.9</v>
      </c>
      <c r="N1059">
        <v>0.16</v>
      </c>
      <c r="O1059">
        <v>58.8</v>
      </c>
      <c r="P1059">
        <v>1.8</v>
      </c>
      <c r="Q1059" s="15">
        <v>50</v>
      </c>
      <c r="R1059" t="s">
        <v>45</v>
      </c>
      <c r="S1059"/>
    </row>
    <row r="1060" spans="1:19" ht="15" x14ac:dyDescent="0.25">
      <c r="A1060" s="7">
        <v>2012</v>
      </c>
      <c r="B1060" s="120">
        <v>41132</v>
      </c>
      <c r="C1060" t="s">
        <v>35</v>
      </c>
      <c r="D1060" t="s">
        <v>2</v>
      </c>
      <c r="E1060" t="s">
        <v>392</v>
      </c>
      <c r="F1060" t="s">
        <v>38</v>
      </c>
      <c r="G1060" t="s">
        <v>384</v>
      </c>
      <c r="H1060" s="7" t="s">
        <v>379</v>
      </c>
      <c r="I1060" t="s">
        <v>4</v>
      </c>
      <c r="J1060" s="121">
        <v>0.69027777777777777</v>
      </c>
      <c r="K1060">
        <v>240.5</v>
      </c>
      <c r="L1060">
        <v>0.23</v>
      </c>
      <c r="M1060">
        <v>611.9</v>
      </c>
      <c r="N1060">
        <v>0.16</v>
      </c>
      <c r="O1060">
        <v>58.8</v>
      </c>
      <c r="P1060">
        <v>1.2</v>
      </c>
      <c r="Q1060" s="15">
        <v>50</v>
      </c>
      <c r="R1060" t="s">
        <v>45</v>
      </c>
      <c r="S1060"/>
    </row>
    <row r="1061" spans="1:19" ht="15" x14ac:dyDescent="0.25">
      <c r="A1061" s="7">
        <v>2012</v>
      </c>
      <c r="B1061" s="120">
        <v>41132</v>
      </c>
      <c r="C1061" t="s">
        <v>35</v>
      </c>
      <c r="D1061" t="s">
        <v>2</v>
      </c>
      <c r="E1061" t="s">
        <v>392</v>
      </c>
      <c r="F1061" t="s">
        <v>38</v>
      </c>
      <c r="G1061" t="s">
        <v>384</v>
      </c>
      <c r="H1061" s="7" t="s">
        <v>379</v>
      </c>
      <c r="I1061" t="s">
        <v>4</v>
      </c>
      <c r="J1061" s="121">
        <v>0.69047453703703709</v>
      </c>
      <c r="K1061">
        <v>211.2</v>
      </c>
      <c r="L1061">
        <v>0.15</v>
      </c>
      <c r="M1061">
        <v>611.9</v>
      </c>
      <c r="N1061">
        <v>0.16</v>
      </c>
      <c r="O1061">
        <v>58.8</v>
      </c>
      <c r="P1061">
        <v>1.4</v>
      </c>
      <c r="Q1061" s="15">
        <v>50</v>
      </c>
      <c r="R1061" t="s">
        <v>45</v>
      </c>
      <c r="S1061"/>
    </row>
    <row r="1062" spans="1:19" ht="15" x14ac:dyDescent="0.25">
      <c r="A1062" s="7">
        <v>2012</v>
      </c>
      <c r="B1062" s="120">
        <v>41132</v>
      </c>
      <c r="C1062" t="s">
        <v>35</v>
      </c>
      <c r="D1062" t="s">
        <v>2</v>
      </c>
      <c r="E1062" t="s">
        <v>392</v>
      </c>
      <c r="F1062" t="s">
        <v>38</v>
      </c>
      <c r="G1062" t="s">
        <v>384</v>
      </c>
      <c r="H1062" s="7" t="s">
        <v>379</v>
      </c>
      <c r="I1062" t="s">
        <v>4</v>
      </c>
      <c r="J1062" s="121">
        <v>0.69090277777777775</v>
      </c>
      <c r="K1062" t="e">
        <v>#N/A</v>
      </c>
      <c r="L1062" t="e">
        <v>#N/A</v>
      </c>
      <c r="M1062">
        <v>617.5</v>
      </c>
      <c r="N1062">
        <v>0.11</v>
      </c>
      <c r="O1062" t="e">
        <v>#N/A</v>
      </c>
      <c r="P1062" t="e">
        <v>#N/A</v>
      </c>
      <c r="Q1062" s="15" t="s">
        <v>388</v>
      </c>
      <c r="R1062" t="s">
        <v>45</v>
      </c>
      <c r="S1062"/>
    </row>
    <row r="1063" spans="1:19" ht="15" x14ac:dyDescent="0.25">
      <c r="A1063" s="7">
        <v>2012</v>
      </c>
      <c r="B1063" s="120">
        <v>41132</v>
      </c>
      <c r="C1063" t="s">
        <v>35</v>
      </c>
      <c r="D1063" t="s">
        <v>2</v>
      </c>
      <c r="E1063" t="s">
        <v>392</v>
      </c>
      <c r="F1063" t="s">
        <v>38</v>
      </c>
      <c r="G1063" t="s">
        <v>384</v>
      </c>
      <c r="H1063" s="7" t="s">
        <v>379</v>
      </c>
      <c r="I1063" t="s">
        <v>4</v>
      </c>
      <c r="J1063" s="121">
        <v>0.69157407407407412</v>
      </c>
      <c r="K1063">
        <v>315.39999999999998</v>
      </c>
      <c r="L1063">
        <v>0.19</v>
      </c>
      <c r="M1063">
        <v>617.5</v>
      </c>
      <c r="N1063">
        <v>0.11</v>
      </c>
      <c r="O1063">
        <v>58.9</v>
      </c>
      <c r="P1063">
        <v>0.8</v>
      </c>
      <c r="Q1063" s="15">
        <v>65</v>
      </c>
      <c r="R1063" t="s">
        <v>45</v>
      </c>
      <c r="S1063"/>
    </row>
    <row r="1064" spans="1:19" ht="15" x14ac:dyDescent="0.25">
      <c r="A1064" s="7">
        <v>2012</v>
      </c>
      <c r="B1064" s="120">
        <v>41132</v>
      </c>
      <c r="C1064" t="s">
        <v>35</v>
      </c>
      <c r="D1064" t="s">
        <v>2</v>
      </c>
      <c r="E1064" t="s">
        <v>392</v>
      </c>
      <c r="F1064" t="s">
        <v>38</v>
      </c>
      <c r="G1064" t="s">
        <v>384</v>
      </c>
      <c r="H1064" s="7" t="s">
        <v>379</v>
      </c>
      <c r="I1064" t="s">
        <v>4</v>
      </c>
      <c r="J1064" s="121">
        <v>0.69171296296296303</v>
      </c>
      <c r="K1064">
        <v>270.5</v>
      </c>
      <c r="L1064">
        <v>0.23</v>
      </c>
      <c r="M1064">
        <v>617.5</v>
      </c>
      <c r="N1064">
        <v>0.11</v>
      </c>
      <c r="O1064">
        <v>58.9</v>
      </c>
      <c r="P1064">
        <v>1.1000000000000001</v>
      </c>
      <c r="Q1064" s="15">
        <v>65</v>
      </c>
      <c r="R1064" t="s">
        <v>45</v>
      </c>
      <c r="S1064"/>
    </row>
    <row r="1065" spans="1:19" ht="15" x14ac:dyDescent="0.25">
      <c r="A1065" s="7">
        <v>2012</v>
      </c>
      <c r="B1065" s="120">
        <v>41132</v>
      </c>
      <c r="C1065" t="s">
        <v>35</v>
      </c>
      <c r="D1065" t="s">
        <v>2</v>
      </c>
      <c r="E1065" t="s">
        <v>392</v>
      </c>
      <c r="F1065" t="s">
        <v>38</v>
      </c>
      <c r="G1065" t="s">
        <v>384</v>
      </c>
      <c r="H1065" s="7" t="s">
        <v>379</v>
      </c>
      <c r="I1065" t="s">
        <v>4</v>
      </c>
      <c r="J1065" s="121">
        <v>0.69185185185185183</v>
      </c>
      <c r="K1065">
        <v>216.9</v>
      </c>
      <c r="L1065">
        <v>0.3</v>
      </c>
      <c r="M1065">
        <v>617.5</v>
      </c>
      <c r="N1065">
        <v>0.11</v>
      </c>
      <c r="O1065">
        <v>58.9</v>
      </c>
      <c r="P1065">
        <v>1.4</v>
      </c>
      <c r="Q1065" s="15">
        <v>65</v>
      </c>
      <c r="R1065" t="s">
        <v>45</v>
      </c>
      <c r="S1065"/>
    </row>
    <row r="1066" spans="1:19" ht="15" x14ac:dyDescent="0.25">
      <c r="A1066" s="7">
        <v>2012</v>
      </c>
      <c r="B1066" s="120">
        <v>41132</v>
      </c>
      <c r="C1066" t="s">
        <v>35</v>
      </c>
      <c r="D1066" t="s">
        <v>2</v>
      </c>
      <c r="E1066" t="s">
        <v>392</v>
      </c>
      <c r="F1066" t="s">
        <v>38</v>
      </c>
      <c r="G1066" t="s">
        <v>384</v>
      </c>
      <c r="H1066" s="7" t="s">
        <v>379</v>
      </c>
      <c r="I1066" t="s">
        <v>4</v>
      </c>
      <c r="J1066" s="121">
        <v>0.69200231481481478</v>
      </c>
      <c r="K1066">
        <v>355.1</v>
      </c>
      <c r="L1066">
        <v>0.13</v>
      </c>
      <c r="M1066">
        <v>617.5</v>
      </c>
      <c r="N1066">
        <v>0.11</v>
      </c>
      <c r="O1066">
        <v>58.9</v>
      </c>
      <c r="P1066">
        <v>0.7</v>
      </c>
      <c r="Q1066" s="15">
        <v>65</v>
      </c>
      <c r="R1066" t="s">
        <v>45</v>
      </c>
      <c r="S1066"/>
    </row>
    <row r="1067" spans="1:19" ht="15" x14ac:dyDescent="0.25">
      <c r="A1067" s="7">
        <v>2012</v>
      </c>
      <c r="B1067" s="120">
        <v>41132</v>
      </c>
      <c r="C1067" t="s">
        <v>35</v>
      </c>
      <c r="D1067" t="s">
        <v>2</v>
      </c>
      <c r="E1067" t="s">
        <v>392</v>
      </c>
      <c r="F1067" t="s">
        <v>38</v>
      </c>
      <c r="G1067" t="s">
        <v>384</v>
      </c>
      <c r="H1067" s="7" t="s">
        <v>379</v>
      </c>
      <c r="I1067" t="s">
        <v>4</v>
      </c>
      <c r="J1067" s="121">
        <v>0.6921180555555555</v>
      </c>
      <c r="K1067">
        <v>369.3</v>
      </c>
      <c r="L1067">
        <v>0.22</v>
      </c>
      <c r="M1067">
        <v>617.5</v>
      </c>
      <c r="N1067">
        <v>0.11</v>
      </c>
      <c r="O1067">
        <v>58.9</v>
      </c>
      <c r="P1067">
        <v>0.6</v>
      </c>
      <c r="Q1067" s="15">
        <v>65</v>
      </c>
      <c r="R1067" t="s">
        <v>45</v>
      </c>
      <c r="S1067"/>
    </row>
    <row r="1068" spans="1:19" ht="15" x14ac:dyDescent="0.25">
      <c r="A1068" s="7">
        <v>2012</v>
      </c>
      <c r="B1068" s="120">
        <v>41132</v>
      </c>
      <c r="C1068" t="s">
        <v>35</v>
      </c>
      <c r="D1068" t="s">
        <v>2</v>
      </c>
      <c r="E1068" t="s">
        <v>392</v>
      </c>
      <c r="F1068" t="s">
        <v>38</v>
      </c>
      <c r="G1068" t="s">
        <v>384</v>
      </c>
      <c r="H1068" s="7" t="s">
        <v>379</v>
      </c>
      <c r="I1068" t="s">
        <v>4</v>
      </c>
      <c r="J1068" s="121">
        <v>0.69252314814814808</v>
      </c>
      <c r="K1068" t="e">
        <v>#N/A</v>
      </c>
      <c r="L1068" t="e">
        <v>#N/A</v>
      </c>
      <c r="M1068">
        <v>603.29999999999995</v>
      </c>
      <c r="N1068">
        <v>0.11</v>
      </c>
      <c r="O1068" t="e">
        <v>#N/A</v>
      </c>
      <c r="P1068" t="e">
        <v>#N/A</v>
      </c>
      <c r="Q1068" s="15" t="s">
        <v>389</v>
      </c>
      <c r="R1068" t="s">
        <v>45</v>
      </c>
      <c r="S1068"/>
    </row>
    <row r="1069" spans="1:19" ht="15" x14ac:dyDescent="0.25">
      <c r="A1069" s="7">
        <v>2012</v>
      </c>
      <c r="B1069" s="120">
        <v>41132</v>
      </c>
      <c r="C1069" t="s">
        <v>35</v>
      </c>
      <c r="D1069" t="s">
        <v>2</v>
      </c>
      <c r="E1069" t="s">
        <v>392</v>
      </c>
      <c r="F1069" t="s">
        <v>38</v>
      </c>
      <c r="G1069" t="s">
        <v>384</v>
      </c>
      <c r="H1069" s="7" t="s">
        <v>379</v>
      </c>
      <c r="I1069" t="s">
        <v>4</v>
      </c>
      <c r="J1069" s="121">
        <v>0.69319444444444445</v>
      </c>
      <c r="K1069">
        <v>524.20000000000005</v>
      </c>
      <c r="L1069">
        <v>0.12</v>
      </c>
      <c r="M1069">
        <v>603.29999999999995</v>
      </c>
      <c r="N1069">
        <v>0.11</v>
      </c>
      <c r="O1069">
        <v>59</v>
      </c>
      <c r="P1069">
        <v>0.2</v>
      </c>
      <c r="Q1069" s="15">
        <v>80</v>
      </c>
      <c r="R1069" t="s">
        <v>45</v>
      </c>
      <c r="S1069"/>
    </row>
    <row r="1070" spans="1:19" ht="15" x14ac:dyDescent="0.25">
      <c r="A1070" s="7">
        <v>2012</v>
      </c>
      <c r="B1070" s="120">
        <v>41132</v>
      </c>
      <c r="C1070" t="s">
        <v>35</v>
      </c>
      <c r="D1070" t="s">
        <v>2</v>
      </c>
      <c r="E1070" t="s">
        <v>392</v>
      </c>
      <c r="F1070" t="s">
        <v>38</v>
      </c>
      <c r="G1070" t="s">
        <v>384</v>
      </c>
      <c r="H1070" s="7" t="s">
        <v>379</v>
      </c>
      <c r="I1070" t="s">
        <v>4</v>
      </c>
      <c r="J1070" s="121">
        <v>0.69339120370370377</v>
      </c>
      <c r="K1070">
        <v>390.4</v>
      </c>
      <c r="L1070">
        <v>0.14000000000000001</v>
      </c>
      <c r="M1070">
        <v>603.29999999999995</v>
      </c>
      <c r="N1070">
        <v>0.11</v>
      </c>
      <c r="O1070">
        <v>59.1</v>
      </c>
      <c r="P1070">
        <v>0.5</v>
      </c>
      <c r="Q1070" s="15">
        <v>80</v>
      </c>
      <c r="R1070" t="s">
        <v>45</v>
      </c>
      <c r="S1070"/>
    </row>
    <row r="1071" spans="1:19" ht="15" x14ac:dyDescent="0.25">
      <c r="A1071" s="7">
        <v>2012</v>
      </c>
      <c r="B1071" s="120">
        <v>41132</v>
      </c>
      <c r="C1071" t="s">
        <v>35</v>
      </c>
      <c r="D1071" t="s">
        <v>2</v>
      </c>
      <c r="E1071" t="s">
        <v>392</v>
      </c>
      <c r="F1071" t="s">
        <v>38</v>
      </c>
      <c r="G1071" t="s">
        <v>384</v>
      </c>
      <c r="H1071" s="7" t="s">
        <v>379</v>
      </c>
      <c r="I1071" t="s">
        <v>4</v>
      </c>
      <c r="J1071" s="121">
        <v>0.69351851851851853</v>
      </c>
      <c r="K1071">
        <v>498.9</v>
      </c>
      <c r="L1071">
        <v>0.11</v>
      </c>
      <c r="M1071">
        <v>603.29999999999995</v>
      </c>
      <c r="N1071">
        <v>0.11</v>
      </c>
      <c r="O1071">
        <v>59.1</v>
      </c>
      <c r="P1071">
        <v>0.2</v>
      </c>
      <c r="Q1071" s="15">
        <v>80</v>
      </c>
      <c r="R1071" t="s">
        <v>45</v>
      </c>
      <c r="S1071"/>
    </row>
    <row r="1072" spans="1:19" ht="15" x14ac:dyDescent="0.25">
      <c r="A1072" s="7">
        <v>2012</v>
      </c>
      <c r="B1072" s="120">
        <v>41132</v>
      </c>
      <c r="C1072" t="s">
        <v>35</v>
      </c>
      <c r="D1072" t="s">
        <v>2</v>
      </c>
      <c r="E1072" t="s">
        <v>392</v>
      </c>
      <c r="F1072" t="s">
        <v>38</v>
      </c>
      <c r="G1072" t="s">
        <v>384</v>
      </c>
      <c r="H1072" s="7" t="s">
        <v>379</v>
      </c>
      <c r="I1072" t="s">
        <v>4</v>
      </c>
      <c r="J1072" s="121">
        <v>0.69362268518518511</v>
      </c>
      <c r="K1072">
        <v>381.4</v>
      </c>
      <c r="L1072">
        <v>0.12</v>
      </c>
      <c r="M1072">
        <v>603.29999999999995</v>
      </c>
      <c r="N1072">
        <v>0.11</v>
      </c>
      <c r="O1072">
        <v>59.1</v>
      </c>
      <c r="P1072">
        <v>0.6</v>
      </c>
      <c r="Q1072" s="15">
        <v>80</v>
      </c>
      <c r="R1072" t="s">
        <v>45</v>
      </c>
      <c r="S1072"/>
    </row>
    <row r="1073" spans="1:19" ht="15" x14ac:dyDescent="0.25">
      <c r="A1073" s="7">
        <v>2012</v>
      </c>
      <c r="B1073" s="120">
        <v>41132</v>
      </c>
      <c r="C1073" t="s">
        <v>35</v>
      </c>
      <c r="D1073" t="s">
        <v>2</v>
      </c>
      <c r="E1073" t="s">
        <v>392</v>
      </c>
      <c r="F1073" t="s">
        <v>38</v>
      </c>
      <c r="G1073" t="s">
        <v>384</v>
      </c>
      <c r="H1073" s="7" t="s">
        <v>379</v>
      </c>
      <c r="I1073" t="s">
        <v>4</v>
      </c>
      <c r="J1073" s="121">
        <v>0.69373842592592594</v>
      </c>
      <c r="K1073">
        <v>516.5</v>
      </c>
      <c r="L1073">
        <v>0.14000000000000001</v>
      </c>
      <c r="M1073">
        <v>603.29999999999995</v>
      </c>
      <c r="N1073">
        <v>0.11</v>
      </c>
      <c r="O1073">
        <v>59.1</v>
      </c>
      <c r="P1073">
        <v>0.2</v>
      </c>
      <c r="Q1073" s="15">
        <v>80</v>
      </c>
      <c r="R1073" t="s">
        <v>45</v>
      </c>
      <c r="S1073"/>
    </row>
    <row r="1074" spans="1:19" ht="15" x14ac:dyDescent="0.25">
      <c r="A1074" s="7">
        <v>2012</v>
      </c>
      <c r="B1074" s="120">
        <v>41132</v>
      </c>
      <c r="C1074" t="s">
        <v>35</v>
      </c>
      <c r="D1074" t="s">
        <v>2</v>
      </c>
      <c r="E1074" t="s">
        <v>392</v>
      </c>
      <c r="F1074" t="s">
        <v>38</v>
      </c>
      <c r="G1074" t="s">
        <v>384</v>
      </c>
      <c r="H1074" s="7" t="s">
        <v>379</v>
      </c>
      <c r="I1074" t="s">
        <v>4</v>
      </c>
      <c r="J1074" s="121">
        <v>0.69406249999999992</v>
      </c>
      <c r="K1074" t="e">
        <v>#N/A</v>
      </c>
      <c r="L1074" t="e">
        <v>#N/A</v>
      </c>
      <c r="M1074">
        <v>630.20000000000005</v>
      </c>
      <c r="N1074">
        <v>0.12</v>
      </c>
      <c r="O1074" t="e">
        <v>#N/A</v>
      </c>
      <c r="P1074" t="e">
        <v>#N/A</v>
      </c>
      <c r="Q1074" s="15" t="s">
        <v>390</v>
      </c>
      <c r="R1074" t="s">
        <v>45</v>
      </c>
      <c r="S1074"/>
    </row>
    <row r="1075" spans="1:19" ht="15" x14ac:dyDescent="0.25">
      <c r="A1075" s="7">
        <v>2012</v>
      </c>
      <c r="B1075" s="120">
        <v>41132</v>
      </c>
      <c r="C1075" t="s">
        <v>35</v>
      </c>
      <c r="D1075" t="s">
        <v>2</v>
      </c>
      <c r="E1075" t="s">
        <v>392</v>
      </c>
      <c r="F1075" t="s">
        <v>38</v>
      </c>
      <c r="G1075" t="s">
        <v>384</v>
      </c>
      <c r="H1075" s="7" t="s">
        <v>379</v>
      </c>
      <c r="I1075" t="s">
        <v>4</v>
      </c>
      <c r="J1075" s="121">
        <v>0.6947106481481482</v>
      </c>
      <c r="K1075">
        <v>648.5</v>
      </c>
      <c r="L1075">
        <v>0.01</v>
      </c>
      <c r="M1075">
        <v>630.20000000000005</v>
      </c>
      <c r="N1075">
        <v>0.12</v>
      </c>
      <c r="O1075">
        <v>59.2</v>
      </c>
      <c r="P1075">
        <v>0</v>
      </c>
      <c r="Q1075" s="15">
        <v>95</v>
      </c>
      <c r="R1075" t="s">
        <v>45</v>
      </c>
      <c r="S1075"/>
    </row>
    <row r="1076" spans="1:19" ht="15" x14ac:dyDescent="0.25">
      <c r="A1076" s="7">
        <v>2012</v>
      </c>
      <c r="B1076" s="120">
        <v>41132</v>
      </c>
      <c r="C1076" t="s">
        <v>35</v>
      </c>
      <c r="D1076" t="s">
        <v>2</v>
      </c>
      <c r="E1076" t="s">
        <v>392</v>
      </c>
      <c r="F1076" t="s">
        <v>38</v>
      </c>
      <c r="G1076" t="s">
        <v>384</v>
      </c>
      <c r="H1076" s="7" t="s">
        <v>379</v>
      </c>
      <c r="I1076" t="s">
        <v>4</v>
      </c>
      <c r="J1076" s="121">
        <v>0.69483796296296296</v>
      </c>
      <c r="K1076">
        <v>638</v>
      </c>
      <c r="L1076">
        <v>0.01</v>
      </c>
      <c r="M1076">
        <v>630.20000000000005</v>
      </c>
      <c r="N1076">
        <v>0.12</v>
      </c>
      <c r="O1076">
        <v>59.2</v>
      </c>
      <c r="P1076">
        <v>0</v>
      </c>
      <c r="Q1076" s="15">
        <v>95</v>
      </c>
      <c r="R1076" t="s">
        <v>45</v>
      </c>
      <c r="S1076"/>
    </row>
    <row r="1077" spans="1:19" ht="15" x14ac:dyDescent="0.25">
      <c r="A1077" s="7">
        <v>2012</v>
      </c>
      <c r="B1077" s="120">
        <v>41132</v>
      </c>
      <c r="C1077" t="s">
        <v>35</v>
      </c>
      <c r="D1077" t="s">
        <v>2</v>
      </c>
      <c r="E1077" t="s">
        <v>392</v>
      </c>
      <c r="F1077" t="s">
        <v>38</v>
      </c>
      <c r="G1077" t="s">
        <v>384</v>
      </c>
      <c r="H1077" s="7" t="s">
        <v>379</v>
      </c>
      <c r="I1077" t="s">
        <v>4</v>
      </c>
      <c r="J1077" s="121">
        <v>0.69494212962962953</v>
      </c>
      <c r="K1077">
        <v>486.3</v>
      </c>
      <c r="L1077">
        <v>0.3</v>
      </c>
      <c r="M1077">
        <v>630.20000000000005</v>
      </c>
      <c r="N1077">
        <v>0.12</v>
      </c>
      <c r="O1077">
        <v>59.2</v>
      </c>
      <c r="P1077">
        <v>0.3</v>
      </c>
      <c r="Q1077" s="15">
        <v>95</v>
      </c>
      <c r="R1077" t="s">
        <v>45</v>
      </c>
      <c r="S1077"/>
    </row>
    <row r="1078" spans="1:19" ht="15" x14ac:dyDescent="0.25">
      <c r="A1078" s="7">
        <v>2012</v>
      </c>
      <c r="B1078" s="120">
        <v>41132</v>
      </c>
      <c r="C1078" t="s">
        <v>35</v>
      </c>
      <c r="D1078" t="s">
        <v>2</v>
      </c>
      <c r="E1078" t="s">
        <v>392</v>
      </c>
      <c r="F1078" t="s">
        <v>38</v>
      </c>
      <c r="G1078" t="s">
        <v>384</v>
      </c>
      <c r="H1078" s="7" t="s">
        <v>379</v>
      </c>
      <c r="I1078" t="s">
        <v>4</v>
      </c>
      <c r="J1078" s="121">
        <v>0.6950925925925926</v>
      </c>
      <c r="K1078">
        <v>611</v>
      </c>
      <c r="L1078">
        <v>0.04</v>
      </c>
      <c r="M1078">
        <v>630.20000000000005</v>
      </c>
      <c r="N1078">
        <v>0.12</v>
      </c>
      <c r="O1078">
        <v>59.2</v>
      </c>
      <c r="P1078">
        <v>0</v>
      </c>
      <c r="Q1078" s="15">
        <v>95</v>
      </c>
      <c r="R1078" t="s">
        <v>45</v>
      </c>
      <c r="S1078"/>
    </row>
    <row r="1079" spans="1:19" ht="15" x14ac:dyDescent="0.25">
      <c r="A1079" s="7">
        <v>2012</v>
      </c>
      <c r="B1079" s="120">
        <v>41132</v>
      </c>
      <c r="C1079" t="s">
        <v>35</v>
      </c>
      <c r="D1079" t="s">
        <v>2</v>
      </c>
      <c r="E1079" t="s">
        <v>392</v>
      </c>
      <c r="F1079" t="s">
        <v>38</v>
      </c>
      <c r="G1079" t="s">
        <v>384</v>
      </c>
      <c r="H1079" s="7" t="s">
        <v>379</v>
      </c>
      <c r="I1079" t="s">
        <v>4</v>
      </c>
      <c r="J1079" s="121">
        <v>0.69523148148148151</v>
      </c>
      <c r="K1079">
        <v>595</v>
      </c>
      <c r="L1079">
        <v>0.15</v>
      </c>
      <c r="M1079">
        <v>630.20000000000005</v>
      </c>
      <c r="N1079">
        <v>0.12</v>
      </c>
      <c r="O1079">
        <v>59.2</v>
      </c>
      <c r="P1079">
        <v>0.1</v>
      </c>
      <c r="Q1079" s="15">
        <v>95</v>
      </c>
      <c r="R1079" t="s">
        <v>45</v>
      </c>
      <c r="S1079"/>
    </row>
    <row r="1080" spans="1:19" ht="15" x14ac:dyDescent="0.25">
      <c r="A1080" s="7">
        <v>2012</v>
      </c>
      <c r="B1080" s="120">
        <v>41132</v>
      </c>
      <c r="C1080" t="s">
        <v>35</v>
      </c>
      <c r="D1080" t="s">
        <v>2</v>
      </c>
      <c r="E1080" t="s">
        <v>392</v>
      </c>
      <c r="F1080" t="s">
        <v>38</v>
      </c>
      <c r="G1080" t="s">
        <v>384</v>
      </c>
      <c r="H1080" s="7" t="s">
        <v>379</v>
      </c>
      <c r="I1080" t="s">
        <v>4</v>
      </c>
      <c r="J1080" s="121">
        <v>0.69559027777777782</v>
      </c>
      <c r="K1080" t="e">
        <v>#N/A</v>
      </c>
      <c r="L1080" t="e">
        <v>#N/A</v>
      </c>
      <c r="M1080">
        <v>638.70000000000005</v>
      </c>
      <c r="N1080">
        <v>0.15</v>
      </c>
      <c r="O1080" t="e">
        <v>#N/A</v>
      </c>
      <c r="P1080" t="e">
        <v>#N/A</v>
      </c>
      <c r="Q1080" s="15" t="s">
        <v>50</v>
      </c>
      <c r="R1080" t="s">
        <v>45</v>
      </c>
      <c r="S1080"/>
    </row>
    <row r="1081" spans="1:19" ht="15" x14ac:dyDescent="0.25">
      <c r="A1081" s="7">
        <v>2012</v>
      </c>
      <c r="B1081" s="120">
        <v>41132</v>
      </c>
      <c r="C1081" t="s">
        <v>35</v>
      </c>
      <c r="D1081" t="s">
        <v>2</v>
      </c>
      <c r="E1081" t="s">
        <v>392</v>
      </c>
      <c r="F1081" t="s">
        <v>38</v>
      </c>
      <c r="G1081" t="s">
        <v>384</v>
      </c>
      <c r="H1081" s="7" t="s">
        <v>379</v>
      </c>
      <c r="I1081" t="s">
        <v>4</v>
      </c>
      <c r="J1081" s="121">
        <v>0.69608796296296294</v>
      </c>
      <c r="K1081">
        <v>640.4</v>
      </c>
      <c r="L1081">
        <v>0.01</v>
      </c>
      <c r="M1081">
        <v>638.70000000000005</v>
      </c>
      <c r="N1081">
        <v>0.15</v>
      </c>
      <c r="O1081">
        <v>59.3</v>
      </c>
      <c r="P1081">
        <v>0</v>
      </c>
      <c r="Q1081" s="15" t="s">
        <v>50</v>
      </c>
      <c r="R1081" t="s">
        <v>45</v>
      </c>
      <c r="S1081"/>
    </row>
    <row r="1082" spans="1:19" ht="15" x14ac:dyDescent="0.25">
      <c r="A1082" s="7">
        <v>2012</v>
      </c>
      <c r="B1082" s="120">
        <v>41132</v>
      </c>
      <c r="C1082" t="s">
        <v>35</v>
      </c>
      <c r="D1082" t="s">
        <v>2</v>
      </c>
      <c r="E1082" t="s">
        <v>392</v>
      </c>
      <c r="F1082" t="s">
        <v>38</v>
      </c>
      <c r="G1082" t="s">
        <v>384</v>
      </c>
      <c r="H1082" s="7" t="s">
        <v>379</v>
      </c>
      <c r="I1082" t="s">
        <v>4</v>
      </c>
      <c r="J1082" s="121">
        <v>0.69612268518518527</v>
      </c>
      <c r="K1082">
        <v>645.4</v>
      </c>
      <c r="L1082">
        <v>0.01</v>
      </c>
      <c r="M1082">
        <v>638.70000000000005</v>
      </c>
      <c r="N1082">
        <v>0.15</v>
      </c>
      <c r="O1082">
        <v>59.3</v>
      </c>
      <c r="P1082">
        <v>0</v>
      </c>
      <c r="Q1082" s="15" t="s">
        <v>50</v>
      </c>
      <c r="R1082" t="s">
        <v>45</v>
      </c>
      <c r="S1082"/>
    </row>
    <row r="1083" spans="1:19" ht="15" x14ac:dyDescent="0.25">
      <c r="A1083" s="7">
        <v>2012</v>
      </c>
      <c r="B1083" s="120">
        <v>41132</v>
      </c>
      <c r="C1083" t="s">
        <v>35</v>
      </c>
      <c r="D1083" t="s">
        <v>2</v>
      </c>
      <c r="E1083" t="s">
        <v>392</v>
      </c>
      <c r="F1083" t="s">
        <v>38</v>
      </c>
      <c r="G1083" t="s">
        <v>384</v>
      </c>
      <c r="H1083" s="7" t="s">
        <v>379</v>
      </c>
      <c r="I1083" t="s">
        <v>4</v>
      </c>
      <c r="J1083" s="121">
        <v>0.69615740740740739</v>
      </c>
      <c r="K1083">
        <v>643.5</v>
      </c>
      <c r="L1083">
        <v>0.01</v>
      </c>
      <c r="M1083">
        <v>638.70000000000005</v>
      </c>
      <c r="N1083">
        <v>0.15</v>
      </c>
      <c r="O1083">
        <v>59.3</v>
      </c>
      <c r="P1083">
        <v>0</v>
      </c>
      <c r="Q1083" s="15" t="s">
        <v>50</v>
      </c>
      <c r="R1083" t="s">
        <v>45</v>
      </c>
      <c r="S1083"/>
    </row>
    <row r="1084" spans="1:19" ht="15" x14ac:dyDescent="0.25">
      <c r="A1084" s="7">
        <v>2012</v>
      </c>
      <c r="B1084" s="120">
        <v>41132</v>
      </c>
      <c r="C1084" t="s">
        <v>35</v>
      </c>
      <c r="D1084" t="s">
        <v>2</v>
      </c>
      <c r="E1084" t="s">
        <v>392</v>
      </c>
      <c r="F1084" t="s">
        <v>38</v>
      </c>
      <c r="G1084" t="s">
        <v>384</v>
      </c>
      <c r="H1084" s="7" t="s">
        <v>379</v>
      </c>
      <c r="I1084" t="s">
        <v>4</v>
      </c>
      <c r="J1084" s="121">
        <v>0.69619212962962962</v>
      </c>
      <c r="K1084">
        <v>642.70000000000005</v>
      </c>
      <c r="L1084">
        <v>0.01</v>
      </c>
      <c r="M1084">
        <v>638.70000000000005</v>
      </c>
      <c r="N1084">
        <v>0.15</v>
      </c>
      <c r="O1084">
        <v>59.3</v>
      </c>
      <c r="P1084">
        <v>0</v>
      </c>
      <c r="Q1084" s="15" t="s">
        <v>50</v>
      </c>
      <c r="R1084" t="s">
        <v>45</v>
      </c>
      <c r="S1084"/>
    </row>
    <row r="1085" spans="1:19" ht="15" x14ac:dyDescent="0.25">
      <c r="A1085" s="7">
        <v>2012</v>
      </c>
      <c r="B1085" s="120">
        <v>41132</v>
      </c>
      <c r="C1085" t="s">
        <v>35</v>
      </c>
      <c r="D1085" t="s">
        <v>2</v>
      </c>
      <c r="E1085" t="s">
        <v>392</v>
      </c>
      <c r="F1085" t="s">
        <v>38</v>
      </c>
      <c r="G1085" t="s">
        <v>384</v>
      </c>
      <c r="H1085" s="7" t="s">
        <v>379</v>
      </c>
      <c r="I1085" t="s">
        <v>4</v>
      </c>
      <c r="J1085" s="121">
        <v>0.69622685185185185</v>
      </c>
      <c r="K1085">
        <v>641.5</v>
      </c>
      <c r="L1085">
        <v>0.01</v>
      </c>
      <c r="M1085">
        <v>638.70000000000005</v>
      </c>
      <c r="N1085">
        <v>0.15</v>
      </c>
      <c r="O1085">
        <v>59.3</v>
      </c>
      <c r="P1085">
        <v>0</v>
      </c>
      <c r="Q1085" s="15" t="s">
        <v>50</v>
      </c>
      <c r="R1085" t="s">
        <v>45</v>
      </c>
      <c r="S1085"/>
    </row>
    <row r="1086" spans="1:19" ht="15" x14ac:dyDescent="0.25">
      <c r="A1086" s="7">
        <v>2012</v>
      </c>
      <c r="B1086" s="122">
        <v>41129</v>
      </c>
      <c r="C1086" t="s">
        <v>35</v>
      </c>
      <c r="D1086" t="s">
        <v>2</v>
      </c>
      <c r="E1086" t="s">
        <v>393</v>
      </c>
      <c r="F1086" t="s">
        <v>38</v>
      </c>
      <c r="G1086" t="s">
        <v>384</v>
      </c>
      <c r="H1086" s="7" t="s">
        <v>379</v>
      </c>
      <c r="I1086" t="s">
        <v>41</v>
      </c>
      <c r="J1086" s="121">
        <v>0.72568287037037038</v>
      </c>
      <c r="K1086" t="e">
        <v>#N/A</v>
      </c>
      <c r="L1086" t="e">
        <v>#N/A</v>
      </c>
      <c r="M1086">
        <v>420.7</v>
      </c>
      <c r="N1086">
        <v>0.18</v>
      </c>
      <c r="O1086" t="e">
        <v>#N/A</v>
      </c>
      <c r="P1086" t="e">
        <v>#N/A</v>
      </c>
      <c r="Q1086" s="15" t="e">
        <v>#N/A</v>
      </c>
      <c r="R1086" t="s">
        <v>45</v>
      </c>
      <c r="S1086"/>
    </row>
    <row r="1087" spans="1:19" ht="15" x14ac:dyDescent="0.25">
      <c r="A1087" s="7">
        <v>2012</v>
      </c>
      <c r="B1087" s="122">
        <v>41129</v>
      </c>
      <c r="C1087" t="s">
        <v>35</v>
      </c>
      <c r="D1087" t="s">
        <v>2</v>
      </c>
      <c r="E1087" t="s">
        <v>393</v>
      </c>
      <c r="F1087" t="s">
        <v>38</v>
      </c>
      <c r="G1087" t="s">
        <v>384</v>
      </c>
      <c r="H1087" s="7" t="s">
        <v>379</v>
      </c>
      <c r="I1087" t="s">
        <v>41</v>
      </c>
      <c r="J1087" s="121">
        <v>0.72655092592592585</v>
      </c>
      <c r="K1087">
        <v>37.200000000000003</v>
      </c>
      <c r="L1087">
        <v>0.52</v>
      </c>
      <c r="M1087">
        <v>420.7</v>
      </c>
      <c r="N1087">
        <v>0.18</v>
      </c>
      <c r="O1087">
        <v>61.6</v>
      </c>
      <c r="P1087">
        <v>3.5</v>
      </c>
      <c r="Q1087" s="15">
        <v>5</v>
      </c>
      <c r="R1087" t="s">
        <v>45</v>
      </c>
      <c r="S1087"/>
    </row>
    <row r="1088" spans="1:19" ht="15" x14ac:dyDescent="0.25">
      <c r="A1088" s="7">
        <v>2012</v>
      </c>
      <c r="B1088" s="122">
        <v>41129</v>
      </c>
      <c r="C1088" t="s">
        <v>35</v>
      </c>
      <c r="D1088" t="s">
        <v>2</v>
      </c>
      <c r="E1088" t="s">
        <v>393</v>
      </c>
      <c r="F1088" t="s">
        <v>38</v>
      </c>
      <c r="G1088" t="s">
        <v>384</v>
      </c>
      <c r="H1088" s="7" t="s">
        <v>379</v>
      </c>
      <c r="I1088" t="s">
        <v>41</v>
      </c>
      <c r="J1088" s="121">
        <v>0.72681712962962963</v>
      </c>
      <c r="K1088">
        <v>31.8</v>
      </c>
      <c r="L1088">
        <v>0.18</v>
      </c>
      <c r="M1088">
        <v>420.7</v>
      </c>
      <c r="N1088">
        <v>0.18</v>
      </c>
      <c r="O1088">
        <v>61.6</v>
      </c>
      <c r="P1088">
        <v>3.7</v>
      </c>
      <c r="Q1088" s="15">
        <v>5</v>
      </c>
      <c r="R1088" t="s">
        <v>45</v>
      </c>
      <c r="S1088"/>
    </row>
    <row r="1089" spans="1:19" ht="15" x14ac:dyDescent="0.25">
      <c r="A1089" s="7">
        <v>2012</v>
      </c>
      <c r="B1089" s="122">
        <v>41129</v>
      </c>
      <c r="C1089" t="s">
        <v>35</v>
      </c>
      <c r="D1089" t="s">
        <v>2</v>
      </c>
      <c r="E1089" t="s">
        <v>393</v>
      </c>
      <c r="F1089" t="s">
        <v>38</v>
      </c>
      <c r="G1089" t="s">
        <v>384</v>
      </c>
      <c r="H1089" s="7" t="s">
        <v>379</v>
      </c>
      <c r="I1089" t="s">
        <v>41</v>
      </c>
      <c r="J1089" s="121">
        <v>0.72706018518518523</v>
      </c>
      <c r="K1089">
        <v>19</v>
      </c>
      <c r="L1089">
        <v>0.68</v>
      </c>
      <c r="M1089">
        <v>420.7</v>
      </c>
      <c r="N1089">
        <v>0.18</v>
      </c>
      <c r="O1089">
        <v>61.6</v>
      </c>
      <c r="P1089">
        <v>4.5999999999999996</v>
      </c>
      <c r="Q1089" s="15">
        <v>5</v>
      </c>
      <c r="R1089" t="s">
        <v>45</v>
      </c>
      <c r="S1089"/>
    </row>
    <row r="1090" spans="1:19" ht="15" x14ac:dyDescent="0.25">
      <c r="A1090" s="7">
        <v>2012</v>
      </c>
      <c r="B1090" s="122">
        <v>41129</v>
      </c>
      <c r="C1090" t="s">
        <v>35</v>
      </c>
      <c r="D1090" t="s">
        <v>2</v>
      </c>
      <c r="E1090" t="s">
        <v>393</v>
      </c>
      <c r="F1090" t="s">
        <v>38</v>
      </c>
      <c r="G1090" t="s">
        <v>384</v>
      </c>
      <c r="H1090" s="7" t="s">
        <v>379</v>
      </c>
      <c r="I1090" t="s">
        <v>41</v>
      </c>
      <c r="J1090" s="121">
        <v>0.7273842592592592</v>
      </c>
      <c r="K1090">
        <v>19.8</v>
      </c>
      <c r="L1090">
        <v>0.4</v>
      </c>
      <c r="M1090">
        <v>420.7</v>
      </c>
      <c r="N1090">
        <v>0.18</v>
      </c>
      <c r="O1090">
        <v>61.7</v>
      </c>
      <c r="P1090">
        <v>4.5999999999999996</v>
      </c>
      <c r="Q1090" s="15">
        <v>5</v>
      </c>
      <c r="R1090" t="s">
        <v>45</v>
      </c>
      <c r="S1090"/>
    </row>
    <row r="1091" spans="1:19" ht="15" x14ac:dyDescent="0.25">
      <c r="A1091" s="7">
        <v>2012</v>
      </c>
      <c r="B1091" s="122">
        <v>41129</v>
      </c>
      <c r="C1091" t="s">
        <v>35</v>
      </c>
      <c r="D1091" t="s">
        <v>2</v>
      </c>
      <c r="E1091" t="s">
        <v>393</v>
      </c>
      <c r="F1091" t="s">
        <v>38</v>
      </c>
      <c r="G1091" t="s">
        <v>384</v>
      </c>
      <c r="H1091" s="7" t="s">
        <v>379</v>
      </c>
      <c r="I1091" t="s">
        <v>41</v>
      </c>
      <c r="J1091" s="121">
        <v>0.72760416666666661</v>
      </c>
      <c r="K1091">
        <v>26.2</v>
      </c>
      <c r="L1091">
        <v>0.38</v>
      </c>
      <c r="M1091">
        <v>420.7</v>
      </c>
      <c r="N1091">
        <v>0.18</v>
      </c>
      <c r="O1091">
        <v>61.7</v>
      </c>
      <c r="P1091">
        <v>4.0999999999999996</v>
      </c>
      <c r="Q1091" s="15">
        <v>5</v>
      </c>
      <c r="R1091" t="s">
        <v>45</v>
      </c>
      <c r="S1091"/>
    </row>
    <row r="1092" spans="1:19" ht="15" x14ac:dyDescent="0.25">
      <c r="A1092" s="7">
        <v>2012</v>
      </c>
      <c r="B1092" s="122">
        <v>41129</v>
      </c>
      <c r="C1092" t="s">
        <v>35</v>
      </c>
      <c r="D1092" t="s">
        <v>2</v>
      </c>
      <c r="E1092" t="s">
        <v>393</v>
      </c>
      <c r="F1092" t="s">
        <v>38</v>
      </c>
      <c r="G1092" t="s">
        <v>384</v>
      </c>
      <c r="H1092" s="7" t="s">
        <v>379</v>
      </c>
      <c r="I1092" t="s">
        <v>41</v>
      </c>
      <c r="J1092" s="121">
        <v>0.72924768518518512</v>
      </c>
      <c r="K1092" t="e">
        <v>#N/A</v>
      </c>
      <c r="L1092" t="e">
        <v>#N/A</v>
      </c>
      <c r="M1092">
        <v>413.5</v>
      </c>
      <c r="N1092">
        <v>0.11</v>
      </c>
      <c r="O1092" t="e">
        <v>#N/A</v>
      </c>
      <c r="P1092" t="e">
        <v>#N/A</v>
      </c>
      <c r="Q1092" s="15" t="e">
        <v>#N/A</v>
      </c>
      <c r="R1092" t="s">
        <v>45</v>
      </c>
      <c r="S1092"/>
    </row>
    <row r="1093" spans="1:19" ht="15" x14ac:dyDescent="0.25">
      <c r="A1093" s="7">
        <v>2012</v>
      </c>
      <c r="B1093" s="122">
        <v>41129</v>
      </c>
      <c r="C1093" t="s">
        <v>35</v>
      </c>
      <c r="D1093" t="s">
        <v>2</v>
      </c>
      <c r="E1093" t="s">
        <v>393</v>
      </c>
      <c r="F1093" t="s">
        <v>38</v>
      </c>
      <c r="G1093" t="s">
        <v>384</v>
      </c>
      <c r="H1093" s="7" t="s">
        <v>379</v>
      </c>
      <c r="I1093" t="s">
        <v>41</v>
      </c>
      <c r="J1093" s="121">
        <v>0.72990740740740734</v>
      </c>
      <c r="K1093">
        <v>41.9</v>
      </c>
      <c r="L1093">
        <v>0.44</v>
      </c>
      <c r="M1093">
        <v>413.5</v>
      </c>
      <c r="N1093">
        <v>0.11</v>
      </c>
      <c r="O1093">
        <v>61.9</v>
      </c>
      <c r="P1093">
        <v>3.3</v>
      </c>
      <c r="Q1093" s="15">
        <v>20</v>
      </c>
      <c r="R1093" t="s">
        <v>45</v>
      </c>
      <c r="S1093"/>
    </row>
    <row r="1094" spans="1:19" ht="15" x14ac:dyDescent="0.25">
      <c r="A1094" s="7">
        <v>2012</v>
      </c>
      <c r="B1094" s="122">
        <v>41129</v>
      </c>
      <c r="C1094" t="s">
        <v>35</v>
      </c>
      <c r="D1094" t="s">
        <v>2</v>
      </c>
      <c r="E1094" t="s">
        <v>393</v>
      </c>
      <c r="F1094" t="s">
        <v>38</v>
      </c>
      <c r="G1094" t="s">
        <v>384</v>
      </c>
      <c r="H1094" s="7" t="s">
        <v>379</v>
      </c>
      <c r="I1094" t="s">
        <v>41</v>
      </c>
      <c r="J1094" s="121">
        <v>0.73064814814814805</v>
      </c>
      <c r="K1094">
        <v>51.8</v>
      </c>
      <c r="L1094">
        <v>0.21</v>
      </c>
      <c r="M1094">
        <v>413.5</v>
      </c>
      <c r="N1094">
        <v>0.11</v>
      </c>
      <c r="O1094">
        <v>62</v>
      </c>
      <c r="P1094">
        <v>2.9</v>
      </c>
      <c r="Q1094" s="15">
        <v>20</v>
      </c>
      <c r="R1094" t="s">
        <v>45</v>
      </c>
      <c r="S1094"/>
    </row>
    <row r="1095" spans="1:19" ht="15" x14ac:dyDescent="0.25">
      <c r="A1095" s="7">
        <v>2012</v>
      </c>
      <c r="B1095" s="122">
        <v>41129</v>
      </c>
      <c r="C1095" t="s">
        <v>35</v>
      </c>
      <c r="D1095" t="s">
        <v>2</v>
      </c>
      <c r="E1095" t="s">
        <v>393</v>
      </c>
      <c r="F1095" t="s">
        <v>38</v>
      </c>
      <c r="G1095" t="s">
        <v>384</v>
      </c>
      <c r="H1095" s="7" t="s">
        <v>379</v>
      </c>
      <c r="I1095" t="s">
        <v>41</v>
      </c>
      <c r="J1095" s="121">
        <v>0.73097222222222225</v>
      </c>
      <c r="K1095">
        <v>50.6</v>
      </c>
      <c r="L1095">
        <v>0.45</v>
      </c>
      <c r="M1095">
        <v>413.5</v>
      </c>
      <c r="N1095">
        <v>0.11</v>
      </c>
      <c r="O1095">
        <v>62.1</v>
      </c>
      <c r="P1095">
        <v>3</v>
      </c>
      <c r="Q1095" s="15">
        <v>20</v>
      </c>
      <c r="R1095" t="s">
        <v>45</v>
      </c>
      <c r="S1095"/>
    </row>
    <row r="1096" spans="1:19" ht="15" x14ac:dyDescent="0.25">
      <c r="A1096" s="7">
        <v>2012</v>
      </c>
      <c r="B1096" s="122">
        <v>41129</v>
      </c>
      <c r="C1096" t="s">
        <v>35</v>
      </c>
      <c r="D1096" t="s">
        <v>2</v>
      </c>
      <c r="E1096" t="s">
        <v>393</v>
      </c>
      <c r="F1096" t="s">
        <v>38</v>
      </c>
      <c r="G1096" t="s">
        <v>384</v>
      </c>
      <c r="H1096" s="7" t="s">
        <v>379</v>
      </c>
      <c r="I1096" t="s">
        <v>41</v>
      </c>
      <c r="J1096" s="121">
        <v>0.73113425925925923</v>
      </c>
      <c r="K1096">
        <v>53.4</v>
      </c>
      <c r="L1096">
        <v>0.56000000000000005</v>
      </c>
      <c r="M1096">
        <v>413.5</v>
      </c>
      <c r="N1096">
        <v>0.11</v>
      </c>
      <c r="O1096">
        <v>62.1</v>
      </c>
      <c r="P1096">
        <v>2.9</v>
      </c>
      <c r="Q1096" s="15">
        <v>20</v>
      </c>
      <c r="R1096" t="s">
        <v>45</v>
      </c>
      <c r="S1096"/>
    </row>
    <row r="1097" spans="1:19" ht="15" x14ac:dyDescent="0.25">
      <c r="A1097" s="7">
        <v>2012</v>
      </c>
      <c r="B1097" s="122">
        <v>41129</v>
      </c>
      <c r="C1097" t="s">
        <v>35</v>
      </c>
      <c r="D1097" t="s">
        <v>2</v>
      </c>
      <c r="E1097" t="s">
        <v>393</v>
      </c>
      <c r="F1097" t="s">
        <v>38</v>
      </c>
      <c r="G1097" t="s">
        <v>384</v>
      </c>
      <c r="H1097" s="7" t="s">
        <v>379</v>
      </c>
      <c r="I1097" t="s">
        <v>41</v>
      </c>
      <c r="J1097" s="121">
        <v>0.73135416666666664</v>
      </c>
      <c r="K1097">
        <v>48.1</v>
      </c>
      <c r="L1097">
        <v>0.3</v>
      </c>
      <c r="M1097">
        <v>413.5</v>
      </c>
      <c r="N1097">
        <v>0.11</v>
      </c>
      <c r="O1097">
        <v>62.1</v>
      </c>
      <c r="P1097">
        <v>3</v>
      </c>
      <c r="Q1097" s="15">
        <v>20</v>
      </c>
      <c r="R1097" t="s">
        <v>45</v>
      </c>
      <c r="S1097"/>
    </row>
    <row r="1098" spans="1:19" ht="15" x14ac:dyDescent="0.25">
      <c r="A1098" s="7">
        <v>2012</v>
      </c>
      <c r="B1098" s="122">
        <v>41129</v>
      </c>
      <c r="C1098" t="s">
        <v>35</v>
      </c>
      <c r="D1098" t="s">
        <v>2</v>
      </c>
      <c r="E1098" t="s">
        <v>393</v>
      </c>
      <c r="F1098" t="s">
        <v>38</v>
      </c>
      <c r="G1098" t="s">
        <v>384</v>
      </c>
      <c r="H1098" s="7" t="s">
        <v>379</v>
      </c>
      <c r="I1098" t="s">
        <v>41</v>
      </c>
      <c r="J1098" s="121">
        <v>0.73539351851851853</v>
      </c>
      <c r="K1098" t="e">
        <v>#N/A</v>
      </c>
      <c r="L1098" t="e">
        <v>#N/A</v>
      </c>
      <c r="M1098">
        <v>474.1</v>
      </c>
      <c r="N1098">
        <v>0.12</v>
      </c>
      <c r="O1098" t="e">
        <v>#N/A</v>
      </c>
      <c r="P1098" t="e">
        <v>#N/A</v>
      </c>
      <c r="Q1098" s="15" t="e">
        <v>#N/A</v>
      </c>
      <c r="R1098" t="s">
        <v>45</v>
      </c>
      <c r="S1098"/>
    </row>
    <row r="1099" spans="1:19" ht="15" x14ac:dyDescent="0.25">
      <c r="A1099" s="7">
        <v>2012</v>
      </c>
      <c r="B1099" s="122">
        <v>41129</v>
      </c>
      <c r="C1099" t="s">
        <v>35</v>
      </c>
      <c r="D1099" t="s">
        <v>2</v>
      </c>
      <c r="E1099" t="s">
        <v>393</v>
      </c>
      <c r="F1099" t="s">
        <v>38</v>
      </c>
      <c r="G1099" t="s">
        <v>384</v>
      </c>
      <c r="H1099" s="7" t="s">
        <v>379</v>
      </c>
      <c r="I1099" t="s">
        <v>41</v>
      </c>
      <c r="J1099" s="121">
        <v>0.7359837962962964</v>
      </c>
      <c r="K1099">
        <v>66.400000000000006</v>
      </c>
      <c r="L1099">
        <v>0.31</v>
      </c>
      <c r="M1099">
        <v>474.1</v>
      </c>
      <c r="N1099">
        <v>0.12</v>
      </c>
      <c r="O1099">
        <v>62.6</v>
      </c>
      <c r="P1099">
        <v>2.7</v>
      </c>
      <c r="Q1099" s="15">
        <v>35</v>
      </c>
      <c r="R1099" t="s">
        <v>45</v>
      </c>
      <c r="S1099"/>
    </row>
    <row r="1100" spans="1:19" ht="15" x14ac:dyDescent="0.25">
      <c r="A1100" s="7">
        <v>2012</v>
      </c>
      <c r="B1100" s="122">
        <v>41129</v>
      </c>
      <c r="C1100" t="s">
        <v>35</v>
      </c>
      <c r="D1100" t="s">
        <v>2</v>
      </c>
      <c r="E1100" t="s">
        <v>393</v>
      </c>
      <c r="F1100" t="s">
        <v>38</v>
      </c>
      <c r="G1100" t="s">
        <v>384</v>
      </c>
      <c r="H1100" s="7" t="s">
        <v>379</v>
      </c>
      <c r="I1100" t="s">
        <v>41</v>
      </c>
      <c r="J1100" s="121">
        <v>0.7362037037037038</v>
      </c>
      <c r="K1100">
        <v>54</v>
      </c>
      <c r="L1100">
        <v>0.28999999999999998</v>
      </c>
      <c r="M1100">
        <v>474.1</v>
      </c>
      <c r="N1100">
        <v>0.12</v>
      </c>
      <c r="O1100">
        <v>62.7</v>
      </c>
      <c r="P1100">
        <v>3.1</v>
      </c>
      <c r="Q1100" s="15">
        <v>35</v>
      </c>
      <c r="R1100" t="s">
        <v>45</v>
      </c>
      <c r="S1100"/>
    </row>
    <row r="1101" spans="1:19" ht="15" x14ac:dyDescent="0.25">
      <c r="A1101" s="7">
        <v>2012</v>
      </c>
      <c r="B1101" s="122">
        <v>41129</v>
      </c>
      <c r="C1101" t="s">
        <v>35</v>
      </c>
      <c r="D1101" t="s">
        <v>2</v>
      </c>
      <c r="E1101" t="s">
        <v>393</v>
      </c>
      <c r="F1101" t="s">
        <v>38</v>
      </c>
      <c r="G1101" t="s">
        <v>384</v>
      </c>
      <c r="H1101" s="7" t="s">
        <v>379</v>
      </c>
      <c r="I1101" t="s">
        <v>41</v>
      </c>
      <c r="J1101" s="121">
        <v>0.73637731481481483</v>
      </c>
      <c r="K1101">
        <v>60.2</v>
      </c>
      <c r="L1101">
        <v>0.46</v>
      </c>
      <c r="M1101">
        <v>474.1</v>
      </c>
      <c r="N1101">
        <v>0.12</v>
      </c>
      <c r="O1101">
        <v>62.7</v>
      </c>
      <c r="P1101">
        <v>2.9</v>
      </c>
      <c r="Q1101" s="15">
        <v>35</v>
      </c>
      <c r="R1101" t="s">
        <v>45</v>
      </c>
      <c r="S1101"/>
    </row>
    <row r="1102" spans="1:19" ht="15" x14ac:dyDescent="0.25">
      <c r="A1102" s="7">
        <v>2012</v>
      </c>
      <c r="B1102" s="122">
        <v>41129</v>
      </c>
      <c r="C1102" t="s">
        <v>35</v>
      </c>
      <c r="D1102" t="s">
        <v>2</v>
      </c>
      <c r="E1102" t="s">
        <v>393</v>
      </c>
      <c r="F1102" t="s">
        <v>38</v>
      </c>
      <c r="G1102" t="s">
        <v>384</v>
      </c>
      <c r="H1102" s="7" t="s">
        <v>379</v>
      </c>
      <c r="I1102" t="s">
        <v>41</v>
      </c>
      <c r="J1102" s="121">
        <v>0.73662037037037031</v>
      </c>
      <c r="K1102">
        <v>64.900000000000006</v>
      </c>
      <c r="L1102">
        <v>0.48</v>
      </c>
      <c r="M1102">
        <v>474.1</v>
      </c>
      <c r="N1102">
        <v>0.12</v>
      </c>
      <c r="O1102">
        <v>62.7</v>
      </c>
      <c r="P1102">
        <v>2.8</v>
      </c>
      <c r="Q1102" s="15">
        <v>35</v>
      </c>
      <c r="R1102" t="s">
        <v>45</v>
      </c>
      <c r="S1102"/>
    </row>
    <row r="1103" spans="1:19" ht="15" x14ac:dyDescent="0.25">
      <c r="A1103" s="7">
        <v>2012</v>
      </c>
      <c r="B1103" s="122">
        <v>41129</v>
      </c>
      <c r="C1103" t="s">
        <v>35</v>
      </c>
      <c r="D1103" t="s">
        <v>2</v>
      </c>
      <c r="E1103" t="s">
        <v>393</v>
      </c>
      <c r="F1103" t="s">
        <v>38</v>
      </c>
      <c r="G1103" t="s">
        <v>384</v>
      </c>
      <c r="H1103" s="7" t="s">
        <v>379</v>
      </c>
      <c r="I1103" t="s">
        <v>41</v>
      </c>
      <c r="J1103" s="121">
        <v>0.73674768518518519</v>
      </c>
      <c r="K1103">
        <v>74.400000000000006</v>
      </c>
      <c r="L1103">
        <v>0.26</v>
      </c>
      <c r="M1103">
        <v>474.1</v>
      </c>
      <c r="N1103">
        <v>0.12</v>
      </c>
      <c r="O1103">
        <v>62.7</v>
      </c>
      <c r="P1103">
        <v>2.6</v>
      </c>
      <c r="Q1103" s="15">
        <v>35</v>
      </c>
      <c r="R1103" t="s">
        <v>45</v>
      </c>
      <c r="S1103"/>
    </row>
    <row r="1104" spans="1:19" ht="15" x14ac:dyDescent="0.25">
      <c r="A1104" s="7">
        <v>2012</v>
      </c>
      <c r="B1104" s="122">
        <v>41129</v>
      </c>
      <c r="C1104" t="s">
        <v>35</v>
      </c>
      <c r="D1104" t="s">
        <v>2</v>
      </c>
      <c r="E1104" t="s">
        <v>393</v>
      </c>
      <c r="F1104" t="s">
        <v>38</v>
      </c>
      <c r="G1104" t="s">
        <v>384</v>
      </c>
      <c r="H1104" s="7" t="s">
        <v>379</v>
      </c>
      <c r="I1104" t="s">
        <v>41</v>
      </c>
      <c r="J1104" s="121">
        <v>0.73729166666666668</v>
      </c>
      <c r="K1104" t="e">
        <v>#N/A</v>
      </c>
      <c r="L1104" t="e">
        <v>#N/A</v>
      </c>
      <c r="M1104">
        <v>452.9</v>
      </c>
      <c r="N1104">
        <v>0.13</v>
      </c>
      <c r="O1104" t="e">
        <v>#N/A</v>
      </c>
      <c r="P1104" t="e">
        <v>#N/A</v>
      </c>
      <c r="Q1104" s="15" t="e">
        <v>#N/A</v>
      </c>
      <c r="R1104" t="s">
        <v>45</v>
      </c>
      <c r="S1104"/>
    </row>
    <row r="1105" spans="1:19" ht="15" x14ac:dyDescent="0.25">
      <c r="A1105" s="7">
        <v>2012</v>
      </c>
      <c r="B1105" s="122">
        <v>41129</v>
      </c>
      <c r="C1105" t="s">
        <v>35</v>
      </c>
      <c r="D1105" t="s">
        <v>2</v>
      </c>
      <c r="E1105" t="s">
        <v>393</v>
      </c>
      <c r="F1105" t="s">
        <v>38</v>
      </c>
      <c r="G1105" t="s">
        <v>384</v>
      </c>
      <c r="H1105" s="7" t="s">
        <v>379</v>
      </c>
      <c r="I1105" t="s">
        <v>41</v>
      </c>
      <c r="J1105" s="121">
        <v>0.7378703703703704</v>
      </c>
      <c r="K1105">
        <v>91.1</v>
      </c>
      <c r="L1105">
        <v>0.5</v>
      </c>
      <c r="M1105">
        <v>452.9</v>
      </c>
      <c r="N1105">
        <v>0.13</v>
      </c>
      <c r="O1105">
        <v>62.9</v>
      </c>
      <c r="P1105">
        <v>2.2000000000000002</v>
      </c>
      <c r="Q1105" s="15">
        <v>50</v>
      </c>
      <c r="R1105" t="s">
        <v>45</v>
      </c>
      <c r="S1105"/>
    </row>
    <row r="1106" spans="1:19" ht="15" x14ac:dyDescent="0.25">
      <c r="A1106" s="7">
        <v>2012</v>
      </c>
      <c r="B1106" s="122">
        <v>41129</v>
      </c>
      <c r="C1106" t="s">
        <v>35</v>
      </c>
      <c r="D1106" t="s">
        <v>2</v>
      </c>
      <c r="E1106" t="s">
        <v>393</v>
      </c>
      <c r="F1106" t="s">
        <v>38</v>
      </c>
      <c r="G1106" t="s">
        <v>384</v>
      </c>
      <c r="H1106" s="7" t="s">
        <v>379</v>
      </c>
      <c r="I1106" t="s">
        <v>41</v>
      </c>
      <c r="J1106" s="121">
        <v>0.73806712962962961</v>
      </c>
      <c r="K1106">
        <v>193.4</v>
      </c>
      <c r="L1106">
        <v>0.25</v>
      </c>
      <c r="M1106">
        <v>452.9</v>
      </c>
      <c r="N1106">
        <v>0.13</v>
      </c>
      <c r="O1106">
        <v>62.9</v>
      </c>
      <c r="P1106">
        <v>1.1000000000000001</v>
      </c>
      <c r="Q1106" s="15">
        <v>50</v>
      </c>
      <c r="R1106" t="s">
        <v>45</v>
      </c>
      <c r="S1106"/>
    </row>
    <row r="1107" spans="1:19" ht="15" x14ac:dyDescent="0.25">
      <c r="A1107" s="7">
        <v>2012</v>
      </c>
      <c r="B1107" s="122">
        <v>41129</v>
      </c>
      <c r="C1107" t="s">
        <v>35</v>
      </c>
      <c r="D1107" t="s">
        <v>2</v>
      </c>
      <c r="E1107" t="s">
        <v>393</v>
      </c>
      <c r="F1107" t="s">
        <v>38</v>
      </c>
      <c r="G1107" t="s">
        <v>384</v>
      </c>
      <c r="H1107" s="7" t="s">
        <v>379</v>
      </c>
      <c r="I1107" t="s">
        <v>41</v>
      </c>
      <c r="J1107" s="121">
        <v>0.73827546296296298</v>
      </c>
      <c r="K1107">
        <v>255.5</v>
      </c>
      <c r="L1107">
        <v>0.33</v>
      </c>
      <c r="M1107">
        <v>452.9</v>
      </c>
      <c r="N1107">
        <v>0.13</v>
      </c>
      <c r="O1107">
        <v>62.9</v>
      </c>
      <c r="P1107">
        <v>0.7</v>
      </c>
      <c r="Q1107" s="15">
        <v>50</v>
      </c>
      <c r="R1107" t="s">
        <v>45</v>
      </c>
      <c r="S1107"/>
    </row>
    <row r="1108" spans="1:19" ht="15" x14ac:dyDescent="0.25">
      <c r="A1108" s="7">
        <v>2012</v>
      </c>
      <c r="B1108" s="122">
        <v>41129</v>
      </c>
      <c r="C1108" t="s">
        <v>35</v>
      </c>
      <c r="D1108" t="s">
        <v>2</v>
      </c>
      <c r="E1108" t="s">
        <v>393</v>
      </c>
      <c r="F1108" t="s">
        <v>38</v>
      </c>
      <c r="G1108" t="s">
        <v>384</v>
      </c>
      <c r="H1108" s="7" t="s">
        <v>379</v>
      </c>
      <c r="I1108" t="s">
        <v>41</v>
      </c>
      <c r="J1108" s="121">
        <v>0.7384722222222222</v>
      </c>
      <c r="K1108">
        <v>268.3</v>
      </c>
      <c r="L1108">
        <v>0.3</v>
      </c>
      <c r="M1108">
        <v>452.9</v>
      </c>
      <c r="N1108">
        <v>0.13</v>
      </c>
      <c r="O1108">
        <v>62.9</v>
      </c>
      <c r="P1108">
        <v>0.6</v>
      </c>
      <c r="Q1108" s="15">
        <v>50</v>
      </c>
      <c r="R1108" t="s">
        <v>45</v>
      </c>
      <c r="S1108"/>
    </row>
    <row r="1109" spans="1:19" ht="15" x14ac:dyDescent="0.25">
      <c r="A1109" s="7">
        <v>2012</v>
      </c>
      <c r="B1109" s="122">
        <v>41129</v>
      </c>
      <c r="C1109" t="s">
        <v>35</v>
      </c>
      <c r="D1109" t="s">
        <v>2</v>
      </c>
      <c r="E1109" t="s">
        <v>393</v>
      </c>
      <c r="F1109" t="s">
        <v>38</v>
      </c>
      <c r="G1109" t="s">
        <v>384</v>
      </c>
      <c r="H1109" s="7" t="s">
        <v>379</v>
      </c>
      <c r="I1109" t="s">
        <v>41</v>
      </c>
      <c r="J1109" s="121">
        <v>0.73870370370370375</v>
      </c>
      <c r="K1109">
        <v>230.9</v>
      </c>
      <c r="L1109">
        <v>0.35</v>
      </c>
      <c r="M1109">
        <v>452.9</v>
      </c>
      <c r="N1109">
        <v>0.13</v>
      </c>
      <c r="O1109">
        <v>63</v>
      </c>
      <c r="P1109">
        <v>0.8</v>
      </c>
      <c r="Q1109" s="15">
        <v>50</v>
      </c>
      <c r="R1109" t="s">
        <v>45</v>
      </c>
      <c r="S1109"/>
    </row>
    <row r="1110" spans="1:19" ht="15" x14ac:dyDescent="0.25">
      <c r="A1110" s="7">
        <v>2012</v>
      </c>
      <c r="B1110" s="122">
        <v>41129</v>
      </c>
      <c r="C1110" t="s">
        <v>35</v>
      </c>
      <c r="D1110" t="s">
        <v>2</v>
      </c>
      <c r="E1110" t="s">
        <v>393</v>
      </c>
      <c r="F1110" t="s">
        <v>38</v>
      </c>
      <c r="G1110" t="s">
        <v>384</v>
      </c>
      <c r="H1110" s="7" t="s">
        <v>379</v>
      </c>
      <c r="I1110" t="s">
        <v>41</v>
      </c>
      <c r="J1110" s="121">
        <v>0.73922453703703705</v>
      </c>
      <c r="K1110" t="e">
        <v>#N/A</v>
      </c>
      <c r="L1110" t="e">
        <v>#N/A</v>
      </c>
      <c r="M1110">
        <v>472.7</v>
      </c>
      <c r="N1110">
        <v>0.09</v>
      </c>
      <c r="O1110" t="e">
        <v>#N/A</v>
      </c>
      <c r="P1110" t="e">
        <v>#N/A</v>
      </c>
      <c r="Q1110" s="15" t="e">
        <v>#N/A</v>
      </c>
      <c r="R1110" t="s">
        <v>45</v>
      </c>
      <c r="S1110"/>
    </row>
    <row r="1111" spans="1:19" ht="15" x14ac:dyDescent="0.25">
      <c r="A1111" s="7">
        <v>2012</v>
      </c>
      <c r="B1111" s="122">
        <v>41129</v>
      </c>
      <c r="C1111" t="s">
        <v>35</v>
      </c>
      <c r="D1111" t="s">
        <v>2</v>
      </c>
      <c r="E1111" t="s">
        <v>393</v>
      </c>
      <c r="F1111" t="s">
        <v>38</v>
      </c>
      <c r="G1111" t="s">
        <v>384</v>
      </c>
      <c r="H1111" s="7" t="s">
        <v>379</v>
      </c>
      <c r="I1111" t="s">
        <v>41</v>
      </c>
      <c r="J1111" s="121">
        <v>0.73983796296296289</v>
      </c>
      <c r="K1111">
        <v>280.39999999999998</v>
      </c>
      <c r="L1111">
        <v>0.25</v>
      </c>
      <c r="M1111">
        <v>472.7</v>
      </c>
      <c r="N1111">
        <v>0.09</v>
      </c>
      <c r="O1111">
        <v>63.1</v>
      </c>
      <c r="P1111">
        <v>0.6</v>
      </c>
      <c r="Q1111" s="15">
        <v>65</v>
      </c>
      <c r="R1111" t="s">
        <v>45</v>
      </c>
      <c r="S1111"/>
    </row>
    <row r="1112" spans="1:19" ht="15" x14ac:dyDescent="0.25">
      <c r="A1112" s="7">
        <v>2012</v>
      </c>
      <c r="B1112" s="122">
        <v>41129</v>
      </c>
      <c r="C1112" t="s">
        <v>35</v>
      </c>
      <c r="D1112" t="s">
        <v>2</v>
      </c>
      <c r="E1112" t="s">
        <v>393</v>
      </c>
      <c r="F1112" t="s">
        <v>38</v>
      </c>
      <c r="G1112" t="s">
        <v>384</v>
      </c>
      <c r="H1112" s="7" t="s">
        <v>379</v>
      </c>
      <c r="I1112" t="s">
        <v>41</v>
      </c>
      <c r="J1112" s="121">
        <v>0.74011574074074071</v>
      </c>
      <c r="K1112">
        <v>385.1</v>
      </c>
      <c r="L1112">
        <v>0.2</v>
      </c>
      <c r="M1112">
        <v>472.7</v>
      </c>
      <c r="N1112">
        <v>0.09</v>
      </c>
      <c r="O1112">
        <v>63.1</v>
      </c>
      <c r="P1112">
        <v>0.2</v>
      </c>
      <c r="Q1112" s="15">
        <v>65</v>
      </c>
      <c r="R1112" t="s">
        <v>45</v>
      </c>
      <c r="S1112"/>
    </row>
    <row r="1113" spans="1:19" ht="15" x14ac:dyDescent="0.25">
      <c r="A1113" s="7">
        <v>2012</v>
      </c>
      <c r="B1113" s="122">
        <v>41129</v>
      </c>
      <c r="C1113" t="s">
        <v>35</v>
      </c>
      <c r="D1113" t="s">
        <v>2</v>
      </c>
      <c r="E1113" t="s">
        <v>393</v>
      </c>
      <c r="F1113" t="s">
        <v>38</v>
      </c>
      <c r="G1113" t="s">
        <v>384</v>
      </c>
      <c r="H1113" s="7" t="s">
        <v>379</v>
      </c>
      <c r="I1113" t="s">
        <v>41</v>
      </c>
      <c r="J1113" s="121">
        <v>0.74031249999999993</v>
      </c>
      <c r="K1113">
        <v>396.4</v>
      </c>
      <c r="L1113">
        <v>0.19</v>
      </c>
      <c r="M1113">
        <v>472.7</v>
      </c>
      <c r="N1113">
        <v>0.09</v>
      </c>
      <c r="O1113">
        <v>63.1</v>
      </c>
      <c r="P1113">
        <v>0.2</v>
      </c>
      <c r="Q1113" s="15">
        <v>65</v>
      </c>
      <c r="R1113" t="s">
        <v>45</v>
      </c>
      <c r="S1113"/>
    </row>
    <row r="1114" spans="1:19" ht="15" x14ac:dyDescent="0.25">
      <c r="A1114" s="7">
        <v>2012</v>
      </c>
      <c r="B1114" s="122">
        <v>41129</v>
      </c>
      <c r="C1114" t="s">
        <v>35</v>
      </c>
      <c r="D1114" t="s">
        <v>2</v>
      </c>
      <c r="E1114" t="s">
        <v>393</v>
      </c>
      <c r="F1114" t="s">
        <v>38</v>
      </c>
      <c r="G1114" t="s">
        <v>384</v>
      </c>
      <c r="H1114" s="7" t="s">
        <v>379</v>
      </c>
      <c r="I1114" t="s">
        <v>41</v>
      </c>
      <c r="J1114" s="121">
        <v>0.74048611111111118</v>
      </c>
      <c r="K1114">
        <v>462.5</v>
      </c>
      <c r="L1114">
        <v>0.03</v>
      </c>
      <c r="M1114">
        <v>472.7</v>
      </c>
      <c r="N1114">
        <v>0.09</v>
      </c>
      <c r="O1114">
        <v>63.2</v>
      </c>
      <c r="P1114">
        <v>0</v>
      </c>
      <c r="Q1114" s="15">
        <v>65</v>
      </c>
      <c r="R1114" t="s">
        <v>45</v>
      </c>
      <c r="S1114"/>
    </row>
    <row r="1115" spans="1:19" ht="15" x14ac:dyDescent="0.25">
      <c r="A1115" s="7">
        <v>2012</v>
      </c>
      <c r="B1115" s="122">
        <v>41129</v>
      </c>
      <c r="C1115" t="s">
        <v>35</v>
      </c>
      <c r="D1115" t="s">
        <v>2</v>
      </c>
      <c r="E1115" t="s">
        <v>393</v>
      </c>
      <c r="F1115" t="s">
        <v>38</v>
      </c>
      <c r="G1115" t="s">
        <v>384</v>
      </c>
      <c r="H1115" s="7" t="s">
        <v>379</v>
      </c>
      <c r="I1115" t="s">
        <v>41</v>
      </c>
      <c r="J1115" s="121">
        <v>0.74075231481481474</v>
      </c>
      <c r="K1115">
        <v>351.6</v>
      </c>
      <c r="L1115">
        <v>0.15</v>
      </c>
      <c r="M1115">
        <v>472.7</v>
      </c>
      <c r="N1115">
        <v>0.09</v>
      </c>
      <c r="O1115">
        <v>63.2</v>
      </c>
      <c r="P1115">
        <v>0.3</v>
      </c>
      <c r="Q1115" s="15">
        <v>65</v>
      </c>
      <c r="R1115" t="s">
        <v>45</v>
      </c>
      <c r="S1115"/>
    </row>
    <row r="1116" spans="1:19" ht="15" x14ac:dyDescent="0.25">
      <c r="A1116" s="7">
        <v>2012</v>
      </c>
      <c r="B1116" s="122">
        <v>41129</v>
      </c>
      <c r="C1116" t="s">
        <v>35</v>
      </c>
      <c r="D1116" t="s">
        <v>2</v>
      </c>
      <c r="E1116" t="s">
        <v>393</v>
      </c>
      <c r="F1116" t="s">
        <v>38</v>
      </c>
      <c r="G1116" t="s">
        <v>384</v>
      </c>
      <c r="H1116" s="7" t="s">
        <v>379</v>
      </c>
      <c r="I1116" t="s">
        <v>41</v>
      </c>
      <c r="J1116" s="121">
        <v>0.74129629629629623</v>
      </c>
      <c r="K1116" t="e">
        <v>#N/A</v>
      </c>
      <c r="L1116" t="e">
        <v>#N/A</v>
      </c>
      <c r="M1116">
        <v>470.1</v>
      </c>
      <c r="N1116">
        <v>0.1</v>
      </c>
      <c r="O1116" t="e">
        <v>#N/A</v>
      </c>
      <c r="P1116" t="e">
        <v>#N/A</v>
      </c>
      <c r="Q1116" s="15" t="e">
        <v>#N/A</v>
      </c>
      <c r="R1116" t="s">
        <v>45</v>
      </c>
      <c r="S1116"/>
    </row>
    <row r="1117" spans="1:19" ht="15" x14ac:dyDescent="0.25">
      <c r="A1117" s="7">
        <v>2012</v>
      </c>
      <c r="B1117" s="122">
        <v>41129</v>
      </c>
      <c r="C1117" t="s">
        <v>35</v>
      </c>
      <c r="D1117" t="s">
        <v>2</v>
      </c>
      <c r="E1117" t="s">
        <v>393</v>
      </c>
      <c r="F1117" t="s">
        <v>38</v>
      </c>
      <c r="G1117" t="s">
        <v>384</v>
      </c>
      <c r="H1117" s="7" t="s">
        <v>379</v>
      </c>
      <c r="I1117" t="s">
        <v>41</v>
      </c>
      <c r="J1117" s="121">
        <v>0.74185185185185187</v>
      </c>
      <c r="K1117">
        <v>442.3</v>
      </c>
      <c r="L1117">
        <v>0.01</v>
      </c>
      <c r="M1117">
        <v>470.1</v>
      </c>
      <c r="N1117">
        <v>0.1</v>
      </c>
      <c r="O1117">
        <v>63.3</v>
      </c>
      <c r="P1117">
        <v>0.1</v>
      </c>
      <c r="Q1117" s="15">
        <v>80</v>
      </c>
      <c r="R1117" t="s">
        <v>45</v>
      </c>
      <c r="S1117"/>
    </row>
    <row r="1118" spans="1:19" ht="15" x14ac:dyDescent="0.25">
      <c r="A1118" s="7">
        <v>2012</v>
      </c>
      <c r="B1118" s="122">
        <v>41129</v>
      </c>
      <c r="C1118" t="s">
        <v>35</v>
      </c>
      <c r="D1118" t="s">
        <v>2</v>
      </c>
      <c r="E1118" t="s">
        <v>393</v>
      </c>
      <c r="F1118" t="s">
        <v>38</v>
      </c>
      <c r="G1118" t="s">
        <v>384</v>
      </c>
      <c r="H1118" s="7" t="s">
        <v>379</v>
      </c>
      <c r="I1118" t="s">
        <v>41</v>
      </c>
      <c r="J1118" s="121">
        <v>0.74192129629629633</v>
      </c>
      <c r="K1118">
        <v>444.2</v>
      </c>
      <c r="L1118">
        <v>0.03</v>
      </c>
      <c r="M1118">
        <v>470.1</v>
      </c>
      <c r="N1118">
        <v>0.1</v>
      </c>
      <c r="O1118">
        <v>63.3</v>
      </c>
      <c r="P1118">
        <v>0.1</v>
      </c>
      <c r="Q1118" s="15">
        <v>80</v>
      </c>
      <c r="R1118" t="s">
        <v>45</v>
      </c>
      <c r="S1118"/>
    </row>
    <row r="1119" spans="1:19" ht="15" x14ac:dyDescent="0.25">
      <c r="A1119" s="7">
        <v>2012</v>
      </c>
      <c r="B1119" s="122">
        <v>41129</v>
      </c>
      <c r="C1119" t="s">
        <v>35</v>
      </c>
      <c r="D1119" t="s">
        <v>2</v>
      </c>
      <c r="E1119" t="s">
        <v>393</v>
      </c>
      <c r="F1119" t="s">
        <v>38</v>
      </c>
      <c r="G1119" t="s">
        <v>384</v>
      </c>
      <c r="H1119" s="7" t="s">
        <v>379</v>
      </c>
      <c r="I1119" t="s">
        <v>41</v>
      </c>
      <c r="J1119" s="121">
        <v>0.74199074074074067</v>
      </c>
      <c r="K1119">
        <v>449.1</v>
      </c>
      <c r="L1119">
        <v>0.01</v>
      </c>
      <c r="M1119">
        <v>470.1</v>
      </c>
      <c r="N1119">
        <v>0.1</v>
      </c>
      <c r="O1119">
        <v>63.3</v>
      </c>
      <c r="P1119">
        <v>0</v>
      </c>
      <c r="Q1119" s="15">
        <v>80</v>
      </c>
      <c r="R1119" t="s">
        <v>45</v>
      </c>
      <c r="S1119"/>
    </row>
    <row r="1120" spans="1:19" ht="15" x14ac:dyDescent="0.25">
      <c r="A1120" s="7">
        <v>2012</v>
      </c>
      <c r="B1120" s="122">
        <v>41129</v>
      </c>
      <c r="C1120" t="s">
        <v>35</v>
      </c>
      <c r="D1120" t="s">
        <v>2</v>
      </c>
      <c r="E1120" t="s">
        <v>393</v>
      </c>
      <c r="F1120" t="s">
        <v>38</v>
      </c>
      <c r="G1120" t="s">
        <v>384</v>
      </c>
      <c r="H1120" s="7" t="s">
        <v>379</v>
      </c>
      <c r="I1120" t="s">
        <v>41</v>
      </c>
      <c r="J1120" s="121">
        <v>0.74209490740740736</v>
      </c>
      <c r="K1120">
        <v>448.2</v>
      </c>
      <c r="L1120">
        <v>0.01</v>
      </c>
      <c r="M1120">
        <v>470.1</v>
      </c>
      <c r="N1120">
        <v>0.1</v>
      </c>
      <c r="O1120">
        <v>63.4</v>
      </c>
      <c r="P1120">
        <v>0.1</v>
      </c>
      <c r="Q1120" s="15">
        <v>80</v>
      </c>
      <c r="R1120" t="s">
        <v>45</v>
      </c>
      <c r="S1120"/>
    </row>
    <row r="1121" spans="1:19" ht="15" x14ac:dyDescent="0.25">
      <c r="A1121" s="7">
        <v>2012</v>
      </c>
      <c r="B1121" s="122">
        <v>41129</v>
      </c>
      <c r="C1121" t="s">
        <v>35</v>
      </c>
      <c r="D1121" t="s">
        <v>2</v>
      </c>
      <c r="E1121" t="s">
        <v>393</v>
      </c>
      <c r="F1121" t="s">
        <v>38</v>
      </c>
      <c r="G1121" t="s">
        <v>384</v>
      </c>
      <c r="H1121" s="7" t="s">
        <v>379</v>
      </c>
      <c r="I1121" t="s">
        <v>41</v>
      </c>
      <c r="J1121" s="121">
        <v>0.74228009259259264</v>
      </c>
      <c r="K1121">
        <v>427.1</v>
      </c>
      <c r="L1121">
        <v>0.06</v>
      </c>
      <c r="M1121">
        <v>470.1</v>
      </c>
      <c r="N1121">
        <v>0.1</v>
      </c>
      <c r="O1121">
        <v>63.4</v>
      </c>
      <c r="P1121">
        <v>0.1</v>
      </c>
      <c r="Q1121" s="15">
        <v>80</v>
      </c>
      <c r="R1121" t="s">
        <v>45</v>
      </c>
      <c r="S1121"/>
    </row>
    <row r="1122" spans="1:19" ht="15" x14ac:dyDescent="0.25">
      <c r="A1122" s="7">
        <v>2012</v>
      </c>
      <c r="B1122" s="122">
        <v>41129</v>
      </c>
      <c r="C1122" t="s">
        <v>35</v>
      </c>
      <c r="D1122" t="s">
        <v>2</v>
      </c>
      <c r="E1122" t="s">
        <v>393</v>
      </c>
      <c r="F1122" t="s">
        <v>38</v>
      </c>
      <c r="G1122" t="s">
        <v>384</v>
      </c>
      <c r="H1122" s="7" t="s">
        <v>379</v>
      </c>
      <c r="I1122" t="s">
        <v>41</v>
      </c>
      <c r="J1122" s="121">
        <v>0.74321759259259268</v>
      </c>
      <c r="K1122" t="e">
        <v>#N/A</v>
      </c>
      <c r="L1122" t="e">
        <v>#N/A</v>
      </c>
      <c r="M1122">
        <v>454.7</v>
      </c>
      <c r="N1122">
        <v>0.16</v>
      </c>
      <c r="O1122" t="e">
        <v>#N/A</v>
      </c>
      <c r="P1122" t="e">
        <v>#N/A</v>
      </c>
      <c r="Q1122" s="15" t="e">
        <v>#N/A</v>
      </c>
      <c r="R1122" t="s">
        <v>45</v>
      </c>
      <c r="S1122"/>
    </row>
    <row r="1123" spans="1:19" ht="15" x14ac:dyDescent="0.25">
      <c r="A1123" s="7">
        <v>2012</v>
      </c>
      <c r="B1123" s="122">
        <v>41129</v>
      </c>
      <c r="C1123" t="s">
        <v>35</v>
      </c>
      <c r="D1123" t="s">
        <v>2</v>
      </c>
      <c r="E1123" t="s">
        <v>393</v>
      </c>
      <c r="F1123" t="s">
        <v>38</v>
      </c>
      <c r="G1123" t="s">
        <v>384</v>
      </c>
      <c r="H1123" s="7" t="s">
        <v>379</v>
      </c>
      <c r="I1123" t="s">
        <v>41</v>
      </c>
      <c r="J1123" s="121">
        <v>0.74358796296296292</v>
      </c>
      <c r="K1123">
        <v>460.6</v>
      </c>
      <c r="L1123">
        <v>0.02</v>
      </c>
      <c r="M1123">
        <v>454.7</v>
      </c>
      <c r="N1123">
        <v>0.16</v>
      </c>
      <c r="O1123">
        <v>63.5</v>
      </c>
      <c r="P1123">
        <v>0</v>
      </c>
      <c r="Q1123" s="15" t="s">
        <v>50</v>
      </c>
      <c r="R1123" t="s">
        <v>45</v>
      </c>
      <c r="S1123"/>
    </row>
    <row r="1124" spans="1:19" ht="15" x14ac:dyDescent="0.25">
      <c r="A1124" s="7">
        <v>2012</v>
      </c>
      <c r="B1124" s="122">
        <v>41129</v>
      </c>
      <c r="C1124" t="s">
        <v>35</v>
      </c>
      <c r="D1124" t="s">
        <v>2</v>
      </c>
      <c r="E1124" t="s">
        <v>393</v>
      </c>
      <c r="F1124" t="s">
        <v>38</v>
      </c>
      <c r="G1124" t="s">
        <v>384</v>
      </c>
      <c r="H1124" s="7" t="s">
        <v>379</v>
      </c>
      <c r="I1124" t="s">
        <v>41</v>
      </c>
      <c r="J1124" s="121">
        <v>0.74363425925925919</v>
      </c>
      <c r="K1124">
        <v>461.3</v>
      </c>
      <c r="L1124">
        <v>0.01</v>
      </c>
      <c r="M1124">
        <v>454.7</v>
      </c>
      <c r="N1124">
        <v>0.16</v>
      </c>
      <c r="O1124">
        <v>63.5</v>
      </c>
      <c r="P1124">
        <v>0</v>
      </c>
      <c r="Q1124" s="15" t="s">
        <v>50</v>
      </c>
      <c r="R1124" t="s">
        <v>45</v>
      </c>
      <c r="S1124"/>
    </row>
    <row r="1125" spans="1:19" ht="15" x14ac:dyDescent="0.25">
      <c r="A1125" s="7">
        <v>2012</v>
      </c>
      <c r="B1125" s="122">
        <v>41129</v>
      </c>
      <c r="C1125" t="s">
        <v>35</v>
      </c>
      <c r="D1125" t="s">
        <v>2</v>
      </c>
      <c r="E1125" t="s">
        <v>393</v>
      </c>
      <c r="F1125" t="s">
        <v>38</v>
      </c>
      <c r="G1125" t="s">
        <v>384</v>
      </c>
      <c r="H1125" s="7" t="s">
        <v>379</v>
      </c>
      <c r="I1125" t="s">
        <v>41</v>
      </c>
      <c r="J1125" s="121">
        <v>0.74366898148148142</v>
      </c>
      <c r="K1125">
        <v>461.9</v>
      </c>
      <c r="L1125">
        <v>0.02</v>
      </c>
      <c r="M1125">
        <v>454.7</v>
      </c>
      <c r="N1125">
        <v>0.16</v>
      </c>
      <c r="O1125">
        <v>63.5</v>
      </c>
      <c r="P1125">
        <v>0</v>
      </c>
      <c r="Q1125" s="15" t="s">
        <v>50</v>
      </c>
      <c r="R1125" t="s">
        <v>45</v>
      </c>
      <c r="S1125"/>
    </row>
    <row r="1126" spans="1:19" ht="15" x14ac:dyDescent="0.25">
      <c r="A1126" s="7">
        <v>2012</v>
      </c>
      <c r="B1126" s="122">
        <v>41129</v>
      </c>
      <c r="C1126" t="s">
        <v>35</v>
      </c>
      <c r="D1126" t="s">
        <v>2</v>
      </c>
      <c r="E1126" t="s">
        <v>393</v>
      </c>
      <c r="F1126" t="s">
        <v>38</v>
      </c>
      <c r="G1126" t="s">
        <v>384</v>
      </c>
      <c r="H1126" s="7" t="s">
        <v>379</v>
      </c>
      <c r="I1126" t="s">
        <v>41</v>
      </c>
      <c r="J1126" s="121">
        <v>0.74371527777777768</v>
      </c>
      <c r="K1126">
        <v>463.8</v>
      </c>
      <c r="L1126">
        <v>0.01</v>
      </c>
      <c r="M1126">
        <v>454.7</v>
      </c>
      <c r="N1126">
        <v>0.16</v>
      </c>
      <c r="O1126">
        <v>63.5</v>
      </c>
      <c r="P1126">
        <v>0</v>
      </c>
      <c r="Q1126" s="15" t="s">
        <v>50</v>
      </c>
      <c r="R1126" t="s">
        <v>45</v>
      </c>
      <c r="S1126"/>
    </row>
    <row r="1127" spans="1:19" ht="15" x14ac:dyDescent="0.25">
      <c r="A1127" s="7">
        <v>2012</v>
      </c>
      <c r="B1127" s="122">
        <v>41129</v>
      </c>
      <c r="C1127" t="s">
        <v>35</v>
      </c>
      <c r="D1127" t="s">
        <v>2</v>
      </c>
      <c r="E1127" t="s">
        <v>393</v>
      </c>
      <c r="F1127" t="s">
        <v>38</v>
      </c>
      <c r="G1127" t="s">
        <v>384</v>
      </c>
      <c r="H1127" s="7" t="s">
        <v>379</v>
      </c>
      <c r="I1127" t="s">
        <v>41</v>
      </c>
      <c r="J1127" s="121">
        <v>0.74376157407407406</v>
      </c>
      <c r="K1127">
        <v>464.4</v>
      </c>
      <c r="L1127">
        <v>0.01</v>
      </c>
      <c r="M1127">
        <v>454.7</v>
      </c>
      <c r="N1127">
        <v>0.16</v>
      </c>
      <c r="O1127">
        <v>63.5</v>
      </c>
      <c r="P1127">
        <v>0</v>
      </c>
      <c r="Q1127" s="15" t="s">
        <v>50</v>
      </c>
      <c r="R1127" t="s">
        <v>45</v>
      </c>
      <c r="S1127"/>
    </row>
  </sheetData>
  <sortState ref="A4:T781">
    <sortCondition ref="E4:E781"/>
  </sortState>
  <phoneticPr fontId="7" type="noConversion"/>
  <dataValidations count="6">
    <dataValidation type="list" allowBlank="1" showInputMessage="1" showErrorMessage="1" sqref="E571:E664 E303:E531 E160:E219 E40:E129 E702:E719">
      <formula1>SampleID</formula1>
    </dataValidation>
    <dataValidation type="list" allowBlank="1" showInputMessage="1" showErrorMessage="1" sqref="F571:F664 F303:F531 F160:F219 F40:F129 F702:F719">
      <formula1>Treatment</formula1>
    </dataValidation>
    <dataValidation type="list" allowBlank="1" showInputMessage="1" showErrorMessage="1" sqref="C532:C664 C303:C513 C160:C219 C40:C129 C702:C719">
      <formula1>Site</formula1>
    </dataValidation>
    <dataValidation type="list" allowBlank="1" showInputMessage="1" showErrorMessage="1" sqref="D532:D664 D303:D513 D40:D129 D160:D219">
      <formula1>Group</formula1>
    </dataValidation>
    <dataValidation type="list" allowBlank="1" showInputMessage="1" showErrorMessage="1" sqref="I592:I609 I683:I701 I246:I272 I347:I368 I160:I219 I40:I129 I514:I570 I444:I465">
      <formula1>DomVeg</formula1>
    </dataValidation>
    <dataValidation type="list" allowBlank="1" showInputMessage="1" showErrorMessage="1" sqref="G400:G944">
      <formula1>Measurement</formula1>
    </dataValidation>
  </dataValidations>
  <pageMargins left="0.7" right="0.7" top="0.75" bottom="0.75" header="0.3" footer="0.3"/>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33"/>
    <col min="2" max="2" width="26.5703125" style="133" customWidth="1"/>
    <col min="3" max="3" width="51.85546875" style="133" customWidth="1"/>
    <col min="4" max="4" width="11.7109375" style="133" customWidth="1"/>
    <col min="5" max="5" width="13.85546875" style="133" customWidth="1"/>
    <col min="6" max="257" width="9.140625" style="133"/>
    <col min="258" max="258" width="26.5703125" style="133" customWidth="1"/>
    <col min="259" max="259" width="51.85546875" style="133" customWidth="1"/>
    <col min="260" max="260" width="11.7109375" style="133" customWidth="1"/>
    <col min="261" max="261" width="13.85546875" style="133" customWidth="1"/>
    <col min="262" max="513" width="9.140625" style="133"/>
    <col min="514" max="514" width="26.5703125" style="133" customWidth="1"/>
    <col min="515" max="515" width="51.85546875" style="133" customWidth="1"/>
    <col min="516" max="516" width="11.7109375" style="133" customWidth="1"/>
    <col min="517" max="517" width="13.85546875" style="133" customWidth="1"/>
    <col min="518" max="769" width="9.140625" style="133"/>
    <col min="770" max="770" width="26.5703125" style="133" customWidth="1"/>
    <col min="771" max="771" width="51.85546875" style="133" customWidth="1"/>
    <col min="772" max="772" width="11.7109375" style="133" customWidth="1"/>
    <col min="773" max="773" width="13.85546875" style="133" customWidth="1"/>
    <col min="774" max="1025" width="9.140625" style="133"/>
    <col min="1026" max="1026" width="26.5703125" style="133" customWidth="1"/>
    <col min="1027" max="1027" width="51.85546875" style="133" customWidth="1"/>
    <col min="1028" max="1028" width="11.7109375" style="133" customWidth="1"/>
    <col min="1029" max="1029" width="13.85546875" style="133" customWidth="1"/>
    <col min="1030" max="1281" width="9.140625" style="133"/>
    <col min="1282" max="1282" width="26.5703125" style="133" customWidth="1"/>
    <col min="1283" max="1283" width="51.85546875" style="133" customWidth="1"/>
    <col min="1284" max="1284" width="11.7109375" style="133" customWidth="1"/>
    <col min="1285" max="1285" width="13.85546875" style="133" customWidth="1"/>
    <col min="1286" max="1537" width="9.140625" style="133"/>
    <col min="1538" max="1538" width="26.5703125" style="133" customWidth="1"/>
    <col min="1539" max="1539" width="51.85546875" style="133" customWidth="1"/>
    <col min="1540" max="1540" width="11.7109375" style="133" customWidth="1"/>
    <col min="1541" max="1541" width="13.85546875" style="133" customWidth="1"/>
    <col min="1542" max="1793" width="9.140625" style="133"/>
    <col min="1794" max="1794" width="26.5703125" style="133" customWidth="1"/>
    <col min="1795" max="1795" width="51.85546875" style="133" customWidth="1"/>
    <col min="1796" max="1796" width="11.7109375" style="133" customWidth="1"/>
    <col min="1797" max="1797" width="13.85546875" style="133" customWidth="1"/>
    <col min="1798" max="2049" width="9.140625" style="133"/>
    <col min="2050" max="2050" width="26.5703125" style="133" customWidth="1"/>
    <col min="2051" max="2051" width="51.85546875" style="133" customWidth="1"/>
    <col min="2052" max="2052" width="11.7109375" style="133" customWidth="1"/>
    <col min="2053" max="2053" width="13.85546875" style="133" customWidth="1"/>
    <col min="2054" max="2305" width="9.140625" style="133"/>
    <col min="2306" max="2306" width="26.5703125" style="133" customWidth="1"/>
    <col min="2307" max="2307" width="51.85546875" style="133" customWidth="1"/>
    <col min="2308" max="2308" width="11.7109375" style="133" customWidth="1"/>
    <col min="2309" max="2309" width="13.85546875" style="133" customWidth="1"/>
    <col min="2310" max="2561" width="9.140625" style="133"/>
    <col min="2562" max="2562" width="26.5703125" style="133" customWidth="1"/>
    <col min="2563" max="2563" width="51.85546875" style="133" customWidth="1"/>
    <col min="2564" max="2564" width="11.7109375" style="133" customWidth="1"/>
    <col min="2565" max="2565" width="13.85546875" style="133" customWidth="1"/>
    <col min="2566" max="2817" width="9.140625" style="133"/>
    <col min="2818" max="2818" width="26.5703125" style="133" customWidth="1"/>
    <col min="2819" max="2819" width="51.85546875" style="133" customWidth="1"/>
    <col min="2820" max="2820" width="11.7109375" style="133" customWidth="1"/>
    <col min="2821" max="2821" width="13.85546875" style="133" customWidth="1"/>
    <col min="2822" max="3073" width="9.140625" style="133"/>
    <col min="3074" max="3074" width="26.5703125" style="133" customWidth="1"/>
    <col min="3075" max="3075" width="51.85546875" style="133" customWidth="1"/>
    <col min="3076" max="3076" width="11.7109375" style="133" customWidth="1"/>
    <col min="3077" max="3077" width="13.85546875" style="133" customWidth="1"/>
    <col min="3078" max="3329" width="9.140625" style="133"/>
    <col min="3330" max="3330" width="26.5703125" style="133" customWidth="1"/>
    <col min="3331" max="3331" width="51.85546875" style="133" customWidth="1"/>
    <col min="3332" max="3332" width="11.7109375" style="133" customWidth="1"/>
    <col min="3333" max="3333" width="13.85546875" style="133" customWidth="1"/>
    <col min="3334" max="3585" width="9.140625" style="133"/>
    <col min="3586" max="3586" width="26.5703125" style="133" customWidth="1"/>
    <col min="3587" max="3587" width="51.85546875" style="133" customWidth="1"/>
    <col min="3588" max="3588" width="11.7109375" style="133" customWidth="1"/>
    <col min="3589" max="3589" width="13.85546875" style="133" customWidth="1"/>
    <col min="3590" max="3841" width="9.140625" style="133"/>
    <col min="3842" max="3842" width="26.5703125" style="133" customWidth="1"/>
    <col min="3843" max="3843" width="51.85546875" style="133" customWidth="1"/>
    <col min="3844" max="3844" width="11.7109375" style="133" customWidth="1"/>
    <col min="3845" max="3845" width="13.85546875" style="133" customWidth="1"/>
    <col min="3846" max="4097" width="9.140625" style="133"/>
    <col min="4098" max="4098" width="26.5703125" style="133" customWidth="1"/>
    <col min="4099" max="4099" width="51.85546875" style="133" customWidth="1"/>
    <col min="4100" max="4100" width="11.7109375" style="133" customWidth="1"/>
    <col min="4101" max="4101" width="13.85546875" style="133" customWidth="1"/>
    <col min="4102" max="4353" width="9.140625" style="133"/>
    <col min="4354" max="4354" width="26.5703125" style="133" customWidth="1"/>
    <col min="4355" max="4355" width="51.85546875" style="133" customWidth="1"/>
    <col min="4356" max="4356" width="11.7109375" style="133" customWidth="1"/>
    <col min="4357" max="4357" width="13.85546875" style="133" customWidth="1"/>
    <col min="4358" max="4609" width="9.140625" style="133"/>
    <col min="4610" max="4610" width="26.5703125" style="133" customWidth="1"/>
    <col min="4611" max="4611" width="51.85546875" style="133" customWidth="1"/>
    <col min="4612" max="4612" width="11.7109375" style="133" customWidth="1"/>
    <col min="4613" max="4613" width="13.85546875" style="133" customWidth="1"/>
    <col min="4614" max="4865" width="9.140625" style="133"/>
    <col min="4866" max="4866" width="26.5703125" style="133" customWidth="1"/>
    <col min="4867" max="4867" width="51.85546875" style="133" customWidth="1"/>
    <col min="4868" max="4868" width="11.7109375" style="133" customWidth="1"/>
    <col min="4869" max="4869" width="13.85546875" style="133" customWidth="1"/>
    <col min="4870" max="5121" width="9.140625" style="133"/>
    <col min="5122" max="5122" width="26.5703125" style="133" customWidth="1"/>
    <col min="5123" max="5123" width="51.85546875" style="133" customWidth="1"/>
    <col min="5124" max="5124" width="11.7109375" style="133" customWidth="1"/>
    <col min="5125" max="5125" width="13.85546875" style="133" customWidth="1"/>
    <col min="5126" max="5377" width="9.140625" style="133"/>
    <col min="5378" max="5378" width="26.5703125" style="133" customWidth="1"/>
    <col min="5379" max="5379" width="51.85546875" style="133" customWidth="1"/>
    <col min="5380" max="5380" width="11.7109375" style="133" customWidth="1"/>
    <col min="5381" max="5381" width="13.85546875" style="133" customWidth="1"/>
    <col min="5382" max="5633" width="9.140625" style="133"/>
    <col min="5634" max="5634" width="26.5703125" style="133" customWidth="1"/>
    <col min="5635" max="5635" width="51.85546875" style="133" customWidth="1"/>
    <col min="5636" max="5636" width="11.7109375" style="133" customWidth="1"/>
    <col min="5637" max="5637" width="13.85546875" style="133" customWidth="1"/>
    <col min="5638" max="5889" width="9.140625" style="133"/>
    <col min="5890" max="5890" width="26.5703125" style="133" customWidth="1"/>
    <col min="5891" max="5891" width="51.85546875" style="133" customWidth="1"/>
    <col min="5892" max="5892" width="11.7109375" style="133" customWidth="1"/>
    <col min="5893" max="5893" width="13.85546875" style="133" customWidth="1"/>
    <col min="5894" max="6145" width="9.140625" style="133"/>
    <col min="6146" max="6146" width="26.5703125" style="133" customWidth="1"/>
    <col min="6147" max="6147" width="51.85546875" style="133" customWidth="1"/>
    <col min="6148" max="6148" width="11.7109375" style="133" customWidth="1"/>
    <col min="6149" max="6149" width="13.85546875" style="133" customWidth="1"/>
    <col min="6150" max="6401" width="9.140625" style="133"/>
    <col min="6402" max="6402" width="26.5703125" style="133" customWidth="1"/>
    <col min="6403" max="6403" width="51.85546875" style="133" customWidth="1"/>
    <col min="6404" max="6404" width="11.7109375" style="133" customWidth="1"/>
    <col min="6405" max="6405" width="13.85546875" style="133" customWidth="1"/>
    <col min="6406" max="6657" width="9.140625" style="133"/>
    <col min="6658" max="6658" width="26.5703125" style="133" customWidth="1"/>
    <col min="6659" max="6659" width="51.85546875" style="133" customWidth="1"/>
    <col min="6660" max="6660" width="11.7109375" style="133" customWidth="1"/>
    <col min="6661" max="6661" width="13.85546875" style="133" customWidth="1"/>
    <col min="6662" max="6913" width="9.140625" style="133"/>
    <col min="6914" max="6914" width="26.5703125" style="133" customWidth="1"/>
    <col min="6915" max="6915" width="51.85546875" style="133" customWidth="1"/>
    <col min="6916" max="6916" width="11.7109375" style="133" customWidth="1"/>
    <col min="6917" max="6917" width="13.85546875" style="133" customWidth="1"/>
    <col min="6918" max="7169" width="9.140625" style="133"/>
    <col min="7170" max="7170" width="26.5703125" style="133" customWidth="1"/>
    <col min="7171" max="7171" width="51.85546875" style="133" customWidth="1"/>
    <col min="7172" max="7172" width="11.7109375" style="133" customWidth="1"/>
    <col min="7173" max="7173" width="13.85546875" style="133" customWidth="1"/>
    <col min="7174" max="7425" width="9.140625" style="133"/>
    <col min="7426" max="7426" width="26.5703125" style="133" customWidth="1"/>
    <col min="7427" max="7427" width="51.85546875" style="133" customWidth="1"/>
    <col min="7428" max="7428" width="11.7109375" style="133" customWidth="1"/>
    <col min="7429" max="7429" width="13.85546875" style="133" customWidth="1"/>
    <col min="7430" max="7681" width="9.140625" style="133"/>
    <col min="7682" max="7682" width="26.5703125" style="133" customWidth="1"/>
    <col min="7683" max="7683" width="51.85546875" style="133" customWidth="1"/>
    <col min="7684" max="7684" width="11.7109375" style="133" customWidth="1"/>
    <col min="7685" max="7685" width="13.85546875" style="133" customWidth="1"/>
    <col min="7686" max="7937" width="9.140625" style="133"/>
    <col min="7938" max="7938" width="26.5703125" style="133" customWidth="1"/>
    <col min="7939" max="7939" width="51.85546875" style="133" customWidth="1"/>
    <col min="7940" max="7940" width="11.7109375" style="133" customWidth="1"/>
    <col min="7941" max="7941" width="13.85546875" style="133" customWidth="1"/>
    <col min="7942" max="8193" width="9.140625" style="133"/>
    <col min="8194" max="8194" width="26.5703125" style="133" customWidth="1"/>
    <col min="8195" max="8195" width="51.85546875" style="133" customWidth="1"/>
    <col min="8196" max="8196" width="11.7109375" style="133" customWidth="1"/>
    <col min="8197" max="8197" width="13.85546875" style="133" customWidth="1"/>
    <col min="8198" max="8449" width="9.140625" style="133"/>
    <col min="8450" max="8450" width="26.5703125" style="133" customWidth="1"/>
    <col min="8451" max="8451" width="51.85546875" style="133" customWidth="1"/>
    <col min="8452" max="8452" width="11.7109375" style="133" customWidth="1"/>
    <col min="8453" max="8453" width="13.85546875" style="133" customWidth="1"/>
    <col min="8454" max="8705" width="9.140625" style="133"/>
    <col min="8706" max="8706" width="26.5703125" style="133" customWidth="1"/>
    <col min="8707" max="8707" width="51.85546875" style="133" customWidth="1"/>
    <col min="8708" max="8708" width="11.7109375" style="133" customWidth="1"/>
    <col min="8709" max="8709" width="13.85546875" style="133" customWidth="1"/>
    <col min="8710" max="8961" width="9.140625" style="133"/>
    <col min="8962" max="8962" width="26.5703125" style="133" customWidth="1"/>
    <col min="8963" max="8963" width="51.85546875" style="133" customWidth="1"/>
    <col min="8964" max="8964" width="11.7109375" style="133" customWidth="1"/>
    <col min="8965" max="8965" width="13.85546875" style="133" customWidth="1"/>
    <col min="8966" max="9217" width="9.140625" style="133"/>
    <col min="9218" max="9218" width="26.5703125" style="133" customWidth="1"/>
    <col min="9219" max="9219" width="51.85546875" style="133" customWidth="1"/>
    <col min="9220" max="9220" width="11.7109375" style="133" customWidth="1"/>
    <col min="9221" max="9221" width="13.85546875" style="133" customWidth="1"/>
    <col min="9222" max="9473" width="9.140625" style="133"/>
    <col min="9474" max="9474" width="26.5703125" style="133" customWidth="1"/>
    <col min="9475" max="9475" width="51.85546875" style="133" customWidth="1"/>
    <col min="9476" max="9476" width="11.7109375" style="133" customWidth="1"/>
    <col min="9477" max="9477" width="13.85546875" style="133" customWidth="1"/>
    <col min="9478" max="9729" width="9.140625" style="133"/>
    <col min="9730" max="9730" width="26.5703125" style="133" customWidth="1"/>
    <col min="9731" max="9731" width="51.85546875" style="133" customWidth="1"/>
    <col min="9732" max="9732" width="11.7109375" style="133" customWidth="1"/>
    <col min="9733" max="9733" width="13.85546875" style="133" customWidth="1"/>
    <col min="9734" max="9985" width="9.140625" style="133"/>
    <col min="9986" max="9986" width="26.5703125" style="133" customWidth="1"/>
    <col min="9987" max="9987" width="51.85546875" style="133" customWidth="1"/>
    <col min="9988" max="9988" width="11.7109375" style="133" customWidth="1"/>
    <col min="9989" max="9989" width="13.85546875" style="133" customWidth="1"/>
    <col min="9990" max="10241" width="9.140625" style="133"/>
    <col min="10242" max="10242" width="26.5703125" style="133" customWidth="1"/>
    <col min="10243" max="10243" width="51.85546875" style="133" customWidth="1"/>
    <col min="10244" max="10244" width="11.7109375" style="133" customWidth="1"/>
    <col min="10245" max="10245" width="13.85546875" style="133" customWidth="1"/>
    <col min="10246" max="10497" width="9.140625" style="133"/>
    <col min="10498" max="10498" width="26.5703125" style="133" customWidth="1"/>
    <col min="10499" max="10499" width="51.85546875" style="133" customWidth="1"/>
    <col min="10500" max="10500" width="11.7109375" style="133" customWidth="1"/>
    <col min="10501" max="10501" width="13.85546875" style="133" customWidth="1"/>
    <col min="10502" max="10753" width="9.140625" style="133"/>
    <col min="10754" max="10754" width="26.5703125" style="133" customWidth="1"/>
    <col min="10755" max="10755" width="51.85546875" style="133" customWidth="1"/>
    <col min="10756" max="10756" width="11.7109375" style="133" customWidth="1"/>
    <col min="10757" max="10757" width="13.85546875" style="133" customWidth="1"/>
    <col min="10758" max="11009" width="9.140625" style="133"/>
    <col min="11010" max="11010" width="26.5703125" style="133" customWidth="1"/>
    <col min="11011" max="11011" width="51.85546875" style="133" customWidth="1"/>
    <col min="11012" max="11012" width="11.7109375" style="133" customWidth="1"/>
    <col min="11013" max="11013" width="13.85546875" style="133" customWidth="1"/>
    <col min="11014" max="11265" width="9.140625" style="133"/>
    <col min="11266" max="11266" width="26.5703125" style="133" customWidth="1"/>
    <col min="11267" max="11267" width="51.85546875" style="133" customWidth="1"/>
    <col min="11268" max="11268" width="11.7109375" style="133" customWidth="1"/>
    <col min="11269" max="11269" width="13.85546875" style="133" customWidth="1"/>
    <col min="11270" max="11521" width="9.140625" style="133"/>
    <col min="11522" max="11522" width="26.5703125" style="133" customWidth="1"/>
    <col min="11523" max="11523" width="51.85546875" style="133" customWidth="1"/>
    <col min="11524" max="11524" width="11.7109375" style="133" customWidth="1"/>
    <col min="11525" max="11525" width="13.85546875" style="133" customWidth="1"/>
    <col min="11526" max="11777" width="9.140625" style="133"/>
    <col min="11778" max="11778" width="26.5703125" style="133" customWidth="1"/>
    <col min="11779" max="11779" width="51.85546875" style="133" customWidth="1"/>
    <col min="11780" max="11780" width="11.7109375" style="133" customWidth="1"/>
    <col min="11781" max="11781" width="13.85546875" style="133" customWidth="1"/>
    <col min="11782" max="12033" width="9.140625" style="133"/>
    <col min="12034" max="12034" width="26.5703125" style="133" customWidth="1"/>
    <col min="12035" max="12035" width="51.85546875" style="133" customWidth="1"/>
    <col min="12036" max="12036" width="11.7109375" style="133" customWidth="1"/>
    <col min="12037" max="12037" width="13.85546875" style="133" customWidth="1"/>
    <col min="12038" max="12289" width="9.140625" style="133"/>
    <col min="12290" max="12290" width="26.5703125" style="133" customWidth="1"/>
    <col min="12291" max="12291" width="51.85546875" style="133" customWidth="1"/>
    <col min="12292" max="12292" width="11.7109375" style="133" customWidth="1"/>
    <col min="12293" max="12293" width="13.85546875" style="133" customWidth="1"/>
    <col min="12294" max="12545" width="9.140625" style="133"/>
    <col min="12546" max="12546" width="26.5703125" style="133" customWidth="1"/>
    <col min="12547" max="12547" width="51.85546875" style="133" customWidth="1"/>
    <col min="12548" max="12548" width="11.7109375" style="133" customWidth="1"/>
    <col min="12549" max="12549" width="13.85546875" style="133" customWidth="1"/>
    <col min="12550" max="12801" width="9.140625" style="133"/>
    <col min="12802" max="12802" width="26.5703125" style="133" customWidth="1"/>
    <col min="12803" max="12803" width="51.85546875" style="133" customWidth="1"/>
    <col min="12804" max="12804" width="11.7109375" style="133" customWidth="1"/>
    <col min="12805" max="12805" width="13.85546875" style="133" customWidth="1"/>
    <col min="12806" max="13057" width="9.140625" style="133"/>
    <col min="13058" max="13058" width="26.5703125" style="133" customWidth="1"/>
    <col min="13059" max="13059" width="51.85546875" style="133" customWidth="1"/>
    <col min="13060" max="13060" width="11.7109375" style="133" customWidth="1"/>
    <col min="13061" max="13061" width="13.85546875" style="133" customWidth="1"/>
    <col min="13062" max="13313" width="9.140625" style="133"/>
    <col min="13314" max="13314" width="26.5703125" style="133" customWidth="1"/>
    <col min="13315" max="13315" width="51.85546875" style="133" customWidth="1"/>
    <col min="13316" max="13316" width="11.7109375" style="133" customWidth="1"/>
    <col min="13317" max="13317" width="13.85546875" style="133" customWidth="1"/>
    <col min="13318" max="13569" width="9.140625" style="133"/>
    <col min="13570" max="13570" width="26.5703125" style="133" customWidth="1"/>
    <col min="13571" max="13571" width="51.85546875" style="133" customWidth="1"/>
    <col min="13572" max="13572" width="11.7109375" style="133" customWidth="1"/>
    <col min="13573" max="13573" width="13.85546875" style="133" customWidth="1"/>
    <col min="13574" max="13825" width="9.140625" style="133"/>
    <col min="13826" max="13826" width="26.5703125" style="133" customWidth="1"/>
    <col min="13827" max="13827" width="51.85546875" style="133" customWidth="1"/>
    <col min="13828" max="13828" width="11.7109375" style="133" customWidth="1"/>
    <col min="13829" max="13829" width="13.85546875" style="133" customWidth="1"/>
    <col min="13830" max="14081" width="9.140625" style="133"/>
    <col min="14082" max="14082" width="26.5703125" style="133" customWidth="1"/>
    <col min="14083" max="14083" width="51.85546875" style="133" customWidth="1"/>
    <col min="14084" max="14084" width="11.7109375" style="133" customWidth="1"/>
    <col min="14085" max="14085" width="13.85546875" style="133" customWidth="1"/>
    <col min="14086" max="14337" width="9.140625" style="133"/>
    <col min="14338" max="14338" width="26.5703125" style="133" customWidth="1"/>
    <col min="14339" max="14339" width="51.85546875" style="133" customWidth="1"/>
    <col min="14340" max="14340" width="11.7109375" style="133" customWidth="1"/>
    <col min="14341" max="14341" width="13.85546875" style="133" customWidth="1"/>
    <col min="14342" max="14593" width="9.140625" style="133"/>
    <col min="14594" max="14594" width="26.5703125" style="133" customWidth="1"/>
    <col min="14595" max="14595" width="51.85546875" style="133" customWidth="1"/>
    <col min="14596" max="14596" width="11.7109375" style="133" customWidth="1"/>
    <col min="14597" max="14597" width="13.85546875" style="133" customWidth="1"/>
    <col min="14598" max="14849" width="9.140625" style="133"/>
    <col min="14850" max="14850" width="26.5703125" style="133" customWidth="1"/>
    <col min="14851" max="14851" width="51.85546875" style="133" customWidth="1"/>
    <col min="14852" max="14852" width="11.7109375" style="133" customWidth="1"/>
    <col min="14853" max="14853" width="13.85546875" style="133" customWidth="1"/>
    <col min="14854" max="15105" width="9.140625" style="133"/>
    <col min="15106" max="15106" width="26.5703125" style="133" customWidth="1"/>
    <col min="15107" max="15107" width="51.85546875" style="133" customWidth="1"/>
    <col min="15108" max="15108" width="11.7109375" style="133" customWidth="1"/>
    <col min="15109" max="15109" width="13.85546875" style="133" customWidth="1"/>
    <col min="15110" max="15361" width="9.140625" style="133"/>
    <col min="15362" max="15362" width="26.5703125" style="133" customWidth="1"/>
    <col min="15363" max="15363" width="51.85546875" style="133" customWidth="1"/>
    <col min="15364" max="15364" width="11.7109375" style="133" customWidth="1"/>
    <col min="15365" max="15365" width="13.85546875" style="133" customWidth="1"/>
    <col min="15366" max="15617" width="9.140625" style="133"/>
    <col min="15618" max="15618" width="26.5703125" style="133" customWidth="1"/>
    <col min="15619" max="15619" width="51.85546875" style="133" customWidth="1"/>
    <col min="15620" max="15620" width="11.7109375" style="133" customWidth="1"/>
    <col min="15621" max="15621" width="13.85546875" style="133" customWidth="1"/>
    <col min="15622" max="15873" width="9.140625" style="133"/>
    <col min="15874" max="15874" width="26.5703125" style="133" customWidth="1"/>
    <col min="15875" max="15875" width="51.85546875" style="133" customWidth="1"/>
    <col min="15876" max="15876" width="11.7109375" style="133" customWidth="1"/>
    <col min="15877" max="15877" width="13.85546875" style="133" customWidth="1"/>
    <col min="15878" max="16129" width="9.140625" style="133"/>
    <col min="16130" max="16130" width="26.5703125" style="133" customWidth="1"/>
    <col min="16131" max="16131" width="51.85546875" style="133" customWidth="1"/>
    <col min="16132" max="16132" width="11.7109375" style="133" customWidth="1"/>
    <col min="16133" max="16133" width="13.85546875" style="133" customWidth="1"/>
    <col min="16134" max="16384" width="9.140625" style="133"/>
  </cols>
  <sheetData>
    <row r="1" spans="1:14" x14ac:dyDescent="0.2">
      <c r="B1" s="35"/>
    </row>
    <row r="2" spans="1:14" ht="45" x14ac:dyDescent="0.2">
      <c r="A2" s="134" t="s">
        <v>474</v>
      </c>
      <c r="B2" s="135" t="s">
        <v>473</v>
      </c>
      <c r="C2" s="135" t="s">
        <v>475</v>
      </c>
      <c r="D2" s="136" t="s">
        <v>476</v>
      </c>
      <c r="E2" s="136" t="s">
        <v>477</v>
      </c>
      <c r="F2" s="137" t="s">
        <v>478</v>
      </c>
      <c r="G2" s="135" t="s">
        <v>479</v>
      </c>
      <c r="H2" s="135" t="s">
        <v>480</v>
      </c>
      <c r="I2" s="135" t="s">
        <v>481</v>
      </c>
      <c r="J2" s="135" t="s">
        <v>482</v>
      </c>
      <c r="K2" s="138" t="s">
        <v>483</v>
      </c>
      <c r="L2" s="135" t="s">
        <v>484</v>
      </c>
      <c r="M2" s="135" t="s">
        <v>485</v>
      </c>
      <c r="N2" s="135" t="s">
        <v>486</v>
      </c>
    </row>
    <row r="3" spans="1:14" x14ac:dyDescent="0.2">
      <c r="A3" s="133">
        <v>1169</v>
      </c>
      <c r="B3" s="35" t="s">
        <v>487</v>
      </c>
      <c r="C3" s="35" t="s">
        <v>488</v>
      </c>
      <c r="D3" s="133">
        <v>68.99666666666667</v>
      </c>
      <c r="E3" s="133">
        <v>-150.28100000000001</v>
      </c>
      <c r="F3" s="133" t="s">
        <v>489</v>
      </c>
      <c r="G3" s="133" t="s">
        <v>490</v>
      </c>
      <c r="H3" s="133" t="s">
        <v>489</v>
      </c>
      <c r="I3" s="133" t="s">
        <v>489</v>
      </c>
      <c r="J3" s="133" t="s">
        <v>491</v>
      </c>
      <c r="K3" s="133" t="s">
        <v>489</v>
      </c>
      <c r="L3" s="133" t="s">
        <v>489</v>
      </c>
      <c r="M3" s="139" t="str">
        <f t="shared" ref="M3:M66" si="0">HYPERLINK("http://maps.google.com/maps?q="&amp;D3&amp;","&amp;E3,"View on Google Map")</f>
        <v>View on Google Map</v>
      </c>
    </row>
    <row r="4" spans="1:14" x14ac:dyDescent="0.2">
      <c r="A4" s="133">
        <v>1170</v>
      </c>
      <c r="B4" s="35" t="s">
        <v>492</v>
      </c>
      <c r="C4" s="35" t="s">
        <v>493</v>
      </c>
      <c r="D4" s="133">
        <v>68.952222222222218</v>
      </c>
      <c r="E4" s="133">
        <v>-150.21249999999998</v>
      </c>
      <c r="F4" s="133" t="s">
        <v>489</v>
      </c>
      <c r="G4" s="133" t="s">
        <v>490</v>
      </c>
      <c r="H4" s="133" t="s">
        <v>489</v>
      </c>
      <c r="I4" s="133" t="s">
        <v>489</v>
      </c>
      <c r="J4" s="133" t="s">
        <v>491</v>
      </c>
      <c r="K4" s="133" t="s">
        <v>489</v>
      </c>
      <c r="L4" s="133" t="s">
        <v>489</v>
      </c>
      <c r="M4" s="139" t="str">
        <f t="shared" si="0"/>
        <v>View on Google Map</v>
      </c>
    </row>
    <row r="5" spans="1:14" x14ac:dyDescent="0.2">
      <c r="A5" s="133">
        <v>1171</v>
      </c>
      <c r="B5" s="35" t="s">
        <v>494</v>
      </c>
      <c r="C5" s="35" t="s">
        <v>495</v>
      </c>
      <c r="D5" s="133">
        <v>68.934444444444452</v>
      </c>
      <c r="E5" s="133">
        <v>-150.2727777777778</v>
      </c>
      <c r="F5" s="133" t="s">
        <v>489</v>
      </c>
      <c r="G5" s="133" t="s">
        <v>490</v>
      </c>
      <c r="H5" s="133" t="s">
        <v>489</v>
      </c>
      <c r="I5" s="133" t="s">
        <v>489</v>
      </c>
      <c r="J5" s="133" t="s">
        <v>496</v>
      </c>
      <c r="K5" s="133" t="s">
        <v>489</v>
      </c>
      <c r="L5" s="133" t="s">
        <v>497</v>
      </c>
      <c r="M5" s="139" t="str">
        <f t="shared" si="0"/>
        <v>View on Google Map</v>
      </c>
    </row>
    <row r="6" spans="1:14" x14ac:dyDescent="0.2">
      <c r="A6" s="133">
        <v>518</v>
      </c>
      <c r="B6" s="133" t="s">
        <v>498</v>
      </c>
      <c r="C6" s="133" t="s">
        <v>499</v>
      </c>
      <c r="D6" s="133">
        <v>68.900986000000003</v>
      </c>
      <c r="E6" s="133">
        <v>-151.308469</v>
      </c>
      <c r="F6" s="133">
        <v>350</v>
      </c>
      <c r="G6" s="133" t="s">
        <v>500</v>
      </c>
      <c r="H6" s="133" t="s">
        <v>489</v>
      </c>
      <c r="I6" s="133" t="s">
        <v>489</v>
      </c>
      <c r="J6" s="133" t="s">
        <v>501</v>
      </c>
      <c r="K6" s="133" t="s">
        <v>489</v>
      </c>
      <c r="L6" s="133" t="s">
        <v>502</v>
      </c>
      <c r="M6" s="139" t="str">
        <f t="shared" si="0"/>
        <v>View on Google Map</v>
      </c>
    </row>
    <row r="7" spans="1:14" x14ac:dyDescent="0.2">
      <c r="A7" s="133">
        <v>478</v>
      </c>
      <c r="B7" s="133" t="s">
        <v>503</v>
      </c>
      <c r="C7" s="133" t="s">
        <v>489</v>
      </c>
      <c r="D7" s="133">
        <v>68.510069999999999</v>
      </c>
      <c r="E7" s="133">
        <v>-149.62691000000001</v>
      </c>
      <c r="F7" s="133">
        <v>996</v>
      </c>
      <c r="G7" s="133" t="s">
        <v>500</v>
      </c>
      <c r="H7" s="133" t="s">
        <v>489</v>
      </c>
      <c r="I7" s="133" t="s">
        <v>489</v>
      </c>
      <c r="J7" s="133" t="s">
        <v>501</v>
      </c>
      <c r="K7" s="133" t="s">
        <v>489</v>
      </c>
      <c r="L7" s="133" t="s">
        <v>489</v>
      </c>
      <c r="M7" s="139" t="str">
        <f t="shared" si="0"/>
        <v>View on Google Map</v>
      </c>
    </row>
    <row r="8" spans="1:14" x14ac:dyDescent="0.2">
      <c r="A8" s="133">
        <v>479</v>
      </c>
      <c r="B8" s="133" t="s">
        <v>504</v>
      </c>
      <c r="C8" s="133" t="s">
        <v>489</v>
      </c>
      <c r="D8" s="133">
        <v>68.505080000000007</v>
      </c>
      <c r="E8" s="133">
        <v>-149.62766999999999</v>
      </c>
      <c r="F8" s="133">
        <v>986</v>
      </c>
      <c r="G8" s="133" t="s">
        <v>500</v>
      </c>
      <c r="H8" s="133" t="s">
        <v>489</v>
      </c>
      <c r="I8" s="133" t="s">
        <v>489</v>
      </c>
      <c r="J8" s="133" t="s">
        <v>501</v>
      </c>
      <c r="K8" s="133" t="s">
        <v>489</v>
      </c>
      <c r="L8" s="133" t="s">
        <v>489</v>
      </c>
      <c r="M8" s="139" t="str">
        <f t="shared" si="0"/>
        <v>View on Google Map</v>
      </c>
    </row>
    <row r="9" spans="1:14" x14ac:dyDescent="0.2">
      <c r="A9" s="133">
        <v>480</v>
      </c>
      <c r="B9" s="133" t="s">
        <v>505</v>
      </c>
      <c r="C9" s="133" t="s">
        <v>489</v>
      </c>
      <c r="D9" s="133">
        <v>68.502449999999996</v>
      </c>
      <c r="E9" s="133">
        <v>-149.63137</v>
      </c>
      <c r="F9" s="133">
        <v>982</v>
      </c>
      <c r="G9" s="133" t="s">
        <v>500</v>
      </c>
      <c r="H9" s="133" t="s">
        <v>489</v>
      </c>
      <c r="I9" s="133" t="s">
        <v>489</v>
      </c>
      <c r="J9" s="133" t="s">
        <v>501</v>
      </c>
      <c r="K9" s="133" t="s">
        <v>489</v>
      </c>
      <c r="L9" s="133" t="s">
        <v>489</v>
      </c>
      <c r="M9" s="139" t="str">
        <f t="shared" si="0"/>
        <v>View on Google Map</v>
      </c>
    </row>
    <row r="10" spans="1:14" x14ac:dyDescent="0.2">
      <c r="B10" s="133" t="s">
        <v>506</v>
      </c>
      <c r="C10" s="133" t="s">
        <v>507</v>
      </c>
      <c r="D10" s="133">
        <v>69.375833333333333</v>
      </c>
      <c r="E10" s="133">
        <v>-150.68138888888899</v>
      </c>
      <c r="G10" s="133" t="s">
        <v>508</v>
      </c>
      <c r="J10" s="133" t="s">
        <v>496</v>
      </c>
      <c r="L10" s="133" t="s">
        <v>497</v>
      </c>
      <c r="M10" s="139" t="str">
        <f t="shared" si="0"/>
        <v>View on Google Map</v>
      </c>
    </row>
    <row r="11" spans="1:14" x14ac:dyDescent="0.2">
      <c r="B11" s="133" t="s">
        <v>509</v>
      </c>
      <c r="C11" s="133" t="s">
        <v>507</v>
      </c>
      <c r="D11" s="133">
        <v>69.322777777777773</v>
      </c>
      <c r="E11" s="133">
        <v>-150.95055555555601</v>
      </c>
      <c r="G11" s="133" t="s">
        <v>508</v>
      </c>
      <c r="J11" s="133" t="s">
        <v>496</v>
      </c>
      <c r="L11" s="133" t="s">
        <v>497</v>
      </c>
      <c r="M11" s="139" t="str">
        <f t="shared" si="0"/>
        <v>View on Google Map</v>
      </c>
    </row>
    <row r="12" spans="1:14" x14ac:dyDescent="0.2">
      <c r="B12" s="133" t="s">
        <v>510</v>
      </c>
      <c r="C12" s="133" t="s">
        <v>507</v>
      </c>
      <c r="D12" s="133">
        <v>69.328055555555565</v>
      </c>
      <c r="E12" s="133">
        <v>-150.238055555556</v>
      </c>
      <c r="G12" s="133" t="s">
        <v>508</v>
      </c>
      <c r="J12" s="133" t="s">
        <v>496</v>
      </c>
      <c r="L12" s="133" t="s">
        <v>497</v>
      </c>
      <c r="M12" s="139" t="str">
        <f t="shared" si="0"/>
        <v>View on Google Map</v>
      </c>
    </row>
    <row r="13" spans="1:14" x14ac:dyDescent="0.2">
      <c r="B13" s="133" t="s">
        <v>511</v>
      </c>
      <c r="C13" s="133" t="s">
        <v>507</v>
      </c>
      <c r="D13" s="133">
        <v>69.30361111111111</v>
      </c>
      <c r="E13" s="133">
        <v>-149.56083333333299</v>
      </c>
      <c r="G13" s="133" t="s">
        <v>508</v>
      </c>
      <c r="J13" s="133" t="s">
        <v>496</v>
      </c>
      <c r="L13" s="133" t="s">
        <v>497</v>
      </c>
      <c r="M13" s="139" t="str">
        <f t="shared" si="0"/>
        <v>View on Google Map</v>
      </c>
    </row>
    <row r="14" spans="1:14" x14ac:dyDescent="0.2">
      <c r="A14" s="133">
        <v>7</v>
      </c>
      <c r="B14" s="133" t="s">
        <v>512</v>
      </c>
      <c r="C14" s="133" t="s">
        <v>513</v>
      </c>
      <c r="D14" s="133">
        <v>68.95</v>
      </c>
      <c r="E14" s="133">
        <v>-148.86666666666667</v>
      </c>
      <c r="F14" s="133">
        <v>360</v>
      </c>
      <c r="G14" s="133" t="s">
        <v>514</v>
      </c>
      <c r="H14" s="133" t="s">
        <v>489</v>
      </c>
      <c r="I14" s="133" t="s">
        <v>489</v>
      </c>
      <c r="J14" s="133" t="s">
        <v>515</v>
      </c>
      <c r="K14" s="133" t="s">
        <v>489</v>
      </c>
      <c r="L14" s="133" t="s">
        <v>516</v>
      </c>
      <c r="M14" s="139" t="str">
        <f t="shared" si="0"/>
        <v>View on Google Map</v>
      </c>
    </row>
    <row r="15" spans="1:14" x14ac:dyDescent="0.2">
      <c r="A15" s="133">
        <v>517</v>
      </c>
      <c r="B15" s="133" t="s">
        <v>517</v>
      </c>
      <c r="C15" s="133" t="s">
        <v>499</v>
      </c>
      <c r="D15" s="133">
        <v>68.467832999999999</v>
      </c>
      <c r="E15" s="133">
        <v>-151.47916699999999</v>
      </c>
      <c r="F15" s="133">
        <v>732</v>
      </c>
      <c r="G15" s="133" t="s">
        <v>500</v>
      </c>
      <c r="H15" s="133" t="s">
        <v>489</v>
      </c>
      <c r="I15" s="133" t="s">
        <v>489</v>
      </c>
      <c r="J15" s="133" t="s">
        <v>501</v>
      </c>
      <c r="K15" s="133" t="s">
        <v>489</v>
      </c>
      <c r="L15" s="133" t="s">
        <v>502</v>
      </c>
      <c r="M15" s="139" t="str">
        <f t="shared" si="0"/>
        <v>View on Google Map</v>
      </c>
    </row>
    <row r="16" spans="1:14" x14ac:dyDescent="0.2">
      <c r="A16" s="133">
        <v>516</v>
      </c>
      <c r="B16" s="133" t="s">
        <v>518</v>
      </c>
      <c r="C16" s="133" t="s">
        <v>499</v>
      </c>
      <c r="D16" s="133">
        <v>68.467500000000001</v>
      </c>
      <c r="E16" s="133">
        <v>-151.49433300000001</v>
      </c>
      <c r="F16" s="133">
        <v>769</v>
      </c>
      <c r="G16" s="133" t="s">
        <v>500</v>
      </c>
      <c r="H16" s="133" t="s">
        <v>489</v>
      </c>
      <c r="I16" s="133" t="s">
        <v>489</v>
      </c>
      <c r="J16" s="133" t="s">
        <v>501</v>
      </c>
      <c r="K16" s="133" t="s">
        <v>489</v>
      </c>
      <c r="L16" s="133" t="s">
        <v>502</v>
      </c>
      <c r="M16" s="139" t="str">
        <f t="shared" si="0"/>
        <v>View on Google Map</v>
      </c>
    </row>
    <row r="17" spans="1:13" x14ac:dyDescent="0.2">
      <c r="A17" s="133">
        <v>515</v>
      </c>
      <c r="B17" s="133" t="s">
        <v>519</v>
      </c>
      <c r="C17" s="133" t="s">
        <v>499</v>
      </c>
      <c r="D17" s="133">
        <v>68.463999999999999</v>
      </c>
      <c r="E17" s="133">
        <v>-151.51516699999999</v>
      </c>
      <c r="F17" s="133">
        <v>809</v>
      </c>
      <c r="G17" s="133" t="s">
        <v>500</v>
      </c>
      <c r="H17" s="133" t="s">
        <v>489</v>
      </c>
      <c r="I17" s="133" t="s">
        <v>489</v>
      </c>
      <c r="J17" s="133" t="s">
        <v>501</v>
      </c>
      <c r="K17" s="133" t="s">
        <v>489</v>
      </c>
      <c r="L17" s="133" t="s">
        <v>502</v>
      </c>
      <c r="M17" s="139" t="str">
        <f t="shared" si="0"/>
        <v>View on Google Map</v>
      </c>
    </row>
    <row r="18" spans="1:13" x14ac:dyDescent="0.2">
      <c r="A18" s="133">
        <v>1177</v>
      </c>
      <c r="B18" s="133" t="s">
        <v>520</v>
      </c>
      <c r="C18" s="133" t="s">
        <v>521</v>
      </c>
      <c r="D18" s="133">
        <v>68.99539</v>
      </c>
      <c r="E18" s="133">
        <v>-150.28278</v>
      </c>
      <c r="F18" s="133" t="s">
        <v>489</v>
      </c>
      <c r="G18" s="133" t="s">
        <v>490</v>
      </c>
      <c r="H18" s="133" t="s">
        <v>489</v>
      </c>
      <c r="I18" s="133" t="s">
        <v>489</v>
      </c>
      <c r="J18" s="133" t="s">
        <v>496</v>
      </c>
      <c r="K18" s="133" t="s">
        <v>489</v>
      </c>
      <c r="L18" s="133" t="s">
        <v>497</v>
      </c>
      <c r="M18" s="139" t="str">
        <f t="shared" si="0"/>
        <v>View on Google Map</v>
      </c>
    </row>
    <row r="19" spans="1:13" x14ac:dyDescent="0.2">
      <c r="A19" s="133">
        <v>1178</v>
      </c>
      <c r="B19" s="133" t="s">
        <v>522</v>
      </c>
      <c r="C19" s="133" t="s">
        <v>521</v>
      </c>
      <c r="D19" s="133">
        <v>68.996089999999995</v>
      </c>
      <c r="E19" s="133">
        <v>-150.29223999999999</v>
      </c>
      <c r="F19" s="133" t="s">
        <v>489</v>
      </c>
      <c r="G19" s="133" t="s">
        <v>490</v>
      </c>
      <c r="H19" s="133" t="s">
        <v>489</v>
      </c>
      <c r="I19" s="133" t="s">
        <v>489</v>
      </c>
      <c r="J19" s="133" t="s">
        <v>496</v>
      </c>
      <c r="K19" s="133" t="s">
        <v>489</v>
      </c>
      <c r="L19" s="133" t="s">
        <v>497</v>
      </c>
      <c r="M19" s="139" t="str">
        <f t="shared" si="0"/>
        <v>View on Google Map</v>
      </c>
    </row>
    <row r="20" spans="1:13" x14ac:dyDescent="0.2">
      <c r="A20" s="133">
        <v>1179</v>
      </c>
      <c r="B20" s="133" t="s">
        <v>523</v>
      </c>
      <c r="C20" s="133" t="s">
        <v>524</v>
      </c>
      <c r="D20" s="133">
        <v>68.953829999999996</v>
      </c>
      <c r="E20" s="133">
        <v>-150.20697000000001</v>
      </c>
      <c r="F20" s="133" t="s">
        <v>489</v>
      </c>
      <c r="G20" s="133" t="s">
        <v>490</v>
      </c>
      <c r="H20" s="133" t="s">
        <v>489</v>
      </c>
      <c r="I20" s="133" t="s">
        <v>489</v>
      </c>
      <c r="J20" s="133" t="s">
        <v>496</v>
      </c>
      <c r="K20" s="133" t="s">
        <v>489</v>
      </c>
      <c r="L20" s="133" t="s">
        <v>497</v>
      </c>
      <c r="M20" s="139" t="str">
        <f t="shared" si="0"/>
        <v>View on Google Map</v>
      </c>
    </row>
    <row r="21" spans="1:13" x14ac:dyDescent="0.2">
      <c r="A21" s="133">
        <v>1180</v>
      </c>
      <c r="B21" s="35" t="s">
        <v>525</v>
      </c>
      <c r="C21" s="133" t="s">
        <v>524</v>
      </c>
      <c r="D21" s="133">
        <v>68.951099999999997</v>
      </c>
      <c r="E21" s="133">
        <v>-150.20966000000001</v>
      </c>
      <c r="F21" s="133" t="s">
        <v>489</v>
      </c>
      <c r="G21" s="133" t="s">
        <v>490</v>
      </c>
      <c r="H21" s="133" t="s">
        <v>489</v>
      </c>
      <c r="I21" s="133" t="s">
        <v>489</v>
      </c>
      <c r="J21" s="133" t="s">
        <v>496</v>
      </c>
      <c r="K21" s="133" t="s">
        <v>489</v>
      </c>
      <c r="L21" s="133" t="s">
        <v>497</v>
      </c>
      <c r="M21" s="139" t="str">
        <f t="shared" si="0"/>
        <v>View on Google Map</v>
      </c>
    </row>
    <row r="22" spans="1:13" x14ac:dyDescent="0.2">
      <c r="A22" s="133">
        <v>1181</v>
      </c>
      <c r="B22" s="35" t="s">
        <v>526</v>
      </c>
      <c r="C22" s="133" t="s">
        <v>524</v>
      </c>
      <c r="D22" s="133">
        <v>68.950720000000004</v>
      </c>
      <c r="E22" s="133">
        <v>-150.19745</v>
      </c>
      <c r="F22" s="133" t="s">
        <v>489</v>
      </c>
      <c r="G22" s="133" t="s">
        <v>490</v>
      </c>
      <c r="H22" s="133" t="s">
        <v>489</v>
      </c>
      <c r="I22" s="133" t="s">
        <v>489</v>
      </c>
      <c r="J22" s="133" t="s">
        <v>496</v>
      </c>
      <c r="K22" s="133" t="s">
        <v>489</v>
      </c>
      <c r="L22" s="133" t="s">
        <v>497</v>
      </c>
      <c r="M22" s="139" t="str">
        <f t="shared" si="0"/>
        <v>View on Google Map</v>
      </c>
    </row>
    <row r="23" spans="1:13" x14ac:dyDescent="0.2">
      <c r="A23" s="133">
        <v>1182</v>
      </c>
      <c r="B23" s="35" t="s">
        <v>527</v>
      </c>
      <c r="C23" s="133" t="s">
        <v>524</v>
      </c>
      <c r="D23" s="133">
        <v>68.950149999999994</v>
      </c>
      <c r="E23" s="133">
        <v>-150.19701000000001</v>
      </c>
      <c r="F23" s="133" t="s">
        <v>489</v>
      </c>
      <c r="G23" s="133" t="s">
        <v>490</v>
      </c>
      <c r="H23" s="133" t="s">
        <v>489</v>
      </c>
      <c r="I23" s="133" t="s">
        <v>489</v>
      </c>
      <c r="J23" s="133" t="s">
        <v>496</v>
      </c>
      <c r="K23" s="133" t="s">
        <v>489</v>
      </c>
      <c r="L23" s="133" t="s">
        <v>497</v>
      </c>
      <c r="M23" s="139" t="str">
        <f t="shared" si="0"/>
        <v>View on Google Map</v>
      </c>
    </row>
    <row r="24" spans="1:13" x14ac:dyDescent="0.2">
      <c r="A24" s="133">
        <v>1183</v>
      </c>
      <c r="B24" s="35" t="s">
        <v>528</v>
      </c>
      <c r="C24" s="133" t="s">
        <v>524</v>
      </c>
      <c r="D24" s="133">
        <v>68.949629999999999</v>
      </c>
      <c r="E24" s="133">
        <v>-150.19672</v>
      </c>
      <c r="F24" s="133" t="s">
        <v>489</v>
      </c>
      <c r="G24" s="133" t="s">
        <v>490</v>
      </c>
      <c r="H24" s="133" t="s">
        <v>489</v>
      </c>
      <c r="I24" s="133" t="s">
        <v>489</v>
      </c>
      <c r="J24" s="133" t="s">
        <v>496</v>
      </c>
      <c r="K24" s="133" t="s">
        <v>489</v>
      </c>
      <c r="L24" s="133" t="s">
        <v>497</v>
      </c>
      <c r="M24" s="139" t="str">
        <f t="shared" si="0"/>
        <v>View on Google Map</v>
      </c>
    </row>
    <row r="25" spans="1:13" x14ac:dyDescent="0.2">
      <c r="A25" s="133">
        <v>1184</v>
      </c>
      <c r="B25" s="35" t="s">
        <v>529</v>
      </c>
      <c r="C25" s="133" t="s">
        <v>524</v>
      </c>
      <c r="D25" s="133">
        <v>68.952349999999996</v>
      </c>
      <c r="E25" s="133">
        <v>-150.20769999999999</v>
      </c>
      <c r="F25" s="133" t="s">
        <v>489</v>
      </c>
      <c r="G25" s="133" t="s">
        <v>490</v>
      </c>
      <c r="H25" s="133" t="s">
        <v>489</v>
      </c>
      <c r="I25" s="133" t="s">
        <v>489</v>
      </c>
      <c r="J25" s="133" t="s">
        <v>496</v>
      </c>
      <c r="K25" s="133" t="s">
        <v>489</v>
      </c>
      <c r="L25" s="133" t="s">
        <v>497</v>
      </c>
      <c r="M25" s="139" t="str">
        <f t="shared" si="0"/>
        <v>View on Google Map</v>
      </c>
    </row>
    <row r="26" spans="1:13" x14ac:dyDescent="0.2">
      <c r="A26" s="133">
        <v>1185</v>
      </c>
      <c r="B26" s="35" t="s">
        <v>530</v>
      </c>
      <c r="C26" s="133" t="s">
        <v>524</v>
      </c>
      <c r="D26" s="133">
        <v>68.933340000000001</v>
      </c>
      <c r="E26" s="133">
        <v>-150.27288999999999</v>
      </c>
      <c r="F26" s="133" t="s">
        <v>489</v>
      </c>
      <c r="G26" s="133" t="s">
        <v>490</v>
      </c>
      <c r="H26" s="133" t="s">
        <v>489</v>
      </c>
      <c r="I26" s="133" t="s">
        <v>489</v>
      </c>
      <c r="J26" s="133" t="s">
        <v>496</v>
      </c>
      <c r="K26" s="133" t="s">
        <v>489</v>
      </c>
      <c r="L26" s="133" t="s">
        <v>497</v>
      </c>
      <c r="M26" s="139" t="str">
        <f t="shared" si="0"/>
        <v>View on Google Map</v>
      </c>
    </row>
    <row r="27" spans="1:13" x14ac:dyDescent="0.2">
      <c r="A27" s="133">
        <v>1186</v>
      </c>
      <c r="B27" s="133" t="s">
        <v>531</v>
      </c>
      <c r="C27" s="133" t="s">
        <v>524</v>
      </c>
      <c r="D27" s="133">
        <v>68.935190000000006</v>
      </c>
      <c r="E27" s="133">
        <v>-150.26884000000001</v>
      </c>
      <c r="F27" s="133" t="s">
        <v>489</v>
      </c>
      <c r="G27" s="133" t="s">
        <v>490</v>
      </c>
      <c r="H27" s="133" t="s">
        <v>489</v>
      </c>
      <c r="I27" s="133" t="s">
        <v>489</v>
      </c>
      <c r="J27" s="133" t="s">
        <v>496</v>
      </c>
      <c r="K27" s="133" t="s">
        <v>489</v>
      </c>
      <c r="L27" s="133" t="s">
        <v>497</v>
      </c>
      <c r="M27" s="139" t="str">
        <f t="shared" si="0"/>
        <v>View on Google Map</v>
      </c>
    </row>
    <row r="28" spans="1:13" x14ac:dyDescent="0.2">
      <c r="A28" s="133">
        <v>1187</v>
      </c>
      <c r="B28" s="35" t="s">
        <v>532</v>
      </c>
      <c r="C28" s="133" t="s">
        <v>524</v>
      </c>
      <c r="D28" s="133">
        <v>68.997339999999994</v>
      </c>
      <c r="E28" s="133">
        <v>-150.30745999999999</v>
      </c>
      <c r="F28" s="133" t="s">
        <v>489</v>
      </c>
      <c r="G28" s="133" t="s">
        <v>490</v>
      </c>
      <c r="H28" s="133" t="s">
        <v>489</v>
      </c>
      <c r="I28" s="133" t="s">
        <v>489</v>
      </c>
      <c r="J28" s="133" t="s">
        <v>496</v>
      </c>
      <c r="K28" s="133" t="s">
        <v>489</v>
      </c>
      <c r="L28" s="133" t="s">
        <v>497</v>
      </c>
      <c r="M28" s="139" t="str">
        <f t="shared" si="0"/>
        <v>View on Google Map</v>
      </c>
    </row>
    <row r="29" spans="1:13" x14ac:dyDescent="0.2">
      <c r="A29" s="133">
        <v>1188</v>
      </c>
      <c r="B29" s="35" t="s">
        <v>533</v>
      </c>
      <c r="C29" s="133" t="s">
        <v>524</v>
      </c>
      <c r="D29" s="133">
        <v>68.950779999999995</v>
      </c>
      <c r="E29" s="133">
        <v>-150.19788</v>
      </c>
      <c r="F29" s="133" t="s">
        <v>489</v>
      </c>
      <c r="G29" s="133" t="s">
        <v>490</v>
      </c>
      <c r="H29" s="133" t="s">
        <v>489</v>
      </c>
      <c r="I29" s="133" t="s">
        <v>489</v>
      </c>
      <c r="J29" s="133" t="s">
        <v>496</v>
      </c>
      <c r="K29" s="133" t="s">
        <v>489</v>
      </c>
      <c r="L29" s="133" t="s">
        <v>497</v>
      </c>
      <c r="M29" s="139" t="str">
        <f t="shared" si="0"/>
        <v>View on Google Map</v>
      </c>
    </row>
    <row r="30" spans="1:13" x14ac:dyDescent="0.2">
      <c r="A30" s="133">
        <v>1189</v>
      </c>
      <c r="B30" s="35" t="s">
        <v>534</v>
      </c>
      <c r="C30" s="133" t="s">
        <v>524</v>
      </c>
      <c r="D30" s="133">
        <v>68.954440000000005</v>
      </c>
      <c r="E30" s="133">
        <v>-150.20644999999999</v>
      </c>
      <c r="F30" s="133" t="s">
        <v>489</v>
      </c>
      <c r="G30" s="133" t="s">
        <v>490</v>
      </c>
      <c r="H30" s="133" t="s">
        <v>489</v>
      </c>
      <c r="I30" s="133" t="s">
        <v>489</v>
      </c>
      <c r="J30" s="133" t="s">
        <v>496</v>
      </c>
      <c r="K30" s="133" t="s">
        <v>489</v>
      </c>
      <c r="L30" s="133" t="s">
        <v>497</v>
      </c>
      <c r="M30" s="139" t="str">
        <f t="shared" si="0"/>
        <v>View on Google Map</v>
      </c>
    </row>
    <row r="31" spans="1:13" x14ac:dyDescent="0.2">
      <c r="A31" s="133">
        <v>1190</v>
      </c>
      <c r="B31" s="35" t="s">
        <v>535</v>
      </c>
      <c r="C31" s="133" t="s">
        <v>524</v>
      </c>
      <c r="D31" s="133">
        <v>69.116330000000005</v>
      </c>
      <c r="E31" s="133">
        <v>-150.79077000000001</v>
      </c>
      <c r="F31" s="133" t="s">
        <v>489</v>
      </c>
      <c r="G31" s="133" t="s">
        <v>490</v>
      </c>
      <c r="H31" s="133" t="s">
        <v>489</v>
      </c>
      <c r="I31" s="133" t="s">
        <v>489</v>
      </c>
      <c r="J31" s="133" t="s">
        <v>496</v>
      </c>
      <c r="K31" s="133" t="s">
        <v>489</v>
      </c>
      <c r="L31" s="133" t="s">
        <v>497</v>
      </c>
      <c r="M31" s="139" t="str">
        <f t="shared" si="0"/>
        <v>View on Google Map</v>
      </c>
    </row>
    <row r="32" spans="1:13" x14ac:dyDescent="0.2">
      <c r="A32" s="133">
        <v>1191</v>
      </c>
      <c r="B32" s="35" t="s">
        <v>536</v>
      </c>
      <c r="C32" s="133" t="s">
        <v>524</v>
      </c>
      <c r="D32" s="133">
        <v>69.116150000000005</v>
      </c>
      <c r="E32" s="133">
        <v>-150.79553999999999</v>
      </c>
      <c r="F32" s="133" t="s">
        <v>489</v>
      </c>
      <c r="G32" s="133" t="s">
        <v>490</v>
      </c>
      <c r="H32" s="133" t="s">
        <v>489</v>
      </c>
      <c r="I32" s="133" t="s">
        <v>489</v>
      </c>
      <c r="J32" s="133" t="s">
        <v>496</v>
      </c>
      <c r="K32" s="133" t="s">
        <v>489</v>
      </c>
      <c r="L32" s="133" t="s">
        <v>497</v>
      </c>
      <c r="M32" s="139" t="str">
        <f t="shared" si="0"/>
        <v>View on Google Map</v>
      </c>
    </row>
    <row r="33" spans="1:14" x14ac:dyDescent="0.2">
      <c r="A33" s="133">
        <v>3</v>
      </c>
      <c r="B33" s="133" t="s">
        <v>537</v>
      </c>
      <c r="C33" s="133" t="s">
        <v>538</v>
      </c>
      <c r="D33" s="133">
        <v>68.266666666666666</v>
      </c>
      <c r="E33" s="133">
        <v>-149.44999999999999</v>
      </c>
      <c r="F33" s="133">
        <v>914</v>
      </c>
      <c r="G33" s="133" t="s">
        <v>514</v>
      </c>
      <c r="H33" s="133" t="s">
        <v>489</v>
      </c>
      <c r="I33" s="133" t="s">
        <v>489</v>
      </c>
      <c r="J33" s="133" t="s">
        <v>515</v>
      </c>
      <c r="K33" s="133" t="s">
        <v>489</v>
      </c>
      <c r="L33" s="133" t="s">
        <v>516</v>
      </c>
      <c r="M33" s="139" t="str">
        <f t="shared" si="0"/>
        <v>View on Google Map</v>
      </c>
    </row>
    <row r="34" spans="1:14" x14ac:dyDescent="0.2">
      <c r="A34" s="133">
        <v>2</v>
      </c>
      <c r="B34" s="133" t="s">
        <v>539</v>
      </c>
      <c r="C34" s="133" t="s">
        <v>540</v>
      </c>
      <c r="D34" s="133">
        <v>68.266666666666666</v>
      </c>
      <c r="E34" s="133">
        <v>-149.46666666666667</v>
      </c>
      <c r="F34" s="133">
        <v>914</v>
      </c>
      <c r="G34" s="133" t="s">
        <v>514</v>
      </c>
      <c r="H34" s="133" t="s">
        <v>489</v>
      </c>
      <c r="I34" s="133" t="s">
        <v>489</v>
      </c>
      <c r="J34" s="133" t="s">
        <v>515</v>
      </c>
      <c r="K34" s="133" t="s">
        <v>489</v>
      </c>
      <c r="L34" s="133" t="s">
        <v>516</v>
      </c>
      <c r="M34" s="139" t="str">
        <f t="shared" si="0"/>
        <v>View on Google Map</v>
      </c>
    </row>
    <row r="35" spans="1:14" x14ac:dyDescent="0.2">
      <c r="A35" s="133">
        <v>25</v>
      </c>
      <c r="B35" s="133" t="s">
        <v>541</v>
      </c>
      <c r="C35" s="133" t="s">
        <v>489</v>
      </c>
      <c r="D35" s="133" t="s">
        <v>489</v>
      </c>
      <c r="E35" s="133" t="s">
        <v>489</v>
      </c>
      <c r="F35" s="133">
        <v>1097</v>
      </c>
      <c r="G35" s="133" t="s">
        <v>514</v>
      </c>
      <c r="H35" s="133" t="s">
        <v>542</v>
      </c>
      <c r="I35" s="133" t="s">
        <v>489</v>
      </c>
      <c r="J35" s="133" t="s">
        <v>515</v>
      </c>
      <c r="K35" s="133" t="s">
        <v>489</v>
      </c>
      <c r="L35" s="133" t="s">
        <v>489</v>
      </c>
      <c r="M35" s="139" t="str">
        <f t="shared" si="0"/>
        <v>View on Google Map</v>
      </c>
    </row>
    <row r="36" spans="1:14" x14ac:dyDescent="0.2">
      <c r="A36" s="133">
        <v>26</v>
      </c>
      <c r="B36" s="133" t="s">
        <v>543</v>
      </c>
      <c r="C36" s="133" t="s">
        <v>489</v>
      </c>
      <c r="D36" s="133" t="s">
        <v>489</v>
      </c>
      <c r="E36" s="133" t="s">
        <v>489</v>
      </c>
      <c r="F36" s="133">
        <v>1280</v>
      </c>
      <c r="G36" s="133" t="s">
        <v>514</v>
      </c>
      <c r="H36" s="133" t="s">
        <v>544</v>
      </c>
      <c r="I36" s="133" t="s">
        <v>489</v>
      </c>
      <c r="J36" s="133" t="s">
        <v>515</v>
      </c>
      <c r="K36" s="133" t="s">
        <v>489</v>
      </c>
      <c r="L36" s="133" t="s">
        <v>489</v>
      </c>
      <c r="M36" s="139" t="str">
        <f t="shared" si="0"/>
        <v>View on Google Map</v>
      </c>
    </row>
    <row r="37" spans="1:14" x14ac:dyDescent="0.2">
      <c r="A37" s="133">
        <v>27</v>
      </c>
      <c r="B37" s="133" t="s">
        <v>545</v>
      </c>
      <c r="C37" s="133" t="s">
        <v>489</v>
      </c>
      <c r="D37" s="133" t="s">
        <v>489</v>
      </c>
      <c r="E37" s="133" t="s">
        <v>489</v>
      </c>
      <c r="F37" s="133">
        <v>1555</v>
      </c>
      <c r="G37" s="133" t="s">
        <v>514</v>
      </c>
      <c r="H37" s="133" t="s">
        <v>546</v>
      </c>
      <c r="I37" s="133" t="s">
        <v>489</v>
      </c>
      <c r="J37" s="133" t="s">
        <v>515</v>
      </c>
      <c r="K37" s="133" t="s">
        <v>489</v>
      </c>
      <c r="L37" s="133" t="s">
        <v>489</v>
      </c>
      <c r="M37" s="139" t="str">
        <f t="shared" si="0"/>
        <v>View on Google Map</v>
      </c>
    </row>
    <row r="38" spans="1:14" ht="12.75" customHeight="1" x14ac:dyDescent="0.2">
      <c r="A38" s="133">
        <v>138</v>
      </c>
      <c r="B38" s="133" t="s">
        <v>547</v>
      </c>
      <c r="C38" s="133" t="s">
        <v>489</v>
      </c>
      <c r="D38" s="133">
        <v>70.283333333333331</v>
      </c>
      <c r="E38" s="133">
        <v>-148.30000000000001</v>
      </c>
      <c r="F38" s="133">
        <v>6</v>
      </c>
      <c r="G38" s="133" t="s">
        <v>500</v>
      </c>
      <c r="H38" s="133" t="s">
        <v>548</v>
      </c>
      <c r="I38" s="133" t="s">
        <v>489</v>
      </c>
      <c r="J38" s="133" t="s">
        <v>515</v>
      </c>
      <c r="K38" s="133" t="s">
        <v>489</v>
      </c>
      <c r="L38" s="133" t="s">
        <v>516</v>
      </c>
      <c r="M38" s="139" t="str">
        <f t="shared" si="0"/>
        <v>View on Google Map</v>
      </c>
    </row>
    <row r="39" spans="1:14" ht="12.75" customHeight="1" x14ac:dyDescent="0.2">
      <c r="A39" s="133">
        <v>31</v>
      </c>
      <c r="B39" s="133" t="s">
        <v>549</v>
      </c>
      <c r="C39" s="133" t="s">
        <v>489</v>
      </c>
      <c r="D39" s="133">
        <v>68.957566666999995</v>
      </c>
      <c r="E39" s="133">
        <v>-150.236266667</v>
      </c>
      <c r="F39" s="133">
        <v>386.18</v>
      </c>
      <c r="G39" s="133" t="s">
        <v>514</v>
      </c>
      <c r="H39" s="133" t="s">
        <v>489</v>
      </c>
      <c r="I39" s="133" t="s">
        <v>489</v>
      </c>
      <c r="J39" s="133" t="s">
        <v>550</v>
      </c>
      <c r="K39" s="133" t="s">
        <v>489</v>
      </c>
      <c r="L39" s="133" t="s">
        <v>497</v>
      </c>
      <c r="M39" s="139" t="str">
        <f t="shared" si="0"/>
        <v>View on Google Map</v>
      </c>
    </row>
    <row r="40" spans="1:14" ht="12.75" customHeight="1" x14ac:dyDescent="0.2">
      <c r="A40" s="133">
        <v>131</v>
      </c>
      <c r="B40" s="133" t="s">
        <v>551</v>
      </c>
      <c r="C40" s="133" t="s">
        <v>489</v>
      </c>
      <c r="D40" s="133">
        <v>70.333333333333329</v>
      </c>
      <c r="E40" s="133">
        <v>-148.93333333333334</v>
      </c>
      <c r="F40" s="133">
        <v>3</v>
      </c>
      <c r="G40" s="133" t="s">
        <v>500</v>
      </c>
      <c r="H40" s="133" t="s">
        <v>552</v>
      </c>
      <c r="I40" s="133" t="s">
        <v>489</v>
      </c>
      <c r="J40" s="133" t="s">
        <v>515</v>
      </c>
      <c r="K40" s="133" t="s">
        <v>489</v>
      </c>
      <c r="L40" s="133" t="s">
        <v>516</v>
      </c>
      <c r="M40" s="139" t="str">
        <f t="shared" si="0"/>
        <v>View on Google Map</v>
      </c>
    </row>
    <row r="41" spans="1:14" s="140" customFormat="1" ht="12.75" customHeight="1" x14ac:dyDescent="0.2">
      <c r="A41" s="133">
        <v>132</v>
      </c>
      <c r="B41" s="133" t="s">
        <v>553</v>
      </c>
      <c r="C41" s="133" t="s">
        <v>489</v>
      </c>
      <c r="D41" s="133">
        <v>70.333333333333329</v>
      </c>
      <c r="E41" s="133">
        <v>-148.93333333333334</v>
      </c>
      <c r="F41" s="133">
        <v>3</v>
      </c>
      <c r="G41" s="133" t="s">
        <v>500</v>
      </c>
      <c r="H41" s="133" t="s">
        <v>554</v>
      </c>
      <c r="I41" s="133" t="s">
        <v>489</v>
      </c>
      <c r="J41" s="133" t="s">
        <v>515</v>
      </c>
      <c r="K41" s="133" t="s">
        <v>489</v>
      </c>
      <c r="L41" s="133" t="s">
        <v>516</v>
      </c>
      <c r="M41" s="139" t="str">
        <f t="shared" si="0"/>
        <v>View on Google Map</v>
      </c>
      <c r="N41" s="133"/>
    </row>
    <row r="42" spans="1:14" ht="12.75" customHeight="1" x14ac:dyDescent="0.2">
      <c r="A42" s="133">
        <v>141</v>
      </c>
      <c r="B42" s="133" t="s">
        <v>555</v>
      </c>
      <c r="C42" s="133" t="s">
        <v>556</v>
      </c>
      <c r="D42" s="133">
        <v>68.63333333333334</v>
      </c>
      <c r="E42" s="133">
        <v>-149.6</v>
      </c>
      <c r="F42" s="133">
        <v>720</v>
      </c>
      <c r="G42" s="133" t="s">
        <v>500</v>
      </c>
      <c r="H42" s="133" t="s">
        <v>557</v>
      </c>
      <c r="I42" s="133" t="s">
        <v>558</v>
      </c>
      <c r="J42" s="133" t="s">
        <v>515</v>
      </c>
      <c r="K42" s="133" t="s">
        <v>489</v>
      </c>
      <c r="L42" s="133" t="s">
        <v>516</v>
      </c>
      <c r="M42" s="139" t="str">
        <f t="shared" si="0"/>
        <v>View on Google Map</v>
      </c>
    </row>
    <row r="43" spans="1:14" ht="12.75" customHeight="1" x14ac:dyDescent="0.2">
      <c r="A43" s="133">
        <v>160</v>
      </c>
      <c r="B43" s="133" t="s">
        <v>559</v>
      </c>
      <c r="C43" s="133" t="s">
        <v>489</v>
      </c>
      <c r="D43" s="133">
        <v>68.599999999999994</v>
      </c>
      <c r="E43" s="133">
        <v>-149.18333333333334</v>
      </c>
      <c r="F43" s="133">
        <v>864</v>
      </c>
      <c r="G43" s="133" t="s">
        <v>500</v>
      </c>
      <c r="H43" s="133" t="s">
        <v>560</v>
      </c>
      <c r="I43" s="133" t="s">
        <v>561</v>
      </c>
      <c r="J43" s="133" t="s">
        <v>515</v>
      </c>
      <c r="K43" s="133">
        <v>246</v>
      </c>
      <c r="L43" s="133" t="s">
        <v>516</v>
      </c>
      <c r="M43" s="139" t="str">
        <f t="shared" si="0"/>
        <v>View on Google Map</v>
      </c>
    </row>
    <row r="44" spans="1:14" ht="12.75" customHeight="1" x14ac:dyDescent="0.2">
      <c r="A44" s="133">
        <v>481</v>
      </c>
      <c r="B44" s="133" t="s">
        <v>562</v>
      </c>
      <c r="C44" s="133" t="s">
        <v>489</v>
      </c>
      <c r="D44" s="133">
        <v>68.976716667000005</v>
      </c>
      <c r="E44" s="133">
        <v>-150.20383333300001</v>
      </c>
      <c r="F44" s="133">
        <v>362</v>
      </c>
      <c r="G44" s="133" t="s">
        <v>500</v>
      </c>
      <c r="H44" s="133" t="s">
        <v>489</v>
      </c>
      <c r="I44" s="133" t="s">
        <v>489</v>
      </c>
      <c r="J44" s="133" t="s">
        <v>550</v>
      </c>
      <c r="K44" s="133" t="s">
        <v>489</v>
      </c>
      <c r="L44" s="133" t="s">
        <v>497</v>
      </c>
      <c r="M44" s="139" t="str">
        <f t="shared" si="0"/>
        <v>View on Google Map</v>
      </c>
    </row>
    <row r="45" spans="1:14" x14ac:dyDescent="0.2">
      <c r="A45" s="133">
        <v>21</v>
      </c>
      <c r="B45" s="133" t="s">
        <v>563</v>
      </c>
      <c r="C45" s="133" t="s">
        <v>489</v>
      </c>
      <c r="D45" s="133" t="s">
        <v>489</v>
      </c>
      <c r="E45" s="133" t="s">
        <v>489</v>
      </c>
      <c r="F45" s="133" t="s">
        <v>489</v>
      </c>
      <c r="G45" s="133" t="s">
        <v>514</v>
      </c>
      <c r="H45" s="133" t="s">
        <v>489</v>
      </c>
      <c r="I45" s="133" t="s">
        <v>489</v>
      </c>
      <c r="J45" s="133" t="s">
        <v>515</v>
      </c>
      <c r="K45" s="133" t="s">
        <v>489</v>
      </c>
      <c r="L45" s="133" t="s">
        <v>489</v>
      </c>
      <c r="M45" s="139" t="str">
        <f t="shared" si="0"/>
        <v>View on Google Map</v>
      </c>
      <c r="N45" s="140"/>
    </row>
    <row r="46" spans="1:14" x14ac:dyDescent="0.2">
      <c r="A46" s="133">
        <v>470</v>
      </c>
      <c r="B46" s="133" t="s">
        <v>564</v>
      </c>
      <c r="C46" s="133" t="s">
        <v>489</v>
      </c>
      <c r="D46" s="133">
        <v>68.829459999999997</v>
      </c>
      <c r="E46" s="133">
        <v>-149.77891</v>
      </c>
      <c r="F46" s="133">
        <v>634</v>
      </c>
      <c r="G46" s="133" t="s">
        <v>500</v>
      </c>
      <c r="H46" s="133" t="s">
        <v>489</v>
      </c>
      <c r="I46" s="133" t="s">
        <v>489</v>
      </c>
      <c r="J46" s="133" t="s">
        <v>501</v>
      </c>
      <c r="K46" s="133" t="s">
        <v>489</v>
      </c>
      <c r="L46" s="133" t="s">
        <v>489</v>
      </c>
      <c r="M46" s="139" t="str">
        <f t="shared" si="0"/>
        <v>View on Google Map</v>
      </c>
    </row>
    <row r="47" spans="1:14" x14ac:dyDescent="0.2">
      <c r="A47" s="133">
        <v>471</v>
      </c>
      <c r="B47" s="133" t="s">
        <v>565</v>
      </c>
      <c r="C47" s="133" t="s">
        <v>489</v>
      </c>
      <c r="D47" s="133">
        <v>68.832939999999994</v>
      </c>
      <c r="E47" s="133">
        <v>-149.76775000000001</v>
      </c>
      <c r="F47" s="133">
        <v>624</v>
      </c>
      <c r="G47" s="133" t="s">
        <v>500</v>
      </c>
      <c r="H47" s="133" t="s">
        <v>489</v>
      </c>
      <c r="I47" s="133" t="s">
        <v>489</v>
      </c>
      <c r="J47" s="133" t="s">
        <v>501</v>
      </c>
      <c r="K47" s="133" t="s">
        <v>489</v>
      </c>
      <c r="L47" s="133" t="s">
        <v>489</v>
      </c>
      <c r="M47" s="139" t="str">
        <f t="shared" si="0"/>
        <v>View on Google Map</v>
      </c>
    </row>
    <row r="48" spans="1:14" x14ac:dyDescent="0.2">
      <c r="A48" s="133">
        <v>472</v>
      </c>
      <c r="B48" s="133" t="s">
        <v>566</v>
      </c>
      <c r="C48" s="133" t="s">
        <v>489</v>
      </c>
      <c r="D48" s="133">
        <v>68.828059999999994</v>
      </c>
      <c r="E48" s="133">
        <v>-149.76449</v>
      </c>
      <c r="F48" s="133">
        <v>624</v>
      </c>
      <c r="G48" s="133" t="s">
        <v>500</v>
      </c>
      <c r="H48" s="133" t="s">
        <v>489</v>
      </c>
      <c r="I48" s="133" t="s">
        <v>489</v>
      </c>
      <c r="J48" s="133" t="s">
        <v>501</v>
      </c>
      <c r="K48" s="133" t="s">
        <v>489</v>
      </c>
      <c r="L48" s="133" t="s">
        <v>489</v>
      </c>
      <c r="M48" s="139" t="str">
        <f t="shared" si="0"/>
        <v>View on Google Map</v>
      </c>
    </row>
    <row r="49" spans="1:13" x14ac:dyDescent="0.2">
      <c r="A49" s="133">
        <v>473</v>
      </c>
      <c r="B49" s="133" t="s">
        <v>567</v>
      </c>
      <c r="C49" s="133" t="s">
        <v>489</v>
      </c>
      <c r="D49" s="133">
        <v>68.826400000000007</v>
      </c>
      <c r="E49" s="133">
        <v>-149.7585</v>
      </c>
      <c r="F49" s="133">
        <v>592</v>
      </c>
      <c r="G49" s="133" t="s">
        <v>500</v>
      </c>
      <c r="H49" s="133" t="s">
        <v>489</v>
      </c>
      <c r="I49" s="133" t="s">
        <v>489</v>
      </c>
      <c r="J49" s="133" t="s">
        <v>501</v>
      </c>
      <c r="K49" s="133" t="s">
        <v>489</v>
      </c>
      <c r="L49" s="133" t="s">
        <v>489</v>
      </c>
      <c r="M49" s="139" t="str">
        <f t="shared" si="0"/>
        <v>View on Google Map</v>
      </c>
    </row>
    <row r="50" spans="1:13" x14ac:dyDescent="0.2">
      <c r="A50" s="133">
        <v>474</v>
      </c>
      <c r="B50" s="133" t="s">
        <v>568</v>
      </c>
      <c r="C50" s="133" t="s">
        <v>489</v>
      </c>
      <c r="D50" s="133">
        <v>68.827349999999996</v>
      </c>
      <c r="E50" s="133">
        <v>-149.74993000000001</v>
      </c>
      <c r="F50" s="133">
        <v>592</v>
      </c>
      <c r="G50" s="133" t="s">
        <v>500</v>
      </c>
      <c r="H50" s="133" t="s">
        <v>489</v>
      </c>
      <c r="I50" s="133" t="s">
        <v>489</v>
      </c>
      <c r="J50" s="133" t="s">
        <v>501</v>
      </c>
      <c r="K50" s="133" t="s">
        <v>489</v>
      </c>
      <c r="L50" s="133" t="s">
        <v>489</v>
      </c>
      <c r="M50" s="139" t="str">
        <f t="shared" si="0"/>
        <v>View on Google Map</v>
      </c>
    </row>
    <row r="51" spans="1:13" x14ac:dyDescent="0.2">
      <c r="A51" s="133">
        <v>475</v>
      </c>
      <c r="B51" s="133" t="s">
        <v>569</v>
      </c>
      <c r="C51" s="133" t="s">
        <v>489</v>
      </c>
      <c r="D51" s="133">
        <v>68.831180000000003</v>
      </c>
      <c r="E51" s="133">
        <v>-149.74606</v>
      </c>
      <c r="F51" s="133">
        <v>593</v>
      </c>
      <c r="G51" s="133" t="s">
        <v>500</v>
      </c>
      <c r="H51" s="133" t="s">
        <v>570</v>
      </c>
      <c r="I51" s="133" t="s">
        <v>489</v>
      </c>
      <c r="J51" s="133" t="s">
        <v>501</v>
      </c>
      <c r="K51" s="133" t="s">
        <v>489</v>
      </c>
      <c r="L51" s="133" t="s">
        <v>489</v>
      </c>
      <c r="M51" s="139" t="str">
        <f t="shared" si="0"/>
        <v>View on Google Map</v>
      </c>
    </row>
    <row r="52" spans="1:13" x14ac:dyDescent="0.2">
      <c r="A52" s="133">
        <v>476</v>
      </c>
      <c r="B52" s="133" t="s">
        <v>571</v>
      </c>
      <c r="C52" s="133" t="s">
        <v>489</v>
      </c>
      <c r="D52" s="133">
        <v>68.825339999999997</v>
      </c>
      <c r="E52" s="133">
        <v>-149.76837</v>
      </c>
      <c r="F52" s="133">
        <v>621</v>
      </c>
      <c r="G52" s="133" t="s">
        <v>500</v>
      </c>
      <c r="H52" s="133" t="s">
        <v>489</v>
      </c>
      <c r="I52" s="133" t="s">
        <v>489</v>
      </c>
      <c r="J52" s="133" t="s">
        <v>501</v>
      </c>
      <c r="K52" s="133" t="s">
        <v>489</v>
      </c>
      <c r="L52" s="133" t="s">
        <v>489</v>
      </c>
      <c r="M52" s="139" t="str">
        <f t="shared" si="0"/>
        <v>View on Google Map</v>
      </c>
    </row>
    <row r="53" spans="1:13" x14ac:dyDescent="0.2">
      <c r="A53" s="133">
        <v>477</v>
      </c>
      <c r="B53" s="133" t="s">
        <v>572</v>
      </c>
      <c r="C53" s="133" t="s">
        <v>489</v>
      </c>
      <c r="D53" s="133">
        <v>68.821740000000005</v>
      </c>
      <c r="E53" s="133">
        <v>-149.76378</v>
      </c>
      <c r="F53" s="133">
        <v>605</v>
      </c>
      <c r="G53" s="133" t="s">
        <v>500</v>
      </c>
      <c r="H53" s="133" t="s">
        <v>489</v>
      </c>
      <c r="I53" s="133" t="s">
        <v>489</v>
      </c>
      <c r="J53" s="133" t="s">
        <v>501</v>
      </c>
      <c r="K53" s="133" t="s">
        <v>489</v>
      </c>
      <c r="L53" s="133" t="s">
        <v>489</v>
      </c>
      <c r="M53" s="139" t="str">
        <f t="shared" si="0"/>
        <v>View on Google Map</v>
      </c>
    </row>
    <row r="54" spans="1:13" x14ac:dyDescent="0.2">
      <c r="A54" s="133">
        <v>1174</v>
      </c>
      <c r="B54" s="133" t="s">
        <v>573</v>
      </c>
      <c r="C54" s="133" t="s">
        <v>489</v>
      </c>
      <c r="D54" s="133">
        <v>68.933938330000004</v>
      </c>
      <c r="E54" s="133">
        <v>-150.27111830000001</v>
      </c>
      <c r="F54" s="133" t="s">
        <v>489</v>
      </c>
      <c r="G54" s="133" t="s">
        <v>490</v>
      </c>
      <c r="H54" s="133" t="s">
        <v>489</v>
      </c>
      <c r="I54" s="133" t="s">
        <v>489</v>
      </c>
      <c r="J54" s="133" t="s">
        <v>496</v>
      </c>
      <c r="K54" s="133" t="s">
        <v>489</v>
      </c>
      <c r="L54" s="133" t="s">
        <v>497</v>
      </c>
      <c r="M54" s="139" t="str">
        <f t="shared" si="0"/>
        <v>View on Google Map</v>
      </c>
    </row>
    <row r="55" spans="1:13" x14ac:dyDescent="0.2">
      <c r="A55" s="133">
        <v>242</v>
      </c>
      <c r="B55" s="133" t="s">
        <v>574</v>
      </c>
      <c r="C55" s="133" t="s">
        <v>489</v>
      </c>
      <c r="D55" s="133" t="s">
        <v>489</v>
      </c>
      <c r="E55" s="133" t="s">
        <v>489</v>
      </c>
      <c r="F55" s="133">
        <v>390.2439024390244</v>
      </c>
      <c r="G55" s="133" t="s">
        <v>500</v>
      </c>
      <c r="H55" s="133" t="s">
        <v>489</v>
      </c>
      <c r="I55" s="133" t="s">
        <v>489</v>
      </c>
      <c r="J55" s="133" t="s">
        <v>515</v>
      </c>
      <c r="K55" s="133" t="s">
        <v>489</v>
      </c>
      <c r="L55" s="133" t="s">
        <v>575</v>
      </c>
      <c r="M55" s="139" t="str">
        <f t="shared" si="0"/>
        <v>View on Google Map</v>
      </c>
    </row>
    <row r="56" spans="1:13" x14ac:dyDescent="0.2">
      <c r="A56" s="133">
        <v>192</v>
      </c>
      <c r="B56" s="133" t="s">
        <v>576</v>
      </c>
      <c r="C56" s="133" t="s">
        <v>489</v>
      </c>
      <c r="D56" s="133">
        <v>69.233333333333334</v>
      </c>
      <c r="E56" s="133">
        <v>-148.94999999999999</v>
      </c>
      <c r="F56" s="133">
        <v>325</v>
      </c>
      <c r="G56" s="133" t="s">
        <v>500</v>
      </c>
      <c r="H56" s="133" t="s">
        <v>577</v>
      </c>
      <c r="I56" s="133" t="s">
        <v>489</v>
      </c>
      <c r="J56" s="133" t="s">
        <v>515</v>
      </c>
      <c r="K56" s="133" t="s">
        <v>489</v>
      </c>
      <c r="L56" s="133" t="s">
        <v>578</v>
      </c>
      <c r="M56" s="139" t="str">
        <f t="shared" si="0"/>
        <v>View on Google Map</v>
      </c>
    </row>
    <row r="57" spans="1:13" x14ac:dyDescent="0.2">
      <c r="A57" s="133">
        <v>277</v>
      </c>
      <c r="B57" s="133" t="s">
        <v>576</v>
      </c>
      <c r="C57" s="133" t="s">
        <v>489</v>
      </c>
      <c r="D57" s="133">
        <v>70.374600000000001</v>
      </c>
      <c r="E57" s="133">
        <v>-149.06383333333332</v>
      </c>
      <c r="F57" s="133">
        <v>6</v>
      </c>
      <c r="G57" s="133" t="s">
        <v>500</v>
      </c>
      <c r="H57" s="133" t="s">
        <v>579</v>
      </c>
      <c r="I57" s="133" t="s">
        <v>489</v>
      </c>
      <c r="J57" s="133" t="s">
        <v>515</v>
      </c>
      <c r="K57" s="133" t="s">
        <v>489</v>
      </c>
      <c r="L57" s="133" t="s">
        <v>580</v>
      </c>
      <c r="M57" s="139" t="str">
        <f t="shared" si="0"/>
        <v>View on Google Map</v>
      </c>
    </row>
    <row r="58" spans="1:13" x14ac:dyDescent="0.2">
      <c r="A58" s="133">
        <v>193</v>
      </c>
      <c r="B58" s="133" t="s">
        <v>581</v>
      </c>
      <c r="C58" s="133" t="s">
        <v>489</v>
      </c>
      <c r="D58" s="133">
        <v>69.283333333333331</v>
      </c>
      <c r="E58" s="133">
        <v>-148.9</v>
      </c>
      <c r="F58" s="133">
        <v>346</v>
      </c>
      <c r="G58" s="133" t="s">
        <v>500</v>
      </c>
      <c r="H58" s="133" t="s">
        <v>582</v>
      </c>
      <c r="I58" s="133" t="s">
        <v>489</v>
      </c>
      <c r="J58" s="133" t="s">
        <v>515</v>
      </c>
      <c r="K58" s="133" t="s">
        <v>489</v>
      </c>
      <c r="L58" s="133" t="s">
        <v>578</v>
      </c>
      <c r="M58" s="139" t="str">
        <f t="shared" si="0"/>
        <v>View on Google Map</v>
      </c>
    </row>
    <row r="59" spans="1:13" x14ac:dyDescent="0.2">
      <c r="A59" s="133">
        <v>278</v>
      </c>
      <c r="B59" s="133" t="s">
        <v>581</v>
      </c>
      <c r="C59" s="133" t="s">
        <v>489</v>
      </c>
      <c r="D59" s="133">
        <v>70.374600000000001</v>
      </c>
      <c r="E59" s="133">
        <v>-149.06383333333332</v>
      </c>
      <c r="F59" s="133">
        <v>6</v>
      </c>
      <c r="G59" s="133" t="s">
        <v>500</v>
      </c>
      <c r="H59" s="133" t="s">
        <v>583</v>
      </c>
      <c r="I59" s="133" t="s">
        <v>489</v>
      </c>
      <c r="J59" s="133" t="s">
        <v>515</v>
      </c>
      <c r="K59" s="133" t="s">
        <v>489</v>
      </c>
      <c r="L59" s="133" t="s">
        <v>580</v>
      </c>
      <c r="M59" s="139" t="str">
        <f t="shared" si="0"/>
        <v>View on Google Map</v>
      </c>
    </row>
    <row r="60" spans="1:13" x14ac:dyDescent="0.2">
      <c r="A60" s="133">
        <v>194</v>
      </c>
      <c r="B60" s="133" t="s">
        <v>584</v>
      </c>
      <c r="C60" s="133" t="s">
        <v>489</v>
      </c>
      <c r="D60" s="133">
        <v>69.716666666666669</v>
      </c>
      <c r="E60" s="133">
        <v>-149.44999999999999</v>
      </c>
      <c r="F60" s="133">
        <v>91</v>
      </c>
      <c r="G60" s="133" t="s">
        <v>500</v>
      </c>
      <c r="H60" s="133" t="s">
        <v>585</v>
      </c>
      <c r="I60" s="133" t="s">
        <v>489</v>
      </c>
      <c r="J60" s="133" t="s">
        <v>515</v>
      </c>
      <c r="K60" s="133" t="s">
        <v>489</v>
      </c>
      <c r="L60" s="133" t="s">
        <v>578</v>
      </c>
      <c r="M60" s="139" t="str">
        <f t="shared" si="0"/>
        <v>View on Google Map</v>
      </c>
    </row>
    <row r="61" spans="1:13" x14ac:dyDescent="0.2">
      <c r="A61" s="133">
        <v>279</v>
      </c>
      <c r="B61" s="133" t="s">
        <v>584</v>
      </c>
      <c r="C61" s="133" t="s">
        <v>489</v>
      </c>
      <c r="D61" s="133">
        <v>70.367750000000001</v>
      </c>
      <c r="E61" s="133">
        <v>-148.8357</v>
      </c>
      <c r="F61" s="133">
        <v>6</v>
      </c>
      <c r="G61" s="133" t="s">
        <v>500</v>
      </c>
      <c r="H61" s="133" t="s">
        <v>586</v>
      </c>
      <c r="I61" s="133" t="s">
        <v>489</v>
      </c>
      <c r="J61" s="133" t="s">
        <v>515</v>
      </c>
      <c r="K61" s="133" t="s">
        <v>489</v>
      </c>
      <c r="L61" s="133" t="s">
        <v>580</v>
      </c>
      <c r="M61" s="139" t="str">
        <f t="shared" si="0"/>
        <v>View on Google Map</v>
      </c>
    </row>
    <row r="62" spans="1:13" x14ac:dyDescent="0.2">
      <c r="A62" s="133">
        <v>195</v>
      </c>
      <c r="B62" s="133" t="s">
        <v>587</v>
      </c>
      <c r="C62" s="133" t="s">
        <v>489</v>
      </c>
      <c r="D62" s="133">
        <v>69.716666666666669</v>
      </c>
      <c r="E62" s="133">
        <v>-149.44999999999999</v>
      </c>
      <c r="F62" s="133">
        <v>91</v>
      </c>
      <c r="G62" s="133" t="s">
        <v>500</v>
      </c>
      <c r="H62" s="133" t="s">
        <v>588</v>
      </c>
      <c r="I62" s="133" t="s">
        <v>489</v>
      </c>
      <c r="J62" s="133" t="s">
        <v>515</v>
      </c>
      <c r="K62" s="133" t="s">
        <v>489</v>
      </c>
      <c r="L62" s="133" t="s">
        <v>578</v>
      </c>
      <c r="M62" s="139" t="str">
        <f t="shared" si="0"/>
        <v>View on Google Map</v>
      </c>
    </row>
    <row r="63" spans="1:13" x14ac:dyDescent="0.2">
      <c r="A63" s="133">
        <v>280</v>
      </c>
      <c r="B63" s="133" t="s">
        <v>587</v>
      </c>
      <c r="C63" s="133" t="s">
        <v>489</v>
      </c>
      <c r="D63" s="133">
        <v>70.367750000000001</v>
      </c>
      <c r="E63" s="133">
        <v>-148.8357</v>
      </c>
      <c r="F63" s="133">
        <v>6</v>
      </c>
      <c r="G63" s="133" t="s">
        <v>500</v>
      </c>
      <c r="H63" s="133" t="s">
        <v>589</v>
      </c>
      <c r="I63" s="133" t="s">
        <v>489</v>
      </c>
      <c r="J63" s="133" t="s">
        <v>515</v>
      </c>
      <c r="K63" s="133" t="s">
        <v>489</v>
      </c>
      <c r="L63" s="133" t="s">
        <v>580</v>
      </c>
      <c r="M63" s="139" t="str">
        <f t="shared" si="0"/>
        <v>View on Google Map</v>
      </c>
    </row>
    <row r="64" spans="1:13" x14ac:dyDescent="0.2">
      <c r="A64" s="133">
        <v>196</v>
      </c>
      <c r="B64" s="133" t="s">
        <v>590</v>
      </c>
      <c r="C64" s="133" t="s">
        <v>489</v>
      </c>
      <c r="D64" s="133">
        <v>69.833333333333329</v>
      </c>
      <c r="E64" s="133">
        <v>-149.75</v>
      </c>
      <c r="F64" s="133">
        <v>80</v>
      </c>
      <c r="G64" s="133" t="s">
        <v>500</v>
      </c>
      <c r="H64" s="133" t="s">
        <v>591</v>
      </c>
      <c r="I64" s="133" t="s">
        <v>489</v>
      </c>
      <c r="J64" s="133" t="s">
        <v>515</v>
      </c>
      <c r="K64" s="133" t="s">
        <v>489</v>
      </c>
      <c r="L64" s="133" t="s">
        <v>578</v>
      </c>
      <c r="M64" s="139" t="str">
        <f t="shared" si="0"/>
        <v>View on Google Map</v>
      </c>
    </row>
    <row r="65" spans="1:13" x14ac:dyDescent="0.2">
      <c r="A65" s="133">
        <v>281</v>
      </c>
      <c r="B65" s="133" t="s">
        <v>590</v>
      </c>
      <c r="C65" s="133" t="s">
        <v>489</v>
      </c>
      <c r="D65" s="133">
        <v>70.26821666666666</v>
      </c>
      <c r="E65" s="133">
        <v>-149.20859999999999</v>
      </c>
      <c r="F65" s="133">
        <v>15</v>
      </c>
      <c r="G65" s="133" t="s">
        <v>500</v>
      </c>
      <c r="H65" s="133" t="s">
        <v>592</v>
      </c>
      <c r="I65" s="133" t="s">
        <v>489</v>
      </c>
      <c r="J65" s="133" t="s">
        <v>515</v>
      </c>
      <c r="K65" s="133" t="s">
        <v>489</v>
      </c>
      <c r="L65" s="133" t="s">
        <v>580</v>
      </c>
      <c r="M65" s="139" t="str">
        <f t="shared" si="0"/>
        <v>View on Google Map</v>
      </c>
    </row>
    <row r="66" spans="1:13" x14ac:dyDescent="0.2">
      <c r="A66" s="133">
        <v>197</v>
      </c>
      <c r="B66" s="133" t="s">
        <v>593</v>
      </c>
      <c r="C66" s="133" t="s">
        <v>489</v>
      </c>
      <c r="D66" s="133">
        <v>70.283333333333331</v>
      </c>
      <c r="E66" s="133">
        <v>-150.19999999999999</v>
      </c>
      <c r="F66" s="133">
        <v>12</v>
      </c>
      <c r="G66" s="133" t="s">
        <v>500</v>
      </c>
      <c r="H66" s="133" t="s">
        <v>594</v>
      </c>
      <c r="I66" s="133" t="s">
        <v>489</v>
      </c>
      <c r="J66" s="133" t="s">
        <v>515</v>
      </c>
      <c r="K66" s="133" t="s">
        <v>489</v>
      </c>
      <c r="L66" s="133" t="s">
        <v>578</v>
      </c>
      <c r="M66" s="139" t="str">
        <f t="shared" si="0"/>
        <v>View on Google Map</v>
      </c>
    </row>
    <row r="67" spans="1:13" x14ac:dyDescent="0.2">
      <c r="A67" s="133">
        <v>282</v>
      </c>
      <c r="B67" s="133" t="s">
        <v>593</v>
      </c>
      <c r="C67" s="133" t="s">
        <v>489</v>
      </c>
      <c r="D67" s="133">
        <v>70.26821666666666</v>
      </c>
      <c r="E67" s="133">
        <v>-149.20859999999999</v>
      </c>
      <c r="F67" s="133">
        <v>15</v>
      </c>
      <c r="G67" s="133" t="s">
        <v>500</v>
      </c>
      <c r="H67" s="133" t="s">
        <v>595</v>
      </c>
      <c r="I67" s="133" t="s">
        <v>489</v>
      </c>
      <c r="J67" s="133" t="s">
        <v>515</v>
      </c>
      <c r="K67" s="133" t="s">
        <v>489</v>
      </c>
      <c r="L67" s="133" t="s">
        <v>580</v>
      </c>
      <c r="M67" s="139" t="str">
        <f t="shared" ref="M67:M130" si="1">HYPERLINK("http://maps.google.com/maps?q="&amp;D67&amp;","&amp;E67,"View on Google Map")</f>
        <v>View on Google Map</v>
      </c>
    </row>
    <row r="68" spans="1:13" x14ac:dyDescent="0.2">
      <c r="A68" s="133">
        <v>198</v>
      </c>
      <c r="B68" s="133" t="s">
        <v>596</v>
      </c>
      <c r="C68" s="133" t="s">
        <v>489</v>
      </c>
      <c r="D68" s="133">
        <v>70.283333333333331</v>
      </c>
      <c r="E68" s="133">
        <v>-150.19999999999999</v>
      </c>
      <c r="F68" s="133">
        <v>12</v>
      </c>
      <c r="G68" s="133" t="s">
        <v>500</v>
      </c>
      <c r="H68" s="133" t="s">
        <v>597</v>
      </c>
      <c r="I68" s="133" t="s">
        <v>489</v>
      </c>
      <c r="J68" s="133" t="s">
        <v>515</v>
      </c>
      <c r="K68" s="133" t="s">
        <v>489</v>
      </c>
      <c r="L68" s="133" t="s">
        <v>578</v>
      </c>
      <c r="M68" s="139" t="str">
        <f t="shared" si="1"/>
        <v>View on Google Map</v>
      </c>
    </row>
    <row r="69" spans="1:13" x14ac:dyDescent="0.2">
      <c r="A69" s="133">
        <v>283</v>
      </c>
      <c r="B69" s="133" t="s">
        <v>596</v>
      </c>
      <c r="C69" s="133" t="s">
        <v>489</v>
      </c>
      <c r="D69" s="133">
        <v>70.184266666666673</v>
      </c>
      <c r="E69" s="133">
        <v>-149.15443333333334</v>
      </c>
      <c r="F69" s="133">
        <v>15</v>
      </c>
      <c r="G69" s="133" t="s">
        <v>500</v>
      </c>
      <c r="H69" s="133" t="s">
        <v>598</v>
      </c>
      <c r="I69" s="133" t="s">
        <v>489</v>
      </c>
      <c r="J69" s="133" t="s">
        <v>515</v>
      </c>
      <c r="K69" s="133" t="s">
        <v>489</v>
      </c>
      <c r="L69" s="133" t="s">
        <v>580</v>
      </c>
      <c r="M69" s="139" t="str">
        <f t="shared" si="1"/>
        <v>View on Google Map</v>
      </c>
    </row>
    <row r="70" spans="1:13" x14ac:dyDescent="0.2">
      <c r="A70" s="133">
        <v>199</v>
      </c>
      <c r="B70" s="133" t="s">
        <v>599</v>
      </c>
      <c r="C70" s="133" t="s">
        <v>489</v>
      </c>
      <c r="D70" s="133">
        <v>70.416666666666671</v>
      </c>
      <c r="E70" s="133">
        <v>-150.19999999999999</v>
      </c>
      <c r="F70" s="133">
        <v>4</v>
      </c>
      <c r="G70" s="133" t="s">
        <v>500</v>
      </c>
      <c r="H70" s="133" t="s">
        <v>600</v>
      </c>
      <c r="I70" s="133" t="s">
        <v>489</v>
      </c>
      <c r="J70" s="133" t="s">
        <v>515</v>
      </c>
      <c r="K70" s="133" t="s">
        <v>489</v>
      </c>
      <c r="L70" s="133" t="s">
        <v>578</v>
      </c>
      <c r="M70" s="139" t="str">
        <f t="shared" si="1"/>
        <v>View on Google Map</v>
      </c>
    </row>
    <row r="71" spans="1:13" x14ac:dyDescent="0.2">
      <c r="A71" s="133">
        <v>284</v>
      </c>
      <c r="B71" s="133" t="s">
        <v>599</v>
      </c>
      <c r="C71" s="133" t="s">
        <v>489</v>
      </c>
      <c r="D71" s="133">
        <v>70.184266666666673</v>
      </c>
      <c r="E71" s="133">
        <v>-149.15443333333334</v>
      </c>
      <c r="F71" s="133">
        <v>15</v>
      </c>
      <c r="G71" s="133" t="s">
        <v>500</v>
      </c>
      <c r="H71" s="133" t="s">
        <v>601</v>
      </c>
      <c r="I71" s="133" t="s">
        <v>489</v>
      </c>
      <c r="J71" s="133" t="s">
        <v>515</v>
      </c>
      <c r="K71" s="133" t="s">
        <v>489</v>
      </c>
      <c r="L71" s="133" t="s">
        <v>580</v>
      </c>
      <c r="M71" s="139" t="str">
        <f t="shared" si="1"/>
        <v>View on Google Map</v>
      </c>
    </row>
    <row r="72" spans="1:13" x14ac:dyDescent="0.2">
      <c r="A72" s="133">
        <v>200</v>
      </c>
      <c r="B72" s="133" t="s">
        <v>602</v>
      </c>
      <c r="C72" s="133" t="s">
        <v>489</v>
      </c>
      <c r="D72" s="133">
        <v>70.283333333333331</v>
      </c>
      <c r="E72" s="133">
        <v>-149.81666666666666</v>
      </c>
      <c r="F72" s="133">
        <v>28.963414634146343</v>
      </c>
      <c r="G72" s="133" t="s">
        <v>500</v>
      </c>
      <c r="H72" s="133" t="s">
        <v>603</v>
      </c>
      <c r="I72" s="133" t="s">
        <v>489</v>
      </c>
      <c r="J72" s="133" t="s">
        <v>515</v>
      </c>
      <c r="K72" s="133" t="s">
        <v>489</v>
      </c>
      <c r="L72" s="133" t="s">
        <v>578</v>
      </c>
      <c r="M72" s="139" t="str">
        <f t="shared" si="1"/>
        <v>View on Google Map</v>
      </c>
    </row>
    <row r="73" spans="1:13" x14ac:dyDescent="0.2">
      <c r="A73" s="133">
        <v>285</v>
      </c>
      <c r="B73" s="133" t="s">
        <v>602</v>
      </c>
      <c r="C73" s="133" t="s">
        <v>489</v>
      </c>
      <c r="D73" s="133">
        <v>70.126099999999994</v>
      </c>
      <c r="E73" s="133">
        <v>-149.33773333333335</v>
      </c>
      <c r="F73" s="133">
        <v>30</v>
      </c>
      <c r="G73" s="133" t="s">
        <v>500</v>
      </c>
      <c r="H73" s="133" t="s">
        <v>604</v>
      </c>
      <c r="I73" s="133" t="s">
        <v>489</v>
      </c>
      <c r="J73" s="133" t="s">
        <v>515</v>
      </c>
      <c r="K73" s="133" t="s">
        <v>489</v>
      </c>
      <c r="L73" s="133" t="s">
        <v>580</v>
      </c>
      <c r="M73" s="139" t="str">
        <f t="shared" si="1"/>
        <v>View on Google Map</v>
      </c>
    </row>
    <row r="74" spans="1:13" x14ac:dyDescent="0.2">
      <c r="A74" s="133">
        <v>201</v>
      </c>
      <c r="B74" s="133" t="s">
        <v>605</v>
      </c>
      <c r="C74" s="133" t="s">
        <v>489</v>
      </c>
      <c r="D74" s="133">
        <v>70.283333333333331</v>
      </c>
      <c r="E74" s="133">
        <v>-149.81666666666666</v>
      </c>
      <c r="F74" s="133">
        <v>28.963414634146343</v>
      </c>
      <c r="G74" s="133" t="s">
        <v>500</v>
      </c>
      <c r="H74" s="133" t="s">
        <v>606</v>
      </c>
      <c r="I74" s="133" t="s">
        <v>489</v>
      </c>
      <c r="J74" s="133" t="s">
        <v>515</v>
      </c>
      <c r="K74" s="133" t="s">
        <v>489</v>
      </c>
      <c r="L74" s="133" t="s">
        <v>578</v>
      </c>
      <c r="M74" s="139" t="str">
        <f t="shared" si="1"/>
        <v>View on Google Map</v>
      </c>
    </row>
    <row r="75" spans="1:13" x14ac:dyDescent="0.2">
      <c r="A75" s="133">
        <v>286</v>
      </c>
      <c r="B75" s="133" t="s">
        <v>605</v>
      </c>
      <c r="C75" s="133" t="s">
        <v>489</v>
      </c>
      <c r="D75" s="133">
        <v>70.126099999999994</v>
      </c>
      <c r="E75" s="133">
        <v>-149.33773333333335</v>
      </c>
      <c r="F75" s="133">
        <v>30</v>
      </c>
      <c r="G75" s="133" t="s">
        <v>500</v>
      </c>
      <c r="H75" s="133" t="s">
        <v>607</v>
      </c>
      <c r="I75" s="133" t="s">
        <v>489</v>
      </c>
      <c r="J75" s="133" t="s">
        <v>515</v>
      </c>
      <c r="K75" s="133" t="s">
        <v>489</v>
      </c>
      <c r="L75" s="133" t="s">
        <v>580</v>
      </c>
      <c r="M75" s="139" t="str">
        <f t="shared" si="1"/>
        <v>View on Google Map</v>
      </c>
    </row>
    <row r="76" spans="1:13" x14ac:dyDescent="0.2">
      <c r="A76" s="133">
        <v>202</v>
      </c>
      <c r="B76" s="133" t="s">
        <v>608</v>
      </c>
      <c r="C76" s="133" t="s">
        <v>489</v>
      </c>
      <c r="D76" s="133">
        <v>70.45</v>
      </c>
      <c r="E76" s="133">
        <v>-149.16666666666666</v>
      </c>
      <c r="F76" s="133">
        <v>4.8780487804878048</v>
      </c>
      <c r="G76" s="133" t="s">
        <v>500</v>
      </c>
      <c r="H76" s="133" t="s">
        <v>609</v>
      </c>
      <c r="I76" s="133" t="s">
        <v>489</v>
      </c>
      <c r="J76" s="133" t="s">
        <v>515</v>
      </c>
      <c r="K76" s="133" t="s">
        <v>489</v>
      </c>
      <c r="L76" s="133" t="s">
        <v>578</v>
      </c>
      <c r="M76" s="139" t="str">
        <f t="shared" si="1"/>
        <v>View on Google Map</v>
      </c>
    </row>
    <row r="77" spans="1:13" x14ac:dyDescent="0.2">
      <c r="A77" s="133">
        <v>287</v>
      </c>
      <c r="B77" s="133" t="s">
        <v>608</v>
      </c>
      <c r="C77" s="133" t="s">
        <v>489</v>
      </c>
      <c r="D77" s="133">
        <v>69.9221</v>
      </c>
      <c r="E77" s="133">
        <v>-149.34523333333334</v>
      </c>
      <c r="F77" s="133">
        <v>61</v>
      </c>
      <c r="G77" s="133" t="s">
        <v>500</v>
      </c>
      <c r="H77" s="133" t="s">
        <v>610</v>
      </c>
      <c r="I77" s="133" t="s">
        <v>489</v>
      </c>
      <c r="J77" s="133" t="s">
        <v>515</v>
      </c>
      <c r="K77" s="133" t="s">
        <v>489</v>
      </c>
      <c r="L77" s="133" t="s">
        <v>580</v>
      </c>
      <c r="M77" s="139" t="str">
        <f t="shared" si="1"/>
        <v>View on Google Map</v>
      </c>
    </row>
    <row r="78" spans="1:13" x14ac:dyDescent="0.2">
      <c r="A78" s="133">
        <v>203</v>
      </c>
      <c r="B78" s="133" t="s">
        <v>611</v>
      </c>
      <c r="C78" s="133" t="s">
        <v>489</v>
      </c>
      <c r="D78" s="133">
        <v>70.233333333333334</v>
      </c>
      <c r="E78" s="133">
        <v>-148.88333333333333</v>
      </c>
      <c r="F78" s="133">
        <v>17.682926829268293</v>
      </c>
      <c r="G78" s="133" t="s">
        <v>500</v>
      </c>
      <c r="H78" s="133" t="s">
        <v>612</v>
      </c>
      <c r="I78" s="133" t="s">
        <v>489</v>
      </c>
      <c r="J78" s="133" t="s">
        <v>515</v>
      </c>
      <c r="K78" s="133" t="s">
        <v>489</v>
      </c>
      <c r="L78" s="133" t="s">
        <v>578</v>
      </c>
      <c r="M78" s="139" t="str">
        <f t="shared" si="1"/>
        <v>View on Google Map</v>
      </c>
    </row>
    <row r="79" spans="1:13" x14ac:dyDescent="0.2">
      <c r="A79" s="133">
        <v>288</v>
      </c>
      <c r="B79" s="133" t="s">
        <v>611</v>
      </c>
      <c r="C79" s="133" t="s">
        <v>489</v>
      </c>
      <c r="D79" s="133">
        <v>69.9221</v>
      </c>
      <c r="E79" s="133">
        <v>-149.34523333333334</v>
      </c>
      <c r="F79" s="133">
        <v>61</v>
      </c>
      <c r="G79" s="133" t="s">
        <v>500</v>
      </c>
      <c r="H79" s="133" t="s">
        <v>613</v>
      </c>
      <c r="I79" s="133" t="s">
        <v>489</v>
      </c>
      <c r="J79" s="133" t="s">
        <v>515</v>
      </c>
      <c r="K79" s="133" t="s">
        <v>489</v>
      </c>
      <c r="L79" s="133" t="s">
        <v>580</v>
      </c>
      <c r="M79" s="139" t="str">
        <f t="shared" si="1"/>
        <v>View on Google Map</v>
      </c>
    </row>
    <row r="80" spans="1:13" x14ac:dyDescent="0.2">
      <c r="A80" s="133">
        <v>204</v>
      </c>
      <c r="B80" s="133" t="s">
        <v>614</v>
      </c>
      <c r="C80" s="133" t="s">
        <v>489</v>
      </c>
      <c r="D80" s="133">
        <v>70.233333333333334</v>
      </c>
      <c r="E80" s="133">
        <v>-148.88333333333333</v>
      </c>
      <c r="F80" s="133">
        <v>17.682926829268293</v>
      </c>
      <c r="G80" s="133" t="s">
        <v>500</v>
      </c>
      <c r="H80" s="133" t="s">
        <v>615</v>
      </c>
      <c r="I80" s="133" t="s">
        <v>489</v>
      </c>
      <c r="J80" s="133" t="s">
        <v>515</v>
      </c>
      <c r="K80" s="133" t="s">
        <v>489</v>
      </c>
      <c r="L80" s="133" t="s">
        <v>578</v>
      </c>
      <c r="M80" s="139" t="str">
        <f t="shared" si="1"/>
        <v>View on Google Map</v>
      </c>
    </row>
    <row r="81" spans="1:13" x14ac:dyDescent="0.2">
      <c r="A81" s="133">
        <v>289</v>
      </c>
      <c r="B81" s="133" t="s">
        <v>614</v>
      </c>
      <c r="C81" s="133" t="s">
        <v>489</v>
      </c>
      <c r="D81" s="133">
        <v>69.986533333333327</v>
      </c>
      <c r="E81" s="133">
        <v>-150.08543333333333</v>
      </c>
      <c r="F81" s="133">
        <v>125</v>
      </c>
      <c r="G81" s="133" t="s">
        <v>500</v>
      </c>
      <c r="H81" s="133" t="s">
        <v>616</v>
      </c>
      <c r="I81" s="133" t="s">
        <v>489</v>
      </c>
      <c r="J81" s="133" t="s">
        <v>515</v>
      </c>
      <c r="K81" s="133" t="s">
        <v>489</v>
      </c>
      <c r="L81" s="133" t="s">
        <v>580</v>
      </c>
      <c r="M81" s="139" t="str">
        <f t="shared" si="1"/>
        <v>View on Google Map</v>
      </c>
    </row>
    <row r="82" spans="1:13" x14ac:dyDescent="0.2">
      <c r="A82" s="133">
        <v>205</v>
      </c>
      <c r="B82" s="133" t="s">
        <v>617</v>
      </c>
      <c r="C82" s="133" t="s">
        <v>489</v>
      </c>
      <c r="D82" s="133">
        <v>70.13333333333334</v>
      </c>
      <c r="E82" s="133">
        <v>-148.6</v>
      </c>
      <c r="F82" s="133">
        <v>24.390243902439025</v>
      </c>
      <c r="G82" s="133" t="s">
        <v>500</v>
      </c>
      <c r="H82" s="133" t="s">
        <v>618</v>
      </c>
      <c r="I82" s="133" t="s">
        <v>489</v>
      </c>
      <c r="J82" s="133" t="s">
        <v>515</v>
      </c>
      <c r="K82" s="133" t="s">
        <v>489</v>
      </c>
      <c r="L82" s="133" t="s">
        <v>578</v>
      </c>
      <c r="M82" s="139" t="str">
        <f t="shared" si="1"/>
        <v>View on Google Map</v>
      </c>
    </row>
    <row r="83" spans="1:13" x14ac:dyDescent="0.2">
      <c r="A83" s="133">
        <v>290</v>
      </c>
      <c r="B83" s="133" t="s">
        <v>617</v>
      </c>
      <c r="C83" s="133" t="s">
        <v>489</v>
      </c>
      <c r="D83" s="133">
        <v>69.986533333333327</v>
      </c>
      <c r="E83" s="133">
        <v>-150.08543333333333</v>
      </c>
      <c r="F83" s="133">
        <v>125</v>
      </c>
      <c r="G83" s="133" t="s">
        <v>500</v>
      </c>
      <c r="H83" s="133" t="s">
        <v>619</v>
      </c>
      <c r="I83" s="133" t="s">
        <v>489</v>
      </c>
      <c r="J83" s="133" t="s">
        <v>515</v>
      </c>
      <c r="K83" s="133" t="s">
        <v>489</v>
      </c>
      <c r="L83" s="133" t="s">
        <v>580</v>
      </c>
      <c r="M83" s="139" t="str">
        <f t="shared" si="1"/>
        <v>View on Google Map</v>
      </c>
    </row>
    <row r="84" spans="1:13" x14ac:dyDescent="0.2">
      <c r="A84" s="133">
        <v>291</v>
      </c>
      <c r="B84" s="133" t="s">
        <v>620</v>
      </c>
      <c r="C84" s="133" t="s">
        <v>489</v>
      </c>
      <c r="D84" s="133">
        <v>69.639166666666668</v>
      </c>
      <c r="E84" s="133">
        <v>-149.73946666666666</v>
      </c>
      <c r="F84" s="133">
        <v>91</v>
      </c>
      <c r="G84" s="133" t="s">
        <v>500</v>
      </c>
      <c r="H84" s="133" t="s">
        <v>621</v>
      </c>
      <c r="I84" s="133" t="s">
        <v>489</v>
      </c>
      <c r="J84" s="133" t="s">
        <v>515</v>
      </c>
      <c r="K84" s="133" t="s">
        <v>489</v>
      </c>
      <c r="L84" s="133" t="s">
        <v>580</v>
      </c>
      <c r="M84" s="139" t="str">
        <f t="shared" si="1"/>
        <v>View on Google Map</v>
      </c>
    </row>
    <row r="85" spans="1:13" x14ac:dyDescent="0.2">
      <c r="A85" s="133">
        <v>206</v>
      </c>
      <c r="B85" s="133" t="s">
        <v>622</v>
      </c>
      <c r="C85" s="133" t="s">
        <v>489</v>
      </c>
      <c r="D85" s="133">
        <v>70.11666666666666</v>
      </c>
      <c r="E85" s="133">
        <v>-146.16666666666666</v>
      </c>
      <c r="F85" s="133">
        <v>3.0487804878048781</v>
      </c>
      <c r="G85" s="133" t="s">
        <v>500</v>
      </c>
      <c r="H85" s="133" t="s">
        <v>623</v>
      </c>
      <c r="I85" s="133" t="s">
        <v>489</v>
      </c>
      <c r="J85" s="133" t="s">
        <v>515</v>
      </c>
      <c r="K85" s="133" t="s">
        <v>489</v>
      </c>
      <c r="L85" s="133" t="s">
        <v>578</v>
      </c>
      <c r="M85" s="139" t="str">
        <f t="shared" si="1"/>
        <v>View on Google Map</v>
      </c>
    </row>
    <row r="86" spans="1:13" x14ac:dyDescent="0.2">
      <c r="A86" s="133">
        <v>292</v>
      </c>
      <c r="B86" s="133" t="s">
        <v>622</v>
      </c>
      <c r="C86" s="133" t="s">
        <v>489</v>
      </c>
      <c r="D86" s="133">
        <v>69.639166666666668</v>
      </c>
      <c r="E86" s="133">
        <v>-149.73946666666666</v>
      </c>
      <c r="F86" s="133">
        <v>91</v>
      </c>
      <c r="G86" s="133" t="s">
        <v>500</v>
      </c>
      <c r="H86" s="133" t="s">
        <v>624</v>
      </c>
      <c r="I86" s="133" t="s">
        <v>489</v>
      </c>
      <c r="J86" s="133" t="s">
        <v>515</v>
      </c>
      <c r="K86" s="133" t="s">
        <v>489</v>
      </c>
      <c r="L86" s="133" t="s">
        <v>580</v>
      </c>
      <c r="M86" s="139" t="str">
        <f t="shared" si="1"/>
        <v>View on Google Map</v>
      </c>
    </row>
    <row r="87" spans="1:13" x14ac:dyDescent="0.2">
      <c r="A87" s="133">
        <v>207</v>
      </c>
      <c r="B87" s="133" t="s">
        <v>625</v>
      </c>
      <c r="C87" s="133" t="s">
        <v>489</v>
      </c>
      <c r="D87" s="133">
        <v>70.099999999999994</v>
      </c>
      <c r="E87" s="133">
        <v>-146.26666666666668</v>
      </c>
      <c r="F87" s="133">
        <v>9.1463414634146343</v>
      </c>
      <c r="G87" s="133" t="s">
        <v>500</v>
      </c>
      <c r="H87" s="133" t="s">
        <v>626</v>
      </c>
      <c r="I87" s="133" t="s">
        <v>489</v>
      </c>
      <c r="J87" s="133" t="s">
        <v>515</v>
      </c>
      <c r="K87" s="133" t="s">
        <v>489</v>
      </c>
      <c r="L87" s="133" t="s">
        <v>578</v>
      </c>
      <c r="M87" s="139" t="str">
        <f t="shared" si="1"/>
        <v>View on Google Map</v>
      </c>
    </row>
    <row r="88" spans="1:13" x14ac:dyDescent="0.2">
      <c r="A88" s="133">
        <v>293</v>
      </c>
      <c r="B88" s="133" t="s">
        <v>625</v>
      </c>
      <c r="C88" s="133" t="s">
        <v>489</v>
      </c>
      <c r="D88" s="133">
        <v>68.820783333333338</v>
      </c>
      <c r="E88" s="133">
        <v>-149.7646</v>
      </c>
      <c r="F88" s="133">
        <v>579</v>
      </c>
      <c r="G88" s="133" t="s">
        <v>500</v>
      </c>
      <c r="H88" s="133" t="s">
        <v>627</v>
      </c>
      <c r="I88" s="133" t="s">
        <v>489</v>
      </c>
      <c r="J88" s="133" t="s">
        <v>515</v>
      </c>
      <c r="K88" s="133" t="s">
        <v>489</v>
      </c>
      <c r="L88" s="133" t="s">
        <v>580</v>
      </c>
      <c r="M88" s="139" t="str">
        <f t="shared" si="1"/>
        <v>View on Google Map</v>
      </c>
    </row>
    <row r="89" spans="1:13" x14ac:dyDescent="0.2">
      <c r="A89" s="133">
        <v>208</v>
      </c>
      <c r="B89" s="133" t="s">
        <v>628</v>
      </c>
      <c r="C89" s="133" t="s">
        <v>489</v>
      </c>
      <c r="D89" s="133">
        <v>70.05</v>
      </c>
      <c r="E89" s="133">
        <v>-146.98333333333332</v>
      </c>
      <c r="F89" s="133">
        <v>24.390243902439025</v>
      </c>
      <c r="G89" s="133" t="s">
        <v>500</v>
      </c>
      <c r="H89" s="133" t="s">
        <v>629</v>
      </c>
      <c r="I89" s="133" t="s">
        <v>489</v>
      </c>
      <c r="J89" s="133" t="s">
        <v>515</v>
      </c>
      <c r="K89" s="133" t="s">
        <v>489</v>
      </c>
      <c r="L89" s="133" t="s">
        <v>578</v>
      </c>
      <c r="M89" s="139" t="str">
        <f t="shared" si="1"/>
        <v>View on Google Map</v>
      </c>
    </row>
    <row r="90" spans="1:13" x14ac:dyDescent="0.2">
      <c r="A90" s="133">
        <v>294</v>
      </c>
      <c r="B90" s="133" t="s">
        <v>628</v>
      </c>
      <c r="C90" s="133" t="s">
        <v>489</v>
      </c>
      <c r="D90" s="133">
        <v>68.820616666666666</v>
      </c>
      <c r="E90" s="133">
        <v>-149.74383333333333</v>
      </c>
      <c r="F90" s="133">
        <v>579</v>
      </c>
      <c r="G90" s="133" t="s">
        <v>500</v>
      </c>
      <c r="H90" s="133" t="s">
        <v>630</v>
      </c>
      <c r="I90" s="133" t="s">
        <v>489</v>
      </c>
      <c r="J90" s="133" t="s">
        <v>515</v>
      </c>
      <c r="K90" s="133" t="s">
        <v>489</v>
      </c>
      <c r="L90" s="133" t="s">
        <v>580</v>
      </c>
      <c r="M90" s="139" t="str">
        <f t="shared" si="1"/>
        <v>View on Google Map</v>
      </c>
    </row>
    <row r="91" spans="1:13" x14ac:dyDescent="0.2">
      <c r="A91" s="133">
        <v>209</v>
      </c>
      <c r="B91" s="133" t="s">
        <v>631</v>
      </c>
      <c r="C91" s="133" t="s">
        <v>489</v>
      </c>
      <c r="D91" s="133">
        <v>70.05</v>
      </c>
      <c r="E91" s="133">
        <v>-146.98333333333332</v>
      </c>
      <c r="F91" s="133">
        <v>24.390243902439025</v>
      </c>
      <c r="G91" s="133" t="s">
        <v>500</v>
      </c>
      <c r="H91" s="133" t="s">
        <v>632</v>
      </c>
      <c r="I91" s="133" t="s">
        <v>489</v>
      </c>
      <c r="J91" s="133" t="s">
        <v>515</v>
      </c>
      <c r="K91" s="133" t="s">
        <v>489</v>
      </c>
      <c r="L91" s="133" t="s">
        <v>578</v>
      </c>
      <c r="M91" s="139" t="str">
        <f t="shared" si="1"/>
        <v>View on Google Map</v>
      </c>
    </row>
    <row r="92" spans="1:13" x14ac:dyDescent="0.2">
      <c r="A92" s="133">
        <v>295</v>
      </c>
      <c r="B92" s="133" t="s">
        <v>631</v>
      </c>
      <c r="C92" s="133" t="s">
        <v>489</v>
      </c>
      <c r="D92" s="133">
        <v>68.821529999999996</v>
      </c>
      <c r="E92" s="133">
        <v>-149.05867000000001</v>
      </c>
      <c r="F92" s="133">
        <v>518</v>
      </c>
      <c r="G92" s="133" t="s">
        <v>500</v>
      </c>
      <c r="H92" s="133" t="s">
        <v>633</v>
      </c>
      <c r="I92" s="133" t="s">
        <v>489</v>
      </c>
      <c r="J92" s="133" t="s">
        <v>515</v>
      </c>
      <c r="K92" s="133" t="s">
        <v>489</v>
      </c>
      <c r="L92" s="133" t="s">
        <v>580</v>
      </c>
      <c r="M92" s="139" t="str">
        <f t="shared" si="1"/>
        <v>View on Google Map</v>
      </c>
    </row>
    <row r="93" spans="1:13" x14ac:dyDescent="0.2">
      <c r="A93" s="133">
        <v>210</v>
      </c>
      <c r="B93" s="133" t="s">
        <v>634</v>
      </c>
      <c r="C93" s="133" t="s">
        <v>489</v>
      </c>
      <c r="D93" s="133">
        <v>70.150000000000006</v>
      </c>
      <c r="E93" s="133">
        <v>-147.36666666666667</v>
      </c>
      <c r="F93" s="133">
        <v>6.7073170731707323</v>
      </c>
      <c r="G93" s="133" t="s">
        <v>500</v>
      </c>
      <c r="H93" s="133" t="s">
        <v>635</v>
      </c>
      <c r="I93" s="133" t="s">
        <v>489</v>
      </c>
      <c r="J93" s="133" t="s">
        <v>515</v>
      </c>
      <c r="K93" s="133" t="s">
        <v>489</v>
      </c>
      <c r="L93" s="133" t="s">
        <v>578</v>
      </c>
      <c r="M93" s="139" t="str">
        <f t="shared" si="1"/>
        <v>View on Google Map</v>
      </c>
    </row>
    <row r="94" spans="1:13" x14ac:dyDescent="0.2">
      <c r="A94" s="133">
        <v>296</v>
      </c>
      <c r="B94" s="133" t="s">
        <v>634</v>
      </c>
      <c r="C94" s="133" t="s">
        <v>489</v>
      </c>
      <c r="D94" s="133">
        <v>68.817116666666664</v>
      </c>
      <c r="E94" s="133">
        <v>-149.05956666666665</v>
      </c>
      <c r="F94" s="133">
        <v>518</v>
      </c>
      <c r="G94" s="133" t="s">
        <v>500</v>
      </c>
      <c r="H94" s="133" t="s">
        <v>636</v>
      </c>
      <c r="I94" s="133" t="s">
        <v>489</v>
      </c>
      <c r="J94" s="133" t="s">
        <v>515</v>
      </c>
      <c r="K94" s="133" t="s">
        <v>489</v>
      </c>
      <c r="L94" s="133" t="s">
        <v>580</v>
      </c>
      <c r="M94" s="139" t="str">
        <f t="shared" si="1"/>
        <v>View on Google Map</v>
      </c>
    </row>
    <row r="95" spans="1:13" x14ac:dyDescent="0.2">
      <c r="A95" s="133">
        <v>211</v>
      </c>
      <c r="B95" s="133" t="s">
        <v>637</v>
      </c>
      <c r="C95" s="133" t="s">
        <v>489</v>
      </c>
      <c r="D95" s="133">
        <v>70.150000000000006</v>
      </c>
      <c r="E95" s="133">
        <v>-147.36666666666667</v>
      </c>
      <c r="F95" s="133">
        <v>6.7073170731707323</v>
      </c>
      <c r="G95" s="133" t="s">
        <v>500</v>
      </c>
      <c r="H95" s="133" t="s">
        <v>638</v>
      </c>
      <c r="I95" s="133" t="s">
        <v>489</v>
      </c>
      <c r="J95" s="133" t="s">
        <v>515</v>
      </c>
      <c r="K95" s="133" t="s">
        <v>489</v>
      </c>
      <c r="L95" s="133" t="s">
        <v>578</v>
      </c>
      <c r="M95" s="139" t="str">
        <f t="shared" si="1"/>
        <v>View on Google Map</v>
      </c>
    </row>
    <row r="96" spans="1:13" x14ac:dyDescent="0.2">
      <c r="A96" s="133">
        <v>297</v>
      </c>
      <c r="B96" s="133" t="s">
        <v>637</v>
      </c>
      <c r="C96" s="133" t="s">
        <v>489</v>
      </c>
      <c r="D96" s="133">
        <v>69.356183333333334</v>
      </c>
      <c r="E96" s="133">
        <v>-150.21899999999999</v>
      </c>
      <c r="F96" s="133">
        <v>168</v>
      </c>
      <c r="G96" s="133" t="s">
        <v>500</v>
      </c>
      <c r="H96" s="133" t="s">
        <v>639</v>
      </c>
      <c r="I96" s="133" t="s">
        <v>489</v>
      </c>
      <c r="J96" s="133" t="s">
        <v>515</v>
      </c>
      <c r="K96" s="133" t="s">
        <v>489</v>
      </c>
      <c r="L96" s="133" t="s">
        <v>580</v>
      </c>
      <c r="M96" s="139" t="str">
        <f t="shared" si="1"/>
        <v>View on Google Map</v>
      </c>
    </row>
    <row r="97" spans="1:13" x14ac:dyDescent="0.2">
      <c r="A97" s="133">
        <v>212</v>
      </c>
      <c r="B97" s="133" t="s">
        <v>640</v>
      </c>
      <c r="C97" s="133" t="s">
        <v>489</v>
      </c>
      <c r="D97" s="133">
        <v>70.033333333333331</v>
      </c>
      <c r="E97" s="133">
        <v>-147.65</v>
      </c>
      <c r="F97" s="133">
        <v>28.04878048780488</v>
      </c>
      <c r="G97" s="133" t="s">
        <v>500</v>
      </c>
      <c r="H97" s="133" t="s">
        <v>641</v>
      </c>
      <c r="I97" s="133" t="s">
        <v>489</v>
      </c>
      <c r="J97" s="133" t="s">
        <v>515</v>
      </c>
      <c r="K97" s="133" t="s">
        <v>489</v>
      </c>
      <c r="L97" s="133" t="s">
        <v>578</v>
      </c>
      <c r="M97" s="139" t="str">
        <f t="shared" si="1"/>
        <v>View on Google Map</v>
      </c>
    </row>
    <row r="98" spans="1:13" x14ac:dyDescent="0.2">
      <c r="A98" s="133">
        <v>298</v>
      </c>
      <c r="B98" s="133" t="s">
        <v>640</v>
      </c>
      <c r="C98" s="133" t="s">
        <v>489</v>
      </c>
      <c r="D98" s="133">
        <v>69.356183333333334</v>
      </c>
      <c r="E98" s="133">
        <v>-150.21899999999999</v>
      </c>
      <c r="F98" s="133">
        <v>168</v>
      </c>
      <c r="G98" s="133" t="s">
        <v>500</v>
      </c>
      <c r="H98" s="133" t="s">
        <v>642</v>
      </c>
      <c r="I98" s="133" t="s">
        <v>489</v>
      </c>
      <c r="J98" s="133" t="s">
        <v>515</v>
      </c>
      <c r="K98" s="133" t="s">
        <v>489</v>
      </c>
      <c r="L98" s="133" t="s">
        <v>580</v>
      </c>
      <c r="M98" s="139" t="str">
        <f t="shared" si="1"/>
        <v>View on Google Map</v>
      </c>
    </row>
    <row r="99" spans="1:13" x14ac:dyDescent="0.2">
      <c r="A99" s="133">
        <v>213</v>
      </c>
      <c r="B99" s="133" t="s">
        <v>643</v>
      </c>
      <c r="C99" s="133" t="s">
        <v>489</v>
      </c>
      <c r="D99" s="133">
        <v>70.033333333333331</v>
      </c>
      <c r="E99" s="133">
        <v>-147.65</v>
      </c>
      <c r="F99" s="133">
        <v>28.04878048780488</v>
      </c>
      <c r="G99" s="133" t="s">
        <v>500</v>
      </c>
      <c r="H99" s="133" t="s">
        <v>644</v>
      </c>
      <c r="I99" s="133" t="s">
        <v>489</v>
      </c>
      <c r="J99" s="133" t="s">
        <v>515</v>
      </c>
      <c r="K99" s="133" t="s">
        <v>489</v>
      </c>
      <c r="L99" s="133" t="s">
        <v>578</v>
      </c>
      <c r="M99" s="139" t="str">
        <f t="shared" si="1"/>
        <v>View on Google Map</v>
      </c>
    </row>
    <row r="100" spans="1:13" x14ac:dyDescent="0.2">
      <c r="A100" s="133">
        <v>299</v>
      </c>
      <c r="B100" s="133" t="s">
        <v>643</v>
      </c>
      <c r="C100" s="133" t="s">
        <v>489</v>
      </c>
      <c r="D100" s="133">
        <v>69.5458</v>
      </c>
      <c r="E100" s="133">
        <v>-150.37883333333335</v>
      </c>
      <c r="F100" s="133">
        <v>107</v>
      </c>
      <c r="G100" s="133" t="s">
        <v>500</v>
      </c>
      <c r="H100" s="133" t="s">
        <v>645</v>
      </c>
      <c r="I100" s="133" t="s">
        <v>489</v>
      </c>
      <c r="J100" s="133" t="s">
        <v>515</v>
      </c>
      <c r="K100" s="133" t="s">
        <v>489</v>
      </c>
      <c r="L100" s="133" t="s">
        <v>580</v>
      </c>
      <c r="M100" s="139" t="str">
        <f t="shared" si="1"/>
        <v>View on Google Map</v>
      </c>
    </row>
    <row r="101" spans="1:13" x14ac:dyDescent="0.2">
      <c r="A101" s="133">
        <v>214</v>
      </c>
      <c r="B101" s="133" t="s">
        <v>646</v>
      </c>
      <c r="C101" s="133" t="s">
        <v>489</v>
      </c>
      <c r="D101" s="133">
        <v>69.833333333333329</v>
      </c>
      <c r="E101" s="133">
        <v>-147.93333333333334</v>
      </c>
      <c r="F101" s="133">
        <v>92.987804878048792</v>
      </c>
      <c r="G101" s="133" t="s">
        <v>500</v>
      </c>
      <c r="H101" s="133" t="s">
        <v>647</v>
      </c>
      <c r="I101" s="133" t="s">
        <v>489</v>
      </c>
      <c r="J101" s="133" t="s">
        <v>515</v>
      </c>
      <c r="K101" s="133" t="s">
        <v>489</v>
      </c>
      <c r="L101" s="133" t="s">
        <v>578</v>
      </c>
      <c r="M101" s="139" t="str">
        <f t="shared" si="1"/>
        <v>View on Google Map</v>
      </c>
    </row>
    <row r="102" spans="1:13" x14ac:dyDescent="0.2">
      <c r="A102" s="133">
        <v>300</v>
      </c>
      <c r="B102" s="133" t="s">
        <v>646</v>
      </c>
      <c r="C102" s="133" t="s">
        <v>489</v>
      </c>
      <c r="D102" s="133">
        <v>69.5458</v>
      </c>
      <c r="E102" s="133">
        <v>-150.37883333333335</v>
      </c>
      <c r="F102" s="133">
        <v>107</v>
      </c>
      <c r="G102" s="133" t="s">
        <v>500</v>
      </c>
      <c r="H102" s="133" t="s">
        <v>648</v>
      </c>
      <c r="I102" s="133" t="s">
        <v>489</v>
      </c>
      <c r="J102" s="133" t="s">
        <v>515</v>
      </c>
      <c r="K102" s="133" t="s">
        <v>489</v>
      </c>
      <c r="L102" s="133" t="s">
        <v>580</v>
      </c>
      <c r="M102" s="139" t="str">
        <f t="shared" si="1"/>
        <v>View on Google Map</v>
      </c>
    </row>
    <row r="103" spans="1:13" x14ac:dyDescent="0.2">
      <c r="A103" s="133">
        <v>215</v>
      </c>
      <c r="B103" s="133" t="s">
        <v>649</v>
      </c>
      <c r="C103" s="133" t="s">
        <v>489</v>
      </c>
      <c r="D103" s="133">
        <v>69.833333333333329</v>
      </c>
      <c r="E103" s="133">
        <v>-147.93333333333334</v>
      </c>
      <c r="F103" s="133">
        <v>92.987804878048792</v>
      </c>
      <c r="G103" s="133" t="s">
        <v>500</v>
      </c>
      <c r="H103" s="133" t="s">
        <v>650</v>
      </c>
      <c r="I103" s="133" t="s">
        <v>489</v>
      </c>
      <c r="J103" s="133" t="s">
        <v>515</v>
      </c>
      <c r="K103" s="133" t="s">
        <v>489</v>
      </c>
      <c r="L103" s="133" t="s">
        <v>578</v>
      </c>
      <c r="M103" s="139" t="str">
        <f t="shared" si="1"/>
        <v>View on Google Map</v>
      </c>
    </row>
    <row r="104" spans="1:13" x14ac:dyDescent="0.2">
      <c r="A104" s="133">
        <v>301</v>
      </c>
      <c r="B104" s="133" t="s">
        <v>649</v>
      </c>
      <c r="C104" s="133" t="s">
        <v>489</v>
      </c>
      <c r="D104" s="133">
        <v>69.523700000000005</v>
      </c>
      <c r="E104" s="133">
        <v>-150.55269999999999</v>
      </c>
      <c r="F104" s="133">
        <v>107</v>
      </c>
      <c r="G104" s="133" t="s">
        <v>500</v>
      </c>
      <c r="H104" s="133" t="s">
        <v>651</v>
      </c>
      <c r="I104" s="133" t="s">
        <v>489</v>
      </c>
      <c r="J104" s="133" t="s">
        <v>515</v>
      </c>
      <c r="K104" s="133" t="s">
        <v>489</v>
      </c>
      <c r="L104" s="133" t="s">
        <v>580</v>
      </c>
      <c r="M104" s="139" t="str">
        <f t="shared" si="1"/>
        <v>View on Google Map</v>
      </c>
    </row>
    <row r="105" spans="1:13" x14ac:dyDescent="0.2">
      <c r="A105" s="133">
        <v>216</v>
      </c>
      <c r="B105" s="133" t="s">
        <v>652</v>
      </c>
      <c r="C105" s="133" t="s">
        <v>489</v>
      </c>
      <c r="D105" s="133">
        <v>69.88333333333334</v>
      </c>
      <c r="E105" s="133">
        <v>-148.63333333333333</v>
      </c>
      <c r="F105" s="133">
        <v>118.90243902439025</v>
      </c>
      <c r="G105" s="133" t="s">
        <v>500</v>
      </c>
      <c r="H105" s="133" t="s">
        <v>653</v>
      </c>
      <c r="I105" s="133" t="s">
        <v>489</v>
      </c>
      <c r="J105" s="133" t="s">
        <v>515</v>
      </c>
      <c r="K105" s="133" t="s">
        <v>489</v>
      </c>
      <c r="L105" s="133" t="s">
        <v>578</v>
      </c>
      <c r="M105" s="139" t="str">
        <f t="shared" si="1"/>
        <v>View on Google Map</v>
      </c>
    </row>
    <row r="106" spans="1:13" x14ac:dyDescent="0.2">
      <c r="A106" s="133">
        <v>302</v>
      </c>
      <c r="B106" s="133" t="s">
        <v>652</v>
      </c>
      <c r="C106" s="133" t="s">
        <v>489</v>
      </c>
      <c r="D106" s="133">
        <v>69.523700000000005</v>
      </c>
      <c r="E106" s="133">
        <v>-150.55269999999999</v>
      </c>
      <c r="F106" s="133">
        <v>107</v>
      </c>
      <c r="G106" s="133" t="s">
        <v>500</v>
      </c>
      <c r="H106" s="133" t="s">
        <v>654</v>
      </c>
      <c r="I106" s="133" t="s">
        <v>489</v>
      </c>
      <c r="J106" s="133" t="s">
        <v>515</v>
      </c>
      <c r="K106" s="133" t="s">
        <v>489</v>
      </c>
      <c r="L106" s="133" t="s">
        <v>580</v>
      </c>
      <c r="M106" s="139" t="str">
        <f t="shared" si="1"/>
        <v>View on Google Map</v>
      </c>
    </row>
    <row r="107" spans="1:13" x14ac:dyDescent="0.2">
      <c r="A107" s="133">
        <v>217</v>
      </c>
      <c r="B107" s="133" t="s">
        <v>655</v>
      </c>
      <c r="C107" s="133" t="s">
        <v>489</v>
      </c>
      <c r="D107" s="133">
        <v>69.7</v>
      </c>
      <c r="E107" s="133">
        <v>-148.48333333333332</v>
      </c>
      <c r="F107" s="133">
        <v>125</v>
      </c>
      <c r="G107" s="133" t="s">
        <v>500</v>
      </c>
      <c r="H107" s="133" t="s">
        <v>656</v>
      </c>
      <c r="I107" s="133" t="s">
        <v>489</v>
      </c>
      <c r="J107" s="133" t="s">
        <v>515</v>
      </c>
      <c r="K107" s="133" t="s">
        <v>489</v>
      </c>
      <c r="L107" s="133" t="s">
        <v>578</v>
      </c>
      <c r="M107" s="139" t="str">
        <f t="shared" si="1"/>
        <v>View on Google Map</v>
      </c>
    </row>
    <row r="108" spans="1:13" x14ac:dyDescent="0.2">
      <c r="A108" s="133">
        <v>303</v>
      </c>
      <c r="B108" s="133" t="s">
        <v>655</v>
      </c>
      <c r="C108" s="133" t="s">
        <v>489</v>
      </c>
      <c r="D108" s="133">
        <v>69.610399999999998</v>
      </c>
      <c r="E108" s="133">
        <v>-148.82113333333334</v>
      </c>
      <c r="F108" s="133">
        <v>107</v>
      </c>
      <c r="G108" s="133" t="s">
        <v>500</v>
      </c>
      <c r="H108" s="133" t="s">
        <v>657</v>
      </c>
      <c r="I108" s="133" t="s">
        <v>489</v>
      </c>
      <c r="J108" s="133" t="s">
        <v>515</v>
      </c>
      <c r="K108" s="133" t="s">
        <v>489</v>
      </c>
      <c r="L108" s="133" t="s">
        <v>580</v>
      </c>
      <c r="M108" s="139" t="str">
        <f t="shared" si="1"/>
        <v>View on Google Map</v>
      </c>
    </row>
    <row r="109" spans="1:13" x14ac:dyDescent="0.2">
      <c r="A109" s="133">
        <v>218</v>
      </c>
      <c r="B109" s="133" t="s">
        <v>658</v>
      </c>
      <c r="C109" s="133" t="s">
        <v>489</v>
      </c>
      <c r="D109" s="133">
        <v>69.7</v>
      </c>
      <c r="E109" s="133">
        <v>-148.48333333333332</v>
      </c>
      <c r="F109" s="133">
        <v>125</v>
      </c>
      <c r="G109" s="133" t="s">
        <v>500</v>
      </c>
      <c r="H109" s="133" t="s">
        <v>659</v>
      </c>
      <c r="I109" s="133" t="s">
        <v>489</v>
      </c>
      <c r="J109" s="133" t="s">
        <v>515</v>
      </c>
      <c r="K109" s="133" t="s">
        <v>489</v>
      </c>
      <c r="L109" s="133" t="s">
        <v>578</v>
      </c>
      <c r="M109" s="139" t="str">
        <f t="shared" si="1"/>
        <v>View on Google Map</v>
      </c>
    </row>
    <row r="110" spans="1:13" x14ac:dyDescent="0.2">
      <c r="A110" s="133">
        <v>304</v>
      </c>
      <c r="B110" s="133" t="s">
        <v>658</v>
      </c>
      <c r="C110" s="133" t="s">
        <v>489</v>
      </c>
      <c r="D110" s="133">
        <v>69.610399999999998</v>
      </c>
      <c r="E110" s="133">
        <v>-148.82113333333334</v>
      </c>
      <c r="F110" s="133">
        <v>107</v>
      </c>
      <c r="G110" s="133" t="s">
        <v>500</v>
      </c>
      <c r="H110" s="133" t="s">
        <v>660</v>
      </c>
      <c r="I110" s="133" t="s">
        <v>489</v>
      </c>
      <c r="J110" s="133" t="s">
        <v>515</v>
      </c>
      <c r="K110" s="133" t="s">
        <v>489</v>
      </c>
      <c r="L110" s="133" t="s">
        <v>580</v>
      </c>
      <c r="M110" s="139" t="str">
        <f t="shared" si="1"/>
        <v>View on Google Map</v>
      </c>
    </row>
    <row r="111" spans="1:13" x14ac:dyDescent="0.2">
      <c r="A111" s="133">
        <v>232</v>
      </c>
      <c r="B111" s="133" t="s">
        <v>661</v>
      </c>
      <c r="C111" s="133" t="s">
        <v>489</v>
      </c>
      <c r="D111" s="133">
        <v>69.266666666666666</v>
      </c>
      <c r="E111" s="133">
        <v>-148.46666666666667</v>
      </c>
      <c r="F111" s="133">
        <v>338.71951219512198</v>
      </c>
      <c r="G111" s="133" t="s">
        <v>500</v>
      </c>
      <c r="H111" s="133" t="s">
        <v>662</v>
      </c>
      <c r="I111" s="133" t="s">
        <v>489</v>
      </c>
      <c r="J111" s="133" t="s">
        <v>515</v>
      </c>
      <c r="K111" s="133" t="s">
        <v>489</v>
      </c>
      <c r="L111" s="133" t="s">
        <v>578</v>
      </c>
      <c r="M111" s="139" t="str">
        <f t="shared" si="1"/>
        <v>View on Google Map</v>
      </c>
    </row>
    <row r="112" spans="1:13" x14ac:dyDescent="0.2">
      <c r="A112" s="133">
        <v>239</v>
      </c>
      <c r="B112" s="133" t="s">
        <v>663</v>
      </c>
      <c r="C112" s="133" t="s">
        <v>664</v>
      </c>
      <c r="D112" s="133" t="s">
        <v>489</v>
      </c>
      <c r="E112" s="133" t="s">
        <v>489</v>
      </c>
      <c r="F112" s="133" t="s">
        <v>489</v>
      </c>
      <c r="G112" s="133" t="s">
        <v>500</v>
      </c>
      <c r="H112" s="133" t="s">
        <v>489</v>
      </c>
      <c r="I112" s="133" t="s">
        <v>489</v>
      </c>
      <c r="J112" s="133" t="s">
        <v>515</v>
      </c>
      <c r="K112" s="133" t="s">
        <v>489</v>
      </c>
      <c r="L112" s="133" t="s">
        <v>665</v>
      </c>
      <c r="M112" s="139" t="str">
        <f t="shared" si="1"/>
        <v>View on Google Map</v>
      </c>
    </row>
    <row r="113" spans="1:13" x14ac:dyDescent="0.2">
      <c r="A113" s="133">
        <v>144</v>
      </c>
      <c r="B113" s="133" t="s">
        <v>666</v>
      </c>
      <c r="C113" s="133" t="s">
        <v>667</v>
      </c>
      <c r="D113" s="133">
        <v>68.63333333333334</v>
      </c>
      <c r="E113" s="133">
        <v>-149.6</v>
      </c>
      <c r="F113" s="133">
        <v>719</v>
      </c>
      <c r="G113" s="133" t="s">
        <v>500</v>
      </c>
      <c r="H113" s="133" t="s">
        <v>489</v>
      </c>
      <c r="I113" s="133" t="s">
        <v>489</v>
      </c>
      <c r="J113" s="133" t="s">
        <v>515</v>
      </c>
      <c r="K113" s="133" t="s">
        <v>489</v>
      </c>
      <c r="L113" s="133" t="s">
        <v>516</v>
      </c>
      <c r="M113" s="139" t="str">
        <f t="shared" si="1"/>
        <v>View on Google Map</v>
      </c>
    </row>
    <row r="114" spans="1:13" x14ac:dyDescent="0.2">
      <c r="A114" s="133">
        <v>401</v>
      </c>
      <c r="B114" s="133" t="s">
        <v>668</v>
      </c>
      <c r="C114" s="133" t="s">
        <v>489</v>
      </c>
      <c r="D114" s="133" t="s">
        <v>489</v>
      </c>
      <c r="E114" s="133" t="s">
        <v>489</v>
      </c>
      <c r="F114" s="133" t="s">
        <v>489</v>
      </c>
      <c r="G114" s="133" t="s">
        <v>500</v>
      </c>
      <c r="H114" s="133" t="s">
        <v>489</v>
      </c>
      <c r="I114" s="133" t="s">
        <v>489</v>
      </c>
      <c r="J114" s="133" t="s">
        <v>515</v>
      </c>
      <c r="K114" s="133" t="s">
        <v>489</v>
      </c>
      <c r="L114" s="133" t="s">
        <v>669</v>
      </c>
      <c r="M114" s="139" t="str">
        <f t="shared" si="1"/>
        <v>View on Google Map</v>
      </c>
    </row>
    <row r="115" spans="1:13" x14ac:dyDescent="0.2">
      <c r="A115" s="133">
        <v>403</v>
      </c>
      <c r="B115" s="133" t="s">
        <v>670</v>
      </c>
      <c r="C115" s="133" t="s">
        <v>489</v>
      </c>
      <c r="D115" s="133" t="s">
        <v>489</v>
      </c>
      <c r="E115" s="133" t="s">
        <v>489</v>
      </c>
      <c r="F115" s="133" t="s">
        <v>489</v>
      </c>
      <c r="G115" s="133" t="s">
        <v>500</v>
      </c>
      <c r="H115" s="133" t="s">
        <v>489</v>
      </c>
      <c r="I115" s="133" t="s">
        <v>489</v>
      </c>
      <c r="J115" s="133" t="s">
        <v>515</v>
      </c>
      <c r="K115" s="133" t="s">
        <v>489</v>
      </c>
      <c r="L115" s="133" t="s">
        <v>671</v>
      </c>
      <c r="M115" s="139" t="str">
        <f t="shared" si="1"/>
        <v>View on Google Map</v>
      </c>
    </row>
    <row r="116" spans="1:13" x14ac:dyDescent="0.2">
      <c r="A116" s="133">
        <v>403</v>
      </c>
      <c r="B116" s="133" t="s">
        <v>670</v>
      </c>
      <c r="C116" s="133" t="s">
        <v>489</v>
      </c>
      <c r="D116" s="133" t="s">
        <v>489</v>
      </c>
      <c r="E116" s="133" t="s">
        <v>489</v>
      </c>
      <c r="F116" s="133" t="s">
        <v>489</v>
      </c>
      <c r="G116" s="133" t="s">
        <v>500</v>
      </c>
      <c r="H116" s="133" t="s">
        <v>489</v>
      </c>
      <c r="I116" s="133" t="s">
        <v>489</v>
      </c>
      <c r="J116" s="133" t="s">
        <v>515</v>
      </c>
      <c r="K116" s="133" t="s">
        <v>489</v>
      </c>
      <c r="L116" s="133" t="s">
        <v>671</v>
      </c>
      <c r="M116" s="139" t="str">
        <f t="shared" si="1"/>
        <v>View on Google Map</v>
      </c>
    </row>
    <row r="117" spans="1:13" x14ac:dyDescent="0.2">
      <c r="A117" s="133">
        <v>1209</v>
      </c>
      <c r="B117" s="133" t="s">
        <v>672</v>
      </c>
      <c r="C117" s="133" t="s">
        <v>673</v>
      </c>
      <c r="D117" s="133">
        <v>68.934420000000003</v>
      </c>
      <c r="E117" s="133">
        <v>-150.21242000000001</v>
      </c>
      <c r="F117" s="133" t="s">
        <v>489</v>
      </c>
      <c r="G117" s="133" t="s">
        <v>490</v>
      </c>
      <c r="H117" s="133" t="s">
        <v>489</v>
      </c>
      <c r="I117" s="133" t="s">
        <v>489</v>
      </c>
      <c r="J117" s="133" t="s">
        <v>496</v>
      </c>
      <c r="K117" s="133" t="s">
        <v>489</v>
      </c>
      <c r="L117" s="133" t="s">
        <v>497</v>
      </c>
      <c r="M117" s="139" t="str">
        <f t="shared" si="1"/>
        <v>View on Google Map</v>
      </c>
    </row>
    <row r="118" spans="1:13" x14ac:dyDescent="0.2">
      <c r="A118" s="133">
        <v>482</v>
      </c>
      <c r="B118" s="133" t="s">
        <v>674</v>
      </c>
      <c r="C118" s="133" t="s">
        <v>489</v>
      </c>
      <c r="D118" s="133">
        <v>68.951483332999999</v>
      </c>
      <c r="E118" s="133">
        <v>-150.194333333</v>
      </c>
      <c r="F118" s="133">
        <v>399</v>
      </c>
      <c r="G118" s="133" t="s">
        <v>500</v>
      </c>
      <c r="H118" s="133" t="s">
        <v>489</v>
      </c>
      <c r="I118" s="133" t="s">
        <v>489</v>
      </c>
      <c r="J118" s="133" t="s">
        <v>550</v>
      </c>
      <c r="K118" s="133" t="s">
        <v>489</v>
      </c>
      <c r="L118" s="133" t="s">
        <v>497</v>
      </c>
      <c r="M118" s="139" t="str">
        <f t="shared" si="1"/>
        <v>View on Google Map</v>
      </c>
    </row>
    <row r="119" spans="1:13" x14ac:dyDescent="0.2">
      <c r="A119" s="133">
        <v>483</v>
      </c>
      <c r="B119" s="133" t="s">
        <v>675</v>
      </c>
      <c r="C119" s="133" t="s">
        <v>489</v>
      </c>
      <c r="D119" s="133">
        <v>68.950783333000004</v>
      </c>
      <c r="E119" s="133">
        <v>-150.19835</v>
      </c>
      <c r="F119" s="133">
        <v>399</v>
      </c>
      <c r="G119" s="133" t="s">
        <v>514</v>
      </c>
      <c r="H119" s="133" t="s">
        <v>676</v>
      </c>
      <c r="I119" s="133" t="s">
        <v>489</v>
      </c>
      <c r="J119" s="133" t="s">
        <v>550</v>
      </c>
      <c r="K119" s="133" t="s">
        <v>489</v>
      </c>
      <c r="L119" s="133" t="s">
        <v>497</v>
      </c>
      <c r="M119" s="139" t="str">
        <f t="shared" si="1"/>
        <v>View on Google Map</v>
      </c>
    </row>
    <row r="120" spans="1:13" x14ac:dyDescent="0.2">
      <c r="A120" s="133">
        <v>484</v>
      </c>
      <c r="B120" s="133" t="s">
        <v>677</v>
      </c>
      <c r="C120" s="133" t="s">
        <v>489</v>
      </c>
      <c r="D120" s="133">
        <v>68.957549999999998</v>
      </c>
      <c r="E120" s="133">
        <v>-150.200916667</v>
      </c>
      <c r="F120" s="133">
        <v>399</v>
      </c>
      <c r="G120" s="133" t="s">
        <v>500</v>
      </c>
      <c r="H120" s="133" t="s">
        <v>678</v>
      </c>
      <c r="I120" s="133" t="s">
        <v>679</v>
      </c>
      <c r="J120" s="133" t="s">
        <v>550</v>
      </c>
      <c r="K120" s="133" t="s">
        <v>489</v>
      </c>
      <c r="L120" s="133" t="s">
        <v>497</v>
      </c>
      <c r="M120" s="139" t="str">
        <f t="shared" si="1"/>
        <v>View on Google Map</v>
      </c>
    </row>
    <row r="121" spans="1:13" x14ac:dyDescent="0.2">
      <c r="A121" s="133">
        <v>485</v>
      </c>
      <c r="B121" s="133" t="s">
        <v>680</v>
      </c>
      <c r="C121" s="133" t="s">
        <v>489</v>
      </c>
      <c r="D121" s="133">
        <v>68.95675</v>
      </c>
      <c r="E121" s="133">
        <v>-150.19700833300001</v>
      </c>
      <c r="F121" s="133">
        <v>399</v>
      </c>
      <c r="G121" s="133" t="s">
        <v>500</v>
      </c>
      <c r="H121" s="133" t="s">
        <v>681</v>
      </c>
      <c r="I121" s="133" t="s">
        <v>489</v>
      </c>
      <c r="J121" s="133" t="s">
        <v>550</v>
      </c>
      <c r="K121" s="133" t="s">
        <v>489</v>
      </c>
      <c r="L121" s="133" t="s">
        <v>497</v>
      </c>
      <c r="M121" s="139" t="str">
        <f t="shared" si="1"/>
        <v>View on Google Map</v>
      </c>
    </row>
    <row r="122" spans="1:13" x14ac:dyDescent="0.2">
      <c r="A122" s="133">
        <v>514</v>
      </c>
      <c r="B122" s="133" t="s">
        <v>682</v>
      </c>
      <c r="C122" s="133" t="s">
        <v>499</v>
      </c>
      <c r="D122" s="133">
        <v>68.418130000000005</v>
      </c>
      <c r="E122" s="133">
        <v>-151.58454</v>
      </c>
      <c r="F122" s="133">
        <v>876</v>
      </c>
      <c r="G122" s="133" t="s">
        <v>500</v>
      </c>
      <c r="H122" s="133" t="s">
        <v>489</v>
      </c>
      <c r="I122" s="133" t="s">
        <v>489</v>
      </c>
      <c r="J122" s="133" t="s">
        <v>501</v>
      </c>
      <c r="K122" s="133" t="s">
        <v>489</v>
      </c>
      <c r="L122" s="133" t="s">
        <v>502</v>
      </c>
      <c r="M122" s="139" t="str">
        <f t="shared" si="1"/>
        <v>View on Google Map</v>
      </c>
    </row>
    <row r="123" spans="1:13" x14ac:dyDescent="0.2">
      <c r="A123" s="133">
        <v>400</v>
      </c>
      <c r="B123" s="133" t="s">
        <v>683</v>
      </c>
      <c r="C123" s="133" t="s">
        <v>489</v>
      </c>
      <c r="D123" s="133" t="s">
        <v>489</v>
      </c>
      <c r="E123" s="133" t="s">
        <v>489</v>
      </c>
      <c r="F123" s="133" t="s">
        <v>489</v>
      </c>
      <c r="G123" s="133" t="s">
        <v>500</v>
      </c>
      <c r="H123" s="133" t="s">
        <v>489</v>
      </c>
      <c r="I123" s="133" t="s">
        <v>489</v>
      </c>
      <c r="J123" s="133" t="s">
        <v>515</v>
      </c>
      <c r="K123" s="133" t="s">
        <v>489</v>
      </c>
      <c r="L123" s="133" t="s">
        <v>669</v>
      </c>
      <c r="M123" s="139" t="str">
        <f t="shared" si="1"/>
        <v>View on Google Map</v>
      </c>
    </row>
    <row r="124" spans="1:13" x14ac:dyDescent="0.2">
      <c r="A124" s="133">
        <v>137</v>
      </c>
      <c r="B124" s="133" t="s">
        <v>684</v>
      </c>
      <c r="C124" s="133" t="s">
        <v>489</v>
      </c>
      <c r="D124" s="133">
        <v>70.3</v>
      </c>
      <c r="E124" s="133">
        <v>-148.28333333333333</v>
      </c>
      <c r="F124" s="133">
        <v>6</v>
      </c>
      <c r="G124" s="133" t="s">
        <v>500</v>
      </c>
      <c r="H124" s="133" t="s">
        <v>685</v>
      </c>
      <c r="I124" s="133" t="s">
        <v>489</v>
      </c>
      <c r="J124" s="133" t="s">
        <v>515</v>
      </c>
      <c r="K124" s="133" t="s">
        <v>489</v>
      </c>
      <c r="L124" s="133" t="s">
        <v>516</v>
      </c>
      <c r="M124" s="139" t="str">
        <f t="shared" si="1"/>
        <v>View on Google Map</v>
      </c>
    </row>
    <row r="125" spans="1:13" x14ac:dyDescent="0.2">
      <c r="A125" s="133">
        <v>146</v>
      </c>
      <c r="B125" s="133" t="s">
        <v>686</v>
      </c>
      <c r="C125" s="133" t="s">
        <v>489</v>
      </c>
      <c r="D125" s="133">
        <v>68.626195602799996</v>
      </c>
      <c r="E125" s="133">
        <v>-149.55534770599999</v>
      </c>
      <c r="F125" s="133">
        <v>762</v>
      </c>
      <c r="G125" s="133" t="s">
        <v>500</v>
      </c>
      <c r="H125" s="133" t="s">
        <v>687</v>
      </c>
      <c r="I125" s="133" t="s">
        <v>688</v>
      </c>
      <c r="J125" s="133" t="s">
        <v>515</v>
      </c>
      <c r="K125" s="133" t="s">
        <v>489</v>
      </c>
      <c r="L125" s="133" t="s">
        <v>489</v>
      </c>
      <c r="M125" s="139" t="str">
        <f t="shared" si="1"/>
        <v>View on Google Map</v>
      </c>
    </row>
    <row r="126" spans="1:13" x14ac:dyDescent="0.2">
      <c r="A126" s="133">
        <v>18</v>
      </c>
      <c r="B126" s="133" t="s">
        <v>689</v>
      </c>
      <c r="C126" s="133" t="s">
        <v>489</v>
      </c>
      <c r="D126" s="133" t="s">
        <v>489</v>
      </c>
      <c r="E126" s="133" t="s">
        <v>489</v>
      </c>
      <c r="F126" s="133">
        <v>762</v>
      </c>
      <c r="G126" s="133" t="s">
        <v>514</v>
      </c>
      <c r="H126" s="133" t="s">
        <v>690</v>
      </c>
      <c r="I126" s="133" t="s">
        <v>691</v>
      </c>
      <c r="J126" s="133" t="s">
        <v>515</v>
      </c>
      <c r="K126" s="133" t="s">
        <v>489</v>
      </c>
      <c r="L126" s="133" t="s">
        <v>489</v>
      </c>
      <c r="M126" s="139" t="str">
        <f t="shared" si="1"/>
        <v>View on Google Map</v>
      </c>
    </row>
    <row r="127" spans="1:13" x14ac:dyDescent="0.2">
      <c r="A127" s="133">
        <v>310</v>
      </c>
      <c r="B127" s="133" t="s">
        <v>692</v>
      </c>
      <c r="C127" s="133" t="s">
        <v>489</v>
      </c>
      <c r="D127" s="133">
        <v>68.622894947099994</v>
      </c>
      <c r="E127" s="133">
        <v>-149.54328383999999</v>
      </c>
      <c r="F127" s="133" t="s">
        <v>489</v>
      </c>
      <c r="G127" s="133" t="s">
        <v>500</v>
      </c>
      <c r="H127" s="133" t="s">
        <v>693</v>
      </c>
      <c r="I127" s="133" t="s">
        <v>694</v>
      </c>
      <c r="J127" s="133" t="s">
        <v>515</v>
      </c>
      <c r="K127" s="133" t="s">
        <v>489</v>
      </c>
      <c r="L127" s="133" t="s">
        <v>489</v>
      </c>
      <c r="M127" s="139" t="str">
        <f t="shared" si="1"/>
        <v>View on Google Map</v>
      </c>
    </row>
    <row r="128" spans="1:13" x14ac:dyDescent="0.2">
      <c r="A128" s="133">
        <v>311</v>
      </c>
      <c r="B128" s="133" t="s">
        <v>695</v>
      </c>
      <c r="C128" s="133" t="s">
        <v>489</v>
      </c>
      <c r="D128" s="133">
        <v>68.623910828999996</v>
      </c>
      <c r="E128" s="133">
        <v>-149.53118563999999</v>
      </c>
      <c r="F128" s="133" t="s">
        <v>489</v>
      </c>
      <c r="G128" s="133" t="s">
        <v>500</v>
      </c>
      <c r="H128" s="133" t="s">
        <v>696</v>
      </c>
      <c r="I128" s="133" t="s">
        <v>697</v>
      </c>
      <c r="J128" s="133" t="s">
        <v>515</v>
      </c>
      <c r="K128" s="133" t="s">
        <v>489</v>
      </c>
      <c r="L128" s="133" t="s">
        <v>489</v>
      </c>
      <c r="M128" s="139" t="str">
        <f t="shared" si="1"/>
        <v>View on Google Map</v>
      </c>
    </row>
    <row r="129" spans="1:13" x14ac:dyDescent="0.2">
      <c r="A129" s="133">
        <v>312</v>
      </c>
      <c r="B129" s="133" t="s">
        <v>698</v>
      </c>
      <c r="C129" s="133" t="s">
        <v>489</v>
      </c>
      <c r="D129" s="133">
        <v>68.6277698106</v>
      </c>
      <c r="E129" s="133">
        <v>-149.497737003</v>
      </c>
      <c r="F129" s="133" t="s">
        <v>489</v>
      </c>
      <c r="G129" s="133" t="s">
        <v>500</v>
      </c>
      <c r="H129" s="133" t="s">
        <v>699</v>
      </c>
      <c r="I129" s="133" t="s">
        <v>700</v>
      </c>
      <c r="J129" s="133" t="s">
        <v>515</v>
      </c>
      <c r="K129" s="133" t="s">
        <v>489</v>
      </c>
      <c r="L129" s="133" t="s">
        <v>489</v>
      </c>
      <c r="M129" s="139" t="str">
        <f t="shared" si="1"/>
        <v>View on Google Map</v>
      </c>
    </row>
    <row r="130" spans="1:13" x14ac:dyDescent="0.2">
      <c r="A130" s="133">
        <v>145</v>
      </c>
      <c r="B130" s="133" t="s">
        <v>701</v>
      </c>
      <c r="C130" s="133" t="s">
        <v>489</v>
      </c>
      <c r="D130" s="133">
        <v>68.642611000000002</v>
      </c>
      <c r="E130" s="133">
        <v>-149.458079</v>
      </c>
      <c r="F130" s="133">
        <v>800</v>
      </c>
      <c r="G130" s="133" t="s">
        <v>500</v>
      </c>
      <c r="H130" s="133" t="s">
        <v>702</v>
      </c>
      <c r="I130" s="133" t="s">
        <v>703</v>
      </c>
      <c r="J130" s="133" t="s">
        <v>515</v>
      </c>
      <c r="K130" s="133" t="s">
        <v>489</v>
      </c>
      <c r="L130" s="133" t="s">
        <v>489</v>
      </c>
      <c r="M130" s="139" t="str">
        <f t="shared" si="1"/>
        <v>View on Google Map</v>
      </c>
    </row>
    <row r="131" spans="1:13" x14ac:dyDescent="0.2">
      <c r="A131" s="133">
        <v>399</v>
      </c>
      <c r="B131" s="133" t="s">
        <v>704</v>
      </c>
      <c r="C131" s="133" t="s">
        <v>489</v>
      </c>
      <c r="D131" s="133">
        <v>68.643427058300006</v>
      </c>
      <c r="E131" s="133">
        <v>-149.44056459199999</v>
      </c>
      <c r="F131" s="133">
        <v>792</v>
      </c>
      <c r="G131" s="133" t="s">
        <v>500</v>
      </c>
      <c r="H131" s="133" t="s">
        <v>705</v>
      </c>
      <c r="I131" s="133" t="s">
        <v>706</v>
      </c>
      <c r="J131" s="133" t="s">
        <v>515</v>
      </c>
      <c r="K131" s="133" t="s">
        <v>489</v>
      </c>
      <c r="L131" s="133" t="s">
        <v>489</v>
      </c>
      <c r="M131" s="139" t="str">
        <f t="shared" ref="M131:M194" si="2">HYPERLINK("http://maps.google.com/maps?q="&amp;D131&amp;","&amp;E131,"View on Google Map")</f>
        <v>View on Google Map</v>
      </c>
    </row>
    <row r="132" spans="1:13" x14ac:dyDescent="0.2">
      <c r="A132" s="133">
        <v>1605</v>
      </c>
      <c r="B132" s="133" t="s">
        <v>707</v>
      </c>
      <c r="C132" s="133" t="s">
        <v>489</v>
      </c>
      <c r="D132" s="133" t="s">
        <v>489</v>
      </c>
      <c r="E132" s="133" t="s">
        <v>489</v>
      </c>
      <c r="F132" s="133" t="s">
        <v>489</v>
      </c>
      <c r="G132" s="133" t="s">
        <v>514</v>
      </c>
      <c r="H132" s="133" t="s">
        <v>708</v>
      </c>
      <c r="I132" s="133" t="s">
        <v>709</v>
      </c>
      <c r="J132" s="133" t="s">
        <v>515</v>
      </c>
      <c r="K132" s="133" t="s">
        <v>489</v>
      </c>
      <c r="L132" s="133" t="s">
        <v>489</v>
      </c>
      <c r="M132" s="139" t="str">
        <f t="shared" si="2"/>
        <v>View on Google Map</v>
      </c>
    </row>
    <row r="133" spans="1:13" x14ac:dyDescent="0.2">
      <c r="A133" s="133">
        <v>1606</v>
      </c>
      <c r="B133" s="133" t="s">
        <v>710</v>
      </c>
      <c r="C133" s="133" t="s">
        <v>489</v>
      </c>
      <c r="D133" s="133" t="s">
        <v>489</v>
      </c>
      <c r="E133" s="133" t="s">
        <v>489</v>
      </c>
      <c r="F133" s="133" t="s">
        <v>489</v>
      </c>
      <c r="G133" s="133" t="s">
        <v>514</v>
      </c>
      <c r="H133" s="133" t="s">
        <v>711</v>
      </c>
      <c r="I133" s="133" t="s">
        <v>712</v>
      </c>
      <c r="J133" s="133" t="s">
        <v>515</v>
      </c>
      <c r="K133" s="133" t="s">
        <v>489</v>
      </c>
      <c r="L133" s="133" t="s">
        <v>489</v>
      </c>
      <c r="M133" s="139" t="str">
        <f t="shared" si="2"/>
        <v>View on Google Map</v>
      </c>
    </row>
    <row r="134" spans="1:13" x14ac:dyDescent="0.2">
      <c r="A134" s="133">
        <v>1604</v>
      </c>
      <c r="B134" s="133" t="s">
        <v>713</v>
      </c>
      <c r="C134" s="133" t="s">
        <v>489</v>
      </c>
      <c r="D134" s="133" t="s">
        <v>489</v>
      </c>
      <c r="E134" s="133" t="s">
        <v>489</v>
      </c>
      <c r="F134" s="133" t="s">
        <v>489</v>
      </c>
      <c r="G134" s="133" t="s">
        <v>514</v>
      </c>
      <c r="H134" s="133" t="s">
        <v>714</v>
      </c>
      <c r="I134" s="133" t="s">
        <v>715</v>
      </c>
      <c r="J134" s="133" t="s">
        <v>515</v>
      </c>
      <c r="K134" s="133" t="s">
        <v>489</v>
      </c>
      <c r="L134" s="133" t="s">
        <v>489</v>
      </c>
      <c r="M134" s="139" t="str">
        <f t="shared" si="2"/>
        <v>View on Google Map</v>
      </c>
    </row>
    <row r="135" spans="1:13" x14ac:dyDescent="0.2">
      <c r="A135" s="133">
        <v>24</v>
      </c>
      <c r="B135" s="133" t="s">
        <v>716</v>
      </c>
      <c r="C135" s="133" t="s">
        <v>489</v>
      </c>
      <c r="D135" s="133" t="s">
        <v>489</v>
      </c>
      <c r="E135" s="133" t="s">
        <v>489</v>
      </c>
      <c r="F135" s="133" t="s">
        <v>489</v>
      </c>
      <c r="G135" s="133" t="s">
        <v>514</v>
      </c>
      <c r="H135" s="133" t="s">
        <v>489</v>
      </c>
      <c r="I135" s="133" t="s">
        <v>489</v>
      </c>
      <c r="J135" s="133" t="s">
        <v>515</v>
      </c>
      <c r="K135" s="133" t="s">
        <v>489</v>
      </c>
      <c r="L135" s="133" t="s">
        <v>489</v>
      </c>
      <c r="M135" s="139" t="str">
        <f t="shared" si="2"/>
        <v>View on Google Map</v>
      </c>
    </row>
    <row r="136" spans="1:13" x14ac:dyDescent="0.2">
      <c r="A136" s="133">
        <v>143</v>
      </c>
      <c r="B136" s="133" t="s">
        <v>717</v>
      </c>
      <c r="C136" s="133" t="s">
        <v>718</v>
      </c>
      <c r="D136" s="133">
        <v>68.650000000000006</v>
      </c>
      <c r="E136" s="133">
        <v>-148.5</v>
      </c>
      <c r="F136" s="133">
        <v>525</v>
      </c>
      <c r="G136" s="133" t="s">
        <v>500</v>
      </c>
      <c r="H136" s="133" t="s">
        <v>489</v>
      </c>
      <c r="I136" s="133" t="s">
        <v>489</v>
      </c>
      <c r="J136" s="133" t="s">
        <v>515</v>
      </c>
      <c r="K136" s="133" t="s">
        <v>489</v>
      </c>
      <c r="L136" s="133" t="s">
        <v>516</v>
      </c>
      <c r="M136" s="139" t="str">
        <f t="shared" si="2"/>
        <v>View on Google Map</v>
      </c>
    </row>
    <row r="137" spans="1:13" x14ac:dyDescent="0.2">
      <c r="A137" s="133">
        <v>464</v>
      </c>
      <c r="B137" s="133" t="s">
        <v>719</v>
      </c>
      <c r="C137" s="133" t="s">
        <v>489</v>
      </c>
      <c r="D137" s="133">
        <v>68.793719999999993</v>
      </c>
      <c r="E137" s="133">
        <v>-149.47560999999999</v>
      </c>
      <c r="F137" s="133">
        <v>702</v>
      </c>
      <c r="G137" s="133" t="s">
        <v>500</v>
      </c>
      <c r="H137" s="133" t="s">
        <v>489</v>
      </c>
      <c r="I137" s="133" t="s">
        <v>489</v>
      </c>
      <c r="J137" s="133" t="s">
        <v>501</v>
      </c>
      <c r="K137" s="133" t="s">
        <v>489</v>
      </c>
      <c r="L137" s="133" t="s">
        <v>489</v>
      </c>
      <c r="M137" s="139" t="str">
        <f t="shared" si="2"/>
        <v>View on Google Map</v>
      </c>
    </row>
    <row r="138" spans="1:13" x14ac:dyDescent="0.2">
      <c r="A138" s="133">
        <v>465</v>
      </c>
      <c r="B138" s="133" t="s">
        <v>720</v>
      </c>
      <c r="C138" s="133" t="s">
        <v>489</v>
      </c>
      <c r="D138" s="133">
        <v>68.796220000000005</v>
      </c>
      <c r="E138" s="133">
        <v>-149.48222000000001</v>
      </c>
      <c r="F138" s="133">
        <v>698</v>
      </c>
      <c r="G138" s="133" t="s">
        <v>500</v>
      </c>
      <c r="H138" s="133" t="s">
        <v>489</v>
      </c>
      <c r="I138" s="133" t="s">
        <v>489</v>
      </c>
      <c r="J138" s="133" t="s">
        <v>501</v>
      </c>
      <c r="K138" s="133" t="s">
        <v>489</v>
      </c>
      <c r="L138" s="133" t="s">
        <v>489</v>
      </c>
      <c r="M138" s="139" t="str">
        <f t="shared" si="2"/>
        <v>View on Google Map</v>
      </c>
    </row>
    <row r="139" spans="1:13" x14ac:dyDescent="0.2">
      <c r="A139" s="133">
        <v>466</v>
      </c>
      <c r="B139" s="133" t="s">
        <v>721</v>
      </c>
      <c r="C139" s="133" t="s">
        <v>489</v>
      </c>
      <c r="D139" s="133">
        <v>68.798249999999996</v>
      </c>
      <c r="E139" s="133">
        <v>-149.47832</v>
      </c>
      <c r="F139" s="133">
        <v>697</v>
      </c>
      <c r="G139" s="133" t="s">
        <v>500</v>
      </c>
      <c r="H139" s="133" t="s">
        <v>489</v>
      </c>
      <c r="I139" s="133" t="s">
        <v>489</v>
      </c>
      <c r="J139" s="133" t="s">
        <v>501</v>
      </c>
      <c r="K139" s="133" t="s">
        <v>489</v>
      </c>
      <c r="L139" s="133" t="s">
        <v>489</v>
      </c>
      <c r="M139" s="139" t="str">
        <f t="shared" si="2"/>
        <v>View on Google Map</v>
      </c>
    </row>
    <row r="140" spans="1:13" x14ac:dyDescent="0.2">
      <c r="A140" s="133">
        <v>467</v>
      </c>
      <c r="B140" s="133" t="s">
        <v>722</v>
      </c>
      <c r="C140" s="133" t="s">
        <v>489</v>
      </c>
      <c r="D140" s="133">
        <v>68.794659999999993</v>
      </c>
      <c r="E140" s="133">
        <v>-149.46985000000001</v>
      </c>
      <c r="F140" s="133">
        <v>702</v>
      </c>
      <c r="G140" s="133" t="s">
        <v>500</v>
      </c>
      <c r="H140" s="133" t="s">
        <v>489</v>
      </c>
      <c r="I140" s="133" t="s">
        <v>489</v>
      </c>
      <c r="J140" s="133" t="s">
        <v>501</v>
      </c>
      <c r="K140" s="133" t="s">
        <v>489</v>
      </c>
      <c r="L140" s="133" t="s">
        <v>489</v>
      </c>
      <c r="M140" s="139" t="str">
        <f t="shared" si="2"/>
        <v>View on Google Map</v>
      </c>
    </row>
    <row r="141" spans="1:13" x14ac:dyDescent="0.2">
      <c r="A141" s="133">
        <v>468</v>
      </c>
      <c r="B141" s="133" t="s">
        <v>723</v>
      </c>
      <c r="C141" s="133" t="s">
        <v>489</v>
      </c>
      <c r="D141" s="133">
        <v>68.797669999999997</v>
      </c>
      <c r="E141" s="133">
        <v>-149.46574000000001</v>
      </c>
      <c r="F141" s="133">
        <v>692</v>
      </c>
      <c r="G141" s="133" t="s">
        <v>500</v>
      </c>
      <c r="H141" s="133" t="s">
        <v>489</v>
      </c>
      <c r="I141" s="133" t="s">
        <v>489</v>
      </c>
      <c r="J141" s="133" t="s">
        <v>501</v>
      </c>
      <c r="K141" s="133" t="s">
        <v>489</v>
      </c>
      <c r="L141" s="133" t="s">
        <v>489</v>
      </c>
      <c r="M141" s="139" t="str">
        <f t="shared" si="2"/>
        <v>View on Google Map</v>
      </c>
    </row>
    <row r="142" spans="1:13" x14ac:dyDescent="0.2">
      <c r="A142" s="133">
        <v>469</v>
      </c>
      <c r="B142" s="133" t="s">
        <v>724</v>
      </c>
      <c r="C142" s="133" t="s">
        <v>489</v>
      </c>
      <c r="D142" s="133">
        <v>68.802390000000003</v>
      </c>
      <c r="E142" s="133">
        <v>-149.46473</v>
      </c>
      <c r="F142" s="133">
        <v>683</v>
      </c>
      <c r="G142" s="133" t="s">
        <v>500</v>
      </c>
      <c r="H142" s="133" t="s">
        <v>489</v>
      </c>
      <c r="I142" s="133" t="s">
        <v>489</v>
      </c>
      <c r="J142" s="133" t="s">
        <v>501</v>
      </c>
      <c r="K142" s="133" t="s">
        <v>489</v>
      </c>
      <c r="L142" s="133" t="s">
        <v>489</v>
      </c>
      <c r="M142" s="139" t="str">
        <f t="shared" si="2"/>
        <v>View on Google Map</v>
      </c>
    </row>
    <row r="143" spans="1:13" x14ac:dyDescent="0.2">
      <c r="A143" s="133">
        <v>406</v>
      </c>
      <c r="B143" s="133" t="s">
        <v>725</v>
      </c>
      <c r="C143" s="133" t="s">
        <v>489</v>
      </c>
      <c r="D143" s="133" t="s">
        <v>489</v>
      </c>
      <c r="E143" s="133" t="s">
        <v>489</v>
      </c>
      <c r="F143" s="133" t="s">
        <v>489</v>
      </c>
      <c r="G143" s="133" t="s">
        <v>500</v>
      </c>
      <c r="H143" s="133" t="s">
        <v>489</v>
      </c>
      <c r="I143" s="133" t="s">
        <v>489</v>
      </c>
      <c r="J143" s="133" t="s">
        <v>515</v>
      </c>
      <c r="K143" s="133" t="s">
        <v>489</v>
      </c>
      <c r="L143" s="133" t="s">
        <v>671</v>
      </c>
      <c r="M143" s="139" t="str">
        <f t="shared" si="2"/>
        <v>View on Google Map</v>
      </c>
    </row>
    <row r="144" spans="1:13" x14ac:dyDescent="0.2">
      <c r="A144" s="133">
        <v>407</v>
      </c>
      <c r="B144" s="133" t="s">
        <v>726</v>
      </c>
      <c r="C144" s="133" t="s">
        <v>489</v>
      </c>
      <c r="D144" s="133" t="s">
        <v>489</v>
      </c>
      <c r="E144" s="133" t="s">
        <v>489</v>
      </c>
      <c r="F144" s="133" t="s">
        <v>489</v>
      </c>
      <c r="G144" s="133" t="s">
        <v>500</v>
      </c>
      <c r="H144" s="133" t="s">
        <v>489</v>
      </c>
      <c r="I144" s="133" t="s">
        <v>489</v>
      </c>
      <c r="J144" s="133" t="s">
        <v>515</v>
      </c>
      <c r="K144" s="133" t="s">
        <v>489</v>
      </c>
      <c r="L144" s="133" t="s">
        <v>671</v>
      </c>
      <c r="M144" s="139" t="str">
        <f t="shared" si="2"/>
        <v>View on Google Map</v>
      </c>
    </row>
    <row r="145" spans="1:13" x14ac:dyDescent="0.2">
      <c r="A145" s="133">
        <v>164</v>
      </c>
      <c r="B145" s="133" t="s">
        <v>727</v>
      </c>
      <c r="C145" s="133" t="s">
        <v>489</v>
      </c>
      <c r="D145" s="133">
        <v>68.683333333333337</v>
      </c>
      <c r="E145" s="133">
        <v>-149.07666666666699</v>
      </c>
      <c r="F145" s="133">
        <v>770</v>
      </c>
      <c r="G145" s="133" t="s">
        <v>500</v>
      </c>
      <c r="H145" s="133" t="s">
        <v>728</v>
      </c>
      <c r="I145" s="133" t="s">
        <v>729</v>
      </c>
      <c r="J145" s="133" t="s">
        <v>515</v>
      </c>
      <c r="K145" s="133">
        <v>274</v>
      </c>
      <c r="L145" s="133" t="s">
        <v>489</v>
      </c>
      <c r="M145" s="139" t="str">
        <f t="shared" si="2"/>
        <v>View on Google Map</v>
      </c>
    </row>
    <row r="146" spans="1:13" x14ac:dyDescent="0.2">
      <c r="A146" s="133">
        <v>165</v>
      </c>
      <c r="B146" s="133" t="s">
        <v>730</v>
      </c>
      <c r="C146" s="133" t="s">
        <v>489</v>
      </c>
      <c r="D146" s="133">
        <v>68.683333333333337</v>
      </c>
      <c r="E146" s="133">
        <v>-149.1</v>
      </c>
      <c r="F146" s="133">
        <v>785</v>
      </c>
      <c r="G146" s="133" t="s">
        <v>500</v>
      </c>
      <c r="H146" s="133" t="s">
        <v>731</v>
      </c>
      <c r="I146" s="133" t="s">
        <v>732</v>
      </c>
      <c r="J146" s="133" t="s">
        <v>515</v>
      </c>
      <c r="K146" s="133">
        <v>275</v>
      </c>
      <c r="L146" s="133" t="s">
        <v>489</v>
      </c>
      <c r="M146" s="139" t="str">
        <f t="shared" si="2"/>
        <v>View on Google Map</v>
      </c>
    </row>
    <row r="147" spans="1:13" x14ac:dyDescent="0.2">
      <c r="A147" s="133">
        <v>166</v>
      </c>
      <c r="B147" s="133" t="s">
        <v>733</v>
      </c>
      <c r="C147" s="133" t="s">
        <v>489</v>
      </c>
      <c r="D147" s="133">
        <v>68.666666666666671</v>
      </c>
      <c r="E147" s="133">
        <v>-149.1</v>
      </c>
      <c r="F147" s="133">
        <v>792</v>
      </c>
      <c r="G147" s="133" t="s">
        <v>500</v>
      </c>
      <c r="H147" s="133" t="s">
        <v>734</v>
      </c>
      <c r="I147" s="133" t="s">
        <v>735</v>
      </c>
      <c r="J147" s="133" t="s">
        <v>515</v>
      </c>
      <c r="K147" s="133">
        <v>276</v>
      </c>
      <c r="L147" s="133" t="s">
        <v>489</v>
      </c>
      <c r="M147" s="139" t="str">
        <f t="shared" si="2"/>
        <v>View on Google Map</v>
      </c>
    </row>
    <row r="148" spans="1:13" x14ac:dyDescent="0.2">
      <c r="A148" s="133">
        <v>167</v>
      </c>
      <c r="B148" s="133" t="s">
        <v>736</v>
      </c>
      <c r="C148" s="133" t="s">
        <v>489</v>
      </c>
      <c r="D148" s="133">
        <v>68.680000000000007</v>
      </c>
      <c r="E148" s="133">
        <v>-149.071666666667</v>
      </c>
      <c r="F148" s="133">
        <v>754</v>
      </c>
      <c r="G148" s="133" t="s">
        <v>500</v>
      </c>
      <c r="H148" s="133" t="s">
        <v>737</v>
      </c>
      <c r="I148" s="133" t="s">
        <v>738</v>
      </c>
      <c r="J148" s="133" t="s">
        <v>515</v>
      </c>
      <c r="K148" s="133" t="s">
        <v>489</v>
      </c>
      <c r="L148" s="133" t="s">
        <v>489</v>
      </c>
      <c r="M148" s="139" t="str">
        <f t="shared" si="2"/>
        <v>View on Google Map</v>
      </c>
    </row>
    <row r="149" spans="1:13" x14ac:dyDescent="0.2">
      <c r="A149" s="133">
        <v>168</v>
      </c>
      <c r="B149" s="133" t="s">
        <v>739</v>
      </c>
      <c r="C149" s="133" t="s">
        <v>489</v>
      </c>
      <c r="D149" s="133">
        <v>68.674999999999997</v>
      </c>
      <c r="E149" s="133">
        <v>-149.06</v>
      </c>
      <c r="F149" s="133" t="s">
        <v>489</v>
      </c>
      <c r="G149" s="133" t="s">
        <v>500</v>
      </c>
      <c r="H149" s="133" t="s">
        <v>740</v>
      </c>
      <c r="I149" s="133" t="s">
        <v>741</v>
      </c>
      <c r="J149" s="133" t="s">
        <v>515</v>
      </c>
      <c r="K149" s="133" t="s">
        <v>489</v>
      </c>
      <c r="L149" s="133" t="s">
        <v>489</v>
      </c>
      <c r="M149" s="139" t="str">
        <f t="shared" si="2"/>
        <v>View on Google Map</v>
      </c>
    </row>
    <row r="150" spans="1:13" x14ac:dyDescent="0.2">
      <c r="A150" s="133">
        <v>124</v>
      </c>
      <c r="B150" s="133" t="s">
        <v>742</v>
      </c>
      <c r="C150" s="133" t="s">
        <v>489</v>
      </c>
      <c r="D150" s="133">
        <v>68.466666666666669</v>
      </c>
      <c r="E150" s="133">
        <v>-149.5</v>
      </c>
      <c r="F150" s="133">
        <v>802</v>
      </c>
      <c r="G150" s="133" t="s">
        <v>500</v>
      </c>
      <c r="H150" s="133" t="s">
        <v>743</v>
      </c>
      <c r="I150" s="133" t="s">
        <v>489</v>
      </c>
      <c r="J150" s="133" t="s">
        <v>515</v>
      </c>
      <c r="K150" s="133" t="s">
        <v>489</v>
      </c>
      <c r="L150" s="133" t="s">
        <v>516</v>
      </c>
      <c r="M150" s="139" t="str">
        <f t="shared" si="2"/>
        <v>View on Google Map</v>
      </c>
    </row>
    <row r="151" spans="1:13" x14ac:dyDescent="0.2">
      <c r="A151" s="133">
        <v>432</v>
      </c>
      <c r="B151" s="133" t="s">
        <v>744</v>
      </c>
      <c r="C151" s="133" t="s">
        <v>489</v>
      </c>
      <c r="D151" s="133" t="s">
        <v>489</v>
      </c>
      <c r="E151" s="133" t="s">
        <v>489</v>
      </c>
      <c r="F151" s="133">
        <v>800</v>
      </c>
      <c r="G151" s="133" t="s">
        <v>500</v>
      </c>
      <c r="H151" s="133" t="s">
        <v>745</v>
      </c>
      <c r="I151" s="133" t="s">
        <v>489</v>
      </c>
      <c r="J151" s="133" t="s">
        <v>515</v>
      </c>
      <c r="K151" s="133" t="s">
        <v>489</v>
      </c>
      <c r="L151" s="133" t="s">
        <v>746</v>
      </c>
      <c r="M151" s="139" t="str">
        <f t="shared" si="2"/>
        <v>View on Google Map</v>
      </c>
    </row>
    <row r="152" spans="1:13" x14ac:dyDescent="0.2">
      <c r="A152" s="133">
        <v>433</v>
      </c>
      <c r="B152" s="133" t="s">
        <v>747</v>
      </c>
      <c r="C152" s="133" t="s">
        <v>489</v>
      </c>
      <c r="D152" s="133" t="s">
        <v>489</v>
      </c>
      <c r="E152" s="133" t="s">
        <v>489</v>
      </c>
      <c r="F152" s="133">
        <v>800</v>
      </c>
      <c r="G152" s="133" t="s">
        <v>500</v>
      </c>
      <c r="H152" s="133" t="s">
        <v>748</v>
      </c>
      <c r="I152" s="133" t="s">
        <v>489</v>
      </c>
      <c r="J152" s="133" t="s">
        <v>515</v>
      </c>
      <c r="K152" s="133" t="s">
        <v>489</v>
      </c>
      <c r="L152" s="133" t="s">
        <v>746</v>
      </c>
      <c r="M152" s="139" t="str">
        <f t="shared" si="2"/>
        <v>View on Google Map</v>
      </c>
    </row>
    <row r="153" spans="1:13" x14ac:dyDescent="0.2">
      <c r="A153" s="133">
        <v>434</v>
      </c>
      <c r="B153" s="133" t="s">
        <v>749</v>
      </c>
      <c r="C153" s="133" t="s">
        <v>489</v>
      </c>
      <c r="D153" s="133" t="s">
        <v>489</v>
      </c>
      <c r="E153" s="133" t="s">
        <v>489</v>
      </c>
      <c r="F153" s="133">
        <v>801</v>
      </c>
      <c r="G153" s="133" t="s">
        <v>500</v>
      </c>
      <c r="H153" s="133" t="s">
        <v>750</v>
      </c>
      <c r="I153" s="133" t="s">
        <v>489</v>
      </c>
      <c r="J153" s="133" t="s">
        <v>515</v>
      </c>
      <c r="K153" s="133" t="s">
        <v>489</v>
      </c>
      <c r="L153" s="133" t="s">
        <v>746</v>
      </c>
      <c r="M153" s="139" t="str">
        <f t="shared" si="2"/>
        <v>View on Google Map</v>
      </c>
    </row>
    <row r="154" spans="1:13" x14ac:dyDescent="0.2">
      <c r="A154" s="133">
        <v>435</v>
      </c>
      <c r="B154" s="133" t="s">
        <v>751</v>
      </c>
      <c r="C154" s="133" t="s">
        <v>489</v>
      </c>
      <c r="D154" s="133" t="s">
        <v>489</v>
      </c>
      <c r="E154" s="133" t="s">
        <v>489</v>
      </c>
      <c r="F154" s="133">
        <v>802</v>
      </c>
      <c r="G154" s="133" t="s">
        <v>500</v>
      </c>
      <c r="H154" s="133" t="s">
        <v>752</v>
      </c>
      <c r="I154" s="133" t="s">
        <v>489</v>
      </c>
      <c r="J154" s="133" t="s">
        <v>515</v>
      </c>
      <c r="K154" s="133" t="s">
        <v>489</v>
      </c>
      <c r="L154" s="133" t="s">
        <v>746</v>
      </c>
      <c r="M154" s="139" t="str">
        <f t="shared" si="2"/>
        <v>View on Google Map</v>
      </c>
    </row>
    <row r="155" spans="1:13" x14ac:dyDescent="0.2">
      <c r="A155" s="133">
        <v>436</v>
      </c>
      <c r="B155" s="133" t="s">
        <v>753</v>
      </c>
      <c r="C155" s="133" t="s">
        <v>489</v>
      </c>
      <c r="D155" s="133" t="s">
        <v>489</v>
      </c>
      <c r="E155" s="133" t="s">
        <v>489</v>
      </c>
      <c r="F155" s="133">
        <v>803</v>
      </c>
      <c r="G155" s="133" t="s">
        <v>500</v>
      </c>
      <c r="H155" s="133" t="s">
        <v>754</v>
      </c>
      <c r="I155" s="133" t="s">
        <v>489</v>
      </c>
      <c r="J155" s="133" t="s">
        <v>515</v>
      </c>
      <c r="K155" s="133" t="s">
        <v>489</v>
      </c>
      <c r="L155" s="133" t="s">
        <v>746</v>
      </c>
      <c r="M155" s="139" t="str">
        <f t="shared" si="2"/>
        <v>View on Google Map</v>
      </c>
    </row>
    <row r="156" spans="1:13" x14ac:dyDescent="0.2">
      <c r="A156" s="133">
        <v>437</v>
      </c>
      <c r="B156" s="133" t="s">
        <v>755</v>
      </c>
      <c r="C156" s="133" t="s">
        <v>489</v>
      </c>
      <c r="D156" s="133" t="s">
        <v>489</v>
      </c>
      <c r="E156" s="133" t="s">
        <v>489</v>
      </c>
      <c r="F156" s="133">
        <v>804</v>
      </c>
      <c r="G156" s="133" t="s">
        <v>500</v>
      </c>
      <c r="H156" s="133" t="s">
        <v>756</v>
      </c>
      <c r="I156" s="133" t="s">
        <v>489</v>
      </c>
      <c r="J156" s="133" t="s">
        <v>515</v>
      </c>
      <c r="K156" s="133" t="s">
        <v>489</v>
      </c>
      <c r="L156" s="133" t="s">
        <v>746</v>
      </c>
      <c r="M156" s="139" t="str">
        <f t="shared" si="2"/>
        <v>View on Google Map</v>
      </c>
    </row>
    <row r="157" spans="1:13" x14ac:dyDescent="0.2">
      <c r="A157" s="133">
        <v>438</v>
      </c>
      <c r="B157" s="133" t="s">
        <v>757</v>
      </c>
      <c r="C157" s="133" t="s">
        <v>489</v>
      </c>
      <c r="D157" s="133" t="s">
        <v>489</v>
      </c>
      <c r="E157" s="133" t="s">
        <v>489</v>
      </c>
      <c r="F157" s="133">
        <v>805</v>
      </c>
      <c r="G157" s="133" t="s">
        <v>500</v>
      </c>
      <c r="H157" s="133" t="s">
        <v>758</v>
      </c>
      <c r="I157" s="133" t="s">
        <v>489</v>
      </c>
      <c r="J157" s="133" t="s">
        <v>515</v>
      </c>
      <c r="K157" s="133" t="s">
        <v>489</v>
      </c>
      <c r="L157" s="133" t="s">
        <v>746</v>
      </c>
      <c r="M157" s="139" t="str">
        <f t="shared" si="2"/>
        <v>View on Google Map</v>
      </c>
    </row>
    <row r="158" spans="1:13" x14ac:dyDescent="0.2">
      <c r="A158" s="133">
        <v>439</v>
      </c>
      <c r="B158" s="133" t="s">
        <v>759</v>
      </c>
      <c r="C158" s="133" t="s">
        <v>489</v>
      </c>
      <c r="D158" s="133" t="s">
        <v>489</v>
      </c>
      <c r="E158" s="133" t="s">
        <v>489</v>
      </c>
      <c r="F158" s="133">
        <v>807</v>
      </c>
      <c r="G158" s="133" t="s">
        <v>500</v>
      </c>
      <c r="H158" s="133" t="s">
        <v>760</v>
      </c>
      <c r="I158" s="133" t="s">
        <v>489</v>
      </c>
      <c r="J158" s="133" t="s">
        <v>515</v>
      </c>
      <c r="K158" s="133" t="s">
        <v>489</v>
      </c>
      <c r="L158" s="133" t="s">
        <v>746</v>
      </c>
      <c r="M158" s="139" t="str">
        <f t="shared" si="2"/>
        <v>View on Google Map</v>
      </c>
    </row>
    <row r="159" spans="1:13" x14ac:dyDescent="0.2">
      <c r="A159" s="133">
        <v>440</v>
      </c>
      <c r="B159" s="133" t="s">
        <v>761</v>
      </c>
      <c r="C159" s="133" t="s">
        <v>489</v>
      </c>
      <c r="D159" s="133" t="s">
        <v>489</v>
      </c>
      <c r="E159" s="133" t="s">
        <v>489</v>
      </c>
      <c r="F159" s="133">
        <v>805</v>
      </c>
      <c r="G159" s="133" t="s">
        <v>500</v>
      </c>
      <c r="H159" s="133" t="s">
        <v>762</v>
      </c>
      <c r="I159" s="133" t="s">
        <v>489</v>
      </c>
      <c r="J159" s="133" t="s">
        <v>515</v>
      </c>
      <c r="K159" s="133" t="s">
        <v>489</v>
      </c>
      <c r="L159" s="133" t="s">
        <v>746</v>
      </c>
      <c r="M159" s="139" t="str">
        <f t="shared" si="2"/>
        <v>View on Google Map</v>
      </c>
    </row>
    <row r="160" spans="1:13" x14ac:dyDescent="0.2">
      <c r="A160" s="133">
        <v>441</v>
      </c>
      <c r="B160" s="133" t="s">
        <v>763</v>
      </c>
      <c r="C160" s="133" t="s">
        <v>489</v>
      </c>
      <c r="D160" s="133" t="s">
        <v>489</v>
      </c>
      <c r="E160" s="133" t="s">
        <v>489</v>
      </c>
      <c r="F160" s="133">
        <v>805</v>
      </c>
      <c r="G160" s="133" t="s">
        <v>500</v>
      </c>
      <c r="H160" s="133" t="s">
        <v>764</v>
      </c>
      <c r="I160" s="133" t="s">
        <v>489</v>
      </c>
      <c r="J160" s="133" t="s">
        <v>515</v>
      </c>
      <c r="K160" s="133" t="s">
        <v>489</v>
      </c>
      <c r="L160" s="133" t="s">
        <v>746</v>
      </c>
      <c r="M160" s="139" t="str">
        <f t="shared" si="2"/>
        <v>View on Google Map</v>
      </c>
    </row>
    <row r="161" spans="1:14" x14ac:dyDescent="0.2">
      <c r="A161" s="133">
        <v>442</v>
      </c>
      <c r="B161" s="133" t="s">
        <v>765</v>
      </c>
      <c r="C161" s="133" t="s">
        <v>489</v>
      </c>
      <c r="D161" s="133" t="s">
        <v>489</v>
      </c>
      <c r="E161" s="133" t="s">
        <v>489</v>
      </c>
      <c r="F161" s="133">
        <v>805</v>
      </c>
      <c r="G161" s="133" t="s">
        <v>500</v>
      </c>
      <c r="H161" s="133" t="s">
        <v>766</v>
      </c>
      <c r="I161" s="133" t="s">
        <v>489</v>
      </c>
      <c r="J161" s="133" t="s">
        <v>515</v>
      </c>
      <c r="K161" s="133" t="s">
        <v>489</v>
      </c>
      <c r="L161" s="133" t="s">
        <v>746</v>
      </c>
      <c r="M161" s="139" t="str">
        <f t="shared" si="2"/>
        <v>View on Google Map</v>
      </c>
    </row>
    <row r="162" spans="1:14" x14ac:dyDescent="0.2">
      <c r="A162" s="133">
        <v>443</v>
      </c>
      <c r="B162" s="133" t="s">
        <v>767</v>
      </c>
      <c r="C162" s="133" t="s">
        <v>489</v>
      </c>
      <c r="D162" s="133" t="s">
        <v>489</v>
      </c>
      <c r="E162" s="133" t="s">
        <v>489</v>
      </c>
      <c r="F162" s="133">
        <v>812</v>
      </c>
      <c r="G162" s="133" t="s">
        <v>500</v>
      </c>
      <c r="H162" s="133" t="s">
        <v>768</v>
      </c>
      <c r="I162" s="133" t="s">
        <v>489</v>
      </c>
      <c r="J162" s="133" t="s">
        <v>515</v>
      </c>
      <c r="K162" s="133" t="s">
        <v>489</v>
      </c>
      <c r="L162" s="133" t="s">
        <v>746</v>
      </c>
      <c r="M162" s="139" t="str">
        <f t="shared" si="2"/>
        <v>View on Google Map</v>
      </c>
    </row>
    <row r="163" spans="1:14" x14ac:dyDescent="0.2">
      <c r="A163" s="133">
        <v>28</v>
      </c>
      <c r="B163" s="133" t="s">
        <v>769</v>
      </c>
      <c r="C163" s="133" t="s">
        <v>489</v>
      </c>
      <c r="D163" s="133" t="s">
        <v>489</v>
      </c>
      <c r="E163" s="133" t="s">
        <v>489</v>
      </c>
      <c r="F163" s="133">
        <v>1189</v>
      </c>
      <c r="G163" s="133" t="s">
        <v>514</v>
      </c>
      <c r="H163" s="133" t="s">
        <v>770</v>
      </c>
      <c r="I163" s="133" t="s">
        <v>489</v>
      </c>
      <c r="J163" s="133" t="s">
        <v>515</v>
      </c>
      <c r="K163" s="133" t="s">
        <v>489</v>
      </c>
      <c r="L163" s="133" t="s">
        <v>489</v>
      </c>
      <c r="M163" s="139" t="str">
        <f t="shared" si="2"/>
        <v>View on Google Map</v>
      </c>
    </row>
    <row r="164" spans="1:14" x14ac:dyDescent="0.2">
      <c r="A164" s="133">
        <v>29</v>
      </c>
      <c r="B164" s="133" t="s">
        <v>771</v>
      </c>
      <c r="C164" s="133" t="s">
        <v>489</v>
      </c>
      <c r="D164" s="133" t="s">
        <v>489</v>
      </c>
      <c r="E164" s="133" t="s">
        <v>489</v>
      </c>
      <c r="F164" s="133">
        <v>1372</v>
      </c>
      <c r="G164" s="133" t="s">
        <v>514</v>
      </c>
      <c r="H164" s="133" t="s">
        <v>772</v>
      </c>
      <c r="I164" s="133" t="s">
        <v>489</v>
      </c>
      <c r="J164" s="133" t="s">
        <v>515</v>
      </c>
      <c r="K164" s="133" t="s">
        <v>489</v>
      </c>
      <c r="L164" s="133" t="s">
        <v>489</v>
      </c>
      <c r="M164" s="139" t="str">
        <f t="shared" si="2"/>
        <v>View on Google Map</v>
      </c>
    </row>
    <row r="165" spans="1:14" x14ac:dyDescent="0.2">
      <c r="A165" s="133">
        <v>30</v>
      </c>
      <c r="B165" s="133" t="s">
        <v>773</v>
      </c>
      <c r="C165" s="133" t="s">
        <v>489</v>
      </c>
      <c r="D165" s="133" t="s">
        <v>489</v>
      </c>
      <c r="E165" s="133" t="s">
        <v>489</v>
      </c>
      <c r="F165" s="133">
        <v>1463</v>
      </c>
      <c r="G165" s="133" t="s">
        <v>514</v>
      </c>
      <c r="H165" s="133" t="s">
        <v>774</v>
      </c>
      <c r="I165" s="133" t="s">
        <v>489</v>
      </c>
      <c r="J165" s="133" t="s">
        <v>515</v>
      </c>
      <c r="K165" s="133" t="s">
        <v>489</v>
      </c>
      <c r="L165" s="133" t="s">
        <v>489</v>
      </c>
      <c r="M165" s="139" t="str">
        <f t="shared" si="2"/>
        <v>View on Google Map</v>
      </c>
    </row>
    <row r="166" spans="1:14" x14ac:dyDescent="0.2">
      <c r="A166" s="133">
        <v>142</v>
      </c>
      <c r="B166" s="133" t="s">
        <v>775</v>
      </c>
      <c r="C166" s="133" t="s">
        <v>776</v>
      </c>
      <c r="D166" s="133">
        <v>68.53698</v>
      </c>
      <c r="E166" s="133">
        <v>-149.23740000000001</v>
      </c>
      <c r="F166" s="133">
        <v>883</v>
      </c>
      <c r="G166" s="133" t="s">
        <v>500</v>
      </c>
      <c r="H166" s="133" t="s">
        <v>777</v>
      </c>
      <c r="I166" s="133" t="s">
        <v>778</v>
      </c>
      <c r="J166" s="133" t="s">
        <v>515</v>
      </c>
      <c r="K166" s="133" t="s">
        <v>489</v>
      </c>
      <c r="L166" s="133" t="s">
        <v>516</v>
      </c>
      <c r="M166" s="139" t="str">
        <f t="shared" si="2"/>
        <v>View on Google Map</v>
      </c>
    </row>
    <row r="167" spans="1:14" x14ac:dyDescent="0.2">
      <c r="A167" s="133">
        <v>416</v>
      </c>
      <c r="B167" s="133" t="s">
        <v>779</v>
      </c>
      <c r="C167" s="133" t="s">
        <v>780</v>
      </c>
      <c r="D167" s="133">
        <v>68.496079978500006</v>
      </c>
      <c r="E167" s="133">
        <v>-149.60215567200001</v>
      </c>
      <c r="F167" s="133">
        <v>938</v>
      </c>
      <c r="G167" s="133" t="s">
        <v>500</v>
      </c>
      <c r="H167" s="133" t="s">
        <v>781</v>
      </c>
      <c r="I167" s="133" t="s">
        <v>489</v>
      </c>
      <c r="J167" s="133" t="s">
        <v>782</v>
      </c>
      <c r="K167" s="133" t="s">
        <v>489</v>
      </c>
      <c r="L167" s="133" t="s">
        <v>783</v>
      </c>
      <c r="M167" s="139" t="str">
        <f t="shared" si="2"/>
        <v>View on Google Map</v>
      </c>
      <c r="N167" s="133">
        <f>VALUE(MID(B167,5,3))</f>
        <v>100</v>
      </c>
    </row>
    <row r="168" spans="1:14" x14ac:dyDescent="0.2">
      <c r="A168" s="133">
        <v>417</v>
      </c>
      <c r="B168" s="133" t="s">
        <v>784</v>
      </c>
      <c r="C168" s="133" t="s">
        <v>785</v>
      </c>
      <c r="D168" s="133">
        <v>68.491641939700003</v>
      </c>
      <c r="E168" s="133">
        <v>-149.60743984699999</v>
      </c>
      <c r="F168" s="133">
        <v>937</v>
      </c>
      <c r="G168" s="133" t="s">
        <v>500</v>
      </c>
      <c r="H168" s="133" t="s">
        <v>786</v>
      </c>
      <c r="I168" s="133" t="s">
        <v>489</v>
      </c>
      <c r="J168" s="133" t="s">
        <v>782</v>
      </c>
      <c r="K168" s="133" t="s">
        <v>489</v>
      </c>
      <c r="L168" s="133" t="s">
        <v>783</v>
      </c>
      <c r="M168" s="139" t="str">
        <f t="shared" si="2"/>
        <v>View on Google Map</v>
      </c>
      <c r="N168" s="133">
        <f>VALUE(MID(B168,5,3))</f>
        <v>101</v>
      </c>
    </row>
    <row r="169" spans="1:14" x14ac:dyDescent="0.2">
      <c r="A169" s="133">
        <v>418</v>
      </c>
      <c r="B169" s="133" t="s">
        <v>787</v>
      </c>
      <c r="C169" s="133" t="s">
        <v>788</v>
      </c>
      <c r="D169" s="133">
        <v>68.485971524799993</v>
      </c>
      <c r="E169" s="133">
        <v>-149.611957343</v>
      </c>
      <c r="F169" s="133">
        <v>936</v>
      </c>
      <c r="G169" s="133" t="s">
        <v>500</v>
      </c>
      <c r="H169" s="133" t="s">
        <v>489</v>
      </c>
      <c r="I169" s="133" t="s">
        <v>489</v>
      </c>
      <c r="J169" s="133" t="s">
        <v>782</v>
      </c>
      <c r="K169" s="133" t="s">
        <v>489</v>
      </c>
      <c r="L169" s="133" t="s">
        <v>783</v>
      </c>
      <c r="M169" s="139" t="str">
        <f t="shared" si="2"/>
        <v>View on Google Map</v>
      </c>
      <c r="N169" s="133">
        <f>VALUE(MID(B169,5,3))</f>
        <v>102</v>
      </c>
    </row>
    <row r="170" spans="1:14" x14ac:dyDescent="0.2">
      <c r="A170" s="133">
        <v>419</v>
      </c>
      <c r="B170" s="133" t="s">
        <v>789</v>
      </c>
      <c r="C170" s="133" t="s">
        <v>790</v>
      </c>
      <c r="D170" s="133">
        <v>68.486418246300005</v>
      </c>
      <c r="E170" s="133">
        <v>-149.623539768</v>
      </c>
      <c r="F170" s="133">
        <v>934</v>
      </c>
      <c r="G170" s="133" t="s">
        <v>500</v>
      </c>
      <c r="H170" s="133" t="s">
        <v>791</v>
      </c>
      <c r="I170" s="133" t="s">
        <v>489</v>
      </c>
      <c r="J170" s="133" t="s">
        <v>782</v>
      </c>
      <c r="K170" s="133" t="s">
        <v>489</v>
      </c>
      <c r="L170" s="133" t="s">
        <v>783</v>
      </c>
      <c r="M170" s="139" t="str">
        <f t="shared" si="2"/>
        <v>View on Google Map</v>
      </c>
      <c r="N170" s="133">
        <f>VALUE(MID(B170,5,3))</f>
        <v>103</v>
      </c>
    </row>
    <row r="171" spans="1:14" x14ac:dyDescent="0.2">
      <c r="A171" s="133">
        <v>420</v>
      </c>
      <c r="B171" s="133" t="s">
        <v>792</v>
      </c>
      <c r="C171" s="133" t="s">
        <v>793</v>
      </c>
      <c r="D171" s="133">
        <v>68.480358182399996</v>
      </c>
      <c r="E171" s="133">
        <v>-149.621808276</v>
      </c>
      <c r="F171" s="133" t="s">
        <v>489</v>
      </c>
      <c r="G171" s="133" t="s">
        <v>500</v>
      </c>
      <c r="H171" s="133" t="s">
        <v>792</v>
      </c>
      <c r="I171" s="133" t="s">
        <v>489</v>
      </c>
      <c r="J171" s="133" t="s">
        <v>782</v>
      </c>
      <c r="K171" s="133" t="s">
        <v>489</v>
      </c>
      <c r="L171" s="133" t="s">
        <v>783</v>
      </c>
      <c r="M171" s="139" t="str">
        <f t="shared" si="2"/>
        <v>View on Google Map</v>
      </c>
      <c r="N171" s="133">
        <f t="shared" ref="N171:N198" si="3">VALUE(MID(H171,5,3))</f>
        <v>104</v>
      </c>
    </row>
    <row r="172" spans="1:14" x14ac:dyDescent="0.2">
      <c r="A172" s="133">
        <v>421</v>
      </c>
      <c r="B172" s="133" t="s">
        <v>794</v>
      </c>
      <c r="C172" s="133" t="s">
        <v>795</v>
      </c>
      <c r="D172" s="133">
        <v>68.487163894299997</v>
      </c>
      <c r="E172" s="133">
        <v>-149.57470926400001</v>
      </c>
      <c r="F172" s="133" t="s">
        <v>489</v>
      </c>
      <c r="G172" s="133" t="s">
        <v>500</v>
      </c>
      <c r="H172" s="133" t="s">
        <v>794</v>
      </c>
      <c r="I172" s="133" t="s">
        <v>489</v>
      </c>
      <c r="J172" s="133" t="s">
        <v>782</v>
      </c>
      <c r="K172" s="133" t="s">
        <v>489</v>
      </c>
      <c r="L172" s="133" t="s">
        <v>783</v>
      </c>
      <c r="M172" s="139" t="str">
        <f t="shared" si="2"/>
        <v>View on Google Map</v>
      </c>
      <c r="N172" s="133">
        <f t="shared" si="3"/>
        <v>105</v>
      </c>
    </row>
    <row r="173" spans="1:14" x14ac:dyDescent="0.2">
      <c r="A173" s="133">
        <v>422</v>
      </c>
      <c r="B173" s="133" t="s">
        <v>796</v>
      </c>
      <c r="C173" s="133" t="s">
        <v>797</v>
      </c>
      <c r="D173" s="133">
        <v>68.482007853900001</v>
      </c>
      <c r="E173" s="133">
        <v>-149.57357543099999</v>
      </c>
      <c r="F173" s="133" t="s">
        <v>489</v>
      </c>
      <c r="G173" s="133" t="s">
        <v>500</v>
      </c>
      <c r="H173" s="133" t="s">
        <v>796</v>
      </c>
      <c r="I173" s="133" t="s">
        <v>489</v>
      </c>
      <c r="J173" s="133" t="s">
        <v>782</v>
      </c>
      <c r="K173" s="133" t="s">
        <v>489</v>
      </c>
      <c r="L173" s="133" t="s">
        <v>783</v>
      </c>
      <c r="M173" s="139" t="str">
        <f t="shared" si="2"/>
        <v>View on Google Map</v>
      </c>
      <c r="N173" s="133">
        <f t="shared" si="3"/>
        <v>106</v>
      </c>
    </row>
    <row r="174" spans="1:14" x14ac:dyDescent="0.2">
      <c r="A174" s="133">
        <v>423</v>
      </c>
      <c r="B174" s="133" t="s">
        <v>798</v>
      </c>
      <c r="C174" s="133" t="s">
        <v>799</v>
      </c>
      <c r="D174" s="133">
        <v>68.480117783099999</v>
      </c>
      <c r="E174" s="133">
        <v>-149.553733964</v>
      </c>
      <c r="F174" s="133" t="s">
        <v>489</v>
      </c>
      <c r="G174" s="133" t="s">
        <v>500</v>
      </c>
      <c r="H174" s="133" t="s">
        <v>798</v>
      </c>
      <c r="I174" s="133" t="s">
        <v>489</v>
      </c>
      <c r="J174" s="133" t="s">
        <v>782</v>
      </c>
      <c r="K174" s="133" t="s">
        <v>489</v>
      </c>
      <c r="L174" s="133" t="s">
        <v>783</v>
      </c>
      <c r="M174" s="139" t="str">
        <f t="shared" si="2"/>
        <v>View on Google Map</v>
      </c>
      <c r="N174" s="133">
        <f t="shared" si="3"/>
        <v>107</v>
      </c>
    </row>
    <row r="175" spans="1:14" x14ac:dyDescent="0.2">
      <c r="A175" s="133">
        <v>424</v>
      </c>
      <c r="B175" s="133" t="s">
        <v>800</v>
      </c>
      <c r="C175" s="133" t="s">
        <v>801</v>
      </c>
      <c r="D175" s="133">
        <v>68.553470657600002</v>
      </c>
      <c r="E175" s="133">
        <v>-149.16702515599999</v>
      </c>
      <c r="F175" s="133" t="s">
        <v>489</v>
      </c>
      <c r="G175" s="133" t="s">
        <v>500</v>
      </c>
      <c r="H175" s="133" t="s">
        <v>800</v>
      </c>
      <c r="I175" s="133" t="s">
        <v>489</v>
      </c>
      <c r="J175" s="133" t="s">
        <v>782</v>
      </c>
      <c r="K175" s="133" t="s">
        <v>489</v>
      </c>
      <c r="L175" s="133" t="s">
        <v>783</v>
      </c>
      <c r="M175" s="139" t="str">
        <f t="shared" si="2"/>
        <v>View on Google Map</v>
      </c>
      <c r="N175" s="133">
        <f t="shared" si="3"/>
        <v>108</v>
      </c>
    </row>
    <row r="176" spans="1:14" x14ac:dyDescent="0.2">
      <c r="A176" s="133">
        <v>425</v>
      </c>
      <c r="B176" s="133" t="s">
        <v>802</v>
      </c>
      <c r="C176" s="133" t="s">
        <v>803</v>
      </c>
      <c r="D176" s="133">
        <v>68.557082457700005</v>
      </c>
      <c r="E176" s="133">
        <v>-149.154445686</v>
      </c>
      <c r="F176" s="133" t="s">
        <v>489</v>
      </c>
      <c r="G176" s="133" t="s">
        <v>500</v>
      </c>
      <c r="H176" s="133" t="s">
        <v>802</v>
      </c>
      <c r="I176" s="133" t="s">
        <v>489</v>
      </c>
      <c r="J176" s="133" t="s">
        <v>782</v>
      </c>
      <c r="K176" s="133" t="s">
        <v>489</v>
      </c>
      <c r="L176" s="133" t="s">
        <v>783</v>
      </c>
      <c r="M176" s="139" t="str">
        <f t="shared" si="2"/>
        <v>View on Google Map</v>
      </c>
      <c r="N176" s="133">
        <f t="shared" si="3"/>
        <v>109</v>
      </c>
    </row>
    <row r="177" spans="1:14" x14ac:dyDescent="0.2">
      <c r="A177" s="133">
        <v>426</v>
      </c>
      <c r="B177" s="133" t="s">
        <v>804</v>
      </c>
      <c r="C177" s="133" t="s">
        <v>805</v>
      </c>
      <c r="D177" s="133">
        <v>68.732874005799999</v>
      </c>
      <c r="E177" s="133">
        <v>-149.401461627</v>
      </c>
      <c r="F177" s="133" t="s">
        <v>489</v>
      </c>
      <c r="G177" s="133" t="s">
        <v>500</v>
      </c>
      <c r="H177" s="133" t="s">
        <v>804</v>
      </c>
      <c r="I177" s="133" t="s">
        <v>489</v>
      </c>
      <c r="J177" s="133" t="s">
        <v>782</v>
      </c>
      <c r="K177" s="133" t="s">
        <v>489</v>
      </c>
      <c r="L177" s="133" t="s">
        <v>783</v>
      </c>
      <c r="M177" s="139" t="str">
        <f t="shared" si="2"/>
        <v>View on Google Map</v>
      </c>
      <c r="N177" s="133">
        <f t="shared" si="3"/>
        <v>110</v>
      </c>
    </row>
    <row r="178" spans="1:14" x14ac:dyDescent="0.2">
      <c r="A178" s="133">
        <v>427</v>
      </c>
      <c r="B178" s="133" t="s">
        <v>806</v>
      </c>
      <c r="C178" s="133" t="s">
        <v>807</v>
      </c>
      <c r="D178" s="133">
        <v>68.728437910899999</v>
      </c>
      <c r="E178" s="133">
        <v>-149.39298449200001</v>
      </c>
      <c r="F178" s="133" t="s">
        <v>489</v>
      </c>
      <c r="G178" s="133" t="s">
        <v>500</v>
      </c>
      <c r="H178" s="133" t="s">
        <v>806</v>
      </c>
      <c r="I178" s="133" t="s">
        <v>489</v>
      </c>
      <c r="J178" s="133" t="s">
        <v>782</v>
      </c>
      <c r="K178" s="133" t="s">
        <v>489</v>
      </c>
      <c r="L178" s="133" t="s">
        <v>783</v>
      </c>
      <c r="M178" s="139" t="str">
        <f t="shared" si="2"/>
        <v>View on Google Map</v>
      </c>
      <c r="N178" s="133">
        <f t="shared" si="3"/>
        <v>111</v>
      </c>
    </row>
    <row r="179" spans="1:14" x14ac:dyDescent="0.2">
      <c r="A179" s="133">
        <v>428</v>
      </c>
      <c r="B179" s="133" t="s">
        <v>808</v>
      </c>
      <c r="C179" s="133" t="s">
        <v>809</v>
      </c>
      <c r="D179" s="133">
        <v>68.671908805499996</v>
      </c>
      <c r="E179" s="133">
        <v>-149.24817348299999</v>
      </c>
      <c r="F179" s="133" t="s">
        <v>489</v>
      </c>
      <c r="G179" s="133" t="s">
        <v>500</v>
      </c>
      <c r="H179" s="133" t="s">
        <v>808</v>
      </c>
      <c r="I179" s="133" t="s">
        <v>489</v>
      </c>
      <c r="J179" s="133" t="s">
        <v>782</v>
      </c>
      <c r="K179" s="133" t="s">
        <v>489</v>
      </c>
      <c r="L179" s="133" t="s">
        <v>783</v>
      </c>
      <c r="M179" s="139" t="str">
        <f t="shared" si="2"/>
        <v>View on Google Map</v>
      </c>
      <c r="N179" s="133">
        <f t="shared" si="3"/>
        <v>112</v>
      </c>
    </row>
    <row r="180" spans="1:14" x14ac:dyDescent="0.2">
      <c r="A180" s="133">
        <v>429</v>
      </c>
      <c r="B180" s="133" t="s">
        <v>810</v>
      </c>
      <c r="C180" s="133" t="s">
        <v>811</v>
      </c>
      <c r="D180" s="133">
        <v>68.679427639400004</v>
      </c>
      <c r="E180" s="133">
        <v>-149.23947084900001</v>
      </c>
      <c r="F180" s="133" t="s">
        <v>489</v>
      </c>
      <c r="G180" s="133" t="s">
        <v>500</v>
      </c>
      <c r="H180" s="133" t="s">
        <v>810</v>
      </c>
      <c r="I180" s="133" t="s">
        <v>489</v>
      </c>
      <c r="J180" s="133" t="s">
        <v>782</v>
      </c>
      <c r="K180" s="133" t="s">
        <v>489</v>
      </c>
      <c r="L180" s="133" t="s">
        <v>783</v>
      </c>
      <c r="M180" s="139" t="str">
        <f t="shared" si="2"/>
        <v>View on Google Map</v>
      </c>
      <c r="N180" s="133">
        <f t="shared" si="3"/>
        <v>113</v>
      </c>
    </row>
    <row r="181" spans="1:14" x14ac:dyDescent="0.2">
      <c r="A181" s="133">
        <v>430</v>
      </c>
      <c r="B181" s="133" t="s">
        <v>812</v>
      </c>
      <c r="C181" s="133" t="s">
        <v>813</v>
      </c>
      <c r="D181" s="133">
        <v>68.679424428600001</v>
      </c>
      <c r="E181" s="133">
        <v>-149.22969695099999</v>
      </c>
      <c r="F181" s="133" t="s">
        <v>489</v>
      </c>
      <c r="G181" s="133" t="s">
        <v>500</v>
      </c>
      <c r="H181" s="133" t="s">
        <v>812</v>
      </c>
      <c r="I181" s="133" t="s">
        <v>489</v>
      </c>
      <c r="J181" s="133" t="s">
        <v>782</v>
      </c>
      <c r="K181" s="133" t="s">
        <v>489</v>
      </c>
      <c r="L181" s="133" t="s">
        <v>783</v>
      </c>
      <c r="M181" s="139" t="str">
        <f t="shared" si="2"/>
        <v>View on Google Map</v>
      </c>
      <c r="N181" s="133">
        <f t="shared" si="3"/>
        <v>114</v>
      </c>
    </row>
    <row r="182" spans="1:14" x14ac:dyDescent="0.2">
      <c r="A182" s="133">
        <v>398</v>
      </c>
      <c r="B182" s="133" t="s">
        <v>814</v>
      </c>
      <c r="C182" s="133" t="s">
        <v>815</v>
      </c>
      <c r="D182" s="133">
        <v>68.569791782099998</v>
      </c>
      <c r="E182" s="133">
        <v>-149.43938491</v>
      </c>
      <c r="F182" s="133" t="s">
        <v>489</v>
      </c>
      <c r="G182" s="133" t="s">
        <v>500</v>
      </c>
      <c r="H182" s="133" t="s">
        <v>814</v>
      </c>
      <c r="I182" s="133" t="s">
        <v>489</v>
      </c>
      <c r="J182" s="133" t="s">
        <v>782</v>
      </c>
      <c r="K182" s="133" t="s">
        <v>489</v>
      </c>
      <c r="L182" s="133" t="s">
        <v>783</v>
      </c>
      <c r="M182" s="139" t="str">
        <f t="shared" si="2"/>
        <v>View on Google Map</v>
      </c>
      <c r="N182" s="133">
        <f t="shared" si="3"/>
        <v>82</v>
      </c>
    </row>
    <row r="183" spans="1:14" x14ac:dyDescent="0.2">
      <c r="A183" s="133">
        <v>389</v>
      </c>
      <c r="B183" s="133" t="s">
        <v>816</v>
      </c>
      <c r="C183" s="133" t="s">
        <v>817</v>
      </c>
      <c r="D183" s="133">
        <v>68.568883214500005</v>
      </c>
      <c r="E183" s="133">
        <v>-149.432996798</v>
      </c>
      <c r="F183" s="133" t="s">
        <v>489</v>
      </c>
      <c r="G183" s="133" t="s">
        <v>500</v>
      </c>
      <c r="H183" s="133" t="s">
        <v>816</v>
      </c>
      <c r="I183" s="133" t="s">
        <v>489</v>
      </c>
      <c r="J183" s="133" t="s">
        <v>782</v>
      </c>
      <c r="K183" s="133" t="s">
        <v>489</v>
      </c>
      <c r="L183" s="133" t="s">
        <v>783</v>
      </c>
      <c r="M183" s="139" t="str">
        <f t="shared" si="2"/>
        <v>View on Google Map</v>
      </c>
      <c r="N183" s="133">
        <f t="shared" si="3"/>
        <v>83</v>
      </c>
    </row>
    <row r="184" spans="1:14" x14ac:dyDescent="0.2">
      <c r="A184" s="133">
        <v>390</v>
      </c>
      <c r="B184" s="133" t="s">
        <v>818</v>
      </c>
      <c r="C184" s="133" t="s">
        <v>819</v>
      </c>
      <c r="D184" s="133">
        <v>68.571446755099998</v>
      </c>
      <c r="E184" s="133">
        <v>-149.43614776499999</v>
      </c>
      <c r="F184" s="133" t="s">
        <v>489</v>
      </c>
      <c r="G184" s="133" t="s">
        <v>500</v>
      </c>
      <c r="H184" s="133" t="s">
        <v>818</v>
      </c>
      <c r="I184" s="133" t="s">
        <v>489</v>
      </c>
      <c r="J184" s="133" t="s">
        <v>782</v>
      </c>
      <c r="K184" s="133" t="s">
        <v>489</v>
      </c>
      <c r="L184" s="133" t="s">
        <v>783</v>
      </c>
      <c r="M184" s="139" t="str">
        <f t="shared" si="2"/>
        <v>View on Google Map</v>
      </c>
      <c r="N184" s="133">
        <f t="shared" si="3"/>
        <v>84</v>
      </c>
    </row>
    <row r="185" spans="1:14" x14ac:dyDescent="0.2">
      <c r="A185" s="133">
        <v>391</v>
      </c>
      <c r="B185" s="133" t="s">
        <v>820</v>
      </c>
      <c r="C185" s="133" t="s">
        <v>821</v>
      </c>
      <c r="D185" s="133">
        <v>68.600419015400007</v>
      </c>
      <c r="E185" s="133">
        <v>-149.438677388</v>
      </c>
      <c r="F185" s="133" t="s">
        <v>489</v>
      </c>
      <c r="G185" s="133" t="s">
        <v>500</v>
      </c>
      <c r="H185" s="133" t="s">
        <v>820</v>
      </c>
      <c r="I185" s="133" t="s">
        <v>489</v>
      </c>
      <c r="J185" s="133" t="s">
        <v>782</v>
      </c>
      <c r="K185" s="133" t="s">
        <v>489</v>
      </c>
      <c r="L185" s="133" t="s">
        <v>783</v>
      </c>
      <c r="M185" s="139" t="str">
        <f t="shared" si="2"/>
        <v>View on Google Map</v>
      </c>
      <c r="N185" s="133">
        <f t="shared" si="3"/>
        <v>85</v>
      </c>
    </row>
    <row r="186" spans="1:14" x14ac:dyDescent="0.2">
      <c r="A186" s="133">
        <v>392</v>
      </c>
      <c r="B186" s="133" t="s">
        <v>822</v>
      </c>
      <c r="C186" s="133" t="s">
        <v>823</v>
      </c>
      <c r="D186" s="133">
        <v>68.632424610200005</v>
      </c>
      <c r="E186" s="133">
        <v>-149.41874062799999</v>
      </c>
      <c r="F186" s="133" t="s">
        <v>489</v>
      </c>
      <c r="G186" s="133" t="s">
        <v>500</v>
      </c>
      <c r="H186" s="133" t="s">
        <v>822</v>
      </c>
      <c r="I186" s="133" t="s">
        <v>489</v>
      </c>
      <c r="J186" s="133" t="s">
        <v>782</v>
      </c>
      <c r="K186" s="133" t="s">
        <v>489</v>
      </c>
      <c r="L186" s="133" t="s">
        <v>783</v>
      </c>
      <c r="M186" s="139" t="str">
        <f t="shared" si="2"/>
        <v>View on Google Map</v>
      </c>
      <c r="N186" s="133">
        <f t="shared" si="3"/>
        <v>86</v>
      </c>
    </row>
    <row r="187" spans="1:14" x14ac:dyDescent="0.2">
      <c r="A187" s="133">
        <v>393</v>
      </c>
      <c r="B187" s="133" t="s">
        <v>824</v>
      </c>
      <c r="C187" s="133" t="s">
        <v>825</v>
      </c>
      <c r="D187" s="133">
        <v>68.505704965899994</v>
      </c>
      <c r="E187" s="133">
        <v>-149.516276081</v>
      </c>
      <c r="F187" s="133" t="s">
        <v>489</v>
      </c>
      <c r="G187" s="133" t="s">
        <v>500</v>
      </c>
      <c r="H187" s="133" t="s">
        <v>824</v>
      </c>
      <c r="I187" s="133" t="s">
        <v>489</v>
      </c>
      <c r="J187" s="133" t="s">
        <v>782</v>
      </c>
      <c r="K187" s="133" t="s">
        <v>489</v>
      </c>
      <c r="L187" s="133" t="s">
        <v>783</v>
      </c>
      <c r="M187" s="139" t="str">
        <f t="shared" si="2"/>
        <v>View on Google Map</v>
      </c>
      <c r="N187" s="133">
        <f t="shared" si="3"/>
        <v>87</v>
      </c>
    </row>
    <row r="188" spans="1:14" x14ac:dyDescent="0.2">
      <c r="A188" s="133">
        <v>394</v>
      </c>
      <c r="B188" s="133" t="s">
        <v>826</v>
      </c>
      <c r="C188" s="133" t="s">
        <v>827</v>
      </c>
      <c r="D188" s="133">
        <v>68.509234808599999</v>
      </c>
      <c r="E188" s="133">
        <v>-149.58917678500001</v>
      </c>
      <c r="F188" s="133" t="s">
        <v>489</v>
      </c>
      <c r="G188" s="133" t="s">
        <v>500</v>
      </c>
      <c r="H188" s="133" t="s">
        <v>826</v>
      </c>
      <c r="I188" s="133" t="s">
        <v>489</v>
      </c>
      <c r="J188" s="133" t="s">
        <v>782</v>
      </c>
      <c r="K188" s="133" t="s">
        <v>489</v>
      </c>
      <c r="L188" s="133" t="s">
        <v>783</v>
      </c>
      <c r="M188" s="139" t="str">
        <f t="shared" si="2"/>
        <v>View on Google Map</v>
      </c>
      <c r="N188" s="133">
        <f t="shared" si="3"/>
        <v>88</v>
      </c>
    </row>
    <row r="189" spans="1:14" x14ac:dyDescent="0.2">
      <c r="A189" s="133">
        <v>395</v>
      </c>
      <c r="B189" s="133" t="s">
        <v>828</v>
      </c>
      <c r="C189" s="133" t="s">
        <v>829</v>
      </c>
      <c r="D189" s="133">
        <v>68.525650531300002</v>
      </c>
      <c r="E189" s="133">
        <v>-149.54161982299999</v>
      </c>
      <c r="F189" s="133" t="s">
        <v>489</v>
      </c>
      <c r="G189" s="133" t="s">
        <v>500</v>
      </c>
      <c r="H189" s="133" t="s">
        <v>828</v>
      </c>
      <c r="I189" s="133" t="s">
        <v>489</v>
      </c>
      <c r="J189" s="133" t="s">
        <v>782</v>
      </c>
      <c r="K189" s="133" t="s">
        <v>489</v>
      </c>
      <c r="L189" s="133" t="s">
        <v>783</v>
      </c>
      <c r="M189" s="139" t="str">
        <f t="shared" si="2"/>
        <v>View on Google Map</v>
      </c>
      <c r="N189" s="133">
        <f t="shared" si="3"/>
        <v>89</v>
      </c>
    </row>
    <row r="190" spans="1:14" x14ac:dyDescent="0.2">
      <c r="A190" s="133">
        <v>396</v>
      </c>
      <c r="B190" s="133" t="s">
        <v>830</v>
      </c>
      <c r="C190" s="133" t="s">
        <v>831</v>
      </c>
      <c r="D190" s="133">
        <v>68.531020060399996</v>
      </c>
      <c r="E190" s="133">
        <v>-149.54062336999999</v>
      </c>
      <c r="F190" s="133" t="s">
        <v>489</v>
      </c>
      <c r="G190" s="133" t="s">
        <v>500</v>
      </c>
      <c r="H190" s="133" t="s">
        <v>830</v>
      </c>
      <c r="I190" s="133" t="s">
        <v>489</v>
      </c>
      <c r="J190" s="133" t="s">
        <v>782</v>
      </c>
      <c r="K190" s="133" t="s">
        <v>489</v>
      </c>
      <c r="L190" s="133" t="s">
        <v>783</v>
      </c>
      <c r="M190" s="139" t="str">
        <f t="shared" si="2"/>
        <v>View on Google Map</v>
      </c>
      <c r="N190" s="133">
        <f t="shared" si="3"/>
        <v>90</v>
      </c>
    </row>
    <row r="191" spans="1:14" x14ac:dyDescent="0.2">
      <c r="A191" s="133">
        <v>397</v>
      </c>
      <c r="B191" s="133" t="s">
        <v>832</v>
      </c>
      <c r="C191" s="133" t="s">
        <v>833</v>
      </c>
      <c r="D191" s="133">
        <v>68.623892844400004</v>
      </c>
      <c r="E191" s="133">
        <v>-149.46955988600001</v>
      </c>
      <c r="F191" s="133" t="s">
        <v>489</v>
      </c>
      <c r="G191" s="133" t="s">
        <v>500</v>
      </c>
      <c r="H191" s="133" t="s">
        <v>832</v>
      </c>
      <c r="I191" s="133" t="s">
        <v>489</v>
      </c>
      <c r="J191" s="133" t="s">
        <v>782</v>
      </c>
      <c r="K191" s="133" t="s">
        <v>489</v>
      </c>
      <c r="L191" s="133" t="s">
        <v>783</v>
      </c>
      <c r="M191" s="139" t="str">
        <f t="shared" si="2"/>
        <v>View on Google Map</v>
      </c>
      <c r="N191" s="133">
        <f t="shared" si="3"/>
        <v>91</v>
      </c>
    </row>
    <row r="192" spans="1:14" x14ac:dyDescent="0.2">
      <c r="A192" s="133">
        <v>408</v>
      </c>
      <c r="B192" s="133" t="s">
        <v>834</v>
      </c>
      <c r="C192" s="133" t="s">
        <v>835</v>
      </c>
      <c r="D192" s="133">
        <v>68.606945965400001</v>
      </c>
      <c r="E192" s="133">
        <v>-149.195806014</v>
      </c>
      <c r="F192" s="133" t="s">
        <v>489</v>
      </c>
      <c r="G192" s="133" t="s">
        <v>500</v>
      </c>
      <c r="H192" s="133" t="s">
        <v>834</v>
      </c>
      <c r="I192" s="133" t="s">
        <v>489</v>
      </c>
      <c r="J192" s="133" t="s">
        <v>782</v>
      </c>
      <c r="K192" s="133" t="s">
        <v>489</v>
      </c>
      <c r="L192" s="133" t="s">
        <v>783</v>
      </c>
      <c r="M192" s="139" t="str">
        <f t="shared" si="2"/>
        <v>View on Google Map</v>
      </c>
      <c r="N192" s="133">
        <f t="shared" si="3"/>
        <v>92</v>
      </c>
    </row>
    <row r="193" spans="1:14" x14ac:dyDescent="0.2">
      <c r="A193" s="133">
        <v>409</v>
      </c>
      <c r="B193" s="133" t="s">
        <v>836</v>
      </c>
      <c r="C193" s="133" t="s">
        <v>837</v>
      </c>
      <c r="D193" s="133">
        <v>68.613688053999994</v>
      </c>
      <c r="E193" s="133">
        <v>-149.20287565500001</v>
      </c>
      <c r="F193" s="133" t="s">
        <v>489</v>
      </c>
      <c r="G193" s="133" t="s">
        <v>500</v>
      </c>
      <c r="H193" s="133" t="s">
        <v>836</v>
      </c>
      <c r="I193" s="133" t="s">
        <v>489</v>
      </c>
      <c r="J193" s="133" t="s">
        <v>782</v>
      </c>
      <c r="K193" s="133" t="s">
        <v>489</v>
      </c>
      <c r="L193" s="133" t="s">
        <v>783</v>
      </c>
      <c r="M193" s="139" t="str">
        <f t="shared" si="2"/>
        <v>View on Google Map</v>
      </c>
      <c r="N193" s="133">
        <f t="shared" si="3"/>
        <v>93</v>
      </c>
    </row>
    <row r="194" spans="1:14" x14ac:dyDescent="0.2">
      <c r="A194" s="133">
        <v>410</v>
      </c>
      <c r="B194" s="133" t="s">
        <v>838</v>
      </c>
      <c r="C194" s="133" t="s">
        <v>839</v>
      </c>
      <c r="D194" s="133">
        <v>68.617322837200007</v>
      </c>
      <c r="E194" s="133">
        <v>-149.21640989900001</v>
      </c>
      <c r="F194" s="133" t="s">
        <v>489</v>
      </c>
      <c r="G194" s="133" t="s">
        <v>500</v>
      </c>
      <c r="H194" s="133" t="s">
        <v>838</v>
      </c>
      <c r="I194" s="133" t="s">
        <v>489</v>
      </c>
      <c r="J194" s="133" t="s">
        <v>782</v>
      </c>
      <c r="K194" s="133" t="s">
        <v>489</v>
      </c>
      <c r="L194" s="133" t="s">
        <v>783</v>
      </c>
      <c r="M194" s="139" t="str">
        <f t="shared" si="2"/>
        <v>View on Google Map</v>
      </c>
      <c r="N194" s="133">
        <f t="shared" si="3"/>
        <v>94</v>
      </c>
    </row>
    <row r="195" spans="1:14" x14ac:dyDescent="0.2">
      <c r="A195" s="133">
        <v>411</v>
      </c>
      <c r="B195" s="133" t="s">
        <v>840</v>
      </c>
      <c r="C195" s="133" t="s">
        <v>841</v>
      </c>
      <c r="D195" s="133">
        <v>68.613551663999999</v>
      </c>
      <c r="E195" s="133">
        <v>-149.21844056</v>
      </c>
      <c r="F195" s="133" t="s">
        <v>489</v>
      </c>
      <c r="G195" s="133" t="s">
        <v>500</v>
      </c>
      <c r="H195" s="133" t="s">
        <v>840</v>
      </c>
      <c r="I195" s="133" t="s">
        <v>489</v>
      </c>
      <c r="J195" s="133" t="s">
        <v>782</v>
      </c>
      <c r="K195" s="133" t="s">
        <v>489</v>
      </c>
      <c r="L195" s="133" t="s">
        <v>783</v>
      </c>
      <c r="M195" s="139" t="str">
        <f t="shared" ref="M195:M258" si="4">HYPERLINK("http://maps.google.com/maps?q="&amp;D195&amp;","&amp;E195,"View on Google Map")</f>
        <v>View on Google Map</v>
      </c>
      <c r="N195" s="133">
        <f t="shared" si="3"/>
        <v>95</v>
      </c>
    </row>
    <row r="196" spans="1:14" x14ac:dyDescent="0.2">
      <c r="A196" s="133">
        <v>412</v>
      </c>
      <c r="B196" s="133" t="s">
        <v>842</v>
      </c>
      <c r="C196" s="133" t="s">
        <v>843</v>
      </c>
      <c r="D196" s="133">
        <v>68.609572079800003</v>
      </c>
      <c r="E196" s="133">
        <v>-149.20865205600001</v>
      </c>
      <c r="F196" s="133" t="s">
        <v>489</v>
      </c>
      <c r="G196" s="133" t="s">
        <v>500</v>
      </c>
      <c r="H196" s="133" t="s">
        <v>842</v>
      </c>
      <c r="I196" s="133" t="s">
        <v>489</v>
      </c>
      <c r="J196" s="133" t="s">
        <v>782</v>
      </c>
      <c r="K196" s="133" t="s">
        <v>489</v>
      </c>
      <c r="L196" s="133" t="s">
        <v>783</v>
      </c>
      <c r="M196" s="139" t="str">
        <f t="shared" si="4"/>
        <v>View on Google Map</v>
      </c>
      <c r="N196" s="133">
        <f t="shared" si="3"/>
        <v>96</v>
      </c>
    </row>
    <row r="197" spans="1:14" x14ac:dyDescent="0.2">
      <c r="A197" s="133">
        <v>413</v>
      </c>
      <c r="B197" s="133" t="s">
        <v>844</v>
      </c>
      <c r="C197" s="133" t="s">
        <v>845</v>
      </c>
      <c r="D197" s="133">
        <v>68.607097540200002</v>
      </c>
      <c r="E197" s="133">
        <v>-149.21482030499999</v>
      </c>
      <c r="F197" s="133" t="s">
        <v>489</v>
      </c>
      <c r="G197" s="133" t="s">
        <v>500</v>
      </c>
      <c r="H197" s="133" t="s">
        <v>844</v>
      </c>
      <c r="I197" s="133" t="s">
        <v>489</v>
      </c>
      <c r="J197" s="133" t="s">
        <v>782</v>
      </c>
      <c r="K197" s="133" t="s">
        <v>489</v>
      </c>
      <c r="L197" s="133" t="s">
        <v>783</v>
      </c>
      <c r="M197" s="139" t="str">
        <f t="shared" si="4"/>
        <v>View on Google Map</v>
      </c>
      <c r="N197" s="133">
        <f t="shared" si="3"/>
        <v>97</v>
      </c>
    </row>
    <row r="198" spans="1:14" x14ac:dyDescent="0.2">
      <c r="A198" s="133">
        <v>414</v>
      </c>
      <c r="B198" s="133" t="s">
        <v>846</v>
      </c>
      <c r="C198" s="133" t="s">
        <v>847</v>
      </c>
      <c r="D198" s="133">
        <v>68.605198711400007</v>
      </c>
      <c r="E198" s="133">
        <v>-149.27215046800001</v>
      </c>
      <c r="F198" s="133" t="s">
        <v>489</v>
      </c>
      <c r="G198" s="133" t="s">
        <v>500</v>
      </c>
      <c r="H198" s="133" t="s">
        <v>846</v>
      </c>
      <c r="I198" s="133" t="s">
        <v>489</v>
      </c>
      <c r="J198" s="133" t="s">
        <v>782</v>
      </c>
      <c r="K198" s="133" t="s">
        <v>489</v>
      </c>
      <c r="L198" s="133" t="s">
        <v>783</v>
      </c>
      <c r="M198" s="139" t="str">
        <f t="shared" si="4"/>
        <v>View on Google Map</v>
      </c>
      <c r="N198" s="133">
        <f t="shared" si="3"/>
        <v>98</v>
      </c>
    </row>
    <row r="199" spans="1:14" x14ac:dyDescent="0.2">
      <c r="A199" s="133">
        <v>415</v>
      </c>
      <c r="B199" s="133" t="s">
        <v>848</v>
      </c>
      <c r="C199" s="133" t="s">
        <v>849</v>
      </c>
      <c r="D199" s="133">
        <v>68.498375922400001</v>
      </c>
      <c r="E199" s="133">
        <v>-149.59842284699999</v>
      </c>
      <c r="F199" s="133">
        <v>947</v>
      </c>
      <c r="G199" s="133" t="s">
        <v>500</v>
      </c>
      <c r="H199" s="133" t="s">
        <v>850</v>
      </c>
      <c r="I199" s="133" t="s">
        <v>489</v>
      </c>
      <c r="J199" s="133" t="s">
        <v>782</v>
      </c>
      <c r="K199" s="133" t="s">
        <v>489</v>
      </c>
      <c r="L199" s="133" t="s">
        <v>783</v>
      </c>
      <c r="M199" s="139" t="str">
        <f t="shared" si="4"/>
        <v>View on Google Map</v>
      </c>
      <c r="N199" s="133">
        <f>VALUE(MID(B199,5,3))</f>
        <v>99</v>
      </c>
    </row>
    <row r="200" spans="1:14" x14ac:dyDescent="0.2">
      <c r="A200" s="133">
        <v>402</v>
      </c>
      <c r="B200" s="133" t="s">
        <v>851</v>
      </c>
      <c r="C200" s="133" t="s">
        <v>489</v>
      </c>
      <c r="D200" s="133" t="s">
        <v>489</v>
      </c>
      <c r="E200" s="133" t="s">
        <v>489</v>
      </c>
      <c r="F200" s="133" t="s">
        <v>489</v>
      </c>
      <c r="G200" s="133" t="s">
        <v>500</v>
      </c>
      <c r="H200" s="133" t="s">
        <v>489</v>
      </c>
      <c r="I200" s="133" t="s">
        <v>489</v>
      </c>
      <c r="J200" s="133" t="s">
        <v>515</v>
      </c>
      <c r="K200" s="133" t="s">
        <v>489</v>
      </c>
      <c r="L200" s="133" t="s">
        <v>669</v>
      </c>
      <c r="M200" s="139" t="str">
        <f t="shared" si="4"/>
        <v>View on Google Map</v>
      </c>
    </row>
    <row r="201" spans="1:14" x14ac:dyDescent="0.2">
      <c r="A201" s="133">
        <v>8</v>
      </c>
      <c r="B201" s="133" t="s">
        <v>852</v>
      </c>
      <c r="C201" s="133" t="s">
        <v>513</v>
      </c>
      <c r="D201" s="133">
        <v>69.150000000000006</v>
      </c>
      <c r="E201" s="133">
        <v>-148.83333333333334</v>
      </c>
      <c r="F201" s="133">
        <v>290</v>
      </c>
      <c r="G201" s="133" t="s">
        <v>514</v>
      </c>
      <c r="H201" s="133" t="s">
        <v>489</v>
      </c>
      <c r="I201" s="133" t="s">
        <v>489</v>
      </c>
      <c r="J201" s="133" t="s">
        <v>515</v>
      </c>
      <c r="K201" s="133" t="s">
        <v>489</v>
      </c>
      <c r="L201" s="133" t="s">
        <v>516</v>
      </c>
      <c r="M201" s="139" t="str">
        <f t="shared" si="4"/>
        <v>View on Google Map</v>
      </c>
    </row>
    <row r="202" spans="1:14" x14ac:dyDescent="0.2">
      <c r="A202" s="133">
        <v>219</v>
      </c>
      <c r="B202" s="133" t="s">
        <v>853</v>
      </c>
      <c r="C202" s="133" t="s">
        <v>489</v>
      </c>
      <c r="D202" s="133">
        <v>69.8</v>
      </c>
      <c r="E202" s="133">
        <v>-151.83333333333334</v>
      </c>
      <c r="F202" s="133">
        <v>60.365853658536601</v>
      </c>
      <c r="G202" s="133" t="s">
        <v>500</v>
      </c>
      <c r="H202" s="133" t="s">
        <v>854</v>
      </c>
      <c r="I202" s="133" t="s">
        <v>489</v>
      </c>
      <c r="J202" s="133" t="s">
        <v>515</v>
      </c>
      <c r="K202" s="133" t="s">
        <v>489</v>
      </c>
      <c r="L202" s="133" t="s">
        <v>855</v>
      </c>
      <c r="M202" s="139" t="str">
        <f t="shared" si="4"/>
        <v>View on Google Map</v>
      </c>
    </row>
    <row r="203" spans="1:14" x14ac:dyDescent="0.2">
      <c r="A203" s="133">
        <v>220</v>
      </c>
      <c r="B203" s="133" t="s">
        <v>856</v>
      </c>
      <c r="C203" s="133" t="s">
        <v>489</v>
      </c>
      <c r="D203" s="133">
        <v>69.75</v>
      </c>
      <c r="E203" s="133">
        <v>-151.5</v>
      </c>
      <c r="F203" s="133">
        <v>60.365853658536587</v>
      </c>
      <c r="G203" s="133" t="s">
        <v>500</v>
      </c>
      <c r="H203" s="133" t="s">
        <v>857</v>
      </c>
      <c r="I203" s="133" t="s">
        <v>489</v>
      </c>
      <c r="J203" s="133" t="s">
        <v>515</v>
      </c>
      <c r="K203" s="133" t="s">
        <v>489</v>
      </c>
      <c r="L203" s="133" t="s">
        <v>855</v>
      </c>
      <c r="M203" s="139" t="str">
        <f t="shared" si="4"/>
        <v>View on Google Map</v>
      </c>
    </row>
    <row r="204" spans="1:14" x14ac:dyDescent="0.2">
      <c r="A204" s="133">
        <v>221</v>
      </c>
      <c r="B204" s="133" t="s">
        <v>858</v>
      </c>
      <c r="C204" s="133" t="s">
        <v>489</v>
      </c>
      <c r="D204" s="133">
        <v>69.75</v>
      </c>
      <c r="E204" s="133">
        <v>-151.5</v>
      </c>
      <c r="F204" s="133">
        <v>30.487804878048781</v>
      </c>
      <c r="G204" s="133" t="s">
        <v>500</v>
      </c>
      <c r="H204" s="133" t="s">
        <v>859</v>
      </c>
      <c r="I204" s="133" t="s">
        <v>489</v>
      </c>
      <c r="J204" s="133" t="s">
        <v>515</v>
      </c>
      <c r="K204" s="133" t="s">
        <v>489</v>
      </c>
      <c r="L204" s="133" t="s">
        <v>855</v>
      </c>
      <c r="M204" s="139" t="str">
        <f t="shared" si="4"/>
        <v>View on Google Map</v>
      </c>
    </row>
    <row r="205" spans="1:14" x14ac:dyDescent="0.2">
      <c r="A205" s="133">
        <v>222</v>
      </c>
      <c r="B205" s="133" t="s">
        <v>860</v>
      </c>
      <c r="C205" s="133" t="s">
        <v>489</v>
      </c>
      <c r="D205" s="133">
        <v>69.7</v>
      </c>
      <c r="E205" s="133">
        <v>-151.16666666666666</v>
      </c>
      <c r="F205" s="133">
        <v>42.682926829268297</v>
      </c>
      <c r="G205" s="133" t="s">
        <v>500</v>
      </c>
      <c r="H205" s="133" t="s">
        <v>861</v>
      </c>
      <c r="I205" s="133" t="s">
        <v>489</v>
      </c>
      <c r="J205" s="133" t="s">
        <v>515</v>
      </c>
      <c r="K205" s="133" t="s">
        <v>489</v>
      </c>
      <c r="L205" s="133" t="s">
        <v>855</v>
      </c>
      <c r="M205" s="139" t="str">
        <f t="shared" si="4"/>
        <v>View on Google Map</v>
      </c>
    </row>
    <row r="206" spans="1:14" x14ac:dyDescent="0.2">
      <c r="A206" s="133">
        <v>223</v>
      </c>
      <c r="B206" s="133" t="s">
        <v>862</v>
      </c>
      <c r="C206" s="133" t="s">
        <v>489</v>
      </c>
      <c r="D206" s="133">
        <v>69.7</v>
      </c>
      <c r="E206" s="133">
        <v>-151.16666666666666</v>
      </c>
      <c r="F206" s="133">
        <v>42.682926829268297</v>
      </c>
      <c r="G206" s="133" t="s">
        <v>500</v>
      </c>
      <c r="H206" s="133" t="s">
        <v>863</v>
      </c>
      <c r="I206" s="133" t="s">
        <v>489</v>
      </c>
      <c r="J206" s="133" t="s">
        <v>515</v>
      </c>
      <c r="K206" s="133" t="s">
        <v>489</v>
      </c>
      <c r="L206" s="133" t="s">
        <v>855</v>
      </c>
      <c r="M206" s="139" t="str">
        <f t="shared" si="4"/>
        <v>View on Google Map</v>
      </c>
    </row>
    <row r="207" spans="1:14" x14ac:dyDescent="0.2">
      <c r="A207" s="133">
        <v>224</v>
      </c>
      <c r="B207" s="133" t="s">
        <v>864</v>
      </c>
      <c r="C207" s="133" t="s">
        <v>489</v>
      </c>
      <c r="D207" s="133">
        <v>69.516666666666666</v>
      </c>
      <c r="E207" s="133">
        <v>-150.86666666666667</v>
      </c>
      <c r="F207" s="133">
        <v>60.975609756097562</v>
      </c>
      <c r="G207" s="133" t="s">
        <v>500</v>
      </c>
      <c r="H207" s="133" t="s">
        <v>865</v>
      </c>
      <c r="I207" s="133" t="s">
        <v>489</v>
      </c>
      <c r="J207" s="133" t="s">
        <v>515</v>
      </c>
      <c r="K207" s="133" t="s">
        <v>489</v>
      </c>
      <c r="L207" s="133" t="s">
        <v>855</v>
      </c>
      <c r="M207" s="139" t="str">
        <f t="shared" si="4"/>
        <v>View on Google Map</v>
      </c>
    </row>
    <row r="208" spans="1:14" x14ac:dyDescent="0.2">
      <c r="A208" s="133">
        <v>225</v>
      </c>
      <c r="B208" s="133" t="s">
        <v>866</v>
      </c>
      <c r="C208" s="133" t="s">
        <v>489</v>
      </c>
      <c r="D208" s="133">
        <v>69.516666666666666</v>
      </c>
      <c r="E208" s="133">
        <v>-150.86666666666667</v>
      </c>
      <c r="F208" s="133">
        <v>60.975609756097562</v>
      </c>
      <c r="G208" s="133" t="s">
        <v>500</v>
      </c>
      <c r="H208" s="133" t="s">
        <v>867</v>
      </c>
      <c r="I208" s="133" t="s">
        <v>489</v>
      </c>
      <c r="J208" s="133" t="s">
        <v>515</v>
      </c>
      <c r="K208" s="133" t="s">
        <v>489</v>
      </c>
      <c r="L208" s="133" t="s">
        <v>855</v>
      </c>
      <c r="M208" s="139" t="str">
        <f t="shared" si="4"/>
        <v>View on Google Map</v>
      </c>
    </row>
    <row r="209" spans="1:13" x14ac:dyDescent="0.2">
      <c r="A209" s="133">
        <v>226</v>
      </c>
      <c r="B209" s="133" t="s">
        <v>868</v>
      </c>
      <c r="C209" s="133" t="s">
        <v>489</v>
      </c>
      <c r="D209" s="133">
        <v>69.25</v>
      </c>
      <c r="E209" s="133">
        <v>-150.43333333333334</v>
      </c>
      <c r="F209" s="133">
        <v>182.92682926829269</v>
      </c>
      <c r="G209" s="133" t="s">
        <v>500</v>
      </c>
      <c r="H209" s="133" t="s">
        <v>869</v>
      </c>
      <c r="I209" s="133" t="s">
        <v>489</v>
      </c>
      <c r="J209" s="133" t="s">
        <v>515</v>
      </c>
      <c r="K209" s="133" t="s">
        <v>489</v>
      </c>
      <c r="L209" s="133" t="s">
        <v>855</v>
      </c>
      <c r="M209" s="139" t="str">
        <f t="shared" si="4"/>
        <v>View on Google Map</v>
      </c>
    </row>
    <row r="210" spans="1:13" x14ac:dyDescent="0.2">
      <c r="A210" s="133">
        <v>227</v>
      </c>
      <c r="B210" s="133" t="s">
        <v>870</v>
      </c>
      <c r="C210" s="133" t="s">
        <v>489</v>
      </c>
      <c r="D210" s="133">
        <v>69.25</v>
      </c>
      <c r="E210" s="133">
        <v>-150.43333333333334</v>
      </c>
      <c r="F210" s="133">
        <v>182.92682926829269</v>
      </c>
      <c r="G210" s="133" t="s">
        <v>500</v>
      </c>
      <c r="H210" s="133" t="s">
        <v>871</v>
      </c>
      <c r="I210" s="133" t="s">
        <v>489</v>
      </c>
      <c r="J210" s="133" t="s">
        <v>515</v>
      </c>
      <c r="K210" s="133" t="s">
        <v>489</v>
      </c>
      <c r="L210" s="133" t="s">
        <v>855</v>
      </c>
      <c r="M210" s="139" t="str">
        <f t="shared" si="4"/>
        <v>View on Google Map</v>
      </c>
    </row>
    <row r="211" spans="1:13" x14ac:dyDescent="0.2">
      <c r="A211" s="133">
        <v>228</v>
      </c>
      <c r="B211" s="133" t="s">
        <v>872</v>
      </c>
      <c r="C211" s="133" t="s">
        <v>489</v>
      </c>
      <c r="D211" s="133">
        <v>69.25</v>
      </c>
      <c r="E211" s="133">
        <v>-151.16666666666666</v>
      </c>
      <c r="F211" s="133">
        <v>182.92682926829269</v>
      </c>
      <c r="G211" s="133" t="s">
        <v>500</v>
      </c>
      <c r="H211" s="133" t="s">
        <v>873</v>
      </c>
      <c r="I211" s="133" t="s">
        <v>489</v>
      </c>
      <c r="J211" s="133" t="s">
        <v>515</v>
      </c>
      <c r="K211" s="133" t="s">
        <v>489</v>
      </c>
      <c r="L211" s="133" t="s">
        <v>855</v>
      </c>
      <c r="M211" s="139" t="str">
        <f t="shared" si="4"/>
        <v>View on Google Map</v>
      </c>
    </row>
    <row r="212" spans="1:13" x14ac:dyDescent="0.2">
      <c r="A212" s="133">
        <v>229</v>
      </c>
      <c r="B212" s="133" t="s">
        <v>874</v>
      </c>
      <c r="C212" s="133" t="s">
        <v>489</v>
      </c>
      <c r="D212" s="133">
        <v>69.233333333333334</v>
      </c>
      <c r="E212" s="133">
        <v>-151.63333333333333</v>
      </c>
      <c r="F212" s="133">
        <v>178.35365853658539</v>
      </c>
      <c r="G212" s="133" t="s">
        <v>500</v>
      </c>
      <c r="H212" s="133" t="s">
        <v>875</v>
      </c>
      <c r="I212" s="133" t="s">
        <v>489</v>
      </c>
      <c r="J212" s="133" t="s">
        <v>515</v>
      </c>
      <c r="K212" s="133" t="s">
        <v>489</v>
      </c>
      <c r="L212" s="133" t="s">
        <v>855</v>
      </c>
      <c r="M212" s="139" t="str">
        <f t="shared" si="4"/>
        <v>View on Google Map</v>
      </c>
    </row>
    <row r="213" spans="1:13" x14ac:dyDescent="0.2">
      <c r="A213" s="133">
        <v>230</v>
      </c>
      <c r="B213" s="133" t="s">
        <v>876</v>
      </c>
      <c r="C213" s="133" t="s">
        <v>489</v>
      </c>
      <c r="D213" s="133">
        <v>68.900000000000006</v>
      </c>
      <c r="E213" s="133">
        <v>-151.28333333333333</v>
      </c>
      <c r="F213" s="133">
        <v>335.36585365853659</v>
      </c>
      <c r="G213" s="133" t="s">
        <v>500</v>
      </c>
      <c r="H213" s="133" t="s">
        <v>877</v>
      </c>
      <c r="I213" s="133" t="s">
        <v>489</v>
      </c>
      <c r="J213" s="133" t="s">
        <v>515</v>
      </c>
      <c r="K213" s="133" t="s">
        <v>489</v>
      </c>
      <c r="L213" s="133" t="s">
        <v>855</v>
      </c>
      <c r="M213" s="139" t="str">
        <f t="shared" si="4"/>
        <v>View on Google Map</v>
      </c>
    </row>
    <row r="214" spans="1:13" x14ac:dyDescent="0.2">
      <c r="A214" s="133">
        <v>231</v>
      </c>
      <c r="B214" s="133" t="s">
        <v>878</v>
      </c>
      <c r="C214" s="133" t="s">
        <v>489</v>
      </c>
      <c r="D214" s="133">
        <v>68.8</v>
      </c>
      <c r="E214" s="133">
        <v>-150.80000000000001</v>
      </c>
      <c r="F214" s="133">
        <v>411.58536585365857</v>
      </c>
      <c r="G214" s="133" t="s">
        <v>500</v>
      </c>
      <c r="H214" s="133" t="s">
        <v>879</v>
      </c>
      <c r="I214" s="133" t="s">
        <v>489</v>
      </c>
      <c r="J214" s="133" t="s">
        <v>515</v>
      </c>
      <c r="K214" s="133" t="s">
        <v>489</v>
      </c>
      <c r="L214" s="133" t="s">
        <v>855</v>
      </c>
      <c r="M214" s="139" t="str">
        <f t="shared" si="4"/>
        <v>View on Google Map</v>
      </c>
    </row>
    <row r="215" spans="1:13" x14ac:dyDescent="0.2">
      <c r="A215" s="133">
        <v>237</v>
      </c>
      <c r="B215" s="133" t="s">
        <v>880</v>
      </c>
      <c r="C215" s="133" t="s">
        <v>489</v>
      </c>
      <c r="D215" s="133">
        <v>68.783333333333331</v>
      </c>
      <c r="E215" s="133" t="s">
        <v>489</v>
      </c>
      <c r="F215" s="133">
        <v>681.40243902439033</v>
      </c>
      <c r="G215" s="133" t="s">
        <v>500</v>
      </c>
      <c r="H215" s="133" t="s">
        <v>881</v>
      </c>
      <c r="I215" s="133" t="s">
        <v>882</v>
      </c>
      <c r="J215" s="133" t="s">
        <v>515</v>
      </c>
      <c r="K215" s="133" t="s">
        <v>489</v>
      </c>
      <c r="L215" s="133" t="s">
        <v>855</v>
      </c>
      <c r="M215" s="139" t="str">
        <f t="shared" si="4"/>
        <v>View on Google Map</v>
      </c>
    </row>
    <row r="216" spans="1:13" x14ac:dyDescent="0.2">
      <c r="A216" s="133">
        <v>238</v>
      </c>
      <c r="B216" s="133" t="s">
        <v>883</v>
      </c>
      <c r="C216" s="133" t="s">
        <v>489</v>
      </c>
      <c r="D216" s="133">
        <v>68.783333333333331</v>
      </c>
      <c r="E216" s="133" t="s">
        <v>489</v>
      </c>
      <c r="F216" s="133">
        <v>681.40243902439033</v>
      </c>
      <c r="G216" s="133" t="s">
        <v>500</v>
      </c>
      <c r="H216" s="133" t="s">
        <v>884</v>
      </c>
      <c r="I216" s="133" t="s">
        <v>882</v>
      </c>
      <c r="J216" s="133" t="s">
        <v>515</v>
      </c>
      <c r="K216" s="133" t="s">
        <v>489</v>
      </c>
      <c r="L216" s="133" t="s">
        <v>855</v>
      </c>
      <c r="M216" s="139" t="str">
        <f t="shared" si="4"/>
        <v>View on Google Map</v>
      </c>
    </row>
    <row r="217" spans="1:13" x14ac:dyDescent="0.2">
      <c r="A217" s="133">
        <v>10</v>
      </c>
      <c r="B217" s="133" t="s">
        <v>885</v>
      </c>
      <c r="C217" s="133" t="s">
        <v>886</v>
      </c>
      <c r="D217" s="133">
        <v>68.644702925000004</v>
      </c>
      <c r="E217" s="133">
        <v>-149.41200613611099</v>
      </c>
      <c r="F217" s="133">
        <v>751.33799999999997</v>
      </c>
      <c r="G217" s="133" t="s">
        <v>514</v>
      </c>
      <c r="H217" s="133" t="s">
        <v>489</v>
      </c>
      <c r="I217" s="133" t="s">
        <v>489</v>
      </c>
      <c r="J217" s="133" t="s">
        <v>515</v>
      </c>
      <c r="K217" s="133" t="s">
        <v>489</v>
      </c>
      <c r="L217" s="133" t="s">
        <v>489</v>
      </c>
      <c r="M217" s="139" t="str">
        <f t="shared" si="4"/>
        <v>View on Google Map</v>
      </c>
    </row>
    <row r="218" spans="1:13" x14ac:dyDescent="0.2">
      <c r="A218" s="133">
        <v>486</v>
      </c>
      <c r="B218" s="133" t="s">
        <v>887</v>
      </c>
      <c r="C218" s="133" t="s">
        <v>489</v>
      </c>
      <c r="D218" s="133">
        <v>68.958333332999999</v>
      </c>
      <c r="E218" s="133">
        <v>-150.302016667</v>
      </c>
      <c r="F218" s="133">
        <v>382</v>
      </c>
      <c r="G218" s="133" t="s">
        <v>500</v>
      </c>
      <c r="H218" s="133" t="s">
        <v>489</v>
      </c>
      <c r="I218" s="133" t="s">
        <v>489</v>
      </c>
      <c r="J218" s="133" t="s">
        <v>550</v>
      </c>
      <c r="K218" s="133" t="s">
        <v>489</v>
      </c>
      <c r="L218" s="133" t="s">
        <v>497</v>
      </c>
      <c r="M218" s="139" t="str">
        <f t="shared" si="4"/>
        <v>View on Google Map</v>
      </c>
    </row>
    <row r="219" spans="1:13" x14ac:dyDescent="0.2">
      <c r="A219" s="133">
        <v>388</v>
      </c>
      <c r="B219" s="133" t="s">
        <v>888</v>
      </c>
      <c r="C219" s="133" t="s">
        <v>489</v>
      </c>
      <c r="D219" s="133">
        <v>68.556340000000006</v>
      </c>
      <c r="E219" s="133">
        <v>-149.56628000000001</v>
      </c>
      <c r="F219" s="133">
        <v>801</v>
      </c>
      <c r="G219" s="133" t="s">
        <v>500</v>
      </c>
      <c r="H219" s="133" t="s">
        <v>489</v>
      </c>
      <c r="I219" s="133" t="s">
        <v>489</v>
      </c>
      <c r="J219" s="133" t="s">
        <v>515</v>
      </c>
      <c r="K219" s="133" t="s">
        <v>489</v>
      </c>
      <c r="L219" s="133" t="s">
        <v>889</v>
      </c>
      <c r="M219" s="139" t="str">
        <f t="shared" si="4"/>
        <v>View on Google Map</v>
      </c>
    </row>
    <row r="220" spans="1:13" x14ac:dyDescent="0.2">
      <c r="A220" s="133">
        <v>450</v>
      </c>
      <c r="B220" s="133" t="s">
        <v>890</v>
      </c>
      <c r="C220" s="133" t="s">
        <v>489</v>
      </c>
      <c r="D220" s="133">
        <v>68.553610000000006</v>
      </c>
      <c r="E220" s="133">
        <v>-149.53397000000001</v>
      </c>
      <c r="F220" s="133">
        <v>820</v>
      </c>
      <c r="G220" s="133" t="s">
        <v>500</v>
      </c>
      <c r="H220" s="133" t="s">
        <v>891</v>
      </c>
      <c r="I220" s="133" t="s">
        <v>489</v>
      </c>
      <c r="J220" s="133" t="s">
        <v>501</v>
      </c>
      <c r="K220" s="133" t="s">
        <v>489</v>
      </c>
      <c r="L220" s="133" t="s">
        <v>489</v>
      </c>
      <c r="M220" s="139" t="str">
        <f t="shared" si="4"/>
        <v>View on Google Map</v>
      </c>
    </row>
    <row r="221" spans="1:13" x14ac:dyDescent="0.2">
      <c r="A221" s="133">
        <v>451</v>
      </c>
      <c r="B221" s="133" t="s">
        <v>892</v>
      </c>
      <c r="C221" s="133" t="s">
        <v>489</v>
      </c>
      <c r="D221" s="133">
        <v>68.545929999999998</v>
      </c>
      <c r="E221" s="133">
        <v>-149.54213999999999</v>
      </c>
      <c r="F221" s="133">
        <v>852</v>
      </c>
      <c r="G221" s="133" t="s">
        <v>500</v>
      </c>
      <c r="H221" s="133" t="s">
        <v>893</v>
      </c>
      <c r="I221" s="133" t="s">
        <v>489</v>
      </c>
      <c r="J221" s="133" t="s">
        <v>501</v>
      </c>
      <c r="K221" s="133" t="s">
        <v>489</v>
      </c>
      <c r="L221" s="133" t="s">
        <v>489</v>
      </c>
      <c r="M221" s="139" t="str">
        <f t="shared" si="4"/>
        <v>View on Google Map</v>
      </c>
    </row>
    <row r="222" spans="1:13" x14ac:dyDescent="0.2">
      <c r="A222" s="133">
        <v>531</v>
      </c>
      <c r="B222" s="133" t="s">
        <v>894</v>
      </c>
      <c r="C222" s="133" t="s">
        <v>895</v>
      </c>
      <c r="D222" s="133">
        <v>68.556769000000003</v>
      </c>
      <c r="E222" s="133">
        <v>-149.555385</v>
      </c>
      <c r="F222" s="133">
        <v>805</v>
      </c>
      <c r="G222" s="133" t="s">
        <v>514</v>
      </c>
      <c r="H222" s="133" t="s">
        <v>489</v>
      </c>
      <c r="I222" s="133" t="s">
        <v>489</v>
      </c>
      <c r="J222" s="133" t="s">
        <v>501</v>
      </c>
      <c r="K222" s="133" t="s">
        <v>489</v>
      </c>
      <c r="L222" s="133" t="s">
        <v>896</v>
      </c>
      <c r="M222" s="139" t="str">
        <f t="shared" si="4"/>
        <v>View on Google Map</v>
      </c>
    </row>
    <row r="223" spans="1:13" x14ac:dyDescent="0.2">
      <c r="A223" s="133">
        <v>532</v>
      </c>
      <c r="B223" s="133" t="s">
        <v>897</v>
      </c>
      <c r="C223" s="133" t="s">
        <v>895</v>
      </c>
      <c r="D223" s="133">
        <v>68.556635999999997</v>
      </c>
      <c r="E223" s="133">
        <v>-149.574457</v>
      </c>
      <c r="F223" s="133">
        <v>803</v>
      </c>
      <c r="G223" s="133" t="s">
        <v>514</v>
      </c>
      <c r="H223" s="133" t="s">
        <v>489</v>
      </c>
      <c r="I223" s="133" t="s">
        <v>489</v>
      </c>
      <c r="J223" s="133" t="s">
        <v>501</v>
      </c>
      <c r="K223" s="133" t="s">
        <v>489</v>
      </c>
      <c r="L223" s="133" t="s">
        <v>896</v>
      </c>
      <c r="M223" s="139" t="str">
        <f t="shared" si="4"/>
        <v>View on Google Map</v>
      </c>
    </row>
    <row r="224" spans="1:13" x14ac:dyDescent="0.2">
      <c r="A224" s="133">
        <v>120</v>
      </c>
      <c r="B224" s="133" t="s">
        <v>898</v>
      </c>
      <c r="C224" s="133" t="s">
        <v>489</v>
      </c>
      <c r="D224" s="133">
        <v>68.610781000000003</v>
      </c>
      <c r="E224" s="133">
        <v>-149.600742</v>
      </c>
      <c r="F224" s="133">
        <v>736</v>
      </c>
      <c r="G224" s="133" t="s">
        <v>500</v>
      </c>
      <c r="H224" s="133" t="s">
        <v>899</v>
      </c>
      <c r="I224" s="133" t="s">
        <v>489</v>
      </c>
      <c r="J224" s="133" t="s">
        <v>515</v>
      </c>
      <c r="K224" s="133">
        <v>313</v>
      </c>
      <c r="L224" s="133" t="s">
        <v>889</v>
      </c>
      <c r="M224" s="139" t="str">
        <f t="shared" si="4"/>
        <v>View on Google Map</v>
      </c>
    </row>
    <row r="225" spans="1:13" x14ac:dyDescent="0.2">
      <c r="A225" s="133">
        <v>191</v>
      </c>
      <c r="B225" s="133" t="s">
        <v>900</v>
      </c>
      <c r="C225" s="133" t="s">
        <v>901</v>
      </c>
      <c r="D225" s="133">
        <v>68.610349999999997</v>
      </c>
      <c r="E225" s="133">
        <v>-149.59976599999999</v>
      </c>
      <c r="F225" s="133">
        <v>736</v>
      </c>
      <c r="G225" s="133" t="s">
        <v>514</v>
      </c>
      <c r="H225" s="133" t="s">
        <v>902</v>
      </c>
      <c r="I225" s="133" t="s">
        <v>903</v>
      </c>
      <c r="J225" s="133" t="s">
        <v>515</v>
      </c>
      <c r="K225" s="133" t="s">
        <v>489</v>
      </c>
      <c r="L225" s="133" t="s">
        <v>904</v>
      </c>
      <c r="M225" s="139" t="str">
        <f t="shared" si="4"/>
        <v>View on Google Map</v>
      </c>
    </row>
    <row r="226" spans="1:13" x14ac:dyDescent="0.2">
      <c r="A226" s="133">
        <v>243</v>
      </c>
      <c r="B226" s="133" t="s">
        <v>905</v>
      </c>
      <c r="C226" s="133" t="s">
        <v>489</v>
      </c>
      <c r="D226" s="133">
        <v>68.611682999999999</v>
      </c>
      <c r="E226" s="133">
        <v>-149.599254</v>
      </c>
      <c r="F226" s="133">
        <v>736</v>
      </c>
      <c r="G226" s="133" t="s">
        <v>514</v>
      </c>
      <c r="H226" s="133" t="s">
        <v>906</v>
      </c>
      <c r="I226" s="133" t="s">
        <v>907</v>
      </c>
      <c r="J226" s="133" t="s">
        <v>515</v>
      </c>
      <c r="K226" s="133" t="s">
        <v>489</v>
      </c>
      <c r="L226" s="133" t="s">
        <v>904</v>
      </c>
      <c r="M226" s="139" t="str">
        <f t="shared" si="4"/>
        <v>View on Google Map</v>
      </c>
    </row>
    <row r="227" spans="1:13" x14ac:dyDescent="0.2">
      <c r="A227" s="133">
        <v>111</v>
      </c>
      <c r="B227" s="133" t="s">
        <v>908</v>
      </c>
      <c r="C227" s="133" t="s">
        <v>489</v>
      </c>
      <c r="D227" s="133">
        <v>68.568713078900004</v>
      </c>
      <c r="E227" s="133">
        <v>-149.58807625</v>
      </c>
      <c r="F227" s="133">
        <v>785</v>
      </c>
      <c r="G227" s="133" t="s">
        <v>500</v>
      </c>
      <c r="H227" s="133" t="s">
        <v>909</v>
      </c>
      <c r="I227" s="133" t="s">
        <v>910</v>
      </c>
      <c r="J227" s="133" t="s">
        <v>515</v>
      </c>
      <c r="K227" s="133" t="s">
        <v>489</v>
      </c>
      <c r="L227" s="133" t="s">
        <v>889</v>
      </c>
      <c r="M227" s="139" t="str">
        <f t="shared" si="4"/>
        <v>View on Google Map</v>
      </c>
    </row>
    <row r="228" spans="1:13" x14ac:dyDescent="0.2">
      <c r="A228" s="133">
        <v>175</v>
      </c>
      <c r="B228" s="133" t="s">
        <v>911</v>
      </c>
      <c r="C228" s="133" t="s">
        <v>489</v>
      </c>
      <c r="D228" s="133">
        <v>68.573999999999998</v>
      </c>
      <c r="E228" s="133">
        <v>-149.58356599999999</v>
      </c>
      <c r="F228" s="133">
        <v>774</v>
      </c>
      <c r="G228" s="133" t="s">
        <v>514</v>
      </c>
      <c r="H228" s="133" t="s">
        <v>912</v>
      </c>
      <c r="I228" s="133" t="s">
        <v>913</v>
      </c>
      <c r="J228" s="133" t="s">
        <v>515</v>
      </c>
      <c r="K228" s="133" t="s">
        <v>489</v>
      </c>
      <c r="L228" s="133" t="s">
        <v>904</v>
      </c>
      <c r="M228" s="139" t="str">
        <f t="shared" si="4"/>
        <v>View on Google Map</v>
      </c>
    </row>
    <row r="229" spans="1:13" x14ac:dyDescent="0.2">
      <c r="A229" s="133">
        <v>174</v>
      </c>
      <c r="B229" s="133" t="s">
        <v>914</v>
      </c>
      <c r="C229" s="133" t="s">
        <v>489</v>
      </c>
      <c r="D229" s="133">
        <v>68.572295999999994</v>
      </c>
      <c r="E229" s="133">
        <v>-149.58101400000001</v>
      </c>
      <c r="F229" s="133">
        <v>785</v>
      </c>
      <c r="G229" s="133" t="s">
        <v>514</v>
      </c>
      <c r="H229" s="133" t="s">
        <v>915</v>
      </c>
      <c r="I229" s="133" t="s">
        <v>916</v>
      </c>
      <c r="J229" s="133" t="s">
        <v>515</v>
      </c>
      <c r="K229" s="133" t="s">
        <v>489</v>
      </c>
      <c r="L229" s="133" t="s">
        <v>904</v>
      </c>
      <c r="M229" s="139" t="str">
        <f t="shared" si="4"/>
        <v>View on Google Map</v>
      </c>
    </row>
    <row r="230" spans="1:13" x14ac:dyDescent="0.2">
      <c r="A230" s="133">
        <v>112</v>
      </c>
      <c r="B230" s="133" t="s">
        <v>917</v>
      </c>
      <c r="C230" s="133" t="s">
        <v>489</v>
      </c>
      <c r="D230" s="133">
        <v>68.571319563299994</v>
      </c>
      <c r="E230" s="133">
        <v>-149.56588161799999</v>
      </c>
      <c r="F230" s="133">
        <v>785</v>
      </c>
      <c r="G230" s="133" t="s">
        <v>500</v>
      </c>
      <c r="H230" s="133" t="s">
        <v>918</v>
      </c>
      <c r="I230" s="133" t="s">
        <v>919</v>
      </c>
      <c r="J230" s="133" t="s">
        <v>515</v>
      </c>
      <c r="K230" s="133" t="s">
        <v>489</v>
      </c>
      <c r="L230" s="133" t="s">
        <v>889</v>
      </c>
      <c r="M230" s="139" t="str">
        <f t="shared" si="4"/>
        <v>View on Google Map</v>
      </c>
    </row>
    <row r="231" spans="1:13" x14ac:dyDescent="0.2">
      <c r="A231" s="133">
        <v>176</v>
      </c>
      <c r="B231" s="133" t="s">
        <v>920</v>
      </c>
      <c r="C231" s="133" t="s">
        <v>489</v>
      </c>
      <c r="D231" s="133">
        <v>68.574783330000002</v>
      </c>
      <c r="E231" s="133">
        <v>-149.58205000000001</v>
      </c>
      <c r="F231" s="133">
        <v>774</v>
      </c>
      <c r="G231" s="133" t="s">
        <v>514</v>
      </c>
      <c r="H231" s="133" t="s">
        <v>921</v>
      </c>
      <c r="I231" s="133" t="s">
        <v>922</v>
      </c>
      <c r="J231" s="133" t="s">
        <v>515</v>
      </c>
      <c r="K231" s="133" t="s">
        <v>489</v>
      </c>
      <c r="L231" s="133" t="s">
        <v>904</v>
      </c>
      <c r="M231" s="139" t="str">
        <f t="shared" si="4"/>
        <v>View on Google Map</v>
      </c>
    </row>
    <row r="232" spans="1:13" x14ac:dyDescent="0.2">
      <c r="A232" s="133">
        <v>173</v>
      </c>
      <c r="B232" s="133" t="s">
        <v>923</v>
      </c>
      <c r="C232" s="133" t="s">
        <v>489</v>
      </c>
      <c r="D232" s="133">
        <v>68.572546000000003</v>
      </c>
      <c r="E232" s="133">
        <v>-149.570268</v>
      </c>
      <c r="F232" s="133">
        <v>785</v>
      </c>
      <c r="G232" s="133" t="s">
        <v>514</v>
      </c>
      <c r="H232" s="133" t="s">
        <v>924</v>
      </c>
      <c r="I232" s="133" t="s">
        <v>925</v>
      </c>
      <c r="J232" s="133" t="s">
        <v>515</v>
      </c>
      <c r="K232" s="133" t="s">
        <v>489</v>
      </c>
      <c r="L232" s="133" t="s">
        <v>904</v>
      </c>
      <c r="M232" s="139" t="str">
        <f t="shared" si="4"/>
        <v>View on Google Map</v>
      </c>
    </row>
    <row r="233" spans="1:13" x14ac:dyDescent="0.2">
      <c r="A233" s="133">
        <v>113</v>
      </c>
      <c r="B233" s="133" t="s">
        <v>926</v>
      </c>
      <c r="C233" s="133" t="s">
        <v>489</v>
      </c>
      <c r="D233" s="133">
        <v>68.575536630100004</v>
      </c>
      <c r="E233" s="133">
        <v>-149.583644456</v>
      </c>
      <c r="F233" s="133">
        <v>774</v>
      </c>
      <c r="G233" s="133" t="s">
        <v>500</v>
      </c>
      <c r="H233" s="133" t="s">
        <v>927</v>
      </c>
      <c r="I233" s="133" t="s">
        <v>928</v>
      </c>
      <c r="J233" s="133" t="s">
        <v>515</v>
      </c>
      <c r="K233" s="133" t="s">
        <v>489</v>
      </c>
      <c r="L233" s="133" t="s">
        <v>889</v>
      </c>
      <c r="M233" s="139" t="str">
        <f t="shared" si="4"/>
        <v>View on Google Map</v>
      </c>
    </row>
    <row r="234" spans="1:13" x14ac:dyDescent="0.2">
      <c r="A234" s="133">
        <v>177</v>
      </c>
      <c r="B234" s="133" t="s">
        <v>929</v>
      </c>
      <c r="C234" s="133" t="s">
        <v>489</v>
      </c>
      <c r="D234" s="133">
        <v>68.577539999999999</v>
      </c>
      <c r="E234" s="133">
        <v>-149.58200299999999</v>
      </c>
      <c r="F234" s="133">
        <v>774</v>
      </c>
      <c r="G234" s="133" t="s">
        <v>514</v>
      </c>
      <c r="H234" s="133" t="s">
        <v>930</v>
      </c>
      <c r="I234" s="133" t="s">
        <v>931</v>
      </c>
      <c r="J234" s="133" t="s">
        <v>515</v>
      </c>
      <c r="K234" s="133" t="s">
        <v>489</v>
      </c>
      <c r="L234" s="133" t="s">
        <v>904</v>
      </c>
      <c r="M234" s="139" t="str">
        <f t="shared" si="4"/>
        <v>View on Google Map</v>
      </c>
    </row>
    <row r="235" spans="1:13" x14ac:dyDescent="0.2">
      <c r="A235" s="133">
        <v>114</v>
      </c>
      <c r="B235" s="133" t="s">
        <v>932</v>
      </c>
      <c r="C235" s="133" t="s">
        <v>489</v>
      </c>
      <c r="D235" s="133">
        <v>68.579567150000003</v>
      </c>
      <c r="E235" s="133">
        <v>-149.58405938000001</v>
      </c>
      <c r="F235" s="133">
        <v>770</v>
      </c>
      <c r="G235" s="133" t="s">
        <v>500</v>
      </c>
      <c r="H235" s="133" t="s">
        <v>933</v>
      </c>
      <c r="I235" s="133" t="s">
        <v>934</v>
      </c>
      <c r="J235" s="133" t="s">
        <v>515</v>
      </c>
      <c r="K235" s="133" t="s">
        <v>489</v>
      </c>
      <c r="L235" s="133" t="s">
        <v>889</v>
      </c>
      <c r="M235" s="139" t="str">
        <f t="shared" si="4"/>
        <v>View on Google Map</v>
      </c>
    </row>
    <row r="236" spans="1:13" x14ac:dyDescent="0.2">
      <c r="A236" s="133">
        <v>179</v>
      </c>
      <c r="B236" s="133" t="s">
        <v>935</v>
      </c>
      <c r="C236" s="133" t="s">
        <v>489</v>
      </c>
      <c r="D236" s="133">
        <v>68.584233330000004</v>
      </c>
      <c r="E236" s="133">
        <v>-149.58359999999999</v>
      </c>
      <c r="F236" s="133">
        <v>770</v>
      </c>
      <c r="G236" s="133" t="s">
        <v>514</v>
      </c>
      <c r="H236" s="133" t="s">
        <v>936</v>
      </c>
      <c r="I236" s="133" t="s">
        <v>937</v>
      </c>
      <c r="J236" s="133" t="s">
        <v>515</v>
      </c>
      <c r="K236" s="133" t="s">
        <v>489</v>
      </c>
      <c r="L236" s="133" t="s">
        <v>904</v>
      </c>
      <c r="M236" s="139" t="str">
        <f t="shared" si="4"/>
        <v>View on Google Map</v>
      </c>
    </row>
    <row r="237" spans="1:13" x14ac:dyDescent="0.2">
      <c r="A237" s="133">
        <v>178</v>
      </c>
      <c r="B237" s="133" t="s">
        <v>938</v>
      </c>
      <c r="C237" s="133" t="s">
        <v>489</v>
      </c>
      <c r="D237" s="133">
        <v>68.581429999999997</v>
      </c>
      <c r="E237" s="133">
        <v>-149.58609999999999</v>
      </c>
      <c r="F237" s="133">
        <v>770</v>
      </c>
      <c r="G237" s="133" t="s">
        <v>514</v>
      </c>
      <c r="H237" s="133" t="s">
        <v>939</v>
      </c>
      <c r="I237" s="133" t="s">
        <v>940</v>
      </c>
      <c r="J237" s="133" t="s">
        <v>515</v>
      </c>
      <c r="K237" s="133" t="s">
        <v>489</v>
      </c>
      <c r="L237" s="133" t="s">
        <v>904</v>
      </c>
      <c r="M237" s="139" t="str">
        <f t="shared" si="4"/>
        <v>View on Google Map</v>
      </c>
    </row>
    <row r="238" spans="1:13" x14ac:dyDescent="0.2">
      <c r="A238" s="133">
        <v>115</v>
      </c>
      <c r="B238" s="133" t="s">
        <v>941</v>
      </c>
      <c r="C238" s="133" t="s">
        <v>489</v>
      </c>
      <c r="D238" s="133">
        <v>68.587387439099999</v>
      </c>
      <c r="E238" s="133">
        <v>-149.589625877</v>
      </c>
      <c r="F238" s="133">
        <v>767</v>
      </c>
      <c r="G238" s="133" t="s">
        <v>500</v>
      </c>
      <c r="H238" s="133" t="s">
        <v>942</v>
      </c>
      <c r="I238" s="133" t="s">
        <v>943</v>
      </c>
      <c r="J238" s="133" t="s">
        <v>515</v>
      </c>
      <c r="K238" s="133" t="s">
        <v>489</v>
      </c>
      <c r="L238" s="133" t="s">
        <v>889</v>
      </c>
      <c r="M238" s="139" t="str">
        <f t="shared" si="4"/>
        <v>View on Google Map</v>
      </c>
    </row>
    <row r="239" spans="1:13" x14ac:dyDescent="0.2">
      <c r="A239" s="133">
        <v>181</v>
      </c>
      <c r="B239" s="133" t="s">
        <v>944</v>
      </c>
      <c r="C239" s="133" t="s">
        <v>489</v>
      </c>
      <c r="D239" s="133">
        <v>68.594916670000003</v>
      </c>
      <c r="E239" s="133">
        <v>-149.58631600000001</v>
      </c>
      <c r="F239" s="133">
        <v>754</v>
      </c>
      <c r="G239" s="133" t="s">
        <v>514</v>
      </c>
      <c r="H239" s="133" t="s">
        <v>945</v>
      </c>
      <c r="I239" s="133" t="s">
        <v>946</v>
      </c>
      <c r="J239" s="133" t="s">
        <v>515</v>
      </c>
      <c r="K239" s="133" t="s">
        <v>489</v>
      </c>
      <c r="L239" s="133" t="s">
        <v>904</v>
      </c>
      <c r="M239" s="139" t="str">
        <f t="shared" si="4"/>
        <v>View on Google Map</v>
      </c>
    </row>
    <row r="240" spans="1:13" x14ac:dyDescent="0.2">
      <c r="A240" s="133">
        <v>180</v>
      </c>
      <c r="B240" s="133" t="s">
        <v>947</v>
      </c>
      <c r="C240" s="133" t="s">
        <v>489</v>
      </c>
      <c r="D240" s="133">
        <v>68.589087000000006</v>
      </c>
      <c r="E240" s="133">
        <v>-149.58921900000001</v>
      </c>
      <c r="F240" s="133">
        <v>767</v>
      </c>
      <c r="G240" s="133" t="s">
        <v>514</v>
      </c>
      <c r="H240" s="133" t="s">
        <v>948</v>
      </c>
      <c r="I240" s="133" t="s">
        <v>949</v>
      </c>
      <c r="J240" s="133" t="s">
        <v>515</v>
      </c>
      <c r="K240" s="133" t="s">
        <v>489</v>
      </c>
      <c r="L240" s="133" t="s">
        <v>904</v>
      </c>
      <c r="M240" s="139" t="str">
        <f t="shared" si="4"/>
        <v>View on Google Map</v>
      </c>
    </row>
    <row r="241" spans="1:13" x14ac:dyDescent="0.2">
      <c r="A241" s="133">
        <v>116</v>
      </c>
      <c r="B241" s="133" t="s">
        <v>950</v>
      </c>
      <c r="C241" s="133" t="s">
        <v>489</v>
      </c>
      <c r="D241" s="133">
        <v>68.596592403900004</v>
      </c>
      <c r="E241" s="133">
        <v>-149.59264335</v>
      </c>
      <c r="F241" s="133">
        <v>754</v>
      </c>
      <c r="G241" s="133" t="s">
        <v>500</v>
      </c>
      <c r="H241" s="133" t="s">
        <v>951</v>
      </c>
      <c r="I241" s="133" t="s">
        <v>952</v>
      </c>
      <c r="J241" s="133" t="s">
        <v>515</v>
      </c>
      <c r="K241" s="133" t="s">
        <v>489</v>
      </c>
      <c r="L241" s="133" t="s">
        <v>889</v>
      </c>
      <c r="M241" s="139" t="str">
        <f t="shared" si="4"/>
        <v>View on Google Map</v>
      </c>
    </row>
    <row r="242" spans="1:13" x14ac:dyDescent="0.2">
      <c r="A242" s="133">
        <v>431</v>
      </c>
      <c r="B242" s="133" t="s">
        <v>953</v>
      </c>
      <c r="C242" s="133" t="s">
        <v>489</v>
      </c>
      <c r="D242" s="133">
        <v>68.582061999999993</v>
      </c>
      <c r="E242" s="133">
        <v>-149.62293199999999</v>
      </c>
      <c r="F242" s="133">
        <v>806</v>
      </c>
      <c r="G242" s="133" t="s">
        <v>500</v>
      </c>
      <c r="H242" s="133" t="s">
        <v>954</v>
      </c>
      <c r="I242" s="133" t="s">
        <v>955</v>
      </c>
      <c r="J242" s="133" t="s">
        <v>515</v>
      </c>
      <c r="K242" s="133" t="s">
        <v>489</v>
      </c>
      <c r="L242" s="133" t="s">
        <v>889</v>
      </c>
      <c r="M242" s="139" t="str">
        <f t="shared" si="4"/>
        <v>View on Google Map</v>
      </c>
    </row>
    <row r="243" spans="1:13" x14ac:dyDescent="0.2">
      <c r="A243" s="133">
        <v>444</v>
      </c>
      <c r="B243" s="133" t="s">
        <v>956</v>
      </c>
      <c r="C243" s="133" t="s">
        <v>489</v>
      </c>
      <c r="D243" s="133">
        <v>68.578643</v>
      </c>
      <c r="E243" s="133">
        <v>-149.62110200000001</v>
      </c>
      <c r="F243" s="133">
        <v>808</v>
      </c>
      <c r="G243" s="133" t="s">
        <v>514</v>
      </c>
      <c r="H243" s="133" t="s">
        <v>957</v>
      </c>
      <c r="I243" s="133" t="s">
        <v>958</v>
      </c>
      <c r="J243" s="133" t="s">
        <v>515</v>
      </c>
      <c r="K243" s="133" t="s">
        <v>489</v>
      </c>
      <c r="L243" s="133" t="s">
        <v>904</v>
      </c>
      <c r="M243" s="139" t="str">
        <f t="shared" si="4"/>
        <v>View on Google Map</v>
      </c>
    </row>
    <row r="244" spans="1:13" x14ac:dyDescent="0.2">
      <c r="A244" s="133">
        <v>535</v>
      </c>
      <c r="B244" s="133" t="s">
        <v>959</v>
      </c>
      <c r="C244" s="133" t="s">
        <v>960</v>
      </c>
      <c r="D244" s="133">
        <v>68.585839000000007</v>
      </c>
      <c r="E244" s="133">
        <v>-149.62222299999999</v>
      </c>
      <c r="F244" s="133">
        <v>805</v>
      </c>
      <c r="G244" s="133" t="s">
        <v>514</v>
      </c>
      <c r="H244" s="133" t="s">
        <v>489</v>
      </c>
      <c r="I244" s="133" t="s">
        <v>489</v>
      </c>
      <c r="J244" s="133" t="s">
        <v>501</v>
      </c>
      <c r="K244" s="133" t="s">
        <v>489</v>
      </c>
      <c r="L244" s="133" t="s">
        <v>961</v>
      </c>
      <c r="M244" s="139" t="str">
        <f t="shared" si="4"/>
        <v>View on Google Map</v>
      </c>
    </row>
    <row r="245" spans="1:13" x14ac:dyDescent="0.2">
      <c r="A245" s="133">
        <v>536</v>
      </c>
      <c r="B245" s="133" t="s">
        <v>962</v>
      </c>
      <c r="C245" s="133" t="s">
        <v>960</v>
      </c>
      <c r="D245" s="133">
        <v>68.591329999999999</v>
      </c>
      <c r="E245" s="133">
        <v>-149.61154199999999</v>
      </c>
      <c r="F245" s="133">
        <v>775</v>
      </c>
      <c r="G245" s="133" t="s">
        <v>514</v>
      </c>
      <c r="H245" s="133" t="s">
        <v>489</v>
      </c>
      <c r="I245" s="133" t="s">
        <v>489</v>
      </c>
      <c r="J245" s="133" t="s">
        <v>501</v>
      </c>
      <c r="K245" s="133" t="s">
        <v>489</v>
      </c>
      <c r="L245" s="133" t="s">
        <v>961</v>
      </c>
      <c r="M245" s="139" t="str">
        <f t="shared" si="4"/>
        <v>View on Google Map</v>
      </c>
    </row>
    <row r="246" spans="1:13" x14ac:dyDescent="0.2">
      <c r="A246" s="133">
        <v>445</v>
      </c>
      <c r="B246" s="133" t="s">
        <v>963</v>
      </c>
      <c r="C246" s="133" t="s">
        <v>489</v>
      </c>
      <c r="D246" s="133">
        <v>68.583569999999995</v>
      </c>
      <c r="E246" s="133">
        <v>-149.62384</v>
      </c>
      <c r="F246" s="133">
        <v>808</v>
      </c>
      <c r="G246" s="133" t="s">
        <v>514</v>
      </c>
      <c r="H246" s="133" t="s">
        <v>964</v>
      </c>
      <c r="I246" s="133" t="s">
        <v>965</v>
      </c>
      <c r="J246" s="133" t="s">
        <v>515</v>
      </c>
      <c r="K246" s="133" t="s">
        <v>489</v>
      </c>
      <c r="L246" s="133" t="s">
        <v>904</v>
      </c>
      <c r="M246" s="139" t="str">
        <f t="shared" si="4"/>
        <v>View on Google Map</v>
      </c>
    </row>
    <row r="247" spans="1:13" x14ac:dyDescent="0.2">
      <c r="A247" s="133">
        <v>182</v>
      </c>
      <c r="B247" s="133" t="s">
        <v>966</v>
      </c>
      <c r="C247" s="133" t="s">
        <v>489</v>
      </c>
      <c r="D247" s="133">
        <v>68.596883329999997</v>
      </c>
      <c r="E247" s="133">
        <v>-149.60124999999999</v>
      </c>
      <c r="F247" s="133">
        <v>754</v>
      </c>
      <c r="G247" s="133" t="s">
        <v>514</v>
      </c>
      <c r="H247" s="133" t="s">
        <v>967</v>
      </c>
      <c r="I247" s="133" t="s">
        <v>968</v>
      </c>
      <c r="J247" s="133" t="s">
        <v>515</v>
      </c>
      <c r="K247" s="133" t="s">
        <v>489</v>
      </c>
      <c r="L247" s="133" t="s">
        <v>904</v>
      </c>
      <c r="M247" s="139" t="str">
        <f t="shared" si="4"/>
        <v>View on Google Map</v>
      </c>
    </row>
    <row r="248" spans="1:13" x14ac:dyDescent="0.2">
      <c r="A248" s="133">
        <v>183</v>
      </c>
      <c r="B248" s="133" t="s">
        <v>969</v>
      </c>
      <c r="C248" s="133" t="s">
        <v>489</v>
      </c>
      <c r="D248" s="133">
        <v>68.598684000000006</v>
      </c>
      <c r="E248" s="133">
        <v>-149.599853</v>
      </c>
      <c r="F248" s="133">
        <v>754</v>
      </c>
      <c r="G248" s="133" t="s">
        <v>514</v>
      </c>
      <c r="H248" s="133" t="s">
        <v>970</v>
      </c>
      <c r="I248" s="133" t="s">
        <v>971</v>
      </c>
      <c r="J248" s="133" t="s">
        <v>515</v>
      </c>
      <c r="K248" s="133" t="s">
        <v>489</v>
      </c>
      <c r="L248" s="133" t="s">
        <v>904</v>
      </c>
      <c r="M248" s="139" t="str">
        <f t="shared" si="4"/>
        <v>View on Google Map</v>
      </c>
    </row>
    <row r="249" spans="1:13" x14ac:dyDescent="0.2">
      <c r="A249" s="133">
        <v>117</v>
      </c>
      <c r="B249" s="133" t="s">
        <v>972</v>
      </c>
      <c r="C249" s="133" t="s">
        <v>489</v>
      </c>
      <c r="D249" s="133">
        <v>68.600874798199996</v>
      </c>
      <c r="E249" s="133">
        <v>-149.596582063</v>
      </c>
      <c r="F249" s="133">
        <v>742</v>
      </c>
      <c r="G249" s="133" t="s">
        <v>500</v>
      </c>
      <c r="H249" s="133" t="s">
        <v>973</v>
      </c>
      <c r="I249" s="133" t="s">
        <v>974</v>
      </c>
      <c r="J249" s="133" t="s">
        <v>515</v>
      </c>
      <c r="K249" s="133" t="s">
        <v>489</v>
      </c>
      <c r="L249" s="133" t="s">
        <v>889</v>
      </c>
      <c r="M249" s="139" t="str">
        <f t="shared" si="4"/>
        <v>View on Google Map</v>
      </c>
    </row>
    <row r="250" spans="1:13" x14ac:dyDescent="0.2">
      <c r="A250" s="133">
        <v>187</v>
      </c>
      <c r="B250" s="133" t="s">
        <v>975</v>
      </c>
      <c r="C250" s="133" t="s">
        <v>489</v>
      </c>
      <c r="D250" s="133">
        <v>68.618183329999994</v>
      </c>
      <c r="E250" s="133">
        <v>-149.596766</v>
      </c>
      <c r="F250" s="133">
        <v>728</v>
      </c>
      <c r="G250" s="133" t="s">
        <v>514</v>
      </c>
      <c r="H250" s="133" t="s">
        <v>976</v>
      </c>
      <c r="I250" s="133" t="s">
        <v>977</v>
      </c>
      <c r="J250" s="133" t="s">
        <v>515</v>
      </c>
      <c r="K250" s="133" t="s">
        <v>489</v>
      </c>
      <c r="L250" s="133" t="s">
        <v>904</v>
      </c>
      <c r="M250" s="139" t="str">
        <f t="shared" si="4"/>
        <v>View on Google Map</v>
      </c>
    </row>
    <row r="251" spans="1:13" x14ac:dyDescent="0.2">
      <c r="A251" s="133">
        <v>184</v>
      </c>
      <c r="B251" s="133" t="s">
        <v>978</v>
      </c>
      <c r="C251" s="133" t="s">
        <v>489</v>
      </c>
      <c r="D251" s="133">
        <v>68.601830000000007</v>
      </c>
      <c r="E251" s="133">
        <v>-149.59671299999999</v>
      </c>
      <c r="F251" s="133">
        <v>742</v>
      </c>
      <c r="G251" s="133" t="s">
        <v>514</v>
      </c>
      <c r="H251" s="133" t="s">
        <v>979</v>
      </c>
      <c r="I251" s="133" t="s">
        <v>980</v>
      </c>
      <c r="J251" s="133" t="s">
        <v>515</v>
      </c>
      <c r="K251" s="133" t="s">
        <v>489</v>
      </c>
      <c r="L251" s="133" t="s">
        <v>904</v>
      </c>
      <c r="M251" s="139" t="str">
        <f t="shared" si="4"/>
        <v>View on Google Map</v>
      </c>
    </row>
    <row r="252" spans="1:13" x14ac:dyDescent="0.2">
      <c r="A252" s="133">
        <v>118</v>
      </c>
      <c r="B252" s="133" t="s">
        <v>981</v>
      </c>
      <c r="C252" s="133" t="s">
        <v>489</v>
      </c>
      <c r="D252" s="133">
        <v>68.6101575207</v>
      </c>
      <c r="E252" s="133">
        <v>-149.582211513</v>
      </c>
      <c r="F252" s="133">
        <v>744</v>
      </c>
      <c r="G252" s="133" t="s">
        <v>500</v>
      </c>
      <c r="H252" s="133" t="s">
        <v>982</v>
      </c>
      <c r="I252" s="133" t="s">
        <v>983</v>
      </c>
      <c r="J252" s="133" t="s">
        <v>515</v>
      </c>
      <c r="K252" s="133" t="s">
        <v>489</v>
      </c>
      <c r="L252" s="133" t="s">
        <v>889</v>
      </c>
      <c r="M252" s="139" t="str">
        <f t="shared" si="4"/>
        <v>View on Google Map</v>
      </c>
    </row>
    <row r="253" spans="1:13" x14ac:dyDescent="0.2">
      <c r="A253" s="133">
        <v>172</v>
      </c>
      <c r="B253" s="133" t="s">
        <v>984</v>
      </c>
      <c r="C253" s="133" t="s">
        <v>489</v>
      </c>
      <c r="D253" s="133">
        <v>68.573666666666668</v>
      </c>
      <c r="E253" s="133">
        <v>-149.53716666666699</v>
      </c>
      <c r="F253" s="133">
        <v>808</v>
      </c>
      <c r="G253" s="133" t="s">
        <v>514</v>
      </c>
      <c r="H253" s="133" t="s">
        <v>985</v>
      </c>
      <c r="I253" s="133" t="s">
        <v>986</v>
      </c>
      <c r="J253" s="133" t="s">
        <v>515</v>
      </c>
      <c r="K253" s="133" t="s">
        <v>489</v>
      </c>
      <c r="L253" s="133" t="s">
        <v>904</v>
      </c>
      <c r="M253" s="139" t="str">
        <f t="shared" si="4"/>
        <v>View on Google Map</v>
      </c>
    </row>
    <row r="254" spans="1:13" x14ac:dyDescent="0.2">
      <c r="A254" s="133">
        <v>533</v>
      </c>
      <c r="B254" s="133" t="s">
        <v>987</v>
      </c>
      <c r="C254" s="133" t="s">
        <v>960</v>
      </c>
      <c r="D254" s="133">
        <v>68.599999999999994</v>
      </c>
      <c r="E254" s="133">
        <v>-149.57599999999999</v>
      </c>
      <c r="F254" s="133">
        <v>762</v>
      </c>
      <c r="G254" s="133" t="s">
        <v>514</v>
      </c>
      <c r="H254" s="133" t="s">
        <v>489</v>
      </c>
      <c r="I254" s="133" t="s">
        <v>489</v>
      </c>
      <c r="J254" s="133" t="s">
        <v>501</v>
      </c>
      <c r="K254" s="133" t="s">
        <v>489</v>
      </c>
      <c r="L254" s="133" t="s">
        <v>961</v>
      </c>
      <c r="M254" s="139" t="str">
        <f t="shared" si="4"/>
        <v>View on Google Map</v>
      </c>
    </row>
    <row r="255" spans="1:13" x14ac:dyDescent="0.2">
      <c r="A255" s="133">
        <v>534</v>
      </c>
      <c r="B255" s="133" t="s">
        <v>988</v>
      </c>
      <c r="C255" s="133" t="s">
        <v>960</v>
      </c>
      <c r="D255" s="133">
        <v>68.601493000000005</v>
      </c>
      <c r="E255" s="133">
        <v>-149.579071</v>
      </c>
      <c r="F255" s="133">
        <v>760</v>
      </c>
      <c r="G255" s="133" t="s">
        <v>514</v>
      </c>
      <c r="H255" s="133" t="s">
        <v>489</v>
      </c>
      <c r="I255" s="133" t="s">
        <v>489</v>
      </c>
      <c r="J255" s="133" t="s">
        <v>501</v>
      </c>
      <c r="K255" s="133" t="s">
        <v>489</v>
      </c>
      <c r="L255" s="133" t="s">
        <v>961</v>
      </c>
      <c r="M255" s="139" t="str">
        <f t="shared" si="4"/>
        <v>View on Google Map</v>
      </c>
    </row>
    <row r="256" spans="1:13" x14ac:dyDescent="0.2">
      <c r="A256" s="133">
        <v>185</v>
      </c>
      <c r="B256" s="133" t="s">
        <v>989</v>
      </c>
      <c r="C256" s="133" t="s">
        <v>489</v>
      </c>
      <c r="D256" s="133">
        <v>68.60853333</v>
      </c>
      <c r="E256" s="133">
        <v>-149.58763300000001</v>
      </c>
      <c r="F256" s="133">
        <v>744</v>
      </c>
      <c r="G256" s="133" t="s">
        <v>514</v>
      </c>
      <c r="H256" s="133" t="s">
        <v>990</v>
      </c>
      <c r="I256" s="133" t="s">
        <v>991</v>
      </c>
      <c r="J256" s="133" t="s">
        <v>515</v>
      </c>
      <c r="K256" s="133" t="s">
        <v>489</v>
      </c>
      <c r="L256" s="133" t="s">
        <v>904</v>
      </c>
      <c r="M256" s="139" t="str">
        <f t="shared" si="4"/>
        <v>View on Google Map</v>
      </c>
    </row>
    <row r="257" spans="1:13" x14ac:dyDescent="0.2">
      <c r="A257" s="133">
        <v>547</v>
      </c>
      <c r="B257" s="133" t="s">
        <v>992</v>
      </c>
      <c r="C257" s="133" t="s">
        <v>993</v>
      </c>
      <c r="D257" s="133">
        <v>68.611012000000002</v>
      </c>
      <c r="E257" s="133">
        <v>-149.57365200000001</v>
      </c>
      <c r="F257" s="133">
        <v>744</v>
      </c>
      <c r="G257" s="133" t="s">
        <v>514</v>
      </c>
      <c r="H257" s="133" t="s">
        <v>489</v>
      </c>
      <c r="I257" s="133" t="s">
        <v>489</v>
      </c>
      <c r="J257" s="133" t="s">
        <v>994</v>
      </c>
      <c r="K257" s="133" t="s">
        <v>489</v>
      </c>
      <c r="L257" s="133" t="s">
        <v>995</v>
      </c>
      <c r="M257" s="139" t="str">
        <f t="shared" si="4"/>
        <v>View on Google Map</v>
      </c>
    </row>
    <row r="258" spans="1:13" x14ac:dyDescent="0.2">
      <c r="A258" s="133">
        <v>548</v>
      </c>
      <c r="B258" s="133" t="s">
        <v>996</v>
      </c>
      <c r="C258" s="133" t="s">
        <v>993</v>
      </c>
      <c r="D258" s="133">
        <v>68.612117999999995</v>
      </c>
      <c r="E258" s="133">
        <v>-149.576359</v>
      </c>
      <c r="F258" s="133">
        <v>744</v>
      </c>
      <c r="G258" s="133" t="s">
        <v>514</v>
      </c>
      <c r="H258" s="133" t="s">
        <v>489</v>
      </c>
      <c r="I258" s="133" t="s">
        <v>489</v>
      </c>
      <c r="J258" s="133" t="s">
        <v>994</v>
      </c>
      <c r="K258" s="133" t="s">
        <v>489</v>
      </c>
      <c r="L258" s="133" t="s">
        <v>995</v>
      </c>
      <c r="M258" s="139" t="str">
        <f t="shared" si="4"/>
        <v>View on Google Map</v>
      </c>
    </row>
    <row r="259" spans="1:13" x14ac:dyDescent="0.2">
      <c r="A259" s="133">
        <v>546</v>
      </c>
      <c r="B259" s="133" t="s">
        <v>997</v>
      </c>
      <c r="C259" s="133" t="s">
        <v>993</v>
      </c>
      <c r="D259" s="133">
        <v>68.608949999999993</v>
      </c>
      <c r="E259" s="133">
        <v>-149.57907399999999</v>
      </c>
      <c r="F259" s="133">
        <v>744</v>
      </c>
      <c r="G259" s="133" t="s">
        <v>514</v>
      </c>
      <c r="H259" s="133" t="s">
        <v>489</v>
      </c>
      <c r="I259" s="133" t="s">
        <v>489</v>
      </c>
      <c r="J259" s="133" t="s">
        <v>994</v>
      </c>
      <c r="K259" s="133" t="s">
        <v>489</v>
      </c>
      <c r="L259" s="133" t="s">
        <v>995</v>
      </c>
      <c r="M259" s="139" t="str">
        <f t="shared" ref="M259:M322" si="5">HYPERLINK("http://maps.google.com/maps?q="&amp;D259&amp;","&amp;E259,"View on Google Map")</f>
        <v>View on Google Map</v>
      </c>
    </row>
    <row r="260" spans="1:13" x14ac:dyDescent="0.2">
      <c r="A260" s="133">
        <v>545</v>
      </c>
      <c r="B260" s="133" t="s">
        <v>998</v>
      </c>
      <c r="C260" s="133" t="s">
        <v>993</v>
      </c>
      <c r="D260" s="133">
        <v>68.609307999999999</v>
      </c>
      <c r="E260" s="133">
        <v>-149.57375200000001</v>
      </c>
      <c r="F260" s="133">
        <v>744</v>
      </c>
      <c r="G260" s="133" t="s">
        <v>514</v>
      </c>
      <c r="H260" s="133" t="s">
        <v>489</v>
      </c>
      <c r="I260" s="133" t="s">
        <v>489</v>
      </c>
      <c r="J260" s="133" t="s">
        <v>994</v>
      </c>
      <c r="K260" s="133" t="s">
        <v>489</v>
      </c>
      <c r="L260" s="133" t="s">
        <v>995</v>
      </c>
      <c r="M260" s="139" t="str">
        <f t="shared" si="5"/>
        <v>View on Google Map</v>
      </c>
    </row>
    <row r="261" spans="1:13" x14ac:dyDescent="0.2">
      <c r="A261" s="133">
        <v>549</v>
      </c>
      <c r="B261" s="133" t="s">
        <v>999</v>
      </c>
      <c r="C261" s="133" t="s">
        <v>489</v>
      </c>
      <c r="D261" s="133" t="s">
        <v>489</v>
      </c>
      <c r="E261" s="133" t="s">
        <v>489</v>
      </c>
      <c r="F261" s="133" t="s">
        <v>489</v>
      </c>
      <c r="G261" s="133" t="s">
        <v>514</v>
      </c>
      <c r="H261" s="133" t="s">
        <v>489</v>
      </c>
      <c r="I261" s="133" t="s">
        <v>489</v>
      </c>
      <c r="J261" s="133" t="s">
        <v>501</v>
      </c>
      <c r="K261" s="133" t="s">
        <v>489</v>
      </c>
      <c r="L261" s="133" t="s">
        <v>1000</v>
      </c>
      <c r="M261" s="139" t="str">
        <f t="shared" si="5"/>
        <v>View on Google Map</v>
      </c>
    </row>
    <row r="262" spans="1:13" x14ac:dyDescent="0.2">
      <c r="A262" s="133">
        <v>188</v>
      </c>
      <c r="B262" s="133" t="s">
        <v>1001</v>
      </c>
      <c r="C262" s="133" t="s">
        <v>489</v>
      </c>
      <c r="D262" s="133">
        <v>68.61838333</v>
      </c>
      <c r="E262" s="133">
        <v>-149.59649999999999</v>
      </c>
      <c r="F262" s="133">
        <v>728</v>
      </c>
      <c r="G262" s="133" t="s">
        <v>514</v>
      </c>
      <c r="H262" s="133" t="s">
        <v>1002</v>
      </c>
      <c r="I262" s="133" t="s">
        <v>1003</v>
      </c>
      <c r="J262" s="133" t="s">
        <v>515</v>
      </c>
      <c r="K262" s="133" t="s">
        <v>489</v>
      </c>
      <c r="L262" s="133" t="s">
        <v>904</v>
      </c>
      <c r="M262" s="139" t="str">
        <f t="shared" si="5"/>
        <v>View on Google Map</v>
      </c>
    </row>
    <row r="263" spans="1:13" x14ac:dyDescent="0.2">
      <c r="A263" s="133">
        <v>541</v>
      </c>
      <c r="B263" s="133" t="s">
        <v>1004</v>
      </c>
      <c r="C263" s="133" t="s">
        <v>993</v>
      </c>
      <c r="D263" s="133">
        <v>68.609846000000005</v>
      </c>
      <c r="E263" s="133">
        <v>-149.58295100000001</v>
      </c>
      <c r="F263" s="133">
        <v>744</v>
      </c>
      <c r="G263" s="133" t="s">
        <v>500</v>
      </c>
      <c r="H263" s="133" t="s">
        <v>489</v>
      </c>
      <c r="I263" s="133" t="s">
        <v>489</v>
      </c>
      <c r="J263" s="133" t="s">
        <v>994</v>
      </c>
      <c r="K263" s="133" t="s">
        <v>489</v>
      </c>
      <c r="L263" s="133" t="s">
        <v>995</v>
      </c>
      <c r="M263" s="139" t="str">
        <f t="shared" si="5"/>
        <v>View on Google Map</v>
      </c>
    </row>
    <row r="264" spans="1:13" x14ac:dyDescent="0.2">
      <c r="A264" s="133">
        <v>539</v>
      </c>
      <c r="B264" s="133" t="s">
        <v>1005</v>
      </c>
      <c r="C264" s="133" t="s">
        <v>993</v>
      </c>
      <c r="D264" s="133">
        <v>68.610575999999995</v>
      </c>
      <c r="E264" s="133">
        <v>-149.576018</v>
      </c>
      <c r="F264" s="133">
        <v>744</v>
      </c>
      <c r="G264" s="133" t="s">
        <v>500</v>
      </c>
      <c r="H264" s="133" t="s">
        <v>489</v>
      </c>
      <c r="I264" s="133" t="s">
        <v>489</v>
      </c>
      <c r="J264" s="133" t="s">
        <v>994</v>
      </c>
      <c r="K264" s="133" t="s">
        <v>489</v>
      </c>
      <c r="L264" s="133" t="s">
        <v>995</v>
      </c>
      <c r="M264" s="139" t="str">
        <f t="shared" si="5"/>
        <v>View on Google Map</v>
      </c>
    </row>
    <row r="265" spans="1:13" x14ac:dyDescent="0.2">
      <c r="A265" s="133">
        <v>538</v>
      </c>
      <c r="B265" s="133" t="s">
        <v>1006</v>
      </c>
      <c r="C265" s="133" t="s">
        <v>993</v>
      </c>
      <c r="D265" s="133">
        <v>68.610889</v>
      </c>
      <c r="E265" s="133">
        <v>-149.576108</v>
      </c>
      <c r="F265" s="133">
        <v>744</v>
      </c>
      <c r="G265" s="133" t="s">
        <v>514</v>
      </c>
      <c r="H265" s="133" t="s">
        <v>489</v>
      </c>
      <c r="I265" s="133" t="s">
        <v>489</v>
      </c>
      <c r="J265" s="133" t="s">
        <v>994</v>
      </c>
      <c r="K265" s="133" t="s">
        <v>489</v>
      </c>
      <c r="L265" s="133" t="s">
        <v>995</v>
      </c>
      <c r="M265" s="139" t="str">
        <f t="shared" si="5"/>
        <v>View on Google Map</v>
      </c>
    </row>
    <row r="266" spans="1:13" x14ac:dyDescent="0.2">
      <c r="A266" s="133">
        <v>544</v>
      </c>
      <c r="B266" s="133" t="s">
        <v>1007</v>
      </c>
      <c r="C266" s="133" t="s">
        <v>993</v>
      </c>
      <c r="D266" s="133">
        <v>68.610529</v>
      </c>
      <c r="E266" s="133">
        <v>-149.58864199999999</v>
      </c>
      <c r="F266" s="133">
        <v>744</v>
      </c>
      <c r="G266" s="133" t="s">
        <v>500</v>
      </c>
      <c r="H266" s="133" t="s">
        <v>489</v>
      </c>
      <c r="I266" s="133" t="s">
        <v>489</v>
      </c>
      <c r="J266" s="133" t="s">
        <v>994</v>
      </c>
      <c r="K266" s="133" t="s">
        <v>489</v>
      </c>
      <c r="L266" s="133" t="s">
        <v>995</v>
      </c>
      <c r="M266" s="139" t="str">
        <f t="shared" si="5"/>
        <v>View on Google Map</v>
      </c>
    </row>
    <row r="267" spans="1:13" x14ac:dyDescent="0.2">
      <c r="A267" s="133">
        <v>540</v>
      </c>
      <c r="B267" s="133" t="s">
        <v>1008</v>
      </c>
      <c r="C267" s="133" t="s">
        <v>993</v>
      </c>
      <c r="D267" s="133">
        <v>68.609842</v>
      </c>
      <c r="E267" s="133">
        <v>-149.575346</v>
      </c>
      <c r="F267" s="133">
        <v>744</v>
      </c>
      <c r="G267" s="133" t="s">
        <v>500</v>
      </c>
      <c r="H267" s="133" t="s">
        <v>489</v>
      </c>
      <c r="I267" s="133" t="s">
        <v>489</v>
      </c>
      <c r="J267" s="133" t="s">
        <v>994</v>
      </c>
      <c r="K267" s="133" t="s">
        <v>489</v>
      </c>
      <c r="L267" s="133" t="s">
        <v>995</v>
      </c>
      <c r="M267" s="139" t="str">
        <f t="shared" si="5"/>
        <v>View on Google Map</v>
      </c>
    </row>
    <row r="268" spans="1:13" x14ac:dyDescent="0.2">
      <c r="A268" s="133">
        <v>542</v>
      </c>
      <c r="B268" s="133" t="s">
        <v>1009</v>
      </c>
      <c r="C268" s="133" t="s">
        <v>993</v>
      </c>
      <c r="D268" s="133">
        <v>68.609202999999994</v>
      </c>
      <c r="E268" s="133">
        <v>-149.588257</v>
      </c>
      <c r="F268" s="133">
        <v>744</v>
      </c>
      <c r="G268" s="133" t="s">
        <v>500</v>
      </c>
      <c r="H268" s="133" t="s">
        <v>489</v>
      </c>
      <c r="I268" s="133" t="s">
        <v>489</v>
      </c>
      <c r="J268" s="133" t="s">
        <v>994</v>
      </c>
      <c r="K268" s="133" t="s">
        <v>489</v>
      </c>
      <c r="L268" s="133" t="s">
        <v>995</v>
      </c>
      <c r="M268" s="139" t="str">
        <f t="shared" si="5"/>
        <v>View on Google Map</v>
      </c>
    </row>
    <row r="269" spans="1:13" x14ac:dyDescent="0.2">
      <c r="A269" s="133">
        <v>543</v>
      </c>
      <c r="B269" s="133" t="s">
        <v>1010</v>
      </c>
      <c r="C269" s="133" t="s">
        <v>993</v>
      </c>
      <c r="D269" s="133">
        <v>68.610028</v>
      </c>
      <c r="E269" s="133">
        <v>-149.588391</v>
      </c>
      <c r="F269" s="133">
        <v>744</v>
      </c>
      <c r="G269" s="133" t="s">
        <v>500</v>
      </c>
      <c r="H269" s="133" t="s">
        <v>489</v>
      </c>
      <c r="I269" s="133" t="s">
        <v>489</v>
      </c>
      <c r="J269" s="133" t="s">
        <v>994</v>
      </c>
      <c r="K269" s="133" t="s">
        <v>489</v>
      </c>
      <c r="L269" s="133" t="s">
        <v>995</v>
      </c>
      <c r="M269" s="139" t="str">
        <f t="shared" si="5"/>
        <v>View on Google Map</v>
      </c>
    </row>
    <row r="270" spans="1:13" x14ac:dyDescent="0.2">
      <c r="A270" s="133">
        <v>537</v>
      </c>
      <c r="B270" s="133" t="s">
        <v>1011</v>
      </c>
      <c r="C270" s="133" t="s">
        <v>993</v>
      </c>
      <c r="D270" s="133">
        <v>68.611514</v>
      </c>
      <c r="E270" s="133">
        <v>-149.577617</v>
      </c>
      <c r="F270" s="133">
        <v>744</v>
      </c>
      <c r="G270" s="133" t="s">
        <v>514</v>
      </c>
      <c r="H270" s="133" t="s">
        <v>489</v>
      </c>
      <c r="I270" s="133" t="s">
        <v>489</v>
      </c>
      <c r="J270" s="133" t="s">
        <v>994</v>
      </c>
      <c r="K270" s="133" t="s">
        <v>489</v>
      </c>
      <c r="L270" s="133" t="s">
        <v>995</v>
      </c>
      <c r="M270" s="139" t="str">
        <f t="shared" si="5"/>
        <v>View on Google Map</v>
      </c>
    </row>
    <row r="271" spans="1:13" x14ac:dyDescent="0.2">
      <c r="A271" s="133">
        <v>15</v>
      </c>
      <c r="B271" s="133" t="s">
        <v>1012</v>
      </c>
      <c r="C271" s="133" t="s">
        <v>489</v>
      </c>
      <c r="D271" s="133" t="s">
        <v>489</v>
      </c>
      <c r="E271" s="133" t="s">
        <v>489</v>
      </c>
      <c r="F271" s="133">
        <v>744</v>
      </c>
      <c r="G271" s="133" t="s">
        <v>514</v>
      </c>
      <c r="H271" s="133" t="s">
        <v>1013</v>
      </c>
      <c r="I271" s="133" t="s">
        <v>1014</v>
      </c>
      <c r="J271" s="133" t="s">
        <v>515</v>
      </c>
      <c r="K271" s="133">
        <v>186</v>
      </c>
      <c r="L271" s="133" t="s">
        <v>489</v>
      </c>
      <c r="M271" s="139" t="str">
        <f t="shared" si="5"/>
        <v>View on Google Map</v>
      </c>
    </row>
    <row r="272" spans="1:13" x14ac:dyDescent="0.2">
      <c r="A272" s="133">
        <v>305</v>
      </c>
      <c r="B272" s="133" t="s">
        <v>1015</v>
      </c>
      <c r="C272" s="133" t="s">
        <v>1016</v>
      </c>
      <c r="D272" s="133" t="s">
        <v>489</v>
      </c>
      <c r="E272" s="133" t="s">
        <v>489</v>
      </c>
      <c r="F272" s="133" t="s">
        <v>489</v>
      </c>
      <c r="G272" s="133" t="s">
        <v>514</v>
      </c>
      <c r="H272" s="133" t="s">
        <v>1017</v>
      </c>
      <c r="I272" s="133" t="s">
        <v>1018</v>
      </c>
      <c r="J272" s="133" t="s">
        <v>515</v>
      </c>
      <c r="K272" s="133" t="s">
        <v>489</v>
      </c>
      <c r="L272" s="133" t="s">
        <v>904</v>
      </c>
      <c r="M272" s="139" t="str">
        <f t="shared" si="5"/>
        <v>View on Google Map</v>
      </c>
    </row>
    <row r="273" spans="1:13" x14ac:dyDescent="0.2">
      <c r="A273" s="133">
        <v>119</v>
      </c>
      <c r="B273" s="133" t="s">
        <v>1019</v>
      </c>
      <c r="C273" s="133" t="s">
        <v>489</v>
      </c>
      <c r="D273" s="133">
        <v>68.618964513199998</v>
      </c>
      <c r="E273" s="133">
        <v>-149.59549733099999</v>
      </c>
      <c r="F273" s="133">
        <v>728</v>
      </c>
      <c r="G273" s="133" t="s">
        <v>500</v>
      </c>
      <c r="H273" s="133" t="s">
        <v>1020</v>
      </c>
      <c r="I273" s="133" t="s">
        <v>1021</v>
      </c>
      <c r="J273" s="133" t="s">
        <v>515</v>
      </c>
      <c r="K273" s="133" t="s">
        <v>489</v>
      </c>
      <c r="L273" s="133" t="s">
        <v>889</v>
      </c>
      <c r="M273" s="139" t="str">
        <f t="shared" si="5"/>
        <v>View on Google Map</v>
      </c>
    </row>
    <row r="274" spans="1:13" x14ac:dyDescent="0.2">
      <c r="A274" s="133">
        <v>244</v>
      </c>
      <c r="B274" s="133" t="s">
        <v>1022</v>
      </c>
      <c r="C274" s="133" t="s">
        <v>489</v>
      </c>
      <c r="D274" s="133">
        <v>68.619383330000005</v>
      </c>
      <c r="E274" s="133">
        <v>-149.59528299999999</v>
      </c>
      <c r="F274" s="133">
        <v>728</v>
      </c>
      <c r="G274" s="133" t="s">
        <v>514</v>
      </c>
      <c r="H274" s="133" t="s">
        <v>1023</v>
      </c>
      <c r="I274" s="133" t="s">
        <v>1024</v>
      </c>
      <c r="J274" s="133" t="s">
        <v>515</v>
      </c>
      <c r="K274" s="133" t="s">
        <v>489</v>
      </c>
      <c r="L274" s="133" t="s">
        <v>904</v>
      </c>
      <c r="M274" s="139" t="str">
        <f t="shared" si="5"/>
        <v>View on Google Map</v>
      </c>
    </row>
    <row r="275" spans="1:13" x14ac:dyDescent="0.2">
      <c r="B275" s="133" t="s">
        <v>1025</v>
      </c>
      <c r="C275" s="133" t="s">
        <v>886</v>
      </c>
      <c r="D275" s="133">
        <v>68.544377999999995</v>
      </c>
      <c r="E275" s="133">
        <v>-149.521467</v>
      </c>
      <c r="G275" s="133" t="s">
        <v>1026</v>
      </c>
      <c r="J275" s="35" t="s">
        <v>515</v>
      </c>
      <c r="M275" s="139" t="str">
        <f t="shared" si="5"/>
        <v>View on Google Map</v>
      </c>
    </row>
    <row r="276" spans="1:13" x14ac:dyDescent="0.2">
      <c r="B276" s="133" t="s">
        <v>1027</v>
      </c>
      <c r="C276" s="133" t="s">
        <v>886</v>
      </c>
      <c r="D276" s="133">
        <v>68.548204999999996</v>
      </c>
      <c r="E276" s="133">
        <v>-149.52195</v>
      </c>
      <c r="G276" s="133" t="s">
        <v>1026</v>
      </c>
      <c r="J276" s="35" t="s">
        <v>515</v>
      </c>
      <c r="M276" s="139" t="str">
        <f t="shared" si="5"/>
        <v>View on Google Map</v>
      </c>
    </row>
    <row r="277" spans="1:13" x14ac:dyDescent="0.2">
      <c r="B277" s="133" t="s">
        <v>1028</v>
      </c>
      <c r="C277" s="133" t="s">
        <v>886</v>
      </c>
      <c r="D277" s="133">
        <v>68.548062999999999</v>
      </c>
      <c r="E277" s="133">
        <v>-149.521309</v>
      </c>
      <c r="G277" s="133" t="s">
        <v>1026</v>
      </c>
      <c r="J277" s="35" t="s">
        <v>515</v>
      </c>
      <c r="M277" s="139" t="str">
        <f t="shared" si="5"/>
        <v>View on Google Map</v>
      </c>
    </row>
    <row r="278" spans="1:13" x14ac:dyDescent="0.2">
      <c r="B278" s="133" t="s">
        <v>1029</v>
      </c>
      <c r="C278" s="133" t="s">
        <v>886</v>
      </c>
      <c r="D278" s="133">
        <v>68.544113999999993</v>
      </c>
      <c r="E278" s="133">
        <v>-149.52220800000001</v>
      </c>
      <c r="G278" s="133" t="s">
        <v>1026</v>
      </c>
      <c r="J278" s="35" t="s">
        <v>515</v>
      </c>
      <c r="M278" s="139" t="str">
        <f t="shared" si="5"/>
        <v>View on Google Map</v>
      </c>
    </row>
    <row r="279" spans="1:13" x14ac:dyDescent="0.2">
      <c r="B279" s="133" t="s">
        <v>1030</v>
      </c>
      <c r="C279" s="133" t="s">
        <v>886</v>
      </c>
      <c r="D279" s="133">
        <v>68.547873999999993</v>
      </c>
      <c r="E279" s="133">
        <v>-149.52158900000001</v>
      </c>
      <c r="G279" s="133" t="s">
        <v>1026</v>
      </c>
      <c r="J279" s="35" t="s">
        <v>515</v>
      </c>
      <c r="M279" s="139" t="str">
        <f t="shared" si="5"/>
        <v>View on Google Map</v>
      </c>
    </row>
    <row r="280" spans="1:13" x14ac:dyDescent="0.2">
      <c r="B280" s="133" t="s">
        <v>1031</v>
      </c>
      <c r="C280" s="133" t="s">
        <v>886</v>
      </c>
      <c r="D280" s="133">
        <v>68.616620304999998</v>
      </c>
      <c r="E280" s="133">
        <v>-149.31797396100001</v>
      </c>
      <c r="F280" s="133">
        <v>880.55700000000002</v>
      </c>
      <c r="G280" s="133" t="s">
        <v>1026</v>
      </c>
      <c r="J280" s="35" t="s">
        <v>515</v>
      </c>
      <c r="M280" s="139" t="str">
        <f t="shared" si="5"/>
        <v>View on Google Map</v>
      </c>
    </row>
    <row r="281" spans="1:13" x14ac:dyDescent="0.2">
      <c r="B281" s="133" t="s">
        <v>1032</v>
      </c>
      <c r="C281" s="133" t="s">
        <v>886</v>
      </c>
      <c r="D281" s="133">
        <v>68.618287679000005</v>
      </c>
      <c r="E281" s="133">
        <v>-149.318578011</v>
      </c>
      <c r="F281" s="133">
        <v>877.59500000000003</v>
      </c>
      <c r="G281" s="133" t="s">
        <v>1026</v>
      </c>
      <c r="J281" s="35" t="s">
        <v>515</v>
      </c>
      <c r="M281" s="139" t="str">
        <f t="shared" si="5"/>
        <v>View on Google Map</v>
      </c>
    </row>
    <row r="282" spans="1:13" x14ac:dyDescent="0.2">
      <c r="B282" s="133" t="s">
        <v>1033</v>
      </c>
      <c r="C282" s="133" t="s">
        <v>886</v>
      </c>
      <c r="D282" s="133">
        <v>68.619548409999993</v>
      </c>
      <c r="E282" s="133">
        <v>-149.31832187699999</v>
      </c>
      <c r="F282" s="133">
        <v>875.59299999999996</v>
      </c>
      <c r="G282" s="133" t="s">
        <v>1026</v>
      </c>
      <c r="J282" s="35" t="s">
        <v>515</v>
      </c>
      <c r="M282" s="139" t="str">
        <f t="shared" si="5"/>
        <v>View on Google Map</v>
      </c>
    </row>
    <row r="283" spans="1:13" x14ac:dyDescent="0.2">
      <c r="B283" s="133" t="s">
        <v>1034</v>
      </c>
      <c r="C283" s="133" t="s">
        <v>886</v>
      </c>
      <c r="D283" s="133">
        <v>68.621317497999996</v>
      </c>
      <c r="E283" s="133">
        <v>-149.31921364300001</v>
      </c>
      <c r="F283" s="133">
        <v>874.15200000000004</v>
      </c>
      <c r="G283" s="133" t="s">
        <v>1026</v>
      </c>
      <c r="J283" s="35" t="s">
        <v>515</v>
      </c>
      <c r="M283" s="139" t="str">
        <f t="shared" si="5"/>
        <v>View on Google Map</v>
      </c>
    </row>
    <row r="284" spans="1:13" x14ac:dyDescent="0.2">
      <c r="A284" s="133">
        <v>11</v>
      </c>
      <c r="B284" s="133" t="s">
        <v>1035</v>
      </c>
      <c r="C284" s="133" t="s">
        <v>489</v>
      </c>
      <c r="D284" s="133" t="s">
        <v>489</v>
      </c>
      <c r="E284" s="133" t="s">
        <v>489</v>
      </c>
      <c r="F284" s="133">
        <v>884</v>
      </c>
      <c r="G284" s="133" t="s">
        <v>514</v>
      </c>
      <c r="H284" s="133" t="s">
        <v>1036</v>
      </c>
      <c r="I284" s="133" t="s">
        <v>1037</v>
      </c>
      <c r="J284" s="133" t="s">
        <v>515</v>
      </c>
      <c r="K284" s="133" t="s">
        <v>489</v>
      </c>
      <c r="L284" s="133" t="s">
        <v>489</v>
      </c>
      <c r="M284" s="139" t="str">
        <f t="shared" si="5"/>
        <v>View on Google Map</v>
      </c>
    </row>
    <row r="285" spans="1:13" x14ac:dyDescent="0.2">
      <c r="B285" s="133" t="s">
        <v>1038</v>
      </c>
      <c r="C285" s="133" t="s">
        <v>886</v>
      </c>
      <c r="D285" s="133">
        <v>68.625256622999999</v>
      </c>
      <c r="E285" s="133">
        <v>-149.32463380199999</v>
      </c>
      <c r="F285" s="133">
        <v>862.80799999999999</v>
      </c>
      <c r="G285" s="133" t="s">
        <v>1026</v>
      </c>
      <c r="J285" s="35" t="s">
        <v>515</v>
      </c>
      <c r="M285" s="139" t="str">
        <f t="shared" si="5"/>
        <v>View on Google Map</v>
      </c>
    </row>
    <row r="286" spans="1:13" x14ac:dyDescent="0.2">
      <c r="B286" s="133" t="s">
        <v>1039</v>
      </c>
      <c r="C286" s="133" t="s">
        <v>886</v>
      </c>
      <c r="D286" s="133">
        <v>68.641922837999999</v>
      </c>
      <c r="E286" s="133">
        <v>-149.342972559</v>
      </c>
      <c r="F286" s="133">
        <v>834.62599999999998</v>
      </c>
      <c r="G286" s="133" t="s">
        <v>1026</v>
      </c>
      <c r="J286" s="35" t="s">
        <v>515</v>
      </c>
      <c r="M286" s="139" t="str">
        <f t="shared" si="5"/>
        <v>View on Google Map</v>
      </c>
    </row>
    <row r="287" spans="1:13" x14ac:dyDescent="0.2">
      <c r="A287" s="133">
        <v>1141</v>
      </c>
      <c r="B287" s="133" t="s">
        <v>1040</v>
      </c>
      <c r="C287" s="133" t="s">
        <v>489</v>
      </c>
      <c r="D287" s="133" t="s">
        <v>489</v>
      </c>
      <c r="E287" s="133" t="s">
        <v>489</v>
      </c>
      <c r="F287" s="133" t="s">
        <v>489</v>
      </c>
      <c r="G287" s="133" t="s">
        <v>490</v>
      </c>
      <c r="H287" s="133" t="s">
        <v>1041</v>
      </c>
      <c r="I287" s="133" t="s">
        <v>489</v>
      </c>
      <c r="J287" s="133" t="s">
        <v>515</v>
      </c>
      <c r="K287" s="133" t="s">
        <v>489</v>
      </c>
      <c r="L287" s="133" t="s">
        <v>489</v>
      </c>
      <c r="M287" s="139" t="str">
        <f t="shared" si="5"/>
        <v>View on Google Map</v>
      </c>
    </row>
    <row r="288" spans="1:13" x14ac:dyDescent="0.2">
      <c r="A288" s="133">
        <v>1142</v>
      </c>
      <c r="B288" s="133" t="s">
        <v>1042</v>
      </c>
      <c r="C288" s="133" t="s">
        <v>489</v>
      </c>
      <c r="D288" s="133" t="s">
        <v>489</v>
      </c>
      <c r="E288" s="133" t="s">
        <v>489</v>
      </c>
      <c r="F288" s="133" t="s">
        <v>489</v>
      </c>
      <c r="G288" s="133" t="s">
        <v>514</v>
      </c>
      <c r="H288" s="133" t="s">
        <v>1043</v>
      </c>
      <c r="I288" s="133" t="s">
        <v>489</v>
      </c>
      <c r="J288" s="133" t="s">
        <v>1044</v>
      </c>
      <c r="K288" s="133" t="s">
        <v>489</v>
      </c>
      <c r="L288" s="133" t="s">
        <v>489</v>
      </c>
      <c r="M288" s="139" t="str">
        <f t="shared" si="5"/>
        <v>View on Google Map</v>
      </c>
    </row>
    <row r="289" spans="1:13" x14ac:dyDescent="0.2">
      <c r="A289" s="133">
        <v>1143</v>
      </c>
      <c r="B289" s="133" t="s">
        <v>1045</v>
      </c>
      <c r="C289" s="133" t="s">
        <v>489</v>
      </c>
      <c r="D289" s="133" t="s">
        <v>489</v>
      </c>
      <c r="E289" s="133" t="s">
        <v>489</v>
      </c>
      <c r="F289" s="133" t="s">
        <v>489</v>
      </c>
      <c r="G289" s="133" t="s">
        <v>514</v>
      </c>
      <c r="H289" s="133" t="s">
        <v>489</v>
      </c>
      <c r="I289" s="133" t="s">
        <v>489</v>
      </c>
      <c r="J289" s="133" t="s">
        <v>1044</v>
      </c>
      <c r="K289" s="133" t="s">
        <v>489</v>
      </c>
      <c r="L289" s="133" t="s">
        <v>489</v>
      </c>
      <c r="M289" s="139" t="str">
        <f t="shared" si="5"/>
        <v>View on Google Map</v>
      </c>
    </row>
    <row r="290" spans="1:13" x14ac:dyDescent="0.2">
      <c r="A290" s="133">
        <v>1140</v>
      </c>
      <c r="B290" s="133" t="s">
        <v>1046</v>
      </c>
      <c r="C290" s="133" t="s">
        <v>489</v>
      </c>
      <c r="D290" s="133" t="s">
        <v>489</v>
      </c>
      <c r="E290" s="133" t="s">
        <v>489</v>
      </c>
      <c r="F290" s="133" t="s">
        <v>489</v>
      </c>
      <c r="G290" s="133" t="s">
        <v>490</v>
      </c>
      <c r="H290" s="133" t="s">
        <v>1047</v>
      </c>
      <c r="I290" s="133" t="s">
        <v>1048</v>
      </c>
      <c r="J290" s="133" t="s">
        <v>515</v>
      </c>
      <c r="K290" s="133" t="s">
        <v>489</v>
      </c>
      <c r="L290" s="133" t="s">
        <v>489</v>
      </c>
      <c r="M290" s="139" t="str">
        <f t="shared" si="5"/>
        <v>View on Google Map</v>
      </c>
    </row>
    <row r="291" spans="1:13" x14ac:dyDescent="0.2">
      <c r="A291" s="133">
        <v>1173</v>
      </c>
      <c r="B291" s="133" t="s">
        <v>1049</v>
      </c>
      <c r="C291" s="133" t="s">
        <v>489</v>
      </c>
      <c r="D291" s="133" t="s">
        <v>489</v>
      </c>
      <c r="E291" s="133" t="s">
        <v>489</v>
      </c>
      <c r="F291" s="133" t="s">
        <v>489</v>
      </c>
      <c r="G291" s="133" t="s">
        <v>490</v>
      </c>
      <c r="H291" s="133" t="s">
        <v>1050</v>
      </c>
      <c r="I291" s="133" t="s">
        <v>489</v>
      </c>
      <c r="J291" s="133" t="s">
        <v>496</v>
      </c>
      <c r="K291" s="133" t="s">
        <v>489</v>
      </c>
      <c r="L291" s="133" t="s">
        <v>497</v>
      </c>
      <c r="M291" s="139" t="str">
        <f t="shared" si="5"/>
        <v>View on Google Map</v>
      </c>
    </row>
    <row r="292" spans="1:13" x14ac:dyDescent="0.2">
      <c r="A292" s="133">
        <v>1144</v>
      </c>
      <c r="B292" s="133" t="s">
        <v>1051</v>
      </c>
      <c r="C292" s="133" t="s">
        <v>489</v>
      </c>
      <c r="D292" s="133" t="s">
        <v>489</v>
      </c>
      <c r="E292" s="133" t="s">
        <v>489</v>
      </c>
      <c r="F292" s="133" t="s">
        <v>489</v>
      </c>
      <c r="G292" s="133" t="s">
        <v>514</v>
      </c>
      <c r="H292" s="133" t="s">
        <v>1051</v>
      </c>
      <c r="I292" s="133" t="s">
        <v>489</v>
      </c>
      <c r="J292" s="133" t="s">
        <v>1044</v>
      </c>
      <c r="K292" s="133" t="s">
        <v>489</v>
      </c>
      <c r="L292" s="133" t="s">
        <v>489</v>
      </c>
      <c r="M292" s="139" t="str">
        <f t="shared" si="5"/>
        <v>View on Google Map</v>
      </c>
    </row>
    <row r="293" spans="1:13" x14ac:dyDescent="0.2">
      <c r="A293" s="133">
        <v>1145</v>
      </c>
      <c r="B293" s="133" t="s">
        <v>1052</v>
      </c>
      <c r="C293" s="133" t="s">
        <v>489</v>
      </c>
      <c r="D293" s="133" t="s">
        <v>489</v>
      </c>
      <c r="E293" s="133" t="s">
        <v>489</v>
      </c>
      <c r="F293" s="133" t="s">
        <v>489</v>
      </c>
      <c r="G293" s="133" t="s">
        <v>514</v>
      </c>
      <c r="H293" s="133" t="s">
        <v>1052</v>
      </c>
      <c r="I293" s="133" t="s">
        <v>489</v>
      </c>
      <c r="J293" s="133" t="s">
        <v>1044</v>
      </c>
      <c r="K293" s="133" t="s">
        <v>489</v>
      </c>
      <c r="L293" s="133" t="s">
        <v>489</v>
      </c>
      <c r="M293" s="139" t="str">
        <f t="shared" si="5"/>
        <v>View on Google Map</v>
      </c>
    </row>
    <row r="294" spans="1:13" x14ac:dyDescent="0.2">
      <c r="A294" s="133">
        <v>1146</v>
      </c>
      <c r="B294" s="133" t="s">
        <v>1053</v>
      </c>
      <c r="C294" s="133" t="s">
        <v>489</v>
      </c>
      <c r="D294" s="133" t="s">
        <v>489</v>
      </c>
      <c r="E294" s="133" t="s">
        <v>489</v>
      </c>
      <c r="F294" s="133" t="s">
        <v>489</v>
      </c>
      <c r="G294" s="133" t="s">
        <v>490</v>
      </c>
      <c r="H294" s="133" t="s">
        <v>1053</v>
      </c>
      <c r="I294" s="133" t="s">
        <v>489</v>
      </c>
      <c r="J294" s="133" t="s">
        <v>1044</v>
      </c>
      <c r="K294" s="133" t="s">
        <v>489</v>
      </c>
      <c r="L294" s="133" t="s">
        <v>489</v>
      </c>
      <c r="M294" s="139" t="str">
        <f t="shared" si="5"/>
        <v>View on Google Map</v>
      </c>
    </row>
    <row r="295" spans="1:13" x14ac:dyDescent="0.2">
      <c r="A295" s="133">
        <v>1147</v>
      </c>
      <c r="B295" s="133" t="s">
        <v>1054</v>
      </c>
      <c r="C295" s="133" t="s">
        <v>489</v>
      </c>
      <c r="D295" s="133" t="s">
        <v>489</v>
      </c>
      <c r="E295" s="133" t="s">
        <v>489</v>
      </c>
      <c r="F295" s="133" t="s">
        <v>489</v>
      </c>
      <c r="G295" s="133" t="s">
        <v>490</v>
      </c>
      <c r="H295" s="133" t="s">
        <v>1054</v>
      </c>
      <c r="I295" s="133" t="s">
        <v>489</v>
      </c>
      <c r="J295" s="133" t="s">
        <v>1044</v>
      </c>
      <c r="K295" s="133" t="s">
        <v>489</v>
      </c>
      <c r="L295" s="133" t="s">
        <v>489</v>
      </c>
      <c r="M295" s="139" t="str">
        <f t="shared" si="5"/>
        <v>View on Google Map</v>
      </c>
    </row>
    <row r="296" spans="1:13" x14ac:dyDescent="0.2">
      <c r="A296" s="133">
        <v>1148</v>
      </c>
      <c r="B296" s="133" t="s">
        <v>1055</v>
      </c>
      <c r="C296" s="133" t="s">
        <v>489</v>
      </c>
      <c r="D296" s="133" t="s">
        <v>489</v>
      </c>
      <c r="E296" s="133" t="s">
        <v>489</v>
      </c>
      <c r="F296" s="133" t="s">
        <v>489</v>
      </c>
      <c r="G296" s="133" t="s">
        <v>490</v>
      </c>
      <c r="H296" s="133" t="s">
        <v>1055</v>
      </c>
      <c r="I296" s="133" t="s">
        <v>1056</v>
      </c>
      <c r="J296" s="133" t="s">
        <v>1044</v>
      </c>
      <c r="K296" s="133" t="s">
        <v>489</v>
      </c>
      <c r="L296" s="133" t="s">
        <v>489</v>
      </c>
      <c r="M296" s="139" t="str">
        <f t="shared" si="5"/>
        <v>View on Google Map</v>
      </c>
    </row>
    <row r="297" spans="1:13" x14ac:dyDescent="0.2">
      <c r="A297" s="133">
        <v>1149</v>
      </c>
      <c r="B297" s="133" t="s">
        <v>1057</v>
      </c>
      <c r="C297" s="133" t="s">
        <v>489</v>
      </c>
      <c r="D297" s="133" t="s">
        <v>489</v>
      </c>
      <c r="E297" s="133" t="s">
        <v>489</v>
      </c>
      <c r="F297" s="133" t="s">
        <v>489</v>
      </c>
      <c r="G297" s="133" t="s">
        <v>490</v>
      </c>
      <c r="H297" s="133" t="s">
        <v>1057</v>
      </c>
      <c r="I297" s="133" t="s">
        <v>1058</v>
      </c>
      <c r="J297" s="133" t="s">
        <v>1044</v>
      </c>
      <c r="K297" s="133" t="s">
        <v>489</v>
      </c>
      <c r="L297" s="133" t="s">
        <v>489</v>
      </c>
      <c r="M297" s="139" t="str">
        <f t="shared" si="5"/>
        <v>View on Google Map</v>
      </c>
    </row>
    <row r="298" spans="1:13" x14ac:dyDescent="0.2">
      <c r="A298" s="133">
        <v>1150</v>
      </c>
      <c r="B298" s="133" t="s">
        <v>1059</v>
      </c>
      <c r="C298" s="133" t="s">
        <v>489</v>
      </c>
      <c r="D298" s="133" t="s">
        <v>489</v>
      </c>
      <c r="E298" s="133" t="s">
        <v>489</v>
      </c>
      <c r="F298" s="133" t="s">
        <v>489</v>
      </c>
      <c r="G298" s="133" t="s">
        <v>490</v>
      </c>
      <c r="H298" s="133" t="s">
        <v>1059</v>
      </c>
      <c r="I298" s="133" t="s">
        <v>1060</v>
      </c>
      <c r="J298" s="133" t="s">
        <v>1044</v>
      </c>
      <c r="K298" s="133" t="s">
        <v>489</v>
      </c>
      <c r="L298" s="133" t="s">
        <v>489</v>
      </c>
      <c r="M298" s="139" t="str">
        <f t="shared" si="5"/>
        <v>View on Google Map</v>
      </c>
    </row>
    <row r="299" spans="1:13" x14ac:dyDescent="0.2">
      <c r="A299" s="133">
        <v>1151</v>
      </c>
      <c r="B299" s="133" t="s">
        <v>1061</v>
      </c>
      <c r="C299" s="133" t="s">
        <v>489</v>
      </c>
      <c r="D299" s="133" t="s">
        <v>489</v>
      </c>
      <c r="E299" s="133" t="s">
        <v>489</v>
      </c>
      <c r="F299" s="133" t="s">
        <v>489</v>
      </c>
      <c r="G299" s="133" t="s">
        <v>490</v>
      </c>
      <c r="H299" s="133" t="s">
        <v>1061</v>
      </c>
      <c r="I299" s="133" t="s">
        <v>1062</v>
      </c>
      <c r="J299" s="133" t="s">
        <v>1044</v>
      </c>
      <c r="K299" s="133" t="s">
        <v>489</v>
      </c>
      <c r="L299" s="133" t="s">
        <v>489</v>
      </c>
      <c r="M299" s="139" t="str">
        <f t="shared" si="5"/>
        <v>View on Google Map</v>
      </c>
    </row>
    <row r="300" spans="1:13" x14ac:dyDescent="0.2">
      <c r="A300" s="133">
        <v>1152</v>
      </c>
      <c r="B300" s="133" t="s">
        <v>1063</v>
      </c>
      <c r="C300" s="133" t="s">
        <v>489</v>
      </c>
      <c r="D300" s="133" t="s">
        <v>489</v>
      </c>
      <c r="E300" s="133" t="s">
        <v>489</v>
      </c>
      <c r="F300" s="133" t="s">
        <v>489</v>
      </c>
      <c r="G300" s="133" t="s">
        <v>490</v>
      </c>
      <c r="H300" s="133" t="s">
        <v>1063</v>
      </c>
      <c r="I300" s="133" t="s">
        <v>1064</v>
      </c>
      <c r="J300" s="133" t="s">
        <v>1044</v>
      </c>
      <c r="K300" s="133" t="s">
        <v>489</v>
      </c>
      <c r="L300" s="133" t="s">
        <v>489</v>
      </c>
      <c r="M300" s="139" t="str">
        <f t="shared" si="5"/>
        <v>View on Google Map</v>
      </c>
    </row>
    <row r="301" spans="1:13" x14ac:dyDescent="0.2">
      <c r="A301" s="133">
        <v>1153</v>
      </c>
      <c r="B301" s="133" t="s">
        <v>1065</v>
      </c>
      <c r="C301" s="133" t="s">
        <v>489</v>
      </c>
      <c r="D301" s="133" t="s">
        <v>489</v>
      </c>
      <c r="E301" s="133" t="s">
        <v>489</v>
      </c>
      <c r="F301" s="133" t="s">
        <v>489</v>
      </c>
      <c r="G301" s="133" t="s">
        <v>490</v>
      </c>
      <c r="H301" s="133" t="s">
        <v>1065</v>
      </c>
      <c r="I301" s="133" t="s">
        <v>1066</v>
      </c>
      <c r="J301" s="133" t="s">
        <v>1044</v>
      </c>
      <c r="K301" s="133" t="s">
        <v>489</v>
      </c>
      <c r="L301" s="133" t="s">
        <v>489</v>
      </c>
      <c r="M301" s="139" t="str">
        <f t="shared" si="5"/>
        <v>View on Google Map</v>
      </c>
    </row>
    <row r="302" spans="1:13" x14ac:dyDescent="0.2">
      <c r="A302" s="133">
        <v>1154</v>
      </c>
      <c r="B302" s="133" t="s">
        <v>1067</v>
      </c>
      <c r="C302" s="133" t="s">
        <v>489</v>
      </c>
      <c r="D302" s="133" t="s">
        <v>489</v>
      </c>
      <c r="E302" s="133" t="s">
        <v>489</v>
      </c>
      <c r="F302" s="133" t="s">
        <v>489</v>
      </c>
      <c r="G302" s="133" t="s">
        <v>490</v>
      </c>
      <c r="H302" s="133" t="s">
        <v>1067</v>
      </c>
      <c r="I302" s="133" t="s">
        <v>1068</v>
      </c>
      <c r="J302" s="133" t="s">
        <v>1044</v>
      </c>
      <c r="K302" s="133" t="s">
        <v>489</v>
      </c>
      <c r="L302" s="133" t="s">
        <v>489</v>
      </c>
      <c r="M302" s="139" t="str">
        <f t="shared" si="5"/>
        <v>View on Google Map</v>
      </c>
    </row>
    <row r="303" spans="1:13" x14ac:dyDescent="0.2">
      <c r="A303" s="133">
        <v>1155</v>
      </c>
      <c r="B303" s="133" t="s">
        <v>1069</v>
      </c>
      <c r="C303" s="133" t="s">
        <v>489</v>
      </c>
      <c r="D303" s="133" t="s">
        <v>489</v>
      </c>
      <c r="E303" s="133" t="s">
        <v>489</v>
      </c>
      <c r="F303" s="133" t="s">
        <v>489</v>
      </c>
      <c r="G303" s="133" t="s">
        <v>490</v>
      </c>
      <c r="H303" s="133" t="s">
        <v>1069</v>
      </c>
      <c r="I303" s="133" t="s">
        <v>1070</v>
      </c>
      <c r="J303" s="133" t="s">
        <v>1044</v>
      </c>
      <c r="K303" s="133" t="s">
        <v>489</v>
      </c>
      <c r="L303" s="133" t="s">
        <v>489</v>
      </c>
      <c r="M303" s="139" t="str">
        <f t="shared" si="5"/>
        <v>View on Google Map</v>
      </c>
    </row>
    <row r="304" spans="1:13" x14ac:dyDescent="0.2">
      <c r="A304" s="133">
        <v>1156</v>
      </c>
      <c r="B304" s="133" t="s">
        <v>1071</v>
      </c>
      <c r="C304" s="133" t="s">
        <v>489</v>
      </c>
      <c r="D304" s="133" t="s">
        <v>489</v>
      </c>
      <c r="E304" s="133" t="s">
        <v>489</v>
      </c>
      <c r="F304" s="133" t="s">
        <v>489</v>
      </c>
      <c r="G304" s="133" t="s">
        <v>490</v>
      </c>
      <c r="H304" s="133" t="s">
        <v>1071</v>
      </c>
      <c r="I304" s="133" t="s">
        <v>1072</v>
      </c>
      <c r="J304" s="133" t="s">
        <v>1044</v>
      </c>
      <c r="K304" s="133" t="s">
        <v>489</v>
      </c>
      <c r="L304" s="133" t="s">
        <v>489</v>
      </c>
      <c r="M304" s="139" t="str">
        <f t="shared" si="5"/>
        <v>View on Google Map</v>
      </c>
    </row>
    <row r="305" spans="1:13" x14ac:dyDescent="0.2">
      <c r="A305" s="133">
        <v>1157</v>
      </c>
      <c r="B305" s="133" t="s">
        <v>1073</v>
      </c>
      <c r="C305" s="133" t="s">
        <v>489</v>
      </c>
      <c r="D305" s="133" t="s">
        <v>489</v>
      </c>
      <c r="E305" s="133" t="s">
        <v>489</v>
      </c>
      <c r="F305" s="133" t="s">
        <v>489</v>
      </c>
      <c r="G305" s="133" t="s">
        <v>490</v>
      </c>
      <c r="H305" s="133" t="s">
        <v>1073</v>
      </c>
      <c r="I305" s="133" t="s">
        <v>1074</v>
      </c>
      <c r="J305" s="133" t="s">
        <v>1044</v>
      </c>
      <c r="K305" s="133" t="s">
        <v>489</v>
      </c>
      <c r="L305" s="133" t="s">
        <v>489</v>
      </c>
      <c r="M305" s="139" t="str">
        <f t="shared" si="5"/>
        <v>View on Google Map</v>
      </c>
    </row>
    <row r="306" spans="1:13" x14ac:dyDescent="0.2">
      <c r="A306" s="133">
        <v>1158</v>
      </c>
      <c r="B306" s="133" t="s">
        <v>1075</v>
      </c>
      <c r="C306" s="133" t="s">
        <v>489</v>
      </c>
      <c r="D306" s="133" t="s">
        <v>489</v>
      </c>
      <c r="E306" s="133" t="s">
        <v>489</v>
      </c>
      <c r="F306" s="133" t="s">
        <v>489</v>
      </c>
      <c r="G306" s="133" t="s">
        <v>490</v>
      </c>
      <c r="H306" s="133" t="s">
        <v>1075</v>
      </c>
      <c r="I306" s="133" t="s">
        <v>1076</v>
      </c>
      <c r="J306" s="133" t="s">
        <v>1044</v>
      </c>
      <c r="K306" s="133" t="s">
        <v>489</v>
      </c>
      <c r="L306" s="133" t="s">
        <v>489</v>
      </c>
      <c r="M306" s="139" t="str">
        <f t="shared" si="5"/>
        <v>View on Google Map</v>
      </c>
    </row>
    <row r="307" spans="1:13" x14ac:dyDescent="0.2">
      <c r="A307" s="133">
        <v>1159</v>
      </c>
      <c r="B307" s="133" t="s">
        <v>1077</v>
      </c>
      <c r="C307" s="133" t="s">
        <v>489</v>
      </c>
      <c r="D307" s="133" t="s">
        <v>489</v>
      </c>
      <c r="E307" s="133" t="s">
        <v>489</v>
      </c>
      <c r="F307" s="133" t="s">
        <v>489</v>
      </c>
      <c r="G307" s="133" t="s">
        <v>490</v>
      </c>
      <c r="H307" s="133" t="s">
        <v>1077</v>
      </c>
      <c r="I307" s="133" t="s">
        <v>1078</v>
      </c>
      <c r="J307" s="133" t="s">
        <v>1044</v>
      </c>
      <c r="K307" s="133" t="s">
        <v>489</v>
      </c>
      <c r="L307" s="133" t="s">
        <v>489</v>
      </c>
      <c r="M307" s="139" t="str">
        <f t="shared" si="5"/>
        <v>View on Google Map</v>
      </c>
    </row>
    <row r="308" spans="1:13" x14ac:dyDescent="0.2">
      <c r="A308" s="133">
        <v>1160</v>
      </c>
      <c r="B308" s="133" t="s">
        <v>1079</v>
      </c>
      <c r="C308" s="133" t="s">
        <v>489</v>
      </c>
      <c r="D308" s="133" t="s">
        <v>489</v>
      </c>
      <c r="E308" s="133" t="s">
        <v>489</v>
      </c>
      <c r="F308" s="133" t="s">
        <v>489</v>
      </c>
      <c r="G308" s="133" t="s">
        <v>490</v>
      </c>
      <c r="H308" s="133" t="s">
        <v>1079</v>
      </c>
      <c r="I308" s="133" t="s">
        <v>1080</v>
      </c>
      <c r="J308" s="133" t="s">
        <v>1044</v>
      </c>
      <c r="K308" s="133" t="s">
        <v>489</v>
      </c>
      <c r="L308" s="133" t="s">
        <v>489</v>
      </c>
      <c r="M308" s="139" t="str">
        <f t="shared" si="5"/>
        <v>View on Google Map</v>
      </c>
    </row>
    <row r="309" spans="1:13" x14ac:dyDescent="0.2">
      <c r="A309" s="133">
        <v>1161</v>
      </c>
      <c r="B309" s="133" t="s">
        <v>1081</v>
      </c>
      <c r="C309" s="133" t="s">
        <v>489</v>
      </c>
      <c r="D309" s="133" t="s">
        <v>489</v>
      </c>
      <c r="E309" s="133" t="s">
        <v>489</v>
      </c>
      <c r="F309" s="133" t="s">
        <v>489</v>
      </c>
      <c r="G309" s="133" t="s">
        <v>490</v>
      </c>
      <c r="H309" s="133" t="s">
        <v>1081</v>
      </c>
      <c r="I309" s="133" t="s">
        <v>1082</v>
      </c>
      <c r="J309" s="133" t="s">
        <v>1044</v>
      </c>
      <c r="K309" s="133" t="s">
        <v>489</v>
      </c>
      <c r="L309" s="133" t="s">
        <v>489</v>
      </c>
      <c r="M309" s="139" t="str">
        <f t="shared" si="5"/>
        <v>View on Google Map</v>
      </c>
    </row>
    <row r="310" spans="1:13" x14ac:dyDescent="0.2">
      <c r="A310" s="133">
        <v>1162</v>
      </c>
      <c r="B310" s="133" t="s">
        <v>1083</v>
      </c>
      <c r="C310" s="133" t="s">
        <v>489</v>
      </c>
      <c r="D310" s="133" t="s">
        <v>489</v>
      </c>
      <c r="E310" s="133" t="s">
        <v>489</v>
      </c>
      <c r="F310" s="133" t="s">
        <v>489</v>
      </c>
      <c r="G310" s="133" t="s">
        <v>490</v>
      </c>
      <c r="H310" s="133" t="s">
        <v>1083</v>
      </c>
      <c r="I310" s="133" t="s">
        <v>1084</v>
      </c>
      <c r="J310" s="133" t="s">
        <v>1044</v>
      </c>
      <c r="K310" s="133" t="s">
        <v>489</v>
      </c>
      <c r="L310" s="133" t="s">
        <v>489</v>
      </c>
      <c r="M310" s="139" t="str">
        <f t="shared" si="5"/>
        <v>View on Google Map</v>
      </c>
    </row>
    <row r="311" spans="1:13" x14ac:dyDescent="0.2">
      <c r="A311" s="133">
        <v>1163</v>
      </c>
      <c r="B311" s="133" t="s">
        <v>1085</v>
      </c>
      <c r="C311" s="133" t="s">
        <v>489</v>
      </c>
      <c r="D311" s="133" t="s">
        <v>489</v>
      </c>
      <c r="E311" s="133" t="s">
        <v>489</v>
      </c>
      <c r="F311" s="133" t="s">
        <v>489</v>
      </c>
      <c r="G311" s="133" t="s">
        <v>490</v>
      </c>
      <c r="H311" s="133" t="s">
        <v>1085</v>
      </c>
      <c r="I311" s="133" t="s">
        <v>1086</v>
      </c>
      <c r="J311" s="133" t="s">
        <v>1044</v>
      </c>
      <c r="K311" s="133" t="s">
        <v>489</v>
      </c>
      <c r="L311" s="133" t="s">
        <v>489</v>
      </c>
      <c r="M311" s="139" t="str">
        <f t="shared" si="5"/>
        <v>View on Google Map</v>
      </c>
    </row>
    <row r="312" spans="1:13" x14ac:dyDescent="0.2">
      <c r="A312" s="133">
        <v>1164</v>
      </c>
      <c r="B312" s="133" t="s">
        <v>1087</v>
      </c>
      <c r="C312" s="133" t="s">
        <v>489</v>
      </c>
      <c r="D312" s="133" t="s">
        <v>489</v>
      </c>
      <c r="E312" s="133" t="s">
        <v>489</v>
      </c>
      <c r="F312" s="133" t="s">
        <v>489</v>
      </c>
      <c r="G312" s="133" t="s">
        <v>490</v>
      </c>
      <c r="H312" s="133" t="s">
        <v>1087</v>
      </c>
      <c r="I312" s="133" t="s">
        <v>1088</v>
      </c>
      <c r="J312" s="133" t="s">
        <v>1044</v>
      </c>
      <c r="K312" s="133" t="s">
        <v>489</v>
      </c>
      <c r="L312" s="133" t="s">
        <v>489</v>
      </c>
      <c r="M312" s="139" t="str">
        <f t="shared" si="5"/>
        <v>View on Google Map</v>
      </c>
    </row>
    <row r="313" spans="1:13" x14ac:dyDescent="0.2">
      <c r="A313" s="133">
        <v>1165</v>
      </c>
      <c r="B313" s="133" t="s">
        <v>1089</v>
      </c>
      <c r="C313" s="133" t="s">
        <v>489</v>
      </c>
      <c r="D313" s="133" t="s">
        <v>489</v>
      </c>
      <c r="E313" s="133" t="s">
        <v>489</v>
      </c>
      <c r="F313" s="133" t="s">
        <v>489</v>
      </c>
      <c r="G313" s="133" t="s">
        <v>490</v>
      </c>
      <c r="H313" s="133" t="s">
        <v>1089</v>
      </c>
      <c r="I313" s="133" t="s">
        <v>489</v>
      </c>
      <c r="J313" s="133" t="s">
        <v>1044</v>
      </c>
      <c r="K313" s="133" t="s">
        <v>489</v>
      </c>
      <c r="L313" s="133" t="s">
        <v>489</v>
      </c>
      <c r="M313" s="139" t="str">
        <f t="shared" si="5"/>
        <v>View on Google Map</v>
      </c>
    </row>
    <row r="314" spans="1:13" x14ac:dyDescent="0.2">
      <c r="A314" s="133">
        <v>1166</v>
      </c>
      <c r="B314" s="133" t="s">
        <v>1090</v>
      </c>
      <c r="C314" s="133" t="s">
        <v>489</v>
      </c>
      <c r="D314" s="133" t="s">
        <v>489</v>
      </c>
      <c r="E314" s="133" t="s">
        <v>489</v>
      </c>
      <c r="F314" s="133" t="s">
        <v>489</v>
      </c>
      <c r="G314" s="133" t="s">
        <v>490</v>
      </c>
      <c r="H314" s="133" t="s">
        <v>1090</v>
      </c>
      <c r="I314" s="133" t="s">
        <v>489</v>
      </c>
      <c r="J314" s="133" t="s">
        <v>1044</v>
      </c>
      <c r="K314" s="133" t="s">
        <v>489</v>
      </c>
      <c r="L314" s="133" t="s">
        <v>489</v>
      </c>
      <c r="M314" s="139" t="str">
        <f t="shared" si="5"/>
        <v>View on Google Map</v>
      </c>
    </row>
    <row r="315" spans="1:13" x14ac:dyDescent="0.2">
      <c r="A315" s="133">
        <v>1167</v>
      </c>
      <c r="B315" s="133" t="s">
        <v>1091</v>
      </c>
      <c r="C315" s="133" t="s">
        <v>1092</v>
      </c>
      <c r="D315" s="133" t="s">
        <v>489</v>
      </c>
      <c r="E315" s="133" t="s">
        <v>489</v>
      </c>
      <c r="F315" s="133" t="s">
        <v>489</v>
      </c>
      <c r="G315" s="133" t="s">
        <v>490</v>
      </c>
      <c r="H315" s="133" t="s">
        <v>1091</v>
      </c>
      <c r="I315" s="133" t="s">
        <v>489</v>
      </c>
      <c r="J315" s="133" t="s">
        <v>491</v>
      </c>
      <c r="K315" s="133" t="s">
        <v>489</v>
      </c>
      <c r="L315" s="133" t="s">
        <v>489</v>
      </c>
      <c r="M315" s="139" t="str">
        <f t="shared" si="5"/>
        <v>View on Google Map</v>
      </c>
    </row>
    <row r="316" spans="1:13" x14ac:dyDescent="0.2">
      <c r="A316" s="133">
        <v>1168</v>
      </c>
      <c r="B316" s="133" t="s">
        <v>1093</v>
      </c>
      <c r="C316" s="133" t="s">
        <v>1092</v>
      </c>
      <c r="D316" s="133" t="s">
        <v>489</v>
      </c>
      <c r="E316" s="133" t="s">
        <v>489</v>
      </c>
      <c r="F316" s="133" t="s">
        <v>489</v>
      </c>
      <c r="G316" s="133" t="s">
        <v>490</v>
      </c>
      <c r="H316" s="133" t="s">
        <v>1093</v>
      </c>
      <c r="I316" s="133" t="s">
        <v>489</v>
      </c>
      <c r="J316" s="133" t="s">
        <v>491</v>
      </c>
      <c r="K316" s="133" t="s">
        <v>489</v>
      </c>
      <c r="L316" s="133" t="s">
        <v>489</v>
      </c>
      <c r="M316" s="139" t="str">
        <f t="shared" si="5"/>
        <v>View on Google Map</v>
      </c>
    </row>
    <row r="317" spans="1:13" x14ac:dyDescent="0.2">
      <c r="A317" s="133">
        <v>125</v>
      </c>
      <c r="B317" s="133" t="s">
        <v>1094</v>
      </c>
      <c r="C317" s="133" t="s">
        <v>489</v>
      </c>
      <c r="D317" s="133">
        <v>68.52364</v>
      </c>
      <c r="E317" s="133">
        <v>-149.48141000000001</v>
      </c>
      <c r="F317" s="133">
        <v>881</v>
      </c>
      <c r="G317" s="133" t="s">
        <v>500</v>
      </c>
      <c r="H317" s="133" t="s">
        <v>1095</v>
      </c>
      <c r="I317" s="133" t="s">
        <v>489</v>
      </c>
      <c r="J317" s="133" t="s">
        <v>515</v>
      </c>
      <c r="K317" s="133" t="s">
        <v>489</v>
      </c>
      <c r="L317" s="133" t="s">
        <v>516</v>
      </c>
      <c r="M317" s="139" t="str">
        <f t="shared" si="5"/>
        <v>View on Google Map</v>
      </c>
    </row>
    <row r="318" spans="1:13" x14ac:dyDescent="0.2">
      <c r="A318" s="133">
        <v>110</v>
      </c>
      <c r="B318" s="133" t="s">
        <v>1096</v>
      </c>
      <c r="C318" s="133" t="s">
        <v>489</v>
      </c>
      <c r="D318" s="133">
        <v>68.687380000000005</v>
      </c>
      <c r="E318" s="133">
        <v>-149.67458999999999</v>
      </c>
      <c r="F318" s="133">
        <v>747</v>
      </c>
      <c r="G318" s="133" t="s">
        <v>500</v>
      </c>
      <c r="H318" s="133" t="s">
        <v>1097</v>
      </c>
      <c r="I318" s="133" t="s">
        <v>489</v>
      </c>
      <c r="J318" s="133" t="s">
        <v>515</v>
      </c>
      <c r="K318" s="133" t="s">
        <v>489</v>
      </c>
      <c r="L318" s="133" t="s">
        <v>489</v>
      </c>
      <c r="M318" s="139" t="str">
        <f t="shared" si="5"/>
        <v>View on Google Map</v>
      </c>
    </row>
    <row r="319" spans="1:13" x14ac:dyDescent="0.2">
      <c r="A319" s="133">
        <v>159</v>
      </c>
      <c r="B319" s="133" t="s">
        <v>1098</v>
      </c>
      <c r="C319" s="133" t="s">
        <v>489</v>
      </c>
      <c r="D319" s="133">
        <v>68.38333333333334</v>
      </c>
      <c r="E319" s="133">
        <v>-149.91666666666666</v>
      </c>
      <c r="F319" s="133">
        <v>681</v>
      </c>
      <c r="G319" s="133" t="s">
        <v>500</v>
      </c>
      <c r="H319" s="133" t="s">
        <v>1099</v>
      </c>
      <c r="I319" s="133" t="s">
        <v>489</v>
      </c>
      <c r="J319" s="133" t="s">
        <v>515</v>
      </c>
      <c r="K319" s="133" t="s">
        <v>489</v>
      </c>
      <c r="L319" s="133" t="s">
        <v>516</v>
      </c>
      <c r="M319" s="139" t="str">
        <f t="shared" si="5"/>
        <v>View on Google Map</v>
      </c>
    </row>
    <row r="320" spans="1:13" x14ac:dyDescent="0.2">
      <c r="B320" s="133" t="s">
        <v>1100</v>
      </c>
      <c r="C320" s="133" t="s">
        <v>1101</v>
      </c>
      <c r="D320" s="133">
        <v>68.590049999999991</v>
      </c>
      <c r="E320" s="133">
        <v>-149.72444166666699</v>
      </c>
      <c r="G320" s="133" t="s">
        <v>1026</v>
      </c>
      <c r="J320" s="35" t="s">
        <v>515</v>
      </c>
      <c r="M320" s="139" t="str">
        <f t="shared" si="5"/>
        <v>View on Google Map</v>
      </c>
    </row>
    <row r="321" spans="1:13" x14ac:dyDescent="0.2">
      <c r="B321" s="133" t="s">
        <v>1102</v>
      </c>
      <c r="C321" s="133" t="s">
        <v>1101</v>
      </c>
      <c r="D321" s="133">
        <v>68.590219444444443</v>
      </c>
      <c r="E321" s="133">
        <v>-149.725272222222</v>
      </c>
      <c r="G321" s="133" t="s">
        <v>1026</v>
      </c>
      <c r="J321" s="35" t="s">
        <v>515</v>
      </c>
      <c r="M321" s="139" t="str">
        <f t="shared" si="5"/>
        <v>View on Google Map</v>
      </c>
    </row>
    <row r="322" spans="1:13" x14ac:dyDescent="0.2">
      <c r="A322" s="133">
        <v>32</v>
      </c>
      <c r="B322" s="133" t="s">
        <v>1103</v>
      </c>
      <c r="C322" s="133" t="s">
        <v>489</v>
      </c>
      <c r="D322" s="133">
        <v>68.933499999999995</v>
      </c>
      <c r="E322" s="133">
        <v>-150.30600000000001</v>
      </c>
      <c r="F322" s="133" t="s">
        <v>489</v>
      </c>
      <c r="G322" s="133" t="s">
        <v>514</v>
      </c>
      <c r="H322" s="133" t="s">
        <v>1104</v>
      </c>
      <c r="I322" s="133" t="s">
        <v>489</v>
      </c>
      <c r="J322" s="133" t="s">
        <v>550</v>
      </c>
      <c r="K322" s="133" t="s">
        <v>489</v>
      </c>
      <c r="L322" s="133" t="s">
        <v>497</v>
      </c>
      <c r="M322" s="139" t="str">
        <f t="shared" si="5"/>
        <v>View on Google Map</v>
      </c>
    </row>
    <row r="323" spans="1:13" x14ac:dyDescent="0.2">
      <c r="A323" s="133">
        <v>33</v>
      </c>
      <c r="B323" s="133" t="s">
        <v>1105</v>
      </c>
      <c r="C323" s="133" t="s">
        <v>489</v>
      </c>
      <c r="D323" s="133">
        <v>68.908000000000001</v>
      </c>
      <c r="E323" s="133">
        <v>-150.114</v>
      </c>
      <c r="F323" s="133" t="s">
        <v>489</v>
      </c>
      <c r="G323" s="133" t="s">
        <v>514</v>
      </c>
      <c r="H323" s="133" t="s">
        <v>1106</v>
      </c>
      <c r="I323" s="133" t="s">
        <v>489</v>
      </c>
      <c r="J323" s="133" t="s">
        <v>550</v>
      </c>
      <c r="K323" s="133" t="s">
        <v>489</v>
      </c>
      <c r="L323" s="133" t="s">
        <v>497</v>
      </c>
      <c r="M323" s="139" t="str">
        <f t="shared" ref="M323:M386" si="6">HYPERLINK("http://maps.google.com/maps?q="&amp;D323&amp;","&amp;E323,"View on Google Map")</f>
        <v>View on Google Map</v>
      </c>
    </row>
    <row r="324" spans="1:13" x14ac:dyDescent="0.2">
      <c r="A324" s="133">
        <v>1</v>
      </c>
      <c r="B324" s="133" t="s">
        <v>1107</v>
      </c>
      <c r="C324" s="133" t="s">
        <v>1108</v>
      </c>
      <c r="D324" s="133">
        <v>68.639103747222222</v>
      </c>
      <c r="E324" s="133">
        <v>-149.39432556944399</v>
      </c>
      <c r="F324" s="133">
        <v>750.56600000000003</v>
      </c>
      <c r="G324" s="133" t="s">
        <v>1026</v>
      </c>
      <c r="J324" s="35" t="s">
        <v>515</v>
      </c>
      <c r="M324" s="139" t="str">
        <f t="shared" si="6"/>
        <v>View on Google Map</v>
      </c>
    </row>
    <row r="325" spans="1:13" x14ac:dyDescent="0.2">
      <c r="A325" s="133">
        <v>1</v>
      </c>
      <c r="B325" s="133" t="s">
        <v>1109</v>
      </c>
      <c r="C325" s="133" t="s">
        <v>1101</v>
      </c>
      <c r="D325" s="133">
        <v>68.638060455555561</v>
      </c>
      <c r="E325" s="133">
        <v>-149.391843363889</v>
      </c>
      <c r="F325" s="133">
        <v>750.601</v>
      </c>
      <c r="G325" s="133" t="s">
        <v>1026</v>
      </c>
      <c r="J325" s="35" t="s">
        <v>515</v>
      </c>
      <c r="M325" s="139" t="str">
        <f t="shared" si="6"/>
        <v>View on Google Map</v>
      </c>
    </row>
    <row r="326" spans="1:13" x14ac:dyDescent="0.2">
      <c r="A326" s="133">
        <v>1</v>
      </c>
      <c r="B326" s="133" t="s">
        <v>1110</v>
      </c>
      <c r="C326" s="133" t="s">
        <v>1111</v>
      </c>
      <c r="D326" s="133">
        <v>68.640747866666672</v>
      </c>
      <c r="E326" s="133">
        <v>-149.40056111111099</v>
      </c>
      <c r="F326" s="133">
        <v>747.74400000000003</v>
      </c>
      <c r="G326" s="133" t="s">
        <v>1026</v>
      </c>
      <c r="J326" s="35" t="s">
        <v>515</v>
      </c>
      <c r="M326" s="139" t="str">
        <f t="shared" si="6"/>
        <v>View on Google Map</v>
      </c>
    </row>
    <row r="327" spans="1:13" x14ac:dyDescent="0.2">
      <c r="A327" s="133">
        <v>1</v>
      </c>
      <c r="B327" s="133" t="s">
        <v>1112</v>
      </c>
      <c r="C327" s="133" t="s">
        <v>1101</v>
      </c>
      <c r="D327" s="133">
        <v>68.638399647222229</v>
      </c>
      <c r="E327" s="133">
        <v>-149.38922950555599</v>
      </c>
      <c r="F327" s="133">
        <v>752.79899999999998</v>
      </c>
      <c r="G327" s="133" t="s">
        <v>1026</v>
      </c>
      <c r="J327" s="35" t="s">
        <v>515</v>
      </c>
      <c r="M327" s="139" t="str">
        <f t="shared" si="6"/>
        <v>View on Google Map</v>
      </c>
    </row>
    <row r="328" spans="1:13" x14ac:dyDescent="0.2">
      <c r="A328" s="133">
        <v>1</v>
      </c>
      <c r="B328" s="133" t="s">
        <v>1113</v>
      </c>
      <c r="C328" s="133" t="s">
        <v>1101</v>
      </c>
      <c r="D328" s="133">
        <v>68.637445127777781</v>
      </c>
      <c r="E328" s="133">
        <v>-149.386685694444</v>
      </c>
      <c r="F328" s="133">
        <v>753.32</v>
      </c>
      <c r="G328" s="133" t="s">
        <v>1026</v>
      </c>
      <c r="J328" s="35" t="s">
        <v>515</v>
      </c>
      <c r="M328" s="139" t="str">
        <f t="shared" si="6"/>
        <v>View on Google Map</v>
      </c>
    </row>
    <row r="329" spans="1:13" x14ac:dyDescent="0.2">
      <c r="A329" s="133">
        <v>1</v>
      </c>
      <c r="B329" s="133" t="s">
        <v>1114</v>
      </c>
      <c r="C329" s="133" t="s">
        <v>886</v>
      </c>
      <c r="D329" s="133">
        <v>68.642054250000001</v>
      </c>
      <c r="E329" s="133">
        <v>-149.40350056666699</v>
      </c>
      <c r="F329" s="133">
        <v>746.26800000000003</v>
      </c>
      <c r="G329" s="133" t="s">
        <v>1026</v>
      </c>
      <c r="J329" s="35" t="s">
        <v>515</v>
      </c>
      <c r="M329" s="139" t="str">
        <f t="shared" si="6"/>
        <v>View on Google Map</v>
      </c>
    </row>
    <row r="330" spans="1:13" x14ac:dyDescent="0.2">
      <c r="A330" s="133">
        <v>1</v>
      </c>
      <c r="B330" s="133" t="s">
        <v>1115</v>
      </c>
      <c r="C330" s="133" t="s">
        <v>1116</v>
      </c>
      <c r="D330" s="133">
        <v>68.641460652777781</v>
      </c>
      <c r="E330" s="133">
        <v>-149.40187098888899</v>
      </c>
      <c r="F330" s="133">
        <v>747.17499999999995</v>
      </c>
      <c r="G330" s="133" t="s">
        <v>1026</v>
      </c>
      <c r="J330" s="35" t="s">
        <v>515</v>
      </c>
      <c r="M330" s="139" t="str">
        <f t="shared" si="6"/>
        <v>View on Google Map</v>
      </c>
    </row>
    <row r="331" spans="1:13" x14ac:dyDescent="0.2">
      <c r="A331" s="133">
        <v>1</v>
      </c>
      <c r="B331" s="133" t="s">
        <v>1117</v>
      </c>
      <c r="C331" s="133" t="s">
        <v>886</v>
      </c>
      <c r="D331" s="133">
        <v>68.643159841666673</v>
      </c>
      <c r="E331" s="133">
        <v>-149.40326701388901</v>
      </c>
      <c r="F331" s="133">
        <v>746.55200000000002</v>
      </c>
      <c r="G331" s="133" t="s">
        <v>1026</v>
      </c>
      <c r="J331" s="35" t="s">
        <v>515</v>
      </c>
      <c r="M331" s="139" t="str">
        <f t="shared" si="6"/>
        <v>View on Google Map</v>
      </c>
    </row>
    <row r="332" spans="1:13" x14ac:dyDescent="0.2">
      <c r="A332" s="133">
        <v>1</v>
      </c>
      <c r="B332" s="133" t="s">
        <v>1118</v>
      </c>
      <c r="C332" s="133" t="s">
        <v>1111</v>
      </c>
      <c r="D332" s="133">
        <v>68.636731430555557</v>
      </c>
      <c r="E332" s="133">
        <v>-149.38318683611101</v>
      </c>
      <c r="F332" s="133">
        <v>755.19299999999998</v>
      </c>
      <c r="G332" s="133" t="s">
        <v>1026</v>
      </c>
      <c r="J332" s="35" t="s">
        <v>515</v>
      </c>
      <c r="M332" s="139" t="str">
        <f t="shared" si="6"/>
        <v>View on Google Map</v>
      </c>
    </row>
    <row r="333" spans="1:13" x14ac:dyDescent="0.2">
      <c r="A333" s="133">
        <v>1</v>
      </c>
      <c r="B333" s="133" t="s">
        <v>1119</v>
      </c>
      <c r="C333" s="133" t="s">
        <v>1111</v>
      </c>
      <c r="D333" s="133">
        <v>68.643629936111111</v>
      </c>
      <c r="E333" s="133">
        <v>-149.40249773333301</v>
      </c>
      <c r="F333" s="133">
        <v>745.85199999999998</v>
      </c>
      <c r="G333" s="133" t="s">
        <v>1026</v>
      </c>
      <c r="J333" s="35" t="s">
        <v>515</v>
      </c>
      <c r="M333" s="139" t="str">
        <f t="shared" si="6"/>
        <v>View on Google Map</v>
      </c>
    </row>
    <row r="334" spans="1:13" x14ac:dyDescent="0.2">
      <c r="A334" s="133">
        <v>1</v>
      </c>
      <c r="B334" s="133" t="s">
        <v>1120</v>
      </c>
      <c r="C334" s="133" t="s">
        <v>1101</v>
      </c>
      <c r="D334" s="133">
        <v>68.644659113888892</v>
      </c>
      <c r="E334" s="133">
        <v>-149.405160461111</v>
      </c>
      <c r="F334" s="133">
        <v>744.06100000000004</v>
      </c>
      <c r="G334" s="133" t="s">
        <v>1026</v>
      </c>
      <c r="J334" s="35" t="s">
        <v>515</v>
      </c>
      <c r="M334" s="139" t="str">
        <f t="shared" si="6"/>
        <v>View on Google Map</v>
      </c>
    </row>
    <row r="335" spans="1:13" x14ac:dyDescent="0.2">
      <c r="A335" s="133">
        <v>1</v>
      </c>
      <c r="B335" s="133" t="s">
        <v>1121</v>
      </c>
      <c r="C335" s="133" t="s">
        <v>886</v>
      </c>
      <c r="D335" s="133">
        <v>68.646338200000002</v>
      </c>
      <c r="E335" s="133">
        <v>-149.41002641666699</v>
      </c>
      <c r="F335" s="133">
        <v>741.68899999999996</v>
      </c>
      <c r="G335" s="133" t="s">
        <v>1026</v>
      </c>
      <c r="J335" s="35" t="s">
        <v>515</v>
      </c>
      <c r="M335" s="139" t="str">
        <f t="shared" si="6"/>
        <v>View on Google Map</v>
      </c>
    </row>
    <row r="336" spans="1:13" x14ac:dyDescent="0.2">
      <c r="A336" s="133">
        <v>1</v>
      </c>
      <c r="B336" s="133" t="s">
        <v>1122</v>
      </c>
      <c r="C336" s="133" t="s">
        <v>1123</v>
      </c>
      <c r="D336" s="133">
        <v>68.646228841666669</v>
      </c>
      <c r="E336" s="133">
        <v>-149.40909021388899</v>
      </c>
      <c r="F336" s="133">
        <v>742.04</v>
      </c>
      <c r="G336" s="133" t="s">
        <v>1026</v>
      </c>
      <c r="J336" s="35" t="s">
        <v>515</v>
      </c>
      <c r="M336" s="139" t="str">
        <f t="shared" si="6"/>
        <v>View on Google Map</v>
      </c>
    </row>
    <row r="337" spans="1:13" x14ac:dyDescent="0.2">
      <c r="A337" s="133">
        <v>1</v>
      </c>
      <c r="B337" s="133" t="s">
        <v>1124</v>
      </c>
      <c r="C337" s="133" t="s">
        <v>1101</v>
      </c>
      <c r="D337" s="133">
        <v>68.647812641666675</v>
      </c>
      <c r="E337" s="133">
        <v>-149.41565431111101</v>
      </c>
      <c r="F337" s="133">
        <v>738.87300000000005</v>
      </c>
      <c r="G337" s="133" t="s">
        <v>1026</v>
      </c>
      <c r="J337" s="35" t="s">
        <v>515</v>
      </c>
      <c r="M337" s="139" t="str">
        <f t="shared" si="6"/>
        <v>View on Google Map</v>
      </c>
    </row>
    <row r="338" spans="1:13" x14ac:dyDescent="0.2">
      <c r="A338" s="133">
        <v>1</v>
      </c>
      <c r="B338" s="133" t="s">
        <v>1125</v>
      </c>
      <c r="C338" s="133" t="s">
        <v>886</v>
      </c>
      <c r="D338" s="133">
        <v>68.649547222222225</v>
      </c>
      <c r="E338" s="133">
        <v>-149.41615246388901</v>
      </c>
      <c r="F338" s="133">
        <v>737.07399999999996</v>
      </c>
      <c r="G338" s="133" t="s">
        <v>1026</v>
      </c>
      <c r="J338" s="35" t="s">
        <v>515</v>
      </c>
      <c r="M338" s="139" t="str">
        <f t="shared" si="6"/>
        <v>View on Google Map</v>
      </c>
    </row>
    <row r="339" spans="1:13" x14ac:dyDescent="0.2">
      <c r="A339" s="133">
        <v>1</v>
      </c>
      <c r="B339" s="133" t="s">
        <v>1126</v>
      </c>
      <c r="C339" s="133" t="s">
        <v>1111</v>
      </c>
      <c r="D339" s="133">
        <v>68.65164966388889</v>
      </c>
      <c r="E339" s="133">
        <v>-149.41647778611099</v>
      </c>
      <c r="F339" s="133">
        <v>735.41800000000001</v>
      </c>
      <c r="G339" s="133" t="s">
        <v>1026</v>
      </c>
      <c r="J339" s="35" t="s">
        <v>515</v>
      </c>
      <c r="M339" s="139" t="str">
        <f t="shared" si="6"/>
        <v>View on Google Map</v>
      </c>
    </row>
    <row r="340" spans="1:13" x14ac:dyDescent="0.2">
      <c r="A340" s="133">
        <v>1</v>
      </c>
      <c r="B340" s="133" t="s">
        <v>1127</v>
      </c>
      <c r="C340" s="133" t="s">
        <v>886</v>
      </c>
      <c r="D340" s="133">
        <v>68.652284541666674</v>
      </c>
      <c r="E340" s="133">
        <v>-149.41517665000001</v>
      </c>
      <c r="F340" s="133">
        <v>734.78499999999997</v>
      </c>
      <c r="G340" s="133" t="s">
        <v>1026</v>
      </c>
      <c r="J340" s="35" t="s">
        <v>515</v>
      </c>
      <c r="M340" s="139" t="str">
        <f t="shared" si="6"/>
        <v>View on Google Map</v>
      </c>
    </row>
    <row r="341" spans="1:13" x14ac:dyDescent="0.2">
      <c r="A341" s="133">
        <v>1</v>
      </c>
      <c r="B341" s="133" t="s">
        <v>1128</v>
      </c>
      <c r="C341" s="133" t="s">
        <v>1101</v>
      </c>
      <c r="D341" s="133">
        <v>68.653667241666668</v>
      </c>
      <c r="E341" s="133">
        <v>-149.420855111111</v>
      </c>
      <c r="F341" s="133">
        <v>732.173</v>
      </c>
      <c r="G341" s="133" t="s">
        <v>1026</v>
      </c>
      <c r="J341" s="35" t="s">
        <v>515</v>
      </c>
      <c r="M341" s="139" t="str">
        <f t="shared" si="6"/>
        <v>View on Google Map</v>
      </c>
    </row>
    <row r="342" spans="1:13" x14ac:dyDescent="0.2">
      <c r="A342" s="133">
        <v>1</v>
      </c>
      <c r="B342" s="133" t="s">
        <v>1129</v>
      </c>
      <c r="C342" s="133" t="s">
        <v>886</v>
      </c>
      <c r="D342" s="133">
        <v>68.658785577777778</v>
      </c>
      <c r="E342" s="133">
        <v>-149.42446433055599</v>
      </c>
      <c r="F342" s="133">
        <v>726.91899999999998</v>
      </c>
      <c r="G342" s="133" t="s">
        <v>1026</v>
      </c>
      <c r="J342" s="35" t="s">
        <v>515</v>
      </c>
      <c r="M342" s="139" t="str">
        <f t="shared" si="6"/>
        <v>View on Google Map</v>
      </c>
    </row>
    <row r="343" spans="1:13" x14ac:dyDescent="0.2">
      <c r="A343" s="133">
        <v>1</v>
      </c>
      <c r="B343" s="133" t="s">
        <v>1130</v>
      </c>
      <c r="C343" s="133" t="s">
        <v>1131</v>
      </c>
      <c r="D343" s="133">
        <v>68.638340663999998</v>
      </c>
      <c r="E343" s="133">
        <v>-149.39350505600001</v>
      </c>
      <c r="G343" s="133" t="s">
        <v>1026</v>
      </c>
      <c r="J343" s="35" t="s">
        <v>515</v>
      </c>
      <c r="M343" s="139" t="str">
        <f t="shared" si="6"/>
        <v>View on Google Map</v>
      </c>
    </row>
    <row r="344" spans="1:13" x14ac:dyDescent="0.2">
      <c r="A344" s="133">
        <v>1</v>
      </c>
      <c r="B344" s="35" t="s">
        <v>1132</v>
      </c>
      <c r="C344" s="35" t="s">
        <v>1132</v>
      </c>
      <c r="D344" s="133">
        <v>68.647525999999999</v>
      </c>
      <c r="E344" s="133">
        <v>-149.411416</v>
      </c>
      <c r="F344" s="133">
        <v>731</v>
      </c>
      <c r="G344" s="133" t="s">
        <v>514</v>
      </c>
      <c r="H344" s="133" t="s">
        <v>1133</v>
      </c>
      <c r="I344" s="133" t="s">
        <v>489</v>
      </c>
      <c r="J344" s="133" t="s">
        <v>515</v>
      </c>
      <c r="K344" s="133" t="s">
        <v>489</v>
      </c>
      <c r="L344" s="133" t="s">
        <v>489</v>
      </c>
      <c r="M344" s="139" t="str">
        <f t="shared" si="6"/>
        <v>View on Google Map</v>
      </c>
    </row>
    <row r="345" spans="1:13" x14ac:dyDescent="0.2">
      <c r="A345" s="133">
        <v>19</v>
      </c>
      <c r="B345" s="133" t="s">
        <v>1134</v>
      </c>
      <c r="C345" s="133" t="s">
        <v>489</v>
      </c>
      <c r="D345" s="133">
        <v>68.967611000000005</v>
      </c>
      <c r="E345" s="133">
        <v>-149.705342</v>
      </c>
      <c r="F345" s="133">
        <v>411</v>
      </c>
      <c r="G345" s="133" t="s">
        <v>514</v>
      </c>
      <c r="H345" s="133" t="s">
        <v>1135</v>
      </c>
      <c r="I345" s="133" t="s">
        <v>489</v>
      </c>
      <c r="J345" s="133" t="s">
        <v>515</v>
      </c>
      <c r="K345" s="133" t="s">
        <v>489</v>
      </c>
      <c r="L345" s="133" t="s">
        <v>489</v>
      </c>
      <c r="M345" s="139" t="str">
        <f t="shared" si="6"/>
        <v>View on Google Map</v>
      </c>
    </row>
    <row r="346" spans="1:13" x14ac:dyDescent="0.2">
      <c r="A346" s="133">
        <v>16</v>
      </c>
      <c r="B346" s="133" t="s">
        <v>1136</v>
      </c>
      <c r="C346" s="133" t="s">
        <v>489</v>
      </c>
      <c r="D346" s="133" t="s">
        <v>489</v>
      </c>
      <c r="E346" s="133" t="s">
        <v>489</v>
      </c>
      <c r="F346" s="133" t="s">
        <v>489</v>
      </c>
      <c r="G346" s="133" t="s">
        <v>514</v>
      </c>
      <c r="H346" s="133" t="s">
        <v>489</v>
      </c>
      <c r="I346" s="133" t="s">
        <v>489</v>
      </c>
      <c r="J346" s="133" t="s">
        <v>515</v>
      </c>
      <c r="K346" s="133" t="s">
        <v>489</v>
      </c>
      <c r="L346" s="133" t="s">
        <v>489</v>
      </c>
      <c r="M346" s="139" t="str">
        <f t="shared" si="6"/>
        <v>View on Google Map</v>
      </c>
    </row>
    <row r="347" spans="1:13" x14ac:dyDescent="0.2">
      <c r="A347" s="133">
        <v>1198</v>
      </c>
      <c r="B347" s="133" t="s">
        <v>1137</v>
      </c>
      <c r="C347" s="133" t="s">
        <v>673</v>
      </c>
      <c r="D347" s="133">
        <v>69.297460909999998</v>
      </c>
      <c r="E347" s="133">
        <v>-150.32340117999999</v>
      </c>
      <c r="F347" s="133" t="s">
        <v>489</v>
      </c>
      <c r="G347" s="133" t="s">
        <v>490</v>
      </c>
      <c r="H347" s="133" t="s">
        <v>489</v>
      </c>
      <c r="I347" s="133" t="s">
        <v>489</v>
      </c>
      <c r="J347" s="133" t="s">
        <v>496</v>
      </c>
      <c r="K347" s="133" t="s">
        <v>489</v>
      </c>
      <c r="L347" s="133" t="s">
        <v>497</v>
      </c>
      <c r="M347" s="139" t="str">
        <f t="shared" si="6"/>
        <v>View on Google Map</v>
      </c>
    </row>
    <row r="348" spans="1:13" x14ac:dyDescent="0.2">
      <c r="A348" s="133">
        <v>135</v>
      </c>
      <c r="B348" s="133" t="s">
        <v>1138</v>
      </c>
      <c r="C348" s="133" t="s">
        <v>489</v>
      </c>
      <c r="D348" s="133">
        <v>70.333333333333329</v>
      </c>
      <c r="E348" s="133">
        <v>-148.80000000000001</v>
      </c>
      <c r="F348" s="133">
        <v>4</v>
      </c>
      <c r="G348" s="133" t="s">
        <v>500</v>
      </c>
      <c r="H348" s="133" t="s">
        <v>1139</v>
      </c>
      <c r="I348" s="133" t="s">
        <v>489</v>
      </c>
      <c r="J348" s="133" t="s">
        <v>515</v>
      </c>
      <c r="K348" s="133" t="s">
        <v>489</v>
      </c>
      <c r="L348" s="133" t="s">
        <v>516</v>
      </c>
      <c r="M348" s="139" t="str">
        <f t="shared" si="6"/>
        <v>View on Google Map</v>
      </c>
    </row>
    <row r="349" spans="1:13" x14ac:dyDescent="0.2">
      <c r="A349" s="133">
        <v>126</v>
      </c>
      <c r="B349" s="133" t="s">
        <v>1140</v>
      </c>
      <c r="C349" s="133" t="s">
        <v>489</v>
      </c>
      <c r="D349" s="133">
        <v>68.733333333333334</v>
      </c>
      <c r="E349" s="133">
        <v>-148.93333333333334</v>
      </c>
      <c r="F349" s="133">
        <v>556</v>
      </c>
      <c r="G349" s="133" t="s">
        <v>500</v>
      </c>
      <c r="H349" s="133" t="s">
        <v>1141</v>
      </c>
      <c r="I349" s="133" t="s">
        <v>489</v>
      </c>
      <c r="J349" s="133" t="s">
        <v>515</v>
      </c>
      <c r="K349" s="133" t="s">
        <v>489</v>
      </c>
      <c r="L349" s="133" t="s">
        <v>516</v>
      </c>
      <c r="M349" s="139" t="str">
        <f t="shared" si="6"/>
        <v>View on Google Map</v>
      </c>
    </row>
    <row r="350" spans="1:13" x14ac:dyDescent="0.2">
      <c r="A350" s="133">
        <v>134</v>
      </c>
      <c r="B350" s="133" t="s">
        <v>1142</v>
      </c>
      <c r="C350" s="133" t="s">
        <v>489</v>
      </c>
      <c r="D350" s="133">
        <v>70.349999999999994</v>
      </c>
      <c r="E350" s="133">
        <v>-148.58333333333334</v>
      </c>
      <c r="F350" s="133">
        <v>2</v>
      </c>
      <c r="G350" s="133" t="s">
        <v>500</v>
      </c>
      <c r="H350" s="133" t="s">
        <v>1143</v>
      </c>
      <c r="I350" s="133" t="s">
        <v>489</v>
      </c>
      <c r="J350" s="133" t="s">
        <v>515</v>
      </c>
      <c r="K350" s="133" t="s">
        <v>489</v>
      </c>
      <c r="L350" s="133" t="s">
        <v>516</v>
      </c>
      <c r="M350" s="139" t="str">
        <f t="shared" si="6"/>
        <v>View on Google Map</v>
      </c>
    </row>
    <row r="351" spans="1:13" x14ac:dyDescent="0.2">
      <c r="A351" s="133">
        <v>128</v>
      </c>
      <c r="B351" s="133" t="s">
        <v>1144</v>
      </c>
      <c r="C351" s="133" t="s">
        <v>489</v>
      </c>
      <c r="D351" s="133">
        <v>69.033333333333331</v>
      </c>
      <c r="E351" s="133">
        <v>-148.85</v>
      </c>
      <c r="F351" s="133">
        <v>319</v>
      </c>
      <c r="G351" s="133" t="s">
        <v>500</v>
      </c>
      <c r="H351" s="133" t="s">
        <v>1145</v>
      </c>
      <c r="I351" s="133" t="s">
        <v>489</v>
      </c>
      <c r="J351" s="133" t="s">
        <v>515</v>
      </c>
      <c r="K351" s="133" t="s">
        <v>489</v>
      </c>
      <c r="L351" s="133" t="s">
        <v>516</v>
      </c>
      <c r="M351" s="139" t="str">
        <f t="shared" si="6"/>
        <v>View on Google Map</v>
      </c>
    </row>
    <row r="352" spans="1:13" x14ac:dyDescent="0.2">
      <c r="A352" s="133">
        <v>139</v>
      </c>
      <c r="B352" s="133" t="s">
        <v>1146</v>
      </c>
      <c r="C352" s="133" t="s">
        <v>489</v>
      </c>
      <c r="D352" s="133">
        <v>70.216666666666669</v>
      </c>
      <c r="E352" s="133">
        <v>-142.46666666666701</v>
      </c>
      <c r="F352" s="133">
        <v>15</v>
      </c>
      <c r="G352" s="133" t="s">
        <v>500</v>
      </c>
      <c r="H352" s="133" t="s">
        <v>1147</v>
      </c>
      <c r="I352" s="133" t="s">
        <v>1148</v>
      </c>
      <c r="J352" s="133" t="s">
        <v>515</v>
      </c>
      <c r="K352" s="133" t="s">
        <v>489</v>
      </c>
      <c r="L352" s="133" t="s">
        <v>516</v>
      </c>
      <c r="M352" s="139" t="str">
        <f t="shared" si="6"/>
        <v>View on Google Map</v>
      </c>
    </row>
    <row r="353" spans="1:14" x14ac:dyDescent="0.2">
      <c r="A353" s="133">
        <v>127</v>
      </c>
      <c r="B353" s="133" t="s">
        <v>1149</v>
      </c>
      <c r="C353" s="133" t="s">
        <v>489</v>
      </c>
      <c r="D353" s="133">
        <v>68.733333333333334</v>
      </c>
      <c r="E353" s="133">
        <v>-148.96666666666667</v>
      </c>
      <c r="F353" s="133">
        <v>597</v>
      </c>
      <c r="G353" s="133" t="s">
        <v>500</v>
      </c>
      <c r="H353" s="133" t="s">
        <v>1150</v>
      </c>
      <c r="I353" s="133" t="s">
        <v>489</v>
      </c>
      <c r="J353" s="133" t="s">
        <v>515</v>
      </c>
      <c r="K353" s="133" t="s">
        <v>489</v>
      </c>
      <c r="L353" s="133" t="s">
        <v>516</v>
      </c>
      <c r="M353" s="139" t="str">
        <f t="shared" si="6"/>
        <v>View on Google Map</v>
      </c>
    </row>
    <row r="354" spans="1:14" x14ac:dyDescent="0.2">
      <c r="A354" s="133">
        <v>133</v>
      </c>
      <c r="B354" s="133" t="s">
        <v>1151</v>
      </c>
      <c r="C354" s="133" t="s">
        <v>489</v>
      </c>
      <c r="D354" s="133">
        <v>70.36666666666666</v>
      </c>
      <c r="E354" s="133">
        <v>-148.5</v>
      </c>
      <c r="F354" s="133">
        <v>2</v>
      </c>
      <c r="G354" s="133" t="s">
        <v>500</v>
      </c>
      <c r="H354" s="133" t="s">
        <v>1152</v>
      </c>
      <c r="I354" s="133" t="s">
        <v>489</v>
      </c>
      <c r="J354" s="133" t="s">
        <v>515</v>
      </c>
      <c r="K354" s="133" t="s">
        <v>489</v>
      </c>
      <c r="L354" s="133" t="s">
        <v>516</v>
      </c>
      <c r="M354" s="139" t="str">
        <f t="shared" si="6"/>
        <v>View on Google Map</v>
      </c>
    </row>
    <row r="355" spans="1:14" x14ac:dyDescent="0.2">
      <c r="A355" s="133">
        <v>140</v>
      </c>
      <c r="B355" s="133" t="s">
        <v>1153</v>
      </c>
      <c r="C355" s="133" t="s">
        <v>489</v>
      </c>
      <c r="D355" s="133">
        <v>69.583333333333329</v>
      </c>
      <c r="E355" s="133">
        <v>-148.63333333333301</v>
      </c>
      <c r="F355" s="133">
        <v>145</v>
      </c>
      <c r="G355" s="133" t="s">
        <v>500</v>
      </c>
      <c r="H355" s="133" t="s">
        <v>1154</v>
      </c>
      <c r="I355" s="133" t="s">
        <v>1155</v>
      </c>
      <c r="J355" s="133" t="s">
        <v>515</v>
      </c>
      <c r="K355" s="133" t="s">
        <v>489</v>
      </c>
      <c r="L355" s="133" t="s">
        <v>516</v>
      </c>
      <c r="M355" s="139" t="str">
        <f t="shared" si="6"/>
        <v>View on Google Map</v>
      </c>
    </row>
    <row r="356" spans="1:14" x14ac:dyDescent="0.2">
      <c r="A356" s="133">
        <v>247</v>
      </c>
      <c r="B356" s="133" t="s">
        <v>1156</v>
      </c>
      <c r="C356" s="133" t="s">
        <v>1157</v>
      </c>
      <c r="D356" s="133">
        <v>68.687318124800001</v>
      </c>
      <c r="E356" s="133">
        <v>-150.043661294</v>
      </c>
      <c r="F356" s="133">
        <v>670</v>
      </c>
      <c r="G356" s="133" t="s">
        <v>500</v>
      </c>
      <c r="H356" s="133" t="s">
        <v>1158</v>
      </c>
      <c r="I356" s="133" t="s">
        <v>489</v>
      </c>
      <c r="J356" s="133" t="s">
        <v>782</v>
      </c>
      <c r="K356" s="133" t="s">
        <v>489</v>
      </c>
      <c r="L356" s="133" t="s">
        <v>783</v>
      </c>
      <c r="M356" s="139" t="str">
        <f t="shared" si="6"/>
        <v>View on Google Map</v>
      </c>
      <c r="N356" s="133">
        <f t="shared" ref="N356:N419" si="7">VALUE(MID(H356,5,3))</f>
        <v>1</v>
      </c>
    </row>
    <row r="357" spans="1:14" x14ac:dyDescent="0.2">
      <c r="A357" s="133">
        <v>248</v>
      </c>
      <c r="B357" s="133" t="s">
        <v>1159</v>
      </c>
      <c r="C357" s="133" t="s">
        <v>1160</v>
      </c>
      <c r="D357" s="133">
        <v>68.691799913400004</v>
      </c>
      <c r="E357" s="133">
        <v>-150.04995633499999</v>
      </c>
      <c r="F357" s="133">
        <v>670</v>
      </c>
      <c r="G357" s="133" t="s">
        <v>500</v>
      </c>
      <c r="H357" s="133" t="s">
        <v>1161</v>
      </c>
      <c r="I357" s="133" t="s">
        <v>489</v>
      </c>
      <c r="J357" s="133" t="s">
        <v>782</v>
      </c>
      <c r="K357" s="133" t="s">
        <v>489</v>
      </c>
      <c r="L357" s="133" t="s">
        <v>783</v>
      </c>
      <c r="M357" s="139" t="str">
        <f t="shared" si="6"/>
        <v>View on Google Map</v>
      </c>
      <c r="N357" s="133">
        <f t="shared" si="7"/>
        <v>2</v>
      </c>
    </row>
    <row r="358" spans="1:14" x14ac:dyDescent="0.2">
      <c r="A358" s="133">
        <v>249</v>
      </c>
      <c r="B358" s="133" t="s">
        <v>1162</v>
      </c>
      <c r="C358" s="133" t="s">
        <v>1163</v>
      </c>
      <c r="D358" s="133">
        <v>68.692272706200001</v>
      </c>
      <c r="E358" s="133">
        <v>-150.05393183499999</v>
      </c>
      <c r="F358" s="133">
        <v>670</v>
      </c>
      <c r="G358" s="133" t="s">
        <v>500</v>
      </c>
      <c r="H358" s="133" t="s">
        <v>1164</v>
      </c>
      <c r="I358" s="133" t="s">
        <v>489</v>
      </c>
      <c r="J358" s="133" t="s">
        <v>782</v>
      </c>
      <c r="K358" s="133" t="s">
        <v>489</v>
      </c>
      <c r="L358" s="133" t="s">
        <v>783</v>
      </c>
      <c r="M358" s="139" t="str">
        <f t="shared" si="6"/>
        <v>View on Google Map</v>
      </c>
      <c r="N358" s="133">
        <f t="shared" si="7"/>
        <v>3</v>
      </c>
    </row>
    <row r="359" spans="1:14" x14ac:dyDescent="0.2">
      <c r="A359" s="133">
        <v>250</v>
      </c>
      <c r="B359" s="133" t="s">
        <v>1165</v>
      </c>
      <c r="C359" s="133" t="s">
        <v>1166</v>
      </c>
      <c r="D359" s="133">
        <v>68.694180615799993</v>
      </c>
      <c r="E359" s="133">
        <v>-150.05828837300001</v>
      </c>
      <c r="F359" s="133">
        <v>670</v>
      </c>
      <c r="G359" s="133" t="s">
        <v>500</v>
      </c>
      <c r="H359" s="133" t="s">
        <v>1167</v>
      </c>
      <c r="I359" s="133" t="s">
        <v>489</v>
      </c>
      <c r="J359" s="133" t="s">
        <v>782</v>
      </c>
      <c r="K359" s="133" t="s">
        <v>489</v>
      </c>
      <c r="L359" s="133" t="s">
        <v>783</v>
      </c>
      <c r="M359" s="139" t="str">
        <f t="shared" si="6"/>
        <v>View on Google Map</v>
      </c>
      <c r="N359" s="133">
        <f t="shared" si="7"/>
        <v>4</v>
      </c>
    </row>
    <row r="360" spans="1:14" x14ac:dyDescent="0.2">
      <c r="A360" s="133">
        <v>251</v>
      </c>
      <c r="B360" s="133" t="s">
        <v>1168</v>
      </c>
      <c r="C360" s="133" t="s">
        <v>1169</v>
      </c>
      <c r="D360" s="133">
        <v>68.7077131315</v>
      </c>
      <c r="E360" s="133">
        <v>-150.04654580600001</v>
      </c>
      <c r="F360" s="133">
        <v>580</v>
      </c>
      <c r="G360" s="133" t="s">
        <v>500</v>
      </c>
      <c r="H360" s="133" t="s">
        <v>1170</v>
      </c>
      <c r="I360" s="133" t="s">
        <v>489</v>
      </c>
      <c r="J360" s="133" t="s">
        <v>782</v>
      </c>
      <c r="K360" s="133" t="s">
        <v>489</v>
      </c>
      <c r="L360" s="133" t="s">
        <v>783</v>
      </c>
      <c r="M360" s="139" t="str">
        <f t="shared" si="6"/>
        <v>View on Google Map</v>
      </c>
      <c r="N360" s="133">
        <f t="shared" si="7"/>
        <v>5</v>
      </c>
    </row>
    <row r="361" spans="1:14" x14ac:dyDescent="0.2">
      <c r="A361" s="133">
        <v>252</v>
      </c>
      <c r="B361" s="133" t="s">
        <v>1171</v>
      </c>
      <c r="C361" s="133" t="s">
        <v>1172</v>
      </c>
      <c r="D361" s="133">
        <v>68.713583961699996</v>
      </c>
      <c r="E361" s="133">
        <v>-150.03096474</v>
      </c>
      <c r="F361" s="133">
        <v>550</v>
      </c>
      <c r="G361" s="133" t="s">
        <v>500</v>
      </c>
      <c r="H361" s="133" t="s">
        <v>1173</v>
      </c>
      <c r="I361" s="133" t="s">
        <v>489</v>
      </c>
      <c r="J361" s="133" t="s">
        <v>782</v>
      </c>
      <c r="K361" s="133" t="s">
        <v>489</v>
      </c>
      <c r="L361" s="133" t="s">
        <v>783</v>
      </c>
      <c r="M361" s="139" t="str">
        <f t="shared" si="6"/>
        <v>View on Google Map</v>
      </c>
      <c r="N361" s="133">
        <f t="shared" si="7"/>
        <v>6</v>
      </c>
    </row>
    <row r="362" spans="1:14" x14ac:dyDescent="0.2">
      <c r="A362" s="133">
        <v>253</v>
      </c>
      <c r="B362" s="133" t="s">
        <v>1174</v>
      </c>
      <c r="C362" s="133" t="s">
        <v>1175</v>
      </c>
      <c r="D362" s="133">
        <v>68.717696468200003</v>
      </c>
      <c r="E362" s="133">
        <v>-150.03558023400001</v>
      </c>
      <c r="F362" s="133">
        <v>550</v>
      </c>
      <c r="G362" s="133" t="s">
        <v>500</v>
      </c>
      <c r="H362" s="133" t="s">
        <v>1176</v>
      </c>
      <c r="I362" s="133" t="s">
        <v>489</v>
      </c>
      <c r="J362" s="133" t="s">
        <v>782</v>
      </c>
      <c r="K362" s="133" t="s">
        <v>489</v>
      </c>
      <c r="L362" s="133" t="s">
        <v>783</v>
      </c>
      <c r="M362" s="139" t="str">
        <f t="shared" si="6"/>
        <v>View on Google Map</v>
      </c>
      <c r="N362" s="133">
        <f t="shared" si="7"/>
        <v>7</v>
      </c>
    </row>
    <row r="363" spans="1:14" x14ac:dyDescent="0.2">
      <c r="A363" s="133">
        <v>254</v>
      </c>
      <c r="B363" s="133" t="s">
        <v>1177</v>
      </c>
      <c r="C363" s="133" t="s">
        <v>1178</v>
      </c>
      <c r="D363" s="133">
        <v>68.724625849299997</v>
      </c>
      <c r="E363" s="133">
        <v>-150.02664640699999</v>
      </c>
      <c r="F363" s="133">
        <v>520</v>
      </c>
      <c r="G363" s="133" t="s">
        <v>500</v>
      </c>
      <c r="H363" s="133" t="s">
        <v>1179</v>
      </c>
      <c r="I363" s="133" t="s">
        <v>489</v>
      </c>
      <c r="J363" s="133" t="s">
        <v>782</v>
      </c>
      <c r="K363" s="133" t="s">
        <v>489</v>
      </c>
      <c r="L363" s="133" t="s">
        <v>783</v>
      </c>
      <c r="M363" s="139" t="str">
        <f t="shared" si="6"/>
        <v>View on Google Map</v>
      </c>
      <c r="N363" s="133">
        <f t="shared" si="7"/>
        <v>8</v>
      </c>
    </row>
    <row r="364" spans="1:14" x14ac:dyDescent="0.2">
      <c r="A364" s="133">
        <v>255</v>
      </c>
      <c r="B364" s="133" t="s">
        <v>1180</v>
      </c>
      <c r="C364" s="133" t="s">
        <v>1181</v>
      </c>
      <c r="D364" s="133">
        <v>68.728073916699998</v>
      </c>
      <c r="E364" s="133">
        <v>-150.03359923599999</v>
      </c>
      <c r="F364" s="133">
        <v>520</v>
      </c>
      <c r="G364" s="133" t="s">
        <v>500</v>
      </c>
      <c r="H364" s="133" t="s">
        <v>1182</v>
      </c>
      <c r="I364" s="133" t="s">
        <v>489</v>
      </c>
      <c r="J364" s="133" t="s">
        <v>782</v>
      </c>
      <c r="K364" s="133" t="s">
        <v>489</v>
      </c>
      <c r="L364" s="133" t="s">
        <v>783</v>
      </c>
      <c r="M364" s="139" t="str">
        <f t="shared" si="6"/>
        <v>View on Google Map</v>
      </c>
      <c r="N364" s="133">
        <f t="shared" si="7"/>
        <v>9</v>
      </c>
    </row>
    <row r="365" spans="1:14" x14ac:dyDescent="0.2">
      <c r="A365" s="133">
        <v>256</v>
      </c>
      <c r="B365" s="133" t="s">
        <v>1183</v>
      </c>
      <c r="C365" s="133" t="s">
        <v>1184</v>
      </c>
      <c r="D365" s="133">
        <v>68.701700654700005</v>
      </c>
      <c r="E365" s="133">
        <v>-149.74902999599999</v>
      </c>
      <c r="F365" s="133">
        <v>760</v>
      </c>
      <c r="G365" s="133" t="s">
        <v>500</v>
      </c>
      <c r="H365" s="133" t="s">
        <v>1185</v>
      </c>
      <c r="I365" s="133" t="s">
        <v>489</v>
      </c>
      <c r="J365" s="133" t="s">
        <v>782</v>
      </c>
      <c r="K365" s="133" t="s">
        <v>489</v>
      </c>
      <c r="L365" s="133" t="s">
        <v>783</v>
      </c>
      <c r="M365" s="139" t="str">
        <f t="shared" si="6"/>
        <v>View on Google Map</v>
      </c>
      <c r="N365" s="133">
        <f t="shared" si="7"/>
        <v>10</v>
      </c>
    </row>
    <row r="366" spans="1:14" x14ac:dyDescent="0.2">
      <c r="A366" s="133">
        <v>257</v>
      </c>
      <c r="B366" s="133" t="s">
        <v>1186</v>
      </c>
      <c r="C366" s="133" t="s">
        <v>1187</v>
      </c>
      <c r="D366" s="133">
        <v>68.701945515000006</v>
      </c>
      <c r="E366" s="133">
        <v>-149.745520981</v>
      </c>
      <c r="F366" s="133">
        <v>760</v>
      </c>
      <c r="G366" s="133" t="s">
        <v>500</v>
      </c>
      <c r="H366" s="133" t="s">
        <v>1188</v>
      </c>
      <c r="I366" s="133" t="s">
        <v>489</v>
      </c>
      <c r="J366" s="133" t="s">
        <v>782</v>
      </c>
      <c r="K366" s="133" t="s">
        <v>489</v>
      </c>
      <c r="L366" s="133" t="s">
        <v>783</v>
      </c>
      <c r="M366" s="139" t="str">
        <f t="shared" si="6"/>
        <v>View on Google Map</v>
      </c>
      <c r="N366" s="133">
        <f t="shared" si="7"/>
        <v>11</v>
      </c>
    </row>
    <row r="367" spans="1:14" x14ac:dyDescent="0.2">
      <c r="A367" s="133">
        <v>258</v>
      </c>
      <c r="B367" s="133" t="s">
        <v>1189</v>
      </c>
      <c r="C367" s="133" t="s">
        <v>1190</v>
      </c>
      <c r="D367" s="133">
        <v>68.704802601699996</v>
      </c>
      <c r="E367" s="133">
        <v>-149.73409678600001</v>
      </c>
      <c r="F367" s="133">
        <v>730</v>
      </c>
      <c r="G367" s="133" t="s">
        <v>500</v>
      </c>
      <c r="H367" s="133" t="s">
        <v>1191</v>
      </c>
      <c r="I367" s="133" t="s">
        <v>489</v>
      </c>
      <c r="J367" s="133" t="s">
        <v>782</v>
      </c>
      <c r="K367" s="133" t="s">
        <v>489</v>
      </c>
      <c r="L367" s="133" t="s">
        <v>783</v>
      </c>
      <c r="M367" s="139" t="str">
        <f t="shared" si="6"/>
        <v>View on Google Map</v>
      </c>
      <c r="N367" s="133">
        <f t="shared" si="7"/>
        <v>12</v>
      </c>
    </row>
    <row r="368" spans="1:14" x14ac:dyDescent="0.2">
      <c r="A368" s="133">
        <v>259</v>
      </c>
      <c r="B368" s="133" t="s">
        <v>1192</v>
      </c>
      <c r="C368" s="133" t="s">
        <v>1193</v>
      </c>
      <c r="D368" s="133">
        <v>68.703579720799993</v>
      </c>
      <c r="E368" s="133">
        <v>-149.717697128</v>
      </c>
      <c r="F368" s="133">
        <v>690</v>
      </c>
      <c r="G368" s="133" t="s">
        <v>500</v>
      </c>
      <c r="H368" s="133" t="s">
        <v>1194</v>
      </c>
      <c r="I368" s="133" t="s">
        <v>489</v>
      </c>
      <c r="J368" s="133" t="s">
        <v>782</v>
      </c>
      <c r="K368" s="133" t="s">
        <v>489</v>
      </c>
      <c r="L368" s="133" t="s">
        <v>783</v>
      </c>
      <c r="M368" s="139" t="str">
        <f t="shared" si="6"/>
        <v>View on Google Map</v>
      </c>
      <c r="N368" s="133">
        <f t="shared" si="7"/>
        <v>13</v>
      </c>
    </row>
    <row r="369" spans="1:14" x14ac:dyDescent="0.2">
      <c r="A369" s="133">
        <v>260</v>
      </c>
      <c r="B369" s="133" t="s">
        <v>1195</v>
      </c>
      <c r="C369" s="133" t="s">
        <v>1196</v>
      </c>
      <c r="D369" s="133">
        <v>68.702004088500004</v>
      </c>
      <c r="E369" s="133">
        <v>-149.71011160800001</v>
      </c>
      <c r="F369" s="133">
        <v>650</v>
      </c>
      <c r="G369" s="133" t="s">
        <v>500</v>
      </c>
      <c r="H369" s="133" t="s">
        <v>1197</v>
      </c>
      <c r="I369" s="133" t="s">
        <v>489</v>
      </c>
      <c r="J369" s="133" t="s">
        <v>782</v>
      </c>
      <c r="K369" s="133" t="s">
        <v>489</v>
      </c>
      <c r="L369" s="133" t="s">
        <v>783</v>
      </c>
      <c r="M369" s="139" t="str">
        <f t="shared" si="6"/>
        <v>View on Google Map</v>
      </c>
      <c r="N369" s="133">
        <f t="shared" si="7"/>
        <v>14</v>
      </c>
    </row>
    <row r="370" spans="1:14" x14ac:dyDescent="0.2">
      <c r="A370" s="133">
        <v>261</v>
      </c>
      <c r="B370" s="133" t="s">
        <v>1198</v>
      </c>
      <c r="C370" s="133" t="s">
        <v>1199</v>
      </c>
      <c r="D370" s="133">
        <v>68.707978848899998</v>
      </c>
      <c r="E370" s="133">
        <v>-149.715105897</v>
      </c>
      <c r="F370" s="133">
        <v>650</v>
      </c>
      <c r="G370" s="133" t="s">
        <v>500</v>
      </c>
      <c r="H370" s="133" t="s">
        <v>1200</v>
      </c>
      <c r="I370" s="133" t="s">
        <v>489</v>
      </c>
      <c r="J370" s="133" t="s">
        <v>782</v>
      </c>
      <c r="K370" s="133" t="s">
        <v>489</v>
      </c>
      <c r="L370" s="133" t="s">
        <v>783</v>
      </c>
      <c r="M370" s="139" t="str">
        <f t="shared" si="6"/>
        <v>View on Google Map</v>
      </c>
      <c r="N370" s="133">
        <f t="shared" si="7"/>
        <v>15</v>
      </c>
    </row>
    <row r="371" spans="1:14" x14ac:dyDescent="0.2">
      <c r="A371" s="133">
        <v>262</v>
      </c>
      <c r="B371" s="133" t="s">
        <v>1201</v>
      </c>
      <c r="C371" s="133" t="s">
        <v>1202</v>
      </c>
      <c r="D371" s="133">
        <v>68.707847844300005</v>
      </c>
      <c r="E371" s="133">
        <v>-149.69962200099999</v>
      </c>
      <c r="F371" s="133">
        <v>650</v>
      </c>
      <c r="G371" s="133" t="s">
        <v>500</v>
      </c>
      <c r="H371" s="133" t="s">
        <v>1203</v>
      </c>
      <c r="I371" s="133" t="s">
        <v>489</v>
      </c>
      <c r="J371" s="133" t="s">
        <v>782</v>
      </c>
      <c r="K371" s="133" t="s">
        <v>489</v>
      </c>
      <c r="L371" s="133" t="s">
        <v>783</v>
      </c>
      <c r="M371" s="139" t="str">
        <f t="shared" si="6"/>
        <v>View on Google Map</v>
      </c>
      <c r="N371" s="133">
        <f t="shared" si="7"/>
        <v>16</v>
      </c>
    </row>
    <row r="372" spans="1:14" x14ac:dyDescent="0.2">
      <c r="A372" s="133">
        <v>263</v>
      </c>
      <c r="B372" s="133" t="s">
        <v>1204</v>
      </c>
      <c r="C372" s="133" t="s">
        <v>1205</v>
      </c>
      <c r="D372" s="133">
        <v>68.7041606871</v>
      </c>
      <c r="E372" s="133">
        <v>-149.68743035400001</v>
      </c>
      <c r="F372" s="133">
        <v>650</v>
      </c>
      <c r="G372" s="133" t="s">
        <v>500</v>
      </c>
      <c r="H372" s="133" t="s">
        <v>1206</v>
      </c>
      <c r="I372" s="133" t="s">
        <v>489</v>
      </c>
      <c r="J372" s="133" t="s">
        <v>782</v>
      </c>
      <c r="K372" s="133" t="s">
        <v>489</v>
      </c>
      <c r="L372" s="133" t="s">
        <v>783</v>
      </c>
      <c r="M372" s="139" t="str">
        <f t="shared" si="6"/>
        <v>View on Google Map</v>
      </c>
      <c r="N372" s="133">
        <f t="shared" si="7"/>
        <v>17</v>
      </c>
    </row>
    <row r="373" spans="1:14" x14ac:dyDescent="0.2">
      <c r="A373" s="133">
        <v>264</v>
      </c>
      <c r="B373" s="133" t="s">
        <v>1207</v>
      </c>
      <c r="C373" s="133" t="s">
        <v>1208</v>
      </c>
      <c r="D373" s="133">
        <v>68.699385523999993</v>
      </c>
      <c r="E373" s="133">
        <v>-149.69396666399999</v>
      </c>
      <c r="F373" s="133">
        <v>650</v>
      </c>
      <c r="G373" s="133" t="s">
        <v>500</v>
      </c>
      <c r="H373" s="133" t="s">
        <v>1209</v>
      </c>
      <c r="I373" s="133" t="s">
        <v>489</v>
      </c>
      <c r="J373" s="133" t="s">
        <v>782</v>
      </c>
      <c r="K373" s="133" t="s">
        <v>489</v>
      </c>
      <c r="L373" s="133" t="s">
        <v>783</v>
      </c>
      <c r="M373" s="139" t="str">
        <f t="shared" si="6"/>
        <v>View on Google Map</v>
      </c>
      <c r="N373" s="133">
        <f t="shared" si="7"/>
        <v>18</v>
      </c>
    </row>
    <row r="374" spans="1:14" x14ac:dyDescent="0.2">
      <c r="A374" s="133">
        <v>265</v>
      </c>
      <c r="B374" s="133" t="s">
        <v>1210</v>
      </c>
      <c r="C374" s="133" t="s">
        <v>1211</v>
      </c>
      <c r="D374" s="133">
        <v>68.7022801743</v>
      </c>
      <c r="E374" s="133">
        <v>-149.70382138400001</v>
      </c>
      <c r="F374" s="133">
        <v>650</v>
      </c>
      <c r="G374" s="133" t="s">
        <v>500</v>
      </c>
      <c r="H374" s="133" t="s">
        <v>1212</v>
      </c>
      <c r="I374" s="133" t="s">
        <v>489</v>
      </c>
      <c r="J374" s="133" t="s">
        <v>782</v>
      </c>
      <c r="K374" s="133" t="s">
        <v>489</v>
      </c>
      <c r="L374" s="133" t="s">
        <v>783</v>
      </c>
      <c r="M374" s="139" t="str">
        <f t="shared" si="6"/>
        <v>View on Google Map</v>
      </c>
      <c r="N374" s="133">
        <f t="shared" si="7"/>
        <v>19</v>
      </c>
    </row>
    <row r="375" spans="1:14" x14ac:dyDescent="0.2">
      <c r="A375" s="133">
        <v>266</v>
      </c>
      <c r="B375" s="133" t="s">
        <v>1213</v>
      </c>
      <c r="C375" s="133" t="s">
        <v>1214</v>
      </c>
      <c r="D375" s="133">
        <v>68.691324054399999</v>
      </c>
      <c r="E375" s="133">
        <v>-149.78520674699999</v>
      </c>
      <c r="F375" s="133">
        <v>650</v>
      </c>
      <c r="G375" s="133" t="s">
        <v>500</v>
      </c>
      <c r="H375" s="133" t="s">
        <v>1215</v>
      </c>
      <c r="I375" s="133" t="s">
        <v>489</v>
      </c>
      <c r="J375" s="133" t="s">
        <v>782</v>
      </c>
      <c r="K375" s="133" t="s">
        <v>489</v>
      </c>
      <c r="L375" s="133" t="s">
        <v>783</v>
      </c>
      <c r="M375" s="139" t="str">
        <f t="shared" si="6"/>
        <v>View on Google Map</v>
      </c>
      <c r="N375" s="133">
        <f t="shared" si="7"/>
        <v>20</v>
      </c>
    </row>
    <row r="376" spans="1:14" x14ac:dyDescent="0.2">
      <c r="A376" s="133">
        <v>267</v>
      </c>
      <c r="B376" s="133" t="s">
        <v>1216</v>
      </c>
      <c r="C376" s="133" t="s">
        <v>1217</v>
      </c>
      <c r="D376" s="133">
        <v>68.682528721799997</v>
      </c>
      <c r="E376" s="133">
        <v>-149.77156908800001</v>
      </c>
      <c r="F376" s="133">
        <v>630</v>
      </c>
      <c r="G376" s="133" t="s">
        <v>500</v>
      </c>
      <c r="H376" s="133" t="s">
        <v>1218</v>
      </c>
      <c r="I376" s="133" t="s">
        <v>489</v>
      </c>
      <c r="J376" s="133" t="s">
        <v>782</v>
      </c>
      <c r="K376" s="133" t="s">
        <v>489</v>
      </c>
      <c r="L376" s="133" t="s">
        <v>783</v>
      </c>
      <c r="M376" s="139" t="str">
        <f t="shared" si="6"/>
        <v>View on Google Map</v>
      </c>
      <c r="N376" s="133">
        <f t="shared" si="7"/>
        <v>21</v>
      </c>
    </row>
    <row r="377" spans="1:14" x14ac:dyDescent="0.2">
      <c r="A377" s="133">
        <v>268</v>
      </c>
      <c r="B377" s="133" t="s">
        <v>1219</v>
      </c>
      <c r="C377" s="133" t="s">
        <v>1220</v>
      </c>
      <c r="D377" s="133">
        <v>68.6833666064</v>
      </c>
      <c r="E377" s="133">
        <v>-149.78602037900001</v>
      </c>
      <c r="F377" s="133">
        <v>620</v>
      </c>
      <c r="G377" s="133" t="s">
        <v>500</v>
      </c>
      <c r="H377" s="133" t="s">
        <v>1221</v>
      </c>
      <c r="I377" s="133" t="s">
        <v>489</v>
      </c>
      <c r="J377" s="133" t="s">
        <v>782</v>
      </c>
      <c r="K377" s="133" t="s">
        <v>489</v>
      </c>
      <c r="L377" s="133" t="s">
        <v>783</v>
      </c>
      <c r="M377" s="139" t="str">
        <f t="shared" si="6"/>
        <v>View on Google Map</v>
      </c>
      <c r="N377" s="133">
        <f t="shared" si="7"/>
        <v>22</v>
      </c>
    </row>
    <row r="378" spans="1:14" x14ac:dyDescent="0.2">
      <c r="A378" s="133">
        <v>269</v>
      </c>
      <c r="B378" s="133" t="s">
        <v>1222</v>
      </c>
      <c r="C378" s="133" t="s">
        <v>1223</v>
      </c>
      <c r="D378" s="133">
        <v>68.685049484000004</v>
      </c>
      <c r="E378" s="133">
        <v>-149.801322572</v>
      </c>
      <c r="F378" s="133">
        <v>590</v>
      </c>
      <c r="G378" s="133" t="s">
        <v>500</v>
      </c>
      <c r="H378" s="133" t="s">
        <v>1224</v>
      </c>
      <c r="I378" s="133" t="s">
        <v>489</v>
      </c>
      <c r="J378" s="133" t="s">
        <v>782</v>
      </c>
      <c r="K378" s="133" t="s">
        <v>489</v>
      </c>
      <c r="L378" s="133" t="s">
        <v>783</v>
      </c>
      <c r="M378" s="139" t="str">
        <f t="shared" si="6"/>
        <v>View on Google Map</v>
      </c>
      <c r="N378" s="133">
        <f t="shared" si="7"/>
        <v>23</v>
      </c>
    </row>
    <row r="379" spans="1:14" x14ac:dyDescent="0.2">
      <c r="A379" s="133">
        <v>270</v>
      </c>
      <c r="B379" s="133" t="s">
        <v>1225</v>
      </c>
      <c r="C379" s="133" t="s">
        <v>1226</v>
      </c>
      <c r="D379" s="133">
        <v>68.6853960145</v>
      </c>
      <c r="E379" s="133">
        <v>-149.80798693200001</v>
      </c>
      <c r="F379" s="133">
        <v>590</v>
      </c>
      <c r="G379" s="133" t="s">
        <v>500</v>
      </c>
      <c r="H379" s="133" t="s">
        <v>1227</v>
      </c>
      <c r="I379" s="133" t="s">
        <v>489</v>
      </c>
      <c r="J379" s="133" t="s">
        <v>782</v>
      </c>
      <c r="K379" s="133" t="s">
        <v>489</v>
      </c>
      <c r="L379" s="133" t="s">
        <v>783</v>
      </c>
      <c r="M379" s="139" t="str">
        <f t="shared" si="6"/>
        <v>View on Google Map</v>
      </c>
      <c r="N379" s="133">
        <f t="shared" si="7"/>
        <v>24</v>
      </c>
    </row>
    <row r="380" spans="1:14" x14ac:dyDescent="0.2">
      <c r="A380" s="133">
        <v>271</v>
      </c>
      <c r="B380" s="133" t="s">
        <v>1228</v>
      </c>
      <c r="C380" s="133" t="s">
        <v>1229</v>
      </c>
      <c r="D380" s="133">
        <v>68.682885549900007</v>
      </c>
      <c r="E380" s="133">
        <v>-149.809163652</v>
      </c>
      <c r="F380" s="133">
        <v>590</v>
      </c>
      <c r="G380" s="133" t="s">
        <v>500</v>
      </c>
      <c r="H380" s="133" t="s">
        <v>1230</v>
      </c>
      <c r="I380" s="133" t="s">
        <v>489</v>
      </c>
      <c r="J380" s="133" t="s">
        <v>782</v>
      </c>
      <c r="K380" s="133" t="s">
        <v>489</v>
      </c>
      <c r="L380" s="133" t="s">
        <v>783</v>
      </c>
      <c r="M380" s="139" t="str">
        <f t="shared" si="6"/>
        <v>View on Google Map</v>
      </c>
      <c r="N380" s="133">
        <f t="shared" si="7"/>
        <v>25</v>
      </c>
    </row>
    <row r="381" spans="1:14" x14ac:dyDescent="0.2">
      <c r="A381" s="133">
        <v>272</v>
      </c>
      <c r="B381" s="133" t="s">
        <v>1231</v>
      </c>
      <c r="C381" s="133" t="s">
        <v>1232</v>
      </c>
      <c r="D381" s="133">
        <v>68.682270906200003</v>
      </c>
      <c r="E381" s="133">
        <v>-149.81202356599999</v>
      </c>
      <c r="F381" s="133" t="s">
        <v>489</v>
      </c>
      <c r="G381" s="133" t="s">
        <v>500</v>
      </c>
      <c r="H381" s="133" t="s">
        <v>1233</v>
      </c>
      <c r="I381" s="133" t="s">
        <v>489</v>
      </c>
      <c r="J381" s="133" t="s">
        <v>782</v>
      </c>
      <c r="K381" s="133" t="s">
        <v>489</v>
      </c>
      <c r="L381" s="133" t="s">
        <v>783</v>
      </c>
      <c r="M381" s="139" t="str">
        <f t="shared" si="6"/>
        <v>View on Google Map</v>
      </c>
      <c r="N381" s="133">
        <f t="shared" si="7"/>
        <v>26</v>
      </c>
    </row>
    <row r="382" spans="1:14" x14ac:dyDescent="0.2">
      <c r="A382" s="133">
        <v>315</v>
      </c>
      <c r="B382" s="133" t="s">
        <v>1234</v>
      </c>
      <c r="C382" s="133" t="s">
        <v>1235</v>
      </c>
      <c r="D382" s="133">
        <v>68.568206306199997</v>
      </c>
      <c r="E382" s="133">
        <v>-149.167395043</v>
      </c>
      <c r="F382" s="133" t="s">
        <v>489</v>
      </c>
      <c r="G382" s="133" t="s">
        <v>500</v>
      </c>
      <c r="H382" s="133" t="s">
        <v>1236</v>
      </c>
      <c r="I382" s="133" t="s">
        <v>489</v>
      </c>
      <c r="J382" s="133" t="s">
        <v>782</v>
      </c>
      <c r="K382" s="133" t="s">
        <v>489</v>
      </c>
      <c r="L382" s="133" t="s">
        <v>783</v>
      </c>
      <c r="M382" s="139" t="str">
        <f t="shared" si="6"/>
        <v>View on Google Map</v>
      </c>
      <c r="N382" s="133">
        <f t="shared" si="7"/>
        <v>27</v>
      </c>
    </row>
    <row r="383" spans="1:14" x14ac:dyDescent="0.2">
      <c r="A383" s="133">
        <v>316</v>
      </c>
      <c r="B383" s="133" t="s">
        <v>1237</v>
      </c>
      <c r="C383" s="133" t="s">
        <v>1238</v>
      </c>
      <c r="D383" s="133">
        <v>68.563566134699997</v>
      </c>
      <c r="E383" s="133">
        <v>-149.17548626199999</v>
      </c>
      <c r="F383" s="133" t="s">
        <v>489</v>
      </c>
      <c r="G383" s="133" t="s">
        <v>500</v>
      </c>
      <c r="H383" s="133" t="s">
        <v>1239</v>
      </c>
      <c r="I383" s="133" t="s">
        <v>489</v>
      </c>
      <c r="J383" s="133" t="s">
        <v>782</v>
      </c>
      <c r="K383" s="133" t="s">
        <v>489</v>
      </c>
      <c r="L383" s="133" t="s">
        <v>783</v>
      </c>
      <c r="M383" s="139" t="str">
        <f t="shared" si="6"/>
        <v>View on Google Map</v>
      </c>
      <c r="N383" s="133">
        <f t="shared" si="7"/>
        <v>28</v>
      </c>
    </row>
    <row r="384" spans="1:14" x14ac:dyDescent="0.2">
      <c r="A384" s="133">
        <v>317</v>
      </c>
      <c r="B384" s="133" t="s">
        <v>1240</v>
      </c>
      <c r="C384" s="133" t="s">
        <v>1241</v>
      </c>
      <c r="D384" s="133">
        <v>68.567753827800004</v>
      </c>
      <c r="E384" s="133">
        <v>-149.18255546</v>
      </c>
      <c r="F384" s="133" t="s">
        <v>489</v>
      </c>
      <c r="G384" s="133" t="s">
        <v>500</v>
      </c>
      <c r="H384" s="133" t="s">
        <v>1242</v>
      </c>
      <c r="I384" s="133" t="s">
        <v>489</v>
      </c>
      <c r="J384" s="133" t="s">
        <v>782</v>
      </c>
      <c r="K384" s="133" t="s">
        <v>489</v>
      </c>
      <c r="L384" s="133" t="s">
        <v>783</v>
      </c>
      <c r="M384" s="139" t="str">
        <f t="shared" si="6"/>
        <v>View on Google Map</v>
      </c>
      <c r="N384" s="133">
        <f t="shared" si="7"/>
        <v>29</v>
      </c>
    </row>
    <row r="385" spans="1:14" x14ac:dyDescent="0.2">
      <c r="A385" s="133">
        <v>318</v>
      </c>
      <c r="B385" s="133" t="s">
        <v>1243</v>
      </c>
      <c r="C385" s="133" t="s">
        <v>1244</v>
      </c>
      <c r="D385" s="133">
        <v>68.575143231300004</v>
      </c>
      <c r="E385" s="133">
        <v>-149.187493434</v>
      </c>
      <c r="F385" s="133">
        <v>899</v>
      </c>
      <c r="G385" s="133" t="s">
        <v>500</v>
      </c>
      <c r="H385" s="133" t="s">
        <v>1245</v>
      </c>
      <c r="I385" s="133" t="s">
        <v>489</v>
      </c>
      <c r="J385" s="133" t="s">
        <v>782</v>
      </c>
      <c r="K385" s="133" t="s">
        <v>489</v>
      </c>
      <c r="L385" s="133" t="s">
        <v>783</v>
      </c>
      <c r="M385" s="139" t="str">
        <f t="shared" si="6"/>
        <v>View on Google Map</v>
      </c>
      <c r="N385" s="133">
        <f t="shared" si="7"/>
        <v>30</v>
      </c>
    </row>
    <row r="386" spans="1:14" x14ac:dyDescent="0.2">
      <c r="A386" s="133">
        <v>319</v>
      </c>
      <c r="B386" s="133" t="s">
        <v>1246</v>
      </c>
      <c r="C386" s="133" t="s">
        <v>1247</v>
      </c>
      <c r="D386" s="133">
        <v>68.575979722100001</v>
      </c>
      <c r="E386" s="133">
        <v>-149.19939190100001</v>
      </c>
      <c r="F386" s="133" t="s">
        <v>489</v>
      </c>
      <c r="G386" s="133" t="s">
        <v>500</v>
      </c>
      <c r="H386" s="133" t="s">
        <v>1248</v>
      </c>
      <c r="I386" s="133" t="s">
        <v>489</v>
      </c>
      <c r="J386" s="133" t="s">
        <v>782</v>
      </c>
      <c r="K386" s="133" t="s">
        <v>489</v>
      </c>
      <c r="L386" s="133" t="s">
        <v>783</v>
      </c>
      <c r="M386" s="139" t="str">
        <f t="shared" si="6"/>
        <v>View on Google Map</v>
      </c>
      <c r="N386" s="133">
        <f t="shared" si="7"/>
        <v>31</v>
      </c>
    </row>
    <row r="387" spans="1:14" x14ac:dyDescent="0.2">
      <c r="A387" s="133">
        <v>320</v>
      </c>
      <c r="B387" s="133" t="s">
        <v>1249</v>
      </c>
      <c r="C387" s="133" t="s">
        <v>1250</v>
      </c>
      <c r="D387" s="133">
        <v>68.576887217199996</v>
      </c>
      <c r="E387" s="133">
        <v>-149.17782305899999</v>
      </c>
      <c r="F387" s="133">
        <v>891</v>
      </c>
      <c r="G387" s="133" t="s">
        <v>500</v>
      </c>
      <c r="H387" s="133" t="s">
        <v>1251</v>
      </c>
      <c r="I387" s="133" t="s">
        <v>489</v>
      </c>
      <c r="J387" s="133" t="s">
        <v>782</v>
      </c>
      <c r="K387" s="133" t="s">
        <v>489</v>
      </c>
      <c r="L387" s="133" t="s">
        <v>783</v>
      </c>
      <c r="M387" s="139" t="str">
        <f t="shared" ref="M387:M450" si="8">HYPERLINK("http://maps.google.com/maps?q="&amp;D387&amp;","&amp;E387,"View on Google Map")</f>
        <v>View on Google Map</v>
      </c>
      <c r="N387" s="133">
        <f t="shared" si="7"/>
        <v>32</v>
      </c>
    </row>
    <row r="388" spans="1:14" x14ac:dyDescent="0.2">
      <c r="A388" s="133">
        <v>321</v>
      </c>
      <c r="B388" s="133" t="s">
        <v>1252</v>
      </c>
      <c r="C388" s="133" t="s">
        <v>1253</v>
      </c>
      <c r="D388" s="133">
        <v>68.581215404199995</v>
      </c>
      <c r="E388" s="133">
        <v>-149.17874205800001</v>
      </c>
      <c r="F388" s="133">
        <v>891</v>
      </c>
      <c r="G388" s="133" t="s">
        <v>500</v>
      </c>
      <c r="H388" s="133" t="s">
        <v>1254</v>
      </c>
      <c r="I388" s="133" t="s">
        <v>489</v>
      </c>
      <c r="J388" s="133" t="s">
        <v>782</v>
      </c>
      <c r="K388" s="133" t="s">
        <v>489</v>
      </c>
      <c r="L388" s="133" t="s">
        <v>783</v>
      </c>
      <c r="M388" s="139" t="str">
        <f t="shared" si="8"/>
        <v>View on Google Map</v>
      </c>
      <c r="N388" s="133">
        <f t="shared" si="7"/>
        <v>33</v>
      </c>
    </row>
    <row r="389" spans="1:14" x14ac:dyDescent="0.2">
      <c r="A389" s="133">
        <v>322</v>
      </c>
      <c r="B389" s="133" t="s">
        <v>1255</v>
      </c>
      <c r="C389" s="133" t="s">
        <v>1256</v>
      </c>
      <c r="D389" s="133">
        <v>68.587382761699999</v>
      </c>
      <c r="E389" s="133">
        <v>-149.144248847</v>
      </c>
      <c r="F389" s="133" t="s">
        <v>489</v>
      </c>
      <c r="G389" s="133" t="s">
        <v>500</v>
      </c>
      <c r="H389" s="133" t="s">
        <v>1257</v>
      </c>
      <c r="I389" s="133" t="s">
        <v>489</v>
      </c>
      <c r="J389" s="133" t="s">
        <v>782</v>
      </c>
      <c r="K389" s="133" t="s">
        <v>489</v>
      </c>
      <c r="L389" s="133" t="s">
        <v>783</v>
      </c>
      <c r="M389" s="139" t="str">
        <f t="shared" si="8"/>
        <v>View on Google Map</v>
      </c>
      <c r="N389" s="133">
        <f t="shared" si="7"/>
        <v>34</v>
      </c>
    </row>
    <row r="390" spans="1:14" x14ac:dyDescent="0.2">
      <c r="A390" s="133">
        <v>323</v>
      </c>
      <c r="B390" s="133" t="s">
        <v>1258</v>
      </c>
      <c r="C390" s="133" t="s">
        <v>1259</v>
      </c>
      <c r="D390" s="133">
        <v>68.548407480700007</v>
      </c>
      <c r="E390" s="133">
        <v>-150.03700547700001</v>
      </c>
      <c r="F390" s="133" t="s">
        <v>489</v>
      </c>
      <c r="G390" s="133" t="s">
        <v>500</v>
      </c>
      <c r="H390" s="133" t="s">
        <v>1260</v>
      </c>
      <c r="I390" s="133" t="s">
        <v>489</v>
      </c>
      <c r="J390" s="133" t="s">
        <v>782</v>
      </c>
      <c r="K390" s="133" t="s">
        <v>489</v>
      </c>
      <c r="L390" s="133" t="s">
        <v>783</v>
      </c>
      <c r="M390" s="139" t="str">
        <f t="shared" si="8"/>
        <v>View on Google Map</v>
      </c>
      <c r="N390" s="133">
        <f t="shared" si="7"/>
        <v>35</v>
      </c>
    </row>
    <row r="391" spans="1:14" x14ac:dyDescent="0.2">
      <c r="A391" s="133">
        <v>324</v>
      </c>
      <c r="B391" s="133" t="s">
        <v>1261</v>
      </c>
      <c r="C391" s="133" t="s">
        <v>1262</v>
      </c>
      <c r="D391" s="133">
        <v>68.550052273099993</v>
      </c>
      <c r="E391" s="133">
        <v>-150.02948327199999</v>
      </c>
      <c r="F391" s="133" t="s">
        <v>489</v>
      </c>
      <c r="G391" s="133" t="s">
        <v>500</v>
      </c>
      <c r="H391" s="133" t="s">
        <v>1263</v>
      </c>
      <c r="I391" s="133" t="s">
        <v>489</v>
      </c>
      <c r="J391" s="133" t="s">
        <v>782</v>
      </c>
      <c r="K391" s="133" t="s">
        <v>489</v>
      </c>
      <c r="L391" s="133" t="s">
        <v>783</v>
      </c>
      <c r="M391" s="139" t="str">
        <f t="shared" si="8"/>
        <v>View on Google Map</v>
      </c>
      <c r="N391" s="133">
        <f t="shared" si="7"/>
        <v>36</v>
      </c>
    </row>
    <row r="392" spans="1:14" x14ac:dyDescent="0.2">
      <c r="A392" s="133">
        <v>325</v>
      </c>
      <c r="B392" s="133" t="s">
        <v>1264</v>
      </c>
      <c r="C392" s="133" t="s">
        <v>1265</v>
      </c>
      <c r="D392" s="133">
        <v>68.5460242857</v>
      </c>
      <c r="E392" s="133">
        <v>-150.02463014</v>
      </c>
      <c r="F392" s="133" t="s">
        <v>489</v>
      </c>
      <c r="G392" s="133" t="s">
        <v>500</v>
      </c>
      <c r="H392" s="133" t="s">
        <v>1266</v>
      </c>
      <c r="I392" s="133" t="s">
        <v>489</v>
      </c>
      <c r="J392" s="133" t="s">
        <v>782</v>
      </c>
      <c r="K392" s="133" t="s">
        <v>489</v>
      </c>
      <c r="L392" s="133" t="s">
        <v>783</v>
      </c>
      <c r="M392" s="139" t="str">
        <f t="shared" si="8"/>
        <v>View on Google Map</v>
      </c>
      <c r="N392" s="133">
        <f t="shared" si="7"/>
        <v>37</v>
      </c>
    </row>
    <row r="393" spans="1:14" x14ac:dyDescent="0.2">
      <c r="A393" s="133">
        <v>326</v>
      </c>
      <c r="B393" s="133" t="s">
        <v>1267</v>
      </c>
      <c r="C393" s="133" t="s">
        <v>1268</v>
      </c>
      <c r="D393" s="133">
        <v>68.550135830100004</v>
      </c>
      <c r="E393" s="133">
        <v>-150.01499602000001</v>
      </c>
      <c r="F393" s="133" t="s">
        <v>489</v>
      </c>
      <c r="G393" s="133" t="s">
        <v>500</v>
      </c>
      <c r="H393" s="133" t="s">
        <v>1269</v>
      </c>
      <c r="I393" s="133" t="s">
        <v>489</v>
      </c>
      <c r="J393" s="133" t="s">
        <v>782</v>
      </c>
      <c r="K393" s="133" t="s">
        <v>489</v>
      </c>
      <c r="L393" s="133" t="s">
        <v>783</v>
      </c>
      <c r="M393" s="139" t="str">
        <f t="shared" si="8"/>
        <v>View on Google Map</v>
      </c>
      <c r="N393" s="133">
        <f t="shared" si="7"/>
        <v>38</v>
      </c>
    </row>
    <row r="394" spans="1:14" x14ac:dyDescent="0.2">
      <c r="A394" s="133">
        <v>327</v>
      </c>
      <c r="B394" s="133" t="s">
        <v>1270</v>
      </c>
      <c r="C394" s="133" t="s">
        <v>1271</v>
      </c>
      <c r="D394" s="133">
        <v>68.556356553000001</v>
      </c>
      <c r="E394" s="133">
        <v>-150.01283142599999</v>
      </c>
      <c r="F394" s="133" t="s">
        <v>489</v>
      </c>
      <c r="G394" s="133" t="s">
        <v>500</v>
      </c>
      <c r="H394" s="133" t="s">
        <v>1272</v>
      </c>
      <c r="I394" s="133" t="s">
        <v>489</v>
      </c>
      <c r="J394" s="133" t="s">
        <v>782</v>
      </c>
      <c r="K394" s="133" t="s">
        <v>489</v>
      </c>
      <c r="L394" s="133" t="s">
        <v>783</v>
      </c>
      <c r="M394" s="139" t="str">
        <f t="shared" si="8"/>
        <v>View on Google Map</v>
      </c>
      <c r="N394" s="133">
        <f t="shared" si="7"/>
        <v>39</v>
      </c>
    </row>
    <row r="395" spans="1:14" x14ac:dyDescent="0.2">
      <c r="A395" s="133">
        <v>328</v>
      </c>
      <c r="B395" s="133" t="s">
        <v>1273</v>
      </c>
      <c r="C395" s="133" t="s">
        <v>1274</v>
      </c>
      <c r="D395" s="133">
        <v>68.565564884200001</v>
      </c>
      <c r="E395" s="133">
        <v>-150.00164362699999</v>
      </c>
      <c r="F395" s="133" t="s">
        <v>489</v>
      </c>
      <c r="G395" s="133" t="s">
        <v>500</v>
      </c>
      <c r="H395" s="133" t="s">
        <v>1275</v>
      </c>
      <c r="I395" s="133" t="s">
        <v>489</v>
      </c>
      <c r="J395" s="133" t="s">
        <v>782</v>
      </c>
      <c r="K395" s="133" t="s">
        <v>489</v>
      </c>
      <c r="L395" s="133" t="s">
        <v>783</v>
      </c>
      <c r="M395" s="139" t="str">
        <f t="shared" si="8"/>
        <v>View on Google Map</v>
      </c>
      <c r="N395" s="133">
        <f t="shared" si="7"/>
        <v>40</v>
      </c>
    </row>
    <row r="396" spans="1:14" x14ac:dyDescent="0.2">
      <c r="A396" s="133">
        <v>329</v>
      </c>
      <c r="B396" s="133" t="s">
        <v>1276</v>
      </c>
      <c r="C396" s="133" t="s">
        <v>1277</v>
      </c>
      <c r="D396" s="133">
        <v>68.567838099200003</v>
      </c>
      <c r="E396" s="133">
        <v>-149.99849875500001</v>
      </c>
      <c r="F396" s="133" t="s">
        <v>489</v>
      </c>
      <c r="G396" s="133" t="s">
        <v>500</v>
      </c>
      <c r="H396" s="133" t="s">
        <v>1278</v>
      </c>
      <c r="I396" s="133" t="s">
        <v>489</v>
      </c>
      <c r="J396" s="133" t="s">
        <v>782</v>
      </c>
      <c r="K396" s="133" t="s">
        <v>489</v>
      </c>
      <c r="L396" s="133" t="s">
        <v>783</v>
      </c>
      <c r="M396" s="139" t="str">
        <f t="shared" si="8"/>
        <v>View on Google Map</v>
      </c>
      <c r="N396" s="133">
        <f t="shared" si="7"/>
        <v>41</v>
      </c>
    </row>
    <row r="397" spans="1:14" x14ac:dyDescent="0.2">
      <c r="A397" s="133">
        <v>330</v>
      </c>
      <c r="B397" s="133" t="s">
        <v>1279</v>
      </c>
      <c r="C397" s="133" t="s">
        <v>1280</v>
      </c>
      <c r="D397" s="133">
        <v>68.5855663241</v>
      </c>
      <c r="E397" s="133">
        <v>-149.98167511</v>
      </c>
      <c r="F397" s="133" t="s">
        <v>489</v>
      </c>
      <c r="G397" s="133" t="s">
        <v>500</v>
      </c>
      <c r="H397" s="133" t="s">
        <v>1281</v>
      </c>
      <c r="I397" s="133" t="s">
        <v>489</v>
      </c>
      <c r="J397" s="133" t="s">
        <v>782</v>
      </c>
      <c r="K397" s="133" t="s">
        <v>489</v>
      </c>
      <c r="L397" s="133" t="s">
        <v>783</v>
      </c>
      <c r="M397" s="139" t="str">
        <f t="shared" si="8"/>
        <v>View on Google Map</v>
      </c>
      <c r="N397" s="133">
        <f t="shared" si="7"/>
        <v>42</v>
      </c>
    </row>
    <row r="398" spans="1:14" x14ac:dyDescent="0.2">
      <c r="A398" s="133">
        <v>331</v>
      </c>
      <c r="B398" s="133" t="s">
        <v>1282</v>
      </c>
      <c r="C398" s="133" t="s">
        <v>1283</v>
      </c>
      <c r="D398" s="133">
        <v>68.534049837699996</v>
      </c>
      <c r="E398" s="133">
        <v>-149.157309078</v>
      </c>
      <c r="F398" s="133">
        <v>926</v>
      </c>
      <c r="G398" s="133" t="s">
        <v>500</v>
      </c>
      <c r="H398" s="133" t="s">
        <v>1284</v>
      </c>
      <c r="I398" s="133" t="s">
        <v>489</v>
      </c>
      <c r="J398" s="133" t="s">
        <v>782</v>
      </c>
      <c r="K398" s="133" t="s">
        <v>489</v>
      </c>
      <c r="L398" s="133" t="s">
        <v>783</v>
      </c>
      <c r="M398" s="139" t="str">
        <f t="shared" si="8"/>
        <v>View on Google Map</v>
      </c>
      <c r="N398" s="133">
        <f t="shared" si="7"/>
        <v>43</v>
      </c>
    </row>
    <row r="399" spans="1:14" x14ac:dyDescent="0.2">
      <c r="A399" s="133">
        <v>332</v>
      </c>
      <c r="B399" s="133" t="s">
        <v>1285</v>
      </c>
      <c r="C399" s="133" t="s">
        <v>1286</v>
      </c>
      <c r="D399" s="133">
        <v>68.533584622000006</v>
      </c>
      <c r="E399" s="133">
        <v>-149.16705049699999</v>
      </c>
      <c r="F399" s="133" t="s">
        <v>489</v>
      </c>
      <c r="G399" s="133" t="s">
        <v>500</v>
      </c>
      <c r="H399" s="133" t="s">
        <v>1287</v>
      </c>
      <c r="I399" s="133" t="s">
        <v>489</v>
      </c>
      <c r="J399" s="133" t="s">
        <v>782</v>
      </c>
      <c r="K399" s="133" t="s">
        <v>489</v>
      </c>
      <c r="L399" s="133" t="s">
        <v>783</v>
      </c>
      <c r="M399" s="139" t="str">
        <f t="shared" si="8"/>
        <v>View on Google Map</v>
      </c>
      <c r="N399" s="133">
        <f t="shared" si="7"/>
        <v>44</v>
      </c>
    </row>
    <row r="400" spans="1:14" x14ac:dyDescent="0.2">
      <c r="A400" s="133">
        <v>333</v>
      </c>
      <c r="B400" s="133" t="s">
        <v>1288</v>
      </c>
      <c r="C400" s="133" t="s">
        <v>1289</v>
      </c>
      <c r="D400" s="133">
        <v>68.533269411600003</v>
      </c>
      <c r="E400" s="133">
        <v>-149.19565723900001</v>
      </c>
      <c r="F400" s="133">
        <v>899</v>
      </c>
      <c r="G400" s="133" t="s">
        <v>500</v>
      </c>
      <c r="H400" s="133" t="s">
        <v>1290</v>
      </c>
      <c r="I400" s="133" t="s">
        <v>489</v>
      </c>
      <c r="J400" s="133" t="s">
        <v>782</v>
      </c>
      <c r="K400" s="133" t="s">
        <v>489</v>
      </c>
      <c r="L400" s="133" t="s">
        <v>783</v>
      </c>
      <c r="M400" s="139" t="str">
        <f t="shared" si="8"/>
        <v>View on Google Map</v>
      </c>
      <c r="N400" s="133">
        <f t="shared" si="7"/>
        <v>45</v>
      </c>
    </row>
    <row r="401" spans="1:14" x14ac:dyDescent="0.2">
      <c r="A401" s="133">
        <v>335</v>
      </c>
      <c r="B401" s="133" t="s">
        <v>1291</v>
      </c>
      <c r="C401" s="133" t="s">
        <v>1292</v>
      </c>
      <c r="D401" s="133">
        <v>68.516771954500001</v>
      </c>
      <c r="E401" s="133">
        <v>-150.05742084799999</v>
      </c>
      <c r="F401" s="133" t="s">
        <v>489</v>
      </c>
      <c r="G401" s="133" t="s">
        <v>500</v>
      </c>
      <c r="H401" s="133" t="s">
        <v>1293</v>
      </c>
      <c r="I401" s="133" t="s">
        <v>489</v>
      </c>
      <c r="J401" s="133" t="s">
        <v>782</v>
      </c>
      <c r="K401" s="133" t="s">
        <v>489</v>
      </c>
      <c r="L401" s="133" t="s">
        <v>783</v>
      </c>
      <c r="M401" s="139" t="str">
        <f t="shared" si="8"/>
        <v>View on Google Map</v>
      </c>
      <c r="N401" s="133">
        <f t="shared" si="7"/>
        <v>47</v>
      </c>
    </row>
    <row r="402" spans="1:14" x14ac:dyDescent="0.2">
      <c r="A402" s="133">
        <v>336</v>
      </c>
      <c r="B402" s="133" t="s">
        <v>1294</v>
      </c>
      <c r="C402" s="133" t="s">
        <v>1295</v>
      </c>
      <c r="D402" s="133">
        <v>68.531484729400006</v>
      </c>
      <c r="E402" s="133">
        <v>-150.04821666999999</v>
      </c>
      <c r="F402" s="133" t="s">
        <v>489</v>
      </c>
      <c r="G402" s="133" t="s">
        <v>500</v>
      </c>
      <c r="H402" s="133" t="s">
        <v>1296</v>
      </c>
      <c r="I402" s="133" t="s">
        <v>489</v>
      </c>
      <c r="J402" s="133" t="s">
        <v>782</v>
      </c>
      <c r="K402" s="133" t="s">
        <v>489</v>
      </c>
      <c r="L402" s="133" t="s">
        <v>783</v>
      </c>
      <c r="M402" s="139" t="str">
        <f t="shared" si="8"/>
        <v>View on Google Map</v>
      </c>
      <c r="N402" s="133">
        <f t="shared" si="7"/>
        <v>48</v>
      </c>
    </row>
    <row r="403" spans="1:14" x14ac:dyDescent="0.2">
      <c r="A403" s="133">
        <v>337</v>
      </c>
      <c r="B403" s="133" t="s">
        <v>1297</v>
      </c>
      <c r="C403" s="133" t="s">
        <v>1298</v>
      </c>
      <c r="D403" s="133">
        <v>68.525496449800002</v>
      </c>
      <c r="E403" s="133">
        <v>-150.03164010200001</v>
      </c>
      <c r="F403" s="133" t="s">
        <v>489</v>
      </c>
      <c r="G403" s="133" t="s">
        <v>500</v>
      </c>
      <c r="H403" s="133" t="s">
        <v>1299</v>
      </c>
      <c r="I403" s="133" t="s">
        <v>489</v>
      </c>
      <c r="J403" s="133" t="s">
        <v>782</v>
      </c>
      <c r="K403" s="133" t="s">
        <v>489</v>
      </c>
      <c r="L403" s="133" t="s">
        <v>783</v>
      </c>
      <c r="M403" s="139" t="str">
        <f t="shared" si="8"/>
        <v>View on Google Map</v>
      </c>
      <c r="N403" s="133">
        <f t="shared" si="7"/>
        <v>49</v>
      </c>
    </row>
    <row r="404" spans="1:14" x14ac:dyDescent="0.2">
      <c r="A404" s="133">
        <v>338</v>
      </c>
      <c r="B404" s="133" t="s">
        <v>1300</v>
      </c>
      <c r="C404" s="133" t="s">
        <v>1301</v>
      </c>
      <c r="D404" s="133">
        <v>68.522395926599998</v>
      </c>
      <c r="E404" s="133">
        <v>-150.02260567299999</v>
      </c>
      <c r="F404" s="133" t="s">
        <v>489</v>
      </c>
      <c r="G404" s="133" t="s">
        <v>500</v>
      </c>
      <c r="H404" s="133" t="s">
        <v>1302</v>
      </c>
      <c r="I404" s="133" t="s">
        <v>489</v>
      </c>
      <c r="J404" s="133" t="s">
        <v>782</v>
      </c>
      <c r="K404" s="133" t="s">
        <v>489</v>
      </c>
      <c r="L404" s="133" t="s">
        <v>783</v>
      </c>
      <c r="M404" s="139" t="str">
        <f t="shared" si="8"/>
        <v>View on Google Map</v>
      </c>
      <c r="N404" s="133">
        <f t="shared" si="7"/>
        <v>50</v>
      </c>
    </row>
    <row r="405" spans="1:14" x14ac:dyDescent="0.2">
      <c r="A405" s="133">
        <v>339</v>
      </c>
      <c r="B405" s="133" t="s">
        <v>1303</v>
      </c>
      <c r="C405" s="133" t="s">
        <v>1304</v>
      </c>
      <c r="D405" s="133">
        <v>68.574095052399997</v>
      </c>
      <c r="E405" s="133">
        <v>-149.97662969199999</v>
      </c>
      <c r="F405" s="133" t="s">
        <v>489</v>
      </c>
      <c r="G405" s="133" t="s">
        <v>500</v>
      </c>
      <c r="H405" s="133" t="s">
        <v>1305</v>
      </c>
      <c r="I405" s="133" t="s">
        <v>489</v>
      </c>
      <c r="J405" s="133" t="s">
        <v>782</v>
      </c>
      <c r="K405" s="133" t="s">
        <v>489</v>
      </c>
      <c r="L405" s="133" t="s">
        <v>783</v>
      </c>
      <c r="M405" s="139" t="str">
        <f t="shared" si="8"/>
        <v>View on Google Map</v>
      </c>
      <c r="N405" s="133">
        <f t="shared" si="7"/>
        <v>51</v>
      </c>
    </row>
    <row r="406" spans="1:14" x14ac:dyDescent="0.2">
      <c r="A406" s="133">
        <v>340</v>
      </c>
      <c r="B406" s="133" t="s">
        <v>1306</v>
      </c>
      <c r="C406" s="133" t="s">
        <v>1307</v>
      </c>
      <c r="D406" s="133">
        <v>68.571671305899997</v>
      </c>
      <c r="E406" s="133">
        <v>-149.972667672</v>
      </c>
      <c r="F406" s="133" t="s">
        <v>489</v>
      </c>
      <c r="G406" s="133" t="s">
        <v>500</v>
      </c>
      <c r="H406" s="133" t="s">
        <v>1308</v>
      </c>
      <c r="I406" s="133" t="s">
        <v>489</v>
      </c>
      <c r="J406" s="133" t="s">
        <v>782</v>
      </c>
      <c r="K406" s="133" t="s">
        <v>489</v>
      </c>
      <c r="L406" s="133" t="s">
        <v>783</v>
      </c>
      <c r="M406" s="139" t="str">
        <f t="shared" si="8"/>
        <v>View on Google Map</v>
      </c>
      <c r="N406" s="133">
        <f t="shared" si="7"/>
        <v>52</v>
      </c>
    </row>
    <row r="407" spans="1:14" x14ac:dyDescent="0.2">
      <c r="A407" s="133">
        <v>341</v>
      </c>
      <c r="B407" s="133" t="s">
        <v>1309</v>
      </c>
      <c r="C407" s="133" t="s">
        <v>1310</v>
      </c>
      <c r="D407" s="133">
        <v>68.562791718200003</v>
      </c>
      <c r="E407" s="133">
        <v>-149.977791473</v>
      </c>
      <c r="F407" s="133" t="s">
        <v>489</v>
      </c>
      <c r="G407" s="133" t="s">
        <v>500</v>
      </c>
      <c r="H407" s="133" t="s">
        <v>1311</v>
      </c>
      <c r="I407" s="133" t="s">
        <v>489</v>
      </c>
      <c r="J407" s="133" t="s">
        <v>782</v>
      </c>
      <c r="K407" s="133" t="s">
        <v>489</v>
      </c>
      <c r="L407" s="133" t="s">
        <v>783</v>
      </c>
      <c r="M407" s="139" t="str">
        <f t="shared" si="8"/>
        <v>View on Google Map</v>
      </c>
      <c r="N407" s="133">
        <f t="shared" si="7"/>
        <v>53</v>
      </c>
    </row>
    <row r="408" spans="1:14" x14ac:dyDescent="0.2">
      <c r="A408" s="133">
        <v>342</v>
      </c>
      <c r="B408" s="133" t="s">
        <v>1312</v>
      </c>
      <c r="C408" s="133" t="s">
        <v>1313</v>
      </c>
      <c r="D408" s="133">
        <v>68.556077412199997</v>
      </c>
      <c r="E408" s="133">
        <v>-149.93361884199999</v>
      </c>
      <c r="F408" s="133" t="s">
        <v>489</v>
      </c>
      <c r="G408" s="133" t="s">
        <v>500</v>
      </c>
      <c r="H408" s="133" t="s">
        <v>1314</v>
      </c>
      <c r="I408" s="133" t="s">
        <v>489</v>
      </c>
      <c r="J408" s="133" t="s">
        <v>782</v>
      </c>
      <c r="K408" s="133" t="s">
        <v>489</v>
      </c>
      <c r="L408" s="133" t="s">
        <v>783</v>
      </c>
      <c r="M408" s="139" t="str">
        <f t="shared" si="8"/>
        <v>View on Google Map</v>
      </c>
      <c r="N408" s="133">
        <f t="shared" si="7"/>
        <v>54</v>
      </c>
    </row>
    <row r="409" spans="1:14" x14ac:dyDescent="0.2">
      <c r="A409" s="133">
        <v>343</v>
      </c>
      <c r="B409" s="133" t="s">
        <v>1315</v>
      </c>
      <c r="C409" s="133" t="s">
        <v>1316</v>
      </c>
      <c r="D409" s="133">
        <v>68.567959712100006</v>
      </c>
      <c r="E409" s="133">
        <v>-149.89938475599999</v>
      </c>
      <c r="F409" s="133" t="s">
        <v>489</v>
      </c>
      <c r="G409" s="133" t="s">
        <v>500</v>
      </c>
      <c r="H409" s="133" t="s">
        <v>1317</v>
      </c>
      <c r="I409" s="133" t="s">
        <v>489</v>
      </c>
      <c r="J409" s="133" t="s">
        <v>782</v>
      </c>
      <c r="K409" s="133" t="s">
        <v>489</v>
      </c>
      <c r="L409" s="133" t="s">
        <v>783</v>
      </c>
      <c r="M409" s="139" t="str">
        <f t="shared" si="8"/>
        <v>View on Google Map</v>
      </c>
      <c r="N409" s="133">
        <f t="shared" si="7"/>
        <v>55</v>
      </c>
    </row>
    <row r="410" spans="1:14" x14ac:dyDescent="0.2">
      <c r="A410" s="133">
        <v>344</v>
      </c>
      <c r="B410" s="133" t="s">
        <v>1318</v>
      </c>
      <c r="C410" s="133" t="s">
        <v>1319</v>
      </c>
      <c r="D410" s="133">
        <v>68.615854386999999</v>
      </c>
      <c r="E410" s="133">
        <v>-149.123111674</v>
      </c>
      <c r="F410" s="133" t="s">
        <v>489</v>
      </c>
      <c r="G410" s="133" t="s">
        <v>500</v>
      </c>
      <c r="H410" s="133" t="s">
        <v>1320</v>
      </c>
      <c r="I410" s="133" t="s">
        <v>489</v>
      </c>
      <c r="J410" s="133" t="s">
        <v>782</v>
      </c>
      <c r="K410" s="133" t="s">
        <v>489</v>
      </c>
      <c r="L410" s="133" t="s">
        <v>783</v>
      </c>
      <c r="M410" s="139" t="str">
        <f t="shared" si="8"/>
        <v>View on Google Map</v>
      </c>
      <c r="N410" s="133">
        <f t="shared" si="7"/>
        <v>56</v>
      </c>
    </row>
    <row r="411" spans="1:14" x14ac:dyDescent="0.2">
      <c r="A411" s="133">
        <v>345</v>
      </c>
      <c r="B411" s="133" t="s">
        <v>1321</v>
      </c>
      <c r="C411" s="133" t="s">
        <v>1322</v>
      </c>
      <c r="D411" s="133">
        <v>68.622759303600006</v>
      </c>
      <c r="E411" s="133">
        <v>-149.15087640600001</v>
      </c>
      <c r="F411" s="133">
        <v>861</v>
      </c>
      <c r="G411" s="133" t="s">
        <v>500</v>
      </c>
      <c r="H411" s="133" t="s">
        <v>1323</v>
      </c>
      <c r="I411" s="133" t="s">
        <v>489</v>
      </c>
      <c r="J411" s="133" t="s">
        <v>782</v>
      </c>
      <c r="K411" s="133" t="s">
        <v>489</v>
      </c>
      <c r="L411" s="133" t="s">
        <v>783</v>
      </c>
      <c r="M411" s="139" t="str">
        <f t="shared" si="8"/>
        <v>View on Google Map</v>
      </c>
      <c r="N411" s="133">
        <f t="shared" si="7"/>
        <v>57</v>
      </c>
    </row>
    <row r="412" spans="1:14" x14ac:dyDescent="0.2">
      <c r="A412" s="133">
        <v>346</v>
      </c>
      <c r="B412" s="133" t="s">
        <v>1324</v>
      </c>
      <c r="C412" s="133" t="s">
        <v>1325</v>
      </c>
      <c r="D412" s="133">
        <v>68.625381351599998</v>
      </c>
      <c r="E412" s="133">
        <v>-149.13918719200001</v>
      </c>
      <c r="F412" s="133">
        <v>877</v>
      </c>
      <c r="G412" s="133" t="s">
        <v>500</v>
      </c>
      <c r="H412" s="133" t="s">
        <v>1326</v>
      </c>
      <c r="I412" s="133" t="s">
        <v>489</v>
      </c>
      <c r="J412" s="133" t="s">
        <v>782</v>
      </c>
      <c r="K412" s="133" t="s">
        <v>489</v>
      </c>
      <c r="L412" s="133" t="s">
        <v>783</v>
      </c>
      <c r="M412" s="139" t="str">
        <f t="shared" si="8"/>
        <v>View on Google Map</v>
      </c>
      <c r="N412" s="133">
        <f t="shared" si="7"/>
        <v>58</v>
      </c>
    </row>
    <row r="413" spans="1:14" x14ac:dyDescent="0.2">
      <c r="A413" s="133">
        <v>347</v>
      </c>
      <c r="B413" s="133" t="s">
        <v>1327</v>
      </c>
      <c r="C413" s="133" t="s">
        <v>1328</v>
      </c>
      <c r="D413" s="133">
        <v>68.630955107899993</v>
      </c>
      <c r="E413" s="133">
        <v>-149.161535972</v>
      </c>
      <c r="F413" s="133">
        <v>858</v>
      </c>
      <c r="G413" s="133" t="s">
        <v>500</v>
      </c>
      <c r="H413" s="133" t="s">
        <v>1329</v>
      </c>
      <c r="I413" s="133" t="s">
        <v>489</v>
      </c>
      <c r="J413" s="133" t="s">
        <v>782</v>
      </c>
      <c r="K413" s="133" t="s">
        <v>489</v>
      </c>
      <c r="L413" s="133" t="s">
        <v>783</v>
      </c>
      <c r="M413" s="139" t="str">
        <f t="shared" si="8"/>
        <v>View on Google Map</v>
      </c>
      <c r="N413" s="133">
        <f t="shared" si="7"/>
        <v>59</v>
      </c>
    </row>
    <row r="414" spans="1:14" x14ac:dyDescent="0.2">
      <c r="A414" s="133">
        <v>348</v>
      </c>
      <c r="B414" s="133" t="s">
        <v>1330</v>
      </c>
      <c r="C414" s="133" t="s">
        <v>1331</v>
      </c>
      <c r="D414" s="133">
        <v>68.636431312400006</v>
      </c>
      <c r="E414" s="133">
        <v>-149.14390222200001</v>
      </c>
      <c r="F414" s="133" t="s">
        <v>489</v>
      </c>
      <c r="G414" s="133" t="s">
        <v>500</v>
      </c>
      <c r="H414" s="133" t="s">
        <v>1332</v>
      </c>
      <c r="I414" s="133" t="s">
        <v>489</v>
      </c>
      <c r="J414" s="133" t="s">
        <v>782</v>
      </c>
      <c r="K414" s="133" t="s">
        <v>489</v>
      </c>
      <c r="L414" s="133" t="s">
        <v>783</v>
      </c>
      <c r="M414" s="139" t="str">
        <f t="shared" si="8"/>
        <v>View on Google Map</v>
      </c>
      <c r="N414" s="133">
        <f t="shared" si="7"/>
        <v>60</v>
      </c>
    </row>
    <row r="415" spans="1:14" x14ac:dyDescent="0.2">
      <c r="A415" s="133">
        <v>349</v>
      </c>
      <c r="B415" s="133" t="s">
        <v>1333</v>
      </c>
      <c r="C415" s="133" t="s">
        <v>1334</v>
      </c>
      <c r="D415" s="133">
        <v>68.638723598300004</v>
      </c>
      <c r="E415" s="133">
        <v>-149.17862426400001</v>
      </c>
      <c r="F415" s="133" t="s">
        <v>489</v>
      </c>
      <c r="G415" s="133" t="s">
        <v>500</v>
      </c>
      <c r="H415" s="133" t="s">
        <v>1335</v>
      </c>
      <c r="I415" s="133" t="s">
        <v>489</v>
      </c>
      <c r="J415" s="133" t="s">
        <v>782</v>
      </c>
      <c r="K415" s="133" t="s">
        <v>489</v>
      </c>
      <c r="L415" s="133" t="s">
        <v>783</v>
      </c>
      <c r="M415" s="139" t="str">
        <f t="shared" si="8"/>
        <v>View on Google Map</v>
      </c>
      <c r="N415" s="133">
        <f t="shared" si="7"/>
        <v>61</v>
      </c>
    </row>
    <row r="416" spans="1:14" x14ac:dyDescent="0.2">
      <c r="A416" s="133">
        <v>350</v>
      </c>
      <c r="B416" s="133" t="s">
        <v>1336</v>
      </c>
      <c r="C416" s="133" t="s">
        <v>1337</v>
      </c>
      <c r="D416" s="133">
        <v>68.634874735899999</v>
      </c>
      <c r="E416" s="133">
        <v>-149.193728236</v>
      </c>
      <c r="F416" s="133" t="s">
        <v>489</v>
      </c>
      <c r="G416" s="133" t="s">
        <v>500</v>
      </c>
      <c r="H416" s="133" t="s">
        <v>1338</v>
      </c>
      <c r="I416" s="133" t="s">
        <v>489</v>
      </c>
      <c r="J416" s="133" t="s">
        <v>782</v>
      </c>
      <c r="K416" s="133" t="s">
        <v>489</v>
      </c>
      <c r="L416" s="133" t="s">
        <v>783</v>
      </c>
      <c r="M416" s="139" t="str">
        <f t="shared" si="8"/>
        <v>View on Google Map</v>
      </c>
      <c r="N416" s="133">
        <f t="shared" si="7"/>
        <v>62</v>
      </c>
    </row>
    <row r="417" spans="1:14" x14ac:dyDescent="0.2">
      <c r="A417" s="133">
        <v>351</v>
      </c>
      <c r="B417" s="133" t="s">
        <v>1339</v>
      </c>
      <c r="C417" s="133" t="s">
        <v>1340</v>
      </c>
      <c r="D417" s="133">
        <v>68.630921065799996</v>
      </c>
      <c r="E417" s="133">
        <v>-149.19135200100001</v>
      </c>
      <c r="F417" s="133" t="s">
        <v>489</v>
      </c>
      <c r="G417" s="133" t="s">
        <v>500</v>
      </c>
      <c r="H417" s="133" t="s">
        <v>1341</v>
      </c>
      <c r="I417" s="133" t="s">
        <v>489</v>
      </c>
      <c r="J417" s="133" t="s">
        <v>782</v>
      </c>
      <c r="K417" s="133" t="s">
        <v>489</v>
      </c>
      <c r="L417" s="133" t="s">
        <v>783</v>
      </c>
      <c r="M417" s="139" t="str">
        <f t="shared" si="8"/>
        <v>View on Google Map</v>
      </c>
      <c r="N417" s="133">
        <f t="shared" si="7"/>
        <v>63</v>
      </c>
    </row>
    <row r="418" spans="1:14" x14ac:dyDescent="0.2">
      <c r="A418" s="133">
        <v>352</v>
      </c>
      <c r="B418" s="133" t="s">
        <v>1342</v>
      </c>
      <c r="C418" s="133" t="s">
        <v>1343</v>
      </c>
      <c r="D418" s="133">
        <v>68.635774522800006</v>
      </c>
      <c r="E418" s="133">
        <v>-149.20688041899999</v>
      </c>
      <c r="F418" s="133" t="s">
        <v>489</v>
      </c>
      <c r="G418" s="133" t="s">
        <v>500</v>
      </c>
      <c r="H418" s="133" t="s">
        <v>1344</v>
      </c>
      <c r="I418" s="133" t="s">
        <v>489</v>
      </c>
      <c r="J418" s="133" t="s">
        <v>782</v>
      </c>
      <c r="K418" s="133" t="s">
        <v>489</v>
      </c>
      <c r="L418" s="133" t="s">
        <v>783</v>
      </c>
      <c r="M418" s="139" t="str">
        <f t="shared" si="8"/>
        <v>View on Google Map</v>
      </c>
      <c r="N418" s="133">
        <f t="shared" si="7"/>
        <v>64</v>
      </c>
    </row>
    <row r="419" spans="1:14" x14ac:dyDescent="0.2">
      <c r="A419" s="133">
        <v>353</v>
      </c>
      <c r="B419" s="133" t="s">
        <v>1345</v>
      </c>
      <c r="C419" s="133" t="s">
        <v>1346</v>
      </c>
      <c r="D419" s="133">
        <v>68.585080002200002</v>
      </c>
      <c r="E419" s="133">
        <v>-149.208359645</v>
      </c>
      <c r="F419" s="133">
        <v>898</v>
      </c>
      <c r="G419" s="133" t="s">
        <v>500</v>
      </c>
      <c r="H419" s="133" t="s">
        <v>1347</v>
      </c>
      <c r="I419" s="133" t="s">
        <v>489</v>
      </c>
      <c r="J419" s="133" t="s">
        <v>782</v>
      </c>
      <c r="K419" s="133" t="s">
        <v>489</v>
      </c>
      <c r="L419" s="133" t="s">
        <v>783</v>
      </c>
      <c r="M419" s="139" t="str">
        <f t="shared" si="8"/>
        <v>View on Google Map</v>
      </c>
      <c r="N419" s="133">
        <f t="shared" si="7"/>
        <v>65</v>
      </c>
    </row>
    <row r="420" spans="1:14" x14ac:dyDescent="0.2">
      <c r="A420" s="133">
        <v>354</v>
      </c>
      <c r="B420" s="133" t="s">
        <v>1348</v>
      </c>
      <c r="C420" s="133" t="s">
        <v>1349</v>
      </c>
      <c r="D420" s="133">
        <v>68.583148055099997</v>
      </c>
      <c r="E420" s="133">
        <v>-149.19950362399999</v>
      </c>
      <c r="F420" s="133">
        <v>896</v>
      </c>
      <c r="G420" s="133" t="s">
        <v>500</v>
      </c>
      <c r="H420" s="133" t="s">
        <v>1350</v>
      </c>
      <c r="I420" s="133" t="s">
        <v>489</v>
      </c>
      <c r="J420" s="133" t="s">
        <v>782</v>
      </c>
      <c r="K420" s="133" t="s">
        <v>489</v>
      </c>
      <c r="L420" s="133" t="s">
        <v>783</v>
      </c>
      <c r="M420" s="139" t="str">
        <f t="shared" si="8"/>
        <v>View on Google Map</v>
      </c>
      <c r="N420" s="133">
        <f t="shared" ref="N420:N434" si="9">VALUE(MID(H420,5,3))</f>
        <v>66</v>
      </c>
    </row>
    <row r="421" spans="1:14" x14ac:dyDescent="0.2">
      <c r="A421" s="133">
        <v>355</v>
      </c>
      <c r="B421" s="133" t="s">
        <v>1351</v>
      </c>
      <c r="C421" s="133" t="s">
        <v>1352</v>
      </c>
      <c r="D421" s="133">
        <v>68.589302268899999</v>
      </c>
      <c r="E421" s="133">
        <v>-149.18432651699999</v>
      </c>
      <c r="F421" s="133">
        <v>880</v>
      </c>
      <c r="G421" s="133" t="s">
        <v>500</v>
      </c>
      <c r="H421" s="133" t="s">
        <v>1353</v>
      </c>
      <c r="I421" s="133" t="s">
        <v>489</v>
      </c>
      <c r="J421" s="133" t="s">
        <v>782</v>
      </c>
      <c r="K421" s="133" t="s">
        <v>489</v>
      </c>
      <c r="L421" s="133" t="s">
        <v>783</v>
      </c>
      <c r="M421" s="139" t="str">
        <f t="shared" si="8"/>
        <v>View on Google Map</v>
      </c>
      <c r="N421" s="133">
        <f t="shared" si="9"/>
        <v>67</v>
      </c>
    </row>
    <row r="422" spans="1:14" x14ac:dyDescent="0.2">
      <c r="A422" s="133">
        <v>357</v>
      </c>
      <c r="B422" s="133" t="s">
        <v>1354</v>
      </c>
      <c r="C422" s="133" t="s">
        <v>1355</v>
      </c>
      <c r="D422" s="133">
        <v>68.595953562800005</v>
      </c>
      <c r="E422" s="133">
        <v>-149.161045868</v>
      </c>
      <c r="F422" s="133" t="s">
        <v>489</v>
      </c>
      <c r="G422" s="133" t="s">
        <v>500</v>
      </c>
      <c r="H422" s="133" t="s">
        <v>1356</v>
      </c>
      <c r="I422" s="133" t="s">
        <v>489</v>
      </c>
      <c r="J422" s="133" t="s">
        <v>782</v>
      </c>
      <c r="K422" s="133" t="s">
        <v>489</v>
      </c>
      <c r="L422" s="133" t="s">
        <v>783</v>
      </c>
      <c r="M422" s="139" t="str">
        <f t="shared" si="8"/>
        <v>View on Google Map</v>
      </c>
      <c r="N422" s="133">
        <f t="shared" si="9"/>
        <v>69</v>
      </c>
    </row>
    <row r="423" spans="1:14" x14ac:dyDescent="0.2">
      <c r="A423" s="133">
        <v>358</v>
      </c>
      <c r="B423" s="133" t="s">
        <v>1357</v>
      </c>
      <c r="C423" s="133" t="s">
        <v>1358</v>
      </c>
      <c r="D423" s="133">
        <v>68.590721600400002</v>
      </c>
      <c r="E423" s="133">
        <v>-149.17612158099999</v>
      </c>
      <c r="F423" s="133" t="s">
        <v>489</v>
      </c>
      <c r="G423" s="133" t="s">
        <v>500</v>
      </c>
      <c r="H423" s="133" t="s">
        <v>1359</v>
      </c>
      <c r="I423" s="133" t="s">
        <v>489</v>
      </c>
      <c r="J423" s="133" t="s">
        <v>782</v>
      </c>
      <c r="K423" s="133" t="s">
        <v>489</v>
      </c>
      <c r="L423" s="133" t="s">
        <v>783</v>
      </c>
      <c r="M423" s="139" t="str">
        <f t="shared" si="8"/>
        <v>View on Google Map</v>
      </c>
      <c r="N423" s="133">
        <f t="shared" si="9"/>
        <v>70</v>
      </c>
    </row>
    <row r="424" spans="1:14" x14ac:dyDescent="0.2">
      <c r="A424" s="133">
        <v>359</v>
      </c>
      <c r="B424" s="133" t="s">
        <v>1360</v>
      </c>
      <c r="C424" s="133" t="s">
        <v>1361</v>
      </c>
      <c r="D424" s="133">
        <v>68.600362864999994</v>
      </c>
      <c r="E424" s="133">
        <v>-149.14055367099999</v>
      </c>
      <c r="F424" s="133" t="s">
        <v>489</v>
      </c>
      <c r="G424" s="133" t="s">
        <v>500</v>
      </c>
      <c r="H424" s="133" t="s">
        <v>1362</v>
      </c>
      <c r="I424" s="133" t="s">
        <v>489</v>
      </c>
      <c r="J424" s="133" t="s">
        <v>782</v>
      </c>
      <c r="K424" s="133" t="s">
        <v>489</v>
      </c>
      <c r="L424" s="133" t="s">
        <v>783</v>
      </c>
      <c r="M424" s="139" t="str">
        <f t="shared" si="8"/>
        <v>View on Google Map</v>
      </c>
      <c r="N424" s="133">
        <f t="shared" si="9"/>
        <v>71</v>
      </c>
    </row>
    <row r="425" spans="1:14" x14ac:dyDescent="0.2">
      <c r="A425" s="133">
        <v>360</v>
      </c>
      <c r="B425" s="133" t="s">
        <v>1363</v>
      </c>
      <c r="C425" s="133" t="s">
        <v>1364</v>
      </c>
      <c r="D425" s="133">
        <v>68.610380375800005</v>
      </c>
      <c r="E425" s="133">
        <v>-149.15074315300001</v>
      </c>
      <c r="F425" s="133" t="s">
        <v>489</v>
      </c>
      <c r="G425" s="133" t="s">
        <v>500</v>
      </c>
      <c r="H425" s="133" t="s">
        <v>1365</v>
      </c>
      <c r="I425" s="133" t="s">
        <v>489</v>
      </c>
      <c r="J425" s="133" t="s">
        <v>782</v>
      </c>
      <c r="K425" s="133" t="s">
        <v>489</v>
      </c>
      <c r="L425" s="133" t="s">
        <v>783</v>
      </c>
      <c r="M425" s="139" t="str">
        <f t="shared" si="8"/>
        <v>View on Google Map</v>
      </c>
      <c r="N425" s="133">
        <f t="shared" si="9"/>
        <v>72</v>
      </c>
    </row>
    <row r="426" spans="1:14" x14ac:dyDescent="0.2">
      <c r="A426" s="133">
        <v>361</v>
      </c>
      <c r="B426" s="133" t="s">
        <v>1366</v>
      </c>
      <c r="C426" s="133" t="s">
        <v>1367</v>
      </c>
      <c r="D426" s="133">
        <v>68.6163784405</v>
      </c>
      <c r="E426" s="133">
        <v>-149.16060521700001</v>
      </c>
      <c r="F426" s="133" t="s">
        <v>489</v>
      </c>
      <c r="G426" s="133" t="s">
        <v>500</v>
      </c>
      <c r="H426" s="133" t="s">
        <v>1368</v>
      </c>
      <c r="I426" s="133" t="s">
        <v>489</v>
      </c>
      <c r="J426" s="133" t="s">
        <v>782</v>
      </c>
      <c r="K426" s="133" t="s">
        <v>489</v>
      </c>
      <c r="L426" s="133" t="s">
        <v>783</v>
      </c>
      <c r="M426" s="139" t="str">
        <f t="shared" si="8"/>
        <v>View on Google Map</v>
      </c>
      <c r="N426" s="133">
        <f t="shared" si="9"/>
        <v>73</v>
      </c>
    </row>
    <row r="427" spans="1:14" x14ac:dyDescent="0.2">
      <c r="A427" s="133">
        <v>362</v>
      </c>
      <c r="B427" s="133" t="s">
        <v>1369</v>
      </c>
      <c r="C427" s="133" t="s">
        <v>1370</v>
      </c>
      <c r="D427" s="133">
        <v>68.617934232500005</v>
      </c>
      <c r="E427" s="133">
        <v>-149.18594585299999</v>
      </c>
      <c r="F427" s="133" t="s">
        <v>489</v>
      </c>
      <c r="G427" s="133" t="s">
        <v>500</v>
      </c>
      <c r="H427" s="133" t="s">
        <v>1371</v>
      </c>
      <c r="I427" s="133" t="s">
        <v>489</v>
      </c>
      <c r="J427" s="133" t="s">
        <v>782</v>
      </c>
      <c r="K427" s="133" t="s">
        <v>489</v>
      </c>
      <c r="L427" s="133" t="s">
        <v>783</v>
      </c>
      <c r="M427" s="139" t="str">
        <f t="shared" si="8"/>
        <v>View on Google Map</v>
      </c>
      <c r="N427" s="133">
        <f t="shared" si="9"/>
        <v>74</v>
      </c>
    </row>
    <row r="428" spans="1:14" x14ac:dyDescent="0.2">
      <c r="A428" s="133">
        <v>363</v>
      </c>
      <c r="B428" s="133" t="s">
        <v>1372</v>
      </c>
      <c r="C428" s="133" t="s">
        <v>1373</v>
      </c>
      <c r="D428" s="133">
        <v>68.614396448299999</v>
      </c>
      <c r="E428" s="133">
        <v>-149.19403818800001</v>
      </c>
      <c r="F428" s="133" t="s">
        <v>489</v>
      </c>
      <c r="G428" s="133" t="s">
        <v>500</v>
      </c>
      <c r="H428" s="133" t="s">
        <v>1374</v>
      </c>
      <c r="I428" s="133" t="s">
        <v>489</v>
      </c>
      <c r="J428" s="133" t="s">
        <v>782</v>
      </c>
      <c r="K428" s="133" t="s">
        <v>489</v>
      </c>
      <c r="L428" s="133" t="s">
        <v>783</v>
      </c>
      <c r="M428" s="139" t="str">
        <f t="shared" si="8"/>
        <v>View on Google Map</v>
      </c>
      <c r="N428" s="133">
        <f t="shared" si="9"/>
        <v>75</v>
      </c>
    </row>
    <row r="429" spans="1:14" x14ac:dyDescent="0.2">
      <c r="A429" s="133">
        <v>364</v>
      </c>
      <c r="B429" s="133" t="s">
        <v>1375</v>
      </c>
      <c r="C429" s="133" t="s">
        <v>1376</v>
      </c>
      <c r="D429" s="133">
        <v>68.694256581000005</v>
      </c>
      <c r="E429" s="133">
        <v>-149.73679655699999</v>
      </c>
      <c r="F429" s="133" t="s">
        <v>489</v>
      </c>
      <c r="G429" s="133" t="s">
        <v>500</v>
      </c>
      <c r="H429" s="133" t="s">
        <v>1377</v>
      </c>
      <c r="I429" s="133" t="s">
        <v>489</v>
      </c>
      <c r="J429" s="133" t="s">
        <v>782</v>
      </c>
      <c r="K429" s="133" t="s">
        <v>489</v>
      </c>
      <c r="L429" s="133" t="s">
        <v>783</v>
      </c>
      <c r="M429" s="139" t="str">
        <f t="shared" si="8"/>
        <v>View on Google Map</v>
      </c>
      <c r="N429" s="133">
        <f t="shared" si="9"/>
        <v>76</v>
      </c>
    </row>
    <row r="430" spans="1:14" x14ac:dyDescent="0.2">
      <c r="A430" s="133">
        <v>365</v>
      </c>
      <c r="B430" s="133" t="s">
        <v>1378</v>
      </c>
      <c r="C430" s="133" t="s">
        <v>1379</v>
      </c>
      <c r="D430" s="133">
        <v>68.696056827099994</v>
      </c>
      <c r="E430" s="133">
        <v>-149.73131395300001</v>
      </c>
      <c r="F430" s="133" t="s">
        <v>489</v>
      </c>
      <c r="G430" s="133" t="s">
        <v>500</v>
      </c>
      <c r="H430" s="133" t="s">
        <v>1380</v>
      </c>
      <c r="I430" s="133" t="s">
        <v>489</v>
      </c>
      <c r="J430" s="133" t="s">
        <v>782</v>
      </c>
      <c r="K430" s="133" t="s">
        <v>489</v>
      </c>
      <c r="L430" s="133" t="s">
        <v>783</v>
      </c>
      <c r="M430" s="139" t="str">
        <f t="shared" si="8"/>
        <v>View on Google Map</v>
      </c>
      <c r="N430" s="133">
        <f t="shared" si="9"/>
        <v>77</v>
      </c>
    </row>
    <row r="431" spans="1:14" x14ac:dyDescent="0.2">
      <c r="A431" s="133">
        <v>366</v>
      </c>
      <c r="B431" s="133" t="s">
        <v>1381</v>
      </c>
      <c r="C431" s="133" t="s">
        <v>1382</v>
      </c>
      <c r="D431" s="133">
        <v>68.696468206399999</v>
      </c>
      <c r="E431" s="133">
        <v>-149.708828248</v>
      </c>
      <c r="F431" s="133" t="s">
        <v>489</v>
      </c>
      <c r="G431" s="133" t="s">
        <v>500</v>
      </c>
      <c r="H431" s="133" t="s">
        <v>1383</v>
      </c>
      <c r="I431" s="133" t="s">
        <v>489</v>
      </c>
      <c r="J431" s="133" t="s">
        <v>782</v>
      </c>
      <c r="K431" s="133" t="s">
        <v>489</v>
      </c>
      <c r="L431" s="133" t="s">
        <v>783</v>
      </c>
      <c r="M431" s="139" t="str">
        <f t="shared" si="8"/>
        <v>View on Google Map</v>
      </c>
      <c r="N431" s="133">
        <f t="shared" si="9"/>
        <v>78</v>
      </c>
    </row>
    <row r="432" spans="1:14" x14ac:dyDescent="0.2">
      <c r="A432" s="133">
        <v>367</v>
      </c>
      <c r="B432" s="133" t="s">
        <v>1384</v>
      </c>
      <c r="C432" s="133" t="s">
        <v>1385</v>
      </c>
      <c r="D432" s="133">
        <v>68.688141157800004</v>
      </c>
      <c r="E432" s="133">
        <v>-149.73555264800001</v>
      </c>
      <c r="F432" s="133" t="s">
        <v>489</v>
      </c>
      <c r="G432" s="133" t="s">
        <v>500</v>
      </c>
      <c r="H432" s="133" t="s">
        <v>1386</v>
      </c>
      <c r="I432" s="133" t="s">
        <v>489</v>
      </c>
      <c r="J432" s="133" t="s">
        <v>782</v>
      </c>
      <c r="K432" s="133" t="s">
        <v>489</v>
      </c>
      <c r="L432" s="133" t="s">
        <v>783</v>
      </c>
      <c r="M432" s="139" t="str">
        <f t="shared" si="8"/>
        <v>View on Google Map</v>
      </c>
      <c r="N432" s="133">
        <f t="shared" si="9"/>
        <v>79</v>
      </c>
    </row>
    <row r="433" spans="1:14" x14ac:dyDescent="0.2">
      <c r="A433" s="133">
        <v>368</v>
      </c>
      <c r="B433" s="133" t="s">
        <v>1387</v>
      </c>
      <c r="C433" s="133" t="s">
        <v>1388</v>
      </c>
      <c r="D433" s="133">
        <v>68.682810930000002</v>
      </c>
      <c r="E433" s="133">
        <v>-149.73974315500001</v>
      </c>
      <c r="F433" s="133" t="s">
        <v>489</v>
      </c>
      <c r="G433" s="133" t="s">
        <v>500</v>
      </c>
      <c r="H433" s="133" t="s">
        <v>1389</v>
      </c>
      <c r="I433" s="133" t="s">
        <v>489</v>
      </c>
      <c r="J433" s="133" t="s">
        <v>782</v>
      </c>
      <c r="K433" s="133" t="s">
        <v>489</v>
      </c>
      <c r="L433" s="133" t="s">
        <v>783</v>
      </c>
      <c r="M433" s="139" t="str">
        <f t="shared" si="8"/>
        <v>View on Google Map</v>
      </c>
      <c r="N433" s="133">
        <f t="shared" si="9"/>
        <v>80</v>
      </c>
    </row>
    <row r="434" spans="1:14" x14ac:dyDescent="0.2">
      <c r="A434" s="133">
        <v>369</v>
      </c>
      <c r="B434" s="133" t="s">
        <v>1390</v>
      </c>
      <c r="C434" s="133" t="s">
        <v>1391</v>
      </c>
      <c r="D434" s="133">
        <v>68.682815967099998</v>
      </c>
      <c r="E434" s="133">
        <v>-149.759701116</v>
      </c>
      <c r="F434" s="133" t="s">
        <v>489</v>
      </c>
      <c r="G434" s="133" t="s">
        <v>500</v>
      </c>
      <c r="H434" s="133" t="s">
        <v>1392</v>
      </c>
      <c r="I434" s="133" t="s">
        <v>489</v>
      </c>
      <c r="J434" s="133" t="s">
        <v>782</v>
      </c>
      <c r="K434" s="133" t="s">
        <v>489</v>
      </c>
      <c r="L434" s="133" t="s">
        <v>783</v>
      </c>
      <c r="M434" s="139" t="str">
        <f t="shared" si="8"/>
        <v>View on Google Map</v>
      </c>
      <c r="N434" s="133">
        <f t="shared" si="9"/>
        <v>81</v>
      </c>
    </row>
    <row r="435" spans="1:14" x14ac:dyDescent="0.2">
      <c r="A435" s="133">
        <v>1225</v>
      </c>
      <c r="B435" s="133" t="s">
        <v>1393</v>
      </c>
      <c r="C435" s="35" t="s">
        <v>1394</v>
      </c>
      <c r="D435" s="133">
        <v>68.641727000000003</v>
      </c>
      <c r="E435" s="133">
        <v>-149.58665300000001</v>
      </c>
      <c r="F435" s="133">
        <v>724</v>
      </c>
      <c r="G435" s="133" t="s">
        <v>490</v>
      </c>
      <c r="H435" s="133" t="s">
        <v>489</v>
      </c>
      <c r="I435" s="133" t="s">
        <v>489</v>
      </c>
      <c r="J435" s="133" t="s">
        <v>515</v>
      </c>
      <c r="K435" s="133" t="s">
        <v>489</v>
      </c>
      <c r="L435" s="133" t="s">
        <v>489</v>
      </c>
      <c r="M435" s="139" t="str">
        <f t="shared" si="8"/>
        <v>View on Google Map</v>
      </c>
    </row>
    <row r="436" spans="1:14" x14ac:dyDescent="0.2">
      <c r="B436" s="133" t="s">
        <v>1395</v>
      </c>
      <c r="C436" s="141" t="s">
        <v>1396</v>
      </c>
      <c r="D436" s="133">
        <v>68.622865000000004</v>
      </c>
      <c r="E436" s="133">
        <v>-149.60854499999999</v>
      </c>
      <c r="F436" s="133">
        <v>758</v>
      </c>
      <c r="G436" s="133" t="s">
        <v>490</v>
      </c>
      <c r="J436" s="133" t="s">
        <v>515</v>
      </c>
      <c r="M436" s="139" t="str">
        <f t="shared" si="8"/>
        <v>View on Google Map</v>
      </c>
    </row>
    <row r="437" spans="1:14" x14ac:dyDescent="0.2">
      <c r="A437" s="133">
        <v>1220</v>
      </c>
      <c r="B437" s="133" t="s">
        <v>1397</v>
      </c>
      <c r="C437" s="35" t="s">
        <v>1398</v>
      </c>
      <c r="D437" s="133">
        <v>68.624410999999995</v>
      </c>
      <c r="E437" s="133">
        <v>-149.609589</v>
      </c>
      <c r="F437" s="133">
        <v>750</v>
      </c>
      <c r="G437" s="133" t="s">
        <v>490</v>
      </c>
      <c r="H437" s="133" t="s">
        <v>489</v>
      </c>
      <c r="I437" s="133" t="s">
        <v>489</v>
      </c>
      <c r="J437" s="133" t="s">
        <v>515</v>
      </c>
      <c r="K437" s="133" t="s">
        <v>489</v>
      </c>
      <c r="L437" s="133" t="s">
        <v>489</v>
      </c>
      <c r="M437" s="139" t="str">
        <f t="shared" si="8"/>
        <v>View on Google Map</v>
      </c>
    </row>
    <row r="438" spans="1:14" x14ac:dyDescent="0.2">
      <c r="A438" s="133">
        <v>1222</v>
      </c>
      <c r="B438" s="133" t="s">
        <v>1399</v>
      </c>
      <c r="C438" s="35" t="s">
        <v>1400</v>
      </c>
      <c r="D438" s="133">
        <v>68.629636000000005</v>
      </c>
      <c r="E438" s="133">
        <v>-149.57565600000001</v>
      </c>
      <c r="F438" s="133">
        <v>755</v>
      </c>
      <c r="G438" s="133" t="s">
        <v>490</v>
      </c>
      <c r="H438" s="133" t="s">
        <v>489</v>
      </c>
      <c r="I438" s="133" t="s">
        <v>489</v>
      </c>
      <c r="J438" s="133" t="s">
        <v>515</v>
      </c>
      <c r="K438" s="133" t="s">
        <v>489</v>
      </c>
      <c r="L438" s="133" t="s">
        <v>489</v>
      </c>
      <c r="M438" s="139" t="str">
        <f t="shared" si="8"/>
        <v>View on Google Map</v>
      </c>
    </row>
    <row r="439" spans="1:14" x14ac:dyDescent="0.2">
      <c r="A439" s="133">
        <v>1228</v>
      </c>
      <c r="B439" s="133" t="s">
        <v>1401</v>
      </c>
      <c r="C439" s="35" t="s">
        <v>1402</v>
      </c>
      <c r="D439" s="133">
        <v>68.634530999999996</v>
      </c>
      <c r="E439" s="133">
        <v>-149.64205799999999</v>
      </c>
      <c r="F439" s="133">
        <v>748</v>
      </c>
      <c r="G439" s="133" t="s">
        <v>490</v>
      </c>
      <c r="H439" s="133" t="s">
        <v>489</v>
      </c>
      <c r="I439" s="133" t="s">
        <v>489</v>
      </c>
      <c r="J439" s="133" t="s">
        <v>515</v>
      </c>
      <c r="K439" s="133" t="s">
        <v>489</v>
      </c>
      <c r="L439" s="133" t="s">
        <v>489</v>
      </c>
      <c r="M439" s="139" t="str">
        <f t="shared" si="8"/>
        <v>View on Google Map</v>
      </c>
    </row>
    <row r="440" spans="1:14" x14ac:dyDescent="0.2">
      <c r="A440" s="133">
        <v>1227</v>
      </c>
      <c r="B440" s="133" t="s">
        <v>1403</v>
      </c>
      <c r="C440" s="35" t="s">
        <v>1404</v>
      </c>
      <c r="D440" s="133">
        <v>68.634039000000001</v>
      </c>
      <c r="E440" s="133">
        <v>-149.63704899999999</v>
      </c>
      <c r="F440" s="133">
        <v>750</v>
      </c>
      <c r="G440" s="133" t="s">
        <v>490</v>
      </c>
      <c r="H440" s="133" t="s">
        <v>489</v>
      </c>
      <c r="I440" s="133" t="s">
        <v>489</v>
      </c>
      <c r="J440" s="133" t="s">
        <v>515</v>
      </c>
      <c r="K440" s="133" t="s">
        <v>489</v>
      </c>
      <c r="L440" s="133" t="s">
        <v>489</v>
      </c>
      <c r="M440" s="139" t="str">
        <f t="shared" si="8"/>
        <v>View on Google Map</v>
      </c>
    </row>
    <row r="441" spans="1:14" x14ac:dyDescent="0.2">
      <c r="A441" s="133">
        <v>1223</v>
      </c>
      <c r="B441" s="133" t="s">
        <v>1405</v>
      </c>
      <c r="C441" s="35" t="s">
        <v>1406</v>
      </c>
      <c r="D441" s="133">
        <v>68.635624000000007</v>
      </c>
      <c r="E441" s="133">
        <v>-149.587064</v>
      </c>
      <c r="F441" s="133">
        <v>745</v>
      </c>
      <c r="G441" s="133" t="s">
        <v>490</v>
      </c>
      <c r="H441" s="133" t="s">
        <v>489</v>
      </c>
      <c r="I441" s="133" t="s">
        <v>489</v>
      </c>
      <c r="J441" s="133" t="s">
        <v>515</v>
      </c>
      <c r="K441" s="133" t="s">
        <v>489</v>
      </c>
      <c r="L441" s="133" t="s">
        <v>489</v>
      </c>
      <c r="M441" s="139" t="str">
        <f t="shared" si="8"/>
        <v>View on Google Map</v>
      </c>
    </row>
    <row r="442" spans="1:14" x14ac:dyDescent="0.2">
      <c r="A442" s="133">
        <v>1224</v>
      </c>
      <c r="B442" s="133" t="s">
        <v>1407</v>
      </c>
      <c r="C442" s="35" t="s">
        <v>1408</v>
      </c>
      <c r="D442" s="133">
        <v>68.638692000000006</v>
      </c>
      <c r="E442" s="133">
        <v>-149.567789</v>
      </c>
      <c r="F442" s="133">
        <v>731</v>
      </c>
      <c r="G442" s="133" t="s">
        <v>490</v>
      </c>
      <c r="H442" s="133" t="s">
        <v>489</v>
      </c>
      <c r="I442" s="133" t="s">
        <v>489</v>
      </c>
      <c r="J442" s="133" t="s">
        <v>515</v>
      </c>
      <c r="K442" s="133" t="s">
        <v>489</v>
      </c>
      <c r="L442" s="133" t="s">
        <v>489</v>
      </c>
      <c r="M442" s="139" t="str">
        <f t="shared" si="8"/>
        <v>View on Google Map</v>
      </c>
    </row>
    <row r="443" spans="1:14" x14ac:dyDescent="0.2">
      <c r="A443" s="133">
        <v>1221</v>
      </c>
      <c r="B443" s="133" t="s">
        <v>1409</v>
      </c>
      <c r="C443" s="35" t="s">
        <v>1410</v>
      </c>
      <c r="D443" s="133">
        <v>68.625440999999995</v>
      </c>
      <c r="E443" s="133">
        <v>-149.60287299999999</v>
      </c>
      <c r="F443" s="133">
        <v>717</v>
      </c>
      <c r="G443" s="133" t="s">
        <v>490</v>
      </c>
      <c r="H443" s="133" t="s">
        <v>489</v>
      </c>
      <c r="I443" s="133" t="s">
        <v>489</v>
      </c>
      <c r="J443" s="133" t="s">
        <v>515</v>
      </c>
      <c r="K443" s="133" t="s">
        <v>489</v>
      </c>
      <c r="L443" s="133" t="s">
        <v>489</v>
      </c>
      <c r="M443" s="139" t="str">
        <f t="shared" si="8"/>
        <v>View on Google Map</v>
      </c>
    </row>
    <row r="444" spans="1:14" x14ac:dyDescent="0.2">
      <c r="A444" s="133">
        <v>1226</v>
      </c>
      <c r="B444" s="35" t="s">
        <v>1411</v>
      </c>
      <c r="C444" s="35" t="s">
        <v>1412</v>
      </c>
      <c r="D444" s="133">
        <v>68.647621999999998</v>
      </c>
      <c r="E444" s="133">
        <v>-149.57729800000001</v>
      </c>
      <c r="F444" s="133">
        <v>719</v>
      </c>
      <c r="G444" s="133" t="s">
        <v>490</v>
      </c>
      <c r="H444" s="133" t="s">
        <v>489</v>
      </c>
      <c r="I444" s="133" t="s">
        <v>489</v>
      </c>
      <c r="J444" s="133" t="s">
        <v>515</v>
      </c>
      <c r="K444" s="133" t="s">
        <v>489</v>
      </c>
      <c r="L444" s="133" t="s">
        <v>489</v>
      </c>
      <c r="M444" s="139" t="str">
        <f t="shared" si="8"/>
        <v>View on Google Map</v>
      </c>
    </row>
    <row r="445" spans="1:14" x14ac:dyDescent="0.2">
      <c r="A445" s="133">
        <v>487</v>
      </c>
      <c r="B445" s="133" t="s">
        <v>1413</v>
      </c>
      <c r="C445" s="133" t="s">
        <v>489</v>
      </c>
      <c r="D445" s="133">
        <v>68.961583332999993</v>
      </c>
      <c r="E445" s="133">
        <v>-150.20961666700001</v>
      </c>
      <c r="F445" s="133">
        <v>380</v>
      </c>
      <c r="G445" s="133" t="s">
        <v>500</v>
      </c>
      <c r="H445" s="133" t="s">
        <v>489</v>
      </c>
      <c r="I445" s="133" t="s">
        <v>489</v>
      </c>
      <c r="J445" s="133" t="s">
        <v>550</v>
      </c>
      <c r="K445" s="133" t="s">
        <v>489</v>
      </c>
      <c r="L445" s="133" t="s">
        <v>497</v>
      </c>
      <c r="M445" s="139" t="str">
        <f t="shared" si="8"/>
        <v>View on Google Map</v>
      </c>
    </row>
    <row r="446" spans="1:14" x14ac:dyDescent="0.2">
      <c r="A446" s="133">
        <v>23</v>
      </c>
      <c r="B446" s="133" t="s">
        <v>1414</v>
      </c>
      <c r="C446" s="133" t="s">
        <v>489</v>
      </c>
      <c r="D446" s="133" t="s">
        <v>489</v>
      </c>
      <c r="E446" s="133" t="s">
        <v>489</v>
      </c>
      <c r="F446" s="133" t="s">
        <v>489</v>
      </c>
      <c r="G446" s="133" t="s">
        <v>514</v>
      </c>
      <c r="H446" s="133" t="s">
        <v>489</v>
      </c>
      <c r="I446" s="133" t="s">
        <v>489</v>
      </c>
      <c r="J446" s="133" t="s">
        <v>515</v>
      </c>
      <c r="K446" s="133" t="s">
        <v>489</v>
      </c>
      <c r="L446" s="133" t="s">
        <v>489</v>
      </c>
      <c r="M446" s="139" t="str">
        <f t="shared" si="8"/>
        <v>View on Google Map</v>
      </c>
    </row>
    <row r="447" spans="1:14" x14ac:dyDescent="0.2">
      <c r="A447" s="133">
        <v>529</v>
      </c>
      <c r="B447" s="133" t="s">
        <v>1415</v>
      </c>
      <c r="C447" s="133" t="s">
        <v>895</v>
      </c>
      <c r="D447" s="133">
        <v>68.672934999999995</v>
      </c>
      <c r="E447" s="133">
        <v>-149.61752300000001</v>
      </c>
      <c r="F447" s="133">
        <v>708</v>
      </c>
      <c r="G447" s="133" t="s">
        <v>500</v>
      </c>
      <c r="H447" s="133" t="s">
        <v>489</v>
      </c>
      <c r="I447" s="133" t="s">
        <v>489</v>
      </c>
      <c r="J447" s="133" t="s">
        <v>501</v>
      </c>
      <c r="K447" s="133" t="s">
        <v>489</v>
      </c>
      <c r="L447" s="133" t="s">
        <v>896</v>
      </c>
      <c r="M447" s="139" t="str">
        <f t="shared" si="8"/>
        <v>View on Google Map</v>
      </c>
    </row>
    <row r="448" spans="1:14" x14ac:dyDescent="0.2">
      <c r="A448" s="133">
        <v>494</v>
      </c>
      <c r="B448" s="133" t="s">
        <v>1416</v>
      </c>
      <c r="C448" s="133" t="s">
        <v>489</v>
      </c>
      <c r="D448" s="133">
        <v>68.673756999999995</v>
      </c>
      <c r="E448" s="133">
        <v>-149.618268</v>
      </c>
      <c r="F448" s="133">
        <v>701</v>
      </c>
      <c r="G448" s="133" t="s">
        <v>514</v>
      </c>
      <c r="H448" s="133" t="s">
        <v>489</v>
      </c>
      <c r="I448" s="133" t="s">
        <v>489</v>
      </c>
      <c r="J448" s="133" t="s">
        <v>1417</v>
      </c>
      <c r="K448" s="133" t="s">
        <v>489</v>
      </c>
      <c r="L448" s="133" t="s">
        <v>896</v>
      </c>
      <c r="M448" s="139" t="str">
        <f t="shared" si="8"/>
        <v>View on Google Map</v>
      </c>
    </row>
    <row r="449" spans="1:13" x14ac:dyDescent="0.2">
      <c r="A449" s="133">
        <v>189</v>
      </c>
      <c r="B449" s="133" t="s">
        <v>1418</v>
      </c>
      <c r="C449" s="133" t="s">
        <v>489</v>
      </c>
      <c r="D449" s="133">
        <v>68.622</v>
      </c>
      <c r="E449" s="133">
        <v>-149.590666</v>
      </c>
      <c r="F449" s="133">
        <v>725</v>
      </c>
      <c r="G449" s="133" t="s">
        <v>514</v>
      </c>
      <c r="H449" s="133" t="s">
        <v>1419</v>
      </c>
      <c r="I449" s="133" t="s">
        <v>1420</v>
      </c>
      <c r="J449" s="133" t="s">
        <v>515</v>
      </c>
      <c r="K449" s="133" t="s">
        <v>489</v>
      </c>
      <c r="L449" s="133" t="s">
        <v>904</v>
      </c>
      <c r="M449" s="139" t="str">
        <f t="shared" si="8"/>
        <v>View on Google Map</v>
      </c>
    </row>
    <row r="450" spans="1:13" x14ac:dyDescent="0.2">
      <c r="A450" s="133">
        <v>273</v>
      </c>
      <c r="B450" s="133" t="s">
        <v>1421</v>
      </c>
      <c r="C450" s="133" t="s">
        <v>489</v>
      </c>
      <c r="D450" s="133">
        <v>68.620166670000003</v>
      </c>
      <c r="E450" s="133">
        <v>-149.56816599999999</v>
      </c>
      <c r="F450" s="133">
        <v>739</v>
      </c>
      <c r="G450" s="133" t="s">
        <v>514</v>
      </c>
      <c r="H450" s="133" t="s">
        <v>1422</v>
      </c>
      <c r="I450" s="133" t="s">
        <v>1423</v>
      </c>
      <c r="J450" s="133" t="s">
        <v>515</v>
      </c>
      <c r="K450" s="133" t="s">
        <v>489</v>
      </c>
      <c r="L450" s="133" t="s">
        <v>904</v>
      </c>
      <c r="M450" s="139" t="str">
        <f t="shared" si="8"/>
        <v>View on Google Map</v>
      </c>
    </row>
    <row r="451" spans="1:13" x14ac:dyDescent="0.2">
      <c r="A451" s="133">
        <v>1175</v>
      </c>
      <c r="B451" s="133" t="s">
        <v>1424</v>
      </c>
      <c r="C451" s="133" t="s">
        <v>489</v>
      </c>
      <c r="D451" s="133">
        <v>68.951925000000003</v>
      </c>
      <c r="E451" s="133">
        <v>-150.20976669999999</v>
      </c>
      <c r="F451" s="133" t="s">
        <v>489</v>
      </c>
      <c r="G451" s="133" t="s">
        <v>514</v>
      </c>
      <c r="H451" s="133" t="s">
        <v>489</v>
      </c>
      <c r="I451" s="133" t="s">
        <v>489</v>
      </c>
      <c r="J451" s="133" t="s">
        <v>1044</v>
      </c>
      <c r="K451" s="133" t="s">
        <v>489</v>
      </c>
      <c r="L451" s="133" t="s">
        <v>489</v>
      </c>
      <c r="M451" s="139" t="str">
        <f t="shared" ref="M451:M514" si="10">HYPERLINK("http://maps.google.com/maps?q="&amp;D451&amp;","&amp;E451,"View on Google Map")</f>
        <v>View on Google Map</v>
      </c>
    </row>
    <row r="452" spans="1:13" x14ac:dyDescent="0.2">
      <c r="A452" s="133">
        <v>103</v>
      </c>
      <c r="B452" s="133" t="s">
        <v>1425</v>
      </c>
      <c r="C452" s="133" t="s">
        <v>489</v>
      </c>
      <c r="D452" s="133">
        <v>68.639893935800004</v>
      </c>
      <c r="E452" s="133">
        <v>-149.606965643</v>
      </c>
      <c r="F452" s="133">
        <v>731</v>
      </c>
      <c r="G452" s="133" t="s">
        <v>500</v>
      </c>
      <c r="H452" s="133" t="s">
        <v>1426</v>
      </c>
      <c r="I452" s="133" t="s">
        <v>1427</v>
      </c>
      <c r="J452" s="133" t="s">
        <v>515</v>
      </c>
      <c r="K452" s="133" t="s">
        <v>489</v>
      </c>
      <c r="L452" s="133" t="s">
        <v>489</v>
      </c>
      <c r="M452" s="139" t="str">
        <f t="shared" si="10"/>
        <v>View on Google Map</v>
      </c>
    </row>
    <row r="453" spans="1:13" x14ac:dyDescent="0.2">
      <c r="A453" s="133">
        <v>104</v>
      </c>
      <c r="B453" s="133" t="s">
        <v>1428</v>
      </c>
      <c r="C453" s="133" t="s">
        <v>489</v>
      </c>
      <c r="D453" s="133">
        <v>68.640947234500004</v>
      </c>
      <c r="E453" s="133">
        <v>-149.625086307</v>
      </c>
      <c r="F453" s="133">
        <v>724</v>
      </c>
      <c r="G453" s="133" t="s">
        <v>500</v>
      </c>
      <c r="H453" s="133" t="s">
        <v>1429</v>
      </c>
      <c r="I453" s="133" t="s">
        <v>1430</v>
      </c>
      <c r="J453" s="133" t="s">
        <v>515</v>
      </c>
      <c r="K453" s="133" t="s">
        <v>489</v>
      </c>
      <c r="L453" s="133" t="s">
        <v>489</v>
      </c>
      <c r="M453" s="139" t="str">
        <f t="shared" si="10"/>
        <v>View on Google Map</v>
      </c>
    </row>
    <row r="454" spans="1:13" x14ac:dyDescent="0.2">
      <c r="A454" s="133">
        <v>105</v>
      </c>
      <c r="B454" s="133" t="s">
        <v>1431</v>
      </c>
      <c r="C454" s="133" t="s">
        <v>489</v>
      </c>
      <c r="D454" s="133">
        <v>68.642385337299999</v>
      </c>
      <c r="E454" s="133">
        <v>-149.630769851</v>
      </c>
      <c r="F454" s="133" t="s">
        <v>489</v>
      </c>
      <c r="G454" s="133" t="s">
        <v>500</v>
      </c>
      <c r="H454" s="133" t="s">
        <v>1432</v>
      </c>
      <c r="I454" s="133" t="s">
        <v>489</v>
      </c>
      <c r="J454" s="133" t="s">
        <v>515</v>
      </c>
      <c r="K454" s="133" t="s">
        <v>489</v>
      </c>
      <c r="L454" s="133" t="s">
        <v>489</v>
      </c>
      <c r="M454" s="139" t="str">
        <f t="shared" si="10"/>
        <v>View on Google Map</v>
      </c>
    </row>
    <row r="455" spans="1:13" x14ac:dyDescent="0.2">
      <c r="A455" s="133">
        <v>245</v>
      </c>
      <c r="B455" s="133" t="s">
        <v>1433</v>
      </c>
      <c r="C455" s="133" t="s">
        <v>489</v>
      </c>
      <c r="D455" s="133">
        <v>68.645120702900002</v>
      </c>
      <c r="E455" s="133">
        <v>-149.64028014900001</v>
      </c>
      <c r="F455" s="133" t="s">
        <v>489</v>
      </c>
      <c r="G455" s="133" t="s">
        <v>500</v>
      </c>
      <c r="H455" s="133" t="s">
        <v>1434</v>
      </c>
      <c r="I455" s="133" t="s">
        <v>489</v>
      </c>
      <c r="J455" s="133" t="s">
        <v>515</v>
      </c>
      <c r="K455" s="133" t="s">
        <v>489</v>
      </c>
      <c r="L455" s="133" t="s">
        <v>489</v>
      </c>
      <c r="M455" s="139" t="str">
        <f t="shared" si="10"/>
        <v>View on Google Map</v>
      </c>
    </row>
    <row r="456" spans="1:13" x14ac:dyDescent="0.2">
      <c r="A456" s="133">
        <v>240</v>
      </c>
      <c r="B456" s="133" t="s">
        <v>1435</v>
      </c>
      <c r="C456" s="133" t="s">
        <v>489</v>
      </c>
      <c r="D456" s="133">
        <v>68.645428204500007</v>
      </c>
      <c r="E456" s="133">
        <v>-149.62885531000001</v>
      </c>
      <c r="F456" s="133" t="s">
        <v>489</v>
      </c>
      <c r="G456" s="133" t="s">
        <v>500</v>
      </c>
      <c r="H456" s="133" t="s">
        <v>1436</v>
      </c>
      <c r="I456" s="133" t="s">
        <v>489</v>
      </c>
      <c r="J456" s="133" t="s">
        <v>515</v>
      </c>
      <c r="K456" s="133" t="s">
        <v>489</v>
      </c>
      <c r="L456" s="133" t="s">
        <v>489</v>
      </c>
      <c r="M456" s="139" t="str">
        <f t="shared" si="10"/>
        <v>View on Google Map</v>
      </c>
    </row>
    <row r="457" spans="1:13" x14ac:dyDescent="0.2">
      <c r="A457" s="133">
        <v>508</v>
      </c>
      <c r="B457" s="133" t="s">
        <v>1437</v>
      </c>
      <c r="C457" s="133" t="s">
        <v>499</v>
      </c>
      <c r="D457" s="133">
        <v>68.396288999999996</v>
      </c>
      <c r="E457" s="133">
        <v>-150.58781500000001</v>
      </c>
      <c r="F457" s="133">
        <v>841</v>
      </c>
      <c r="G457" s="133" t="s">
        <v>500</v>
      </c>
      <c r="H457" s="133" t="s">
        <v>502</v>
      </c>
      <c r="I457" s="133" t="s">
        <v>489</v>
      </c>
      <c r="J457" s="133" t="s">
        <v>501</v>
      </c>
      <c r="K457" s="133" t="s">
        <v>489</v>
      </c>
      <c r="L457" s="133" t="s">
        <v>502</v>
      </c>
      <c r="M457" s="139" t="str">
        <f t="shared" si="10"/>
        <v>View on Google Map</v>
      </c>
    </row>
    <row r="458" spans="1:13" x14ac:dyDescent="0.2">
      <c r="A458" s="133">
        <v>513</v>
      </c>
      <c r="B458" s="133" t="s">
        <v>1438</v>
      </c>
      <c r="C458" s="133" t="s">
        <v>499</v>
      </c>
      <c r="D458" s="133">
        <v>68.362488999999997</v>
      </c>
      <c r="E458" s="133">
        <v>-151.70717300000001</v>
      </c>
      <c r="F458" s="133">
        <v>792</v>
      </c>
      <c r="G458" s="133" t="s">
        <v>500</v>
      </c>
      <c r="H458" s="133" t="s">
        <v>489</v>
      </c>
      <c r="I458" s="133" t="s">
        <v>489</v>
      </c>
      <c r="J458" s="133" t="s">
        <v>501</v>
      </c>
      <c r="K458" s="133" t="s">
        <v>489</v>
      </c>
      <c r="L458" s="133" t="s">
        <v>502</v>
      </c>
      <c r="M458" s="139" t="str">
        <f t="shared" si="10"/>
        <v>View on Google Map</v>
      </c>
    </row>
    <row r="459" spans="1:13" x14ac:dyDescent="0.2">
      <c r="A459" s="133">
        <v>512</v>
      </c>
      <c r="B459" s="133" t="s">
        <v>1439</v>
      </c>
      <c r="C459" s="133" t="s">
        <v>499</v>
      </c>
      <c r="D459" s="133">
        <v>68.351332999999997</v>
      </c>
      <c r="E459" s="133">
        <v>-151.702167</v>
      </c>
      <c r="F459" s="133">
        <v>789</v>
      </c>
      <c r="G459" s="133" t="s">
        <v>500</v>
      </c>
      <c r="H459" s="133" t="s">
        <v>489</v>
      </c>
      <c r="I459" s="133" t="s">
        <v>489</v>
      </c>
      <c r="J459" s="133" t="s">
        <v>501</v>
      </c>
      <c r="K459" s="133" t="s">
        <v>489</v>
      </c>
      <c r="L459" s="133" t="s">
        <v>502</v>
      </c>
      <c r="M459" s="139" t="str">
        <f t="shared" si="10"/>
        <v>View on Google Map</v>
      </c>
    </row>
    <row r="460" spans="1:13" x14ac:dyDescent="0.2">
      <c r="A460" s="133">
        <v>511</v>
      </c>
      <c r="B460" s="133" t="s">
        <v>1440</v>
      </c>
      <c r="C460" s="133" t="s">
        <v>499</v>
      </c>
      <c r="D460" s="133">
        <v>68.347333000000006</v>
      </c>
      <c r="E460" s="133">
        <v>-151.70316700000001</v>
      </c>
      <c r="F460" s="133">
        <v>798</v>
      </c>
      <c r="G460" s="133" t="s">
        <v>500</v>
      </c>
      <c r="H460" s="133" t="s">
        <v>489</v>
      </c>
      <c r="I460" s="133" t="s">
        <v>489</v>
      </c>
      <c r="J460" s="133" t="s">
        <v>501</v>
      </c>
      <c r="K460" s="133" t="s">
        <v>489</v>
      </c>
      <c r="L460" s="133" t="s">
        <v>502</v>
      </c>
      <c r="M460" s="139" t="str">
        <f t="shared" si="10"/>
        <v>View on Google Map</v>
      </c>
    </row>
    <row r="461" spans="1:13" x14ac:dyDescent="0.2">
      <c r="A461" s="133">
        <v>510</v>
      </c>
      <c r="B461" s="133" t="s">
        <v>1441</v>
      </c>
      <c r="C461" s="133" t="s">
        <v>499</v>
      </c>
      <c r="D461" s="133">
        <v>68.351332999999997</v>
      </c>
      <c r="E461" s="133">
        <v>-151.702167</v>
      </c>
      <c r="F461" s="133">
        <v>810</v>
      </c>
      <c r="G461" s="133" t="s">
        <v>500</v>
      </c>
      <c r="H461" s="133" t="s">
        <v>489</v>
      </c>
      <c r="I461" s="133" t="s">
        <v>489</v>
      </c>
      <c r="J461" s="133" t="s">
        <v>501</v>
      </c>
      <c r="K461" s="133" t="s">
        <v>489</v>
      </c>
      <c r="L461" s="133" t="s">
        <v>502</v>
      </c>
      <c r="M461" s="139" t="str">
        <f t="shared" si="10"/>
        <v>View on Google Map</v>
      </c>
    </row>
    <row r="462" spans="1:13" x14ac:dyDescent="0.2">
      <c r="A462" s="133">
        <v>233</v>
      </c>
      <c r="B462" s="133" t="s">
        <v>1442</v>
      </c>
      <c r="C462" s="133" t="s">
        <v>489</v>
      </c>
      <c r="D462" s="133">
        <v>68.643783170000006</v>
      </c>
      <c r="E462" s="133">
        <v>-149.58949436200001</v>
      </c>
      <c r="F462" s="133">
        <v>716</v>
      </c>
      <c r="G462" s="133" t="s">
        <v>500</v>
      </c>
      <c r="H462" s="133" t="s">
        <v>1443</v>
      </c>
      <c r="I462" s="133" t="s">
        <v>489</v>
      </c>
      <c r="J462" s="133" t="s">
        <v>515</v>
      </c>
      <c r="K462" s="133" t="s">
        <v>489</v>
      </c>
      <c r="L462" s="133" t="s">
        <v>489</v>
      </c>
      <c r="M462" s="139" t="str">
        <f t="shared" si="10"/>
        <v>View on Google Map</v>
      </c>
    </row>
    <row r="463" spans="1:13" x14ac:dyDescent="0.2">
      <c r="A463" s="133">
        <v>147</v>
      </c>
      <c r="B463" s="133" t="s">
        <v>1444</v>
      </c>
      <c r="C463" s="133" t="s">
        <v>489</v>
      </c>
      <c r="D463" s="133">
        <v>68.646325005500003</v>
      </c>
      <c r="E463" s="133">
        <v>-149.58272243900001</v>
      </c>
      <c r="F463" s="133">
        <v>716</v>
      </c>
      <c r="G463" s="133" t="s">
        <v>500</v>
      </c>
      <c r="H463" s="133" t="s">
        <v>1445</v>
      </c>
      <c r="I463" s="133" t="s">
        <v>489</v>
      </c>
      <c r="J463" s="133" t="s">
        <v>515</v>
      </c>
      <c r="K463" s="133" t="s">
        <v>489</v>
      </c>
      <c r="L463" s="133" t="s">
        <v>489</v>
      </c>
      <c r="M463" s="139" t="str">
        <f t="shared" si="10"/>
        <v>View on Google Map</v>
      </c>
    </row>
    <row r="464" spans="1:13" x14ac:dyDescent="0.2">
      <c r="A464" s="133">
        <v>234</v>
      </c>
      <c r="B464" s="133" t="s">
        <v>1446</v>
      </c>
      <c r="C464" s="133" t="s">
        <v>489</v>
      </c>
      <c r="D464" s="133">
        <v>68.650192520999994</v>
      </c>
      <c r="E464" s="133">
        <v>-149.58255972500001</v>
      </c>
      <c r="F464" s="133">
        <v>731</v>
      </c>
      <c r="G464" s="133" t="s">
        <v>500</v>
      </c>
      <c r="H464" s="133" t="s">
        <v>1447</v>
      </c>
      <c r="I464" s="133" t="s">
        <v>489</v>
      </c>
      <c r="J464" s="133" t="s">
        <v>515</v>
      </c>
      <c r="K464" s="133" t="s">
        <v>489</v>
      </c>
      <c r="L464" s="133" t="s">
        <v>489</v>
      </c>
      <c r="M464" s="139" t="str">
        <f t="shared" si="10"/>
        <v>View on Google Map</v>
      </c>
    </row>
    <row r="465" spans="1:13" x14ac:dyDescent="0.2">
      <c r="A465" s="133">
        <v>306</v>
      </c>
      <c r="B465" s="133" t="s">
        <v>1448</v>
      </c>
      <c r="C465" s="133" t="s">
        <v>489</v>
      </c>
      <c r="D465" s="133" t="s">
        <v>489</v>
      </c>
      <c r="E465" s="133" t="s">
        <v>489</v>
      </c>
      <c r="F465" s="133">
        <v>731</v>
      </c>
      <c r="G465" s="133" t="s">
        <v>500</v>
      </c>
      <c r="H465" s="133" t="s">
        <v>1449</v>
      </c>
      <c r="I465" s="133" t="s">
        <v>489</v>
      </c>
      <c r="J465" s="133" t="s">
        <v>515</v>
      </c>
      <c r="K465" s="133" t="s">
        <v>489</v>
      </c>
      <c r="L465" s="133" t="s">
        <v>489</v>
      </c>
      <c r="M465" s="139" t="str">
        <f t="shared" si="10"/>
        <v>View on Google Map</v>
      </c>
    </row>
    <row r="466" spans="1:13" x14ac:dyDescent="0.2">
      <c r="A466" s="133">
        <v>235</v>
      </c>
      <c r="B466" s="133" t="s">
        <v>1450</v>
      </c>
      <c r="C466" s="133" t="s">
        <v>489</v>
      </c>
      <c r="D466" s="133" t="s">
        <v>489</v>
      </c>
      <c r="E466" s="133" t="s">
        <v>489</v>
      </c>
      <c r="F466" s="133">
        <v>716</v>
      </c>
      <c r="G466" s="133" t="s">
        <v>500</v>
      </c>
      <c r="H466" s="133" t="s">
        <v>1451</v>
      </c>
      <c r="I466" s="133" t="s">
        <v>489</v>
      </c>
      <c r="J466" s="133" t="s">
        <v>515</v>
      </c>
      <c r="K466" s="133" t="s">
        <v>489</v>
      </c>
      <c r="L466" s="133" t="s">
        <v>489</v>
      </c>
      <c r="M466" s="139" t="str">
        <f t="shared" si="10"/>
        <v>View on Google Map</v>
      </c>
    </row>
    <row r="467" spans="1:13" x14ac:dyDescent="0.2">
      <c r="A467" s="133">
        <v>307</v>
      </c>
      <c r="B467" s="133" t="s">
        <v>1452</v>
      </c>
      <c r="C467" s="133" t="s">
        <v>489</v>
      </c>
      <c r="D467" s="133" t="s">
        <v>489</v>
      </c>
      <c r="E467" s="133" t="s">
        <v>489</v>
      </c>
      <c r="F467" s="133">
        <v>716</v>
      </c>
      <c r="G467" s="133" t="s">
        <v>500</v>
      </c>
      <c r="H467" s="133" t="s">
        <v>1453</v>
      </c>
      <c r="I467" s="133" t="s">
        <v>489</v>
      </c>
      <c r="J467" s="133" t="s">
        <v>515</v>
      </c>
      <c r="K467" s="133" t="s">
        <v>489</v>
      </c>
      <c r="L467" s="133" t="s">
        <v>489</v>
      </c>
      <c r="M467" s="139" t="str">
        <f t="shared" si="10"/>
        <v>View on Google Map</v>
      </c>
    </row>
    <row r="468" spans="1:13" x14ac:dyDescent="0.2">
      <c r="A468" s="133">
        <v>236</v>
      </c>
      <c r="B468" s="133" t="s">
        <v>1454</v>
      </c>
      <c r="C468" s="133" t="s">
        <v>489</v>
      </c>
      <c r="D468" s="133">
        <v>68.653572283900004</v>
      </c>
      <c r="E468" s="133">
        <v>-149.58091106399999</v>
      </c>
      <c r="F468" s="133">
        <v>731</v>
      </c>
      <c r="G468" s="133" t="s">
        <v>500</v>
      </c>
      <c r="H468" s="133" t="s">
        <v>1455</v>
      </c>
      <c r="I468" s="133" t="s">
        <v>489</v>
      </c>
      <c r="J468" s="133" t="s">
        <v>515</v>
      </c>
      <c r="K468" s="133" t="s">
        <v>489</v>
      </c>
      <c r="L468" s="133" t="s">
        <v>489</v>
      </c>
      <c r="M468" s="139" t="str">
        <f t="shared" si="10"/>
        <v>View on Google Map</v>
      </c>
    </row>
    <row r="469" spans="1:13" x14ac:dyDescent="0.2">
      <c r="A469" s="133">
        <v>308</v>
      </c>
      <c r="B469" s="133" t="s">
        <v>1456</v>
      </c>
      <c r="C469" s="133" t="s">
        <v>489</v>
      </c>
      <c r="D469" s="133">
        <v>68.652551279199997</v>
      </c>
      <c r="E469" s="133">
        <v>-149.58676006799999</v>
      </c>
      <c r="F469" s="133">
        <v>731</v>
      </c>
      <c r="G469" s="133" t="s">
        <v>500</v>
      </c>
      <c r="H469" s="133" t="s">
        <v>1457</v>
      </c>
      <c r="I469" s="133" t="s">
        <v>489</v>
      </c>
      <c r="J469" s="133" t="s">
        <v>515</v>
      </c>
      <c r="K469" s="133" t="s">
        <v>489</v>
      </c>
      <c r="L469" s="133" t="s">
        <v>489</v>
      </c>
      <c r="M469" s="139" t="str">
        <f t="shared" si="10"/>
        <v>View on Google Map</v>
      </c>
    </row>
    <row r="470" spans="1:13" x14ac:dyDescent="0.2">
      <c r="A470" s="133">
        <v>446</v>
      </c>
      <c r="B470" s="133" t="s">
        <v>1458</v>
      </c>
      <c r="C470" s="133" t="s">
        <v>489</v>
      </c>
      <c r="D470" s="133">
        <v>68.653536133599999</v>
      </c>
      <c r="E470" s="133">
        <v>-149.59622183299999</v>
      </c>
      <c r="F470" s="133">
        <v>747</v>
      </c>
      <c r="G470" s="133" t="s">
        <v>500</v>
      </c>
      <c r="H470" s="133" t="s">
        <v>1459</v>
      </c>
      <c r="I470" s="133" t="s">
        <v>489</v>
      </c>
      <c r="J470" s="133" t="s">
        <v>515</v>
      </c>
      <c r="K470" s="133" t="s">
        <v>489</v>
      </c>
      <c r="L470" s="133" t="s">
        <v>489</v>
      </c>
      <c r="M470" s="139" t="str">
        <f t="shared" si="10"/>
        <v>View on Google Map</v>
      </c>
    </row>
    <row r="471" spans="1:13" x14ac:dyDescent="0.2">
      <c r="A471" s="133">
        <v>447</v>
      </c>
      <c r="B471" s="133" t="s">
        <v>1460</v>
      </c>
      <c r="C471" s="133" t="s">
        <v>489</v>
      </c>
      <c r="D471" s="133">
        <v>68.652588284900006</v>
      </c>
      <c r="E471" s="133">
        <v>-149.60764069300001</v>
      </c>
      <c r="F471" s="133" t="s">
        <v>489</v>
      </c>
      <c r="G471" s="133" t="s">
        <v>500</v>
      </c>
      <c r="H471" s="133" t="s">
        <v>1461</v>
      </c>
      <c r="I471" s="133" t="s">
        <v>489</v>
      </c>
      <c r="J471" s="133" t="s">
        <v>515</v>
      </c>
      <c r="K471" s="133" t="s">
        <v>489</v>
      </c>
      <c r="L471" s="133" t="s">
        <v>489</v>
      </c>
      <c r="M471" s="139" t="str">
        <f t="shared" si="10"/>
        <v>View on Google Map</v>
      </c>
    </row>
    <row r="472" spans="1:13" x14ac:dyDescent="0.2">
      <c r="A472" s="133">
        <v>504</v>
      </c>
      <c r="B472" s="133" t="s">
        <v>1462</v>
      </c>
      <c r="C472" s="133" t="s">
        <v>489</v>
      </c>
      <c r="D472" s="133">
        <v>68.647407723699999</v>
      </c>
      <c r="E472" s="133">
        <v>-149.60936597400001</v>
      </c>
      <c r="F472" s="133">
        <v>731</v>
      </c>
      <c r="G472" s="133" t="s">
        <v>500</v>
      </c>
      <c r="H472" s="133" t="s">
        <v>489</v>
      </c>
      <c r="I472" s="133" t="s">
        <v>489</v>
      </c>
      <c r="J472" s="133" t="s">
        <v>515</v>
      </c>
      <c r="K472" s="133" t="s">
        <v>489</v>
      </c>
      <c r="L472" s="133" t="s">
        <v>489</v>
      </c>
      <c r="M472" s="139" t="str">
        <f t="shared" si="10"/>
        <v>View on Google Map</v>
      </c>
    </row>
    <row r="473" spans="1:13" x14ac:dyDescent="0.2">
      <c r="A473" s="133">
        <v>108</v>
      </c>
      <c r="B473" s="133" t="s">
        <v>1463</v>
      </c>
      <c r="C473" s="133" t="s">
        <v>489</v>
      </c>
      <c r="D473" s="133">
        <v>68.650000000000006</v>
      </c>
      <c r="E473" s="133">
        <v>-149.61666666666667</v>
      </c>
      <c r="F473" s="133">
        <v>699</v>
      </c>
      <c r="G473" s="133" t="s">
        <v>500</v>
      </c>
      <c r="H473" s="133" t="s">
        <v>1464</v>
      </c>
      <c r="I473" s="133" t="s">
        <v>489</v>
      </c>
      <c r="J473" s="133" t="s">
        <v>515</v>
      </c>
      <c r="K473" s="133" t="s">
        <v>489</v>
      </c>
      <c r="L473" s="133" t="s">
        <v>489</v>
      </c>
      <c r="M473" s="139" t="str">
        <f t="shared" si="10"/>
        <v>View on Google Map</v>
      </c>
    </row>
    <row r="474" spans="1:13" x14ac:dyDescent="0.2">
      <c r="A474" s="133">
        <v>309</v>
      </c>
      <c r="B474" s="133" t="s">
        <v>1465</v>
      </c>
      <c r="C474" s="133" t="s">
        <v>489</v>
      </c>
      <c r="D474" s="133" t="s">
        <v>489</v>
      </c>
      <c r="E474" s="133" t="s">
        <v>489</v>
      </c>
      <c r="F474" s="133" t="s">
        <v>489</v>
      </c>
      <c r="G474" s="133" t="s">
        <v>500</v>
      </c>
      <c r="H474" s="133" t="s">
        <v>1466</v>
      </c>
      <c r="I474" s="133" t="s">
        <v>489</v>
      </c>
      <c r="J474" s="133" t="s">
        <v>515</v>
      </c>
      <c r="K474" s="133" t="s">
        <v>489</v>
      </c>
      <c r="L474" s="133" t="s">
        <v>489</v>
      </c>
      <c r="M474" s="139" t="str">
        <f t="shared" si="10"/>
        <v>View on Google Map</v>
      </c>
    </row>
    <row r="475" spans="1:13" x14ac:dyDescent="0.2">
      <c r="A475" s="133">
        <v>109</v>
      </c>
      <c r="B475" s="133" t="s">
        <v>1467</v>
      </c>
      <c r="C475" s="133" t="s">
        <v>489</v>
      </c>
      <c r="D475" s="133">
        <v>68.683333333333337</v>
      </c>
      <c r="E475" s="133">
        <v>-149.61666666666667</v>
      </c>
      <c r="F475" s="133">
        <v>701</v>
      </c>
      <c r="G475" s="133" t="s">
        <v>500</v>
      </c>
      <c r="H475" s="133" t="s">
        <v>1468</v>
      </c>
      <c r="I475" s="133" t="s">
        <v>489</v>
      </c>
      <c r="J475" s="133" t="s">
        <v>515</v>
      </c>
      <c r="K475" s="133" t="s">
        <v>489</v>
      </c>
      <c r="L475" s="133" t="s">
        <v>489</v>
      </c>
      <c r="M475" s="139" t="str">
        <f t="shared" si="10"/>
        <v>View on Google Map</v>
      </c>
    </row>
    <row r="476" spans="1:13" x14ac:dyDescent="0.2">
      <c r="A476" s="133">
        <v>497</v>
      </c>
      <c r="B476" s="133" t="s">
        <v>1469</v>
      </c>
      <c r="C476" s="133" t="s">
        <v>1470</v>
      </c>
      <c r="D476" s="133">
        <v>68.674931999999998</v>
      </c>
      <c r="E476" s="133">
        <v>-149.625439</v>
      </c>
      <c r="F476" s="133">
        <v>701</v>
      </c>
      <c r="G476" s="133" t="s">
        <v>500</v>
      </c>
      <c r="H476" s="133" t="s">
        <v>489</v>
      </c>
      <c r="I476" s="133" t="s">
        <v>489</v>
      </c>
      <c r="J476" s="133" t="s">
        <v>1417</v>
      </c>
      <c r="K476" s="133" t="s">
        <v>489</v>
      </c>
      <c r="L476" s="133" t="s">
        <v>896</v>
      </c>
      <c r="M476" s="139" t="str">
        <f t="shared" si="10"/>
        <v>View on Google Map</v>
      </c>
    </row>
    <row r="477" spans="1:13" x14ac:dyDescent="0.2">
      <c r="A477" s="133">
        <v>498</v>
      </c>
      <c r="B477" s="133" t="s">
        <v>1471</v>
      </c>
      <c r="C477" s="133" t="s">
        <v>489</v>
      </c>
      <c r="D477" s="133">
        <v>68.677723</v>
      </c>
      <c r="E477" s="133">
        <v>-149.62402800000001</v>
      </c>
      <c r="F477" s="133">
        <v>701</v>
      </c>
      <c r="G477" s="133" t="s">
        <v>514</v>
      </c>
      <c r="H477" s="133" t="s">
        <v>489</v>
      </c>
      <c r="I477" s="133" t="s">
        <v>489</v>
      </c>
      <c r="J477" s="133" t="s">
        <v>1417</v>
      </c>
      <c r="K477" s="133" t="s">
        <v>489</v>
      </c>
      <c r="L477" s="133" t="s">
        <v>896</v>
      </c>
      <c r="M477" s="139" t="str">
        <f t="shared" si="10"/>
        <v>View on Google Map</v>
      </c>
    </row>
    <row r="478" spans="1:13" x14ac:dyDescent="0.2">
      <c r="A478" s="133">
        <v>495</v>
      </c>
      <c r="B478" s="133" t="s">
        <v>1472</v>
      </c>
      <c r="C478" s="133" t="s">
        <v>489</v>
      </c>
      <c r="D478" s="133">
        <v>68.674121999999997</v>
      </c>
      <c r="E478" s="133">
        <v>-149.62885</v>
      </c>
      <c r="F478" s="133">
        <v>701</v>
      </c>
      <c r="G478" s="133" t="s">
        <v>514</v>
      </c>
      <c r="H478" s="133" t="s">
        <v>489</v>
      </c>
      <c r="I478" s="133" t="s">
        <v>489</v>
      </c>
      <c r="J478" s="133" t="s">
        <v>1417</v>
      </c>
      <c r="K478" s="133" t="s">
        <v>489</v>
      </c>
      <c r="L478" s="133" t="s">
        <v>896</v>
      </c>
      <c r="M478" s="139" t="str">
        <f t="shared" si="10"/>
        <v>View on Google Map</v>
      </c>
    </row>
    <row r="479" spans="1:13" x14ac:dyDescent="0.2">
      <c r="A479" s="133">
        <v>448</v>
      </c>
      <c r="B479" s="133" t="s">
        <v>1473</v>
      </c>
      <c r="C479" s="133" t="s">
        <v>489</v>
      </c>
      <c r="D479" s="133">
        <v>68.655874034999997</v>
      </c>
      <c r="E479" s="133">
        <v>-149.58555905599999</v>
      </c>
      <c r="F479" s="133" t="s">
        <v>489</v>
      </c>
      <c r="G479" s="133" t="s">
        <v>500</v>
      </c>
      <c r="H479" s="133" t="s">
        <v>1474</v>
      </c>
      <c r="I479" s="133" t="s">
        <v>489</v>
      </c>
      <c r="J479" s="133" t="s">
        <v>515</v>
      </c>
      <c r="K479" s="133" t="s">
        <v>489</v>
      </c>
      <c r="L479" s="133" t="s">
        <v>489</v>
      </c>
      <c r="M479" s="139" t="str">
        <f t="shared" si="10"/>
        <v>View on Google Map</v>
      </c>
    </row>
    <row r="480" spans="1:13" x14ac:dyDescent="0.2">
      <c r="A480" s="133">
        <v>449</v>
      </c>
      <c r="B480" s="133" t="s">
        <v>1475</v>
      </c>
      <c r="C480" s="133" t="s">
        <v>489</v>
      </c>
      <c r="D480" s="133">
        <v>68.661045276899998</v>
      </c>
      <c r="E480" s="133">
        <v>-149.586664767</v>
      </c>
      <c r="F480" s="133" t="s">
        <v>489</v>
      </c>
      <c r="G480" s="133" t="s">
        <v>500</v>
      </c>
      <c r="H480" s="133" t="s">
        <v>1476</v>
      </c>
      <c r="I480" s="133" t="s">
        <v>489</v>
      </c>
      <c r="J480" s="133" t="s">
        <v>515</v>
      </c>
      <c r="K480" s="133" t="s">
        <v>489</v>
      </c>
      <c r="L480" s="133" t="s">
        <v>489</v>
      </c>
      <c r="M480" s="139" t="str">
        <f t="shared" si="10"/>
        <v>View on Google Map</v>
      </c>
    </row>
    <row r="481" spans="1:13" x14ac:dyDescent="0.2">
      <c r="A481" s="133">
        <v>171</v>
      </c>
      <c r="B481" s="133" t="s">
        <v>1477</v>
      </c>
      <c r="C481" s="133" t="s">
        <v>489</v>
      </c>
      <c r="D481" s="133">
        <v>68.652645483100002</v>
      </c>
      <c r="E481" s="133">
        <v>-149.59947366200001</v>
      </c>
      <c r="F481" s="133">
        <v>747</v>
      </c>
      <c r="G481" s="133" t="s">
        <v>500</v>
      </c>
      <c r="H481" s="133" t="s">
        <v>1478</v>
      </c>
      <c r="I481" s="133" t="s">
        <v>1479</v>
      </c>
      <c r="J481" s="133" t="s">
        <v>515</v>
      </c>
      <c r="K481" s="133" t="s">
        <v>489</v>
      </c>
      <c r="L481" s="133" t="s">
        <v>489</v>
      </c>
      <c r="M481" s="139" t="str">
        <f t="shared" si="10"/>
        <v>View on Google Map</v>
      </c>
    </row>
    <row r="482" spans="1:13" x14ac:dyDescent="0.2">
      <c r="A482" s="133">
        <v>499</v>
      </c>
      <c r="B482" s="133" t="s">
        <v>1480</v>
      </c>
      <c r="C482" s="133" t="s">
        <v>489</v>
      </c>
      <c r="D482" s="133">
        <v>68.829610000000002</v>
      </c>
      <c r="E482" s="133">
        <v>-149.77901</v>
      </c>
      <c r="F482" s="133">
        <v>633</v>
      </c>
      <c r="G482" s="133" t="s">
        <v>500</v>
      </c>
      <c r="H482" s="133" t="s">
        <v>1481</v>
      </c>
      <c r="I482" s="133" t="s">
        <v>1482</v>
      </c>
      <c r="J482" s="133" t="s">
        <v>501</v>
      </c>
      <c r="K482" s="133" t="s">
        <v>489</v>
      </c>
      <c r="L482" s="133" t="s">
        <v>489</v>
      </c>
      <c r="M482" s="139" t="str">
        <f t="shared" si="10"/>
        <v>View on Google Map</v>
      </c>
    </row>
    <row r="483" spans="1:13" x14ac:dyDescent="0.2">
      <c r="A483" s="133">
        <v>500</v>
      </c>
      <c r="B483" s="133" t="s">
        <v>1483</v>
      </c>
      <c r="C483" s="133" t="s">
        <v>489</v>
      </c>
      <c r="D483" s="133">
        <v>68.832999999999998</v>
      </c>
      <c r="E483" s="133">
        <v>-149.76808</v>
      </c>
      <c r="F483" s="133">
        <v>624</v>
      </c>
      <c r="G483" s="133" t="s">
        <v>500</v>
      </c>
      <c r="H483" s="133" t="s">
        <v>1484</v>
      </c>
      <c r="I483" s="133" t="s">
        <v>1485</v>
      </c>
      <c r="J483" s="133" t="s">
        <v>501</v>
      </c>
      <c r="K483" s="133" t="s">
        <v>489</v>
      </c>
      <c r="L483" s="133" t="s">
        <v>489</v>
      </c>
      <c r="M483" s="139" t="str">
        <f t="shared" si="10"/>
        <v>View on Google Map</v>
      </c>
    </row>
    <row r="484" spans="1:13" x14ac:dyDescent="0.2">
      <c r="A484" s="133">
        <v>501</v>
      </c>
      <c r="B484" s="133" t="s">
        <v>1486</v>
      </c>
      <c r="C484" s="133" t="s">
        <v>489</v>
      </c>
      <c r="D484" s="133">
        <v>68.828299999999999</v>
      </c>
      <c r="E484" s="133">
        <v>-149.76473999999999</v>
      </c>
      <c r="F484" s="133">
        <v>624</v>
      </c>
      <c r="G484" s="133" t="s">
        <v>500</v>
      </c>
      <c r="H484" s="133" t="s">
        <v>1487</v>
      </c>
      <c r="I484" s="133" t="s">
        <v>1488</v>
      </c>
      <c r="J484" s="133" t="s">
        <v>501</v>
      </c>
      <c r="K484" s="133" t="s">
        <v>489</v>
      </c>
      <c r="L484" s="133" t="s">
        <v>489</v>
      </c>
      <c r="M484" s="139" t="str">
        <f t="shared" si="10"/>
        <v>View on Google Map</v>
      </c>
    </row>
    <row r="485" spans="1:13" x14ac:dyDescent="0.2">
      <c r="A485" s="133">
        <v>502</v>
      </c>
      <c r="B485" s="133" t="s">
        <v>1489</v>
      </c>
      <c r="C485" s="133" t="s">
        <v>489</v>
      </c>
      <c r="D485" s="133">
        <v>68.826520000000002</v>
      </c>
      <c r="E485" s="133">
        <v>-149.75897000000001</v>
      </c>
      <c r="F485" s="133">
        <v>592</v>
      </c>
      <c r="G485" s="133" t="s">
        <v>500</v>
      </c>
      <c r="H485" s="133" t="s">
        <v>1490</v>
      </c>
      <c r="I485" s="133" t="s">
        <v>1491</v>
      </c>
      <c r="J485" s="133" t="s">
        <v>501</v>
      </c>
      <c r="K485" s="133" t="s">
        <v>489</v>
      </c>
      <c r="L485" s="133" t="s">
        <v>489</v>
      </c>
      <c r="M485" s="139" t="str">
        <f t="shared" si="10"/>
        <v>View on Google Map</v>
      </c>
    </row>
    <row r="486" spans="1:13" x14ac:dyDescent="0.2">
      <c r="A486" s="133">
        <v>503</v>
      </c>
      <c r="B486" s="133" t="s">
        <v>1492</v>
      </c>
      <c r="C486" s="133" t="s">
        <v>489</v>
      </c>
      <c r="D486" s="133">
        <v>68.827259999999995</v>
      </c>
      <c r="E486" s="133">
        <v>-149.75089</v>
      </c>
      <c r="F486" s="133">
        <v>592</v>
      </c>
      <c r="G486" s="133" t="s">
        <v>500</v>
      </c>
      <c r="H486" s="133" t="s">
        <v>1493</v>
      </c>
      <c r="I486" s="133" t="s">
        <v>1494</v>
      </c>
      <c r="J486" s="133" t="s">
        <v>501</v>
      </c>
      <c r="K486" s="133" t="s">
        <v>489</v>
      </c>
      <c r="L486" s="133" t="s">
        <v>489</v>
      </c>
      <c r="M486" s="139" t="str">
        <f t="shared" si="10"/>
        <v>View on Google Map</v>
      </c>
    </row>
    <row r="487" spans="1:13" x14ac:dyDescent="0.2">
      <c r="A487" s="133">
        <v>488</v>
      </c>
      <c r="B487" s="133" t="s">
        <v>1495</v>
      </c>
      <c r="C487" s="133" t="s">
        <v>489</v>
      </c>
      <c r="D487" s="133">
        <v>69.329949999999997</v>
      </c>
      <c r="E487" s="133">
        <v>-150.95275000000001</v>
      </c>
      <c r="F487" s="133">
        <v>127</v>
      </c>
      <c r="G487" s="133" t="s">
        <v>500</v>
      </c>
      <c r="H487" s="133" t="s">
        <v>489</v>
      </c>
      <c r="I487" s="133" t="s">
        <v>489</v>
      </c>
      <c r="J487" s="133" t="s">
        <v>550</v>
      </c>
      <c r="K487" s="133" t="s">
        <v>489</v>
      </c>
      <c r="L487" s="133" t="s">
        <v>497</v>
      </c>
      <c r="M487" s="139" t="str">
        <f t="shared" si="10"/>
        <v>View on Google Map</v>
      </c>
    </row>
    <row r="488" spans="1:13" x14ac:dyDescent="0.2">
      <c r="A488" s="133">
        <v>489</v>
      </c>
      <c r="B488" s="133" t="s">
        <v>1496</v>
      </c>
      <c r="C488" s="133" t="s">
        <v>489</v>
      </c>
      <c r="D488" s="133" t="s">
        <v>489</v>
      </c>
      <c r="E488" s="133" t="s">
        <v>489</v>
      </c>
      <c r="F488" s="133">
        <v>127</v>
      </c>
      <c r="G488" s="133" t="s">
        <v>514</v>
      </c>
      <c r="H488" s="133" t="s">
        <v>489</v>
      </c>
      <c r="I488" s="133" t="s">
        <v>489</v>
      </c>
      <c r="J488" s="133" t="s">
        <v>550</v>
      </c>
      <c r="K488" s="133" t="s">
        <v>489</v>
      </c>
      <c r="L488" s="133" t="s">
        <v>497</v>
      </c>
      <c r="M488" s="139" t="str">
        <f t="shared" si="10"/>
        <v>View on Google Map</v>
      </c>
    </row>
    <row r="489" spans="1:13" x14ac:dyDescent="0.2">
      <c r="A489" s="133">
        <v>490</v>
      </c>
      <c r="B489" s="133" t="s">
        <v>1497</v>
      </c>
      <c r="C489" s="133" t="s">
        <v>489</v>
      </c>
      <c r="D489" s="133" t="s">
        <v>489</v>
      </c>
      <c r="E489" s="133" t="s">
        <v>489</v>
      </c>
      <c r="F489" s="133">
        <v>127</v>
      </c>
      <c r="G489" s="133" t="s">
        <v>500</v>
      </c>
      <c r="H489" s="133" t="s">
        <v>489</v>
      </c>
      <c r="I489" s="133" t="s">
        <v>489</v>
      </c>
      <c r="J489" s="133" t="s">
        <v>550</v>
      </c>
      <c r="K489" s="133" t="s">
        <v>489</v>
      </c>
      <c r="L489" s="133" t="s">
        <v>497</v>
      </c>
      <c r="M489" s="139" t="str">
        <f t="shared" si="10"/>
        <v>View on Google Map</v>
      </c>
    </row>
    <row r="490" spans="1:13" x14ac:dyDescent="0.2">
      <c r="A490" s="133">
        <v>34</v>
      </c>
      <c r="B490" s="133" t="s">
        <v>1498</v>
      </c>
      <c r="C490" s="133" t="s">
        <v>489</v>
      </c>
      <c r="D490" s="133">
        <v>69.057400000000001</v>
      </c>
      <c r="E490" s="133">
        <v>-150.39599999999999</v>
      </c>
      <c r="F490" s="133">
        <v>274</v>
      </c>
      <c r="G490" s="133" t="s">
        <v>514</v>
      </c>
      <c r="H490" s="133" t="s">
        <v>489</v>
      </c>
      <c r="I490" s="133" t="s">
        <v>489</v>
      </c>
      <c r="J490" s="133" t="s">
        <v>550</v>
      </c>
      <c r="K490" s="133" t="s">
        <v>489</v>
      </c>
      <c r="L490" s="133" t="s">
        <v>497</v>
      </c>
      <c r="M490" s="139" t="str">
        <f t="shared" si="10"/>
        <v>View on Google Map</v>
      </c>
    </row>
    <row r="491" spans="1:13" x14ac:dyDescent="0.2">
      <c r="A491" s="133">
        <v>45</v>
      </c>
      <c r="B491" s="133" t="s">
        <v>1499</v>
      </c>
      <c r="C491" s="133" t="s">
        <v>489</v>
      </c>
      <c r="D491" s="133">
        <v>69.063298000000003</v>
      </c>
      <c r="E491" s="133">
        <v>-150.394711</v>
      </c>
      <c r="F491" s="133" t="s">
        <v>489</v>
      </c>
      <c r="G491" s="133" t="s">
        <v>514</v>
      </c>
      <c r="H491" s="133" t="s">
        <v>489</v>
      </c>
      <c r="I491" s="133" t="s">
        <v>489</v>
      </c>
      <c r="J491" s="133" t="s">
        <v>1500</v>
      </c>
      <c r="K491" s="133" t="s">
        <v>489</v>
      </c>
      <c r="L491" s="133" t="s">
        <v>497</v>
      </c>
      <c r="M491" s="139" t="str">
        <f t="shared" si="10"/>
        <v>View on Google Map</v>
      </c>
    </row>
    <row r="492" spans="1:13" x14ac:dyDescent="0.2">
      <c r="B492" s="133" t="s">
        <v>1501</v>
      </c>
      <c r="C492" s="133" t="s">
        <v>1502</v>
      </c>
      <c r="D492" s="133">
        <v>69.138333333333335</v>
      </c>
      <c r="E492" s="133">
        <v>-150.64916666666701</v>
      </c>
      <c r="G492" s="133" t="s">
        <v>508</v>
      </c>
      <c r="J492" s="133" t="s">
        <v>496</v>
      </c>
      <c r="L492" s="133" t="s">
        <v>497</v>
      </c>
      <c r="M492" s="139" t="str">
        <f t="shared" si="10"/>
        <v>View on Google Map</v>
      </c>
    </row>
    <row r="493" spans="1:13" x14ac:dyDescent="0.2">
      <c r="B493" s="133" t="s">
        <v>1503</v>
      </c>
      <c r="C493" s="133" t="s">
        <v>886</v>
      </c>
      <c r="D493" s="133">
        <v>69.152500000000003</v>
      </c>
      <c r="E493" s="133">
        <v>-150.706111111111</v>
      </c>
      <c r="G493" s="133" t="s">
        <v>508</v>
      </c>
      <c r="J493" s="133" t="s">
        <v>496</v>
      </c>
      <c r="L493" s="133" t="s">
        <v>497</v>
      </c>
      <c r="M493" s="139" t="str">
        <f t="shared" si="10"/>
        <v>View on Google Map</v>
      </c>
    </row>
    <row r="494" spans="1:13" x14ac:dyDescent="0.2">
      <c r="A494" s="133">
        <v>35</v>
      </c>
      <c r="B494" s="133" t="s">
        <v>1504</v>
      </c>
      <c r="C494" s="133" t="s">
        <v>489</v>
      </c>
      <c r="D494" s="133">
        <v>69.063333333333333</v>
      </c>
      <c r="E494" s="133">
        <v>-150.39333333333335</v>
      </c>
      <c r="F494" s="133">
        <v>281</v>
      </c>
      <c r="G494" s="133" t="s">
        <v>514</v>
      </c>
      <c r="H494" s="133" t="s">
        <v>489</v>
      </c>
      <c r="I494" s="133" t="s">
        <v>489</v>
      </c>
      <c r="J494" s="133" t="s">
        <v>550</v>
      </c>
      <c r="K494" s="133" t="s">
        <v>489</v>
      </c>
      <c r="L494" s="133" t="s">
        <v>497</v>
      </c>
      <c r="M494" s="139" t="str">
        <f t="shared" si="10"/>
        <v>View on Google Map</v>
      </c>
    </row>
    <row r="495" spans="1:13" x14ac:dyDescent="0.2">
      <c r="A495" s="133">
        <v>161</v>
      </c>
      <c r="B495" s="133" t="s">
        <v>1505</v>
      </c>
      <c r="C495" s="133" t="s">
        <v>1506</v>
      </c>
      <c r="D495" s="133">
        <v>68.599999999999994</v>
      </c>
      <c r="E495" s="133">
        <v>-149.18333333333334</v>
      </c>
      <c r="F495" s="133">
        <v>876</v>
      </c>
      <c r="G495" s="133" t="s">
        <v>500</v>
      </c>
      <c r="H495" s="133" t="s">
        <v>1507</v>
      </c>
      <c r="I495" s="133" t="s">
        <v>489</v>
      </c>
      <c r="J495" s="133" t="s">
        <v>515</v>
      </c>
      <c r="K495" s="133" t="s">
        <v>489</v>
      </c>
      <c r="L495" s="133" t="s">
        <v>516</v>
      </c>
      <c r="M495" s="139" t="str">
        <f t="shared" si="10"/>
        <v>View on Google Map</v>
      </c>
    </row>
    <row r="496" spans="1:13" x14ac:dyDescent="0.2">
      <c r="A496" s="133">
        <v>162</v>
      </c>
      <c r="B496" s="133" t="s">
        <v>1508</v>
      </c>
      <c r="C496" s="133" t="s">
        <v>1506</v>
      </c>
      <c r="D496" s="133">
        <v>68.583333333333329</v>
      </c>
      <c r="E496" s="133">
        <v>-149.19999999999999</v>
      </c>
      <c r="F496" s="133">
        <v>892</v>
      </c>
      <c r="G496" s="133" t="s">
        <v>500</v>
      </c>
      <c r="H496" s="133" t="s">
        <v>1509</v>
      </c>
      <c r="I496" s="133" t="s">
        <v>489</v>
      </c>
      <c r="J496" s="133" t="s">
        <v>515</v>
      </c>
      <c r="K496" s="133" t="s">
        <v>489</v>
      </c>
      <c r="L496" s="133" t="s">
        <v>516</v>
      </c>
      <c r="M496" s="139" t="str">
        <f t="shared" si="10"/>
        <v>View on Google Map</v>
      </c>
    </row>
    <row r="497" spans="1:13" x14ac:dyDescent="0.2">
      <c r="A497" s="133">
        <v>163</v>
      </c>
      <c r="B497" s="133" t="s">
        <v>1510</v>
      </c>
      <c r="C497" s="133" t="s">
        <v>1506</v>
      </c>
      <c r="D497" s="133">
        <v>68.599999999999994</v>
      </c>
      <c r="E497" s="133">
        <v>-149.16666666666666</v>
      </c>
      <c r="F497" s="133">
        <v>876</v>
      </c>
      <c r="G497" s="133" t="s">
        <v>500</v>
      </c>
      <c r="H497" s="133" t="s">
        <v>1511</v>
      </c>
      <c r="I497" s="133" t="s">
        <v>489</v>
      </c>
      <c r="J497" s="133" t="s">
        <v>515</v>
      </c>
      <c r="K497" s="133" t="s">
        <v>489</v>
      </c>
      <c r="L497" s="133" t="s">
        <v>516</v>
      </c>
      <c r="M497" s="139" t="str">
        <f t="shared" si="10"/>
        <v>View on Google Map</v>
      </c>
    </row>
    <row r="498" spans="1:13" x14ac:dyDescent="0.2">
      <c r="A498" s="133">
        <v>5</v>
      </c>
      <c r="B498" s="133" t="s">
        <v>1512</v>
      </c>
      <c r="C498" s="133" t="s">
        <v>1101</v>
      </c>
      <c r="D498" s="133">
        <v>68.671486221999999</v>
      </c>
      <c r="E498" s="133">
        <v>-149.1281271</v>
      </c>
      <c r="F498" s="133">
        <v>761.75599999999997</v>
      </c>
      <c r="G498" s="133" t="s">
        <v>1026</v>
      </c>
      <c r="J498" s="35" t="s">
        <v>515</v>
      </c>
      <c r="M498" s="139" t="str">
        <f t="shared" si="10"/>
        <v>View on Google Map</v>
      </c>
    </row>
    <row r="499" spans="1:13" x14ac:dyDescent="0.2">
      <c r="A499" s="133">
        <v>5</v>
      </c>
      <c r="B499" s="133" t="s">
        <v>1513</v>
      </c>
      <c r="C499" s="133" t="s">
        <v>1101</v>
      </c>
      <c r="D499" s="133">
        <v>68.671371694000001</v>
      </c>
      <c r="E499" s="133">
        <v>-149.131155484</v>
      </c>
      <c r="F499" s="133">
        <v>763.88099999999997</v>
      </c>
      <c r="G499" s="133" t="s">
        <v>1026</v>
      </c>
      <c r="J499" s="35" t="s">
        <v>515</v>
      </c>
      <c r="M499" s="139" t="str">
        <f t="shared" si="10"/>
        <v>View on Google Map</v>
      </c>
    </row>
    <row r="500" spans="1:13" x14ac:dyDescent="0.2">
      <c r="A500" s="133">
        <v>5</v>
      </c>
      <c r="B500" s="133" t="s">
        <v>1514</v>
      </c>
      <c r="C500" s="133" t="s">
        <v>1101</v>
      </c>
      <c r="D500" s="133">
        <v>68.671018009999997</v>
      </c>
      <c r="E500" s="133">
        <v>-149.13789268599999</v>
      </c>
      <c r="F500" s="133">
        <v>764.53700000000003</v>
      </c>
      <c r="G500" s="133" t="s">
        <v>1026</v>
      </c>
      <c r="J500" s="35" t="s">
        <v>515</v>
      </c>
      <c r="M500" s="139" t="str">
        <f t="shared" si="10"/>
        <v>View on Google Map</v>
      </c>
    </row>
    <row r="501" spans="1:13" x14ac:dyDescent="0.2">
      <c r="A501" s="133">
        <v>5</v>
      </c>
      <c r="B501" s="133" t="s">
        <v>1515</v>
      </c>
      <c r="C501" s="133" t="s">
        <v>1111</v>
      </c>
      <c r="D501" s="133">
        <v>68.677193270000004</v>
      </c>
      <c r="E501" s="133">
        <v>-149.121792258</v>
      </c>
      <c r="F501" s="133">
        <v>763.74300000000005</v>
      </c>
      <c r="G501" s="133" t="s">
        <v>1026</v>
      </c>
      <c r="J501" s="35" t="s">
        <v>515</v>
      </c>
      <c r="M501" s="139" t="str">
        <f t="shared" si="10"/>
        <v>View on Google Map</v>
      </c>
    </row>
    <row r="502" spans="1:13" x14ac:dyDescent="0.2">
      <c r="A502" s="133">
        <v>5</v>
      </c>
      <c r="B502" s="133" t="s">
        <v>1516</v>
      </c>
      <c r="C502" s="133" t="s">
        <v>1111</v>
      </c>
      <c r="D502" s="133">
        <v>68.679780992000005</v>
      </c>
      <c r="E502" s="133">
        <v>-149.114206438</v>
      </c>
      <c r="F502" s="133">
        <v>762.678</v>
      </c>
      <c r="G502" s="133" t="s">
        <v>1026</v>
      </c>
      <c r="J502" s="35" t="s">
        <v>515</v>
      </c>
      <c r="M502" s="139" t="str">
        <f t="shared" si="10"/>
        <v>View on Google Map</v>
      </c>
    </row>
    <row r="503" spans="1:13" x14ac:dyDescent="0.2">
      <c r="A503" s="133">
        <v>5</v>
      </c>
      <c r="B503" s="133" t="s">
        <v>1517</v>
      </c>
      <c r="C503" s="133" t="s">
        <v>513</v>
      </c>
      <c r="D503" s="133">
        <v>68.687399999999997</v>
      </c>
      <c r="E503" s="133">
        <v>-149.095</v>
      </c>
      <c r="F503" s="133">
        <v>754</v>
      </c>
      <c r="G503" s="133" t="s">
        <v>514</v>
      </c>
      <c r="H503" s="133" t="s">
        <v>1518</v>
      </c>
      <c r="I503" s="133" t="s">
        <v>1519</v>
      </c>
      <c r="J503" s="133" t="s">
        <v>515</v>
      </c>
      <c r="K503" s="133" t="s">
        <v>489</v>
      </c>
      <c r="L503" s="133" t="s">
        <v>516</v>
      </c>
      <c r="M503" s="139" t="str">
        <f t="shared" si="10"/>
        <v>View on Google Map</v>
      </c>
    </row>
    <row r="504" spans="1:13" x14ac:dyDescent="0.2">
      <c r="A504" s="133">
        <v>5</v>
      </c>
      <c r="B504" s="133" t="s">
        <v>1520</v>
      </c>
      <c r="C504" s="133" t="s">
        <v>1131</v>
      </c>
      <c r="D504" s="133">
        <v>68.672870447999998</v>
      </c>
      <c r="E504" s="133">
        <v>-149.124843486</v>
      </c>
      <c r="G504" s="133" t="s">
        <v>1026</v>
      </c>
      <c r="J504" s="35" t="s">
        <v>515</v>
      </c>
      <c r="M504" s="139" t="str">
        <f t="shared" si="10"/>
        <v>View on Google Map</v>
      </c>
    </row>
    <row r="505" spans="1:13" x14ac:dyDescent="0.2">
      <c r="A505" s="133">
        <v>5</v>
      </c>
      <c r="B505" s="133" t="s">
        <v>1521</v>
      </c>
      <c r="C505" s="133" t="s">
        <v>1522</v>
      </c>
      <c r="D505" s="133">
        <v>68.686037823000007</v>
      </c>
      <c r="E505" s="133">
        <v>-149.0990032</v>
      </c>
      <c r="G505" s="133" t="s">
        <v>1026</v>
      </c>
      <c r="J505" s="35" t="s">
        <v>515</v>
      </c>
      <c r="M505" s="139" t="str">
        <f t="shared" si="10"/>
        <v>View on Google Map</v>
      </c>
    </row>
    <row r="506" spans="1:13" x14ac:dyDescent="0.2">
      <c r="A506" s="133">
        <v>491</v>
      </c>
      <c r="B506" s="133" t="s">
        <v>1523</v>
      </c>
      <c r="C506" s="133" t="s">
        <v>489</v>
      </c>
      <c r="D506" s="133">
        <v>68.941266666999994</v>
      </c>
      <c r="E506" s="133">
        <v>-150.5068</v>
      </c>
      <c r="F506" s="133">
        <v>408</v>
      </c>
      <c r="G506" s="133" t="s">
        <v>500</v>
      </c>
      <c r="H506" s="133" t="s">
        <v>1524</v>
      </c>
      <c r="I506" s="133" t="s">
        <v>489</v>
      </c>
      <c r="J506" s="133" t="s">
        <v>550</v>
      </c>
      <c r="K506" s="133" t="s">
        <v>489</v>
      </c>
      <c r="L506" s="133" t="s">
        <v>497</v>
      </c>
      <c r="M506" s="139" t="str">
        <f t="shared" si="10"/>
        <v>View on Google Map</v>
      </c>
    </row>
    <row r="507" spans="1:13" x14ac:dyDescent="0.2">
      <c r="A507" s="133">
        <v>492</v>
      </c>
      <c r="B507" s="133" t="s">
        <v>1525</v>
      </c>
      <c r="C507" s="133" t="s">
        <v>489</v>
      </c>
      <c r="D507" s="133" t="s">
        <v>489</v>
      </c>
      <c r="E507" s="133" t="s">
        <v>489</v>
      </c>
      <c r="F507" s="133">
        <v>408</v>
      </c>
      <c r="G507" s="133" t="s">
        <v>500</v>
      </c>
      <c r="H507" s="133" t="s">
        <v>1526</v>
      </c>
      <c r="I507" s="133" t="s">
        <v>489</v>
      </c>
      <c r="J507" s="133" t="s">
        <v>550</v>
      </c>
      <c r="K507" s="133" t="s">
        <v>489</v>
      </c>
      <c r="L507" s="133" t="s">
        <v>497</v>
      </c>
      <c r="M507" s="139" t="str">
        <f t="shared" si="10"/>
        <v>View on Google Map</v>
      </c>
    </row>
    <row r="508" spans="1:13" x14ac:dyDescent="0.2">
      <c r="A508" s="133">
        <v>1172</v>
      </c>
      <c r="B508" s="133" t="s">
        <v>1527</v>
      </c>
      <c r="C508" s="133" t="s">
        <v>489</v>
      </c>
      <c r="D508" s="133">
        <v>68.99666666666667</v>
      </c>
      <c r="E508" s="133">
        <v>-150.21249999999998</v>
      </c>
      <c r="F508" s="133" t="s">
        <v>489</v>
      </c>
      <c r="G508" s="133" t="s">
        <v>490</v>
      </c>
      <c r="H508" s="133" t="s">
        <v>1528</v>
      </c>
      <c r="I508" s="133" t="s">
        <v>489</v>
      </c>
      <c r="J508" s="133" t="s">
        <v>496</v>
      </c>
      <c r="K508" s="133" t="s">
        <v>489</v>
      </c>
      <c r="L508" s="133" t="s">
        <v>497</v>
      </c>
      <c r="M508" s="139" t="str">
        <f t="shared" si="10"/>
        <v>View on Google Map</v>
      </c>
    </row>
    <row r="509" spans="1:13" x14ac:dyDescent="0.2">
      <c r="A509" s="133">
        <v>493</v>
      </c>
      <c r="B509" s="133" t="s">
        <v>1529</v>
      </c>
      <c r="C509" s="133" t="s">
        <v>489</v>
      </c>
      <c r="D509" s="133">
        <v>68.974933332999996</v>
      </c>
      <c r="E509" s="133">
        <v>-150.221066667</v>
      </c>
      <c r="F509" s="133">
        <v>364</v>
      </c>
      <c r="G509" s="133" t="s">
        <v>500</v>
      </c>
      <c r="H509" s="133" t="s">
        <v>489</v>
      </c>
      <c r="I509" s="133" t="s">
        <v>489</v>
      </c>
      <c r="J509" s="133" t="s">
        <v>550</v>
      </c>
      <c r="K509" s="133" t="s">
        <v>489</v>
      </c>
      <c r="L509" s="133" t="s">
        <v>497</v>
      </c>
      <c r="M509" s="139" t="str">
        <f t="shared" si="10"/>
        <v>View on Google Map</v>
      </c>
    </row>
    <row r="510" spans="1:13" x14ac:dyDescent="0.2">
      <c r="A510" s="133">
        <v>405</v>
      </c>
      <c r="B510" s="133" t="s">
        <v>1530</v>
      </c>
      <c r="C510" s="133" t="s">
        <v>489</v>
      </c>
      <c r="D510" s="133" t="s">
        <v>489</v>
      </c>
      <c r="E510" s="133" t="s">
        <v>489</v>
      </c>
      <c r="F510" s="133" t="s">
        <v>489</v>
      </c>
      <c r="G510" s="133" t="s">
        <v>500</v>
      </c>
      <c r="H510" s="133" t="s">
        <v>489</v>
      </c>
      <c r="I510" s="133" t="s">
        <v>489</v>
      </c>
      <c r="J510" s="133" t="s">
        <v>515</v>
      </c>
      <c r="K510" s="133" t="s">
        <v>489</v>
      </c>
      <c r="L510" s="133" t="s">
        <v>671</v>
      </c>
      <c r="M510" s="139" t="str">
        <f t="shared" si="10"/>
        <v>View on Google Map</v>
      </c>
    </row>
    <row r="511" spans="1:13" x14ac:dyDescent="0.2">
      <c r="A511" s="133">
        <v>505</v>
      </c>
      <c r="B511" s="133" t="s">
        <v>1531</v>
      </c>
      <c r="C511" s="133" t="s">
        <v>489</v>
      </c>
      <c r="D511" s="133">
        <v>68.921059</v>
      </c>
      <c r="E511" s="133">
        <v>-150.34784300000001</v>
      </c>
      <c r="F511" s="133" t="s">
        <v>489</v>
      </c>
      <c r="G511" s="133" t="s">
        <v>500</v>
      </c>
      <c r="H511" s="133" t="s">
        <v>489</v>
      </c>
      <c r="I511" s="133" t="s">
        <v>489</v>
      </c>
      <c r="J511" s="133" t="s">
        <v>550</v>
      </c>
      <c r="K511" s="133" t="s">
        <v>489</v>
      </c>
      <c r="L511" s="133" t="s">
        <v>497</v>
      </c>
      <c r="M511" s="139" t="str">
        <f t="shared" si="10"/>
        <v>View on Google Map</v>
      </c>
    </row>
    <row r="512" spans="1:13" x14ac:dyDescent="0.2">
      <c r="A512" s="133">
        <v>506</v>
      </c>
      <c r="B512" s="133" t="s">
        <v>1532</v>
      </c>
      <c r="C512" s="133" t="s">
        <v>489</v>
      </c>
      <c r="D512" s="133">
        <v>68.921186000000006</v>
      </c>
      <c r="E512" s="133">
        <v>-150.37015</v>
      </c>
      <c r="F512" s="133" t="s">
        <v>489</v>
      </c>
      <c r="G512" s="133" t="s">
        <v>500</v>
      </c>
      <c r="H512" s="133" t="s">
        <v>489</v>
      </c>
      <c r="I512" s="133" t="s">
        <v>489</v>
      </c>
      <c r="J512" s="133" t="s">
        <v>550</v>
      </c>
      <c r="K512" s="133" t="s">
        <v>489</v>
      </c>
      <c r="L512" s="133" t="s">
        <v>497</v>
      </c>
      <c r="M512" s="139" t="str">
        <f t="shared" si="10"/>
        <v>View on Google Map</v>
      </c>
    </row>
    <row r="513" spans="1:13" x14ac:dyDescent="0.2">
      <c r="A513" s="133">
        <v>507</v>
      </c>
      <c r="B513" s="133" t="s">
        <v>1533</v>
      </c>
      <c r="C513" s="133" t="s">
        <v>489</v>
      </c>
      <c r="D513" s="133">
        <v>68.936953000000003</v>
      </c>
      <c r="E513" s="133">
        <v>-150.35309699999999</v>
      </c>
      <c r="F513" s="133" t="s">
        <v>489</v>
      </c>
      <c r="G513" s="133" t="s">
        <v>500</v>
      </c>
      <c r="H513" s="133" t="s">
        <v>489</v>
      </c>
      <c r="I513" s="133" t="s">
        <v>489</v>
      </c>
      <c r="J513" s="133" t="s">
        <v>550</v>
      </c>
      <c r="K513" s="133" t="s">
        <v>489</v>
      </c>
      <c r="L513" s="133" t="s">
        <v>497</v>
      </c>
      <c r="M513" s="139" t="str">
        <f t="shared" si="10"/>
        <v>View on Google Map</v>
      </c>
    </row>
    <row r="514" spans="1:13" x14ac:dyDescent="0.2">
      <c r="A514" s="133">
        <v>12</v>
      </c>
      <c r="B514" s="133" t="s">
        <v>1534</v>
      </c>
      <c r="C514" s="133" t="s">
        <v>489</v>
      </c>
      <c r="D514" s="133" t="s">
        <v>489</v>
      </c>
      <c r="E514" s="133" t="s">
        <v>489</v>
      </c>
      <c r="F514" s="133" t="s">
        <v>489</v>
      </c>
      <c r="G514" s="133" t="s">
        <v>514</v>
      </c>
      <c r="H514" s="133" t="s">
        <v>489</v>
      </c>
      <c r="I514" s="133" t="s">
        <v>489</v>
      </c>
      <c r="J514" s="133" t="s">
        <v>515</v>
      </c>
      <c r="K514" s="133" t="s">
        <v>489</v>
      </c>
      <c r="L514" s="133" t="s">
        <v>489</v>
      </c>
      <c r="M514" s="139" t="str">
        <f t="shared" si="10"/>
        <v>View on Google Map</v>
      </c>
    </row>
    <row r="515" spans="1:13" x14ac:dyDescent="0.2">
      <c r="A515" s="133">
        <v>4</v>
      </c>
      <c r="B515" s="133" t="s">
        <v>1535</v>
      </c>
      <c r="C515" s="133" t="s">
        <v>513</v>
      </c>
      <c r="D515" s="133">
        <v>68.38333333333334</v>
      </c>
      <c r="E515" s="133">
        <v>-149.31666666666666</v>
      </c>
      <c r="F515" s="133">
        <v>869</v>
      </c>
      <c r="G515" s="133" t="s">
        <v>514</v>
      </c>
      <c r="H515" s="133" t="s">
        <v>1536</v>
      </c>
      <c r="I515" s="133" t="s">
        <v>1537</v>
      </c>
      <c r="J515" s="133" t="s">
        <v>515</v>
      </c>
      <c r="K515" s="133" t="s">
        <v>489</v>
      </c>
      <c r="L515" s="133" t="s">
        <v>516</v>
      </c>
      <c r="M515" s="139" t="str">
        <f t="shared" ref="M515:M578" si="11">HYPERLINK("http://maps.google.com/maps?q="&amp;D515&amp;","&amp;E515,"View on Google Map")</f>
        <v>View on Google Map</v>
      </c>
    </row>
    <row r="516" spans="1:13" x14ac:dyDescent="0.2">
      <c r="A516" s="133">
        <v>148</v>
      </c>
      <c r="B516" s="133" t="s">
        <v>1538</v>
      </c>
      <c r="C516" s="133" t="s">
        <v>489</v>
      </c>
      <c r="D516" s="133">
        <v>68.624535966600007</v>
      </c>
      <c r="E516" s="133">
        <v>-149.60216609099999</v>
      </c>
      <c r="F516" s="133">
        <v>720</v>
      </c>
      <c r="G516" s="133" t="s">
        <v>500</v>
      </c>
      <c r="H516" s="133" t="s">
        <v>489</v>
      </c>
      <c r="I516" s="133" t="s">
        <v>489</v>
      </c>
      <c r="J516" s="133" t="s">
        <v>515</v>
      </c>
      <c r="K516" s="133" t="s">
        <v>489</v>
      </c>
      <c r="L516" s="133" t="s">
        <v>489</v>
      </c>
      <c r="M516" s="139" t="str">
        <f t="shared" si="11"/>
        <v>View on Google Map</v>
      </c>
    </row>
    <row r="517" spans="1:13" x14ac:dyDescent="0.2">
      <c r="A517" s="133">
        <v>241</v>
      </c>
      <c r="B517" s="133" t="s">
        <v>1538</v>
      </c>
      <c r="C517" s="133" t="s">
        <v>489</v>
      </c>
      <c r="D517" s="133">
        <v>68.624535966600007</v>
      </c>
      <c r="E517" s="133">
        <v>-149.60216609099999</v>
      </c>
      <c r="F517" s="133" t="s">
        <v>489</v>
      </c>
      <c r="G517" s="133" t="s">
        <v>500</v>
      </c>
      <c r="H517" s="133" t="s">
        <v>489</v>
      </c>
      <c r="I517" s="133" t="s">
        <v>489</v>
      </c>
      <c r="J517" s="133" t="s">
        <v>515</v>
      </c>
      <c r="K517" s="133" t="s">
        <v>489</v>
      </c>
      <c r="L517" s="133" t="s">
        <v>489</v>
      </c>
      <c r="M517" s="139" t="str">
        <f t="shared" si="11"/>
        <v>View on Google Map</v>
      </c>
    </row>
    <row r="518" spans="1:13" x14ac:dyDescent="0.2">
      <c r="A518" s="133">
        <v>149</v>
      </c>
      <c r="B518" s="133" t="s">
        <v>1539</v>
      </c>
      <c r="C518" s="133" t="s">
        <v>489</v>
      </c>
      <c r="D518" s="133">
        <v>68.627169078600005</v>
      </c>
      <c r="E518" s="133">
        <v>-149.61135296200001</v>
      </c>
      <c r="F518" s="133">
        <v>720</v>
      </c>
      <c r="G518" s="133" t="s">
        <v>500</v>
      </c>
      <c r="H518" s="133" t="s">
        <v>489</v>
      </c>
      <c r="I518" s="133" t="s">
        <v>489</v>
      </c>
      <c r="J518" s="133" t="s">
        <v>515</v>
      </c>
      <c r="K518" s="133" t="s">
        <v>489</v>
      </c>
      <c r="L518" s="133" t="s">
        <v>489</v>
      </c>
      <c r="M518" s="139" t="str">
        <f t="shared" si="11"/>
        <v>View on Google Map</v>
      </c>
    </row>
    <row r="519" spans="1:13" x14ac:dyDescent="0.2">
      <c r="A519" s="133">
        <v>150</v>
      </c>
      <c r="B519" s="133" t="s">
        <v>1540</v>
      </c>
      <c r="C519" s="133" t="s">
        <v>489</v>
      </c>
      <c r="D519" s="133">
        <v>68.628818623300006</v>
      </c>
      <c r="E519" s="133">
        <v>-149.62482197599999</v>
      </c>
      <c r="F519" s="133">
        <v>720</v>
      </c>
      <c r="G519" s="133" t="s">
        <v>500</v>
      </c>
      <c r="H519" s="133" t="s">
        <v>489</v>
      </c>
      <c r="I519" s="133" t="s">
        <v>489</v>
      </c>
      <c r="J519" s="133" t="s">
        <v>515</v>
      </c>
      <c r="K519" s="133" t="s">
        <v>489</v>
      </c>
      <c r="L519" s="133" t="s">
        <v>489</v>
      </c>
      <c r="M519" s="139" t="str">
        <f t="shared" si="11"/>
        <v>View on Google Map</v>
      </c>
    </row>
    <row r="520" spans="1:13" x14ac:dyDescent="0.2">
      <c r="A520" s="133">
        <v>151</v>
      </c>
      <c r="B520" s="133" t="s">
        <v>1541</v>
      </c>
      <c r="C520" s="133" t="s">
        <v>489</v>
      </c>
      <c r="D520" s="133">
        <v>68.630949932700005</v>
      </c>
      <c r="E520" s="133">
        <v>-149.62993150400001</v>
      </c>
      <c r="F520" s="133" t="s">
        <v>489</v>
      </c>
      <c r="G520" s="133" t="s">
        <v>500</v>
      </c>
      <c r="H520" s="133" t="s">
        <v>489</v>
      </c>
      <c r="I520" s="133" t="s">
        <v>489</v>
      </c>
      <c r="J520" s="133" t="s">
        <v>515</v>
      </c>
      <c r="K520" s="133" t="s">
        <v>489</v>
      </c>
      <c r="L520" s="133" t="s">
        <v>489</v>
      </c>
      <c r="M520" s="139" t="str">
        <f t="shared" si="11"/>
        <v>View on Google Map</v>
      </c>
    </row>
    <row r="521" spans="1:13" x14ac:dyDescent="0.2">
      <c r="A521" s="133">
        <v>106</v>
      </c>
      <c r="B521" s="133" t="s">
        <v>1542</v>
      </c>
      <c r="C521" s="133" t="s">
        <v>489</v>
      </c>
      <c r="D521" s="133">
        <v>68.631431924799998</v>
      </c>
      <c r="E521" s="133">
        <v>-149.63669249099999</v>
      </c>
      <c r="F521" s="133">
        <v>725</v>
      </c>
      <c r="G521" s="133" t="s">
        <v>500</v>
      </c>
      <c r="H521" s="133" t="s">
        <v>1543</v>
      </c>
      <c r="I521" s="133" t="s">
        <v>489</v>
      </c>
      <c r="J521" s="133" t="s">
        <v>515</v>
      </c>
      <c r="K521" s="133" t="s">
        <v>489</v>
      </c>
      <c r="L521" s="133" t="s">
        <v>489</v>
      </c>
      <c r="M521" s="139" t="str">
        <f t="shared" si="11"/>
        <v>View on Google Map</v>
      </c>
    </row>
    <row r="522" spans="1:13" x14ac:dyDescent="0.2">
      <c r="A522" s="133">
        <v>107</v>
      </c>
      <c r="B522" s="133" t="s">
        <v>1544</v>
      </c>
      <c r="C522" s="133" t="s">
        <v>489</v>
      </c>
      <c r="D522" s="133">
        <v>68.629379781599994</v>
      </c>
      <c r="E522" s="133">
        <v>-149.64162329499999</v>
      </c>
      <c r="F522" s="133">
        <v>731</v>
      </c>
      <c r="G522" s="133" t="s">
        <v>500</v>
      </c>
      <c r="H522" s="133" t="s">
        <v>1545</v>
      </c>
      <c r="I522" s="133" t="s">
        <v>489</v>
      </c>
      <c r="J522" s="133" t="s">
        <v>515</v>
      </c>
      <c r="K522" s="133" t="s">
        <v>489</v>
      </c>
      <c r="L522" s="133" t="s">
        <v>489</v>
      </c>
      <c r="M522" s="139" t="str">
        <f t="shared" si="11"/>
        <v>View on Google Map</v>
      </c>
    </row>
    <row r="523" spans="1:13" x14ac:dyDescent="0.2">
      <c r="A523" s="133">
        <v>1603</v>
      </c>
      <c r="B523" s="133" t="s">
        <v>1546</v>
      </c>
      <c r="C523" s="133" t="s">
        <v>489</v>
      </c>
      <c r="D523" s="133" t="s">
        <v>489</v>
      </c>
      <c r="E523" s="133" t="s">
        <v>489</v>
      </c>
      <c r="F523" s="133" t="s">
        <v>489</v>
      </c>
      <c r="G523" s="133" t="s">
        <v>514</v>
      </c>
      <c r="H523" s="133" t="s">
        <v>1547</v>
      </c>
      <c r="I523" s="133" t="s">
        <v>1548</v>
      </c>
      <c r="J523" s="133" t="s">
        <v>515</v>
      </c>
      <c r="K523" s="133" t="s">
        <v>489</v>
      </c>
      <c r="L523" s="133" t="s">
        <v>489</v>
      </c>
      <c r="M523" s="139" t="str">
        <f t="shared" si="11"/>
        <v>View on Google Map</v>
      </c>
    </row>
    <row r="524" spans="1:13" x14ac:dyDescent="0.2">
      <c r="A524" s="133">
        <v>152</v>
      </c>
      <c r="B524" s="133" t="s">
        <v>1549</v>
      </c>
      <c r="C524" s="133" t="s">
        <v>489</v>
      </c>
      <c r="D524" s="133">
        <v>68.630062744699998</v>
      </c>
      <c r="E524" s="133">
        <v>-149.64444178900001</v>
      </c>
      <c r="F524" s="133">
        <v>731</v>
      </c>
      <c r="G524" s="133" t="s">
        <v>500</v>
      </c>
      <c r="H524" s="133" t="s">
        <v>489</v>
      </c>
      <c r="I524" s="133" t="s">
        <v>489</v>
      </c>
      <c r="J524" s="133" t="s">
        <v>515</v>
      </c>
      <c r="K524" s="133" t="s">
        <v>489</v>
      </c>
      <c r="L524" s="133" t="s">
        <v>489</v>
      </c>
      <c r="M524" s="139" t="str">
        <f t="shared" si="11"/>
        <v>View on Google Map</v>
      </c>
    </row>
    <row r="525" spans="1:13" x14ac:dyDescent="0.2">
      <c r="A525" s="133">
        <v>1601</v>
      </c>
      <c r="B525" s="133" t="s">
        <v>1550</v>
      </c>
      <c r="C525" s="133" t="s">
        <v>489</v>
      </c>
      <c r="D525" s="133" t="s">
        <v>489</v>
      </c>
      <c r="E525" s="133" t="s">
        <v>489</v>
      </c>
      <c r="F525" s="133" t="s">
        <v>489</v>
      </c>
      <c r="G525" s="133" t="s">
        <v>489</v>
      </c>
      <c r="H525" s="133" t="s">
        <v>1551</v>
      </c>
      <c r="I525" s="133" t="s">
        <v>1552</v>
      </c>
      <c r="J525" s="35" t="s">
        <v>515</v>
      </c>
      <c r="K525" s="133" t="s">
        <v>489</v>
      </c>
      <c r="L525" s="133" t="s">
        <v>489</v>
      </c>
      <c r="M525" s="139" t="str">
        <f t="shared" si="11"/>
        <v>View on Google Map</v>
      </c>
    </row>
    <row r="526" spans="1:13" x14ac:dyDescent="0.2">
      <c r="A526" s="133">
        <v>1602</v>
      </c>
      <c r="B526" s="133" t="s">
        <v>1553</v>
      </c>
      <c r="C526" s="133" t="s">
        <v>489</v>
      </c>
      <c r="D526" s="133" t="s">
        <v>489</v>
      </c>
      <c r="E526" s="133" t="s">
        <v>489</v>
      </c>
      <c r="F526" s="133" t="s">
        <v>489</v>
      </c>
      <c r="G526" s="133" t="s">
        <v>489</v>
      </c>
      <c r="H526" s="133" t="s">
        <v>1554</v>
      </c>
      <c r="I526" s="133" t="s">
        <v>1555</v>
      </c>
      <c r="J526" s="35" t="s">
        <v>515</v>
      </c>
      <c r="K526" s="133" t="s">
        <v>489</v>
      </c>
      <c r="L526" s="133" t="s">
        <v>489</v>
      </c>
      <c r="M526" s="139" t="str">
        <f t="shared" si="11"/>
        <v>View on Google Map</v>
      </c>
    </row>
    <row r="527" spans="1:13" x14ac:dyDescent="0.2">
      <c r="A527" s="133">
        <v>153</v>
      </c>
      <c r="B527" s="133" t="s">
        <v>1556</v>
      </c>
      <c r="C527" s="133" t="s">
        <v>489</v>
      </c>
      <c r="D527" s="133" t="s">
        <v>489</v>
      </c>
      <c r="E527" s="133" t="s">
        <v>489</v>
      </c>
      <c r="F527" s="133" t="s">
        <v>489</v>
      </c>
      <c r="G527" s="133" t="s">
        <v>500</v>
      </c>
      <c r="H527" s="133" t="s">
        <v>489</v>
      </c>
      <c r="I527" s="133" t="s">
        <v>489</v>
      </c>
      <c r="J527" s="133" t="s">
        <v>515</v>
      </c>
      <c r="K527" s="133" t="s">
        <v>489</v>
      </c>
      <c r="L527" s="133" t="s">
        <v>489</v>
      </c>
      <c r="M527" s="139" t="str">
        <f t="shared" si="11"/>
        <v>View on Google Map</v>
      </c>
    </row>
    <row r="528" spans="1:13" x14ac:dyDescent="0.2">
      <c r="A528" s="133">
        <v>154</v>
      </c>
      <c r="B528" s="133" t="s">
        <v>1557</v>
      </c>
      <c r="C528" s="133" t="s">
        <v>489</v>
      </c>
      <c r="D528" s="133" t="s">
        <v>489</v>
      </c>
      <c r="E528" s="133" t="s">
        <v>489</v>
      </c>
      <c r="F528" s="133" t="s">
        <v>489</v>
      </c>
      <c r="G528" s="133" t="s">
        <v>500</v>
      </c>
      <c r="H528" s="133" t="s">
        <v>489</v>
      </c>
      <c r="I528" s="133" t="s">
        <v>489</v>
      </c>
      <c r="J528" s="133" t="s">
        <v>515</v>
      </c>
      <c r="K528" s="133" t="s">
        <v>489</v>
      </c>
      <c r="L528" s="133" t="s">
        <v>489</v>
      </c>
      <c r="M528" s="139" t="str">
        <f t="shared" si="11"/>
        <v>View on Google Map</v>
      </c>
    </row>
    <row r="529" spans="1:13" x14ac:dyDescent="0.2">
      <c r="A529" s="133">
        <v>155</v>
      </c>
      <c r="B529" s="133" t="s">
        <v>1558</v>
      </c>
      <c r="C529" s="133" t="s">
        <v>489</v>
      </c>
      <c r="D529" s="133" t="s">
        <v>489</v>
      </c>
      <c r="E529" s="133" t="s">
        <v>489</v>
      </c>
      <c r="F529" s="133" t="s">
        <v>489</v>
      </c>
      <c r="G529" s="133" t="s">
        <v>500</v>
      </c>
      <c r="H529" s="133" t="s">
        <v>489</v>
      </c>
      <c r="I529" s="133" t="s">
        <v>489</v>
      </c>
      <c r="J529" s="133" t="s">
        <v>515</v>
      </c>
      <c r="K529" s="133" t="s">
        <v>489</v>
      </c>
      <c r="L529" s="133" t="s">
        <v>489</v>
      </c>
      <c r="M529" s="139" t="str">
        <f t="shared" si="11"/>
        <v>View on Google Map</v>
      </c>
    </row>
    <row r="530" spans="1:13" x14ac:dyDescent="0.2">
      <c r="A530" s="133">
        <v>156</v>
      </c>
      <c r="B530" s="133" t="s">
        <v>1559</v>
      </c>
      <c r="C530" s="133" t="s">
        <v>489</v>
      </c>
      <c r="D530" s="133">
        <v>68.630148048999999</v>
      </c>
      <c r="E530" s="133">
        <v>-149.65057914499999</v>
      </c>
      <c r="F530" s="133">
        <v>750</v>
      </c>
      <c r="G530" s="133" t="s">
        <v>500</v>
      </c>
      <c r="H530" s="133" t="s">
        <v>489</v>
      </c>
      <c r="I530" s="133" t="s">
        <v>489</v>
      </c>
      <c r="J530" s="133" t="s">
        <v>515</v>
      </c>
      <c r="K530" s="133" t="s">
        <v>489</v>
      </c>
      <c r="L530" s="133" t="s">
        <v>489</v>
      </c>
      <c r="M530" s="139" t="str">
        <f t="shared" si="11"/>
        <v>View on Google Map</v>
      </c>
    </row>
    <row r="531" spans="1:13" x14ac:dyDescent="0.2">
      <c r="A531" s="133">
        <v>157</v>
      </c>
      <c r="B531" s="133" t="s">
        <v>1560</v>
      </c>
      <c r="C531" s="133" t="s">
        <v>489</v>
      </c>
      <c r="D531" s="133">
        <v>68.629627802900004</v>
      </c>
      <c r="E531" s="133">
        <v>-149.655880887</v>
      </c>
      <c r="F531" s="133">
        <v>754</v>
      </c>
      <c r="G531" s="133" t="s">
        <v>500</v>
      </c>
      <c r="H531" s="133" t="s">
        <v>489</v>
      </c>
      <c r="I531" s="133" t="s">
        <v>489</v>
      </c>
      <c r="J531" s="133" t="s">
        <v>515</v>
      </c>
      <c r="K531" s="133" t="s">
        <v>489</v>
      </c>
      <c r="L531" s="133" t="s">
        <v>489</v>
      </c>
      <c r="M531" s="139" t="str">
        <f t="shared" si="11"/>
        <v>View on Google Map</v>
      </c>
    </row>
    <row r="532" spans="1:13" x14ac:dyDescent="0.2">
      <c r="A532" s="133">
        <v>158</v>
      </c>
      <c r="B532" s="133" t="s">
        <v>1561</v>
      </c>
      <c r="C532" s="133" t="s">
        <v>489</v>
      </c>
      <c r="D532" s="133">
        <v>68.631486568699998</v>
      </c>
      <c r="E532" s="133">
        <v>-149.65910231699999</v>
      </c>
      <c r="F532" s="133">
        <v>754</v>
      </c>
      <c r="G532" s="133" t="s">
        <v>500</v>
      </c>
      <c r="H532" s="133" t="s">
        <v>489</v>
      </c>
      <c r="I532" s="133" t="s">
        <v>489</v>
      </c>
      <c r="J532" s="133" t="s">
        <v>515</v>
      </c>
      <c r="K532" s="133" t="s">
        <v>489</v>
      </c>
      <c r="L532" s="133" t="s">
        <v>489</v>
      </c>
      <c r="M532" s="139" t="str">
        <f t="shared" si="11"/>
        <v>View on Google Map</v>
      </c>
    </row>
    <row r="533" spans="1:13" x14ac:dyDescent="0.2">
      <c r="A533" s="133">
        <v>169</v>
      </c>
      <c r="B533" s="133" t="s">
        <v>1562</v>
      </c>
      <c r="C533" s="133" t="s">
        <v>489</v>
      </c>
      <c r="D533" s="133" t="s">
        <v>489</v>
      </c>
      <c r="E533" s="133" t="s">
        <v>489</v>
      </c>
      <c r="F533" s="133" t="s">
        <v>489</v>
      </c>
      <c r="G533" s="133" t="s">
        <v>500</v>
      </c>
      <c r="H533" s="133" t="s">
        <v>489</v>
      </c>
      <c r="I533" s="133" t="s">
        <v>489</v>
      </c>
      <c r="J533" s="133" t="s">
        <v>515</v>
      </c>
      <c r="K533" s="133" t="s">
        <v>489</v>
      </c>
      <c r="L533" s="133" t="s">
        <v>489</v>
      </c>
      <c r="M533" s="139" t="str">
        <f t="shared" si="11"/>
        <v>View on Google Map</v>
      </c>
    </row>
    <row r="534" spans="1:13" x14ac:dyDescent="0.2">
      <c r="A534" s="133">
        <v>170</v>
      </c>
      <c r="B534" s="133" t="s">
        <v>1563</v>
      </c>
      <c r="C534" s="133" t="s">
        <v>489</v>
      </c>
      <c r="D534" s="133" t="s">
        <v>489</v>
      </c>
      <c r="E534" s="133" t="s">
        <v>489</v>
      </c>
      <c r="F534" s="133" t="s">
        <v>489</v>
      </c>
      <c r="G534" s="133" t="s">
        <v>500</v>
      </c>
      <c r="H534" s="133" t="s">
        <v>489</v>
      </c>
      <c r="I534" s="133" t="s">
        <v>489</v>
      </c>
      <c r="J534" s="133" t="s">
        <v>515</v>
      </c>
      <c r="K534" s="133" t="s">
        <v>489</v>
      </c>
      <c r="L534" s="133" t="s">
        <v>489</v>
      </c>
      <c r="M534" s="139" t="str">
        <f t="shared" si="11"/>
        <v>View on Google Map</v>
      </c>
    </row>
    <row r="535" spans="1:13" x14ac:dyDescent="0.2">
      <c r="A535" s="133">
        <v>136</v>
      </c>
      <c r="B535" s="133" t="s">
        <v>1564</v>
      </c>
      <c r="C535" s="133" t="s">
        <v>489</v>
      </c>
      <c r="D535" s="133">
        <v>70.233333333333334</v>
      </c>
      <c r="E535" s="133">
        <v>-148.25</v>
      </c>
      <c r="F535" s="133">
        <v>10</v>
      </c>
      <c r="G535" s="133" t="s">
        <v>500</v>
      </c>
      <c r="H535" s="133" t="s">
        <v>1565</v>
      </c>
      <c r="I535" s="133" t="s">
        <v>489</v>
      </c>
      <c r="J535" s="133" t="s">
        <v>515</v>
      </c>
      <c r="K535" s="133" t="s">
        <v>489</v>
      </c>
      <c r="L535" s="133" t="s">
        <v>516</v>
      </c>
      <c r="M535" s="139" t="str">
        <f t="shared" si="11"/>
        <v>View on Google Map</v>
      </c>
    </row>
    <row r="536" spans="1:13" x14ac:dyDescent="0.2">
      <c r="A536" s="133">
        <v>6</v>
      </c>
      <c r="B536" s="133" t="s">
        <v>1566</v>
      </c>
      <c r="C536" s="133" t="s">
        <v>489</v>
      </c>
      <c r="D536" s="133" t="s">
        <v>489</v>
      </c>
      <c r="E536" s="133" t="s">
        <v>489</v>
      </c>
      <c r="F536" s="133">
        <v>457</v>
      </c>
      <c r="G536" s="133" t="s">
        <v>514</v>
      </c>
      <c r="H536" s="133" t="s">
        <v>1567</v>
      </c>
      <c r="I536" s="133" t="s">
        <v>1568</v>
      </c>
      <c r="J536" s="133" t="s">
        <v>515</v>
      </c>
      <c r="K536" s="133" t="s">
        <v>489</v>
      </c>
      <c r="L536" s="133" t="s">
        <v>516</v>
      </c>
      <c r="M536" s="139" t="str">
        <f t="shared" si="11"/>
        <v>View on Google Map</v>
      </c>
    </row>
    <row r="537" spans="1:13" x14ac:dyDescent="0.2">
      <c r="A537" s="133">
        <v>20</v>
      </c>
      <c r="B537" s="133" t="s">
        <v>1569</v>
      </c>
      <c r="C537" s="133" t="s">
        <v>489</v>
      </c>
      <c r="D537" s="133" t="s">
        <v>489</v>
      </c>
      <c r="E537" s="133" t="s">
        <v>489</v>
      </c>
      <c r="F537" s="133" t="s">
        <v>489</v>
      </c>
      <c r="G537" s="133" t="s">
        <v>514</v>
      </c>
      <c r="H537" s="133" t="s">
        <v>489</v>
      </c>
      <c r="I537" s="133" t="s">
        <v>489</v>
      </c>
      <c r="J537" s="133" t="s">
        <v>515</v>
      </c>
      <c r="K537" s="133" t="s">
        <v>489</v>
      </c>
      <c r="L537" s="133" t="s">
        <v>489</v>
      </c>
      <c r="M537" s="139" t="str">
        <f t="shared" si="11"/>
        <v>View on Google Map</v>
      </c>
    </row>
    <row r="538" spans="1:13" x14ac:dyDescent="0.2">
      <c r="A538" s="133">
        <v>1176</v>
      </c>
      <c r="B538" s="133" t="s">
        <v>1570</v>
      </c>
      <c r="C538" s="133" t="s">
        <v>521</v>
      </c>
      <c r="D538" s="133">
        <v>68.996418329999997</v>
      </c>
      <c r="E538" s="133">
        <v>-150.27895670000001</v>
      </c>
      <c r="F538" s="133" t="s">
        <v>489</v>
      </c>
      <c r="G538" s="133" t="s">
        <v>490</v>
      </c>
      <c r="H538" s="133" t="s">
        <v>489</v>
      </c>
      <c r="I538" s="133" t="s">
        <v>489</v>
      </c>
      <c r="J538" s="133" t="s">
        <v>496</v>
      </c>
      <c r="K538" s="133" t="s">
        <v>489</v>
      </c>
      <c r="L538" s="133" t="s">
        <v>497</v>
      </c>
      <c r="M538" s="139" t="str">
        <f t="shared" si="11"/>
        <v>View on Google Map</v>
      </c>
    </row>
    <row r="539" spans="1:13" x14ac:dyDescent="0.2">
      <c r="A539" s="133">
        <v>509</v>
      </c>
      <c r="B539" s="133" t="s">
        <v>1571</v>
      </c>
      <c r="C539" s="133" t="s">
        <v>499</v>
      </c>
      <c r="D539" s="133">
        <v>68.338126000000003</v>
      </c>
      <c r="E539" s="133">
        <v>-151.061735</v>
      </c>
      <c r="F539" s="133">
        <v>840</v>
      </c>
      <c r="G539" s="133" t="s">
        <v>500</v>
      </c>
      <c r="H539" s="133" t="s">
        <v>489</v>
      </c>
      <c r="I539" s="133" t="s">
        <v>489</v>
      </c>
      <c r="J539" s="133" t="s">
        <v>501</v>
      </c>
      <c r="K539" s="133" t="s">
        <v>489</v>
      </c>
      <c r="L539" s="133" t="s">
        <v>502</v>
      </c>
      <c r="M539" s="139" t="str">
        <f t="shared" si="11"/>
        <v>View on Google Map</v>
      </c>
    </row>
    <row r="540" spans="1:13" x14ac:dyDescent="0.2">
      <c r="A540" s="133">
        <v>36</v>
      </c>
      <c r="B540" s="133" t="s">
        <v>1572</v>
      </c>
      <c r="C540" s="133" t="s">
        <v>489</v>
      </c>
      <c r="D540" s="133">
        <v>69.233333333333334</v>
      </c>
      <c r="E540" s="133">
        <v>-150.804383333</v>
      </c>
      <c r="F540" s="133">
        <v>181.97</v>
      </c>
      <c r="G540" s="133" t="s">
        <v>514</v>
      </c>
      <c r="H540" s="133" t="s">
        <v>489</v>
      </c>
      <c r="I540" s="133" t="s">
        <v>489</v>
      </c>
      <c r="J540" s="133" t="s">
        <v>550</v>
      </c>
      <c r="K540" s="133" t="s">
        <v>489</v>
      </c>
      <c r="L540" s="133" t="s">
        <v>497</v>
      </c>
      <c r="M540" s="139" t="str">
        <f t="shared" si="11"/>
        <v>View on Google Map</v>
      </c>
    </row>
    <row r="541" spans="1:13" x14ac:dyDescent="0.2">
      <c r="A541" s="133">
        <v>37</v>
      </c>
      <c r="B541" s="133" t="s">
        <v>1573</v>
      </c>
      <c r="C541" s="133" t="s">
        <v>489</v>
      </c>
      <c r="D541" s="133">
        <v>68.289683333333329</v>
      </c>
      <c r="E541" s="133">
        <v>-150.91499999999999</v>
      </c>
      <c r="F541" s="133">
        <v>392</v>
      </c>
      <c r="G541" s="133" t="s">
        <v>514</v>
      </c>
      <c r="H541" s="133" t="s">
        <v>489</v>
      </c>
      <c r="I541" s="133" t="s">
        <v>489</v>
      </c>
      <c r="J541" s="133" t="s">
        <v>550</v>
      </c>
      <c r="K541" s="133" t="s">
        <v>489</v>
      </c>
      <c r="L541" s="133" t="s">
        <v>497</v>
      </c>
      <c r="M541" s="139" t="str">
        <f t="shared" si="11"/>
        <v>View on Google Map</v>
      </c>
    </row>
    <row r="542" spans="1:13" x14ac:dyDescent="0.2">
      <c r="A542" s="133">
        <v>130</v>
      </c>
      <c r="B542" s="133" t="s">
        <v>1574</v>
      </c>
      <c r="C542" s="133" t="s">
        <v>1575</v>
      </c>
      <c r="D542" s="133">
        <v>70.083333333333329</v>
      </c>
      <c r="E542" s="133">
        <v>-148.53333333333299</v>
      </c>
      <c r="F542" s="133">
        <v>24</v>
      </c>
      <c r="G542" s="133" t="s">
        <v>500</v>
      </c>
      <c r="H542" s="133" t="s">
        <v>1576</v>
      </c>
      <c r="I542" s="133" t="s">
        <v>489</v>
      </c>
      <c r="J542" s="133" t="s">
        <v>515</v>
      </c>
      <c r="K542" s="133" t="s">
        <v>489</v>
      </c>
      <c r="L542" s="133" t="s">
        <v>516</v>
      </c>
      <c r="M542" s="139" t="str">
        <f t="shared" si="11"/>
        <v>View on Google Map</v>
      </c>
    </row>
    <row r="543" spans="1:13" x14ac:dyDescent="0.2">
      <c r="A543" s="133">
        <v>519</v>
      </c>
      <c r="B543" s="133" t="s">
        <v>1577</v>
      </c>
      <c r="C543" s="133" t="s">
        <v>499</v>
      </c>
      <c r="D543" s="133">
        <v>68.802636000000007</v>
      </c>
      <c r="E543" s="133">
        <v>-150.78539699999999</v>
      </c>
      <c r="F543" s="133">
        <v>411</v>
      </c>
      <c r="G543" s="133" t="s">
        <v>500</v>
      </c>
      <c r="H543" s="133" t="s">
        <v>489</v>
      </c>
      <c r="I543" s="133" t="s">
        <v>489</v>
      </c>
      <c r="J543" s="133" t="s">
        <v>501</v>
      </c>
      <c r="K543" s="133" t="s">
        <v>489</v>
      </c>
      <c r="L543" s="133" t="s">
        <v>502</v>
      </c>
      <c r="M543" s="139" t="str">
        <f t="shared" si="11"/>
        <v>View on Google Map</v>
      </c>
    </row>
    <row r="544" spans="1:13" x14ac:dyDescent="0.2">
      <c r="A544" s="133">
        <v>452</v>
      </c>
      <c r="B544" s="133" t="s">
        <v>1578</v>
      </c>
      <c r="C544" s="133" t="s">
        <v>489</v>
      </c>
      <c r="D544" s="133">
        <v>68.794960000000003</v>
      </c>
      <c r="E544" s="133">
        <v>-149.04813999999999</v>
      </c>
      <c r="F544" s="133">
        <v>754</v>
      </c>
      <c r="G544" s="133" t="s">
        <v>500</v>
      </c>
      <c r="H544" s="133" t="s">
        <v>489</v>
      </c>
      <c r="I544" s="133" t="s">
        <v>489</v>
      </c>
      <c r="J544" s="133" t="s">
        <v>501</v>
      </c>
      <c r="K544" s="133" t="s">
        <v>489</v>
      </c>
      <c r="L544" s="133" t="s">
        <v>489</v>
      </c>
      <c r="M544" s="139" t="str">
        <f t="shared" si="11"/>
        <v>View on Google Map</v>
      </c>
    </row>
    <row r="545" spans="1:13" x14ac:dyDescent="0.2">
      <c r="A545" s="133">
        <v>453</v>
      </c>
      <c r="B545" s="133" t="s">
        <v>1579</v>
      </c>
      <c r="C545" s="133" t="s">
        <v>489</v>
      </c>
      <c r="D545" s="133">
        <v>68.810460000000006</v>
      </c>
      <c r="E545" s="133">
        <v>-149.05207999999999</v>
      </c>
      <c r="F545" s="133">
        <v>727</v>
      </c>
      <c r="G545" s="133" t="s">
        <v>500</v>
      </c>
      <c r="H545" s="133" t="s">
        <v>489</v>
      </c>
      <c r="I545" s="133" t="s">
        <v>489</v>
      </c>
      <c r="J545" s="133" t="s">
        <v>501</v>
      </c>
      <c r="K545" s="133" t="s">
        <v>489</v>
      </c>
      <c r="L545" s="133" t="s">
        <v>489</v>
      </c>
      <c r="M545" s="139" t="str">
        <f t="shared" si="11"/>
        <v>View on Google Map</v>
      </c>
    </row>
    <row r="546" spans="1:13" x14ac:dyDescent="0.2">
      <c r="A546" s="133">
        <v>454</v>
      </c>
      <c r="B546" s="133" t="s">
        <v>1580</v>
      </c>
      <c r="C546" s="133" t="s">
        <v>489</v>
      </c>
      <c r="D546" s="133">
        <v>68.815870000000004</v>
      </c>
      <c r="E546" s="133">
        <v>-149.06173999999999</v>
      </c>
      <c r="F546" s="133">
        <v>715</v>
      </c>
      <c r="G546" s="133" t="s">
        <v>500</v>
      </c>
      <c r="H546" s="133" t="s">
        <v>489</v>
      </c>
      <c r="I546" s="133" t="s">
        <v>489</v>
      </c>
      <c r="J546" s="133" t="s">
        <v>501</v>
      </c>
      <c r="K546" s="133" t="s">
        <v>489</v>
      </c>
      <c r="L546" s="133" t="s">
        <v>489</v>
      </c>
      <c r="M546" s="139" t="str">
        <f t="shared" si="11"/>
        <v>View on Google Map</v>
      </c>
    </row>
    <row r="547" spans="1:13" x14ac:dyDescent="0.2">
      <c r="A547" s="133">
        <v>455</v>
      </c>
      <c r="B547" s="133" t="s">
        <v>1581</v>
      </c>
      <c r="C547" s="133" t="s">
        <v>489</v>
      </c>
      <c r="D547" s="133">
        <v>68.810519999999997</v>
      </c>
      <c r="E547" s="133">
        <v>-149.06282999999999</v>
      </c>
      <c r="F547" s="133">
        <v>728</v>
      </c>
      <c r="G547" s="133" t="s">
        <v>500</v>
      </c>
      <c r="H547" s="133" t="s">
        <v>489</v>
      </c>
      <c r="I547" s="133" t="s">
        <v>489</v>
      </c>
      <c r="J547" s="133" t="s">
        <v>501</v>
      </c>
      <c r="K547" s="133" t="s">
        <v>489</v>
      </c>
      <c r="L547" s="133" t="s">
        <v>489</v>
      </c>
      <c r="M547" s="139" t="str">
        <f t="shared" si="11"/>
        <v>View on Google Map</v>
      </c>
    </row>
    <row r="548" spans="1:13" x14ac:dyDescent="0.2">
      <c r="A548" s="133">
        <v>456</v>
      </c>
      <c r="B548" s="133" t="s">
        <v>1582</v>
      </c>
      <c r="C548" s="133" t="s">
        <v>489</v>
      </c>
      <c r="D548" s="133">
        <v>68.812290000000004</v>
      </c>
      <c r="E548" s="133">
        <v>-149.06899000000001</v>
      </c>
      <c r="F548" s="133">
        <v>730</v>
      </c>
      <c r="G548" s="133" t="s">
        <v>500</v>
      </c>
      <c r="H548" s="133" t="s">
        <v>489</v>
      </c>
      <c r="I548" s="133" t="s">
        <v>489</v>
      </c>
      <c r="J548" s="133" t="s">
        <v>501</v>
      </c>
      <c r="K548" s="133" t="s">
        <v>489</v>
      </c>
      <c r="L548" s="133" t="s">
        <v>489</v>
      </c>
      <c r="M548" s="139" t="str">
        <f t="shared" si="11"/>
        <v>View on Google Map</v>
      </c>
    </row>
    <row r="549" spans="1:13" x14ac:dyDescent="0.2">
      <c r="A549" s="133">
        <v>457</v>
      </c>
      <c r="B549" s="133" t="s">
        <v>1583</v>
      </c>
      <c r="C549" s="133" t="s">
        <v>489</v>
      </c>
      <c r="D549" s="133">
        <v>68.814369999999997</v>
      </c>
      <c r="E549" s="133">
        <v>-149.06774999999999</v>
      </c>
      <c r="F549" s="133">
        <v>724</v>
      </c>
      <c r="G549" s="133" t="s">
        <v>500</v>
      </c>
      <c r="H549" s="133" t="s">
        <v>489</v>
      </c>
      <c r="I549" s="133" t="s">
        <v>489</v>
      </c>
      <c r="J549" s="133" t="s">
        <v>501</v>
      </c>
      <c r="K549" s="133" t="s">
        <v>489</v>
      </c>
      <c r="L549" s="133" t="s">
        <v>489</v>
      </c>
      <c r="M549" s="139" t="str">
        <f t="shared" si="11"/>
        <v>View on Google Map</v>
      </c>
    </row>
    <row r="550" spans="1:13" x14ac:dyDescent="0.2">
      <c r="A550" s="133">
        <v>38</v>
      </c>
      <c r="B550" s="133" t="s">
        <v>1584</v>
      </c>
      <c r="C550" s="133" t="s">
        <v>489</v>
      </c>
      <c r="D550" s="133">
        <v>69.011899999999997</v>
      </c>
      <c r="E550" s="133">
        <v>-150.30000000000001</v>
      </c>
      <c r="F550" s="133">
        <v>321</v>
      </c>
      <c r="G550" s="133" t="s">
        <v>514</v>
      </c>
      <c r="H550" s="133" t="s">
        <v>1585</v>
      </c>
      <c r="I550" s="133" t="s">
        <v>1586</v>
      </c>
      <c r="J550" s="133" t="s">
        <v>550</v>
      </c>
      <c r="K550" s="133" t="s">
        <v>489</v>
      </c>
      <c r="L550" s="133" t="s">
        <v>497</v>
      </c>
      <c r="M550" s="139" t="str">
        <f t="shared" si="11"/>
        <v>View on Google Map</v>
      </c>
    </row>
    <row r="551" spans="1:13" x14ac:dyDescent="0.2">
      <c r="A551" s="133">
        <v>1211</v>
      </c>
      <c r="B551" s="133" t="s">
        <v>1587</v>
      </c>
      <c r="C551" s="133" t="s">
        <v>673</v>
      </c>
      <c r="D551" s="133">
        <v>68.996700000000004</v>
      </c>
      <c r="E551" s="133">
        <v>-150.28142</v>
      </c>
      <c r="F551" s="133" t="s">
        <v>489</v>
      </c>
      <c r="G551" s="133" t="s">
        <v>490</v>
      </c>
      <c r="H551" s="133" t="s">
        <v>489</v>
      </c>
      <c r="I551" s="133" t="s">
        <v>489</v>
      </c>
      <c r="J551" s="133" t="s">
        <v>496</v>
      </c>
      <c r="K551" s="133" t="s">
        <v>489</v>
      </c>
      <c r="L551" s="133" t="s">
        <v>497</v>
      </c>
      <c r="M551" s="139" t="str">
        <f t="shared" si="11"/>
        <v>View on Google Map</v>
      </c>
    </row>
    <row r="552" spans="1:13" x14ac:dyDescent="0.2">
      <c r="A552" s="133">
        <v>1210</v>
      </c>
      <c r="B552" s="133" t="s">
        <v>1588</v>
      </c>
      <c r="C552" s="133" t="s">
        <v>673</v>
      </c>
      <c r="D552" s="133">
        <v>68.996700000000004</v>
      </c>
      <c r="E552" s="133">
        <v>-150.28142</v>
      </c>
      <c r="F552" s="133" t="s">
        <v>489</v>
      </c>
      <c r="G552" s="133" t="s">
        <v>490</v>
      </c>
      <c r="H552" s="133" t="s">
        <v>489</v>
      </c>
      <c r="I552" s="133" t="s">
        <v>489</v>
      </c>
      <c r="J552" s="133" t="s">
        <v>496</v>
      </c>
      <c r="K552" s="133" t="s">
        <v>489</v>
      </c>
      <c r="L552" s="133" t="s">
        <v>497</v>
      </c>
      <c r="M552" s="139" t="str">
        <f t="shared" si="11"/>
        <v>View on Google Map</v>
      </c>
    </row>
    <row r="553" spans="1:13" x14ac:dyDescent="0.2">
      <c r="B553" s="133" t="s">
        <v>1589</v>
      </c>
      <c r="C553" s="133" t="s">
        <v>1502</v>
      </c>
      <c r="D553" s="133">
        <v>69.007500000000007</v>
      </c>
      <c r="E553" s="133">
        <v>-150.31388888888901</v>
      </c>
      <c r="G553" s="133" t="s">
        <v>508</v>
      </c>
      <c r="J553" s="133" t="s">
        <v>496</v>
      </c>
      <c r="L553" s="133" t="s">
        <v>497</v>
      </c>
      <c r="M553" s="139" t="str">
        <f t="shared" si="11"/>
        <v>View on Google Map</v>
      </c>
    </row>
    <row r="554" spans="1:13" x14ac:dyDescent="0.2">
      <c r="B554" s="133" t="s">
        <v>1590</v>
      </c>
      <c r="C554" s="133" t="s">
        <v>886</v>
      </c>
      <c r="D554" s="133">
        <v>69.043055555555554</v>
      </c>
      <c r="E554" s="133">
        <v>-150.42916666666699</v>
      </c>
      <c r="G554" s="133" t="s">
        <v>508</v>
      </c>
      <c r="J554" s="133" t="s">
        <v>496</v>
      </c>
      <c r="L554" s="133" t="s">
        <v>497</v>
      </c>
      <c r="M554" s="139" t="str">
        <f t="shared" si="11"/>
        <v>View on Google Map</v>
      </c>
    </row>
    <row r="555" spans="1:13" x14ac:dyDescent="0.2">
      <c r="A555" s="133">
        <v>39</v>
      </c>
      <c r="B555" s="133" t="s">
        <v>1591</v>
      </c>
      <c r="C555" s="133" t="s">
        <v>489</v>
      </c>
      <c r="D555" s="133">
        <v>68.994600000000005</v>
      </c>
      <c r="E555" s="133">
        <v>-150.30699999999999</v>
      </c>
      <c r="F555" s="133">
        <v>307</v>
      </c>
      <c r="G555" s="133" t="s">
        <v>514</v>
      </c>
      <c r="H555" s="133" t="s">
        <v>1592</v>
      </c>
      <c r="I555" s="133" t="s">
        <v>489</v>
      </c>
      <c r="J555" s="133" t="s">
        <v>550</v>
      </c>
      <c r="K555" s="133" t="s">
        <v>489</v>
      </c>
      <c r="L555" s="133" t="s">
        <v>497</v>
      </c>
      <c r="M555" s="139" t="str">
        <f t="shared" si="11"/>
        <v>View on Google Map</v>
      </c>
    </row>
    <row r="556" spans="1:13" x14ac:dyDescent="0.2">
      <c r="B556" s="133" t="s">
        <v>1593</v>
      </c>
      <c r="C556" s="133" t="s">
        <v>507</v>
      </c>
      <c r="D556" s="133">
        <v>69.570555555555558</v>
      </c>
      <c r="E556" s="133">
        <v>-150.893333333333</v>
      </c>
      <c r="G556" s="133" t="s">
        <v>508</v>
      </c>
      <c r="J556" s="133" t="s">
        <v>496</v>
      </c>
      <c r="L556" s="133" t="s">
        <v>497</v>
      </c>
      <c r="M556" s="139" t="str">
        <f t="shared" si="11"/>
        <v>View on Google Map</v>
      </c>
    </row>
    <row r="557" spans="1:13" x14ac:dyDescent="0.2">
      <c r="A557" s="133">
        <v>46</v>
      </c>
      <c r="B557" s="133" t="s">
        <v>1594</v>
      </c>
      <c r="C557" s="133" t="s">
        <v>489</v>
      </c>
      <c r="D557" s="133">
        <v>68.891069000000002</v>
      </c>
      <c r="E557" s="133">
        <v>-150.58501899999999</v>
      </c>
      <c r="F557" s="133" t="s">
        <v>489</v>
      </c>
      <c r="G557" s="133" t="s">
        <v>514</v>
      </c>
      <c r="H557" s="133" t="s">
        <v>489</v>
      </c>
      <c r="I557" s="133" t="s">
        <v>489</v>
      </c>
      <c r="J557" s="133" t="s">
        <v>1500</v>
      </c>
      <c r="K557" s="133" t="s">
        <v>489</v>
      </c>
      <c r="L557" s="133" t="s">
        <v>497</v>
      </c>
      <c r="M557" s="139" t="str">
        <f t="shared" si="11"/>
        <v>View on Google Map</v>
      </c>
    </row>
    <row r="558" spans="1:13" x14ac:dyDescent="0.2">
      <c r="A558" s="133">
        <v>47</v>
      </c>
      <c r="B558" s="133" t="s">
        <v>1595</v>
      </c>
      <c r="C558" s="133" t="s">
        <v>489</v>
      </c>
      <c r="D558" s="133">
        <v>68.966999999999999</v>
      </c>
      <c r="E558" s="133">
        <v>-150.56673000000001</v>
      </c>
      <c r="F558" s="133" t="s">
        <v>489</v>
      </c>
      <c r="G558" s="133" t="s">
        <v>514</v>
      </c>
      <c r="H558" s="133" t="s">
        <v>489</v>
      </c>
      <c r="I558" s="133" t="s">
        <v>489</v>
      </c>
      <c r="J558" s="133" t="s">
        <v>1500</v>
      </c>
      <c r="K558" s="133" t="s">
        <v>489</v>
      </c>
      <c r="L558" s="133" t="s">
        <v>497</v>
      </c>
      <c r="M558" s="139" t="str">
        <f t="shared" si="11"/>
        <v>View on Google Map</v>
      </c>
    </row>
    <row r="559" spans="1:13" x14ac:dyDescent="0.2">
      <c r="A559" s="133">
        <v>100</v>
      </c>
      <c r="B559" s="133" t="s">
        <v>35</v>
      </c>
      <c r="C559" s="133" t="s">
        <v>1596</v>
      </c>
      <c r="D559" s="133">
        <v>68.629960999999994</v>
      </c>
      <c r="E559" s="133">
        <v>-149.61263299999999</v>
      </c>
      <c r="F559" s="133">
        <v>719</v>
      </c>
      <c r="G559" s="133" t="s">
        <v>500</v>
      </c>
      <c r="H559" s="133" t="s">
        <v>1597</v>
      </c>
      <c r="I559" s="133" t="s">
        <v>1598</v>
      </c>
      <c r="J559" s="133" t="s">
        <v>515</v>
      </c>
      <c r="K559" s="133" t="s">
        <v>489</v>
      </c>
      <c r="L559" s="133" t="s">
        <v>489</v>
      </c>
      <c r="M559" s="139" t="str">
        <f t="shared" si="11"/>
        <v>View on Google Map</v>
      </c>
    </row>
    <row r="560" spans="1:13" x14ac:dyDescent="0.2">
      <c r="A560" s="133">
        <v>523</v>
      </c>
      <c r="B560" s="133" t="s">
        <v>1599</v>
      </c>
      <c r="C560" s="133" t="s">
        <v>1600</v>
      </c>
      <c r="D560" s="133">
        <v>68.626671999999999</v>
      </c>
      <c r="E560" s="133">
        <v>-149.59784400000001</v>
      </c>
      <c r="F560" s="133">
        <v>719</v>
      </c>
      <c r="G560" s="133" t="s">
        <v>500</v>
      </c>
      <c r="H560" s="133" t="s">
        <v>489</v>
      </c>
      <c r="I560" s="133" t="s">
        <v>489</v>
      </c>
      <c r="J560" s="133" t="s">
        <v>501</v>
      </c>
      <c r="K560" s="133" t="s">
        <v>489</v>
      </c>
      <c r="L560" s="133" t="s">
        <v>1601</v>
      </c>
      <c r="M560" s="139" t="str">
        <f t="shared" si="11"/>
        <v>View on Google Map</v>
      </c>
    </row>
    <row r="561" spans="1:13" x14ac:dyDescent="0.2">
      <c r="A561" s="133">
        <v>524</v>
      </c>
      <c r="B561" s="133" t="s">
        <v>1602</v>
      </c>
      <c r="C561" s="133" t="s">
        <v>1600</v>
      </c>
      <c r="D561" s="133">
        <v>68.632586000000003</v>
      </c>
      <c r="E561" s="133">
        <v>-149.60089500000001</v>
      </c>
      <c r="F561" s="133">
        <v>719</v>
      </c>
      <c r="G561" s="133" t="s">
        <v>500</v>
      </c>
      <c r="H561" s="133" t="s">
        <v>489</v>
      </c>
      <c r="I561" s="133" t="s">
        <v>489</v>
      </c>
      <c r="J561" s="133" t="s">
        <v>501</v>
      </c>
      <c r="K561" s="133" t="s">
        <v>489</v>
      </c>
      <c r="L561" s="133" t="s">
        <v>1601</v>
      </c>
      <c r="M561" s="139" t="str">
        <f t="shared" si="11"/>
        <v>View on Google Map</v>
      </c>
    </row>
    <row r="562" spans="1:13" x14ac:dyDescent="0.2">
      <c r="A562" s="133">
        <v>525</v>
      </c>
      <c r="B562" s="133" t="s">
        <v>1603</v>
      </c>
      <c r="C562" s="133" t="s">
        <v>1600</v>
      </c>
      <c r="D562" s="133">
        <v>68.636390000000006</v>
      </c>
      <c r="E562" s="133">
        <v>-149.594774</v>
      </c>
      <c r="F562" s="133">
        <v>719</v>
      </c>
      <c r="G562" s="133" t="s">
        <v>500</v>
      </c>
      <c r="H562" s="133" t="s">
        <v>489</v>
      </c>
      <c r="I562" s="133" t="s">
        <v>489</v>
      </c>
      <c r="J562" s="133" t="s">
        <v>501</v>
      </c>
      <c r="K562" s="133" t="s">
        <v>489</v>
      </c>
      <c r="L562" s="133" t="s">
        <v>1601</v>
      </c>
      <c r="M562" s="139" t="str">
        <f t="shared" si="11"/>
        <v>View on Google Map</v>
      </c>
    </row>
    <row r="563" spans="1:13" x14ac:dyDescent="0.2">
      <c r="A563" s="133">
        <v>13</v>
      </c>
      <c r="B563" s="133" t="s">
        <v>1604</v>
      </c>
      <c r="C563" s="133" t="s">
        <v>489</v>
      </c>
      <c r="D563" s="133">
        <v>68.625600000000006</v>
      </c>
      <c r="E563" s="133">
        <v>-149.59604999999999</v>
      </c>
      <c r="F563" s="133">
        <v>719</v>
      </c>
      <c r="G563" s="133" t="s">
        <v>514</v>
      </c>
      <c r="H563" s="133" t="s">
        <v>1605</v>
      </c>
      <c r="I563" s="133" t="s">
        <v>1606</v>
      </c>
      <c r="J563" s="133" t="s">
        <v>515</v>
      </c>
      <c r="K563" s="133">
        <v>190</v>
      </c>
      <c r="L563" s="133" t="s">
        <v>904</v>
      </c>
      <c r="M563" s="139" t="str">
        <f t="shared" si="11"/>
        <v>View on Google Map</v>
      </c>
    </row>
    <row r="564" spans="1:13" x14ac:dyDescent="0.2">
      <c r="A564" s="133">
        <v>522</v>
      </c>
      <c r="B564" s="133" t="s">
        <v>1607</v>
      </c>
      <c r="C564" s="133" t="s">
        <v>1600</v>
      </c>
      <c r="D564" s="133">
        <v>68.625966000000005</v>
      </c>
      <c r="E564" s="133">
        <v>-149.59902199999999</v>
      </c>
      <c r="F564" s="133">
        <v>719</v>
      </c>
      <c r="G564" s="133" t="s">
        <v>500</v>
      </c>
      <c r="H564" s="133" t="s">
        <v>489</v>
      </c>
      <c r="I564" s="133" t="s">
        <v>489</v>
      </c>
      <c r="J564" s="133" t="s">
        <v>501</v>
      </c>
      <c r="K564" s="133" t="s">
        <v>489</v>
      </c>
      <c r="L564" s="133" t="s">
        <v>1601</v>
      </c>
      <c r="M564" s="139" t="str">
        <f t="shared" si="11"/>
        <v>View on Google Map</v>
      </c>
    </row>
    <row r="565" spans="1:13" x14ac:dyDescent="0.2">
      <c r="A565" s="133">
        <v>101</v>
      </c>
      <c r="B565" s="133" t="s">
        <v>1608</v>
      </c>
      <c r="C565" s="133" t="s">
        <v>1609</v>
      </c>
      <c r="D565" s="133" t="s">
        <v>489</v>
      </c>
      <c r="E565" s="133" t="s">
        <v>489</v>
      </c>
      <c r="F565" s="133">
        <v>719</v>
      </c>
      <c r="G565" s="133" t="s">
        <v>500</v>
      </c>
      <c r="H565" s="133" t="s">
        <v>489</v>
      </c>
      <c r="I565" s="133" t="s">
        <v>489</v>
      </c>
      <c r="J565" s="133" t="s">
        <v>515</v>
      </c>
      <c r="K565" s="133" t="s">
        <v>489</v>
      </c>
      <c r="L565" s="133" t="s">
        <v>489</v>
      </c>
      <c r="M565" s="139" t="str">
        <f t="shared" si="11"/>
        <v>View on Google Map</v>
      </c>
    </row>
    <row r="566" spans="1:13" x14ac:dyDescent="0.2">
      <c r="A566" s="133">
        <v>102</v>
      </c>
      <c r="B566" s="133" t="s">
        <v>1610</v>
      </c>
      <c r="C566" s="133" t="s">
        <v>1611</v>
      </c>
      <c r="D566" s="133">
        <v>68.638623999999993</v>
      </c>
      <c r="E566" s="133">
        <v>-149.610737</v>
      </c>
      <c r="F566" s="133">
        <v>719</v>
      </c>
      <c r="G566" s="133" t="s">
        <v>500</v>
      </c>
      <c r="H566" s="133" t="s">
        <v>1612</v>
      </c>
      <c r="I566" s="133" t="s">
        <v>1613</v>
      </c>
      <c r="J566" s="133" t="s">
        <v>515</v>
      </c>
      <c r="K566" s="133" t="s">
        <v>489</v>
      </c>
      <c r="L566" s="133" t="s">
        <v>489</v>
      </c>
      <c r="M566" s="139" t="str">
        <f t="shared" si="11"/>
        <v>View on Google Map</v>
      </c>
    </row>
    <row r="567" spans="1:13" x14ac:dyDescent="0.2">
      <c r="A567" s="133">
        <v>526</v>
      </c>
      <c r="B567" s="133" t="s">
        <v>1614</v>
      </c>
      <c r="C567" s="133" t="s">
        <v>1600</v>
      </c>
      <c r="D567" s="133">
        <v>68.633232000000007</v>
      </c>
      <c r="E567" s="133">
        <v>-149.61149</v>
      </c>
      <c r="F567" s="133">
        <v>719</v>
      </c>
      <c r="G567" s="133" t="s">
        <v>500</v>
      </c>
      <c r="H567" s="133" t="s">
        <v>489</v>
      </c>
      <c r="I567" s="133" t="s">
        <v>489</v>
      </c>
      <c r="J567" s="133" t="s">
        <v>501</v>
      </c>
      <c r="K567" s="133" t="s">
        <v>489</v>
      </c>
      <c r="L567" s="133" t="s">
        <v>1601</v>
      </c>
      <c r="M567" s="139" t="str">
        <f t="shared" si="11"/>
        <v>View on Google Map</v>
      </c>
    </row>
    <row r="568" spans="1:13" x14ac:dyDescent="0.2">
      <c r="A568" s="133">
        <v>14</v>
      </c>
      <c r="B568" s="133" t="s">
        <v>1615</v>
      </c>
      <c r="C568" s="133" t="s">
        <v>489</v>
      </c>
      <c r="D568" s="133" t="s">
        <v>489</v>
      </c>
      <c r="E568" s="133" t="s">
        <v>489</v>
      </c>
      <c r="F568" s="133">
        <v>719</v>
      </c>
      <c r="G568" s="133" t="s">
        <v>514</v>
      </c>
      <c r="H568" s="133" t="s">
        <v>1616</v>
      </c>
      <c r="I568" s="133" t="s">
        <v>489</v>
      </c>
      <c r="J568" s="133" t="s">
        <v>515</v>
      </c>
      <c r="K568" s="133" t="s">
        <v>489</v>
      </c>
      <c r="L568" s="133" t="s">
        <v>489</v>
      </c>
      <c r="M568" s="139" t="str">
        <f t="shared" si="11"/>
        <v>View on Google Map</v>
      </c>
    </row>
    <row r="569" spans="1:13" x14ac:dyDescent="0.2">
      <c r="A569" s="133">
        <v>527</v>
      </c>
      <c r="B569" s="133" t="s">
        <v>1617</v>
      </c>
      <c r="C569" s="133" t="s">
        <v>1600</v>
      </c>
      <c r="D569" s="133">
        <v>68.639894999999996</v>
      </c>
      <c r="E569" s="133">
        <v>-149.59610599999999</v>
      </c>
      <c r="F569" s="133">
        <v>719</v>
      </c>
      <c r="G569" s="133" t="s">
        <v>500</v>
      </c>
      <c r="H569" s="133" t="s">
        <v>489</v>
      </c>
      <c r="I569" s="133" t="s">
        <v>489</v>
      </c>
      <c r="J569" s="133" t="s">
        <v>501</v>
      </c>
      <c r="K569" s="133" t="s">
        <v>489</v>
      </c>
      <c r="L569" s="133" t="s">
        <v>1601</v>
      </c>
      <c r="M569" s="139" t="str">
        <f t="shared" si="11"/>
        <v>View on Google Map</v>
      </c>
    </row>
    <row r="570" spans="1:13" x14ac:dyDescent="0.2">
      <c r="A570" s="133">
        <v>9</v>
      </c>
      <c r="B570" s="133" t="s">
        <v>1618</v>
      </c>
      <c r="C570" s="133" t="s">
        <v>489</v>
      </c>
      <c r="D570" s="133" t="s">
        <v>489</v>
      </c>
      <c r="E570" s="133" t="s">
        <v>489</v>
      </c>
      <c r="F570" s="133">
        <v>823</v>
      </c>
      <c r="G570" s="133" t="s">
        <v>514</v>
      </c>
      <c r="H570" s="133" t="s">
        <v>489</v>
      </c>
      <c r="I570" s="133" t="s">
        <v>489</v>
      </c>
      <c r="J570" s="133" t="s">
        <v>515</v>
      </c>
      <c r="K570" s="133" t="s">
        <v>489</v>
      </c>
      <c r="L570" s="133" t="s">
        <v>489</v>
      </c>
      <c r="M570" s="139" t="str">
        <f t="shared" si="11"/>
        <v>View on Google Map</v>
      </c>
    </row>
    <row r="571" spans="1:13" x14ac:dyDescent="0.2">
      <c r="A571" s="133">
        <v>22</v>
      </c>
      <c r="B571" s="133" t="s">
        <v>1619</v>
      </c>
      <c r="C571" s="133" t="s">
        <v>489</v>
      </c>
      <c r="D571" s="133" t="s">
        <v>489</v>
      </c>
      <c r="E571" s="133" t="s">
        <v>489</v>
      </c>
      <c r="F571" s="133" t="s">
        <v>489</v>
      </c>
      <c r="G571" s="133" t="s">
        <v>514</v>
      </c>
      <c r="H571" s="133" t="s">
        <v>1620</v>
      </c>
      <c r="I571" s="133" t="s">
        <v>489</v>
      </c>
      <c r="J571" s="133" t="s">
        <v>515</v>
      </c>
      <c r="K571" s="133" t="s">
        <v>489</v>
      </c>
      <c r="L571" s="133" t="s">
        <v>489</v>
      </c>
      <c r="M571" s="139" t="str">
        <f t="shared" si="11"/>
        <v>View on Google Map</v>
      </c>
    </row>
    <row r="572" spans="1:13" x14ac:dyDescent="0.2">
      <c r="A572" s="133">
        <v>528</v>
      </c>
      <c r="B572" s="133" t="s">
        <v>1621</v>
      </c>
      <c r="C572" s="133" t="s">
        <v>1600</v>
      </c>
      <c r="D572" s="133">
        <v>68.634241000000003</v>
      </c>
      <c r="E572" s="133">
        <v>-149.60275899999999</v>
      </c>
      <c r="F572" s="133">
        <v>719</v>
      </c>
      <c r="G572" s="133" t="s">
        <v>500</v>
      </c>
      <c r="H572" s="133" t="s">
        <v>489</v>
      </c>
      <c r="I572" s="133" t="s">
        <v>489</v>
      </c>
      <c r="J572" s="133" t="s">
        <v>501</v>
      </c>
      <c r="K572" s="133" t="s">
        <v>489</v>
      </c>
      <c r="L572" s="133" t="s">
        <v>1601</v>
      </c>
      <c r="M572" s="139" t="str">
        <f t="shared" si="11"/>
        <v>View on Google Map</v>
      </c>
    </row>
    <row r="573" spans="1:13" x14ac:dyDescent="0.2">
      <c r="A573" s="133">
        <v>521</v>
      </c>
      <c r="B573" s="133" t="s">
        <v>1622</v>
      </c>
      <c r="C573" s="133" t="s">
        <v>1600</v>
      </c>
      <c r="D573" s="133">
        <v>68.628656000000007</v>
      </c>
      <c r="E573" s="133">
        <v>-149.59960599999999</v>
      </c>
      <c r="F573" s="133">
        <v>719</v>
      </c>
      <c r="G573" s="133" t="s">
        <v>500</v>
      </c>
      <c r="H573" s="133" t="s">
        <v>489</v>
      </c>
      <c r="I573" s="133" t="s">
        <v>489</v>
      </c>
      <c r="J573" s="133" t="s">
        <v>501</v>
      </c>
      <c r="K573" s="133" t="s">
        <v>489</v>
      </c>
      <c r="L573" s="133" t="s">
        <v>1601</v>
      </c>
      <c r="M573" s="139" t="str">
        <f t="shared" si="11"/>
        <v>View on Google Map</v>
      </c>
    </row>
    <row r="574" spans="1:13" x14ac:dyDescent="0.2">
      <c r="A574" s="133">
        <v>520</v>
      </c>
      <c r="B574" s="133" t="s">
        <v>1623</v>
      </c>
      <c r="C574" s="133" t="s">
        <v>1600</v>
      </c>
      <c r="D574" s="133">
        <v>68.633064000000005</v>
      </c>
      <c r="E574" s="133">
        <v>-149.62826999999999</v>
      </c>
      <c r="F574" s="133">
        <v>719</v>
      </c>
      <c r="G574" s="133" t="s">
        <v>500</v>
      </c>
      <c r="H574" s="133" t="s">
        <v>489</v>
      </c>
      <c r="I574" s="133" t="s">
        <v>489</v>
      </c>
      <c r="J574" s="133" t="s">
        <v>501</v>
      </c>
      <c r="K574" s="133" t="s">
        <v>489</v>
      </c>
      <c r="L574" s="133" t="s">
        <v>1601</v>
      </c>
      <c r="M574" s="139" t="str">
        <f t="shared" si="11"/>
        <v>View on Google Map</v>
      </c>
    </row>
    <row r="575" spans="1:13" x14ac:dyDescent="0.2">
      <c r="B575" s="133" t="s">
        <v>1624</v>
      </c>
      <c r="C575" s="133" t="s">
        <v>886</v>
      </c>
      <c r="D575" s="133">
        <v>68.695505999999995</v>
      </c>
      <c r="E575" s="133">
        <v>-149.207807</v>
      </c>
      <c r="G575" s="133" t="s">
        <v>1026</v>
      </c>
      <c r="J575" s="35" t="s">
        <v>515</v>
      </c>
      <c r="M575" s="139" t="str">
        <f t="shared" si="11"/>
        <v>View on Google Map</v>
      </c>
    </row>
    <row r="576" spans="1:13" x14ac:dyDescent="0.2">
      <c r="B576" s="133" t="s">
        <v>1625</v>
      </c>
      <c r="C576" s="133" t="s">
        <v>886</v>
      </c>
      <c r="D576" s="133">
        <v>68.695696999999996</v>
      </c>
      <c r="E576" s="133">
        <v>-149.20482699999999</v>
      </c>
      <c r="G576" s="133" t="s">
        <v>1026</v>
      </c>
      <c r="J576" s="35" t="s">
        <v>515</v>
      </c>
      <c r="M576" s="139" t="str">
        <f t="shared" si="11"/>
        <v>View on Google Map</v>
      </c>
    </row>
    <row r="577" spans="1:13" x14ac:dyDescent="0.2">
      <c r="B577" s="133" t="s">
        <v>1626</v>
      </c>
      <c r="C577" s="133" t="s">
        <v>886</v>
      </c>
      <c r="D577" s="133">
        <v>68.690700000000007</v>
      </c>
      <c r="E577" s="133">
        <v>-149.208371</v>
      </c>
      <c r="G577" s="133" t="s">
        <v>1026</v>
      </c>
      <c r="J577" s="35" t="s">
        <v>515</v>
      </c>
      <c r="M577" s="139" t="str">
        <f t="shared" si="11"/>
        <v>View on Google Map</v>
      </c>
    </row>
    <row r="578" spans="1:13" x14ac:dyDescent="0.2">
      <c r="B578" s="133" t="s">
        <v>1627</v>
      </c>
      <c r="C578" s="133" t="s">
        <v>886</v>
      </c>
      <c r="D578" s="133">
        <v>68.693759</v>
      </c>
      <c r="E578" s="133">
        <v>-149.20405500000001</v>
      </c>
      <c r="G578" s="133" t="s">
        <v>1026</v>
      </c>
      <c r="J578" s="35" t="s">
        <v>515</v>
      </c>
      <c r="M578" s="139" t="str">
        <f t="shared" si="11"/>
        <v>View on Google Map</v>
      </c>
    </row>
    <row r="579" spans="1:13" x14ac:dyDescent="0.2">
      <c r="B579" s="133" t="s">
        <v>1628</v>
      </c>
      <c r="C579" s="133" t="s">
        <v>1629</v>
      </c>
      <c r="D579" s="133">
        <v>68.628228973000006</v>
      </c>
      <c r="E579" s="133">
        <v>-149.596001285</v>
      </c>
      <c r="F579" s="133">
        <v>726.5</v>
      </c>
      <c r="J579" s="133" t="s">
        <v>515</v>
      </c>
      <c r="M579" s="133" t="str">
        <f>HYPERLINK("http://maps.google.com/maps?q="&amp;D579&amp;","&amp;E579,"View on Google Map")</f>
        <v>View on Google Map</v>
      </c>
    </row>
    <row r="580" spans="1:13" x14ac:dyDescent="0.2">
      <c r="A580" s="133">
        <v>901</v>
      </c>
      <c r="B580" s="133" t="s">
        <v>1630</v>
      </c>
      <c r="C580" s="133" t="s">
        <v>1631</v>
      </c>
      <c r="D580" s="133" t="s">
        <v>489</v>
      </c>
      <c r="E580" s="133" t="s">
        <v>489</v>
      </c>
      <c r="F580" s="133" t="s">
        <v>489</v>
      </c>
      <c r="G580" s="133" t="s">
        <v>489</v>
      </c>
      <c r="H580" s="133" t="s">
        <v>1632</v>
      </c>
      <c r="I580" s="133" t="s">
        <v>489</v>
      </c>
      <c r="J580" s="35" t="s">
        <v>515</v>
      </c>
      <c r="K580" s="133" t="s">
        <v>489</v>
      </c>
      <c r="L580" s="133" t="s">
        <v>489</v>
      </c>
      <c r="M580" s="139" t="str">
        <f t="shared" ref="M580:M638" si="12">HYPERLINK("http://maps.google.com/maps?q="&amp;D580&amp;","&amp;E580,"View on Google Map")</f>
        <v>View on Google Map</v>
      </c>
    </row>
    <row r="581" spans="1:13" x14ac:dyDescent="0.2">
      <c r="A581" s="133">
        <v>902</v>
      </c>
      <c r="B581" s="133" t="s">
        <v>1633</v>
      </c>
      <c r="C581" s="133" t="s">
        <v>1631</v>
      </c>
      <c r="D581" s="133" t="s">
        <v>489</v>
      </c>
      <c r="E581" s="133" t="s">
        <v>489</v>
      </c>
      <c r="F581" s="133">
        <v>757</v>
      </c>
      <c r="G581" s="133" t="s">
        <v>490</v>
      </c>
      <c r="H581" s="133" t="s">
        <v>1634</v>
      </c>
      <c r="I581" s="133" t="s">
        <v>489</v>
      </c>
      <c r="J581" s="133" t="s">
        <v>515</v>
      </c>
      <c r="K581" s="133" t="s">
        <v>489</v>
      </c>
      <c r="L581" s="133" t="s">
        <v>489</v>
      </c>
      <c r="M581" s="139" t="str">
        <f t="shared" si="12"/>
        <v>View on Google Map</v>
      </c>
    </row>
    <row r="582" spans="1:13" x14ac:dyDescent="0.2">
      <c r="A582" s="133">
        <v>903</v>
      </c>
      <c r="B582" s="133" t="s">
        <v>1635</v>
      </c>
      <c r="C582" s="133" t="s">
        <v>1631</v>
      </c>
      <c r="D582" s="133" t="s">
        <v>489</v>
      </c>
      <c r="E582" s="133" t="s">
        <v>489</v>
      </c>
      <c r="F582" s="133">
        <v>770</v>
      </c>
      <c r="G582" s="133" t="s">
        <v>490</v>
      </c>
      <c r="H582" s="133" t="s">
        <v>1636</v>
      </c>
      <c r="I582" s="133" t="s">
        <v>489</v>
      </c>
      <c r="J582" s="133" t="s">
        <v>515</v>
      </c>
      <c r="K582" s="133" t="s">
        <v>489</v>
      </c>
      <c r="L582" s="133" t="s">
        <v>489</v>
      </c>
      <c r="M582" s="139" t="str">
        <f t="shared" si="12"/>
        <v>View on Google Map</v>
      </c>
    </row>
    <row r="583" spans="1:13" x14ac:dyDescent="0.2">
      <c r="A583" s="133">
        <v>904</v>
      </c>
      <c r="B583" s="133" t="s">
        <v>1637</v>
      </c>
      <c r="C583" s="133" t="s">
        <v>1631</v>
      </c>
      <c r="D583" s="133" t="s">
        <v>489</v>
      </c>
      <c r="E583" s="133" t="s">
        <v>489</v>
      </c>
      <c r="F583" s="133">
        <v>770</v>
      </c>
      <c r="G583" s="133" t="s">
        <v>490</v>
      </c>
      <c r="H583" s="133" t="s">
        <v>1638</v>
      </c>
      <c r="I583" s="133" t="s">
        <v>489</v>
      </c>
      <c r="J583" s="133" t="s">
        <v>515</v>
      </c>
      <c r="K583" s="133" t="s">
        <v>489</v>
      </c>
      <c r="L583" s="133" t="s">
        <v>489</v>
      </c>
      <c r="M583" s="139" t="str">
        <f t="shared" si="12"/>
        <v>View on Google Map</v>
      </c>
    </row>
    <row r="584" spans="1:13" x14ac:dyDescent="0.2">
      <c r="A584" s="133">
        <v>905</v>
      </c>
      <c r="B584" s="133" t="s">
        <v>1639</v>
      </c>
      <c r="C584" s="133" t="s">
        <v>1631</v>
      </c>
      <c r="D584" s="133" t="s">
        <v>489</v>
      </c>
      <c r="E584" s="133" t="s">
        <v>489</v>
      </c>
      <c r="F584" s="133">
        <v>769</v>
      </c>
      <c r="G584" s="133" t="s">
        <v>490</v>
      </c>
      <c r="H584" s="133" t="s">
        <v>1640</v>
      </c>
      <c r="I584" s="133" t="s">
        <v>489</v>
      </c>
      <c r="J584" s="133" t="s">
        <v>515</v>
      </c>
      <c r="K584" s="133" t="s">
        <v>489</v>
      </c>
      <c r="L584" s="133" t="s">
        <v>489</v>
      </c>
      <c r="M584" s="139" t="str">
        <f t="shared" si="12"/>
        <v>View on Google Map</v>
      </c>
    </row>
    <row r="585" spans="1:13" x14ac:dyDescent="0.2">
      <c r="A585" s="133">
        <v>906</v>
      </c>
      <c r="B585" s="133" t="s">
        <v>1641</v>
      </c>
      <c r="C585" s="133" t="s">
        <v>1631</v>
      </c>
      <c r="D585" s="133" t="s">
        <v>489</v>
      </c>
      <c r="E585" s="133" t="s">
        <v>489</v>
      </c>
      <c r="F585" s="133">
        <v>769</v>
      </c>
      <c r="G585" s="133" t="s">
        <v>490</v>
      </c>
      <c r="H585" s="133" t="s">
        <v>1642</v>
      </c>
      <c r="I585" s="133" t="s">
        <v>489</v>
      </c>
      <c r="J585" s="133" t="s">
        <v>515</v>
      </c>
      <c r="K585" s="133" t="s">
        <v>489</v>
      </c>
      <c r="L585" s="133" t="s">
        <v>489</v>
      </c>
      <c r="M585" s="139" t="str">
        <f t="shared" si="12"/>
        <v>View on Google Map</v>
      </c>
    </row>
    <row r="586" spans="1:13" x14ac:dyDescent="0.2">
      <c r="A586" s="133">
        <v>907</v>
      </c>
      <c r="B586" s="133" t="s">
        <v>1643</v>
      </c>
      <c r="C586" s="133" t="s">
        <v>1631</v>
      </c>
      <c r="D586" s="133" t="s">
        <v>489</v>
      </c>
      <c r="E586" s="133" t="s">
        <v>489</v>
      </c>
      <c r="F586" s="133">
        <v>770</v>
      </c>
      <c r="G586" s="133" t="s">
        <v>490</v>
      </c>
      <c r="H586" s="133" t="s">
        <v>1644</v>
      </c>
      <c r="I586" s="133" t="s">
        <v>489</v>
      </c>
      <c r="J586" s="133" t="s">
        <v>515</v>
      </c>
      <c r="K586" s="133" t="s">
        <v>489</v>
      </c>
      <c r="L586" s="133" t="s">
        <v>489</v>
      </c>
      <c r="M586" s="139" t="str">
        <f t="shared" si="12"/>
        <v>View on Google Map</v>
      </c>
    </row>
    <row r="587" spans="1:13" x14ac:dyDescent="0.2">
      <c r="A587" s="133">
        <v>908</v>
      </c>
      <c r="B587" s="133" t="s">
        <v>1645</v>
      </c>
      <c r="C587" s="133" t="s">
        <v>1631</v>
      </c>
      <c r="D587" s="133" t="s">
        <v>489</v>
      </c>
      <c r="E587" s="133" t="s">
        <v>489</v>
      </c>
      <c r="F587" s="133">
        <v>770</v>
      </c>
      <c r="G587" s="133" t="s">
        <v>490</v>
      </c>
      <c r="H587" s="133" t="s">
        <v>1646</v>
      </c>
      <c r="I587" s="133" t="s">
        <v>489</v>
      </c>
      <c r="J587" s="133" t="s">
        <v>515</v>
      </c>
      <c r="K587" s="133" t="s">
        <v>489</v>
      </c>
      <c r="L587" s="133" t="s">
        <v>489</v>
      </c>
      <c r="M587" s="139" t="str">
        <f t="shared" si="12"/>
        <v>View on Google Map</v>
      </c>
    </row>
    <row r="588" spans="1:13" x14ac:dyDescent="0.2">
      <c r="A588" s="133">
        <v>909</v>
      </c>
      <c r="B588" s="133" t="s">
        <v>1647</v>
      </c>
      <c r="C588" s="133" t="s">
        <v>1631</v>
      </c>
      <c r="D588" s="133" t="s">
        <v>489</v>
      </c>
      <c r="E588" s="133" t="s">
        <v>489</v>
      </c>
      <c r="F588" s="133">
        <v>764</v>
      </c>
      <c r="G588" s="133" t="s">
        <v>490</v>
      </c>
      <c r="H588" s="133" t="s">
        <v>1648</v>
      </c>
      <c r="I588" s="133" t="s">
        <v>489</v>
      </c>
      <c r="J588" s="133" t="s">
        <v>515</v>
      </c>
      <c r="K588" s="133" t="s">
        <v>489</v>
      </c>
      <c r="L588" s="133" t="s">
        <v>489</v>
      </c>
      <c r="M588" s="139" t="str">
        <f t="shared" si="12"/>
        <v>View on Google Map</v>
      </c>
    </row>
    <row r="589" spans="1:13" x14ac:dyDescent="0.2">
      <c r="A589" s="133">
        <v>910</v>
      </c>
      <c r="B589" s="133" t="s">
        <v>1649</v>
      </c>
      <c r="C589" s="133" t="s">
        <v>1631</v>
      </c>
      <c r="D589" s="133" t="s">
        <v>489</v>
      </c>
      <c r="E589" s="133" t="s">
        <v>489</v>
      </c>
      <c r="F589" s="133">
        <v>764</v>
      </c>
      <c r="G589" s="133" t="s">
        <v>490</v>
      </c>
      <c r="H589" s="133" t="s">
        <v>1650</v>
      </c>
      <c r="I589" s="133" t="s">
        <v>489</v>
      </c>
      <c r="J589" s="133" t="s">
        <v>515</v>
      </c>
      <c r="K589" s="133" t="s">
        <v>489</v>
      </c>
      <c r="L589" s="133" t="s">
        <v>489</v>
      </c>
      <c r="M589" s="139" t="str">
        <f t="shared" si="12"/>
        <v>View on Google Map</v>
      </c>
    </row>
    <row r="590" spans="1:13" x14ac:dyDescent="0.2">
      <c r="A590" s="133">
        <v>911</v>
      </c>
      <c r="B590" s="133" t="s">
        <v>1651</v>
      </c>
      <c r="C590" s="133" t="s">
        <v>1631</v>
      </c>
      <c r="D590" s="133" t="s">
        <v>489</v>
      </c>
      <c r="E590" s="133" t="s">
        <v>489</v>
      </c>
      <c r="F590" s="133">
        <v>760</v>
      </c>
      <c r="G590" s="133" t="s">
        <v>490</v>
      </c>
      <c r="H590" s="133" t="s">
        <v>1652</v>
      </c>
      <c r="I590" s="133" t="s">
        <v>489</v>
      </c>
      <c r="J590" s="133" t="s">
        <v>515</v>
      </c>
      <c r="K590" s="133" t="s">
        <v>489</v>
      </c>
      <c r="L590" s="133" t="s">
        <v>489</v>
      </c>
      <c r="M590" s="139" t="str">
        <f t="shared" si="12"/>
        <v>View on Google Map</v>
      </c>
    </row>
    <row r="591" spans="1:13" x14ac:dyDescent="0.2">
      <c r="A591" s="133">
        <v>912</v>
      </c>
      <c r="B591" s="133" t="s">
        <v>1653</v>
      </c>
      <c r="C591" s="133" t="s">
        <v>1631</v>
      </c>
      <c r="D591" s="133" t="s">
        <v>489</v>
      </c>
      <c r="E591" s="133" t="s">
        <v>489</v>
      </c>
      <c r="F591" s="133">
        <v>760</v>
      </c>
      <c r="G591" s="133" t="s">
        <v>490</v>
      </c>
      <c r="H591" s="133" t="s">
        <v>1654</v>
      </c>
      <c r="I591" s="133" t="s">
        <v>489</v>
      </c>
      <c r="J591" s="133" t="s">
        <v>515</v>
      </c>
      <c r="K591" s="133" t="s">
        <v>489</v>
      </c>
      <c r="L591" s="133" t="s">
        <v>489</v>
      </c>
      <c r="M591" s="139" t="str">
        <f t="shared" si="12"/>
        <v>View on Google Map</v>
      </c>
    </row>
    <row r="592" spans="1:13" x14ac:dyDescent="0.2">
      <c r="A592" s="133">
        <v>913</v>
      </c>
      <c r="B592" s="133" t="s">
        <v>1655</v>
      </c>
      <c r="C592" s="133" t="s">
        <v>1631</v>
      </c>
      <c r="D592" s="133" t="s">
        <v>489</v>
      </c>
      <c r="E592" s="133" t="s">
        <v>489</v>
      </c>
      <c r="F592" s="133">
        <v>759</v>
      </c>
      <c r="G592" s="133" t="s">
        <v>490</v>
      </c>
      <c r="H592" s="133" t="s">
        <v>1656</v>
      </c>
      <c r="I592" s="133" t="s">
        <v>489</v>
      </c>
      <c r="J592" s="133" t="s">
        <v>515</v>
      </c>
      <c r="K592" s="133" t="s">
        <v>489</v>
      </c>
      <c r="L592" s="133" t="s">
        <v>489</v>
      </c>
      <c r="M592" s="139" t="str">
        <f t="shared" si="12"/>
        <v>View on Google Map</v>
      </c>
    </row>
    <row r="593" spans="1:13" x14ac:dyDescent="0.2">
      <c r="A593" s="133">
        <v>914</v>
      </c>
      <c r="B593" s="133" t="s">
        <v>1657</v>
      </c>
      <c r="C593" s="133" t="s">
        <v>1631</v>
      </c>
      <c r="D593" s="133" t="s">
        <v>489</v>
      </c>
      <c r="E593" s="133" t="s">
        <v>489</v>
      </c>
      <c r="F593" s="133">
        <v>758</v>
      </c>
      <c r="G593" s="133" t="s">
        <v>490</v>
      </c>
      <c r="H593" s="133" t="s">
        <v>1658</v>
      </c>
      <c r="I593" s="133" t="s">
        <v>489</v>
      </c>
      <c r="J593" s="133" t="s">
        <v>515</v>
      </c>
      <c r="K593" s="133" t="s">
        <v>489</v>
      </c>
      <c r="L593" s="133" t="s">
        <v>489</v>
      </c>
      <c r="M593" s="139" t="str">
        <f t="shared" si="12"/>
        <v>View on Google Map</v>
      </c>
    </row>
    <row r="594" spans="1:13" x14ac:dyDescent="0.2">
      <c r="A594" s="133">
        <v>915</v>
      </c>
      <c r="B594" s="133" t="s">
        <v>1659</v>
      </c>
      <c r="C594" s="133" t="s">
        <v>1660</v>
      </c>
      <c r="D594" s="133">
        <v>68.627900999999994</v>
      </c>
      <c r="E594" s="133">
        <v>-149.61295100000001</v>
      </c>
      <c r="F594" s="133">
        <v>759</v>
      </c>
      <c r="G594" s="133" t="s">
        <v>490</v>
      </c>
      <c r="H594" s="133" t="s">
        <v>1661</v>
      </c>
      <c r="I594" s="133" t="s">
        <v>1662</v>
      </c>
      <c r="J594" s="133" t="s">
        <v>515</v>
      </c>
      <c r="K594" s="133" t="s">
        <v>489</v>
      </c>
      <c r="L594" s="133" t="s">
        <v>489</v>
      </c>
      <c r="M594" s="139" t="str">
        <f t="shared" si="12"/>
        <v>View on Google Map</v>
      </c>
    </row>
    <row r="595" spans="1:13" x14ac:dyDescent="0.2">
      <c r="A595" s="133">
        <v>900</v>
      </c>
      <c r="B595" s="133" t="s">
        <v>1663</v>
      </c>
      <c r="C595" s="133" t="s">
        <v>489</v>
      </c>
      <c r="D595" s="133">
        <v>68.623487999999995</v>
      </c>
      <c r="E595" s="133">
        <v>-149.616559</v>
      </c>
      <c r="F595" s="133">
        <v>761</v>
      </c>
      <c r="G595" s="133" t="s">
        <v>490</v>
      </c>
      <c r="H595" s="133" t="s">
        <v>1664</v>
      </c>
      <c r="I595" s="133" t="s">
        <v>1665</v>
      </c>
      <c r="J595" s="133" t="s">
        <v>515</v>
      </c>
      <c r="K595" s="133" t="s">
        <v>489</v>
      </c>
      <c r="L595" s="133" t="s">
        <v>489</v>
      </c>
      <c r="M595" s="139" t="str">
        <f t="shared" si="12"/>
        <v>View on Google Map</v>
      </c>
    </row>
    <row r="596" spans="1:13" x14ac:dyDescent="0.2">
      <c r="B596" s="133" t="s">
        <v>1666</v>
      </c>
      <c r="C596" s="133" t="s">
        <v>1101</v>
      </c>
      <c r="D596" s="133">
        <v>68.549263888888888</v>
      </c>
      <c r="E596" s="133">
        <v>-149.306022222222</v>
      </c>
      <c r="G596" s="133" t="s">
        <v>1026</v>
      </c>
      <c r="J596" s="35" t="s">
        <v>515</v>
      </c>
      <c r="M596" s="139" t="str">
        <f t="shared" si="12"/>
        <v>View on Google Map</v>
      </c>
    </row>
    <row r="597" spans="1:13" x14ac:dyDescent="0.2">
      <c r="B597" s="133" t="s">
        <v>1667</v>
      </c>
      <c r="C597" s="133" t="s">
        <v>1101</v>
      </c>
      <c r="D597" s="133">
        <v>68.550188888888883</v>
      </c>
      <c r="E597" s="133">
        <v>-149.310305555556</v>
      </c>
      <c r="G597" s="133" t="s">
        <v>1026</v>
      </c>
      <c r="J597" s="35" t="s">
        <v>515</v>
      </c>
      <c r="M597" s="139" t="str">
        <f t="shared" si="12"/>
        <v>View on Google Map</v>
      </c>
    </row>
    <row r="598" spans="1:13" x14ac:dyDescent="0.2">
      <c r="B598" s="133" t="s">
        <v>1668</v>
      </c>
      <c r="C598" s="133" t="s">
        <v>1101</v>
      </c>
      <c r="D598" s="133">
        <v>68.549108333333336</v>
      </c>
      <c r="E598" s="133">
        <v>-149.30837777777799</v>
      </c>
      <c r="G598" s="133" t="s">
        <v>1026</v>
      </c>
      <c r="J598" s="35" t="s">
        <v>515</v>
      </c>
      <c r="M598" s="139" t="str">
        <f t="shared" si="12"/>
        <v>View on Google Map</v>
      </c>
    </row>
    <row r="599" spans="1:13" x14ac:dyDescent="0.2">
      <c r="A599" s="133">
        <v>42</v>
      </c>
      <c r="B599" s="133" t="s">
        <v>1669</v>
      </c>
      <c r="C599" s="133" t="s">
        <v>489</v>
      </c>
      <c r="D599" s="133">
        <v>68.960555999999997</v>
      </c>
      <c r="E599" s="133">
        <v>-150.63055600000001</v>
      </c>
      <c r="F599" s="133" t="s">
        <v>489</v>
      </c>
      <c r="G599" s="133" t="s">
        <v>514</v>
      </c>
      <c r="H599" s="133" t="s">
        <v>1670</v>
      </c>
      <c r="I599" s="133" t="s">
        <v>489</v>
      </c>
      <c r="J599" s="133" t="s">
        <v>1500</v>
      </c>
      <c r="K599" s="133" t="s">
        <v>489</v>
      </c>
      <c r="L599" s="133" t="s">
        <v>497</v>
      </c>
      <c r="M599" s="139" t="str">
        <f t="shared" si="12"/>
        <v>View on Google Map</v>
      </c>
    </row>
    <row r="600" spans="1:13" x14ac:dyDescent="0.2">
      <c r="A600" s="133">
        <v>43</v>
      </c>
      <c r="B600" s="133" t="s">
        <v>1671</v>
      </c>
      <c r="C600" s="133" t="s">
        <v>489</v>
      </c>
      <c r="D600" s="133">
        <v>68.935101000000003</v>
      </c>
      <c r="E600" s="133">
        <v>-150.68391700000001</v>
      </c>
      <c r="F600" s="133" t="s">
        <v>489</v>
      </c>
      <c r="G600" s="133" t="s">
        <v>514</v>
      </c>
      <c r="H600" s="133" t="s">
        <v>1672</v>
      </c>
      <c r="I600" s="133" t="s">
        <v>489</v>
      </c>
      <c r="J600" s="133" t="s">
        <v>1500</v>
      </c>
      <c r="K600" s="133" t="s">
        <v>489</v>
      </c>
      <c r="L600" s="133" t="s">
        <v>497</v>
      </c>
      <c r="M600" s="139" t="str">
        <f t="shared" si="12"/>
        <v>View on Google Map</v>
      </c>
    </row>
    <row r="601" spans="1:13" x14ac:dyDescent="0.2">
      <c r="A601" s="133">
        <v>44</v>
      </c>
      <c r="B601" s="133" t="s">
        <v>1673</v>
      </c>
      <c r="C601" s="133" t="s">
        <v>489</v>
      </c>
      <c r="D601" s="133">
        <v>68.916987000000006</v>
      </c>
      <c r="E601" s="133">
        <v>-150.659291</v>
      </c>
      <c r="F601" s="133" t="s">
        <v>489</v>
      </c>
      <c r="G601" s="133" t="s">
        <v>514</v>
      </c>
      <c r="H601" s="133" t="s">
        <v>1674</v>
      </c>
      <c r="I601" s="133" t="s">
        <v>489</v>
      </c>
      <c r="J601" s="133" t="s">
        <v>1500</v>
      </c>
      <c r="K601" s="133" t="s">
        <v>489</v>
      </c>
      <c r="L601" s="133" t="s">
        <v>497</v>
      </c>
      <c r="M601" s="139" t="str">
        <f t="shared" si="12"/>
        <v>View on Google Map</v>
      </c>
    </row>
    <row r="602" spans="1:13" x14ac:dyDescent="0.2">
      <c r="B602" s="133" t="s">
        <v>1675</v>
      </c>
      <c r="C602" s="133" t="s">
        <v>1502</v>
      </c>
      <c r="D602" s="133">
        <v>69.132777777777775</v>
      </c>
      <c r="E602" s="133">
        <v>-150.710833333333</v>
      </c>
      <c r="G602" s="133" t="s">
        <v>508</v>
      </c>
      <c r="J602" s="133" t="s">
        <v>496</v>
      </c>
      <c r="L602" s="133" t="s">
        <v>497</v>
      </c>
      <c r="M602" s="139" t="str">
        <f t="shared" si="12"/>
        <v>View on Google Map</v>
      </c>
    </row>
    <row r="603" spans="1:13" x14ac:dyDescent="0.2">
      <c r="B603" s="133" t="s">
        <v>1676</v>
      </c>
      <c r="C603" s="133" t="s">
        <v>886</v>
      </c>
      <c r="D603" s="133">
        <v>69.13944444444445</v>
      </c>
      <c r="E603" s="133">
        <v>-150.68388888888899</v>
      </c>
      <c r="G603" s="133" t="s">
        <v>508</v>
      </c>
      <c r="J603" s="133" t="s">
        <v>496</v>
      </c>
      <c r="L603" s="133" t="s">
        <v>497</v>
      </c>
      <c r="M603" s="139" t="str">
        <f t="shared" si="12"/>
        <v>View on Google Map</v>
      </c>
    </row>
    <row r="604" spans="1:13" x14ac:dyDescent="0.2">
      <c r="B604" s="133" t="s">
        <v>1677</v>
      </c>
      <c r="C604" s="133" t="s">
        <v>1502</v>
      </c>
      <c r="D604" s="133">
        <v>68.960833333333341</v>
      </c>
      <c r="E604" s="133">
        <v>-150.719722222222</v>
      </c>
      <c r="G604" s="133" t="s">
        <v>508</v>
      </c>
      <c r="J604" s="133" t="s">
        <v>496</v>
      </c>
      <c r="L604" s="133" t="s">
        <v>497</v>
      </c>
      <c r="M604" s="139" t="str">
        <f t="shared" si="12"/>
        <v>View on Google Map</v>
      </c>
    </row>
    <row r="605" spans="1:13" x14ac:dyDescent="0.2">
      <c r="B605" s="133" t="s">
        <v>1678</v>
      </c>
      <c r="C605" s="133" t="s">
        <v>886</v>
      </c>
      <c r="D605" s="133">
        <v>69.055277777777775</v>
      </c>
      <c r="E605" s="133">
        <v>-150.80972222222201</v>
      </c>
      <c r="G605" s="133" t="s">
        <v>508</v>
      </c>
      <c r="J605" s="133" t="s">
        <v>496</v>
      </c>
      <c r="L605" s="133" t="s">
        <v>497</v>
      </c>
      <c r="M605" s="139" t="str">
        <f t="shared" si="12"/>
        <v>View on Google Map</v>
      </c>
    </row>
    <row r="606" spans="1:13" x14ac:dyDescent="0.2">
      <c r="A606" s="133">
        <v>932</v>
      </c>
      <c r="B606" s="133" t="s">
        <v>1679</v>
      </c>
      <c r="C606" s="133" t="s">
        <v>489</v>
      </c>
      <c r="D606" s="133" t="s">
        <v>489</v>
      </c>
      <c r="E606" s="133" t="s">
        <v>489</v>
      </c>
      <c r="F606" s="133">
        <v>750</v>
      </c>
      <c r="G606" s="133" t="s">
        <v>490</v>
      </c>
      <c r="H606" s="133" t="s">
        <v>1680</v>
      </c>
      <c r="I606" s="133" t="s">
        <v>1681</v>
      </c>
      <c r="J606" s="133" t="s">
        <v>515</v>
      </c>
      <c r="K606" s="133" t="s">
        <v>489</v>
      </c>
      <c r="L606" s="133" t="s">
        <v>489</v>
      </c>
      <c r="M606" s="139" t="str">
        <f t="shared" si="12"/>
        <v>View on Google Map</v>
      </c>
    </row>
    <row r="607" spans="1:13" x14ac:dyDescent="0.2">
      <c r="A607" s="133">
        <v>920</v>
      </c>
      <c r="B607" s="133" t="s">
        <v>1682</v>
      </c>
      <c r="C607" s="133" t="s">
        <v>489</v>
      </c>
      <c r="D607" s="133" t="s">
        <v>489</v>
      </c>
      <c r="E607" s="133" t="s">
        <v>489</v>
      </c>
      <c r="F607" s="133">
        <v>760</v>
      </c>
      <c r="G607" s="133" t="s">
        <v>490</v>
      </c>
      <c r="H607" s="133" t="s">
        <v>1683</v>
      </c>
      <c r="I607" s="133" t="s">
        <v>1684</v>
      </c>
      <c r="J607" s="133" t="s">
        <v>515</v>
      </c>
      <c r="K607" s="133" t="s">
        <v>489</v>
      </c>
      <c r="L607" s="133" t="s">
        <v>489</v>
      </c>
      <c r="M607" s="139" t="str">
        <f t="shared" si="12"/>
        <v>View on Google Map</v>
      </c>
    </row>
    <row r="608" spans="1:13" x14ac:dyDescent="0.2">
      <c r="A608" s="133">
        <v>921</v>
      </c>
      <c r="B608" s="133" t="s">
        <v>1685</v>
      </c>
      <c r="C608" s="133" t="s">
        <v>489</v>
      </c>
      <c r="D608" s="133" t="s">
        <v>489</v>
      </c>
      <c r="E608" s="133" t="s">
        <v>489</v>
      </c>
      <c r="F608" s="133">
        <v>720</v>
      </c>
      <c r="G608" s="133" t="s">
        <v>490</v>
      </c>
      <c r="H608" s="133" t="s">
        <v>1686</v>
      </c>
      <c r="I608" s="133" t="s">
        <v>1687</v>
      </c>
      <c r="J608" s="133" t="s">
        <v>515</v>
      </c>
      <c r="K608" s="133" t="s">
        <v>489</v>
      </c>
      <c r="L608" s="133" t="s">
        <v>489</v>
      </c>
      <c r="M608" s="139" t="str">
        <f t="shared" si="12"/>
        <v>View on Google Map</v>
      </c>
    </row>
    <row r="609" spans="1:13" x14ac:dyDescent="0.2">
      <c r="A609" s="133">
        <v>922</v>
      </c>
      <c r="B609" s="133" t="s">
        <v>1688</v>
      </c>
      <c r="C609" s="133" t="s">
        <v>489</v>
      </c>
      <c r="D609" s="133" t="s">
        <v>489</v>
      </c>
      <c r="E609" s="133" t="s">
        <v>489</v>
      </c>
      <c r="F609" s="133">
        <v>750</v>
      </c>
      <c r="G609" s="133" t="s">
        <v>490</v>
      </c>
      <c r="H609" s="133" t="s">
        <v>1689</v>
      </c>
      <c r="I609" s="133" t="s">
        <v>1690</v>
      </c>
      <c r="J609" s="133" t="s">
        <v>515</v>
      </c>
      <c r="K609" s="133" t="s">
        <v>489</v>
      </c>
      <c r="L609" s="133" t="s">
        <v>489</v>
      </c>
      <c r="M609" s="139" t="str">
        <f t="shared" si="12"/>
        <v>View on Google Map</v>
      </c>
    </row>
    <row r="610" spans="1:13" x14ac:dyDescent="0.2">
      <c r="A610" s="133">
        <v>923</v>
      </c>
      <c r="B610" s="133" t="s">
        <v>1691</v>
      </c>
      <c r="C610" s="133" t="s">
        <v>489</v>
      </c>
      <c r="D610" s="133" t="s">
        <v>489</v>
      </c>
      <c r="E610" s="133" t="s">
        <v>489</v>
      </c>
      <c r="F610" s="133">
        <v>750</v>
      </c>
      <c r="G610" s="133" t="s">
        <v>490</v>
      </c>
      <c r="H610" s="133" t="s">
        <v>1692</v>
      </c>
      <c r="I610" s="133" t="s">
        <v>1693</v>
      </c>
      <c r="J610" s="133" t="s">
        <v>515</v>
      </c>
      <c r="K610" s="133" t="s">
        <v>489</v>
      </c>
      <c r="L610" s="133" t="s">
        <v>489</v>
      </c>
      <c r="M610" s="139" t="str">
        <f t="shared" si="12"/>
        <v>View on Google Map</v>
      </c>
    </row>
    <row r="611" spans="1:13" x14ac:dyDescent="0.2">
      <c r="A611" s="133">
        <v>924</v>
      </c>
      <c r="B611" s="133" t="s">
        <v>1694</v>
      </c>
      <c r="C611" s="133" t="s">
        <v>489</v>
      </c>
      <c r="D611" s="133" t="s">
        <v>489</v>
      </c>
      <c r="E611" s="133" t="s">
        <v>489</v>
      </c>
      <c r="F611" s="133">
        <v>750</v>
      </c>
      <c r="G611" s="133" t="s">
        <v>490</v>
      </c>
      <c r="H611" s="133" t="s">
        <v>1695</v>
      </c>
      <c r="I611" s="133" t="s">
        <v>1696</v>
      </c>
      <c r="J611" s="133" t="s">
        <v>515</v>
      </c>
      <c r="K611" s="133" t="s">
        <v>489</v>
      </c>
      <c r="L611" s="133" t="s">
        <v>489</v>
      </c>
      <c r="M611" s="139" t="str">
        <f t="shared" si="12"/>
        <v>View on Google Map</v>
      </c>
    </row>
    <row r="612" spans="1:13" x14ac:dyDescent="0.2">
      <c r="A612" s="133">
        <v>925</v>
      </c>
      <c r="B612" s="133" t="s">
        <v>1697</v>
      </c>
      <c r="C612" s="133" t="s">
        <v>489</v>
      </c>
      <c r="D612" s="133" t="s">
        <v>489</v>
      </c>
      <c r="E612" s="133" t="s">
        <v>489</v>
      </c>
      <c r="F612" s="133">
        <v>750</v>
      </c>
      <c r="G612" s="133" t="s">
        <v>490</v>
      </c>
      <c r="H612" s="133" t="s">
        <v>1698</v>
      </c>
      <c r="I612" s="133" t="s">
        <v>1699</v>
      </c>
      <c r="J612" s="133" t="s">
        <v>515</v>
      </c>
      <c r="K612" s="133" t="s">
        <v>489</v>
      </c>
      <c r="L612" s="133" t="s">
        <v>489</v>
      </c>
      <c r="M612" s="139" t="str">
        <f t="shared" si="12"/>
        <v>View on Google Map</v>
      </c>
    </row>
    <row r="613" spans="1:13" x14ac:dyDescent="0.2">
      <c r="A613" s="133">
        <v>926</v>
      </c>
      <c r="B613" s="133" t="s">
        <v>1700</v>
      </c>
      <c r="C613" s="133" t="s">
        <v>489</v>
      </c>
      <c r="D613" s="133" t="s">
        <v>489</v>
      </c>
      <c r="E613" s="133" t="s">
        <v>489</v>
      </c>
      <c r="F613" s="133">
        <v>750</v>
      </c>
      <c r="G613" s="133" t="s">
        <v>490</v>
      </c>
      <c r="H613" s="133" t="s">
        <v>1701</v>
      </c>
      <c r="I613" s="133" t="s">
        <v>1702</v>
      </c>
      <c r="J613" s="133" t="s">
        <v>515</v>
      </c>
      <c r="K613" s="133" t="s">
        <v>489</v>
      </c>
      <c r="L613" s="133" t="s">
        <v>489</v>
      </c>
      <c r="M613" s="139" t="str">
        <f t="shared" si="12"/>
        <v>View on Google Map</v>
      </c>
    </row>
    <row r="614" spans="1:13" x14ac:dyDescent="0.2">
      <c r="A614" s="133">
        <v>927</v>
      </c>
      <c r="B614" s="133" t="s">
        <v>1703</v>
      </c>
      <c r="C614" s="133" t="s">
        <v>489</v>
      </c>
      <c r="D614" s="133" t="s">
        <v>489</v>
      </c>
      <c r="E614" s="133" t="s">
        <v>489</v>
      </c>
      <c r="F614" s="133">
        <v>750</v>
      </c>
      <c r="G614" s="133" t="s">
        <v>490</v>
      </c>
      <c r="H614" s="133" t="s">
        <v>1704</v>
      </c>
      <c r="I614" s="133" t="s">
        <v>1705</v>
      </c>
      <c r="J614" s="133" t="s">
        <v>515</v>
      </c>
      <c r="K614" s="133" t="s">
        <v>489</v>
      </c>
      <c r="L614" s="133" t="s">
        <v>489</v>
      </c>
      <c r="M614" s="139" t="str">
        <f t="shared" si="12"/>
        <v>View on Google Map</v>
      </c>
    </row>
    <row r="615" spans="1:13" x14ac:dyDescent="0.2">
      <c r="A615" s="133">
        <v>928</v>
      </c>
      <c r="B615" s="133" t="s">
        <v>1706</v>
      </c>
      <c r="C615" s="133" t="s">
        <v>489</v>
      </c>
      <c r="D615" s="133" t="s">
        <v>489</v>
      </c>
      <c r="E615" s="133" t="s">
        <v>489</v>
      </c>
      <c r="F615" s="133">
        <v>750</v>
      </c>
      <c r="G615" s="133" t="s">
        <v>490</v>
      </c>
      <c r="H615" s="133" t="s">
        <v>1707</v>
      </c>
      <c r="I615" s="133" t="s">
        <v>1708</v>
      </c>
      <c r="J615" s="133" t="s">
        <v>515</v>
      </c>
      <c r="K615" s="133" t="s">
        <v>489</v>
      </c>
      <c r="L615" s="133" t="s">
        <v>489</v>
      </c>
      <c r="M615" s="139" t="str">
        <f t="shared" si="12"/>
        <v>View on Google Map</v>
      </c>
    </row>
    <row r="616" spans="1:13" x14ac:dyDescent="0.2">
      <c r="A616" s="133">
        <v>929</v>
      </c>
      <c r="B616" s="133" t="s">
        <v>1709</v>
      </c>
      <c r="C616" s="133" t="s">
        <v>489</v>
      </c>
      <c r="D616" s="133" t="s">
        <v>489</v>
      </c>
      <c r="E616" s="133" t="s">
        <v>489</v>
      </c>
      <c r="F616" s="133">
        <v>750</v>
      </c>
      <c r="G616" s="133" t="s">
        <v>490</v>
      </c>
      <c r="H616" s="133" t="s">
        <v>1710</v>
      </c>
      <c r="I616" s="133" t="s">
        <v>1711</v>
      </c>
      <c r="J616" s="133" t="s">
        <v>515</v>
      </c>
      <c r="K616" s="133" t="s">
        <v>489</v>
      </c>
      <c r="L616" s="133" t="s">
        <v>489</v>
      </c>
      <c r="M616" s="139" t="str">
        <f t="shared" si="12"/>
        <v>View on Google Map</v>
      </c>
    </row>
    <row r="617" spans="1:13" x14ac:dyDescent="0.2">
      <c r="A617" s="133">
        <v>930</v>
      </c>
      <c r="B617" s="133" t="s">
        <v>1712</v>
      </c>
      <c r="C617" s="133" t="s">
        <v>489</v>
      </c>
      <c r="D617" s="133" t="s">
        <v>489</v>
      </c>
      <c r="E617" s="133" t="s">
        <v>489</v>
      </c>
      <c r="F617" s="133">
        <v>750</v>
      </c>
      <c r="G617" s="133" t="s">
        <v>490</v>
      </c>
      <c r="H617" s="133" t="s">
        <v>1713</v>
      </c>
      <c r="I617" s="133" t="s">
        <v>1714</v>
      </c>
      <c r="J617" s="133" t="s">
        <v>515</v>
      </c>
      <c r="K617" s="133" t="s">
        <v>489</v>
      </c>
      <c r="L617" s="133" t="s">
        <v>489</v>
      </c>
      <c r="M617" s="139" t="str">
        <f t="shared" si="12"/>
        <v>View on Google Map</v>
      </c>
    </row>
    <row r="618" spans="1:13" x14ac:dyDescent="0.2">
      <c r="A618" s="133">
        <v>931</v>
      </c>
      <c r="B618" s="133" t="s">
        <v>1715</v>
      </c>
      <c r="C618" s="133" t="s">
        <v>489</v>
      </c>
      <c r="D618" s="133" t="s">
        <v>489</v>
      </c>
      <c r="E618" s="133" t="s">
        <v>489</v>
      </c>
      <c r="F618" s="133">
        <v>750</v>
      </c>
      <c r="G618" s="133" t="s">
        <v>490</v>
      </c>
      <c r="H618" s="133" t="s">
        <v>1716</v>
      </c>
      <c r="I618" s="133" t="s">
        <v>1717</v>
      </c>
      <c r="J618" s="133" t="s">
        <v>515</v>
      </c>
      <c r="K618" s="133" t="s">
        <v>489</v>
      </c>
      <c r="L618" s="133" t="s">
        <v>489</v>
      </c>
      <c r="M618" s="139" t="str">
        <f t="shared" si="12"/>
        <v>View on Google Map</v>
      </c>
    </row>
    <row r="619" spans="1:13" x14ac:dyDescent="0.2">
      <c r="A619" s="133">
        <v>370</v>
      </c>
      <c r="B619" s="133" t="s">
        <v>1718</v>
      </c>
      <c r="C619" s="133" t="s">
        <v>489</v>
      </c>
      <c r="D619" s="133" t="s">
        <v>489</v>
      </c>
      <c r="E619" s="133" t="s">
        <v>489</v>
      </c>
      <c r="F619" s="133" t="s">
        <v>489</v>
      </c>
      <c r="G619" s="133" t="s">
        <v>500</v>
      </c>
      <c r="H619" s="133" t="s">
        <v>489</v>
      </c>
      <c r="I619" s="133" t="s">
        <v>489</v>
      </c>
      <c r="J619" s="133" t="s">
        <v>515</v>
      </c>
      <c r="K619" s="133" t="s">
        <v>489</v>
      </c>
      <c r="L619" s="133" t="s">
        <v>1719</v>
      </c>
      <c r="M619" s="139" t="str">
        <f t="shared" si="12"/>
        <v>View on Google Map</v>
      </c>
    </row>
    <row r="620" spans="1:13" x14ac:dyDescent="0.2">
      <c r="A620" s="133">
        <v>371</v>
      </c>
      <c r="B620" s="133" t="s">
        <v>1720</v>
      </c>
      <c r="C620" s="133" t="s">
        <v>489</v>
      </c>
      <c r="D620" s="133" t="s">
        <v>489</v>
      </c>
      <c r="E620" s="133" t="s">
        <v>489</v>
      </c>
      <c r="F620" s="133" t="s">
        <v>489</v>
      </c>
      <c r="G620" s="133" t="s">
        <v>500</v>
      </c>
      <c r="H620" s="133" t="s">
        <v>489</v>
      </c>
      <c r="I620" s="133" t="s">
        <v>489</v>
      </c>
      <c r="J620" s="133" t="s">
        <v>515</v>
      </c>
      <c r="K620" s="133" t="s">
        <v>489</v>
      </c>
      <c r="L620" s="133" t="s">
        <v>1719</v>
      </c>
      <c r="M620" s="139" t="str">
        <f t="shared" si="12"/>
        <v>View on Google Map</v>
      </c>
    </row>
    <row r="621" spans="1:13" x14ac:dyDescent="0.2">
      <c r="A621" s="133">
        <v>372</v>
      </c>
      <c r="B621" s="133" t="s">
        <v>1721</v>
      </c>
      <c r="C621" s="133" t="s">
        <v>489</v>
      </c>
      <c r="D621" s="133" t="s">
        <v>489</v>
      </c>
      <c r="E621" s="133" t="s">
        <v>489</v>
      </c>
      <c r="F621" s="133" t="s">
        <v>489</v>
      </c>
      <c r="G621" s="133" t="s">
        <v>500</v>
      </c>
      <c r="H621" s="133" t="s">
        <v>489</v>
      </c>
      <c r="I621" s="133" t="s">
        <v>489</v>
      </c>
      <c r="J621" s="133" t="s">
        <v>515</v>
      </c>
      <c r="K621" s="133" t="s">
        <v>489</v>
      </c>
      <c r="L621" s="133" t="s">
        <v>1719</v>
      </c>
      <c r="M621" s="139" t="str">
        <f t="shared" si="12"/>
        <v>View on Google Map</v>
      </c>
    </row>
    <row r="622" spans="1:13" x14ac:dyDescent="0.2">
      <c r="A622" s="133">
        <v>373</v>
      </c>
      <c r="B622" s="133" t="s">
        <v>1722</v>
      </c>
      <c r="C622" s="133" t="s">
        <v>489</v>
      </c>
      <c r="D622" s="133" t="s">
        <v>489</v>
      </c>
      <c r="E622" s="133" t="s">
        <v>489</v>
      </c>
      <c r="F622" s="133" t="s">
        <v>489</v>
      </c>
      <c r="G622" s="133" t="s">
        <v>500</v>
      </c>
      <c r="H622" s="133" t="s">
        <v>489</v>
      </c>
      <c r="I622" s="133" t="s">
        <v>489</v>
      </c>
      <c r="J622" s="133" t="s">
        <v>515</v>
      </c>
      <c r="K622" s="133" t="s">
        <v>489</v>
      </c>
      <c r="L622" s="133" t="s">
        <v>1719</v>
      </c>
      <c r="M622" s="139" t="str">
        <f t="shared" si="12"/>
        <v>View on Google Map</v>
      </c>
    </row>
    <row r="623" spans="1:13" x14ac:dyDescent="0.2">
      <c r="A623" s="133">
        <v>374</v>
      </c>
      <c r="B623" s="133" t="s">
        <v>1723</v>
      </c>
      <c r="C623" s="133" t="s">
        <v>489</v>
      </c>
      <c r="D623" s="133" t="s">
        <v>489</v>
      </c>
      <c r="E623" s="133" t="s">
        <v>489</v>
      </c>
      <c r="F623" s="133" t="s">
        <v>489</v>
      </c>
      <c r="G623" s="133" t="s">
        <v>500</v>
      </c>
      <c r="H623" s="133" t="s">
        <v>489</v>
      </c>
      <c r="I623" s="133" t="s">
        <v>489</v>
      </c>
      <c r="J623" s="133" t="s">
        <v>515</v>
      </c>
      <c r="K623" s="133" t="s">
        <v>489</v>
      </c>
      <c r="L623" s="133" t="s">
        <v>1719</v>
      </c>
      <c r="M623" s="139" t="str">
        <f t="shared" si="12"/>
        <v>View on Google Map</v>
      </c>
    </row>
    <row r="624" spans="1:13" x14ac:dyDescent="0.2">
      <c r="A624" s="133">
        <v>375</v>
      </c>
      <c r="B624" s="133" t="s">
        <v>1724</v>
      </c>
      <c r="C624" s="133" t="s">
        <v>489</v>
      </c>
      <c r="D624" s="133" t="s">
        <v>489</v>
      </c>
      <c r="E624" s="133" t="s">
        <v>489</v>
      </c>
      <c r="F624" s="133" t="s">
        <v>489</v>
      </c>
      <c r="G624" s="133" t="s">
        <v>500</v>
      </c>
      <c r="H624" s="133" t="s">
        <v>489</v>
      </c>
      <c r="I624" s="133" t="s">
        <v>489</v>
      </c>
      <c r="J624" s="133" t="s">
        <v>515</v>
      </c>
      <c r="K624" s="133" t="s">
        <v>489</v>
      </c>
      <c r="L624" s="133" t="s">
        <v>1719</v>
      </c>
      <c r="M624" s="139" t="str">
        <f t="shared" si="12"/>
        <v>View on Google Map</v>
      </c>
    </row>
    <row r="625" spans="1:13" x14ac:dyDescent="0.2">
      <c r="A625" s="133">
        <v>376</v>
      </c>
      <c r="B625" s="133" t="s">
        <v>1725</v>
      </c>
      <c r="C625" s="133" t="s">
        <v>489</v>
      </c>
      <c r="D625" s="133" t="s">
        <v>489</v>
      </c>
      <c r="E625" s="133" t="s">
        <v>489</v>
      </c>
      <c r="F625" s="133" t="s">
        <v>489</v>
      </c>
      <c r="G625" s="133" t="s">
        <v>500</v>
      </c>
      <c r="H625" s="133" t="s">
        <v>489</v>
      </c>
      <c r="I625" s="133" t="s">
        <v>489</v>
      </c>
      <c r="J625" s="133" t="s">
        <v>515</v>
      </c>
      <c r="K625" s="133" t="s">
        <v>489</v>
      </c>
      <c r="L625" s="133" t="s">
        <v>1719</v>
      </c>
      <c r="M625" s="139" t="str">
        <f t="shared" si="12"/>
        <v>View on Google Map</v>
      </c>
    </row>
    <row r="626" spans="1:13" x14ac:dyDescent="0.2">
      <c r="A626" s="133">
        <v>377</v>
      </c>
      <c r="B626" s="133" t="s">
        <v>1726</v>
      </c>
      <c r="C626" s="133" t="s">
        <v>489</v>
      </c>
      <c r="D626" s="133" t="s">
        <v>489</v>
      </c>
      <c r="E626" s="133" t="s">
        <v>489</v>
      </c>
      <c r="F626" s="133" t="s">
        <v>489</v>
      </c>
      <c r="G626" s="133" t="s">
        <v>500</v>
      </c>
      <c r="H626" s="133" t="s">
        <v>489</v>
      </c>
      <c r="I626" s="133" t="s">
        <v>489</v>
      </c>
      <c r="J626" s="133" t="s">
        <v>515</v>
      </c>
      <c r="K626" s="133" t="s">
        <v>489</v>
      </c>
      <c r="L626" s="133" t="s">
        <v>1719</v>
      </c>
      <c r="M626" s="139" t="str">
        <f t="shared" si="12"/>
        <v>View on Google Map</v>
      </c>
    </row>
    <row r="627" spans="1:13" x14ac:dyDescent="0.2">
      <c r="A627" s="133">
        <v>378</v>
      </c>
      <c r="B627" s="133" t="s">
        <v>1727</v>
      </c>
      <c r="C627" s="133" t="s">
        <v>489</v>
      </c>
      <c r="D627" s="133" t="s">
        <v>489</v>
      </c>
      <c r="E627" s="133" t="s">
        <v>489</v>
      </c>
      <c r="F627" s="133" t="s">
        <v>489</v>
      </c>
      <c r="G627" s="133" t="s">
        <v>500</v>
      </c>
      <c r="H627" s="133" t="s">
        <v>489</v>
      </c>
      <c r="I627" s="133" t="s">
        <v>489</v>
      </c>
      <c r="J627" s="133" t="s">
        <v>515</v>
      </c>
      <c r="K627" s="133" t="s">
        <v>489</v>
      </c>
      <c r="L627" s="133" t="s">
        <v>1719</v>
      </c>
      <c r="M627" s="139" t="str">
        <f t="shared" si="12"/>
        <v>View on Google Map</v>
      </c>
    </row>
    <row r="628" spans="1:13" x14ac:dyDescent="0.2">
      <c r="A628" s="133">
        <v>379</v>
      </c>
      <c r="B628" s="133" t="s">
        <v>1728</v>
      </c>
      <c r="C628" s="133" t="s">
        <v>489</v>
      </c>
      <c r="D628" s="133" t="s">
        <v>489</v>
      </c>
      <c r="E628" s="133" t="s">
        <v>489</v>
      </c>
      <c r="F628" s="133" t="s">
        <v>489</v>
      </c>
      <c r="G628" s="133" t="s">
        <v>500</v>
      </c>
      <c r="H628" s="133" t="s">
        <v>489</v>
      </c>
      <c r="I628" s="133" t="s">
        <v>489</v>
      </c>
      <c r="J628" s="133" t="s">
        <v>515</v>
      </c>
      <c r="K628" s="133" t="s">
        <v>489</v>
      </c>
      <c r="L628" s="133" t="s">
        <v>1719</v>
      </c>
      <c r="M628" s="139" t="str">
        <f t="shared" si="12"/>
        <v>View on Google Map</v>
      </c>
    </row>
    <row r="629" spans="1:13" x14ac:dyDescent="0.2">
      <c r="A629" s="133">
        <v>458</v>
      </c>
      <c r="B629" s="133" t="s">
        <v>1729</v>
      </c>
      <c r="C629" s="133" t="s">
        <v>489</v>
      </c>
      <c r="D629" s="133">
        <v>68.986329999999995</v>
      </c>
      <c r="E629" s="133">
        <v>-149.89803000000001</v>
      </c>
      <c r="F629" s="133">
        <v>419</v>
      </c>
      <c r="G629" s="133" t="s">
        <v>500</v>
      </c>
      <c r="H629" s="133" t="s">
        <v>489</v>
      </c>
      <c r="I629" s="133" t="s">
        <v>489</v>
      </c>
      <c r="J629" s="133" t="s">
        <v>501</v>
      </c>
      <c r="K629" s="133" t="s">
        <v>489</v>
      </c>
      <c r="L629" s="133" t="s">
        <v>489</v>
      </c>
      <c r="M629" s="139" t="str">
        <f t="shared" si="12"/>
        <v>View on Google Map</v>
      </c>
    </row>
    <row r="630" spans="1:13" x14ac:dyDescent="0.2">
      <c r="A630" s="133">
        <v>459</v>
      </c>
      <c r="B630" s="133" t="s">
        <v>1730</v>
      </c>
      <c r="C630" s="133" t="s">
        <v>489</v>
      </c>
      <c r="D630" s="133">
        <v>68.983530000000002</v>
      </c>
      <c r="E630" s="133">
        <v>-149.89436000000001</v>
      </c>
      <c r="F630" s="133">
        <v>408</v>
      </c>
      <c r="G630" s="133" t="s">
        <v>500</v>
      </c>
      <c r="H630" s="133" t="s">
        <v>489</v>
      </c>
      <c r="I630" s="133" t="s">
        <v>489</v>
      </c>
      <c r="J630" s="133" t="s">
        <v>501</v>
      </c>
      <c r="K630" s="133" t="s">
        <v>489</v>
      </c>
      <c r="L630" s="133" t="s">
        <v>489</v>
      </c>
      <c r="M630" s="139" t="str">
        <f t="shared" si="12"/>
        <v>View on Google Map</v>
      </c>
    </row>
    <row r="631" spans="1:13" x14ac:dyDescent="0.2">
      <c r="A631" s="133">
        <v>460</v>
      </c>
      <c r="B631" s="133" t="s">
        <v>1731</v>
      </c>
      <c r="C631" s="133" t="s">
        <v>489</v>
      </c>
      <c r="D631" s="133">
        <v>68.978710000000007</v>
      </c>
      <c r="E631" s="133">
        <v>-149.89182</v>
      </c>
      <c r="F631" s="133">
        <v>394</v>
      </c>
      <c r="G631" s="133" t="s">
        <v>500</v>
      </c>
      <c r="H631" s="133" t="s">
        <v>489</v>
      </c>
      <c r="I631" s="133" t="s">
        <v>489</v>
      </c>
      <c r="J631" s="133" t="s">
        <v>501</v>
      </c>
      <c r="K631" s="133" t="s">
        <v>489</v>
      </c>
      <c r="L631" s="133" t="s">
        <v>489</v>
      </c>
      <c r="M631" s="139" t="str">
        <f t="shared" si="12"/>
        <v>View on Google Map</v>
      </c>
    </row>
    <row r="632" spans="1:13" x14ac:dyDescent="0.2">
      <c r="A632" s="133">
        <v>461</v>
      </c>
      <c r="B632" s="133" t="s">
        <v>1732</v>
      </c>
      <c r="C632" s="133" t="s">
        <v>489</v>
      </c>
      <c r="D632" s="133">
        <v>68.861750000000001</v>
      </c>
      <c r="E632" s="133">
        <v>-149.03908000000001</v>
      </c>
      <c r="F632" s="133">
        <v>651</v>
      </c>
      <c r="G632" s="133" t="s">
        <v>500</v>
      </c>
      <c r="H632" s="133" t="s">
        <v>489</v>
      </c>
      <c r="I632" s="133" t="s">
        <v>489</v>
      </c>
      <c r="J632" s="133" t="s">
        <v>501</v>
      </c>
      <c r="K632" s="133" t="s">
        <v>489</v>
      </c>
      <c r="L632" s="133" t="s">
        <v>489</v>
      </c>
      <c r="M632" s="139" t="str">
        <f t="shared" si="12"/>
        <v>View on Google Map</v>
      </c>
    </row>
    <row r="633" spans="1:13" x14ac:dyDescent="0.2">
      <c r="A633" s="133">
        <v>462</v>
      </c>
      <c r="B633" s="133" t="s">
        <v>1733</v>
      </c>
      <c r="C633" s="133" t="s">
        <v>489</v>
      </c>
      <c r="D633" s="133">
        <v>68.867549999999994</v>
      </c>
      <c r="E633" s="133">
        <v>-149.03557000000001</v>
      </c>
      <c r="F633" s="133">
        <v>638</v>
      </c>
      <c r="G633" s="133" t="s">
        <v>500</v>
      </c>
      <c r="H633" s="133" t="s">
        <v>489</v>
      </c>
      <c r="I633" s="133" t="s">
        <v>489</v>
      </c>
      <c r="J633" s="133" t="s">
        <v>501</v>
      </c>
      <c r="K633" s="133" t="s">
        <v>489</v>
      </c>
      <c r="L633" s="133" t="s">
        <v>489</v>
      </c>
      <c r="M633" s="139" t="str">
        <f t="shared" si="12"/>
        <v>View on Google Map</v>
      </c>
    </row>
    <row r="634" spans="1:13" x14ac:dyDescent="0.2">
      <c r="A634" s="140">
        <v>463</v>
      </c>
      <c r="B634" s="140" t="s">
        <v>1734</v>
      </c>
      <c r="C634" s="140" t="s">
        <v>489</v>
      </c>
      <c r="D634" s="140">
        <v>68.873149999999995</v>
      </c>
      <c r="E634" s="140">
        <v>-149.04128</v>
      </c>
      <c r="F634" s="140">
        <v>637</v>
      </c>
      <c r="G634" s="140" t="s">
        <v>500</v>
      </c>
      <c r="H634" s="140" t="s">
        <v>489</v>
      </c>
      <c r="I634" s="140" t="s">
        <v>489</v>
      </c>
      <c r="J634" s="140" t="s">
        <v>501</v>
      </c>
      <c r="K634" s="140" t="s">
        <v>489</v>
      </c>
      <c r="L634" s="140" t="s">
        <v>489</v>
      </c>
      <c r="M634" s="139" t="str">
        <f t="shared" si="12"/>
        <v>View on Google Map</v>
      </c>
    </row>
    <row r="635" spans="1:13" x14ac:dyDescent="0.2">
      <c r="A635" s="133">
        <v>129</v>
      </c>
      <c r="B635" s="133" t="s">
        <v>1735</v>
      </c>
      <c r="C635" s="133" t="s">
        <v>1575</v>
      </c>
      <c r="D635" s="133">
        <v>69.966666666666669</v>
      </c>
      <c r="E635" s="133">
        <v>-148.73333333333301</v>
      </c>
      <c r="F635" s="133">
        <v>57</v>
      </c>
      <c r="G635" s="133" t="s">
        <v>500</v>
      </c>
      <c r="H635" s="133" t="s">
        <v>1736</v>
      </c>
      <c r="I635" s="133" t="s">
        <v>489</v>
      </c>
      <c r="J635" s="133" t="s">
        <v>515</v>
      </c>
      <c r="K635" s="133" t="s">
        <v>489</v>
      </c>
      <c r="L635" s="133" t="s">
        <v>516</v>
      </c>
      <c r="M635" s="139" t="str">
        <f t="shared" si="12"/>
        <v>View on Google Map</v>
      </c>
    </row>
    <row r="636" spans="1:13" x14ac:dyDescent="0.2">
      <c r="A636" s="133">
        <v>17</v>
      </c>
      <c r="B636" s="133" t="s">
        <v>1737</v>
      </c>
      <c r="C636" s="133" t="s">
        <v>1738</v>
      </c>
      <c r="D636" s="133" t="s">
        <v>489</v>
      </c>
      <c r="E636" s="133" t="s">
        <v>489</v>
      </c>
      <c r="F636" s="133" t="s">
        <v>489</v>
      </c>
      <c r="G636" s="133" t="s">
        <v>514</v>
      </c>
      <c r="H636" s="133" t="s">
        <v>489</v>
      </c>
      <c r="I636" s="133" t="s">
        <v>489</v>
      </c>
      <c r="J636" s="133" t="s">
        <v>515</v>
      </c>
      <c r="K636" s="133" t="s">
        <v>489</v>
      </c>
      <c r="L636" s="133" t="s">
        <v>489</v>
      </c>
      <c r="M636" s="139" t="str">
        <f t="shared" si="12"/>
        <v>View on Google Map</v>
      </c>
    </row>
    <row r="637" spans="1:13" x14ac:dyDescent="0.2">
      <c r="A637" s="133">
        <v>530</v>
      </c>
      <c r="B637" s="133" t="s">
        <v>1739</v>
      </c>
      <c r="C637" s="133" t="s">
        <v>895</v>
      </c>
      <c r="D637" s="133">
        <v>68.674332000000007</v>
      </c>
      <c r="E637" s="133">
        <v>-149.61694399999999</v>
      </c>
      <c r="F637" s="133">
        <v>701</v>
      </c>
      <c r="G637" s="133" t="s">
        <v>500</v>
      </c>
      <c r="H637" s="133" t="s">
        <v>489</v>
      </c>
      <c r="I637" s="133" t="s">
        <v>489</v>
      </c>
      <c r="J637" s="133" t="s">
        <v>501</v>
      </c>
      <c r="K637" s="133" t="s">
        <v>489</v>
      </c>
      <c r="L637" s="133" t="s">
        <v>896</v>
      </c>
      <c r="M637" s="139" t="str">
        <f t="shared" si="12"/>
        <v>View on Google Map</v>
      </c>
    </row>
    <row r="638" spans="1:13" x14ac:dyDescent="0.2">
      <c r="A638" s="133">
        <v>496</v>
      </c>
      <c r="B638" s="133" t="s">
        <v>1740</v>
      </c>
      <c r="C638" s="133" t="s">
        <v>489</v>
      </c>
      <c r="D638" s="133">
        <v>68.674149999999997</v>
      </c>
      <c r="E638" s="133">
        <v>-149.61810299999999</v>
      </c>
      <c r="F638" s="133">
        <v>701</v>
      </c>
      <c r="G638" s="133" t="s">
        <v>514</v>
      </c>
      <c r="H638" s="133" t="s">
        <v>1741</v>
      </c>
      <c r="I638" s="133" t="s">
        <v>489</v>
      </c>
      <c r="J638" s="133" t="s">
        <v>1417</v>
      </c>
      <c r="K638" s="133" t="s">
        <v>489</v>
      </c>
      <c r="L638" s="133" t="s">
        <v>896</v>
      </c>
      <c r="M638" s="139"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Metadata_SunScanLAI</vt:lpstr>
      <vt:lpstr>SunScan_LAI_Data</vt:lpstr>
      <vt:lpstr>Sites(Do NOT Edit)</vt:lpstr>
      <vt:lpstr>Metadata_SunScanLAI!ABSTRACT</vt:lpstr>
      <vt:lpstr>'Sites(Do NOT Edit)'!ABSTRACT</vt:lpstr>
      <vt:lpstr>Metadata_SunScanLAI!Address_line_2</vt:lpstr>
      <vt:lpstr>'Sites(Do NOT Edit)'!Address_line_2</vt:lpstr>
      <vt:lpstr>Metadata_SunScanLAI!Address_line_3</vt:lpstr>
      <vt:lpstr>'Sites(Do NOT Edit)'!Address_line_3</vt:lpstr>
      <vt:lpstr>Metadata_SunScanLAI!Availability_Status</vt:lpstr>
      <vt:lpstr>'Sites(Do NOT Edit)'!Availability_Status</vt:lpstr>
      <vt:lpstr>Metadata_SunScanLAI!Beginning_Date</vt:lpstr>
      <vt:lpstr>'Sites(Do NOT Edit)'!Beginning_Date</vt:lpstr>
      <vt:lpstr>Metadata_SunScanLAI!City</vt:lpstr>
      <vt:lpstr>'Sites(Do NOT Edit)'!City</vt:lpstr>
      <vt:lpstr>Metadata_SunScanLAI!Code_Information</vt:lpstr>
      <vt:lpstr>'Sites(Do NOT Edit)'!Code_Information</vt:lpstr>
      <vt:lpstr>Metadata_SunScanLAI!Country</vt:lpstr>
      <vt:lpstr>'Sites(Do NOT Edit)'!Country</vt:lpstr>
      <vt:lpstr>Metadata_SunScanLAI!DATA_FILE_INFORMATION</vt:lpstr>
      <vt:lpstr>'Sites(Do NOT Edit)'!DATA_FILE_INFORMATION</vt:lpstr>
      <vt:lpstr>Metadata_SunScanLAI!Data_File_Name</vt:lpstr>
      <vt:lpstr>'Sites(Do NOT Edit)'!Data_File_Name</vt:lpstr>
      <vt:lpstr>Metadata_SunScanLAI!Data_File_URL</vt:lpstr>
      <vt:lpstr>'Sites(Do NOT Edit)'!Data_File_URL</vt:lpstr>
      <vt:lpstr>Metadata_SunScanLAI!Data_Type</vt:lpstr>
      <vt:lpstr>'Sites(Do NOT Edit)'!Data_Type</vt:lpstr>
      <vt:lpstr>Metadata_SunScanLAI!DATASET_ID</vt:lpstr>
      <vt:lpstr>'Sites(Do NOT Edit)'!DATASET_ID</vt:lpstr>
      <vt:lpstr>Metadata_SunScanLAI!DATASET_TITLE</vt:lpstr>
      <vt:lpstr>'Sites(Do NOT Edit)'!DATASET_TITLE</vt:lpstr>
      <vt:lpstr>Metadata_SunScanLAI!DateTime_Format</vt:lpstr>
      <vt:lpstr>'Sites(Do NOT Edit)'!DateTime_Format</vt:lpstr>
      <vt:lpstr>Metadata_SunScanLAI!Distribution_URL_for_file</vt:lpstr>
      <vt:lpstr>'Sites(Do NOT Edit)'!Distribution_URL_for_file</vt:lpstr>
      <vt:lpstr>Metadata_SunScanLAI!East_Bounding_Coordinate</vt:lpstr>
      <vt:lpstr>'Sites(Do NOT Edit)'!East_Bounding_Coordinate</vt:lpstr>
      <vt:lpstr>Metadata_SunScanLAI!Elevation</vt:lpstr>
      <vt:lpstr>'Sites(Do NOT Edit)'!Elevation</vt:lpstr>
      <vt:lpstr>Metadata_SunScanLAI!Email</vt:lpstr>
      <vt:lpstr>'Sites(Do NOT Edit)'!Email</vt:lpstr>
      <vt:lpstr>Metadata_SunScanLAI!End_Date</vt:lpstr>
      <vt:lpstr>'Sites(Do NOT Edit)'!End_Date</vt:lpstr>
      <vt:lpstr>Metadata_SunScanLAI!First_Name</vt:lpstr>
      <vt:lpstr>'Sites(Do NOT Edit)'!First_Name</vt:lpstr>
      <vt:lpstr>Metadata_SunScanLAI!Geographic_Description</vt:lpstr>
      <vt:lpstr>'Sites(Do NOT Edit)'!Geographic_Description</vt:lpstr>
      <vt:lpstr>Metadata_SunScanLAI!INVESTIGATOR_INFORMATION</vt:lpstr>
      <vt:lpstr>'Sites(Do NOT Edit)'!INVESTIGATOR_INFORMATION</vt:lpstr>
      <vt:lpstr>Metadata_SunScanLAI!KEYWORD_INFORMATION</vt:lpstr>
      <vt:lpstr>'Sites(Do NOT Edit)'!KEYWORD_INFORMATION</vt:lpstr>
      <vt:lpstr>Metadata_SunScanLAI!KEYWORDS</vt:lpstr>
      <vt:lpstr>'Sites(Do NOT Edit)'!KEYWORDS</vt:lpstr>
      <vt:lpstr>Metadata_SunScanLAI!Last_Name</vt:lpstr>
      <vt:lpstr>'Sites(Do NOT Edit)'!Last_Name</vt:lpstr>
      <vt:lpstr>Metadata_SunScanLAI!Latitude</vt:lpstr>
      <vt:lpstr>'Sites(Do NOT Edit)'!Latitude</vt:lpstr>
      <vt:lpstr>Link_to_Google_Map</vt:lpstr>
      <vt:lpstr>Metadata_SunScanLAI!Location_Bounding_Box</vt:lpstr>
      <vt:lpstr>'Sites(Do NOT Edit)'!Location_Bounding_Box</vt:lpstr>
      <vt:lpstr>Metadata_SunScanLAI!Location_Name</vt:lpstr>
      <vt:lpstr>'Sites(Do NOT Edit)'!Location_Name</vt:lpstr>
      <vt:lpstr>Metadata_SunScanLAI!Log_of_Changes</vt:lpstr>
      <vt:lpstr>'Sites(Do NOT Edit)'!Log_of_Changes</vt:lpstr>
      <vt:lpstr>Metadata_SunScanLAI!Longitude</vt:lpstr>
      <vt:lpstr>'Sites(Do NOT Edit)'!Longitude</vt:lpstr>
      <vt:lpstr>LTER_Sites_number</vt:lpstr>
      <vt:lpstr>Metadata_SunScanLAI!Maintenance_Description</vt:lpstr>
      <vt:lpstr>'Sites(Do NOT Edit)'!Maintenance_Description</vt:lpstr>
      <vt:lpstr>Metadata_SunScanLAI!Metacat_Package_ID</vt:lpstr>
      <vt:lpstr>'Sites(Do NOT Edit)'!Metacat_Package_ID</vt:lpstr>
      <vt:lpstr>Metadata_SunScanLAI!METHODS</vt:lpstr>
      <vt:lpstr>'Sites(Do NOT Edit)'!METHODS</vt:lpstr>
      <vt:lpstr>Metadata_SunScanLAI!Missing_Value_Code</vt:lpstr>
      <vt:lpstr>'Sites(Do NOT Edit)'!Missing_Value_Code</vt:lpstr>
      <vt:lpstr>Metadata_SunScanLAI!North_Bounding_Coordinate</vt:lpstr>
      <vt:lpstr>'Sites(Do NOT Edit)'!North_Bounding_Coordinate</vt:lpstr>
      <vt:lpstr>Metadata_SunScanLAI!Number_of_Data_Records</vt:lpstr>
      <vt:lpstr>'Sites(Do NOT Edit)'!Number_of_Data_Records</vt:lpstr>
      <vt:lpstr>Metadata_SunScanLAI!OR</vt:lpstr>
      <vt:lpstr>'Sites(Do NOT Edit)'!OR</vt:lpstr>
      <vt:lpstr>Metadata_SunScanLAI!OR_if_single_point_location</vt:lpstr>
      <vt:lpstr>'Sites(Do NOT Edit)'!OR_if_single_point_location</vt:lpstr>
      <vt:lpstr>Metadata_SunScanLAI!Organisms_studied</vt:lpstr>
      <vt:lpstr>'Sites(Do NOT Edit)'!Organisms_studied</vt:lpstr>
      <vt:lpstr>Metadata_SunScanLAI!Organization</vt:lpstr>
      <vt:lpstr>'Sites(Do NOT Edit)'!Organization</vt:lpstr>
      <vt:lpstr>Metadata_SunScanLAI!Other_Files_to_Reference</vt:lpstr>
      <vt:lpstr>'Sites(Do NOT Edit)'!Other_Files_to_Reference</vt:lpstr>
      <vt:lpstr>Metadata_SunScanLAI!Protocol_Document</vt:lpstr>
      <vt:lpstr>'Sites(Do NOT Edit)'!Protocol_Document</vt:lpstr>
      <vt:lpstr>Metadata_SunScanLAI!Protocol_Title</vt:lpstr>
      <vt:lpstr>'Sites(Do NOT Edit)'!Protocol_Title</vt:lpstr>
      <vt:lpstr>Metadata_SunScanLAI!Quality_Control_Information</vt:lpstr>
      <vt:lpstr>'Sites(Do NOT Edit)'!Quality_Control_Information</vt:lpstr>
      <vt:lpstr>Metadata_SunScanLAI!RESEARCH_LOCATION</vt:lpstr>
      <vt:lpstr>'Sites(Do NOT Edit)'!RESEARCH_LOCATION</vt:lpstr>
      <vt:lpstr>Metadata_SunScanLAI!Role</vt:lpstr>
      <vt:lpstr>'Sites(Do NOT Edit)'!Role</vt:lpstr>
      <vt:lpstr>Metadata_SunScanLAI!Sampling_and_or_Lab_Protocols</vt:lpstr>
      <vt:lpstr>'Sites(Do NOT Edit)'!Sampling_and_or_Lab_Protocols</vt:lpstr>
      <vt:lpstr>Site_name</vt:lpstr>
      <vt:lpstr>Site_name_list</vt:lpstr>
      <vt:lpstr>Sites</vt:lpstr>
      <vt:lpstr>Metadata_SunScanLAI!South_Bounding_Coordinate</vt:lpstr>
      <vt:lpstr>'Sites(Do NOT Edit)'!South_Bounding_Coordinate</vt:lpstr>
      <vt:lpstr>Metadata_SunScanLAI!State</vt:lpstr>
      <vt:lpstr>'Sites(Do NOT Edit)'!State</vt:lpstr>
      <vt:lpstr>Metadata_SunScanLAI!TAXONOMIC_COVERAGE</vt:lpstr>
      <vt:lpstr>'Sites(Do NOT Edit)'!TAXONOMIC_COVERAGE</vt:lpstr>
      <vt:lpstr>Metadata_SunScanLAI!Units</vt:lpstr>
      <vt:lpstr>'Sites(Do NOT Edit)'!Units</vt:lpstr>
      <vt:lpstr>Metadata_SunScanLAI!URL_of_online_Protocol</vt:lpstr>
      <vt:lpstr>'Sites(Do NOT Edit)'!URL_of_online_Protocol</vt:lpstr>
      <vt:lpstr>Metadata_SunScanLAI!Variable_Description</vt:lpstr>
      <vt:lpstr>'Sites(Do NOT Edit)'!Variable_Description</vt:lpstr>
      <vt:lpstr>Metadata_SunScanLAI!VARIABLE_DESCRIPTIONS</vt:lpstr>
      <vt:lpstr>'Sites(Do NOT Edit)'!VARIABLE_DESCRIPTIONS</vt:lpstr>
      <vt:lpstr>Metadata_SunScanLAI!Variable_Name</vt:lpstr>
      <vt:lpstr>'Sites(Do NOT Edit)'!Variable_Name</vt:lpstr>
      <vt:lpstr>Metadata_SunScanLAI!West_Bounding_Coordinate</vt:lpstr>
      <vt:lpstr>'Sites(Do NOT Edit)'!West_Bounding_Coordinate</vt:lpstr>
      <vt:lpstr>Metadata_SunScanLAI!Year_Released_to_Public</vt:lpstr>
      <vt:lpstr>'Sites(Do NOT Edit)'!Year_Released_to_Public</vt:lpstr>
      <vt:lpstr>Metadata_SunScanLAI!Zip_Code</vt:lpstr>
      <vt:lpstr>'Sites(Do NOT Edit)'!Zip_Code</vt:lpstr>
    </vt:vector>
  </TitlesOfParts>
  <Company>SUNY Geneseo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dc:creator>
  <cp:lastModifiedBy>jiml</cp:lastModifiedBy>
  <dcterms:created xsi:type="dcterms:W3CDTF">2011-07-12T22:09:04Z</dcterms:created>
  <dcterms:modified xsi:type="dcterms:W3CDTF">2013-05-22T22:35:49Z</dcterms:modified>
</cp:coreProperties>
</file>