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525" yWindow="-120" windowWidth="18105" windowHeight="8400" tabRatio="797" activeTab="1"/>
  </bookViews>
  <sheets>
    <sheet name="Electron - Quark" sheetId="21" r:id="rId1"/>
    <sheet name="Weak Bosons" sheetId="26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C13" i="21"/>
  <c r="L2" i="26"/>
  <c r="E8"/>
  <c r="F8" s="1"/>
  <c r="G8" s="1"/>
  <c r="H8" s="1"/>
  <c r="I8" s="1"/>
  <c r="L8" s="1"/>
  <c r="K8" s="1"/>
  <c r="E7"/>
  <c r="F7" s="1"/>
  <c r="G7" s="1"/>
  <c r="H7" s="1"/>
  <c r="I7" s="1"/>
  <c r="L7" s="1"/>
  <c r="K7" s="1"/>
  <c r="E6"/>
  <c r="F6" s="1"/>
  <c r="G6" s="1"/>
  <c r="H6" s="1"/>
  <c r="I6" s="1"/>
  <c r="L6" s="1"/>
  <c r="K6" s="1"/>
  <c r="D6"/>
  <c r="G2"/>
  <c r="L1"/>
  <c r="J1"/>
  <c r="J6" s="1"/>
  <c r="G1"/>
  <c r="J8" s="1"/>
  <c r="J7" l="1"/>
  <c r="C14" i="21" l="1"/>
  <c r="M18" l="1"/>
  <c r="E18"/>
  <c r="M17"/>
  <c r="F17"/>
  <c r="E17"/>
  <c r="M16"/>
  <c r="E16"/>
  <c r="M15"/>
  <c r="E15"/>
  <c r="M14"/>
  <c r="E14"/>
  <c r="M13"/>
  <c r="E13" l="1"/>
  <c r="J8"/>
  <c r="E8"/>
  <c r="J7"/>
  <c r="E7"/>
  <c r="E6" l="1"/>
  <c r="G1"/>
  <c r="F13"/>
  <c r="F14"/>
  <c r="F18" l="1"/>
  <c r="F15"/>
  <c r="F16" l="1"/>
  <c r="L2"/>
  <c r="G18" l="1"/>
  <c r="H18" s="1"/>
  <c r="G17"/>
  <c r="H17" s="1"/>
  <c r="G16"/>
  <c r="H16" s="1"/>
  <c r="G15"/>
  <c r="H15" s="1"/>
  <c r="G13"/>
  <c r="H13" s="1"/>
  <c r="G14"/>
  <c r="H14" s="1"/>
  <c r="F6"/>
  <c r="G6"/>
  <c r="H6"/>
  <c r="I14"/>
  <c r="J14"/>
  <c r="I13"/>
  <c r="J13" s="1"/>
  <c r="F2"/>
  <c r="F3"/>
  <c r="I16"/>
  <c r="J16"/>
  <c r="I15"/>
  <c r="J15"/>
  <c r="I17"/>
  <c r="J17"/>
  <c r="I18"/>
  <c r="J18"/>
  <c r="I6"/>
  <c r="F7"/>
  <c r="G7"/>
  <c r="H7"/>
  <c r="F8"/>
  <c r="G8"/>
  <c r="H8"/>
  <c r="I8"/>
  <c r="K8"/>
  <c r="L8"/>
  <c r="I7"/>
  <c r="K7"/>
  <c r="L7"/>
</calcChain>
</file>

<file path=xl/sharedStrings.xml><?xml version="1.0" encoding="utf-8"?>
<sst xmlns="http://schemas.openxmlformats.org/spreadsheetml/2006/main" count="91" uniqueCount="56">
  <si>
    <t>Electron</t>
  </si>
  <si>
    <t>Muon</t>
  </si>
  <si>
    <t>P</t>
  </si>
  <si>
    <t>N</t>
  </si>
  <si>
    <t>NP</t>
  </si>
  <si>
    <t>R</t>
  </si>
  <si>
    <t>K</t>
  </si>
  <si>
    <t xml:space="preserve">Volume </t>
  </si>
  <si>
    <t>Up</t>
  </si>
  <si>
    <t>Down</t>
  </si>
  <si>
    <t>Charm</t>
  </si>
  <si>
    <t>Strange</t>
  </si>
  <si>
    <t>Top</t>
  </si>
  <si>
    <t>R + kd</t>
  </si>
  <si>
    <t>d Quarks</t>
  </si>
  <si>
    <t>Volume</t>
  </si>
  <si>
    <t>Bottom</t>
  </si>
  <si>
    <t>d Electrons</t>
  </si>
  <si>
    <t>Min</t>
  </si>
  <si>
    <t>Med</t>
  </si>
  <si>
    <t>Max</t>
  </si>
  <si>
    <t>Particle</t>
  </si>
  <si>
    <t>Calculated Ratio</t>
  </si>
  <si>
    <t>Calculated Mass</t>
  </si>
  <si>
    <t>Difference</t>
  </si>
  <si>
    <t>Calculated ratio</t>
  </si>
  <si>
    <t>Electron mass</t>
  </si>
  <si>
    <t>Muon mass</t>
  </si>
  <si>
    <t>Tauon mass</t>
  </si>
  <si>
    <t>Radius before correction (1/NP)</t>
  </si>
  <si>
    <t>-</t>
  </si>
  <si>
    <t>Radius after correction (1/NP + kd)</t>
  </si>
  <si>
    <t>Quarks mass ranges, measured</t>
  </si>
  <si>
    <t>Kev/c2</t>
  </si>
  <si>
    <t>Tauon</t>
  </si>
  <si>
    <t>Measured ratio</t>
  </si>
  <si>
    <t>Particle calculated mass (Mev/c2) = Electron mass * ratio</t>
  </si>
  <si>
    <t>mu</t>
  </si>
  <si>
    <t>mu/X</t>
  </si>
  <si>
    <t>X</t>
  </si>
  <si>
    <t>Ratio = (1/Volume + mu/X) / (1/Electron.volume + mu/x)</t>
  </si>
  <si>
    <t>Volume (R+kd)**3</t>
  </si>
  <si>
    <t xml:space="preserve"> </t>
  </si>
  <si>
    <t>W mass</t>
  </si>
  <si>
    <t>Z0 mass</t>
  </si>
  <si>
    <t>Higgs ? mass</t>
  </si>
  <si>
    <t>W</t>
  </si>
  <si>
    <t>Z</t>
  </si>
  <si>
    <t>H ?</t>
  </si>
  <si>
    <t>Volume Electron</t>
  </si>
  <si>
    <t>d (weak)</t>
  </si>
  <si>
    <t>Ratio = Electron.volume/Particle.volume</t>
  </si>
  <si>
    <t>Volume ((R+kd)**3)/(1.005613*PI())</t>
  </si>
  <si>
    <t>Calculated mass (Mev/c2) = (Electron mass ) * Ratio</t>
  </si>
  <si>
    <t>Electron mass mu</t>
  </si>
  <si>
    <t>Volume Factor</t>
  </si>
</sst>
</file>

<file path=xl/styles.xml><?xml version="1.0" encoding="utf-8"?>
<styleSheet xmlns="http://schemas.openxmlformats.org/spreadsheetml/2006/main">
  <numFmts count="5">
    <numFmt numFmtId="164" formatCode="0.0000E+00"/>
    <numFmt numFmtId="165" formatCode="0.000000E+00"/>
    <numFmt numFmtId="166" formatCode="0.00000E+00"/>
    <numFmt numFmtId="167" formatCode="0.0000000E+00"/>
    <numFmt numFmtId="168" formatCode="0.0000000000000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Font="1"/>
    <xf numFmtId="0" fontId="0" fillId="0" borderId="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ont="1"/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Font="1"/>
    <xf numFmtId="164" fontId="0" fillId="0" borderId="0" xfId="0" applyNumberFormat="1"/>
    <xf numFmtId="164" fontId="0" fillId="0" borderId="0" xfId="0" applyNumberFormat="1" applyFont="1"/>
    <xf numFmtId="0" fontId="0" fillId="0" borderId="0" xfId="0"/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1" xfId="0" applyNumberFormat="1" applyFont="1" applyBorder="1" applyAlignment="1">
      <alignment horizontal="center" vertical="center" wrapText="1"/>
    </xf>
    <xf numFmtId="165" fontId="0" fillId="0" borderId="8" xfId="0" applyNumberFormat="1" applyFont="1" applyBorder="1" applyAlignment="1">
      <alignment horizontal="center" vertical="center" wrapText="1"/>
    </xf>
    <xf numFmtId="165" fontId="0" fillId="0" borderId="1" xfId="0" applyNumberFormat="1" applyFon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67" fontId="0" fillId="0" borderId="0" xfId="0" applyNumberFormat="1" applyFont="1"/>
    <xf numFmtId="3" fontId="0" fillId="0" borderId="6" xfId="0" applyNumberFormat="1" applyBorder="1" applyAlignment="1">
      <alignment horizontal="center" vertical="center"/>
    </xf>
    <xf numFmtId="3" fontId="0" fillId="0" borderId="12" xfId="0" applyNumberFormat="1" applyFont="1" applyBorder="1" applyAlignment="1">
      <alignment horizontal="center" vertical="center"/>
    </xf>
    <xf numFmtId="3" fontId="0" fillId="0" borderId="9" xfId="0" applyNumberFormat="1" applyFont="1" applyBorder="1" applyAlignment="1">
      <alignment horizontal="center" vertical="center"/>
    </xf>
    <xf numFmtId="0" fontId="0" fillId="0" borderId="0" xfId="0"/>
    <xf numFmtId="168" fontId="0" fillId="0" borderId="0" xfId="0" applyNumberFormat="1" applyFont="1"/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consigl/Desktop/_Dev/ZZZZ_Universons/__Relativity,%20Weak%20Bosons%20Mass%20and%20Magnetic%20Charges/Updates/Mass%20Weak%20Boson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lectron - Quark"/>
      <sheetName val="Weak Bosons"/>
    </sheetNames>
    <sheetDataSet>
      <sheetData sheetId="0">
        <row r="6">
          <cell r="H6">
            <v>1.5947147234123986E-2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>
      <selection activeCell="A13" sqref="A13"/>
    </sheetView>
  </sheetViews>
  <sheetFormatPr defaultColWidth="9.140625" defaultRowHeight="15"/>
  <cols>
    <col min="1" max="1" width="8.85546875" style="1" customWidth="1"/>
    <col min="2" max="4" width="5" style="1" customWidth="1"/>
    <col min="5" max="5" width="5.7109375" style="1" customWidth="1"/>
    <col min="6" max="6" width="13.42578125" style="1" customWidth="1"/>
    <col min="7" max="8" width="13.5703125" style="1" customWidth="1"/>
    <col min="9" max="10" width="15.28515625" style="1" customWidth="1"/>
    <col min="11" max="11" width="13.5703125" style="1" customWidth="1"/>
    <col min="12" max="12" width="14.85546875" style="1" customWidth="1"/>
    <col min="13" max="13" width="14.28515625" style="1" customWidth="1"/>
    <col min="14" max="14" width="8.5703125" style="1" customWidth="1"/>
    <col min="15" max="15" width="18.140625" style="1" customWidth="1"/>
    <col min="16" max="16384" width="9.140625" style="1"/>
  </cols>
  <sheetData>
    <row r="1" spans="1:14">
      <c r="A1" s="33"/>
      <c r="E1" s="34" t="s">
        <v>38</v>
      </c>
      <c r="F1">
        <v>17221.97322</v>
      </c>
      <c r="G1" s="1">
        <f>J1/F1</f>
        <v>2.9671334490671098E-2</v>
      </c>
      <c r="I1" t="s">
        <v>26</v>
      </c>
      <c r="J1" s="1">
        <v>510.99892799999998</v>
      </c>
      <c r="K1" s="4" t="s">
        <v>17</v>
      </c>
      <c r="L1" s="3">
        <v>8.5322213600000005E-4</v>
      </c>
      <c r="M1" s="3">
        <v>1.0074590000000001</v>
      </c>
    </row>
    <row r="2" spans="1:14">
      <c r="C2" s="34"/>
      <c r="D2" s="35"/>
      <c r="E2" s="34" t="s">
        <v>39</v>
      </c>
      <c r="F2" s="34">
        <f>J1/(1/H6 + G1)</f>
        <v>8.1451210887762553</v>
      </c>
      <c r="G2" s="16"/>
      <c r="I2" t="s">
        <v>27</v>
      </c>
      <c r="J2" s="1">
        <v>105658.36668000001</v>
      </c>
      <c r="K2" s="4" t="s">
        <v>14</v>
      </c>
      <c r="L2" s="1">
        <f>L1*M1</f>
        <v>8.595863199124241E-4</v>
      </c>
      <c r="N2" s="39"/>
    </row>
    <row r="3" spans="1:14">
      <c r="C3" s="16"/>
      <c r="D3" s="17"/>
      <c r="E3" s="34" t="s">
        <v>37</v>
      </c>
      <c r="F3" s="6">
        <f>G1*F2</f>
        <v>0.24167661229209944</v>
      </c>
      <c r="G3" s="34" t="s">
        <v>33</v>
      </c>
      <c r="I3" t="s">
        <v>28</v>
      </c>
      <c r="J3" s="2">
        <v>1776840</v>
      </c>
      <c r="K3" s="2"/>
      <c r="M3" s="38" t="s">
        <v>42</v>
      </c>
    </row>
    <row r="4" spans="1:14" ht="15.75" thickBot="1">
      <c r="I4"/>
      <c r="J4" s="2"/>
      <c r="K4" s="2"/>
    </row>
    <row r="5" spans="1:14" s="9" customFormat="1" ht="16.5" customHeight="1">
      <c r="A5" s="27" t="s">
        <v>21</v>
      </c>
      <c r="B5" s="22" t="s">
        <v>2</v>
      </c>
      <c r="C5" s="22" t="s">
        <v>3</v>
      </c>
      <c r="D5" s="22" t="s">
        <v>6</v>
      </c>
      <c r="E5" s="22" t="s">
        <v>4</v>
      </c>
      <c r="F5" s="22" t="s">
        <v>5</v>
      </c>
      <c r="G5" s="26" t="s">
        <v>13</v>
      </c>
      <c r="H5" s="22" t="s">
        <v>7</v>
      </c>
      <c r="I5" s="26" t="s">
        <v>25</v>
      </c>
      <c r="J5" s="26" t="s">
        <v>35</v>
      </c>
      <c r="K5" s="26" t="s">
        <v>24</v>
      </c>
      <c r="L5" s="13" t="s">
        <v>23</v>
      </c>
    </row>
    <row r="6" spans="1:14" s="9" customFormat="1">
      <c r="A6" s="23" t="s">
        <v>0</v>
      </c>
      <c r="B6" s="19">
        <v>2</v>
      </c>
      <c r="C6" s="19">
        <v>2</v>
      </c>
      <c r="D6" s="19">
        <v>2</v>
      </c>
      <c r="E6" s="19">
        <f>B6*C6</f>
        <v>4</v>
      </c>
      <c r="F6" s="19">
        <f>1/E6</f>
        <v>0.25</v>
      </c>
      <c r="G6" s="19">
        <f>F6+(D6*L1)</f>
        <v>0.25170644427200001</v>
      </c>
      <c r="H6" s="19">
        <f>G6*G6*G6</f>
        <v>1.5947147234123986E-2</v>
      </c>
      <c r="I6" s="19">
        <f>(1/H6 + G1) / (1/H6 + G1)</f>
        <v>1</v>
      </c>
      <c r="J6" s="21" t="s">
        <v>30</v>
      </c>
      <c r="K6" s="21" t="s">
        <v>30</v>
      </c>
      <c r="L6" s="28" t="s">
        <v>30</v>
      </c>
    </row>
    <row r="7" spans="1:14" s="9" customFormat="1">
      <c r="A7" s="23" t="s">
        <v>1</v>
      </c>
      <c r="B7" s="19">
        <v>5</v>
      </c>
      <c r="C7" s="19">
        <v>5</v>
      </c>
      <c r="D7" s="19">
        <v>3</v>
      </c>
      <c r="E7" s="19">
        <f>B7*C7</f>
        <v>25</v>
      </c>
      <c r="F7" s="19">
        <f>1/E7</f>
        <v>0.04</v>
      </c>
      <c r="G7" s="19">
        <f>F7+(D7*L1)</f>
        <v>4.2559666407999998E-2</v>
      </c>
      <c r="H7" s="19">
        <f>G7*G7*G7</f>
        <v>7.7089396470998251E-5</v>
      </c>
      <c r="I7" s="19">
        <f>(1/H7 + G1) / (1/H6 + G1)</f>
        <v>206.76827462953361</v>
      </c>
      <c r="J7" s="19">
        <f>J2/J1</f>
        <v>206.76827462933545</v>
      </c>
      <c r="K7" s="19">
        <f>1-(J7/I7)</f>
        <v>9.5834451485643513E-13</v>
      </c>
      <c r="L7" s="7">
        <f>I7*J1/1000</f>
        <v>105.65836668010127</v>
      </c>
    </row>
    <row r="8" spans="1:14" s="9" customFormat="1" ht="15.75" thickBot="1">
      <c r="A8" s="29" t="s">
        <v>34</v>
      </c>
      <c r="B8" s="24">
        <v>9</v>
      </c>
      <c r="C8" s="24">
        <v>9</v>
      </c>
      <c r="D8" s="24">
        <v>5</v>
      </c>
      <c r="E8" s="24">
        <f>B8*C8</f>
        <v>81</v>
      </c>
      <c r="F8" s="24">
        <f>1/E8</f>
        <v>1.2345679012345678E-2</v>
      </c>
      <c r="G8" s="24">
        <f>F8+(D8*L1)</f>
        <v>1.6611789692345679E-2</v>
      </c>
      <c r="H8" s="24">
        <f>G8*G8*G8</f>
        <v>4.5840492265499676E-6</v>
      </c>
      <c r="I8" s="24">
        <f>(1/H8 + G1) / (1/H6 + G1)</f>
        <v>3477.1893628157491</v>
      </c>
      <c r="J8" s="24">
        <f>J3/J1</f>
        <v>3477.1892906984731</v>
      </c>
      <c r="K8" s="24">
        <f>1-(J8/I8)</f>
        <v>2.0740105965977307E-8</v>
      </c>
      <c r="L8" s="8">
        <f>I8*J1/1000</f>
        <v>1776.8400368518508</v>
      </c>
    </row>
    <row r="9" spans="1:14" s="9" customFormat="1">
      <c r="A9" s="45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4" s="9" customFormat="1">
      <c r="A10" s="10"/>
      <c r="B10" s="10"/>
      <c r="C10" s="10"/>
      <c r="D10" s="10"/>
      <c r="E10" s="10"/>
      <c r="G10" s="10"/>
      <c r="H10" s="10"/>
      <c r="I10" s="10"/>
      <c r="J10" s="10"/>
      <c r="K10" s="10"/>
      <c r="L10" s="10"/>
    </row>
    <row r="11" spans="1:14" s="9" customFormat="1" ht="15.75" thickBot="1">
      <c r="I11" s="11"/>
      <c r="J11" s="11"/>
      <c r="K11" s="18" t="s">
        <v>32</v>
      </c>
    </row>
    <row r="12" spans="1:14" s="9" customFormat="1" ht="18.75" customHeight="1">
      <c r="A12" s="27" t="s">
        <v>21</v>
      </c>
      <c r="B12" s="22" t="s">
        <v>2</v>
      </c>
      <c r="C12" s="22" t="s">
        <v>3</v>
      </c>
      <c r="D12" s="22" t="s">
        <v>6</v>
      </c>
      <c r="E12" s="22" t="s">
        <v>4</v>
      </c>
      <c r="F12" s="26" t="s">
        <v>5</v>
      </c>
      <c r="G12" s="26" t="s">
        <v>13</v>
      </c>
      <c r="H12" s="22" t="s">
        <v>7</v>
      </c>
      <c r="I12" s="26" t="s">
        <v>22</v>
      </c>
      <c r="J12" s="30" t="s">
        <v>23</v>
      </c>
      <c r="K12" s="12" t="s">
        <v>18</v>
      </c>
      <c r="L12" s="12" t="s">
        <v>20</v>
      </c>
      <c r="M12" s="13" t="s">
        <v>19</v>
      </c>
    </row>
    <row r="13" spans="1:14" s="9" customFormat="1">
      <c r="A13" s="31" t="s">
        <v>8</v>
      </c>
      <c r="B13" s="19">
        <v>3</v>
      </c>
      <c r="C13" s="21">
        <f>15/7</f>
        <v>2.1428571428571428</v>
      </c>
      <c r="D13" s="19">
        <v>-6</v>
      </c>
      <c r="E13" s="19">
        <f t="shared" ref="E13:E18" si="0">B13*C13</f>
        <v>6.4285714285714288</v>
      </c>
      <c r="F13" s="19">
        <f t="shared" ref="F13:F18" si="1">1/E13</f>
        <v>0.15555555555555556</v>
      </c>
      <c r="G13" s="19">
        <f>F13+(D13*L2)</f>
        <v>0.15039803763608101</v>
      </c>
      <c r="H13" s="19">
        <f t="shared" ref="H13:H18" si="2">G13*G13*G13</f>
        <v>3.401938898780028E-3</v>
      </c>
      <c r="I13" s="19">
        <f>(1/H13 + G1) / (1/H6 + G1)</f>
        <v>4.6859201356254268</v>
      </c>
      <c r="J13" s="20">
        <f>I13*J1/1000</f>
        <v>2.3945001659982075</v>
      </c>
      <c r="K13" s="14">
        <v>1.7</v>
      </c>
      <c r="L13" s="14">
        <v>3.3</v>
      </c>
      <c r="M13" s="7">
        <f t="shared" ref="M13:M18" si="3">(K13+L13)/2</f>
        <v>2.5</v>
      </c>
    </row>
    <row r="14" spans="1:14" s="9" customFormat="1">
      <c r="A14" s="31" t="s">
        <v>9</v>
      </c>
      <c r="B14" s="19">
        <v>3</v>
      </c>
      <c r="C14" s="19">
        <f>19/7</f>
        <v>2.7142857142857144</v>
      </c>
      <c r="D14" s="19">
        <v>-6</v>
      </c>
      <c r="E14" s="19">
        <f t="shared" si="0"/>
        <v>8.1428571428571423</v>
      </c>
      <c r="F14" s="19">
        <f t="shared" si="1"/>
        <v>0.12280701754385966</v>
      </c>
      <c r="G14" s="19">
        <f>F14+(D14*L2)</f>
        <v>0.11764949962438512</v>
      </c>
      <c r="H14" s="19">
        <f t="shared" si="2"/>
        <v>1.6284343443323745E-3</v>
      </c>
      <c r="I14" s="19">
        <f>(1/H14 + G1) / (1/H6 + G1)</f>
        <v>9.7887736546509032</v>
      </c>
      <c r="J14" s="20">
        <f>I14*J1/1000</f>
        <v>5.0020528439612537</v>
      </c>
      <c r="K14" s="14">
        <v>4.0999999999999996</v>
      </c>
      <c r="L14" s="14">
        <v>5.8</v>
      </c>
      <c r="M14" s="7">
        <f t="shared" si="3"/>
        <v>4.9499999999999993</v>
      </c>
    </row>
    <row r="15" spans="1:14" s="9" customFormat="1">
      <c r="A15" s="31" t="s">
        <v>10</v>
      </c>
      <c r="B15" s="19">
        <v>3</v>
      </c>
      <c r="C15" s="19">
        <v>14</v>
      </c>
      <c r="D15" s="19">
        <v>-6</v>
      </c>
      <c r="E15" s="19">
        <f t="shared" si="0"/>
        <v>42</v>
      </c>
      <c r="F15" s="19">
        <f t="shared" si="1"/>
        <v>2.3809523809523808E-2</v>
      </c>
      <c r="G15" s="19">
        <f>F15+(D15*L2)</f>
        <v>1.8652005890049263E-2</v>
      </c>
      <c r="H15" s="19">
        <f t="shared" si="2"/>
        <v>6.4889829312031838E-6</v>
      </c>
      <c r="I15" s="19">
        <f>(1/H15 + G1) / (1/H6 + G1)</f>
        <v>2456.4108550005012</v>
      </c>
      <c r="J15" s="20">
        <f>I15*J1/1000</f>
        <v>1255.2233136328196</v>
      </c>
      <c r="K15" s="14">
        <v>1180</v>
      </c>
      <c r="L15" s="14">
        <v>1340</v>
      </c>
      <c r="M15" s="7">
        <f t="shared" si="3"/>
        <v>1260</v>
      </c>
    </row>
    <row r="16" spans="1:14" s="9" customFormat="1">
      <c r="A16" s="31" t="s">
        <v>11</v>
      </c>
      <c r="B16" s="19">
        <v>3</v>
      </c>
      <c r="C16" s="19">
        <v>7</v>
      </c>
      <c r="D16" s="19">
        <v>-6</v>
      </c>
      <c r="E16" s="19">
        <f t="shared" si="0"/>
        <v>21</v>
      </c>
      <c r="F16" s="19">
        <f t="shared" si="1"/>
        <v>4.7619047619047616E-2</v>
      </c>
      <c r="G16" s="19">
        <f>F16+(D16*L2)</f>
        <v>4.2461529699573071E-2</v>
      </c>
      <c r="H16" s="19">
        <f t="shared" si="2"/>
        <v>7.6557352698038817E-5</v>
      </c>
      <c r="I16" s="19">
        <f>(1/H16 + G1) / (1/H6 + G1)</f>
        <v>208.2052302902963</v>
      </c>
      <c r="J16" s="20">
        <f>I16*J1/1000</f>
        <v>106.39264948233453</v>
      </c>
      <c r="K16" s="14">
        <v>80</v>
      </c>
      <c r="L16" s="14">
        <v>130</v>
      </c>
      <c r="M16" s="7">
        <f t="shared" si="3"/>
        <v>105</v>
      </c>
    </row>
    <row r="17" spans="1:15" s="9" customFormat="1">
      <c r="A17" s="31" t="s">
        <v>12</v>
      </c>
      <c r="B17" s="19">
        <v>3</v>
      </c>
      <c r="C17" s="19">
        <v>38</v>
      </c>
      <c r="D17" s="19">
        <v>-6</v>
      </c>
      <c r="E17" s="19">
        <f t="shared" si="0"/>
        <v>114</v>
      </c>
      <c r="F17" s="19">
        <f t="shared" si="1"/>
        <v>8.771929824561403E-3</v>
      </c>
      <c r="G17" s="19">
        <f>F17+(D17*L2)</f>
        <v>3.6144119050868584E-3</v>
      </c>
      <c r="H17" s="19">
        <f t="shared" si="2"/>
        <v>4.7218581055662012E-8</v>
      </c>
      <c r="I17" s="19">
        <f>(1/H17 + G1) / (1/H6 + G1)</f>
        <v>337570.60689101042</v>
      </c>
      <c r="J17" s="20">
        <f>I17*J1/1000</f>
        <v>172498.21824561572</v>
      </c>
      <c r="K17" s="14">
        <v>171700</v>
      </c>
      <c r="L17" s="14">
        <v>173300</v>
      </c>
      <c r="M17" s="7">
        <f t="shared" si="3"/>
        <v>172500</v>
      </c>
    </row>
    <row r="18" spans="1:15" s="9" customFormat="1" ht="15.75" thickBot="1">
      <c r="A18" s="32" t="s">
        <v>16</v>
      </c>
      <c r="B18" s="24">
        <v>3</v>
      </c>
      <c r="C18" s="24">
        <v>19</v>
      </c>
      <c r="D18" s="24">
        <v>-6</v>
      </c>
      <c r="E18" s="24">
        <f t="shared" si="0"/>
        <v>57</v>
      </c>
      <c r="F18" s="24">
        <f t="shared" si="1"/>
        <v>1.7543859649122806E-2</v>
      </c>
      <c r="G18" s="24">
        <f>F18+(D18*L2)</f>
        <v>1.2386341729648261E-2</v>
      </c>
      <c r="H18" s="24">
        <f t="shared" si="2"/>
        <v>1.9003306501028049E-6</v>
      </c>
      <c r="I18" s="24">
        <f>(1/H18 + G1) / (1/H6 + G1)</f>
        <v>8387.8065846372792</v>
      </c>
      <c r="J18" s="25">
        <f>I18*J1/1000</f>
        <v>4286.1601730209904</v>
      </c>
      <c r="K18" s="15">
        <v>4130</v>
      </c>
      <c r="L18" s="15">
        <v>4370</v>
      </c>
      <c r="M18" s="8">
        <f t="shared" si="3"/>
        <v>4250</v>
      </c>
    </row>
    <row r="21" spans="1:15">
      <c r="D21" s="59" t="s">
        <v>5</v>
      </c>
      <c r="E21" s="59"/>
      <c r="F21" s="59"/>
      <c r="G21" s="59" t="s">
        <v>29</v>
      </c>
      <c r="H21" s="59"/>
      <c r="I21" s="59"/>
      <c r="J21" s="59"/>
      <c r="K21" s="16"/>
      <c r="L21" s="36"/>
      <c r="M21" s="36"/>
    </row>
    <row r="22" spans="1:15">
      <c r="D22" s="59" t="s">
        <v>13</v>
      </c>
      <c r="E22" s="59"/>
      <c r="F22" s="59"/>
      <c r="G22" s="59" t="s">
        <v>31</v>
      </c>
      <c r="H22" s="59"/>
      <c r="I22" s="59"/>
      <c r="J22" s="59"/>
      <c r="K22"/>
      <c r="L22" s="37"/>
      <c r="M22" s="37"/>
    </row>
    <row r="23" spans="1:15">
      <c r="D23" s="59" t="s">
        <v>15</v>
      </c>
      <c r="E23" s="59"/>
      <c r="F23" s="59"/>
      <c r="G23" s="59" t="s">
        <v>41</v>
      </c>
      <c r="H23" s="59"/>
      <c r="I23" s="59"/>
      <c r="J23" s="59"/>
      <c r="K23" s="34"/>
      <c r="N23" s="5"/>
    </row>
    <row r="24" spans="1:15">
      <c r="D24" s="59" t="s">
        <v>22</v>
      </c>
      <c r="E24" s="59"/>
      <c r="F24" s="59"/>
      <c r="G24" s="59" t="s">
        <v>40</v>
      </c>
      <c r="H24" s="59"/>
      <c r="I24" s="59"/>
      <c r="J24" s="59"/>
      <c r="K24" s="34"/>
    </row>
    <row r="25" spans="1:15">
      <c r="D25" s="59" t="s">
        <v>23</v>
      </c>
      <c r="E25" s="59"/>
      <c r="F25" s="59"/>
      <c r="G25" s="59" t="s">
        <v>36</v>
      </c>
      <c r="H25" s="59"/>
      <c r="I25" s="59"/>
      <c r="J25" s="59"/>
      <c r="N25" s="6"/>
      <c r="O25"/>
    </row>
    <row r="26" spans="1:15">
      <c r="F26"/>
      <c r="G26"/>
      <c r="N26" s="6"/>
      <c r="O26"/>
    </row>
    <row r="27" spans="1:15">
      <c r="N27" s="6"/>
    </row>
  </sheetData>
  <mergeCells count="10">
    <mergeCell ref="D21:F21"/>
    <mergeCell ref="D22:F22"/>
    <mergeCell ref="D23:F23"/>
    <mergeCell ref="D24:F24"/>
    <mergeCell ref="D25:F25"/>
    <mergeCell ref="G21:J21"/>
    <mergeCell ref="G22:J22"/>
    <mergeCell ref="G23:J23"/>
    <mergeCell ref="G24:J24"/>
    <mergeCell ref="G25:J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>
      <selection activeCell="L19" sqref="L19"/>
    </sheetView>
  </sheetViews>
  <sheetFormatPr defaultColWidth="9.140625" defaultRowHeight="15"/>
  <cols>
    <col min="1" max="1" width="8.85546875" style="35" customWidth="1"/>
    <col min="2" max="3" width="4.42578125" style="35" customWidth="1"/>
    <col min="4" max="4" width="6.85546875" style="41" customWidth="1"/>
    <col min="5" max="5" width="6.7109375" style="35" customWidth="1"/>
    <col min="6" max="6" width="13.42578125" style="35" customWidth="1"/>
    <col min="7" max="7" width="12.85546875" style="35" customWidth="1"/>
    <col min="8" max="8" width="13.5703125" style="35" customWidth="1"/>
    <col min="9" max="9" width="15" style="35" customWidth="1"/>
    <col min="10" max="10" width="15.28515625" style="35" customWidth="1"/>
    <col min="11" max="11" width="13.5703125" style="35" customWidth="1"/>
    <col min="12" max="12" width="15.85546875" style="35" customWidth="1"/>
    <col min="13" max="13" width="14.85546875" style="35" customWidth="1"/>
    <col min="14" max="14" width="15" style="35" customWidth="1"/>
    <col min="15" max="15" width="8.5703125" style="35" customWidth="1"/>
    <col min="16" max="16" width="18.140625" style="35" customWidth="1"/>
    <col min="17" max="16384" width="9.140625" style="35"/>
  </cols>
  <sheetData>
    <row r="1" spans="1:16">
      <c r="D1" s="60" t="s">
        <v>54</v>
      </c>
      <c r="E1" s="60"/>
      <c r="F1" s="60"/>
      <c r="G1" s="35">
        <f>(510.998928)</f>
        <v>510.99892799999998</v>
      </c>
      <c r="H1" s="57"/>
      <c r="I1" s="57" t="s">
        <v>43</v>
      </c>
      <c r="J1" s="2">
        <f>80398000</f>
        <v>80398000</v>
      </c>
      <c r="K1" s="4" t="s">
        <v>50</v>
      </c>
      <c r="L1" s="53">
        <f>0.0000548945</f>
        <v>5.4894500000000001E-5</v>
      </c>
      <c r="M1" s="57"/>
    </row>
    <row r="2" spans="1:16">
      <c r="C2" s="57"/>
      <c r="D2" s="60" t="s">
        <v>49</v>
      </c>
      <c r="E2" s="60"/>
      <c r="F2" s="60"/>
      <c r="G2" s="35">
        <f>'[1]Electron - Quark'!H6</f>
        <v>1.5947147234123986E-2</v>
      </c>
      <c r="I2" s="57" t="s">
        <v>44</v>
      </c>
      <c r="J2" s="2">
        <v>91187600</v>
      </c>
      <c r="K2" s="4"/>
      <c r="L2" s="3">
        <f>'Electron - Quark'!L1/'Weak Bosons'!L1</f>
        <v>15.542943937917279</v>
      </c>
      <c r="O2" s="57"/>
    </row>
    <row r="3" spans="1:16">
      <c r="C3" s="57"/>
      <c r="D3" s="60" t="s">
        <v>55</v>
      </c>
      <c r="E3" s="61"/>
      <c r="F3" s="61"/>
      <c r="G3" s="35">
        <v>1.0056130000000001</v>
      </c>
      <c r="I3" s="57" t="s">
        <v>45</v>
      </c>
      <c r="J3" s="2">
        <v>125300000</v>
      </c>
      <c r="K3" s="2"/>
      <c r="L3" s="53"/>
      <c r="M3" s="57" t="s">
        <v>42</v>
      </c>
    </row>
    <row r="4" spans="1:16" ht="15.75" thickBot="1">
      <c r="A4" s="57"/>
      <c r="I4" s="57"/>
      <c r="J4" s="2"/>
      <c r="K4" s="2"/>
    </row>
    <row r="5" spans="1:16" s="9" customFormat="1" ht="16.5" customHeight="1">
      <c r="A5" s="27" t="s">
        <v>21</v>
      </c>
      <c r="B5" s="22" t="s">
        <v>2</v>
      </c>
      <c r="C5" s="22" t="s">
        <v>3</v>
      </c>
      <c r="D5" s="22" t="s">
        <v>6</v>
      </c>
      <c r="E5" s="22" t="s">
        <v>4</v>
      </c>
      <c r="F5" s="22" t="s">
        <v>5</v>
      </c>
      <c r="G5" s="26" t="s">
        <v>13</v>
      </c>
      <c r="H5" s="22" t="s">
        <v>7</v>
      </c>
      <c r="I5" s="26" t="s">
        <v>25</v>
      </c>
      <c r="J5" s="26" t="s">
        <v>35</v>
      </c>
      <c r="K5" s="26" t="s">
        <v>24</v>
      </c>
      <c r="L5" s="13" t="s">
        <v>23</v>
      </c>
    </row>
    <row r="6" spans="1:16" s="9" customFormat="1">
      <c r="A6" s="40" t="s">
        <v>46</v>
      </c>
      <c r="B6" s="19">
        <v>12</v>
      </c>
      <c r="C6" s="19">
        <v>12</v>
      </c>
      <c r="D6" s="42">
        <f>-15/8</f>
        <v>-1.875</v>
      </c>
      <c r="E6" s="19">
        <f>B6*C6</f>
        <v>144</v>
      </c>
      <c r="F6" s="19">
        <f>1/E6</f>
        <v>6.9444444444444441E-3</v>
      </c>
      <c r="G6" s="19">
        <f>F6+(D6*L1)</f>
        <v>6.8415172569444441E-3</v>
      </c>
      <c r="H6" s="51">
        <f>G6*G6*G6/(G3*PI())</f>
        <v>1.0136231681214156E-7</v>
      </c>
      <c r="I6" s="51">
        <f>(1/H6 ) / (1/G2)</f>
        <v>157328.16430862973</v>
      </c>
      <c r="J6" s="48">
        <f>J1/G1</f>
        <v>157334.96802952199</v>
      </c>
      <c r="K6" s="48">
        <f>(L6-J1)/J1</f>
        <v>-4.3243539420750999E-5</v>
      </c>
      <c r="L6" s="54">
        <f>I6*G1</f>
        <v>80394523.30591765</v>
      </c>
      <c r="M6" s="46"/>
      <c r="N6" s="47"/>
    </row>
    <row r="7" spans="1:16" s="9" customFormat="1">
      <c r="A7" s="43" t="s">
        <v>47</v>
      </c>
      <c r="B7" s="19">
        <v>12</v>
      </c>
      <c r="C7" s="19">
        <v>12</v>
      </c>
      <c r="D7" s="44">
        <v>-7</v>
      </c>
      <c r="E7" s="19">
        <f>B7*C7</f>
        <v>144</v>
      </c>
      <c r="F7" s="44">
        <f>1/E7</f>
        <v>6.9444444444444441E-3</v>
      </c>
      <c r="G7" s="44">
        <f>F7+(D7*L1)</f>
        <v>6.560182944444444E-3</v>
      </c>
      <c r="H7" s="51">
        <f>G7*G7*G7/(G3*PI())</f>
        <v>8.9364926096230847E-8</v>
      </c>
      <c r="I7" s="51">
        <f>(1/H7 ) / (1/G2)</f>
        <v>178449.73336576833</v>
      </c>
      <c r="J7" s="49">
        <f>J2/G1</f>
        <v>178449.6894287027</v>
      </c>
      <c r="K7" s="48">
        <f t="shared" ref="K7:K8" si="0">(L7-J2)/J2</f>
        <v>2.462154223505924E-7</v>
      </c>
      <c r="L7" s="55">
        <f>I7*G1</f>
        <v>91187622.451793447</v>
      </c>
      <c r="M7" s="46"/>
      <c r="N7" s="47"/>
    </row>
    <row r="8" spans="1:16" s="9" customFormat="1" ht="15.75" thickBot="1">
      <c r="A8" s="29" t="s">
        <v>48</v>
      </c>
      <c r="B8" s="24">
        <v>12</v>
      </c>
      <c r="C8" s="24">
        <v>12</v>
      </c>
      <c r="D8" s="24">
        <v>-19</v>
      </c>
      <c r="E8" s="24">
        <f>B8*C8</f>
        <v>144</v>
      </c>
      <c r="F8" s="24">
        <f>1/E8</f>
        <v>6.9444444444444441E-3</v>
      </c>
      <c r="G8" s="24">
        <f>F8+(D8*L1)</f>
        <v>5.9014489444444438E-3</v>
      </c>
      <c r="H8" s="50">
        <f>G8*G8*G8/(G3*PI())</f>
        <v>6.505717652133941E-8</v>
      </c>
      <c r="I8" s="50">
        <f>(1/H8 ) / (1/G2)</f>
        <v>245125.10512799709</v>
      </c>
      <c r="J8" s="50">
        <f>J3/G1</f>
        <v>245205.99385680121</v>
      </c>
      <c r="K8" s="52">
        <f t="shared" si="0"/>
        <v>-3.298807159313562E-4</v>
      </c>
      <c r="L8" s="56">
        <f>I8*G1</f>
        <v>125258665.9462938</v>
      </c>
      <c r="M8" s="46"/>
      <c r="N8" s="47"/>
    </row>
    <row r="9" spans="1:16">
      <c r="F9" s="57"/>
      <c r="H9" s="57"/>
    </row>
    <row r="10" spans="1:16">
      <c r="F10" s="57"/>
    </row>
    <row r="11" spans="1:16">
      <c r="D11" s="59" t="s">
        <v>5</v>
      </c>
      <c r="E11" s="59"/>
      <c r="F11" s="59"/>
      <c r="G11" s="59" t="s">
        <v>29</v>
      </c>
      <c r="H11" s="59"/>
      <c r="I11" s="59"/>
      <c r="J11" s="59"/>
      <c r="K11" s="57"/>
      <c r="L11" s="36"/>
      <c r="M11" s="36"/>
    </row>
    <row r="12" spans="1:16">
      <c r="D12" s="59" t="s">
        <v>13</v>
      </c>
      <c r="E12" s="59"/>
      <c r="F12" s="59"/>
      <c r="G12" s="59" t="s">
        <v>31</v>
      </c>
      <c r="H12" s="59"/>
      <c r="I12" s="59"/>
      <c r="J12" s="59"/>
      <c r="K12" s="57"/>
      <c r="L12" s="37"/>
      <c r="M12" s="37"/>
    </row>
    <row r="13" spans="1:16">
      <c r="D13" s="59" t="s">
        <v>15</v>
      </c>
      <c r="E13" s="59"/>
      <c r="F13" s="59"/>
      <c r="G13" s="59" t="s">
        <v>52</v>
      </c>
      <c r="H13" s="59"/>
      <c r="I13" s="59"/>
      <c r="J13" s="59"/>
      <c r="K13" s="57"/>
      <c r="N13" s="57"/>
      <c r="O13" s="36"/>
    </row>
    <row r="14" spans="1:16">
      <c r="D14" s="59" t="s">
        <v>22</v>
      </c>
      <c r="E14" s="59"/>
      <c r="F14" s="59"/>
      <c r="G14" s="59" t="s">
        <v>51</v>
      </c>
      <c r="H14" s="59"/>
      <c r="I14" s="59"/>
      <c r="J14" s="59"/>
      <c r="K14" s="57"/>
    </row>
    <row r="15" spans="1:16">
      <c r="D15" s="59" t="s">
        <v>23</v>
      </c>
      <c r="E15" s="59"/>
      <c r="F15" s="59"/>
      <c r="G15" s="59" t="s">
        <v>53</v>
      </c>
      <c r="H15" s="59"/>
      <c r="I15" s="59"/>
      <c r="J15" s="59"/>
      <c r="N15" s="57"/>
      <c r="O15" s="37"/>
      <c r="P15" s="57"/>
    </row>
    <row r="19" spans="6:7">
      <c r="F19" s="58"/>
    </row>
    <row r="20" spans="6:7">
      <c r="G20" s="57"/>
    </row>
  </sheetData>
  <mergeCells count="13">
    <mergeCell ref="D1:F1"/>
    <mergeCell ref="D2:F2"/>
    <mergeCell ref="D3:F3"/>
    <mergeCell ref="D14:F14"/>
    <mergeCell ref="G14:J14"/>
    <mergeCell ref="D15:F15"/>
    <mergeCell ref="G15:J15"/>
    <mergeCell ref="D11:F11"/>
    <mergeCell ref="G11:J11"/>
    <mergeCell ref="D12:F12"/>
    <mergeCell ref="G12:J12"/>
    <mergeCell ref="D13:F13"/>
    <mergeCell ref="G13:J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 - Quark</vt:lpstr>
      <vt:lpstr>Weak Bosons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2012-07-04T09:02:32Z</dcterms:modified>
</cp:coreProperties>
</file>