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<sst xmlns="http://schemas.openxmlformats.org/spreadsheetml/2006/main" count="64" uniqueCount="17">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</sst>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Data!$D$1:$BG$1</c:f>
              <c:numCache>
                <c:formatCode>mmm\-yy</c:formatCode>
                <c:ptCount val="56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</c:numCache>
            </c:numRef>
          </c:cat>
          <c:val>
            <c:numRef>
              <c:f>Data!$D$8:$BG$8</c:f>
              <c:numCache>
                <c:formatCode>General</c:formatCode>
                <c:ptCount val="56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49367296"/>
        <c:axId val="49372160"/>
        <c:axId val="0"/>
      </c:bar3DChart>
      <c:dateAx>
        <c:axId val="49367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9372160"/>
        <c:crosses val="autoZero"/>
        <c:auto val="1"/>
        <c:lblOffset val="100"/>
        <c:baseTimeUnit val="months"/>
      </c:dateAx>
      <c:valAx>
        <c:axId val="493721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9367296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Data!$B$2:$BG$2</c:f>
              <c:numCache>
                <c:formatCode>General</c:formatCode>
                <c:ptCount val="5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270592"/>
        <c:axId val="53818496"/>
        <c:axId val="0"/>
      </c:bar3DChart>
      <c:dateAx>
        <c:axId val="34270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53818496"/>
        <c:crosses val="autoZero"/>
        <c:auto val="1"/>
        <c:lblOffset val="100"/>
        <c:baseTimeUnit val="months"/>
      </c:dateAx>
      <c:valAx>
        <c:axId val="538184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427059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Data!$B$5:$BG$5</c:f>
              <c:numCache>
                <c:formatCode>General</c:formatCode>
                <c:ptCount val="58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6816"/>
        <c:axId val="34548352"/>
      </c:lineChart>
      <c:dateAx>
        <c:axId val="345468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4548352"/>
        <c:crosses val="autoZero"/>
        <c:auto val="1"/>
        <c:lblOffset val="100"/>
        <c:baseTimeUnit val="months"/>
      </c:dateAx>
      <c:valAx>
        <c:axId val="345483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45468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Data!$B$6:$BG$6</c:f>
              <c:numCache>
                <c:formatCode>General</c:formatCode>
                <c:ptCount val="58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836800"/>
        <c:axId val="53850880"/>
        <c:axId val="0"/>
      </c:bar3DChart>
      <c:dateAx>
        <c:axId val="53836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3850880"/>
        <c:crosses val="autoZero"/>
        <c:auto val="1"/>
        <c:lblOffset val="100"/>
        <c:baseTimeUnit val="months"/>
      </c:dateAx>
      <c:valAx>
        <c:axId val="538508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3836800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Data!$B$2:$BG$2</c:f>
              <c:numCache>
                <c:formatCode>General</c:formatCode>
                <c:ptCount val="5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Data!$B$8:$BG$8</c:f>
              <c:numCache>
                <c:formatCode>General</c:formatCode>
                <c:ptCount val="58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81184"/>
        <c:axId val="89182976"/>
      </c:lineChart>
      <c:dateAx>
        <c:axId val="891811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89182976"/>
        <c:crosses val="autoZero"/>
        <c:auto val="1"/>
        <c:lblOffset val="100"/>
        <c:baseTimeUnit val="months"/>
      </c:dateAx>
      <c:valAx>
        <c:axId val="891829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9181184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Data!$B$14:$BG$14</c:f>
              <c:numCache>
                <c:formatCode>0%</c:formatCode>
                <c:ptCount val="58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15136"/>
        <c:axId val="38316672"/>
      </c:lineChart>
      <c:dateAx>
        <c:axId val="38315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8316672"/>
        <c:crosses val="autoZero"/>
        <c:auto val="1"/>
        <c:lblOffset val="100"/>
        <c:baseTimeUnit val="months"/>
      </c:dateAx>
      <c:valAx>
        <c:axId val="38316672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8315136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Data!$B$16:$BG$16</c:f>
              <c:numCache>
                <c:formatCode>0.0%</c:formatCode>
                <c:ptCount val="58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61728"/>
        <c:axId val="38375808"/>
      </c:lineChart>
      <c:dateAx>
        <c:axId val="3836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8375808"/>
        <c:crosses val="autoZero"/>
        <c:auto val="1"/>
        <c:lblOffset val="100"/>
        <c:baseTimeUnit val="months"/>
      </c:dateAx>
      <c:valAx>
        <c:axId val="38375808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36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Data!$B$1:$BG$1</c:f>
              <c:numCache>
                <c:formatCode>mmm\-yy</c:formatCode>
                <c:ptCount val="5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</c:numCache>
            </c:numRef>
          </c:cat>
          <c:val>
            <c:numRef>
              <c:f>Data!$B$17:$BG$17</c:f>
              <c:numCache>
                <c:formatCode>0.0</c:formatCode>
                <c:ptCount val="58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99360"/>
        <c:axId val="89200896"/>
      </c:lineChart>
      <c:dateAx>
        <c:axId val="89199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9200896"/>
        <c:crosses val="autoZero"/>
        <c:auto val="1"/>
        <c:lblOffset val="100"/>
        <c:baseTimeUnit val="months"/>
      </c:dateAx>
      <c:valAx>
        <c:axId val="8920089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91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25"/>
  <sheetViews>
    <sheetView tabSelected="1" zoomScale="70" zoomScaleNormal="70" workbookViewId="0">
      <pane xSplit="1" ySplit="1" topLeftCell="AN2" activePane="bottomRight" state="frozen"/>
      <selection pane="topRight" activeCell="B1" sqref="B1"/>
      <selection pane="bottomLeft" activeCell="A2" sqref="A2"/>
      <selection pane="bottomRight" activeCell="BH1" sqref="BH1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</cols>
  <sheetData>
    <row r="1" spans="1:5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</row>
    <row r="2" spans="1:5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</row>
    <row r="3" spans="1:5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G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</row>
    <row r="4" spans="1:5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G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</row>
    <row r="5" spans="1:5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</row>
    <row r="6" spans="1:59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>BC5-BB5</f>
        <v>91853</v>
      </c>
      <c r="BD6" s="7">
        <f>BD5-BC5</f>
        <v>182017</v>
      </c>
      <c r="BE6" s="7">
        <f>BE5-BD5</f>
        <v>103190</v>
      </c>
      <c r="BF6" s="7">
        <f>BF5-BE5</f>
        <v>117587</v>
      </c>
      <c r="BG6" s="7">
        <f>BG5-BF5</f>
        <v>111264</v>
      </c>
    </row>
    <row r="7" spans="1:5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G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  <c r="BC7" s="12">
        <f t="shared" si="17"/>
        <v>8.3539104755616309E-2</v>
      </c>
      <c r="BD7" s="12">
        <f t="shared" si="17"/>
        <v>0.1527790601440018</v>
      </c>
      <c r="BE7" s="12">
        <f t="shared" si="17"/>
        <v>7.5135194565859251E-2</v>
      </c>
      <c r="BF7" s="12">
        <f t="shared" si="17"/>
        <v>7.9634642461199223E-2</v>
      </c>
      <c r="BG7" s="12">
        <f t="shared" si="17"/>
        <v>6.9794400590151101E-2</v>
      </c>
    </row>
    <row r="8" spans="1:5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</row>
    <row r="9" spans="1:5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G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  <c r="BC9" s="8">
        <f t="shared" si="18"/>
        <v>0</v>
      </c>
      <c r="BD9" s="8">
        <f t="shared" si="18"/>
        <v>31</v>
      </c>
      <c r="BE9" s="8">
        <f t="shared" si="18"/>
        <v>4</v>
      </c>
      <c r="BF9" s="8">
        <f t="shared" si="18"/>
        <v>90</v>
      </c>
      <c r="BG9" s="8">
        <f t="shared" si="18"/>
        <v>39</v>
      </c>
    </row>
    <row r="10" spans="1:5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G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  <c r="BC10" s="13">
        <f t="shared" si="19"/>
        <v>0</v>
      </c>
      <c r="BD10" s="13">
        <f t="shared" si="19"/>
        <v>2.0777479892761394E-2</v>
      </c>
      <c r="BE10" s="13">
        <f t="shared" si="19"/>
        <v>2.6263952724885093E-3</v>
      </c>
      <c r="BF10" s="13">
        <f t="shared" si="19"/>
        <v>5.8939096267190572E-2</v>
      </c>
      <c r="BG10" s="13">
        <f t="shared" si="19"/>
        <v>2.4118738404452691E-2</v>
      </c>
    </row>
    <row r="11" spans="1:5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</row>
    <row r="12" spans="1:5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BG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28">
        <v>0</v>
      </c>
      <c r="AZ12" s="15">
        <f t="shared" si="26"/>
        <v>0</v>
      </c>
      <c r="BA12" s="15">
        <f t="shared" si="26"/>
        <v>0</v>
      </c>
      <c r="BB12" s="15">
        <f t="shared" si="26"/>
        <v>0</v>
      </c>
      <c r="BC12" s="15">
        <f t="shared" si="26"/>
        <v>1</v>
      </c>
      <c r="BD12" s="15">
        <f t="shared" si="26"/>
        <v>0</v>
      </c>
      <c r="BE12" s="15">
        <f t="shared" si="26"/>
        <v>0</v>
      </c>
      <c r="BF12" s="15">
        <f t="shared" si="26"/>
        <v>0</v>
      </c>
      <c r="BG12" s="15">
        <f t="shared" si="26"/>
        <v>1</v>
      </c>
    </row>
    <row r="13" spans="1:5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</row>
    <row r="14" spans="1:5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  <c r="BC14" s="13">
        <f t="shared" ref="BC14:BE14" si="28">BC13/BC2</f>
        <v>0.22713321055862493</v>
      </c>
      <c r="BD14" s="13">
        <f t="shared" si="28"/>
        <v>0.22665310274669379</v>
      </c>
      <c r="BE14" s="13">
        <f t="shared" si="28"/>
        <v>0.22709729839528742</v>
      </c>
      <c r="BF14" s="13">
        <f t="shared" ref="BF14:BG14" si="29">BF13/BF2</f>
        <v>0.24003173973417974</v>
      </c>
      <c r="BG14" s="13">
        <f t="shared" si="29"/>
        <v>0.24586939417781276</v>
      </c>
    </row>
    <row r="15" spans="1:5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</row>
    <row r="16" spans="1:59" ht="52.5" thickBot="1" x14ac:dyDescent="0.3">
      <c r="A16" s="23" t="s">
        <v>14</v>
      </c>
      <c r="B16" s="18">
        <f>B15/B5</f>
        <v>0.73056273613044342</v>
      </c>
      <c r="C16" s="18">
        <f t="shared" ref="C16:BB16" si="30">C15/C5</f>
        <v>0.72359921886735767</v>
      </c>
      <c r="D16" s="18">
        <f t="shared" si="30"/>
        <v>0.71319267331323899</v>
      </c>
      <c r="E16" s="18">
        <f t="shared" si="30"/>
        <v>0.70370014416146087</v>
      </c>
      <c r="F16" s="18">
        <f t="shared" si="30"/>
        <v>0.68760413195601466</v>
      </c>
      <c r="G16" s="18">
        <f t="shared" si="30"/>
        <v>0.66266187050359715</v>
      </c>
      <c r="H16" s="18">
        <f t="shared" si="30"/>
        <v>0.65330485046494091</v>
      </c>
      <c r="I16" s="18">
        <f t="shared" si="30"/>
        <v>0.64192778922259564</v>
      </c>
      <c r="J16" s="18">
        <f t="shared" si="30"/>
        <v>0.63423778058953095</v>
      </c>
      <c r="K16" s="18">
        <f t="shared" si="30"/>
        <v>0.63386800734179238</v>
      </c>
      <c r="L16" s="18">
        <f t="shared" si="30"/>
        <v>0.63738762013020567</v>
      </c>
      <c r="M16" s="18">
        <f t="shared" si="30"/>
        <v>0.63908203766152372</v>
      </c>
      <c r="N16" s="18">
        <f t="shared" si="30"/>
        <v>0.62490238845356383</v>
      </c>
      <c r="O16" s="18">
        <f t="shared" si="30"/>
        <v>0.62221196365226683</v>
      </c>
      <c r="P16" s="18">
        <f t="shared" si="30"/>
        <v>0.61906222611744088</v>
      </c>
      <c r="Q16" s="18">
        <f t="shared" si="30"/>
        <v>0.61523911918130048</v>
      </c>
      <c r="R16" s="18">
        <f t="shared" si="30"/>
        <v>0.61159753654374116</v>
      </c>
      <c r="S16" s="18">
        <f t="shared" si="30"/>
        <v>0.60974475560607622</v>
      </c>
      <c r="T16" s="18">
        <f t="shared" si="30"/>
        <v>0.60304963285505409</v>
      </c>
      <c r="U16" s="18">
        <f t="shared" si="30"/>
        <v>0.59084014002333718</v>
      </c>
      <c r="V16" s="18">
        <f t="shared" si="30"/>
        <v>0.5773406953397443</v>
      </c>
      <c r="W16" s="18">
        <f t="shared" si="30"/>
        <v>0.57033733396183084</v>
      </c>
      <c r="X16" s="18">
        <f t="shared" si="30"/>
        <v>0.56122346536972789</v>
      </c>
      <c r="Y16" s="18">
        <f t="shared" si="30"/>
        <v>0.55101708540668148</v>
      </c>
      <c r="Z16" s="18">
        <f t="shared" si="30"/>
        <v>0.53059020666542545</v>
      </c>
      <c r="AA16" s="18">
        <f t="shared" si="30"/>
        <v>0.51201685150876841</v>
      </c>
      <c r="AB16" s="18">
        <f t="shared" si="30"/>
        <v>0.49081641817855221</v>
      </c>
      <c r="AC16" s="18">
        <f t="shared" si="30"/>
        <v>0.48336693548387094</v>
      </c>
      <c r="AD16" s="18">
        <f t="shared" si="30"/>
        <v>0.47247714949651431</v>
      </c>
      <c r="AE16" s="18">
        <f t="shared" si="30"/>
        <v>0.47025966272808412</v>
      </c>
      <c r="AF16" s="18">
        <f t="shared" si="30"/>
        <v>0.45355505202908042</v>
      </c>
      <c r="AG16" s="18">
        <f t="shared" si="30"/>
        <v>0.43936584461338773</v>
      </c>
      <c r="AH16" s="18">
        <f t="shared" si="30"/>
        <v>0.43702180803339963</v>
      </c>
      <c r="AI16" s="18">
        <f t="shared" si="30"/>
        <v>0.43940331166235352</v>
      </c>
      <c r="AJ16" s="18">
        <f t="shared" si="30"/>
        <v>0.43177800190980942</v>
      </c>
      <c r="AK16" s="18">
        <f t="shared" si="30"/>
        <v>0.42751736579990707</v>
      </c>
      <c r="AL16" s="18">
        <f t="shared" si="30"/>
        <v>0.42457765938084285</v>
      </c>
      <c r="AM16" s="18">
        <f t="shared" si="30"/>
        <v>0.42419390036036353</v>
      </c>
      <c r="AN16" s="18">
        <f t="shared" si="30"/>
        <v>0.42839778567559356</v>
      </c>
      <c r="AO16" s="18">
        <f t="shared" si="30"/>
        <v>0.42885855039664411</v>
      </c>
      <c r="AP16" s="18">
        <f t="shared" si="30"/>
        <v>0.42667246100830281</v>
      </c>
      <c r="AQ16" s="18">
        <f t="shared" si="30"/>
        <v>0.42724089763629469</v>
      </c>
      <c r="AR16" s="18">
        <f t="shared" si="30"/>
        <v>0.42651361273130461</v>
      </c>
      <c r="AS16" s="18">
        <f t="shared" si="30"/>
        <v>0.42747532445713804</v>
      </c>
      <c r="AT16" s="18">
        <f t="shared" si="30"/>
        <v>0.43706454481229751</v>
      </c>
      <c r="AU16" s="18">
        <f t="shared" si="30"/>
        <v>0.45222373062445098</v>
      </c>
      <c r="AV16" s="18">
        <f t="shared" si="30"/>
        <v>0.45837064369377717</v>
      </c>
      <c r="AW16" s="18">
        <f t="shared" si="30"/>
        <v>0.46654763192587828</v>
      </c>
      <c r="AX16" s="18">
        <f t="shared" si="30"/>
        <v>0.46927539776660543</v>
      </c>
      <c r="AY16" s="18">
        <f t="shared" si="30"/>
        <v>0.4714285564084798</v>
      </c>
      <c r="AZ16" s="18">
        <f t="shared" si="30"/>
        <v>0.47262641562427904</v>
      </c>
      <c r="BA16" s="18">
        <f t="shared" si="30"/>
        <v>0.47373023959268379</v>
      </c>
      <c r="BB16" s="18">
        <f t="shared" si="30"/>
        <v>0.47639653994785003</v>
      </c>
      <c r="BC16" s="18">
        <f t="shared" ref="BC16" si="31">BC15/BC5</f>
        <v>0.48083976987914795</v>
      </c>
      <c r="BD16" s="18">
        <f>BD15/BD5</f>
        <v>0.46057823300138123</v>
      </c>
      <c r="BE16" s="18">
        <f>BE15/BE5</f>
        <v>0.46611259389088711</v>
      </c>
      <c r="BF16" s="18">
        <f>BF15/BF5</f>
        <v>0.47921423588981837</v>
      </c>
      <c r="BG16" s="18">
        <f>BG15/BG5</f>
        <v>0.49181204527650474</v>
      </c>
    </row>
    <row r="17" spans="1:59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2">C5/C2</f>
        <v>43.509803921568626</v>
      </c>
      <c r="D17" s="19">
        <f t="shared" si="32"/>
        <v>52.920245398773005</v>
      </c>
      <c r="E17" s="19">
        <f t="shared" si="32"/>
        <v>51.766169154228855</v>
      </c>
      <c r="F17" s="19">
        <f t="shared" si="32"/>
        <v>55.317972350230413</v>
      </c>
      <c r="G17" s="19">
        <f t="shared" si="32"/>
        <v>60.434782608695649</v>
      </c>
      <c r="H17" s="19">
        <f t="shared" si="32"/>
        <v>66.316666666666663</v>
      </c>
      <c r="I17" s="19">
        <f t="shared" si="32"/>
        <v>73.198412698412696</v>
      </c>
      <c r="J17" s="19">
        <f t="shared" si="32"/>
        <v>74.351916376306619</v>
      </c>
      <c r="K17" s="19">
        <f t="shared" si="32"/>
        <v>75.716012084592151</v>
      </c>
      <c r="L17" s="19">
        <f t="shared" si="32"/>
        <v>85.637168141592923</v>
      </c>
      <c r="M17" s="19">
        <f t="shared" si="32"/>
        <v>96.290229885057471</v>
      </c>
      <c r="N17" s="19">
        <f t="shared" si="32"/>
        <v>101.74520547945205</v>
      </c>
      <c r="O17" s="19">
        <f t="shared" si="32"/>
        <v>108.31052631578947</v>
      </c>
      <c r="P17" s="19">
        <f t="shared" si="32"/>
        <v>114.96221662468514</v>
      </c>
      <c r="Q17" s="19">
        <f t="shared" si="32"/>
        <v>111.61333333333333</v>
      </c>
      <c r="R17" s="19">
        <f t="shared" si="32"/>
        <v>119.52993348115299</v>
      </c>
      <c r="S17" s="19">
        <f t="shared" si="32"/>
        <v>117.2969696969697</v>
      </c>
      <c r="T17" s="19">
        <f t="shared" si="32"/>
        <v>96.641304347826093</v>
      </c>
      <c r="U17" s="19">
        <f t="shared" si="32"/>
        <v>70.390143737166326</v>
      </c>
      <c r="V17" s="19">
        <f t="shared" si="32"/>
        <v>70.356877323420079</v>
      </c>
      <c r="W17" s="19">
        <f t="shared" si="32"/>
        <v>60.791329904481998</v>
      </c>
      <c r="X17" s="19">
        <f t="shared" si="32"/>
        <v>58.823490813648291</v>
      </c>
      <c r="Y17" s="19">
        <f t="shared" si="32"/>
        <v>56.804046242774568</v>
      </c>
      <c r="Z17" s="19">
        <f t="shared" si="32"/>
        <v>56.926338102808693</v>
      </c>
      <c r="AA17" s="19">
        <f t="shared" si="32"/>
        <v>54.17461044912924</v>
      </c>
      <c r="AB17" s="19">
        <f t="shared" si="32"/>
        <v>53.209080047789726</v>
      </c>
      <c r="AC17" s="19">
        <f t="shared" si="32"/>
        <v>57.296881016557563</v>
      </c>
      <c r="AD17" s="19">
        <f t="shared" si="32"/>
        <v>55.935875216637783</v>
      </c>
      <c r="AE17" s="19">
        <f t="shared" si="32"/>
        <v>57.662235855487388</v>
      </c>
      <c r="AF17" s="19">
        <f t="shared" si="32"/>
        <v>60.468181818181819</v>
      </c>
      <c r="AG17" s="19">
        <f t="shared" si="32"/>
        <v>65.079072721498889</v>
      </c>
      <c r="AH17" s="19">
        <f t="shared" si="32"/>
        <v>66.827056342271774</v>
      </c>
      <c r="AI17" s="19">
        <f t="shared" si="32"/>
        <v>68.564627813040971</v>
      </c>
      <c r="AJ17" s="19">
        <f t="shared" si="32"/>
        <v>73.185237159696882</v>
      </c>
      <c r="AK17" s="19">
        <f t="shared" si="32"/>
        <v>76.989464929304134</v>
      </c>
      <c r="AL17" s="19">
        <f t="shared" si="32"/>
        <v>82.026330076004342</v>
      </c>
      <c r="AM17" s="19">
        <f t="shared" si="32"/>
        <v>90.282747603833869</v>
      </c>
      <c r="AN17" s="19">
        <f t="shared" si="32"/>
        <v>98.502082248828728</v>
      </c>
      <c r="AO17" s="19">
        <f t="shared" si="32"/>
        <v>105.15782922579039</v>
      </c>
      <c r="AP17" s="19">
        <f t="shared" si="32"/>
        <v>112.95461272816971</v>
      </c>
      <c r="AQ17" s="19">
        <f t="shared" si="32"/>
        <v>118.22890699904123</v>
      </c>
      <c r="AR17" s="19">
        <f t="shared" si="32"/>
        <v>125.99906081239727</v>
      </c>
      <c r="AS17" s="19">
        <f t="shared" si="32"/>
        <v>138.84418007930955</v>
      </c>
      <c r="AT17" s="19">
        <f t="shared" si="32"/>
        <v>151.54222427318874</v>
      </c>
      <c r="AU17" s="19">
        <f t="shared" si="32"/>
        <v>162.30212290502794</v>
      </c>
      <c r="AV17" s="19">
        <f t="shared" si="32"/>
        <v>171.96106194690265</v>
      </c>
      <c r="AW17" s="19">
        <f t="shared" si="32"/>
        <v>182.91171993911721</v>
      </c>
      <c r="AX17" s="19">
        <f t="shared" si="32"/>
        <v>191.18168168168168</v>
      </c>
      <c r="AY17" s="19">
        <f t="shared" si="32"/>
        <v>202.66503302791392</v>
      </c>
      <c r="AZ17" s="19">
        <f t="shared" si="32"/>
        <v>210.71866413020504</v>
      </c>
      <c r="BA17" s="19">
        <f t="shared" si="32"/>
        <v>214.30701030927835</v>
      </c>
      <c r="BB17" s="19">
        <f t="shared" si="32"/>
        <v>225.82070240295749</v>
      </c>
      <c r="BC17" s="19">
        <f t="shared" ref="BC17:BE17" si="33">BC5/BC2</f>
        <v>243.7843257622263</v>
      </c>
      <c r="BD17" s="19">
        <f t="shared" si="33"/>
        <v>279.42848423194306</v>
      </c>
      <c r="BE17" s="19">
        <f t="shared" si="33"/>
        <v>299.93520211253303</v>
      </c>
      <c r="BF17" s="19">
        <f t="shared" ref="BF17:BG17" si="34">BF5/BF2</f>
        <v>316.24042848641142</v>
      </c>
      <c r="BG17" s="19">
        <f t="shared" si="34"/>
        <v>335.45082612116443</v>
      </c>
    </row>
    <row r="25" spans="1:59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2012-06-01T12:20:43Z</dcterms:modified>
</cp:coreProperties>
</file>