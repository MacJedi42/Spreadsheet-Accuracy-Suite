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workbookProtection workbookPassword="85B3" lockStructure="1"/>
  <bookViews>
    <workbookView xWindow="2235" yWindow="-60" windowWidth="10050" windowHeight="6060"/>
  </bookViews>
  <sheets>
    <sheet name="Start Here - Directions" sheetId="6" r:id="rId1"/>
    <sheet name="District Information &amp; Measures" sheetId="4" r:id="rId2"/>
    <sheet name="Literacy Data" sheetId="5" r:id="rId3"/>
    <sheet name="Further Notes" sheetId="11" r:id="rId4"/>
    <sheet name="Criteria Options" sheetId="12" r:id="rId5"/>
    <sheet name="Dropdowns" sheetId="7" state="hidden" r:id="rId6"/>
    <sheet name="CriteriaDropdowns" sheetId="16" state="hidden" r:id="rId7"/>
  </sheets>
  <definedNames>
    <definedName name="Administered">Dropdowns!$A$58:$A$61</definedName>
    <definedName name="Day">Dropdowns!$A$16:$A$47</definedName>
    <definedName name="DistrictType">Dropdowns!$A$49:$A$56</definedName>
    <definedName name="DistritType">Dropdowns!#REF!</definedName>
    <definedName name="G1_DecodableWords">CriteriaDropdowns!$C$15:$C$19</definedName>
    <definedName name="G1_OralLanguage">CriteriaDropdowns!$C$63:$C$67</definedName>
    <definedName name="G1_SegmentBlend">CriteriaDropdowns!$C$20:$C$23</definedName>
    <definedName name="G1DecodableWords">#REF!</definedName>
    <definedName name="G1OralLanguage">#REF!</definedName>
    <definedName name="G1SegmentingBlending">#REF!</definedName>
    <definedName name="G2_HighFreqWords">CriteriaDropdowns!$C$25:$C$26</definedName>
    <definedName name="G2_OralFluency">CriteriaDropdowns!$C$28:$C$39</definedName>
    <definedName name="G2_OralLanguage">CriteriaDropdowns!$C$68:$C$72</definedName>
    <definedName name="G2OralFluency">#REF!</definedName>
    <definedName name="G2OralLanguage">#REF!</definedName>
    <definedName name="G3_Comprehension">CriteriaDropdowns!$C$54</definedName>
    <definedName name="G3_OralFluency">CriteriaDropdowns!$C$42:$C$52</definedName>
    <definedName name="G3_Vocabulary">CriteriaDropdowns!$C$41:$C$41</definedName>
    <definedName name="G3Comprehension">#REF!</definedName>
    <definedName name="G3Vocabulary">#REF!</definedName>
    <definedName name="K_LetterSounds">CriteriaDropdowns!$C$3:$C$7</definedName>
    <definedName name="K_OralLanguage">CriteriaDropdowns!$C$57:$C$62</definedName>
    <definedName name="K_SegmentBlend">CriteriaDropdowns!$C$9:$C$13</definedName>
    <definedName name="KLetterSounds">#REF!</definedName>
    <definedName name="KOralLanguage">#REF!</definedName>
    <definedName name="KSegmentingBlending">#REF!</definedName>
    <definedName name="Month">Dropdowns!$A$2:$A$14</definedName>
    <definedName name="_xlnm.Print_Area" localSheetId="4">'Criteria Options'!$A$1:$G$97</definedName>
    <definedName name="_xlnm.Print_Area" localSheetId="3">'Further Notes'!$A$1:$B$16</definedName>
    <definedName name="_xlnm.Print_Area" localSheetId="0">'Start Here - Directions'!$A$1:$C$75</definedName>
    <definedName name="_xlnm.Print_Titles" localSheetId="4">'Criteria Options'!$10:$10</definedName>
    <definedName name="solver_adj" localSheetId="2" hidden="1">'Literacy Data'!$D$6</definedName>
    <definedName name="solver_cvg" localSheetId="2" hidden="1">0.0001</definedName>
    <definedName name="solver_drv" localSheetId="2" hidden="1">2</definedName>
    <definedName name="solver_eng" localSheetId="2" hidden="1">2</definedName>
    <definedName name="solver_est" localSheetId="2" hidden="1">1</definedName>
    <definedName name="solver_itr" localSheetId="2" hidden="1">2147483647</definedName>
    <definedName name="solver_lhs1" localSheetId="2" hidden="1">'Literacy Data'!$F$6</definedName>
    <definedName name="solver_mip" localSheetId="2" hidden="1">2147483647</definedName>
    <definedName name="solver_mni" localSheetId="2" hidden="1">30</definedName>
    <definedName name="solver_mrt" localSheetId="2" hidden="1">0.075</definedName>
    <definedName name="solver_msl" localSheetId="2" hidden="1">2</definedName>
    <definedName name="solver_neg" localSheetId="2" hidden="1">2</definedName>
    <definedName name="solver_nod" localSheetId="2" hidden="1">2147483647</definedName>
    <definedName name="solver_num" localSheetId="2" hidden="1">1</definedName>
    <definedName name="solver_nwt" localSheetId="2" hidden="1">1</definedName>
    <definedName name="solver_opt" localSheetId="2" hidden="1">'Literacy Data'!$D$6</definedName>
    <definedName name="solver_pre" localSheetId="2" hidden="1">0.000001</definedName>
    <definedName name="solver_rbv" localSheetId="2" hidden="1">2</definedName>
    <definedName name="solver_rel1" localSheetId="2" hidden="1">2</definedName>
    <definedName name="solver_rhs1" localSheetId="2" hidden="1">0</definedName>
    <definedName name="solver_rlx" localSheetId="2" hidden="1">2</definedName>
    <definedName name="solver_rsd" localSheetId="2" hidden="1">0</definedName>
    <definedName name="solver_scl" localSheetId="2" hidden="1">2</definedName>
    <definedName name="solver_sho" localSheetId="2" hidden="1">2</definedName>
    <definedName name="solver_ssz" localSheetId="2" hidden="1">100</definedName>
    <definedName name="solver_tim" localSheetId="2" hidden="1">2147483647</definedName>
    <definedName name="solver_tol" localSheetId="2" hidden="1">0.01</definedName>
    <definedName name="solver_typ" localSheetId="2" hidden="1">3</definedName>
    <definedName name="solver_ver" localSheetId="2" hidden="1">3</definedName>
    <definedName name="Type">Dropdowns!#REF!</definedName>
    <definedName name="Z_367BCCA4_BB9C_4067_9872_BFA4777F9377_.wvu.PrintArea" localSheetId="4" hidden="1">'Criteria Options'!$A$1:$G$97</definedName>
    <definedName name="Z_367BCCA4_BB9C_4067_9872_BFA4777F9377_.wvu.PrintArea" localSheetId="3" hidden="1">'Further Notes'!$A$1:$B$16</definedName>
    <definedName name="Z_367BCCA4_BB9C_4067_9872_BFA4777F9377_.wvu.PrintArea" localSheetId="0" hidden="1">'Start Here - Directions'!$A$1:$C$75</definedName>
    <definedName name="Z_367BCCA4_BB9C_4067_9872_BFA4777F9377_.wvu.PrintTitles" localSheetId="4" hidden="1">'Criteria Options'!$10:$10</definedName>
  </definedNames>
  <calcPr calcId="145621"/>
  <customWorkbookViews>
    <customWorkbookView name="All Sheets" guid="{367BCCA4-BB9C-4067-9872-BFA4777F9377}" maximized="1" windowWidth="1362" windowHeight="515" activeSheetId="5"/>
  </customWorkbookViews>
</workbook>
</file>

<file path=xl/calcChain.xml><?xml version="1.0" encoding="utf-8"?>
<calcChain xmlns="http://schemas.openxmlformats.org/spreadsheetml/2006/main">
  <c r="C16" i="5" l="1"/>
  <c r="C15" i="5"/>
  <c r="C14" i="5"/>
  <c r="C13" i="5"/>
  <c r="C12" i="5"/>
  <c r="C28" i="5"/>
  <c r="C27" i="5"/>
  <c r="C26" i="5"/>
  <c r="C25" i="5"/>
  <c r="C24" i="5"/>
  <c r="C22" i="5"/>
  <c r="C21" i="5"/>
  <c r="C20" i="5"/>
  <c r="C19" i="5"/>
  <c r="C18" i="5"/>
  <c r="FG3" i="5" l="1"/>
  <c r="FD3" i="5"/>
  <c r="FA3" i="5"/>
  <c r="EX3" i="5"/>
  <c r="EU3" i="5"/>
  <c r="ER3" i="5"/>
  <c r="EO3" i="5"/>
  <c r="EL3" i="5"/>
  <c r="EI3" i="5"/>
  <c r="EF3" i="5"/>
  <c r="EC3" i="5"/>
  <c r="DZ3" i="5"/>
  <c r="DW3" i="5"/>
  <c r="DT3" i="5"/>
  <c r="DQ3" i="5"/>
  <c r="DN3" i="5"/>
  <c r="DK3" i="5"/>
  <c r="DH3" i="5"/>
  <c r="DE3" i="5"/>
  <c r="DB3" i="5"/>
  <c r="CY3" i="5"/>
  <c r="CV3" i="5"/>
  <c r="CS3" i="5"/>
  <c r="CP3" i="5"/>
  <c r="CM3" i="5"/>
  <c r="CJ3" i="5"/>
  <c r="CG3" i="5"/>
  <c r="CD3" i="5"/>
  <c r="CA3" i="5"/>
  <c r="BX3" i="5"/>
  <c r="BU3" i="5"/>
  <c r="BR3" i="5"/>
  <c r="BO3" i="5"/>
  <c r="BL3" i="5"/>
  <c r="BI3" i="5"/>
  <c r="BF3" i="5"/>
  <c r="BC3" i="5"/>
  <c r="AZ3" i="5"/>
  <c r="AW3" i="5"/>
  <c r="AT3" i="5"/>
  <c r="AQ3" i="5"/>
  <c r="AN3" i="5"/>
  <c r="AK3" i="5"/>
  <c r="AH3" i="5"/>
  <c r="AE3" i="5"/>
  <c r="AB3" i="5"/>
  <c r="Y3" i="5"/>
  <c r="V3" i="5"/>
  <c r="S3" i="5"/>
  <c r="P3" i="5"/>
  <c r="M3" i="5"/>
  <c r="J3" i="5"/>
  <c r="G3" i="5"/>
  <c r="C10" i="5" l="1"/>
  <c r="C9" i="5"/>
  <c r="C8" i="5"/>
  <c r="C7" i="5"/>
  <c r="C6" i="5"/>
  <c r="F24" i="5" l="1"/>
  <c r="F25" i="5"/>
  <c r="F26" i="5"/>
  <c r="F27" i="5"/>
  <c r="F28" i="5"/>
  <c r="E25" i="5"/>
  <c r="E26" i="5"/>
  <c r="E27" i="5"/>
  <c r="E28" i="5"/>
  <c r="E24" i="5"/>
  <c r="F18" i="5"/>
  <c r="F19" i="5"/>
  <c r="F20" i="5"/>
  <c r="F21" i="5"/>
  <c r="F22" i="5"/>
  <c r="E19" i="5"/>
  <c r="E20" i="5"/>
  <c r="E21" i="5"/>
  <c r="E22" i="5"/>
  <c r="E18" i="5"/>
  <c r="F12" i="5"/>
  <c r="F13" i="5"/>
  <c r="F14" i="5"/>
  <c r="F15" i="5"/>
  <c r="F16" i="5"/>
  <c r="E13" i="5"/>
  <c r="E14" i="5"/>
  <c r="E15" i="5"/>
  <c r="E16" i="5"/>
  <c r="E12" i="5"/>
  <c r="F6" i="5"/>
  <c r="F7" i="5"/>
  <c r="F8" i="5"/>
  <c r="F9" i="5"/>
  <c r="F10" i="5"/>
  <c r="E7" i="5"/>
  <c r="E8" i="5"/>
  <c r="E9" i="5"/>
  <c r="E10" i="5"/>
  <c r="E6" i="5"/>
  <c r="FG28" i="5"/>
  <c r="FG27" i="5"/>
  <c r="FG26" i="5"/>
  <c r="FG25" i="5"/>
  <c r="FG24" i="5"/>
  <c r="FG22" i="5"/>
  <c r="FG21" i="5"/>
  <c r="FG20" i="5"/>
  <c r="FG19" i="5"/>
  <c r="FG18" i="5"/>
  <c r="FG16" i="5"/>
  <c r="FG15" i="5"/>
  <c r="FG14" i="5"/>
  <c r="FG13" i="5"/>
  <c r="FG12" i="5"/>
  <c r="FG10" i="5"/>
  <c r="FG9" i="5"/>
  <c r="FG8" i="5"/>
  <c r="FG7" i="5"/>
  <c r="FG6" i="5"/>
  <c r="FD28" i="5"/>
  <c r="FD27" i="5"/>
  <c r="FD26" i="5"/>
  <c r="FD25" i="5"/>
  <c r="FD24" i="5"/>
  <c r="FD22" i="5"/>
  <c r="FD21" i="5"/>
  <c r="FD20" i="5"/>
  <c r="FD19" i="5"/>
  <c r="FD18" i="5"/>
  <c r="FD16" i="5"/>
  <c r="FD15" i="5"/>
  <c r="FD14" i="5"/>
  <c r="FD13" i="5"/>
  <c r="FD12" i="5"/>
  <c r="FD10" i="5"/>
  <c r="FD9" i="5"/>
  <c r="FD8" i="5"/>
  <c r="FD7" i="5"/>
  <c r="FD6" i="5"/>
  <c r="FA28" i="5"/>
  <c r="FA27" i="5"/>
  <c r="FA26" i="5"/>
  <c r="FA25" i="5"/>
  <c r="FA24" i="5"/>
  <c r="FA22" i="5"/>
  <c r="FA21" i="5"/>
  <c r="FA20" i="5"/>
  <c r="FA19" i="5"/>
  <c r="FA18" i="5"/>
  <c r="FA16" i="5"/>
  <c r="FA15" i="5"/>
  <c r="FA14" i="5"/>
  <c r="FA13" i="5"/>
  <c r="FA12" i="5"/>
  <c r="FA10" i="5"/>
  <c r="FA9" i="5"/>
  <c r="FA8" i="5"/>
  <c r="FA7" i="5"/>
  <c r="FA6" i="5"/>
  <c r="EX28" i="5"/>
  <c r="EX27" i="5"/>
  <c r="EX26" i="5"/>
  <c r="EX25" i="5"/>
  <c r="EX24" i="5"/>
  <c r="EX22" i="5"/>
  <c r="EX21" i="5"/>
  <c r="EX20" i="5"/>
  <c r="EX19" i="5"/>
  <c r="EX18" i="5"/>
  <c r="EX16" i="5"/>
  <c r="EX15" i="5"/>
  <c r="EX14" i="5"/>
  <c r="EX13" i="5"/>
  <c r="EX12" i="5"/>
  <c r="EX10" i="5"/>
  <c r="EX9" i="5"/>
  <c r="EX8" i="5"/>
  <c r="EX7" i="5"/>
  <c r="EX6" i="5"/>
  <c r="EU28" i="5"/>
  <c r="EU27" i="5"/>
  <c r="EU26" i="5"/>
  <c r="EU25" i="5"/>
  <c r="EU24" i="5"/>
  <c r="EU22" i="5"/>
  <c r="EU21" i="5"/>
  <c r="EU20" i="5"/>
  <c r="EU19" i="5"/>
  <c r="EU18" i="5"/>
  <c r="EU16" i="5"/>
  <c r="EU15" i="5"/>
  <c r="EU14" i="5"/>
  <c r="EU13" i="5"/>
  <c r="EU12" i="5"/>
  <c r="EU10" i="5"/>
  <c r="EU9" i="5"/>
  <c r="EU8" i="5"/>
  <c r="EU7" i="5"/>
  <c r="EU6" i="5"/>
  <c r="ER28" i="5"/>
  <c r="ER27" i="5"/>
  <c r="ER26" i="5"/>
  <c r="ER25" i="5"/>
  <c r="ER24" i="5"/>
  <c r="ER22" i="5"/>
  <c r="ER21" i="5"/>
  <c r="ER20" i="5"/>
  <c r="ER19" i="5"/>
  <c r="ER18" i="5"/>
  <c r="ER16" i="5"/>
  <c r="ER15" i="5"/>
  <c r="ER14" i="5"/>
  <c r="ER13" i="5"/>
  <c r="ER12" i="5"/>
  <c r="ER10" i="5"/>
  <c r="ER9" i="5"/>
  <c r="ER8" i="5"/>
  <c r="ER7" i="5"/>
  <c r="ER6" i="5"/>
  <c r="EO28" i="5"/>
  <c r="EO27" i="5"/>
  <c r="EO26" i="5"/>
  <c r="EO25" i="5"/>
  <c r="EO24" i="5"/>
  <c r="EO22" i="5"/>
  <c r="EO21" i="5"/>
  <c r="EO20" i="5"/>
  <c r="EO19" i="5"/>
  <c r="EO18" i="5"/>
  <c r="EO16" i="5"/>
  <c r="EO15" i="5"/>
  <c r="EO14" i="5"/>
  <c r="EO13" i="5"/>
  <c r="EO12" i="5"/>
  <c r="EO10" i="5"/>
  <c r="EO9" i="5"/>
  <c r="EO8" i="5"/>
  <c r="EO7" i="5"/>
  <c r="EO6" i="5"/>
  <c r="EL28" i="5"/>
  <c r="EL27" i="5"/>
  <c r="EL26" i="5"/>
  <c r="EL25" i="5"/>
  <c r="EL24" i="5"/>
  <c r="EL22" i="5"/>
  <c r="EL21" i="5"/>
  <c r="EL20" i="5"/>
  <c r="EL19" i="5"/>
  <c r="EL18" i="5"/>
  <c r="EL16" i="5"/>
  <c r="EL15" i="5"/>
  <c r="EL14" i="5"/>
  <c r="EL13" i="5"/>
  <c r="EL12" i="5"/>
  <c r="EL10" i="5"/>
  <c r="EL9" i="5"/>
  <c r="EL8" i="5"/>
  <c r="EL7" i="5"/>
  <c r="EL6" i="5"/>
  <c r="EI28" i="5"/>
  <c r="EI27" i="5"/>
  <c r="EI26" i="5"/>
  <c r="EI25" i="5"/>
  <c r="EI24" i="5"/>
  <c r="EI22" i="5"/>
  <c r="EI21" i="5"/>
  <c r="EI20" i="5"/>
  <c r="EI19" i="5"/>
  <c r="EI18" i="5"/>
  <c r="EI16" i="5"/>
  <c r="EI15" i="5"/>
  <c r="EI14" i="5"/>
  <c r="EI13" i="5"/>
  <c r="EI12" i="5"/>
  <c r="EI10" i="5"/>
  <c r="EI9" i="5"/>
  <c r="EI8" i="5"/>
  <c r="EI7" i="5"/>
  <c r="EI6" i="5"/>
  <c r="EF28" i="5"/>
  <c r="EF27" i="5"/>
  <c r="EF26" i="5"/>
  <c r="EF25" i="5"/>
  <c r="EF24" i="5"/>
  <c r="EF22" i="5"/>
  <c r="EF21" i="5"/>
  <c r="EF20" i="5"/>
  <c r="EF19" i="5"/>
  <c r="EF18" i="5"/>
  <c r="EF16" i="5"/>
  <c r="EF15" i="5"/>
  <c r="EF14" i="5"/>
  <c r="EF13" i="5"/>
  <c r="EF12" i="5"/>
  <c r="EF10" i="5"/>
  <c r="EF9" i="5"/>
  <c r="EF8" i="5"/>
  <c r="EF7" i="5"/>
  <c r="EF6" i="5"/>
  <c r="EC28" i="5"/>
  <c r="EC27" i="5"/>
  <c r="EC26" i="5"/>
  <c r="EC25" i="5"/>
  <c r="EC24" i="5"/>
  <c r="EC22" i="5"/>
  <c r="EC21" i="5"/>
  <c r="EC20" i="5"/>
  <c r="EC19" i="5"/>
  <c r="EC18" i="5"/>
  <c r="EC16" i="5"/>
  <c r="EC15" i="5"/>
  <c r="EC14" i="5"/>
  <c r="EC13" i="5"/>
  <c r="EC12" i="5"/>
  <c r="EC10" i="5"/>
  <c r="EC9" i="5"/>
  <c r="EC8" i="5"/>
  <c r="EC7" i="5"/>
  <c r="EC6" i="5"/>
  <c r="DZ28" i="5"/>
  <c r="DZ27" i="5"/>
  <c r="DZ26" i="5"/>
  <c r="DZ25" i="5"/>
  <c r="DZ24" i="5"/>
  <c r="DZ22" i="5"/>
  <c r="DZ21" i="5"/>
  <c r="DZ20" i="5"/>
  <c r="DZ19" i="5"/>
  <c r="DZ18" i="5"/>
  <c r="DZ16" i="5"/>
  <c r="DZ15" i="5"/>
  <c r="DZ14" i="5"/>
  <c r="DZ13" i="5"/>
  <c r="DZ12" i="5"/>
  <c r="DZ10" i="5"/>
  <c r="DZ9" i="5"/>
  <c r="DZ8" i="5"/>
  <c r="DZ7" i="5"/>
  <c r="DZ6" i="5"/>
  <c r="DW28" i="5"/>
  <c r="DW27" i="5"/>
  <c r="DW26" i="5"/>
  <c r="DW25" i="5"/>
  <c r="DW24" i="5"/>
  <c r="DW22" i="5"/>
  <c r="DW21" i="5"/>
  <c r="DW20" i="5"/>
  <c r="DW19" i="5"/>
  <c r="DW18" i="5"/>
  <c r="DW16" i="5"/>
  <c r="DW15" i="5"/>
  <c r="DW14" i="5"/>
  <c r="DW13" i="5"/>
  <c r="DW12" i="5"/>
  <c r="DW10" i="5"/>
  <c r="DW9" i="5"/>
  <c r="DW8" i="5"/>
  <c r="DW7" i="5"/>
  <c r="DW6" i="5"/>
  <c r="DT28" i="5"/>
  <c r="DT27" i="5"/>
  <c r="DT26" i="5"/>
  <c r="DT25" i="5"/>
  <c r="DT24" i="5"/>
  <c r="DT22" i="5"/>
  <c r="DT21" i="5"/>
  <c r="DT20" i="5"/>
  <c r="DT19" i="5"/>
  <c r="DT18" i="5"/>
  <c r="DT16" i="5"/>
  <c r="DT15" i="5"/>
  <c r="DT14" i="5"/>
  <c r="DT13" i="5"/>
  <c r="DT12" i="5"/>
  <c r="DT10" i="5"/>
  <c r="DT9" i="5"/>
  <c r="DT8" i="5"/>
  <c r="DT7" i="5"/>
  <c r="DT6" i="5"/>
  <c r="DQ28" i="5"/>
  <c r="DQ27" i="5"/>
  <c r="DQ26" i="5"/>
  <c r="DQ25" i="5"/>
  <c r="DQ24" i="5"/>
  <c r="DQ22" i="5"/>
  <c r="DQ21" i="5"/>
  <c r="DQ20" i="5"/>
  <c r="DQ19" i="5"/>
  <c r="DQ18" i="5"/>
  <c r="DQ16" i="5"/>
  <c r="DQ15" i="5"/>
  <c r="DQ14" i="5"/>
  <c r="DQ13" i="5"/>
  <c r="DQ12" i="5"/>
  <c r="DQ10" i="5"/>
  <c r="DQ9" i="5"/>
  <c r="DQ8" i="5"/>
  <c r="DQ7" i="5"/>
  <c r="DQ6" i="5"/>
  <c r="DN28" i="5"/>
  <c r="DN27" i="5"/>
  <c r="DN26" i="5"/>
  <c r="DN25" i="5"/>
  <c r="DN24" i="5"/>
  <c r="DN22" i="5"/>
  <c r="DN21" i="5"/>
  <c r="DN20" i="5"/>
  <c r="DN19" i="5"/>
  <c r="DN18" i="5"/>
  <c r="DN16" i="5"/>
  <c r="DN15" i="5"/>
  <c r="DN14" i="5"/>
  <c r="DN13" i="5"/>
  <c r="DN12" i="5"/>
  <c r="DN10" i="5"/>
  <c r="DN9" i="5"/>
  <c r="DN8" i="5"/>
  <c r="DN7" i="5"/>
  <c r="DN6" i="5"/>
  <c r="DK28" i="5"/>
  <c r="DK27" i="5"/>
  <c r="DK26" i="5"/>
  <c r="DK25" i="5"/>
  <c r="DK24" i="5"/>
  <c r="DK22" i="5"/>
  <c r="DK21" i="5"/>
  <c r="DK20" i="5"/>
  <c r="DK19" i="5"/>
  <c r="DK18" i="5"/>
  <c r="DK16" i="5"/>
  <c r="DK15" i="5"/>
  <c r="DK14" i="5"/>
  <c r="DK13" i="5"/>
  <c r="DK12" i="5"/>
  <c r="DK10" i="5"/>
  <c r="DK9" i="5"/>
  <c r="DK8" i="5"/>
  <c r="DK7" i="5"/>
  <c r="DK6" i="5"/>
  <c r="DH28" i="5"/>
  <c r="DH27" i="5"/>
  <c r="DH26" i="5"/>
  <c r="DH25" i="5"/>
  <c r="DH24" i="5"/>
  <c r="DH22" i="5"/>
  <c r="DH21" i="5"/>
  <c r="DH20" i="5"/>
  <c r="DH19" i="5"/>
  <c r="DH18" i="5"/>
  <c r="DH16" i="5"/>
  <c r="DH15" i="5"/>
  <c r="DH14" i="5"/>
  <c r="DH13" i="5"/>
  <c r="DH12" i="5"/>
  <c r="DH10" i="5"/>
  <c r="DH9" i="5"/>
  <c r="DH8" i="5"/>
  <c r="DH7" i="5"/>
  <c r="DH6" i="5"/>
  <c r="DE28" i="5"/>
  <c r="DE27" i="5"/>
  <c r="DE26" i="5"/>
  <c r="DE25" i="5"/>
  <c r="DE24" i="5"/>
  <c r="DE22" i="5"/>
  <c r="DE21" i="5"/>
  <c r="DE20" i="5"/>
  <c r="DE19" i="5"/>
  <c r="DE18" i="5"/>
  <c r="DE16" i="5"/>
  <c r="DE15" i="5"/>
  <c r="DE14" i="5"/>
  <c r="DE13" i="5"/>
  <c r="DE12" i="5"/>
  <c r="DE10" i="5"/>
  <c r="DE9" i="5"/>
  <c r="DE8" i="5"/>
  <c r="DE7" i="5"/>
  <c r="DE6" i="5"/>
  <c r="DB28" i="5"/>
  <c r="DB27" i="5"/>
  <c r="DB26" i="5"/>
  <c r="DB25" i="5"/>
  <c r="DB24" i="5"/>
  <c r="DB22" i="5"/>
  <c r="DB21" i="5"/>
  <c r="DB20" i="5"/>
  <c r="DB19" i="5"/>
  <c r="DB18" i="5"/>
  <c r="DB16" i="5"/>
  <c r="DB15" i="5"/>
  <c r="DB14" i="5"/>
  <c r="DB13" i="5"/>
  <c r="DB12" i="5"/>
  <c r="DB10" i="5"/>
  <c r="DB9" i="5"/>
  <c r="DB8" i="5"/>
  <c r="DB7" i="5"/>
  <c r="DB6" i="5"/>
  <c r="CY28" i="5"/>
  <c r="CY27" i="5"/>
  <c r="CY26" i="5"/>
  <c r="CY25" i="5"/>
  <c r="CY24" i="5"/>
  <c r="CY22" i="5"/>
  <c r="CY21" i="5"/>
  <c r="CY20" i="5"/>
  <c r="CY19" i="5"/>
  <c r="CY18" i="5"/>
  <c r="CY16" i="5"/>
  <c r="CY15" i="5"/>
  <c r="CY14" i="5"/>
  <c r="CY13" i="5"/>
  <c r="CY12" i="5"/>
  <c r="CY10" i="5"/>
  <c r="CY9" i="5"/>
  <c r="CY8" i="5"/>
  <c r="CY7" i="5"/>
  <c r="CY6" i="5"/>
  <c r="CV28" i="5"/>
  <c r="CV27" i="5"/>
  <c r="CV26" i="5"/>
  <c r="CV25" i="5"/>
  <c r="CV24" i="5"/>
  <c r="CV22" i="5"/>
  <c r="CV21" i="5"/>
  <c r="CV20" i="5"/>
  <c r="CV19" i="5"/>
  <c r="CV18" i="5"/>
  <c r="CV16" i="5"/>
  <c r="CV15" i="5"/>
  <c r="CV14" i="5"/>
  <c r="CV13" i="5"/>
  <c r="CV12" i="5"/>
  <c r="CV10" i="5"/>
  <c r="CV9" i="5"/>
  <c r="CV8" i="5"/>
  <c r="CV7" i="5"/>
  <c r="CV6" i="5"/>
  <c r="CS28" i="5"/>
  <c r="CS27" i="5"/>
  <c r="CS26" i="5"/>
  <c r="CS25" i="5"/>
  <c r="CS24" i="5"/>
  <c r="CS22" i="5"/>
  <c r="CS21" i="5"/>
  <c r="CS20" i="5"/>
  <c r="CS19" i="5"/>
  <c r="CS18" i="5"/>
  <c r="CS16" i="5"/>
  <c r="CS15" i="5"/>
  <c r="CS14" i="5"/>
  <c r="CS13" i="5"/>
  <c r="CS12" i="5"/>
  <c r="CS10" i="5"/>
  <c r="CS9" i="5"/>
  <c r="CS8" i="5"/>
  <c r="CS7" i="5"/>
  <c r="CS6" i="5"/>
  <c r="CP28" i="5"/>
  <c r="CP27" i="5"/>
  <c r="CP26" i="5"/>
  <c r="CP25" i="5"/>
  <c r="CP24" i="5"/>
  <c r="CP22" i="5"/>
  <c r="CP21" i="5"/>
  <c r="CP20" i="5"/>
  <c r="CP19" i="5"/>
  <c r="CP18" i="5"/>
  <c r="CP16" i="5"/>
  <c r="CP15" i="5"/>
  <c r="CP14" i="5"/>
  <c r="CP13" i="5"/>
  <c r="CP12" i="5"/>
  <c r="CP10" i="5"/>
  <c r="CP9" i="5"/>
  <c r="CP8" i="5"/>
  <c r="CP7" i="5"/>
  <c r="CP6" i="5"/>
  <c r="CM28" i="5"/>
  <c r="CM27" i="5"/>
  <c r="CM26" i="5"/>
  <c r="CM25" i="5"/>
  <c r="CM24" i="5"/>
  <c r="CM22" i="5"/>
  <c r="CM21" i="5"/>
  <c r="CM20" i="5"/>
  <c r="CM19" i="5"/>
  <c r="CM18" i="5"/>
  <c r="CM16" i="5"/>
  <c r="CM15" i="5"/>
  <c r="CM14" i="5"/>
  <c r="CM13" i="5"/>
  <c r="CM12" i="5"/>
  <c r="CM10" i="5"/>
  <c r="CM9" i="5"/>
  <c r="CM8" i="5"/>
  <c r="CM7" i="5"/>
  <c r="CM6" i="5"/>
  <c r="CJ28" i="5"/>
  <c r="CJ27" i="5"/>
  <c r="CJ26" i="5"/>
  <c r="CJ25" i="5"/>
  <c r="CJ24" i="5"/>
  <c r="CJ22" i="5"/>
  <c r="CJ21" i="5"/>
  <c r="CJ20" i="5"/>
  <c r="CJ19" i="5"/>
  <c r="CJ18" i="5"/>
  <c r="CJ16" i="5"/>
  <c r="CJ15" i="5"/>
  <c r="CJ14" i="5"/>
  <c r="CJ13" i="5"/>
  <c r="CJ12" i="5"/>
  <c r="CJ10" i="5"/>
  <c r="CJ9" i="5"/>
  <c r="CJ8" i="5"/>
  <c r="CJ7" i="5"/>
  <c r="CJ6" i="5"/>
  <c r="CG28" i="5"/>
  <c r="CG27" i="5"/>
  <c r="CG26" i="5"/>
  <c r="CG25" i="5"/>
  <c r="CG24" i="5"/>
  <c r="CG22" i="5"/>
  <c r="CG21" i="5"/>
  <c r="CG20" i="5"/>
  <c r="CG19" i="5"/>
  <c r="CG18" i="5"/>
  <c r="CG16" i="5"/>
  <c r="CG15" i="5"/>
  <c r="CG14" i="5"/>
  <c r="CG13" i="5"/>
  <c r="CG12" i="5"/>
  <c r="CG10" i="5"/>
  <c r="CG9" i="5"/>
  <c r="CG8" i="5"/>
  <c r="CG7" i="5"/>
  <c r="CG6" i="5"/>
  <c r="CD28" i="5"/>
  <c r="CD27" i="5"/>
  <c r="CD26" i="5"/>
  <c r="CD25" i="5"/>
  <c r="CD24" i="5"/>
  <c r="CD22" i="5"/>
  <c r="CD21" i="5"/>
  <c r="CD20" i="5"/>
  <c r="CD19" i="5"/>
  <c r="CD18" i="5"/>
  <c r="CD16" i="5"/>
  <c r="CD15" i="5"/>
  <c r="CD14" i="5"/>
  <c r="CD13" i="5"/>
  <c r="CD12" i="5"/>
  <c r="CD10" i="5"/>
  <c r="CD9" i="5"/>
  <c r="CD8" i="5"/>
  <c r="CD7" i="5"/>
  <c r="CD6" i="5"/>
  <c r="CA28" i="5"/>
  <c r="CA27" i="5"/>
  <c r="CA26" i="5"/>
  <c r="CA25" i="5"/>
  <c r="CA24" i="5"/>
  <c r="CA22" i="5"/>
  <c r="CA21" i="5"/>
  <c r="CA20" i="5"/>
  <c r="CA19" i="5"/>
  <c r="CA18" i="5"/>
  <c r="CA16" i="5"/>
  <c r="CA15" i="5"/>
  <c r="CA14" i="5"/>
  <c r="CA13" i="5"/>
  <c r="CA12" i="5"/>
  <c r="CA10" i="5"/>
  <c r="CA9" i="5"/>
  <c r="CA8" i="5"/>
  <c r="CA7" i="5"/>
  <c r="CA6" i="5"/>
  <c r="BX28" i="5"/>
  <c r="BX27" i="5"/>
  <c r="BX26" i="5"/>
  <c r="BX25" i="5"/>
  <c r="BX24" i="5"/>
  <c r="BX22" i="5"/>
  <c r="BX21" i="5"/>
  <c r="BX20" i="5"/>
  <c r="BX19" i="5"/>
  <c r="BX18" i="5"/>
  <c r="BX16" i="5"/>
  <c r="BX15" i="5"/>
  <c r="BX14" i="5"/>
  <c r="BX13" i="5"/>
  <c r="BX12" i="5"/>
  <c r="BX10" i="5"/>
  <c r="BX9" i="5"/>
  <c r="BX8" i="5"/>
  <c r="BX7" i="5"/>
  <c r="BX6" i="5"/>
  <c r="BU28" i="5"/>
  <c r="BU27" i="5"/>
  <c r="BU26" i="5"/>
  <c r="BU25" i="5"/>
  <c r="BU24" i="5"/>
  <c r="BU22" i="5"/>
  <c r="BU21" i="5"/>
  <c r="BU20" i="5"/>
  <c r="BU19" i="5"/>
  <c r="BU18" i="5"/>
  <c r="BU16" i="5"/>
  <c r="BU15" i="5"/>
  <c r="BU14" i="5"/>
  <c r="BU13" i="5"/>
  <c r="BU12" i="5"/>
  <c r="BU10" i="5"/>
  <c r="BU9" i="5"/>
  <c r="BU8" i="5"/>
  <c r="BU7" i="5"/>
  <c r="BU6" i="5"/>
  <c r="BR28" i="5"/>
  <c r="BR27" i="5"/>
  <c r="BR26" i="5"/>
  <c r="BR25" i="5"/>
  <c r="BR24" i="5"/>
  <c r="BR22" i="5"/>
  <c r="BR21" i="5"/>
  <c r="BR20" i="5"/>
  <c r="BR19" i="5"/>
  <c r="BR18" i="5"/>
  <c r="BR16" i="5"/>
  <c r="BR15" i="5"/>
  <c r="BR14" i="5"/>
  <c r="BR13" i="5"/>
  <c r="BR12" i="5"/>
  <c r="BR10" i="5"/>
  <c r="BR9" i="5"/>
  <c r="BR8" i="5"/>
  <c r="BR7" i="5"/>
  <c r="BR6" i="5"/>
  <c r="BO28" i="5"/>
  <c r="BO27" i="5"/>
  <c r="BO26" i="5"/>
  <c r="BO25" i="5"/>
  <c r="BO24" i="5"/>
  <c r="BO22" i="5"/>
  <c r="BO21" i="5"/>
  <c r="BO20" i="5"/>
  <c r="BO19" i="5"/>
  <c r="BO18" i="5"/>
  <c r="BO16" i="5"/>
  <c r="BO15" i="5"/>
  <c r="BO14" i="5"/>
  <c r="BO13" i="5"/>
  <c r="BO12" i="5"/>
  <c r="BO10" i="5"/>
  <c r="BO9" i="5"/>
  <c r="BO8" i="5"/>
  <c r="BO7" i="5"/>
  <c r="BO6" i="5"/>
  <c r="BL28" i="5"/>
  <c r="BL27" i="5"/>
  <c r="BL26" i="5"/>
  <c r="BL25" i="5"/>
  <c r="BL24" i="5"/>
  <c r="BL22" i="5"/>
  <c r="BL21" i="5"/>
  <c r="BL20" i="5"/>
  <c r="BL19" i="5"/>
  <c r="BL18" i="5"/>
  <c r="BL16" i="5"/>
  <c r="BL15" i="5"/>
  <c r="BL14" i="5"/>
  <c r="BL13" i="5"/>
  <c r="BL12" i="5"/>
  <c r="BL10" i="5"/>
  <c r="BL9" i="5"/>
  <c r="BL8" i="5"/>
  <c r="BL7" i="5"/>
  <c r="BL6" i="5"/>
  <c r="BI28" i="5"/>
  <c r="BI27" i="5"/>
  <c r="BI26" i="5"/>
  <c r="BI25" i="5"/>
  <c r="BI24" i="5"/>
  <c r="BI22" i="5"/>
  <c r="BI21" i="5"/>
  <c r="BI20" i="5"/>
  <c r="BI19" i="5"/>
  <c r="BI18" i="5"/>
  <c r="BI16" i="5"/>
  <c r="BI15" i="5"/>
  <c r="BI14" i="5"/>
  <c r="BI13" i="5"/>
  <c r="BI12" i="5"/>
  <c r="BI10" i="5"/>
  <c r="BI9" i="5"/>
  <c r="BI8" i="5"/>
  <c r="BI7" i="5"/>
  <c r="BI6" i="5"/>
  <c r="BF28" i="5"/>
  <c r="BF27" i="5"/>
  <c r="BF26" i="5"/>
  <c r="BF25" i="5"/>
  <c r="BF24" i="5"/>
  <c r="BF22" i="5"/>
  <c r="BF21" i="5"/>
  <c r="BF20" i="5"/>
  <c r="BF19" i="5"/>
  <c r="BF18" i="5"/>
  <c r="BF16" i="5"/>
  <c r="BF15" i="5"/>
  <c r="BF14" i="5"/>
  <c r="BF13" i="5"/>
  <c r="BF12" i="5"/>
  <c r="BF10" i="5"/>
  <c r="BF9" i="5"/>
  <c r="BF8" i="5"/>
  <c r="BF7" i="5"/>
  <c r="BF6" i="5"/>
  <c r="BC28" i="5"/>
  <c r="BC27" i="5"/>
  <c r="BC26" i="5"/>
  <c r="BC25" i="5"/>
  <c r="BC24" i="5"/>
  <c r="BC22" i="5"/>
  <c r="BC21" i="5"/>
  <c r="BC20" i="5"/>
  <c r="BC19" i="5"/>
  <c r="BC18" i="5"/>
  <c r="BC16" i="5"/>
  <c r="BC15" i="5"/>
  <c r="BC14" i="5"/>
  <c r="BC13" i="5"/>
  <c r="BC12" i="5"/>
  <c r="BC10" i="5"/>
  <c r="BC9" i="5"/>
  <c r="BC8" i="5"/>
  <c r="BC7" i="5"/>
  <c r="BC6" i="5"/>
  <c r="AZ28" i="5"/>
  <c r="AZ27" i="5"/>
  <c r="AZ26" i="5"/>
  <c r="AZ25" i="5"/>
  <c r="AZ24" i="5"/>
  <c r="AZ22" i="5"/>
  <c r="AZ21" i="5"/>
  <c r="AZ20" i="5"/>
  <c r="AZ19" i="5"/>
  <c r="AZ18" i="5"/>
  <c r="AZ16" i="5"/>
  <c r="AZ15" i="5"/>
  <c r="AZ14" i="5"/>
  <c r="AZ13" i="5"/>
  <c r="AZ12" i="5"/>
  <c r="AZ10" i="5"/>
  <c r="AZ9" i="5"/>
  <c r="AZ8" i="5"/>
  <c r="AZ7" i="5"/>
  <c r="AZ6" i="5"/>
  <c r="AW28" i="5"/>
  <c r="AW27" i="5"/>
  <c r="AW26" i="5"/>
  <c r="AW25" i="5"/>
  <c r="AW24" i="5"/>
  <c r="AW22" i="5"/>
  <c r="AW21" i="5"/>
  <c r="AW20" i="5"/>
  <c r="AW19" i="5"/>
  <c r="AW18" i="5"/>
  <c r="AW16" i="5"/>
  <c r="AW15" i="5"/>
  <c r="AW14" i="5"/>
  <c r="AW13" i="5"/>
  <c r="AW12" i="5"/>
  <c r="AW10" i="5"/>
  <c r="AW9" i="5"/>
  <c r="AW8" i="5"/>
  <c r="AW7" i="5"/>
  <c r="AW6" i="5"/>
  <c r="AT28" i="5"/>
  <c r="AT27" i="5"/>
  <c r="AT26" i="5"/>
  <c r="AT25" i="5"/>
  <c r="AT24" i="5"/>
  <c r="AT22" i="5"/>
  <c r="AT21" i="5"/>
  <c r="AT20" i="5"/>
  <c r="AT19" i="5"/>
  <c r="AT18" i="5"/>
  <c r="AT16" i="5"/>
  <c r="AT15" i="5"/>
  <c r="AT14" i="5"/>
  <c r="AT13" i="5"/>
  <c r="AT12" i="5"/>
  <c r="AT10" i="5"/>
  <c r="AT9" i="5"/>
  <c r="AT8" i="5"/>
  <c r="AT7" i="5"/>
  <c r="AT6" i="5"/>
  <c r="AQ28" i="5"/>
  <c r="AQ27" i="5"/>
  <c r="AQ26" i="5"/>
  <c r="AQ25" i="5"/>
  <c r="AQ24" i="5"/>
  <c r="AQ22" i="5"/>
  <c r="AQ21" i="5"/>
  <c r="AQ20" i="5"/>
  <c r="AQ19" i="5"/>
  <c r="AQ18" i="5"/>
  <c r="AQ16" i="5"/>
  <c r="AQ15" i="5"/>
  <c r="AQ14" i="5"/>
  <c r="AQ13" i="5"/>
  <c r="AQ12" i="5"/>
  <c r="AQ10" i="5"/>
  <c r="AQ9" i="5"/>
  <c r="AQ8" i="5"/>
  <c r="AQ7" i="5"/>
  <c r="AQ6" i="5"/>
  <c r="AN28" i="5"/>
  <c r="AN27" i="5"/>
  <c r="AN26" i="5"/>
  <c r="AN25" i="5"/>
  <c r="AN24" i="5"/>
  <c r="AN22" i="5"/>
  <c r="AN21" i="5"/>
  <c r="AN20" i="5"/>
  <c r="AN19" i="5"/>
  <c r="AN18" i="5"/>
  <c r="AN16" i="5"/>
  <c r="AN15" i="5"/>
  <c r="AN14" i="5"/>
  <c r="AN13" i="5"/>
  <c r="AN12" i="5"/>
  <c r="AN10" i="5"/>
  <c r="AN9" i="5"/>
  <c r="AN8" i="5"/>
  <c r="AN7" i="5"/>
  <c r="AN6" i="5"/>
  <c r="AK28" i="5"/>
  <c r="AK27" i="5"/>
  <c r="AK26" i="5"/>
  <c r="AK25" i="5"/>
  <c r="AK24" i="5"/>
  <c r="AK22" i="5"/>
  <c r="AK21" i="5"/>
  <c r="AK20" i="5"/>
  <c r="AK19" i="5"/>
  <c r="AK18" i="5"/>
  <c r="AK16" i="5"/>
  <c r="AK15" i="5"/>
  <c r="AK14" i="5"/>
  <c r="AK13" i="5"/>
  <c r="AK12" i="5"/>
  <c r="AK10" i="5"/>
  <c r="AK9" i="5"/>
  <c r="AK8" i="5"/>
  <c r="AK7" i="5"/>
  <c r="AK6" i="5"/>
  <c r="AH28" i="5"/>
  <c r="AH27" i="5"/>
  <c r="AH26" i="5"/>
  <c r="AH25" i="5"/>
  <c r="AH24" i="5"/>
  <c r="AH22" i="5"/>
  <c r="AH21" i="5"/>
  <c r="AH20" i="5"/>
  <c r="AH19" i="5"/>
  <c r="AH18" i="5"/>
  <c r="AH16" i="5"/>
  <c r="AH15" i="5"/>
  <c r="AH14" i="5"/>
  <c r="AH13" i="5"/>
  <c r="AH12" i="5"/>
  <c r="AH10" i="5"/>
  <c r="AH9" i="5"/>
  <c r="AH8" i="5"/>
  <c r="AH7" i="5"/>
  <c r="AH6" i="5"/>
  <c r="AE28" i="5"/>
  <c r="AE27" i="5"/>
  <c r="AE26" i="5"/>
  <c r="AE25" i="5"/>
  <c r="AE24" i="5"/>
  <c r="AE22" i="5"/>
  <c r="AE21" i="5"/>
  <c r="AE20" i="5"/>
  <c r="AE19" i="5"/>
  <c r="AE18" i="5"/>
  <c r="AE16" i="5"/>
  <c r="AE15" i="5"/>
  <c r="AE14" i="5"/>
  <c r="AE13" i="5"/>
  <c r="AE12" i="5"/>
  <c r="AE10" i="5"/>
  <c r="AE9" i="5"/>
  <c r="AE8" i="5"/>
  <c r="AE7" i="5"/>
  <c r="AE6" i="5"/>
  <c r="AB28" i="5"/>
  <c r="AB27" i="5"/>
  <c r="AB26" i="5"/>
  <c r="AB25" i="5"/>
  <c r="AB24" i="5"/>
  <c r="AB22" i="5"/>
  <c r="AB21" i="5"/>
  <c r="AB20" i="5"/>
  <c r="AB19" i="5"/>
  <c r="AB18" i="5"/>
  <c r="AB16" i="5"/>
  <c r="AB15" i="5"/>
  <c r="AB14" i="5"/>
  <c r="AB13" i="5"/>
  <c r="AB12" i="5"/>
  <c r="AB10" i="5"/>
  <c r="AB9" i="5"/>
  <c r="AB8" i="5"/>
  <c r="AB7" i="5"/>
  <c r="AB6" i="5"/>
  <c r="Y28" i="5"/>
  <c r="Y27" i="5"/>
  <c r="Y26" i="5"/>
  <c r="Y25" i="5"/>
  <c r="Y24" i="5"/>
  <c r="Y22" i="5"/>
  <c r="Y21" i="5"/>
  <c r="Y20" i="5"/>
  <c r="Y19" i="5"/>
  <c r="Y18" i="5"/>
  <c r="Y16" i="5"/>
  <c r="Y15" i="5"/>
  <c r="Y14" i="5"/>
  <c r="Y13" i="5"/>
  <c r="Y12" i="5"/>
  <c r="Y10" i="5"/>
  <c r="Y9" i="5"/>
  <c r="Y8" i="5"/>
  <c r="Y7" i="5"/>
  <c r="Y6" i="5"/>
  <c r="V28" i="5"/>
  <c r="V27" i="5"/>
  <c r="V26" i="5"/>
  <c r="V25" i="5"/>
  <c r="V24" i="5"/>
  <c r="V22" i="5"/>
  <c r="V21" i="5"/>
  <c r="V20" i="5"/>
  <c r="V19" i="5"/>
  <c r="V18" i="5"/>
  <c r="V16" i="5"/>
  <c r="V15" i="5"/>
  <c r="V14" i="5"/>
  <c r="V13" i="5"/>
  <c r="V12" i="5"/>
  <c r="V10" i="5"/>
  <c r="V9" i="5"/>
  <c r="V8" i="5"/>
  <c r="V7" i="5"/>
  <c r="V6" i="5"/>
  <c r="S28" i="5"/>
  <c r="S27" i="5"/>
  <c r="S26" i="5"/>
  <c r="S25" i="5"/>
  <c r="S24" i="5"/>
  <c r="S22" i="5"/>
  <c r="S21" i="5"/>
  <c r="S20" i="5"/>
  <c r="S19" i="5"/>
  <c r="S18" i="5"/>
  <c r="S16" i="5"/>
  <c r="S15" i="5"/>
  <c r="S14" i="5"/>
  <c r="S13" i="5"/>
  <c r="S12" i="5"/>
  <c r="S10" i="5"/>
  <c r="S9" i="5"/>
  <c r="S8" i="5"/>
  <c r="S7" i="5"/>
  <c r="S6" i="5"/>
  <c r="P28" i="5"/>
  <c r="P27" i="5"/>
  <c r="P26" i="5"/>
  <c r="P25" i="5"/>
  <c r="P24" i="5"/>
  <c r="P22" i="5"/>
  <c r="P21" i="5"/>
  <c r="P20" i="5"/>
  <c r="P19" i="5"/>
  <c r="P18" i="5"/>
  <c r="P16" i="5"/>
  <c r="P15" i="5"/>
  <c r="P14" i="5"/>
  <c r="P13" i="5"/>
  <c r="P12" i="5"/>
  <c r="P10" i="5"/>
  <c r="P9" i="5"/>
  <c r="P8" i="5"/>
  <c r="P7" i="5"/>
  <c r="P6" i="5"/>
  <c r="M28" i="5"/>
  <c r="M27" i="5"/>
  <c r="M26" i="5"/>
  <c r="M25" i="5"/>
  <c r="M24" i="5"/>
  <c r="M22" i="5"/>
  <c r="M21" i="5"/>
  <c r="M20" i="5"/>
  <c r="M19" i="5"/>
  <c r="M18" i="5"/>
  <c r="M16" i="5"/>
  <c r="M15" i="5"/>
  <c r="M14" i="5"/>
  <c r="M13" i="5"/>
  <c r="M12" i="5"/>
  <c r="M10" i="5"/>
  <c r="M9" i="5"/>
  <c r="M8" i="5"/>
  <c r="M7" i="5"/>
  <c r="M6" i="5"/>
  <c r="J28" i="5"/>
  <c r="J27" i="5"/>
  <c r="J26" i="5"/>
  <c r="J25" i="5"/>
  <c r="J24" i="5"/>
  <c r="J22" i="5"/>
  <c r="J21" i="5"/>
  <c r="J20" i="5"/>
  <c r="J19" i="5"/>
  <c r="J18" i="5"/>
  <c r="J16" i="5"/>
  <c r="J15" i="5"/>
  <c r="J14" i="5"/>
  <c r="J13" i="5"/>
  <c r="J12" i="5"/>
  <c r="J10" i="5"/>
  <c r="J9" i="5"/>
  <c r="J8" i="5"/>
  <c r="J7" i="5"/>
  <c r="J6" i="5"/>
  <c r="G6" i="5" l="1"/>
  <c r="G7" i="5"/>
  <c r="G8" i="5"/>
  <c r="G9" i="5"/>
  <c r="G10" i="5"/>
  <c r="G12" i="5"/>
  <c r="G13" i="5"/>
  <c r="G14" i="5"/>
  <c r="G15" i="5"/>
  <c r="G16" i="5"/>
  <c r="G18" i="5"/>
  <c r="G19" i="5"/>
  <c r="G20" i="5"/>
  <c r="G21" i="5"/>
  <c r="G22" i="5"/>
  <c r="G24" i="5"/>
  <c r="G25" i="5"/>
  <c r="G26" i="5"/>
  <c r="G27" i="5"/>
  <c r="G28" i="5"/>
  <c r="D6" i="5" l="1"/>
  <c r="D27" i="5" l="1"/>
  <c r="D26" i="5"/>
  <c r="D25" i="5"/>
  <c r="D21" i="5"/>
  <c r="D15" i="5"/>
  <c r="D9" i="5"/>
  <c r="D28" i="5" l="1"/>
  <c r="D24" i="5"/>
  <c r="D22" i="5"/>
  <c r="D20" i="5"/>
  <c r="D19" i="5"/>
  <c r="D18" i="5"/>
  <c r="D16" i="5"/>
  <c r="D14" i="5"/>
  <c r="D13" i="5"/>
  <c r="D12" i="5"/>
  <c r="D10" i="5"/>
  <c r="D8" i="5"/>
  <c r="D7" i="5"/>
</calcChain>
</file>

<file path=xl/sharedStrings.xml><?xml version="1.0" encoding="utf-8"?>
<sst xmlns="http://schemas.openxmlformats.org/spreadsheetml/2006/main" count="764" uniqueCount="299">
  <si>
    <t>Date of Report:</t>
  </si>
  <si>
    <t>Name:</t>
  </si>
  <si>
    <t>Address:</t>
  </si>
  <si>
    <t>District/Charter School Name:</t>
  </si>
  <si>
    <t>Grade</t>
  </si>
  <si>
    <t xml:space="preserve">Summarize practices currently used in district schools that will lead to all students reading well by third grade </t>
  </si>
  <si>
    <t>District Number:</t>
  </si>
  <si>
    <t>City:</t>
  </si>
  <si>
    <t>Oral Fluency</t>
  </si>
  <si>
    <t>Criteria for Determining 'at or above grade level'</t>
  </si>
  <si>
    <t>Blending/Segmenting</t>
  </si>
  <si>
    <t>Letter Sounds</t>
  </si>
  <si>
    <t>School Number</t>
  </si>
  <si>
    <t>School Name</t>
  </si>
  <si>
    <t>Reading Well by Third Grade</t>
  </si>
  <si>
    <t>Kindergarten</t>
  </si>
  <si>
    <t>Grade 1</t>
  </si>
  <si>
    <t>Grade 2</t>
  </si>
  <si>
    <t>Grade 3</t>
  </si>
  <si>
    <t>Identify screening measures used for determining grade level reading proficiency.</t>
  </si>
  <si>
    <t>District Summary</t>
  </si>
  <si>
    <t>Number</t>
  </si>
  <si>
    <t>Date Measure Administered</t>
  </si>
  <si>
    <t>Decodable Words</t>
  </si>
  <si>
    <t>Vocabulary</t>
  </si>
  <si>
    <t>Comprehension</t>
  </si>
  <si>
    <t>Oral Language</t>
  </si>
  <si>
    <t>District Information and Literacy Measures</t>
  </si>
  <si>
    <t>Step</t>
  </si>
  <si>
    <t>District Number must be a 4-digit number. Include leading 0s.</t>
  </si>
  <si>
    <t>01</t>
  </si>
  <si>
    <t>03</t>
  </si>
  <si>
    <t>06</t>
  </si>
  <si>
    <t>07</t>
  </si>
  <si>
    <t>61</t>
  </si>
  <si>
    <t>62</t>
  </si>
  <si>
    <t>70</t>
  </si>
  <si>
    <t>District Information &amp; Measures Worksheet</t>
  </si>
  <si>
    <t xml:space="preserve">For each grade served in a school, enter the total number of students assessed on each of the measures identified on the District Information &amp; Measures worksheet. </t>
  </si>
  <si>
    <t>Phone:</t>
  </si>
  <si>
    <t>Title:</t>
  </si>
  <si>
    <t>List all district schools serving students in grades K - 3 and the MARSS enrollment for each grade served.</t>
  </si>
  <si>
    <t>For each literacy measure to be included in this data submission,</t>
  </si>
  <si>
    <t>General Information:</t>
  </si>
  <si>
    <t>Action to be Completed</t>
  </si>
  <si>
    <t>January</t>
  </si>
  <si>
    <t>February</t>
  </si>
  <si>
    <t>March</t>
  </si>
  <si>
    <t>April</t>
  </si>
  <si>
    <t>May</t>
  </si>
  <si>
    <t>June</t>
  </si>
  <si>
    <t>July</t>
  </si>
  <si>
    <t>August</t>
  </si>
  <si>
    <t>September</t>
  </si>
  <si>
    <t>October</t>
  </si>
  <si>
    <t>November</t>
  </si>
  <si>
    <t>December</t>
  </si>
  <si>
    <t>Enrollment should reflect MARSS enrollment count during window when reported literacy measures were administered to students.</t>
  </si>
  <si>
    <t>If less than the enrollment, MDE is expecting some number within 90% or more of the enrollment.</t>
  </si>
  <si>
    <t>If information on a literacy measure was entered on the District Information &amp; Measures worksheet, MDE is expecting data on that measure for every school in the district serving the grade level the measure is administered in.</t>
  </si>
  <si>
    <t xml:space="preserve">If the district did not measure a specific literacy skill for a grade level, do not enter any information in the row for that measure for any of the schools. </t>
  </si>
  <si>
    <t>If less than 90% of the enrollment, please provide a brief explanation in the Further Notes worksheet to help MDE interpret the results.</t>
  </si>
  <si>
    <r>
      <t xml:space="preserve">Other Information Impacting Reported Data To Inform MDE </t>
    </r>
    <r>
      <rPr>
        <b/>
        <sz val="9"/>
        <color rgb="FFFF0000"/>
        <rFont val="Calibri"/>
        <family val="2"/>
        <scheme val="minor"/>
      </rPr>
      <t>(optional; please use if there are extenuating circumstances with data)</t>
    </r>
  </si>
  <si>
    <t>Saving File with District Information</t>
  </si>
  <si>
    <t>Literacy Data Worksheet</t>
  </si>
  <si>
    <t>Further Notes Worksheet</t>
  </si>
  <si>
    <t>Number Assessed</t>
  </si>
  <si>
    <t>Number 'at or above grade level'</t>
  </si>
  <si>
    <t>Count of Students 'at or above grade level' and Count of Students Assessed</t>
  </si>
  <si>
    <t>Name of Measure</t>
  </si>
  <si>
    <t>Date Administered</t>
  </si>
  <si>
    <t>Fall</t>
  </si>
  <si>
    <t>Winter</t>
  </si>
  <si>
    <t>Assessment Data Submission 2013</t>
  </si>
  <si>
    <t>Kindergarten Other 2</t>
  </si>
  <si>
    <t>Grade 1 Other 1</t>
  </si>
  <si>
    <t>Grade 1 Other 2</t>
  </si>
  <si>
    <t>Grade 2 Other 1</t>
  </si>
  <si>
    <t>Grade 2 Other 2</t>
  </si>
  <si>
    <t>Grade 3 Other 1</t>
  </si>
  <si>
    <t>Grade 3 Other 2</t>
  </si>
  <si>
    <t>Kindergarten Other 1</t>
  </si>
  <si>
    <t>SCRED</t>
  </si>
  <si>
    <t>AIMSWeb -Letter Sound Fluency (LSF)</t>
  </si>
  <si>
    <t>Spring</t>
  </si>
  <si>
    <t>Developmental Reading Assessment (DRA)</t>
  </si>
  <si>
    <t>DIBELS - Initial Sound Fluency (ISF)</t>
  </si>
  <si>
    <t>6th edition</t>
  </si>
  <si>
    <t>AIMSWeb - Phoneme Segmentation Fluency (PSF)</t>
  </si>
  <si>
    <t>DIBELS - Phoneme Segmentation Fluency (PSF)</t>
  </si>
  <si>
    <t>First Grade</t>
  </si>
  <si>
    <t>AIMSWeb - Nonsense Word Fluency (NWF)</t>
  </si>
  <si>
    <t>DIBELS - Nonsense Word Fluency (NWF) CLS</t>
  </si>
  <si>
    <t>Second Grade</t>
  </si>
  <si>
    <t>AIMSWeb R-CBM</t>
  </si>
  <si>
    <t>DIBELS - Oral Reading Fluency (ORF)</t>
  </si>
  <si>
    <t>Third Grade</t>
  </si>
  <si>
    <t>DIBSELS - Oral Reading Fluency (ORF)</t>
  </si>
  <si>
    <t>All Year</t>
  </si>
  <si>
    <t>Letter Sound</t>
  </si>
  <si>
    <t>Type of Measure</t>
  </si>
  <si>
    <t>Decodable Word</t>
  </si>
  <si>
    <t>High Frequency Words</t>
  </si>
  <si>
    <t>School # 1</t>
  </si>
  <si>
    <t>School # 2</t>
  </si>
  <si>
    <t>School # 3</t>
  </si>
  <si>
    <t>School # 4</t>
  </si>
  <si>
    <t>School # 5</t>
  </si>
  <si>
    <t>School # 6</t>
  </si>
  <si>
    <t>School # 7</t>
  </si>
  <si>
    <t>School # 8</t>
  </si>
  <si>
    <t>School # 9</t>
  </si>
  <si>
    <t>School # 10</t>
  </si>
  <si>
    <t>School # 11</t>
  </si>
  <si>
    <t>School # 12</t>
  </si>
  <si>
    <t>School # 13</t>
  </si>
  <si>
    <t>School # 14</t>
  </si>
  <si>
    <t>School # 15</t>
  </si>
  <si>
    <t>School # 16</t>
  </si>
  <si>
    <t>School # 17</t>
  </si>
  <si>
    <t>School # 18</t>
  </si>
  <si>
    <t>School # 19</t>
  </si>
  <si>
    <t>School # 20</t>
  </si>
  <si>
    <t>School # 21</t>
  </si>
  <si>
    <t>School # 22</t>
  </si>
  <si>
    <t>School # 23</t>
  </si>
  <si>
    <t>School # 24</t>
  </si>
  <si>
    <t>School # 25</t>
  </si>
  <si>
    <t>School # 26</t>
  </si>
  <si>
    <t>School # 27</t>
  </si>
  <si>
    <t>School # 28</t>
  </si>
  <si>
    <t>School # 29</t>
  </si>
  <si>
    <t>School # 30</t>
  </si>
  <si>
    <t>School # 31</t>
  </si>
  <si>
    <t>School # 32</t>
  </si>
  <si>
    <t>School # 33</t>
  </si>
  <si>
    <t>School # 34</t>
  </si>
  <si>
    <t>School # 35</t>
  </si>
  <si>
    <t>School # 36</t>
  </si>
  <si>
    <t>School # 37</t>
  </si>
  <si>
    <t>School # 38</t>
  </si>
  <si>
    <t>School # 39</t>
  </si>
  <si>
    <t>School # 40</t>
  </si>
  <si>
    <t>School # 41</t>
  </si>
  <si>
    <t>School # 42</t>
  </si>
  <si>
    <t>School # 43</t>
  </si>
  <si>
    <t>School # 44</t>
  </si>
  <si>
    <t>School # 45</t>
  </si>
  <si>
    <t>School # 46</t>
  </si>
  <si>
    <t>School # 47</t>
  </si>
  <si>
    <t>School # 48</t>
  </si>
  <si>
    <t>School # 49</t>
  </si>
  <si>
    <t>School # 50</t>
  </si>
  <si>
    <t>School # 51</t>
  </si>
  <si>
    <t>School # 52</t>
  </si>
  <si>
    <t>School # 53</t>
  </si>
  <si>
    <t>Link to Literacy Data worksheet</t>
  </si>
  <si>
    <t>Select</t>
  </si>
  <si>
    <t>District Type:</t>
  </si>
  <si>
    <t xml:space="preserve"> , 2013</t>
  </si>
  <si>
    <t>Zipcode:</t>
  </si>
  <si>
    <t xml:space="preserve"> , MN</t>
  </si>
  <si>
    <t xml:space="preserve">List all district elementary schools serving grades K - 3 and MARSS grade enrollment at time literacy data is gathered: </t>
  </si>
  <si>
    <t>School Number Count</t>
  </si>
  <si>
    <t>Name of Measure Used</t>
  </si>
  <si>
    <t>Additional Comments or Information About School</t>
  </si>
  <si>
    <r>
      <rPr>
        <b/>
        <sz val="14"/>
        <color theme="1"/>
        <rFont val="Calibri"/>
        <family val="2"/>
        <scheme val="minor"/>
      </rPr>
      <t>Enrollment</t>
    </r>
    <r>
      <rPr>
        <b/>
        <sz val="11"/>
        <color theme="1"/>
        <rFont val="Calibri"/>
        <family val="2"/>
        <scheme val="minor"/>
      </rPr>
      <t xml:space="preserve"> 
</t>
    </r>
    <r>
      <rPr>
        <b/>
        <sz val="9"/>
        <color rgb="FFFF0000"/>
        <rFont val="Calibri"/>
        <family val="2"/>
        <scheme val="minor"/>
      </rPr>
      <t>(during administration of reported literacy measures)</t>
    </r>
  </si>
  <si>
    <t>Segmenting/ Blending</t>
  </si>
  <si>
    <t>Potential Criteria Values for Frequently Used Commercial Literacy Measures</t>
  </si>
  <si>
    <t>Complete information in yellow cells of each of the following worksheets:</t>
  </si>
  <si>
    <t>District Type will be selected from a dropdown list.</t>
  </si>
  <si>
    <t>if measure was locally developed</t>
  </si>
  <si>
    <t>If typing in the name of a measure, please include date or edition of measure as well as name of subscore being used when appropriate.</t>
  </si>
  <si>
    <t>Add any additional comments or information specific to a school that may impact data validity when data is rolled up to district level.</t>
  </si>
  <si>
    <t>Please include both cut score (e.g., number) and type of metric (i.e., words per minute or scale score or national norm).</t>
  </si>
  <si>
    <r>
      <t xml:space="preserve">Do a 'Save As' of this file inserting your </t>
    </r>
    <r>
      <rPr>
        <b/>
        <i/>
        <sz val="12"/>
        <color rgb="FF006600"/>
        <rFont val="Calibri"/>
        <family val="2"/>
        <scheme val="minor"/>
      </rPr>
      <t xml:space="preserve">DistrictName_Number (4 digits)_Type (2 digits) </t>
    </r>
    <r>
      <rPr>
        <b/>
        <sz val="12"/>
        <color rgb="FF006600"/>
        <rFont val="Calibri"/>
        <family val="2"/>
        <scheme val="minor"/>
      </rPr>
      <t>in the file name replacing DistrictName_Number_Type in the current file name.</t>
    </r>
  </si>
  <si>
    <t>Note: School names will automatically be populated if entered on the District Information &amp; Measures worksheet. The schools will appear in the same order as listed previously.</t>
  </si>
  <si>
    <t>Note: The name of literacy measures will automatically be entered on worksheet when entered on District Information &amp; Measures worksheet.</t>
  </si>
  <si>
    <t>If a '0' appears in 'Name of Measure' column, MDE assumes the district did not use the grade level measure and will not include information for the row during the data collection process.</t>
  </si>
  <si>
    <t>Explanation of Measure If Locally Developed or If Not Using Expected Norms</t>
  </si>
  <si>
    <t>If district analysis of multiple years of data was completed to determine alternative 'at or above grade level' criteria, please provide data years used for adjusting district criteria.</t>
  </si>
  <si>
    <t xml:space="preserve">The 'Total Number Assessed' should reflect a number less than or equal to the grade enrollment listed on the District Information &amp; Measures worksheet. </t>
  </si>
  <si>
    <t>Use only number of rows needed for number of schools in district.</t>
  </si>
  <si>
    <t>Enrollment numbers are limited to a whole number between 0 and 500. If enrollment is 500 or greater, please contact MDE.</t>
  </si>
  <si>
    <t>Include area code in phone number.</t>
  </si>
  <si>
    <t>District name should be same as name used by MDE.</t>
  </si>
  <si>
    <t>Complete the district information: Name, Number, and Type.</t>
  </si>
  <si>
    <t>Formative Assessment System for Teachers (FAST) - ERA</t>
  </si>
  <si>
    <t>Marie Clay Observational Survey</t>
  </si>
  <si>
    <t>Abecedarian Segmenting/Blending</t>
  </si>
  <si>
    <t>Fountas and Pinnell</t>
  </si>
  <si>
    <t>Jerry Johns Word Lists</t>
  </si>
  <si>
    <t>Yopp-Singer</t>
  </si>
  <si>
    <t>DOLCH</t>
  </si>
  <si>
    <t>FRY 200</t>
  </si>
  <si>
    <t>Developmental Reading Assessment 2 (DRA 2)</t>
  </si>
  <si>
    <t>Easy CBM</t>
  </si>
  <si>
    <t>Formative Assessment System for Teachers (FAST) CBMs</t>
  </si>
  <si>
    <t>Jerry Johns</t>
  </si>
  <si>
    <t>QRI</t>
  </si>
  <si>
    <t>Reading A to Z</t>
  </si>
  <si>
    <t>STAR</t>
  </si>
  <si>
    <t>Note: If a commercial measure is named and no further information is available in the table, MDE is working to find the correct technical information. Any district using the measures who have documented technical manuals for these measures may share the detailed information with MDE literacy staff.</t>
  </si>
  <si>
    <t>If one of these measures is listed as a tool used in a district, the expected Criteria for Determining 'at or above grade level' on the District Information &amp; Measures worksheet should show one of the norms listed below.</t>
  </si>
  <si>
    <t>8 sounds</t>
  </si>
  <si>
    <t>25 sounds</t>
  </si>
  <si>
    <t>24 words</t>
  </si>
  <si>
    <t>50 words</t>
  </si>
  <si>
    <t>90 wpm</t>
  </si>
  <si>
    <t>44 wpm</t>
  </si>
  <si>
    <t>68 wpm</t>
  </si>
  <si>
    <t>110 wpm</t>
  </si>
  <si>
    <t>77 wpm</t>
  </si>
  <si>
    <t>92 wpm</t>
  </si>
  <si>
    <t>109 wpm</t>
  </si>
  <si>
    <t>41 sounds</t>
  </si>
  <si>
    <t>DIBELS - Oral Reading Fluency (ORF), 6th edition</t>
  </si>
  <si>
    <t>Developmental Reading Assessment (DRA) - Letter Sounds</t>
  </si>
  <si>
    <t>Marie Clay Observational Survey - Letter Sounds</t>
  </si>
  <si>
    <t>Developmental Reading Assessment (DRA) - Segmenting/Blending</t>
  </si>
  <si>
    <t>Developmental Reading Assessment (DRA) - Oral Fluency</t>
  </si>
  <si>
    <t>Developmental Reading Assessment 2 (DRA 2) - Oral Fluency</t>
  </si>
  <si>
    <t>Easy CBM - Oral Fluency</t>
  </si>
  <si>
    <t>Formative Assessment System for Teachers (FAST) - ERA (Decodable Words)</t>
  </si>
  <si>
    <t>Formative Assessment System for Teachers (FAST) - ERA (Letter Sounds)</t>
  </si>
  <si>
    <t>Fountas and Pinnell - Segmenting/Blending</t>
  </si>
  <si>
    <t>Fountas and Pinnell - Oral Fluency</t>
  </si>
  <si>
    <t>Jerry Johns (Oral Fluency)</t>
  </si>
  <si>
    <t>QRI (Oral Fluency)</t>
  </si>
  <si>
    <t>STAR (Oral Fluency)</t>
  </si>
  <si>
    <t>Fountas and Pinnell - Vocabulary</t>
  </si>
  <si>
    <t>Blending/ Segmenting</t>
  </si>
  <si>
    <t>Person Responsible for Report and Contact Information</t>
  </si>
  <si>
    <t>Zipcode should be at least 5 digits. May include dash and 4 other digit zipcode information.</t>
  </si>
  <si>
    <t>a.</t>
  </si>
  <si>
    <t>b.</t>
  </si>
  <si>
    <t>c.</t>
  </si>
  <si>
    <t>d.</t>
  </si>
  <si>
    <t>Criteria Options Worksheet</t>
  </si>
  <si>
    <t>Enter at least one measure for each grade level.</t>
  </si>
  <si>
    <t>The data collection process assumes the district is reporting data from all schools that was collected in the same time period (fall, winter, or spring) to allow summary of data across all schools in district. It is also implied that all schools are using the same measure of 'at or above grade level'.</t>
  </si>
  <si>
    <t>As the data is entered, the worksheet will automatically calculate the percentage for each school as well as automatically complete the district summary information.</t>
  </si>
  <si>
    <t>Individual Growth and Development Indicators (IGDI)</t>
  </si>
  <si>
    <t>Oral Language Acquisition Inventory 2 (OLAI)</t>
  </si>
  <si>
    <t>Peabody Picture Vocabulary Test - 4</t>
  </si>
  <si>
    <t>The Test of Preschool Early Literacy (TOPEL)</t>
  </si>
  <si>
    <t>Teacher Rating of Oral Language Learning (TROLL)</t>
  </si>
  <si>
    <t>Mondo Bookshop Oral Language Assessment</t>
  </si>
  <si>
    <t>The following list of commercial literacy measures provides expected 'at or above grade level' indictors of student performance for common administration periods.</t>
  </si>
  <si>
    <t>The list is limited, and includes the research-based types of measures regularly used by Minnesota schools.It does not include the potential list of 'Other' measures that might currently be used by districts in Minnesota. The list is not exhaustive and will be revised each year as more measures are brought to the attention of MDE.</t>
  </si>
  <si>
    <r>
      <t>The list should be used by districts as a guide of accepted measures for each of the research-based types of measures. In the 2012 Reading Well by 3</t>
    </r>
    <r>
      <rPr>
        <vertAlign val="superscript"/>
        <sz val="11"/>
        <color theme="1"/>
        <rFont val="Calibri"/>
        <family val="2"/>
        <scheme val="minor"/>
      </rPr>
      <t>rd</t>
    </r>
    <r>
      <rPr>
        <sz val="11"/>
        <color theme="1"/>
        <rFont val="Calibri"/>
        <family val="2"/>
        <scheme val="minor"/>
      </rPr>
      <t xml:space="preserve"> Grade, a variety of measures were misclassified. The State Literacy Team has reviewed all the submitted measures and identified the following as tools that measure one of the three research-based types of literacy measures at each grade level. See the PK-3 Assessment Information guidance document on the Reading Well by 3</t>
    </r>
    <r>
      <rPr>
        <vertAlign val="superscript"/>
        <sz val="11"/>
        <color theme="1"/>
        <rFont val="Calibri"/>
        <family val="2"/>
        <scheme val="minor"/>
      </rPr>
      <t xml:space="preserve">rd </t>
    </r>
    <r>
      <rPr>
        <sz val="11"/>
        <color theme="1"/>
        <rFont val="Calibri"/>
        <family val="2"/>
        <scheme val="minor"/>
      </rPr>
      <t>Grade webpage for more information.</t>
    </r>
  </si>
  <si>
    <r>
      <rPr>
        <b/>
        <sz val="12"/>
        <color theme="1"/>
        <rFont val="Calibri"/>
        <family val="2"/>
        <scheme val="minor"/>
      </rPr>
      <t>MDE does not advocate the use of any of the commercial literacy measures included in this list</t>
    </r>
    <r>
      <rPr>
        <sz val="11"/>
        <color theme="1"/>
        <rFont val="Calibri"/>
        <family val="2"/>
        <scheme val="minor"/>
      </rPr>
      <t>, but simply lists the appropriate measures for each type of literacy measure found in the Reading Well by 3rd Grade data submissions. It reflects what is currently being used in Minnesota districts at this time.</t>
    </r>
  </si>
  <si>
    <t>If a district is using a different 'at or above grade level' score, the alternative score should be reported in the Criteria column. Information on how that score was determined should be briefly described in Explanation of Measure column on the right side of the table on the District Information &amp; Measures worksheet.</t>
  </si>
  <si>
    <t>28 sounds/minute</t>
  </si>
  <si>
    <t>39 sounds/minute</t>
  </si>
  <si>
    <t>29 sounds/minute</t>
  </si>
  <si>
    <t>46 sounds/minute</t>
  </si>
  <si>
    <t>DOLCH 2nd Grade Word List</t>
  </si>
  <si>
    <t>50 sounds/minute</t>
  </si>
  <si>
    <t>39 words/minute</t>
  </si>
  <si>
    <t>61 words/minute</t>
  </si>
  <si>
    <t>75 words/minute</t>
  </si>
  <si>
    <t>National Norms/Benchmark</t>
  </si>
  <si>
    <t>Measures Norm Year/Edition</t>
  </si>
  <si>
    <t>DIBELS NEXT - First Sound Fluency (FSF)</t>
  </si>
  <si>
    <t>DIBELS NEXT - Phoneme Segemntation Fluency (PSF)</t>
  </si>
  <si>
    <t>DIBELS NEXT - Nonsense Word Fluency (NWF)</t>
  </si>
  <si>
    <t>DIBELS NEXT - Oral Reading Fluency (DORF)</t>
  </si>
  <si>
    <t>DIBELS NEXT - DAZE</t>
  </si>
  <si>
    <t>18 sounds</t>
  </si>
  <si>
    <t>35 sounds</t>
  </si>
  <si>
    <t>AIMSWeb - R-CBM</t>
  </si>
  <si>
    <t>AIMSWeb - MAZE</t>
  </si>
  <si>
    <t xml:space="preserve">Directions for Accurately Completing </t>
  </si>
  <si>
    <t>There are multiple steps to this data submission. Please read all directions carefully and follow the steps outlined below to complete your submission.</t>
  </si>
  <si>
    <t>Technical Assistance: Kat Edwards: katherine.edwards@state.mn.us</t>
  </si>
  <si>
    <t>Content Assistance: Kari Ross: kari.ross@state.mn.us</t>
  </si>
  <si>
    <t>District number and type listed in file name MUST correspond with district number and name listed on District Information &amp; Measures worksheet. Leading zeros are included in the numbers if appropriate.</t>
  </si>
  <si>
    <t>District Information &amp; Measures (Second Sheet)</t>
  </si>
  <si>
    <t>Literacy Data (Third Sheet)</t>
  </si>
  <si>
    <t>Select month and day of submission from drop down menu.</t>
  </si>
  <si>
    <t>Complete ALL requested information for person responsible for the information in this form.</t>
  </si>
  <si>
    <t>If reporting one of the common research based measures, select the measure's name from the dropdown list</t>
  </si>
  <si>
    <t>OR</t>
  </si>
  <si>
    <t>If not applicable, enter the name of measure in one of the two available 'Other' categories</t>
  </si>
  <si>
    <r>
      <t xml:space="preserve">Note: Types of Measures listed in blue are representative of commonly used assessments based on review of research literature and may be a subscore within a larger commercial or standardized assessment. </t>
    </r>
    <r>
      <rPr>
        <b/>
        <i/>
        <sz val="14"/>
        <color rgb="FF0070C0"/>
        <rFont val="Calibri"/>
        <family val="2"/>
        <scheme val="minor"/>
      </rPr>
      <t xml:space="preserve">Districts are not required to include these measures, but are encouraged to provide if available. </t>
    </r>
    <r>
      <rPr>
        <i/>
        <sz val="12"/>
        <color rgb="FF0070C0"/>
        <rFont val="Calibri"/>
        <family val="2"/>
        <scheme val="minor"/>
      </rPr>
      <t>At this time, these measures are being limited to dropdown lists to help guide districts and improve data collection.</t>
    </r>
  </si>
  <si>
    <r>
      <t xml:space="preserve">Reporting is limited to a total of five different measures for each grade level. </t>
    </r>
    <r>
      <rPr>
        <b/>
        <i/>
        <sz val="14"/>
        <color rgb="FFFF0000"/>
        <rFont val="Calibri"/>
        <family val="2"/>
        <scheme val="minor"/>
      </rPr>
      <t>It is not necessary to provide data for each measure, only report those that are reflected in Local Literacy Plan and provide evidence that the district has collected information to assess all students to measure reading proficiency.</t>
    </r>
  </si>
  <si>
    <t xml:space="preserve">Please select 'Other' measures judiciously; only include those the district has evidence to support accurate predictions of students' success on 3rd grade reading state accountability tests (MCA, MTAS, MCA-Modified). </t>
  </si>
  <si>
    <t>Identify the specific criteria used to determine students who are 'at or above grade level'</t>
  </si>
  <si>
    <t>*If using commercial test in dropdown list, please reference Criteria Options worksheet to verify district is using expected norms. If not using expected norms, enter detailed information in the far right column about how alternative cut score was determined.</t>
  </si>
  <si>
    <t>Select the time of year the literacy measure data was collected for this report (e.g., fall, winter, or spring) in for all schools in the district. You are encouraged to submit your most recent data whenever possible.</t>
  </si>
  <si>
    <t>Provide details about the measure including how 'at or above grade level' cuts were determined</t>
  </si>
  <si>
    <t>If using commercial test and district cut scores or indicator of 'at or above grade level' is locally determined</t>
  </si>
  <si>
    <t>Provide a brief description of literacy plan initiatives that demonstrate a continuum of services and are designed to assure ALL students in the district are reading well by grade 3.</t>
  </si>
  <si>
    <t>School list is numbered so data may be entered in same order on Literacy Data worksheet. To facilitate this process, the school name is automatically being populated onto the Literacy Data worksheet.</t>
  </si>
  <si>
    <r>
      <t xml:space="preserve">For each grade served in a school, enter the number of students who performed 'at or above grade level' on </t>
    </r>
    <r>
      <rPr>
        <b/>
        <u/>
        <sz val="12"/>
        <color rgb="FF006600"/>
        <rFont val="Calibri"/>
        <family val="2"/>
        <scheme val="minor"/>
      </rPr>
      <t>each</t>
    </r>
    <r>
      <rPr>
        <b/>
        <sz val="12"/>
        <color theme="1"/>
        <rFont val="Calibri"/>
        <family val="2"/>
        <scheme val="minor"/>
      </rPr>
      <t xml:space="preserve"> of the measures identified on the District Information &amp; Measures worksheet. </t>
    </r>
  </si>
  <si>
    <t>Use this worksheet to provide any information that is relevant to the reported district data that could not be included on the previous two worksheets. This information will be used to guide MDE staff planning technical assistance for districts in the coming year.</t>
  </si>
  <si>
    <t>This worksheet is provided for informational purposes only. Please reference if using commercial norms as criteria for 'at or above grade level'. It will also provide guidance on appropriate measures for the identified research-based types of measures.</t>
  </si>
  <si>
    <t>Percent 'at or above grade level'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</si>
</sst>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9"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12"/>
      <color rgb="FFFF0000"/>
      <name val="Calibri"/>
      <family val="2"/>
      <scheme val="minor"/>
    </font>
    <font>
      <sz val="12"/>
      <color theme="1"/>
      <name val="Calibri"/>
      <family val="2"/>
      <scheme val="minor"/>
    </font>
    <font>
      <b/>
      <sz val="8"/>
      <color theme="1"/>
      <name val="Calibri"/>
      <family val="2"/>
      <scheme val="minor"/>
    </font>
    <font>
      <sz val="14"/>
      <color theme="1"/>
      <name val="Calibri"/>
      <family val="2"/>
      <scheme val="minor"/>
    </font>
    <font>
      <sz val="8"/>
      <color theme="1"/>
      <name val="Calibri"/>
      <family val="2"/>
      <scheme val="minor"/>
    </font>
    <font>
      <b/>
      <sz val="8"/>
      <color theme="1"/>
      <name val="Perpetua Titling MT"/>
      <family val="1"/>
    </font>
    <font>
      <b/>
      <sz val="14"/>
      <color theme="1"/>
      <name val="Perpetua Titling MT"/>
      <family val="1"/>
    </font>
    <font>
      <sz val="11"/>
      <color theme="1"/>
      <name val="Calibri"/>
      <family val="2"/>
      <scheme val="minor"/>
    </font>
    <font>
      <b/>
      <i/>
      <sz val="12"/>
      <color theme="1"/>
      <name val="Calibri"/>
      <family val="2"/>
      <scheme val="minor"/>
    </font>
    <font>
      <b/>
      <sz val="9"/>
      <color rgb="FFFF0000"/>
      <name val="Calibri"/>
      <family val="2"/>
      <scheme val="minor"/>
    </font>
    <font>
      <b/>
      <sz val="12"/>
      <name val="Calibri"/>
      <family val="2"/>
      <scheme val="minor"/>
    </font>
    <font>
      <sz val="14"/>
      <name val="Calibri"/>
      <family val="2"/>
      <scheme val="minor"/>
    </font>
    <font>
      <b/>
      <sz val="14"/>
      <color rgb="FF0070C0"/>
      <name val="Calibri"/>
      <family val="2"/>
      <scheme val="minor"/>
    </font>
    <font>
      <b/>
      <sz val="12"/>
      <color rgb="FF0070C0"/>
      <name val="Calibri"/>
      <family val="2"/>
      <scheme val="minor"/>
    </font>
    <font>
      <sz val="12"/>
      <name val="Calibri"/>
      <family val="2"/>
      <scheme val="minor"/>
    </font>
    <font>
      <b/>
      <sz val="14"/>
      <color theme="1"/>
      <name val="Calibri"/>
      <family val="2"/>
    </font>
    <font>
      <b/>
      <sz val="9"/>
      <color theme="1"/>
      <name val="Calibri"/>
      <family val="2"/>
      <scheme val="minor"/>
    </font>
    <font>
      <sz val="9"/>
      <color theme="1"/>
      <name val="Calibri"/>
      <family val="2"/>
      <scheme val="minor"/>
    </font>
    <font>
      <b/>
      <sz val="12"/>
      <color theme="1"/>
      <name val="Perpetua Titling MT"/>
      <family val="1"/>
    </font>
    <font>
      <i/>
      <sz val="11"/>
      <color rgb="FFFF0000"/>
      <name val="Calibri"/>
      <family val="2"/>
      <scheme val="minor"/>
    </font>
    <font>
      <sz val="11"/>
      <name val="Calibri"/>
      <family val="2"/>
      <scheme val="minor"/>
    </font>
    <font>
      <sz val="11"/>
      <color rgb="FFFF0000"/>
      <name val="Calibri"/>
      <family val="2"/>
      <scheme val="minor"/>
    </font>
    <font>
      <i/>
      <sz val="10"/>
      <color theme="1"/>
      <name val="Calibri"/>
      <family val="2"/>
      <scheme val="minor"/>
    </font>
    <font>
      <b/>
      <sz val="11"/>
      <name val="Calibri"/>
      <family val="2"/>
      <scheme val="minor"/>
    </font>
    <font>
      <b/>
      <sz val="12"/>
      <color rgb="FF006600"/>
      <name val="Calibri"/>
      <family val="2"/>
      <scheme val="minor"/>
    </font>
    <font>
      <b/>
      <i/>
      <sz val="12"/>
      <color rgb="FF006600"/>
      <name val="Calibri"/>
      <family val="2"/>
      <scheme val="minor"/>
    </font>
    <font>
      <i/>
      <sz val="12"/>
      <color rgb="FFFF0000"/>
      <name val="Calibri"/>
      <family val="2"/>
      <scheme val="minor"/>
    </font>
    <font>
      <b/>
      <sz val="11"/>
      <color rgb="FF00B0F0"/>
      <name val="Calibri"/>
      <family val="2"/>
      <scheme val="minor"/>
    </font>
    <font>
      <b/>
      <i/>
      <sz val="11"/>
      <color rgb="FFFF0000"/>
      <name val="Calibri"/>
      <family val="2"/>
      <scheme val="minor"/>
    </font>
    <font>
      <i/>
      <sz val="12"/>
      <color rgb="FF0070C0"/>
      <name val="Calibri"/>
      <family val="2"/>
      <scheme val="minor"/>
    </font>
    <font>
      <b/>
      <i/>
      <sz val="12"/>
      <color rgb="FFFF0000"/>
      <name val="Calibri"/>
      <family val="2"/>
      <scheme val="minor"/>
    </font>
    <font>
      <vertAlign val="superscript"/>
      <sz val="11"/>
      <color theme="1"/>
      <name val="Calibri"/>
      <family val="2"/>
      <scheme val="minor"/>
    </font>
    <font>
      <b/>
      <i/>
      <sz val="14"/>
      <color rgb="FFFF0000"/>
      <name val="Calibri"/>
      <family val="2"/>
      <scheme val="minor"/>
    </font>
    <font>
      <b/>
      <i/>
      <sz val="14"/>
      <color rgb="FF0070C0"/>
      <name val="Calibri"/>
      <family val="2"/>
      <scheme val="minor"/>
    </font>
    <font>
      <b/>
      <u/>
      <sz val="12"/>
      <color rgb="FF006600"/>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FFFFCC"/>
        <bgColor indexed="64"/>
      </patternFill>
    </fill>
    <fill>
      <patternFill patternType="solid">
        <fgColor rgb="FFCCFF99"/>
        <bgColor indexed="64"/>
      </patternFill>
    </fill>
    <fill>
      <patternFill patternType="solid">
        <fgColor rgb="FFFFCC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ck">
        <color indexed="64"/>
      </left>
      <right style="thin">
        <color indexed="64"/>
      </right>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ck">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ck">
        <color indexed="64"/>
      </left>
      <right style="thin">
        <color indexed="64"/>
      </right>
      <top style="double">
        <color indexed="64"/>
      </top>
      <bottom style="thin">
        <color indexed="64"/>
      </bottom>
      <diagonal/>
    </border>
    <border>
      <left style="thin">
        <color indexed="64"/>
      </left>
      <right style="thick">
        <color indexed="64"/>
      </right>
      <top style="thin">
        <color indexed="64"/>
      </top>
      <bottom/>
      <diagonal/>
    </border>
    <border>
      <left style="thin">
        <color indexed="64"/>
      </left>
      <right style="thick">
        <color indexed="64"/>
      </right>
      <top/>
      <bottom/>
      <diagonal/>
    </border>
    <border>
      <left style="thin">
        <color indexed="64"/>
      </left>
      <right style="thick">
        <color indexed="64"/>
      </right>
      <top/>
      <bottom style="thin">
        <color indexed="64"/>
      </bottom>
      <diagonal/>
    </border>
    <border>
      <left/>
      <right style="thin">
        <color indexed="64"/>
      </right>
      <top/>
      <bottom/>
      <diagonal/>
    </border>
    <border>
      <left/>
      <right/>
      <top style="double">
        <color indexed="64"/>
      </top>
      <bottom/>
      <diagonal/>
    </border>
  </borders>
  <cellStyleXfs count="2">
    <xf numFmtId="0" fontId="0" fillId="0" borderId="0"/>
    <xf numFmtId="9" fontId="11" fillId="0" borderId="0" applyFont="0" applyFill="0" applyBorder="0" applyAlignment="0" applyProtection="0"/>
  </cellStyleXfs>
  <cellXfs count="282">
    <xf numFmtId="0" fontId="0" fillId="0" borderId="0" xfId="0"/>
    <xf numFmtId="0" fontId="5" fillId="0" borderId="0" xfId="0" applyFont="1"/>
    <xf numFmtId="0" fontId="6" fillId="0" borderId="0" xfId="0" applyFont="1" applyAlignment="1">
      <alignment horizontal="center"/>
    </xf>
    <xf numFmtId="0" fontId="8" fillId="0" borderId="0" xfId="0" applyFont="1"/>
    <xf numFmtId="0" fontId="2" fillId="0" borderId="1" xfId="0" applyFont="1" applyBorder="1" applyAlignment="1">
      <alignment horizontal="right"/>
    </xf>
    <xf numFmtId="0" fontId="1" fillId="0" borderId="1" xfId="0" applyFont="1" applyBorder="1" applyAlignment="1">
      <alignment horizontal="center"/>
    </xf>
    <xf numFmtId="0" fontId="2" fillId="0" borderId="0" xfId="0" applyFont="1" applyAlignment="1">
      <alignment horizontal="right"/>
    </xf>
    <xf numFmtId="0" fontId="7" fillId="0" borderId="0" xfId="0" applyFont="1"/>
    <xf numFmtId="164" fontId="14" fillId="0" borderId="1" xfId="1" applyNumberFormat="1" applyFont="1" applyFill="1" applyBorder="1" applyAlignment="1">
      <alignment wrapText="1"/>
    </xf>
    <xf numFmtId="0" fontId="2" fillId="0" borderId="0" xfId="0" applyFont="1"/>
    <xf numFmtId="0" fontId="21" fillId="0" borderId="0" xfId="0" applyFont="1"/>
    <xf numFmtId="0" fontId="0" fillId="0" borderId="0" xfId="0" quotePrefix="1"/>
    <xf numFmtId="0" fontId="0" fillId="0" borderId="0" xfId="0" applyAlignment="1">
      <alignment wrapText="1"/>
    </xf>
    <xf numFmtId="0" fontId="14" fillId="2" borderId="1" xfId="0" applyFont="1" applyFill="1" applyBorder="1" applyAlignment="1" applyProtection="1">
      <alignment wrapText="1"/>
      <protection locked="0"/>
    </xf>
    <xf numFmtId="0" fontId="2" fillId="0" borderId="0" xfId="0" applyFont="1" applyFill="1" applyBorder="1" applyAlignment="1" applyProtection="1">
      <alignment horizontal="right"/>
      <protection locked="0"/>
    </xf>
    <xf numFmtId="0" fontId="23" fillId="0" borderId="0" xfId="0" applyFont="1"/>
    <xf numFmtId="0" fontId="24" fillId="0" borderId="0" xfId="0" applyFont="1"/>
    <xf numFmtId="0" fontId="2" fillId="2" borderId="1" xfId="0" applyFont="1" applyFill="1" applyBorder="1" applyAlignment="1" applyProtection="1">
      <alignment wrapText="1"/>
      <protection locked="0"/>
    </xf>
    <xf numFmtId="0" fontId="0" fillId="0" borderId="0" xfId="0"/>
    <xf numFmtId="0" fontId="0" fillId="2" borderId="0" xfId="0" applyFill="1" applyAlignment="1" applyProtection="1">
      <alignment wrapText="1"/>
      <protection locked="0"/>
    </xf>
    <xf numFmtId="0" fontId="0" fillId="0" borderId="0" xfId="0"/>
    <xf numFmtId="0" fontId="0" fillId="2" borderId="5" xfId="0" applyFill="1" applyBorder="1" applyAlignment="1" applyProtection="1">
      <alignment horizontal="center"/>
      <protection locked="0"/>
    </xf>
    <xf numFmtId="49" fontId="0" fillId="0" borderId="0" xfId="0" applyNumberFormat="1" applyFont="1" applyAlignment="1">
      <alignment horizontal="center"/>
    </xf>
    <xf numFmtId="0" fontId="0" fillId="0" borderId="0" xfId="0" applyFill="1"/>
    <xf numFmtId="0" fontId="0" fillId="0" borderId="0" xfId="0" applyProtection="1">
      <protection locked="0"/>
    </xf>
    <xf numFmtId="0" fontId="0" fillId="0" borderId="0" xfId="0"/>
    <xf numFmtId="0" fontId="0" fillId="0" borderId="0" xfId="0"/>
    <xf numFmtId="0" fontId="0" fillId="0" borderId="0" xfId="0"/>
    <xf numFmtId="0" fontId="6" fillId="3" borderId="0" xfId="0" applyFont="1" applyFill="1" applyAlignment="1">
      <alignment horizontal="center"/>
    </xf>
    <xf numFmtId="0" fontId="0" fillId="0" borderId="0" xfId="0"/>
    <xf numFmtId="0" fontId="6" fillId="3" borderId="0" xfId="0" applyFont="1" applyFill="1" applyAlignment="1">
      <alignment horizontal="center"/>
    </xf>
    <xf numFmtId="0" fontId="6" fillId="3" borderId="0" xfId="0" applyFont="1" applyFill="1" applyAlignment="1" applyProtection="1">
      <alignment horizontal="center"/>
      <protection locked="0"/>
    </xf>
    <xf numFmtId="0" fontId="0" fillId="0" borderId="0" xfId="0"/>
    <xf numFmtId="0" fontId="0" fillId="0" borderId="0" xfId="0"/>
    <xf numFmtId="0" fontId="20" fillId="0" borderId="0" xfId="0" applyFont="1" applyFill="1"/>
    <xf numFmtId="0" fontId="15" fillId="0" borderId="2" xfId="0" applyFont="1" applyBorder="1" applyAlignment="1">
      <alignment vertical="center" wrapText="1"/>
    </xf>
    <xf numFmtId="0" fontId="16" fillId="0" borderId="2" xfId="0" applyFont="1" applyBorder="1" applyAlignment="1">
      <alignment vertical="center" wrapText="1"/>
    </xf>
    <xf numFmtId="0" fontId="2" fillId="0" borderId="2" xfId="0" applyFont="1" applyBorder="1" applyAlignment="1">
      <alignment horizontal="center"/>
    </xf>
    <xf numFmtId="0" fontId="1" fillId="0" borderId="6" xfId="0" applyFont="1" applyBorder="1" applyAlignment="1">
      <alignment horizontal="center" wrapText="1"/>
    </xf>
    <xf numFmtId="0" fontId="16" fillId="0" borderId="2" xfId="0" applyFont="1" applyBorder="1" applyAlignment="1">
      <alignment vertical="center"/>
    </xf>
    <xf numFmtId="0" fontId="0" fillId="0" borderId="0" xfId="0" applyAlignment="1">
      <alignment horizontal="center"/>
    </xf>
    <xf numFmtId="0" fontId="2" fillId="0" borderId="1" xfId="0" applyFont="1" applyBorder="1" applyAlignment="1">
      <alignment horizontal="center"/>
    </xf>
    <xf numFmtId="0" fontId="0" fillId="0" borderId="0" xfId="0" applyProtection="1"/>
    <xf numFmtId="0" fontId="1" fillId="0" borderId="0" xfId="0" applyFont="1" applyProtection="1"/>
    <xf numFmtId="0" fontId="0" fillId="0" borderId="0" xfId="0"/>
    <xf numFmtId="49" fontId="0" fillId="2" borderId="1" xfId="0" applyNumberFormat="1" applyFont="1" applyFill="1" applyBorder="1" applyAlignment="1" applyProtection="1">
      <alignment horizontal="center"/>
      <protection locked="0"/>
    </xf>
    <xf numFmtId="1" fontId="0" fillId="2" borderId="1" xfId="0" applyNumberFormat="1" applyFont="1" applyFill="1" applyBorder="1" applyProtection="1">
      <protection locked="0"/>
    </xf>
    <xf numFmtId="0" fontId="0" fillId="0" borderId="0" xfId="0" applyBorder="1"/>
    <xf numFmtId="0" fontId="23" fillId="0" borderId="0" xfId="0" applyFont="1" applyAlignment="1">
      <alignment horizontal="center"/>
    </xf>
    <xf numFmtId="0" fontId="0" fillId="2" borderId="5" xfId="0" applyFont="1" applyFill="1" applyBorder="1" applyAlignment="1" applyProtection="1">
      <alignment horizontal="center"/>
      <protection locked="0"/>
    </xf>
    <xf numFmtId="49" fontId="7" fillId="2" borderId="5" xfId="0" applyNumberFormat="1" applyFont="1" applyFill="1" applyBorder="1" applyAlignment="1" applyProtection="1">
      <alignment horizontal="center"/>
      <protection locked="0"/>
    </xf>
    <xf numFmtId="0" fontId="0" fillId="0" borderId="0" xfId="0" applyFont="1"/>
    <xf numFmtId="0" fontId="2" fillId="0" borderId="0" xfId="0" applyFont="1" applyAlignment="1" applyProtection="1">
      <alignment vertical="top"/>
      <protection locked="0"/>
    </xf>
    <xf numFmtId="0" fontId="1" fillId="0" borderId="0" xfId="0" applyFont="1" applyAlignment="1" applyProtection="1">
      <alignment horizontal="right"/>
    </xf>
    <xf numFmtId="0" fontId="23" fillId="0" borderId="0" xfId="0" applyFont="1" applyProtection="1"/>
    <xf numFmtId="0" fontId="27" fillId="0" borderId="0" xfId="0" applyFont="1" applyAlignment="1" applyProtection="1">
      <alignment wrapText="1"/>
    </xf>
    <xf numFmtId="0" fontId="23" fillId="0" borderId="0" xfId="0" applyFont="1" applyAlignment="1" applyProtection="1">
      <alignment vertical="top" wrapText="1"/>
    </xf>
    <xf numFmtId="0" fontId="2" fillId="0" borderId="0" xfId="0" applyFont="1" applyAlignment="1" applyProtection="1">
      <alignment vertical="top"/>
    </xf>
    <xf numFmtId="0" fontId="23" fillId="0" borderId="0" xfId="0" applyFont="1" applyAlignment="1" applyProtection="1">
      <alignment horizontal="left" wrapText="1"/>
    </xf>
    <xf numFmtId="0" fontId="30" fillId="0" borderId="0" xfId="0" applyFont="1" applyAlignment="1" applyProtection="1">
      <alignment vertical="top" wrapText="1"/>
    </xf>
    <xf numFmtId="0" fontId="8" fillId="0" borderId="0" xfId="0" applyFont="1" applyProtection="1">
      <protection locked="0"/>
    </xf>
    <xf numFmtId="0" fontId="5" fillId="2" borderId="2" xfId="0" applyFont="1" applyFill="1" applyBorder="1" applyAlignment="1" applyProtection="1">
      <alignment horizontal="left"/>
      <protection locked="0"/>
    </xf>
    <xf numFmtId="0" fontId="5" fillId="2" borderId="3" xfId="0" applyFont="1" applyFill="1" applyBorder="1" applyAlignment="1" applyProtection="1">
      <alignment horizontal="left"/>
      <protection locked="0"/>
    </xf>
    <xf numFmtId="0" fontId="5" fillId="2" borderId="1" xfId="0" applyFont="1" applyFill="1" applyBorder="1" applyAlignment="1" applyProtection="1">
      <alignment horizontal="center"/>
      <protection locked="0"/>
    </xf>
    <xf numFmtId="0" fontId="5" fillId="4" borderId="1" xfId="0" applyFont="1" applyFill="1" applyBorder="1" applyAlignment="1" applyProtection="1">
      <alignment horizontal="left"/>
      <protection locked="0"/>
    </xf>
    <xf numFmtId="0" fontId="17" fillId="0" borderId="1" xfId="0" applyFont="1" applyBorder="1" applyAlignment="1" applyProtection="1">
      <alignment wrapText="1"/>
    </xf>
    <xf numFmtId="0" fontId="18" fillId="0" borderId="1" xfId="0" applyFont="1" applyBorder="1" applyAlignment="1" applyProtection="1">
      <alignment wrapText="1"/>
    </xf>
    <xf numFmtId="0" fontId="5" fillId="0" borderId="1" xfId="0" applyFont="1" applyBorder="1" applyAlignment="1" applyProtection="1">
      <alignment wrapText="1"/>
    </xf>
    <xf numFmtId="0" fontId="6" fillId="3" borderId="0" xfId="0" applyFont="1" applyFill="1" applyAlignment="1" applyProtection="1">
      <alignment horizontal="center"/>
    </xf>
    <xf numFmtId="0" fontId="17" fillId="0" borderId="1" xfId="0" applyFont="1" applyFill="1" applyBorder="1" applyAlignment="1" applyProtection="1">
      <alignment wrapText="1"/>
    </xf>
    <xf numFmtId="164" fontId="14" fillId="0" borderId="1" xfId="1" applyNumberFormat="1" applyFont="1" applyFill="1" applyBorder="1" applyAlignment="1" applyProtection="1">
      <alignment wrapText="1"/>
    </xf>
    <xf numFmtId="0" fontId="2" fillId="0" borderId="4" xfId="0" applyFont="1" applyBorder="1" applyAlignment="1" applyProtection="1">
      <alignment horizontal="center"/>
    </xf>
    <xf numFmtId="0" fontId="4" fillId="0" borderId="1" xfId="0" applyFont="1" applyBorder="1" applyAlignment="1" applyProtection="1">
      <alignment horizontal="center" wrapText="1"/>
    </xf>
    <xf numFmtId="0" fontId="5" fillId="0" borderId="0" xfId="0" applyFont="1" applyProtection="1"/>
    <xf numFmtId="164" fontId="14" fillId="0" borderId="1" xfId="1" applyNumberFormat="1" applyFont="1" applyFill="1" applyBorder="1" applyAlignment="1" applyProtection="1">
      <alignment wrapText="1"/>
      <protection hidden="1"/>
    </xf>
    <xf numFmtId="0" fontId="6" fillId="3" borderId="0" xfId="0" applyFont="1" applyFill="1" applyAlignment="1" applyProtection="1">
      <alignment horizontal="center"/>
      <protection hidden="1"/>
    </xf>
    <xf numFmtId="0" fontId="14" fillId="0" borderId="1" xfId="0" applyFont="1" applyFill="1" applyBorder="1" applyAlignment="1" applyProtection="1">
      <alignment wrapText="1"/>
      <protection hidden="1"/>
    </xf>
    <xf numFmtId="0" fontId="1" fillId="0" borderId="6" xfId="0" applyFont="1" applyBorder="1" applyAlignment="1">
      <alignment horizontal="center"/>
    </xf>
    <xf numFmtId="0" fontId="1" fillId="0" borderId="12" xfId="0" applyFont="1" applyBorder="1" applyAlignment="1">
      <alignment horizontal="center"/>
    </xf>
    <xf numFmtId="0" fontId="1" fillId="0" borderId="13" xfId="0" applyFont="1" applyBorder="1" applyAlignment="1">
      <alignment horizontal="center"/>
    </xf>
    <xf numFmtId="0" fontId="0" fillId="5" borderId="17" xfId="0" applyFill="1" applyBorder="1"/>
    <xf numFmtId="0" fontId="0" fillId="5" borderId="15" xfId="0" applyFill="1" applyBorder="1" applyAlignment="1">
      <alignment horizontal="center"/>
    </xf>
    <xf numFmtId="0" fontId="0" fillId="5" borderId="15" xfId="0" applyFill="1" applyBorder="1"/>
    <xf numFmtId="0" fontId="0" fillId="5" borderId="11" xfId="0" applyFill="1" applyBorder="1"/>
    <xf numFmtId="0" fontId="0" fillId="5" borderId="1" xfId="0" applyFill="1" applyBorder="1" applyAlignment="1">
      <alignment horizontal="center"/>
    </xf>
    <xf numFmtId="0" fontId="0" fillId="5" borderId="1" xfId="0" applyFill="1" applyBorder="1"/>
    <xf numFmtId="0" fontId="0" fillId="6" borderId="11" xfId="0" applyFill="1" applyBorder="1"/>
    <xf numFmtId="0" fontId="0" fillId="6" borderId="1" xfId="0" applyFill="1" applyBorder="1" applyAlignment="1">
      <alignment horizontal="center"/>
    </xf>
    <xf numFmtId="0" fontId="0" fillId="6" borderId="1" xfId="0" applyFill="1" applyBorder="1"/>
    <xf numFmtId="0" fontId="0" fillId="7" borderId="11" xfId="0" applyFill="1" applyBorder="1"/>
    <xf numFmtId="0" fontId="0" fillId="7" borderId="1" xfId="0" applyFill="1" applyBorder="1" applyAlignment="1">
      <alignment horizontal="center"/>
    </xf>
    <xf numFmtId="0" fontId="0" fillId="7" borderId="1" xfId="0" applyFill="1" applyBorder="1"/>
    <xf numFmtId="0" fontId="0" fillId="8" borderId="11" xfId="0" applyFill="1" applyBorder="1"/>
    <xf numFmtId="0" fontId="0" fillId="8" borderId="1" xfId="0" applyFill="1" applyBorder="1" applyAlignment="1">
      <alignment horizontal="center"/>
    </xf>
    <xf numFmtId="0" fontId="0" fillId="8" borderId="1" xfId="0" applyFill="1" applyBorder="1"/>
    <xf numFmtId="0" fontId="0" fillId="7" borderId="11" xfId="0" applyFont="1" applyFill="1" applyBorder="1"/>
    <xf numFmtId="0" fontId="0" fillId="7" borderId="20" xfId="0" applyFill="1" applyBorder="1"/>
    <xf numFmtId="0" fontId="0" fillId="7" borderId="18" xfId="0" applyFill="1" applyBorder="1" applyAlignment="1">
      <alignment horizontal="center"/>
    </xf>
    <xf numFmtId="0" fontId="0" fillId="7" borderId="18" xfId="0" applyFill="1" applyBorder="1"/>
    <xf numFmtId="0" fontId="24" fillId="8" borderId="11" xfId="0" applyFont="1" applyFill="1" applyBorder="1"/>
    <xf numFmtId="0" fontId="0" fillId="9" borderId="23" xfId="0" applyFill="1" applyBorder="1"/>
    <xf numFmtId="0" fontId="0" fillId="9" borderId="21" xfId="0" applyFill="1" applyBorder="1" applyAlignment="1">
      <alignment horizontal="center"/>
    </xf>
    <xf numFmtId="0" fontId="0" fillId="9" borderId="21" xfId="0" applyFill="1" applyBorder="1"/>
    <xf numFmtId="0" fontId="0" fillId="9" borderId="11" xfId="0" applyFill="1" applyBorder="1"/>
    <xf numFmtId="0" fontId="0" fillId="9" borderId="1" xfId="0" applyFill="1" applyBorder="1" applyAlignment="1">
      <alignment horizontal="center"/>
    </xf>
    <xf numFmtId="0" fontId="0" fillId="9" borderId="1" xfId="0" applyFill="1" applyBorder="1"/>
    <xf numFmtId="0" fontId="0" fillId="10" borderId="11" xfId="0" applyFill="1" applyBorder="1"/>
    <xf numFmtId="0" fontId="0" fillId="10" borderId="1" xfId="0" applyFill="1" applyBorder="1" applyAlignment="1">
      <alignment horizontal="center"/>
    </xf>
    <xf numFmtId="0" fontId="0" fillId="10" borderId="1" xfId="0" applyFill="1" applyBorder="1"/>
    <xf numFmtId="0" fontId="0" fillId="10" borderId="11" xfId="0" applyFont="1" applyFill="1" applyBorder="1"/>
    <xf numFmtId="0" fontId="0" fillId="11" borderId="1" xfId="0" applyFill="1" applyBorder="1" applyAlignment="1">
      <alignment horizontal="center"/>
    </xf>
    <xf numFmtId="0" fontId="0" fillId="11" borderId="1" xfId="0" applyFill="1" applyBorder="1"/>
    <xf numFmtId="0" fontId="0" fillId="12" borderId="14" xfId="0" applyFill="1" applyBorder="1"/>
    <xf numFmtId="0" fontId="0" fillId="12" borderId="7" xfId="0" applyFill="1" applyBorder="1" applyAlignment="1">
      <alignment horizontal="center"/>
    </xf>
    <xf numFmtId="0" fontId="0" fillId="12" borderId="7" xfId="0" applyFill="1" applyBorder="1"/>
    <xf numFmtId="0" fontId="0" fillId="8" borderId="23" xfId="0" applyFill="1" applyBorder="1"/>
    <xf numFmtId="0" fontId="0" fillId="8" borderId="21" xfId="0" applyFill="1" applyBorder="1" applyAlignment="1">
      <alignment horizontal="center"/>
    </xf>
    <xf numFmtId="0" fontId="0" fillId="8" borderId="21" xfId="0" applyFill="1" applyBorder="1"/>
    <xf numFmtId="0" fontId="1" fillId="0" borderId="0" xfId="0" applyFont="1" applyBorder="1" applyAlignment="1">
      <alignment horizontal="center"/>
    </xf>
    <xf numFmtId="0" fontId="0" fillId="5" borderId="0" xfId="0" applyFill="1" applyBorder="1"/>
    <xf numFmtId="0" fontId="0" fillId="7" borderId="0" xfId="0" applyFill="1" applyBorder="1"/>
    <xf numFmtId="0" fontId="0" fillId="8" borderId="0" xfId="0" applyFill="1" applyBorder="1"/>
    <xf numFmtId="0" fontId="24" fillId="8" borderId="0" xfId="0" applyFont="1" applyFill="1" applyBorder="1"/>
    <xf numFmtId="0" fontId="0" fillId="9" borderId="0" xfId="0" applyFill="1" applyBorder="1"/>
    <xf numFmtId="0" fontId="0" fillId="10" borderId="0" xfId="0" applyFill="1" applyBorder="1"/>
    <xf numFmtId="0" fontId="0" fillId="12" borderId="0" xfId="0" applyFill="1" applyBorder="1"/>
    <xf numFmtId="0" fontId="31" fillId="11" borderId="0" xfId="0" applyFont="1" applyFill="1" applyBorder="1" applyAlignment="1">
      <alignment wrapText="1"/>
    </xf>
    <xf numFmtId="0" fontId="0" fillId="11" borderId="0" xfId="0" applyFill="1" applyBorder="1"/>
    <xf numFmtId="0" fontId="26" fillId="0" borderId="1" xfId="0" applyFont="1" applyBorder="1" applyAlignment="1">
      <alignment horizontal="center"/>
    </xf>
    <xf numFmtId="0" fontId="0" fillId="2" borderId="1" xfId="0" applyFill="1" applyBorder="1" applyAlignment="1" applyProtection="1">
      <alignment horizontal="left" wrapText="1"/>
      <protection locked="0"/>
    </xf>
    <xf numFmtId="0" fontId="26" fillId="0" borderId="6" xfId="0" applyFont="1" applyBorder="1" applyAlignment="1">
      <alignment horizontal="center"/>
    </xf>
    <xf numFmtId="0" fontId="26" fillId="0" borderId="7" xfId="0" applyFont="1" applyBorder="1" applyAlignment="1">
      <alignment horizontal="center"/>
    </xf>
    <xf numFmtId="0" fontId="32" fillId="0" borderId="0" xfId="0" applyFont="1" applyAlignment="1" applyProtection="1">
      <alignment wrapText="1"/>
    </xf>
    <xf numFmtId="0" fontId="33" fillId="0" borderId="0" xfId="0" applyFont="1" applyAlignment="1" applyProtection="1">
      <alignment wrapText="1"/>
    </xf>
    <xf numFmtId="0" fontId="34" fillId="0" borderId="0" xfId="0" applyFont="1" applyAlignment="1" applyProtection="1">
      <alignment horizontal="left" wrapText="1"/>
    </xf>
    <xf numFmtId="0" fontId="0" fillId="10" borderId="20" xfId="0" applyFill="1" applyBorder="1"/>
    <xf numFmtId="0" fontId="0" fillId="10" borderId="18" xfId="0" applyFill="1" applyBorder="1" applyAlignment="1">
      <alignment horizontal="center"/>
    </xf>
    <xf numFmtId="0" fontId="0" fillId="10" borderId="18" xfId="0" applyFill="1" applyBorder="1"/>
    <xf numFmtId="0" fontId="0" fillId="10" borderId="14" xfId="0" applyFill="1" applyBorder="1"/>
    <xf numFmtId="0" fontId="0" fillId="10" borderId="7" xfId="0" applyFill="1" applyBorder="1" applyAlignment="1">
      <alignment horizontal="center"/>
    </xf>
    <xf numFmtId="0" fontId="0" fillId="10" borderId="7" xfId="0" applyFill="1" applyBorder="1"/>
    <xf numFmtId="0" fontId="0" fillId="6" borderId="7" xfId="0" applyFill="1" applyBorder="1" applyAlignment="1">
      <alignment horizontal="center"/>
    </xf>
    <xf numFmtId="0" fontId="0" fillId="6" borderId="7" xfId="0" applyFill="1" applyBorder="1"/>
    <xf numFmtId="0" fontId="4" fillId="0" borderId="4" xfId="0" applyFont="1" applyBorder="1" applyAlignment="1" applyProtection="1">
      <alignment horizontal="center" wrapText="1"/>
    </xf>
    <xf numFmtId="0" fontId="0" fillId="0" borderId="0" xfId="0"/>
    <xf numFmtId="0" fontId="31" fillId="12" borderId="10" xfId="0" applyFont="1" applyFill="1" applyBorder="1" applyAlignment="1">
      <alignment vertical="center" wrapText="1"/>
    </xf>
    <xf numFmtId="0" fontId="0" fillId="0" borderId="0" xfId="0"/>
    <xf numFmtId="0" fontId="0" fillId="0" borderId="0" xfId="0"/>
    <xf numFmtId="0" fontId="0" fillId="0" borderId="0" xfId="0" applyAlignment="1">
      <alignment wrapText="1"/>
    </xf>
    <xf numFmtId="0" fontId="0" fillId="11" borderId="4" xfId="0" applyFill="1" applyBorder="1"/>
    <xf numFmtId="0" fontId="4" fillId="0" borderId="0" xfId="0" applyFont="1" applyAlignment="1" applyProtection="1"/>
    <xf numFmtId="0" fontId="14" fillId="0" borderId="0" xfId="0" applyFont="1" applyAlignment="1" applyProtection="1"/>
    <xf numFmtId="0" fontId="7" fillId="2" borderId="3" xfId="0" applyFont="1" applyFill="1" applyBorder="1" applyAlignment="1" applyProtection="1">
      <alignment horizontal="center"/>
      <protection locked="0"/>
    </xf>
    <xf numFmtId="0" fontId="36" fillId="0" borderId="0" xfId="0" applyFont="1" applyAlignment="1" applyProtection="1">
      <alignment wrapText="1"/>
    </xf>
    <xf numFmtId="0" fontId="0" fillId="0" borderId="0" xfId="0"/>
    <xf numFmtId="0" fontId="1" fillId="0" borderId="0" xfId="0" applyFont="1" applyBorder="1" applyAlignment="1">
      <alignment vertical="center"/>
    </xf>
    <xf numFmtId="0" fontId="31" fillId="7" borderId="0" xfId="0" applyFont="1" applyFill="1" applyBorder="1" applyAlignment="1">
      <alignment vertical="center" wrapText="1"/>
    </xf>
    <xf numFmtId="0" fontId="31" fillId="9" borderId="0" xfId="0" applyFont="1" applyFill="1" applyAlignment="1">
      <alignment vertical="center" wrapText="1"/>
    </xf>
    <xf numFmtId="0" fontId="8" fillId="0" borderId="0" xfId="0" applyFont="1" applyProtection="1"/>
    <xf numFmtId="0" fontId="0" fillId="0" borderId="0" xfId="0" applyProtection="1"/>
    <xf numFmtId="0" fontId="31" fillId="5" borderId="0" xfId="0" applyFont="1" applyFill="1" applyBorder="1" applyAlignment="1">
      <alignment horizontal="center" vertical="center" wrapText="1"/>
    </xf>
    <xf numFmtId="0" fontId="1" fillId="5" borderId="0" xfId="0" applyFont="1" applyFill="1" applyBorder="1" applyAlignment="1">
      <alignment horizontal="center"/>
    </xf>
    <xf numFmtId="0" fontId="2" fillId="0" borderId="0" xfId="0" applyFont="1" applyAlignment="1" applyProtection="1">
      <alignment vertical="top"/>
    </xf>
    <xf numFmtId="0" fontId="2" fillId="0" borderId="0" xfId="0" applyFont="1" applyProtection="1"/>
    <xf numFmtId="0" fontId="14" fillId="0" borderId="0" xfId="0" applyFont="1" applyAlignment="1" applyProtection="1">
      <alignment wrapText="1"/>
    </xf>
    <xf numFmtId="0" fontId="23" fillId="0" borderId="0" xfId="0" applyFont="1" applyAlignment="1" applyProtection="1">
      <alignment wrapText="1"/>
    </xf>
    <xf numFmtId="0" fontId="14" fillId="0" borderId="0" xfId="0" applyFont="1" applyAlignment="1" applyProtection="1">
      <alignment horizontal="left" wrapText="1"/>
    </xf>
    <xf numFmtId="0" fontId="0" fillId="0" borderId="0" xfId="0"/>
    <xf numFmtId="0" fontId="5" fillId="2" borderId="3" xfId="0" applyFont="1" applyFill="1" applyBorder="1" applyAlignment="1" applyProtection="1">
      <alignment horizontal="left"/>
      <protection locked="0"/>
    </xf>
    <xf numFmtId="0" fontId="2" fillId="0" borderId="0" xfId="0" applyFont="1" applyProtection="1"/>
    <xf numFmtId="0" fontId="1" fillId="0" borderId="0" xfId="0" applyFont="1" applyAlignment="1" applyProtection="1">
      <alignment horizontal="left" vertical="top" wrapText="1"/>
    </xf>
    <xf numFmtId="0" fontId="1" fillId="0" borderId="0" xfId="0" applyFont="1" applyFill="1" applyAlignment="1" applyProtection="1">
      <alignment wrapText="1"/>
    </xf>
    <xf numFmtId="0" fontId="2" fillId="0" borderId="0" xfId="0" applyFont="1" applyAlignment="1" applyProtection="1">
      <alignment vertical="top"/>
    </xf>
    <xf numFmtId="0" fontId="2" fillId="0" borderId="0" xfId="0" applyFont="1" applyAlignment="1" applyProtection="1">
      <alignment wrapText="1"/>
    </xf>
    <xf numFmtId="0" fontId="2" fillId="0" borderId="0" xfId="0" applyFont="1" applyFill="1" applyAlignment="1" applyProtection="1">
      <alignment wrapText="1"/>
    </xf>
    <xf numFmtId="0" fontId="8" fillId="0" borderId="0" xfId="0" applyFont="1" applyAlignment="1" applyProtection="1">
      <alignment horizontal="center"/>
    </xf>
    <xf numFmtId="0" fontId="14" fillId="0" borderId="0" xfId="0" applyFont="1" applyProtection="1"/>
    <xf numFmtId="0" fontId="14" fillId="0" borderId="0" xfId="0" applyFont="1" applyAlignment="1" applyProtection="1">
      <alignment wrapText="1"/>
    </xf>
    <xf numFmtId="0" fontId="2" fillId="0" borderId="0" xfId="0" applyFont="1" applyAlignment="1" applyProtection="1">
      <alignment horizontal="right" vertical="top"/>
    </xf>
    <xf numFmtId="0" fontId="22" fillId="0" borderId="0" xfId="0" applyFont="1" applyAlignment="1" applyProtection="1">
      <alignment horizontal="center"/>
    </xf>
    <xf numFmtId="0" fontId="4" fillId="0" borderId="0" xfId="0" applyFont="1" applyAlignment="1" applyProtection="1">
      <alignment horizontal="center"/>
    </xf>
    <xf numFmtId="0" fontId="17" fillId="0" borderId="0" xfId="0" applyFont="1" applyAlignment="1" applyProtection="1">
      <alignment horizontal="left"/>
    </xf>
    <xf numFmtId="0" fontId="14" fillId="0" borderId="0" xfId="0" applyFont="1" applyAlignment="1" applyProtection="1">
      <alignment horizontal="left" wrapText="1"/>
    </xf>
    <xf numFmtId="0" fontId="0" fillId="0" borderId="0" xfId="0" applyProtection="1"/>
    <xf numFmtId="0" fontId="8" fillId="0" borderId="0" xfId="0" applyFont="1" applyProtection="1"/>
    <xf numFmtId="0" fontId="28" fillId="0" borderId="0" xfId="0" applyFont="1" applyAlignment="1" applyProtection="1">
      <alignment wrapText="1"/>
    </xf>
    <xf numFmtId="0" fontId="23" fillId="0" borderId="0" xfId="0" applyFont="1" applyAlignment="1" applyProtection="1">
      <alignment wrapText="1"/>
    </xf>
    <xf numFmtId="0" fontId="1" fillId="0" borderId="0" xfId="0" applyFont="1" applyAlignment="1" applyProtection="1">
      <alignment horizontal="center"/>
    </xf>
    <xf numFmtId="0" fontId="1" fillId="2" borderId="0" xfId="0" applyFont="1" applyFill="1" applyAlignment="1" applyProtection="1">
      <alignment vertical="center" wrapText="1"/>
    </xf>
    <xf numFmtId="0" fontId="1" fillId="2" borderId="0" xfId="0" applyFont="1" applyFill="1" applyAlignment="1" applyProtection="1">
      <alignment wrapText="1"/>
    </xf>
    <xf numFmtId="0" fontId="2" fillId="0" borderId="0" xfId="0" applyFont="1" applyAlignment="1" applyProtection="1">
      <alignment vertical="top" wrapText="1"/>
    </xf>
    <xf numFmtId="0" fontId="0" fillId="2" borderId="1" xfId="0" applyFill="1" applyBorder="1" applyAlignment="1" applyProtection="1">
      <alignment horizontal="left"/>
      <protection locked="0"/>
    </xf>
    <xf numFmtId="0" fontId="0" fillId="2" borderId="1" xfId="0" applyFont="1" applyFill="1" applyBorder="1" applyAlignment="1" applyProtection="1">
      <alignment horizontal="left"/>
      <protection locked="0"/>
    </xf>
    <xf numFmtId="0" fontId="5" fillId="2" borderId="2" xfId="0" applyFont="1" applyFill="1" applyBorder="1" applyAlignment="1" applyProtection="1">
      <alignment horizontal="left"/>
      <protection locked="0"/>
    </xf>
    <xf numFmtId="0" fontId="5" fillId="2" borderId="3" xfId="0" applyFont="1" applyFill="1" applyBorder="1" applyAlignment="1" applyProtection="1">
      <alignment horizontal="left"/>
      <protection locked="0"/>
    </xf>
    <xf numFmtId="0" fontId="3" fillId="0" borderId="6" xfId="0" applyFont="1" applyBorder="1" applyAlignment="1">
      <alignment horizontal="right" vertical="center"/>
    </xf>
    <xf numFmtId="0" fontId="3" fillId="0" borderId="8" xfId="0" applyFont="1" applyBorder="1" applyAlignment="1">
      <alignment horizontal="right" vertical="center"/>
    </xf>
    <xf numFmtId="0" fontId="3" fillId="0" borderId="7" xfId="0" applyFont="1" applyBorder="1" applyAlignment="1">
      <alignment horizontal="right" vertical="center"/>
    </xf>
    <xf numFmtId="0" fontId="3" fillId="0" borderId="0" xfId="0" applyFont="1" applyAlignment="1">
      <alignment horizontal="right"/>
    </xf>
    <xf numFmtId="0" fontId="7" fillId="2" borderId="5" xfId="0" applyFont="1" applyFill="1" applyBorder="1" applyAlignment="1" applyProtection="1">
      <alignment horizontal="left"/>
      <protection locked="0"/>
    </xf>
    <xf numFmtId="0" fontId="2" fillId="0" borderId="2" xfId="0" applyFont="1" applyBorder="1" applyAlignment="1">
      <alignment horizontal="center"/>
    </xf>
    <xf numFmtId="0" fontId="2" fillId="0" borderId="3" xfId="0" applyFont="1" applyBorder="1" applyAlignment="1">
      <alignment horizontal="center"/>
    </xf>
    <xf numFmtId="0" fontId="3" fillId="0" borderId="6" xfId="0" applyFont="1" applyBorder="1" applyAlignment="1">
      <alignment horizontal="center" wrapText="1"/>
    </xf>
    <xf numFmtId="0" fontId="3" fillId="0" borderId="7" xfId="0" applyFont="1" applyBorder="1" applyAlignment="1">
      <alignment horizontal="center" wrapText="1"/>
    </xf>
    <xf numFmtId="0" fontId="3" fillId="0" borderId="1" xfId="0" applyFont="1" applyBorder="1" applyAlignment="1">
      <alignment horizontal="center"/>
    </xf>
    <xf numFmtId="0" fontId="1" fillId="0" borderId="1" xfId="0" applyFont="1" applyBorder="1" applyAlignment="1">
      <alignment horizontal="center" wrapText="1"/>
    </xf>
    <xf numFmtId="0" fontId="1" fillId="0" borderId="1" xfId="0" applyFont="1" applyBorder="1" applyAlignment="1">
      <alignment horizontal="center"/>
    </xf>
    <xf numFmtId="0" fontId="2" fillId="2" borderId="9" xfId="0" applyFont="1" applyFill="1" applyBorder="1" applyAlignment="1" applyProtection="1">
      <alignment horizontal="right"/>
      <protection locked="0"/>
    </xf>
    <xf numFmtId="0" fontId="0" fillId="2" borderId="5" xfId="0" applyFill="1" applyBorder="1" applyProtection="1">
      <protection locked="0"/>
    </xf>
    <xf numFmtId="0" fontId="3" fillId="0" borderId="0" xfId="0" applyFont="1" applyBorder="1"/>
    <xf numFmtId="0" fontId="10" fillId="0" borderId="0" xfId="0" applyFont="1" applyAlignment="1">
      <alignment horizontal="center" wrapText="1"/>
    </xf>
    <xf numFmtId="0" fontId="8" fillId="3" borderId="0" xfId="0" applyFont="1" applyFill="1" applyAlignment="1"/>
    <xf numFmtId="0" fontId="8" fillId="3" borderId="0" xfId="0" applyFont="1" applyFill="1" applyAlignment="1">
      <alignment horizontal="center"/>
    </xf>
    <xf numFmtId="0" fontId="19" fillId="0" borderId="0" xfId="0" applyFont="1" applyAlignment="1">
      <alignment horizontal="center" wrapText="1"/>
    </xf>
    <xf numFmtId="0" fontId="9" fillId="0" borderId="0" xfId="0" applyFont="1" applyAlignment="1">
      <alignment horizontal="center" wrapText="1"/>
    </xf>
    <xf numFmtId="0" fontId="0" fillId="0" borderId="0" xfId="0"/>
    <xf numFmtId="0" fontId="20" fillId="0" borderId="0" xfId="0" applyFont="1" applyFill="1"/>
    <xf numFmtId="0" fontId="3" fillId="0" borderId="0" xfId="0" applyFont="1" applyAlignment="1">
      <alignment horizontal="center"/>
    </xf>
    <xf numFmtId="0" fontId="6" fillId="3" borderId="9" xfId="0" applyFont="1" applyFill="1" applyBorder="1" applyAlignment="1">
      <alignment horizontal="center"/>
    </xf>
    <xf numFmtId="0" fontId="3" fillId="0" borderId="5" xfId="0" applyFont="1" applyBorder="1" applyAlignment="1">
      <alignment horizontal="center"/>
    </xf>
    <xf numFmtId="0" fontId="3" fillId="0" borderId="0" xfId="0" applyFont="1"/>
    <xf numFmtId="0" fontId="0" fillId="2" borderId="0" xfId="0" applyFill="1" applyAlignment="1" applyProtection="1">
      <alignment wrapText="1"/>
      <protection locked="0"/>
    </xf>
    <xf numFmtId="0" fontId="2" fillId="0" borderId="0" xfId="0" applyFont="1" applyAlignment="1">
      <alignment horizontal="right"/>
    </xf>
    <xf numFmtId="0" fontId="3" fillId="0" borderId="9" xfId="0" applyFont="1" applyFill="1" applyBorder="1" applyAlignment="1">
      <alignment horizontal="right"/>
    </xf>
    <xf numFmtId="0" fontId="2" fillId="0" borderId="1" xfId="0" applyFont="1" applyBorder="1" applyAlignment="1">
      <alignment horizontal="center"/>
    </xf>
    <xf numFmtId="0" fontId="2" fillId="2" borderId="3" xfId="0" applyFont="1" applyFill="1" applyBorder="1" applyAlignment="1" applyProtection="1">
      <alignment horizontal="left"/>
      <protection locked="0"/>
    </xf>
    <xf numFmtId="0" fontId="20" fillId="0" borderId="0" xfId="0" applyFont="1" applyFill="1" applyBorder="1"/>
    <xf numFmtId="0" fontId="5" fillId="2" borderId="5" xfId="0" applyFont="1" applyFill="1" applyBorder="1" applyProtection="1">
      <protection locked="0"/>
    </xf>
    <xf numFmtId="0" fontId="5" fillId="2" borderId="3" xfId="0" applyFont="1" applyFill="1" applyBorder="1" applyProtection="1">
      <protection locked="0"/>
    </xf>
    <xf numFmtId="0" fontId="3" fillId="0" borderId="0" xfId="0" applyFont="1" applyBorder="1" applyAlignment="1">
      <alignment horizontal="right"/>
    </xf>
    <xf numFmtId="0" fontId="6" fillId="3" borderId="0" xfId="0" applyFont="1" applyFill="1" applyAlignment="1">
      <alignment horizontal="center"/>
    </xf>
    <xf numFmtId="0" fontId="12" fillId="0" borderId="1" xfId="0" applyFont="1" applyFill="1" applyBorder="1" applyAlignment="1" applyProtection="1">
      <alignment horizontal="center"/>
    </xf>
    <xf numFmtId="0" fontId="4" fillId="0" borderId="6" xfId="0" applyFont="1" applyBorder="1" applyAlignment="1" applyProtection="1">
      <alignment horizontal="center" wrapText="1"/>
    </xf>
    <xf numFmtId="0" fontId="4" fillId="0" borderId="7" xfId="0" applyFont="1" applyBorder="1" applyAlignment="1" applyProtection="1">
      <alignment horizontal="center" wrapText="1"/>
    </xf>
    <xf numFmtId="0" fontId="2" fillId="0" borderId="2" xfId="0" applyFont="1" applyBorder="1" applyAlignment="1" applyProtection="1">
      <alignment horizontal="center"/>
    </xf>
    <xf numFmtId="0" fontId="2" fillId="0" borderId="4" xfId="0" applyFont="1" applyBorder="1" applyAlignment="1" applyProtection="1">
      <alignment horizontal="center"/>
    </xf>
    <xf numFmtId="0" fontId="2" fillId="0" borderId="6" xfId="0" applyFont="1" applyBorder="1" applyAlignment="1" applyProtection="1">
      <alignment horizontal="center" vertical="center"/>
    </xf>
    <xf numFmtId="0" fontId="2" fillId="0" borderId="8" xfId="0" applyFont="1" applyBorder="1" applyAlignment="1" applyProtection="1">
      <alignment horizontal="center" vertical="center"/>
    </xf>
    <xf numFmtId="0" fontId="2" fillId="0" borderId="7" xfId="0" applyFont="1" applyBorder="1" applyAlignment="1" applyProtection="1">
      <alignment horizontal="center" vertical="center"/>
    </xf>
    <xf numFmtId="0" fontId="2" fillId="0" borderId="6" xfId="0" applyFont="1" applyBorder="1" applyAlignment="1" applyProtection="1">
      <alignment horizontal="center"/>
    </xf>
    <xf numFmtId="0" fontId="2" fillId="0" borderId="8" xfId="0" applyFont="1" applyBorder="1" applyAlignment="1" applyProtection="1">
      <alignment horizontal="center"/>
    </xf>
    <xf numFmtId="0" fontId="2" fillId="0" borderId="7" xfId="0" applyFont="1" applyBorder="1" applyAlignment="1" applyProtection="1">
      <alignment horizontal="center"/>
    </xf>
    <xf numFmtId="0" fontId="4" fillId="0" borderId="10" xfId="0" applyFont="1" applyBorder="1" applyAlignment="1" applyProtection="1">
      <alignment horizontal="center"/>
    </xf>
    <xf numFmtId="0" fontId="4" fillId="0" borderId="5" xfId="0" applyFont="1" applyBorder="1" applyAlignment="1" applyProtection="1">
      <alignment horizontal="center"/>
    </xf>
    <xf numFmtId="0" fontId="4" fillId="0" borderId="1" xfId="0" applyFont="1" applyBorder="1" applyAlignment="1" applyProtection="1">
      <alignment horizontal="center"/>
    </xf>
    <xf numFmtId="0" fontId="2" fillId="0" borderId="1" xfId="0" applyFont="1" applyBorder="1" applyAlignment="1" applyProtection="1">
      <alignment horizontal="center"/>
    </xf>
    <xf numFmtId="0" fontId="25" fillId="0" borderId="5" xfId="0" applyFont="1" applyBorder="1" applyAlignment="1" applyProtection="1">
      <alignment horizontal="center"/>
    </xf>
    <xf numFmtId="0" fontId="1" fillId="0" borderId="0" xfId="0" applyFont="1" applyAlignment="1" applyProtection="1">
      <alignment wrapText="1"/>
    </xf>
    <xf numFmtId="0" fontId="31" fillId="6" borderId="2" xfId="0" applyFont="1" applyFill="1" applyBorder="1" applyAlignment="1">
      <alignment vertical="center" wrapText="1"/>
    </xf>
    <xf numFmtId="0" fontId="31" fillId="7" borderId="2" xfId="0" applyFont="1" applyFill="1" applyBorder="1" applyAlignment="1">
      <alignment vertical="center" wrapText="1"/>
    </xf>
    <xf numFmtId="0" fontId="31" fillId="7" borderId="19" xfId="0" applyFont="1" applyFill="1" applyBorder="1" applyAlignment="1">
      <alignment vertical="center" wrapText="1"/>
    </xf>
    <xf numFmtId="0" fontId="1" fillId="0" borderId="15" xfId="0" applyFont="1" applyBorder="1" applyAlignment="1">
      <alignment vertical="center"/>
    </xf>
    <xf numFmtId="0" fontId="1" fillId="0" borderId="1" xfId="0" applyFont="1" applyBorder="1" applyAlignment="1">
      <alignment vertical="center"/>
    </xf>
    <xf numFmtId="0" fontId="1" fillId="0" borderId="18" xfId="0" applyFont="1" applyBorder="1" applyAlignment="1">
      <alignment vertical="center"/>
    </xf>
    <xf numFmtId="0" fontId="0" fillId="0" borderId="0" xfId="0" applyAlignment="1">
      <alignment wrapText="1"/>
    </xf>
    <xf numFmtId="0" fontId="31" fillId="5" borderId="16" xfId="0" applyFont="1" applyFill="1" applyBorder="1" applyAlignment="1">
      <alignment vertical="center" wrapText="1"/>
    </xf>
    <xf numFmtId="0" fontId="31" fillId="5" borderId="2" xfId="0" applyFont="1" applyFill="1" applyBorder="1" applyAlignment="1">
      <alignment vertical="center" wrapText="1"/>
    </xf>
    <xf numFmtId="0" fontId="31" fillId="6" borderId="2" xfId="0" applyFont="1" applyFill="1" applyBorder="1" applyAlignment="1">
      <alignment horizontal="left" vertical="center" wrapText="1"/>
    </xf>
    <xf numFmtId="0" fontId="31" fillId="8" borderId="22" xfId="0" applyFont="1" applyFill="1" applyBorder="1" applyAlignment="1">
      <alignment vertical="center" wrapText="1"/>
    </xf>
    <xf numFmtId="0" fontId="31" fillId="8" borderId="2" xfId="0" applyFont="1" applyFill="1" applyBorder="1" applyAlignment="1">
      <alignment vertical="center" wrapText="1"/>
    </xf>
    <xf numFmtId="0" fontId="31" fillId="9" borderId="22" xfId="0" applyFont="1" applyFill="1" applyBorder="1" applyAlignment="1">
      <alignment wrapText="1"/>
    </xf>
    <xf numFmtId="0" fontId="31" fillId="9" borderId="2" xfId="0" applyFont="1" applyFill="1" applyBorder="1" applyAlignment="1">
      <alignment wrapText="1"/>
    </xf>
    <xf numFmtId="0" fontId="1" fillId="0" borderId="21" xfId="0" applyFont="1" applyBorder="1" applyAlignment="1">
      <alignment vertical="center"/>
    </xf>
    <xf numFmtId="0" fontId="31" fillId="10" borderId="2" xfId="0" applyFont="1" applyFill="1" applyBorder="1" applyAlignment="1">
      <alignment vertical="center" wrapText="1"/>
    </xf>
    <xf numFmtId="0" fontId="31" fillId="10" borderId="10" xfId="0" applyFont="1" applyFill="1" applyBorder="1" applyAlignment="1">
      <alignment vertical="center" wrapText="1"/>
    </xf>
    <xf numFmtId="0" fontId="31" fillId="10" borderId="19" xfId="0" applyFont="1" applyFill="1" applyBorder="1" applyAlignment="1">
      <alignment vertical="center" wrapText="1"/>
    </xf>
    <xf numFmtId="0" fontId="31" fillId="6" borderId="24" xfId="0" applyFont="1" applyFill="1" applyBorder="1" applyAlignment="1">
      <alignment vertical="center" wrapText="1"/>
    </xf>
    <xf numFmtId="0" fontId="31" fillId="6" borderId="25" xfId="0" applyFont="1" applyFill="1" applyBorder="1" applyAlignment="1">
      <alignment vertical="center" wrapText="1"/>
    </xf>
    <xf numFmtId="0" fontId="31" fillId="6" borderId="26" xfId="0" applyFont="1" applyFill="1" applyBorder="1" applyAlignment="1">
      <alignment vertical="center" wrapText="1"/>
    </xf>
    <xf numFmtId="0" fontId="1" fillId="0" borderId="28" xfId="0" applyFont="1" applyBorder="1" applyAlignment="1">
      <alignment horizontal="center" vertical="center"/>
    </xf>
    <xf numFmtId="0" fontId="1" fillId="0" borderId="0" xfId="0" applyFont="1" applyBorder="1" applyAlignment="1">
      <alignment horizontal="center" vertical="center"/>
    </xf>
    <xf numFmtId="0" fontId="1" fillId="0" borderId="5" xfId="0" applyFont="1" applyBorder="1" applyAlignment="1">
      <alignment horizontal="center" vertical="center"/>
    </xf>
    <xf numFmtId="0" fontId="31" fillId="11" borderId="6" xfId="0" applyFont="1" applyFill="1" applyBorder="1" applyAlignment="1">
      <alignment horizontal="center" wrapText="1"/>
    </xf>
    <xf numFmtId="0" fontId="31" fillId="11" borderId="7" xfId="0" applyFont="1" applyFill="1" applyBorder="1" applyAlignment="1">
      <alignment horizontal="center" wrapText="1"/>
    </xf>
    <xf numFmtId="0" fontId="1" fillId="0" borderId="0" xfId="0" applyFont="1" applyBorder="1" applyAlignment="1">
      <alignment vertical="center"/>
    </xf>
    <xf numFmtId="0" fontId="31" fillId="7" borderId="0" xfId="0" applyFont="1" applyFill="1" applyBorder="1" applyAlignment="1">
      <alignment vertical="center" wrapText="1"/>
    </xf>
    <xf numFmtId="0" fontId="31" fillId="8" borderId="0" xfId="0" applyFont="1" applyFill="1" applyBorder="1" applyAlignment="1">
      <alignment vertical="center" wrapText="1"/>
    </xf>
    <xf numFmtId="0" fontId="31" fillId="5" borderId="0" xfId="0" applyFont="1" applyFill="1" applyBorder="1" applyAlignment="1">
      <alignment horizontal="center" vertical="center" wrapText="1"/>
    </xf>
    <xf numFmtId="0" fontId="31" fillId="9" borderId="0" xfId="0" applyFont="1" applyFill="1" applyAlignment="1">
      <alignment vertical="center" wrapText="1"/>
    </xf>
    <xf numFmtId="0" fontId="31" fillId="10" borderId="0" xfId="0" applyFont="1" applyFill="1" applyAlignment="1">
      <alignment vertical="center"/>
    </xf>
    <xf numFmtId="0" fontId="31" fillId="12" borderId="0" xfId="0" applyFont="1" applyFill="1" applyBorder="1" applyAlignment="1">
      <alignment vertical="center" wrapText="1"/>
    </xf>
    <xf numFmtId="0" fontId="0" fillId="0" borderId="27" xfId="0" applyBorder="1" applyAlignment="1">
      <alignment vertical="center"/>
    </xf>
  </cellXfs>
  <cellStyles count="2">
    <cellStyle name="Normal" xfId="0" builtinId="0"/>
    <cellStyle name="Percent" xfId="1" builtinId="5"/>
  </cellStyles>
  <dxfs count="0"/>
  <tableStyles count="0" defaultTableStyle="TableStyleMedium2" defaultPivotStyle="PivotStyleLight16"/>
  <colors>
    <mruColors>
      <color rgb="FFFFCCFF"/>
      <color rgb="FFFFFFCC"/>
      <color rgb="FFCCFF99"/>
      <color rgb="FF0066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5"/>
  <sheetViews>
    <sheetView showGridLines="0" tabSelected="1" zoomScale="132" zoomScaleNormal="132" workbookViewId="0">
      <selection sqref="A1:C1"/>
    </sheetView>
  </sheetViews>
  <sheetFormatPr defaultRowHeight="15" x14ac:dyDescent="0.25"/>
  <cols>
    <col min="1" max="1" width="5" customWidth="1"/>
    <col min="2" max="2" width="3.42578125" style="44" customWidth="1"/>
    <col min="3" max="3" width="79.28515625" customWidth="1"/>
  </cols>
  <sheetData>
    <row r="1" spans="1:3" ht="15.6" customHeight="1" x14ac:dyDescent="0.25">
      <c r="A1" s="179" t="s">
        <v>14</v>
      </c>
      <c r="B1" s="179"/>
      <c r="C1" s="179"/>
    </row>
    <row r="2" spans="1:3" ht="15.6" customHeight="1" x14ac:dyDescent="0.25">
      <c r="A2" s="179" t="s">
        <v>73</v>
      </c>
      <c r="B2" s="179"/>
      <c r="C2" s="179"/>
    </row>
    <row r="3" spans="1:3" ht="15.75" x14ac:dyDescent="0.25">
      <c r="A3" s="180" t="s">
        <v>273</v>
      </c>
      <c r="B3" s="180"/>
      <c r="C3" s="180"/>
    </row>
    <row r="4" spans="1:3" s="147" customFormat="1" ht="15.75" customHeight="1" x14ac:dyDescent="0.25">
      <c r="A4" s="151"/>
      <c r="B4" s="150"/>
      <c r="C4" s="150"/>
    </row>
    <row r="5" spans="1:3" s="148" customFormat="1" ht="15.75" customHeight="1" x14ac:dyDescent="0.25">
      <c r="A5" s="182" t="s">
        <v>274</v>
      </c>
      <c r="B5" s="182"/>
      <c r="C5" s="182"/>
    </row>
    <row r="6" spans="1:3" s="150" customFormat="1" ht="11.25" customHeight="1" x14ac:dyDescent="0.25">
      <c r="A6" s="182"/>
      <c r="B6" s="182"/>
      <c r="C6" s="182"/>
    </row>
    <row r="7" spans="1:3" s="150" customFormat="1" ht="11.25" customHeight="1" x14ac:dyDescent="0.25">
      <c r="A7" s="166"/>
      <c r="B7" s="166"/>
      <c r="C7" s="166"/>
    </row>
    <row r="8" spans="1:3" s="150" customFormat="1" ht="11.25" customHeight="1" x14ac:dyDescent="0.25">
      <c r="A8" s="181" t="s">
        <v>275</v>
      </c>
      <c r="B8" s="181"/>
      <c r="C8" s="181"/>
    </row>
    <row r="9" spans="1:3" s="150" customFormat="1" ht="11.25" customHeight="1" x14ac:dyDescent="0.25">
      <c r="A9" s="181" t="s">
        <v>276</v>
      </c>
      <c r="B9" s="181"/>
      <c r="C9" s="181"/>
    </row>
    <row r="10" spans="1:3" s="150" customFormat="1" ht="11.25" customHeight="1" x14ac:dyDescent="0.25">
      <c r="A10" s="166"/>
      <c r="B10" s="166"/>
      <c r="C10" s="166"/>
    </row>
    <row r="11" spans="1:3" s="147" customFormat="1" ht="15.75" x14ac:dyDescent="0.25">
      <c r="A11" s="169" t="s">
        <v>63</v>
      </c>
      <c r="B11" s="169"/>
      <c r="C11" s="169"/>
    </row>
    <row r="12" spans="1:3" s="26" customFormat="1" ht="32.1" customHeight="1" x14ac:dyDescent="0.25">
      <c r="A12" s="183"/>
      <c r="B12" s="185" t="s">
        <v>175</v>
      </c>
      <c r="C12" s="185"/>
    </row>
    <row r="13" spans="1:3" s="33" customFormat="1" ht="45" customHeight="1" x14ac:dyDescent="0.25">
      <c r="A13" s="183"/>
      <c r="B13" s="186" t="s">
        <v>277</v>
      </c>
      <c r="C13" s="186"/>
    </row>
    <row r="14" spans="1:3" s="3" customFormat="1" ht="10.15" customHeight="1" x14ac:dyDescent="0.2">
      <c r="A14" s="184"/>
      <c r="B14" s="184"/>
      <c r="C14" s="184"/>
    </row>
    <row r="15" spans="1:3" s="33" customFormat="1" ht="15.6" customHeight="1" x14ac:dyDescent="0.25">
      <c r="A15" s="169" t="s">
        <v>43</v>
      </c>
      <c r="B15" s="169"/>
      <c r="C15" s="169"/>
    </row>
    <row r="16" spans="1:3" s="33" customFormat="1" ht="14.45" customHeight="1" x14ac:dyDescent="0.25">
      <c r="A16" s="189" t="s">
        <v>169</v>
      </c>
      <c r="B16" s="189"/>
      <c r="C16" s="189"/>
    </row>
    <row r="17" spans="1:3" s="33" customFormat="1" ht="15" customHeight="1" x14ac:dyDescent="0.25">
      <c r="A17" s="171"/>
      <c r="B17" s="188" t="s">
        <v>278</v>
      </c>
      <c r="C17" s="188"/>
    </row>
    <row r="18" spans="1:3" s="33" customFormat="1" ht="15" customHeight="1" x14ac:dyDescent="0.25">
      <c r="A18" s="171"/>
      <c r="B18" s="188" t="s">
        <v>279</v>
      </c>
      <c r="C18" s="188"/>
    </row>
    <row r="19" spans="1:3" s="3" customFormat="1" ht="11.25" x14ac:dyDescent="0.2">
      <c r="A19" s="184"/>
      <c r="B19" s="184"/>
      <c r="C19" s="184"/>
    </row>
    <row r="20" spans="1:3" ht="15.75" x14ac:dyDescent="0.25">
      <c r="A20" s="169" t="s">
        <v>37</v>
      </c>
      <c r="B20" s="169"/>
      <c r="C20" s="169"/>
    </row>
    <row r="21" spans="1:3" x14ac:dyDescent="0.25">
      <c r="A21" s="53" t="s">
        <v>28</v>
      </c>
      <c r="B21" s="187" t="s">
        <v>44</v>
      </c>
      <c r="C21" s="187"/>
    </row>
    <row r="22" spans="1:3" ht="15.75" x14ac:dyDescent="0.25">
      <c r="A22" s="163">
        <v>1</v>
      </c>
      <c r="B22" s="169" t="s">
        <v>280</v>
      </c>
      <c r="C22" s="169"/>
    </row>
    <row r="23" spans="1:3" s="12" customFormat="1" ht="15" customHeight="1" x14ac:dyDescent="0.25">
      <c r="A23" s="172">
        <v>2</v>
      </c>
      <c r="B23" s="173" t="s">
        <v>186</v>
      </c>
      <c r="C23" s="173"/>
    </row>
    <row r="24" spans="1:3" s="12" customFormat="1" ht="15.75" customHeight="1" x14ac:dyDescent="0.25">
      <c r="A24" s="172"/>
      <c r="B24" s="172"/>
      <c r="C24" s="165" t="s">
        <v>185</v>
      </c>
    </row>
    <row r="25" spans="1:3" ht="15.75" customHeight="1" x14ac:dyDescent="0.25">
      <c r="A25" s="172"/>
      <c r="B25" s="172"/>
      <c r="C25" s="54" t="s">
        <v>29</v>
      </c>
    </row>
    <row r="26" spans="1:3" ht="15.75" customHeight="1" x14ac:dyDescent="0.25">
      <c r="A26" s="172"/>
      <c r="B26" s="172"/>
      <c r="C26" s="54" t="s">
        <v>170</v>
      </c>
    </row>
    <row r="27" spans="1:3" s="33" customFormat="1" ht="30" customHeight="1" x14ac:dyDescent="0.25">
      <c r="A27" s="172">
        <v>3</v>
      </c>
      <c r="B27" s="177" t="s">
        <v>281</v>
      </c>
      <c r="C27" s="177"/>
    </row>
    <row r="28" spans="1:3" s="33" customFormat="1" ht="15.75" customHeight="1" x14ac:dyDescent="0.25">
      <c r="A28" s="172"/>
      <c r="B28" s="172"/>
      <c r="C28" s="54" t="s">
        <v>184</v>
      </c>
    </row>
    <row r="29" spans="1:3" s="33" customFormat="1" ht="15.75" customHeight="1" x14ac:dyDescent="0.25">
      <c r="A29" s="172"/>
      <c r="B29" s="172"/>
      <c r="C29" s="54" t="s">
        <v>233</v>
      </c>
    </row>
    <row r="30" spans="1:3" ht="15.75" x14ac:dyDescent="0.25">
      <c r="A30" s="172">
        <v>4</v>
      </c>
      <c r="B30" s="176" t="s">
        <v>42</v>
      </c>
      <c r="C30" s="176"/>
    </row>
    <row r="31" spans="1:3" ht="31.5" x14ac:dyDescent="0.25">
      <c r="A31" s="172"/>
      <c r="B31" s="178" t="s">
        <v>234</v>
      </c>
      <c r="C31" s="164" t="s">
        <v>282</v>
      </c>
    </row>
    <row r="32" spans="1:3" s="44" customFormat="1" ht="15.75" x14ac:dyDescent="0.25">
      <c r="A32" s="172"/>
      <c r="B32" s="178"/>
      <c r="C32" s="164" t="s">
        <v>283</v>
      </c>
    </row>
    <row r="33" spans="1:3" s="44" customFormat="1" ht="31.5" x14ac:dyDescent="0.25">
      <c r="A33" s="172"/>
      <c r="B33" s="178"/>
      <c r="C33" s="164" t="s">
        <v>284</v>
      </c>
    </row>
    <row r="34" spans="1:3" s="33" customFormat="1" ht="18.75" x14ac:dyDescent="0.3">
      <c r="A34" s="172"/>
      <c r="B34" s="178"/>
      <c r="C34" s="153" t="s">
        <v>239</v>
      </c>
    </row>
    <row r="35" spans="1:3" s="33" customFormat="1" ht="103.5" x14ac:dyDescent="0.25">
      <c r="A35" s="172"/>
      <c r="B35" s="178"/>
      <c r="C35" s="133" t="s">
        <v>285</v>
      </c>
    </row>
    <row r="36" spans="1:3" s="33" customFormat="1" ht="93.75" x14ac:dyDescent="0.3">
      <c r="A36" s="172"/>
      <c r="B36" s="178"/>
      <c r="C36" s="165" t="s">
        <v>286</v>
      </c>
    </row>
    <row r="37" spans="1:3" s="33" customFormat="1" ht="45" x14ac:dyDescent="0.25">
      <c r="A37" s="172"/>
      <c r="B37" s="178"/>
      <c r="C37" s="56" t="s">
        <v>287</v>
      </c>
    </row>
    <row r="38" spans="1:3" s="33" customFormat="1" ht="30" x14ac:dyDescent="0.25">
      <c r="A38" s="172"/>
      <c r="B38" s="178"/>
      <c r="C38" s="165" t="s">
        <v>172</v>
      </c>
    </row>
    <row r="39" spans="1:3" ht="31.5" x14ac:dyDescent="0.25">
      <c r="A39" s="172"/>
      <c r="B39" s="178" t="s">
        <v>235</v>
      </c>
      <c r="C39" s="164" t="s">
        <v>288</v>
      </c>
    </row>
    <row r="40" spans="1:3" s="33" customFormat="1" ht="30" x14ac:dyDescent="0.25">
      <c r="A40" s="172"/>
      <c r="B40" s="178"/>
      <c r="C40" s="165" t="s">
        <v>174</v>
      </c>
    </row>
    <row r="41" spans="1:3" s="33" customFormat="1" ht="45" customHeight="1" x14ac:dyDescent="0.25">
      <c r="A41" s="172"/>
      <c r="B41" s="178"/>
      <c r="C41" s="165" t="s">
        <v>289</v>
      </c>
    </row>
    <row r="42" spans="1:3" ht="47.25" x14ac:dyDescent="0.25">
      <c r="A42" s="172"/>
      <c r="B42" s="178" t="s">
        <v>236</v>
      </c>
      <c r="C42" s="164" t="s">
        <v>290</v>
      </c>
    </row>
    <row r="43" spans="1:3" s="33" customFormat="1" ht="60" x14ac:dyDescent="0.25">
      <c r="A43" s="172"/>
      <c r="B43" s="178"/>
      <c r="C43" s="165" t="s">
        <v>240</v>
      </c>
    </row>
    <row r="44" spans="1:3" ht="31.5" x14ac:dyDescent="0.25">
      <c r="A44" s="172"/>
      <c r="B44" s="178" t="s">
        <v>237</v>
      </c>
      <c r="C44" s="164" t="s">
        <v>291</v>
      </c>
    </row>
    <row r="45" spans="1:3" s="33" customFormat="1" ht="15.75" x14ac:dyDescent="0.25">
      <c r="A45" s="172"/>
      <c r="B45" s="178"/>
      <c r="C45" s="164" t="s">
        <v>171</v>
      </c>
    </row>
    <row r="46" spans="1:3" s="33" customFormat="1" ht="15.75" customHeight="1" x14ac:dyDescent="0.25">
      <c r="A46" s="172"/>
      <c r="B46" s="178"/>
      <c r="C46" s="55" t="s">
        <v>283</v>
      </c>
    </row>
    <row r="47" spans="1:3" s="33" customFormat="1" ht="31.5" x14ac:dyDescent="0.25">
      <c r="A47" s="172"/>
      <c r="B47" s="178"/>
      <c r="C47" s="164" t="s">
        <v>292</v>
      </c>
    </row>
    <row r="48" spans="1:3" ht="30" customHeight="1" x14ac:dyDescent="0.25">
      <c r="A48" s="172"/>
      <c r="B48" s="178"/>
      <c r="C48" s="165" t="s">
        <v>180</v>
      </c>
    </row>
    <row r="49" spans="1:3" ht="47.1" customHeight="1" x14ac:dyDescent="0.25">
      <c r="A49" s="162">
        <v>5</v>
      </c>
      <c r="B49" s="177" t="s">
        <v>293</v>
      </c>
      <c r="C49" s="177"/>
    </row>
    <row r="50" spans="1:3" s="33" customFormat="1" ht="32.1" customHeight="1" x14ac:dyDescent="0.25">
      <c r="A50" s="172">
        <v>6</v>
      </c>
      <c r="B50" s="190" t="s">
        <v>41</v>
      </c>
      <c r="C50" s="190"/>
    </row>
    <row r="51" spans="1:3" s="33" customFormat="1" ht="15.75" x14ac:dyDescent="0.25">
      <c r="A51" s="172"/>
      <c r="B51" s="172"/>
      <c r="C51" s="59" t="s">
        <v>182</v>
      </c>
    </row>
    <row r="52" spans="1:3" s="33" customFormat="1" ht="30" x14ac:dyDescent="0.25">
      <c r="A52" s="172"/>
      <c r="B52" s="172"/>
      <c r="C52" s="165" t="s">
        <v>57</v>
      </c>
    </row>
    <row r="53" spans="1:3" s="33" customFormat="1" ht="30" x14ac:dyDescent="0.25">
      <c r="A53" s="172"/>
      <c r="B53" s="172"/>
      <c r="C53" s="165" t="s">
        <v>183</v>
      </c>
    </row>
    <row r="54" spans="1:3" s="33" customFormat="1" ht="45" x14ac:dyDescent="0.25">
      <c r="A54" s="172"/>
      <c r="B54" s="172"/>
      <c r="C54" s="165" t="s">
        <v>294</v>
      </c>
    </row>
    <row r="55" spans="1:3" ht="30" x14ac:dyDescent="0.25">
      <c r="A55" s="172"/>
      <c r="B55" s="172"/>
      <c r="C55" s="165" t="s">
        <v>173</v>
      </c>
    </row>
    <row r="56" spans="1:3" s="3" customFormat="1" ht="11.25" x14ac:dyDescent="0.2">
      <c r="A56" s="184"/>
      <c r="B56" s="184"/>
      <c r="C56" s="184"/>
    </row>
    <row r="57" spans="1:3" ht="15.75" x14ac:dyDescent="0.25">
      <c r="A57" s="169" t="s">
        <v>64</v>
      </c>
      <c r="B57" s="169"/>
      <c r="C57" s="169"/>
    </row>
    <row r="58" spans="1:3" x14ac:dyDescent="0.25">
      <c r="A58" s="53" t="s">
        <v>28</v>
      </c>
      <c r="B58" s="187" t="s">
        <v>44</v>
      </c>
      <c r="C58" s="187"/>
    </row>
    <row r="59" spans="1:3" ht="47.1" customHeight="1" x14ac:dyDescent="0.25">
      <c r="A59" s="172">
        <v>1</v>
      </c>
      <c r="B59" s="174" t="s">
        <v>295</v>
      </c>
      <c r="C59" s="174"/>
    </row>
    <row r="60" spans="1:3" s="44" customFormat="1" ht="45" x14ac:dyDescent="0.25">
      <c r="A60" s="172"/>
      <c r="B60" s="174"/>
      <c r="C60" s="56" t="s">
        <v>59</v>
      </c>
    </row>
    <row r="61" spans="1:3" s="23" customFormat="1" ht="30" x14ac:dyDescent="0.25">
      <c r="A61" s="172"/>
      <c r="B61" s="174"/>
      <c r="C61" s="165" t="s">
        <v>60</v>
      </c>
    </row>
    <row r="62" spans="1:3" s="44" customFormat="1" ht="45" customHeight="1" x14ac:dyDescent="0.25">
      <c r="A62" s="172"/>
      <c r="B62" s="174"/>
      <c r="C62" s="134" t="s">
        <v>178</v>
      </c>
    </row>
    <row r="63" spans="1:3" s="44" customFormat="1" ht="30" x14ac:dyDescent="0.25">
      <c r="A63" s="172"/>
      <c r="B63" s="174"/>
      <c r="C63" s="58" t="s">
        <v>177</v>
      </c>
    </row>
    <row r="64" spans="1:3" s="33" customFormat="1" ht="30" customHeight="1" x14ac:dyDescent="0.25">
      <c r="A64" s="172"/>
      <c r="B64" s="174"/>
      <c r="C64" s="58" t="s">
        <v>176</v>
      </c>
    </row>
    <row r="65" spans="1:3" s="18" customFormat="1" ht="32.1" customHeight="1" x14ac:dyDescent="0.25">
      <c r="A65" s="172">
        <v>2</v>
      </c>
      <c r="B65" s="173" t="s">
        <v>38</v>
      </c>
      <c r="C65" s="173"/>
    </row>
    <row r="66" spans="1:3" s="27" customFormat="1" ht="30" x14ac:dyDescent="0.25">
      <c r="A66" s="172"/>
      <c r="B66" s="172"/>
      <c r="C66" s="132" t="s">
        <v>241</v>
      </c>
    </row>
    <row r="67" spans="1:3" ht="30" x14ac:dyDescent="0.25">
      <c r="A67" s="172"/>
      <c r="B67" s="172"/>
      <c r="C67" s="165" t="s">
        <v>181</v>
      </c>
    </row>
    <row r="68" spans="1:3" ht="30" x14ac:dyDescent="0.25">
      <c r="A68" s="172"/>
      <c r="B68" s="172"/>
      <c r="C68" s="165" t="s">
        <v>58</v>
      </c>
    </row>
    <row r="69" spans="1:3" ht="30" x14ac:dyDescent="0.25">
      <c r="A69" s="172"/>
      <c r="B69" s="172"/>
      <c r="C69" s="165" t="s">
        <v>61</v>
      </c>
    </row>
    <row r="70" spans="1:3" s="3" customFormat="1" ht="11.25" x14ac:dyDescent="0.2">
      <c r="A70" s="175"/>
      <c r="B70" s="175"/>
      <c r="C70" s="175"/>
    </row>
    <row r="71" spans="1:3" s="27" customFormat="1" ht="15.75" x14ac:dyDescent="0.25">
      <c r="A71" s="169" t="s">
        <v>65</v>
      </c>
      <c r="B71" s="169"/>
      <c r="C71" s="169"/>
    </row>
    <row r="72" spans="1:3" ht="47.1" customHeight="1" x14ac:dyDescent="0.25">
      <c r="A72" s="43"/>
      <c r="B72" s="170" t="s">
        <v>296</v>
      </c>
      <c r="C72" s="170"/>
    </row>
    <row r="74" spans="1:3" ht="15.75" x14ac:dyDescent="0.25">
      <c r="A74" s="169" t="s">
        <v>238</v>
      </c>
      <c r="B74" s="169"/>
      <c r="C74" s="169"/>
    </row>
    <row r="75" spans="1:3" ht="45" customHeight="1" x14ac:dyDescent="0.25">
      <c r="A75" s="167"/>
      <c r="B75" s="170" t="s">
        <v>297</v>
      </c>
      <c r="C75" s="170"/>
    </row>
  </sheetData>
  <sheetProtection password="85B3" sheet="1" objects="1" scenarios="1" selectLockedCells="1" selectUnlockedCells="1"/>
  <customSheetViews>
    <customSheetView guid="{367BCCA4-BB9C-4067-9872-BFA4777F9377}" scale="132" showGridLines="0" topLeftCell="A25">
      <selection activeCell="C24" sqref="C24"/>
      <pageMargins left="0.7" right="0.7" top="0.75" bottom="0.5" header="0.3" footer="0.3"/>
      <pageSetup orientation="portrait" r:id="rId1"/>
      <headerFooter>
        <oddFooter xml:space="preserve">&amp;L&amp;9Directions for Completing Form&amp;R&amp;9Page &amp;P &amp;11 </oddFooter>
      </headerFooter>
    </customSheetView>
  </customSheetViews>
  <mergeCells count="50">
    <mergeCell ref="B28:B29"/>
    <mergeCell ref="B31:B38"/>
    <mergeCell ref="B39:B41"/>
    <mergeCell ref="A65:A69"/>
    <mergeCell ref="A15:C15"/>
    <mergeCell ref="A16:C16"/>
    <mergeCell ref="A56:C56"/>
    <mergeCell ref="A19:C19"/>
    <mergeCell ref="A57:C57"/>
    <mergeCell ref="A30:A48"/>
    <mergeCell ref="B44:B48"/>
    <mergeCell ref="B49:C49"/>
    <mergeCell ref="B50:C50"/>
    <mergeCell ref="B51:B55"/>
    <mergeCell ref="B58:C58"/>
    <mergeCell ref="B59:C59"/>
    <mergeCell ref="A23:A26"/>
    <mergeCell ref="B12:C12"/>
    <mergeCell ref="B13:C13"/>
    <mergeCell ref="B22:C22"/>
    <mergeCell ref="B23:C23"/>
    <mergeCell ref="B21:C21"/>
    <mergeCell ref="B17:C17"/>
    <mergeCell ref="B18:C18"/>
    <mergeCell ref="A1:C1"/>
    <mergeCell ref="A3:C3"/>
    <mergeCell ref="A2:C2"/>
    <mergeCell ref="A20:C20"/>
    <mergeCell ref="A11:C11"/>
    <mergeCell ref="A9:C9"/>
    <mergeCell ref="A8:C8"/>
    <mergeCell ref="A5:C6"/>
    <mergeCell ref="A12:A13"/>
    <mergeCell ref="A14:C14"/>
    <mergeCell ref="A74:C74"/>
    <mergeCell ref="B75:C75"/>
    <mergeCell ref="A17:A18"/>
    <mergeCell ref="A27:A29"/>
    <mergeCell ref="B65:C65"/>
    <mergeCell ref="B60:B64"/>
    <mergeCell ref="B66:B69"/>
    <mergeCell ref="A70:C70"/>
    <mergeCell ref="B72:C72"/>
    <mergeCell ref="A71:C71"/>
    <mergeCell ref="B30:C30"/>
    <mergeCell ref="B27:C27"/>
    <mergeCell ref="B24:B26"/>
    <mergeCell ref="A59:A64"/>
    <mergeCell ref="A50:A55"/>
    <mergeCell ref="B42:B43"/>
  </mergeCells>
  <pageMargins left="0.7" right="0.7" top="0.75" bottom="0.5" header="0.3" footer="0.3"/>
  <pageSetup orientation="portrait" r:id="rId2"/>
  <headerFooter>
    <oddFooter xml:space="preserve">&amp;L&amp;9Directions for Completing Form&amp;R&amp;9Page &amp;P &amp;11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99"/>
  <sheetViews>
    <sheetView showGridLines="0" topLeftCell="A4" zoomScale="88" zoomScaleNormal="88" workbookViewId="0">
      <selection activeCell="C26" sqref="C26"/>
    </sheetView>
  </sheetViews>
  <sheetFormatPr defaultRowHeight="15" x14ac:dyDescent="0.25"/>
  <cols>
    <col min="1" max="1" width="15.5703125" customWidth="1"/>
    <col min="2" max="2" width="26.85546875" customWidth="1"/>
    <col min="3" max="3" width="44.85546875" customWidth="1"/>
    <col min="4" max="7" width="12.85546875" customWidth="1"/>
    <col min="8" max="8" width="29.140625" customWidth="1"/>
    <col min="9" max="9" width="76.5703125" customWidth="1"/>
  </cols>
  <sheetData>
    <row r="1" spans="1:9" ht="18" customHeight="1" x14ac:dyDescent="0.3">
      <c r="A1" s="210" t="s">
        <v>14</v>
      </c>
      <c r="B1" s="210"/>
      <c r="C1" s="210"/>
      <c r="D1" s="210"/>
      <c r="E1" s="210"/>
      <c r="F1" s="210"/>
      <c r="G1" s="210"/>
      <c r="H1" s="210"/>
      <c r="I1" s="210"/>
    </row>
    <row r="2" spans="1:9" ht="18" customHeight="1" x14ac:dyDescent="0.3">
      <c r="A2" s="210" t="s">
        <v>73</v>
      </c>
      <c r="B2" s="210"/>
      <c r="C2" s="210"/>
      <c r="D2" s="210"/>
      <c r="E2" s="210"/>
      <c r="F2" s="210"/>
      <c r="G2" s="210"/>
      <c r="H2" s="210"/>
      <c r="I2" s="210"/>
    </row>
    <row r="3" spans="1:9" ht="18" customHeight="1" x14ac:dyDescent="0.3">
      <c r="A3" s="210"/>
      <c r="B3" s="210"/>
      <c r="C3" s="210"/>
      <c r="D3" s="210"/>
      <c r="E3" s="210"/>
      <c r="F3" s="210"/>
      <c r="G3" s="210"/>
      <c r="H3" s="210"/>
      <c r="I3" s="210"/>
    </row>
    <row r="4" spans="1:9" ht="18" customHeight="1" x14ac:dyDescent="0.35">
      <c r="A4" s="213" t="s">
        <v>27</v>
      </c>
      <c r="B4" s="213"/>
      <c r="C4" s="213"/>
      <c r="D4" s="213"/>
      <c r="E4" s="213"/>
      <c r="F4" s="213"/>
      <c r="G4" s="213"/>
      <c r="H4" s="213"/>
      <c r="I4" s="213"/>
    </row>
    <row r="5" spans="1:9" s="3" customFormat="1" ht="11.25" customHeight="1" x14ac:dyDescent="0.2">
      <c r="A5" s="214"/>
      <c r="B5" s="214"/>
      <c r="C5" s="214"/>
      <c r="D5" s="214"/>
      <c r="E5" s="214"/>
      <c r="F5" s="214"/>
      <c r="G5" s="214"/>
      <c r="H5" s="214"/>
      <c r="I5" s="214"/>
    </row>
    <row r="6" spans="1:9" ht="15.6" x14ac:dyDescent="0.3">
      <c r="A6" s="222" t="s">
        <v>0</v>
      </c>
      <c r="B6" s="222"/>
      <c r="C6" s="222"/>
      <c r="D6" s="222"/>
      <c r="E6" s="222"/>
      <c r="F6" s="49"/>
      <c r="G6" s="21"/>
      <c r="H6" s="215" t="s">
        <v>159</v>
      </c>
      <c r="I6" s="215"/>
    </row>
    <row r="7" spans="1:9" s="10" customFormat="1" ht="12" customHeight="1" x14ac:dyDescent="0.25">
      <c r="A7" s="216"/>
      <c r="B7" s="216"/>
      <c r="C7" s="216"/>
      <c r="D7" s="216"/>
      <c r="E7" s="216"/>
      <c r="F7" s="216"/>
      <c r="G7" s="216"/>
      <c r="H7" s="216"/>
      <c r="I7" s="216"/>
    </row>
    <row r="8" spans="1:9" ht="18" x14ac:dyDescent="0.35">
      <c r="A8" s="198" t="s">
        <v>3</v>
      </c>
      <c r="B8" s="198"/>
      <c r="C8" s="198"/>
      <c r="D8" s="199"/>
      <c r="E8" s="199"/>
      <c r="F8" s="199"/>
      <c r="G8" s="199"/>
      <c r="H8" s="199"/>
      <c r="I8" s="34"/>
    </row>
    <row r="9" spans="1:9" ht="18" x14ac:dyDescent="0.35">
      <c r="A9" s="229" t="s">
        <v>6</v>
      </c>
      <c r="B9" s="229"/>
      <c r="C9" s="229"/>
      <c r="D9" s="50"/>
      <c r="E9" s="223" t="s">
        <v>158</v>
      </c>
      <c r="F9" s="223"/>
      <c r="G9" s="152" t="s">
        <v>157</v>
      </c>
      <c r="H9" s="226"/>
      <c r="I9" s="226"/>
    </row>
    <row r="10" spans="1:9" s="3" customFormat="1" ht="11.25" customHeight="1" x14ac:dyDescent="0.2">
      <c r="A10" s="212"/>
      <c r="B10" s="212"/>
      <c r="C10" s="212"/>
      <c r="D10" s="212"/>
      <c r="E10" s="212"/>
      <c r="F10" s="212"/>
      <c r="G10" s="212"/>
      <c r="H10" s="212"/>
      <c r="I10" s="212"/>
    </row>
    <row r="11" spans="1:9" ht="18" x14ac:dyDescent="0.35">
      <c r="A11" s="217" t="s">
        <v>232</v>
      </c>
      <c r="B11" s="217"/>
      <c r="C11" s="217"/>
      <c r="D11" s="217"/>
      <c r="E11" s="217"/>
      <c r="F11" s="217"/>
      <c r="G11" s="217"/>
      <c r="H11" s="217"/>
      <c r="I11" s="217"/>
    </row>
    <row r="12" spans="1:9" ht="15.6" x14ac:dyDescent="0.3">
      <c r="A12" s="222" t="s">
        <v>1</v>
      </c>
      <c r="B12" s="222"/>
      <c r="C12" s="222"/>
      <c r="D12" s="227"/>
      <c r="E12" s="227"/>
      <c r="F12" s="227"/>
      <c r="G12" s="227"/>
      <c r="H12" s="227"/>
      <c r="I12" s="33"/>
    </row>
    <row r="13" spans="1:9" ht="15.6" x14ac:dyDescent="0.3">
      <c r="A13" s="222" t="s">
        <v>2</v>
      </c>
      <c r="B13" s="222"/>
      <c r="C13" s="222"/>
      <c r="D13" s="228"/>
      <c r="E13" s="228"/>
      <c r="F13" s="228"/>
      <c r="G13" s="228"/>
      <c r="H13" s="228"/>
      <c r="I13" s="33"/>
    </row>
    <row r="14" spans="1:9" ht="15.6" x14ac:dyDescent="0.3">
      <c r="A14" s="222" t="s">
        <v>7</v>
      </c>
      <c r="B14" s="222"/>
      <c r="C14" s="222"/>
      <c r="D14" s="225"/>
      <c r="E14" s="225"/>
      <c r="F14" s="9" t="s">
        <v>161</v>
      </c>
      <c r="G14" s="6" t="s">
        <v>160</v>
      </c>
      <c r="H14" s="168"/>
      <c r="I14" s="33"/>
    </row>
    <row r="15" spans="1:9" ht="15.6" x14ac:dyDescent="0.3">
      <c r="A15" s="222" t="s">
        <v>39</v>
      </c>
      <c r="B15" s="222"/>
      <c r="C15" s="222"/>
      <c r="D15" s="207"/>
      <c r="E15" s="207"/>
      <c r="F15" s="14" t="s">
        <v>40</v>
      </c>
      <c r="G15" s="208"/>
      <c r="H15" s="208"/>
      <c r="I15" s="33"/>
    </row>
    <row r="16" spans="1:9" s="3" customFormat="1" ht="10.15" x14ac:dyDescent="0.2">
      <c r="A16" s="230"/>
      <c r="B16" s="230"/>
      <c r="C16" s="230"/>
      <c r="D16" s="230"/>
      <c r="E16" s="230"/>
      <c r="F16" s="230"/>
      <c r="G16" s="230"/>
      <c r="H16" s="230"/>
      <c r="I16" s="230"/>
    </row>
    <row r="17" spans="1:9" ht="18" x14ac:dyDescent="0.35">
      <c r="A17" s="219" t="s">
        <v>19</v>
      </c>
      <c r="B17" s="219"/>
      <c r="C17" s="219"/>
      <c r="D17" s="219"/>
      <c r="E17" s="219"/>
      <c r="F17" s="219"/>
      <c r="G17" s="219"/>
      <c r="H17" s="219"/>
      <c r="I17" s="219"/>
    </row>
    <row r="18" spans="1:9" s="1" customFormat="1" ht="15.6" x14ac:dyDescent="0.3">
      <c r="A18" s="4" t="s">
        <v>4</v>
      </c>
      <c r="B18" s="37" t="s">
        <v>100</v>
      </c>
      <c r="C18" s="37" t="s">
        <v>164</v>
      </c>
      <c r="D18" s="200" t="s">
        <v>9</v>
      </c>
      <c r="E18" s="201"/>
      <c r="F18" s="201"/>
      <c r="G18" s="201"/>
      <c r="H18" s="41" t="s">
        <v>22</v>
      </c>
      <c r="I18" s="41" t="s">
        <v>179</v>
      </c>
    </row>
    <row r="19" spans="1:9" s="7" customFormat="1" ht="18.75" customHeight="1" x14ac:dyDescent="0.3">
      <c r="A19" s="195" t="s">
        <v>15</v>
      </c>
      <c r="B19" s="36" t="s">
        <v>11</v>
      </c>
      <c r="C19" s="61"/>
      <c r="D19" s="193"/>
      <c r="E19" s="194"/>
      <c r="F19" s="194"/>
      <c r="G19" s="194"/>
      <c r="H19" s="63" t="s">
        <v>157</v>
      </c>
      <c r="I19" s="64"/>
    </row>
    <row r="20" spans="1:9" s="7" customFormat="1" ht="18.75" customHeight="1" x14ac:dyDescent="0.3">
      <c r="A20" s="196"/>
      <c r="B20" s="36" t="s">
        <v>26</v>
      </c>
      <c r="C20" s="61"/>
      <c r="D20" s="193"/>
      <c r="E20" s="194"/>
      <c r="F20" s="194"/>
      <c r="G20" s="194"/>
      <c r="H20" s="63" t="s">
        <v>157</v>
      </c>
      <c r="I20" s="64"/>
    </row>
    <row r="21" spans="1:9" s="7" customFormat="1" ht="18.75" x14ac:dyDescent="0.3">
      <c r="A21" s="196"/>
      <c r="B21" s="39" t="s">
        <v>10</v>
      </c>
      <c r="C21" s="61"/>
      <c r="D21" s="193"/>
      <c r="E21" s="194"/>
      <c r="F21" s="194"/>
      <c r="G21" s="194"/>
      <c r="H21" s="63" t="s">
        <v>157</v>
      </c>
      <c r="I21" s="64"/>
    </row>
    <row r="22" spans="1:9" s="7" customFormat="1" ht="18.75" customHeight="1" x14ac:dyDescent="0.3">
      <c r="A22" s="196"/>
      <c r="B22" s="35" t="s">
        <v>81</v>
      </c>
      <c r="C22" s="61"/>
      <c r="D22" s="193"/>
      <c r="E22" s="194"/>
      <c r="F22" s="194"/>
      <c r="G22" s="194"/>
      <c r="H22" s="63" t="s">
        <v>157</v>
      </c>
      <c r="I22" s="64"/>
    </row>
    <row r="23" spans="1:9" s="7" customFormat="1" ht="18.75" customHeight="1" x14ac:dyDescent="0.3">
      <c r="A23" s="197"/>
      <c r="B23" s="35" t="s">
        <v>74</v>
      </c>
      <c r="C23" s="61"/>
      <c r="D23" s="193"/>
      <c r="E23" s="194"/>
      <c r="F23" s="194"/>
      <c r="G23" s="194"/>
      <c r="H23" s="63" t="s">
        <v>157</v>
      </c>
      <c r="I23" s="64"/>
    </row>
    <row r="24" spans="1:9" s="7" customFormat="1" ht="18.75" customHeight="1" x14ac:dyDescent="0.3">
      <c r="A24" s="195" t="s">
        <v>16</v>
      </c>
      <c r="B24" s="36" t="s">
        <v>23</v>
      </c>
      <c r="C24" s="61"/>
      <c r="D24" s="193"/>
      <c r="E24" s="194"/>
      <c r="F24" s="194"/>
      <c r="G24" s="194"/>
      <c r="H24" s="63" t="s">
        <v>157</v>
      </c>
      <c r="I24" s="64"/>
    </row>
    <row r="25" spans="1:9" s="7" customFormat="1" ht="18.75" customHeight="1" x14ac:dyDescent="0.3">
      <c r="A25" s="196"/>
      <c r="B25" s="36" t="s">
        <v>26</v>
      </c>
      <c r="C25" s="61"/>
      <c r="D25" s="193"/>
      <c r="E25" s="194"/>
      <c r="F25" s="194"/>
      <c r="G25" s="194"/>
      <c r="H25" s="63" t="s">
        <v>157</v>
      </c>
      <c r="I25" s="64"/>
    </row>
    <row r="26" spans="1:9" s="7" customFormat="1" ht="18.75" customHeight="1" x14ac:dyDescent="0.3">
      <c r="A26" s="196"/>
      <c r="B26" s="36" t="s">
        <v>10</v>
      </c>
      <c r="C26" s="61"/>
      <c r="D26" s="193"/>
      <c r="E26" s="194"/>
      <c r="F26" s="194"/>
      <c r="G26" s="194"/>
      <c r="H26" s="63" t="s">
        <v>157</v>
      </c>
      <c r="I26" s="64"/>
    </row>
    <row r="27" spans="1:9" s="7" customFormat="1" ht="18.75" customHeight="1" x14ac:dyDescent="0.3">
      <c r="A27" s="196"/>
      <c r="B27" s="35" t="s">
        <v>75</v>
      </c>
      <c r="C27" s="61"/>
      <c r="D27" s="193"/>
      <c r="E27" s="194"/>
      <c r="F27" s="194"/>
      <c r="G27" s="194"/>
      <c r="H27" s="63" t="s">
        <v>157</v>
      </c>
      <c r="I27" s="64"/>
    </row>
    <row r="28" spans="1:9" s="7" customFormat="1" ht="18.75" customHeight="1" x14ac:dyDescent="0.3">
      <c r="A28" s="197"/>
      <c r="B28" s="35" t="s">
        <v>76</v>
      </c>
      <c r="C28" s="61"/>
      <c r="D28" s="193"/>
      <c r="E28" s="194"/>
      <c r="F28" s="194"/>
      <c r="G28" s="194"/>
      <c r="H28" s="63" t="s">
        <v>157</v>
      </c>
      <c r="I28" s="64"/>
    </row>
    <row r="29" spans="1:9" s="7" customFormat="1" ht="18.75" customHeight="1" x14ac:dyDescent="0.3">
      <c r="A29" s="195" t="s">
        <v>17</v>
      </c>
      <c r="B29" s="36" t="s">
        <v>102</v>
      </c>
      <c r="C29" s="61"/>
      <c r="D29" s="193"/>
      <c r="E29" s="194"/>
      <c r="F29" s="194"/>
      <c r="G29" s="194"/>
      <c r="H29" s="63" t="s">
        <v>157</v>
      </c>
      <c r="I29" s="64"/>
    </row>
    <row r="30" spans="1:9" s="7" customFormat="1" ht="18.75" customHeight="1" x14ac:dyDescent="0.3">
      <c r="A30" s="196"/>
      <c r="B30" s="36" t="s">
        <v>26</v>
      </c>
      <c r="C30" s="61"/>
      <c r="D30" s="193"/>
      <c r="E30" s="194"/>
      <c r="F30" s="194"/>
      <c r="G30" s="194"/>
      <c r="H30" s="63" t="s">
        <v>157</v>
      </c>
      <c r="I30" s="64"/>
    </row>
    <row r="31" spans="1:9" s="7" customFormat="1" ht="18.75" customHeight="1" x14ac:dyDescent="0.3">
      <c r="A31" s="196"/>
      <c r="B31" s="36" t="s">
        <v>8</v>
      </c>
      <c r="C31" s="61"/>
      <c r="D31" s="193"/>
      <c r="E31" s="194"/>
      <c r="F31" s="194"/>
      <c r="G31" s="194"/>
      <c r="H31" s="63" t="s">
        <v>157</v>
      </c>
      <c r="I31" s="64"/>
    </row>
    <row r="32" spans="1:9" s="7" customFormat="1" ht="18.75" customHeight="1" x14ac:dyDescent="0.3">
      <c r="A32" s="196"/>
      <c r="B32" s="35" t="s">
        <v>77</v>
      </c>
      <c r="C32" s="61"/>
      <c r="D32" s="193"/>
      <c r="E32" s="194"/>
      <c r="F32" s="194"/>
      <c r="G32" s="194"/>
      <c r="H32" s="63" t="s">
        <v>157</v>
      </c>
      <c r="I32" s="64"/>
    </row>
    <row r="33" spans="1:9" s="7" customFormat="1" ht="18.75" customHeight="1" x14ac:dyDescent="0.3">
      <c r="A33" s="197"/>
      <c r="B33" s="35" t="s">
        <v>78</v>
      </c>
      <c r="C33" s="61"/>
      <c r="D33" s="193"/>
      <c r="E33" s="194"/>
      <c r="F33" s="194"/>
      <c r="G33" s="194"/>
      <c r="H33" s="63" t="s">
        <v>157</v>
      </c>
      <c r="I33" s="64"/>
    </row>
    <row r="34" spans="1:9" s="7" customFormat="1" ht="18.75" customHeight="1" x14ac:dyDescent="0.3">
      <c r="A34" s="195" t="s">
        <v>18</v>
      </c>
      <c r="B34" s="36" t="s">
        <v>24</v>
      </c>
      <c r="C34" s="61"/>
      <c r="D34" s="61"/>
      <c r="E34" s="62"/>
      <c r="F34" s="62"/>
      <c r="G34" s="62"/>
      <c r="H34" s="63" t="s">
        <v>157</v>
      </c>
      <c r="I34" s="64"/>
    </row>
    <row r="35" spans="1:9" s="7" customFormat="1" ht="18.75" customHeight="1" x14ac:dyDescent="0.3">
      <c r="A35" s="196"/>
      <c r="B35" s="36" t="s">
        <v>25</v>
      </c>
      <c r="C35" s="61"/>
      <c r="D35" s="61"/>
      <c r="E35" s="62"/>
      <c r="F35" s="62"/>
      <c r="G35" s="62"/>
      <c r="H35" s="63" t="s">
        <v>157</v>
      </c>
      <c r="I35" s="64"/>
    </row>
    <row r="36" spans="1:9" s="7" customFormat="1" ht="18.75" customHeight="1" x14ac:dyDescent="0.3">
      <c r="A36" s="196"/>
      <c r="B36" s="36" t="s">
        <v>8</v>
      </c>
      <c r="C36" s="61"/>
      <c r="D36" s="193"/>
      <c r="E36" s="194"/>
      <c r="F36" s="194"/>
      <c r="G36" s="194"/>
      <c r="H36" s="63" t="s">
        <v>157</v>
      </c>
      <c r="I36" s="64"/>
    </row>
    <row r="37" spans="1:9" s="7" customFormat="1" ht="18.75" customHeight="1" x14ac:dyDescent="0.3">
      <c r="A37" s="196"/>
      <c r="B37" s="35" t="s">
        <v>79</v>
      </c>
      <c r="C37" s="61"/>
      <c r="D37" s="193"/>
      <c r="E37" s="194"/>
      <c r="F37" s="194"/>
      <c r="G37" s="194"/>
      <c r="H37" s="63" t="s">
        <v>157</v>
      </c>
      <c r="I37" s="64"/>
    </row>
    <row r="38" spans="1:9" s="7" customFormat="1" ht="18.75" customHeight="1" x14ac:dyDescent="0.3">
      <c r="A38" s="197"/>
      <c r="B38" s="35" t="s">
        <v>80</v>
      </c>
      <c r="C38" s="61"/>
      <c r="D38" s="193"/>
      <c r="E38" s="194"/>
      <c r="F38" s="194"/>
      <c r="G38" s="194"/>
      <c r="H38" s="63" t="s">
        <v>157</v>
      </c>
      <c r="I38" s="64"/>
    </row>
    <row r="39" spans="1:9" s="3" customFormat="1" ht="11.25" x14ac:dyDescent="0.2">
      <c r="A39" s="218"/>
      <c r="B39" s="218"/>
      <c r="C39" s="218"/>
      <c r="D39" s="218"/>
      <c r="E39" s="218"/>
      <c r="F39" s="218"/>
      <c r="G39" s="218"/>
      <c r="H39" s="218"/>
      <c r="I39" s="218"/>
    </row>
    <row r="40" spans="1:9" ht="18.75" x14ac:dyDescent="0.3">
      <c r="A40" s="220" t="s">
        <v>5</v>
      </c>
      <c r="B40" s="220"/>
      <c r="C40" s="220"/>
      <c r="D40" s="220"/>
      <c r="E40" s="220"/>
      <c r="F40" s="220"/>
      <c r="G40" s="220"/>
      <c r="H40" s="220"/>
      <c r="I40" s="220"/>
    </row>
    <row r="41" spans="1:9" ht="100.15" customHeight="1" x14ac:dyDescent="0.25">
      <c r="A41" s="221"/>
      <c r="B41" s="221"/>
      <c r="C41" s="221"/>
      <c r="D41" s="221"/>
      <c r="E41" s="221"/>
      <c r="F41" s="221"/>
      <c r="G41" s="221"/>
      <c r="H41" s="221"/>
      <c r="I41" s="221"/>
    </row>
    <row r="42" spans="1:9" s="3" customFormat="1" ht="11.25" customHeight="1" x14ac:dyDescent="0.2">
      <c r="A42" s="211"/>
      <c r="B42" s="211"/>
      <c r="C42" s="211"/>
      <c r="D42" s="211"/>
      <c r="E42" s="211"/>
      <c r="F42" s="211"/>
      <c r="G42" s="211"/>
      <c r="H42" s="211"/>
      <c r="I42" s="211"/>
    </row>
    <row r="43" spans="1:9" ht="18.75" x14ac:dyDescent="0.3">
      <c r="A43" s="209" t="s">
        <v>162</v>
      </c>
      <c r="B43" s="209"/>
      <c r="C43" s="209"/>
      <c r="D43" s="209"/>
      <c r="E43" s="209"/>
      <c r="F43" s="209"/>
      <c r="G43" s="209"/>
      <c r="H43" s="209"/>
      <c r="I43" s="209"/>
    </row>
    <row r="44" spans="1:9" ht="30" customHeight="1" x14ac:dyDescent="0.25">
      <c r="A44" s="202" t="s">
        <v>12</v>
      </c>
      <c r="B44" s="204" t="s">
        <v>13</v>
      </c>
      <c r="C44" s="204"/>
      <c r="D44" s="205" t="s">
        <v>166</v>
      </c>
      <c r="E44" s="206"/>
      <c r="F44" s="206"/>
      <c r="G44" s="206"/>
      <c r="H44" s="130" t="s">
        <v>156</v>
      </c>
      <c r="I44" s="224" t="s">
        <v>165</v>
      </c>
    </row>
    <row r="45" spans="1:9" x14ac:dyDescent="0.25">
      <c r="A45" s="203"/>
      <c r="B45" s="204"/>
      <c r="C45" s="204"/>
      <c r="D45" s="5" t="s">
        <v>15</v>
      </c>
      <c r="E45" s="5" t="s">
        <v>16</v>
      </c>
      <c r="F45" s="5" t="s">
        <v>17</v>
      </c>
      <c r="G45" s="5" t="s">
        <v>18</v>
      </c>
      <c r="H45" s="131" t="s">
        <v>163</v>
      </c>
      <c r="I45" s="224"/>
    </row>
    <row r="46" spans="1:9" x14ac:dyDescent="0.25">
      <c r="A46" s="45"/>
      <c r="B46" s="191"/>
      <c r="C46" s="192"/>
      <c r="D46" s="46">
        <v>0</v>
      </c>
      <c r="E46" s="46">
        <v>0</v>
      </c>
      <c r="F46" s="46">
        <v>0</v>
      </c>
      <c r="G46" s="46">
        <v>0</v>
      </c>
      <c r="H46" s="128">
        <v>1</v>
      </c>
      <c r="I46" s="129"/>
    </row>
    <row r="47" spans="1:9" s="33" customFormat="1" x14ac:dyDescent="0.25">
      <c r="A47" s="45"/>
      <c r="B47" s="192"/>
      <c r="C47" s="192"/>
      <c r="D47" s="46">
        <v>0</v>
      </c>
      <c r="E47" s="46">
        <v>0</v>
      </c>
      <c r="F47" s="46">
        <v>0</v>
      </c>
      <c r="G47" s="46">
        <v>0</v>
      </c>
      <c r="H47" s="128">
        <v>2</v>
      </c>
      <c r="I47" s="129"/>
    </row>
    <row r="48" spans="1:9" s="33" customFormat="1" x14ac:dyDescent="0.25">
      <c r="A48" s="45"/>
      <c r="B48" s="192"/>
      <c r="C48" s="192"/>
      <c r="D48" s="46">
        <v>0</v>
      </c>
      <c r="E48" s="46">
        <v>0</v>
      </c>
      <c r="F48" s="46">
        <v>0</v>
      </c>
      <c r="G48" s="46">
        <v>0</v>
      </c>
      <c r="H48" s="128">
        <v>3</v>
      </c>
      <c r="I48" s="129"/>
    </row>
    <row r="49" spans="1:9" s="33" customFormat="1" x14ac:dyDescent="0.25">
      <c r="A49" s="45"/>
      <c r="B49" s="192"/>
      <c r="C49" s="192"/>
      <c r="D49" s="46">
        <v>0</v>
      </c>
      <c r="E49" s="46">
        <v>0</v>
      </c>
      <c r="F49" s="46">
        <v>0</v>
      </c>
      <c r="G49" s="46">
        <v>0</v>
      </c>
      <c r="H49" s="128">
        <v>4</v>
      </c>
      <c r="I49" s="129"/>
    </row>
    <row r="50" spans="1:9" s="33" customFormat="1" x14ac:dyDescent="0.25">
      <c r="A50" s="45"/>
      <c r="B50" s="192"/>
      <c r="C50" s="192"/>
      <c r="D50" s="46">
        <v>0</v>
      </c>
      <c r="E50" s="46">
        <v>0</v>
      </c>
      <c r="F50" s="46">
        <v>0</v>
      </c>
      <c r="G50" s="46">
        <v>0</v>
      </c>
      <c r="H50" s="128">
        <v>5</v>
      </c>
      <c r="I50" s="129"/>
    </row>
    <row r="51" spans="1:9" s="33" customFormat="1" x14ac:dyDescent="0.25">
      <c r="A51" s="45"/>
      <c r="B51" s="192"/>
      <c r="C51" s="192"/>
      <c r="D51" s="46">
        <v>0</v>
      </c>
      <c r="E51" s="46">
        <v>0</v>
      </c>
      <c r="F51" s="46">
        <v>0</v>
      </c>
      <c r="G51" s="46">
        <v>0</v>
      </c>
      <c r="H51" s="128">
        <v>6</v>
      </c>
      <c r="I51" s="129"/>
    </row>
    <row r="52" spans="1:9" s="33" customFormat="1" x14ac:dyDescent="0.25">
      <c r="A52" s="45"/>
      <c r="B52" s="192"/>
      <c r="C52" s="192"/>
      <c r="D52" s="46">
        <v>0</v>
      </c>
      <c r="E52" s="46">
        <v>0</v>
      </c>
      <c r="F52" s="46">
        <v>0</v>
      </c>
      <c r="G52" s="46">
        <v>0</v>
      </c>
      <c r="H52" s="128">
        <v>7</v>
      </c>
      <c r="I52" s="129"/>
    </row>
    <row r="53" spans="1:9" s="33" customFormat="1" x14ac:dyDescent="0.25">
      <c r="A53" s="45"/>
      <c r="B53" s="192"/>
      <c r="C53" s="192"/>
      <c r="D53" s="46">
        <v>0</v>
      </c>
      <c r="E53" s="46">
        <v>0</v>
      </c>
      <c r="F53" s="46">
        <v>0</v>
      </c>
      <c r="G53" s="46">
        <v>0</v>
      </c>
      <c r="H53" s="128">
        <v>8</v>
      </c>
      <c r="I53" s="129"/>
    </row>
    <row r="54" spans="1:9" s="33" customFormat="1" x14ac:dyDescent="0.25">
      <c r="A54" s="45"/>
      <c r="B54" s="192"/>
      <c r="C54" s="192"/>
      <c r="D54" s="46">
        <v>0</v>
      </c>
      <c r="E54" s="46">
        <v>0</v>
      </c>
      <c r="F54" s="46">
        <v>0</v>
      </c>
      <c r="G54" s="46">
        <v>0</v>
      </c>
      <c r="H54" s="128">
        <v>9</v>
      </c>
      <c r="I54" s="129"/>
    </row>
    <row r="55" spans="1:9" s="33" customFormat="1" x14ac:dyDescent="0.25">
      <c r="A55" s="45"/>
      <c r="B55" s="192"/>
      <c r="C55" s="192"/>
      <c r="D55" s="46">
        <v>0</v>
      </c>
      <c r="E55" s="46">
        <v>0</v>
      </c>
      <c r="F55" s="46">
        <v>0</v>
      </c>
      <c r="G55" s="46">
        <v>0</v>
      </c>
      <c r="H55" s="128">
        <v>10</v>
      </c>
      <c r="I55" s="129"/>
    </row>
    <row r="56" spans="1:9" s="33" customFormat="1" x14ac:dyDescent="0.25">
      <c r="A56" s="45"/>
      <c r="B56" s="192"/>
      <c r="C56" s="192"/>
      <c r="D56" s="46">
        <v>0</v>
      </c>
      <c r="E56" s="46">
        <v>0</v>
      </c>
      <c r="F56" s="46">
        <v>0</v>
      </c>
      <c r="G56" s="46">
        <v>0</v>
      </c>
      <c r="H56" s="128">
        <v>11</v>
      </c>
      <c r="I56" s="129"/>
    </row>
    <row r="57" spans="1:9" s="33" customFormat="1" x14ac:dyDescent="0.25">
      <c r="A57" s="45"/>
      <c r="B57" s="192"/>
      <c r="C57" s="192"/>
      <c r="D57" s="46">
        <v>0</v>
      </c>
      <c r="E57" s="46">
        <v>0</v>
      </c>
      <c r="F57" s="46">
        <v>0</v>
      </c>
      <c r="G57" s="46">
        <v>0</v>
      </c>
      <c r="H57" s="128">
        <v>12</v>
      </c>
      <c r="I57" s="129"/>
    </row>
    <row r="58" spans="1:9" s="33" customFormat="1" x14ac:dyDescent="0.25">
      <c r="A58" s="45"/>
      <c r="B58" s="192"/>
      <c r="C58" s="192"/>
      <c r="D58" s="46">
        <v>0</v>
      </c>
      <c r="E58" s="46">
        <v>0</v>
      </c>
      <c r="F58" s="46">
        <v>0</v>
      </c>
      <c r="G58" s="46">
        <v>0</v>
      </c>
      <c r="H58" s="128">
        <v>13</v>
      </c>
      <c r="I58" s="129"/>
    </row>
    <row r="59" spans="1:9" s="33" customFormat="1" x14ac:dyDescent="0.25">
      <c r="A59" s="45"/>
      <c r="B59" s="192"/>
      <c r="C59" s="192"/>
      <c r="D59" s="46">
        <v>0</v>
      </c>
      <c r="E59" s="46">
        <v>0</v>
      </c>
      <c r="F59" s="46">
        <v>0</v>
      </c>
      <c r="G59" s="46">
        <v>0</v>
      </c>
      <c r="H59" s="128">
        <v>14</v>
      </c>
      <c r="I59" s="129"/>
    </row>
    <row r="60" spans="1:9" s="33" customFormat="1" x14ac:dyDescent="0.25">
      <c r="A60" s="45"/>
      <c r="B60" s="192"/>
      <c r="C60" s="192"/>
      <c r="D60" s="46">
        <v>0</v>
      </c>
      <c r="E60" s="46">
        <v>0</v>
      </c>
      <c r="F60" s="46">
        <v>0</v>
      </c>
      <c r="G60" s="46">
        <v>0</v>
      </c>
      <c r="H60" s="128">
        <v>15</v>
      </c>
      <c r="I60" s="129"/>
    </row>
    <row r="61" spans="1:9" s="33" customFormat="1" x14ac:dyDescent="0.25">
      <c r="A61" s="45"/>
      <c r="B61" s="192"/>
      <c r="C61" s="192"/>
      <c r="D61" s="46">
        <v>0</v>
      </c>
      <c r="E61" s="46">
        <v>0</v>
      </c>
      <c r="F61" s="46">
        <v>0</v>
      </c>
      <c r="G61" s="46">
        <v>0</v>
      </c>
      <c r="H61" s="128">
        <v>16</v>
      </c>
      <c r="I61" s="129"/>
    </row>
    <row r="62" spans="1:9" s="33" customFormat="1" x14ac:dyDescent="0.25">
      <c r="A62" s="45"/>
      <c r="B62" s="192"/>
      <c r="C62" s="192"/>
      <c r="D62" s="46">
        <v>0</v>
      </c>
      <c r="E62" s="46">
        <v>0</v>
      </c>
      <c r="F62" s="46">
        <v>0</v>
      </c>
      <c r="G62" s="46">
        <v>0</v>
      </c>
      <c r="H62" s="128">
        <v>17</v>
      </c>
      <c r="I62" s="129"/>
    </row>
    <row r="63" spans="1:9" s="33" customFormat="1" x14ac:dyDescent="0.25">
      <c r="A63" s="45"/>
      <c r="B63" s="192"/>
      <c r="C63" s="192"/>
      <c r="D63" s="46">
        <v>0</v>
      </c>
      <c r="E63" s="46">
        <v>0</v>
      </c>
      <c r="F63" s="46">
        <v>0</v>
      </c>
      <c r="G63" s="46">
        <v>0</v>
      </c>
      <c r="H63" s="128">
        <v>18</v>
      </c>
      <c r="I63" s="129"/>
    </row>
    <row r="64" spans="1:9" s="33" customFormat="1" x14ac:dyDescent="0.25">
      <c r="A64" s="45"/>
      <c r="B64" s="192"/>
      <c r="C64" s="192"/>
      <c r="D64" s="46">
        <v>0</v>
      </c>
      <c r="E64" s="46">
        <v>0</v>
      </c>
      <c r="F64" s="46">
        <v>0</v>
      </c>
      <c r="G64" s="46">
        <v>0</v>
      </c>
      <c r="H64" s="128">
        <v>19</v>
      </c>
      <c r="I64" s="129"/>
    </row>
    <row r="65" spans="1:9" s="33" customFormat="1" x14ac:dyDescent="0.25">
      <c r="A65" s="45"/>
      <c r="B65" s="192"/>
      <c r="C65" s="192"/>
      <c r="D65" s="46">
        <v>0</v>
      </c>
      <c r="E65" s="46">
        <v>0</v>
      </c>
      <c r="F65" s="46">
        <v>0</v>
      </c>
      <c r="G65" s="46">
        <v>0</v>
      </c>
      <c r="H65" s="128">
        <v>20</v>
      </c>
      <c r="I65" s="129"/>
    </row>
    <row r="66" spans="1:9" s="33" customFormat="1" x14ac:dyDescent="0.25">
      <c r="A66" s="45"/>
      <c r="B66" s="192"/>
      <c r="C66" s="192"/>
      <c r="D66" s="46">
        <v>0</v>
      </c>
      <c r="E66" s="46">
        <v>0</v>
      </c>
      <c r="F66" s="46">
        <v>0</v>
      </c>
      <c r="G66" s="46">
        <v>0</v>
      </c>
      <c r="H66" s="128">
        <v>21</v>
      </c>
      <c r="I66" s="129"/>
    </row>
    <row r="67" spans="1:9" s="33" customFormat="1" x14ac:dyDescent="0.25">
      <c r="A67" s="45"/>
      <c r="B67" s="192"/>
      <c r="C67" s="192"/>
      <c r="D67" s="46">
        <v>0</v>
      </c>
      <c r="E67" s="46">
        <v>0</v>
      </c>
      <c r="F67" s="46">
        <v>0</v>
      </c>
      <c r="G67" s="46">
        <v>0</v>
      </c>
      <c r="H67" s="128">
        <v>22</v>
      </c>
      <c r="I67" s="129"/>
    </row>
    <row r="68" spans="1:9" s="33" customFormat="1" x14ac:dyDescent="0.25">
      <c r="A68" s="45"/>
      <c r="B68" s="192"/>
      <c r="C68" s="192"/>
      <c r="D68" s="46">
        <v>0</v>
      </c>
      <c r="E68" s="46">
        <v>0</v>
      </c>
      <c r="F68" s="46">
        <v>0</v>
      </c>
      <c r="G68" s="46">
        <v>0</v>
      </c>
      <c r="H68" s="128">
        <v>23</v>
      </c>
      <c r="I68" s="129"/>
    </row>
    <row r="69" spans="1:9" s="33" customFormat="1" x14ac:dyDescent="0.25">
      <c r="A69" s="45"/>
      <c r="B69" s="192"/>
      <c r="C69" s="192"/>
      <c r="D69" s="46">
        <v>0</v>
      </c>
      <c r="E69" s="46">
        <v>0</v>
      </c>
      <c r="F69" s="46">
        <v>0</v>
      </c>
      <c r="G69" s="46">
        <v>0</v>
      </c>
      <c r="H69" s="128">
        <v>24</v>
      </c>
      <c r="I69" s="129"/>
    </row>
    <row r="70" spans="1:9" s="33" customFormat="1" x14ac:dyDescent="0.25">
      <c r="A70" s="45"/>
      <c r="B70" s="192"/>
      <c r="C70" s="192"/>
      <c r="D70" s="46">
        <v>0</v>
      </c>
      <c r="E70" s="46">
        <v>0</v>
      </c>
      <c r="F70" s="46">
        <v>0</v>
      </c>
      <c r="G70" s="46">
        <v>0</v>
      </c>
      <c r="H70" s="128">
        <v>25</v>
      </c>
      <c r="I70" s="129"/>
    </row>
    <row r="71" spans="1:9" s="33" customFormat="1" x14ac:dyDescent="0.25">
      <c r="A71" s="45"/>
      <c r="B71" s="192"/>
      <c r="C71" s="192"/>
      <c r="D71" s="46">
        <v>0</v>
      </c>
      <c r="E71" s="46">
        <v>0</v>
      </c>
      <c r="F71" s="46">
        <v>0</v>
      </c>
      <c r="G71" s="46">
        <v>0</v>
      </c>
      <c r="H71" s="128">
        <v>26</v>
      </c>
      <c r="I71" s="129"/>
    </row>
    <row r="72" spans="1:9" s="33" customFormat="1" x14ac:dyDescent="0.25">
      <c r="A72" s="45"/>
      <c r="B72" s="192"/>
      <c r="C72" s="192"/>
      <c r="D72" s="46">
        <v>0</v>
      </c>
      <c r="E72" s="46">
        <v>0</v>
      </c>
      <c r="F72" s="46">
        <v>0</v>
      </c>
      <c r="G72" s="46">
        <v>0</v>
      </c>
      <c r="H72" s="128">
        <v>27</v>
      </c>
      <c r="I72" s="129"/>
    </row>
    <row r="73" spans="1:9" s="33" customFormat="1" x14ac:dyDescent="0.25">
      <c r="A73" s="45"/>
      <c r="B73" s="192"/>
      <c r="C73" s="192"/>
      <c r="D73" s="46">
        <v>0</v>
      </c>
      <c r="E73" s="46">
        <v>0</v>
      </c>
      <c r="F73" s="46">
        <v>0</v>
      </c>
      <c r="G73" s="46">
        <v>0</v>
      </c>
      <c r="H73" s="128">
        <v>28</v>
      </c>
      <c r="I73" s="129"/>
    </row>
    <row r="74" spans="1:9" s="33" customFormat="1" x14ac:dyDescent="0.25">
      <c r="A74" s="45"/>
      <c r="B74" s="192"/>
      <c r="C74" s="192"/>
      <c r="D74" s="46">
        <v>0</v>
      </c>
      <c r="E74" s="46">
        <v>0</v>
      </c>
      <c r="F74" s="46">
        <v>0</v>
      </c>
      <c r="G74" s="46">
        <v>0</v>
      </c>
      <c r="H74" s="128">
        <v>29</v>
      </c>
      <c r="I74" s="129"/>
    </row>
    <row r="75" spans="1:9" s="33" customFormat="1" x14ac:dyDescent="0.25">
      <c r="A75" s="45"/>
      <c r="B75" s="192"/>
      <c r="C75" s="192"/>
      <c r="D75" s="46">
        <v>0</v>
      </c>
      <c r="E75" s="46">
        <v>0</v>
      </c>
      <c r="F75" s="46">
        <v>0</v>
      </c>
      <c r="G75" s="46">
        <v>0</v>
      </c>
      <c r="H75" s="128">
        <v>30</v>
      </c>
      <c r="I75" s="129"/>
    </row>
    <row r="76" spans="1:9" s="33" customFormat="1" x14ac:dyDescent="0.25">
      <c r="A76" s="45"/>
      <c r="B76" s="192"/>
      <c r="C76" s="192"/>
      <c r="D76" s="46">
        <v>0</v>
      </c>
      <c r="E76" s="46">
        <v>0</v>
      </c>
      <c r="F76" s="46">
        <v>0</v>
      </c>
      <c r="G76" s="46">
        <v>0</v>
      </c>
      <c r="H76" s="128">
        <v>31</v>
      </c>
      <c r="I76" s="129"/>
    </row>
    <row r="77" spans="1:9" s="33" customFormat="1" x14ac:dyDescent="0.25">
      <c r="A77" s="45"/>
      <c r="B77" s="192"/>
      <c r="C77" s="192"/>
      <c r="D77" s="46">
        <v>0</v>
      </c>
      <c r="E77" s="46">
        <v>0</v>
      </c>
      <c r="F77" s="46">
        <v>0</v>
      </c>
      <c r="G77" s="46">
        <v>0</v>
      </c>
      <c r="H77" s="128">
        <v>32</v>
      </c>
      <c r="I77" s="129"/>
    </row>
    <row r="78" spans="1:9" s="33" customFormat="1" x14ac:dyDescent="0.25">
      <c r="A78" s="45"/>
      <c r="B78" s="192"/>
      <c r="C78" s="192"/>
      <c r="D78" s="46">
        <v>0</v>
      </c>
      <c r="E78" s="46">
        <v>0</v>
      </c>
      <c r="F78" s="46">
        <v>0</v>
      </c>
      <c r="G78" s="46">
        <v>0</v>
      </c>
      <c r="H78" s="128">
        <v>33</v>
      </c>
      <c r="I78" s="129"/>
    </row>
    <row r="79" spans="1:9" s="33" customFormat="1" x14ac:dyDescent="0.25">
      <c r="A79" s="45"/>
      <c r="B79" s="192"/>
      <c r="C79" s="192"/>
      <c r="D79" s="46">
        <v>0</v>
      </c>
      <c r="E79" s="46">
        <v>0</v>
      </c>
      <c r="F79" s="46">
        <v>0</v>
      </c>
      <c r="G79" s="46">
        <v>0</v>
      </c>
      <c r="H79" s="128">
        <v>34</v>
      </c>
      <c r="I79" s="129"/>
    </row>
    <row r="80" spans="1:9" s="33" customFormat="1" x14ac:dyDescent="0.25">
      <c r="A80" s="45"/>
      <c r="B80" s="192"/>
      <c r="C80" s="192"/>
      <c r="D80" s="46">
        <v>0</v>
      </c>
      <c r="E80" s="46">
        <v>0</v>
      </c>
      <c r="F80" s="46">
        <v>0</v>
      </c>
      <c r="G80" s="46">
        <v>0</v>
      </c>
      <c r="H80" s="128">
        <v>35</v>
      </c>
      <c r="I80" s="129"/>
    </row>
    <row r="81" spans="1:9" s="33" customFormat="1" x14ac:dyDescent="0.25">
      <c r="A81" s="45"/>
      <c r="B81" s="192"/>
      <c r="C81" s="192"/>
      <c r="D81" s="46">
        <v>0</v>
      </c>
      <c r="E81" s="46">
        <v>0</v>
      </c>
      <c r="F81" s="46">
        <v>0</v>
      </c>
      <c r="G81" s="46">
        <v>0</v>
      </c>
      <c r="H81" s="128">
        <v>36</v>
      </c>
      <c r="I81" s="129"/>
    </row>
    <row r="82" spans="1:9" s="33" customFormat="1" x14ac:dyDescent="0.25">
      <c r="A82" s="45"/>
      <c r="B82" s="192"/>
      <c r="C82" s="192"/>
      <c r="D82" s="46">
        <v>0</v>
      </c>
      <c r="E82" s="46">
        <v>0</v>
      </c>
      <c r="F82" s="46">
        <v>0</v>
      </c>
      <c r="G82" s="46">
        <v>0</v>
      </c>
      <c r="H82" s="128">
        <v>37</v>
      </c>
      <c r="I82" s="129"/>
    </row>
    <row r="83" spans="1:9" s="33" customFormat="1" x14ac:dyDescent="0.25">
      <c r="A83" s="45"/>
      <c r="B83" s="192"/>
      <c r="C83" s="192"/>
      <c r="D83" s="46">
        <v>0</v>
      </c>
      <c r="E83" s="46">
        <v>0</v>
      </c>
      <c r="F83" s="46">
        <v>0</v>
      </c>
      <c r="G83" s="46">
        <v>0</v>
      </c>
      <c r="H83" s="128">
        <v>38</v>
      </c>
      <c r="I83" s="129"/>
    </row>
    <row r="84" spans="1:9" s="33" customFormat="1" x14ac:dyDescent="0.25">
      <c r="A84" s="45"/>
      <c r="B84" s="192"/>
      <c r="C84" s="192"/>
      <c r="D84" s="46">
        <v>0</v>
      </c>
      <c r="E84" s="46">
        <v>0</v>
      </c>
      <c r="F84" s="46">
        <v>0</v>
      </c>
      <c r="G84" s="46">
        <v>0</v>
      </c>
      <c r="H84" s="128">
        <v>39</v>
      </c>
      <c r="I84" s="129"/>
    </row>
    <row r="85" spans="1:9" s="33" customFormat="1" x14ac:dyDescent="0.25">
      <c r="A85" s="45"/>
      <c r="B85" s="192"/>
      <c r="C85" s="192"/>
      <c r="D85" s="46">
        <v>0</v>
      </c>
      <c r="E85" s="46">
        <v>0</v>
      </c>
      <c r="F85" s="46">
        <v>0</v>
      </c>
      <c r="G85" s="46">
        <v>0</v>
      </c>
      <c r="H85" s="128">
        <v>40</v>
      </c>
      <c r="I85" s="129"/>
    </row>
    <row r="86" spans="1:9" s="33" customFormat="1" x14ac:dyDescent="0.25">
      <c r="A86" s="45"/>
      <c r="B86" s="192"/>
      <c r="C86" s="192"/>
      <c r="D86" s="46">
        <v>0</v>
      </c>
      <c r="E86" s="46">
        <v>0</v>
      </c>
      <c r="F86" s="46">
        <v>0</v>
      </c>
      <c r="G86" s="46">
        <v>0</v>
      </c>
      <c r="H86" s="128">
        <v>41</v>
      </c>
      <c r="I86" s="129"/>
    </row>
    <row r="87" spans="1:9" s="33" customFormat="1" x14ac:dyDescent="0.25">
      <c r="A87" s="45"/>
      <c r="B87" s="192"/>
      <c r="C87" s="192"/>
      <c r="D87" s="46">
        <v>0</v>
      </c>
      <c r="E87" s="46">
        <v>0</v>
      </c>
      <c r="F87" s="46">
        <v>0</v>
      </c>
      <c r="G87" s="46">
        <v>0</v>
      </c>
      <c r="H87" s="128">
        <v>42</v>
      </c>
      <c r="I87" s="129"/>
    </row>
    <row r="88" spans="1:9" s="33" customFormat="1" x14ac:dyDescent="0.25">
      <c r="A88" s="45"/>
      <c r="B88" s="192"/>
      <c r="C88" s="192"/>
      <c r="D88" s="46">
        <v>0</v>
      </c>
      <c r="E88" s="46">
        <v>0</v>
      </c>
      <c r="F88" s="46">
        <v>0</v>
      </c>
      <c r="G88" s="46">
        <v>0</v>
      </c>
      <c r="H88" s="128">
        <v>43</v>
      </c>
      <c r="I88" s="129"/>
    </row>
    <row r="89" spans="1:9" s="33" customFormat="1" x14ac:dyDescent="0.25">
      <c r="A89" s="45"/>
      <c r="B89" s="192"/>
      <c r="C89" s="192"/>
      <c r="D89" s="46">
        <v>0</v>
      </c>
      <c r="E89" s="46">
        <v>0</v>
      </c>
      <c r="F89" s="46">
        <v>0</v>
      </c>
      <c r="G89" s="46">
        <v>0</v>
      </c>
      <c r="H89" s="128">
        <v>44</v>
      </c>
      <c r="I89" s="129"/>
    </row>
    <row r="90" spans="1:9" s="33" customFormat="1" x14ac:dyDescent="0.25">
      <c r="A90" s="45"/>
      <c r="B90" s="192"/>
      <c r="C90" s="192"/>
      <c r="D90" s="46">
        <v>0</v>
      </c>
      <c r="E90" s="46">
        <v>0</v>
      </c>
      <c r="F90" s="46">
        <v>0</v>
      </c>
      <c r="G90" s="46">
        <v>0</v>
      </c>
      <c r="H90" s="128">
        <v>45</v>
      </c>
      <c r="I90" s="129"/>
    </row>
    <row r="91" spans="1:9" s="33" customFormat="1" x14ac:dyDescent="0.25">
      <c r="A91" s="45"/>
      <c r="B91" s="192"/>
      <c r="C91" s="192"/>
      <c r="D91" s="46">
        <v>0</v>
      </c>
      <c r="E91" s="46">
        <v>0</v>
      </c>
      <c r="F91" s="46">
        <v>0</v>
      </c>
      <c r="G91" s="46">
        <v>0</v>
      </c>
      <c r="H91" s="128">
        <v>46</v>
      </c>
      <c r="I91" s="129"/>
    </row>
    <row r="92" spans="1:9" s="33" customFormat="1" x14ac:dyDescent="0.25">
      <c r="A92" s="45"/>
      <c r="B92" s="192"/>
      <c r="C92" s="192"/>
      <c r="D92" s="46">
        <v>0</v>
      </c>
      <c r="E92" s="46">
        <v>0</v>
      </c>
      <c r="F92" s="46">
        <v>0</v>
      </c>
      <c r="G92" s="46">
        <v>0</v>
      </c>
      <c r="H92" s="128">
        <v>47</v>
      </c>
      <c r="I92" s="129"/>
    </row>
    <row r="93" spans="1:9" s="33" customFormat="1" x14ac:dyDescent="0.25">
      <c r="A93" s="45"/>
      <c r="B93" s="192"/>
      <c r="C93" s="192"/>
      <c r="D93" s="46">
        <v>0</v>
      </c>
      <c r="E93" s="46">
        <v>0</v>
      </c>
      <c r="F93" s="46">
        <v>0</v>
      </c>
      <c r="G93" s="46">
        <v>0</v>
      </c>
      <c r="H93" s="128">
        <v>48</v>
      </c>
      <c r="I93" s="129"/>
    </row>
    <row r="94" spans="1:9" s="33" customFormat="1" x14ac:dyDescent="0.25">
      <c r="A94" s="45"/>
      <c r="B94" s="192"/>
      <c r="C94" s="192"/>
      <c r="D94" s="46">
        <v>0</v>
      </c>
      <c r="E94" s="46">
        <v>0</v>
      </c>
      <c r="F94" s="46">
        <v>0</v>
      </c>
      <c r="G94" s="46">
        <v>0</v>
      </c>
      <c r="H94" s="128">
        <v>49</v>
      </c>
      <c r="I94" s="129"/>
    </row>
    <row r="95" spans="1:9" s="33" customFormat="1" x14ac:dyDescent="0.25">
      <c r="A95" s="45"/>
      <c r="B95" s="192"/>
      <c r="C95" s="192"/>
      <c r="D95" s="46">
        <v>0</v>
      </c>
      <c r="E95" s="46">
        <v>0</v>
      </c>
      <c r="F95" s="46">
        <v>0</v>
      </c>
      <c r="G95" s="46">
        <v>0</v>
      </c>
      <c r="H95" s="128">
        <v>50</v>
      </c>
      <c r="I95" s="129"/>
    </row>
    <row r="96" spans="1:9" s="33" customFormat="1" x14ac:dyDescent="0.25">
      <c r="A96" s="45"/>
      <c r="B96" s="192"/>
      <c r="C96" s="192"/>
      <c r="D96" s="46">
        <v>0</v>
      </c>
      <c r="E96" s="46">
        <v>0</v>
      </c>
      <c r="F96" s="46">
        <v>0</v>
      </c>
      <c r="G96" s="46">
        <v>0</v>
      </c>
      <c r="H96" s="128">
        <v>51</v>
      </c>
      <c r="I96" s="129"/>
    </row>
    <row r="97" spans="1:9" s="33" customFormat="1" x14ac:dyDescent="0.25">
      <c r="A97" s="45"/>
      <c r="B97" s="192"/>
      <c r="C97" s="192"/>
      <c r="D97" s="46">
        <v>0</v>
      </c>
      <c r="E97" s="46">
        <v>0</v>
      </c>
      <c r="F97" s="46">
        <v>0</v>
      </c>
      <c r="G97" s="46">
        <v>0</v>
      </c>
      <c r="H97" s="128">
        <v>52</v>
      </c>
      <c r="I97" s="129"/>
    </row>
    <row r="98" spans="1:9" s="33" customFormat="1" x14ac:dyDescent="0.25">
      <c r="A98" s="45"/>
      <c r="B98" s="192"/>
      <c r="C98" s="192"/>
      <c r="D98" s="46">
        <v>0</v>
      </c>
      <c r="E98" s="46">
        <v>0</v>
      </c>
      <c r="F98" s="46">
        <v>0</v>
      </c>
      <c r="G98" s="46">
        <v>0</v>
      </c>
      <c r="H98" s="128">
        <v>53</v>
      </c>
      <c r="I98" s="129"/>
    </row>
    <row r="99" spans="1:9" x14ac:dyDescent="0.25">
      <c r="H99" s="47"/>
    </row>
  </sheetData>
  <sheetProtection password="85B3" sheet="1" objects="1" scenarios="1" selectLockedCells="1"/>
  <customSheetViews>
    <customSheetView guid="{367BCCA4-BB9C-4067-9872-BFA4777F9377}" scale="88" showGridLines="0" fitToPage="1" topLeftCell="A16">
      <selection activeCell="B49" sqref="B49:C49"/>
      <pageMargins left="0.7" right="0.7" top="0.75" bottom="0.75" header="0.3" footer="0.3"/>
      <pageSetup scale="67" fitToWidth="0" orientation="portrait" r:id="rId1"/>
    </customSheetView>
  </customSheetViews>
  <mergeCells count="111">
    <mergeCell ref="I44:I45"/>
    <mergeCell ref="D14:E14"/>
    <mergeCell ref="A14:C14"/>
    <mergeCell ref="A15:C15"/>
    <mergeCell ref="H9:I9"/>
    <mergeCell ref="D12:H12"/>
    <mergeCell ref="D13:H13"/>
    <mergeCell ref="A9:C9"/>
    <mergeCell ref="A12:C12"/>
    <mergeCell ref="A13:C13"/>
    <mergeCell ref="A16:I16"/>
    <mergeCell ref="B96:C96"/>
    <mergeCell ref="B97:C97"/>
    <mergeCell ref="B98:C98"/>
    <mergeCell ref="B93:C93"/>
    <mergeCell ref="B94:C94"/>
    <mergeCell ref="B95:C95"/>
    <mergeCell ref="B90:C90"/>
    <mergeCell ref="B91:C91"/>
    <mergeCell ref="B92:C92"/>
    <mergeCell ref="B87:C87"/>
    <mergeCell ref="B88:C88"/>
    <mergeCell ref="B89:C89"/>
    <mergeCell ref="B84:C84"/>
    <mergeCell ref="B85:C85"/>
    <mergeCell ref="B86:C86"/>
    <mergeCell ref="B81:C81"/>
    <mergeCell ref="B82:C82"/>
    <mergeCell ref="B83:C83"/>
    <mergeCell ref="B78:C78"/>
    <mergeCell ref="B79:C79"/>
    <mergeCell ref="B80:C80"/>
    <mergeCell ref="B75:C75"/>
    <mergeCell ref="B76:C76"/>
    <mergeCell ref="B77:C77"/>
    <mergeCell ref="B72:C72"/>
    <mergeCell ref="B73:C73"/>
    <mergeCell ref="B74:C74"/>
    <mergeCell ref="B69:C69"/>
    <mergeCell ref="B70:C70"/>
    <mergeCell ref="B71:C71"/>
    <mergeCell ref="B66:C66"/>
    <mergeCell ref="B67:C67"/>
    <mergeCell ref="B68:C68"/>
    <mergeCell ref="B63:C63"/>
    <mergeCell ref="B64:C64"/>
    <mergeCell ref="B65:C65"/>
    <mergeCell ref="B60:C60"/>
    <mergeCell ref="B61:C61"/>
    <mergeCell ref="B62:C62"/>
    <mergeCell ref="B57:C57"/>
    <mergeCell ref="B58:C58"/>
    <mergeCell ref="B59:C59"/>
    <mergeCell ref="B54:C54"/>
    <mergeCell ref="B55:C55"/>
    <mergeCell ref="B56:C56"/>
    <mergeCell ref="B47:C47"/>
    <mergeCell ref="B48:C48"/>
    <mergeCell ref="B49:C49"/>
    <mergeCell ref="B50:C50"/>
    <mergeCell ref="B51:C51"/>
    <mergeCell ref="B52:C52"/>
    <mergeCell ref="B53:C53"/>
    <mergeCell ref="A43:I43"/>
    <mergeCell ref="A1:I1"/>
    <mergeCell ref="A2:I2"/>
    <mergeCell ref="A3:I3"/>
    <mergeCell ref="A42:I42"/>
    <mergeCell ref="A10:I10"/>
    <mergeCell ref="A4:I4"/>
    <mergeCell ref="A5:I5"/>
    <mergeCell ref="H6:I6"/>
    <mergeCell ref="A7:I7"/>
    <mergeCell ref="A11:I11"/>
    <mergeCell ref="A39:I39"/>
    <mergeCell ref="A17:I17"/>
    <mergeCell ref="A40:I40"/>
    <mergeCell ref="A41:I41"/>
    <mergeCell ref="A6:E6"/>
    <mergeCell ref="E9:F9"/>
    <mergeCell ref="A8:C8"/>
    <mergeCell ref="D8:H8"/>
    <mergeCell ref="D37:G37"/>
    <mergeCell ref="D38:G38"/>
    <mergeCell ref="A34:A38"/>
    <mergeCell ref="D36:G36"/>
    <mergeCell ref="D18:G18"/>
    <mergeCell ref="D23:G23"/>
    <mergeCell ref="A44:A45"/>
    <mergeCell ref="B44:C45"/>
    <mergeCell ref="D44:G44"/>
    <mergeCell ref="D22:G22"/>
    <mergeCell ref="A19:A23"/>
    <mergeCell ref="D19:G19"/>
    <mergeCell ref="D15:E15"/>
    <mergeCell ref="G15:H15"/>
    <mergeCell ref="B46:C46"/>
    <mergeCell ref="D20:G20"/>
    <mergeCell ref="D21:G21"/>
    <mergeCell ref="A24:A28"/>
    <mergeCell ref="D24:G24"/>
    <mergeCell ref="D25:G25"/>
    <mergeCell ref="D26:G26"/>
    <mergeCell ref="D28:G28"/>
    <mergeCell ref="D27:G27"/>
    <mergeCell ref="D29:G29"/>
    <mergeCell ref="D33:G33"/>
    <mergeCell ref="D32:G32"/>
    <mergeCell ref="D30:G30"/>
    <mergeCell ref="D31:G31"/>
    <mergeCell ref="A29:A33"/>
  </mergeCells>
  <dataValidations count="14">
    <dataValidation type="list" allowBlank="1" showInputMessage="1" showErrorMessage="1" sqref="G9">
      <formula1>DistrictType</formula1>
    </dataValidation>
    <dataValidation type="list" allowBlank="1" showInputMessage="1" showErrorMessage="1" sqref="F6">
      <formula1>Month</formula1>
    </dataValidation>
    <dataValidation type="list" allowBlank="1" showInputMessage="1" showErrorMessage="1" sqref="G6">
      <formula1>Day</formula1>
    </dataValidation>
    <dataValidation type="textLength" operator="equal" allowBlank="1" showInputMessage="1" showErrorMessage="1" errorTitle="District_Number" error="Enter 4 digit district number including leading zeros." prompt="Must be 4 digits." sqref="D9">
      <formula1>4</formula1>
    </dataValidation>
    <dataValidation type="textLength" allowBlank="1" showInputMessage="1" showErrorMessage="1" errorTitle="Zipcode" error="Enter at least 5 digits." sqref="H14">
      <formula1>5</formula1>
      <formula2>10</formula2>
    </dataValidation>
    <dataValidation type="whole" allowBlank="1" showInputMessage="1" showErrorMessage="1" errorTitle="Enrollment" error="Value expected between 0 and 500. If greater, please contact MDE." sqref="D46:G98">
      <formula1>0</formula1>
      <formula2>500</formula2>
    </dataValidation>
    <dataValidation type="textLength" allowBlank="1" showInputMessage="1" showErrorMessage="1" sqref="D15">
      <formula1>12</formula1>
      <formula2>13</formula2>
    </dataValidation>
    <dataValidation type="textLength" operator="equal" allowBlank="1" showInputMessage="1" showErrorMessage="1" sqref="A46:A98">
      <formula1>3</formula1>
    </dataValidation>
    <dataValidation type="list" allowBlank="1" showInputMessage="1" showErrorMessage="1" sqref="H19:H38">
      <formula1>Administered</formula1>
    </dataValidation>
    <dataValidation type="textLength" allowBlank="1" showInputMessage="1" showErrorMessage="1" prompt="Enter other district grade level literacy measure not included above including year or edition of norming. Indicate if using summary score or subscore of selected measure. Limited to 150 characters." sqref="C22 C27 C28 C32 C38">
      <formula1>0</formula1>
      <formula2>150</formula2>
    </dataValidation>
    <dataValidation type="textLength" allowBlank="1" showInputMessage="1" showErrorMessage="1" prompt="Enter other district grade level literacy measure not included above including year or edition of norming. Indicate if using summary score or subscore of selected measure. Limited to 150 characters." sqref="C23">
      <formula1>0</formula1>
      <formula2>150</formula2>
    </dataValidation>
    <dataValidation type="textLength" allowBlank="1" showInputMessage="1" showErrorMessage="1" prompt="Enter other district grade level literacy measure not included above including year or edition of norming. Indicate if using summary score or subscore of selected measure. Limited to 150 characters." sqref="C37">
      <formula1>0</formula1>
      <formula2>150</formula2>
    </dataValidation>
    <dataValidation type="list" allowBlank="1" showInputMessage="1" showErrorMessage="1" sqref="F6">
      <formula1>#REF!</formula1>
    </dataValidation>
    <dataValidation type="list" allowBlank="1" showInputMessage="1" showErrorMessage="1" sqref="G6">
      <formula1>#REF!</formula1>
    </dataValidation>
  </dataValidations>
  <pageMargins left="0.7" right="0.7" top="0.75" bottom="0.75" header="0.3" footer="0.3"/>
  <pageSetup scale="67" fitToWidth="0" orientation="portrait" r:id="rId2"/>
  <extLst>
    <ext xmlns:x14="http://schemas.microsoft.com/office/spreadsheetml/2009/9/main" uri="{CCE6A557-97BC-4b89-ADB6-D9C93CAAB3DF}">
      <x14:dataValidations xmlns:xm="http://schemas.microsoft.com/office/excel/2006/main" count="12">
        <x14:dataValidation type="list" allowBlank="1" showInputMessage="1" showErrorMessage="1" prompt="Select one measure in dropdown list.">
          <x14:formula1>
            <xm:f>CriteriaDropdowns!$C$2:$C$7</xm:f>
          </x14:formula1>
          <xm:sqref>C19</xm:sqref>
        </x14:dataValidation>
        <x14:dataValidation type="list" allowBlank="1" showInputMessage="1" showErrorMessage="1" prompt="Select one measure in dropdown list.">
          <x14:formula1>
            <xm:f>CriteriaDropdowns!$C$56:$C$62</xm:f>
          </x14:formula1>
          <xm:sqref>C25</xm:sqref>
        </x14:dataValidation>
        <x14:dataValidation type="list" allowBlank="1" showInputMessage="1" showErrorMessage="1" prompt="Select one measure in dropdown list.">
          <x14:formula1>
            <xm:f>CriteriaDropdowns!$C$24:$C$26</xm:f>
          </x14:formula1>
          <xm:sqref>C29</xm:sqref>
        </x14:dataValidation>
        <x14:dataValidation type="list" allowBlank="1" showInputMessage="1" showErrorMessage="1" prompt="Select one measure in dropdown list.">
          <x14:formula1>
            <xm:f>CriteriaDropdowns!$C$56:$C$62</xm:f>
          </x14:formula1>
          <xm:sqref>C20</xm:sqref>
        </x14:dataValidation>
        <x14:dataValidation type="list" allowBlank="1" showInputMessage="1" showErrorMessage="1" prompt="Select one measure in dropdown list.">
          <x14:formula1>
            <xm:f>CriteriaDropdowns!$C$8:$C$13</xm:f>
          </x14:formula1>
          <xm:sqref>C21</xm:sqref>
        </x14:dataValidation>
        <x14:dataValidation type="list" allowBlank="1" showInputMessage="1" showErrorMessage="1" prompt="Select one measure in dropdown list.">
          <x14:formula1>
            <xm:f>CriteriaDropdowns!$C$14:$C$19</xm:f>
          </x14:formula1>
          <xm:sqref>C24</xm:sqref>
        </x14:dataValidation>
        <x14:dataValidation type="list" allowBlank="1" showInputMessage="1" showErrorMessage="1" prompt="Select one measure in dropdown list.">
          <x14:formula1>
            <xm:f>CriteriaDropdowns!$C$8:$C$13</xm:f>
          </x14:formula1>
          <xm:sqref>C26</xm:sqref>
        </x14:dataValidation>
        <x14:dataValidation type="list" allowBlank="1" showInputMessage="1" showErrorMessage="1" prompt="Select one measure in dropdown list.">
          <x14:formula1>
            <xm:f>CriteriaDropdowns!$C$56:$C$62</xm:f>
          </x14:formula1>
          <xm:sqref>C30</xm:sqref>
        </x14:dataValidation>
        <x14:dataValidation type="list" allowBlank="1" showInputMessage="1" showErrorMessage="1" prompt="Select one measure in dropdown list.">
          <x14:formula1>
            <xm:f>CriteriaDropdowns!$C$27:$C$39</xm:f>
          </x14:formula1>
          <xm:sqref>C31</xm:sqref>
        </x14:dataValidation>
        <x14:dataValidation type="list" allowBlank="1" showInputMessage="1" showErrorMessage="1" prompt="Select one measure in dropdown list.">
          <x14:formula1>
            <xm:f>CriteriaDropdowns!$C$40:$C$41</xm:f>
          </x14:formula1>
          <xm:sqref>C34</xm:sqref>
        </x14:dataValidation>
        <x14:dataValidation type="list" allowBlank="1" showInputMessage="1" showErrorMessage="1" prompt="Select one measure in dropdown list.">
          <x14:formula1>
            <xm:f>CriteriaDropdowns!$C$53:$C$55</xm:f>
          </x14:formula1>
          <xm:sqref>C35</xm:sqref>
        </x14:dataValidation>
        <x14:dataValidation type="list" allowBlank="1" showInputMessage="1" showErrorMessage="1" prompt="Select one measure in dropdown list.">
          <x14:formula1>
            <xm:f>CriteriaDropdowns!$C$27:$C$39</xm:f>
          </x14:formula1>
          <xm:sqref>C36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I29"/>
  <sheetViews>
    <sheetView showGridLines="0" zoomScale="80" zoomScaleNormal="80" workbookViewId="0">
      <pane xSplit="3" ySplit="8" topLeftCell="D9" activePane="bottomRight" state="frozen"/>
      <selection pane="topRight" activeCell="D1" sqref="D1"/>
      <selection pane="bottomLeft" activeCell="A9" sqref="A9"/>
      <selection pane="bottomRight" activeCell="H18" sqref="H18"/>
    </sheetView>
  </sheetViews>
  <sheetFormatPr defaultRowHeight="15" x14ac:dyDescent="0.25"/>
  <cols>
    <col min="1" max="1" width="15.28515625" customWidth="1"/>
    <col min="2" max="2" width="25.7109375" customWidth="1"/>
    <col min="3" max="3" width="31.7109375" style="29" customWidth="1"/>
    <col min="4" max="4" width="12.5703125" customWidth="1"/>
    <col min="5" max="5" width="12.140625" customWidth="1"/>
    <col min="6" max="6" width="12" customWidth="1"/>
    <col min="7" max="9" width="12.140625" style="25" customWidth="1"/>
    <col min="10" max="12" width="12.140625" style="20" customWidth="1"/>
    <col min="13" max="165" width="12.140625" customWidth="1"/>
  </cols>
  <sheetData>
    <row r="1" spans="1:165" s="42" customFormat="1" ht="15.6" customHeight="1" x14ac:dyDescent="0.25">
      <c r="A1" s="239" t="s">
        <v>4</v>
      </c>
      <c r="B1" s="239" t="s">
        <v>100</v>
      </c>
      <c r="C1" s="239" t="s">
        <v>69</v>
      </c>
      <c r="D1" s="242" t="s">
        <v>68</v>
      </c>
      <c r="E1" s="243"/>
      <c r="F1" s="243"/>
      <c r="G1" s="243"/>
      <c r="H1" s="243"/>
      <c r="I1" s="243"/>
      <c r="J1" s="243"/>
      <c r="K1" s="243"/>
      <c r="L1" s="243"/>
      <c r="M1" s="246" t="s">
        <v>68</v>
      </c>
      <c r="N1" s="246"/>
      <c r="O1" s="246"/>
      <c r="P1" s="246"/>
      <c r="Q1" s="246"/>
      <c r="R1" s="246"/>
      <c r="S1" s="246"/>
      <c r="T1" s="246"/>
      <c r="U1" s="246"/>
      <c r="V1" s="246"/>
      <c r="W1" s="246"/>
      <c r="X1" s="246"/>
      <c r="Y1" s="246"/>
      <c r="Z1" s="246"/>
      <c r="AA1" s="246"/>
      <c r="AB1" s="246"/>
      <c r="AC1" s="246"/>
      <c r="AD1" s="246"/>
      <c r="AE1" s="246"/>
      <c r="AF1" s="246"/>
      <c r="AG1" s="246"/>
      <c r="AH1" s="246"/>
      <c r="AI1" s="246"/>
      <c r="AJ1" s="246"/>
      <c r="AK1" s="246"/>
      <c r="AL1" s="246"/>
      <c r="AM1" s="246"/>
      <c r="AN1" s="246"/>
      <c r="AO1" s="246"/>
      <c r="AP1" s="246"/>
      <c r="AQ1" s="246"/>
      <c r="AR1" s="246"/>
      <c r="AS1" s="246"/>
      <c r="AT1" s="246"/>
      <c r="AU1" s="246"/>
      <c r="AV1" s="246"/>
      <c r="AW1" s="246"/>
      <c r="AX1" s="246"/>
      <c r="AY1" s="246"/>
      <c r="AZ1" s="246"/>
      <c r="BA1" s="246"/>
      <c r="BB1" s="246"/>
      <c r="BC1" s="246"/>
      <c r="BD1" s="246"/>
      <c r="BE1" s="246"/>
      <c r="BF1" s="246"/>
      <c r="BG1" s="246"/>
      <c r="BH1" s="246"/>
      <c r="BI1" s="246"/>
      <c r="BJ1" s="246"/>
      <c r="BK1" s="246"/>
      <c r="BL1" s="246"/>
      <c r="BM1" s="246"/>
      <c r="BN1" s="246"/>
      <c r="BO1" s="246"/>
      <c r="BP1" s="246"/>
      <c r="BQ1" s="246"/>
      <c r="BR1" s="246"/>
      <c r="BS1" s="246"/>
      <c r="BT1" s="246"/>
      <c r="BU1" s="246"/>
      <c r="BV1" s="246"/>
      <c r="BW1" s="246"/>
      <c r="BX1" s="246"/>
      <c r="BY1" s="246"/>
      <c r="BZ1" s="246"/>
      <c r="CA1" s="246"/>
      <c r="CB1" s="246"/>
      <c r="CC1" s="246"/>
      <c r="CD1" s="246"/>
      <c r="CE1" s="246"/>
      <c r="CF1" s="246"/>
      <c r="CG1" s="246"/>
      <c r="CH1" s="246"/>
      <c r="CI1" s="246"/>
      <c r="CJ1" s="246"/>
      <c r="CK1" s="246"/>
      <c r="CL1" s="246"/>
      <c r="CM1" s="246"/>
      <c r="CN1" s="246"/>
      <c r="CO1" s="246"/>
      <c r="CP1" s="246"/>
      <c r="CQ1" s="246"/>
      <c r="CR1" s="246"/>
      <c r="CS1" s="246"/>
      <c r="CT1" s="246"/>
      <c r="CU1" s="246"/>
      <c r="CV1" s="246"/>
      <c r="CW1" s="246"/>
      <c r="CX1" s="246"/>
      <c r="CY1" s="246"/>
      <c r="CZ1" s="246"/>
      <c r="DA1" s="246"/>
      <c r="DB1" s="246"/>
      <c r="DC1" s="246"/>
      <c r="DD1" s="246"/>
      <c r="DE1" s="246"/>
      <c r="DF1" s="246"/>
      <c r="DG1" s="246"/>
      <c r="DH1" s="246"/>
      <c r="DI1" s="246"/>
      <c r="DJ1" s="246"/>
      <c r="DK1" s="246"/>
      <c r="DL1" s="246"/>
      <c r="DM1" s="246"/>
      <c r="DN1" s="246"/>
      <c r="DO1" s="246"/>
      <c r="DP1" s="246"/>
      <c r="DQ1" s="246"/>
      <c r="DR1" s="246"/>
      <c r="DS1" s="246"/>
      <c r="DT1" s="246"/>
      <c r="DU1" s="246"/>
      <c r="DV1" s="246"/>
      <c r="DW1" s="246"/>
      <c r="DX1" s="246"/>
      <c r="DY1" s="246"/>
      <c r="DZ1" s="246"/>
      <c r="EA1" s="246"/>
      <c r="EB1" s="246"/>
      <c r="EC1" s="246"/>
      <c r="ED1" s="246"/>
      <c r="EE1" s="246"/>
      <c r="EF1" s="246"/>
      <c r="EG1" s="246"/>
      <c r="EH1" s="246"/>
      <c r="EI1" s="246"/>
      <c r="EJ1" s="246"/>
      <c r="EK1" s="246"/>
      <c r="EL1" s="246"/>
      <c r="EM1" s="246"/>
      <c r="EN1" s="246"/>
      <c r="EO1" s="246"/>
      <c r="EP1" s="246"/>
      <c r="EQ1" s="246"/>
      <c r="ER1" s="246"/>
      <c r="ES1" s="246"/>
      <c r="ET1" s="246"/>
      <c r="EU1" s="246"/>
      <c r="EV1" s="246"/>
      <c r="EW1" s="246"/>
      <c r="EX1" s="246"/>
      <c r="EY1" s="246"/>
      <c r="EZ1" s="246"/>
      <c r="FA1" s="246"/>
      <c r="FB1" s="246"/>
      <c r="FC1" s="246"/>
      <c r="FD1" s="246"/>
      <c r="FE1" s="246"/>
      <c r="FF1" s="246"/>
      <c r="FG1" s="246"/>
      <c r="FH1" s="246"/>
      <c r="FI1" s="246"/>
    </row>
    <row r="2" spans="1:165" s="42" customFormat="1" ht="15.6" customHeight="1" x14ac:dyDescent="0.25">
      <c r="A2" s="240"/>
      <c r="B2" s="240"/>
      <c r="C2" s="240"/>
      <c r="D2" s="235" t="s">
        <v>20</v>
      </c>
      <c r="E2" s="245"/>
      <c r="F2" s="245"/>
      <c r="G2" s="244" t="s">
        <v>103</v>
      </c>
      <c r="H2" s="244"/>
      <c r="I2" s="244"/>
      <c r="J2" s="244" t="s">
        <v>104</v>
      </c>
      <c r="K2" s="244"/>
      <c r="L2" s="244"/>
      <c r="M2" s="244" t="s">
        <v>105</v>
      </c>
      <c r="N2" s="244"/>
      <c r="O2" s="244"/>
      <c r="P2" s="244" t="s">
        <v>106</v>
      </c>
      <c r="Q2" s="244"/>
      <c r="R2" s="244"/>
      <c r="S2" s="244" t="s">
        <v>107</v>
      </c>
      <c r="T2" s="244"/>
      <c r="U2" s="244"/>
      <c r="V2" s="244" t="s">
        <v>108</v>
      </c>
      <c r="W2" s="244"/>
      <c r="X2" s="244"/>
      <c r="Y2" s="244" t="s">
        <v>109</v>
      </c>
      <c r="Z2" s="244"/>
      <c r="AA2" s="244"/>
      <c r="AB2" s="244" t="s">
        <v>110</v>
      </c>
      <c r="AC2" s="244"/>
      <c r="AD2" s="244"/>
      <c r="AE2" s="244" t="s">
        <v>111</v>
      </c>
      <c r="AF2" s="244"/>
      <c r="AG2" s="244"/>
      <c r="AH2" s="244" t="s">
        <v>112</v>
      </c>
      <c r="AI2" s="244"/>
      <c r="AJ2" s="244"/>
      <c r="AK2" s="244" t="s">
        <v>113</v>
      </c>
      <c r="AL2" s="244"/>
      <c r="AM2" s="244"/>
      <c r="AN2" s="244" t="s">
        <v>114</v>
      </c>
      <c r="AO2" s="244"/>
      <c r="AP2" s="244"/>
      <c r="AQ2" s="244" t="s">
        <v>115</v>
      </c>
      <c r="AR2" s="244"/>
      <c r="AS2" s="244"/>
      <c r="AT2" s="244" t="s">
        <v>116</v>
      </c>
      <c r="AU2" s="244"/>
      <c r="AV2" s="244"/>
      <c r="AW2" s="244" t="s">
        <v>117</v>
      </c>
      <c r="AX2" s="244"/>
      <c r="AY2" s="244"/>
      <c r="AZ2" s="244" t="s">
        <v>118</v>
      </c>
      <c r="BA2" s="244"/>
      <c r="BB2" s="244"/>
      <c r="BC2" s="244" t="s">
        <v>119</v>
      </c>
      <c r="BD2" s="244"/>
      <c r="BE2" s="244"/>
      <c r="BF2" s="244" t="s">
        <v>120</v>
      </c>
      <c r="BG2" s="244"/>
      <c r="BH2" s="244"/>
      <c r="BI2" s="244" t="s">
        <v>121</v>
      </c>
      <c r="BJ2" s="244"/>
      <c r="BK2" s="244"/>
      <c r="BL2" s="244" t="s">
        <v>122</v>
      </c>
      <c r="BM2" s="244"/>
      <c r="BN2" s="244"/>
      <c r="BO2" s="244" t="s">
        <v>123</v>
      </c>
      <c r="BP2" s="244"/>
      <c r="BQ2" s="244"/>
      <c r="BR2" s="244" t="s">
        <v>124</v>
      </c>
      <c r="BS2" s="244"/>
      <c r="BT2" s="244"/>
      <c r="BU2" s="244" t="s">
        <v>125</v>
      </c>
      <c r="BV2" s="244"/>
      <c r="BW2" s="244"/>
      <c r="BX2" s="244" t="s">
        <v>126</v>
      </c>
      <c r="BY2" s="244"/>
      <c r="BZ2" s="244"/>
      <c r="CA2" s="244" t="s">
        <v>127</v>
      </c>
      <c r="CB2" s="244"/>
      <c r="CC2" s="244"/>
      <c r="CD2" s="244" t="s">
        <v>128</v>
      </c>
      <c r="CE2" s="244"/>
      <c r="CF2" s="244"/>
      <c r="CG2" s="244" t="s">
        <v>129</v>
      </c>
      <c r="CH2" s="244"/>
      <c r="CI2" s="244"/>
      <c r="CJ2" s="244" t="s">
        <v>130</v>
      </c>
      <c r="CK2" s="244"/>
      <c r="CL2" s="244"/>
      <c r="CM2" s="244" t="s">
        <v>131</v>
      </c>
      <c r="CN2" s="244"/>
      <c r="CO2" s="244"/>
      <c r="CP2" s="244" t="s">
        <v>132</v>
      </c>
      <c r="CQ2" s="244"/>
      <c r="CR2" s="244"/>
      <c r="CS2" s="244" t="s">
        <v>133</v>
      </c>
      <c r="CT2" s="244"/>
      <c r="CU2" s="244"/>
      <c r="CV2" s="244" t="s">
        <v>134</v>
      </c>
      <c r="CW2" s="244"/>
      <c r="CX2" s="244"/>
      <c r="CY2" s="244" t="s">
        <v>135</v>
      </c>
      <c r="CZ2" s="244"/>
      <c r="DA2" s="244"/>
      <c r="DB2" s="244" t="s">
        <v>136</v>
      </c>
      <c r="DC2" s="244"/>
      <c r="DD2" s="244"/>
      <c r="DE2" s="244" t="s">
        <v>137</v>
      </c>
      <c r="DF2" s="244"/>
      <c r="DG2" s="244"/>
      <c r="DH2" s="244" t="s">
        <v>138</v>
      </c>
      <c r="DI2" s="244"/>
      <c r="DJ2" s="244"/>
      <c r="DK2" s="244" t="s">
        <v>139</v>
      </c>
      <c r="DL2" s="244"/>
      <c r="DM2" s="244"/>
      <c r="DN2" s="244" t="s">
        <v>140</v>
      </c>
      <c r="DO2" s="244"/>
      <c r="DP2" s="244"/>
      <c r="DQ2" s="244" t="s">
        <v>141</v>
      </c>
      <c r="DR2" s="244"/>
      <c r="DS2" s="244"/>
      <c r="DT2" s="244" t="s">
        <v>142</v>
      </c>
      <c r="DU2" s="244"/>
      <c r="DV2" s="244"/>
      <c r="DW2" s="244" t="s">
        <v>143</v>
      </c>
      <c r="DX2" s="244"/>
      <c r="DY2" s="244"/>
      <c r="DZ2" s="244" t="s">
        <v>144</v>
      </c>
      <c r="EA2" s="244"/>
      <c r="EB2" s="244"/>
      <c r="EC2" s="244" t="s">
        <v>145</v>
      </c>
      <c r="ED2" s="244"/>
      <c r="EE2" s="244"/>
      <c r="EF2" s="244" t="s">
        <v>146</v>
      </c>
      <c r="EG2" s="244"/>
      <c r="EH2" s="244"/>
      <c r="EI2" s="244" t="s">
        <v>147</v>
      </c>
      <c r="EJ2" s="244"/>
      <c r="EK2" s="244"/>
      <c r="EL2" s="244" t="s">
        <v>148</v>
      </c>
      <c r="EM2" s="244"/>
      <c r="EN2" s="244"/>
      <c r="EO2" s="244" t="s">
        <v>149</v>
      </c>
      <c r="EP2" s="244"/>
      <c r="EQ2" s="244"/>
      <c r="ER2" s="244" t="s">
        <v>150</v>
      </c>
      <c r="ES2" s="244"/>
      <c r="ET2" s="244"/>
      <c r="EU2" s="244" t="s">
        <v>151</v>
      </c>
      <c r="EV2" s="244"/>
      <c r="EW2" s="244"/>
      <c r="EX2" s="244" t="s">
        <v>152</v>
      </c>
      <c r="EY2" s="244"/>
      <c r="EZ2" s="244"/>
      <c r="FA2" s="244" t="s">
        <v>153</v>
      </c>
      <c r="FB2" s="244"/>
      <c r="FC2" s="244"/>
      <c r="FD2" s="244" t="s">
        <v>154</v>
      </c>
      <c r="FE2" s="244"/>
      <c r="FF2" s="244"/>
      <c r="FG2" s="244" t="s">
        <v>155</v>
      </c>
      <c r="FH2" s="244"/>
      <c r="FI2" s="244"/>
    </row>
    <row r="3" spans="1:165" s="42" customFormat="1" ht="15.6" customHeight="1" x14ac:dyDescent="0.25">
      <c r="A3" s="240"/>
      <c r="B3" s="240"/>
      <c r="C3" s="240"/>
      <c r="D3" s="235"/>
      <c r="E3" s="245"/>
      <c r="F3" s="245"/>
      <c r="G3" s="231">
        <f>'District Information &amp; Measures'!B46</f>
        <v>0</v>
      </c>
      <c r="H3" s="231"/>
      <c r="I3" s="231"/>
      <c r="J3" s="231">
        <f>'District Information &amp; Measures'!B47</f>
        <v>0</v>
      </c>
      <c r="K3" s="231"/>
      <c r="L3" s="231"/>
      <c r="M3" s="231">
        <f>'District Information &amp; Measures'!B48</f>
        <v>0</v>
      </c>
      <c r="N3" s="231"/>
      <c r="O3" s="231"/>
      <c r="P3" s="231">
        <f>'District Information &amp; Measures'!B49</f>
        <v>0</v>
      </c>
      <c r="Q3" s="231"/>
      <c r="R3" s="231"/>
      <c r="S3" s="231">
        <f>'District Information &amp; Measures'!B50</f>
        <v>0</v>
      </c>
      <c r="T3" s="231"/>
      <c r="U3" s="231"/>
      <c r="V3" s="231">
        <f>'District Information &amp; Measures'!B51</f>
        <v>0</v>
      </c>
      <c r="W3" s="231"/>
      <c r="X3" s="231"/>
      <c r="Y3" s="231">
        <f>'District Information &amp; Measures'!B52</f>
        <v>0</v>
      </c>
      <c r="Z3" s="231"/>
      <c r="AA3" s="231"/>
      <c r="AB3" s="231">
        <f>'District Information &amp; Measures'!B53</f>
        <v>0</v>
      </c>
      <c r="AC3" s="231"/>
      <c r="AD3" s="231"/>
      <c r="AE3" s="231">
        <f>'District Information &amp; Measures'!B54</f>
        <v>0</v>
      </c>
      <c r="AF3" s="231"/>
      <c r="AG3" s="231"/>
      <c r="AH3" s="231">
        <f>'District Information &amp; Measures'!B55</f>
        <v>0</v>
      </c>
      <c r="AI3" s="231"/>
      <c r="AJ3" s="231"/>
      <c r="AK3" s="231">
        <f>'District Information &amp; Measures'!B56</f>
        <v>0</v>
      </c>
      <c r="AL3" s="231"/>
      <c r="AM3" s="231"/>
      <c r="AN3" s="231">
        <f>'District Information &amp; Measures'!B57</f>
        <v>0</v>
      </c>
      <c r="AO3" s="231"/>
      <c r="AP3" s="231"/>
      <c r="AQ3" s="231">
        <f>'District Information &amp; Measures'!B58</f>
        <v>0</v>
      </c>
      <c r="AR3" s="231"/>
      <c r="AS3" s="231"/>
      <c r="AT3" s="231">
        <f>'District Information &amp; Measures'!B59</f>
        <v>0</v>
      </c>
      <c r="AU3" s="231"/>
      <c r="AV3" s="231"/>
      <c r="AW3" s="231">
        <f>'District Information &amp; Measures'!B60</f>
        <v>0</v>
      </c>
      <c r="AX3" s="231"/>
      <c r="AY3" s="231"/>
      <c r="AZ3" s="231">
        <f>'District Information &amp; Measures'!B61</f>
        <v>0</v>
      </c>
      <c r="BA3" s="231"/>
      <c r="BB3" s="231"/>
      <c r="BC3" s="231">
        <f>'District Information &amp; Measures'!B62</f>
        <v>0</v>
      </c>
      <c r="BD3" s="231"/>
      <c r="BE3" s="231"/>
      <c r="BF3" s="231">
        <f>'District Information &amp; Measures'!B63</f>
        <v>0</v>
      </c>
      <c r="BG3" s="231"/>
      <c r="BH3" s="231"/>
      <c r="BI3" s="231">
        <f>'District Information &amp; Measures'!B64</f>
        <v>0</v>
      </c>
      <c r="BJ3" s="231"/>
      <c r="BK3" s="231"/>
      <c r="BL3" s="231">
        <f>'District Information &amp; Measures'!B65</f>
        <v>0</v>
      </c>
      <c r="BM3" s="231"/>
      <c r="BN3" s="231"/>
      <c r="BO3" s="231">
        <f>'District Information &amp; Measures'!B66</f>
        <v>0</v>
      </c>
      <c r="BP3" s="231"/>
      <c r="BQ3" s="231"/>
      <c r="BR3" s="231">
        <f>'District Information &amp; Measures'!B67</f>
        <v>0</v>
      </c>
      <c r="BS3" s="231"/>
      <c r="BT3" s="231"/>
      <c r="BU3" s="231">
        <f>'District Information &amp; Measures'!B68</f>
        <v>0</v>
      </c>
      <c r="BV3" s="231"/>
      <c r="BW3" s="231"/>
      <c r="BX3" s="231">
        <f>'District Information &amp; Measures'!B69</f>
        <v>0</v>
      </c>
      <c r="BY3" s="231"/>
      <c r="BZ3" s="231"/>
      <c r="CA3" s="231">
        <f>'District Information &amp; Measures'!B70</f>
        <v>0</v>
      </c>
      <c r="CB3" s="231"/>
      <c r="CC3" s="231"/>
      <c r="CD3" s="231">
        <f>'District Information &amp; Measures'!B71</f>
        <v>0</v>
      </c>
      <c r="CE3" s="231"/>
      <c r="CF3" s="231"/>
      <c r="CG3" s="231">
        <f>'District Information &amp; Measures'!B72</f>
        <v>0</v>
      </c>
      <c r="CH3" s="231"/>
      <c r="CI3" s="231"/>
      <c r="CJ3" s="231">
        <f>'District Information &amp; Measures'!B73</f>
        <v>0</v>
      </c>
      <c r="CK3" s="231"/>
      <c r="CL3" s="231"/>
      <c r="CM3" s="231">
        <f>'District Information &amp; Measures'!B73</f>
        <v>0</v>
      </c>
      <c r="CN3" s="231"/>
      <c r="CO3" s="231"/>
      <c r="CP3" s="231">
        <f>'District Information &amp; Measures'!B75</f>
        <v>0</v>
      </c>
      <c r="CQ3" s="231"/>
      <c r="CR3" s="231"/>
      <c r="CS3" s="231">
        <f>'District Information &amp; Measures'!B76</f>
        <v>0</v>
      </c>
      <c r="CT3" s="231"/>
      <c r="CU3" s="231"/>
      <c r="CV3" s="231">
        <f>'District Information &amp; Measures'!B77</f>
        <v>0</v>
      </c>
      <c r="CW3" s="231"/>
      <c r="CX3" s="231"/>
      <c r="CY3" s="231">
        <f>'District Information &amp; Measures'!B78</f>
        <v>0</v>
      </c>
      <c r="CZ3" s="231"/>
      <c r="DA3" s="231"/>
      <c r="DB3" s="231">
        <f>'District Information &amp; Measures'!B79</f>
        <v>0</v>
      </c>
      <c r="DC3" s="231"/>
      <c r="DD3" s="231"/>
      <c r="DE3" s="231">
        <f>'District Information &amp; Measures'!B80</f>
        <v>0</v>
      </c>
      <c r="DF3" s="231"/>
      <c r="DG3" s="231"/>
      <c r="DH3" s="231">
        <f>'District Information &amp; Measures'!B81</f>
        <v>0</v>
      </c>
      <c r="DI3" s="231"/>
      <c r="DJ3" s="231"/>
      <c r="DK3" s="231">
        <f>'District Information &amp; Measures'!B82</f>
        <v>0</v>
      </c>
      <c r="DL3" s="231"/>
      <c r="DM3" s="231"/>
      <c r="DN3" s="231">
        <f>'District Information &amp; Measures'!B83</f>
        <v>0</v>
      </c>
      <c r="DO3" s="231"/>
      <c r="DP3" s="231"/>
      <c r="DQ3" s="231">
        <f>'District Information &amp; Measures'!B84</f>
        <v>0</v>
      </c>
      <c r="DR3" s="231"/>
      <c r="DS3" s="231"/>
      <c r="DT3" s="231">
        <f>'District Information &amp; Measures'!B85</f>
        <v>0</v>
      </c>
      <c r="DU3" s="231"/>
      <c r="DV3" s="231"/>
      <c r="DW3" s="231">
        <f>'District Information &amp; Measures'!B86</f>
        <v>0</v>
      </c>
      <c r="DX3" s="231"/>
      <c r="DY3" s="231"/>
      <c r="DZ3" s="231">
        <f>'District Information &amp; Measures'!B87</f>
        <v>0</v>
      </c>
      <c r="EA3" s="231"/>
      <c r="EB3" s="231"/>
      <c r="EC3" s="231">
        <f>'District Information &amp; Measures'!B88</f>
        <v>0</v>
      </c>
      <c r="ED3" s="231"/>
      <c r="EE3" s="231"/>
      <c r="EF3" s="231">
        <f>'District Information &amp; Measures'!B89</f>
        <v>0</v>
      </c>
      <c r="EG3" s="231"/>
      <c r="EH3" s="231"/>
      <c r="EI3" s="231">
        <f>'District Information &amp; Measures'!B90</f>
        <v>0</v>
      </c>
      <c r="EJ3" s="231"/>
      <c r="EK3" s="231"/>
      <c r="EL3" s="231">
        <f>'District Information &amp; Measures'!B91</f>
        <v>0</v>
      </c>
      <c r="EM3" s="231"/>
      <c r="EN3" s="231"/>
      <c r="EO3" s="231">
        <f>'District Information &amp; Measures'!B92</f>
        <v>0</v>
      </c>
      <c r="EP3" s="231"/>
      <c r="EQ3" s="231"/>
      <c r="ER3" s="231">
        <f>'District Information &amp; Measures'!B93</f>
        <v>0</v>
      </c>
      <c r="ES3" s="231"/>
      <c r="ET3" s="231"/>
      <c r="EU3" s="231">
        <f>'District Information &amp; Measures'!B94</f>
        <v>0</v>
      </c>
      <c r="EV3" s="231"/>
      <c r="EW3" s="231"/>
      <c r="EX3" s="231">
        <f>'District Information &amp; Measures'!B95</f>
        <v>0</v>
      </c>
      <c r="EY3" s="231"/>
      <c r="EZ3" s="231"/>
      <c r="FA3" s="231">
        <f>'District Information &amp; Measures'!B96</f>
        <v>0</v>
      </c>
      <c r="FB3" s="231"/>
      <c r="FC3" s="231"/>
      <c r="FD3" s="231">
        <f>'District Information &amp; Measures'!B97</f>
        <v>0</v>
      </c>
      <c r="FE3" s="231"/>
      <c r="FF3" s="231"/>
      <c r="FG3" s="231">
        <f>'District Information &amp; Measures'!B98</f>
        <v>0</v>
      </c>
      <c r="FH3" s="231"/>
      <c r="FI3" s="231"/>
    </row>
    <row r="4" spans="1:165" s="42" customFormat="1" ht="15.6" customHeight="1" x14ac:dyDescent="0.25">
      <c r="A4" s="240"/>
      <c r="B4" s="240"/>
      <c r="C4" s="240"/>
      <c r="D4" s="71"/>
      <c r="E4" s="234" t="s">
        <v>21</v>
      </c>
      <c r="F4" s="235"/>
      <c r="G4" s="232" t="s">
        <v>298</v>
      </c>
      <c r="H4" s="234" t="s">
        <v>21</v>
      </c>
      <c r="I4" s="235"/>
      <c r="J4" s="232" t="s">
        <v>298</v>
      </c>
      <c r="K4" s="234" t="s">
        <v>21</v>
      </c>
      <c r="L4" s="235"/>
      <c r="M4" s="232" t="s">
        <v>298</v>
      </c>
      <c r="N4" s="234" t="s">
        <v>21</v>
      </c>
      <c r="O4" s="235"/>
      <c r="P4" s="232" t="s">
        <v>298</v>
      </c>
      <c r="Q4" s="234" t="s">
        <v>21</v>
      </c>
      <c r="R4" s="235"/>
      <c r="S4" s="232" t="s">
        <v>298</v>
      </c>
      <c r="T4" s="234" t="s">
        <v>21</v>
      </c>
      <c r="U4" s="235"/>
      <c r="V4" s="232" t="s">
        <v>298</v>
      </c>
      <c r="W4" s="234" t="s">
        <v>21</v>
      </c>
      <c r="X4" s="235"/>
      <c r="Y4" s="232" t="s">
        <v>298</v>
      </c>
      <c r="Z4" s="234" t="s">
        <v>21</v>
      </c>
      <c r="AA4" s="235"/>
      <c r="AB4" s="232" t="s">
        <v>298</v>
      </c>
      <c r="AC4" s="234" t="s">
        <v>21</v>
      </c>
      <c r="AD4" s="235"/>
      <c r="AE4" s="232" t="s">
        <v>298</v>
      </c>
      <c r="AF4" s="234" t="s">
        <v>21</v>
      </c>
      <c r="AG4" s="235"/>
      <c r="AH4" s="232" t="s">
        <v>298</v>
      </c>
      <c r="AI4" s="234" t="s">
        <v>21</v>
      </c>
      <c r="AJ4" s="235"/>
      <c r="AK4" s="232" t="s">
        <v>298</v>
      </c>
      <c r="AL4" s="234" t="s">
        <v>21</v>
      </c>
      <c r="AM4" s="235"/>
      <c r="AN4" s="232" t="s">
        <v>298</v>
      </c>
      <c r="AO4" s="234" t="s">
        <v>21</v>
      </c>
      <c r="AP4" s="235"/>
      <c r="AQ4" s="232" t="s">
        <v>298</v>
      </c>
      <c r="AR4" s="234" t="s">
        <v>21</v>
      </c>
      <c r="AS4" s="235"/>
      <c r="AT4" s="232" t="s">
        <v>298</v>
      </c>
      <c r="AU4" s="234" t="s">
        <v>21</v>
      </c>
      <c r="AV4" s="235"/>
      <c r="AW4" s="232" t="s">
        <v>298</v>
      </c>
      <c r="AX4" s="234" t="s">
        <v>21</v>
      </c>
      <c r="AY4" s="235"/>
      <c r="AZ4" s="232" t="s">
        <v>298</v>
      </c>
      <c r="BA4" s="234" t="s">
        <v>21</v>
      </c>
      <c r="BB4" s="235"/>
      <c r="BC4" s="232" t="s">
        <v>298</v>
      </c>
      <c r="BD4" s="234" t="s">
        <v>21</v>
      </c>
      <c r="BE4" s="235"/>
      <c r="BF4" s="232" t="s">
        <v>298</v>
      </c>
      <c r="BG4" s="234" t="s">
        <v>21</v>
      </c>
      <c r="BH4" s="235"/>
      <c r="BI4" s="232" t="s">
        <v>298</v>
      </c>
      <c r="BJ4" s="234" t="s">
        <v>21</v>
      </c>
      <c r="BK4" s="235"/>
      <c r="BL4" s="232" t="s">
        <v>298</v>
      </c>
      <c r="BM4" s="234" t="s">
        <v>21</v>
      </c>
      <c r="BN4" s="235"/>
      <c r="BO4" s="232" t="s">
        <v>298</v>
      </c>
      <c r="BP4" s="234" t="s">
        <v>21</v>
      </c>
      <c r="BQ4" s="235"/>
      <c r="BR4" s="232" t="s">
        <v>298</v>
      </c>
      <c r="BS4" s="234" t="s">
        <v>21</v>
      </c>
      <c r="BT4" s="235"/>
      <c r="BU4" s="232" t="s">
        <v>298</v>
      </c>
      <c r="BV4" s="234" t="s">
        <v>21</v>
      </c>
      <c r="BW4" s="235"/>
      <c r="BX4" s="232" t="s">
        <v>298</v>
      </c>
      <c r="BY4" s="234" t="s">
        <v>21</v>
      </c>
      <c r="BZ4" s="235"/>
      <c r="CA4" s="232" t="s">
        <v>298</v>
      </c>
      <c r="CB4" s="234" t="s">
        <v>21</v>
      </c>
      <c r="CC4" s="235"/>
      <c r="CD4" s="232" t="s">
        <v>298</v>
      </c>
      <c r="CE4" s="234" t="s">
        <v>21</v>
      </c>
      <c r="CF4" s="235"/>
      <c r="CG4" s="232" t="s">
        <v>298</v>
      </c>
      <c r="CH4" s="234" t="s">
        <v>21</v>
      </c>
      <c r="CI4" s="235"/>
      <c r="CJ4" s="232" t="s">
        <v>298</v>
      </c>
      <c r="CK4" s="234" t="s">
        <v>21</v>
      </c>
      <c r="CL4" s="235"/>
      <c r="CM4" s="232" t="s">
        <v>298</v>
      </c>
      <c r="CN4" s="234" t="s">
        <v>21</v>
      </c>
      <c r="CO4" s="235"/>
      <c r="CP4" s="232" t="s">
        <v>298</v>
      </c>
      <c r="CQ4" s="234" t="s">
        <v>21</v>
      </c>
      <c r="CR4" s="235"/>
      <c r="CS4" s="232" t="s">
        <v>298</v>
      </c>
      <c r="CT4" s="234" t="s">
        <v>21</v>
      </c>
      <c r="CU4" s="235"/>
      <c r="CV4" s="232" t="s">
        <v>298</v>
      </c>
      <c r="CW4" s="234" t="s">
        <v>21</v>
      </c>
      <c r="CX4" s="235"/>
      <c r="CY4" s="232" t="s">
        <v>298</v>
      </c>
      <c r="CZ4" s="234" t="s">
        <v>21</v>
      </c>
      <c r="DA4" s="235"/>
      <c r="DB4" s="232" t="s">
        <v>298</v>
      </c>
      <c r="DC4" s="234" t="s">
        <v>21</v>
      </c>
      <c r="DD4" s="235"/>
      <c r="DE4" s="232" t="s">
        <v>298</v>
      </c>
      <c r="DF4" s="234" t="s">
        <v>21</v>
      </c>
      <c r="DG4" s="235"/>
      <c r="DH4" s="232" t="s">
        <v>298</v>
      </c>
      <c r="DI4" s="234" t="s">
        <v>21</v>
      </c>
      <c r="DJ4" s="235"/>
      <c r="DK4" s="232" t="s">
        <v>298</v>
      </c>
      <c r="DL4" s="234" t="s">
        <v>21</v>
      </c>
      <c r="DM4" s="235"/>
      <c r="DN4" s="232" t="s">
        <v>298</v>
      </c>
      <c r="DO4" s="234" t="s">
        <v>21</v>
      </c>
      <c r="DP4" s="235"/>
      <c r="DQ4" s="232" t="s">
        <v>298</v>
      </c>
      <c r="DR4" s="234" t="s">
        <v>21</v>
      </c>
      <c r="DS4" s="235"/>
      <c r="DT4" s="232" t="s">
        <v>298</v>
      </c>
      <c r="DU4" s="234" t="s">
        <v>21</v>
      </c>
      <c r="DV4" s="235"/>
      <c r="DW4" s="232" t="s">
        <v>298</v>
      </c>
      <c r="DX4" s="234" t="s">
        <v>21</v>
      </c>
      <c r="DY4" s="235"/>
      <c r="DZ4" s="232" t="s">
        <v>298</v>
      </c>
      <c r="EA4" s="234" t="s">
        <v>21</v>
      </c>
      <c r="EB4" s="235"/>
      <c r="EC4" s="232" t="s">
        <v>298</v>
      </c>
      <c r="ED4" s="234" t="s">
        <v>21</v>
      </c>
      <c r="EE4" s="235"/>
      <c r="EF4" s="232" t="s">
        <v>298</v>
      </c>
      <c r="EG4" s="234" t="s">
        <v>21</v>
      </c>
      <c r="EH4" s="235"/>
      <c r="EI4" s="232" t="s">
        <v>298</v>
      </c>
      <c r="EJ4" s="234" t="s">
        <v>21</v>
      </c>
      <c r="EK4" s="235"/>
      <c r="EL4" s="232" t="s">
        <v>298</v>
      </c>
      <c r="EM4" s="234" t="s">
        <v>21</v>
      </c>
      <c r="EN4" s="235"/>
      <c r="EO4" s="232" t="s">
        <v>298</v>
      </c>
      <c r="EP4" s="234" t="s">
        <v>21</v>
      </c>
      <c r="EQ4" s="235"/>
      <c r="ER4" s="232" t="s">
        <v>298</v>
      </c>
      <c r="ES4" s="234" t="s">
        <v>21</v>
      </c>
      <c r="ET4" s="235"/>
      <c r="EU4" s="232" t="s">
        <v>298</v>
      </c>
      <c r="EV4" s="234" t="s">
        <v>21</v>
      </c>
      <c r="EW4" s="235"/>
      <c r="EX4" s="232" t="s">
        <v>298</v>
      </c>
      <c r="EY4" s="234" t="s">
        <v>21</v>
      </c>
      <c r="EZ4" s="235"/>
      <c r="FA4" s="232" t="s">
        <v>298</v>
      </c>
      <c r="FB4" s="234" t="s">
        <v>21</v>
      </c>
      <c r="FC4" s="235"/>
      <c r="FD4" s="232" t="s">
        <v>298</v>
      </c>
      <c r="FE4" s="234" t="s">
        <v>21</v>
      </c>
      <c r="FF4" s="235"/>
      <c r="FG4" s="232" t="s">
        <v>298</v>
      </c>
      <c r="FH4" s="234" t="s">
        <v>21</v>
      </c>
      <c r="FI4" s="235"/>
    </row>
    <row r="5" spans="1:165" s="73" customFormat="1" ht="52.5" customHeight="1" x14ac:dyDescent="0.25">
      <c r="A5" s="241"/>
      <c r="B5" s="241"/>
      <c r="C5" s="241"/>
      <c r="D5" s="143" t="s">
        <v>298</v>
      </c>
      <c r="E5" s="72" t="s">
        <v>67</v>
      </c>
      <c r="F5" s="72" t="s">
        <v>66</v>
      </c>
      <c r="G5" s="233"/>
      <c r="H5" s="72" t="s">
        <v>67</v>
      </c>
      <c r="I5" s="72" t="s">
        <v>66</v>
      </c>
      <c r="J5" s="233"/>
      <c r="K5" s="72" t="s">
        <v>67</v>
      </c>
      <c r="L5" s="72" t="s">
        <v>66</v>
      </c>
      <c r="M5" s="233"/>
      <c r="N5" s="72" t="s">
        <v>67</v>
      </c>
      <c r="O5" s="72" t="s">
        <v>66</v>
      </c>
      <c r="P5" s="233"/>
      <c r="Q5" s="72" t="s">
        <v>67</v>
      </c>
      <c r="R5" s="72" t="s">
        <v>66</v>
      </c>
      <c r="S5" s="233"/>
      <c r="T5" s="72" t="s">
        <v>67</v>
      </c>
      <c r="U5" s="72" t="s">
        <v>66</v>
      </c>
      <c r="V5" s="233"/>
      <c r="W5" s="72" t="s">
        <v>67</v>
      </c>
      <c r="X5" s="72" t="s">
        <v>66</v>
      </c>
      <c r="Y5" s="233"/>
      <c r="Z5" s="72" t="s">
        <v>67</v>
      </c>
      <c r="AA5" s="72" t="s">
        <v>66</v>
      </c>
      <c r="AB5" s="233"/>
      <c r="AC5" s="72" t="s">
        <v>67</v>
      </c>
      <c r="AD5" s="72" t="s">
        <v>66</v>
      </c>
      <c r="AE5" s="233"/>
      <c r="AF5" s="72" t="s">
        <v>67</v>
      </c>
      <c r="AG5" s="72" t="s">
        <v>66</v>
      </c>
      <c r="AH5" s="233"/>
      <c r="AI5" s="72" t="s">
        <v>67</v>
      </c>
      <c r="AJ5" s="72" t="s">
        <v>66</v>
      </c>
      <c r="AK5" s="233"/>
      <c r="AL5" s="72" t="s">
        <v>67</v>
      </c>
      <c r="AM5" s="72" t="s">
        <v>66</v>
      </c>
      <c r="AN5" s="233"/>
      <c r="AO5" s="72" t="s">
        <v>67</v>
      </c>
      <c r="AP5" s="72" t="s">
        <v>66</v>
      </c>
      <c r="AQ5" s="233"/>
      <c r="AR5" s="72" t="s">
        <v>67</v>
      </c>
      <c r="AS5" s="72" t="s">
        <v>66</v>
      </c>
      <c r="AT5" s="233"/>
      <c r="AU5" s="72" t="s">
        <v>67</v>
      </c>
      <c r="AV5" s="72" t="s">
        <v>66</v>
      </c>
      <c r="AW5" s="233"/>
      <c r="AX5" s="72" t="s">
        <v>67</v>
      </c>
      <c r="AY5" s="72" t="s">
        <v>66</v>
      </c>
      <c r="AZ5" s="233"/>
      <c r="BA5" s="72" t="s">
        <v>67</v>
      </c>
      <c r="BB5" s="72" t="s">
        <v>66</v>
      </c>
      <c r="BC5" s="233"/>
      <c r="BD5" s="72" t="s">
        <v>67</v>
      </c>
      <c r="BE5" s="72" t="s">
        <v>66</v>
      </c>
      <c r="BF5" s="233"/>
      <c r="BG5" s="72" t="s">
        <v>67</v>
      </c>
      <c r="BH5" s="72" t="s">
        <v>66</v>
      </c>
      <c r="BI5" s="233"/>
      <c r="BJ5" s="72" t="s">
        <v>67</v>
      </c>
      <c r="BK5" s="72" t="s">
        <v>66</v>
      </c>
      <c r="BL5" s="233"/>
      <c r="BM5" s="72" t="s">
        <v>67</v>
      </c>
      <c r="BN5" s="72" t="s">
        <v>66</v>
      </c>
      <c r="BO5" s="233"/>
      <c r="BP5" s="72" t="s">
        <v>67</v>
      </c>
      <c r="BQ5" s="72" t="s">
        <v>66</v>
      </c>
      <c r="BR5" s="233"/>
      <c r="BS5" s="72" t="s">
        <v>67</v>
      </c>
      <c r="BT5" s="72" t="s">
        <v>66</v>
      </c>
      <c r="BU5" s="233"/>
      <c r="BV5" s="72" t="s">
        <v>67</v>
      </c>
      <c r="BW5" s="72" t="s">
        <v>66</v>
      </c>
      <c r="BX5" s="233"/>
      <c r="BY5" s="72" t="s">
        <v>67</v>
      </c>
      <c r="BZ5" s="72" t="s">
        <v>66</v>
      </c>
      <c r="CA5" s="233"/>
      <c r="CB5" s="72" t="s">
        <v>67</v>
      </c>
      <c r="CC5" s="72" t="s">
        <v>66</v>
      </c>
      <c r="CD5" s="233"/>
      <c r="CE5" s="72" t="s">
        <v>67</v>
      </c>
      <c r="CF5" s="72" t="s">
        <v>66</v>
      </c>
      <c r="CG5" s="233"/>
      <c r="CH5" s="72" t="s">
        <v>67</v>
      </c>
      <c r="CI5" s="72" t="s">
        <v>66</v>
      </c>
      <c r="CJ5" s="233"/>
      <c r="CK5" s="72" t="s">
        <v>67</v>
      </c>
      <c r="CL5" s="72" t="s">
        <v>66</v>
      </c>
      <c r="CM5" s="233"/>
      <c r="CN5" s="72" t="s">
        <v>67</v>
      </c>
      <c r="CO5" s="72" t="s">
        <v>66</v>
      </c>
      <c r="CP5" s="233"/>
      <c r="CQ5" s="72" t="s">
        <v>67</v>
      </c>
      <c r="CR5" s="72" t="s">
        <v>66</v>
      </c>
      <c r="CS5" s="233"/>
      <c r="CT5" s="72" t="s">
        <v>67</v>
      </c>
      <c r="CU5" s="72" t="s">
        <v>66</v>
      </c>
      <c r="CV5" s="233"/>
      <c r="CW5" s="72" t="s">
        <v>67</v>
      </c>
      <c r="CX5" s="72" t="s">
        <v>66</v>
      </c>
      <c r="CY5" s="233"/>
      <c r="CZ5" s="72" t="s">
        <v>67</v>
      </c>
      <c r="DA5" s="72" t="s">
        <v>66</v>
      </c>
      <c r="DB5" s="233"/>
      <c r="DC5" s="72" t="s">
        <v>67</v>
      </c>
      <c r="DD5" s="72" t="s">
        <v>66</v>
      </c>
      <c r="DE5" s="233"/>
      <c r="DF5" s="72" t="s">
        <v>67</v>
      </c>
      <c r="DG5" s="72" t="s">
        <v>66</v>
      </c>
      <c r="DH5" s="233"/>
      <c r="DI5" s="72" t="s">
        <v>67</v>
      </c>
      <c r="DJ5" s="72" t="s">
        <v>66</v>
      </c>
      <c r="DK5" s="233"/>
      <c r="DL5" s="72" t="s">
        <v>67</v>
      </c>
      <c r="DM5" s="72" t="s">
        <v>66</v>
      </c>
      <c r="DN5" s="233"/>
      <c r="DO5" s="72" t="s">
        <v>67</v>
      </c>
      <c r="DP5" s="72" t="s">
        <v>66</v>
      </c>
      <c r="DQ5" s="233"/>
      <c r="DR5" s="72" t="s">
        <v>67</v>
      </c>
      <c r="DS5" s="72" t="s">
        <v>66</v>
      </c>
      <c r="DT5" s="233"/>
      <c r="DU5" s="72" t="s">
        <v>67</v>
      </c>
      <c r="DV5" s="72" t="s">
        <v>66</v>
      </c>
      <c r="DW5" s="233"/>
      <c r="DX5" s="72" t="s">
        <v>67</v>
      </c>
      <c r="DY5" s="72" t="s">
        <v>66</v>
      </c>
      <c r="DZ5" s="233"/>
      <c r="EA5" s="72" t="s">
        <v>67</v>
      </c>
      <c r="EB5" s="72" t="s">
        <v>66</v>
      </c>
      <c r="EC5" s="233"/>
      <c r="ED5" s="72" t="s">
        <v>67</v>
      </c>
      <c r="EE5" s="72" t="s">
        <v>66</v>
      </c>
      <c r="EF5" s="233"/>
      <c r="EG5" s="72" t="s">
        <v>67</v>
      </c>
      <c r="EH5" s="72" t="s">
        <v>66</v>
      </c>
      <c r="EI5" s="233"/>
      <c r="EJ5" s="72" t="s">
        <v>67</v>
      </c>
      <c r="EK5" s="72" t="s">
        <v>66</v>
      </c>
      <c r="EL5" s="233"/>
      <c r="EM5" s="72" t="s">
        <v>67</v>
      </c>
      <c r="EN5" s="72" t="s">
        <v>66</v>
      </c>
      <c r="EO5" s="233"/>
      <c r="EP5" s="72" t="s">
        <v>67</v>
      </c>
      <c r="EQ5" s="72" t="s">
        <v>66</v>
      </c>
      <c r="ER5" s="233"/>
      <c r="ES5" s="72" t="s">
        <v>67</v>
      </c>
      <c r="ET5" s="72" t="s">
        <v>66</v>
      </c>
      <c r="EU5" s="233"/>
      <c r="EV5" s="72" t="s">
        <v>67</v>
      </c>
      <c r="EW5" s="72" t="s">
        <v>66</v>
      </c>
      <c r="EX5" s="233"/>
      <c r="EY5" s="72" t="s">
        <v>67</v>
      </c>
      <c r="EZ5" s="72" t="s">
        <v>66</v>
      </c>
      <c r="FA5" s="233"/>
      <c r="FB5" s="72" t="s">
        <v>67</v>
      </c>
      <c r="FC5" s="72" t="s">
        <v>66</v>
      </c>
      <c r="FD5" s="233"/>
      <c r="FE5" s="72" t="s">
        <v>67</v>
      </c>
      <c r="FF5" s="72" t="s">
        <v>66</v>
      </c>
      <c r="FG5" s="233"/>
      <c r="FH5" s="72" t="s">
        <v>67</v>
      </c>
      <c r="FI5" s="72" t="s">
        <v>66</v>
      </c>
    </row>
    <row r="6" spans="1:165" s="1" customFormat="1" ht="15.75" x14ac:dyDescent="0.25">
      <c r="A6" s="236" t="s">
        <v>15</v>
      </c>
      <c r="B6" s="65" t="s">
        <v>99</v>
      </c>
      <c r="C6" s="65">
        <f>'District Information &amp; Measures'!C19</f>
        <v>0</v>
      </c>
      <c r="D6" s="8">
        <f>E6/F6</f>
        <v>1.25</v>
      </c>
      <c r="E6" s="76">
        <f>SUM(H6,K6,N6,Q6,T6,W6,Z6,AC6,AF6,AI6,AL6,AO6,AR6,AU6,AX6,BA6,BD6,BG6,BJ6,BM6,BP6,BS6,BV6,BY6,CB6,CE6,CH6,CK6,CN6,CQ6,CT6,CW6,CZ6,DC6,DF6,DI6,DL6,DO6,DR6,DU6,DX6,EA6,ED6,EG6,EJ6,EM6,EP6,ES6,EV6,EY6,FB6,FE6,FH6)</f>
        <v>30</v>
      </c>
      <c r="F6" s="76">
        <f>SUM(I6,L6,O6,R6,U6,X6,AA6,AD6,AG6,AJ6,AM6,AP6,AS6,AV6,AY6,BB6,BE6,BH6,BK6,BN6,BQ6,BT6,BW6,BZ6,CC6,CF6,CI6,CL6,CO6,CR6,CU6,CX6,DA6,DD6,DG6,DJ6,DM6,DP6,DS6,DV6,DY6,EB6,EE6,EH6,EK6,EN6,EQ6,ET6,EW6,EZ6,FC6,FF6,FI6)</f>
        <v>24</v>
      </c>
      <c r="G6" s="70">
        <f t="shared" ref="G6:G10" si="0">H6/I6</f>
        <v>1.25</v>
      </c>
      <c r="H6" s="13">
        <v>30</v>
      </c>
      <c r="I6" s="13">
        <v>24</v>
      </c>
      <c r="J6" s="70" t="e">
        <f t="shared" ref="J6:J10" si="1">K6/L6</f>
        <v>#DIV/0!</v>
      </c>
      <c r="K6" s="13">
        <v>0</v>
      </c>
      <c r="L6" s="13">
        <v>0</v>
      </c>
      <c r="M6" s="70" t="e">
        <f t="shared" ref="M6:M10" si="2">N6/O6</f>
        <v>#DIV/0!</v>
      </c>
      <c r="N6" s="13">
        <v>0</v>
      </c>
      <c r="O6" s="13">
        <v>0</v>
      </c>
      <c r="P6" s="70" t="e">
        <f t="shared" ref="P6:P10" si="3">Q6/R6</f>
        <v>#DIV/0!</v>
      </c>
      <c r="Q6" s="13">
        <v>0</v>
      </c>
      <c r="R6" s="13">
        <v>0</v>
      </c>
      <c r="S6" s="70" t="e">
        <f t="shared" ref="S6:S10" si="4">T6/U6</f>
        <v>#DIV/0!</v>
      </c>
      <c r="T6" s="13">
        <v>0</v>
      </c>
      <c r="U6" s="13">
        <v>0</v>
      </c>
      <c r="V6" s="70" t="e">
        <f t="shared" ref="V6:V10" si="5">W6/X6</f>
        <v>#DIV/0!</v>
      </c>
      <c r="W6" s="13">
        <v>0</v>
      </c>
      <c r="X6" s="13">
        <v>0</v>
      </c>
      <c r="Y6" s="70" t="e">
        <f t="shared" ref="Y6:Y10" si="6">Z6/AA6</f>
        <v>#DIV/0!</v>
      </c>
      <c r="Z6" s="13">
        <v>0</v>
      </c>
      <c r="AA6" s="13">
        <v>0</v>
      </c>
      <c r="AB6" s="70" t="e">
        <f t="shared" ref="AB6:AB10" si="7">AC6/AD6</f>
        <v>#DIV/0!</v>
      </c>
      <c r="AC6" s="13">
        <v>0</v>
      </c>
      <c r="AD6" s="13">
        <v>0</v>
      </c>
      <c r="AE6" s="70" t="e">
        <f t="shared" ref="AE6:AE10" si="8">AF6/AG6</f>
        <v>#DIV/0!</v>
      </c>
      <c r="AF6" s="13">
        <v>0</v>
      </c>
      <c r="AG6" s="13">
        <v>0</v>
      </c>
      <c r="AH6" s="70" t="e">
        <f t="shared" ref="AH6:AH10" si="9">AI6/AJ6</f>
        <v>#DIV/0!</v>
      </c>
      <c r="AI6" s="13">
        <v>0</v>
      </c>
      <c r="AJ6" s="13">
        <v>0</v>
      </c>
      <c r="AK6" s="70" t="e">
        <f t="shared" ref="AK6:AK10" si="10">AL6/AM6</f>
        <v>#DIV/0!</v>
      </c>
      <c r="AL6" s="13">
        <v>0</v>
      </c>
      <c r="AM6" s="13">
        <v>0</v>
      </c>
      <c r="AN6" s="70" t="e">
        <f t="shared" ref="AN6:AN10" si="11">AO6/AP6</f>
        <v>#DIV/0!</v>
      </c>
      <c r="AO6" s="13">
        <v>0</v>
      </c>
      <c r="AP6" s="13">
        <v>0</v>
      </c>
      <c r="AQ6" s="70" t="e">
        <f t="shared" ref="AQ6:AQ10" si="12">AR6/AS6</f>
        <v>#DIV/0!</v>
      </c>
      <c r="AR6" s="13">
        <v>0</v>
      </c>
      <c r="AS6" s="13">
        <v>0</v>
      </c>
      <c r="AT6" s="70" t="e">
        <f t="shared" ref="AT6:AT10" si="13">AU6/AV6</f>
        <v>#DIV/0!</v>
      </c>
      <c r="AU6" s="13">
        <v>0</v>
      </c>
      <c r="AV6" s="13">
        <v>0</v>
      </c>
      <c r="AW6" s="70" t="e">
        <f t="shared" ref="AW6:AW10" si="14">AX6/AY6</f>
        <v>#DIV/0!</v>
      </c>
      <c r="AX6" s="13">
        <v>0</v>
      </c>
      <c r="AY6" s="13">
        <v>0</v>
      </c>
      <c r="AZ6" s="70" t="e">
        <f t="shared" ref="AZ6:AZ10" si="15">BA6/BB6</f>
        <v>#DIV/0!</v>
      </c>
      <c r="BA6" s="13">
        <v>0</v>
      </c>
      <c r="BB6" s="13">
        <v>0</v>
      </c>
      <c r="BC6" s="70" t="e">
        <f t="shared" ref="BC6:BC10" si="16">BD6/BE6</f>
        <v>#DIV/0!</v>
      </c>
      <c r="BD6" s="13">
        <v>0</v>
      </c>
      <c r="BE6" s="13">
        <v>0</v>
      </c>
      <c r="BF6" s="70" t="e">
        <f t="shared" ref="BF6:BF10" si="17">BG6/BH6</f>
        <v>#DIV/0!</v>
      </c>
      <c r="BG6" s="13">
        <v>0</v>
      </c>
      <c r="BH6" s="13">
        <v>0</v>
      </c>
      <c r="BI6" s="70" t="e">
        <f t="shared" ref="BI6:BI10" si="18">BJ6/BK6</f>
        <v>#DIV/0!</v>
      </c>
      <c r="BJ6" s="13">
        <v>0</v>
      </c>
      <c r="BK6" s="13">
        <v>0</v>
      </c>
      <c r="BL6" s="70" t="e">
        <f t="shared" ref="BL6:BL10" si="19">BM6/BN6</f>
        <v>#DIV/0!</v>
      </c>
      <c r="BM6" s="13">
        <v>0</v>
      </c>
      <c r="BN6" s="13">
        <v>0</v>
      </c>
      <c r="BO6" s="70" t="e">
        <f t="shared" ref="BO6:BO10" si="20">BP6/BQ6</f>
        <v>#DIV/0!</v>
      </c>
      <c r="BP6" s="13">
        <v>0</v>
      </c>
      <c r="BQ6" s="13">
        <v>0</v>
      </c>
      <c r="BR6" s="70" t="e">
        <f t="shared" ref="BR6:BR10" si="21">BS6/BT6</f>
        <v>#DIV/0!</v>
      </c>
      <c r="BS6" s="13">
        <v>0</v>
      </c>
      <c r="BT6" s="13">
        <v>0</v>
      </c>
      <c r="BU6" s="70" t="e">
        <f t="shared" ref="BU6:BU10" si="22">BV6/BW6</f>
        <v>#DIV/0!</v>
      </c>
      <c r="BV6" s="13">
        <v>0</v>
      </c>
      <c r="BW6" s="13">
        <v>0</v>
      </c>
      <c r="BX6" s="70" t="e">
        <f t="shared" ref="BX6:BX10" si="23">BY6/BZ6</f>
        <v>#DIV/0!</v>
      </c>
      <c r="BY6" s="13">
        <v>0</v>
      </c>
      <c r="BZ6" s="13">
        <v>0</v>
      </c>
      <c r="CA6" s="70" t="e">
        <f t="shared" ref="CA6:CA10" si="24">CB6/CC6</f>
        <v>#DIV/0!</v>
      </c>
      <c r="CB6" s="13">
        <v>0</v>
      </c>
      <c r="CC6" s="13">
        <v>0</v>
      </c>
      <c r="CD6" s="70" t="e">
        <f t="shared" ref="CD6:CD10" si="25">CE6/CF6</f>
        <v>#DIV/0!</v>
      </c>
      <c r="CE6" s="13">
        <v>0</v>
      </c>
      <c r="CF6" s="13">
        <v>0</v>
      </c>
      <c r="CG6" s="74" t="e">
        <f t="shared" ref="CG6:CG10" si="26">CH6/CI6</f>
        <v>#DIV/0!</v>
      </c>
      <c r="CH6" s="13">
        <v>0</v>
      </c>
      <c r="CI6" s="13">
        <v>0</v>
      </c>
      <c r="CJ6" s="74" t="e">
        <f t="shared" ref="CJ6:CJ10" si="27">CK6/CL6</f>
        <v>#DIV/0!</v>
      </c>
      <c r="CK6" s="13">
        <v>0</v>
      </c>
      <c r="CL6" s="13">
        <v>0</v>
      </c>
      <c r="CM6" s="74" t="e">
        <f t="shared" ref="CM6:CM10" si="28">CN6/CO6</f>
        <v>#DIV/0!</v>
      </c>
      <c r="CN6" s="13">
        <v>0</v>
      </c>
      <c r="CO6" s="13">
        <v>0</v>
      </c>
      <c r="CP6" s="74" t="e">
        <f t="shared" ref="CP6:CP10" si="29">CQ6/CR6</f>
        <v>#DIV/0!</v>
      </c>
      <c r="CQ6" s="13">
        <v>0</v>
      </c>
      <c r="CR6" s="13">
        <v>0</v>
      </c>
      <c r="CS6" s="70" t="e">
        <f t="shared" ref="CS6:CS10" si="30">CT6/CU6</f>
        <v>#DIV/0!</v>
      </c>
      <c r="CT6" s="13">
        <v>0</v>
      </c>
      <c r="CU6" s="13">
        <v>0</v>
      </c>
      <c r="CV6" s="70" t="e">
        <f t="shared" ref="CV6:CV10" si="31">CW6/CX6</f>
        <v>#DIV/0!</v>
      </c>
      <c r="CW6" s="13">
        <v>0</v>
      </c>
      <c r="CX6" s="13">
        <v>0</v>
      </c>
      <c r="CY6" s="70" t="e">
        <f t="shared" ref="CY6:CY10" si="32">CZ6/DA6</f>
        <v>#DIV/0!</v>
      </c>
      <c r="CZ6" s="13">
        <v>0</v>
      </c>
      <c r="DA6" s="13">
        <v>0</v>
      </c>
      <c r="DB6" s="70" t="e">
        <f t="shared" ref="DB6:DB10" si="33">DC6/DD6</f>
        <v>#DIV/0!</v>
      </c>
      <c r="DC6" s="13">
        <v>0</v>
      </c>
      <c r="DD6" s="13">
        <v>0</v>
      </c>
      <c r="DE6" s="70" t="e">
        <f t="shared" ref="DE6:DE10" si="34">DF6/DG6</f>
        <v>#DIV/0!</v>
      </c>
      <c r="DF6" s="13">
        <v>0</v>
      </c>
      <c r="DG6" s="13">
        <v>0</v>
      </c>
      <c r="DH6" s="70" t="e">
        <f t="shared" ref="DH6:DH10" si="35">DI6/DJ6</f>
        <v>#DIV/0!</v>
      </c>
      <c r="DI6" s="13">
        <v>0</v>
      </c>
      <c r="DJ6" s="13">
        <v>0</v>
      </c>
      <c r="DK6" s="70" t="e">
        <f t="shared" ref="DK6:DK10" si="36">DL6/DM6</f>
        <v>#DIV/0!</v>
      </c>
      <c r="DL6" s="13">
        <v>0</v>
      </c>
      <c r="DM6" s="13">
        <v>0</v>
      </c>
      <c r="DN6" s="70" t="e">
        <f t="shared" ref="DN6:DN10" si="37">DO6/DP6</f>
        <v>#DIV/0!</v>
      </c>
      <c r="DO6" s="13">
        <v>0</v>
      </c>
      <c r="DP6" s="13">
        <v>0</v>
      </c>
      <c r="DQ6" s="70" t="e">
        <f t="shared" ref="DQ6:DQ10" si="38">DR6/DS6</f>
        <v>#DIV/0!</v>
      </c>
      <c r="DR6" s="13">
        <v>0</v>
      </c>
      <c r="DS6" s="13">
        <v>0</v>
      </c>
      <c r="DT6" s="70" t="e">
        <f t="shared" ref="DT6:DT10" si="39">DU6/DV6</f>
        <v>#DIV/0!</v>
      </c>
      <c r="DU6" s="13">
        <v>0</v>
      </c>
      <c r="DV6" s="13">
        <v>0</v>
      </c>
      <c r="DW6" s="70" t="e">
        <f t="shared" ref="DW6:DW10" si="40">DX6/DY6</f>
        <v>#DIV/0!</v>
      </c>
      <c r="DX6" s="13">
        <v>0</v>
      </c>
      <c r="DY6" s="13">
        <v>0</v>
      </c>
      <c r="DZ6" s="70" t="e">
        <f t="shared" ref="DZ6:DZ10" si="41">EA6/EB6</f>
        <v>#DIV/0!</v>
      </c>
      <c r="EA6" s="13">
        <v>0</v>
      </c>
      <c r="EB6" s="13">
        <v>0</v>
      </c>
      <c r="EC6" s="70" t="e">
        <f t="shared" ref="EC6:EC10" si="42">ED6/EE6</f>
        <v>#DIV/0!</v>
      </c>
      <c r="ED6" s="13">
        <v>0</v>
      </c>
      <c r="EE6" s="13">
        <v>0</v>
      </c>
      <c r="EF6" s="70" t="e">
        <f t="shared" ref="EF6:EF10" si="43">EG6/EH6</f>
        <v>#DIV/0!</v>
      </c>
      <c r="EG6" s="13">
        <v>0</v>
      </c>
      <c r="EH6" s="13">
        <v>0</v>
      </c>
      <c r="EI6" s="70" t="e">
        <f t="shared" ref="EI6:EI10" si="44">EJ6/EK6</f>
        <v>#DIV/0!</v>
      </c>
      <c r="EJ6" s="13">
        <v>0</v>
      </c>
      <c r="EK6" s="13">
        <v>0</v>
      </c>
      <c r="EL6" s="70" t="e">
        <f t="shared" ref="EL6:EL10" si="45">EM6/EN6</f>
        <v>#DIV/0!</v>
      </c>
      <c r="EM6" s="13">
        <v>0</v>
      </c>
      <c r="EN6" s="13">
        <v>0</v>
      </c>
      <c r="EO6" s="70" t="e">
        <f t="shared" ref="EO6:EO10" si="46">EP6/EQ6</f>
        <v>#DIV/0!</v>
      </c>
      <c r="EP6" s="13">
        <v>0</v>
      </c>
      <c r="EQ6" s="13">
        <v>0</v>
      </c>
      <c r="ER6" s="70" t="e">
        <f t="shared" ref="ER6:ER10" si="47">ES6/ET6</f>
        <v>#DIV/0!</v>
      </c>
      <c r="ES6" s="13">
        <v>0</v>
      </c>
      <c r="ET6" s="13">
        <v>0</v>
      </c>
      <c r="EU6" s="70" t="e">
        <f t="shared" ref="EU6:EU10" si="48">EV6/EW6</f>
        <v>#DIV/0!</v>
      </c>
      <c r="EV6" s="13">
        <v>0</v>
      </c>
      <c r="EW6" s="13">
        <v>0</v>
      </c>
      <c r="EX6" s="70" t="e">
        <f t="shared" ref="EX6:EX10" si="49">EY6/EZ6</f>
        <v>#DIV/0!</v>
      </c>
      <c r="EY6" s="13">
        <v>0</v>
      </c>
      <c r="EZ6" s="13">
        <v>0</v>
      </c>
      <c r="FA6" s="70" t="e">
        <f t="shared" ref="FA6:FA10" si="50">FB6/FC6</f>
        <v>#DIV/0!</v>
      </c>
      <c r="FB6" s="13">
        <v>0</v>
      </c>
      <c r="FC6" s="13">
        <v>0</v>
      </c>
      <c r="FD6" s="70" t="e">
        <f t="shared" ref="FD6:FD10" si="51">FE6/FF6</f>
        <v>#DIV/0!</v>
      </c>
      <c r="FE6" s="13">
        <v>0</v>
      </c>
      <c r="FF6" s="13">
        <v>0</v>
      </c>
      <c r="FG6" s="70" t="e">
        <f t="shared" ref="FG6:FG10" si="52">FH6/FI6</f>
        <v>#DIV/0!</v>
      </c>
      <c r="FH6" s="13">
        <v>0</v>
      </c>
      <c r="FI6" s="13">
        <v>0</v>
      </c>
    </row>
    <row r="7" spans="1:165" s="1" customFormat="1" ht="15.75" x14ac:dyDescent="0.25">
      <c r="A7" s="237"/>
      <c r="B7" s="65" t="s">
        <v>26</v>
      </c>
      <c r="C7" s="65">
        <f>'District Information &amp; Measures'!C20</f>
        <v>0</v>
      </c>
      <c r="D7" s="8" t="e">
        <f t="shared" ref="D7:D10" si="53">E7/F7</f>
        <v>#DIV/0!</v>
      </c>
      <c r="E7" s="76">
        <f t="shared" ref="E7:F10" si="54">SUM(H7,K7,N7,Q7,T7,W7,Z7,AC7,AF7,AI7,AL7,AO7,AR7,AU7,AX7,BA7,BD7,BG7,BJ7,BM7,BP7,BS7,BV7,BY7,CB7,CE7,CH7,CK7,CN7,CQ7,CT7,CW7,CZ7,DC7,DF7,DI7,DL7,DO7,DR7,DU7,DX7,EA7,ED7,EG7,EJ7,EM7,EP7,ES7,EV7,EY7,FB7,FE7,FH7)</f>
        <v>0</v>
      </c>
      <c r="F7" s="76">
        <f t="shared" si="54"/>
        <v>0</v>
      </c>
      <c r="G7" s="70" t="e">
        <f t="shared" si="0"/>
        <v>#DIV/0!</v>
      </c>
      <c r="H7" s="13">
        <v>0</v>
      </c>
      <c r="I7" s="13">
        <v>0</v>
      </c>
      <c r="J7" s="70" t="e">
        <f t="shared" si="1"/>
        <v>#DIV/0!</v>
      </c>
      <c r="K7" s="13">
        <v>0</v>
      </c>
      <c r="L7" s="13">
        <v>0</v>
      </c>
      <c r="M7" s="70" t="e">
        <f t="shared" si="2"/>
        <v>#DIV/0!</v>
      </c>
      <c r="N7" s="13">
        <v>0</v>
      </c>
      <c r="O7" s="13">
        <v>0</v>
      </c>
      <c r="P7" s="70" t="e">
        <f t="shared" si="3"/>
        <v>#DIV/0!</v>
      </c>
      <c r="Q7" s="13">
        <v>0</v>
      </c>
      <c r="R7" s="13">
        <v>0</v>
      </c>
      <c r="S7" s="70" t="e">
        <f t="shared" si="4"/>
        <v>#DIV/0!</v>
      </c>
      <c r="T7" s="13">
        <v>0</v>
      </c>
      <c r="U7" s="13">
        <v>0</v>
      </c>
      <c r="V7" s="70" t="e">
        <f t="shared" si="5"/>
        <v>#DIV/0!</v>
      </c>
      <c r="W7" s="13">
        <v>0</v>
      </c>
      <c r="X7" s="13">
        <v>0</v>
      </c>
      <c r="Y7" s="70" t="e">
        <f t="shared" si="6"/>
        <v>#DIV/0!</v>
      </c>
      <c r="Z7" s="13">
        <v>0</v>
      </c>
      <c r="AA7" s="13">
        <v>0</v>
      </c>
      <c r="AB7" s="70" t="e">
        <f t="shared" si="7"/>
        <v>#DIV/0!</v>
      </c>
      <c r="AC7" s="13">
        <v>0</v>
      </c>
      <c r="AD7" s="13">
        <v>0</v>
      </c>
      <c r="AE7" s="70" t="e">
        <f t="shared" si="8"/>
        <v>#DIV/0!</v>
      </c>
      <c r="AF7" s="13">
        <v>0</v>
      </c>
      <c r="AG7" s="13">
        <v>0</v>
      </c>
      <c r="AH7" s="70" t="e">
        <f t="shared" si="9"/>
        <v>#DIV/0!</v>
      </c>
      <c r="AI7" s="13">
        <v>0</v>
      </c>
      <c r="AJ7" s="13">
        <v>0</v>
      </c>
      <c r="AK7" s="70" t="e">
        <f t="shared" si="10"/>
        <v>#DIV/0!</v>
      </c>
      <c r="AL7" s="13">
        <v>0</v>
      </c>
      <c r="AM7" s="13">
        <v>0</v>
      </c>
      <c r="AN7" s="70" t="e">
        <f t="shared" si="11"/>
        <v>#DIV/0!</v>
      </c>
      <c r="AO7" s="13">
        <v>0</v>
      </c>
      <c r="AP7" s="13">
        <v>0</v>
      </c>
      <c r="AQ7" s="70" t="e">
        <f t="shared" si="12"/>
        <v>#DIV/0!</v>
      </c>
      <c r="AR7" s="13">
        <v>0</v>
      </c>
      <c r="AS7" s="13">
        <v>0</v>
      </c>
      <c r="AT7" s="70" t="e">
        <f t="shared" si="13"/>
        <v>#DIV/0!</v>
      </c>
      <c r="AU7" s="13">
        <v>0</v>
      </c>
      <c r="AV7" s="13">
        <v>0</v>
      </c>
      <c r="AW7" s="70" t="e">
        <f t="shared" si="14"/>
        <v>#DIV/0!</v>
      </c>
      <c r="AX7" s="13">
        <v>0</v>
      </c>
      <c r="AY7" s="13">
        <v>0</v>
      </c>
      <c r="AZ7" s="70" t="e">
        <f t="shared" si="15"/>
        <v>#DIV/0!</v>
      </c>
      <c r="BA7" s="13">
        <v>0</v>
      </c>
      <c r="BB7" s="13">
        <v>0</v>
      </c>
      <c r="BC7" s="70" t="e">
        <f t="shared" si="16"/>
        <v>#DIV/0!</v>
      </c>
      <c r="BD7" s="13">
        <v>0</v>
      </c>
      <c r="BE7" s="13">
        <v>0</v>
      </c>
      <c r="BF7" s="70" t="e">
        <f t="shared" si="17"/>
        <v>#DIV/0!</v>
      </c>
      <c r="BG7" s="13">
        <v>0</v>
      </c>
      <c r="BH7" s="13">
        <v>0</v>
      </c>
      <c r="BI7" s="70" t="e">
        <f t="shared" si="18"/>
        <v>#DIV/0!</v>
      </c>
      <c r="BJ7" s="13">
        <v>0</v>
      </c>
      <c r="BK7" s="13">
        <v>0</v>
      </c>
      <c r="BL7" s="70" t="e">
        <f t="shared" si="19"/>
        <v>#DIV/0!</v>
      </c>
      <c r="BM7" s="13">
        <v>0</v>
      </c>
      <c r="BN7" s="13">
        <v>0</v>
      </c>
      <c r="BO7" s="70" t="e">
        <f t="shared" si="20"/>
        <v>#DIV/0!</v>
      </c>
      <c r="BP7" s="13">
        <v>0</v>
      </c>
      <c r="BQ7" s="13">
        <v>0</v>
      </c>
      <c r="BR7" s="70" t="e">
        <f t="shared" si="21"/>
        <v>#DIV/0!</v>
      </c>
      <c r="BS7" s="13">
        <v>0</v>
      </c>
      <c r="BT7" s="13">
        <v>0</v>
      </c>
      <c r="BU7" s="70" t="e">
        <f t="shared" si="22"/>
        <v>#DIV/0!</v>
      </c>
      <c r="BV7" s="13">
        <v>0</v>
      </c>
      <c r="BW7" s="13">
        <v>0</v>
      </c>
      <c r="BX7" s="70" t="e">
        <f t="shared" si="23"/>
        <v>#DIV/0!</v>
      </c>
      <c r="BY7" s="13">
        <v>0</v>
      </c>
      <c r="BZ7" s="13">
        <v>0</v>
      </c>
      <c r="CA7" s="70" t="e">
        <f t="shared" si="24"/>
        <v>#DIV/0!</v>
      </c>
      <c r="CB7" s="13">
        <v>0</v>
      </c>
      <c r="CC7" s="13">
        <v>0</v>
      </c>
      <c r="CD7" s="70" t="e">
        <f t="shared" si="25"/>
        <v>#DIV/0!</v>
      </c>
      <c r="CE7" s="13">
        <v>0</v>
      </c>
      <c r="CF7" s="13">
        <v>0</v>
      </c>
      <c r="CG7" s="74" t="e">
        <f t="shared" si="26"/>
        <v>#DIV/0!</v>
      </c>
      <c r="CH7" s="13">
        <v>0</v>
      </c>
      <c r="CI7" s="13">
        <v>0</v>
      </c>
      <c r="CJ7" s="74" t="e">
        <f t="shared" si="27"/>
        <v>#DIV/0!</v>
      </c>
      <c r="CK7" s="13">
        <v>0</v>
      </c>
      <c r="CL7" s="13">
        <v>0</v>
      </c>
      <c r="CM7" s="74" t="e">
        <f t="shared" si="28"/>
        <v>#DIV/0!</v>
      </c>
      <c r="CN7" s="13">
        <v>0</v>
      </c>
      <c r="CO7" s="13">
        <v>0</v>
      </c>
      <c r="CP7" s="74" t="e">
        <f t="shared" si="29"/>
        <v>#DIV/0!</v>
      </c>
      <c r="CQ7" s="13">
        <v>0</v>
      </c>
      <c r="CR7" s="13">
        <v>0</v>
      </c>
      <c r="CS7" s="70" t="e">
        <f t="shared" si="30"/>
        <v>#DIV/0!</v>
      </c>
      <c r="CT7" s="13">
        <v>0</v>
      </c>
      <c r="CU7" s="13">
        <v>0</v>
      </c>
      <c r="CV7" s="70" t="e">
        <f t="shared" si="31"/>
        <v>#DIV/0!</v>
      </c>
      <c r="CW7" s="13">
        <v>0</v>
      </c>
      <c r="CX7" s="13">
        <v>0</v>
      </c>
      <c r="CY7" s="70" t="e">
        <f t="shared" si="32"/>
        <v>#DIV/0!</v>
      </c>
      <c r="CZ7" s="13">
        <v>0</v>
      </c>
      <c r="DA7" s="13">
        <v>0</v>
      </c>
      <c r="DB7" s="70" t="e">
        <f t="shared" si="33"/>
        <v>#DIV/0!</v>
      </c>
      <c r="DC7" s="13">
        <v>0</v>
      </c>
      <c r="DD7" s="13">
        <v>0</v>
      </c>
      <c r="DE7" s="70" t="e">
        <f t="shared" si="34"/>
        <v>#DIV/0!</v>
      </c>
      <c r="DF7" s="13">
        <v>0</v>
      </c>
      <c r="DG7" s="13">
        <v>0</v>
      </c>
      <c r="DH7" s="70" t="e">
        <f t="shared" si="35"/>
        <v>#DIV/0!</v>
      </c>
      <c r="DI7" s="13">
        <v>0</v>
      </c>
      <c r="DJ7" s="13">
        <v>0</v>
      </c>
      <c r="DK7" s="70" t="e">
        <f t="shared" si="36"/>
        <v>#DIV/0!</v>
      </c>
      <c r="DL7" s="13">
        <v>0</v>
      </c>
      <c r="DM7" s="13">
        <v>0</v>
      </c>
      <c r="DN7" s="70" t="e">
        <f t="shared" si="37"/>
        <v>#DIV/0!</v>
      </c>
      <c r="DO7" s="13">
        <v>0</v>
      </c>
      <c r="DP7" s="13">
        <v>0</v>
      </c>
      <c r="DQ7" s="70" t="e">
        <f t="shared" si="38"/>
        <v>#DIV/0!</v>
      </c>
      <c r="DR7" s="13">
        <v>0</v>
      </c>
      <c r="DS7" s="13">
        <v>0</v>
      </c>
      <c r="DT7" s="70" t="e">
        <f t="shared" si="39"/>
        <v>#DIV/0!</v>
      </c>
      <c r="DU7" s="13">
        <v>0</v>
      </c>
      <c r="DV7" s="13">
        <v>0</v>
      </c>
      <c r="DW7" s="70" t="e">
        <f t="shared" si="40"/>
        <v>#DIV/0!</v>
      </c>
      <c r="DX7" s="13">
        <v>0</v>
      </c>
      <c r="DY7" s="13">
        <v>0</v>
      </c>
      <c r="DZ7" s="70" t="e">
        <f t="shared" si="41"/>
        <v>#DIV/0!</v>
      </c>
      <c r="EA7" s="13">
        <v>0</v>
      </c>
      <c r="EB7" s="13">
        <v>0</v>
      </c>
      <c r="EC7" s="70" t="e">
        <f t="shared" si="42"/>
        <v>#DIV/0!</v>
      </c>
      <c r="ED7" s="13">
        <v>0</v>
      </c>
      <c r="EE7" s="13">
        <v>0</v>
      </c>
      <c r="EF7" s="70" t="e">
        <f t="shared" si="43"/>
        <v>#DIV/0!</v>
      </c>
      <c r="EG7" s="13">
        <v>0</v>
      </c>
      <c r="EH7" s="13">
        <v>0</v>
      </c>
      <c r="EI7" s="70" t="e">
        <f t="shared" si="44"/>
        <v>#DIV/0!</v>
      </c>
      <c r="EJ7" s="13">
        <v>0</v>
      </c>
      <c r="EK7" s="13">
        <v>0</v>
      </c>
      <c r="EL7" s="70" t="e">
        <f t="shared" si="45"/>
        <v>#DIV/0!</v>
      </c>
      <c r="EM7" s="13">
        <v>0</v>
      </c>
      <c r="EN7" s="13">
        <v>0</v>
      </c>
      <c r="EO7" s="70" t="e">
        <f t="shared" si="46"/>
        <v>#DIV/0!</v>
      </c>
      <c r="EP7" s="13">
        <v>0</v>
      </c>
      <c r="EQ7" s="13">
        <v>0</v>
      </c>
      <c r="ER7" s="70" t="e">
        <f t="shared" si="47"/>
        <v>#DIV/0!</v>
      </c>
      <c r="ES7" s="13">
        <v>0</v>
      </c>
      <c r="ET7" s="13">
        <v>0</v>
      </c>
      <c r="EU7" s="70" t="e">
        <f t="shared" si="48"/>
        <v>#DIV/0!</v>
      </c>
      <c r="EV7" s="13">
        <v>0</v>
      </c>
      <c r="EW7" s="13">
        <v>0</v>
      </c>
      <c r="EX7" s="70" t="e">
        <f t="shared" si="49"/>
        <v>#DIV/0!</v>
      </c>
      <c r="EY7" s="13">
        <v>0</v>
      </c>
      <c r="EZ7" s="13">
        <v>0</v>
      </c>
      <c r="FA7" s="70" t="e">
        <f t="shared" si="50"/>
        <v>#DIV/0!</v>
      </c>
      <c r="FB7" s="13">
        <v>0</v>
      </c>
      <c r="FC7" s="13">
        <v>0</v>
      </c>
      <c r="FD7" s="70" t="e">
        <f t="shared" si="51"/>
        <v>#DIV/0!</v>
      </c>
      <c r="FE7" s="13">
        <v>0</v>
      </c>
      <c r="FF7" s="13">
        <v>0</v>
      </c>
      <c r="FG7" s="70" t="e">
        <f t="shared" si="52"/>
        <v>#DIV/0!</v>
      </c>
      <c r="FH7" s="13">
        <v>0</v>
      </c>
      <c r="FI7" s="13">
        <v>0</v>
      </c>
    </row>
    <row r="8" spans="1:165" s="1" customFormat="1" ht="15.75" x14ac:dyDescent="0.25">
      <c r="A8" s="237"/>
      <c r="B8" s="65" t="s">
        <v>10</v>
      </c>
      <c r="C8" s="65">
        <f>'District Information &amp; Measures'!C21</f>
        <v>0</v>
      </c>
      <c r="D8" s="8" t="e">
        <f t="shared" si="53"/>
        <v>#DIV/0!</v>
      </c>
      <c r="E8" s="76">
        <f t="shared" si="54"/>
        <v>0</v>
      </c>
      <c r="F8" s="76">
        <f t="shared" si="54"/>
        <v>0</v>
      </c>
      <c r="G8" s="70" t="e">
        <f t="shared" si="0"/>
        <v>#DIV/0!</v>
      </c>
      <c r="H8" s="13">
        <v>0</v>
      </c>
      <c r="I8" s="13">
        <v>0</v>
      </c>
      <c r="J8" s="70" t="e">
        <f t="shared" si="1"/>
        <v>#DIV/0!</v>
      </c>
      <c r="K8" s="13">
        <v>0</v>
      </c>
      <c r="L8" s="13">
        <v>0</v>
      </c>
      <c r="M8" s="70" t="e">
        <f t="shared" si="2"/>
        <v>#DIV/0!</v>
      </c>
      <c r="N8" s="13">
        <v>0</v>
      </c>
      <c r="O8" s="13">
        <v>0</v>
      </c>
      <c r="P8" s="70" t="e">
        <f t="shared" si="3"/>
        <v>#DIV/0!</v>
      </c>
      <c r="Q8" s="13">
        <v>0</v>
      </c>
      <c r="R8" s="13">
        <v>0</v>
      </c>
      <c r="S8" s="70" t="e">
        <f t="shared" si="4"/>
        <v>#DIV/0!</v>
      </c>
      <c r="T8" s="13">
        <v>0</v>
      </c>
      <c r="U8" s="13">
        <v>0</v>
      </c>
      <c r="V8" s="70" t="e">
        <f t="shared" si="5"/>
        <v>#DIV/0!</v>
      </c>
      <c r="W8" s="13">
        <v>0</v>
      </c>
      <c r="X8" s="13">
        <v>0</v>
      </c>
      <c r="Y8" s="70" t="e">
        <f t="shared" si="6"/>
        <v>#DIV/0!</v>
      </c>
      <c r="Z8" s="13">
        <v>0</v>
      </c>
      <c r="AA8" s="13">
        <v>0</v>
      </c>
      <c r="AB8" s="70" t="e">
        <f t="shared" si="7"/>
        <v>#DIV/0!</v>
      </c>
      <c r="AC8" s="13">
        <v>0</v>
      </c>
      <c r="AD8" s="13">
        <v>0</v>
      </c>
      <c r="AE8" s="70" t="e">
        <f t="shared" si="8"/>
        <v>#DIV/0!</v>
      </c>
      <c r="AF8" s="13">
        <v>0</v>
      </c>
      <c r="AG8" s="13">
        <v>0</v>
      </c>
      <c r="AH8" s="70" t="e">
        <f t="shared" si="9"/>
        <v>#DIV/0!</v>
      </c>
      <c r="AI8" s="13">
        <v>0</v>
      </c>
      <c r="AJ8" s="13">
        <v>0</v>
      </c>
      <c r="AK8" s="70" t="e">
        <f t="shared" si="10"/>
        <v>#DIV/0!</v>
      </c>
      <c r="AL8" s="13">
        <v>0</v>
      </c>
      <c r="AM8" s="13">
        <v>0</v>
      </c>
      <c r="AN8" s="70" t="e">
        <f t="shared" si="11"/>
        <v>#DIV/0!</v>
      </c>
      <c r="AO8" s="13">
        <v>0</v>
      </c>
      <c r="AP8" s="13">
        <v>0</v>
      </c>
      <c r="AQ8" s="70" t="e">
        <f t="shared" si="12"/>
        <v>#DIV/0!</v>
      </c>
      <c r="AR8" s="13">
        <v>0</v>
      </c>
      <c r="AS8" s="13">
        <v>0</v>
      </c>
      <c r="AT8" s="70" t="e">
        <f t="shared" si="13"/>
        <v>#DIV/0!</v>
      </c>
      <c r="AU8" s="13">
        <v>0</v>
      </c>
      <c r="AV8" s="13">
        <v>0</v>
      </c>
      <c r="AW8" s="70" t="e">
        <f t="shared" si="14"/>
        <v>#DIV/0!</v>
      </c>
      <c r="AX8" s="13">
        <v>0</v>
      </c>
      <c r="AY8" s="13">
        <v>0</v>
      </c>
      <c r="AZ8" s="70" t="e">
        <f t="shared" si="15"/>
        <v>#DIV/0!</v>
      </c>
      <c r="BA8" s="13">
        <v>0</v>
      </c>
      <c r="BB8" s="13">
        <v>0</v>
      </c>
      <c r="BC8" s="70" t="e">
        <f t="shared" si="16"/>
        <v>#DIV/0!</v>
      </c>
      <c r="BD8" s="13">
        <v>0</v>
      </c>
      <c r="BE8" s="13">
        <v>0</v>
      </c>
      <c r="BF8" s="70" t="e">
        <f t="shared" si="17"/>
        <v>#DIV/0!</v>
      </c>
      <c r="BG8" s="13">
        <v>0</v>
      </c>
      <c r="BH8" s="13">
        <v>0</v>
      </c>
      <c r="BI8" s="70" t="e">
        <f t="shared" si="18"/>
        <v>#DIV/0!</v>
      </c>
      <c r="BJ8" s="13">
        <v>0</v>
      </c>
      <c r="BK8" s="13">
        <v>0</v>
      </c>
      <c r="BL8" s="70" t="e">
        <f t="shared" si="19"/>
        <v>#DIV/0!</v>
      </c>
      <c r="BM8" s="13">
        <v>0</v>
      </c>
      <c r="BN8" s="13">
        <v>0</v>
      </c>
      <c r="BO8" s="70" t="e">
        <f t="shared" si="20"/>
        <v>#DIV/0!</v>
      </c>
      <c r="BP8" s="13">
        <v>0</v>
      </c>
      <c r="BQ8" s="13">
        <v>0</v>
      </c>
      <c r="BR8" s="70" t="e">
        <f t="shared" si="21"/>
        <v>#DIV/0!</v>
      </c>
      <c r="BS8" s="13">
        <v>0</v>
      </c>
      <c r="BT8" s="13">
        <v>0</v>
      </c>
      <c r="BU8" s="70" t="e">
        <f t="shared" si="22"/>
        <v>#DIV/0!</v>
      </c>
      <c r="BV8" s="13">
        <v>0</v>
      </c>
      <c r="BW8" s="13">
        <v>0</v>
      </c>
      <c r="BX8" s="70" t="e">
        <f t="shared" si="23"/>
        <v>#DIV/0!</v>
      </c>
      <c r="BY8" s="13">
        <v>0</v>
      </c>
      <c r="BZ8" s="13">
        <v>0</v>
      </c>
      <c r="CA8" s="70" t="e">
        <f t="shared" si="24"/>
        <v>#DIV/0!</v>
      </c>
      <c r="CB8" s="13">
        <v>0</v>
      </c>
      <c r="CC8" s="13">
        <v>0</v>
      </c>
      <c r="CD8" s="70" t="e">
        <f t="shared" si="25"/>
        <v>#DIV/0!</v>
      </c>
      <c r="CE8" s="13">
        <v>0</v>
      </c>
      <c r="CF8" s="13">
        <v>0</v>
      </c>
      <c r="CG8" s="74" t="e">
        <f t="shared" si="26"/>
        <v>#DIV/0!</v>
      </c>
      <c r="CH8" s="13">
        <v>0</v>
      </c>
      <c r="CI8" s="13">
        <v>0</v>
      </c>
      <c r="CJ8" s="74" t="e">
        <f t="shared" si="27"/>
        <v>#DIV/0!</v>
      </c>
      <c r="CK8" s="13">
        <v>0</v>
      </c>
      <c r="CL8" s="13">
        <v>0</v>
      </c>
      <c r="CM8" s="74" t="e">
        <f t="shared" si="28"/>
        <v>#DIV/0!</v>
      </c>
      <c r="CN8" s="13">
        <v>0</v>
      </c>
      <c r="CO8" s="13">
        <v>0</v>
      </c>
      <c r="CP8" s="74" t="e">
        <f t="shared" si="29"/>
        <v>#DIV/0!</v>
      </c>
      <c r="CQ8" s="13">
        <v>0</v>
      </c>
      <c r="CR8" s="13">
        <v>0</v>
      </c>
      <c r="CS8" s="70" t="e">
        <f t="shared" si="30"/>
        <v>#DIV/0!</v>
      </c>
      <c r="CT8" s="13">
        <v>0</v>
      </c>
      <c r="CU8" s="13">
        <v>0</v>
      </c>
      <c r="CV8" s="70" t="e">
        <f t="shared" si="31"/>
        <v>#DIV/0!</v>
      </c>
      <c r="CW8" s="13">
        <v>0</v>
      </c>
      <c r="CX8" s="13">
        <v>0</v>
      </c>
      <c r="CY8" s="70" t="e">
        <f t="shared" si="32"/>
        <v>#DIV/0!</v>
      </c>
      <c r="CZ8" s="13">
        <v>0</v>
      </c>
      <c r="DA8" s="13">
        <v>0</v>
      </c>
      <c r="DB8" s="70" t="e">
        <f t="shared" si="33"/>
        <v>#DIV/0!</v>
      </c>
      <c r="DC8" s="13">
        <v>0</v>
      </c>
      <c r="DD8" s="13">
        <v>0</v>
      </c>
      <c r="DE8" s="70" t="e">
        <f t="shared" si="34"/>
        <v>#DIV/0!</v>
      </c>
      <c r="DF8" s="13">
        <v>0</v>
      </c>
      <c r="DG8" s="13">
        <v>0</v>
      </c>
      <c r="DH8" s="70" t="e">
        <f t="shared" si="35"/>
        <v>#DIV/0!</v>
      </c>
      <c r="DI8" s="13">
        <v>0</v>
      </c>
      <c r="DJ8" s="13">
        <v>0</v>
      </c>
      <c r="DK8" s="70" t="e">
        <f t="shared" si="36"/>
        <v>#DIV/0!</v>
      </c>
      <c r="DL8" s="13">
        <v>0</v>
      </c>
      <c r="DM8" s="13">
        <v>0</v>
      </c>
      <c r="DN8" s="70" t="e">
        <f t="shared" si="37"/>
        <v>#DIV/0!</v>
      </c>
      <c r="DO8" s="13">
        <v>0</v>
      </c>
      <c r="DP8" s="13">
        <v>0</v>
      </c>
      <c r="DQ8" s="70" t="e">
        <f t="shared" si="38"/>
        <v>#DIV/0!</v>
      </c>
      <c r="DR8" s="13">
        <v>0</v>
      </c>
      <c r="DS8" s="13">
        <v>0</v>
      </c>
      <c r="DT8" s="70" t="e">
        <f t="shared" si="39"/>
        <v>#DIV/0!</v>
      </c>
      <c r="DU8" s="13">
        <v>0</v>
      </c>
      <c r="DV8" s="13">
        <v>0</v>
      </c>
      <c r="DW8" s="70" t="e">
        <f t="shared" si="40"/>
        <v>#DIV/0!</v>
      </c>
      <c r="DX8" s="13">
        <v>0</v>
      </c>
      <c r="DY8" s="13">
        <v>0</v>
      </c>
      <c r="DZ8" s="70" t="e">
        <f t="shared" si="41"/>
        <v>#DIV/0!</v>
      </c>
      <c r="EA8" s="13">
        <v>0</v>
      </c>
      <c r="EB8" s="13">
        <v>0</v>
      </c>
      <c r="EC8" s="70" t="e">
        <f t="shared" si="42"/>
        <v>#DIV/0!</v>
      </c>
      <c r="ED8" s="13">
        <v>0</v>
      </c>
      <c r="EE8" s="13">
        <v>0</v>
      </c>
      <c r="EF8" s="70" t="e">
        <f t="shared" si="43"/>
        <v>#DIV/0!</v>
      </c>
      <c r="EG8" s="13">
        <v>0</v>
      </c>
      <c r="EH8" s="13">
        <v>0</v>
      </c>
      <c r="EI8" s="70" t="e">
        <f t="shared" si="44"/>
        <v>#DIV/0!</v>
      </c>
      <c r="EJ8" s="13">
        <v>0</v>
      </c>
      <c r="EK8" s="13">
        <v>0</v>
      </c>
      <c r="EL8" s="70" t="e">
        <f t="shared" si="45"/>
        <v>#DIV/0!</v>
      </c>
      <c r="EM8" s="13">
        <v>0</v>
      </c>
      <c r="EN8" s="13">
        <v>0</v>
      </c>
      <c r="EO8" s="70" t="e">
        <f t="shared" si="46"/>
        <v>#DIV/0!</v>
      </c>
      <c r="EP8" s="13">
        <v>0</v>
      </c>
      <c r="EQ8" s="13">
        <v>0</v>
      </c>
      <c r="ER8" s="70" t="e">
        <f t="shared" si="47"/>
        <v>#DIV/0!</v>
      </c>
      <c r="ES8" s="13">
        <v>0</v>
      </c>
      <c r="ET8" s="13">
        <v>0</v>
      </c>
      <c r="EU8" s="70" t="e">
        <f t="shared" si="48"/>
        <v>#DIV/0!</v>
      </c>
      <c r="EV8" s="13">
        <v>0</v>
      </c>
      <c r="EW8" s="13">
        <v>0</v>
      </c>
      <c r="EX8" s="70" t="e">
        <f t="shared" si="49"/>
        <v>#DIV/0!</v>
      </c>
      <c r="EY8" s="13">
        <v>0</v>
      </c>
      <c r="EZ8" s="13">
        <v>0</v>
      </c>
      <c r="FA8" s="70" t="e">
        <f t="shared" si="50"/>
        <v>#DIV/0!</v>
      </c>
      <c r="FB8" s="13">
        <v>0</v>
      </c>
      <c r="FC8" s="13">
        <v>0</v>
      </c>
      <c r="FD8" s="70" t="e">
        <f t="shared" si="51"/>
        <v>#DIV/0!</v>
      </c>
      <c r="FE8" s="13">
        <v>0</v>
      </c>
      <c r="FF8" s="13">
        <v>0</v>
      </c>
      <c r="FG8" s="70" t="e">
        <f t="shared" si="52"/>
        <v>#DIV/0!</v>
      </c>
      <c r="FH8" s="13">
        <v>0</v>
      </c>
      <c r="FI8" s="13">
        <v>0</v>
      </c>
    </row>
    <row r="9" spans="1:165" s="1" customFormat="1" ht="15.75" x14ac:dyDescent="0.25">
      <c r="A9" s="237"/>
      <c r="B9" s="66" t="s">
        <v>81</v>
      </c>
      <c r="C9" s="65">
        <f>'District Information &amp; Measures'!C22</f>
        <v>0</v>
      </c>
      <c r="D9" s="8" t="e">
        <f t="shared" ref="D9" si="55">E9/F9</f>
        <v>#DIV/0!</v>
      </c>
      <c r="E9" s="76">
        <f t="shared" si="54"/>
        <v>0</v>
      </c>
      <c r="F9" s="76">
        <f t="shared" si="54"/>
        <v>0</v>
      </c>
      <c r="G9" s="70" t="e">
        <f t="shared" ref="G9" si="56">H9/I9</f>
        <v>#DIV/0!</v>
      </c>
      <c r="H9" s="13">
        <v>0</v>
      </c>
      <c r="I9" s="13">
        <v>0</v>
      </c>
      <c r="J9" s="70" t="e">
        <f t="shared" si="1"/>
        <v>#DIV/0!</v>
      </c>
      <c r="K9" s="13">
        <v>0</v>
      </c>
      <c r="L9" s="13">
        <v>0</v>
      </c>
      <c r="M9" s="70" t="e">
        <f t="shared" si="2"/>
        <v>#DIV/0!</v>
      </c>
      <c r="N9" s="13">
        <v>0</v>
      </c>
      <c r="O9" s="13">
        <v>0</v>
      </c>
      <c r="P9" s="70" t="e">
        <f t="shared" si="3"/>
        <v>#DIV/0!</v>
      </c>
      <c r="Q9" s="13">
        <v>0</v>
      </c>
      <c r="R9" s="13">
        <v>0</v>
      </c>
      <c r="S9" s="70" t="e">
        <f t="shared" si="4"/>
        <v>#DIV/0!</v>
      </c>
      <c r="T9" s="13">
        <v>0</v>
      </c>
      <c r="U9" s="13">
        <v>0</v>
      </c>
      <c r="V9" s="70" t="e">
        <f t="shared" si="5"/>
        <v>#DIV/0!</v>
      </c>
      <c r="W9" s="13">
        <v>0</v>
      </c>
      <c r="X9" s="13">
        <v>0</v>
      </c>
      <c r="Y9" s="70" t="e">
        <f t="shared" si="6"/>
        <v>#DIV/0!</v>
      </c>
      <c r="Z9" s="13">
        <v>0</v>
      </c>
      <c r="AA9" s="13">
        <v>0</v>
      </c>
      <c r="AB9" s="70" t="e">
        <f t="shared" si="7"/>
        <v>#DIV/0!</v>
      </c>
      <c r="AC9" s="13">
        <v>0</v>
      </c>
      <c r="AD9" s="13">
        <v>0</v>
      </c>
      <c r="AE9" s="70" t="e">
        <f t="shared" si="8"/>
        <v>#DIV/0!</v>
      </c>
      <c r="AF9" s="13">
        <v>0</v>
      </c>
      <c r="AG9" s="13">
        <v>0</v>
      </c>
      <c r="AH9" s="70" t="e">
        <f t="shared" si="9"/>
        <v>#DIV/0!</v>
      </c>
      <c r="AI9" s="13">
        <v>0</v>
      </c>
      <c r="AJ9" s="13">
        <v>0</v>
      </c>
      <c r="AK9" s="70" t="e">
        <f t="shared" si="10"/>
        <v>#DIV/0!</v>
      </c>
      <c r="AL9" s="13">
        <v>0</v>
      </c>
      <c r="AM9" s="13">
        <v>0</v>
      </c>
      <c r="AN9" s="70" t="e">
        <f t="shared" si="11"/>
        <v>#DIV/0!</v>
      </c>
      <c r="AO9" s="13">
        <v>0</v>
      </c>
      <c r="AP9" s="13">
        <v>0</v>
      </c>
      <c r="AQ9" s="70" t="e">
        <f t="shared" si="12"/>
        <v>#DIV/0!</v>
      </c>
      <c r="AR9" s="13">
        <v>0</v>
      </c>
      <c r="AS9" s="13">
        <v>0</v>
      </c>
      <c r="AT9" s="70" t="e">
        <f t="shared" si="13"/>
        <v>#DIV/0!</v>
      </c>
      <c r="AU9" s="13">
        <v>0</v>
      </c>
      <c r="AV9" s="13">
        <v>0</v>
      </c>
      <c r="AW9" s="70" t="e">
        <f t="shared" si="14"/>
        <v>#DIV/0!</v>
      </c>
      <c r="AX9" s="13">
        <v>0</v>
      </c>
      <c r="AY9" s="13">
        <v>0</v>
      </c>
      <c r="AZ9" s="70" t="e">
        <f t="shared" si="15"/>
        <v>#DIV/0!</v>
      </c>
      <c r="BA9" s="13">
        <v>0</v>
      </c>
      <c r="BB9" s="13">
        <v>0</v>
      </c>
      <c r="BC9" s="70" t="e">
        <f t="shared" si="16"/>
        <v>#DIV/0!</v>
      </c>
      <c r="BD9" s="13">
        <v>0</v>
      </c>
      <c r="BE9" s="13">
        <v>0</v>
      </c>
      <c r="BF9" s="70" t="e">
        <f t="shared" si="17"/>
        <v>#DIV/0!</v>
      </c>
      <c r="BG9" s="13">
        <v>0</v>
      </c>
      <c r="BH9" s="13">
        <v>0</v>
      </c>
      <c r="BI9" s="70" t="e">
        <f t="shared" si="18"/>
        <v>#DIV/0!</v>
      </c>
      <c r="BJ9" s="13">
        <v>0</v>
      </c>
      <c r="BK9" s="13">
        <v>0</v>
      </c>
      <c r="BL9" s="70" t="e">
        <f t="shared" si="19"/>
        <v>#DIV/0!</v>
      </c>
      <c r="BM9" s="13">
        <v>0</v>
      </c>
      <c r="BN9" s="13">
        <v>0</v>
      </c>
      <c r="BO9" s="70" t="e">
        <f t="shared" si="20"/>
        <v>#DIV/0!</v>
      </c>
      <c r="BP9" s="13">
        <v>0</v>
      </c>
      <c r="BQ9" s="13">
        <v>0</v>
      </c>
      <c r="BR9" s="70" t="e">
        <f t="shared" si="21"/>
        <v>#DIV/0!</v>
      </c>
      <c r="BS9" s="13">
        <v>0</v>
      </c>
      <c r="BT9" s="13">
        <v>0</v>
      </c>
      <c r="BU9" s="70" t="e">
        <f t="shared" si="22"/>
        <v>#DIV/0!</v>
      </c>
      <c r="BV9" s="13">
        <v>0</v>
      </c>
      <c r="BW9" s="13">
        <v>0</v>
      </c>
      <c r="BX9" s="70" t="e">
        <f t="shared" si="23"/>
        <v>#DIV/0!</v>
      </c>
      <c r="BY9" s="13">
        <v>0</v>
      </c>
      <c r="BZ9" s="13">
        <v>0</v>
      </c>
      <c r="CA9" s="70" t="e">
        <f t="shared" si="24"/>
        <v>#DIV/0!</v>
      </c>
      <c r="CB9" s="13">
        <v>0</v>
      </c>
      <c r="CC9" s="13">
        <v>0</v>
      </c>
      <c r="CD9" s="70" t="e">
        <f t="shared" si="25"/>
        <v>#DIV/0!</v>
      </c>
      <c r="CE9" s="13">
        <v>0</v>
      </c>
      <c r="CF9" s="13">
        <v>0</v>
      </c>
      <c r="CG9" s="74" t="e">
        <f t="shared" si="26"/>
        <v>#DIV/0!</v>
      </c>
      <c r="CH9" s="13">
        <v>0</v>
      </c>
      <c r="CI9" s="13">
        <v>0</v>
      </c>
      <c r="CJ9" s="74" t="e">
        <f t="shared" si="27"/>
        <v>#DIV/0!</v>
      </c>
      <c r="CK9" s="13">
        <v>0</v>
      </c>
      <c r="CL9" s="13">
        <v>0</v>
      </c>
      <c r="CM9" s="74" t="e">
        <f t="shared" si="28"/>
        <v>#DIV/0!</v>
      </c>
      <c r="CN9" s="13">
        <v>0</v>
      </c>
      <c r="CO9" s="13">
        <v>0</v>
      </c>
      <c r="CP9" s="74" t="e">
        <f t="shared" si="29"/>
        <v>#DIV/0!</v>
      </c>
      <c r="CQ9" s="13">
        <v>0</v>
      </c>
      <c r="CR9" s="13">
        <v>0</v>
      </c>
      <c r="CS9" s="70" t="e">
        <f t="shared" si="30"/>
        <v>#DIV/0!</v>
      </c>
      <c r="CT9" s="13">
        <v>0</v>
      </c>
      <c r="CU9" s="13">
        <v>0</v>
      </c>
      <c r="CV9" s="70" t="e">
        <f t="shared" si="31"/>
        <v>#DIV/0!</v>
      </c>
      <c r="CW9" s="13">
        <v>0</v>
      </c>
      <c r="CX9" s="13">
        <v>0</v>
      </c>
      <c r="CY9" s="70" t="e">
        <f t="shared" si="32"/>
        <v>#DIV/0!</v>
      </c>
      <c r="CZ9" s="13">
        <v>0</v>
      </c>
      <c r="DA9" s="13">
        <v>0</v>
      </c>
      <c r="DB9" s="70" t="e">
        <f t="shared" si="33"/>
        <v>#DIV/0!</v>
      </c>
      <c r="DC9" s="13">
        <v>0</v>
      </c>
      <c r="DD9" s="13">
        <v>0</v>
      </c>
      <c r="DE9" s="70" t="e">
        <f t="shared" si="34"/>
        <v>#DIV/0!</v>
      </c>
      <c r="DF9" s="13">
        <v>0</v>
      </c>
      <c r="DG9" s="13">
        <v>0</v>
      </c>
      <c r="DH9" s="70" t="e">
        <f t="shared" si="35"/>
        <v>#DIV/0!</v>
      </c>
      <c r="DI9" s="13">
        <v>0</v>
      </c>
      <c r="DJ9" s="13">
        <v>0</v>
      </c>
      <c r="DK9" s="70" t="e">
        <f t="shared" si="36"/>
        <v>#DIV/0!</v>
      </c>
      <c r="DL9" s="13">
        <v>0</v>
      </c>
      <c r="DM9" s="13">
        <v>0</v>
      </c>
      <c r="DN9" s="70" t="e">
        <f t="shared" si="37"/>
        <v>#DIV/0!</v>
      </c>
      <c r="DO9" s="13">
        <v>0</v>
      </c>
      <c r="DP9" s="13">
        <v>0</v>
      </c>
      <c r="DQ9" s="70" t="e">
        <f t="shared" si="38"/>
        <v>#DIV/0!</v>
      </c>
      <c r="DR9" s="13">
        <v>0</v>
      </c>
      <c r="DS9" s="13">
        <v>0</v>
      </c>
      <c r="DT9" s="70" t="e">
        <f t="shared" si="39"/>
        <v>#DIV/0!</v>
      </c>
      <c r="DU9" s="13">
        <v>0</v>
      </c>
      <c r="DV9" s="13">
        <v>0</v>
      </c>
      <c r="DW9" s="70" t="e">
        <f t="shared" si="40"/>
        <v>#DIV/0!</v>
      </c>
      <c r="DX9" s="13">
        <v>0</v>
      </c>
      <c r="DY9" s="13">
        <v>0</v>
      </c>
      <c r="DZ9" s="70" t="e">
        <f t="shared" si="41"/>
        <v>#DIV/0!</v>
      </c>
      <c r="EA9" s="13">
        <v>0</v>
      </c>
      <c r="EB9" s="13">
        <v>0</v>
      </c>
      <c r="EC9" s="70" t="e">
        <f t="shared" si="42"/>
        <v>#DIV/0!</v>
      </c>
      <c r="ED9" s="13">
        <v>0</v>
      </c>
      <c r="EE9" s="13">
        <v>0</v>
      </c>
      <c r="EF9" s="70" t="e">
        <f t="shared" si="43"/>
        <v>#DIV/0!</v>
      </c>
      <c r="EG9" s="13">
        <v>0</v>
      </c>
      <c r="EH9" s="13">
        <v>0</v>
      </c>
      <c r="EI9" s="70" t="e">
        <f t="shared" si="44"/>
        <v>#DIV/0!</v>
      </c>
      <c r="EJ9" s="13">
        <v>0</v>
      </c>
      <c r="EK9" s="13">
        <v>0</v>
      </c>
      <c r="EL9" s="70" t="e">
        <f t="shared" si="45"/>
        <v>#DIV/0!</v>
      </c>
      <c r="EM9" s="13">
        <v>0</v>
      </c>
      <c r="EN9" s="13">
        <v>0</v>
      </c>
      <c r="EO9" s="70" t="e">
        <f t="shared" si="46"/>
        <v>#DIV/0!</v>
      </c>
      <c r="EP9" s="13">
        <v>0</v>
      </c>
      <c r="EQ9" s="13">
        <v>0</v>
      </c>
      <c r="ER9" s="70" t="e">
        <f t="shared" si="47"/>
        <v>#DIV/0!</v>
      </c>
      <c r="ES9" s="13">
        <v>0</v>
      </c>
      <c r="ET9" s="13">
        <v>0</v>
      </c>
      <c r="EU9" s="70" t="e">
        <f t="shared" si="48"/>
        <v>#DIV/0!</v>
      </c>
      <c r="EV9" s="13">
        <v>0</v>
      </c>
      <c r="EW9" s="13">
        <v>0</v>
      </c>
      <c r="EX9" s="70" t="e">
        <f t="shared" si="49"/>
        <v>#DIV/0!</v>
      </c>
      <c r="EY9" s="13">
        <v>0</v>
      </c>
      <c r="EZ9" s="13">
        <v>0</v>
      </c>
      <c r="FA9" s="70" t="e">
        <f t="shared" si="50"/>
        <v>#DIV/0!</v>
      </c>
      <c r="FB9" s="13">
        <v>0</v>
      </c>
      <c r="FC9" s="13">
        <v>0</v>
      </c>
      <c r="FD9" s="70" t="e">
        <f t="shared" si="51"/>
        <v>#DIV/0!</v>
      </c>
      <c r="FE9" s="13">
        <v>0</v>
      </c>
      <c r="FF9" s="13">
        <v>0</v>
      </c>
      <c r="FG9" s="70" t="e">
        <f t="shared" si="52"/>
        <v>#DIV/0!</v>
      </c>
      <c r="FH9" s="13">
        <v>0</v>
      </c>
      <c r="FI9" s="13">
        <v>0</v>
      </c>
    </row>
    <row r="10" spans="1:165" s="1" customFormat="1" ht="15.75" x14ac:dyDescent="0.25">
      <c r="A10" s="238"/>
      <c r="B10" s="67" t="s">
        <v>74</v>
      </c>
      <c r="C10" s="65">
        <f>'District Information &amp; Measures'!C23</f>
        <v>0</v>
      </c>
      <c r="D10" s="8" t="e">
        <f t="shared" si="53"/>
        <v>#DIV/0!</v>
      </c>
      <c r="E10" s="76">
        <f t="shared" si="54"/>
        <v>0</v>
      </c>
      <c r="F10" s="76">
        <f t="shared" si="54"/>
        <v>0</v>
      </c>
      <c r="G10" s="70" t="e">
        <f t="shared" si="0"/>
        <v>#DIV/0!</v>
      </c>
      <c r="H10" s="13">
        <v>0</v>
      </c>
      <c r="I10" s="13">
        <v>0</v>
      </c>
      <c r="J10" s="70" t="e">
        <f t="shared" si="1"/>
        <v>#DIV/0!</v>
      </c>
      <c r="K10" s="13">
        <v>0</v>
      </c>
      <c r="L10" s="13">
        <v>0</v>
      </c>
      <c r="M10" s="70" t="e">
        <f t="shared" si="2"/>
        <v>#DIV/0!</v>
      </c>
      <c r="N10" s="13">
        <v>0</v>
      </c>
      <c r="O10" s="13">
        <v>0</v>
      </c>
      <c r="P10" s="70" t="e">
        <f t="shared" si="3"/>
        <v>#DIV/0!</v>
      </c>
      <c r="Q10" s="13">
        <v>0</v>
      </c>
      <c r="R10" s="13">
        <v>0</v>
      </c>
      <c r="S10" s="70" t="e">
        <f t="shared" si="4"/>
        <v>#DIV/0!</v>
      </c>
      <c r="T10" s="13">
        <v>0</v>
      </c>
      <c r="U10" s="13">
        <v>0</v>
      </c>
      <c r="V10" s="70" t="e">
        <f t="shared" si="5"/>
        <v>#DIV/0!</v>
      </c>
      <c r="W10" s="13">
        <v>0</v>
      </c>
      <c r="X10" s="13">
        <v>0</v>
      </c>
      <c r="Y10" s="70" t="e">
        <f t="shared" si="6"/>
        <v>#DIV/0!</v>
      </c>
      <c r="Z10" s="13">
        <v>0</v>
      </c>
      <c r="AA10" s="13">
        <v>0</v>
      </c>
      <c r="AB10" s="70" t="e">
        <f t="shared" si="7"/>
        <v>#DIV/0!</v>
      </c>
      <c r="AC10" s="13">
        <v>0</v>
      </c>
      <c r="AD10" s="13">
        <v>0</v>
      </c>
      <c r="AE10" s="70" t="e">
        <f t="shared" si="8"/>
        <v>#DIV/0!</v>
      </c>
      <c r="AF10" s="13">
        <v>0</v>
      </c>
      <c r="AG10" s="13">
        <v>0</v>
      </c>
      <c r="AH10" s="70" t="e">
        <f t="shared" si="9"/>
        <v>#DIV/0!</v>
      </c>
      <c r="AI10" s="13">
        <v>0</v>
      </c>
      <c r="AJ10" s="13">
        <v>0</v>
      </c>
      <c r="AK10" s="70" t="e">
        <f t="shared" si="10"/>
        <v>#DIV/0!</v>
      </c>
      <c r="AL10" s="13">
        <v>0</v>
      </c>
      <c r="AM10" s="13">
        <v>0</v>
      </c>
      <c r="AN10" s="70" t="e">
        <f t="shared" si="11"/>
        <v>#DIV/0!</v>
      </c>
      <c r="AO10" s="13">
        <v>0</v>
      </c>
      <c r="AP10" s="13">
        <v>0</v>
      </c>
      <c r="AQ10" s="70" t="e">
        <f t="shared" si="12"/>
        <v>#DIV/0!</v>
      </c>
      <c r="AR10" s="13">
        <v>0</v>
      </c>
      <c r="AS10" s="13">
        <v>0</v>
      </c>
      <c r="AT10" s="70" t="e">
        <f t="shared" si="13"/>
        <v>#DIV/0!</v>
      </c>
      <c r="AU10" s="13">
        <v>0</v>
      </c>
      <c r="AV10" s="13">
        <v>0</v>
      </c>
      <c r="AW10" s="70" t="e">
        <f t="shared" si="14"/>
        <v>#DIV/0!</v>
      </c>
      <c r="AX10" s="13">
        <v>0</v>
      </c>
      <c r="AY10" s="13">
        <v>0</v>
      </c>
      <c r="AZ10" s="70" t="e">
        <f t="shared" si="15"/>
        <v>#DIV/0!</v>
      </c>
      <c r="BA10" s="13">
        <v>0</v>
      </c>
      <c r="BB10" s="13">
        <v>0</v>
      </c>
      <c r="BC10" s="70" t="e">
        <f t="shared" si="16"/>
        <v>#DIV/0!</v>
      </c>
      <c r="BD10" s="13">
        <v>0</v>
      </c>
      <c r="BE10" s="13">
        <v>0</v>
      </c>
      <c r="BF10" s="70" t="e">
        <f t="shared" si="17"/>
        <v>#DIV/0!</v>
      </c>
      <c r="BG10" s="13">
        <v>0</v>
      </c>
      <c r="BH10" s="13">
        <v>0</v>
      </c>
      <c r="BI10" s="70" t="e">
        <f t="shared" si="18"/>
        <v>#DIV/0!</v>
      </c>
      <c r="BJ10" s="13">
        <v>0</v>
      </c>
      <c r="BK10" s="13">
        <v>0</v>
      </c>
      <c r="BL10" s="70" t="e">
        <f t="shared" si="19"/>
        <v>#DIV/0!</v>
      </c>
      <c r="BM10" s="13">
        <v>0</v>
      </c>
      <c r="BN10" s="13">
        <v>0</v>
      </c>
      <c r="BO10" s="70" t="e">
        <f t="shared" si="20"/>
        <v>#DIV/0!</v>
      </c>
      <c r="BP10" s="13">
        <v>0</v>
      </c>
      <c r="BQ10" s="13">
        <v>0</v>
      </c>
      <c r="BR10" s="70" t="e">
        <f t="shared" si="21"/>
        <v>#DIV/0!</v>
      </c>
      <c r="BS10" s="13">
        <v>0</v>
      </c>
      <c r="BT10" s="13">
        <v>0</v>
      </c>
      <c r="BU10" s="70" t="e">
        <f t="shared" si="22"/>
        <v>#DIV/0!</v>
      </c>
      <c r="BV10" s="13">
        <v>0</v>
      </c>
      <c r="BW10" s="13">
        <v>0</v>
      </c>
      <c r="BX10" s="70" t="e">
        <f t="shared" si="23"/>
        <v>#DIV/0!</v>
      </c>
      <c r="BY10" s="13">
        <v>0</v>
      </c>
      <c r="BZ10" s="13">
        <v>0</v>
      </c>
      <c r="CA10" s="70" t="e">
        <f t="shared" si="24"/>
        <v>#DIV/0!</v>
      </c>
      <c r="CB10" s="13">
        <v>0</v>
      </c>
      <c r="CC10" s="13">
        <v>0</v>
      </c>
      <c r="CD10" s="70" t="e">
        <f t="shared" si="25"/>
        <v>#DIV/0!</v>
      </c>
      <c r="CE10" s="13">
        <v>0</v>
      </c>
      <c r="CF10" s="13">
        <v>0</v>
      </c>
      <c r="CG10" s="74" t="e">
        <f t="shared" si="26"/>
        <v>#DIV/0!</v>
      </c>
      <c r="CH10" s="13">
        <v>0</v>
      </c>
      <c r="CI10" s="13">
        <v>0</v>
      </c>
      <c r="CJ10" s="74" t="e">
        <f t="shared" si="27"/>
        <v>#DIV/0!</v>
      </c>
      <c r="CK10" s="13">
        <v>0</v>
      </c>
      <c r="CL10" s="13">
        <v>0</v>
      </c>
      <c r="CM10" s="74" t="e">
        <f t="shared" si="28"/>
        <v>#DIV/0!</v>
      </c>
      <c r="CN10" s="13">
        <v>0</v>
      </c>
      <c r="CO10" s="13">
        <v>0</v>
      </c>
      <c r="CP10" s="74" t="e">
        <f t="shared" si="29"/>
        <v>#DIV/0!</v>
      </c>
      <c r="CQ10" s="13">
        <v>0</v>
      </c>
      <c r="CR10" s="13">
        <v>0</v>
      </c>
      <c r="CS10" s="70" t="e">
        <f t="shared" si="30"/>
        <v>#DIV/0!</v>
      </c>
      <c r="CT10" s="13">
        <v>0</v>
      </c>
      <c r="CU10" s="13">
        <v>0</v>
      </c>
      <c r="CV10" s="70" t="e">
        <f t="shared" si="31"/>
        <v>#DIV/0!</v>
      </c>
      <c r="CW10" s="13">
        <v>0</v>
      </c>
      <c r="CX10" s="13">
        <v>0</v>
      </c>
      <c r="CY10" s="70" t="e">
        <f t="shared" si="32"/>
        <v>#DIV/0!</v>
      </c>
      <c r="CZ10" s="13">
        <v>0</v>
      </c>
      <c r="DA10" s="13">
        <v>0</v>
      </c>
      <c r="DB10" s="70" t="e">
        <f t="shared" si="33"/>
        <v>#DIV/0!</v>
      </c>
      <c r="DC10" s="13">
        <v>0</v>
      </c>
      <c r="DD10" s="13">
        <v>0</v>
      </c>
      <c r="DE10" s="70" t="e">
        <f t="shared" si="34"/>
        <v>#DIV/0!</v>
      </c>
      <c r="DF10" s="13">
        <v>0</v>
      </c>
      <c r="DG10" s="13">
        <v>0</v>
      </c>
      <c r="DH10" s="70" t="e">
        <f t="shared" si="35"/>
        <v>#DIV/0!</v>
      </c>
      <c r="DI10" s="13">
        <v>0</v>
      </c>
      <c r="DJ10" s="13">
        <v>0</v>
      </c>
      <c r="DK10" s="70" t="e">
        <f t="shared" si="36"/>
        <v>#DIV/0!</v>
      </c>
      <c r="DL10" s="13">
        <v>0</v>
      </c>
      <c r="DM10" s="13">
        <v>0</v>
      </c>
      <c r="DN10" s="70" t="e">
        <f t="shared" si="37"/>
        <v>#DIV/0!</v>
      </c>
      <c r="DO10" s="13">
        <v>0</v>
      </c>
      <c r="DP10" s="13">
        <v>0</v>
      </c>
      <c r="DQ10" s="70" t="e">
        <f t="shared" si="38"/>
        <v>#DIV/0!</v>
      </c>
      <c r="DR10" s="13">
        <v>0</v>
      </c>
      <c r="DS10" s="13">
        <v>0</v>
      </c>
      <c r="DT10" s="70" t="e">
        <f t="shared" si="39"/>
        <v>#DIV/0!</v>
      </c>
      <c r="DU10" s="13">
        <v>0</v>
      </c>
      <c r="DV10" s="13">
        <v>0</v>
      </c>
      <c r="DW10" s="70" t="e">
        <f t="shared" si="40"/>
        <v>#DIV/0!</v>
      </c>
      <c r="DX10" s="13">
        <v>0</v>
      </c>
      <c r="DY10" s="13">
        <v>0</v>
      </c>
      <c r="DZ10" s="70" t="e">
        <f t="shared" si="41"/>
        <v>#DIV/0!</v>
      </c>
      <c r="EA10" s="13">
        <v>0</v>
      </c>
      <c r="EB10" s="13">
        <v>0</v>
      </c>
      <c r="EC10" s="70" t="e">
        <f t="shared" si="42"/>
        <v>#DIV/0!</v>
      </c>
      <c r="ED10" s="13">
        <v>0</v>
      </c>
      <c r="EE10" s="13">
        <v>0</v>
      </c>
      <c r="EF10" s="70" t="e">
        <f t="shared" si="43"/>
        <v>#DIV/0!</v>
      </c>
      <c r="EG10" s="13">
        <v>0</v>
      </c>
      <c r="EH10" s="13">
        <v>0</v>
      </c>
      <c r="EI10" s="70" t="e">
        <f t="shared" si="44"/>
        <v>#DIV/0!</v>
      </c>
      <c r="EJ10" s="13">
        <v>0</v>
      </c>
      <c r="EK10" s="13">
        <v>0</v>
      </c>
      <c r="EL10" s="70" t="e">
        <f t="shared" si="45"/>
        <v>#DIV/0!</v>
      </c>
      <c r="EM10" s="13">
        <v>0</v>
      </c>
      <c r="EN10" s="13">
        <v>0</v>
      </c>
      <c r="EO10" s="70" t="e">
        <f t="shared" si="46"/>
        <v>#DIV/0!</v>
      </c>
      <c r="EP10" s="13">
        <v>0</v>
      </c>
      <c r="EQ10" s="13">
        <v>0</v>
      </c>
      <c r="ER10" s="70" t="e">
        <f t="shared" si="47"/>
        <v>#DIV/0!</v>
      </c>
      <c r="ES10" s="13">
        <v>0</v>
      </c>
      <c r="ET10" s="13">
        <v>0</v>
      </c>
      <c r="EU10" s="70" t="e">
        <f t="shared" si="48"/>
        <v>#DIV/0!</v>
      </c>
      <c r="EV10" s="13">
        <v>0</v>
      </c>
      <c r="EW10" s="13">
        <v>0</v>
      </c>
      <c r="EX10" s="70" t="e">
        <f t="shared" si="49"/>
        <v>#DIV/0!</v>
      </c>
      <c r="EY10" s="13">
        <v>0</v>
      </c>
      <c r="EZ10" s="13">
        <v>0</v>
      </c>
      <c r="FA10" s="70" t="e">
        <f t="shared" si="50"/>
        <v>#DIV/0!</v>
      </c>
      <c r="FB10" s="13">
        <v>0</v>
      </c>
      <c r="FC10" s="13">
        <v>0</v>
      </c>
      <c r="FD10" s="70" t="e">
        <f t="shared" si="51"/>
        <v>#DIV/0!</v>
      </c>
      <c r="FE10" s="13">
        <v>0</v>
      </c>
      <c r="FF10" s="13">
        <v>0</v>
      </c>
      <c r="FG10" s="70" t="e">
        <f t="shared" si="52"/>
        <v>#DIV/0!</v>
      </c>
      <c r="FH10" s="13">
        <v>0</v>
      </c>
      <c r="FI10" s="13">
        <v>0</v>
      </c>
    </row>
    <row r="11" spans="1:165" s="2" customFormat="1" ht="10.15" customHeight="1" x14ac:dyDescent="0.2">
      <c r="A11" s="68"/>
      <c r="B11" s="68"/>
      <c r="C11" s="68"/>
      <c r="D11" s="28"/>
      <c r="E11" s="75"/>
      <c r="F11" s="75"/>
      <c r="G11" s="68"/>
      <c r="H11" s="31"/>
      <c r="I11" s="31"/>
      <c r="J11" s="68"/>
      <c r="K11" s="31"/>
      <c r="L11" s="31"/>
      <c r="M11" s="68"/>
      <c r="N11" s="31"/>
      <c r="O11" s="31"/>
      <c r="P11" s="68"/>
      <c r="Q11" s="31"/>
      <c r="R11" s="31"/>
      <c r="S11" s="68"/>
      <c r="T11" s="31"/>
      <c r="U11" s="31"/>
      <c r="V11" s="68"/>
      <c r="W11" s="31"/>
      <c r="X11" s="31"/>
      <c r="Y11" s="68"/>
      <c r="Z11" s="31"/>
      <c r="AA11" s="31"/>
      <c r="AB11" s="68"/>
      <c r="AC11" s="31"/>
      <c r="AD11" s="31"/>
      <c r="AE11" s="68"/>
      <c r="AF11" s="31"/>
      <c r="AG11" s="31"/>
      <c r="AH11" s="68"/>
      <c r="AI11" s="31"/>
      <c r="AJ11" s="31"/>
      <c r="AK11" s="68"/>
      <c r="AL11" s="31"/>
      <c r="AM11" s="31"/>
      <c r="AN11" s="68"/>
      <c r="AO11" s="31"/>
      <c r="AP11" s="31"/>
      <c r="AQ11" s="68"/>
      <c r="AR11" s="31"/>
      <c r="AS11" s="31"/>
      <c r="AT11" s="68"/>
      <c r="AU11" s="31"/>
      <c r="AV11" s="31"/>
      <c r="AW11" s="68"/>
      <c r="AX11" s="31"/>
      <c r="AY11" s="31"/>
      <c r="AZ11" s="68"/>
      <c r="BA11" s="31"/>
      <c r="BB11" s="31"/>
      <c r="BC11" s="68"/>
      <c r="BD11" s="31"/>
      <c r="BE11" s="31"/>
      <c r="BF11" s="68"/>
      <c r="BG11" s="31"/>
      <c r="BH11" s="31"/>
      <c r="BI11" s="68"/>
      <c r="BJ11" s="31"/>
      <c r="BK11" s="31"/>
      <c r="BL11" s="68"/>
      <c r="BM11" s="31"/>
      <c r="BN11" s="31"/>
      <c r="BO11" s="68"/>
      <c r="BP11" s="31"/>
      <c r="BQ11" s="31"/>
      <c r="BR11" s="68"/>
      <c r="BS11" s="31"/>
      <c r="BT11" s="31"/>
      <c r="BU11" s="68"/>
      <c r="BV11" s="31"/>
      <c r="BW11" s="31"/>
      <c r="BX11" s="68"/>
      <c r="BY11" s="31"/>
      <c r="BZ11" s="31"/>
      <c r="CA11" s="68"/>
      <c r="CB11" s="31"/>
      <c r="CC11" s="31"/>
      <c r="CD11" s="68"/>
      <c r="CE11" s="31"/>
      <c r="CF11" s="31"/>
      <c r="CG11" s="75"/>
      <c r="CH11" s="31"/>
      <c r="CI11" s="31"/>
      <c r="CJ11" s="75"/>
      <c r="CK11" s="31"/>
      <c r="CL11" s="31"/>
      <c r="CM11" s="75"/>
      <c r="CN11" s="31"/>
      <c r="CO11" s="31"/>
      <c r="CP11" s="75"/>
      <c r="CQ11" s="31"/>
      <c r="CR11" s="31"/>
      <c r="CS11" s="68"/>
      <c r="CT11" s="31"/>
      <c r="CU11" s="31"/>
      <c r="CV11" s="68"/>
      <c r="CW11" s="31"/>
      <c r="CX11" s="31"/>
      <c r="CY11" s="68"/>
      <c r="CZ11" s="31"/>
      <c r="DA11" s="31"/>
      <c r="DB11" s="68"/>
      <c r="DC11" s="31"/>
      <c r="DD11" s="31"/>
      <c r="DE11" s="68"/>
      <c r="DF11" s="31"/>
      <c r="DG11" s="31"/>
      <c r="DH11" s="68"/>
      <c r="DI11" s="31"/>
      <c r="DJ11" s="31"/>
      <c r="DK11" s="68"/>
      <c r="DL11" s="31"/>
      <c r="DM11" s="31"/>
      <c r="DN11" s="68"/>
      <c r="DO11" s="31"/>
      <c r="DP11" s="31"/>
      <c r="DQ11" s="68"/>
      <c r="DR11" s="31"/>
      <c r="DS11" s="31"/>
      <c r="DT11" s="68"/>
      <c r="DU11" s="31"/>
      <c r="DV11" s="31"/>
      <c r="DW11" s="68"/>
      <c r="DX11" s="31"/>
      <c r="DY11" s="31"/>
      <c r="DZ11" s="68"/>
      <c r="EA11" s="31"/>
      <c r="EB11" s="31"/>
      <c r="EC11" s="68"/>
      <c r="ED11" s="31"/>
      <c r="EE11" s="31"/>
      <c r="EF11" s="68"/>
      <c r="EG11" s="31"/>
      <c r="EH11" s="31"/>
      <c r="EI11" s="68"/>
      <c r="EJ11" s="31"/>
      <c r="EK11" s="31"/>
      <c r="EL11" s="68"/>
      <c r="EM11" s="31"/>
      <c r="EN11" s="31"/>
      <c r="EO11" s="68"/>
      <c r="EP11" s="31"/>
      <c r="EQ11" s="31"/>
      <c r="ER11" s="68"/>
      <c r="ES11" s="31"/>
      <c r="ET11" s="31"/>
      <c r="EU11" s="68"/>
      <c r="EV11" s="31"/>
      <c r="EW11" s="31"/>
      <c r="EX11" s="68"/>
      <c r="EY11" s="31"/>
      <c r="EZ11" s="31"/>
      <c r="FA11" s="68"/>
      <c r="FB11" s="31"/>
      <c r="FC11" s="31"/>
      <c r="FD11" s="68"/>
      <c r="FE11" s="31"/>
      <c r="FF11" s="31"/>
      <c r="FG11" s="68"/>
      <c r="FH11" s="31"/>
      <c r="FI11" s="31"/>
    </row>
    <row r="12" spans="1:165" ht="15.75" x14ac:dyDescent="0.25">
      <c r="A12" s="236" t="s">
        <v>16</v>
      </c>
      <c r="B12" s="65" t="s">
        <v>101</v>
      </c>
      <c r="C12" s="65">
        <f>'District Information &amp; Measures'!C24</f>
        <v>0</v>
      </c>
      <c r="D12" s="8" t="e">
        <f t="shared" ref="D12:D16" si="57">E12/F12</f>
        <v>#DIV/0!</v>
      </c>
      <c r="E12" s="76">
        <f>SUM(H12,K12,N12,Q12,T12,W12,Z12,AC12,AF12,AI12,AL12,AO12,AR12,AU12,AX12,BA12,BD12,BG12,BJ12,BM12,BP12,BS12,BV12,BY12,CB12,CE12,CH12,CK12,CN12,CQ12,CT12,CW12,CZ12,DC12,DF12,DI12,DL12,DO12,DR12,DU12,DX12,EA12,ED12,EG12,EJ12,EM12,EP12,ES12,EV12,EY12,FB12,FE12,FH12)</f>
        <v>0</v>
      </c>
      <c r="F12" s="76">
        <f>SUM(I12,L12,O12,R12,U12,X12,AA12,AD12,AG12,AJ12,AM12,AP12,AS12,AV12,AY12,BB12,BE12,BH12,BK12,BN12,BQ12,BT12,BW12,BZ12,CC12,CF12,CI12,CL12,CO12,CR12,CU12,CX12,DA12,DD12,DG12,DJ12,DM12,DP12,DS12,DV12,DY12,EB12,EE12,EH12,EK12,EN12,EQ12,ET12,EW12,EZ12,FC12,FF12,FI12)</f>
        <v>0</v>
      </c>
      <c r="G12" s="70" t="e">
        <f t="shared" ref="G12:G16" si="58">H12/I12</f>
        <v>#DIV/0!</v>
      </c>
      <c r="H12" s="13">
        <v>0</v>
      </c>
      <c r="I12" s="13">
        <v>0</v>
      </c>
      <c r="J12" s="70" t="e">
        <f t="shared" ref="J12:J16" si="59">K12/L12</f>
        <v>#DIV/0!</v>
      </c>
      <c r="K12" s="13">
        <v>0</v>
      </c>
      <c r="L12" s="13">
        <v>0</v>
      </c>
      <c r="M12" s="70" t="e">
        <f t="shared" ref="M12:M16" si="60">N12/O12</f>
        <v>#DIV/0!</v>
      </c>
      <c r="N12" s="13">
        <v>0</v>
      </c>
      <c r="O12" s="13">
        <v>0</v>
      </c>
      <c r="P12" s="70" t="e">
        <f t="shared" ref="P12:P16" si="61">Q12/R12</f>
        <v>#DIV/0!</v>
      </c>
      <c r="Q12" s="13">
        <v>0</v>
      </c>
      <c r="R12" s="13">
        <v>0</v>
      </c>
      <c r="S12" s="70" t="e">
        <f t="shared" ref="S12:S16" si="62">T12/U12</f>
        <v>#DIV/0!</v>
      </c>
      <c r="T12" s="13">
        <v>0</v>
      </c>
      <c r="U12" s="13">
        <v>0</v>
      </c>
      <c r="V12" s="70" t="e">
        <f t="shared" ref="V12:V16" si="63">W12/X12</f>
        <v>#DIV/0!</v>
      </c>
      <c r="W12" s="13">
        <v>0</v>
      </c>
      <c r="X12" s="13">
        <v>0</v>
      </c>
      <c r="Y12" s="70" t="e">
        <f t="shared" ref="Y12:Y16" si="64">Z12/AA12</f>
        <v>#DIV/0!</v>
      </c>
      <c r="Z12" s="13">
        <v>0</v>
      </c>
      <c r="AA12" s="13">
        <v>0</v>
      </c>
      <c r="AB12" s="70" t="e">
        <f t="shared" ref="AB12:AB16" si="65">AC12/AD12</f>
        <v>#DIV/0!</v>
      </c>
      <c r="AC12" s="13">
        <v>0</v>
      </c>
      <c r="AD12" s="13">
        <v>0</v>
      </c>
      <c r="AE12" s="70" t="e">
        <f t="shared" ref="AE12:AE16" si="66">AF12/AG12</f>
        <v>#DIV/0!</v>
      </c>
      <c r="AF12" s="13">
        <v>0</v>
      </c>
      <c r="AG12" s="13">
        <v>0</v>
      </c>
      <c r="AH12" s="70" t="e">
        <f t="shared" ref="AH12:AH16" si="67">AI12/AJ12</f>
        <v>#DIV/0!</v>
      </c>
      <c r="AI12" s="13">
        <v>0</v>
      </c>
      <c r="AJ12" s="13">
        <v>0</v>
      </c>
      <c r="AK12" s="70" t="e">
        <f t="shared" ref="AK12:AK16" si="68">AL12/AM12</f>
        <v>#DIV/0!</v>
      </c>
      <c r="AL12" s="13">
        <v>0</v>
      </c>
      <c r="AM12" s="13">
        <v>0</v>
      </c>
      <c r="AN12" s="70" t="e">
        <f t="shared" ref="AN12:AN16" si="69">AO12/AP12</f>
        <v>#DIV/0!</v>
      </c>
      <c r="AO12" s="13">
        <v>0</v>
      </c>
      <c r="AP12" s="13">
        <v>0</v>
      </c>
      <c r="AQ12" s="70" t="e">
        <f t="shared" ref="AQ12:AQ16" si="70">AR12/AS12</f>
        <v>#DIV/0!</v>
      </c>
      <c r="AR12" s="13">
        <v>0</v>
      </c>
      <c r="AS12" s="13">
        <v>0</v>
      </c>
      <c r="AT12" s="70" t="e">
        <f t="shared" ref="AT12:AT16" si="71">AU12/AV12</f>
        <v>#DIV/0!</v>
      </c>
      <c r="AU12" s="13">
        <v>0</v>
      </c>
      <c r="AV12" s="13">
        <v>0</v>
      </c>
      <c r="AW12" s="70" t="e">
        <f t="shared" ref="AW12:AW16" si="72">AX12/AY12</f>
        <v>#DIV/0!</v>
      </c>
      <c r="AX12" s="13">
        <v>0</v>
      </c>
      <c r="AY12" s="13">
        <v>0</v>
      </c>
      <c r="AZ12" s="70" t="e">
        <f t="shared" ref="AZ12:AZ16" si="73">BA12/BB12</f>
        <v>#DIV/0!</v>
      </c>
      <c r="BA12" s="13">
        <v>0</v>
      </c>
      <c r="BB12" s="13">
        <v>0</v>
      </c>
      <c r="BC12" s="70" t="e">
        <f t="shared" ref="BC12:BC16" si="74">BD12/BE12</f>
        <v>#DIV/0!</v>
      </c>
      <c r="BD12" s="13">
        <v>0</v>
      </c>
      <c r="BE12" s="13">
        <v>0</v>
      </c>
      <c r="BF12" s="70" t="e">
        <f t="shared" ref="BF12:BF16" si="75">BG12/BH12</f>
        <v>#DIV/0!</v>
      </c>
      <c r="BG12" s="13">
        <v>0</v>
      </c>
      <c r="BH12" s="13">
        <v>0</v>
      </c>
      <c r="BI12" s="70" t="e">
        <f t="shared" ref="BI12:BI16" si="76">BJ12/BK12</f>
        <v>#DIV/0!</v>
      </c>
      <c r="BJ12" s="13">
        <v>0</v>
      </c>
      <c r="BK12" s="13">
        <v>0</v>
      </c>
      <c r="BL12" s="70" t="e">
        <f t="shared" ref="BL12:BL16" si="77">BM12/BN12</f>
        <v>#DIV/0!</v>
      </c>
      <c r="BM12" s="13">
        <v>0</v>
      </c>
      <c r="BN12" s="13">
        <v>0</v>
      </c>
      <c r="BO12" s="70" t="e">
        <f t="shared" ref="BO12:BO16" si="78">BP12/BQ12</f>
        <v>#DIV/0!</v>
      </c>
      <c r="BP12" s="13">
        <v>0</v>
      </c>
      <c r="BQ12" s="13">
        <v>0</v>
      </c>
      <c r="BR12" s="70" t="e">
        <f t="shared" ref="BR12:BR16" si="79">BS12/BT12</f>
        <v>#DIV/0!</v>
      </c>
      <c r="BS12" s="13">
        <v>0</v>
      </c>
      <c r="BT12" s="13">
        <v>0</v>
      </c>
      <c r="BU12" s="70" t="e">
        <f t="shared" ref="BU12:BU16" si="80">BV12/BW12</f>
        <v>#DIV/0!</v>
      </c>
      <c r="BV12" s="13">
        <v>0</v>
      </c>
      <c r="BW12" s="13">
        <v>0</v>
      </c>
      <c r="BX12" s="70" t="e">
        <f t="shared" ref="BX12:BX16" si="81">BY12/BZ12</f>
        <v>#DIV/0!</v>
      </c>
      <c r="BY12" s="13">
        <v>0</v>
      </c>
      <c r="BZ12" s="13">
        <v>0</v>
      </c>
      <c r="CA12" s="70" t="e">
        <f t="shared" ref="CA12:CA16" si="82">CB12/CC12</f>
        <v>#DIV/0!</v>
      </c>
      <c r="CB12" s="13">
        <v>0</v>
      </c>
      <c r="CC12" s="13">
        <v>0</v>
      </c>
      <c r="CD12" s="70" t="e">
        <f t="shared" ref="CD12:CD16" si="83">CE12/CF12</f>
        <v>#DIV/0!</v>
      </c>
      <c r="CE12" s="13">
        <v>0</v>
      </c>
      <c r="CF12" s="13">
        <v>0</v>
      </c>
      <c r="CG12" s="74" t="e">
        <f t="shared" ref="CG12:CG16" si="84">CH12/CI12</f>
        <v>#DIV/0!</v>
      </c>
      <c r="CH12" s="13">
        <v>0</v>
      </c>
      <c r="CI12" s="13">
        <v>0</v>
      </c>
      <c r="CJ12" s="74" t="e">
        <f t="shared" ref="CJ12:CJ16" si="85">CK12/CL12</f>
        <v>#DIV/0!</v>
      </c>
      <c r="CK12" s="13">
        <v>0</v>
      </c>
      <c r="CL12" s="13">
        <v>0</v>
      </c>
      <c r="CM12" s="74" t="e">
        <f t="shared" ref="CM12:CM16" si="86">CN12/CO12</f>
        <v>#DIV/0!</v>
      </c>
      <c r="CN12" s="13">
        <v>0</v>
      </c>
      <c r="CO12" s="13">
        <v>0</v>
      </c>
      <c r="CP12" s="74" t="e">
        <f t="shared" ref="CP12:CP16" si="87">CQ12/CR12</f>
        <v>#DIV/0!</v>
      </c>
      <c r="CQ12" s="13">
        <v>0</v>
      </c>
      <c r="CR12" s="13">
        <v>0</v>
      </c>
      <c r="CS12" s="70" t="e">
        <f t="shared" ref="CS12:CS16" si="88">CT12/CU12</f>
        <v>#DIV/0!</v>
      </c>
      <c r="CT12" s="13">
        <v>0</v>
      </c>
      <c r="CU12" s="13">
        <v>0</v>
      </c>
      <c r="CV12" s="70" t="e">
        <f t="shared" ref="CV12:CV16" si="89">CW12/CX12</f>
        <v>#DIV/0!</v>
      </c>
      <c r="CW12" s="13">
        <v>0</v>
      </c>
      <c r="CX12" s="13">
        <v>0</v>
      </c>
      <c r="CY12" s="70" t="e">
        <f t="shared" ref="CY12:CY16" si="90">CZ12/DA12</f>
        <v>#DIV/0!</v>
      </c>
      <c r="CZ12" s="13">
        <v>0</v>
      </c>
      <c r="DA12" s="13">
        <v>0</v>
      </c>
      <c r="DB12" s="70" t="e">
        <f t="shared" ref="DB12:DB16" si="91">DC12/DD12</f>
        <v>#DIV/0!</v>
      </c>
      <c r="DC12" s="13">
        <v>0</v>
      </c>
      <c r="DD12" s="13">
        <v>0</v>
      </c>
      <c r="DE12" s="70" t="e">
        <f t="shared" ref="DE12:DE16" si="92">DF12/DG12</f>
        <v>#DIV/0!</v>
      </c>
      <c r="DF12" s="13">
        <v>0</v>
      </c>
      <c r="DG12" s="13">
        <v>0</v>
      </c>
      <c r="DH12" s="70" t="e">
        <f t="shared" ref="DH12:DH16" si="93">DI12/DJ12</f>
        <v>#DIV/0!</v>
      </c>
      <c r="DI12" s="13">
        <v>0</v>
      </c>
      <c r="DJ12" s="13">
        <v>0</v>
      </c>
      <c r="DK12" s="70" t="e">
        <f t="shared" ref="DK12:DK16" si="94">DL12/DM12</f>
        <v>#DIV/0!</v>
      </c>
      <c r="DL12" s="13">
        <v>0</v>
      </c>
      <c r="DM12" s="13">
        <v>0</v>
      </c>
      <c r="DN12" s="70" t="e">
        <f t="shared" ref="DN12:DN16" si="95">DO12/DP12</f>
        <v>#DIV/0!</v>
      </c>
      <c r="DO12" s="13">
        <v>0</v>
      </c>
      <c r="DP12" s="13">
        <v>0</v>
      </c>
      <c r="DQ12" s="70" t="e">
        <f t="shared" ref="DQ12:DQ16" si="96">DR12/DS12</f>
        <v>#DIV/0!</v>
      </c>
      <c r="DR12" s="13">
        <v>0</v>
      </c>
      <c r="DS12" s="13">
        <v>0</v>
      </c>
      <c r="DT12" s="70" t="e">
        <f t="shared" ref="DT12:DT16" si="97">DU12/DV12</f>
        <v>#DIV/0!</v>
      </c>
      <c r="DU12" s="13">
        <v>0</v>
      </c>
      <c r="DV12" s="13">
        <v>0</v>
      </c>
      <c r="DW12" s="70" t="e">
        <f t="shared" ref="DW12:DW16" si="98">DX12/DY12</f>
        <v>#DIV/0!</v>
      </c>
      <c r="DX12" s="13">
        <v>0</v>
      </c>
      <c r="DY12" s="13">
        <v>0</v>
      </c>
      <c r="DZ12" s="70" t="e">
        <f t="shared" ref="DZ12:DZ16" si="99">EA12/EB12</f>
        <v>#DIV/0!</v>
      </c>
      <c r="EA12" s="13">
        <v>0</v>
      </c>
      <c r="EB12" s="13">
        <v>0</v>
      </c>
      <c r="EC12" s="70" t="e">
        <f t="shared" ref="EC12:EC16" si="100">ED12/EE12</f>
        <v>#DIV/0!</v>
      </c>
      <c r="ED12" s="13">
        <v>0</v>
      </c>
      <c r="EE12" s="13">
        <v>0</v>
      </c>
      <c r="EF12" s="70" t="e">
        <f t="shared" ref="EF12:EF16" si="101">EG12/EH12</f>
        <v>#DIV/0!</v>
      </c>
      <c r="EG12" s="13">
        <v>0</v>
      </c>
      <c r="EH12" s="13">
        <v>0</v>
      </c>
      <c r="EI12" s="70" t="e">
        <f t="shared" ref="EI12:EI16" si="102">EJ12/EK12</f>
        <v>#DIV/0!</v>
      </c>
      <c r="EJ12" s="13">
        <v>0</v>
      </c>
      <c r="EK12" s="13">
        <v>0</v>
      </c>
      <c r="EL12" s="70" t="e">
        <f t="shared" ref="EL12:EL16" si="103">EM12/EN12</f>
        <v>#DIV/0!</v>
      </c>
      <c r="EM12" s="13">
        <v>0</v>
      </c>
      <c r="EN12" s="13">
        <v>0</v>
      </c>
      <c r="EO12" s="70" t="e">
        <f t="shared" ref="EO12:EO16" si="104">EP12/EQ12</f>
        <v>#DIV/0!</v>
      </c>
      <c r="EP12" s="13">
        <v>0</v>
      </c>
      <c r="EQ12" s="13">
        <v>0</v>
      </c>
      <c r="ER12" s="70" t="e">
        <f t="shared" ref="ER12:ER16" si="105">ES12/ET12</f>
        <v>#DIV/0!</v>
      </c>
      <c r="ES12" s="13">
        <v>0</v>
      </c>
      <c r="ET12" s="13">
        <v>0</v>
      </c>
      <c r="EU12" s="70" t="e">
        <f t="shared" ref="EU12:EU16" si="106">EV12/EW12</f>
        <v>#DIV/0!</v>
      </c>
      <c r="EV12" s="13">
        <v>0</v>
      </c>
      <c r="EW12" s="13">
        <v>0</v>
      </c>
      <c r="EX12" s="70" t="e">
        <f t="shared" ref="EX12:EX16" si="107">EY12/EZ12</f>
        <v>#DIV/0!</v>
      </c>
      <c r="EY12" s="13">
        <v>0</v>
      </c>
      <c r="EZ12" s="13">
        <v>0</v>
      </c>
      <c r="FA12" s="70" t="e">
        <f t="shared" ref="FA12:FA16" si="108">FB12/FC12</f>
        <v>#DIV/0!</v>
      </c>
      <c r="FB12" s="13">
        <v>0</v>
      </c>
      <c r="FC12" s="13">
        <v>0</v>
      </c>
      <c r="FD12" s="70" t="e">
        <f t="shared" ref="FD12:FD16" si="109">FE12/FF12</f>
        <v>#DIV/0!</v>
      </c>
      <c r="FE12" s="13">
        <v>0</v>
      </c>
      <c r="FF12" s="13">
        <v>0</v>
      </c>
      <c r="FG12" s="70" t="e">
        <f t="shared" ref="FG12:FG16" si="110">FH12/FI12</f>
        <v>#DIV/0!</v>
      </c>
      <c r="FH12" s="13">
        <v>0</v>
      </c>
      <c r="FI12" s="13">
        <v>0</v>
      </c>
    </row>
    <row r="13" spans="1:165" ht="15.75" x14ac:dyDescent="0.25">
      <c r="A13" s="237"/>
      <c r="B13" s="65" t="s">
        <v>26</v>
      </c>
      <c r="C13" s="65">
        <f>'District Information &amp; Measures'!C25</f>
        <v>0</v>
      </c>
      <c r="D13" s="8" t="e">
        <f t="shared" si="57"/>
        <v>#DIV/0!</v>
      </c>
      <c r="E13" s="76">
        <f t="shared" ref="E13:F16" si="111">SUM(H13,K13,N13,Q13,T13,W13,Z13,AC13,AF13,AI13,AL13,AO13,AR13,AU13,AX13,BA13,BD13,BG13,BJ13,BM13,BP13,BS13,BV13,BY13,CB13,CE13,CH13,CK13,CN13,CQ13,CT13,CW13,CZ13,DC13,DF13,DI13,DL13,DO13,DR13,DU13,DX13,EA13,ED13,EG13,EJ13,EM13,EP13,ES13,EV13,EY13,FB13,FE13,FH13)</f>
        <v>0</v>
      </c>
      <c r="F13" s="76">
        <f t="shared" si="111"/>
        <v>0</v>
      </c>
      <c r="G13" s="70" t="e">
        <f t="shared" si="58"/>
        <v>#DIV/0!</v>
      </c>
      <c r="H13" s="13">
        <v>0</v>
      </c>
      <c r="I13" s="13">
        <v>0</v>
      </c>
      <c r="J13" s="70" t="e">
        <f t="shared" si="59"/>
        <v>#DIV/0!</v>
      </c>
      <c r="K13" s="13">
        <v>0</v>
      </c>
      <c r="L13" s="13">
        <v>0</v>
      </c>
      <c r="M13" s="70" t="e">
        <f t="shared" si="60"/>
        <v>#DIV/0!</v>
      </c>
      <c r="N13" s="13">
        <v>0</v>
      </c>
      <c r="O13" s="13">
        <v>0</v>
      </c>
      <c r="P13" s="70" t="e">
        <f t="shared" si="61"/>
        <v>#DIV/0!</v>
      </c>
      <c r="Q13" s="13">
        <v>0</v>
      </c>
      <c r="R13" s="13">
        <v>0</v>
      </c>
      <c r="S13" s="70" t="e">
        <f t="shared" si="62"/>
        <v>#DIV/0!</v>
      </c>
      <c r="T13" s="13">
        <v>0</v>
      </c>
      <c r="U13" s="13">
        <v>0</v>
      </c>
      <c r="V13" s="70" t="e">
        <f t="shared" si="63"/>
        <v>#DIV/0!</v>
      </c>
      <c r="W13" s="13">
        <v>0</v>
      </c>
      <c r="X13" s="13">
        <v>0</v>
      </c>
      <c r="Y13" s="70" t="e">
        <f t="shared" si="64"/>
        <v>#DIV/0!</v>
      </c>
      <c r="Z13" s="13">
        <v>0</v>
      </c>
      <c r="AA13" s="13">
        <v>0</v>
      </c>
      <c r="AB13" s="70" t="e">
        <f t="shared" si="65"/>
        <v>#DIV/0!</v>
      </c>
      <c r="AC13" s="13">
        <v>0</v>
      </c>
      <c r="AD13" s="13">
        <v>0</v>
      </c>
      <c r="AE13" s="70" t="e">
        <f t="shared" si="66"/>
        <v>#DIV/0!</v>
      </c>
      <c r="AF13" s="13">
        <v>0</v>
      </c>
      <c r="AG13" s="13">
        <v>0</v>
      </c>
      <c r="AH13" s="70" t="e">
        <f t="shared" si="67"/>
        <v>#DIV/0!</v>
      </c>
      <c r="AI13" s="13">
        <v>0</v>
      </c>
      <c r="AJ13" s="13">
        <v>0</v>
      </c>
      <c r="AK13" s="70" t="e">
        <f t="shared" si="68"/>
        <v>#DIV/0!</v>
      </c>
      <c r="AL13" s="13">
        <v>0</v>
      </c>
      <c r="AM13" s="13">
        <v>0</v>
      </c>
      <c r="AN13" s="70" t="e">
        <f t="shared" si="69"/>
        <v>#DIV/0!</v>
      </c>
      <c r="AO13" s="13">
        <v>0</v>
      </c>
      <c r="AP13" s="13">
        <v>0</v>
      </c>
      <c r="AQ13" s="70" t="e">
        <f t="shared" si="70"/>
        <v>#DIV/0!</v>
      </c>
      <c r="AR13" s="13">
        <v>0</v>
      </c>
      <c r="AS13" s="13">
        <v>0</v>
      </c>
      <c r="AT13" s="70" t="e">
        <f t="shared" si="71"/>
        <v>#DIV/0!</v>
      </c>
      <c r="AU13" s="13">
        <v>0</v>
      </c>
      <c r="AV13" s="13">
        <v>0</v>
      </c>
      <c r="AW13" s="70" t="e">
        <f t="shared" si="72"/>
        <v>#DIV/0!</v>
      </c>
      <c r="AX13" s="13">
        <v>0</v>
      </c>
      <c r="AY13" s="13">
        <v>0</v>
      </c>
      <c r="AZ13" s="70" t="e">
        <f t="shared" si="73"/>
        <v>#DIV/0!</v>
      </c>
      <c r="BA13" s="13">
        <v>0</v>
      </c>
      <c r="BB13" s="13">
        <v>0</v>
      </c>
      <c r="BC13" s="70" t="e">
        <f t="shared" si="74"/>
        <v>#DIV/0!</v>
      </c>
      <c r="BD13" s="13">
        <v>0</v>
      </c>
      <c r="BE13" s="13">
        <v>0</v>
      </c>
      <c r="BF13" s="70" t="e">
        <f t="shared" si="75"/>
        <v>#DIV/0!</v>
      </c>
      <c r="BG13" s="13">
        <v>0</v>
      </c>
      <c r="BH13" s="13">
        <v>0</v>
      </c>
      <c r="BI13" s="70" t="e">
        <f t="shared" si="76"/>
        <v>#DIV/0!</v>
      </c>
      <c r="BJ13" s="13">
        <v>0</v>
      </c>
      <c r="BK13" s="13">
        <v>0</v>
      </c>
      <c r="BL13" s="70" t="e">
        <f t="shared" si="77"/>
        <v>#DIV/0!</v>
      </c>
      <c r="BM13" s="13">
        <v>0</v>
      </c>
      <c r="BN13" s="13">
        <v>0</v>
      </c>
      <c r="BO13" s="70" t="e">
        <f t="shared" si="78"/>
        <v>#DIV/0!</v>
      </c>
      <c r="BP13" s="13">
        <v>0</v>
      </c>
      <c r="BQ13" s="13">
        <v>0</v>
      </c>
      <c r="BR13" s="70" t="e">
        <f t="shared" si="79"/>
        <v>#DIV/0!</v>
      </c>
      <c r="BS13" s="13">
        <v>0</v>
      </c>
      <c r="BT13" s="13">
        <v>0</v>
      </c>
      <c r="BU13" s="70" t="e">
        <f t="shared" si="80"/>
        <v>#DIV/0!</v>
      </c>
      <c r="BV13" s="13">
        <v>0</v>
      </c>
      <c r="BW13" s="13">
        <v>0</v>
      </c>
      <c r="BX13" s="70" t="e">
        <f t="shared" si="81"/>
        <v>#DIV/0!</v>
      </c>
      <c r="BY13" s="13">
        <v>0</v>
      </c>
      <c r="BZ13" s="13">
        <v>0</v>
      </c>
      <c r="CA13" s="70" t="e">
        <f t="shared" si="82"/>
        <v>#DIV/0!</v>
      </c>
      <c r="CB13" s="13">
        <v>0</v>
      </c>
      <c r="CC13" s="13">
        <v>0</v>
      </c>
      <c r="CD13" s="70" t="e">
        <f t="shared" si="83"/>
        <v>#DIV/0!</v>
      </c>
      <c r="CE13" s="13">
        <v>0</v>
      </c>
      <c r="CF13" s="13">
        <v>0</v>
      </c>
      <c r="CG13" s="74" t="e">
        <f t="shared" si="84"/>
        <v>#DIV/0!</v>
      </c>
      <c r="CH13" s="13">
        <v>0</v>
      </c>
      <c r="CI13" s="13">
        <v>0</v>
      </c>
      <c r="CJ13" s="74" t="e">
        <f t="shared" si="85"/>
        <v>#DIV/0!</v>
      </c>
      <c r="CK13" s="13">
        <v>0</v>
      </c>
      <c r="CL13" s="13">
        <v>0</v>
      </c>
      <c r="CM13" s="74" t="e">
        <f t="shared" si="86"/>
        <v>#DIV/0!</v>
      </c>
      <c r="CN13" s="13">
        <v>0</v>
      </c>
      <c r="CO13" s="13">
        <v>0</v>
      </c>
      <c r="CP13" s="74" t="e">
        <f t="shared" si="87"/>
        <v>#DIV/0!</v>
      </c>
      <c r="CQ13" s="13">
        <v>0</v>
      </c>
      <c r="CR13" s="13">
        <v>0</v>
      </c>
      <c r="CS13" s="70" t="e">
        <f t="shared" si="88"/>
        <v>#DIV/0!</v>
      </c>
      <c r="CT13" s="13">
        <v>0</v>
      </c>
      <c r="CU13" s="13">
        <v>0</v>
      </c>
      <c r="CV13" s="70" t="e">
        <f t="shared" si="89"/>
        <v>#DIV/0!</v>
      </c>
      <c r="CW13" s="13">
        <v>0</v>
      </c>
      <c r="CX13" s="13">
        <v>0</v>
      </c>
      <c r="CY13" s="70" t="e">
        <f t="shared" si="90"/>
        <v>#DIV/0!</v>
      </c>
      <c r="CZ13" s="13">
        <v>0</v>
      </c>
      <c r="DA13" s="13">
        <v>0</v>
      </c>
      <c r="DB13" s="70" t="e">
        <f t="shared" si="91"/>
        <v>#DIV/0!</v>
      </c>
      <c r="DC13" s="13">
        <v>0</v>
      </c>
      <c r="DD13" s="13">
        <v>0</v>
      </c>
      <c r="DE13" s="70" t="e">
        <f t="shared" si="92"/>
        <v>#DIV/0!</v>
      </c>
      <c r="DF13" s="13">
        <v>0</v>
      </c>
      <c r="DG13" s="13">
        <v>0</v>
      </c>
      <c r="DH13" s="70" t="e">
        <f t="shared" si="93"/>
        <v>#DIV/0!</v>
      </c>
      <c r="DI13" s="13">
        <v>0</v>
      </c>
      <c r="DJ13" s="13">
        <v>0</v>
      </c>
      <c r="DK13" s="70" t="e">
        <f t="shared" si="94"/>
        <v>#DIV/0!</v>
      </c>
      <c r="DL13" s="13">
        <v>0</v>
      </c>
      <c r="DM13" s="13">
        <v>0</v>
      </c>
      <c r="DN13" s="70" t="e">
        <f t="shared" si="95"/>
        <v>#DIV/0!</v>
      </c>
      <c r="DO13" s="13">
        <v>0</v>
      </c>
      <c r="DP13" s="13">
        <v>0</v>
      </c>
      <c r="DQ13" s="70" t="e">
        <f t="shared" si="96"/>
        <v>#DIV/0!</v>
      </c>
      <c r="DR13" s="13">
        <v>0</v>
      </c>
      <c r="DS13" s="13">
        <v>0</v>
      </c>
      <c r="DT13" s="70" t="e">
        <f t="shared" si="97"/>
        <v>#DIV/0!</v>
      </c>
      <c r="DU13" s="13">
        <v>0</v>
      </c>
      <c r="DV13" s="13">
        <v>0</v>
      </c>
      <c r="DW13" s="70" t="e">
        <f t="shared" si="98"/>
        <v>#DIV/0!</v>
      </c>
      <c r="DX13" s="13">
        <v>0</v>
      </c>
      <c r="DY13" s="13">
        <v>0</v>
      </c>
      <c r="DZ13" s="70" t="e">
        <f t="shared" si="99"/>
        <v>#DIV/0!</v>
      </c>
      <c r="EA13" s="13">
        <v>0</v>
      </c>
      <c r="EB13" s="13">
        <v>0</v>
      </c>
      <c r="EC13" s="70" t="e">
        <f t="shared" si="100"/>
        <v>#DIV/0!</v>
      </c>
      <c r="ED13" s="13">
        <v>0</v>
      </c>
      <c r="EE13" s="13">
        <v>0</v>
      </c>
      <c r="EF13" s="70" t="e">
        <f t="shared" si="101"/>
        <v>#DIV/0!</v>
      </c>
      <c r="EG13" s="13">
        <v>0</v>
      </c>
      <c r="EH13" s="13">
        <v>0</v>
      </c>
      <c r="EI13" s="70" t="e">
        <f t="shared" si="102"/>
        <v>#DIV/0!</v>
      </c>
      <c r="EJ13" s="13">
        <v>0</v>
      </c>
      <c r="EK13" s="13">
        <v>0</v>
      </c>
      <c r="EL13" s="70" t="e">
        <f t="shared" si="103"/>
        <v>#DIV/0!</v>
      </c>
      <c r="EM13" s="13">
        <v>0</v>
      </c>
      <c r="EN13" s="13">
        <v>0</v>
      </c>
      <c r="EO13" s="70" t="e">
        <f t="shared" si="104"/>
        <v>#DIV/0!</v>
      </c>
      <c r="EP13" s="13">
        <v>0</v>
      </c>
      <c r="EQ13" s="13">
        <v>0</v>
      </c>
      <c r="ER13" s="70" t="e">
        <f t="shared" si="105"/>
        <v>#DIV/0!</v>
      </c>
      <c r="ES13" s="13">
        <v>0</v>
      </c>
      <c r="ET13" s="13">
        <v>0</v>
      </c>
      <c r="EU13" s="70" t="e">
        <f t="shared" si="106"/>
        <v>#DIV/0!</v>
      </c>
      <c r="EV13" s="13">
        <v>0</v>
      </c>
      <c r="EW13" s="13">
        <v>0</v>
      </c>
      <c r="EX13" s="70" t="e">
        <f t="shared" si="107"/>
        <v>#DIV/0!</v>
      </c>
      <c r="EY13" s="13">
        <v>0</v>
      </c>
      <c r="EZ13" s="13">
        <v>0</v>
      </c>
      <c r="FA13" s="70" t="e">
        <f t="shared" si="108"/>
        <v>#DIV/0!</v>
      </c>
      <c r="FB13" s="13">
        <v>0</v>
      </c>
      <c r="FC13" s="13">
        <v>0</v>
      </c>
      <c r="FD13" s="70" t="e">
        <f t="shared" si="109"/>
        <v>#DIV/0!</v>
      </c>
      <c r="FE13" s="13">
        <v>0</v>
      </c>
      <c r="FF13" s="13">
        <v>0</v>
      </c>
      <c r="FG13" s="70" t="e">
        <f t="shared" si="110"/>
        <v>#DIV/0!</v>
      </c>
      <c r="FH13" s="13">
        <v>0</v>
      </c>
      <c r="FI13" s="13">
        <v>0</v>
      </c>
    </row>
    <row r="14" spans="1:165" ht="15.75" x14ac:dyDescent="0.25">
      <c r="A14" s="237"/>
      <c r="B14" s="65" t="s">
        <v>10</v>
      </c>
      <c r="C14" s="65">
        <f>'District Information &amp; Measures'!C6</f>
        <v>0</v>
      </c>
      <c r="D14" s="8" t="e">
        <f t="shared" si="57"/>
        <v>#DIV/0!</v>
      </c>
      <c r="E14" s="76">
        <f t="shared" si="111"/>
        <v>0</v>
      </c>
      <c r="F14" s="76">
        <f t="shared" si="111"/>
        <v>0</v>
      </c>
      <c r="G14" s="70" t="e">
        <f t="shared" si="58"/>
        <v>#DIV/0!</v>
      </c>
      <c r="H14" s="13">
        <v>0</v>
      </c>
      <c r="I14" s="13">
        <v>0</v>
      </c>
      <c r="J14" s="70" t="e">
        <f t="shared" si="59"/>
        <v>#DIV/0!</v>
      </c>
      <c r="K14" s="13">
        <v>0</v>
      </c>
      <c r="L14" s="13">
        <v>0</v>
      </c>
      <c r="M14" s="70" t="e">
        <f t="shared" si="60"/>
        <v>#DIV/0!</v>
      </c>
      <c r="N14" s="13">
        <v>0</v>
      </c>
      <c r="O14" s="13">
        <v>0</v>
      </c>
      <c r="P14" s="70" t="e">
        <f t="shared" si="61"/>
        <v>#DIV/0!</v>
      </c>
      <c r="Q14" s="13">
        <v>0</v>
      </c>
      <c r="R14" s="13">
        <v>0</v>
      </c>
      <c r="S14" s="70" t="e">
        <f t="shared" si="62"/>
        <v>#DIV/0!</v>
      </c>
      <c r="T14" s="13">
        <v>0</v>
      </c>
      <c r="U14" s="13">
        <v>0</v>
      </c>
      <c r="V14" s="70" t="e">
        <f t="shared" si="63"/>
        <v>#DIV/0!</v>
      </c>
      <c r="W14" s="13">
        <v>0</v>
      </c>
      <c r="X14" s="13">
        <v>0</v>
      </c>
      <c r="Y14" s="70" t="e">
        <f t="shared" si="64"/>
        <v>#DIV/0!</v>
      </c>
      <c r="Z14" s="13">
        <v>0</v>
      </c>
      <c r="AA14" s="13">
        <v>0</v>
      </c>
      <c r="AB14" s="70" t="e">
        <f t="shared" si="65"/>
        <v>#DIV/0!</v>
      </c>
      <c r="AC14" s="13">
        <v>0</v>
      </c>
      <c r="AD14" s="13">
        <v>0</v>
      </c>
      <c r="AE14" s="70" t="e">
        <f t="shared" si="66"/>
        <v>#DIV/0!</v>
      </c>
      <c r="AF14" s="13">
        <v>0</v>
      </c>
      <c r="AG14" s="13">
        <v>0</v>
      </c>
      <c r="AH14" s="70" t="e">
        <f t="shared" si="67"/>
        <v>#DIV/0!</v>
      </c>
      <c r="AI14" s="13">
        <v>0</v>
      </c>
      <c r="AJ14" s="13">
        <v>0</v>
      </c>
      <c r="AK14" s="70" t="e">
        <f t="shared" si="68"/>
        <v>#DIV/0!</v>
      </c>
      <c r="AL14" s="13">
        <v>0</v>
      </c>
      <c r="AM14" s="13">
        <v>0</v>
      </c>
      <c r="AN14" s="70" t="e">
        <f t="shared" si="69"/>
        <v>#DIV/0!</v>
      </c>
      <c r="AO14" s="13">
        <v>0</v>
      </c>
      <c r="AP14" s="13">
        <v>0</v>
      </c>
      <c r="AQ14" s="70" t="e">
        <f t="shared" si="70"/>
        <v>#DIV/0!</v>
      </c>
      <c r="AR14" s="13">
        <v>0</v>
      </c>
      <c r="AS14" s="13">
        <v>0</v>
      </c>
      <c r="AT14" s="70" t="e">
        <f t="shared" si="71"/>
        <v>#DIV/0!</v>
      </c>
      <c r="AU14" s="13">
        <v>0</v>
      </c>
      <c r="AV14" s="13">
        <v>0</v>
      </c>
      <c r="AW14" s="70" t="e">
        <f t="shared" si="72"/>
        <v>#DIV/0!</v>
      </c>
      <c r="AX14" s="13">
        <v>0</v>
      </c>
      <c r="AY14" s="13">
        <v>0</v>
      </c>
      <c r="AZ14" s="70" t="e">
        <f t="shared" si="73"/>
        <v>#DIV/0!</v>
      </c>
      <c r="BA14" s="13">
        <v>0</v>
      </c>
      <c r="BB14" s="13">
        <v>0</v>
      </c>
      <c r="BC14" s="70" t="e">
        <f t="shared" si="74"/>
        <v>#DIV/0!</v>
      </c>
      <c r="BD14" s="13">
        <v>0</v>
      </c>
      <c r="BE14" s="13">
        <v>0</v>
      </c>
      <c r="BF14" s="70" t="e">
        <f t="shared" si="75"/>
        <v>#DIV/0!</v>
      </c>
      <c r="BG14" s="13">
        <v>0</v>
      </c>
      <c r="BH14" s="13">
        <v>0</v>
      </c>
      <c r="BI14" s="70" t="e">
        <f t="shared" si="76"/>
        <v>#DIV/0!</v>
      </c>
      <c r="BJ14" s="13">
        <v>0</v>
      </c>
      <c r="BK14" s="13">
        <v>0</v>
      </c>
      <c r="BL14" s="70" t="e">
        <f t="shared" si="77"/>
        <v>#DIV/0!</v>
      </c>
      <c r="BM14" s="13">
        <v>0</v>
      </c>
      <c r="BN14" s="13">
        <v>0</v>
      </c>
      <c r="BO14" s="70" t="e">
        <f t="shared" si="78"/>
        <v>#DIV/0!</v>
      </c>
      <c r="BP14" s="13">
        <v>0</v>
      </c>
      <c r="BQ14" s="13">
        <v>0</v>
      </c>
      <c r="BR14" s="70" t="e">
        <f t="shared" si="79"/>
        <v>#DIV/0!</v>
      </c>
      <c r="BS14" s="13">
        <v>0</v>
      </c>
      <c r="BT14" s="13">
        <v>0</v>
      </c>
      <c r="BU14" s="70" t="e">
        <f t="shared" si="80"/>
        <v>#DIV/0!</v>
      </c>
      <c r="BV14" s="13">
        <v>0</v>
      </c>
      <c r="BW14" s="13">
        <v>0</v>
      </c>
      <c r="BX14" s="70" t="e">
        <f t="shared" si="81"/>
        <v>#DIV/0!</v>
      </c>
      <c r="BY14" s="13">
        <v>0</v>
      </c>
      <c r="BZ14" s="13">
        <v>0</v>
      </c>
      <c r="CA14" s="70" t="e">
        <f t="shared" si="82"/>
        <v>#DIV/0!</v>
      </c>
      <c r="CB14" s="13">
        <v>0</v>
      </c>
      <c r="CC14" s="13">
        <v>0</v>
      </c>
      <c r="CD14" s="70" t="e">
        <f t="shared" si="83"/>
        <v>#DIV/0!</v>
      </c>
      <c r="CE14" s="13">
        <v>0</v>
      </c>
      <c r="CF14" s="13">
        <v>0</v>
      </c>
      <c r="CG14" s="74" t="e">
        <f t="shared" si="84"/>
        <v>#DIV/0!</v>
      </c>
      <c r="CH14" s="13">
        <v>0</v>
      </c>
      <c r="CI14" s="13">
        <v>0</v>
      </c>
      <c r="CJ14" s="74" t="e">
        <f t="shared" si="85"/>
        <v>#DIV/0!</v>
      </c>
      <c r="CK14" s="13">
        <v>0</v>
      </c>
      <c r="CL14" s="13">
        <v>0</v>
      </c>
      <c r="CM14" s="74" t="e">
        <f t="shared" si="86"/>
        <v>#DIV/0!</v>
      </c>
      <c r="CN14" s="13">
        <v>0</v>
      </c>
      <c r="CO14" s="13">
        <v>0</v>
      </c>
      <c r="CP14" s="74" t="e">
        <f t="shared" si="87"/>
        <v>#DIV/0!</v>
      </c>
      <c r="CQ14" s="13">
        <v>0</v>
      </c>
      <c r="CR14" s="13">
        <v>0</v>
      </c>
      <c r="CS14" s="70" t="e">
        <f t="shared" si="88"/>
        <v>#DIV/0!</v>
      </c>
      <c r="CT14" s="13">
        <v>0</v>
      </c>
      <c r="CU14" s="13">
        <v>0</v>
      </c>
      <c r="CV14" s="70" t="e">
        <f t="shared" si="89"/>
        <v>#DIV/0!</v>
      </c>
      <c r="CW14" s="13">
        <v>0</v>
      </c>
      <c r="CX14" s="13">
        <v>0</v>
      </c>
      <c r="CY14" s="70" t="e">
        <f t="shared" si="90"/>
        <v>#DIV/0!</v>
      </c>
      <c r="CZ14" s="13">
        <v>0</v>
      </c>
      <c r="DA14" s="13">
        <v>0</v>
      </c>
      <c r="DB14" s="70" t="e">
        <f t="shared" si="91"/>
        <v>#DIV/0!</v>
      </c>
      <c r="DC14" s="13">
        <v>0</v>
      </c>
      <c r="DD14" s="13">
        <v>0</v>
      </c>
      <c r="DE14" s="70" t="e">
        <f t="shared" si="92"/>
        <v>#DIV/0!</v>
      </c>
      <c r="DF14" s="13">
        <v>0</v>
      </c>
      <c r="DG14" s="13">
        <v>0</v>
      </c>
      <c r="DH14" s="70" t="e">
        <f t="shared" si="93"/>
        <v>#DIV/0!</v>
      </c>
      <c r="DI14" s="13">
        <v>0</v>
      </c>
      <c r="DJ14" s="13">
        <v>0</v>
      </c>
      <c r="DK14" s="70" t="e">
        <f t="shared" si="94"/>
        <v>#DIV/0!</v>
      </c>
      <c r="DL14" s="13">
        <v>0</v>
      </c>
      <c r="DM14" s="13">
        <v>0</v>
      </c>
      <c r="DN14" s="70" t="e">
        <f t="shared" si="95"/>
        <v>#DIV/0!</v>
      </c>
      <c r="DO14" s="13">
        <v>0</v>
      </c>
      <c r="DP14" s="13">
        <v>0</v>
      </c>
      <c r="DQ14" s="70" t="e">
        <f t="shared" si="96"/>
        <v>#DIV/0!</v>
      </c>
      <c r="DR14" s="13">
        <v>0</v>
      </c>
      <c r="DS14" s="13">
        <v>0</v>
      </c>
      <c r="DT14" s="70" t="e">
        <f t="shared" si="97"/>
        <v>#DIV/0!</v>
      </c>
      <c r="DU14" s="13">
        <v>0</v>
      </c>
      <c r="DV14" s="13">
        <v>0</v>
      </c>
      <c r="DW14" s="70" t="e">
        <f t="shared" si="98"/>
        <v>#DIV/0!</v>
      </c>
      <c r="DX14" s="13">
        <v>0</v>
      </c>
      <c r="DY14" s="13">
        <v>0</v>
      </c>
      <c r="DZ14" s="70" t="e">
        <f t="shared" si="99"/>
        <v>#DIV/0!</v>
      </c>
      <c r="EA14" s="13">
        <v>0</v>
      </c>
      <c r="EB14" s="13">
        <v>0</v>
      </c>
      <c r="EC14" s="70" t="e">
        <f t="shared" si="100"/>
        <v>#DIV/0!</v>
      </c>
      <c r="ED14" s="13">
        <v>0</v>
      </c>
      <c r="EE14" s="13">
        <v>0</v>
      </c>
      <c r="EF14" s="70" t="e">
        <f t="shared" si="101"/>
        <v>#DIV/0!</v>
      </c>
      <c r="EG14" s="13">
        <v>0</v>
      </c>
      <c r="EH14" s="13">
        <v>0</v>
      </c>
      <c r="EI14" s="70" t="e">
        <f t="shared" si="102"/>
        <v>#DIV/0!</v>
      </c>
      <c r="EJ14" s="13">
        <v>0</v>
      </c>
      <c r="EK14" s="13">
        <v>0</v>
      </c>
      <c r="EL14" s="70" t="e">
        <f t="shared" si="103"/>
        <v>#DIV/0!</v>
      </c>
      <c r="EM14" s="13">
        <v>0</v>
      </c>
      <c r="EN14" s="13">
        <v>0</v>
      </c>
      <c r="EO14" s="70" t="e">
        <f t="shared" si="104"/>
        <v>#DIV/0!</v>
      </c>
      <c r="EP14" s="13">
        <v>0</v>
      </c>
      <c r="EQ14" s="13">
        <v>0</v>
      </c>
      <c r="ER14" s="70" t="e">
        <f t="shared" si="105"/>
        <v>#DIV/0!</v>
      </c>
      <c r="ES14" s="13">
        <v>0</v>
      </c>
      <c r="ET14" s="13">
        <v>0</v>
      </c>
      <c r="EU14" s="70" t="e">
        <f t="shared" si="106"/>
        <v>#DIV/0!</v>
      </c>
      <c r="EV14" s="13">
        <v>0</v>
      </c>
      <c r="EW14" s="13">
        <v>0</v>
      </c>
      <c r="EX14" s="70" t="e">
        <f t="shared" si="107"/>
        <v>#DIV/0!</v>
      </c>
      <c r="EY14" s="13">
        <v>0</v>
      </c>
      <c r="EZ14" s="13">
        <v>0</v>
      </c>
      <c r="FA14" s="70" t="e">
        <f t="shared" si="108"/>
        <v>#DIV/0!</v>
      </c>
      <c r="FB14" s="13">
        <v>0</v>
      </c>
      <c r="FC14" s="13">
        <v>0</v>
      </c>
      <c r="FD14" s="70" t="e">
        <f t="shared" si="109"/>
        <v>#DIV/0!</v>
      </c>
      <c r="FE14" s="13">
        <v>0</v>
      </c>
      <c r="FF14" s="13">
        <v>0</v>
      </c>
      <c r="FG14" s="70" t="e">
        <f t="shared" si="110"/>
        <v>#DIV/0!</v>
      </c>
      <c r="FH14" s="13">
        <v>0</v>
      </c>
      <c r="FI14" s="13">
        <v>0</v>
      </c>
    </row>
    <row r="15" spans="1:165" ht="15.75" x14ac:dyDescent="0.25">
      <c r="A15" s="237"/>
      <c r="B15" s="67" t="s">
        <v>75</v>
      </c>
      <c r="C15" s="65">
        <f>'District Information &amp; Measures'!C27</f>
        <v>0</v>
      </c>
      <c r="D15" s="8" t="e">
        <f t="shared" si="57"/>
        <v>#DIV/0!</v>
      </c>
      <c r="E15" s="76">
        <f t="shared" si="111"/>
        <v>0</v>
      </c>
      <c r="F15" s="76">
        <f t="shared" si="111"/>
        <v>0</v>
      </c>
      <c r="G15" s="70" t="e">
        <f t="shared" si="58"/>
        <v>#DIV/0!</v>
      </c>
      <c r="H15" s="13">
        <v>0</v>
      </c>
      <c r="I15" s="13">
        <v>0</v>
      </c>
      <c r="J15" s="70" t="e">
        <f t="shared" si="59"/>
        <v>#DIV/0!</v>
      </c>
      <c r="K15" s="13">
        <v>0</v>
      </c>
      <c r="L15" s="13">
        <v>0</v>
      </c>
      <c r="M15" s="70" t="e">
        <f t="shared" si="60"/>
        <v>#DIV/0!</v>
      </c>
      <c r="N15" s="13">
        <v>0</v>
      </c>
      <c r="O15" s="13">
        <v>0</v>
      </c>
      <c r="P15" s="70" t="e">
        <f t="shared" si="61"/>
        <v>#DIV/0!</v>
      </c>
      <c r="Q15" s="13">
        <v>0</v>
      </c>
      <c r="R15" s="13">
        <v>0</v>
      </c>
      <c r="S15" s="70" t="e">
        <f t="shared" si="62"/>
        <v>#DIV/0!</v>
      </c>
      <c r="T15" s="13">
        <v>0</v>
      </c>
      <c r="U15" s="13">
        <v>0</v>
      </c>
      <c r="V15" s="70" t="e">
        <f t="shared" si="63"/>
        <v>#DIV/0!</v>
      </c>
      <c r="W15" s="13">
        <v>0</v>
      </c>
      <c r="X15" s="13">
        <v>0</v>
      </c>
      <c r="Y15" s="70" t="e">
        <f t="shared" si="64"/>
        <v>#DIV/0!</v>
      </c>
      <c r="Z15" s="13">
        <v>0</v>
      </c>
      <c r="AA15" s="13">
        <v>0</v>
      </c>
      <c r="AB15" s="70" t="e">
        <f t="shared" si="65"/>
        <v>#DIV/0!</v>
      </c>
      <c r="AC15" s="13">
        <v>0</v>
      </c>
      <c r="AD15" s="13">
        <v>0</v>
      </c>
      <c r="AE15" s="70" t="e">
        <f t="shared" si="66"/>
        <v>#DIV/0!</v>
      </c>
      <c r="AF15" s="13">
        <v>0</v>
      </c>
      <c r="AG15" s="13">
        <v>0</v>
      </c>
      <c r="AH15" s="70" t="e">
        <f t="shared" si="67"/>
        <v>#DIV/0!</v>
      </c>
      <c r="AI15" s="13">
        <v>0</v>
      </c>
      <c r="AJ15" s="13">
        <v>0</v>
      </c>
      <c r="AK15" s="70" t="e">
        <f t="shared" si="68"/>
        <v>#DIV/0!</v>
      </c>
      <c r="AL15" s="13">
        <v>0</v>
      </c>
      <c r="AM15" s="13">
        <v>0</v>
      </c>
      <c r="AN15" s="70" t="e">
        <f t="shared" si="69"/>
        <v>#DIV/0!</v>
      </c>
      <c r="AO15" s="13">
        <v>0</v>
      </c>
      <c r="AP15" s="13">
        <v>0</v>
      </c>
      <c r="AQ15" s="70" t="e">
        <f t="shared" si="70"/>
        <v>#DIV/0!</v>
      </c>
      <c r="AR15" s="13">
        <v>0</v>
      </c>
      <c r="AS15" s="13">
        <v>0</v>
      </c>
      <c r="AT15" s="70" t="e">
        <f t="shared" si="71"/>
        <v>#DIV/0!</v>
      </c>
      <c r="AU15" s="13">
        <v>0</v>
      </c>
      <c r="AV15" s="13">
        <v>0</v>
      </c>
      <c r="AW15" s="70" t="e">
        <f t="shared" si="72"/>
        <v>#DIV/0!</v>
      </c>
      <c r="AX15" s="13">
        <v>0</v>
      </c>
      <c r="AY15" s="13">
        <v>0</v>
      </c>
      <c r="AZ15" s="70" t="e">
        <f t="shared" si="73"/>
        <v>#DIV/0!</v>
      </c>
      <c r="BA15" s="13">
        <v>0</v>
      </c>
      <c r="BB15" s="13">
        <v>0</v>
      </c>
      <c r="BC15" s="70" t="e">
        <f t="shared" si="74"/>
        <v>#DIV/0!</v>
      </c>
      <c r="BD15" s="13">
        <v>0</v>
      </c>
      <c r="BE15" s="13">
        <v>0</v>
      </c>
      <c r="BF15" s="70" t="e">
        <f t="shared" si="75"/>
        <v>#DIV/0!</v>
      </c>
      <c r="BG15" s="13">
        <v>0</v>
      </c>
      <c r="BH15" s="13">
        <v>0</v>
      </c>
      <c r="BI15" s="70" t="e">
        <f t="shared" si="76"/>
        <v>#DIV/0!</v>
      </c>
      <c r="BJ15" s="13">
        <v>0</v>
      </c>
      <c r="BK15" s="13">
        <v>0</v>
      </c>
      <c r="BL15" s="70" t="e">
        <f t="shared" si="77"/>
        <v>#DIV/0!</v>
      </c>
      <c r="BM15" s="13">
        <v>0</v>
      </c>
      <c r="BN15" s="13">
        <v>0</v>
      </c>
      <c r="BO15" s="70" t="e">
        <f t="shared" si="78"/>
        <v>#DIV/0!</v>
      </c>
      <c r="BP15" s="13">
        <v>0</v>
      </c>
      <c r="BQ15" s="13">
        <v>0</v>
      </c>
      <c r="BR15" s="70" t="e">
        <f t="shared" si="79"/>
        <v>#DIV/0!</v>
      </c>
      <c r="BS15" s="13">
        <v>0</v>
      </c>
      <c r="BT15" s="13">
        <v>0</v>
      </c>
      <c r="BU15" s="70" t="e">
        <f t="shared" si="80"/>
        <v>#DIV/0!</v>
      </c>
      <c r="BV15" s="13">
        <v>0</v>
      </c>
      <c r="BW15" s="13">
        <v>0</v>
      </c>
      <c r="BX15" s="70" t="e">
        <f t="shared" si="81"/>
        <v>#DIV/0!</v>
      </c>
      <c r="BY15" s="13">
        <v>0</v>
      </c>
      <c r="BZ15" s="13">
        <v>0</v>
      </c>
      <c r="CA15" s="70" t="e">
        <f t="shared" si="82"/>
        <v>#DIV/0!</v>
      </c>
      <c r="CB15" s="13">
        <v>0</v>
      </c>
      <c r="CC15" s="13">
        <v>0</v>
      </c>
      <c r="CD15" s="70" t="e">
        <f t="shared" si="83"/>
        <v>#DIV/0!</v>
      </c>
      <c r="CE15" s="13">
        <v>0</v>
      </c>
      <c r="CF15" s="13">
        <v>0</v>
      </c>
      <c r="CG15" s="74" t="e">
        <f t="shared" si="84"/>
        <v>#DIV/0!</v>
      </c>
      <c r="CH15" s="13">
        <v>0</v>
      </c>
      <c r="CI15" s="13">
        <v>0</v>
      </c>
      <c r="CJ15" s="74" t="e">
        <f t="shared" si="85"/>
        <v>#DIV/0!</v>
      </c>
      <c r="CK15" s="13">
        <v>0</v>
      </c>
      <c r="CL15" s="13">
        <v>0</v>
      </c>
      <c r="CM15" s="74" t="e">
        <f t="shared" si="86"/>
        <v>#DIV/0!</v>
      </c>
      <c r="CN15" s="13">
        <v>0</v>
      </c>
      <c r="CO15" s="13">
        <v>0</v>
      </c>
      <c r="CP15" s="74" t="e">
        <f t="shared" si="87"/>
        <v>#DIV/0!</v>
      </c>
      <c r="CQ15" s="13">
        <v>0</v>
      </c>
      <c r="CR15" s="13">
        <v>0</v>
      </c>
      <c r="CS15" s="70" t="e">
        <f t="shared" si="88"/>
        <v>#DIV/0!</v>
      </c>
      <c r="CT15" s="13">
        <v>0</v>
      </c>
      <c r="CU15" s="13">
        <v>0</v>
      </c>
      <c r="CV15" s="70" t="e">
        <f t="shared" si="89"/>
        <v>#DIV/0!</v>
      </c>
      <c r="CW15" s="13">
        <v>0</v>
      </c>
      <c r="CX15" s="13">
        <v>0</v>
      </c>
      <c r="CY15" s="70" t="e">
        <f t="shared" si="90"/>
        <v>#DIV/0!</v>
      </c>
      <c r="CZ15" s="13">
        <v>0</v>
      </c>
      <c r="DA15" s="13">
        <v>0</v>
      </c>
      <c r="DB15" s="70" t="e">
        <f t="shared" si="91"/>
        <v>#DIV/0!</v>
      </c>
      <c r="DC15" s="13">
        <v>0</v>
      </c>
      <c r="DD15" s="13">
        <v>0</v>
      </c>
      <c r="DE15" s="70" t="e">
        <f t="shared" si="92"/>
        <v>#DIV/0!</v>
      </c>
      <c r="DF15" s="13">
        <v>0</v>
      </c>
      <c r="DG15" s="13">
        <v>0</v>
      </c>
      <c r="DH15" s="70" t="e">
        <f t="shared" si="93"/>
        <v>#DIV/0!</v>
      </c>
      <c r="DI15" s="13">
        <v>0</v>
      </c>
      <c r="DJ15" s="13">
        <v>0</v>
      </c>
      <c r="DK15" s="70" t="e">
        <f t="shared" si="94"/>
        <v>#DIV/0!</v>
      </c>
      <c r="DL15" s="13">
        <v>0</v>
      </c>
      <c r="DM15" s="13">
        <v>0</v>
      </c>
      <c r="DN15" s="70" t="e">
        <f t="shared" si="95"/>
        <v>#DIV/0!</v>
      </c>
      <c r="DO15" s="13">
        <v>0</v>
      </c>
      <c r="DP15" s="13">
        <v>0</v>
      </c>
      <c r="DQ15" s="70" t="e">
        <f t="shared" si="96"/>
        <v>#DIV/0!</v>
      </c>
      <c r="DR15" s="13">
        <v>0</v>
      </c>
      <c r="DS15" s="13">
        <v>0</v>
      </c>
      <c r="DT15" s="70" t="e">
        <f t="shared" si="97"/>
        <v>#DIV/0!</v>
      </c>
      <c r="DU15" s="13">
        <v>0</v>
      </c>
      <c r="DV15" s="13">
        <v>0</v>
      </c>
      <c r="DW15" s="70" t="e">
        <f t="shared" si="98"/>
        <v>#DIV/0!</v>
      </c>
      <c r="DX15" s="13">
        <v>0</v>
      </c>
      <c r="DY15" s="13">
        <v>0</v>
      </c>
      <c r="DZ15" s="70" t="e">
        <f t="shared" si="99"/>
        <v>#DIV/0!</v>
      </c>
      <c r="EA15" s="13">
        <v>0</v>
      </c>
      <c r="EB15" s="13">
        <v>0</v>
      </c>
      <c r="EC15" s="70" t="e">
        <f t="shared" si="100"/>
        <v>#DIV/0!</v>
      </c>
      <c r="ED15" s="13">
        <v>0</v>
      </c>
      <c r="EE15" s="13">
        <v>0</v>
      </c>
      <c r="EF15" s="70" t="e">
        <f t="shared" si="101"/>
        <v>#DIV/0!</v>
      </c>
      <c r="EG15" s="13">
        <v>0</v>
      </c>
      <c r="EH15" s="13">
        <v>0</v>
      </c>
      <c r="EI15" s="70" t="e">
        <f t="shared" si="102"/>
        <v>#DIV/0!</v>
      </c>
      <c r="EJ15" s="13">
        <v>0</v>
      </c>
      <c r="EK15" s="13">
        <v>0</v>
      </c>
      <c r="EL15" s="70" t="e">
        <f t="shared" si="103"/>
        <v>#DIV/0!</v>
      </c>
      <c r="EM15" s="13">
        <v>0</v>
      </c>
      <c r="EN15" s="13">
        <v>0</v>
      </c>
      <c r="EO15" s="70" t="e">
        <f t="shared" si="104"/>
        <v>#DIV/0!</v>
      </c>
      <c r="EP15" s="13">
        <v>0</v>
      </c>
      <c r="EQ15" s="13">
        <v>0</v>
      </c>
      <c r="ER15" s="70" t="e">
        <f t="shared" si="105"/>
        <v>#DIV/0!</v>
      </c>
      <c r="ES15" s="13">
        <v>0</v>
      </c>
      <c r="ET15" s="13">
        <v>0</v>
      </c>
      <c r="EU15" s="70" t="e">
        <f t="shared" si="106"/>
        <v>#DIV/0!</v>
      </c>
      <c r="EV15" s="13">
        <v>0</v>
      </c>
      <c r="EW15" s="13">
        <v>0</v>
      </c>
      <c r="EX15" s="70" t="e">
        <f t="shared" si="107"/>
        <v>#DIV/0!</v>
      </c>
      <c r="EY15" s="13">
        <v>0</v>
      </c>
      <c r="EZ15" s="13">
        <v>0</v>
      </c>
      <c r="FA15" s="70" t="e">
        <f t="shared" si="108"/>
        <v>#DIV/0!</v>
      </c>
      <c r="FB15" s="13">
        <v>0</v>
      </c>
      <c r="FC15" s="13">
        <v>0</v>
      </c>
      <c r="FD15" s="70" t="e">
        <f t="shared" si="109"/>
        <v>#DIV/0!</v>
      </c>
      <c r="FE15" s="13">
        <v>0</v>
      </c>
      <c r="FF15" s="13">
        <v>0</v>
      </c>
      <c r="FG15" s="70" t="e">
        <f t="shared" si="110"/>
        <v>#DIV/0!</v>
      </c>
      <c r="FH15" s="13">
        <v>0</v>
      </c>
      <c r="FI15" s="13">
        <v>0</v>
      </c>
    </row>
    <row r="16" spans="1:165" ht="15.75" x14ac:dyDescent="0.25">
      <c r="A16" s="238"/>
      <c r="B16" s="67" t="s">
        <v>76</v>
      </c>
      <c r="C16" s="65">
        <f>'District Information &amp; Measures'!C28</f>
        <v>0</v>
      </c>
      <c r="D16" s="8" t="e">
        <f t="shared" si="57"/>
        <v>#DIV/0!</v>
      </c>
      <c r="E16" s="76">
        <f t="shared" si="111"/>
        <v>0</v>
      </c>
      <c r="F16" s="76">
        <f t="shared" si="111"/>
        <v>0</v>
      </c>
      <c r="G16" s="70" t="e">
        <f t="shared" si="58"/>
        <v>#DIV/0!</v>
      </c>
      <c r="H16" s="13">
        <v>0</v>
      </c>
      <c r="I16" s="13">
        <v>0</v>
      </c>
      <c r="J16" s="70" t="e">
        <f t="shared" si="59"/>
        <v>#DIV/0!</v>
      </c>
      <c r="K16" s="13">
        <v>0</v>
      </c>
      <c r="L16" s="13">
        <v>0</v>
      </c>
      <c r="M16" s="70" t="e">
        <f t="shared" si="60"/>
        <v>#DIV/0!</v>
      </c>
      <c r="N16" s="13">
        <v>0</v>
      </c>
      <c r="O16" s="13">
        <v>0</v>
      </c>
      <c r="P16" s="70" t="e">
        <f t="shared" si="61"/>
        <v>#DIV/0!</v>
      </c>
      <c r="Q16" s="13">
        <v>0</v>
      </c>
      <c r="R16" s="13">
        <v>0</v>
      </c>
      <c r="S16" s="70" t="e">
        <f t="shared" si="62"/>
        <v>#DIV/0!</v>
      </c>
      <c r="T16" s="13">
        <v>0</v>
      </c>
      <c r="U16" s="13">
        <v>0</v>
      </c>
      <c r="V16" s="70" t="e">
        <f t="shared" si="63"/>
        <v>#DIV/0!</v>
      </c>
      <c r="W16" s="13">
        <v>0</v>
      </c>
      <c r="X16" s="13">
        <v>0</v>
      </c>
      <c r="Y16" s="70" t="e">
        <f t="shared" si="64"/>
        <v>#DIV/0!</v>
      </c>
      <c r="Z16" s="13">
        <v>0</v>
      </c>
      <c r="AA16" s="13">
        <v>0</v>
      </c>
      <c r="AB16" s="70" t="e">
        <f t="shared" si="65"/>
        <v>#DIV/0!</v>
      </c>
      <c r="AC16" s="13">
        <v>0</v>
      </c>
      <c r="AD16" s="13">
        <v>0</v>
      </c>
      <c r="AE16" s="70" t="e">
        <f t="shared" si="66"/>
        <v>#DIV/0!</v>
      </c>
      <c r="AF16" s="13">
        <v>0</v>
      </c>
      <c r="AG16" s="13">
        <v>0</v>
      </c>
      <c r="AH16" s="70" t="e">
        <f t="shared" si="67"/>
        <v>#DIV/0!</v>
      </c>
      <c r="AI16" s="13">
        <v>0</v>
      </c>
      <c r="AJ16" s="13">
        <v>0</v>
      </c>
      <c r="AK16" s="70" t="e">
        <f t="shared" si="68"/>
        <v>#DIV/0!</v>
      </c>
      <c r="AL16" s="13">
        <v>0</v>
      </c>
      <c r="AM16" s="13">
        <v>0</v>
      </c>
      <c r="AN16" s="70" t="e">
        <f t="shared" si="69"/>
        <v>#DIV/0!</v>
      </c>
      <c r="AO16" s="13">
        <v>0</v>
      </c>
      <c r="AP16" s="13">
        <v>0</v>
      </c>
      <c r="AQ16" s="70" t="e">
        <f t="shared" si="70"/>
        <v>#DIV/0!</v>
      </c>
      <c r="AR16" s="13">
        <v>0</v>
      </c>
      <c r="AS16" s="13">
        <v>0</v>
      </c>
      <c r="AT16" s="70" t="e">
        <f t="shared" si="71"/>
        <v>#DIV/0!</v>
      </c>
      <c r="AU16" s="13">
        <v>0</v>
      </c>
      <c r="AV16" s="13">
        <v>0</v>
      </c>
      <c r="AW16" s="70" t="e">
        <f t="shared" si="72"/>
        <v>#DIV/0!</v>
      </c>
      <c r="AX16" s="13">
        <v>0</v>
      </c>
      <c r="AY16" s="13">
        <v>0</v>
      </c>
      <c r="AZ16" s="70" t="e">
        <f t="shared" si="73"/>
        <v>#DIV/0!</v>
      </c>
      <c r="BA16" s="13">
        <v>0</v>
      </c>
      <c r="BB16" s="13">
        <v>0</v>
      </c>
      <c r="BC16" s="70" t="e">
        <f t="shared" si="74"/>
        <v>#DIV/0!</v>
      </c>
      <c r="BD16" s="13">
        <v>0</v>
      </c>
      <c r="BE16" s="13">
        <v>0</v>
      </c>
      <c r="BF16" s="70" t="e">
        <f t="shared" si="75"/>
        <v>#DIV/0!</v>
      </c>
      <c r="BG16" s="13">
        <v>0</v>
      </c>
      <c r="BH16" s="13">
        <v>0</v>
      </c>
      <c r="BI16" s="70" t="e">
        <f t="shared" si="76"/>
        <v>#DIV/0!</v>
      </c>
      <c r="BJ16" s="13">
        <v>0</v>
      </c>
      <c r="BK16" s="13">
        <v>0</v>
      </c>
      <c r="BL16" s="70" t="e">
        <f t="shared" si="77"/>
        <v>#DIV/0!</v>
      </c>
      <c r="BM16" s="13">
        <v>0</v>
      </c>
      <c r="BN16" s="13">
        <v>0</v>
      </c>
      <c r="BO16" s="70" t="e">
        <f t="shared" si="78"/>
        <v>#DIV/0!</v>
      </c>
      <c r="BP16" s="13">
        <v>0</v>
      </c>
      <c r="BQ16" s="13">
        <v>0</v>
      </c>
      <c r="BR16" s="70" t="e">
        <f t="shared" si="79"/>
        <v>#DIV/0!</v>
      </c>
      <c r="BS16" s="13">
        <v>0</v>
      </c>
      <c r="BT16" s="13">
        <v>0</v>
      </c>
      <c r="BU16" s="70" t="e">
        <f t="shared" si="80"/>
        <v>#DIV/0!</v>
      </c>
      <c r="BV16" s="13">
        <v>0</v>
      </c>
      <c r="BW16" s="13">
        <v>0</v>
      </c>
      <c r="BX16" s="70" t="e">
        <f t="shared" si="81"/>
        <v>#DIV/0!</v>
      </c>
      <c r="BY16" s="13">
        <v>0</v>
      </c>
      <c r="BZ16" s="13">
        <v>0</v>
      </c>
      <c r="CA16" s="70" t="e">
        <f t="shared" si="82"/>
        <v>#DIV/0!</v>
      </c>
      <c r="CB16" s="13">
        <v>0</v>
      </c>
      <c r="CC16" s="13">
        <v>0</v>
      </c>
      <c r="CD16" s="70" t="e">
        <f t="shared" si="83"/>
        <v>#DIV/0!</v>
      </c>
      <c r="CE16" s="13">
        <v>0</v>
      </c>
      <c r="CF16" s="13">
        <v>0</v>
      </c>
      <c r="CG16" s="74" t="e">
        <f t="shared" si="84"/>
        <v>#DIV/0!</v>
      </c>
      <c r="CH16" s="13">
        <v>0</v>
      </c>
      <c r="CI16" s="13">
        <v>0</v>
      </c>
      <c r="CJ16" s="74" t="e">
        <f t="shared" si="85"/>
        <v>#DIV/0!</v>
      </c>
      <c r="CK16" s="13">
        <v>0</v>
      </c>
      <c r="CL16" s="13">
        <v>0</v>
      </c>
      <c r="CM16" s="74" t="e">
        <f t="shared" si="86"/>
        <v>#DIV/0!</v>
      </c>
      <c r="CN16" s="13">
        <v>0</v>
      </c>
      <c r="CO16" s="13">
        <v>0</v>
      </c>
      <c r="CP16" s="74" t="e">
        <f t="shared" si="87"/>
        <v>#DIV/0!</v>
      </c>
      <c r="CQ16" s="13">
        <v>0</v>
      </c>
      <c r="CR16" s="13">
        <v>0</v>
      </c>
      <c r="CS16" s="70" t="e">
        <f t="shared" si="88"/>
        <v>#DIV/0!</v>
      </c>
      <c r="CT16" s="13">
        <v>0</v>
      </c>
      <c r="CU16" s="13">
        <v>0</v>
      </c>
      <c r="CV16" s="70" t="e">
        <f t="shared" si="89"/>
        <v>#DIV/0!</v>
      </c>
      <c r="CW16" s="13">
        <v>0</v>
      </c>
      <c r="CX16" s="13">
        <v>0</v>
      </c>
      <c r="CY16" s="70" t="e">
        <f t="shared" si="90"/>
        <v>#DIV/0!</v>
      </c>
      <c r="CZ16" s="13">
        <v>0</v>
      </c>
      <c r="DA16" s="13">
        <v>0</v>
      </c>
      <c r="DB16" s="70" t="e">
        <f t="shared" si="91"/>
        <v>#DIV/0!</v>
      </c>
      <c r="DC16" s="13">
        <v>0</v>
      </c>
      <c r="DD16" s="13">
        <v>0</v>
      </c>
      <c r="DE16" s="70" t="e">
        <f t="shared" si="92"/>
        <v>#DIV/0!</v>
      </c>
      <c r="DF16" s="13">
        <v>0</v>
      </c>
      <c r="DG16" s="13">
        <v>0</v>
      </c>
      <c r="DH16" s="70" t="e">
        <f t="shared" si="93"/>
        <v>#DIV/0!</v>
      </c>
      <c r="DI16" s="13">
        <v>0</v>
      </c>
      <c r="DJ16" s="13">
        <v>0</v>
      </c>
      <c r="DK16" s="70" t="e">
        <f t="shared" si="94"/>
        <v>#DIV/0!</v>
      </c>
      <c r="DL16" s="13">
        <v>0</v>
      </c>
      <c r="DM16" s="13">
        <v>0</v>
      </c>
      <c r="DN16" s="70" t="e">
        <f t="shared" si="95"/>
        <v>#DIV/0!</v>
      </c>
      <c r="DO16" s="13">
        <v>0</v>
      </c>
      <c r="DP16" s="13">
        <v>0</v>
      </c>
      <c r="DQ16" s="70" t="e">
        <f t="shared" si="96"/>
        <v>#DIV/0!</v>
      </c>
      <c r="DR16" s="13">
        <v>0</v>
      </c>
      <c r="DS16" s="13">
        <v>0</v>
      </c>
      <c r="DT16" s="70" t="e">
        <f t="shared" si="97"/>
        <v>#DIV/0!</v>
      </c>
      <c r="DU16" s="13">
        <v>0</v>
      </c>
      <c r="DV16" s="13">
        <v>0</v>
      </c>
      <c r="DW16" s="70" t="e">
        <f t="shared" si="98"/>
        <v>#DIV/0!</v>
      </c>
      <c r="DX16" s="13">
        <v>0</v>
      </c>
      <c r="DY16" s="13">
        <v>0</v>
      </c>
      <c r="DZ16" s="70" t="e">
        <f t="shared" si="99"/>
        <v>#DIV/0!</v>
      </c>
      <c r="EA16" s="13">
        <v>0</v>
      </c>
      <c r="EB16" s="13">
        <v>0</v>
      </c>
      <c r="EC16" s="70" t="e">
        <f t="shared" si="100"/>
        <v>#DIV/0!</v>
      </c>
      <c r="ED16" s="13">
        <v>0</v>
      </c>
      <c r="EE16" s="13">
        <v>0</v>
      </c>
      <c r="EF16" s="70" t="e">
        <f t="shared" si="101"/>
        <v>#DIV/0!</v>
      </c>
      <c r="EG16" s="13">
        <v>0</v>
      </c>
      <c r="EH16" s="13">
        <v>0</v>
      </c>
      <c r="EI16" s="70" t="e">
        <f t="shared" si="102"/>
        <v>#DIV/0!</v>
      </c>
      <c r="EJ16" s="13">
        <v>0</v>
      </c>
      <c r="EK16" s="13">
        <v>0</v>
      </c>
      <c r="EL16" s="70" t="e">
        <f t="shared" si="103"/>
        <v>#DIV/0!</v>
      </c>
      <c r="EM16" s="13">
        <v>0</v>
      </c>
      <c r="EN16" s="13">
        <v>0</v>
      </c>
      <c r="EO16" s="70" t="e">
        <f t="shared" si="104"/>
        <v>#DIV/0!</v>
      </c>
      <c r="EP16" s="13">
        <v>0</v>
      </c>
      <c r="EQ16" s="13">
        <v>0</v>
      </c>
      <c r="ER16" s="70" t="e">
        <f t="shared" si="105"/>
        <v>#DIV/0!</v>
      </c>
      <c r="ES16" s="13">
        <v>0</v>
      </c>
      <c r="ET16" s="13">
        <v>0</v>
      </c>
      <c r="EU16" s="70" t="e">
        <f t="shared" si="106"/>
        <v>#DIV/0!</v>
      </c>
      <c r="EV16" s="13">
        <v>0</v>
      </c>
      <c r="EW16" s="13">
        <v>0</v>
      </c>
      <c r="EX16" s="70" t="e">
        <f t="shared" si="107"/>
        <v>#DIV/0!</v>
      </c>
      <c r="EY16" s="13">
        <v>0</v>
      </c>
      <c r="EZ16" s="13">
        <v>0</v>
      </c>
      <c r="FA16" s="70" t="e">
        <f t="shared" si="108"/>
        <v>#DIV/0!</v>
      </c>
      <c r="FB16" s="13">
        <v>0</v>
      </c>
      <c r="FC16" s="13">
        <v>0</v>
      </c>
      <c r="FD16" s="70" t="e">
        <f t="shared" si="109"/>
        <v>#DIV/0!</v>
      </c>
      <c r="FE16" s="13">
        <v>0</v>
      </c>
      <c r="FF16" s="13">
        <v>0</v>
      </c>
      <c r="FG16" s="70" t="e">
        <f t="shared" si="110"/>
        <v>#DIV/0!</v>
      </c>
      <c r="FH16" s="13">
        <v>0</v>
      </c>
      <c r="FI16" s="13">
        <v>0</v>
      </c>
    </row>
    <row r="17" spans="1:165" s="3" customFormat="1" ht="10.15" x14ac:dyDescent="0.2">
      <c r="A17" s="68"/>
      <c r="B17" s="68"/>
      <c r="C17" s="68"/>
      <c r="D17" s="28"/>
      <c r="E17" s="75"/>
      <c r="F17" s="75"/>
      <c r="G17" s="68"/>
      <c r="H17" s="31"/>
      <c r="I17" s="31"/>
      <c r="J17" s="68"/>
      <c r="K17" s="31"/>
      <c r="L17" s="31"/>
      <c r="M17" s="68"/>
      <c r="N17" s="31"/>
      <c r="O17" s="31"/>
      <c r="P17" s="68"/>
      <c r="Q17" s="31"/>
      <c r="R17" s="31"/>
      <c r="S17" s="68"/>
      <c r="T17" s="31"/>
      <c r="U17" s="31"/>
      <c r="V17" s="68"/>
      <c r="W17" s="31"/>
      <c r="X17" s="31"/>
      <c r="Y17" s="68"/>
      <c r="Z17" s="31"/>
      <c r="AA17" s="31"/>
      <c r="AB17" s="68"/>
      <c r="AC17" s="31"/>
      <c r="AD17" s="31"/>
      <c r="AE17" s="68"/>
      <c r="AF17" s="31"/>
      <c r="AG17" s="31"/>
      <c r="AH17" s="68"/>
      <c r="AI17" s="31"/>
      <c r="AJ17" s="31"/>
      <c r="AK17" s="68"/>
      <c r="AL17" s="31"/>
      <c r="AM17" s="31"/>
      <c r="AN17" s="68"/>
      <c r="AO17" s="31"/>
      <c r="AP17" s="31"/>
      <c r="AQ17" s="68"/>
      <c r="AR17" s="31"/>
      <c r="AS17" s="31"/>
      <c r="AT17" s="68"/>
      <c r="AU17" s="31"/>
      <c r="AV17" s="31"/>
      <c r="AW17" s="68"/>
      <c r="AX17" s="31"/>
      <c r="AY17" s="31"/>
      <c r="AZ17" s="68"/>
      <c r="BA17" s="31"/>
      <c r="BB17" s="31"/>
      <c r="BC17" s="68"/>
      <c r="BD17" s="31"/>
      <c r="BE17" s="31"/>
      <c r="BF17" s="68"/>
      <c r="BG17" s="31"/>
      <c r="BH17" s="31"/>
      <c r="BI17" s="68"/>
      <c r="BJ17" s="31"/>
      <c r="BK17" s="31"/>
      <c r="BL17" s="68"/>
      <c r="BM17" s="31"/>
      <c r="BN17" s="31"/>
      <c r="BO17" s="68"/>
      <c r="BP17" s="31"/>
      <c r="BQ17" s="31"/>
      <c r="BR17" s="68"/>
      <c r="BS17" s="31"/>
      <c r="BT17" s="31"/>
      <c r="BU17" s="68"/>
      <c r="BV17" s="31"/>
      <c r="BW17" s="31"/>
      <c r="BX17" s="68"/>
      <c r="BY17" s="31"/>
      <c r="BZ17" s="31"/>
      <c r="CA17" s="68"/>
      <c r="CB17" s="31"/>
      <c r="CC17" s="31"/>
      <c r="CD17" s="68"/>
      <c r="CE17" s="31"/>
      <c r="CF17" s="31"/>
      <c r="CG17" s="75"/>
      <c r="CH17" s="31"/>
      <c r="CI17" s="31"/>
      <c r="CJ17" s="75"/>
      <c r="CK17" s="31"/>
      <c r="CL17" s="31"/>
      <c r="CM17" s="75"/>
      <c r="CN17" s="31"/>
      <c r="CO17" s="31"/>
      <c r="CP17" s="75"/>
      <c r="CQ17" s="31"/>
      <c r="CR17" s="31"/>
      <c r="CS17" s="68"/>
      <c r="CT17" s="31"/>
      <c r="CU17" s="31"/>
      <c r="CV17" s="68"/>
      <c r="CW17" s="31"/>
      <c r="CX17" s="31"/>
      <c r="CY17" s="68"/>
      <c r="CZ17" s="31"/>
      <c r="DA17" s="31"/>
      <c r="DB17" s="68"/>
      <c r="DC17" s="31"/>
      <c r="DD17" s="31"/>
      <c r="DE17" s="68"/>
      <c r="DF17" s="31"/>
      <c r="DG17" s="31"/>
      <c r="DH17" s="68"/>
      <c r="DI17" s="31"/>
      <c r="DJ17" s="31"/>
      <c r="DK17" s="68"/>
      <c r="DL17" s="31"/>
      <c r="DM17" s="31"/>
      <c r="DN17" s="68"/>
      <c r="DO17" s="31"/>
      <c r="DP17" s="31"/>
      <c r="DQ17" s="68"/>
      <c r="DR17" s="31"/>
      <c r="DS17" s="31"/>
      <c r="DT17" s="68"/>
      <c r="DU17" s="31"/>
      <c r="DV17" s="31"/>
      <c r="DW17" s="68"/>
      <c r="DX17" s="31"/>
      <c r="DY17" s="31"/>
      <c r="DZ17" s="68"/>
      <c r="EA17" s="31"/>
      <c r="EB17" s="31"/>
      <c r="EC17" s="68"/>
      <c r="ED17" s="31"/>
      <c r="EE17" s="31"/>
      <c r="EF17" s="68"/>
      <c r="EG17" s="31"/>
      <c r="EH17" s="31"/>
      <c r="EI17" s="68"/>
      <c r="EJ17" s="31"/>
      <c r="EK17" s="31"/>
      <c r="EL17" s="68"/>
      <c r="EM17" s="31"/>
      <c r="EN17" s="31"/>
      <c r="EO17" s="68"/>
      <c r="EP17" s="31"/>
      <c r="EQ17" s="31"/>
      <c r="ER17" s="68"/>
      <c r="ES17" s="31"/>
      <c r="ET17" s="31"/>
      <c r="EU17" s="68"/>
      <c r="EV17" s="31"/>
      <c r="EW17" s="31"/>
      <c r="EX17" s="68"/>
      <c r="EY17" s="31"/>
      <c r="EZ17" s="31"/>
      <c r="FA17" s="68"/>
      <c r="FB17" s="31"/>
      <c r="FC17" s="31"/>
      <c r="FD17" s="68"/>
      <c r="FE17" s="31"/>
      <c r="FF17" s="31"/>
      <c r="FG17" s="68"/>
      <c r="FH17" s="31"/>
      <c r="FI17" s="31"/>
    </row>
    <row r="18" spans="1:165" ht="15.75" x14ac:dyDescent="0.25">
      <c r="A18" s="236" t="s">
        <v>17</v>
      </c>
      <c r="B18" s="65" t="s">
        <v>102</v>
      </c>
      <c r="C18" s="65">
        <f>'District Information &amp; Measures'!C29</f>
        <v>0</v>
      </c>
      <c r="D18" s="8" t="e">
        <f t="shared" ref="D18:D22" si="112">E18/F18</f>
        <v>#DIV/0!</v>
      </c>
      <c r="E18" s="76">
        <f>SUM(H18,K18,N18,Q18,T18,W18,Z18,AC18,AF18,AI18,AL18,AO18,AR18,AU18,AX18,BA18,BD18,BG18,BJ18,BM18,BP18,BS18,BV18,BY18,CB18,CE18,CH18,CK18,CN18,CQ18,CT18,CW18,CZ18,DC18,DF18,DI18,DL18,DO18,DR18,DU18,DX18,EA18,ED18,EG18,EJ18,EM18,EP18,ES18,EV18,EY18,FB18,FE18,FH18)</f>
        <v>0</v>
      </c>
      <c r="F18" s="76">
        <f>SUM(I18,L18,O18,R18,U18,X18,AA18,AD18,AG18,AJ18,AM18,AP18,AS18,AV18,AY18,BB18,BE18,BH18,BK18,BN18,BQ18,BT18,BW18,BZ18,CC18,CF18,CI18,CL18,CO18,CR18,CU18,CX18,DA18,DD18,DG18,DJ18,DM18,DP18,DS18,DV18,DY18,EB18,EE18,EH18,EK18,EN18,EQ18,ET18,EW18,EZ18,FC18,FF18,FI18)</f>
        <v>0</v>
      </c>
      <c r="G18" s="70" t="e">
        <f t="shared" ref="G18:G22" si="113">H18/I18</f>
        <v>#DIV/0!</v>
      </c>
      <c r="H18" s="13">
        <v>0</v>
      </c>
      <c r="I18" s="13">
        <v>0</v>
      </c>
      <c r="J18" s="70" t="e">
        <f t="shared" ref="J18:J22" si="114">K18/L18</f>
        <v>#DIV/0!</v>
      </c>
      <c r="K18" s="13">
        <v>0</v>
      </c>
      <c r="L18" s="13">
        <v>0</v>
      </c>
      <c r="M18" s="70" t="e">
        <f t="shared" ref="M18:M22" si="115">N18/O18</f>
        <v>#DIV/0!</v>
      </c>
      <c r="N18" s="13">
        <v>0</v>
      </c>
      <c r="O18" s="13">
        <v>0</v>
      </c>
      <c r="P18" s="70" t="e">
        <f t="shared" ref="P18:P22" si="116">Q18/R18</f>
        <v>#DIV/0!</v>
      </c>
      <c r="Q18" s="13">
        <v>0</v>
      </c>
      <c r="R18" s="13">
        <v>0</v>
      </c>
      <c r="S18" s="70" t="e">
        <f t="shared" ref="S18:S22" si="117">T18/U18</f>
        <v>#DIV/0!</v>
      </c>
      <c r="T18" s="13">
        <v>0</v>
      </c>
      <c r="U18" s="13">
        <v>0</v>
      </c>
      <c r="V18" s="70" t="e">
        <f t="shared" ref="V18:V22" si="118">W18/X18</f>
        <v>#DIV/0!</v>
      </c>
      <c r="W18" s="13">
        <v>0</v>
      </c>
      <c r="X18" s="13">
        <v>0</v>
      </c>
      <c r="Y18" s="70" t="e">
        <f t="shared" ref="Y18:Y22" si="119">Z18/AA18</f>
        <v>#DIV/0!</v>
      </c>
      <c r="Z18" s="13">
        <v>0</v>
      </c>
      <c r="AA18" s="13">
        <v>0</v>
      </c>
      <c r="AB18" s="70" t="e">
        <f t="shared" ref="AB18:AB22" si="120">AC18/AD18</f>
        <v>#DIV/0!</v>
      </c>
      <c r="AC18" s="13">
        <v>0</v>
      </c>
      <c r="AD18" s="13">
        <v>0</v>
      </c>
      <c r="AE18" s="70" t="e">
        <f t="shared" ref="AE18:AE22" si="121">AF18/AG18</f>
        <v>#DIV/0!</v>
      </c>
      <c r="AF18" s="13">
        <v>0</v>
      </c>
      <c r="AG18" s="13">
        <v>0</v>
      </c>
      <c r="AH18" s="70" t="e">
        <f t="shared" ref="AH18:AH22" si="122">AI18/AJ18</f>
        <v>#DIV/0!</v>
      </c>
      <c r="AI18" s="13">
        <v>0</v>
      </c>
      <c r="AJ18" s="13">
        <v>0</v>
      </c>
      <c r="AK18" s="70" t="e">
        <f t="shared" ref="AK18:AK22" si="123">AL18/AM18</f>
        <v>#DIV/0!</v>
      </c>
      <c r="AL18" s="13">
        <v>0</v>
      </c>
      <c r="AM18" s="13">
        <v>0</v>
      </c>
      <c r="AN18" s="70" t="e">
        <f t="shared" ref="AN18:AN22" si="124">AO18/AP18</f>
        <v>#DIV/0!</v>
      </c>
      <c r="AO18" s="13">
        <v>0</v>
      </c>
      <c r="AP18" s="13">
        <v>0</v>
      </c>
      <c r="AQ18" s="70" t="e">
        <f t="shared" ref="AQ18:AQ22" si="125">AR18/AS18</f>
        <v>#DIV/0!</v>
      </c>
      <c r="AR18" s="13">
        <v>0</v>
      </c>
      <c r="AS18" s="13">
        <v>0</v>
      </c>
      <c r="AT18" s="70" t="e">
        <f t="shared" ref="AT18:AT22" si="126">AU18/AV18</f>
        <v>#DIV/0!</v>
      </c>
      <c r="AU18" s="13">
        <v>0</v>
      </c>
      <c r="AV18" s="13">
        <v>0</v>
      </c>
      <c r="AW18" s="70" t="e">
        <f t="shared" ref="AW18:AW22" si="127">AX18/AY18</f>
        <v>#DIV/0!</v>
      </c>
      <c r="AX18" s="13">
        <v>0</v>
      </c>
      <c r="AY18" s="13">
        <v>0</v>
      </c>
      <c r="AZ18" s="70" t="e">
        <f t="shared" ref="AZ18:AZ22" si="128">BA18/BB18</f>
        <v>#DIV/0!</v>
      </c>
      <c r="BA18" s="13">
        <v>0</v>
      </c>
      <c r="BB18" s="13">
        <v>0</v>
      </c>
      <c r="BC18" s="70" t="e">
        <f t="shared" ref="BC18:BC22" si="129">BD18/BE18</f>
        <v>#DIV/0!</v>
      </c>
      <c r="BD18" s="13">
        <v>0</v>
      </c>
      <c r="BE18" s="13">
        <v>0</v>
      </c>
      <c r="BF18" s="70" t="e">
        <f t="shared" ref="BF18:BF22" si="130">BG18/BH18</f>
        <v>#DIV/0!</v>
      </c>
      <c r="BG18" s="13">
        <v>0</v>
      </c>
      <c r="BH18" s="13">
        <v>0</v>
      </c>
      <c r="BI18" s="70" t="e">
        <f t="shared" ref="BI18:BI22" si="131">BJ18/BK18</f>
        <v>#DIV/0!</v>
      </c>
      <c r="BJ18" s="13">
        <v>0</v>
      </c>
      <c r="BK18" s="13">
        <v>0</v>
      </c>
      <c r="BL18" s="70" t="e">
        <f t="shared" ref="BL18:BL22" si="132">BM18/BN18</f>
        <v>#DIV/0!</v>
      </c>
      <c r="BM18" s="13">
        <v>0</v>
      </c>
      <c r="BN18" s="13">
        <v>0</v>
      </c>
      <c r="BO18" s="70" t="e">
        <f t="shared" ref="BO18:BO22" si="133">BP18/BQ18</f>
        <v>#DIV/0!</v>
      </c>
      <c r="BP18" s="13">
        <v>0</v>
      </c>
      <c r="BQ18" s="13">
        <v>0</v>
      </c>
      <c r="BR18" s="70" t="e">
        <f t="shared" ref="BR18:BR22" si="134">BS18/BT18</f>
        <v>#DIV/0!</v>
      </c>
      <c r="BS18" s="13">
        <v>0</v>
      </c>
      <c r="BT18" s="13">
        <v>0</v>
      </c>
      <c r="BU18" s="70" t="e">
        <f t="shared" ref="BU18:BU22" si="135">BV18/BW18</f>
        <v>#DIV/0!</v>
      </c>
      <c r="BV18" s="13">
        <v>0</v>
      </c>
      <c r="BW18" s="13">
        <v>0</v>
      </c>
      <c r="BX18" s="70" t="e">
        <f t="shared" ref="BX18:BX22" si="136">BY18/BZ18</f>
        <v>#DIV/0!</v>
      </c>
      <c r="BY18" s="13">
        <v>0</v>
      </c>
      <c r="BZ18" s="13">
        <v>0</v>
      </c>
      <c r="CA18" s="70" t="e">
        <f t="shared" ref="CA18:CA22" si="137">CB18/CC18</f>
        <v>#DIV/0!</v>
      </c>
      <c r="CB18" s="13">
        <v>0</v>
      </c>
      <c r="CC18" s="13">
        <v>0</v>
      </c>
      <c r="CD18" s="70" t="e">
        <f t="shared" ref="CD18:CD22" si="138">CE18/CF18</f>
        <v>#DIV/0!</v>
      </c>
      <c r="CE18" s="13">
        <v>0</v>
      </c>
      <c r="CF18" s="13">
        <v>0</v>
      </c>
      <c r="CG18" s="74" t="e">
        <f t="shared" ref="CG18:CG22" si="139">CH18/CI18</f>
        <v>#DIV/0!</v>
      </c>
      <c r="CH18" s="13">
        <v>0</v>
      </c>
      <c r="CI18" s="13">
        <v>0</v>
      </c>
      <c r="CJ18" s="74" t="e">
        <f t="shared" ref="CJ18:CJ22" si="140">CK18/CL18</f>
        <v>#DIV/0!</v>
      </c>
      <c r="CK18" s="13">
        <v>0</v>
      </c>
      <c r="CL18" s="13">
        <v>0</v>
      </c>
      <c r="CM18" s="74" t="e">
        <f t="shared" ref="CM18:CM22" si="141">CN18/CO18</f>
        <v>#DIV/0!</v>
      </c>
      <c r="CN18" s="13">
        <v>0</v>
      </c>
      <c r="CO18" s="13">
        <v>0</v>
      </c>
      <c r="CP18" s="74" t="e">
        <f t="shared" ref="CP18:CP22" si="142">CQ18/CR18</f>
        <v>#DIV/0!</v>
      </c>
      <c r="CQ18" s="13">
        <v>0</v>
      </c>
      <c r="CR18" s="13">
        <v>0</v>
      </c>
      <c r="CS18" s="70" t="e">
        <f t="shared" ref="CS18:CS22" si="143">CT18/CU18</f>
        <v>#DIV/0!</v>
      </c>
      <c r="CT18" s="13">
        <v>0</v>
      </c>
      <c r="CU18" s="13">
        <v>0</v>
      </c>
      <c r="CV18" s="70" t="e">
        <f t="shared" ref="CV18:CV22" si="144">CW18/CX18</f>
        <v>#DIV/0!</v>
      </c>
      <c r="CW18" s="13">
        <v>0</v>
      </c>
      <c r="CX18" s="13">
        <v>0</v>
      </c>
      <c r="CY18" s="70" t="e">
        <f t="shared" ref="CY18:CY22" si="145">CZ18/DA18</f>
        <v>#DIV/0!</v>
      </c>
      <c r="CZ18" s="13">
        <v>0</v>
      </c>
      <c r="DA18" s="13">
        <v>0</v>
      </c>
      <c r="DB18" s="70" t="e">
        <f t="shared" ref="DB18:DB22" si="146">DC18/DD18</f>
        <v>#DIV/0!</v>
      </c>
      <c r="DC18" s="13">
        <v>0</v>
      </c>
      <c r="DD18" s="13">
        <v>0</v>
      </c>
      <c r="DE18" s="70" t="e">
        <f t="shared" ref="DE18:DE22" si="147">DF18/DG18</f>
        <v>#DIV/0!</v>
      </c>
      <c r="DF18" s="13">
        <v>0</v>
      </c>
      <c r="DG18" s="13">
        <v>0</v>
      </c>
      <c r="DH18" s="70" t="e">
        <f t="shared" ref="DH18:DH22" si="148">DI18/DJ18</f>
        <v>#DIV/0!</v>
      </c>
      <c r="DI18" s="13">
        <v>0</v>
      </c>
      <c r="DJ18" s="13">
        <v>0</v>
      </c>
      <c r="DK18" s="70" t="e">
        <f t="shared" ref="DK18:DK22" si="149">DL18/DM18</f>
        <v>#DIV/0!</v>
      </c>
      <c r="DL18" s="13">
        <v>0</v>
      </c>
      <c r="DM18" s="13">
        <v>0</v>
      </c>
      <c r="DN18" s="70" t="e">
        <f t="shared" ref="DN18:DN22" si="150">DO18/DP18</f>
        <v>#DIV/0!</v>
      </c>
      <c r="DO18" s="13">
        <v>0</v>
      </c>
      <c r="DP18" s="13">
        <v>0</v>
      </c>
      <c r="DQ18" s="70" t="e">
        <f t="shared" ref="DQ18:DQ22" si="151">DR18/DS18</f>
        <v>#DIV/0!</v>
      </c>
      <c r="DR18" s="13">
        <v>0</v>
      </c>
      <c r="DS18" s="13">
        <v>0</v>
      </c>
      <c r="DT18" s="70" t="e">
        <f t="shared" ref="DT18:DT22" si="152">DU18/DV18</f>
        <v>#DIV/0!</v>
      </c>
      <c r="DU18" s="13">
        <v>0</v>
      </c>
      <c r="DV18" s="13">
        <v>0</v>
      </c>
      <c r="DW18" s="70" t="e">
        <f t="shared" ref="DW18:DW22" si="153">DX18/DY18</f>
        <v>#DIV/0!</v>
      </c>
      <c r="DX18" s="13">
        <v>0</v>
      </c>
      <c r="DY18" s="13">
        <v>0</v>
      </c>
      <c r="DZ18" s="70" t="e">
        <f t="shared" ref="DZ18:DZ22" si="154">EA18/EB18</f>
        <v>#DIV/0!</v>
      </c>
      <c r="EA18" s="13">
        <v>0</v>
      </c>
      <c r="EB18" s="13">
        <v>0</v>
      </c>
      <c r="EC18" s="70" t="e">
        <f t="shared" ref="EC18:EC22" si="155">ED18/EE18</f>
        <v>#DIV/0!</v>
      </c>
      <c r="ED18" s="13">
        <v>0</v>
      </c>
      <c r="EE18" s="13">
        <v>0</v>
      </c>
      <c r="EF18" s="70" t="e">
        <f t="shared" ref="EF18:EF22" si="156">EG18/EH18</f>
        <v>#DIV/0!</v>
      </c>
      <c r="EG18" s="13">
        <v>0</v>
      </c>
      <c r="EH18" s="13">
        <v>0</v>
      </c>
      <c r="EI18" s="70" t="e">
        <f t="shared" ref="EI18:EI22" si="157">EJ18/EK18</f>
        <v>#DIV/0!</v>
      </c>
      <c r="EJ18" s="13">
        <v>0</v>
      </c>
      <c r="EK18" s="13">
        <v>0</v>
      </c>
      <c r="EL18" s="70" t="e">
        <f t="shared" ref="EL18:EL22" si="158">EM18/EN18</f>
        <v>#DIV/0!</v>
      </c>
      <c r="EM18" s="13">
        <v>0</v>
      </c>
      <c r="EN18" s="13">
        <v>0</v>
      </c>
      <c r="EO18" s="70" t="e">
        <f t="shared" ref="EO18:EO22" si="159">EP18/EQ18</f>
        <v>#DIV/0!</v>
      </c>
      <c r="EP18" s="13">
        <v>0</v>
      </c>
      <c r="EQ18" s="13">
        <v>0</v>
      </c>
      <c r="ER18" s="70" t="e">
        <f t="shared" ref="ER18:ER22" si="160">ES18/ET18</f>
        <v>#DIV/0!</v>
      </c>
      <c r="ES18" s="13">
        <v>0</v>
      </c>
      <c r="ET18" s="13">
        <v>0</v>
      </c>
      <c r="EU18" s="70" t="e">
        <f t="shared" ref="EU18:EU22" si="161">EV18/EW18</f>
        <v>#DIV/0!</v>
      </c>
      <c r="EV18" s="13">
        <v>0</v>
      </c>
      <c r="EW18" s="13">
        <v>0</v>
      </c>
      <c r="EX18" s="70" t="e">
        <f t="shared" ref="EX18:EX22" si="162">EY18/EZ18</f>
        <v>#DIV/0!</v>
      </c>
      <c r="EY18" s="13">
        <v>0</v>
      </c>
      <c r="EZ18" s="13">
        <v>0</v>
      </c>
      <c r="FA18" s="70" t="e">
        <f t="shared" ref="FA18:FA22" si="163">FB18/FC18</f>
        <v>#DIV/0!</v>
      </c>
      <c r="FB18" s="13">
        <v>0</v>
      </c>
      <c r="FC18" s="13">
        <v>0</v>
      </c>
      <c r="FD18" s="70" t="e">
        <f t="shared" ref="FD18:FD22" si="164">FE18/FF18</f>
        <v>#DIV/0!</v>
      </c>
      <c r="FE18" s="13">
        <v>0</v>
      </c>
      <c r="FF18" s="13">
        <v>0</v>
      </c>
      <c r="FG18" s="70" t="e">
        <f t="shared" ref="FG18:FG22" si="165">FH18/FI18</f>
        <v>#DIV/0!</v>
      </c>
      <c r="FH18" s="13">
        <v>0</v>
      </c>
      <c r="FI18" s="13">
        <v>0</v>
      </c>
    </row>
    <row r="19" spans="1:165" ht="15.75" x14ac:dyDescent="0.25">
      <c r="A19" s="237"/>
      <c r="B19" s="65" t="s">
        <v>26</v>
      </c>
      <c r="C19" s="65">
        <f>'District Information &amp; Measures'!C30</f>
        <v>0</v>
      </c>
      <c r="D19" s="8" t="e">
        <f t="shared" si="112"/>
        <v>#DIV/0!</v>
      </c>
      <c r="E19" s="76">
        <f t="shared" ref="E19:F22" si="166">SUM(H19,K19,N19,Q19,T19,W19,Z19,AC19,AF19,AI19,AL19,AO19,AR19,AU19,AX19,BA19,BD19,BG19,BJ19,BM19,BP19,BS19,BV19,BY19,CB19,CE19,CH19,CK19,CN19,CQ19,CT19,CW19,CZ19,DC19,DF19,DI19,DL19,DO19,DR19,DU19,DX19,EA19,ED19,EG19,EJ19,EM19,EP19,ES19,EV19,EY19,FB19,FE19,FH19)</f>
        <v>0</v>
      </c>
      <c r="F19" s="76">
        <f t="shared" si="166"/>
        <v>0</v>
      </c>
      <c r="G19" s="70" t="e">
        <f t="shared" si="113"/>
        <v>#DIV/0!</v>
      </c>
      <c r="H19" s="13">
        <v>0</v>
      </c>
      <c r="I19" s="13">
        <v>0</v>
      </c>
      <c r="J19" s="70" t="e">
        <f t="shared" si="114"/>
        <v>#DIV/0!</v>
      </c>
      <c r="K19" s="13">
        <v>0</v>
      </c>
      <c r="L19" s="13">
        <v>0</v>
      </c>
      <c r="M19" s="70" t="e">
        <f t="shared" si="115"/>
        <v>#DIV/0!</v>
      </c>
      <c r="N19" s="13">
        <v>0</v>
      </c>
      <c r="O19" s="13">
        <v>0</v>
      </c>
      <c r="P19" s="70" t="e">
        <f t="shared" si="116"/>
        <v>#DIV/0!</v>
      </c>
      <c r="Q19" s="13">
        <v>0</v>
      </c>
      <c r="R19" s="13">
        <v>0</v>
      </c>
      <c r="S19" s="70" t="e">
        <f t="shared" si="117"/>
        <v>#DIV/0!</v>
      </c>
      <c r="T19" s="13">
        <v>0</v>
      </c>
      <c r="U19" s="13">
        <v>0</v>
      </c>
      <c r="V19" s="70" t="e">
        <f t="shared" si="118"/>
        <v>#DIV/0!</v>
      </c>
      <c r="W19" s="13">
        <v>0</v>
      </c>
      <c r="X19" s="13">
        <v>0</v>
      </c>
      <c r="Y19" s="70" t="e">
        <f t="shared" si="119"/>
        <v>#DIV/0!</v>
      </c>
      <c r="Z19" s="13">
        <v>0</v>
      </c>
      <c r="AA19" s="13">
        <v>0</v>
      </c>
      <c r="AB19" s="70" t="e">
        <f t="shared" si="120"/>
        <v>#DIV/0!</v>
      </c>
      <c r="AC19" s="13">
        <v>0</v>
      </c>
      <c r="AD19" s="13">
        <v>0</v>
      </c>
      <c r="AE19" s="70" t="e">
        <f t="shared" si="121"/>
        <v>#DIV/0!</v>
      </c>
      <c r="AF19" s="13">
        <v>0</v>
      </c>
      <c r="AG19" s="13">
        <v>0</v>
      </c>
      <c r="AH19" s="70" t="e">
        <f t="shared" si="122"/>
        <v>#DIV/0!</v>
      </c>
      <c r="AI19" s="13">
        <v>0</v>
      </c>
      <c r="AJ19" s="13">
        <v>0</v>
      </c>
      <c r="AK19" s="70" t="e">
        <f t="shared" si="123"/>
        <v>#DIV/0!</v>
      </c>
      <c r="AL19" s="13">
        <v>0</v>
      </c>
      <c r="AM19" s="13">
        <v>0</v>
      </c>
      <c r="AN19" s="70" t="e">
        <f t="shared" si="124"/>
        <v>#DIV/0!</v>
      </c>
      <c r="AO19" s="13">
        <v>0</v>
      </c>
      <c r="AP19" s="13">
        <v>0</v>
      </c>
      <c r="AQ19" s="70" t="e">
        <f t="shared" si="125"/>
        <v>#DIV/0!</v>
      </c>
      <c r="AR19" s="13">
        <v>0</v>
      </c>
      <c r="AS19" s="13">
        <v>0</v>
      </c>
      <c r="AT19" s="70" t="e">
        <f t="shared" si="126"/>
        <v>#DIV/0!</v>
      </c>
      <c r="AU19" s="13">
        <v>0</v>
      </c>
      <c r="AV19" s="13">
        <v>0</v>
      </c>
      <c r="AW19" s="70" t="e">
        <f t="shared" si="127"/>
        <v>#DIV/0!</v>
      </c>
      <c r="AX19" s="13">
        <v>0</v>
      </c>
      <c r="AY19" s="13">
        <v>0</v>
      </c>
      <c r="AZ19" s="70" t="e">
        <f t="shared" si="128"/>
        <v>#DIV/0!</v>
      </c>
      <c r="BA19" s="13">
        <v>0</v>
      </c>
      <c r="BB19" s="13">
        <v>0</v>
      </c>
      <c r="BC19" s="70" t="e">
        <f t="shared" si="129"/>
        <v>#DIV/0!</v>
      </c>
      <c r="BD19" s="13">
        <v>0</v>
      </c>
      <c r="BE19" s="13">
        <v>0</v>
      </c>
      <c r="BF19" s="70" t="e">
        <f t="shared" si="130"/>
        <v>#DIV/0!</v>
      </c>
      <c r="BG19" s="13">
        <v>0</v>
      </c>
      <c r="BH19" s="13">
        <v>0</v>
      </c>
      <c r="BI19" s="70" t="e">
        <f t="shared" si="131"/>
        <v>#DIV/0!</v>
      </c>
      <c r="BJ19" s="13">
        <v>0</v>
      </c>
      <c r="BK19" s="13">
        <v>0</v>
      </c>
      <c r="BL19" s="70" t="e">
        <f t="shared" si="132"/>
        <v>#DIV/0!</v>
      </c>
      <c r="BM19" s="13">
        <v>0</v>
      </c>
      <c r="BN19" s="13">
        <v>0</v>
      </c>
      <c r="BO19" s="70" t="e">
        <f t="shared" si="133"/>
        <v>#DIV/0!</v>
      </c>
      <c r="BP19" s="13">
        <v>0</v>
      </c>
      <c r="BQ19" s="13">
        <v>0</v>
      </c>
      <c r="BR19" s="70" t="e">
        <f t="shared" si="134"/>
        <v>#DIV/0!</v>
      </c>
      <c r="BS19" s="13">
        <v>0</v>
      </c>
      <c r="BT19" s="13">
        <v>0</v>
      </c>
      <c r="BU19" s="70" t="e">
        <f t="shared" si="135"/>
        <v>#DIV/0!</v>
      </c>
      <c r="BV19" s="13">
        <v>0</v>
      </c>
      <c r="BW19" s="13">
        <v>0</v>
      </c>
      <c r="BX19" s="70" t="e">
        <f t="shared" si="136"/>
        <v>#DIV/0!</v>
      </c>
      <c r="BY19" s="13">
        <v>0</v>
      </c>
      <c r="BZ19" s="13">
        <v>0</v>
      </c>
      <c r="CA19" s="70" t="e">
        <f t="shared" si="137"/>
        <v>#DIV/0!</v>
      </c>
      <c r="CB19" s="13">
        <v>0</v>
      </c>
      <c r="CC19" s="13">
        <v>0</v>
      </c>
      <c r="CD19" s="70" t="e">
        <f t="shared" si="138"/>
        <v>#DIV/0!</v>
      </c>
      <c r="CE19" s="13">
        <v>0</v>
      </c>
      <c r="CF19" s="13">
        <v>0</v>
      </c>
      <c r="CG19" s="74" t="e">
        <f t="shared" si="139"/>
        <v>#DIV/0!</v>
      </c>
      <c r="CH19" s="13">
        <v>0</v>
      </c>
      <c r="CI19" s="13">
        <v>0</v>
      </c>
      <c r="CJ19" s="74" t="e">
        <f t="shared" si="140"/>
        <v>#DIV/0!</v>
      </c>
      <c r="CK19" s="13">
        <v>0</v>
      </c>
      <c r="CL19" s="13">
        <v>0</v>
      </c>
      <c r="CM19" s="74" t="e">
        <f t="shared" si="141"/>
        <v>#DIV/0!</v>
      </c>
      <c r="CN19" s="13">
        <v>0</v>
      </c>
      <c r="CO19" s="13">
        <v>0</v>
      </c>
      <c r="CP19" s="74" t="e">
        <f t="shared" si="142"/>
        <v>#DIV/0!</v>
      </c>
      <c r="CQ19" s="13">
        <v>0</v>
      </c>
      <c r="CR19" s="13">
        <v>0</v>
      </c>
      <c r="CS19" s="70" t="e">
        <f t="shared" si="143"/>
        <v>#DIV/0!</v>
      </c>
      <c r="CT19" s="13">
        <v>0</v>
      </c>
      <c r="CU19" s="13">
        <v>0</v>
      </c>
      <c r="CV19" s="70" t="e">
        <f t="shared" si="144"/>
        <v>#DIV/0!</v>
      </c>
      <c r="CW19" s="13">
        <v>0</v>
      </c>
      <c r="CX19" s="13">
        <v>0</v>
      </c>
      <c r="CY19" s="70" t="e">
        <f t="shared" si="145"/>
        <v>#DIV/0!</v>
      </c>
      <c r="CZ19" s="13">
        <v>0</v>
      </c>
      <c r="DA19" s="13">
        <v>0</v>
      </c>
      <c r="DB19" s="70" t="e">
        <f t="shared" si="146"/>
        <v>#DIV/0!</v>
      </c>
      <c r="DC19" s="13">
        <v>0</v>
      </c>
      <c r="DD19" s="13">
        <v>0</v>
      </c>
      <c r="DE19" s="70" t="e">
        <f t="shared" si="147"/>
        <v>#DIV/0!</v>
      </c>
      <c r="DF19" s="13">
        <v>0</v>
      </c>
      <c r="DG19" s="13">
        <v>0</v>
      </c>
      <c r="DH19" s="70" t="e">
        <f t="shared" si="148"/>
        <v>#DIV/0!</v>
      </c>
      <c r="DI19" s="13">
        <v>0</v>
      </c>
      <c r="DJ19" s="13">
        <v>0</v>
      </c>
      <c r="DK19" s="70" t="e">
        <f t="shared" si="149"/>
        <v>#DIV/0!</v>
      </c>
      <c r="DL19" s="13">
        <v>0</v>
      </c>
      <c r="DM19" s="13">
        <v>0</v>
      </c>
      <c r="DN19" s="70" t="e">
        <f t="shared" si="150"/>
        <v>#DIV/0!</v>
      </c>
      <c r="DO19" s="13">
        <v>0</v>
      </c>
      <c r="DP19" s="13">
        <v>0</v>
      </c>
      <c r="DQ19" s="70" t="e">
        <f t="shared" si="151"/>
        <v>#DIV/0!</v>
      </c>
      <c r="DR19" s="13">
        <v>0</v>
      </c>
      <c r="DS19" s="13">
        <v>0</v>
      </c>
      <c r="DT19" s="70" t="e">
        <f t="shared" si="152"/>
        <v>#DIV/0!</v>
      </c>
      <c r="DU19" s="13">
        <v>0</v>
      </c>
      <c r="DV19" s="13">
        <v>0</v>
      </c>
      <c r="DW19" s="70" t="e">
        <f t="shared" si="153"/>
        <v>#DIV/0!</v>
      </c>
      <c r="DX19" s="13">
        <v>0</v>
      </c>
      <c r="DY19" s="13">
        <v>0</v>
      </c>
      <c r="DZ19" s="70" t="e">
        <f t="shared" si="154"/>
        <v>#DIV/0!</v>
      </c>
      <c r="EA19" s="13">
        <v>0</v>
      </c>
      <c r="EB19" s="13">
        <v>0</v>
      </c>
      <c r="EC19" s="70" t="e">
        <f t="shared" si="155"/>
        <v>#DIV/0!</v>
      </c>
      <c r="ED19" s="13">
        <v>0</v>
      </c>
      <c r="EE19" s="13">
        <v>0</v>
      </c>
      <c r="EF19" s="70" t="e">
        <f t="shared" si="156"/>
        <v>#DIV/0!</v>
      </c>
      <c r="EG19" s="13">
        <v>0</v>
      </c>
      <c r="EH19" s="13">
        <v>0</v>
      </c>
      <c r="EI19" s="70" t="e">
        <f t="shared" si="157"/>
        <v>#DIV/0!</v>
      </c>
      <c r="EJ19" s="13">
        <v>0</v>
      </c>
      <c r="EK19" s="13">
        <v>0</v>
      </c>
      <c r="EL19" s="70" t="e">
        <f t="shared" si="158"/>
        <v>#DIV/0!</v>
      </c>
      <c r="EM19" s="13">
        <v>0</v>
      </c>
      <c r="EN19" s="13">
        <v>0</v>
      </c>
      <c r="EO19" s="70" t="e">
        <f t="shared" si="159"/>
        <v>#DIV/0!</v>
      </c>
      <c r="EP19" s="13">
        <v>0</v>
      </c>
      <c r="EQ19" s="13">
        <v>0</v>
      </c>
      <c r="ER19" s="70" t="e">
        <f t="shared" si="160"/>
        <v>#DIV/0!</v>
      </c>
      <c r="ES19" s="13">
        <v>0</v>
      </c>
      <c r="ET19" s="13">
        <v>0</v>
      </c>
      <c r="EU19" s="70" t="e">
        <f t="shared" si="161"/>
        <v>#DIV/0!</v>
      </c>
      <c r="EV19" s="13">
        <v>0</v>
      </c>
      <c r="EW19" s="13">
        <v>0</v>
      </c>
      <c r="EX19" s="70" t="e">
        <f t="shared" si="162"/>
        <v>#DIV/0!</v>
      </c>
      <c r="EY19" s="13">
        <v>0</v>
      </c>
      <c r="EZ19" s="13">
        <v>0</v>
      </c>
      <c r="FA19" s="70" t="e">
        <f t="shared" si="163"/>
        <v>#DIV/0!</v>
      </c>
      <c r="FB19" s="13">
        <v>0</v>
      </c>
      <c r="FC19" s="13">
        <v>0</v>
      </c>
      <c r="FD19" s="70" t="e">
        <f t="shared" si="164"/>
        <v>#DIV/0!</v>
      </c>
      <c r="FE19" s="13">
        <v>0</v>
      </c>
      <c r="FF19" s="13">
        <v>0</v>
      </c>
      <c r="FG19" s="70" t="e">
        <f t="shared" si="165"/>
        <v>#DIV/0!</v>
      </c>
      <c r="FH19" s="13">
        <v>0</v>
      </c>
      <c r="FI19" s="13">
        <v>0</v>
      </c>
    </row>
    <row r="20" spans="1:165" ht="15.75" x14ac:dyDescent="0.25">
      <c r="A20" s="237"/>
      <c r="B20" s="65" t="s">
        <v>8</v>
      </c>
      <c r="C20" s="65">
        <f>'District Information &amp; Measures'!C31</f>
        <v>0</v>
      </c>
      <c r="D20" s="8" t="e">
        <f t="shared" si="112"/>
        <v>#DIV/0!</v>
      </c>
      <c r="E20" s="76">
        <f t="shared" si="166"/>
        <v>0</v>
      </c>
      <c r="F20" s="76">
        <f t="shared" si="166"/>
        <v>0</v>
      </c>
      <c r="G20" s="70" t="e">
        <f t="shared" si="113"/>
        <v>#DIV/0!</v>
      </c>
      <c r="H20" s="13">
        <v>0</v>
      </c>
      <c r="I20" s="13">
        <v>0</v>
      </c>
      <c r="J20" s="70" t="e">
        <f t="shared" si="114"/>
        <v>#DIV/0!</v>
      </c>
      <c r="K20" s="13">
        <v>0</v>
      </c>
      <c r="L20" s="13">
        <v>0</v>
      </c>
      <c r="M20" s="70" t="e">
        <f t="shared" si="115"/>
        <v>#DIV/0!</v>
      </c>
      <c r="N20" s="13">
        <v>0</v>
      </c>
      <c r="O20" s="13">
        <v>0</v>
      </c>
      <c r="P20" s="70" t="e">
        <f t="shared" si="116"/>
        <v>#DIV/0!</v>
      </c>
      <c r="Q20" s="13">
        <v>0</v>
      </c>
      <c r="R20" s="13">
        <v>0</v>
      </c>
      <c r="S20" s="70" t="e">
        <f t="shared" si="117"/>
        <v>#DIV/0!</v>
      </c>
      <c r="T20" s="13">
        <v>0</v>
      </c>
      <c r="U20" s="13">
        <v>0</v>
      </c>
      <c r="V20" s="70" t="e">
        <f t="shared" si="118"/>
        <v>#DIV/0!</v>
      </c>
      <c r="W20" s="13">
        <v>0</v>
      </c>
      <c r="X20" s="13">
        <v>0</v>
      </c>
      <c r="Y20" s="70" t="e">
        <f t="shared" si="119"/>
        <v>#DIV/0!</v>
      </c>
      <c r="Z20" s="13">
        <v>0</v>
      </c>
      <c r="AA20" s="13">
        <v>0</v>
      </c>
      <c r="AB20" s="70" t="e">
        <f t="shared" si="120"/>
        <v>#DIV/0!</v>
      </c>
      <c r="AC20" s="13">
        <v>0</v>
      </c>
      <c r="AD20" s="13">
        <v>0</v>
      </c>
      <c r="AE20" s="70" t="e">
        <f t="shared" si="121"/>
        <v>#DIV/0!</v>
      </c>
      <c r="AF20" s="13">
        <v>0</v>
      </c>
      <c r="AG20" s="13">
        <v>0</v>
      </c>
      <c r="AH20" s="70" t="e">
        <f t="shared" si="122"/>
        <v>#DIV/0!</v>
      </c>
      <c r="AI20" s="13">
        <v>0</v>
      </c>
      <c r="AJ20" s="13">
        <v>0</v>
      </c>
      <c r="AK20" s="70" t="e">
        <f t="shared" si="123"/>
        <v>#DIV/0!</v>
      </c>
      <c r="AL20" s="13">
        <v>0</v>
      </c>
      <c r="AM20" s="13">
        <v>0</v>
      </c>
      <c r="AN20" s="70" t="e">
        <f t="shared" si="124"/>
        <v>#DIV/0!</v>
      </c>
      <c r="AO20" s="13">
        <v>0</v>
      </c>
      <c r="AP20" s="13">
        <v>0</v>
      </c>
      <c r="AQ20" s="70" t="e">
        <f t="shared" si="125"/>
        <v>#DIV/0!</v>
      </c>
      <c r="AR20" s="13">
        <v>0</v>
      </c>
      <c r="AS20" s="13">
        <v>0</v>
      </c>
      <c r="AT20" s="70" t="e">
        <f t="shared" si="126"/>
        <v>#DIV/0!</v>
      </c>
      <c r="AU20" s="13">
        <v>0</v>
      </c>
      <c r="AV20" s="13">
        <v>0</v>
      </c>
      <c r="AW20" s="70" t="e">
        <f t="shared" si="127"/>
        <v>#DIV/0!</v>
      </c>
      <c r="AX20" s="13">
        <v>0</v>
      </c>
      <c r="AY20" s="13">
        <v>0</v>
      </c>
      <c r="AZ20" s="70" t="e">
        <f t="shared" si="128"/>
        <v>#DIV/0!</v>
      </c>
      <c r="BA20" s="13">
        <v>0</v>
      </c>
      <c r="BB20" s="13">
        <v>0</v>
      </c>
      <c r="BC20" s="70" t="e">
        <f t="shared" si="129"/>
        <v>#DIV/0!</v>
      </c>
      <c r="BD20" s="13">
        <v>0</v>
      </c>
      <c r="BE20" s="13">
        <v>0</v>
      </c>
      <c r="BF20" s="70" t="e">
        <f t="shared" si="130"/>
        <v>#DIV/0!</v>
      </c>
      <c r="BG20" s="13">
        <v>0</v>
      </c>
      <c r="BH20" s="13">
        <v>0</v>
      </c>
      <c r="BI20" s="70" t="e">
        <f t="shared" si="131"/>
        <v>#DIV/0!</v>
      </c>
      <c r="BJ20" s="13">
        <v>0</v>
      </c>
      <c r="BK20" s="13">
        <v>0</v>
      </c>
      <c r="BL20" s="70" t="e">
        <f t="shared" si="132"/>
        <v>#DIV/0!</v>
      </c>
      <c r="BM20" s="13">
        <v>0</v>
      </c>
      <c r="BN20" s="13">
        <v>0</v>
      </c>
      <c r="BO20" s="70" t="e">
        <f t="shared" si="133"/>
        <v>#DIV/0!</v>
      </c>
      <c r="BP20" s="13">
        <v>0</v>
      </c>
      <c r="BQ20" s="13">
        <v>0</v>
      </c>
      <c r="BR20" s="70" t="e">
        <f t="shared" si="134"/>
        <v>#DIV/0!</v>
      </c>
      <c r="BS20" s="13">
        <v>0</v>
      </c>
      <c r="BT20" s="13">
        <v>0</v>
      </c>
      <c r="BU20" s="70" t="e">
        <f t="shared" si="135"/>
        <v>#DIV/0!</v>
      </c>
      <c r="BV20" s="13">
        <v>0</v>
      </c>
      <c r="BW20" s="13">
        <v>0</v>
      </c>
      <c r="BX20" s="70" t="e">
        <f t="shared" si="136"/>
        <v>#DIV/0!</v>
      </c>
      <c r="BY20" s="13">
        <v>0</v>
      </c>
      <c r="BZ20" s="13">
        <v>0</v>
      </c>
      <c r="CA20" s="70" t="e">
        <f t="shared" si="137"/>
        <v>#DIV/0!</v>
      </c>
      <c r="CB20" s="13">
        <v>0</v>
      </c>
      <c r="CC20" s="13">
        <v>0</v>
      </c>
      <c r="CD20" s="70" t="e">
        <f t="shared" si="138"/>
        <v>#DIV/0!</v>
      </c>
      <c r="CE20" s="13">
        <v>0</v>
      </c>
      <c r="CF20" s="13">
        <v>0</v>
      </c>
      <c r="CG20" s="74" t="e">
        <f t="shared" si="139"/>
        <v>#DIV/0!</v>
      </c>
      <c r="CH20" s="13">
        <v>0</v>
      </c>
      <c r="CI20" s="13">
        <v>0</v>
      </c>
      <c r="CJ20" s="74" t="e">
        <f t="shared" si="140"/>
        <v>#DIV/0!</v>
      </c>
      <c r="CK20" s="13">
        <v>0</v>
      </c>
      <c r="CL20" s="13">
        <v>0</v>
      </c>
      <c r="CM20" s="74" t="e">
        <f t="shared" si="141"/>
        <v>#DIV/0!</v>
      </c>
      <c r="CN20" s="13">
        <v>0</v>
      </c>
      <c r="CO20" s="13">
        <v>0</v>
      </c>
      <c r="CP20" s="74" t="e">
        <f t="shared" si="142"/>
        <v>#DIV/0!</v>
      </c>
      <c r="CQ20" s="13">
        <v>0</v>
      </c>
      <c r="CR20" s="13">
        <v>0</v>
      </c>
      <c r="CS20" s="70" t="e">
        <f t="shared" si="143"/>
        <v>#DIV/0!</v>
      </c>
      <c r="CT20" s="13">
        <v>0</v>
      </c>
      <c r="CU20" s="13">
        <v>0</v>
      </c>
      <c r="CV20" s="70" t="e">
        <f t="shared" si="144"/>
        <v>#DIV/0!</v>
      </c>
      <c r="CW20" s="13">
        <v>0</v>
      </c>
      <c r="CX20" s="13">
        <v>0</v>
      </c>
      <c r="CY20" s="70" t="e">
        <f t="shared" si="145"/>
        <v>#DIV/0!</v>
      </c>
      <c r="CZ20" s="13">
        <v>0</v>
      </c>
      <c r="DA20" s="13">
        <v>0</v>
      </c>
      <c r="DB20" s="70" t="e">
        <f t="shared" si="146"/>
        <v>#DIV/0!</v>
      </c>
      <c r="DC20" s="13">
        <v>0</v>
      </c>
      <c r="DD20" s="13">
        <v>0</v>
      </c>
      <c r="DE20" s="70" t="e">
        <f t="shared" si="147"/>
        <v>#DIV/0!</v>
      </c>
      <c r="DF20" s="13">
        <v>0</v>
      </c>
      <c r="DG20" s="13">
        <v>0</v>
      </c>
      <c r="DH20" s="70" t="e">
        <f t="shared" si="148"/>
        <v>#DIV/0!</v>
      </c>
      <c r="DI20" s="13">
        <v>0</v>
      </c>
      <c r="DJ20" s="13">
        <v>0</v>
      </c>
      <c r="DK20" s="70" t="e">
        <f t="shared" si="149"/>
        <v>#DIV/0!</v>
      </c>
      <c r="DL20" s="13">
        <v>0</v>
      </c>
      <c r="DM20" s="13">
        <v>0</v>
      </c>
      <c r="DN20" s="70" t="e">
        <f t="shared" si="150"/>
        <v>#DIV/0!</v>
      </c>
      <c r="DO20" s="13">
        <v>0</v>
      </c>
      <c r="DP20" s="13">
        <v>0</v>
      </c>
      <c r="DQ20" s="70" t="e">
        <f t="shared" si="151"/>
        <v>#DIV/0!</v>
      </c>
      <c r="DR20" s="13">
        <v>0</v>
      </c>
      <c r="DS20" s="13">
        <v>0</v>
      </c>
      <c r="DT20" s="70" t="e">
        <f t="shared" si="152"/>
        <v>#DIV/0!</v>
      </c>
      <c r="DU20" s="13">
        <v>0</v>
      </c>
      <c r="DV20" s="13">
        <v>0</v>
      </c>
      <c r="DW20" s="70" t="e">
        <f t="shared" si="153"/>
        <v>#DIV/0!</v>
      </c>
      <c r="DX20" s="13">
        <v>0</v>
      </c>
      <c r="DY20" s="13">
        <v>0</v>
      </c>
      <c r="DZ20" s="70" t="e">
        <f t="shared" si="154"/>
        <v>#DIV/0!</v>
      </c>
      <c r="EA20" s="13">
        <v>0</v>
      </c>
      <c r="EB20" s="13">
        <v>0</v>
      </c>
      <c r="EC20" s="70" t="e">
        <f t="shared" si="155"/>
        <v>#DIV/0!</v>
      </c>
      <c r="ED20" s="13">
        <v>0</v>
      </c>
      <c r="EE20" s="13">
        <v>0</v>
      </c>
      <c r="EF20" s="70" t="e">
        <f t="shared" si="156"/>
        <v>#DIV/0!</v>
      </c>
      <c r="EG20" s="13">
        <v>0</v>
      </c>
      <c r="EH20" s="13">
        <v>0</v>
      </c>
      <c r="EI20" s="70" t="e">
        <f t="shared" si="157"/>
        <v>#DIV/0!</v>
      </c>
      <c r="EJ20" s="13">
        <v>0</v>
      </c>
      <c r="EK20" s="13">
        <v>0</v>
      </c>
      <c r="EL20" s="70" t="e">
        <f t="shared" si="158"/>
        <v>#DIV/0!</v>
      </c>
      <c r="EM20" s="13">
        <v>0</v>
      </c>
      <c r="EN20" s="13">
        <v>0</v>
      </c>
      <c r="EO20" s="70" t="e">
        <f t="shared" si="159"/>
        <v>#DIV/0!</v>
      </c>
      <c r="EP20" s="13">
        <v>0</v>
      </c>
      <c r="EQ20" s="13">
        <v>0</v>
      </c>
      <c r="ER20" s="70" t="e">
        <f t="shared" si="160"/>
        <v>#DIV/0!</v>
      </c>
      <c r="ES20" s="13">
        <v>0</v>
      </c>
      <c r="ET20" s="13">
        <v>0</v>
      </c>
      <c r="EU20" s="70" t="e">
        <f t="shared" si="161"/>
        <v>#DIV/0!</v>
      </c>
      <c r="EV20" s="13">
        <v>0</v>
      </c>
      <c r="EW20" s="13">
        <v>0</v>
      </c>
      <c r="EX20" s="70" t="e">
        <f t="shared" si="162"/>
        <v>#DIV/0!</v>
      </c>
      <c r="EY20" s="13">
        <v>0</v>
      </c>
      <c r="EZ20" s="13">
        <v>0</v>
      </c>
      <c r="FA20" s="70" t="e">
        <f t="shared" si="163"/>
        <v>#DIV/0!</v>
      </c>
      <c r="FB20" s="13">
        <v>0</v>
      </c>
      <c r="FC20" s="13">
        <v>0</v>
      </c>
      <c r="FD20" s="70" t="e">
        <f t="shared" si="164"/>
        <v>#DIV/0!</v>
      </c>
      <c r="FE20" s="13">
        <v>0</v>
      </c>
      <c r="FF20" s="13">
        <v>0</v>
      </c>
      <c r="FG20" s="70" t="e">
        <f t="shared" si="165"/>
        <v>#DIV/0!</v>
      </c>
      <c r="FH20" s="13">
        <v>0</v>
      </c>
      <c r="FI20" s="13">
        <v>0</v>
      </c>
    </row>
    <row r="21" spans="1:165" ht="15.75" x14ac:dyDescent="0.25">
      <c r="A21" s="237"/>
      <c r="B21" s="66" t="s">
        <v>77</v>
      </c>
      <c r="C21" s="65">
        <f>'District Information &amp; Measures'!C32</f>
        <v>0</v>
      </c>
      <c r="D21" s="8" t="e">
        <f t="shared" si="112"/>
        <v>#DIV/0!</v>
      </c>
      <c r="E21" s="76">
        <f t="shared" si="166"/>
        <v>0</v>
      </c>
      <c r="F21" s="76">
        <f t="shared" si="166"/>
        <v>0</v>
      </c>
      <c r="G21" s="70" t="e">
        <f t="shared" si="113"/>
        <v>#DIV/0!</v>
      </c>
      <c r="H21" s="13">
        <v>0</v>
      </c>
      <c r="I21" s="13">
        <v>0</v>
      </c>
      <c r="J21" s="70" t="e">
        <f t="shared" si="114"/>
        <v>#DIV/0!</v>
      </c>
      <c r="K21" s="13">
        <v>0</v>
      </c>
      <c r="L21" s="13">
        <v>0</v>
      </c>
      <c r="M21" s="70" t="e">
        <f t="shared" si="115"/>
        <v>#DIV/0!</v>
      </c>
      <c r="N21" s="13">
        <v>0</v>
      </c>
      <c r="O21" s="13">
        <v>0</v>
      </c>
      <c r="P21" s="70" t="e">
        <f t="shared" si="116"/>
        <v>#DIV/0!</v>
      </c>
      <c r="Q21" s="13">
        <v>0</v>
      </c>
      <c r="R21" s="13">
        <v>0</v>
      </c>
      <c r="S21" s="70" t="e">
        <f t="shared" si="117"/>
        <v>#DIV/0!</v>
      </c>
      <c r="T21" s="13">
        <v>0</v>
      </c>
      <c r="U21" s="13">
        <v>0</v>
      </c>
      <c r="V21" s="70" t="e">
        <f t="shared" si="118"/>
        <v>#DIV/0!</v>
      </c>
      <c r="W21" s="13">
        <v>0</v>
      </c>
      <c r="X21" s="13">
        <v>0</v>
      </c>
      <c r="Y21" s="70" t="e">
        <f t="shared" si="119"/>
        <v>#DIV/0!</v>
      </c>
      <c r="Z21" s="13">
        <v>0</v>
      </c>
      <c r="AA21" s="13">
        <v>0</v>
      </c>
      <c r="AB21" s="70" t="e">
        <f t="shared" si="120"/>
        <v>#DIV/0!</v>
      </c>
      <c r="AC21" s="13">
        <v>0</v>
      </c>
      <c r="AD21" s="13">
        <v>0</v>
      </c>
      <c r="AE21" s="70" t="e">
        <f t="shared" si="121"/>
        <v>#DIV/0!</v>
      </c>
      <c r="AF21" s="13">
        <v>0</v>
      </c>
      <c r="AG21" s="13">
        <v>0</v>
      </c>
      <c r="AH21" s="70" t="e">
        <f t="shared" si="122"/>
        <v>#DIV/0!</v>
      </c>
      <c r="AI21" s="13">
        <v>0</v>
      </c>
      <c r="AJ21" s="13">
        <v>0</v>
      </c>
      <c r="AK21" s="70" t="e">
        <f t="shared" si="123"/>
        <v>#DIV/0!</v>
      </c>
      <c r="AL21" s="13">
        <v>0</v>
      </c>
      <c r="AM21" s="13">
        <v>0</v>
      </c>
      <c r="AN21" s="70" t="e">
        <f t="shared" si="124"/>
        <v>#DIV/0!</v>
      </c>
      <c r="AO21" s="13">
        <v>0</v>
      </c>
      <c r="AP21" s="13">
        <v>0</v>
      </c>
      <c r="AQ21" s="70" t="e">
        <f t="shared" si="125"/>
        <v>#DIV/0!</v>
      </c>
      <c r="AR21" s="13">
        <v>0</v>
      </c>
      <c r="AS21" s="13">
        <v>0</v>
      </c>
      <c r="AT21" s="70" t="e">
        <f t="shared" si="126"/>
        <v>#DIV/0!</v>
      </c>
      <c r="AU21" s="13">
        <v>0</v>
      </c>
      <c r="AV21" s="13">
        <v>0</v>
      </c>
      <c r="AW21" s="70" t="e">
        <f t="shared" si="127"/>
        <v>#DIV/0!</v>
      </c>
      <c r="AX21" s="13">
        <v>0</v>
      </c>
      <c r="AY21" s="13">
        <v>0</v>
      </c>
      <c r="AZ21" s="70" t="e">
        <f t="shared" si="128"/>
        <v>#DIV/0!</v>
      </c>
      <c r="BA21" s="13">
        <v>0</v>
      </c>
      <c r="BB21" s="13">
        <v>0</v>
      </c>
      <c r="BC21" s="70" t="e">
        <f t="shared" si="129"/>
        <v>#DIV/0!</v>
      </c>
      <c r="BD21" s="13">
        <v>0</v>
      </c>
      <c r="BE21" s="13">
        <v>0</v>
      </c>
      <c r="BF21" s="70" t="e">
        <f t="shared" si="130"/>
        <v>#DIV/0!</v>
      </c>
      <c r="BG21" s="13">
        <v>0</v>
      </c>
      <c r="BH21" s="13">
        <v>0</v>
      </c>
      <c r="BI21" s="70" t="e">
        <f t="shared" si="131"/>
        <v>#DIV/0!</v>
      </c>
      <c r="BJ21" s="13">
        <v>0</v>
      </c>
      <c r="BK21" s="13">
        <v>0</v>
      </c>
      <c r="BL21" s="70" t="e">
        <f t="shared" si="132"/>
        <v>#DIV/0!</v>
      </c>
      <c r="BM21" s="13">
        <v>0</v>
      </c>
      <c r="BN21" s="13">
        <v>0</v>
      </c>
      <c r="BO21" s="70" t="e">
        <f t="shared" si="133"/>
        <v>#DIV/0!</v>
      </c>
      <c r="BP21" s="13">
        <v>0</v>
      </c>
      <c r="BQ21" s="13">
        <v>0</v>
      </c>
      <c r="BR21" s="70" t="e">
        <f t="shared" si="134"/>
        <v>#DIV/0!</v>
      </c>
      <c r="BS21" s="13">
        <v>0</v>
      </c>
      <c r="BT21" s="13">
        <v>0</v>
      </c>
      <c r="BU21" s="70" t="e">
        <f t="shared" si="135"/>
        <v>#DIV/0!</v>
      </c>
      <c r="BV21" s="13">
        <v>0</v>
      </c>
      <c r="BW21" s="13">
        <v>0</v>
      </c>
      <c r="BX21" s="70" t="e">
        <f t="shared" si="136"/>
        <v>#DIV/0!</v>
      </c>
      <c r="BY21" s="13">
        <v>0</v>
      </c>
      <c r="BZ21" s="13">
        <v>0</v>
      </c>
      <c r="CA21" s="70" t="e">
        <f t="shared" si="137"/>
        <v>#DIV/0!</v>
      </c>
      <c r="CB21" s="13">
        <v>0</v>
      </c>
      <c r="CC21" s="13">
        <v>0</v>
      </c>
      <c r="CD21" s="70" t="e">
        <f t="shared" si="138"/>
        <v>#DIV/0!</v>
      </c>
      <c r="CE21" s="13">
        <v>0</v>
      </c>
      <c r="CF21" s="13">
        <v>0</v>
      </c>
      <c r="CG21" s="74" t="e">
        <f t="shared" si="139"/>
        <v>#DIV/0!</v>
      </c>
      <c r="CH21" s="13">
        <v>0</v>
      </c>
      <c r="CI21" s="13">
        <v>0</v>
      </c>
      <c r="CJ21" s="74" t="e">
        <f t="shared" si="140"/>
        <v>#DIV/0!</v>
      </c>
      <c r="CK21" s="13">
        <v>0</v>
      </c>
      <c r="CL21" s="13">
        <v>0</v>
      </c>
      <c r="CM21" s="74" t="e">
        <f t="shared" si="141"/>
        <v>#DIV/0!</v>
      </c>
      <c r="CN21" s="13">
        <v>0</v>
      </c>
      <c r="CO21" s="13">
        <v>0</v>
      </c>
      <c r="CP21" s="74" t="e">
        <f t="shared" si="142"/>
        <v>#DIV/0!</v>
      </c>
      <c r="CQ21" s="13">
        <v>0</v>
      </c>
      <c r="CR21" s="13">
        <v>0</v>
      </c>
      <c r="CS21" s="70" t="e">
        <f t="shared" si="143"/>
        <v>#DIV/0!</v>
      </c>
      <c r="CT21" s="13">
        <v>0</v>
      </c>
      <c r="CU21" s="13">
        <v>0</v>
      </c>
      <c r="CV21" s="70" t="e">
        <f t="shared" si="144"/>
        <v>#DIV/0!</v>
      </c>
      <c r="CW21" s="13">
        <v>0</v>
      </c>
      <c r="CX21" s="13">
        <v>0</v>
      </c>
      <c r="CY21" s="70" t="e">
        <f t="shared" si="145"/>
        <v>#DIV/0!</v>
      </c>
      <c r="CZ21" s="13">
        <v>0</v>
      </c>
      <c r="DA21" s="13">
        <v>0</v>
      </c>
      <c r="DB21" s="70" t="e">
        <f t="shared" si="146"/>
        <v>#DIV/0!</v>
      </c>
      <c r="DC21" s="13">
        <v>0</v>
      </c>
      <c r="DD21" s="13">
        <v>0</v>
      </c>
      <c r="DE21" s="70" t="e">
        <f t="shared" si="147"/>
        <v>#DIV/0!</v>
      </c>
      <c r="DF21" s="13">
        <v>0</v>
      </c>
      <c r="DG21" s="13">
        <v>0</v>
      </c>
      <c r="DH21" s="70" t="e">
        <f t="shared" si="148"/>
        <v>#DIV/0!</v>
      </c>
      <c r="DI21" s="13">
        <v>0</v>
      </c>
      <c r="DJ21" s="13">
        <v>0</v>
      </c>
      <c r="DK21" s="70" t="e">
        <f t="shared" si="149"/>
        <v>#DIV/0!</v>
      </c>
      <c r="DL21" s="13">
        <v>0</v>
      </c>
      <c r="DM21" s="13">
        <v>0</v>
      </c>
      <c r="DN21" s="70" t="e">
        <f t="shared" si="150"/>
        <v>#DIV/0!</v>
      </c>
      <c r="DO21" s="13">
        <v>0</v>
      </c>
      <c r="DP21" s="13">
        <v>0</v>
      </c>
      <c r="DQ21" s="70" t="e">
        <f t="shared" si="151"/>
        <v>#DIV/0!</v>
      </c>
      <c r="DR21" s="13">
        <v>0</v>
      </c>
      <c r="DS21" s="13">
        <v>0</v>
      </c>
      <c r="DT21" s="70" t="e">
        <f t="shared" si="152"/>
        <v>#DIV/0!</v>
      </c>
      <c r="DU21" s="13">
        <v>0</v>
      </c>
      <c r="DV21" s="13">
        <v>0</v>
      </c>
      <c r="DW21" s="70" t="e">
        <f t="shared" si="153"/>
        <v>#DIV/0!</v>
      </c>
      <c r="DX21" s="13">
        <v>0</v>
      </c>
      <c r="DY21" s="13">
        <v>0</v>
      </c>
      <c r="DZ21" s="70" t="e">
        <f t="shared" si="154"/>
        <v>#DIV/0!</v>
      </c>
      <c r="EA21" s="13">
        <v>0</v>
      </c>
      <c r="EB21" s="13">
        <v>0</v>
      </c>
      <c r="EC21" s="70" t="e">
        <f t="shared" si="155"/>
        <v>#DIV/0!</v>
      </c>
      <c r="ED21" s="13">
        <v>0</v>
      </c>
      <c r="EE21" s="13">
        <v>0</v>
      </c>
      <c r="EF21" s="70" t="e">
        <f t="shared" si="156"/>
        <v>#DIV/0!</v>
      </c>
      <c r="EG21" s="13">
        <v>0</v>
      </c>
      <c r="EH21" s="13">
        <v>0</v>
      </c>
      <c r="EI21" s="70" t="e">
        <f t="shared" si="157"/>
        <v>#DIV/0!</v>
      </c>
      <c r="EJ21" s="13">
        <v>0</v>
      </c>
      <c r="EK21" s="13">
        <v>0</v>
      </c>
      <c r="EL21" s="70" t="e">
        <f t="shared" si="158"/>
        <v>#DIV/0!</v>
      </c>
      <c r="EM21" s="13">
        <v>0</v>
      </c>
      <c r="EN21" s="13">
        <v>0</v>
      </c>
      <c r="EO21" s="70" t="e">
        <f t="shared" si="159"/>
        <v>#DIV/0!</v>
      </c>
      <c r="EP21" s="13">
        <v>0</v>
      </c>
      <c r="EQ21" s="13">
        <v>0</v>
      </c>
      <c r="ER21" s="70" t="e">
        <f t="shared" si="160"/>
        <v>#DIV/0!</v>
      </c>
      <c r="ES21" s="13">
        <v>0</v>
      </c>
      <c r="ET21" s="13">
        <v>0</v>
      </c>
      <c r="EU21" s="70" t="e">
        <f t="shared" si="161"/>
        <v>#DIV/0!</v>
      </c>
      <c r="EV21" s="13">
        <v>0</v>
      </c>
      <c r="EW21" s="13">
        <v>0</v>
      </c>
      <c r="EX21" s="70" t="e">
        <f t="shared" si="162"/>
        <v>#DIV/0!</v>
      </c>
      <c r="EY21" s="13">
        <v>0</v>
      </c>
      <c r="EZ21" s="13">
        <v>0</v>
      </c>
      <c r="FA21" s="70" t="e">
        <f t="shared" si="163"/>
        <v>#DIV/0!</v>
      </c>
      <c r="FB21" s="13">
        <v>0</v>
      </c>
      <c r="FC21" s="13">
        <v>0</v>
      </c>
      <c r="FD21" s="70" t="e">
        <f t="shared" si="164"/>
        <v>#DIV/0!</v>
      </c>
      <c r="FE21" s="13">
        <v>0</v>
      </c>
      <c r="FF21" s="13">
        <v>0</v>
      </c>
      <c r="FG21" s="70" t="e">
        <f t="shared" si="165"/>
        <v>#DIV/0!</v>
      </c>
      <c r="FH21" s="13">
        <v>0</v>
      </c>
      <c r="FI21" s="13">
        <v>0</v>
      </c>
    </row>
    <row r="22" spans="1:165" ht="15.75" x14ac:dyDescent="0.25">
      <c r="A22" s="238"/>
      <c r="B22" s="67" t="s">
        <v>78</v>
      </c>
      <c r="C22" s="65">
        <f>'District Information &amp; Measures'!C33</f>
        <v>0</v>
      </c>
      <c r="D22" s="8" t="e">
        <f t="shared" si="112"/>
        <v>#DIV/0!</v>
      </c>
      <c r="E22" s="76">
        <f t="shared" si="166"/>
        <v>0</v>
      </c>
      <c r="F22" s="76">
        <f t="shared" si="166"/>
        <v>0</v>
      </c>
      <c r="G22" s="70" t="e">
        <f t="shared" si="113"/>
        <v>#DIV/0!</v>
      </c>
      <c r="H22" s="13">
        <v>0</v>
      </c>
      <c r="I22" s="13">
        <v>0</v>
      </c>
      <c r="J22" s="70" t="e">
        <f t="shared" si="114"/>
        <v>#DIV/0!</v>
      </c>
      <c r="K22" s="13">
        <v>0</v>
      </c>
      <c r="L22" s="13">
        <v>0</v>
      </c>
      <c r="M22" s="70" t="e">
        <f t="shared" si="115"/>
        <v>#DIV/0!</v>
      </c>
      <c r="N22" s="13">
        <v>0</v>
      </c>
      <c r="O22" s="13">
        <v>0</v>
      </c>
      <c r="P22" s="70" t="e">
        <f t="shared" si="116"/>
        <v>#DIV/0!</v>
      </c>
      <c r="Q22" s="13">
        <v>0</v>
      </c>
      <c r="R22" s="13">
        <v>0</v>
      </c>
      <c r="S22" s="70" t="e">
        <f t="shared" si="117"/>
        <v>#DIV/0!</v>
      </c>
      <c r="T22" s="13">
        <v>0</v>
      </c>
      <c r="U22" s="13">
        <v>0</v>
      </c>
      <c r="V22" s="70" t="e">
        <f t="shared" si="118"/>
        <v>#DIV/0!</v>
      </c>
      <c r="W22" s="13">
        <v>0</v>
      </c>
      <c r="X22" s="13">
        <v>0</v>
      </c>
      <c r="Y22" s="70" t="e">
        <f t="shared" si="119"/>
        <v>#DIV/0!</v>
      </c>
      <c r="Z22" s="13">
        <v>0</v>
      </c>
      <c r="AA22" s="13">
        <v>0</v>
      </c>
      <c r="AB22" s="70" t="e">
        <f t="shared" si="120"/>
        <v>#DIV/0!</v>
      </c>
      <c r="AC22" s="13">
        <v>0</v>
      </c>
      <c r="AD22" s="13">
        <v>0</v>
      </c>
      <c r="AE22" s="70" t="e">
        <f t="shared" si="121"/>
        <v>#DIV/0!</v>
      </c>
      <c r="AF22" s="13">
        <v>0</v>
      </c>
      <c r="AG22" s="13">
        <v>0</v>
      </c>
      <c r="AH22" s="70" t="e">
        <f t="shared" si="122"/>
        <v>#DIV/0!</v>
      </c>
      <c r="AI22" s="13">
        <v>0</v>
      </c>
      <c r="AJ22" s="13">
        <v>0</v>
      </c>
      <c r="AK22" s="70" t="e">
        <f t="shared" si="123"/>
        <v>#DIV/0!</v>
      </c>
      <c r="AL22" s="13">
        <v>0</v>
      </c>
      <c r="AM22" s="13">
        <v>0</v>
      </c>
      <c r="AN22" s="70" t="e">
        <f t="shared" si="124"/>
        <v>#DIV/0!</v>
      </c>
      <c r="AO22" s="13">
        <v>0</v>
      </c>
      <c r="AP22" s="13">
        <v>0</v>
      </c>
      <c r="AQ22" s="70" t="e">
        <f t="shared" si="125"/>
        <v>#DIV/0!</v>
      </c>
      <c r="AR22" s="13">
        <v>0</v>
      </c>
      <c r="AS22" s="13">
        <v>0</v>
      </c>
      <c r="AT22" s="70" t="e">
        <f t="shared" si="126"/>
        <v>#DIV/0!</v>
      </c>
      <c r="AU22" s="13">
        <v>0</v>
      </c>
      <c r="AV22" s="13">
        <v>0</v>
      </c>
      <c r="AW22" s="70" t="e">
        <f t="shared" si="127"/>
        <v>#DIV/0!</v>
      </c>
      <c r="AX22" s="13">
        <v>0</v>
      </c>
      <c r="AY22" s="13">
        <v>0</v>
      </c>
      <c r="AZ22" s="70" t="e">
        <f t="shared" si="128"/>
        <v>#DIV/0!</v>
      </c>
      <c r="BA22" s="13">
        <v>0</v>
      </c>
      <c r="BB22" s="13">
        <v>0</v>
      </c>
      <c r="BC22" s="70" t="e">
        <f t="shared" si="129"/>
        <v>#DIV/0!</v>
      </c>
      <c r="BD22" s="13">
        <v>0</v>
      </c>
      <c r="BE22" s="13">
        <v>0</v>
      </c>
      <c r="BF22" s="70" t="e">
        <f t="shared" si="130"/>
        <v>#DIV/0!</v>
      </c>
      <c r="BG22" s="13">
        <v>0</v>
      </c>
      <c r="BH22" s="13">
        <v>0</v>
      </c>
      <c r="BI22" s="70" t="e">
        <f t="shared" si="131"/>
        <v>#DIV/0!</v>
      </c>
      <c r="BJ22" s="13">
        <v>0</v>
      </c>
      <c r="BK22" s="13">
        <v>0</v>
      </c>
      <c r="BL22" s="70" t="e">
        <f t="shared" si="132"/>
        <v>#DIV/0!</v>
      </c>
      <c r="BM22" s="13">
        <v>0</v>
      </c>
      <c r="BN22" s="13">
        <v>0</v>
      </c>
      <c r="BO22" s="70" t="e">
        <f t="shared" si="133"/>
        <v>#DIV/0!</v>
      </c>
      <c r="BP22" s="13">
        <v>0</v>
      </c>
      <c r="BQ22" s="13">
        <v>0</v>
      </c>
      <c r="BR22" s="70" t="e">
        <f t="shared" si="134"/>
        <v>#DIV/0!</v>
      </c>
      <c r="BS22" s="13">
        <v>0</v>
      </c>
      <c r="BT22" s="13">
        <v>0</v>
      </c>
      <c r="BU22" s="70" t="e">
        <f t="shared" si="135"/>
        <v>#DIV/0!</v>
      </c>
      <c r="BV22" s="13">
        <v>0</v>
      </c>
      <c r="BW22" s="13">
        <v>0</v>
      </c>
      <c r="BX22" s="70" t="e">
        <f t="shared" si="136"/>
        <v>#DIV/0!</v>
      </c>
      <c r="BY22" s="13">
        <v>0</v>
      </c>
      <c r="BZ22" s="13">
        <v>0</v>
      </c>
      <c r="CA22" s="70" t="e">
        <f t="shared" si="137"/>
        <v>#DIV/0!</v>
      </c>
      <c r="CB22" s="13">
        <v>0</v>
      </c>
      <c r="CC22" s="13">
        <v>0</v>
      </c>
      <c r="CD22" s="70" t="e">
        <f t="shared" si="138"/>
        <v>#DIV/0!</v>
      </c>
      <c r="CE22" s="13">
        <v>0</v>
      </c>
      <c r="CF22" s="13">
        <v>0</v>
      </c>
      <c r="CG22" s="74" t="e">
        <f t="shared" si="139"/>
        <v>#DIV/0!</v>
      </c>
      <c r="CH22" s="13">
        <v>0</v>
      </c>
      <c r="CI22" s="13">
        <v>0</v>
      </c>
      <c r="CJ22" s="74" t="e">
        <f t="shared" si="140"/>
        <v>#DIV/0!</v>
      </c>
      <c r="CK22" s="13">
        <v>0</v>
      </c>
      <c r="CL22" s="13">
        <v>0</v>
      </c>
      <c r="CM22" s="74" t="e">
        <f t="shared" si="141"/>
        <v>#DIV/0!</v>
      </c>
      <c r="CN22" s="13">
        <v>0</v>
      </c>
      <c r="CO22" s="13">
        <v>0</v>
      </c>
      <c r="CP22" s="74" t="e">
        <f t="shared" si="142"/>
        <v>#DIV/0!</v>
      </c>
      <c r="CQ22" s="13">
        <v>0</v>
      </c>
      <c r="CR22" s="13">
        <v>0</v>
      </c>
      <c r="CS22" s="70" t="e">
        <f t="shared" si="143"/>
        <v>#DIV/0!</v>
      </c>
      <c r="CT22" s="13">
        <v>0</v>
      </c>
      <c r="CU22" s="13">
        <v>0</v>
      </c>
      <c r="CV22" s="70" t="e">
        <f t="shared" si="144"/>
        <v>#DIV/0!</v>
      </c>
      <c r="CW22" s="13">
        <v>0</v>
      </c>
      <c r="CX22" s="13">
        <v>0</v>
      </c>
      <c r="CY22" s="70" t="e">
        <f t="shared" si="145"/>
        <v>#DIV/0!</v>
      </c>
      <c r="CZ22" s="13">
        <v>0</v>
      </c>
      <c r="DA22" s="13">
        <v>0</v>
      </c>
      <c r="DB22" s="70" t="e">
        <f t="shared" si="146"/>
        <v>#DIV/0!</v>
      </c>
      <c r="DC22" s="13">
        <v>0</v>
      </c>
      <c r="DD22" s="13">
        <v>0</v>
      </c>
      <c r="DE22" s="70" t="e">
        <f t="shared" si="147"/>
        <v>#DIV/0!</v>
      </c>
      <c r="DF22" s="13">
        <v>0</v>
      </c>
      <c r="DG22" s="13">
        <v>0</v>
      </c>
      <c r="DH22" s="70" t="e">
        <f t="shared" si="148"/>
        <v>#DIV/0!</v>
      </c>
      <c r="DI22" s="13">
        <v>0</v>
      </c>
      <c r="DJ22" s="13">
        <v>0</v>
      </c>
      <c r="DK22" s="70" t="e">
        <f t="shared" si="149"/>
        <v>#DIV/0!</v>
      </c>
      <c r="DL22" s="13">
        <v>0</v>
      </c>
      <c r="DM22" s="13">
        <v>0</v>
      </c>
      <c r="DN22" s="70" t="e">
        <f t="shared" si="150"/>
        <v>#DIV/0!</v>
      </c>
      <c r="DO22" s="13">
        <v>0</v>
      </c>
      <c r="DP22" s="13">
        <v>0</v>
      </c>
      <c r="DQ22" s="70" t="e">
        <f t="shared" si="151"/>
        <v>#DIV/0!</v>
      </c>
      <c r="DR22" s="13">
        <v>0</v>
      </c>
      <c r="DS22" s="13">
        <v>0</v>
      </c>
      <c r="DT22" s="70" t="e">
        <f t="shared" si="152"/>
        <v>#DIV/0!</v>
      </c>
      <c r="DU22" s="13">
        <v>0</v>
      </c>
      <c r="DV22" s="13">
        <v>0</v>
      </c>
      <c r="DW22" s="70" t="e">
        <f t="shared" si="153"/>
        <v>#DIV/0!</v>
      </c>
      <c r="DX22" s="13">
        <v>0</v>
      </c>
      <c r="DY22" s="13">
        <v>0</v>
      </c>
      <c r="DZ22" s="70" t="e">
        <f t="shared" si="154"/>
        <v>#DIV/0!</v>
      </c>
      <c r="EA22" s="13">
        <v>0</v>
      </c>
      <c r="EB22" s="13">
        <v>0</v>
      </c>
      <c r="EC22" s="70" t="e">
        <f t="shared" si="155"/>
        <v>#DIV/0!</v>
      </c>
      <c r="ED22" s="13">
        <v>0</v>
      </c>
      <c r="EE22" s="13">
        <v>0</v>
      </c>
      <c r="EF22" s="70" t="e">
        <f t="shared" si="156"/>
        <v>#DIV/0!</v>
      </c>
      <c r="EG22" s="13">
        <v>0</v>
      </c>
      <c r="EH22" s="13">
        <v>0</v>
      </c>
      <c r="EI22" s="70" t="e">
        <f t="shared" si="157"/>
        <v>#DIV/0!</v>
      </c>
      <c r="EJ22" s="13">
        <v>0</v>
      </c>
      <c r="EK22" s="13">
        <v>0</v>
      </c>
      <c r="EL22" s="70" t="e">
        <f t="shared" si="158"/>
        <v>#DIV/0!</v>
      </c>
      <c r="EM22" s="13">
        <v>0</v>
      </c>
      <c r="EN22" s="13">
        <v>0</v>
      </c>
      <c r="EO22" s="70" t="e">
        <f t="shared" si="159"/>
        <v>#DIV/0!</v>
      </c>
      <c r="EP22" s="13">
        <v>0</v>
      </c>
      <c r="EQ22" s="13">
        <v>0</v>
      </c>
      <c r="ER22" s="70" t="e">
        <f t="shared" si="160"/>
        <v>#DIV/0!</v>
      </c>
      <c r="ES22" s="13">
        <v>0</v>
      </c>
      <c r="ET22" s="13">
        <v>0</v>
      </c>
      <c r="EU22" s="70" t="e">
        <f t="shared" si="161"/>
        <v>#DIV/0!</v>
      </c>
      <c r="EV22" s="13">
        <v>0</v>
      </c>
      <c r="EW22" s="13">
        <v>0</v>
      </c>
      <c r="EX22" s="70" t="e">
        <f t="shared" si="162"/>
        <v>#DIV/0!</v>
      </c>
      <c r="EY22" s="13">
        <v>0</v>
      </c>
      <c r="EZ22" s="13">
        <v>0</v>
      </c>
      <c r="FA22" s="70" t="e">
        <f t="shared" si="163"/>
        <v>#DIV/0!</v>
      </c>
      <c r="FB22" s="13">
        <v>0</v>
      </c>
      <c r="FC22" s="13">
        <v>0</v>
      </c>
      <c r="FD22" s="70" t="e">
        <f t="shared" si="164"/>
        <v>#DIV/0!</v>
      </c>
      <c r="FE22" s="13">
        <v>0</v>
      </c>
      <c r="FF22" s="13">
        <v>0</v>
      </c>
      <c r="FG22" s="70" t="e">
        <f t="shared" si="165"/>
        <v>#DIV/0!</v>
      </c>
      <c r="FH22" s="13">
        <v>0</v>
      </c>
      <c r="FI22" s="13">
        <v>0</v>
      </c>
    </row>
    <row r="23" spans="1:165" s="3" customFormat="1" ht="10.15" x14ac:dyDescent="0.2">
      <c r="A23" s="68"/>
      <c r="B23" s="68"/>
      <c r="C23" s="68"/>
      <c r="D23" s="28"/>
      <c r="E23" s="75"/>
      <c r="F23" s="75"/>
      <c r="G23" s="68"/>
      <c r="H23" s="31"/>
      <c r="I23" s="31"/>
      <c r="J23" s="68"/>
      <c r="K23" s="31"/>
      <c r="L23" s="31"/>
      <c r="M23" s="68"/>
      <c r="N23" s="31"/>
      <c r="O23" s="31"/>
      <c r="P23" s="68"/>
      <c r="Q23" s="31"/>
      <c r="R23" s="31"/>
      <c r="S23" s="68"/>
      <c r="T23" s="31"/>
      <c r="U23" s="31"/>
      <c r="V23" s="68"/>
      <c r="W23" s="31"/>
      <c r="X23" s="31"/>
      <c r="Y23" s="68"/>
      <c r="Z23" s="31"/>
      <c r="AA23" s="31"/>
      <c r="AB23" s="68"/>
      <c r="AC23" s="31"/>
      <c r="AD23" s="31"/>
      <c r="AE23" s="68"/>
      <c r="AF23" s="31"/>
      <c r="AG23" s="31"/>
      <c r="AH23" s="68"/>
      <c r="AI23" s="31"/>
      <c r="AJ23" s="31"/>
      <c r="AK23" s="68"/>
      <c r="AL23" s="31"/>
      <c r="AM23" s="31"/>
      <c r="AN23" s="68"/>
      <c r="AO23" s="31"/>
      <c r="AP23" s="31"/>
      <c r="AQ23" s="68"/>
      <c r="AR23" s="31"/>
      <c r="AS23" s="31"/>
      <c r="AT23" s="68"/>
      <c r="AU23" s="31"/>
      <c r="AV23" s="31"/>
      <c r="AW23" s="68"/>
      <c r="AX23" s="31"/>
      <c r="AY23" s="31"/>
      <c r="AZ23" s="68"/>
      <c r="BA23" s="31"/>
      <c r="BB23" s="31"/>
      <c r="BC23" s="68"/>
      <c r="BD23" s="31"/>
      <c r="BE23" s="31"/>
      <c r="BF23" s="68"/>
      <c r="BG23" s="31"/>
      <c r="BH23" s="31"/>
      <c r="BI23" s="68"/>
      <c r="BJ23" s="31"/>
      <c r="BK23" s="31"/>
      <c r="BL23" s="68"/>
      <c r="BM23" s="31"/>
      <c r="BN23" s="31"/>
      <c r="BO23" s="68"/>
      <c r="BP23" s="31"/>
      <c r="BQ23" s="31"/>
      <c r="BR23" s="68"/>
      <c r="BS23" s="31"/>
      <c r="BT23" s="31"/>
      <c r="BU23" s="68"/>
      <c r="BV23" s="31"/>
      <c r="BW23" s="31"/>
      <c r="BX23" s="68"/>
      <c r="BY23" s="31"/>
      <c r="BZ23" s="31"/>
      <c r="CA23" s="68"/>
      <c r="CB23" s="31"/>
      <c r="CC23" s="31"/>
      <c r="CD23" s="68"/>
      <c r="CE23" s="31"/>
      <c r="CF23" s="31"/>
      <c r="CG23" s="75"/>
      <c r="CH23" s="31"/>
      <c r="CI23" s="31"/>
      <c r="CJ23" s="75"/>
      <c r="CK23" s="31"/>
      <c r="CL23" s="31"/>
      <c r="CM23" s="75"/>
      <c r="CN23" s="31"/>
      <c r="CO23" s="31"/>
      <c r="CP23" s="75"/>
      <c r="CQ23" s="31"/>
      <c r="CR23" s="31"/>
      <c r="CS23" s="68"/>
      <c r="CT23" s="31"/>
      <c r="CU23" s="31"/>
      <c r="CV23" s="68"/>
      <c r="CW23" s="31"/>
      <c r="CX23" s="31"/>
      <c r="CY23" s="68"/>
      <c r="CZ23" s="31"/>
      <c r="DA23" s="31"/>
      <c r="DB23" s="68"/>
      <c r="DC23" s="31"/>
      <c r="DD23" s="31"/>
      <c r="DE23" s="68"/>
      <c r="DF23" s="31"/>
      <c r="DG23" s="31"/>
      <c r="DH23" s="68"/>
      <c r="DI23" s="31"/>
      <c r="DJ23" s="31"/>
      <c r="DK23" s="68"/>
      <c r="DL23" s="31"/>
      <c r="DM23" s="31"/>
      <c r="DN23" s="68"/>
      <c r="DO23" s="31"/>
      <c r="DP23" s="31"/>
      <c r="DQ23" s="68"/>
      <c r="DR23" s="31"/>
      <c r="DS23" s="31"/>
      <c r="DT23" s="68"/>
      <c r="DU23" s="31"/>
      <c r="DV23" s="31"/>
      <c r="DW23" s="68"/>
      <c r="DX23" s="31"/>
      <c r="DY23" s="31"/>
      <c r="DZ23" s="68"/>
      <c r="EA23" s="31"/>
      <c r="EB23" s="31"/>
      <c r="EC23" s="68"/>
      <c r="ED23" s="31"/>
      <c r="EE23" s="31"/>
      <c r="EF23" s="68"/>
      <c r="EG23" s="31"/>
      <c r="EH23" s="31"/>
      <c r="EI23" s="68"/>
      <c r="EJ23" s="31"/>
      <c r="EK23" s="31"/>
      <c r="EL23" s="68"/>
      <c r="EM23" s="31"/>
      <c r="EN23" s="31"/>
      <c r="EO23" s="68"/>
      <c r="EP23" s="31"/>
      <c r="EQ23" s="31"/>
      <c r="ER23" s="68"/>
      <c r="ES23" s="31"/>
      <c r="ET23" s="31"/>
      <c r="EU23" s="68"/>
      <c r="EV23" s="31"/>
      <c r="EW23" s="31"/>
      <c r="EX23" s="68"/>
      <c r="EY23" s="31"/>
      <c r="EZ23" s="31"/>
      <c r="FA23" s="68"/>
      <c r="FB23" s="31"/>
      <c r="FC23" s="31"/>
      <c r="FD23" s="68"/>
      <c r="FE23" s="31"/>
      <c r="FF23" s="31"/>
      <c r="FG23" s="68"/>
      <c r="FH23" s="31"/>
      <c r="FI23" s="31"/>
    </row>
    <row r="24" spans="1:165" ht="15.75" x14ac:dyDescent="0.25">
      <c r="A24" s="236" t="s">
        <v>18</v>
      </c>
      <c r="B24" s="69" t="s">
        <v>24</v>
      </c>
      <c r="C24" s="65">
        <f>'District Information &amp; Measures'!C34</f>
        <v>0</v>
      </c>
      <c r="D24" s="8" t="e">
        <f t="shared" ref="D24:D28" si="167">E24/F24</f>
        <v>#DIV/0!</v>
      </c>
      <c r="E24" s="76">
        <f>SUM(H24,K24,N24,Q24,T24,W24,Z24,AC24,AF24,AI24,AL24,AO24,AR24,AU24,AX24,BA24,BD24,BG24,BJ24,BM24,BP24,BS24,BV24,BY24,CB24,CE24,CH24,CK24,CN24,CQ24,CT24,CW24,CZ24,DC24,DF24,DI24,DL24,DO24,DR24,DU24,DX24,EA24,ED24,EG24,EJ24,EM24,EP24,ES24,EV24,EY24,FB24,FE24,FH24)</f>
        <v>0</v>
      </c>
      <c r="F24" s="76">
        <f>SUM(I24,L24,O24,R24,U24,X24,AA24,AD24,AG24,AJ24,AM24,AP24,AS24,AV24,AY24,BB24,BE24,BH24,BK24,BN24,BQ24,BT24,BW24,BZ24,CC24,CF24,CI24,CL24,CO24,CR24,CU24,CX24,DA24,DD24,DG24,DJ24,DM24,DP24,DS24,DV24,DY24,EB24,EE24,EH24,EK24,EN24,EQ24,ET24,EW24,EZ24,FC24,FF24,FI24)</f>
        <v>0</v>
      </c>
      <c r="G24" s="70" t="e">
        <f t="shared" ref="G24:G28" si="168">H24/I24</f>
        <v>#DIV/0!</v>
      </c>
      <c r="H24" s="17">
        <v>0</v>
      </c>
      <c r="I24" s="17">
        <v>0</v>
      </c>
      <c r="J24" s="70" t="e">
        <f t="shared" ref="J24:J28" si="169">K24/L24</f>
        <v>#DIV/0!</v>
      </c>
      <c r="K24" s="17">
        <v>0</v>
      </c>
      <c r="L24" s="17">
        <v>0</v>
      </c>
      <c r="M24" s="70" t="e">
        <f t="shared" ref="M24:M28" si="170">N24/O24</f>
        <v>#DIV/0!</v>
      </c>
      <c r="N24" s="17">
        <v>0</v>
      </c>
      <c r="O24" s="17">
        <v>0</v>
      </c>
      <c r="P24" s="70" t="e">
        <f t="shared" ref="P24:P28" si="171">Q24/R24</f>
        <v>#DIV/0!</v>
      </c>
      <c r="Q24" s="17">
        <v>0</v>
      </c>
      <c r="R24" s="17">
        <v>0</v>
      </c>
      <c r="S24" s="70" t="e">
        <f t="shared" ref="S24:S28" si="172">T24/U24</f>
        <v>#DIV/0!</v>
      </c>
      <c r="T24" s="17">
        <v>0</v>
      </c>
      <c r="U24" s="17">
        <v>0</v>
      </c>
      <c r="V24" s="70" t="e">
        <f t="shared" ref="V24:V28" si="173">W24/X24</f>
        <v>#DIV/0!</v>
      </c>
      <c r="W24" s="17">
        <v>0</v>
      </c>
      <c r="X24" s="17">
        <v>0</v>
      </c>
      <c r="Y24" s="70" t="e">
        <f t="shared" ref="Y24:Y28" si="174">Z24/AA24</f>
        <v>#DIV/0!</v>
      </c>
      <c r="Z24" s="17">
        <v>0</v>
      </c>
      <c r="AA24" s="17">
        <v>0</v>
      </c>
      <c r="AB24" s="70" t="e">
        <f t="shared" ref="AB24:AB28" si="175">AC24/AD24</f>
        <v>#DIV/0!</v>
      </c>
      <c r="AC24" s="17">
        <v>0</v>
      </c>
      <c r="AD24" s="17">
        <v>0</v>
      </c>
      <c r="AE24" s="70" t="e">
        <f t="shared" ref="AE24:AE28" si="176">AF24/AG24</f>
        <v>#DIV/0!</v>
      </c>
      <c r="AF24" s="17">
        <v>0</v>
      </c>
      <c r="AG24" s="17">
        <v>0</v>
      </c>
      <c r="AH24" s="70" t="e">
        <f t="shared" ref="AH24:AH28" si="177">AI24/AJ24</f>
        <v>#DIV/0!</v>
      </c>
      <c r="AI24" s="17">
        <v>0</v>
      </c>
      <c r="AJ24" s="17">
        <v>0</v>
      </c>
      <c r="AK24" s="70" t="e">
        <f t="shared" ref="AK24:AK28" si="178">AL24/AM24</f>
        <v>#DIV/0!</v>
      </c>
      <c r="AL24" s="17">
        <v>0</v>
      </c>
      <c r="AM24" s="17">
        <v>0</v>
      </c>
      <c r="AN24" s="70" t="e">
        <f t="shared" ref="AN24:AN28" si="179">AO24/AP24</f>
        <v>#DIV/0!</v>
      </c>
      <c r="AO24" s="17">
        <v>0</v>
      </c>
      <c r="AP24" s="17">
        <v>0</v>
      </c>
      <c r="AQ24" s="70" t="e">
        <f t="shared" ref="AQ24:AQ28" si="180">AR24/AS24</f>
        <v>#DIV/0!</v>
      </c>
      <c r="AR24" s="17">
        <v>0</v>
      </c>
      <c r="AS24" s="17">
        <v>0</v>
      </c>
      <c r="AT24" s="70" t="e">
        <f t="shared" ref="AT24:AT28" si="181">AU24/AV24</f>
        <v>#DIV/0!</v>
      </c>
      <c r="AU24" s="17">
        <v>0</v>
      </c>
      <c r="AV24" s="17">
        <v>0</v>
      </c>
      <c r="AW24" s="70" t="e">
        <f t="shared" ref="AW24:AW28" si="182">AX24/AY24</f>
        <v>#DIV/0!</v>
      </c>
      <c r="AX24" s="17">
        <v>0</v>
      </c>
      <c r="AY24" s="17">
        <v>0</v>
      </c>
      <c r="AZ24" s="70" t="e">
        <f t="shared" ref="AZ24:AZ28" si="183">BA24/BB24</f>
        <v>#DIV/0!</v>
      </c>
      <c r="BA24" s="17">
        <v>0</v>
      </c>
      <c r="BB24" s="17">
        <v>0</v>
      </c>
      <c r="BC24" s="70" t="e">
        <f t="shared" ref="BC24:BC28" si="184">BD24/BE24</f>
        <v>#DIV/0!</v>
      </c>
      <c r="BD24" s="17">
        <v>0</v>
      </c>
      <c r="BE24" s="17">
        <v>0</v>
      </c>
      <c r="BF24" s="70" t="e">
        <f t="shared" ref="BF24:BF28" si="185">BG24/BH24</f>
        <v>#DIV/0!</v>
      </c>
      <c r="BG24" s="17">
        <v>0</v>
      </c>
      <c r="BH24" s="17">
        <v>0</v>
      </c>
      <c r="BI24" s="70" t="e">
        <f t="shared" ref="BI24:BI28" si="186">BJ24/BK24</f>
        <v>#DIV/0!</v>
      </c>
      <c r="BJ24" s="17">
        <v>0</v>
      </c>
      <c r="BK24" s="17">
        <v>0</v>
      </c>
      <c r="BL24" s="70" t="e">
        <f t="shared" ref="BL24:BL28" si="187">BM24/BN24</f>
        <v>#DIV/0!</v>
      </c>
      <c r="BM24" s="17">
        <v>0</v>
      </c>
      <c r="BN24" s="17">
        <v>0</v>
      </c>
      <c r="BO24" s="70" t="e">
        <f t="shared" ref="BO24:BO28" si="188">BP24/BQ24</f>
        <v>#DIV/0!</v>
      </c>
      <c r="BP24" s="17">
        <v>0</v>
      </c>
      <c r="BQ24" s="17">
        <v>0</v>
      </c>
      <c r="BR24" s="70" t="e">
        <f t="shared" ref="BR24:BR28" si="189">BS24/BT24</f>
        <v>#DIV/0!</v>
      </c>
      <c r="BS24" s="17">
        <v>0</v>
      </c>
      <c r="BT24" s="17">
        <v>0</v>
      </c>
      <c r="BU24" s="70" t="e">
        <f t="shared" ref="BU24:BU28" si="190">BV24/BW24</f>
        <v>#DIV/0!</v>
      </c>
      <c r="BV24" s="17">
        <v>0</v>
      </c>
      <c r="BW24" s="17">
        <v>0</v>
      </c>
      <c r="BX24" s="70" t="e">
        <f t="shared" ref="BX24:BX28" si="191">BY24/BZ24</f>
        <v>#DIV/0!</v>
      </c>
      <c r="BY24" s="17">
        <v>0</v>
      </c>
      <c r="BZ24" s="17">
        <v>0</v>
      </c>
      <c r="CA24" s="70" t="e">
        <f t="shared" ref="CA24:CA28" si="192">CB24/CC24</f>
        <v>#DIV/0!</v>
      </c>
      <c r="CB24" s="17">
        <v>0</v>
      </c>
      <c r="CC24" s="17">
        <v>0</v>
      </c>
      <c r="CD24" s="70" t="e">
        <f t="shared" ref="CD24:CD28" si="193">CE24/CF24</f>
        <v>#DIV/0!</v>
      </c>
      <c r="CE24" s="17">
        <v>0</v>
      </c>
      <c r="CF24" s="17">
        <v>0</v>
      </c>
      <c r="CG24" s="74" t="e">
        <f t="shared" ref="CG24:CG28" si="194">CH24/CI24</f>
        <v>#DIV/0!</v>
      </c>
      <c r="CH24" s="17">
        <v>0</v>
      </c>
      <c r="CI24" s="17">
        <v>0</v>
      </c>
      <c r="CJ24" s="74" t="e">
        <f t="shared" ref="CJ24:CJ28" si="195">CK24/CL24</f>
        <v>#DIV/0!</v>
      </c>
      <c r="CK24" s="17">
        <v>0</v>
      </c>
      <c r="CL24" s="17">
        <v>0</v>
      </c>
      <c r="CM24" s="74" t="e">
        <f t="shared" ref="CM24:CM28" si="196">CN24/CO24</f>
        <v>#DIV/0!</v>
      </c>
      <c r="CN24" s="17">
        <v>0</v>
      </c>
      <c r="CO24" s="17">
        <v>0</v>
      </c>
      <c r="CP24" s="74" t="e">
        <f t="shared" ref="CP24:CP28" si="197">CQ24/CR24</f>
        <v>#DIV/0!</v>
      </c>
      <c r="CQ24" s="17">
        <v>0</v>
      </c>
      <c r="CR24" s="17">
        <v>0</v>
      </c>
      <c r="CS24" s="70" t="e">
        <f t="shared" ref="CS24:CS28" si="198">CT24/CU24</f>
        <v>#DIV/0!</v>
      </c>
      <c r="CT24" s="17">
        <v>0</v>
      </c>
      <c r="CU24" s="17">
        <v>0</v>
      </c>
      <c r="CV24" s="70" t="e">
        <f t="shared" ref="CV24:CV28" si="199">CW24/CX24</f>
        <v>#DIV/0!</v>
      </c>
      <c r="CW24" s="17">
        <v>0</v>
      </c>
      <c r="CX24" s="17">
        <v>0</v>
      </c>
      <c r="CY24" s="70" t="e">
        <f t="shared" ref="CY24:CY28" si="200">CZ24/DA24</f>
        <v>#DIV/0!</v>
      </c>
      <c r="CZ24" s="17">
        <v>0</v>
      </c>
      <c r="DA24" s="17">
        <v>0</v>
      </c>
      <c r="DB24" s="70" t="e">
        <f t="shared" ref="DB24:DB28" si="201">DC24/DD24</f>
        <v>#DIV/0!</v>
      </c>
      <c r="DC24" s="17">
        <v>0</v>
      </c>
      <c r="DD24" s="17">
        <v>0</v>
      </c>
      <c r="DE24" s="70" t="e">
        <f t="shared" ref="DE24:DE28" si="202">DF24/DG24</f>
        <v>#DIV/0!</v>
      </c>
      <c r="DF24" s="17">
        <v>0</v>
      </c>
      <c r="DG24" s="17">
        <v>0</v>
      </c>
      <c r="DH24" s="70" t="e">
        <f t="shared" ref="DH24:DH28" si="203">DI24/DJ24</f>
        <v>#DIV/0!</v>
      </c>
      <c r="DI24" s="17">
        <v>0</v>
      </c>
      <c r="DJ24" s="17">
        <v>0</v>
      </c>
      <c r="DK24" s="70" t="e">
        <f t="shared" ref="DK24:DK28" si="204">DL24/DM24</f>
        <v>#DIV/0!</v>
      </c>
      <c r="DL24" s="17">
        <v>0</v>
      </c>
      <c r="DM24" s="17">
        <v>0</v>
      </c>
      <c r="DN24" s="70" t="e">
        <f t="shared" ref="DN24:DN28" si="205">DO24/DP24</f>
        <v>#DIV/0!</v>
      </c>
      <c r="DO24" s="17">
        <v>0</v>
      </c>
      <c r="DP24" s="17">
        <v>0</v>
      </c>
      <c r="DQ24" s="70" t="e">
        <f t="shared" ref="DQ24:DQ28" si="206">DR24/DS24</f>
        <v>#DIV/0!</v>
      </c>
      <c r="DR24" s="17">
        <v>0</v>
      </c>
      <c r="DS24" s="17">
        <v>0</v>
      </c>
      <c r="DT24" s="70" t="e">
        <f t="shared" ref="DT24:DT28" si="207">DU24/DV24</f>
        <v>#DIV/0!</v>
      </c>
      <c r="DU24" s="17">
        <v>0</v>
      </c>
      <c r="DV24" s="17">
        <v>0</v>
      </c>
      <c r="DW24" s="70" t="e">
        <f t="shared" ref="DW24:DW28" si="208">DX24/DY24</f>
        <v>#DIV/0!</v>
      </c>
      <c r="DX24" s="17">
        <v>0</v>
      </c>
      <c r="DY24" s="17">
        <v>0</v>
      </c>
      <c r="DZ24" s="70" t="e">
        <f t="shared" ref="DZ24:DZ28" si="209">EA24/EB24</f>
        <v>#DIV/0!</v>
      </c>
      <c r="EA24" s="17">
        <v>0</v>
      </c>
      <c r="EB24" s="17">
        <v>0</v>
      </c>
      <c r="EC24" s="70" t="e">
        <f t="shared" ref="EC24:EC28" si="210">ED24/EE24</f>
        <v>#DIV/0!</v>
      </c>
      <c r="ED24" s="17">
        <v>0</v>
      </c>
      <c r="EE24" s="17">
        <v>0</v>
      </c>
      <c r="EF24" s="70" t="e">
        <f t="shared" ref="EF24:EF28" si="211">EG24/EH24</f>
        <v>#DIV/0!</v>
      </c>
      <c r="EG24" s="17">
        <v>0</v>
      </c>
      <c r="EH24" s="17">
        <v>0</v>
      </c>
      <c r="EI24" s="70" t="e">
        <f t="shared" ref="EI24:EI28" si="212">EJ24/EK24</f>
        <v>#DIV/0!</v>
      </c>
      <c r="EJ24" s="17">
        <v>0</v>
      </c>
      <c r="EK24" s="17">
        <v>0</v>
      </c>
      <c r="EL24" s="70" t="e">
        <f t="shared" ref="EL24:EL28" si="213">EM24/EN24</f>
        <v>#DIV/0!</v>
      </c>
      <c r="EM24" s="17">
        <v>0</v>
      </c>
      <c r="EN24" s="17">
        <v>0</v>
      </c>
      <c r="EO24" s="70" t="e">
        <f t="shared" ref="EO24:EO28" si="214">EP24/EQ24</f>
        <v>#DIV/0!</v>
      </c>
      <c r="EP24" s="17">
        <v>0</v>
      </c>
      <c r="EQ24" s="17">
        <v>0</v>
      </c>
      <c r="ER24" s="70" t="e">
        <f t="shared" ref="ER24:ER28" si="215">ES24/ET24</f>
        <v>#DIV/0!</v>
      </c>
      <c r="ES24" s="17">
        <v>0</v>
      </c>
      <c r="ET24" s="17">
        <v>0</v>
      </c>
      <c r="EU24" s="70" t="e">
        <f t="shared" ref="EU24:EU28" si="216">EV24/EW24</f>
        <v>#DIV/0!</v>
      </c>
      <c r="EV24" s="17">
        <v>0</v>
      </c>
      <c r="EW24" s="17">
        <v>0</v>
      </c>
      <c r="EX24" s="70" t="e">
        <f t="shared" ref="EX24:EX28" si="217">EY24/EZ24</f>
        <v>#DIV/0!</v>
      </c>
      <c r="EY24" s="17">
        <v>0</v>
      </c>
      <c r="EZ24" s="17">
        <v>0</v>
      </c>
      <c r="FA24" s="70" t="e">
        <f t="shared" ref="FA24:FA28" si="218">FB24/FC24</f>
        <v>#DIV/0!</v>
      </c>
      <c r="FB24" s="17">
        <v>0</v>
      </c>
      <c r="FC24" s="17">
        <v>0</v>
      </c>
      <c r="FD24" s="70" t="e">
        <f t="shared" ref="FD24:FD28" si="219">FE24/FF24</f>
        <v>#DIV/0!</v>
      </c>
      <c r="FE24" s="17">
        <v>0</v>
      </c>
      <c r="FF24" s="17">
        <v>0</v>
      </c>
      <c r="FG24" s="70" t="e">
        <f t="shared" ref="FG24:FG28" si="220">FH24/FI24</f>
        <v>#DIV/0!</v>
      </c>
      <c r="FH24" s="17">
        <v>0</v>
      </c>
      <c r="FI24" s="17">
        <v>0</v>
      </c>
    </row>
    <row r="25" spans="1:165" ht="15.75" x14ac:dyDescent="0.25">
      <c r="A25" s="237"/>
      <c r="B25" s="65" t="s">
        <v>25</v>
      </c>
      <c r="C25" s="65">
        <f>'District Information &amp; Measures'!C35</f>
        <v>0</v>
      </c>
      <c r="D25" s="8" t="e">
        <f t="shared" si="167"/>
        <v>#DIV/0!</v>
      </c>
      <c r="E25" s="76">
        <f t="shared" ref="E25:F28" si="221">SUM(H25,K25,N25,Q25,T25,W25,Z25,AC25,AF25,AI25,AL25,AO25,AR25,AU25,AX25,BA25,BD25,BG25,BJ25,BM25,BP25,BS25,BV25,BY25,CB25,CE25,CH25,CK25,CN25,CQ25,CT25,CW25,CZ25,DC25,DF25,DI25,DL25,DO25,DR25,DU25,DX25,EA25,ED25,EG25,EJ25,EM25,EP25,ES25,EV25,EY25,FB25,FE25,FH25)</f>
        <v>0</v>
      </c>
      <c r="F25" s="76">
        <f t="shared" si="221"/>
        <v>0</v>
      </c>
      <c r="G25" s="70" t="e">
        <f t="shared" si="168"/>
        <v>#DIV/0!</v>
      </c>
      <c r="H25" s="13">
        <v>0</v>
      </c>
      <c r="I25" s="13">
        <v>0</v>
      </c>
      <c r="J25" s="70" t="e">
        <f t="shared" si="169"/>
        <v>#DIV/0!</v>
      </c>
      <c r="K25" s="13">
        <v>0</v>
      </c>
      <c r="L25" s="13">
        <v>0</v>
      </c>
      <c r="M25" s="70" t="e">
        <f t="shared" si="170"/>
        <v>#DIV/0!</v>
      </c>
      <c r="N25" s="13">
        <v>0</v>
      </c>
      <c r="O25" s="13">
        <v>0</v>
      </c>
      <c r="P25" s="70" t="e">
        <f t="shared" si="171"/>
        <v>#DIV/0!</v>
      </c>
      <c r="Q25" s="13">
        <v>0</v>
      </c>
      <c r="R25" s="13">
        <v>0</v>
      </c>
      <c r="S25" s="70" t="e">
        <f t="shared" si="172"/>
        <v>#DIV/0!</v>
      </c>
      <c r="T25" s="13">
        <v>0</v>
      </c>
      <c r="U25" s="13">
        <v>0</v>
      </c>
      <c r="V25" s="70" t="e">
        <f t="shared" si="173"/>
        <v>#DIV/0!</v>
      </c>
      <c r="W25" s="13">
        <v>0</v>
      </c>
      <c r="X25" s="13">
        <v>0</v>
      </c>
      <c r="Y25" s="70" t="e">
        <f t="shared" si="174"/>
        <v>#DIV/0!</v>
      </c>
      <c r="Z25" s="13">
        <v>0</v>
      </c>
      <c r="AA25" s="13">
        <v>0</v>
      </c>
      <c r="AB25" s="70" t="e">
        <f t="shared" si="175"/>
        <v>#DIV/0!</v>
      </c>
      <c r="AC25" s="13">
        <v>0</v>
      </c>
      <c r="AD25" s="13">
        <v>0</v>
      </c>
      <c r="AE25" s="70" t="e">
        <f t="shared" si="176"/>
        <v>#DIV/0!</v>
      </c>
      <c r="AF25" s="13">
        <v>0</v>
      </c>
      <c r="AG25" s="13">
        <v>0</v>
      </c>
      <c r="AH25" s="70" t="e">
        <f t="shared" si="177"/>
        <v>#DIV/0!</v>
      </c>
      <c r="AI25" s="13">
        <v>0</v>
      </c>
      <c r="AJ25" s="13">
        <v>0</v>
      </c>
      <c r="AK25" s="70" t="e">
        <f t="shared" si="178"/>
        <v>#DIV/0!</v>
      </c>
      <c r="AL25" s="13">
        <v>0</v>
      </c>
      <c r="AM25" s="13">
        <v>0</v>
      </c>
      <c r="AN25" s="70" t="e">
        <f t="shared" si="179"/>
        <v>#DIV/0!</v>
      </c>
      <c r="AO25" s="13">
        <v>0</v>
      </c>
      <c r="AP25" s="13">
        <v>0</v>
      </c>
      <c r="AQ25" s="70" t="e">
        <f t="shared" si="180"/>
        <v>#DIV/0!</v>
      </c>
      <c r="AR25" s="13">
        <v>0</v>
      </c>
      <c r="AS25" s="13">
        <v>0</v>
      </c>
      <c r="AT25" s="70" t="e">
        <f t="shared" si="181"/>
        <v>#DIV/0!</v>
      </c>
      <c r="AU25" s="13">
        <v>0</v>
      </c>
      <c r="AV25" s="13">
        <v>0</v>
      </c>
      <c r="AW25" s="70" t="e">
        <f t="shared" si="182"/>
        <v>#DIV/0!</v>
      </c>
      <c r="AX25" s="13">
        <v>0</v>
      </c>
      <c r="AY25" s="13">
        <v>0</v>
      </c>
      <c r="AZ25" s="70" t="e">
        <f t="shared" si="183"/>
        <v>#DIV/0!</v>
      </c>
      <c r="BA25" s="13">
        <v>0</v>
      </c>
      <c r="BB25" s="13">
        <v>0</v>
      </c>
      <c r="BC25" s="70" t="e">
        <f t="shared" si="184"/>
        <v>#DIV/0!</v>
      </c>
      <c r="BD25" s="13">
        <v>0</v>
      </c>
      <c r="BE25" s="13">
        <v>0</v>
      </c>
      <c r="BF25" s="70" t="e">
        <f t="shared" si="185"/>
        <v>#DIV/0!</v>
      </c>
      <c r="BG25" s="13">
        <v>0</v>
      </c>
      <c r="BH25" s="13">
        <v>0</v>
      </c>
      <c r="BI25" s="70" t="e">
        <f t="shared" si="186"/>
        <v>#DIV/0!</v>
      </c>
      <c r="BJ25" s="13">
        <v>0</v>
      </c>
      <c r="BK25" s="13">
        <v>0</v>
      </c>
      <c r="BL25" s="70" t="e">
        <f t="shared" si="187"/>
        <v>#DIV/0!</v>
      </c>
      <c r="BM25" s="13">
        <v>0</v>
      </c>
      <c r="BN25" s="13">
        <v>0</v>
      </c>
      <c r="BO25" s="70" t="e">
        <f t="shared" si="188"/>
        <v>#DIV/0!</v>
      </c>
      <c r="BP25" s="13">
        <v>0</v>
      </c>
      <c r="BQ25" s="13">
        <v>0</v>
      </c>
      <c r="BR25" s="70" t="e">
        <f t="shared" si="189"/>
        <v>#DIV/0!</v>
      </c>
      <c r="BS25" s="13">
        <v>0</v>
      </c>
      <c r="BT25" s="13">
        <v>0</v>
      </c>
      <c r="BU25" s="70" t="e">
        <f t="shared" si="190"/>
        <v>#DIV/0!</v>
      </c>
      <c r="BV25" s="13">
        <v>0</v>
      </c>
      <c r="BW25" s="13">
        <v>0</v>
      </c>
      <c r="BX25" s="70" t="e">
        <f t="shared" si="191"/>
        <v>#DIV/0!</v>
      </c>
      <c r="BY25" s="13">
        <v>0</v>
      </c>
      <c r="BZ25" s="13">
        <v>0</v>
      </c>
      <c r="CA25" s="70" t="e">
        <f t="shared" si="192"/>
        <v>#DIV/0!</v>
      </c>
      <c r="CB25" s="13">
        <v>0</v>
      </c>
      <c r="CC25" s="13">
        <v>0</v>
      </c>
      <c r="CD25" s="70" t="e">
        <f t="shared" si="193"/>
        <v>#DIV/0!</v>
      </c>
      <c r="CE25" s="13">
        <v>0</v>
      </c>
      <c r="CF25" s="13">
        <v>0</v>
      </c>
      <c r="CG25" s="74" t="e">
        <f t="shared" si="194"/>
        <v>#DIV/0!</v>
      </c>
      <c r="CH25" s="13">
        <v>0</v>
      </c>
      <c r="CI25" s="13">
        <v>0</v>
      </c>
      <c r="CJ25" s="74" t="e">
        <f t="shared" si="195"/>
        <v>#DIV/0!</v>
      </c>
      <c r="CK25" s="13">
        <v>0</v>
      </c>
      <c r="CL25" s="13">
        <v>0</v>
      </c>
      <c r="CM25" s="74" t="e">
        <f t="shared" si="196"/>
        <v>#DIV/0!</v>
      </c>
      <c r="CN25" s="13">
        <v>0</v>
      </c>
      <c r="CO25" s="13">
        <v>0</v>
      </c>
      <c r="CP25" s="74" t="e">
        <f t="shared" si="197"/>
        <v>#DIV/0!</v>
      </c>
      <c r="CQ25" s="13">
        <v>0</v>
      </c>
      <c r="CR25" s="13">
        <v>0</v>
      </c>
      <c r="CS25" s="70" t="e">
        <f t="shared" si="198"/>
        <v>#DIV/0!</v>
      </c>
      <c r="CT25" s="13">
        <v>0</v>
      </c>
      <c r="CU25" s="13">
        <v>0</v>
      </c>
      <c r="CV25" s="70" t="e">
        <f t="shared" si="199"/>
        <v>#DIV/0!</v>
      </c>
      <c r="CW25" s="13">
        <v>0</v>
      </c>
      <c r="CX25" s="13">
        <v>0</v>
      </c>
      <c r="CY25" s="70" t="e">
        <f t="shared" si="200"/>
        <v>#DIV/0!</v>
      </c>
      <c r="CZ25" s="13">
        <v>0</v>
      </c>
      <c r="DA25" s="13">
        <v>0</v>
      </c>
      <c r="DB25" s="70" t="e">
        <f t="shared" si="201"/>
        <v>#DIV/0!</v>
      </c>
      <c r="DC25" s="13">
        <v>0</v>
      </c>
      <c r="DD25" s="13">
        <v>0</v>
      </c>
      <c r="DE25" s="70" t="e">
        <f t="shared" si="202"/>
        <v>#DIV/0!</v>
      </c>
      <c r="DF25" s="13">
        <v>0</v>
      </c>
      <c r="DG25" s="13">
        <v>0</v>
      </c>
      <c r="DH25" s="70" t="e">
        <f t="shared" si="203"/>
        <v>#DIV/0!</v>
      </c>
      <c r="DI25" s="13">
        <v>0</v>
      </c>
      <c r="DJ25" s="13">
        <v>0</v>
      </c>
      <c r="DK25" s="70" t="e">
        <f t="shared" si="204"/>
        <v>#DIV/0!</v>
      </c>
      <c r="DL25" s="13">
        <v>0</v>
      </c>
      <c r="DM25" s="13">
        <v>0</v>
      </c>
      <c r="DN25" s="70" t="e">
        <f t="shared" si="205"/>
        <v>#DIV/0!</v>
      </c>
      <c r="DO25" s="13">
        <v>0</v>
      </c>
      <c r="DP25" s="13">
        <v>0</v>
      </c>
      <c r="DQ25" s="70" t="e">
        <f t="shared" si="206"/>
        <v>#DIV/0!</v>
      </c>
      <c r="DR25" s="13">
        <v>0</v>
      </c>
      <c r="DS25" s="13">
        <v>0</v>
      </c>
      <c r="DT25" s="70" t="e">
        <f t="shared" si="207"/>
        <v>#DIV/0!</v>
      </c>
      <c r="DU25" s="13">
        <v>0</v>
      </c>
      <c r="DV25" s="13">
        <v>0</v>
      </c>
      <c r="DW25" s="70" t="e">
        <f t="shared" si="208"/>
        <v>#DIV/0!</v>
      </c>
      <c r="DX25" s="13">
        <v>0</v>
      </c>
      <c r="DY25" s="13">
        <v>0</v>
      </c>
      <c r="DZ25" s="70" t="e">
        <f t="shared" si="209"/>
        <v>#DIV/0!</v>
      </c>
      <c r="EA25" s="13">
        <v>0</v>
      </c>
      <c r="EB25" s="13">
        <v>0</v>
      </c>
      <c r="EC25" s="70" t="e">
        <f t="shared" si="210"/>
        <v>#DIV/0!</v>
      </c>
      <c r="ED25" s="13">
        <v>0</v>
      </c>
      <c r="EE25" s="13">
        <v>0</v>
      </c>
      <c r="EF25" s="70" t="e">
        <f t="shared" si="211"/>
        <v>#DIV/0!</v>
      </c>
      <c r="EG25" s="13">
        <v>0</v>
      </c>
      <c r="EH25" s="13">
        <v>0</v>
      </c>
      <c r="EI25" s="70" t="e">
        <f t="shared" si="212"/>
        <v>#DIV/0!</v>
      </c>
      <c r="EJ25" s="13">
        <v>0</v>
      </c>
      <c r="EK25" s="13">
        <v>0</v>
      </c>
      <c r="EL25" s="70" t="e">
        <f t="shared" si="213"/>
        <v>#DIV/0!</v>
      </c>
      <c r="EM25" s="13">
        <v>0</v>
      </c>
      <c r="EN25" s="13">
        <v>0</v>
      </c>
      <c r="EO25" s="70" t="e">
        <f t="shared" si="214"/>
        <v>#DIV/0!</v>
      </c>
      <c r="EP25" s="13">
        <v>0</v>
      </c>
      <c r="EQ25" s="13">
        <v>0</v>
      </c>
      <c r="ER25" s="70" t="e">
        <f t="shared" si="215"/>
        <v>#DIV/0!</v>
      </c>
      <c r="ES25" s="13">
        <v>0</v>
      </c>
      <c r="ET25" s="13">
        <v>0</v>
      </c>
      <c r="EU25" s="70" t="e">
        <f t="shared" si="216"/>
        <v>#DIV/0!</v>
      </c>
      <c r="EV25" s="13">
        <v>0</v>
      </c>
      <c r="EW25" s="13">
        <v>0</v>
      </c>
      <c r="EX25" s="70" t="e">
        <f t="shared" si="217"/>
        <v>#DIV/0!</v>
      </c>
      <c r="EY25" s="13">
        <v>0</v>
      </c>
      <c r="EZ25" s="13">
        <v>0</v>
      </c>
      <c r="FA25" s="70" t="e">
        <f t="shared" si="218"/>
        <v>#DIV/0!</v>
      </c>
      <c r="FB25" s="13">
        <v>0</v>
      </c>
      <c r="FC25" s="13">
        <v>0</v>
      </c>
      <c r="FD25" s="70" t="e">
        <f t="shared" si="219"/>
        <v>#DIV/0!</v>
      </c>
      <c r="FE25" s="13">
        <v>0</v>
      </c>
      <c r="FF25" s="13">
        <v>0</v>
      </c>
      <c r="FG25" s="70" t="e">
        <f t="shared" si="220"/>
        <v>#DIV/0!</v>
      </c>
      <c r="FH25" s="13">
        <v>0</v>
      </c>
      <c r="FI25" s="13">
        <v>0</v>
      </c>
    </row>
    <row r="26" spans="1:165" ht="15.75" x14ac:dyDescent="0.25">
      <c r="A26" s="237"/>
      <c r="B26" s="65" t="s">
        <v>8</v>
      </c>
      <c r="C26" s="65">
        <f>'District Information &amp; Measures'!C36</f>
        <v>0</v>
      </c>
      <c r="D26" s="8" t="e">
        <f t="shared" si="167"/>
        <v>#DIV/0!</v>
      </c>
      <c r="E26" s="76">
        <f t="shared" si="221"/>
        <v>0</v>
      </c>
      <c r="F26" s="76">
        <f t="shared" si="221"/>
        <v>0</v>
      </c>
      <c r="G26" s="70" t="e">
        <f t="shared" si="168"/>
        <v>#DIV/0!</v>
      </c>
      <c r="H26" s="13">
        <v>0</v>
      </c>
      <c r="I26" s="13">
        <v>0</v>
      </c>
      <c r="J26" s="70" t="e">
        <f t="shared" si="169"/>
        <v>#DIV/0!</v>
      </c>
      <c r="K26" s="13">
        <v>0</v>
      </c>
      <c r="L26" s="13">
        <v>0</v>
      </c>
      <c r="M26" s="70" t="e">
        <f t="shared" si="170"/>
        <v>#DIV/0!</v>
      </c>
      <c r="N26" s="13">
        <v>0</v>
      </c>
      <c r="O26" s="13">
        <v>0</v>
      </c>
      <c r="P26" s="70" t="e">
        <f t="shared" si="171"/>
        <v>#DIV/0!</v>
      </c>
      <c r="Q26" s="13">
        <v>0</v>
      </c>
      <c r="R26" s="13">
        <v>0</v>
      </c>
      <c r="S26" s="70" t="e">
        <f t="shared" si="172"/>
        <v>#DIV/0!</v>
      </c>
      <c r="T26" s="13">
        <v>0</v>
      </c>
      <c r="U26" s="13">
        <v>0</v>
      </c>
      <c r="V26" s="70" t="e">
        <f t="shared" si="173"/>
        <v>#DIV/0!</v>
      </c>
      <c r="W26" s="13">
        <v>0</v>
      </c>
      <c r="X26" s="13">
        <v>0</v>
      </c>
      <c r="Y26" s="70" t="e">
        <f t="shared" si="174"/>
        <v>#DIV/0!</v>
      </c>
      <c r="Z26" s="13">
        <v>0</v>
      </c>
      <c r="AA26" s="13">
        <v>0</v>
      </c>
      <c r="AB26" s="70" t="e">
        <f t="shared" si="175"/>
        <v>#DIV/0!</v>
      </c>
      <c r="AC26" s="13">
        <v>0</v>
      </c>
      <c r="AD26" s="13">
        <v>0</v>
      </c>
      <c r="AE26" s="70" t="e">
        <f t="shared" si="176"/>
        <v>#DIV/0!</v>
      </c>
      <c r="AF26" s="13">
        <v>0</v>
      </c>
      <c r="AG26" s="13">
        <v>0</v>
      </c>
      <c r="AH26" s="70" t="e">
        <f t="shared" si="177"/>
        <v>#DIV/0!</v>
      </c>
      <c r="AI26" s="13">
        <v>0</v>
      </c>
      <c r="AJ26" s="13">
        <v>0</v>
      </c>
      <c r="AK26" s="70" t="e">
        <f t="shared" si="178"/>
        <v>#DIV/0!</v>
      </c>
      <c r="AL26" s="13">
        <v>0</v>
      </c>
      <c r="AM26" s="13">
        <v>0</v>
      </c>
      <c r="AN26" s="70" t="e">
        <f t="shared" si="179"/>
        <v>#DIV/0!</v>
      </c>
      <c r="AO26" s="13">
        <v>0</v>
      </c>
      <c r="AP26" s="13">
        <v>0</v>
      </c>
      <c r="AQ26" s="70" t="e">
        <f t="shared" si="180"/>
        <v>#DIV/0!</v>
      </c>
      <c r="AR26" s="13">
        <v>0</v>
      </c>
      <c r="AS26" s="13">
        <v>0</v>
      </c>
      <c r="AT26" s="70" t="e">
        <f t="shared" si="181"/>
        <v>#DIV/0!</v>
      </c>
      <c r="AU26" s="13">
        <v>0</v>
      </c>
      <c r="AV26" s="13">
        <v>0</v>
      </c>
      <c r="AW26" s="70" t="e">
        <f t="shared" si="182"/>
        <v>#DIV/0!</v>
      </c>
      <c r="AX26" s="13">
        <v>0</v>
      </c>
      <c r="AY26" s="13">
        <v>0</v>
      </c>
      <c r="AZ26" s="70" t="e">
        <f t="shared" si="183"/>
        <v>#DIV/0!</v>
      </c>
      <c r="BA26" s="13">
        <v>0</v>
      </c>
      <c r="BB26" s="13">
        <v>0</v>
      </c>
      <c r="BC26" s="70" t="e">
        <f t="shared" si="184"/>
        <v>#DIV/0!</v>
      </c>
      <c r="BD26" s="13">
        <v>0</v>
      </c>
      <c r="BE26" s="13">
        <v>0</v>
      </c>
      <c r="BF26" s="70" t="e">
        <f t="shared" si="185"/>
        <v>#DIV/0!</v>
      </c>
      <c r="BG26" s="13">
        <v>0</v>
      </c>
      <c r="BH26" s="13">
        <v>0</v>
      </c>
      <c r="BI26" s="70" t="e">
        <f t="shared" si="186"/>
        <v>#DIV/0!</v>
      </c>
      <c r="BJ26" s="13">
        <v>0</v>
      </c>
      <c r="BK26" s="13">
        <v>0</v>
      </c>
      <c r="BL26" s="70" t="e">
        <f t="shared" si="187"/>
        <v>#DIV/0!</v>
      </c>
      <c r="BM26" s="13">
        <v>0</v>
      </c>
      <c r="BN26" s="13">
        <v>0</v>
      </c>
      <c r="BO26" s="70" t="e">
        <f t="shared" si="188"/>
        <v>#DIV/0!</v>
      </c>
      <c r="BP26" s="13">
        <v>0</v>
      </c>
      <c r="BQ26" s="13">
        <v>0</v>
      </c>
      <c r="BR26" s="70" t="e">
        <f t="shared" si="189"/>
        <v>#DIV/0!</v>
      </c>
      <c r="BS26" s="13">
        <v>0</v>
      </c>
      <c r="BT26" s="13">
        <v>0</v>
      </c>
      <c r="BU26" s="70" t="e">
        <f t="shared" si="190"/>
        <v>#DIV/0!</v>
      </c>
      <c r="BV26" s="13">
        <v>0</v>
      </c>
      <c r="BW26" s="13">
        <v>0</v>
      </c>
      <c r="BX26" s="70" t="e">
        <f t="shared" si="191"/>
        <v>#DIV/0!</v>
      </c>
      <c r="BY26" s="13">
        <v>0</v>
      </c>
      <c r="BZ26" s="13">
        <v>0</v>
      </c>
      <c r="CA26" s="70" t="e">
        <f t="shared" si="192"/>
        <v>#DIV/0!</v>
      </c>
      <c r="CB26" s="13">
        <v>0</v>
      </c>
      <c r="CC26" s="13">
        <v>0</v>
      </c>
      <c r="CD26" s="70" t="e">
        <f t="shared" si="193"/>
        <v>#DIV/0!</v>
      </c>
      <c r="CE26" s="13">
        <v>0</v>
      </c>
      <c r="CF26" s="13">
        <v>0</v>
      </c>
      <c r="CG26" s="74" t="e">
        <f t="shared" si="194"/>
        <v>#DIV/0!</v>
      </c>
      <c r="CH26" s="13">
        <v>0</v>
      </c>
      <c r="CI26" s="13">
        <v>0</v>
      </c>
      <c r="CJ26" s="74" t="e">
        <f t="shared" si="195"/>
        <v>#DIV/0!</v>
      </c>
      <c r="CK26" s="13">
        <v>0</v>
      </c>
      <c r="CL26" s="13">
        <v>0</v>
      </c>
      <c r="CM26" s="74" t="e">
        <f t="shared" si="196"/>
        <v>#DIV/0!</v>
      </c>
      <c r="CN26" s="13">
        <v>0</v>
      </c>
      <c r="CO26" s="13">
        <v>0</v>
      </c>
      <c r="CP26" s="74" t="e">
        <f t="shared" si="197"/>
        <v>#DIV/0!</v>
      </c>
      <c r="CQ26" s="13">
        <v>0</v>
      </c>
      <c r="CR26" s="13">
        <v>0</v>
      </c>
      <c r="CS26" s="70" t="e">
        <f t="shared" si="198"/>
        <v>#DIV/0!</v>
      </c>
      <c r="CT26" s="13">
        <v>0</v>
      </c>
      <c r="CU26" s="13">
        <v>0</v>
      </c>
      <c r="CV26" s="70" t="e">
        <f t="shared" si="199"/>
        <v>#DIV/0!</v>
      </c>
      <c r="CW26" s="13">
        <v>0</v>
      </c>
      <c r="CX26" s="13">
        <v>0</v>
      </c>
      <c r="CY26" s="70" t="e">
        <f t="shared" si="200"/>
        <v>#DIV/0!</v>
      </c>
      <c r="CZ26" s="13">
        <v>0</v>
      </c>
      <c r="DA26" s="13">
        <v>0</v>
      </c>
      <c r="DB26" s="70" t="e">
        <f t="shared" si="201"/>
        <v>#DIV/0!</v>
      </c>
      <c r="DC26" s="13">
        <v>0</v>
      </c>
      <c r="DD26" s="13">
        <v>0</v>
      </c>
      <c r="DE26" s="70" t="e">
        <f t="shared" si="202"/>
        <v>#DIV/0!</v>
      </c>
      <c r="DF26" s="13">
        <v>0</v>
      </c>
      <c r="DG26" s="13">
        <v>0</v>
      </c>
      <c r="DH26" s="70" t="e">
        <f t="shared" si="203"/>
        <v>#DIV/0!</v>
      </c>
      <c r="DI26" s="13">
        <v>0</v>
      </c>
      <c r="DJ26" s="13">
        <v>0</v>
      </c>
      <c r="DK26" s="70" t="e">
        <f t="shared" si="204"/>
        <v>#DIV/0!</v>
      </c>
      <c r="DL26" s="13">
        <v>0</v>
      </c>
      <c r="DM26" s="13">
        <v>0</v>
      </c>
      <c r="DN26" s="70" t="e">
        <f t="shared" si="205"/>
        <v>#DIV/0!</v>
      </c>
      <c r="DO26" s="13">
        <v>0</v>
      </c>
      <c r="DP26" s="13">
        <v>0</v>
      </c>
      <c r="DQ26" s="70" t="e">
        <f t="shared" si="206"/>
        <v>#DIV/0!</v>
      </c>
      <c r="DR26" s="13">
        <v>0</v>
      </c>
      <c r="DS26" s="13">
        <v>0</v>
      </c>
      <c r="DT26" s="70" t="e">
        <f t="shared" si="207"/>
        <v>#DIV/0!</v>
      </c>
      <c r="DU26" s="13">
        <v>0</v>
      </c>
      <c r="DV26" s="13">
        <v>0</v>
      </c>
      <c r="DW26" s="70" t="e">
        <f t="shared" si="208"/>
        <v>#DIV/0!</v>
      </c>
      <c r="DX26" s="13">
        <v>0</v>
      </c>
      <c r="DY26" s="13">
        <v>0</v>
      </c>
      <c r="DZ26" s="70" t="e">
        <f t="shared" si="209"/>
        <v>#DIV/0!</v>
      </c>
      <c r="EA26" s="13">
        <v>0</v>
      </c>
      <c r="EB26" s="13">
        <v>0</v>
      </c>
      <c r="EC26" s="70" t="e">
        <f t="shared" si="210"/>
        <v>#DIV/0!</v>
      </c>
      <c r="ED26" s="13">
        <v>0</v>
      </c>
      <c r="EE26" s="13">
        <v>0</v>
      </c>
      <c r="EF26" s="70" t="e">
        <f t="shared" si="211"/>
        <v>#DIV/0!</v>
      </c>
      <c r="EG26" s="13">
        <v>0</v>
      </c>
      <c r="EH26" s="13">
        <v>0</v>
      </c>
      <c r="EI26" s="70" t="e">
        <f t="shared" si="212"/>
        <v>#DIV/0!</v>
      </c>
      <c r="EJ26" s="13">
        <v>0</v>
      </c>
      <c r="EK26" s="13">
        <v>0</v>
      </c>
      <c r="EL26" s="70" t="e">
        <f t="shared" si="213"/>
        <v>#DIV/0!</v>
      </c>
      <c r="EM26" s="13">
        <v>0</v>
      </c>
      <c r="EN26" s="13">
        <v>0</v>
      </c>
      <c r="EO26" s="70" t="e">
        <f t="shared" si="214"/>
        <v>#DIV/0!</v>
      </c>
      <c r="EP26" s="13">
        <v>0</v>
      </c>
      <c r="EQ26" s="13">
        <v>0</v>
      </c>
      <c r="ER26" s="70" t="e">
        <f t="shared" si="215"/>
        <v>#DIV/0!</v>
      </c>
      <c r="ES26" s="13">
        <v>0</v>
      </c>
      <c r="ET26" s="13">
        <v>0</v>
      </c>
      <c r="EU26" s="70" t="e">
        <f t="shared" si="216"/>
        <v>#DIV/0!</v>
      </c>
      <c r="EV26" s="13">
        <v>0</v>
      </c>
      <c r="EW26" s="13">
        <v>0</v>
      </c>
      <c r="EX26" s="70" t="e">
        <f t="shared" si="217"/>
        <v>#DIV/0!</v>
      </c>
      <c r="EY26" s="13">
        <v>0</v>
      </c>
      <c r="EZ26" s="13">
        <v>0</v>
      </c>
      <c r="FA26" s="70" t="e">
        <f t="shared" si="218"/>
        <v>#DIV/0!</v>
      </c>
      <c r="FB26" s="13">
        <v>0</v>
      </c>
      <c r="FC26" s="13">
        <v>0</v>
      </c>
      <c r="FD26" s="70" t="e">
        <f t="shared" si="219"/>
        <v>#DIV/0!</v>
      </c>
      <c r="FE26" s="13">
        <v>0</v>
      </c>
      <c r="FF26" s="13">
        <v>0</v>
      </c>
      <c r="FG26" s="70" t="e">
        <f t="shared" si="220"/>
        <v>#DIV/0!</v>
      </c>
      <c r="FH26" s="13">
        <v>0</v>
      </c>
      <c r="FI26" s="13">
        <v>0</v>
      </c>
    </row>
    <row r="27" spans="1:165" ht="15.75" x14ac:dyDescent="0.25">
      <c r="A27" s="237"/>
      <c r="B27" s="66" t="s">
        <v>79</v>
      </c>
      <c r="C27" s="65">
        <f>'District Information &amp; Measures'!C37</f>
        <v>0</v>
      </c>
      <c r="D27" s="8" t="e">
        <f t="shared" si="167"/>
        <v>#DIV/0!</v>
      </c>
      <c r="E27" s="76">
        <f t="shared" si="221"/>
        <v>0</v>
      </c>
      <c r="F27" s="76">
        <f t="shared" si="221"/>
        <v>0</v>
      </c>
      <c r="G27" s="70" t="e">
        <f t="shared" si="168"/>
        <v>#DIV/0!</v>
      </c>
      <c r="H27" s="13">
        <v>0</v>
      </c>
      <c r="I27" s="13">
        <v>0</v>
      </c>
      <c r="J27" s="70" t="e">
        <f t="shared" si="169"/>
        <v>#DIV/0!</v>
      </c>
      <c r="K27" s="13">
        <v>0</v>
      </c>
      <c r="L27" s="13">
        <v>0</v>
      </c>
      <c r="M27" s="70" t="e">
        <f t="shared" si="170"/>
        <v>#DIV/0!</v>
      </c>
      <c r="N27" s="13">
        <v>0</v>
      </c>
      <c r="O27" s="13">
        <v>0</v>
      </c>
      <c r="P27" s="70" t="e">
        <f t="shared" si="171"/>
        <v>#DIV/0!</v>
      </c>
      <c r="Q27" s="13">
        <v>0</v>
      </c>
      <c r="R27" s="13">
        <v>0</v>
      </c>
      <c r="S27" s="70" t="e">
        <f t="shared" si="172"/>
        <v>#DIV/0!</v>
      </c>
      <c r="T27" s="13">
        <v>0</v>
      </c>
      <c r="U27" s="13">
        <v>0</v>
      </c>
      <c r="V27" s="70" t="e">
        <f t="shared" si="173"/>
        <v>#DIV/0!</v>
      </c>
      <c r="W27" s="13">
        <v>0</v>
      </c>
      <c r="X27" s="13">
        <v>0</v>
      </c>
      <c r="Y27" s="70" t="e">
        <f t="shared" si="174"/>
        <v>#DIV/0!</v>
      </c>
      <c r="Z27" s="13">
        <v>0</v>
      </c>
      <c r="AA27" s="13">
        <v>0</v>
      </c>
      <c r="AB27" s="70" t="e">
        <f t="shared" si="175"/>
        <v>#DIV/0!</v>
      </c>
      <c r="AC27" s="13">
        <v>0</v>
      </c>
      <c r="AD27" s="13">
        <v>0</v>
      </c>
      <c r="AE27" s="70" t="e">
        <f t="shared" si="176"/>
        <v>#DIV/0!</v>
      </c>
      <c r="AF27" s="13">
        <v>0</v>
      </c>
      <c r="AG27" s="13">
        <v>0</v>
      </c>
      <c r="AH27" s="70" t="e">
        <f t="shared" si="177"/>
        <v>#DIV/0!</v>
      </c>
      <c r="AI27" s="13">
        <v>0</v>
      </c>
      <c r="AJ27" s="13">
        <v>0</v>
      </c>
      <c r="AK27" s="70" t="e">
        <f t="shared" si="178"/>
        <v>#DIV/0!</v>
      </c>
      <c r="AL27" s="13">
        <v>0</v>
      </c>
      <c r="AM27" s="13">
        <v>0</v>
      </c>
      <c r="AN27" s="70" t="e">
        <f t="shared" si="179"/>
        <v>#DIV/0!</v>
      </c>
      <c r="AO27" s="13">
        <v>0</v>
      </c>
      <c r="AP27" s="13">
        <v>0</v>
      </c>
      <c r="AQ27" s="70" t="e">
        <f t="shared" si="180"/>
        <v>#DIV/0!</v>
      </c>
      <c r="AR27" s="13">
        <v>0</v>
      </c>
      <c r="AS27" s="13">
        <v>0</v>
      </c>
      <c r="AT27" s="70" t="e">
        <f t="shared" si="181"/>
        <v>#DIV/0!</v>
      </c>
      <c r="AU27" s="13">
        <v>0</v>
      </c>
      <c r="AV27" s="13">
        <v>0</v>
      </c>
      <c r="AW27" s="70" t="e">
        <f t="shared" si="182"/>
        <v>#DIV/0!</v>
      </c>
      <c r="AX27" s="13">
        <v>0</v>
      </c>
      <c r="AY27" s="13">
        <v>0</v>
      </c>
      <c r="AZ27" s="70" t="e">
        <f t="shared" si="183"/>
        <v>#DIV/0!</v>
      </c>
      <c r="BA27" s="13">
        <v>0</v>
      </c>
      <c r="BB27" s="13">
        <v>0</v>
      </c>
      <c r="BC27" s="70" t="e">
        <f t="shared" si="184"/>
        <v>#DIV/0!</v>
      </c>
      <c r="BD27" s="13">
        <v>0</v>
      </c>
      <c r="BE27" s="13">
        <v>0</v>
      </c>
      <c r="BF27" s="70" t="e">
        <f t="shared" si="185"/>
        <v>#DIV/0!</v>
      </c>
      <c r="BG27" s="13">
        <v>0</v>
      </c>
      <c r="BH27" s="13">
        <v>0</v>
      </c>
      <c r="BI27" s="70" t="e">
        <f t="shared" si="186"/>
        <v>#DIV/0!</v>
      </c>
      <c r="BJ27" s="13">
        <v>0</v>
      </c>
      <c r="BK27" s="13">
        <v>0</v>
      </c>
      <c r="BL27" s="70" t="e">
        <f t="shared" si="187"/>
        <v>#DIV/0!</v>
      </c>
      <c r="BM27" s="13">
        <v>0</v>
      </c>
      <c r="BN27" s="13">
        <v>0</v>
      </c>
      <c r="BO27" s="70" t="e">
        <f t="shared" si="188"/>
        <v>#DIV/0!</v>
      </c>
      <c r="BP27" s="13">
        <v>0</v>
      </c>
      <c r="BQ27" s="13">
        <v>0</v>
      </c>
      <c r="BR27" s="70" t="e">
        <f t="shared" si="189"/>
        <v>#DIV/0!</v>
      </c>
      <c r="BS27" s="13">
        <v>0</v>
      </c>
      <c r="BT27" s="13">
        <v>0</v>
      </c>
      <c r="BU27" s="70" t="e">
        <f t="shared" si="190"/>
        <v>#DIV/0!</v>
      </c>
      <c r="BV27" s="13">
        <v>0</v>
      </c>
      <c r="BW27" s="13">
        <v>0</v>
      </c>
      <c r="BX27" s="70" t="e">
        <f t="shared" si="191"/>
        <v>#DIV/0!</v>
      </c>
      <c r="BY27" s="13">
        <v>0</v>
      </c>
      <c r="BZ27" s="13">
        <v>0</v>
      </c>
      <c r="CA27" s="70" t="e">
        <f t="shared" si="192"/>
        <v>#DIV/0!</v>
      </c>
      <c r="CB27" s="13">
        <v>0</v>
      </c>
      <c r="CC27" s="13">
        <v>0</v>
      </c>
      <c r="CD27" s="70" t="e">
        <f t="shared" si="193"/>
        <v>#DIV/0!</v>
      </c>
      <c r="CE27" s="13">
        <v>0</v>
      </c>
      <c r="CF27" s="13">
        <v>0</v>
      </c>
      <c r="CG27" s="74" t="e">
        <f t="shared" si="194"/>
        <v>#DIV/0!</v>
      </c>
      <c r="CH27" s="13">
        <v>0</v>
      </c>
      <c r="CI27" s="13">
        <v>0</v>
      </c>
      <c r="CJ27" s="74" t="e">
        <f t="shared" si="195"/>
        <v>#DIV/0!</v>
      </c>
      <c r="CK27" s="13">
        <v>0</v>
      </c>
      <c r="CL27" s="13">
        <v>0</v>
      </c>
      <c r="CM27" s="74" t="e">
        <f t="shared" si="196"/>
        <v>#DIV/0!</v>
      </c>
      <c r="CN27" s="13">
        <v>0</v>
      </c>
      <c r="CO27" s="13">
        <v>0</v>
      </c>
      <c r="CP27" s="74" t="e">
        <f t="shared" si="197"/>
        <v>#DIV/0!</v>
      </c>
      <c r="CQ27" s="13">
        <v>0</v>
      </c>
      <c r="CR27" s="13">
        <v>0</v>
      </c>
      <c r="CS27" s="70" t="e">
        <f t="shared" si="198"/>
        <v>#DIV/0!</v>
      </c>
      <c r="CT27" s="13">
        <v>0</v>
      </c>
      <c r="CU27" s="13">
        <v>0</v>
      </c>
      <c r="CV27" s="70" t="e">
        <f t="shared" si="199"/>
        <v>#DIV/0!</v>
      </c>
      <c r="CW27" s="13">
        <v>0</v>
      </c>
      <c r="CX27" s="13">
        <v>0</v>
      </c>
      <c r="CY27" s="70" t="e">
        <f t="shared" si="200"/>
        <v>#DIV/0!</v>
      </c>
      <c r="CZ27" s="13">
        <v>0</v>
      </c>
      <c r="DA27" s="13">
        <v>0</v>
      </c>
      <c r="DB27" s="70" t="e">
        <f t="shared" si="201"/>
        <v>#DIV/0!</v>
      </c>
      <c r="DC27" s="13">
        <v>0</v>
      </c>
      <c r="DD27" s="13">
        <v>0</v>
      </c>
      <c r="DE27" s="70" t="e">
        <f t="shared" si="202"/>
        <v>#DIV/0!</v>
      </c>
      <c r="DF27" s="13">
        <v>0</v>
      </c>
      <c r="DG27" s="13">
        <v>0</v>
      </c>
      <c r="DH27" s="70" t="e">
        <f t="shared" si="203"/>
        <v>#DIV/0!</v>
      </c>
      <c r="DI27" s="13">
        <v>0</v>
      </c>
      <c r="DJ27" s="13">
        <v>0</v>
      </c>
      <c r="DK27" s="70" t="e">
        <f t="shared" si="204"/>
        <v>#DIV/0!</v>
      </c>
      <c r="DL27" s="13">
        <v>0</v>
      </c>
      <c r="DM27" s="13">
        <v>0</v>
      </c>
      <c r="DN27" s="70" t="e">
        <f t="shared" si="205"/>
        <v>#DIV/0!</v>
      </c>
      <c r="DO27" s="13">
        <v>0</v>
      </c>
      <c r="DP27" s="13">
        <v>0</v>
      </c>
      <c r="DQ27" s="70" t="e">
        <f t="shared" si="206"/>
        <v>#DIV/0!</v>
      </c>
      <c r="DR27" s="13">
        <v>0</v>
      </c>
      <c r="DS27" s="13">
        <v>0</v>
      </c>
      <c r="DT27" s="70" t="e">
        <f t="shared" si="207"/>
        <v>#DIV/0!</v>
      </c>
      <c r="DU27" s="13">
        <v>0</v>
      </c>
      <c r="DV27" s="13">
        <v>0</v>
      </c>
      <c r="DW27" s="70" t="e">
        <f t="shared" si="208"/>
        <v>#DIV/0!</v>
      </c>
      <c r="DX27" s="13">
        <v>0</v>
      </c>
      <c r="DY27" s="13">
        <v>0</v>
      </c>
      <c r="DZ27" s="70" t="e">
        <f t="shared" si="209"/>
        <v>#DIV/0!</v>
      </c>
      <c r="EA27" s="13">
        <v>0</v>
      </c>
      <c r="EB27" s="13">
        <v>0</v>
      </c>
      <c r="EC27" s="70" t="e">
        <f t="shared" si="210"/>
        <v>#DIV/0!</v>
      </c>
      <c r="ED27" s="13">
        <v>0</v>
      </c>
      <c r="EE27" s="13">
        <v>0</v>
      </c>
      <c r="EF27" s="70" t="e">
        <f t="shared" si="211"/>
        <v>#DIV/0!</v>
      </c>
      <c r="EG27" s="13">
        <v>0</v>
      </c>
      <c r="EH27" s="13">
        <v>0</v>
      </c>
      <c r="EI27" s="70" t="e">
        <f t="shared" si="212"/>
        <v>#DIV/0!</v>
      </c>
      <c r="EJ27" s="13">
        <v>0</v>
      </c>
      <c r="EK27" s="13">
        <v>0</v>
      </c>
      <c r="EL27" s="70" t="e">
        <f t="shared" si="213"/>
        <v>#DIV/0!</v>
      </c>
      <c r="EM27" s="13">
        <v>0</v>
      </c>
      <c r="EN27" s="13">
        <v>0</v>
      </c>
      <c r="EO27" s="70" t="e">
        <f t="shared" si="214"/>
        <v>#DIV/0!</v>
      </c>
      <c r="EP27" s="13">
        <v>0</v>
      </c>
      <c r="EQ27" s="13">
        <v>0</v>
      </c>
      <c r="ER27" s="70" t="e">
        <f t="shared" si="215"/>
        <v>#DIV/0!</v>
      </c>
      <c r="ES27" s="13">
        <v>0</v>
      </c>
      <c r="ET27" s="13">
        <v>0</v>
      </c>
      <c r="EU27" s="70" t="e">
        <f t="shared" si="216"/>
        <v>#DIV/0!</v>
      </c>
      <c r="EV27" s="13">
        <v>0</v>
      </c>
      <c r="EW27" s="13">
        <v>0</v>
      </c>
      <c r="EX27" s="70" t="e">
        <f t="shared" si="217"/>
        <v>#DIV/0!</v>
      </c>
      <c r="EY27" s="13">
        <v>0</v>
      </c>
      <c r="EZ27" s="13">
        <v>0</v>
      </c>
      <c r="FA27" s="70" t="e">
        <f t="shared" si="218"/>
        <v>#DIV/0!</v>
      </c>
      <c r="FB27" s="13">
        <v>0</v>
      </c>
      <c r="FC27" s="13">
        <v>0</v>
      </c>
      <c r="FD27" s="70" t="e">
        <f t="shared" si="219"/>
        <v>#DIV/0!</v>
      </c>
      <c r="FE27" s="13">
        <v>0</v>
      </c>
      <c r="FF27" s="13">
        <v>0</v>
      </c>
      <c r="FG27" s="70" t="e">
        <f t="shared" si="220"/>
        <v>#DIV/0!</v>
      </c>
      <c r="FH27" s="13">
        <v>0</v>
      </c>
      <c r="FI27" s="13">
        <v>0</v>
      </c>
    </row>
    <row r="28" spans="1:165" ht="15.75" x14ac:dyDescent="0.25">
      <c r="A28" s="238"/>
      <c r="B28" s="67" t="s">
        <v>80</v>
      </c>
      <c r="C28" s="65">
        <f>'District Information &amp; Measures'!C38</f>
        <v>0</v>
      </c>
      <c r="D28" s="8" t="e">
        <f t="shared" si="167"/>
        <v>#DIV/0!</v>
      </c>
      <c r="E28" s="76">
        <f t="shared" si="221"/>
        <v>0</v>
      </c>
      <c r="F28" s="76">
        <f t="shared" si="221"/>
        <v>0</v>
      </c>
      <c r="G28" s="70" t="e">
        <f t="shared" si="168"/>
        <v>#DIV/0!</v>
      </c>
      <c r="H28" s="17">
        <v>0</v>
      </c>
      <c r="I28" s="17">
        <v>0</v>
      </c>
      <c r="J28" s="70" t="e">
        <f t="shared" si="169"/>
        <v>#DIV/0!</v>
      </c>
      <c r="K28" s="17">
        <v>0</v>
      </c>
      <c r="L28" s="17">
        <v>0</v>
      </c>
      <c r="M28" s="70" t="e">
        <f t="shared" si="170"/>
        <v>#DIV/0!</v>
      </c>
      <c r="N28" s="17">
        <v>0</v>
      </c>
      <c r="O28" s="17">
        <v>0</v>
      </c>
      <c r="P28" s="70" t="e">
        <f t="shared" si="171"/>
        <v>#DIV/0!</v>
      </c>
      <c r="Q28" s="17">
        <v>0</v>
      </c>
      <c r="R28" s="17">
        <v>0</v>
      </c>
      <c r="S28" s="70" t="e">
        <f t="shared" si="172"/>
        <v>#DIV/0!</v>
      </c>
      <c r="T28" s="17">
        <v>0</v>
      </c>
      <c r="U28" s="17">
        <v>0</v>
      </c>
      <c r="V28" s="70" t="e">
        <f t="shared" si="173"/>
        <v>#DIV/0!</v>
      </c>
      <c r="W28" s="17">
        <v>0</v>
      </c>
      <c r="X28" s="17">
        <v>0</v>
      </c>
      <c r="Y28" s="70" t="e">
        <f t="shared" si="174"/>
        <v>#DIV/0!</v>
      </c>
      <c r="Z28" s="17">
        <v>0</v>
      </c>
      <c r="AA28" s="17">
        <v>0</v>
      </c>
      <c r="AB28" s="70" t="e">
        <f t="shared" si="175"/>
        <v>#DIV/0!</v>
      </c>
      <c r="AC28" s="17">
        <v>0</v>
      </c>
      <c r="AD28" s="17">
        <v>0</v>
      </c>
      <c r="AE28" s="70" t="e">
        <f t="shared" si="176"/>
        <v>#DIV/0!</v>
      </c>
      <c r="AF28" s="17">
        <v>0</v>
      </c>
      <c r="AG28" s="17">
        <v>0</v>
      </c>
      <c r="AH28" s="70" t="e">
        <f t="shared" si="177"/>
        <v>#DIV/0!</v>
      </c>
      <c r="AI28" s="17">
        <v>0</v>
      </c>
      <c r="AJ28" s="17">
        <v>0</v>
      </c>
      <c r="AK28" s="70" t="e">
        <f t="shared" si="178"/>
        <v>#DIV/0!</v>
      </c>
      <c r="AL28" s="17">
        <v>0</v>
      </c>
      <c r="AM28" s="17">
        <v>0</v>
      </c>
      <c r="AN28" s="70" t="e">
        <f t="shared" si="179"/>
        <v>#DIV/0!</v>
      </c>
      <c r="AO28" s="17">
        <v>0</v>
      </c>
      <c r="AP28" s="17">
        <v>0</v>
      </c>
      <c r="AQ28" s="70" t="e">
        <f t="shared" si="180"/>
        <v>#DIV/0!</v>
      </c>
      <c r="AR28" s="17">
        <v>0</v>
      </c>
      <c r="AS28" s="17">
        <v>0</v>
      </c>
      <c r="AT28" s="70" t="e">
        <f t="shared" si="181"/>
        <v>#DIV/0!</v>
      </c>
      <c r="AU28" s="17">
        <v>0</v>
      </c>
      <c r="AV28" s="17">
        <v>0</v>
      </c>
      <c r="AW28" s="70" t="e">
        <f t="shared" si="182"/>
        <v>#DIV/0!</v>
      </c>
      <c r="AX28" s="17">
        <v>0</v>
      </c>
      <c r="AY28" s="17">
        <v>0</v>
      </c>
      <c r="AZ28" s="70" t="e">
        <f t="shared" si="183"/>
        <v>#DIV/0!</v>
      </c>
      <c r="BA28" s="17">
        <v>0</v>
      </c>
      <c r="BB28" s="17">
        <v>0</v>
      </c>
      <c r="BC28" s="70" t="e">
        <f t="shared" si="184"/>
        <v>#DIV/0!</v>
      </c>
      <c r="BD28" s="17">
        <v>0</v>
      </c>
      <c r="BE28" s="17">
        <v>0</v>
      </c>
      <c r="BF28" s="70" t="e">
        <f t="shared" si="185"/>
        <v>#DIV/0!</v>
      </c>
      <c r="BG28" s="17">
        <v>0</v>
      </c>
      <c r="BH28" s="17">
        <v>0</v>
      </c>
      <c r="BI28" s="70" t="e">
        <f t="shared" si="186"/>
        <v>#DIV/0!</v>
      </c>
      <c r="BJ28" s="17">
        <v>0</v>
      </c>
      <c r="BK28" s="17">
        <v>0</v>
      </c>
      <c r="BL28" s="70" t="e">
        <f t="shared" si="187"/>
        <v>#DIV/0!</v>
      </c>
      <c r="BM28" s="17">
        <v>0</v>
      </c>
      <c r="BN28" s="17">
        <v>0</v>
      </c>
      <c r="BO28" s="70" t="e">
        <f t="shared" si="188"/>
        <v>#DIV/0!</v>
      </c>
      <c r="BP28" s="17">
        <v>0</v>
      </c>
      <c r="BQ28" s="17">
        <v>0</v>
      </c>
      <c r="BR28" s="70" t="e">
        <f t="shared" si="189"/>
        <v>#DIV/0!</v>
      </c>
      <c r="BS28" s="17">
        <v>0</v>
      </c>
      <c r="BT28" s="17">
        <v>0</v>
      </c>
      <c r="BU28" s="70" t="e">
        <f t="shared" si="190"/>
        <v>#DIV/0!</v>
      </c>
      <c r="BV28" s="17">
        <v>0</v>
      </c>
      <c r="BW28" s="17">
        <v>0</v>
      </c>
      <c r="BX28" s="70" t="e">
        <f t="shared" si="191"/>
        <v>#DIV/0!</v>
      </c>
      <c r="BY28" s="17">
        <v>0</v>
      </c>
      <c r="BZ28" s="17">
        <v>0</v>
      </c>
      <c r="CA28" s="70" t="e">
        <f t="shared" si="192"/>
        <v>#DIV/0!</v>
      </c>
      <c r="CB28" s="17">
        <v>0</v>
      </c>
      <c r="CC28" s="17">
        <v>0</v>
      </c>
      <c r="CD28" s="70" t="e">
        <f t="shared" si="193"/>
        <v>#DIV/0!</v>
      </c>
      <c r="CE28" s="17">
        <v>0</v>
      </c>
      <c r="CF28" s="17">
        <v>0</v>
      </c>
      <c r="CG28" s="74" t="e">
        <f t="shared" si="194"/>
        <v>#DIV/0!</v>
      </c>
      <c r="CH28" s="17">
        <v>0</v>
      </c>
      <c r="CI28" s="17">
        <v>0</v>
      </c>
      <c r="CJ28" s="74" t="e">
        <f t="shared" si="195"/>
        <v>#DIV/0!</v>
      </c>
      <c r="CK28" s="17">
        <v>0</v>
      </c>
      <c r="CL28" s="17">
        <v>0</v>
      </c>
      <c r="CM28" s="74" t="e">
        <f t="shared" si="196"/>
        <v>#DIV/0!</v>
      </c>
      <c r="CN28" s="17">
        <v>0</v>
      </c>
      <c r="CO28" s="17">
        <v>0</v>
      </c>
      <c r="CP28" s="74" t="e">
        <f t="shared" si="197"/>
        <v>#DIV/0!</v>
      </c>
      <c r="CQ28" s="17">
        <v>0</v>
      </c>
      <c r="CR28" s="17">
        <v>0</v>
      </c>
      <c r="CS28" s="70" t="e">
        <f t="shared" si="198"/>
        <v>#DIV/0!</v>
      </c>
      <c r="CT28" s="17">
        <v>0</v>
      </c>
      <c r="CU28" s="17">
        <v>0</v>
      </c>
      <c r="CV28" s="70" t="e">
        <f t="shared" si="199"/>
        <v>#DIV/0!</v>
      </c>
      <c r="CW28" s="17">
        <v>0</v>
      </c>
      <c r="CX28" s="17">
        <v>0</v>
      </c>
      <c r="CY28" s="70" t="e">
        <f t="shared" si="200"/>
        <v>#DIV/0!</v>
      </c>
      <c r="CZ28" s="17">
        <v>0</v>
      </c>
      <c r="DA28" s="17">
        <v>0</v>
      </c>
      <c r="DB28" s="70" t="e">
        <f t="shared" si="201"/>
        <v>#DIV/0!</v>
      </c>
      <c r="DC28" s="17">
        <v>0</v>
      </c>
      <c r="DD28" s="17">
        <v>0</v>
      </c>
      <c r="DE28" s="70" t="e">
        <f t="shared" si="202"/>
        <v>#DIV/0!</v>
      </c>
      <c r="DF28" s="17">
        <v>0</v>
      </c>
      <c r="DG28" s="17">
        <v>0</v>
      </c>
      <c r="DH28" s="70" t="e">
        <f t="shared" si="203"/>
        <v>#DIV/0!</v>
      </c>
      <c r="DI28" s="17">
        <v>0</v>
      </c>
      <c r="DJ28" s="17">
        <v>0</v>
      </c>
      <c r="DK28" s="70" t="e">
        <f t="shared" si="204"/>
        <v>#DIV/0!</v>
      </c>
      <c r="DL28" s="17">
        <v>0</v>
      </c>
      <c r="DM28" s="17">
        <v>0</v>
      </c>
      <c r="DN28" s="70" t="e">
        <f t="shared" si="205"/>
        <v>#DIV/0!</v>
      </c>
      <c r="DO28" s="17">
        <v>0</v>
      </c>
      <c r="DP28" s="17">
        <v>0</v>
      </c>
      <c r="DQ28" s="70" t="e">
        <f t="shared" si="206"/>
        <v>#DIV/0!</v>
      </c>
      <c r="DR28" s="17">
        <v>0</v>
      </c>
      <c r="DS28" s="17">
        <v>0</v>
      </c>
      <c r="DT28" s="70" t="e">
        <f t="shared" si="207"/>
        <v>#DIV/0!</v>
      </c>
      <c r="DU28" s="17">
        <v>0</v>
      </c>
      <c r="DV28" s="17">
        <v>0</v>
      </c>
      <c r="DW28" s="70" t="e">
        <f t="shared" si="208"/>
        <v>#DIV/0!</v>
      </c>
      <c r="DX28" s="17">
        <v>0</v>
      </c>
      <c r="DY28" s="17">
        <v>0</v>
      </c>
      <c r="DZ28" s="70" t="e">
        <f t="shared" si="209"/>
        <v>#DIV/0!</v>
      </c>
      <c r="EA28" s="17">
        <v>0</v>
      </c>
      <c r="EB28" s="17">
        <v>0</v>
      </c>
      <c r="EC28" s="70" t="e">
        <f t="shared" si="210"/>
        <v>#DIV/0!</v>
      </c>
      <c r="ED28" s="17">
        <v>0</v>
      </c>
      <c r="EE28" s="17">
        <v>0</v>
      </c>
      <c r="EF28" s="70" t="e">
        <f t="shared" si="211"/>
        <v>#DIV/0!</v>
      </c>
      <c r="EG28" s="17">
        <v>0</v>
      </c>
      <c r="EH28" s="17">
        <v>0</v>
      </c>
      <c r="EI28" s="70" t="e">
        <f t="shared" si="212"/>
        <v>#DIV/0!</v>
      </c>
      <c r="EJ28" s="17">
        <v>0</v>
      </c>
      <c r="EK28" s="17">
        <v>0</v>
      </c>
      <c r="EL28" s="70" t="e">
        <f t="shared" si="213"/>
        <v>#DIV/0!</v>
      </c>
      <c r="EM28" s="17">
        <v>0</v>
      </c>
      <c r="EN28" s="17">
        <v>0</v>
      </c>
      <c r="EO28" s="70" t="e">
        <f t="shared" si="214"/>
        <v>#DIV/0!</v>
      </c>
      <c r="EP28" s="17">
        <v>0</v>
      </c>
      <c r="EQ28" s="17">
        <v>0</v>
      </c>
      <c r="ER28" s="70" t="e">
        <f t="shared" si="215"/>
        <v>#DIV/0!</v>
      </c>
      <c r="ES28" s="17">
        <v>0</v>
      </c>
      <c r="ET28" s="17">
        <v>0</v>
      </c>
      <c r="EU28" s="70" t="e">
        <f t="shared" si="216"/>
        <v>#DIV/0!</v>
      </c>
      <c r="EV28" s="17">
        <v>0</v>
      </c>
      <c r="EW28" s="17">
        <v>0</v>
      </c>
      <c r="EX28" s="70" t="e">
        <f t="shared" si="217"/>
        <v>#DIV/0!</v>
      </c>
      <c r="EY28" s="17">
        <v>0</v>
      </c>
      <c r="EZ28" s="17">
        <v>0</v>
      </c>
      <c r="FA28" s="70" t="e">
        <f t="shared" si="218"/>
        <v>#DIV/0!</v>
      </c>
      <c r="FB28" s="17">
        <v>0</v>
      </c>
      <c r="FC28" s="17">
        <v>0</v>
      </c>
      <c r="FD28" s="70" t="e">
        <f t="shared" si="219"/>
        <v>#DIV/0!</v>
      </c>
      <c r="FE28" s="17">
        <v>0</v>
      </c>
      <c r="FF28" s="17">
        <v>0</v>
      </c>
      <c r="FG28" s="70" t="e">
        <f t="shared" si="220"/>
        <v>#DIV/0!</v>
      </c>
      <c r="FH28" s="17">
        <v>0</v>
      </c>
      <c r="FI28" s="17">
        <v>0</v>
      </c>
    </row>
    <row r="29" spans="1:165" s="3" customFormat="1" ht="11.25" x14ac:dyDescent="0.2">
      <c r="A29" s="28"/>
      <c r="B29" s="28"/>
      <c r="C29" s="30"/>
      <c r="D29" s="28"/>
      <c r="E29" s="75"/>
      <c r="F29" s="75"/>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68"/>
      <c r="EP29" s="31"/>
      <c r="EQ29" s="31"/>
      <c r="ER29" s="68"/>
      <c r="ES29" s="31"/>
      <c r="ET29" s="31"/>
      <c r="EU29" s="68"/>
      <c r="EV29" s="31"/>
      <c r="EW29" s="31"/>
      <c r="EX29" s="68"/>
      <c r="EY29" s="31"/>
      <c r="EZ29" s="31"/>
      <c r="FA29" s="68"/>
      <c r="FB29" s="31"/>
      <c r="FC29" s="31"/>
      <c r="FD29" s="68"/>
      <c r="FE29" s="31"/>
      <c r="FF29" s="31"/>
      <c r="FG29" s="68"/>
      <c r="FH29" s="31"/>
      <c r="FI29" s="31"/>
    </row>
  </sheetData>
  <sheetProtection password="85B3" sheet="1" objects="1" scenarios="1" selectLockedCells="1"/>
  <customSheetViews>
    <customSheetView guid="{367BCCA4-BB9C-4067-9872-BFA4777F9377}" scale="80" showGridLines="0" fitToPage="1">
      <pane xSplit="2" ySplit="5" topLeftCell="C13" activePane="bottomRight" state="frozen"/>
      <selection pane="bottomRight" activeCell="B33" sqref="B33"/>
      <pageMargins left="0.7" right="0.7" top="0.75" bottom="0.75" header="0.3" footer="0.3"/>
      <pageSetup scale="67" fitToWidth="0" orientation="portrait" r:id="rId1"/>
    </customSheetView>
  </customSheetViews>
  <mergeCells count="223">
    <mergeCell ref="FD2:FF2"/>
    <mergeCell ref="FG2:FI2"/>
    <mergeCell ref="C1:C5"/>
    <mergeCell ref="DW2:DY2"/>
    <mergeCell ref="DZ2:EB2"/>
    <mergeCell ref="EC2:EE2"/>
    <mergeCell ref="EF2:EH2"/>
    <mergeCell ref="EI2:EK2"/>
    <mergeCell ref="EL2:EN2"/>
    <mergeCell ref="EO2:EQ2"/>
    <mergeCell ref="ER2:ET2"/>
    <mergeCell ref="EU2:EW2"/>
    <mergeCell ref="CV2:CX2"/>
    <mergeCell ref="CY2:DA2"/>
    <mergeCell ref="DB2:DD2"/>
    <mergeCell ref="DE2:DG2"/>
    <mergeCell ref="DH2:DJ2"/>
    <mergeCell ref="DK2:DM2"/>
    <mergeCell ref="DN2:DP2"/>
    <mergeCell ref="DQ2:DS2"/>
    <mergeCell ref="DT2:DV2"/>
    <mergeCell ref="BU2:BW2"/>
    <mergeCell ref="CA2:CC2"/>
    <mergeCell ref="CD2:CF2"/>
    <mergeCell ref="CG2:CI2"/>
    <mergeCell ref="CJ2:CL2"/>
    <mergeCell ref="CM2:CO2"/>
    <mergeCell ref="CP2:CR2"/>
    <mergeCell ref="CS2:CU2"/>
    <mergeCell ref="M1:FI1"/>
    <mergeCell ref="AE2:AG2"/>
    <mergeCell ref="AH2:AJ2"/>
    <mergeCell ref="AK2:AM2"/>
    <mergeCell ref="AN2:AP2"/>
    <mergeCell ref="AQ2:AS2"/>
    <mergeCell ref="AT2:AV2"/>
    <mergeCell ref="AW2:AY2"/>
    <mergeCell ref="AZ2:BB2"/>
    <mergeCell ref="BC2:BE2"/>
    <mergeCell ref="BF2:BH2"/>
    <mergeCell ref="BI2:BK2"/>
    <mergeCell ref="BL2:BN2"/>
    <mergeCell ref="BO2:BQ2"/>
    <mergeCell ref="BR2:BT2"/>
    <mergeCell ref="EX2:EZ2"/>
    <mergeCell ref="FA2:FC2"/>
    <mergeCell ref="M2:O2"/>
    <mergeCell ref="P2:R2"/>
    <mergeCell ref="S2:U2"/>
    <mergeCell ref="V2:X2"/>
    <mergeCell ref="Y2:AA2"/>
    <mergeCell ref="AB2:AD2"/>
    <mergeCell ref="P3:R3"/>
    <mergeCell ref="AB3:AD3"/>
    <mergeCell ref="BX2:BZ2"/>
    <mergeCell ref="A12:A16"/>
    <mergeCell ref="A18:A22"/>
    <mergeCell ref="P4:P5"/>
    <mergeCell ref="Q4:R4"/>
    <mergeCell ref="S3:U3"/>
    <mergeCell ref="S4:S5"/>
    <mergeCell ref="T4:U4"/>
    <mergeCell ref="M3:O3"/>
    <mergeCell ref="M4:M5"/>
    <mergeCell ref="N4:O4"/>
    <mergeCell ref="AB4:AB5"/>
    <mergeCell ref="AC4:AD4"/>
    <mergeCell ref="AE3:AG3"/>
    <mergeCell ref="AE4:AE5"/>
    <mergeCell ref="AF4:AG4"/>
    <mergeCell ref="V3:X3"/>
    <mergeCell ref="V4:V5"/>
    <mergeCell ref="A24:A28"/>
    <mergeCell ref="A1:A5"/>
    <mergeCell ref="B1:B5"/>
    <mergeCell ref="D1:L1"/>
    <mergeCell ref="G3:I3"/>
    <mergeCell ref="E4:F4"/>
    <mergeCell ref="H4:I4"/>
    <mergeCell ref="G4:G5"/>
    <mergeCell ref="A6:A10"/>
    <mergeCell ref="G2:I2"/>
    <mergeCell ref="D2:F3"/>
    <mergeCell ref="J2:L2"/>
    <mergeCell ref="J3:L3"/>
    <mergeCell ref="J4:J5"/>
    <mergeCell ref="K4:L4"/>
    <mergeCell ref="W4:X4"/>
    <mergeCell ref="Y3:AA3"/>
    <mergeCell ref="Y4:Y5"/>
    <mergeCell ref="Z4:AA4"/>
    <mergeCell ref="AN3:AP3"/>
    <mergeCell ref="AN4:AN5"/>
    <mergeCell ref="AO4:AP4"/>
    <mergeCell ref="AQ3:AS3"/>
    <mergeCell ref="AQ4:AQ5"/>
    <mergeCell ref="AR4:AS4"/>
    <mergeCell ref="AH3:AJ3"/>
    <mergeCell ref="AH4:AH5"/>
    <mergeCell ref="AI4:AJ4"/>
    <mergeCell ref="AK3:AM3"/>
    <mergeCell ref="AK4:AK5"/>
    <mergeCell ref="AL4:AM4"/>
    <mergeCell ref="AZ3:BB3"/>
    <mergeCell ref="AZ4:AZ5"/>
    <mergeCell ref="BA4:BB4"/>
    <mergeCell ref="BC3:BE3"/>
    <mergeCell ref="BC4:BC5"/>
    <mergeCell ref="BD4:BE4"/>
    <mergeCell ref="AT3:AV3"/>
    <mergeCell ref="AT4:AT5"/>
    <mergeCell ref="AU4:AV4"/>
    <mergeCell ref="AW3:AY3"/>
    <mergeCell ref="AW4:AW5"/>
    <mergeCell ref="AX4:AY4"/>
    <mergeCell ref="BL3:BN3"/>
    <mergeCell ref="BL4:BL5"/>
    <mergeCell ref="BM4:BN4"/>
    <mergeCell ref="BO3:BQ3"/>
    <mergeCell ref="BO4:BO5"/>
    <mergeCell ref="BP4:BQ4"/>
    <mergeCell ref="BF3:BH3"/>
    <mergeCell ref="BF4:BF5"/>
    <mergeCell ref="BG4:BH4"/>
    <mergeCell ref="BI3:BK3"/>
    <mergeCell ref="BI4:BI5"/>
    <mergeCell ref="BJ4:BK4"/>
    <mergeCell ref="BX3:BZ3"/>
    <mergeCell ref="BX4:BX5"/>
    <mergeCell ref="BY4:BZ4"/>
    <mergeCell ref="CA3:CC3"/>
    <mergeCell ref="CA4:CA5"/>
    <mergeCell ref="CB4:CC4"/>
    <mergeCell ref="BR3:BT3"/>
    <mergeCell ref="BR4:BR5"/>
    <mergeCell ref="BS4:BT4"/>
    <mergeCell ref="BU3:BW3"/>
    <mergeCell ref="BU4:BU5"/>
    <mergeCell ref="BV4:BW4"/>
    <mergeCell ref="CJ3:CL3"/>
    <mergeCell ref="CJ4:CJ5"/>
    <mergeCell ref="CK4:CL4"/>
    <mergeCell ref="CM3:CO3"/>
    <mergeCell ref="CM4:CM5"/>
    <mergeCell ref="CN4:CO4"/>
    <mergeCell ref="CD3:CF3"/>
    <mergeCell ref="CD4:CD5"/>
    <mergeCell ref="CE4:CF4"/>
    <mergeCell ref="CG3:CI3"/>
    <mergeCell ref="CG4:CG5"/>
    <mergeCell ref="CH4:CI4"/>
    <mergeCell ref="CV3:CX3"/>
    <mergeCell ref="CV4:CV5"/>
    <mergeCell ref="CW4:CX4"/>
    <mergeCell ref="CY3:DA3"/>
    <mergeCell ref="CY4:CY5"/>
    <mergeCell ref="CZ4:DA4"/>
    <mergeCell ref="CP3:CR3"/>
    <mergeCell ref="CP4:CP5"/>
    <mergeCell ref="CQ4:CR4"/>
    <mergeCell ref="CS3:CU3"/>
    <mergeCell ref="CS4:CS5"/>
    <mergeCell ref="CT4:CU4"/>
    <mergeCell ref="DH3:DJ3"/>
    <mergeCell ref="DH4:DH5"/>
    <mergeCell ref="DI4:DJ4"/>
    <mergeCell ref="DK3:DM3"/>
    <mergeCell ref="DK4:DK5"/>
    <mergeCell ref="DL4:DM4"/>
    <mergeCell ref="DB3:DD3"/>
    <mergeCell ref="DB4:DB5"/>
    <mergeCell ref="DC4:DD4"/>
    <mergeCell ref="DE3:DG3"/>
    <mergeCell ref="DE4:DE5"/>
    <mergeCell ref="DF4:DG4"/>
    <mergeCell ref="DT3:DV3"/>
    <mergeCell ref="DT4:DT5"/>
    <mergeCell ref="DU4:DV4"/>
    <mergeCell ref="DW3:DY3"/>
    <mergeCell ref="DW4:DW5"/>
    <mergeCell ref="DX4:DY4"/>
    <mergeCell ref="DN3:DP3"/>
    <mergeCell ref="DN4:DN5"/>
    <mergeCell ref="DO4:DP4"/>
    <mergeCell ref="DQ3:DS3"/>
    <mergeCell ref="DQ4:DQ5"/>
    <mergeCell ref="DR4:DS4"/>
    <mergeCell ref="EF3:EH3"/>
    <mergeCell ref="EF4:EF5"/>
    <mergeCell ref="EG4:EH4"/>
    <mergeCell ref="EI3:EK3"/>
    <mergeCell ref="EI4:EI5"/>
    <mergeCell ref="EJ4:EK4"/>
    <mergeCell ref="DZ3:EB3"/>
    <mergeCell ref="DZ4:DZ5"/>
    <mergeCell ref="EA4:EB4"/>
    <mergeCell ref="EC3:EE3"/>
    <mergeCell ref="EC4:EC5"/>
    <mergeCell ref="ED4:EE4"/>
    <mergeCell ref="ER3:ET3"/>
    <mergeCell ref="ER4:ER5"/>
    <mergeCell ref="ES4:ET4"/>
    <mergeCell ref="EU3:EW3"/>
    <mergeCell ref="EU4:EU5"/>
    <mergeCell ref="EV4:EW4"/>
    <mergeCell ref="EL3:EN3"/>
    <mergeCell ref="EL4:EL5"/>
    <mergeCell ref="EM4:EN4"/>
    <mergeCell ref="EO3:EQ3"/>
    <mergeCell ref="EO4:EO5"/>
    <mergeCell ref="EP4:EQ4"/>
    <mergeCell ref="FD3:FF3"/>
    <mergeCell ref="FD4:FD5"/>
    <mergeCell ref="FE4:FF4"/>
    <mergeCell ref="FG3:FI3"/>
    <mergeCell ref="FG4:FG5"/>
    <mergeCell ref="FH4:FI4"/>
    <mergeCell ref="EX3:EZ3"/>
    <mergeCell ref="EX4:EX5"/>
    <mergeCell ref="EY4:EZ4"/>
    <mergeCell ref="FA3:FC3"/>
    <mergeCell ref="FA4:FA5"/>
    <mergeCell ref="FB4:FC4"/>
  </mergeCells>
  <pageMargins left="0.7" right="0.7" top="0.75" bottom="0.75" header="0.3" footer="0.3"/>
  <pageSetup scale="67" fitToWidth="0"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H1838"/>
  <sheetViews>
    <sheetView showGridLines="0" workbookViewId="0">
      <selection activeCell="B8" sqref="B8"/>
    </sheetView>
  </sheetViews>
  <sheetFormatPr defaultColWidth="8.85546875" defaultRowHeight="15" x14ac:dyDescent="0.25"/>
  <cols>
    <col min="1" max="1" width="3.85546875" style="24" customWidth="1"/>
    <col min="2" max="2" width="86.42578125" style="24" customWidth="1"/>
    <col min="3" max="216" width="8.85546875" style="159"/>
    <col min="217" max="16384" width="8.85546875" style="24"/>
  </cols>
  <sheetData>
    <row r="1" spans="1:216" ht="30.75" customHeight="1" x14ac:dyDescent="0.3">
      <c r="A1" s="247" t="s">
        <v>62</v>
      </c>
      <c r="B1" s="247"/>
    </row>
    <row r="2" spans="1:216" ht="69.95" customHeight="1" x14ac:dyDescent="0.25">
      <c r="A2" s="57">
        <v>1</v>
      </c>
      <c r="B2" s="19"/>
    </row>
    <row r="3" spans="1:216" s="60" customFormat="1" ht="10.15" x14ac:dyDescent="0.2">
      <c r="A3" s="184"/>
      <c r="B3" s="184"/>
      <c r="C3" s="158"/>
      <c r="D3" s="158"/>
      <c r="E3" s="158"/>
      <c r="F3" s="158"/>
      <c r="G3" s="158"/>
      <c r="H3" s="158"/>
      <c r="I3" s="158"/>
      <c r="J3" s="158"/>
      <c r="K3" s="158"/>
      <c r="L3" s="158"/>
      <c r="M3" s="158"/>
      <c r="N3" s="158"/>
      <c r="O3" s="158"/>
      <c r="P3" s="158"/>
      <c r="Q3" s="158"/>
      <c r="R3" s="158"/>
      <c r="S3" s="158"/>
      <c r="T3" s="158"/>
      <c r="U3" s="158"/>
      <c r="V3" s="158"/>
      <c r="W3" s="158"/>
      <c r="X3" s="158"/>
      <c r="Y3" s="158"/>
      <c r="Z3" s="158"/>
      <c r="AA3" s="158"/>
      <c r="AB3" s="158"/>
      <c r="AC3" s="158"/>
      <c r="AD3" s="158"/>
      <c r="AE3" s="158"/>
      <c r="AF3" s="158"/>
      <c r="AG3" s="158"/>
      <c r="AH3" s="158"/>
      <c r="AI3" s="158"/>
      <c r="AJ3" s="158"/>
      <c r="AK3" s="158"/>
      <c r="AL3" s="158"/>
      <c r="AM3" s="158"/>
      <c r="AN3" s="158"/>
      <c r="AO3" s="158"/>
      <c r="AP3" s="158"/>
      <c r="AQ3" s="158"/>
      <c r="AR3" s="158"/>
      <c r="AS3" s="158"/>
      <c r="AT3" s="158"/>
      <c r="AU3" s="158"/>
      <c r="AV3" s="158"/>
      <c r="AW3" s="158"/>
      <c r="AX3" s="158"/>
      <c r="AY3" s="158"/>
      <c r="AZ3" s="158"/>
      <c r="BA3" s="158"/>
      <c r="BB3" s="158"/>
      <c r="BC3" s="158"/>
      <c r="BD3" s="158"/>
      <c r="BE3" s="158"/>
      <c r="BF3" s="158"/>
      <c r="BG3" s="158"/>
      <c r="BH3" s="158"/>
      <c r="BI3" s="158"/>
      <c r="BJ3" s="158"/>
      <c r="BK3" s="158"/>
      <c r="BL3" s="158"/>
      <c r="BM3" s="158"/>
      <c r="BN3" s="158"/>
      <c r="BO3" s="158"/>
      <c r="BP3" s="158"/>
      <c r="BQ3" s="158"/>
      <c r="BR3" s="158"/>
      <c r="BS3" s="158"/>
      <c r="BT3" s="158"/>
      <c r="BU3" s="158"/>
      <c r="BV3" s="158"/>
      <c r="BW3" s="158"/>
      <c r="BX3" s="158"/>
      <c r="BY3" s="158"/>
      <c r="BZ3" s="158"/>
      <c r="CA3" s="158"/>
      <c r="CB3" s="158"/>
      <c r="CC3" s="158"/>
      <c r="CD3" s="158"/>
      <c r="CE3" s="158"/>
      <c r="CF3" s="158"/>
      <c r="CG3" s="158"/>
      <c r="CH3" s="158"/>
      <c r="CI3" s="158"/>
      <c r="CJ3" s="158"/>
      <c r="CK3" s="158"/>
      <c r="CL3" s="158"/>
      <c r="CM3" s="158"/>
      <c r="CN3" s="158"/>
      <c r="CO3" s="158"/>
      <c r="CP3" s="158"/>
      <c r="CQ3" s="158"/>
      <c r="CR3" s="158"/>
      <c r="CS3" s="158"/>
      <c r="CT3" s="158"/>
      <c r="CU3" s="158"/>
      <c r="CV3" s="158"/>
      <c r="CW3" s="158"/>
      <c r="CX3" s="158"/>
      <c r="CY3" s="158"/>
      <c r="CZ3" s="158"/>
      <c r="DA3" s="158"/>
      <c r="DB3" s="158"/>
      <c r="DC3" s="158"/>
      <c r="DD3" s="158"/>
      <c r="DE3" s="158"/>
      <c r="DF3" s="158"/>
      <c r="DG3" s="158"/>
      <c r="DH3" s="158"/>
      <c r="DI3" s="158"/>
      <c r="DJ3" s="158"/>
      <c r="DK3" s="158"/>
      <c r="DL3" s="158"/>
      <c r="DM3" s="158"/>
      <c r="DN3" s="158"/>
      <c r="DO3" s="158"/>
      <c r="DP3" s="158"/>
      <c r="DQ3" s="158"/>
      <c r="DR3" s="158"/>
      <c r="DS3" s="158"/>
      <c r="DT3" s="158"/>
      <c r="DU3" s="158"/>
      <c r="DV3" s="158"/>
      <c r="DW3" s="158"/>
      <c r="DX3" s="158"/>
      <c r="DY3" s="158"/>
      <c r="DZ3" s="158"/>
      <c r="EA3" s="158"/>
      <c r="EB3" s="158"/>
      <c r="EC3" s="158"/>
      <c r="ED3" s="158"/>
      <c r="EE3" s="158"/>
      <c r="EF3" s="158"/>
      <c r="EG3" s="158"/>
      <c r="EH3" s="158"/>
      <c r="EI3" s="158"/>
      <c r="EJ3" s="158"/>
      <c r="EK3" s="158"/>
      <c r="EL3" s="158"/>
      <c r="EM3" s="158"/>
      <c r="EN3" s="158"/>
      <c r="EO3" s="158"/>
      <c r="EP3" s="158"/>
      <c r="EQ3" s="158"/>
      <c r="ER3" s="158"/>
      <c r="ES3" s="158"/>
      <c r="ET3" s="158"/>
      <c r="EU3" s="158"/>
      <c r="EV3" s="158"/>
      <c r="EW3" s="158"/>
      <c r="EX3" s="158"/>
      <c r="EY3" s="158"/>
      <c r="EZ3" s="158"/>
      <c r="FA3" s="158"/>
      <c r="FB3" s="158"/>
      <c r="FC3" s="158"/>
      <c r="FD3" s="158"/>
      <c r="FE3" s="158"/>
      <c r="FF3" s="158"/>
      <c r="FG3" s="158"/>
      <c r="FH3" s="158"/>
      <c r="FI3" s="158"/>
      <c r="FJ3" s="158"/>
      <c r="FK3" s="158"/>
      <c r="FL3" s="158"/>
      <c r="FM3" s="158"/>
      <c r="FN3" s="158"/>
      <c r="FO3" s="158"/>
      <c r="FP3" s="158"/>
      <c r="FQ3" s="158"/>
      <c r="FR3" s="158"/>
      <c r="FS3" s="158"/>
      <c r="FT3" s="158"/>
      <c r="FU3" s="158"/>
      <c r="FV3" s="158"/>
      <c r="FW3" s="158"/>
      <c r="FX3" s="158"/>
      <c r="FY3" s="158"/>
      <c r="FZ3" s="158"/>
      <c r="GA3" s="158"/>
      <c r="GB3" s="158"/>
      <c r="GC3" s="158"/>
      <c r="GD3" s="158"/>
      <c r="GE3" s="158"/>
      <c r="GF3" s="158"/>
      <c r="GG3" s="158"/>
      <c r="GH3" s="158"/>
      <c r="GI3" s="158"/>
      <c r="GJ3" s="158"/>
      <c r="GK3" s="158"/>
      <c r="GL3" s="158"/>
      <c r="GM3" s="158"/>
      <c r="GN3" s="158"/>
      <c r="GO3" s="158"/>
      <c r="GP3" s="158"/>
      <c r="GQ3" s="158"/>
      <c r="GR3" s="158"/>
      <c r="GS3" s="158"/>
      <c r="GT3" s="158"/>
      <c r="GU3" s="158"/>
      <c r="GV3" s="158"/>
      <c r="GW3" s="158"/>
      <c r="GX3" s="158"/>
      <c r="GY3" s="158"/>
      <c r="GZ3" s="158"/>
      <c r="HA3" s="158"/>
      <c r="HB3" s="158"/>
      <c r="HC3" s="158"/>
      <c r="HD3" s="158"/>
      <c r="HE3" s="158"/>
      <c r="HF3" s="158"/>
      <c r="HG3" s="158"/>
      <c r="HH3" s="158"/>
    </row>
    <row r="4" spans="1:216" ht="69.95" customHeight="1" x14ac:dyDescent="0.3">
      <c r="A4" s="52">
        <v>2</v>
      </c>
      <c r="B4" s="19"/>
    </row>
    <row r="5" spans="1:216" s="60" customFormat="1" ht="10.15" x14ac:dyDescent="0.2">
      <c r="A5" s="184"/>
      <c r="B5" s="184"/>
      <c r="C5" s="158"/>
      <c r="D5" s="158"/>
      <c r="E5" s="158"/>
      <c r="F5" s="158"/>
      <c r="G5" s="158"/>
      <c r="H5" s="158"/>
      <c r="I5" s="158"/>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158"/>
      <c r="AZ5" s="158"/>
      <c r="BA5" s="158"/>
      <c r="BB5" s="158"/>
      <c r="BC5" s="158"/>
      <c r="BD5" s="158"/>
      <c r="BE5" s="158"/>
      <c r="BF5" s="158"/>
      <c r="BG5" s="158"/>
      <c r="BH5" s="158"/>
      <c r="BI5" s="158"/>
      <c r="BJ5" s="158"/>
      <c r="BK5" s="158"/>
      <c r="BL5" s="158"/>
      <c r="BM5" s="158"/>
      <c r="BN5" s="158"/>
      <c r="BO5" s="158"/>
      <c r="BP5" s="158"/>
      <c r="BQ5" s="158"/>
      <c r="BR5" s="158"/>
      <c r="BS5" s="158"/>
      <c r="BT5" s="158"/>
      <c r="BU5" s="158"/>
      <c r="BV5" s="158"/>
      <c r="BW5" s="158"/>
      <c r="BX5" s="158"/>
      <c r="BY5" s="158"/>
      <c r="BZ5" s="158"/>
      <c r="CA5" s="158"/>
      <c r="CB5" s="158"/>
      <c r="CC5" s="158"/>
      <c r="CD5" s="158"/>
      <c r="CE5" s="158"/>
      <c r="CF5" s="158"/>
      <c r="CG5" s="158"/>
      <c r="CH5" s="158"/>
      <c r="CI5" s="158"/>
      <c r="CJ5" s="158"/>
      <c r="CK5" s="158"/>
      <c r="CL5" s="158"/>
      <c r="CM5" s="158"/>
      <c r="CN5" s="158"/>
      <c r="CO5" s="158"/>
      <c r="CP5" s="158"/>
      <c r="CQ5" s="158"/>
      <c r="CR5" s="158"/>
      <c r="CS5" s="158"/>
      <c r="CT5" s="158"/>
      <c r="CU5" s="158"/>
      <c r="CV5" s="158"/>
      <c r="CW5" s="158"/>
      <c r="CX5" s="158"/>
      <c r="CY5" s="158"/>
      <c r="CZ5" s="158"/>
      <c r="DA5" s="158"/>
      <c r="DB5" s="158"/>
      <c r="DC5" s="158"/>
      <c r="DD5" s="158"/>
      <c r="DE5" s="158"/>
      <c r="DF5" s="158"/>
      <c r="DG5" s="158"/>
      <c r="DH5" s="158"/>
      <c r="DI5" s="158"/>
      <c r="DJ5" s="158"/>
      <c r="DK5" s="158"/>
      <c r="DL5" s="158"/>
      <c r="DM5" s="158"/>
      <c r="DN5" s="158"/>
      <c r="DO5" s="158"/>
      <c r="DP5" s="158"/>
      <c r="DQ5" s="158"/>
      <c r="DR5" s="158"/>
      <c r="DS5" s="158"/>
      <c r="DT5" s="158"/>
      <c r="DU5" s="158"/>
      <c r="DV5" s="158"/>
      <c r="DW5" s="158"/>
      <c r="DX5" s="158"/>
      <c r="DY5" s="158"/>
      <c r="DZ5" s="158"/>
      <c r="EA5" s="158"/>
      <c r="EB5" s="158"/>
      <c r="EC5" s="158"/>
      <c r="ED5" s="158"/>
      <c r="EE5" s="158"/>
      <c r="EF5" s="158"/>
      <c r="EG5" s="158"/>
      <c r="EH5" s="158"/>
      <c r="EI5" s="158"/>
      <c r="EJ5" s="158"/>
      <c r="EK5" s="158"/>
      <c r="EL5" s="158"/>
      <c r="EM5" s="158"/>
      <c r="EN5" s="158"/>
      <c r="EO5" s="158"/>
      <c r="EP5" s="158"/>
      <c r="EQ5" s="158"/>
      <c r="ER5" s="158"/>
      <c r="ES5" s="158"/>
      <c r="ET5" s="158"/>
      <c r="EU5" s="158"/>
      <c r="EV5" s="158"/>
      <c r="EW5" s="158"/>
      <c r="EX5" s="158"/>
      <c r="EY5" s="158"/>
      <c r="EZ5" s="158"/>
      <c r="FA5" s="158"/>
      <c r="FB5" s="158"/>
      <c r="FC5" s="158"/>
      <c r="FD5" s="158"/>
      <c r="FE5" s="158"/>
      <c r="FF5" s="158"/>
      <c r="FG5" s="158"/>
      <c r="FH5" s="158"/>
      <c r="FI5" s="158"/>
      <c r="FJ5" s="158"/>
      <c r="FK5" s="158"/>
      <c r="FL5" s="158"/>
      <c r="FM5" s="158"/>
      <c r="FN5" s="158"/>
      <c r="FO5" s="158"/>
      <c r="FP5" s="158"/>
      <c r="FQ5" s="158"/>
      <c r="FR5" s="158"/>
      <c r="FS5" s="158"/>
      <c r="FT5" s="158"/>
      <c r="FU5" s="158"/>
      <c r="FV5" s="158"/>
      <c r="FW5" s="158"/>
      <c r="FX5" s="158"/>
      <c r="FY5" s="158"/>
      <c r="FZ5" s="158"/>
      <c r="GA5" s="158"/>
      <c r="GB5" s="158"/>
      <c r="GC5" s="158"/>
      <c r="GD5" s="158"/>
      <c r="GE5" s="158"/>
      <c r="GF5" s="158"/>
      <c r="GG5" s="158"/>
      <c r="GH5" s="158"/>
      <c r="GI5" s="158"/>
      <c r="GJ5" s="158"/>
      <c r="GK5" s="158"/>
      <c r="GL5" s="158"/>
      <c r="GM5" s="158"/>
      <c r="GN5" s="158"/>
      <c r="GO5" s="158"/>
      <c r="GP5" s="158"/>
      <c r="GQ5" s="158"/>
      <c r="GR5" s="158"/>
      <c r="GS5" s="158"/>
      <c r="GT5" s="158"/>
      <c r="GU5" s="158"/>
      <c r="GV5" s="158"/>
      <c r="GW5" s="158"/>
      <c r="GX5" s="158"/>
      <c r="GY5" s="158"/>
      <c r="GZ5" s="158"/>
      <c r="HA5" s="158"/>
      <c r="HB5" s="158"/>
      <c r="HC5" s="158"/>
      <c r="HD5" s="158"/>
      <c r="HE5" s="158"/>
      <c r="HF5" s="158"/>
      <c r="HG5" s="158"/>
      <c r="HH5" s="158"/>
    </row>
    <row r="6" spans="1:216" ht="69.95" customHeight="1" x14ac:dyDescent="0.3">
      <c r="A6" s="52">
        <v>3</v>
      </c>
      <c r="B6" s="19"/>
    </row>
    <row r="7" spans="1:216" s="60" customFormat="1" ht="11.25" x14ac:dyDescent="0.2">
      <c r="A7" s="184"/>
      <c r="B7" s="184"/>
      <c r="C7" s="158"/>
      <c r="D7" s="158"/>
      <c r="E7" s="158"/>
      <c r="F7" s="158"/>
      <c r="G7" s="158"/>
      <c r="H7" s="158"/>
      <c r="I7" s="158"/>
      <c r="J7" s="158"/>
      <c r="K7" s="158"/>
      <c r="L7" s="158"/>
      <c r="M7" s="158"/>
      <c r="N7" s="158"/>
      <c r="O7" s="158"/>
      <c r="P7" s="158"/>
      <c r="Q7" s="158"/>
      <c r="R7" s="158"/>
      <c r="S7" s="158"/>
      <c r="T7" s="158"/>
      <c r="U7" s="158"/>
      <c r="V7" s="158"/>
      <c r="W7" s="158"/>
      <c r="X7" s="158"/>
      <c r="Y7" s="158"/>
      <c r="Z7" s="158"/>
      <c r="AA7" s="158"/>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c r="BZ7" s="158"/>
      <c r="CA7" s="158"/>
      <c r="CB7" s="158"/>
      <c r="CC7" s="158"/>
      <c r="CD7" s="158"/>
      <c r="CE7" s="158"/>
      <c r="CF7" s="158"/>
      <c r="CG7" s="158"/>
      <c r="CH7" s="158"/>
      <c r="CI7" s="158"/>
      <c r="CJ7" s="158"/>
      <c r="CK7" s="158"/>
      <c r="CL7" s="158"/>
      <c r="CM7" s="158"/>
      <c r="CN7" s="158"/>
      <c r="CO7" s="158"/>
      <c r="CP7" s="158"/>
      <c r="CQ7" s="158"/>
      <c r="CR7" s="158"/>
      <c r="CS7" s="158"/>
      <c r="CT7" s="158"/>
      <c r="CU7" s="158"/>
      <c r="CV7" s="158"/>
      <c r="CW7" s="158"/>
      <c r="CX7" s="158"/>
      <c r="CY7" s="158"/>
      <c r="CZ7" s="158"/>
      <c r="DA7" s="158"/>
      <c r="DB7" s="158"/>
      <c r="DC7" s="158"/>
      <c r="DD7" s="158"/>
      <c r="DE7" s="158"/>
      <c r="DF7" s="158"/>
      <c r="DG7" s="158"/>
      <c r="DH7" s="158"/>
      <c r="DI7" s="158"/>
      <c r="DJ7" s="158"/>
      <c r="DK7" s="158"/>
      <c r="DL7" s="158"/>
      <c r="DM7" s="158"/>
      <c r="DN7" s="158"/>
      <c r="DO7" s="158"/>
      <c r="DP7" s="158"/>
      <c r="DQ7" s="158"/>
      <c r="DR7" s="158"/>
      <c r="DS7" s="158"/>
      <c r="DT7" s="158"/>
      <c r="DU7" s="158"/>
      <c r="DV7" s="158"/>
      <c r="DW7" s="158"/>
      <c r="DX7" s="158"/>
      <c r="DY7" s="158"/>
      <c r="DZ7" s="158"/>
      <c r="EA7" s="158"/>
      <c r="EB7" s="158"/>
      <c r="EC7" s="158"/>
      <c r="ED7" s="158"/>
      <c r="EE7" s="158"/>
      <c r="EF7" s="158"/>
      <c r="EG7" s="158"/>
      <c r="EH7" s="158"/>
      <c r="EI7" s="158"/>
      <c r="EJ7" s="158"/>
      <c r="EK7" s="158"/>
      <c r="EL7" s="158"/>
      <c r="EM7" s="158"/>
      <c r="EN7" s="158"/>
      <c r="EO7" s="158"/>
      <c r="EP7" s="158"/>
      <c r="EQ7" s="158"/>
      <c r="ER7" s="158"/>
      <c r="ES7" s="158"/>
      <c r="ET7" s="158"/>
      <c r="EU7" s="158"/>
      <c r="EV7" s="158"/>
      <c r="EW7" s="158"/>
      <c r="EX7" s="158"/>
      <c r="EY7" s="158"/>
      <c r="EZ7" s="158"/>
      <c r="FA7" s="158"/>
      <c r="FB7" s="158"/>
      <c r="FC7" s="158"/>
      <c r="FD7" s="158"/>
      <c r="FE7" s="158"/>
      <c r="FF7" s="158"/>
      <c r="FG7" s="158"/>
      <c r="FH7" s="158"/>
      <c r="FI7" s="158"/>
      <c r="FJ7" s="158"/>
      <c r="FK7" s="158"/>
      <c r="FL7" s="158"/>
      <c r="FM7" s="158"/>
      <c r="FN7" s="158"/>
      <c r="FO7" s="158"/>
      <c r="FP7" s="158"/>
      <c r="FQ7" s="158"/>
      <c r="FR7" s="158"/>
      <c r="FS7" s="158"/>
      <c r="FT7" s="158"/>
      <c r="FU7" s="158"/>
      <c r="FV7" s="158"/>
      <c r="FW7" s="158"/>
      <c r="FX7" s="158"/>
      <c r="FY7" s="158"/>
      <c r="FZ7" s="158"/>
      <c r="GA7" s="158"/>
      <c r="GB7" s="158"/>
      <c r="GC7" s="158"/>
      <c r="GD7" s="158"/>
      <c r="GE7" s="158"/>
      <c r="GF7" s="158"/>
      <c r="GG7" s="158"/>
      <c r="GH7" s="158"/>
      <c r="GI7" s="158"/>
      <c r="GJ7" s="158"/>
      <c r="GK7" s="158"/>
      <c r="GL7" s="158"/>
      <c r="GM7" s="158"/>
      <c r="GN7" s="158"/>
      <c r="GO7" s="158"/>
      <c r="GP7" s="158"/>
      <c r="GQ7" s="158"/>
      <c r="GR7" s="158"/>
      <c r="GS7" s="158"/>
      <c r="GT7" s="158"/>
      <c r="GU7" s="158"/>
      <c r="GV7" s="158"/>
      <c r="GW7" s="158"/>
      <c r="GX7" s="158"/>
      <c r="GY7" s="158"/>
      <c r="GZ7" s="158"/>
      <c r="HA7" s="158"/>
      <c r="HB7" s="158"/>
      <c r="HC7" s="158"/>
      <c r="HD7" s="158"/>
      <c r="HE7" s="158"/>
      <c r="HF7" s="158"/>
      <c r="HG7" s="158"/>
      <c r="HH7" s="158"/>
    </row>
    <row r="8" spans="1:216" ht="69.95" customHeight="1" x14ac:dyDescent="0.25">
      <c r="A8" s="52">
        <v>4</v>
      </c>
      <c r="B8" s="19"/>
    </row>
    <row r="9" spans="1:216" s="60" customFormat="1" ht="11.25" x14ac:dyDescent="0.2">
      <c r="A9" s="184"/>
      <c r="B9" s="184"/>
      <c r="C9" s="158"/>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8"/>
      <c r="CH9" s="158"/>
      <c r="CI9" s="158"/>
      <c r="CJ9" s="158"/>
      <c r="CK9" s="158"/>
      <c r="CL9" s="158"/>
      <c r="CM9" s="158"/>
      <c r="CN9" s="158"/>
      <c r="CO9" s="158"/>
      <c r="CP9" s="158"/>
      <c r="CQ9" s="158"/>
      <c r="CR9" s="158"/>
      <c r="CS9" s="158"/>
      <c r="CT9" s="158"/>
      <c r="CU9" s="158"/>
      <c r="CV9" s="158"/>
      <c r="CW9" s="158"/>
      <c r="CX9" s="158"/>
      <c r="CY9" s="158"/>
      <c r="CZ9" s="158"/>
      <c r="DA9" s="158"/>
      <c r="DB9" s="158"/>
      <c r="DC9" s="158"/>
      <c r="DD9" s="158"/>
      <c r="DE9" s="158"/>
      <c r="DF9" s="158"/>
      <c r="DG9" s="158"/>
      <c r="DH9" s="158"/>
      <c r="DI9" s="158"/>
      <c r="DJ9" s="158"/>
      <c r="DK9" s="158"/>
      <c r="DL9" s="158"/>
      <c r="DM9" s="158"/>
      <c r="DN9" s="158"/>
      <c r="DO9" s="158"/>
      <c r="DP9" s="158"/>
      <c r="DQ9" s="158"/>
      <c r="DR9" s="158"/>
      <c r="DS9" s="158"/>
      <c r="DT9" s="158"/>
      <c r="DU9" s="158"/>
      <c r="DV9" s="158"/>
      <c r="DW9" s="158"/>
      <c r="DX9" s="158"/>
      <c r="DY9" s="158"/>
      <c r="DZ9" s="158"/>
      <c r="EA9" s="158"/>
      <c r="EB9" s="158"/>
      <c r="EC9" s="158"/>
      <c r="ED9" s="158"/>
      <c r="EE9" s="158"/>
      <c r="EF9" s="158"/>
      <c r="EG9" s="158"/>
      <c r="EH9" s="158"/>
      <c r="EI9" s="158"/>
      <c r="EJ9" s="158"/>
      <c r="EK9" s="158"/>
      <c r="EL9" s="158"/>
      <c r="EM9" s="158"/>
      <c r="EN9" s="158"/>
      <c r="EO9" s="158"/>
      <c r="EP9" s="158"/>
      <c r="EQ9" s="158"/>
      <c r="ER9" s="158"/>
      <c r="ES9" s="158"/>
      <c r="ET9" s="158"/>
      <c r="EU9" s="158"/>
      <c r="EV9" s="158"/>
      <c r="EW9" s="158"/>
      <c r="EX9" s="158"/>
      <c r="EY9" s="158"/>
      <c r="EZ9" s="158"/>
      <c r="FA9" s="158"/>
      <c r="FB9" s="158"/>
      <c r="FC9" s="158"/>
      <c r="FD9" s="158"/>
      <c r="FE9" s="158"/>
      <c r="FF9" s="158"/>
      <c r="FG9" s="158"/>
      <c r="FH9" s="158"/>
      <c r="FI9" s="158"/>
      <c r="FJ9" s="158"/>
      <c r="FK9" s="158"/>
      <c r="FL9" s="158"/>
      <c r="FM9" s="158"/>
      <c r="FN9" s="158"/>
      <c r="FO9" s="158"/>
      <c r="FP9" s="158"/>
      <c r="FQ9" s="158"/>
      <c r="FR9" s="158"/>
      <c r="FS9" s="158"/>
      <c r="FT9" s="158"/>
      <c r="FU9" s="158"/>
      <c r="FV9" s="158"/>
      <c r="FW9" s="158"/>
      <c r="FX9" s="158"/>
      <c r="FY9" s="158"/>
      <c r="FZ9" s="158"/>
      <c r="GA9" s="158"/>
      <c r="GB9" s="158"/>
      <c r="GC9" s="158"/>
      <c r="GD9" s="158"/>
      <c r="GE9" s="158"/>
      <c r="GF9" s="158"/>
      <c r="GG9" s="158"/>
      <c r="GH9" s="158"/>
      <c r="GI9" s="158"/>
      <c r="GJ9" s="158"/>
      <c r="GK9" s="158"/>
      <c r="GL9" s="158"/>
      <c r="GM9" s="158"/>
      <c r="GN9" s="158"/>
      <c r="GO9" s="158"/>
      <c r="GP9" s="158"/>
      <c r="GQ9" s="158"/>
      <c r="GR9" s="158"/>
      <c r="GS9" s="158"/>
      <c r="GT9" s="158"/>
      <c r="GU9" s="158"/>
      <c r="GV9" s="158"/>
      <c r="GW9" s="158"/>
      <c r="GX9" s="158"/>
      <c r="GY9" s="158"/>
      <c r="GZ9" s="158"/>
      <c r="HA9" s="158"/>
      <c r="HB9" s="158"/>
      <c r="HC9" s="158"/>
      <c r="HD9" s="158"/>
      <c r="HE9" s="158"/>
      <c r="HF9" s="158"/>
      <c r="HG9" s="158"/>
      <c r="HH9" s="158"/>
    </row>
    <row r="10" spans="1:216" ht="69.95" customHeight="1" x14ac:dyDescent="0.25">
      <c r="A10" s="52">
        <v>5</v>
      </c>
      <c r="B10" s="19"/>
    </row>
    <row r="11" spans="1:216" s="60" customFormat="1" ht="11.25" x14ac:dyDescent="0.2">
      <c r="A11" s="184"/>
      <c r="B11" s="184"/>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c r="BZ11" s="158"/>
      <c r="CA11" s="158"/>
      <c r="CB11" s="158"/>
      <c r="CC11" s="158"/>
      <c r="CD11" s="158"/>
      <c r="CE11" s="158"/>
      <c r="CF11" s="158"/>
      <c r="CG11" s="158"/>
      <c r="CH11" s="158"/>
      <c r="CI11" s="158"/>
      <c r="CJ11" s="158"/>
      <c r="CK11" s="158"/>
      <c r="CL11" s="158"/>
      <c r="CM11" s="158"/>
      <c r="CN11" s="158"/>
      <c r="CO11" s="158"/>
      <c r="CP11" s="158"/>
      <c r="CQ11" s="158"/>
      <c r="CR11" s="158"/>
      <c r="CS11" s="158"/>
      <c r="CT11" s="158"/>
      <c r="CU11" s="158"/>
      <c r="CV11" s="158"/>
      <c r="CW11" s="158"/>
      <c r="CX11" s="158"/>
      <c r="CY11" s="158"/>
      <c r="CZ11" s="158"/>
      <c r="DA11" s="158"/>
      <c r="DB11" s="158"/>
      <c r="DC11" s="158"/>
      <c r="DD11" s="158"/>
      <c r="DE11" s="158"/>
      <c r="DF11" s="158"/>
      <c r="DG11" s="158"/>
      <c r="DH11" s="158"/>
      <c r="DI11" s="158"/>
      <c r="DJ11" s="158"/>
      <c r="DK11" s="158"/>
      <c r="DL11" s="158"/>
      <c r="DM11" s="158"/>
      <c r="DN11" s="158"/>
      <c r="DO11" s="158"/>
      <c r="DP11" s="158"/>
      <c r="DQ11" s="158"/>
      <c r="DR11" s="158"/>
      <c r="DS11" s="158"/>
      <c r="DT11" s="158"/>
      <c r="DU11" s="158"/>
      <c r="DV11" s="158"/>
      <c r="DW11" s="158"/>
      <c r="DX11" s="158"/>
      <c r="DY11" s="158"/>
      <c r="DZ11" s="158"/>
      <c r="EA11" s="158"/>
      <c r="EB11" s="158"/>
      <c r="EC11" s="158"/>
      <c r="ED11" s="158"/>
      <c r="EE11" s="158"/>
      <c r="EF11" s="158"/>
      <c r="EG11" s="158"/>
      <c r="EH11" s="158"/>
      <c r="EI11" s="158"/>
      <c r="EJ11" s="158"/>
      <c r="EK11" s="158"/>
      <c r="EL11" s="158"/>
      <c r="EM11" s="158"/>
      <c r="EN11" s="158"/>
      <c r="EO11" s="158"/>
      <c r="EP11" s="158"/>
      <c r="EQ11" s="158"/>
      <c r="ER11" s="158"/>
      <c r="ES11" s="158"/>
      <c r="ET11" s="158"/>
      <c r="EU11" s="158"/>
      <c r="EV11" s="158"/>
      <c r="EW11" s="158"/>
      <c r="EX11" s="158"/>
      <c r="EY11" s="158"/>
      <c r="EZ11" s="158"/>
      <c r="FA11" s="158"/>
      <c r="FB11" s="158"/>
      <c r="FC11" s="158"/>
      <c r="FD11" s="158"/>
      <c r="FE11" s="158"/>
      <c r="FF11" s="158"/>
      <c r="FG11" s="158"/>
      <c r="FH11" s="158"/>
      <c r="FI11" s="158"/>
      <c r="FJ11" s="158"/>
      <c r="FK11" s="158"/>
      <c r="FL11" s="158"/>
      <c r="FM11" s="158"/>
      <c r="FN11" s="158"/>
      <c r="FO11" s="158"/>
      <c r="FP11" s="158"/>
      <c r="FQ11" s="158"/>
      <c r="FR11" s="158"/>
      <c r="FS11" s="158"/>
      <c r="FT11" s="158"/>
      <c r="FU11" s="158"/>
      <c r="FV11" s="158"/>
      <c r="FW11" s="158"/>
      <c r="FX11" s="158"/>
      <c r="FY11" s="158"/>
      <c r="FZ11" s="158"/>
      <c r="GA11" s="158"/>
      <c r="GB11" s="158"/>
      <c r="GC11" s="158"/>
      <c r="GD11" s="158"/>
      <c r="GE11" s="158"/>
      <c r="GF11" s="158"/>
      <c r="GG11" s="158"/>
      <c r="GH11" s="158"/>
      <c r="GI11" s="158"/>
      <c r="GJ11" s="158"/>
      <c r="GK11" s="158"/>
      <c r="GL11" s="158"/>
      <c r="GM11" s="158"/>
      <c r="GN11" s="158"/>
      <c r="GO11" s="158"/>
      <c r="GP11" s="158"/>
      <c r="GQ11" s="158"/>
      <c r="GR11" s="158"/>
      <c r="GS11" s="158"/>
      <c r="GT11" s="158"/>
      <c r="GU11" s="158"/>
      <c r="GV11" s="158"/>
      <c r="GW11" s="158"/>
      <c r="GX11" s="158"/>
      <c r="GY11" s="158"/>
      <c r="GZ11" s="158"/>
      <c r="HA11" s="158"/>
      <c r="HB11" s="158"/>
      <c r="HC11" s="158"/>
      <c r="HD11" s="158"/>
      <c r="HE11" s="158"/>
      <c r="HF11" s="158"/>
      <c r="HG11" s="158"/>
      <c r="HH11" s="158"/>
    </row>
    <row r="12" spans="1:216" ht="80.099999999999994" customHeight="1" x14ac:dyDescent="0.25">
      <c r="A12" s="52">
        <v>6</v>
      </c>
      <c r="B12" s="19"/>
    </row>
    <row r="13" spans="1:216" s="60" customFormat="1" ht="11.25" x14ac:dyDescent="0.2">
      <c r="A13" s="184"/>
      <c r="B13" s="184"/>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c r="BZ13" s="158"/>
      <c r="CA13" s="158"/>
      <c r="CB13" s="158"/>
      <c r="CC13" s="158"/>
      <c r="CD13" s="158"/>
      <c r="CE13" s="158"/>
      <c r="CF13" s="158"/>
      <c r="CG13" s="158"/>
      <c r="CH13" s="158"/>
      <c r="CI13" s="158"/>
      <c r="CJ13" s="158"/>
      <c r="CK13" s="158"/>
      <c r="CL13" s="158"/>
      <c r="CM13" s="158"/>
      <c r="CN13" s="158"/>
      <c r="CO13" s="158"/>
      <c r="CP13" s="158"/>
      <c r="CQ13" s="158"/>
      <c r="CR13" s="158"/>
      <c r="CS13" s="158"/>
      <c r="CT13" s="158"/>
      <c r="CU13" s="158"/>
      <c r="CV13" s="158"/>
      <c r="CW13" s="158"/>
      <c r="CX13" s="158"/>
      <c r="CY13" s="158"/>
      <c r="CZ13" s="158"/>
      <c r="DA13" s="158"/>
      <c r="DB13" s="158"/>
      <c r="DC13" s="158"/>
      <c r="DD13" s="158"/>
      <c r="DE13" s="158"/>
      <c r="DF13" s="158"/>
      <c r="DG13" s="158"/>
      <c r="DH13" s="158"/>
      <c r="DI13" s="158"/>
      <c r="DJ13" s="158"/>
      <c r="DK13" s="158"/>
      <c r="DL13" s="158"/>
      <c r="DM13" s="158"/>
      <c r="DN13" s="158"/>
      <c r="DO13" s="158"/>
      <c r="DP13" s="158"/>
      <c r="DQ13" s="158"/>
      <c r="DR13" s="158"/>
      <c r="DS13" s="158"/>
      <c r="DT13" s="158"/>
      <c r="DU13" s="158"/>
      <c r="DV13" s="158"/>
      <c r="DW13" s="158"/>
      <c r="DX13" s="158"/>
      <c r="DY13" s="158"/>
      <c r="DZ13" s="158"/>
      <c r="EA13" s="158"/>
      <c r="EB13" s="158"/>
      <c r="EC13" s="158"/>
      <c r="ED13" s="158"/>
      <c r="EE13" s="158"/>
      <c r="EF13" s="158"/>
      <c r="EG13" s="158"/>
      <c r="EH13" s="158"/>
      <c r="EI13" s="158"/>
      <c r="EJ13" s="158"/>
      <c r="EK13" s="158"/>
      <c r="EL13" s="158"/>
      <c r="EM13" s="158"/>
      <c r="EN13" s="158"/>
      <c r="EO13" s="158"/>
      <c r="EP13" s="158"/>
      <c r="EQ13" s="158"/>
      <c r="ER13" s="158"/>
      <c r="ES13" s="158"/>
      <c r="ET13" s="158"/>
      <c r="EU13" s="158"/>
      <c r="EV13" s="158"/>
      <c r="EW13" s="158"/>
      <c r="EX13" s="158"/>
      <c r="EY13" s="158"/>
      <c r="EZ13" s="158"/>
      <c r="FA13" s="158"/>
      <c r="FB13" s="158"/>
      <c r="FC13" s="158"/>
      <c r="FD13" s="158"/>
      <c r="FE13" s="158"/>
      <c r="FF13" s="158"/>
      <c r="FG13" s="158"/>
      <c r="FH13" s="158"/>
      <c r="FI13" s="158"/>
      <c r="FJ13" s="158"/>
      <c r="FK13" s="158"/>
      <c r="FL13" s="158"/>
      <c r="FM13" s="158"/>
      <c r="FN13" s="158"/>
      <c r="FO13" s="158"/>
      <c r="FP13" s="158"/>
      <c r="FQ13" s="158"/>
      <c r="FR13" s="158"/>
      <c r="FS13" s="158"/>
      <c r="FT13" s="158"/>
      <c r="FU13" s="158"/>
      <c r="FV13" s="158"/>
      <c r="FW13" s="158"/>
      <c r="FX13" s="158"/>
      <c r="FY13" s="158"/>
      <c r="FZ13" s="158"/>
      <c r="GA13" s="158"/>
      <c r="GB13" s="158"/>
      <c r="GC13" s="158"/>
      <c r="GD13" s="158"/>
      <c r="GE13" s="158"/>
      <c r="GF13" s="158"/>
      <c r="GG13" s="158"/>
      <c r="GH13" s="158"/>
      <c r="GI13" s="158"/>
      <c r="GJ13" s="158"/>
      <c r="GK13" s="158"/>
      <c r="GL13" s="158"/>
      <c r="GM13" s="158"/>
      <c r="GN13" s="158"/>
      <c r="GO13" s="158"/>
      <c r="GP13" s="158"/>
      <c r="GQ13" s="158"/>
      <c r="GR13" s="158"/>
      <c r="GS13" s="158"/>
      <c r="GT13" s="158"/>
      <c r="GU13" s="158"/>
      <c r="GV13" s="158"/>
      <c r="GW13" s="158"/>
      <c r="GX13" s="158"/>
      <c r="GY13" s="158"/>
      <c r="GZ13" s="158"/>
      <c r="HA13" s="158"/>
      <c r="HB13" s="158"/>
      <c r="HC13" s="158"/>
      <c r="HD13" s="158"/>
      <c r="HE13" s="158"/>
      <c r="HF13" s="158"/>
      <c r="HG13" s="158"/>
      <c r="HH13" s="158"/>
    </row>
    <row r="14" spans="1:216" ht="80.099999999999994" customHeight="1" x14ac:dyDescent="0.25">
      <c r="A14" s="52">
        <v>7</v>
      </c>
      <c r="B14" s="19"/>
    </row>
    <row r="15" spans="1:216" s="60" customFormat="1" ht="11.25" x14ac:dyDescent="0.2">
      <c r="A15" s="184"/>
      <c r="B15" s="184"/>
      <c r="C15" s="158"/>
      <c r="D15" s="158"/>
      <c r="E15" s="158"/>
      <c r="F15" s="158"/>
      <c r="G15" s="158"/>
      <c r="H15" s="158"/>
      <c r="I15" s="158"/>
      <c r="J15" s="158"/>
      <c r="K15" s="158"/>
      <c r="L15" s="158"/>
      <c r="M15" s="158"/>
      <c r="N15" s="158"/>
      <c r="O15" s="158"/>
      <c r="P15" s="158"/>
      <c r="Q15" s="158"/>
      <c r="R15" s="158"/>
      <c r="S15" s="158"/>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c r="BZ15" s="158"/>
      <c r="CA15" s="158"/>
      <c r="CB15" s="158"/>
      <c r="CC15" s="158"/>
      <c r="CD15" s="158"/>
      <c r="CE15" s="158"/>
      <c r="CF15" s="158"/>
      <c r="CG15" s="158"/>
      <c r="CH15" s="158"/>
      <c r="CI15" s="158"/>
      <c r="CJ15" s="158"/>
      <c r="CK15" s="158"/>
      <c r="CL15" s="158"/>
      <c r="CM15" s="158"/>
      <c r="CN15" s="158"/>
      <c r="CO15" s="158"/>
      <c r="CP15" s="158"/>
      <c r="CQ15" s="158"/>
      <c r="CR15" s="158"/>
      <c r="CS15" s="158"/>
      <c r="CT15" s="158"/>
      <c r="CU15" s="158"/>
      <c r="CV15" s="158"/>
      <c r="CW15" s="158"/>
      <c r="CX15" s="158"/>
      <c r="CY15" s="158"/>
      <c r="CZ15" s="158"/>
      <c r="DA15" s="158"/>
      <c r="DB15" s="158"/>
      <c r="DC15" s="158"/>
      <c r="DD15" s="158"/>
      <c r="DE15" s="158"/>
      <c r="DF15" s="158"/>
      <c r="DG15" s="158"/>
      <c r="DH15" s="158"/>
      <c r="DI15" s="158"/>
      <c r="DJ15" s="158"/>
      <c r="DK15" s="158"/>
      <c r="DL15" s="158"/>
      <c r="DM15" s="158"/>
      <c r="DN15" s="158"/>
      <c r="DO15" s="158"/>
      <c r="DP15" s="158"/>
      <c r="DQ15" s="158"/>
      <c r="DR15" s="158"/>
      <c r="DS15" s="158"/>
      <c r="DT15" s="158"/>
      <c r="DU15" s="158"/>
      <c r="DV15" s="158"/>
      <c r="DW15" s="158"/>
      <c r="DX15" s="158"/>
      <c r="DY15" s="158"/>
      <c r="DZ15" s="158"/>
      <c r="EA15" s="158"/>
      <c r="EB15" s="158"/>
      <c r="EC15" s="158"/>
      <c r="ED15" s="158"/>
      <c r="EE15" s="158"/>
      <c r="EF15" s="158"/>
      <c r="EG15" s="158"/>
      <c r="EH15" s="158"/>
      <c r="EI15" s="158"/>
      <c r="EJ15" s="158"/>
      <c r="EK15" s="158"/>
      <c r="EL15" s="158"/>
      <c r="EM15" s="158"/>
      <c r="EN15" s="158"/>
      <c r="EO15" s="158"/>
      <c r="EP15" s="158"/>
      <c r="EQ15" s="158"/>
      <c r="ER15" s="158"/>
      <c r="ES15" s="158"/>
      <c r="ET15" s="158"/>
      <c r="EU15" s="158"/>
      <c r="EV15" s="158"/>
      <c r="EW15" s="158"/>
      <c r="EX15" s="158"/>
      <c r="EY15" s="158"/>
      <c r="EZ15" s="158"/>
      <c r="FA15" s="158"/>
      <c r="FB15" s="158"/>
      <c r="FC15" s="158"/>
      <c r="FD15" s="158"/>
      <c r="FE15" s="158"/>
      <c r="FF15" s="158"/>
      <c r="FG15" s="158"/>
      <c r="FH15" s="158"/>
      <c r="FI15" s="158"/>
      <c r="FJ15" s="158"/>
      <c r="FK15" s="158"/>
      <c r="FL15" s="158"/>
      <c r="FM15" s="158"/>
      <c r="FN15" s="158"/>
      <c r="FO15" s="158"/>
      <c r="FP15" s="158"/>
      <c r="FQ15" s="158"/>
      <c r="FR15" s="158"/>
      <c r="FS15" s="158"/>
      <c r="FT15" s="158"/>
      <c r="FU15" s="158"/>
      <c r="FV15" s="158"/>
      <c r="FW15" s="158"/>
      <c r="FX15" s="158"/>
      <c r="FY15" s="158"/>
      <c r="FZ15" s="158"/>
      <c r="GA15" s="158"/>
      <c r="GB15" s="158"/>
      <c r="GC15" s="158"/>
      <c r="GD15" s="158"/>
      <c r="GE15" s="158"/>
      <c r="GF15" s="158"/>
      <c r="GG15" s="158"/>
      <c r="GH15" s="158"/>
      <c r="GI15" s="158"/>
      <c r="GJ15" s="158"/>
      <c r="GK15" s="158"/>
      <c r="GL15" s="158"/>
      <c r="GM15" s="158"/>
      <c r="GN15" s="158"/>
      <c r="GO15" s="158"/>
      <c r="GP15" s="158"/>
      <c r="GQ15" s="158"/>
      <c r="GR15" s="158"/>
      <c r="GS15" s="158"/>
      <c r="GT15" s="158"/>
      <c r="GU15" s="158"/>
      <c r="GV15" s="158"/>
      <c r="GW15" s="158"/>
      <c r="GX15" s="158"/>
      <c r="GY15" s="158"/>
      <c r="GZ15" s="158"/>
      <c r="HA15" s="158"/>
      <c r="HB15" s="158"/>
      <c r="HC15" s="158"/>
      <c r="HD15" s="158"/>
      <c r="HE15" s="158"/>
      <c r="HF15" s="158"/>
      <c r="HG15" s="158"/>
      <c r="HH15" s="158"/>
    </row>
    <row r="16" spans="1:216" ht="69.95" customHeight="1" x14ac:dyDescent="0.25">
      <c r="A16" s="52">
        <v>8</v>
      </c>
      <c r="B16" s="19"/>
    </row>
    <row r="17" spans="1:2" x14ac:dyDescent="0.25">
      <c r="A17" s="183"/>
      <c r="B17" s="183"/>
    </row>
    <row r="18" spans="1:2" x14ac:dyDescent="0.25">
      <c r="B18" s="159"/>
    </row>
    <row r="19" spans="1:2" x14ac:dyDescent="0.25">
      <c r="B19" s="159"/>
    </row>
    <row r="20" spans="1:2" x14ac:dyDescent="0.25">
      <c r="B20" s="159"/>
    </row>
    <row r="21" spans="1:2" x14ac:dyDescent="0.25">
      <c r="B21" s="159"/>
    </row>
    <row r="22" spans="1:2" x14ac:dyDescent="0.25">
      <c r="B22" s="159"/>
    </row>
    <row r="23" spans="1:2" x14ac:dyDescent="0.25">
      <c r="B23" s="159"/>
    </row>
    <row r="24" spans="1:2" x14ac:dyDescent="0.25">
      <c r="B24" s="159"/>
    </row>
    <row r="25" spans="1:2" x14ac:dyDescent="0.25">
      <c r="B25" s="159"/>
    </row>
    <row r="26" spans="1:2" x14ac:dyDescent="0.25">
      <c r="B26" s="159"/>
    </row>
    <row r="27" spans="1:2" x14ac:dyDescent="0.25">
      <c r="B27" s="159"/>
    </row>
    <row r="28" spans="1:2" x14ac:dyDescent="0.25">
      <c r="B28" s="159"/>
    </row>
    <row r="29" spans="1:2" x14ac:dyDescent="0.25">
      <c r="B29" s="159"/>
    </row>
    <row r="30" spans="1:2" x14ac:dyDescent="0.25">
      <c r="B30" s="159"/>
    </row>
    <row r="31" spans="1:2" x14ac:dyDescent="0.25">
      <c r="B31" s="159"/>
    </row>
    <row r="32" spans="1:2" x14ac:dyDescent="0.25">
      <c r="B32" s="159"/>
    </row>
    <row r="33" spans="2:2" x14ac:dyDescent="0.25">
      <c r="B33" s="159"/>
    </row>
    <row r="34" spans="2:2" x14ac:dyDescent="0.25">
      <c r="B34" s="159"/>
    </row>
    <row r="35" spans="2:2" x14ac:dyDescent="0.25">
      <c r="B35" s="159"/>
    </row>
    <row r="36" spans="2:2" x14ac:dyDescent="0.25">
      <c r="B36" s="159"/>
    </row>
    <row r="37" spans="2:2" x14ac:dyDescent="0.25">
      <c r="B37" s="159"/>
    </row>
    <row r="38" spans="2:2" x14ac:dyDescent="0.25">
      <c r="B38" s="159"/>
    </row>
    <row r="39" spans="2:2" x14ac:dyDescent="0.25">
      <c r="B39" s="159"/>
    </row>
    <row r="40" spans="2:2" x14ac:dyDescent="0.25">
      <c r="B40" s="159"/>
    </row>
    <row r="41" spans="2:2" x14ac:dyDescent="0.25">
      <c r="B41" s="159"/>
    </row>
    <row r="42" spans="2:2" x14ac:dyDescent="0.25">
      <c r="B42" s="159"/>
    </row>
    <row r="43" spans="2:2" x14ac:dyDescent="0.25">
      <c r="B43" s="159"/>
    </row>
    <row r="44" spans="2:2" x14ac:dyDescent="0.25">
      <c r="B44" s="159"/>
    </row>
    <row r="45" spans="2:2" x14ac:dyDescent="0.25">
      <c r="B45" s="159"/>
    </row>
    <row r="46" spans="2:2" x14ac:dyDescent="0.25">
      <c r="B46" s="159"/>
    </row>
    <row r="47" spans="2:2" x14ac:dyDescent="0.25">
      <c r="B47" s="159"/>
    </row>
    <row r="48" spans="2:2" x14ac:dyDescent="0.25">
      <c r="B48" s="159"/>
    </row>
    <row r="49" spans="2:2" x14ac:dyDescent="0.25">
      <c r="B49" s="159"/>
    </row>
    <row r="50" spans="2:2" x14ac:dyDescent="0.25">
      <c r="B50" s="159"/>
    </row>
    <row r="51" spans="2:2" x14ac:dyDescent="0.25">
      <c r="B51" s="159"/>
    </row>
    <row r="52" spans="2:2" x14ac:dyDescent="0.25">
      <c r="B52" s="159"/>
    </row>
    <row r="53" spans="2:2" x14ac:dyDescent="0.25">
      <c r="B53" s="159"/>
    </row>
    <row r="54" spans="2:2" x14ac:dyDescent="0.25">
      <c r="B54" s="159"/>
    </row>
    <row r="55" spans="2:2" x14ac:dyDescent="0.25">
      <c r="B55" s="159"/>
    </row>
    <row r="56" spans="2:2" x14ac:dyDescent="0.25">
      <c r="B56" s="159"/>
    </row>
    <row r="57" spans="2:2" x14ac:dyDescent="0.25">
      <c r="B57" s="159"/>
    </row>
    <row r="58" spans="2:2" x14ac:dyDescent="0.25">
      <c r="B58" s="159"/>
    </row>
    <row r="59" spans="2:2" x14ac:dyDescent="0.25">
      <c r="B59" s="159"/>
    </row>
    <row r="60" spans="2:2" x14ac:dyDescent="0.25">
      <c r="B60" s="159"/>
    </row>
    <row r="61" spans="2:2" x14ac:dyDescent="0.25">
      <c r="B61" s="159"/>
    </row>
    <row r="62" spans="2:2" x14ac:dyDescent="0.25">
      <c r="B62" s="159"/>
    </row>
    <row r="63" spans="2:2" x14ac:dyDescent="0.25">
      <c r="B63" s="159"/>
    </row>
    <row r="64" spans="2:2" x14ac:dyDescent="0.25">
      <c r="B64" s="159"/>
    </row>
    <row r="65" spans="2:2" x14ac:dyDescent="0.25">
      <c r="B65" s="159"/>
    </row>
    <row r="66" spans="2:2" x14ac:dyDescent="0.25">
      <c r="B66" s="159"/>
    </row>
    <row r="67" spans="2:2" x14ac:dyDescent="0.25">
      <c r="B67" s="159"/>
    </row>
    <row r="68" spans="2:2" x14ac:dyDescent="0.25">
      <c r="B68" s="159"/>
    </row>
    <row r="69" spans="2:2" x14ac:dyDescent="0.25">
      <c r="B69" s="159"/>
    </row>
    <row r="70" spans="2:2" x14ac:dyDescent="0.25">
      <c r="B70" s="159"/>
    </row>
    <row r="71" spans="2:2" x14ac:dyDescent="0.25">
      <c r="B71" s="159"/>
    </row>
    <row r="72" spans="2:2" x14ac:dyDescent="0.25">
      <c r="B72" s="159"/>
    </row>
    <row r="73" spans="2:2" x14ac:dyDescent="0.25">
      <c r="B73" s="159"/>
    </row>
    <row r="74" spans="2:2" x14ac:dyDescent="0.25">
      <c r="B74" s="159"/>
    </row>
    <row r="75" spans="2:2" x14ac:dyDescent="0.25">
      <c r="B75" s="159"/>
    </row>
    <row r="76" spans="2:2" x14ac:dyDescent="0.25">
      <c r="B76" s="159"/>
    </row>
    <row r="77" spans="2:2" x14ac:dyDescent="0.25">
      <c r="B77" s="159"/>
    </row>
    <row r="78" spans="2:2" x14ac:dyDescent="0.25">
      <c r="B78" s="159"/>
    </row>
    <row r="79" spans="2:2" x14ac:dyDescent="0.25">
      <c r="B79" s="159"/>
    </row>
    <row r="80" spans="2:2" x14ac:dyDescent="0.25">
      <c r="B80" s="159"/>
    </row>
    <row r="81" spans="2:2" x14ac:dyDescent="0.25">
      <c r="B81" s="159"/>
    </row>
    <row r="82" spans="2:2" x14ac:dyDescent="0.25">
      <c r="B82" s="159"/>
    </row>
    <row r="83" spans="2:2" x14ac:dyDescent="0.25">
      <c r="B83" s="159"/>
    </row>
    <row r="84" spans="2:2" x14ac:dyDescent="0.25">
      <c r="B84" s="159"/>
    </row>
    <row r="85" spans="2:2" x14ac:dyDescent="0.25">
      <c r="B85" s="159"/>
    </row>
    <row r="86" spans="2:2" x14ac:dyDescent="0.25">
      <c r="B86" s="159"/>
    </row>
    <row r="87" spans="2:2" x14ac:dyDescent="0.25">
      <c r="B87" s="159"/>
    </row>
    <row r="88" spans="2:2" x14ac:dyDescent="0.25">
      <c r="B88" s="159"/>
    </row>
    <row r="89" spans="2:2" x14ac:dyDescent="0.25">
      <c r="B89" s="159"/>
    </row>
    <row r="90" spans="2:2" x14ac:dyDescent="0.25">
      <c r="B90" s="159"/>
    </row>
    <row r="91" spans="2:2" x14ac:dyDescent="0.25">
      <c r="B91" s="159"/>
    </row>
    <row r="92" spans="2:2" x14ac:dyDescent="0.25">
      <c r="B92" s="159"/>
    </row>
    <row r="93" spans="2:2" x14ac:dyDescent="0.25">
      <c r="B93" s="159"/>
    </row>
    <row r="94" spans="2:2" x14ac:dyDescent="0.25">
      <c r="B94" s="159"/>
    </row>
    <row r="95" spans="2:2" x14ac:dyDescent="0.25">
      <c r="B95" s="159"/>
    </row>
    <row r="96" spans="2:2" x14ac:dyDescent="0.25">
      <c r="B96" s="159"/>
    </row>
    <row r="97" spans="2:2" x14ac:dyDescent="0.25">
      <c r="B97" s="159"/>
    </row>
    <row r="98" spans="2:2" x14ac:dyDescent="0.25">
      <c r="B98" s="159"/>
    </row>
    <row r="99" spans="2:2" x14ac:dyDescent="0.25">
      <c r="B99" s="159"/>
    </row>
    <row r="100" spans="2:2" x14ac:dyDescent="0.25">
      <c r="B100" s="159"/>
    </row>
    <row r="101" spans="2:2" x14ac:dyDescent="0.25">
      <c r="B101" s="159"/>
    </row>
    <row r="102" spans="2:2" x14ac:dyDescent="0.25">
      <c r="B102" s="159"/>
    </row>
    <row r="103" spans="2:2" x14ac:dyDescent="0.25">
      <c r="B103" s="159"/>
    </row>
    <row r="104" spans="2:2" x14ac:dyDescent="0.25">
      <c r="B104" s="159"/>
    </row>
    <row r="105" spans="2:2" x14ac:dyDescent="0.25">
      <c r="B105" s="159"/>
    </row>
    <row r="106" spans="2:2" x14ac:dyDescent="0.25">
      <c r="B106" s="159"/>
    </row>
    <row r="107" spans="2:2" x14ac:dyDescent="0.25">
      <c r="B107" s="159"/>
    </row>
    <row r="108" spans="2:2" x14ac:dyDescent="0.25">
      <c r="B108" s="159"/>
    </row>
    <row r="109" spans="2:2" x14ac:dyDescent="0.25">
      <c r="B109" s="159"/>
    </row>
    <row r="110" spans="2:2" x14ac:dyDescent="0.25">
      <c r="B110" s="159"/>
    </row>
    <row r="111" spans="2:2" x14ac:dyDescent="0.25">
      <c r="B111" s="159"/>
    </row>
    <row r="112" spans="2:2" x14ac:dyDescent="0.25">
      <c r="B112" s="159"/>
    </row>
    <row r="113" spans="2:2" x14ac:dyDescent="0.25">
      <c r="B113" s="159"/>
    </row>
    <row r="114" spans="2:2" x14ac:dyDescent="0.25">
      <c r="B114" s="159"/>
    </row>
    <row r="115" spans="2:2" x14ac:dyDescent="0.25">
      <c r="B115" s="159"/>
    </row>
    <row r="116" spans="2:2" x14ac:dyDescent="0.25">
      <c r="B116" s="159"/>
    </row>
    <row r="117" spans="2:2" x14ac:dyDescent="0.25">
      <c r="B117" s="159"/>
    </row>
    <row r="118" spans="2:2" x14ac:dyDescent="0.25">
      <c r="B118" s="159"/>
    </row>
    <row r="119" spans="2:2" x14ac:dyDescent="0.25">
      <c r="B119" s="159"/>
    </row>
    <row r="120" spans="2:2" x14ac:dyDescent="0.25">
      <c r="B120" s="159"/>
    </row>
    <row r="121" spans="2:2" x14ac:dyDescent="0.25">
      <c r="B121" s="159"/>
    </row>
    <row r="122" spans="2:2" x14ac:dyDescent="0.25">
      <c r="B122" s="159"/>
    </row>
    <row r="123" spans="2:2" x14ac:dyDescent="0.25">
      <c r="B123" s="159"/>
    </row>
    <row r="124" spans="2:2" x14ac:dyDescent="0.25">
      <c r="B124" s="159"/>
    </row>
    <row r="125" spans="2:2" x14ac:dyDescent="0.25">
      <c r="B125" s="159"/>
    </row>
    <row r="126" spans="2:2" x14ac:dyDescent="0.25">
      <c r="B126" s="159"/>
    </row>
    <row r="127" spans="2:2" x14ac:dyDescent="0.25">
      <c r="B127" s="159"/>
    </row>
    <row r="128" spans="2:2" x14ac:dyDescent="0.25">
      <c r="B128" s="159"/>
    </row>
    <row r="129" spans="2:2" x14ac:dyDescent="0.25">
      <c r="B129" s="159"/>
    </row>
    <row r="130" spans="2:2" x14ac:dyDescent="0.25">
      <c r="B130" s="159"/>
    </row>
    <row r="131" spans="2:2" x14ac:dyDescent="0.25">
      <c r="B131" s="159"/>
    </row>
    <row r="132" spans="2:2" x14ac:dyDescent="0.25">
      <c r="B132" s="159"/>
    </row>
    <row r="133" spans="2:2" x14ac:dyDescent="0.25">
      <c r="B133" s="159"/>
    </row>
    <row r="134" spans="2:2" x14ac:dyDescent="0.25">
      <c r="B134" s="159"/>
    </row>
    <row r="135" spans="2:2" x14ac:dyDescent="0.25">
      <c r="B135" s="159"/>
    </row>
    <row r="136" spans="2:2" x14ac:dyDescent="0.25">
      <c r="B136" s="159"/>
    </row>
    <row r="137" spans="2:2" x14ac:dyDescent="0.25">
      <c r="B137" s="159"/>
    </row>
    <row r="138" spans="2:2" x14ac:dyDescent="0.25">
      <c r="B138" s="159"/>
    </row>
    <row r="139" spans="2:2" x14ac:dyDescent="0.25">
      <c r="B139" s="159"/>
    </row>
    <row r="140" spans="2:2" x14ac:dyDescent="0.25">
      <c r="B140" s="159"/>
    </row>
    <row r="141" spans="2:2" x14ac:dyDescent="0.25">
      <c r="B141" s="159"/>
    </row>
    <row r="142" spans="2:2" x14ac:dyDescent="0.25">
      <c r="B142" s="159"/>
    </row>
    <row r="143" spans="2:2" x14ac:dyDescent="0.25">
      <c r="B143" s="159"/>
    </row>
    <row r="144" spans="2:2" x14ac:dyDescent="0.25">
      <c r="B144" s="159"/>
    </row>
    <row r="145" spans="2:2" x14ac:dyDescent="0.25">
      <c r="B145" s="159"/>
    </row>
    <row r="146" spans="2:2" x14ac:dyDescent="0.25">
      <c r="B146" s="159"/>
    </row>
    <row r="147" spans="2:2" x14ac:dyDescent="0.25">
      <c r="B147" s="159"/>
    </row>
    <row r="148" spans="2:2" x14ac:dyDescent="0.25">
      <c r="B148" s="159"/>
    </row>
    <row r="149" spans="2:2" x14ac:dyDescent="0.25">
      <c r="B149" s="159"/>
    </row>
    <row r="150" spans="2:2" x14ac:dyDescent="0.25">
      <c r="B150" s="159"/>
    </row>
    <row r="151" spans="2:2" x14ac:dyDescent="0.25">
      <c r="B151" s="159"/>
    </row>
    <row r="152" spans="2:2" x14ac:dyDescent="0.25">
      <c r="B152" s="159"/>
    </row>
    <row r="153" spans="2:2" x14ac:dyDescent="0.25">
      <c r="B153" s="159"/>
    </row>
    <row r="154" spans="2:2" x14ac:dyDescent="0.25">
      <c r="B154" s="159"/>
    </row>
    <row r="155" spans="2:2" x14ac:dyDescent="0.25">
      <c r="B155" s="159"/>
    </row>
    <row r="156" spans="2:2" x14ac:dyDescent="0.25">
      <c r="B156" s="159"/>
    </row>
    <row r="157" spans="2:2" x14ac:dyDescent="0.25">
      <c r="B157" s="159"/>
    </row>
    <row r="158" spans="2:2" x14ac:dyDescent="0.25">
      <c r="B158" s="159"/>
    </row>
    <row r="159" spans="2:2" x14ac:dyDescent="0.25">
      <c r="B159" s="159"/>
    </row>
    <row r="160" spans="2:2" x14ac:dyDescent="0.25">
      <c r="B160" s="159"/>
    </row>
    <row r="161" spans="2:2" x14ac:dyDescent="0.25">
      <c r="B161" s="159"/>
    </row>
    <row r="162" spans="2:2" x14ac:dyDescent="0.25">
      <c r="B162" s="159"/>
    </row>
    <row r="163" spans="2:2" x14ac:dyDescent="0.25">
      <c r="B163" s="159"/>
    </row>
    <row r="164" spans="2:2" x14ac:dyDescent="0.25">
      <c r="B164" s="159"/>
    </row>
    <row r="165" spans="2:2" x14ac:dyDescent="0.25">
      <c r="B165" s="159"/>
    </row>
    <row r="166" spans="2:2" x14ac:dyDescent="0.25">
      <c r="B166" s="159"/>
    </row>
    <row r="167" spans="2:2" x14ac:dyDescent="0.25">
      <c r="B167" s="159"/>
    </row>
    <row r="168" spans="2:2" x14ac:dyDescent="0.25">
      <c r="B168" s="159"/>
    </row>
    <row r="169" spans="2:2" x14ac:dyDescent="0.25">
      <c r="B169" s="159"/>
    </row>
    <row r="170" spans="2:2" x14ac:dyDescent="0.25">
      <c r="B170" s="159"/>
    </row>
    <row r="171" spans="2:2" x14ac:dyDescent="0.25">
      <c r="B171" s="159"/>
    </row>
    <row r="172" spans="2:2" x14ac:dyDescent="0.25">
      <c r="B172" s="159"/>
    </row>
    <row r="173" spans="2:2" x14ac:dyDescent="0.25">
      <c r="B173" s="159"/>
    </row>
    <row r="174" spans="2:2" x14ac:dyDescent="0.25">
      <c r="B174" s="159"/>
    </row>
    <row r="175" spans="2:2" x14ac:dyDescent="0.25">
      <c r="B175" s="159"/>
    </row>
    <row r="176" spans="2:2" x14ac:dyDescent="0.25">
      <c r="B176" s="159"/>
    </row>
    <row r="177" spans="2:2" x14ac:dyDescent="0.25">
      <c r="B177" s="159"/>
    </row>
    <row r="178" spans="2:2" x14ac:dyDescent="0.25">
      <c r="B178" s="159"/>
    </row>
    <row r="179" spans="2:2" x14ac:dyDescent="0.25">
      <c r="B179" s="159"/>
    </row>
    <row r="180" spans="2:2" x14ac:dyDescent="0.25">
      <c r="B180" s="159"/>
    </row>
    <row r="181" spans="2:2" x14ac:dyDescent="0.25">
      <c r="B181" s="159"/>
    </row>
    <row r="182" spans="2:2" x14ac:dyDescent="0.25">
      <c r="B182" s="159"/>
    </row>
    <row r="183" spans="2:2" x14ac:dyDescent="0.25">
      <c r="B183" s="159"/>
    </row>
    <row r="184" spans="2:2" x14ac:dyDescent="0.25">
      <c r="B184" s="159"/>
    </row>
    <row r="185" spans="2:2" x14ac:dyDescent="0.25">
      <c r="B185" s="159"/>
    </row>
    <row r="186" spans="2:2" x14ac:dyDescent="0.25">
      <c r="B186" s="159"/>
    </row>
    <row r="187" spans="2:2" x14ac:dyDescent="0.25">
      <c r="B187" s="159"/>
    </row>
    <row r="188" spans="2:2" x14ac:dyDescent="0.25">
      <c r="B188" s="159"/>
    </row>
    <row r="189" spans="2:2" x14ac:dyDescent="0.25">
      <c r="B189" s="159"/>
    </row>
    <row r="190" spans="2:2" x14ac:dyDescent="0.25">
      <c r="B190" s="159"/>
    </row>
    <row r="191" spans="2:2" x14ac:dyDescent="0.25">
      <c r="B191" s="159"/>
    </row>
    <row r="192" spans="2:2" x14ac:dyDescent="0.25">
      <c r="B192" s="159"/>
    </row>
    <row r="193" spans="2:2" x14ac:dyDescent="0.25">
      <c r="B193" s="159"/>
    </row>
    <row r="194" spans="2:2" x14ac:dyDescent="0.25">
      <c r="B194" s="159"/>
    </row>
    <row r="195" spans="2:2" x14ac:dyDescent="0.25">
      <c r="B195" s="159"/>
    </row>
    <row r="196" spans="2:2" x14ac:dyDescent="0.25">
      <c r="B196" s="159"/>
    </row>
    <row r="197" spans="2:2" x14ac:dyDescent="0.25">
      <c r="B197" s="159"/>
    </row>
    <row r="198" spans="2:2" x14ac:dyDescent="0.25">
      <c r="B198" s="159"/>
    </row>
    <row r="199" spans="2:2" x14ac:dyDescent="0.25">
      <c r="B199" s="159"/>
    </row>
    <row r="200" spans="2:2" x14ac:dyDescent="0.25">
      <c r="B200" s="159"/>
    </row>
    <row r="201" spans="2:2" x14ac:dyDescent="0.25">
      <c r="B201" s="159"/>
    </row>
    <row r="202" spans="2:2" x14ac:dyDescent="0.25">
      <c r="B202" s="159"/>
    </row>
    <row r="203" spans="2:2" x14ac:dyDescent="0.25">
      <c r="B203" s="159"/>
    </row>
    <row r="204" spans="2:2" x14ac:dyDescent="0.25">
      <c r="B204" s="159"/>
    </row>
    <row r="205" spans="2:2" x14ac:dyDescent="0.25">
      <c r="B205" s="159"/>
    </row>
    <row r="206" spans="2:2" x14ac:dyDescent="0.25">
      <c r="B206" s="159"/>
    </row>
    <row r="207" spans="2:2" x14ac:dyDescent="0.25">
      <c r="B207" s="159"/>
    </row>
    <row r="208" spans="2:2" x14ac:dyDescent="0.25">
      <c r="B208" s="159"/>
    </row>
    <row r="209" spans="2:2" x14ac:dyDescent="0.25">
      <c r="B209" s="159"/>
    </row>
    <row r="210" spans="2:2" x14ac:dyDescent="0.25">
      <c r="B210" s="159"/>
    </row>
    <row r="211" spans="2:2" x14ac:dyDescent="0.25">
      <c r="B211" s="159"/>
    </row>
    <row r="212" spans="2:2" x14ac:dyDescent="0.25">
      <c r="B212" s="159"/>
    </row>
    <row r="213" spans="2:2" x14ac:dyDescent="0.25">
      <c r="B213" s="159"/>
    </row>
    <row r="214" spans="2:2" x14ac:dyDescent="0.25">
      <c r="B214" s="159"/>
    </row>
    <row r="215" spans="2:2" x14ac:dyDescent="0.25">
      <c r="B215" s="159"/>
    </row>
    <row r="216" spans="2:2" x14ac:dyDescent="0.25">
      <c r="B216" s="159"/>
    </row>
    <row r="217" spans="2:2" x14ac:dyDescent="0.25">
      <c r="B217" s="159"/>
    </row>
    <row r="218" spans="2:2" x14ac:dyDescent="0.25">
      <c r="B218" s="159"/>
    </row>
    <row r="219" spans="2:2" x14ac:dyDescent="0.25">
      <c r="B219" s="159"/>
    </row>
    <row r="220" spans="2:2" x14ac:dyDescent="0.25">
      <c r="B220" s="159"/>
    </row>
    <row r="221" spans="2:2" x14ac:dyDescent="0.25">
      <c r="B221" s="159"/>
    </row>
    <row r="222" spans="2:2" x14ac:dyDescent="0.25">
      <c r="B222" s="159"/>
    </row>
    <row r="223" spans="2:2" x14ac:dyDescent="0.25">
      <c r="B223" s="159"/>
    </row>
    <row r="224" spans="2:2" x14ac:dyDescent="0.25">
      <c r="B224" s="159"/>
    </row>
    <row r="225" spans="2:2" x14ac:dyDescent="0.25">
      <c r="B225" s="159"/>
    </row>
    <row r="226" spans="2:2" x14ac:dyDescent="0.25">
      <c r="B226" s="159"/>
    </row>
    <row r="227" spans="2:2" x14ac:dyDescent="0.25">
      <c r="B227" s="159"/>
    </row>
    <row r="228" spans="2:2" x14ac:dyDescent="0.25">
      <c r="B228" s="159"/>
    </row>
    <row r="229" spans="2:2" x14ac:dyDescent="0.25">
      <c r="B229" s="159"/>
    </row>
    <row r="230" spans="2:2" x14ac:dyDescent="0.25">
      <c r="B230" s="159"/>
    </row>
    <row r="231" spans="2:2" x14ac:dyDescent="0.25">
      <c r="B231" s="159"/>
    </row>
    <row r="232" spans="2:2" x14ac:dyDescent="0.25">
      <c r="B232" s="159"/>
    </row>
    <row r="233" spans="2:2" x14ac:dyDescent="0.25">
      <c r="B233" s="159"/>
    </row>
    <row r="234" spans="2:2" x14ac:dyDescent="0.25">
      <c r="B234" s="159"/>
    </row>
    <row r="235" spans="2:2" x14ac:dyDescent="0.25">
      <c r="B235" s="159"/>
    </row>
    <row r="236" spans="2:2" x14ac:dyDescent="0.25">
      <c r="B236" s="159"/>
    </row>
    <row r="237" spans="2:2" x14ac:dyDescent="0.25">
      <c r="B237" s="159"/>
    </row>
    <row r="238" spans="2:2" x14ac:dyDescent="0.25">
      <c r="B238" s="159"/>
    </row>
    <row r="239" spans="2:2" x14ac:dyDescent="0.25">
      <c r="B239" s="159"/>
    </row>
    <row r="240" spans="2:2" x14ac:dyDescent="0.25">
      <c r="B240" s="159"/>
    </row>
    <row r="241" spans="2:2" x14ac:dyDescent="0.25">
      <c r="B241" s="159"/>
    </row>
    <row r="242" spans="2:2" x14ac:dyDescent="0.25">
      <c r="B242" s="159"/>
    </row>
    <row r="243" spans="2:2" x14ac:dyDescent="0.25">
      <c r="B243" s="159"/>
    </row>
    <row r="244" spans="2:2" x14ac:dyDescent="0.25">
      <c r="B244" s="159"/>
    </row>
    <row r="245" spans="2:2" x14ac:dyDescent="0.25">
      <c r="B245" s="159"/>
    </row>
    <row r="246" spans="2:2" x14ac:dyDescent="0.25">
      <c r="B246" s="159"/>
    </row>
    <row r="247" spans="2:2" x14ac:dyDescent="0.25">
      <c r="B247" s="159"/>
    </row>
    <row r="248" spans="2:2" x14ac:dyDescent="0.25">
      <c r="B248" s="159"/>
    </row>
    <row r="249" spans="2:2" x14ac:dyDescent="0.25">
      <c r="B249" s="159"/>
    </row>
    <row r="250" spans="2:2" x14ac:dyDescent="0.25">
      <c r="B250" s="159"/>
    </row>
    <row r="251" spans="2:2" x14ac:dyDescent="0.25">
      <c r="B251" s="159"/>
    </row>
    <row r="252" spans="2:2" x14ac:dyDescent="0.25">
      <c r="B252" s="159"/>
    </row>
    <row r="253" spans="2:2" x14ac:dyDescent="0.25">
      <c r="B253" s="159"/>
    </row>
    <row r="254" spans="2:2" x14ac:dyDescent="0.25">
      <c r="B254" s="159"/>
    </row>
    <row r="255" spans="2:2" x14ac:dyDescent="0.25">
      <c r="B255" s="159"/>
    </row>
    <row r="256" spans="2:2" x14ac:dyDescent="0.25">
      <c r="B256" s="159"/>
    </row>
    <row r="257" spans="2:2" x14ac:dyDescent="0.25">
      <c r="B257" s="159"/>
    </row>
    <row r="258" spans="2:2" x14ac:dyDescent="0.25">
      <c r="B258" s="159"/>
    </row>
    <row r="259" spans="2:2" x14ac:dyDescent="0.25">
      <c r="B259" s="159"/>
    </row>
    <row r="260" spans="2:2" x14ac:dyDescent="0.25">
      <c r="B260" s="159"/>
    </row>
    <row r="261" spans="2:2" x14ac:dyDescent="0.25">
      <c r="B261" s="159"/>
    </row>
    <row r="262" spans="2:2" x14ac:dyDescent="0.25">
      <c r="B262" s="159"/>
    </row>
    <row r="263" spans="2:2" x14ac:dyDescent="0.25">
      <c r="B263" s="159"/>
    </row>
    <row r="264" spans="2:2" x14ac:dyDescent="0.25">
      <c r="B264" s="159"/>
    </row>
    <row r="265" spans="2:2" x14ac:dyDescent="0.25">
      <c r="B265" s="159"/>
    </row>
    <row r="266" spans="2:2" x14ac:dyDescent="0.25">
      <c r="B266" s="159"/>
    </row>
    <row r="267" spans="2:2" x14ac:dyDescent="0.25">
      <c r="B267" s="159"/>
    </row>
    <row r="268" spans="2:2" x14ac:dyDescent="0.25">
      <c r="B268" s="159"/>
    </row>
    <row r="269" spans="2:2" x14ac:dyDescent="0.25">
      <c r="B269" s="159"/>
    </row>
    <row r="270" spans="2:2" x14ac:dyDescent="0.25">
      <c r="B270" s="159"/>
    </row>
    <row r="271" spans="2:2" x14ac:dyDescent="0.25">
      <c r="B271" s="159"/>
    </row>
    <row r="272" spans="2:2" x14ac:dyDescent="0.25">
      <c r="B272" s="159"/>
    </row>
    <row r="273" spans="2:2" x14ac:dyDescent="0.25">
      <c r="B273" s="159"/>
    </row>
    <row r="274" spans="2:2" x14ac:dyDescent="0.25">
      <c r="B274" s="159"/>
    </row>
    <row r="275" spans="2:2" x14ac:dyDescent="0.25">
      <c r="B275" s="159"/>
    </row>
    <row r="276" spans="2:2" x14ac:dyDescent="0.25">
      <c r="B276" s="159"/>
    </row>
    <row r="277" spans="2:2" x14ac:dyDescent="0.25">
      <c r="B277" s="159"/>
    </row>
    <row r="278" spans="2:2" x14ac:dyDescent="0.25">
      <c r="B278" s="159"/>
    </row>
    <row r="279" spans="2:2" x14ac:dyDescent="0.25">
      <c r="B279" s="159"/>
    </row>
    <row r="280" spans="2:2" x14ac:dyDescent="0.25">
      <c r="B280" s="159"/>
    </row>
    <row r="281" spans="2:2" x14ac:dyDescent="0.25">
      <c r="B281" s="159"/>
    </row>
    <row r="282" spans="2:2" x14ac:dyDescent="0.25">
      <c r="B282" s="159"/>
    </row>
    <row r="283" spans="2:2" x14ac:dyDescent="0.25">
      <c r="B283" s="159"/>
    </row>
    <row r="284" spans="2:2" x14ac:dyDescent="0.25">
      <c r="B284" s="159"/>
    </row>
    <row r="285" spans="2:2" x14ac:dyDescent="0.25">
      <c r="B285" s="159"/>
    </row>
    <row r="286" spans="2:2" x14ac:dyDescent="0.25">
      <c r="B286" s="159"/>
    </row>
    <row r="287" spans="2:2" x14ac:dyDescent="0.25">
      <c r="B287" s="159"/>
    </row>
    <row r="288" spans="2:2" x14ac:dyDescent="0.25">
      <c r="B288" s="159"/>
    </row>
    <row r="289" spans="2:2" x14ac:dyDescent="0.25">
      <c r="B289" s="159"/>
    </row>
    <row r="290" spans="2:2" x14ac:dyDescent="0.25">
      <c r="B290" s="159"/>
    </row>
    <row r="291" spans="2:2" x14ac:dyDescent="0.25">
      <c r="B291" s="159"/>
    </row>
    <row r="292" spans="2:2" x14ac:dyDescent="0.25">
      <c r="B292" s="159"/>
    </row>
    <row r="293" spans="2:2" x14ac:dyDescent="0.25">
      <c r="B293" s="159"/>
    </row>
    <row r="294" spans="2:2" x14ac:dyDescent="0.25">
      <c r="B294" s="159"/>
    </row>
    <row r="295" spans="2:2" x14ac:dyDescent="0.25">
      <c r="B295" s="159"/>
    </row>
    <row r="296" spans="2:2" x14ac:dyDescent="0.25">
      <c r="B296" s="159"/>
    </row>
    <row r="297" spans="2:2" x14ac:dyDescent="0.25">
      <c r="B297" s="159"/>
    </row>
    <row r="298" spans="2:2" x14ac:dyDescent="0.25">
      <c r="B298" s="159"/>
    </row>
    <row r="299" spans="2:2" x14ac:dyDescent="0.25">
      <c r="B299" s="159"/>
    </row>
    <row r="300" spans="2:2" x14ac:dyDescent="0.25">
      <c r="B300" s="159"/>
    </row>
    <row r="301" spans="2:2" x14ac:dyDescent="0.25">
      <c r="B301" s="159"/>
    </row>
    <row r="302" spans="2:2" x14ac:dyDescent="0.25">
      <c r="B302" s="159"/>
    </row>
    <row r="303" spans="2:2" x14ac:dyDescent="0.25">
      <c r="B303" s="159"/>
    </row>
    <row r="304" spans="2:2" x14ac:dyDescent="0.25">
      <c r="B304" s="159"/>
    </row>
    <row r="305" spans="2:2" x14ac:dyDescent="0.25">
      <c r="B305" s="159"/>
    </row>
    <row r="306" spans="2:2" x14ac:dyDescent="0.25">
      <c r="B306" s="159"/>
    </row>
    <row r="307" spans="2:2" x14ac:dyDescent="0.25">
      <c r="B307" s="159"/>
    </row>
    <row r="308" spans="2:2" x14ac:dyDescent="0.25">
      <c r="B308" s="159"/>
    </row>
    <row r="309" spans="2:2" x14ac:dyDescent="0.25">
      <c r="B309" s="159"/>
    </row>
    <row r="310" spans="2:2" x14ac:dyDescent="0.25">
      <c r="B310" s="159"/>
    </row>
    <row r="311" spans="2:2" x14ac:dyDescent="0.25">
      <c r="B311" s="159"/>
    </row>
    <row r="312" spans="2:2" x14ac:dyDescent="0.25">
      <c r="B312" s="159"/>
    </row>
    <row r="313" spans="2:2" x14ac:dyDescent="0.25">
      <c r="B313" s="159"/>
    </row>
    <row r="314" spans="2:2" x14ac:dyDescent="0.25">
      <c r="B314" s="159"/>
    </row>
    <row r="315" spans="2:2" x14ac:dyDescent="0.25">
      <c r="B315" s="159"/>
    </row>
    <row r="316" spans="2:2" x14ac:dyDescent="0.25">
      <c r="B316" s="159"/>
    </row>
    <row r="317" spans="2:2" x14ac:dyDescent="0.25">
      <c r="B317" s="159"/>
    </row>
    <row r="318" spans="2:2" x14ac:dyDescent="0.25">
      <c r="B318" s="159"/>
    </row>
    <row r="319" spans="2:2" x14ac:dyDescent="0.25">
      <c r="B319" s="159"/>
    </row>
    <row r="320" spans="2:2" x14ac:dyDescent="0.25">
      <c r="B320" s="159"/>
    </row>
    <row r="321" spans="2:2" x14ac:dyDescent="0.25">
      <c r="B321" s="159"/>
    </row>
    <row r="322" spans="2:2" x14ac:dyDescent="0.25">
      <c r="B322" s="159"/>
    </row>
    <row r="323" spans="2:2" x14ac:dyDescent="0.25">
      <c r="B323" s="159"/>
    </row>
    <row r="324" spans="2:2" x14ac:dyDescent="0.25">
      <c r="B324" s="159"/>
    </row>
    <row r="325" spans="2:2" x14ac:dyDescent="0.25">
      <c r="B325" s="159"/>
    </row>
    <row r="326" spans="2:2" x14ac:dyDescent="0.25">
      <c r="B326" s="159"/>
    </row>
    <row r="327" spans="2:2" x14ac:dyDescent="0.25">
      <c r="B327" s="159"/>
    </row>
    <row r="328" spans="2:2" x14ac:dyDescent="0.25">
      <c r="B328" s="159"/>
    </row>
    <row r="329" spans="2:2" x14ac:dyDescent="0.25">
      <c r="B329" s="159"/>
    </row>
    <row r="330" spans="2:2" x14ac:dyDescent="0.25">
      <c r="B330" s="159"/>
    </row>
    <row r="331" spans="2:2" x14ac:dyDescent="0.25">
      <c r="B331" s="159"/>
    </row>
    <row r="332" spans="2:2" x14ac:dyDescent="0.25">
      <c r="B332" s="159"/>
    </row>
    <row r="333" spans="2:2" x14ac:dyDescent="0.25">
      <c r="B333" s="159"/>
    </row>
    <row r="334" spans="2:2" x14ac:dyDescent="0.25">
      <c r="B334" s="159"/>
    </row>
    <row r="335" spans="2:2" x14ac:dyDescent="0.25">
      <c r="B335" s="159"/>
    </row>
    <row r="336" spans="2:2" x14ac:dyDescent="0.25">
      <c r="B336" s="159"/>
    </row>
    <row r="337" spans="2:2" x14ac:dyDescent="0.25">
      <c r="B337" s="159"/>
    </row>
    <row r="338" spans="2:2" x14ac:dyDescent="0.25">
      <c r="B338" s="159"/>
    </row>
    <row r="339" spans="2:2" x14ac:dyDescent="0.25">
      <c r="B339" s="159"/>
    </row>
    <row r="340" spans="2:2" x14ac:dyDescent="0.25">
      <c r="B340" s="159"/>
    </row>
    <row r="341" spans="2:2" x14ac:dyDescent="0.25">
      <c r="B341" s="159"/>
    </row>
    <row r="342" spans="2:2" x14ac:dyDescent="0.25">
      <c r="B342" s="159"/>
    </row>
    <row r="343" spans="2:2" x14ac:dyDescent="0.25">
      <c r="B343" s="159"/>
    </row>
    <row r="344" spans="2:2" x14ac:dyDescent="0.25">
      <c r="B344" s="159"/>
    </row>
    <row r="345" spans="2:2" x14ac:dyDescent="0.25">
      <c r="B345" s="159"/>
    </row>
    <row r="346" spans="2:2" x14ac:dyDescent="0.25">
      <c r="B346" s="159"/>
    </row>
    <row r="347" spans="2:2" x14ac:dyDescent="0.25">
      <c r="B347" s="159"/>
    </row>
    <row r="348" spans="2:2" x14ac:dyDescent="0.25">
      <c r="B348" s="159"/>
    </row>
    <row r="349" spans="2:2" x14ac:dyDescent="0.25">
      <c r="B349" s="159"/>
    </row>
    <row r="350" spans="2:2" x14ac:dyDescent="0.25">
      <c r="B350" s="159"/>
    </row>
    <row r="351" spans="2:2" x14ac:dyDescent="0.25">
      <c r="B351" s="159"/>
    </row>
    <row r="352" spans="2:2" x14ac:dyDescent="0.25">
      <c r="B352" s="159"/>
    </row>
    <row r="353" spans="2:2" x14ac:dyDescent="0.25">
      <c r="B353" s="159"/>
    </row>
    <row r="354" spans="2:2" x14ac:dyDescent="0.25">
      <c r="B354" s="159"/>
    </row>
    <row r="355" spans="2:2" x14ac:dyDescent="0.25">
      <c r="B355" s="159"/>
    </row>
    <row r="356" spans="2:2" x14ac:dyDescent="0.25">
      <c r="B356" s="159"/>
    </row>
    <row r="357" spans="2:2" x14ac:dyDescent="0.25">
      <c r="B357" s="159"/>
    </row>
    <row r="358" spans="2:2" x14ac:dyDescent="0.25">
      <c r="B358" s="159"/>
    </row>
    <row r="359" spans="2:2" x14ac:dyDescent="0.25">
      <c r="B359" s="159"/>
    </row>
    <row r="360" spans="2:2" x14ac:dyDescent="0.25">
      <c r="B360" s="159"/>
    </row>
    <row r="361" spans="2:2" x14ac:dyDescent="0.25">
      <c r="B361" s="159"/>
    </row>
    <row r="362" spans="2:2" x14ac:dyDescent="0.25">
      <c r="B362" s="159"/>
    </row>
    <row r="363" spans="2:2" x14ac:dyDescent="0.25">
      <c r="B363" s="159"/>
    </row>
    <row r="364" spans="2:2" x14ac:dyDescent="0.25">
      <c r="B364" s="159"/>
    </row>
    <row r="365" spans="2:2" x14ac:dyDescent="0.25">
      <c r="B365" s="159"/>
    </row>
    <row r="366" spans="2:2" x14ac:dyDescent="0.25">
      <c r="B366" s="159"/>
    </row>
    <row r="367" spans="2:2" x14ac:dyDescent="0.25">
      <c r="B367" s="159"/>
    </row>
    <row r="368" spans="2:2" x14ac:dyDescent="0.25">
      <c r="B368" s="159"/>
    </row>
    <row r="369" spans="2:2" x14ac:dyDescent="0.25">
      <c r="B369" s="159"/>
    </row>
    <row r="370" spans="2:2" x14ac:dyDescent="0.25">
      <c r="B370" s="159"/>
    </row>
    <row r="371" spans="2:2" x14ac:dyDescent="0.25">
      <c r="B371" s="159"/>
    </row>
    <row r="372" spans="2:2" x14ac:dyDescent="0.25">
      <c r="B372" s="159"/>
    </row>
    <row r="373" spans="2:2" x14ac:dyDescent="0.25">
      <c r="B373" s="159"/>
    </row>
    <row r="374" spans="2:2" x14ac:dyDescent="0.25">
      <c r="B374" s="159"/>
    </row>
    <row r="375" spans="2:2" x14ac:dyDescent="0.25">
      <c r="B375" s="159"/>
    </row>
    <row r="376" spans="2:2" x14ac:dyDescent="0.25">
      <c r="B376" s="159"/>
    </row>
    <row r="377" spans="2:2" x14ac:dyDescent="0.25">
      <c r="B377" s="159"/>
    </row>
    <row r="378" spans="2:2" x14ac:dyDescent="0.25">
      <c r="B378" s="159"/>
    </row>
    <row r="379" spans="2:2" x14ac:dyDescent="0.25">
      <c r="B379" s="159"/>
    </row>
    <row r="380" spans="2:2" x14ac:dyDescent="0.25">
      <c r="B380" s="159"/>
    </row>
    <row r="381" spans="2:2" x14ac:dyDescent="0.25">
      <c r="B381" s="159"/>
    </row>
    <row r="382" spans="2:2" x14ac:dyDescent="0.25">
      <c r="B382" s="159"/>
    </row>
    <row r="383" spans="2:2" x14ac:dyDescent="0.25">
      <c r="B383" s="159"/>
    </row>
    <row r="384" spans="2:2" x14ac:dyDescent="0.25">
      <c r="B384" s="159"/>
    </row>
    <row r="385" spans="2:2" x14ac:dyDescent="0.25">
      <c r="B385" s="159"/>
    </row>
    <row r="386" spans="2:2" x14ac:dyDescent="0.25">
      <c r="B386" s="159"/>
    </row>
    <row r="387" spans="2:2" x14ac:dyDescent="0.25">
      <c r="B387" s="159"/>
    </row>
    <row r="388" spans="2:2" x14ac:dyDescent="0.25">
      <c r="B388" s="159"/>
    </row>
    <row r="389" spans="2:2" x14ac:dyDescent="0.25">
      <c r="B389" s="159"/>
    </row>
    <row r="390" spans="2:2" x14ac:dyDescent="0.25">
      <c r="B390" s="159"/>
    </row>
    <row r="391" spans="2:2" x14ac:dyDescent="0.25">
      <c r="B391" s="159"/>
    </row>
    <row r="392" spans="2:2" x14ac:dyDescent="0.25">
      <c r="B392" s="159"/>
    </row>
    <row r="393" spans="2:2" x14ac:dyDescent="0.25">
      <c r="B393" s="159"/>
    </row>
    <row r="394" spans="2:2" x14ac:dyDescent="0.25">
      <c r="B394" s="159"/>
    </row>
    <row r="395" spans="2:2" x14ac:dyDescent="0.25">
      <c r="B395" s="159"/>
    </row>
    <row r="396" spans="2:2" x14ac:dyDescent="0.25">
      <c r="B396" s="159"/>
    </row>
    <row r="397" spans="2:2" x14ac:dyDescent="0.25">
      <c r="B397" s="159"/>
    </row>
    <row r="398" spans="2:2" x14ac:dyDescent="0.25">
      <c r="B398" s="159"/>
    </row>
    <row r="399" spans="2:2" x14ac:dyDescent="0.25">
      <c r="B399" s="159"/>
    </row>
    <row r="400" spans="2:2" x14ac:dyDescent="0.25">
      <c r="B400" s="159"/>
    </row>
    <row r="401" spans="2:2" x14ac:dyDescent="0.25">
      <c r="B401" s="159"/>
    </row>
    <row r="402" spans="2:2" x14ac:dyDescent="0.25">
      <c r="B402" s="159"/>
    </row>
    <row r="403" spans="2:2" x14ac:dyDescent="0.25">
      <c r="B403" s="159"/>
    </row>
    <row r="404" spans="2:2" x14ac:dyDescent="0.25">
      <c r="B404" s="159"/>
    </row>
    <row r="405" spans="2:2" x14ac:dyDescent="0.25">
      <c r="B405" s="159"/>
    </row>
    <row r="406" spans="2:2" x14ac:dyDescent="0.25">
      <c r="B406" s="159"/>
    </row>
    <row r="407" spans="2:2" x14ac:dyDescent="0.25">
      <c r="B407" s="159"/>
    </row>
    <row r="408" spans="2:2" x14ac:dyDescent="0.25">
      <c r="B408" s="159"/>
    </row>
    <row r="409" spans="2:2" x14ac:dyDescent="0.25">
      <c r="B409" s="159"/>
    </row>
    <row r="410" spans="2:2" x14ac:dyDescent="0.25">
      <c r="B410" s="159"/>
    </row>
    <row r="411" spans="2:2" x14ac:dyDescent="0.25">
      <c r="B411" s="159"/>
    </row>
    <row r="412" spans="2:2" x14ac:dyDescent="0.25">
      <c r="B412" s="159"/>
    </row>
    <row r="413" spans="2:2" x14ac:dyDescent="0.25">
      <c r="B413" s="159"/>
    </row>
    <row r="414" spans="2:2" x14ac:dyDescent="0.25">
      <c r="B414" s="159"/>
    </row>
    <row r="415" spans="2:2" x14ac:dyDescent="0.25">
      <c r="B415" s="159"/>
    </row>
    <row r="416" spans="2:2" x14ac:dyDescent="0.25">
      <c r="B416" s="159"/>
    </row>
    <row r="417" spans="2:2" x14ac:dyDescent="0.25">
      <c r="B417" s="159"/>
    </row>
    <row r="418" spans="2:2" x14ac:dyDescent="0.25">
      <c r="B418" s="159"/>
    </row>
    <row r="419" spans="2:2" x14ac:dyDescent="0.25">
      <c r="B419" s="159"/>
    </row>
    <row r="420" spans="2:2" x14ac:dyDescent="0.25">
      <c r="B420" s="159"/>
    </row>
    <row r="421" spans="2:2" x14ac:dyDescent="0.25">
      <c r="B421" s="159"/>
    </row>
    <row r="422" spans="2:2" x14ac:dyDescent="0.25">
      <c r="B422" s="159"/>
    </row>
    <row r="423" spans="2:2" x14ac:dyDescent="0.25">
      <c r="B423" s="159"/>
    </row>
    <row r="424" spans="2:2" x14ac:dyDescent="0.25">
      <c r="B424" s="159"/>
    </row>
    <row r="425" spans="2:2" x14ac:dyDescent="0.25">
      <c r="B425" s="159"/>
    </row>
    <row r="426" spans="2:2" x14ac:dyDescent="0.25">
      <c r="B426" s="159"/>
    </row>
    <row r="427" spans="2:2" x14ac:dyDescent="0.25">
      <c r="B427" s="159"/>
    </row>
    <row r="428" spans="2:2" x14ac:dyDescent="0.25">
      <c r="B428" s="159"/>
    </row>
    <row r="429" spans="2:2" x14ac:dyDescent="0.25">
      <c r="B429" s="159"/>
    </row>
    <row r="430" spans="2:2" x14ac:dyDescent="0.25">
      <c r="B430" s="159"/>
    </row>
    <row r="431" spans="2:2" x14ac:dyDescent="0.25">
      <c r="B431" s="159"/>
    </row>
    <row r="432" spans="2:2" x14ac:dyDescent="0.25">
      <c r="B432" s="159"/>
    </row>
    <row r="433" spans="2:2" x14ac:dyDescent="0.25">
      <c r="B433" s="159"/>
    </row>
    <row r="434" spans="2:2" x14ac:dyDescent="0.25">
      <c r="B434" s="159"/>
    </row>
    <row r="435" spans="2:2" x14ac:dyDescent="0.25">
      <c r="B435" s="159"/>
    </row>
    <row r="436" spans="2:2" x14ac:dyDescent="0.25">
      <c r="B436" s="159"/>
    </row>
    <row r="437" spans="2:2" x14ac:dyDescent="0.25">
      <c r="B437" s="159"/>
    </row>
    <row r="438" spans="2:2" x14ac:dyDescent="0.25">
      <c r="B438" s="159"/>
    </row>
    <row r="439" spans="2:2" x14ac:dyDescent="0.25">
      <c r="B439" s="159"/>
    </row>
    <row r="440" spans="2:2" x14ac:dyDescent="0.25">
      <c r="B440" s="159"/>
    </row>
    <row r="441" spans="2:2" x14ac:dyDescent="0.25">
      <c r="B441" s="159"/>
    </row>
    <row r="442" spans="2:2" x14ac:dyDescent="0.25">
      <c r="B442" s="159"/>
    </row>
    <row r="443" spans="2:2" x14ac:dyDescent="0.25">
      <c r="B443" s="159"/>
    </row>
    <row r="444" spans="2:2" x14ac:dyDescent="0.25">
      <c r="B444" s="159"/>
    </row>
    <row r="445" spans="2:2" x14ac:dyDescent="0.25">
      <c r="B445" s="159"/>
    </row>
    <row r="446" spans="2:2" x14ac:dyDescent="0.25">
      <c r="B446" s="159"/>
    </row>
    <row r="447" spans="2:2" x14ac:dyDescent="0.25">
      <c r="B447" s="159"/>
    </row>
    <row r="448" spans="2:2" x14ac:dyDescent="0.25">
      <c r="B448" s="159"/>
    </row>
    <row r="449" spans="2:2" x14ac:dyDescent="0.25">
      <c r="B449" s="159"/>
    </row>
    <row r="450" spans="2:2" x14ac:dyDescent="0.25">
      <c r="B450" s="159"/>
    </row>
    <row r="451" spans="2:2" x14ac:dyDescent="0.25">
      <c r="B451" s="159"/>
    </row>
    <row r="452" spans="2:2" x14ac:dyDescent="0.25">
      <c r="B452" s="159"/>
    </row>
    <row r="453" spans="2:2" x14ac:dyDescent="0.25">
      <c r="B453" s="159"/>
    </row>
    <row r="454" spans="2:2" x14ac:dyDescent="0.25">
      <c r="B454" s="159"/>
    </row>
    <row r="455" spans="2:2" x14ac:dyDescent="0.25">
      <c r="B455" s="159"/>
    </row>
    <row r="456" spans="2:2" x14ac:dyDescent="0.25">
      <c r="B456" s="159"/>
    </row>
    <row r="457" spans="2:2" x14ac:dyDescent="0.25">
      <c r="B457" s="159"/>
    </row>
    <row r="458" spans="2:2" x14ac:dyDescent="0.25">
      <c r="B458" s="159"/>
    </row>
    <row r="459" spans="2:2" x14ac:dyDescent="0.25">
      <c r="B459" s="159"/>
    </row>
    <row r="460" spans="2:2" x14ac:dyDescent="0.25">
      <c r="B460" s="159"/>
    </row>
    <row r="461" spans="2:2" x14ac:dyDescent="0.25">
      <c r="B461" s="159"/>
    </row>
    <row r="462" spans="2:2" x14ac:dyDescent="0.25">
      <c r="B462" s="159"/>
    </row>
    <row r="463" spans="2:2" x14ac:dyDescent="0.25">
      <c r="B463" s="159"/>
    </row>
    <row r="464" spans="2:2" x14ac:dyDescent="0.25">
      <c r="B464" s="159"/>
    </row>
    <row r="465" spans="2:2" x14ac:dyDescent="0.25">
      <c r="B465" s="159"/>
    </row>
    <row r="466" spans="2:2" x14ac:dyDescent="0.25">
      <c r="B466" s="159"/>
    </row>
    <row r="467" spans="2:2" x14ac:dyDescent="0.25">
      <c r="B467" s="159"/>
    </row>
    <row r="468" spans="2:2" x14ac:dyDescent="0.25">
      <c r="B468" s="159"/>
    </row>
    <row r="469" spans="2:2" x14ac:dyDescent="0.25">
      <c r="B469" s="159"/>
    </row>
    <row r="470" spans="2:2" x14ac:dyDescent="0.25">
      <c r="B470" s="159"/>
    </row>
    <row r="471" spans="2:2" x14ac:dyDescent="0.25">
      <c r="B471" s="159"/>
    </row>
    <row r="472" spans="2:2" x14ac:dyDescent="0.25">
      <c r="B472" s="159"/>
    </row>
    <row r="473" spans="2:2" x14ac:dyDescent="0.25">
      <c r="B473" s="159"/>
    </row>
    <row r="474" spans="2:2" x14ac:dyDescent="0.25">
      <c r="B474" s="159"/>
    </row>
    <row r="475" spans="2:2" x14ac:dyDescent="0.25">
      <c r="B475" s="159"/>
    </row>
    <row r="476" spans="2:2" x14ac:dyDescent="0.25">
      <c r="B476" s="159"/>
    </row>
    <row r="477" spans="2:2" x14ac:dyDescent="0.25">
      <c r="B477" s="159"/>
    </row>
    <row r="478" spans="2:2" x14ac:dyDescent="0.25">
      <c r="B478" s="159"/>
    </row>
    <row r="479" spans="2:2" x14ac:dyDescent="0.25">
      <c r="B479" s="159"/>
    </row>
    <row r="480" spans="2:2" x14ac:dyDescent="0.25">
      <c r="B480" s="159"/>
    </row>
    <row r="481" spans="2:2" x14ac:dyDescent="0.25">
      <c r="B481" s="159"/>
    </row>
    <row r="482" spans="2:2" x14ac:dyDescent="0.25">
      <c r="B482" s="159"/>
    </row>
    <row r="483" spans="2:2" x14ac:dyDescent="0.25">
      <c r="B483" s="159"/>
    </row>
    <row r="484" spans="2:2" x14ac:dyDescent="0.25">
      <c r="B484" s="159"/>
    </row>
    <row r="485" spans="2:2" x14ac:dyDescent="0.25">
      <c r="B485" s="159"/>
    </row>
    <row r="486" spans="2:2" x14ac:dyDescent="0.25">
      <c r="B486" s="159"/>
    </row>
    <row r="487" spans="2:2" x14ac:dyDescent="0.25">
      <c r="B487" s="159"/>
    </row>
    <row r="488" spans="2:2" x14ac:dyDescent="0.25">
      <c r="B488" s="159"/>
    </row>
    <row r="489" spans="2:2" x14ac:dyDescent="0.25">
      <c r="B489" s="159"/>
    </row>
    <row r="490" spans="2:2" x14ac:dyDescent="0.25">
      <c r="B490" s="159"/>
    </row>
    <row r="491" spans="2:2" x14ac:dyDescent="0.25">
      <c r="B491" s="159"/>
    </row>
    <row r="492" spans="2:2" x14ac:dyDescent="0.25">
      <c r="B492" s="159"/>
    </row>
    <row r="493" spans="2:2" x14ac:dyDescent="0.25">
      <c r="B493" s="159"/>
    </row>
    <row r="494" spans="2:2" x14ac:dyDescent="0.25">
      <c r="B494" s="159"/>
    </row>
    <row r="495" spans="2:2" x14ac:dyDescent="0.25">
      <c r="B495" s="159"/>
    </row>
    <row r="496" spans="2:2" x14ac:dyDescent="0.25">
      <c r="B496" s="159"/>
    </row>
    <row r="497" spans="2:2" x14ac:dyDescent="0.25">
      <c r="B497" s="159"/>
    </row>
    <row r="498" spans="2:2" x14ac:dyDescent="0.25">
      <c r="B498" s="159"/>
    </row>
    <row r="499" spans="2:2" x14ac:dyDescent="0.25">
      <c r="B499" s="159"/>
    </row>
    <row r="500" spans="2:2" x14ac:dyDescent="0.25">
      <c r="B500" s="159"/>
    </row>
    <row r="501" spans="2:2" x14ac:dyDescent="0.25">
      <c r="B501" s="159"/>
    </row>
    <row r="502" spans="2:2" x14ac:dyDescent="0.25">
      <c r="B502" s="159"/>
    </row>
    <row r="503" spans="2:2" x14ac:dyDescent="0.25">
      <c r="B503" s="159"/>
    </row>
    <row r="504" spans="2:2" x14ac:dyDescent="0.25">
      <c r="B504" s="159"/>
    </row>
    <row r="505" spans="2:2" x14ac:dyDescent="0.25">
      <c r="B505" s="159"/>
    </row>
    <row r="506" spans="2:2" x14ac:dyDescent="0.25">
      <c r="B506" s="159"/>
    </row>
    <row r="507" spans="2:2" x14ac:dyDescent="0.25">
      <c r="B507" s="159"/>
    </row>
    <row r="508" spans="2:2" x14ac:dyDescent="0.25">
      <c r="B508" s="159"/>
    </row>
    <row r="509" spans="2:2" x14ac:dyDescent="0.25">
      <c r="B509" s="159"/>
    </row>
    <row r="510" spans="2:2" x14ac:dyDescent="0.25">
      <c r="B510" s="159"/>
    </row>
    <row r="511" spans="2:2" x14ac:dyDescent="0.25">
      <c r="B511" s="159"/>
    </row>
    <row r="512" spans="2:2" x14ac:dyDescent="0.25">
      <c r="B512" s="159"/>
    </row>
    <row r="513" spans="2:2" x14ac:dyDescent="0.25">
      <c r="B513" s="159"/>
    </row>
    <row r="514" spans="2:2" x14ac:dyDescent="0.25">
      <c r="B514" s="159"/>
    </row>
    <row r="515" spans="2:2" x14ac:dyDescent="0.25">
      <c r="B515" s="159"/>
    </row>
    <row r="516" spans="2:2" x14ac:dyDescent="0.25">
      <c r="B516" s="159"/>
    </row>
    <row r="517" spans="2:2" x14ac:dyDescent="0.25">
      <c r="B517" s="159"/>
    </row>
    <row r="518" spans="2:2" x14ac:dyDescent="0.25">
      <c r="B518" s="159"/>
    </row>
    <row r="519" spans="2:2" x14ac:dyDescent="0.25">
      <c r="B519" s="159"/>
    </row>
    <row r="520" spans="2:2" x14ac:dyDescent="0.25">
      <c r="B520" s="159"/>
    </row>
    <row r="521" spans="2:2" x14ac:dyDescent="0.25">
      <c r="B521" s="159"/>
    </row>
    <row r="522" spans="2:2" x14ac:dyDescent="0.25">
      <c r="B522" s="159"/>
    </row>
    <row r="523" spans="2:2" x14ac:dyDescent="0.25">
      <c r="B523" s="159"/>
    </row>
    <row r="524" spans="2:2" x14ac:dyDescent="0.25">
      <c r="B524" s="159"/>
    </row>
    <row r="525" spans="2:2" x14ac:dyDescent="0.25">
      <c r="B525" s="159"/>
    </row>
    <row r="526" spans="2:2" x14ac:dyDescent="0.25">
      <c r="B526" s="159"/>
    </row>
    <row r="527" spans="2:2" x14ac:dyDescent="0.25">
      <c r="B527" s="159"/>
    </row>
    <row r="528" spans="2:2" x14ac:dyDescent="0.25">
      <c r="B528" s="159"/>
    </row>
    <row r="529" spans="2:2" x14ac:dyDescent="0.25">
      <c r="B529" s="159"/>
    </row>
    <row r="530" spans="2:2" x14ac:dyDescent="0.25">
      <c r="B530" s="159"/>
    </row>
    <row r="531" spans="2:2" x14ac:dyDescent="0.25">
      <c r="B531" s="159"/>
    </row>
    <row r="532" spans="2:2" x14ac:dyDescent="0.25">
      <c r="B532" s="159"/>
    </row>
    <row r="533" spans="2:2" x14ac:dyDescent="0.25">
      <c r="B533" s="159"/>
    </row>
    <row r="534" spans="2:2" x14ac:dyDescent="0.25">
      <c r="B534" s="159"/>
    </row>
    <row r="535" spans="2:2" x14ac:dyDescent="0.25">
      <c r="B535" s="159"/>
    </row>
    <row r="536" spans="2:2" x14ac:dyDescent="0.25">
      <c r="B536" s="159"/>
    </row>
    <row r="537" spans="2:2" x14ac:dyDescent="0.25">
      <c r="B537" s="159"/>
    </row>
    <row r="538" spans="2:2" x14ac:dyDescent="0.25">
      <c r="B538" s="159"/>
    </row>
    <row r="539" spans="2:2" x14ac:dyDescent="0.25">
      <c r="B539" s="159"/>
    </row>
    <row r="540" spans="2:2" x14ac:dyDescent="0.25">
      <c r="B540" s="159"/>
    </row>
    <row r="541" spans="2:2" x14ac:dyDescent="0.25">
      <c r="B541" s="159"/>
    </row>
    <row r="542" spans="2:2" x14ac:dyDescent="0.25">
      <c r="B542" s="159"/>
    </row>
    <row r="543" spans="2:2" x14ac:dyDescent="0.25">
      <c r="B543" s="159"/>
    </row>
    <row r="544" spans="2:2" x14ac:dyDescent="0.25">
      <c r="B544" s="159"/>
    </row>
    <row r="545" spans="2:2" x14ac:dyDescent="0.25">
      <c r="B545" s="159"/>
    </row>
    <row r="546" spans="2:2" x14ac:dyDescent="0.25">
      <c r="B546" s="159"/>
    </row>
    <row r="547" spans="2:2" x14ac:dyDescent="0.25">
      <c r="B547" s="159"/>
    </row>
    <row r="548" spans="2:2" x14ac:dyDescent="0.25">
      <c r="B548" s="159"/>
    </row>
    <row r="549" spans="2:2" x14ac:dyDescent="0.25">
      <c r="B549" s="159"/>
    </row>
    <row r="550" spans="2:2" x14ac:dyDescent="0.25">
      <c r="B550" s="159"/>
    </row>
    <row r="551" spans="2:2" x14ac:dyDescent="0.25">
      <c r="B551" s="159"/>
    </row>
    <row r="552" spans="2:2" x14ac:dyDescent="0.25">
      <c r="B552" s="159"/>
    </row>
    <row r="553" spans="2:2" x14ac:dyDescent="0.25">
      <c r="B553" s="159"/>
    </row>
    <row r="554" spans="2:2" x14ac:dyDescent="0.25">
      <c r="B554" s="159"/>
    </row>
    <row r="555" spans="2:2" x14ac:dyDescent="0.25">
      <c r="B555" s="159"/>
    </row>
    <row r="556" spans="2:2" x14ac:dyDescent="0.25">
      <c r="B556" s="159"/>
    </row>
    <row r="557" spans="2:2" x14ac:dyDescent="0.25">
      <c r="B557" s="159"/>
    </row>
    <row r="558" spans="2:2" x14ac:dyDescent="0.25">
      <c r="B558" s="159"/>
    </row>
    <row r="559" spans="2:2" x14ac:dyDescent="0.25">
      <c r="B559" s="159"/>
    </row>
    <row r="560" spans="2:2" x14ac:dyDescent="0.25">
      <c r="B560" s="159"/>
    </row>
    <row r="561" spans="2:2" x14ac:dyDescent="0.25">
      <c r="B561" s="159"/>
    </row>
    <row r="562" spans="2:2" x14ac:dyDescent="0.25">
      <c r="B562" s="159"/>
    </row>
    <row r="563" spans="2:2" x14ac:dyDescent="0.25">
      <c r="B563" s="159"/>
    </row>
    <row r="564" spans="2:2" x14ac:dyDescent="0.25">
      <c r="B564" s="159"/>
    </row>
    <row r="565" spans="2:2" x14ac:dyDescent="0.25">
      <c r="B565" s="159"/>
    </row>
    <row r="566" spans="2:2" x14ac:dyDescent="0.25">
      <c r="B566" s="159"/>
    </row>
    <row r="567" spans="2:2" x14ac:dyDescent="0.25">
      <c r="B567" s="159"/>
    </row>
    <row r="568" spans="2:2" x14ac:dyDescent="0.25">
      <c r="B568" s="159"/>
    </row>
    <row r="569" spans="2:2" x14ac:dyDescent="0.25">
      <c r="B569" s="159"/>
    </row>
    <row r="570" spans="2:2" x14ac:dyDescent="0.25">
      <c r="B570" s="159"/>
    </row>
    <row r="571" spans="2:2" x14ac:dyDescent="0.25">
      <c r="B571" s="159"/>
    </row>
    <row r="572" spans="2:2" x14ac:dyDescent="0.25">
      <c r="B572" s="159"/>
    </row>
    <row r="573" spans="2:2" x14ac:dyDescent="0.25">
      <c r="B573" s="159"/>
    </row>
    <row r="574" spans="2:2" x14ac:dyDescent="0.25">
      <c r="B574" s="159"/>
    </row>
    <row r="575" spans="2:2" x14ac:dyDescent="0.25">
      <c r="B575" s="159"/>
    </row>
    <row r="576" spans="2:2" x14ac:dyDescent="0.25">
      <c r="B576" s="159"/>
    </row>
    <row r="577" spans="2:2" x14ac:dyDescent="0.25">
      <c r="B577" s="159"/>
    </row>
    <row r="578" spans="2:2" x14ac:dyDescent="0.25">
      <c r="B578" s="159"/>
    </row>
    <row r="579" spans="2:2" x14ac:dyDescent="0.25">
      <c r="B579" s="159"/>
    </row>
    <row r="580" spans="2:2" x14ac:dyDescent="0.25">
      <c r="B580" s="159"/>
    </row>
    <row r="581" spans="2:2" x14ac:dyDescent="0.25">
      <c r="B581" s="159"/>
    </row>
    <row r="582" spans="2:2" x14ac:dyDescent="0.25">
      <c r="B582" s="159"/>
    </row>
    <row r="583" spans="2:2" x14ac:dyDescent="0.25">
      <c r="B583" s="159"/>
    </row>
    <row r="584" spans="2:2" x14ac:dyDescent="0.25">
      <c r="B584" s="159"/>
    </row>
    <row r="585" spans="2:2" x14ac:dyDescent="0.25">
      <c r="B585" s="159"/>
    </row>
    <row r="586" spans="2:2" x14ac:dyDescent="0.25">
      <c r="B586" s="159"/>
    </row>
    <row r="587" spans="2:2" x14ac:dyDescent="0.25">
      <c r="B587" s="159"/>
    </row>
    <row r="588" spans="2:2" x14ac:dyDescent="0.25">
      <c r="B588" s="159"/>
    </row>
    <row r="589" spans="2:2" x14ac:dyDescent="0.25">
      <c r="B589" s="159"/>
    </row>
    <row r="590" spans="2:2" x14ac:dyDescent="0.25">
      <c r="B590" s="159"/>
    </row>
    <row r="591" spans="2:2" x14ac:dyDescent="0.25">
      <c r="B591" s="159"/>
    </row>
    <row r="592" spans="2:2" x14ac:dyDescent="0.25">
      <c r="B592" s="159"/>
    </row>
    <row r="593" spans="2:2" x14ac:dyDescent="0.25">
      <c r="B593" s="159"/>
    </row>
    <row r="594" spans="2:2" x14ac:dyDescent="0.25">
      <c r="B594" s="159"/>
    </row>
    <row r="595" spans="2:2" x14ac:dyDescent="0.25">
      <c r="B595" s="159"/>
    </row>
    <row r="596" spans="2:2" x14ac:dyDescent="0.25">
      <c r="B596" s="159"/>
    </row>
    <row r="597" spans="2:2" x14ac:dyDescent="0.25">
      <c r="B597" s="159"/>
    </row>
    <row r="598" spans="2:2" x14ac:dyDescent="0.25">
      <c r="B598" s="159"/>
    </row>
    <row r="599" spans="2:2" x14ac:dyDescent="0.25">
      <c r="B599" s="159"/>
    </row>
    <row r="600" spans="2:2" x14ac:dyDescent="0.25">
      <c r="B600" s="159"/>
    </row>
    <row r="601" spans="2:2" x14ac:dyDescent="0.25">
      <c r="B601" s="159"/>
    </row>
    <row r="602" spans="2:2" x14ac:dyDescent="0.25">
      <c r="B602" s="159"/>
    </row>
    <row r="603" spans="2:2" x14ac:dyDescent="0.25">
      <c r="B603" s="159"/>
    </row>
    <row r="604" spans="2:2" x14ac:dyDescent="0.25">
      <c r="B604" s="159"/>
    </row>
    <row r="605" spans="2:2" x14ac:dyDescent="0.25">
      <c r="B605" s="159"/>
    </row>
    <row r="606" spans="2:2" x14ac:dyDescent="0.25">
      <c r="B606" s="159"/>
    </row>
    <row r="607" spans="2:2" x14ac:dyDescent="0.25">
      <c r="B607" s="159"/>
    </row>
    <row r="608" spans="2:2" x14ac:dyDescent="0.25">
      <c r="B608" s="159"/>
    </row>
    <row r="609" spans="2:2" x14ac:dyDescent="0.25">
      <c r="B609" s="159"/>
    </row>
    <row r="610" spans="2:2" x14ac:dyDescent="0.25">
      <c r="B610" s="159"/>
    </row>
    <row r="611" spans="2:2" x14ac:dyDescent="0.25">
      <c r="B611" s="159"/>
    </row>
    <row r="612" spans="2:2" x14ac:dyDescent="0.25">
      <c r="B612" s="159"/>
    </row>
    <row r="613" spans="2:2" x14ac:dyDescent="0.25">
      <c r="B613" s="159"/>
    </row>
    <row r="614" spans="2:2" x14ac:dyDescent="0.25">
      <c r="B614" s="159"/>
    </row>
    <row r="615" spans="2:2" x14ac:dyDescent="0.25">
      <c r="B615" s="159"/>
    </row>
    <row r="616" spans="2:2" x14ac:dyDescent="0.25">
      <c r="B616" s="159"/>
    </row>
    <row r="617" spans="2:2" x14ac:dyDescent="0.25">
      <c r="B617" s="159"/>
    </row>
    <row r="618" spans="2:2" x14ac:dyDescent="0.25">
      <c r="B618" s="159"/>
    </row>
    <row r="619" spans="2:2" x14ac:dyDescent="0.25">
      <c r="B619" s="159"/>
    </row>
    <row r="620" spans="2:2" x14ac:dyDescent="0.25">
      <c r="B620" s="159"/>
    </row>
    <row r="621" spans="2:2" x14ac:dyDescent="0.25">
      <c r="B621" s="159"/>
    </row>
    <row r="622" spans="2:2" x14ac:dyDescent="0.25">
      <c r="B622" s="159"/>
    </row>
    <row r="623" spans="2:2" x14ac:dyDescent="0.25">
      <c r="B623" s="159"/>
    </row>
    <row r="624" spans="2:2" x14ac:dyDescent="0.25">
      <c r="B624" s="159"/>
    </row>
    <row r="625" spans="2:2" x14ac:dyDescent="0.25">
      <c r="B625" s="159"/>
    </row>
    <row r="626" spans="2:2" x14ac:dyDescent="0.25">
      <c r="B626" s="159"/>
    </row>
    <row r="627" spans="2:2" x14ac:dyDescent="0.25">
      <c r="B627" s="159"/>
    </row>
    <row r="628" spans="2:2" x14ac:dyDescent="0.25">
      <c r="B628" s="159"/>
    </row>
    <row r="629" spans="2:2" x14ac:dyDescent="0.25">
      <c r="B629" s="159"/>
    </row>
    <row r="630" spans="2:2" x14ac:dyDescent="0.25">
      <c r="B630" s="159"/>
    </row>
    <row r="631" spans="2:2" x14ac:dyDescent="0.25">
      <c r="B631" s="159"/>
    </row>
    <row r="632" spans="2:2" x14ac:dyDescent="0.25">
      <c r="B632" s="159"/>
    </row>
    <row r="633" spans="2:2" x14ac:dyDescent="0.25">
      <c r="B633" s="159"/>
    </row>
    <row r="634" spans="2:2" x14ac:dyDescent="0.25">
      <c r="B634" s="159"/>
    </row>
    <row r="635" spans="2:2" x14ac:dyDescent="0.25">
      <c r="B635" s="159"/>
    </row>
    <row r="636" spans="2:2" x14ac:dyDescent="0.25">
      <c r="B636" s="159"/>
    </row>
    <row r="637" spans="2:2" x14ac:dyDescent="0.25">
      <c r="B637" s="159"/>
    </row>
    <row r="638" spans="2:2" x14ac:dyDescent="0.25">
      <c r="B638" s="159"/>
    </row>
    <row r="639" spans="2:2" x14ac:dyDescent="0.25">
      <c r="B639" s="159"/>
    </row>
    <row r="640" spans="2:2" x14ac:dyDescent="0.25">
      <c r="B640" s="159"/>
    </row>
    <row r="641" spans="2:2" x14ac:dyDescent="0.25">
      <c r="B641" s="159"/>
    </row>
    <row r="642" spans="2:2" x14ac:dyDescent="0.25">
      <c r="B642" s="159"/>
    </row>
    <row r="643" spans="2:2" x14ac:dyDescent="0.25">
      <c r="B643" s="159"/>
    </row>
    <row r="644" spans="2:2" x14ac:dyDescent="0.25">
      <c r="B644" s="159"/>
    </row>
    <row r="645" spans="2:2" x14ac:dyDescent="0.25">
      <c r="B645" s="159"/>
    </row>
    <row r="646" spans="2:2" x14ac:dyDescent="0.25">
      <c r="B646" s="159"/>
    </row>
    <row r="647" spans="2:2" x14ac:dyDescent="0.25">
      <c r="B647" s="159"/>
    </row>
    <row r="648" spans="2:2" x14ac:dyDescent="0.25">
      <c r="B648" s="159"/>
    </row>
    <row r="649" spans="2:2" x14ac:dyDescent="0.25">
      <c r="B649" s="159"/>
    </row>
    <row r="650" spans="2:2" x14ac:dyDescent="0.25">
      <c r="B650" s="159"/>
    </row>
    <row r="651" spans="2:2" x14ac:dyDescent="0.25">
      <c r="B651" s="159"/>
    </row>
    <row r="652" spans="2:2" x14ac:dyDescent="0.25">
      <c r="B652" s="159"/>
    </row>
    <row r="653" spans="2:2" x14ac:dyDescent="0.25">
      <c r="B653" s="159"/>
    </row>
    <row r="654" spans="2:2" x14ac:dyDescent="0.25">
      <c r="B654" s="159"/>
    </row>
    <row r="655" spans="2:2" x14ac:dyDescent="0.25">
      <c r="B655" s="159"/>
    </row>
    <row r="656" spans="2:2" x14ac:dyDescent="0.25">
      <c r="B656" s="159"/>
    </row>
    <row r="657" spans="2:2" x14ac:dyDescent="0.25">
      <c r="B657" s="159"/>
    </row>
    <row r="658" spans="2:2" x14ac:dyDescent="0.25">
      <c r="B658" s="159"/>
    </row>
    <row r="659" spans="2:2" x14ac:dyDescent="0.25">
      <c r="B659" s="159"/>
    </row>
    <row r="660" spans="2:2" x14ac:dyDescent="0.25">
      <c r="B660" s="159"/>
    </row>
    <row r="661" spans="2:2" x14ac:dyDescent="0.25">
      <c r="B661" s="159"/>
    </row>
    <row r="662" spans="2:2" x14ac:dyDescent="0.25">
      <c r="B662" s="159"/>
    </row>
    <row r="663" spans="2:2" x14ac:dyDescent="0.25">
      <c r="B663" s="159"/>
    </row>
    <row r="664" spans="2:2" x14ac:dyDescent="0.25">
      <c r="B664" s="159"/>
    </row>
    <row r="665" spans="2:2" x14ac:dyDescent="0.25">
      <c r="B665" s="159"/>
    </row>
    <row r="666" spans="2:2" x14ac:dyDescent="0.25">
      <c r="B666" s="159"/>
    </row>
    <row r="667" spans="2:2" x14ac:dyDescent="0.25">
      <c r="B667" s="159"/>
    </row>
    <row r="668" spans="2:2" x14ac:dyDescent="0.25">
      <c r="B668" s="159"/>
    </row>
    <row r="669" spans="2:2" x14ac:dyDescent="0.25">
      <c r="B669" s="159"/>
    </row>
    <row r="670" spans="2:2" x14ac:dyDescent="0.25">
      <c r="B670" s="159"/>
    </row>
    <row r="671" spans="2:2" x14ac:dyDescent="0.25">
      <c r="B671" s="159"/>
    </row>
    <row r="672" spans="2:2" x14ac:dyDescent="0.25">
      <c r="B672" s="159"/>
    </row>
    <row r="673" spans="2:2" x14ac:dyDescent="0.25">
      <c r="B673" s="159"/>
    </row>
    <row r="674" spans="2:2" x14ac:dyDescent="0.25">
      <c r="B674" s="159"/>
    </row>
    <row r="675" spans="2:2" x14ac:dyDescent="0.25">
      <c r="B675" s="159"/>
    </row>
    <row r="676" spans="2:2" x14ac:dyDescent="0.25">
      <c r="B676" s="159"/>
    </row>
    <row r="677" spans="2:2" x14ac:dyDescent="0.25">
      <c r="B677" s="159"/>
    </row>
    <row r="678" spans="2:2" x14ac:dyDescent="0.25">
      <c r="B678" s="159"/>
    </row>
    <row r="679" spans="2:2" x14ac:dyDescent="0.25">
      <c r="B679" s="159"/>
    </row>
    <row r="680" spans="2:2" x14ac:dyDescent="0.25">
      <c r="B680" s="159"/>
    </row>
    <row r="681" spans="2:2" x14ac:dyDescent="0.25">
      <c r="B681" s="159"/>
    </row>
    <row r="682" spans="2:2" x14ac:dyDescent="0.25">
      <c r="B682" s="159"/>
    </row>
    <row r="683" spans="2:2" x14ac:dyDescent="0.25">
      <c r="B683" s="159"/>
    </row>
    <row r="684" spans="2:2" x14ac:dyDescent="0.25">
      <c r="B684" s="159"/>
    </row>
    <row r="685" spans="2:2" x14ac:dyDescent="0.25">
      <c r="B685" s="159"/>
    </row>
    <row r="686" spans="2:2" x14ac:dyDescent="0.25">
      <c r="B686" s="159"/>
    </row>
    <row r="687" spans="2:2" x14ac:dyDescent="0.25">
      <c r="B687" s="159"/>
    </row>
    <row r="688" spans="2:2" x14ac:dyDescent="0.25">
      <c r="B688" s="159"/>
    </row>
    <row r="689" spans="2:2" x14ac:dyDescent="0.25">
      <c r="B689" s="159"/>
    </row>
    <row r="690" spans="2:2" x14ac:dyDescent="0.25">
      <c r="B690" s="159"/>
    </row>
    <row r="691" spans="2:2" x14ac:dyDescent="0.25">
      <c r="B691" s="159"/>
    </row>
    <row r="692" spans="2:2" x14ac:dyDescent="0.25">
      <c r="B692" s="159"/>
    </row>
    <row r="693" spans="2:2" x14ac:dyDescent="0.25">
      <c r="B693" s="159"/>
    </row>
    <row r="694" spans="2:2" x14ac:dyDescent="0.25">
      <c r="B694" s="159"/>
    </row>
    <row r="695" spans="2:2" x14ac:dyDescent="0.25">
      <c r="B695" s="159"/>
    </row>
    <row r="696" spans="2:2" x14ac:dyDescent="0.25">
      <c r="B696" s="159"/>
    </row>
    <row r="697" spans="2:2" x14ac:dyDescent="0.25">
      <c r="B697" s="159"/>
    </row>
    <row r="698" spans="2:2" x14ac:dyDescent="0.25">
      <c r="B698" s="159"/>
    </row>
    <row r="699" spans="2:2" x14ac:dyDescent="0.25">
      <c r="B699" s="159"/>
    </row>
    <row r="700" spans="2:2" x14ac:dyDescent="0.25">
      <c r="B700" s="159"/>
    </row>
    <row r="701" spans="2:2" x14ac:dyDescent="0.25">
      <c r="B701" s="159"/>
    </row>
    <row r="702" spans="2:2" x14ac:dyDescent="0.25">
      <c r="B702" s="159"/>
    </row>
    <row r="703" spans="2:2" x14ac:dyDescent="0.25">
      <c r="B703" s="159"/>
    </row>
    <row r="704" spans="2:2" x14ac:dyDescent="0.25">
      <c r="B704" s="159"/>
    </row>
    <row r="705" spans="2:2" x14ac:dyDescent="0.25">
      <c r="B705" s="159"/>
    </row>
    <row r="706" spans="2:2" x14ac:dyDescent="0.25">
      <c r="B706" s="159"/>
    </row>
    <row r="707" spans="2:2" x14ac:dyDescent="0.25">
      <c r="B707" s="159"/>
    </row>
    <row r="708" spans="2:2" x14ac:dyDescent="0.25">
      <c r="B708" s="159"/>
    </row>
    <row r="709" spans="2:2" x14ac:dyDescent="0.25">
      <c r="B709" s="159"/>
    </row>
    <row r="710" spans="2:2" x14ac:dyDescent="0.25">
      <c r="B710" s="159"/>
    </row>
    <row r="711" spans="2:2" x14ac:dyDescent="0.25">
      <c r="B711" s="159"/>
    </row>
    <row r="712" spans="2:2" x14ac:dyDescent="0.25">
      <c r="B712" s="159"/>
    </row>
    <row r="713" spans="2:2" x14ac:dyDescent="0.25">
      <c r="B713" s="159"/>
    </row>
    <row r="714" spans="2:2" x14ac:dyDescent="0.25">
      <c r="B714" s="159"/>
    </row>
    <row r="715" spans="2:2" x14ac:dyDescent="0.25">
      <c r="B715" s="159"/>
    </row>
    <row r="716" spans="2:2" x14ac:dyDescent="0.25">
      <c r="B716" s="159"/>
    </row>
    <row r="717" spans="2:2" x14ac:dyDescent="0.25">
      <c r="B717" s="159"/>
    </row>
    <row r="718" spans="2:2" x14ac:dyDescent="0.25">
      <c r="B718" s="159"/>
    </row>
    <row r="719" spans="2:2" x14ac:dyDescent="0.25">
      <c r="B719" s="159"/>
    </row>
    <row r="720" spans="2:2" x14ac:dyDescent="0.25">
      <c r="B720" s="159"/>
    </row>
    <row r="721" spans="2:2" x14ac:dyDescent="0.25">
      <c r="B721" s="159"/>
    </row>
    <row r="722" spans="2:2" x14ac:dyDescent="0.25">
      <c r="B722" s="159"/>
    </row>
    <row r="723" spans="2:2" x14ac:dyDescent="0.25">
      <c r="B723" s="159"/>
    </row>
    <row r="724" spans="2:2" x14ac:dyDescent="0.25">
      <c r="B724" s="159"/>
    </row>
    <row r="725" spans="2:2" x14ac:dyDescent="0.25">
      <c r="B725" s="159"/>
    </row>
    <row r="726" spans="2:2" x14ac:dyDescent="0.25">
      <c r="B726" s="159"/>
    </row>
    <row r="727" spans="2:2" x14ac:dyDescent="0.25">
      <c r="B727" s="159"/>
    </row>
    <row r="728" spans="2:2" x14ac:dyDescent="0.25">
      <c r="B728" s="159"/>
    </row>
    <row r="729" spans="2:2" x14ac:dyDescent="0.25">
      <c r="B729" s="159"/>
    </row>
    <row r="730" spans="2:2" x14ac:dyDescent="0.25">
      <c r="B730" s="159"/>
    </row>
    <row r="731" spans="2:2" x14ac:dyDescent="0.25">
      <c r="B731" s="159"/>
    </row>
    <row r="732" spans="2:2" x14ac:dyDescent="0.25">
      <c r="B732" s="159"/>
    </row>
    <row r="733" spans="2:2" x14ac:dyDescent="0.25">
      <c r="B733" s="159"/>
    </row>
    <row r="734" spans="2:2" x14ac:dyDescent="0.25">
      <c r="B734" s="159"/>
    </row>
    <row r="735" spans="2:2" x14ac:dyDescent="0.25">
      <c r="B735" s="159"/>
    </row>
    <row r="736" spans="2:2" x14ac:dyDescent="0.25">
      <c r="B736" s="159"/>
    </row>
    <row r="737" spans="2:2" x14ac:dyDescent="0.25">
      <c r="B737" s="159"/>
    </row>
    <row r="738" spans="2:2" x14ac:dyDescent="0.25">
      <c r="B738" s="159"/>
    </row>
    <row r="739" spans="2:2" x14ac:dyDescent="0.25">
      <c r="B739" s="159"/>
    </row>
    <row r="740" spans="2:2" x14ac:dyDescent="0.25">
      <c r="B740" s="159"/>
    </row>
    <row r="741" spans="2:2" x14ac:dyDescent="0.25">
      <c r="B741" s="159"/>
    </row>
    <row r="742" spans="2:2" x14ac:dyDescent="0.25">
      <c r="B742" s="159"/>
    </row>
    <row r="743" spans="2:2" x14ac:dyDescent="0.25">
      <c r="B743" s="159"/>
    </row>
    <row r="744" spans="2:2" x14ac:dyDescent="0.25">
      <c r="B744" s="159"/>
    </row>
    <row r="745" spans="2:2" x14ac:dyDescent="0.25">
      <c r="B745" s="159"/>
    </row>
    <row r="746" spans="2:2" x14ac:dyDescent="0.25">
      <c r="B746" s="159"/>
    </row>
    <row r="747" spans="2:2" x14ac:dyDescent="0.25">
      <c r="B747" s="159"/>
    </row>
    <row r="748" spans="2:2" x14ac:dyDescent="0.25">
      <c r="B748" s="159"/>
    </row>
    <row r="749" spans="2:2" x14ac:dyDescent="0.25">
      <c r="B749" s="159"/>
    </row>
    <row r="750" spans="2:2" x14ac:dyDescent="0.25">
      <c r="B750" s="159"/>
    </row>
    <row r="751" spans="2:2" x14ac:dyDescent="0.25">
      <c r="B751" s="159"/>
    </row>
    <row r="752" spans="2:2" x14ac:dyDescent="0.25">
      <c r="B752" s="159"/>
    </row>
    <row r="753" spans="2:2" x14ac:dyDescent="0.25">
      <c r="B753" s="159"/>
    </row>
    <row r="754" spans="2:2" x14ac:dyDescent="0.25">
      <c r="B754" s="159"/>
    </row>
    <row r="755" spans="2:2" x14ac:dyDescent="0.25">
      <c r="B755" s="159"/>
    </row>
    <row r="756" spans="2:2" x14ac:dyDescent="0.25">
      <c r="B756" s="159"/>
    </row>
    <row r="757" spans="2:2" x14ac:dyDescent="0.25">
      <c r="B757" s="159"/>
    </row>
    <row r="758" spans="2:2" x14ac:dyDescent="0.25">
      <c r="B758" s="159"/>
    </row>
    <row r="759" spans="2:2" x14ac:dyDescent="0.25">
      <c r="B759" s="159"/>
    </row>
    <row r="760" spans="2:2" x14ac:dyDescent="0.25">
      <c r="B760" s="159"/>
    </row>
    <row r="761" spans="2:2" x14ac:dyDescent="0.25">
      <c r="B761" s="159"/>
    </row>
    <row r="762" spans="2:2" x14ac:dyDescent="0.25">
      <c r="B762" s="159"/>
    </row>
    <row r="763" spans="2:2" x14ac:dyDescent="0.25">
      <c r="B763" s="159"/>
    </row>
    <row r="764" spans="2:2" x14ac:dyDescent="0.25">
      <c r="B764" s="159"/>
    </row>
    <row r="765" spans="2:2" x14ac:dyDescent="0.25">
      <c r="B765" s="159"/>
    </row>
    <row r="766" spans="2:2" x14ac:dyDescent="0.25">
      <c r="B766" s="159"/>
    </row>
    <row r="767" spans="2:2" x14ac:dyDescent="0.25">
      <c r="B767" s="159"/>
    </row>
    <row r="768" spans="2:2" x14ac:dyDescent="0.25">
      <c r="B768" s="159"/>
    </row>
    <row r="769" spans="2:2" x14ac:dyDescent="0.25">
      <c r="B769" s="159"/>
    </row>
    <row r="770" spans="2:2" x14ac:dyDescent="0.25">
      <c r="B770" s="159"/>
    </row>
    <row r="771" spans="2:2" x14ac:dyDescent="0.25">
      <c r="B771" s="159"/>
    </row>
    <row r="772" spans="2:2" x14ac:dyDescent="0.25">
      <c r="B772" s="159"/>
    </row>
    <row r="773" spans="2:2" x14ac:dyDescent="0.25">
      <c r="B773" s="159"/>
    </row>
    <row r="774" spans="2:2" x14ac:dyDescent="0.25">
      <c r="B774" s="159"/>
    </row>
    <row r="775" spans="2:2" x14ac:dyDescent="0.25">
      <c r="B775" s="159"/>
    </row>
    <row r="776" spans="2:2" x14ac:dyDescent="0.25">
      <c r="B776" s="159"/>
    </row>
    <row r="777" spans="2:2" x14ac:dyDescent="0.25">
      <c r="B777" s="159"/>
    </row>
    <row r="778" spans="2:2" x14ac:dyDescent="0.25">
      <c r="B778" s="159"/>
    </row>
    <row r="779" spans="2:2" x14ac:dyDescent="0.25">
      <c r="B779" s="159"/>
    </row>
    <row r="780" spans="2:2" x14ac:dyDescent="0.25">
      <c r="B780" s="159"/>
    </row>
    <row r="781" spans="2:2" x14ac:dyDescent="0.25">
      <c r="B781" s="159"/>
    </row>
    <row r="782" spans="2:2" x14ac:dyDescent="0.25">
      <c r="B782" s="159"/>
    </row>
    <row r="783" spans="2:2" x14ac:dyDescent="0.25">
      <c r="B783" s="159"/>
    </row>
    <row r="784" spans="2:2" x14ac:dyDescent="0.25">
      <c r="B784" s="159"/>
    </row>
    <row r="785" spans="2:2" x14ac:dyDescent="0.25">
      <c r="B785" s="159"/>
    </row>
    <row r="786" spans="2:2" x14ac:dyDescent="0.25">
      <c r="B786" s="159"/>
    </row>
    <row r="787" spans="2:2" x14ac:dyDescent="0.25">
      <c r="B787" s="159"/>
    </row>
    <row r="788" spans="2:2" x14ac:dyDescent="0.25">
      <c r="B788" s="159"/>
    </row>
    <row r="789" spans="2:2" x14ac:dyDescent="0.25">
      <c r="B789" s="159"/>
    </row>
    <row r="790" spans="2:2" x14ac:dyDescent="0.25">
      <c r="B790" s="159"/>
    </row>
    <row r="791" spans="2:2" x14ac:dyDescent="0.25">
      <c r="B791" s="159"/>
    </row>
    <row r="792" spans="2:2" x14ac:dyDescent="0.25">
      <c r="B792" s="159"/>
    </row>
    <row r="793" spans="2:2" x14ac:dyDescent="0.25">
      <c r="B793" s="159"/>
    </row>
    <row r="794" spans="2:2" x14ac:dyDescent="0.25">
      <c r="B794" s="159"/>
    </row>
    <row r="795" spans="2:2" x14ac:dyDescent="0.25">
      <c r="B795" s="159"/>
    </row>
    <row r="796" spans="2:2" x14ac:dyDescent="0.25">
      <c r="B796" s="159"/>
    </row>
    <row r="797" spans="2:2" x14ac:dyDescent="0.25">
      <c r="B797" s="159"/>
    </row>
    <row r="798" spans="2:2" x14ac:dyDescent="0.25">
      <c r="B798" s="159"/>
    </row>
    <row r="799" spans="2:2" x14ac:dyDescent="0.25">
      <c r="B799" s="159"/>
    </row>
    <row r="800" spans="2:2" x14ac:dyDescent="0.25">
      <c r="B800" s="159"/>
    </row>
    <row r="801" spans="2:2" x14ac:dyDescent="0.25">
      <c r="B801" s="159"/>
    </row>
    <row r="802" spans="2:2" x14ac:dyDescent="0.25">
      <c r="B802" s="159"/>
    </row>
    <row r="803" spans="2:2" x14ac:dyDescent="0.25">
      <c r="B803" s="159"/>
    </row>
    <row r="804" spans="2:2" x14ac:dyDescent="0.25">
      <c r="B804" s="159"/>
    </row>
    <row r="805" spans="2:2" x14ac:dyDescent="0.25">
      <c r="B805" s="159"/>
    </row>
    <row r="806" spans="2:2" x14ac:dyDescent="0.25">
      <c r="B806" s="159"/>
    </row>
    <row r="807" spans="2:2" x14ac:dyDescent="0.25">
      <c r="B807" s="159"/>
    </row>
    <row r="808" spans="2:2" x14ac:dyDescent="0.25">
      <c r="B808" s="159"/>
    </row>
    <row r="809" spans="2:2" x14ac:dyDescent="0.25">
      <c r="B809" s="159"/>
    </row>
    <row r="810" spans="2:2" x14ac:dyDescent="0.25">
      <c r="B810" s="159"/>
    </row>
    <row r="811" spans="2:2" x14ac:dyDescent="0.25">
      <c r="B811" s="159"/>
    </row>
    <row r="812" spans="2:2" x14ac:dyDescent="0.25">
      <c r="B812" s="159"/>
    </row>
    <row r="813" spans="2:2" x14ac:dyDescent="0.25">
      <c r="B813" s="159"/>
    </row>
    <row r="814" spans="2:2" x14ac:dyDescent="0.25">
      <c r="B814" s="159"/>
    </row>
    <row r="815" spans="2:2" x14ac:dyDescent="0.25">
      <c r="B815" s="159"/>
    </row>
    <row r="816" spans="2:2" x14ac:dyDescent="0.25">
      <c r="B816" s="159"/>
    </row>
    <row r="817" spans="2:2" x14ac:dyDescent="0.25">
      <c r="B817" s="159"/>
    </row>
    <row r="818" spans="2:2" x14ac:dyDescent="0.25">
      <c r="B818" s="159"/>
    </row>
    <row r="819" spans="2:2" x14ac:dyDescent="0.25">
      <c r="B819" s="159"/>
    </row>
    <row r="820" spans="2:2" x14ac:dyDescent="0.25">
      <c r="B820" s="159"/>
    </row>
    <row r="821" spans="2:2" x14ac:dyDescent="0.25">
      <c r="B821" s="159"/>
    </row>
    <row r="822" spans="2:2" x14ac:dyDescent="0.25">
      <c r="B822" s="159"/>
    </row>
    <row r="823" spans="2:2" x14ac:dyDescent="0.25">
      <c r="B823" s="159"/>
    </row>
    <row r="824" spans="2:2" x14ac:dyDescent="0.25">
      <c r="B824" s="159"/>
    </row>
    <row r="825" spans="2:2" x14ac:dyDescent="0.25">
      <c r="B825" s="159"/>
    </row>
    <row r="826" spans="2:2" x14ac:dyDescent="0.25">
      <c r="B826" s="159"/>
    </row>
    <row r="827" spans="2:2" x14ac:dyDescent="0.25">
      <c r="B827" s="159"/>
    </row>
    <row r="828" spans="2:2" x14ac:dyDescent="0.25">
      <c r="B828" s="159"/>
    </row>
    <row r="829" spans="2:2" x14ac:dyDescent="0.25">
      <c r="B829" s="159"/>
    </row>
    <row r="830" spans="2:2" x14ac:dyDescent="0.25">
      <c r="B830" s="159"/>
    </row>
    <row r="831" spans="2:2" x14ac:dyDescent="0.25">
      <c r="B831" s="159"/>
    </row>
    <row r="832" spans="2:2" x14ac:dyDescent="0.25">
      <c r="B832" s="159"/>
    </row>
    <row r="833" spans="2:2" x14ac:dyDescent="0.25">
      <c r="B833" s="159"/>
    </row>
    <row r="834" spans="2:2" x14ac:dyDescent="0.25">
      <c r="B834" s="159"/>
    </row>
    <row r="835" spans="2:2" x14ac:dyDescent="0.25">
      <c r="B835" s="159"/>
    </row>
    <row r="836" spans="2:2" x14ac:dyDescent="0.25">
      <c r="B836" s="159"/>
    </row>
    <row r="837" spans="2:2" x14ac:dyDescent="0.25">
      <c r="B837" s="159"/>
    </row>
    <row r="838" spans="2:2" x14ac:dyDescent="0.25">
      <c r="B838" s="159"/>
    </row>
    <row r="839" spans="2:2" x14ac:dyDescent="0.25">
      <c r="B839" s="159"/>
    </row>
    <row r="840" spans="2:2" x14ac:dyDescent="0.25">
      <c r="B840" s="159"/>
    </row>
    <row r="841" spans="2:2" x14ac:dyDescent="0.25">
      <c r="B841" s="159"/>
    </row>
    <row r="842" spans="2:2" x14ac:dyDescent="0.25">
      <c r="B842" s="159"/>
    </row>
    <row r="843" spans="2:2" x14ac:dyDescent="0.25">
      <c r="B843" s="159"/>
    </row>
    <row r="844" spans="2:2" x14ac:dyDescent="0.25">
      <c r="B844" s="159"/>
    </row>
    <row r="845" spans="2:2" x14ac:dyDescent="0.25">
      <c r="B845" s="159"/>
    </row>
    <row r="846" spans="2:2" x14ac:dyDescent="0.25">
      <c r="B846" s="159"/>
    </row>
    <row r="847" spans="2:2" x14ac:dyDescent="0.25">
      <c r="B847" s="159"/>
    </row>
    <row r="848" spans="2:2" x14ac:dyDescent="0.25">
      <c r="B848" s="159"/>
    </row>
    <row r="849" spans="2:2" x14ac:dyDescent="0.25">
      <c r="B849" s="159"/>
    </row>
    <row r="850" spans="2:2" x14ac:dyDescent="0.25">
      <c r="B850" s="159"/>
    </row>
    <row r="851" spans="2:2" x14ac:dyDescent="0.25">
      <c r="B851" s="159"/>
    </row>
    <row r="852" spans="2:2" x14ac:dyDescent="0.25">
      <c r="B852" s="159"/>
    </row>
    <row r="853" spans="2:2" x14ac:dyDescent="0.25">
      <c r="B853" s="159"/>
    </row>
    <row r="854" spans="2:2" x14ac:dyDescent="0.25">
      <c r="B854" s="159"/>
    </row>
    <row r="855" spans="2:2" x14ac:dyDescent="0.25">
      <c r="B855" s="159"/>
    </row>
    <row r="856" spans="2:2" x14ac:dyDescent="0.25">
      <c r="B856" s="159"/>
    </row>
    <row r="857" spans="2:2" x14ac:dyDescent="0.25">
      <c r="B857" s="159"/>
    </row>
    <row r="858" spans="2:2" x14ac:dyDescent="0.25">
      <c r="B858" s="159"/>
    </row>
    <row r="859" spans="2:2" x14ac:dyDescent="0.25">
      <c r="B859" s="159"/>
    </row>
    <row r="860" spans="2:2" x14ac:dyDescent="0.25">
      <c r="B860" s="159"/>
    </row>
    <row r="861" spans="2:2" x14ac:dyDescent="0.25">
      <c r="B861" s="159"/>
    </row>
    <row r="862" spans="2:2" x14ac:dyDescent="0.25">
      <c r="B862" s="159"/>
    </row>
    <row r="863" spans="2:2" x14ac:dyDescent="0.25">
      <c r="B863" s="159"/>
    </row>
    <row r="864" spans="2:2" x14ac:dyDescent="0.25">
      <c r="B864" s="159"/>
    </row>
    <row r="865" spans="2:2" x14ac:dyDescent="0.25">
      <c r="B865" s="159"/>
    </row>
    <row r="866" spans="2:2" x14ac:dyDescent="0.25">
      <c r="B866" s="159"/>
    </row>
    <row r="867" spans="2:2" x14ac:dyDescent="0.25">
      <c r="B867" s="159"/>
    </row>
    <row r="868" spans="2:2" x14ac:dyDescent="0.25">
      <c r="B868" s="159"/>
    </row>
    <row r="869" spans="2:2" x14ac:dyDescent="0.25">
      <c r="B869" s="159"/>
    </row>
    <row r="870" spans="2:2" x14ac:dyDescent="0.25">
      <c r="B870" s="159"/>
    </row>
    <row r="871" spans="2:2" x14ac:dyDescent="0.25">
      <c r="B871" s="159"/>
    </row>
    <row r="872" spans="2:2" x14ac:dyDescent="0.25">
      <c r="B872" s="159"/>
    </row>
    <row r="873" spans="2:2" x14ac:dyDescent="0.25">
      <c r="B873" s="159"/>
    </row>
    <row r="874" spans="2:2" x14ac:dyDescent="0.25">
      <c r="B874" s="159"/>
    </row>
    <row r="875" spans="2:2" x14ac:dyDescent="0.25">
      <c r="B875" s="159"/>
    </row>
    <row r="876" spans="2:2" x14ac:dyDescent="0.25">
      <c r="B876" s="159"/>
    </row>
    <row r="877" spans="2:2" x14ac:dyDescent="0.25">
      <c r="B877" s="159"/>
    </row>
    <row r="878" spans="2:2" x14ac:dyDescent="0.25">
      <c r="B878" s="159"/>
    </row>
    <row r="879" spans="2:2" x14ac:dyDescent="0.25">
      <c r="B879" s="159"/>
    </row>
    <row r="880" spans="2:2" x14ac:dyDescent="0.25">
      <c r="B880" s="159"/>
    </row>
    <row r="881" spans="2:2" x14ac:dyDescent="0.25">
      <c r="B881" s="159"/>
    </row>
    <row r="882" spans="2:2" x14ac:dyDescent="0.25">
      <c r="B882" s="159"/>
    </row>
    <row r="883" spans="2:2" x14ac:dyDescent="0.25">
      <c r="B883" s="159"/>
    </row>
    <row r="884" spans="2:2" x14ac:dyDescent="0.25">
      <c r="B884" s="159"/>
    </row>
    <row r="885" spans="2:2" x14ac:dyDescent="0.25">
      <c r="B885" s="159"/>
    </row>
    <row r="886" spans="2:2" x14ac:dyDescent="0.25">
      <c r="B886" s="159"/>
    </row>
    <row r="887" spans="2:2" x14ac:dyDescent="0.25">
      <c r="B887" s="159"/>
    </row>
    <row r="888" spans="2:2" x14ac:dyDescent="0.25">
      <c r="B888" s="159"/>
    </row>
    <row r="889" spans="2:2" x14ac:dyDescent="0.25">
      <c r="B889" s="159"/>
    </row>
    <row r="890" spans="2:2" x14ac:dyDescent="0.25">
      <c r="B890" s="159"/>
    </row>
    <row r="891" spans="2:2" x14ac:dyDescent="0.25">
      <c r="B891" s="159"/>
    </row>
    <row r="892" spans="2:2" x14ac:dyDescent="0.25">
      <c r="B892" s="159"/>
    </row>
    <row r="893" spans="2:2" x14ac:dyDescent="0.25">
      <c r="B893" s="159"/>
    </row>
    <row r="894" spans="2:2" x14ac:dyDescent="0.25">
      <c r="B894" s="159"/>
    </row>
    <row r="895" spans="2:2" x14ac:dyDescent="0.25">
      <c r="B895" s="159"/>
    </row>
    <row r="896" spans="2:2" x14ac:dyDescent="0.25">
      <c r="B896" s="159"/>
    </row>
    <row r="897" spans="2:2" x14ac:dyDescent="0.25">
      <c r="B897" s="159"/>
    </row>
    <row r="898" spans="2:2" x14ac:dyDescent="0.25">
      <c r="B898" s="159"/>
    </row>
    <row r="899" spans="2:2" x14ac:dyDescent="0.25">
      <c r="B899" s="159"/>
    </row>
    <row r="900" spans="2:2" x14ac:dyDescent="0.25">
      <c r="B900" s="159"/>
    </row>
    <row r="901" spans="2:2" x14ac:dyDescent="0.25">
      <c r="B901" s="159"/>
    </row>
    <row r="902" spans="2:2" x14ac:dyDescent="0.25">
      <c r="B902" s="159"/>
    </row>
    <row r="903" spans="2:2" x14ac:dyDescent="0.25">
      <c r="B903" s="159"/>
    </row>
    <row r="904" spans="2:2" x14ac:dyDescent="0.25">
      <c r="B904" s="159"/>
    </row>
    <row r="905" spans="2:2" x14ac:dyDescent="0.25">
      <c r="B905" s="159"/>
    </row>
    <row r="906" spans="2:2" x14ac:dyDescent="0.25">
      <c r="B906" s="159"/>
    </row>
    <row r="907" spans="2:2" x14ac:dyDescent="0.25">
      <c r="B907" s="159"/>
    </row>
    <row r="908" spans="2:2" x14ac:dyDescent="0.25">
      <c r="B908" s="159"/>
    </row>
    <row r="909" spans="2:2" x14ac:dyDescent="0.25">
      <c r="B909" s="159"/>
    </row>
    <row r="910" spans="2:2" x14ac:dyDescent="0.25">
      <c r="B910" s="159"/>
    </row>
    <row r="911" spans="2:2" x14ac:dyDescent="0.25">
      <c r="B911" s="159"/>
    </row>
    <row r="912" spans="2:2" x14ac:dyDescent="0.25">
      <c r="B912" s="159"/>
    </row>
    <row r="913" spans="2:2" x14ac:dyDescent="0.25">
      <c r="B913" s="159"/>
    </row>
    <row r="914" spans="2:2" x14ac:dyDescent="0.25">
      <c r="B914" s="159"/>
    </row>
    <row r="915" spans="2:2" x14ac:dyDescent="0.25">
      <c r="B915" s="159"/>
    </row>
    <row r="916" spans="2:2" x14ac:dyDescent="0.25">
      <c r="B916" s="159"/>
    </row>
    <row r="917" spans="2:2" x14ac:dyDescent="0.25">
      <c r="B917" s="159"/>
    </row>
    <row r="918" spans="2:2" x14ac:dyDescent="0.25">
      <c r="B918" s="159"/>
    </row>
    <row r="919" spans="2:2" x14ac:dyDescent="0.25">
      <c r="B919" s="159"/>
    </row>
    <row r="920" spans="2:2" x14ac:dyDescent="0.25">
      <c r="B920" s="159"/>
    </row>
    <row r="921" spans="2:2" x14ac:dyDescent="0.25">
      <c r="B921" s="159"/>
    </row>
    <row r="922" spans="2:2" x14ac:dyDescent="0.25">
      <c r="B922" s="159"/>
    </row>
    <row r="923" spans="2:2" x14ac:dyDescent="0.25">
      <c r="B923" s="159"/>
    </row>
    <row r="924" spans="2:2" x14ac:dyDescent="0.25">
      <c r="B924" s="159"/>
    </row>
    <row r="925" spans="2:2" x14ac:dyDescent="0.25">
      <c r="B925" s="159"/>
    </row>
    <row r="926" spans="2:2" x14ac:dyDescent="0.25">
      <c r="B926" s="159"/>
    </row>
    <row r="927" spans="2:2" x14ac:dyDescent="0.25">
      <c r="B927" s="159"/>
    </row>
    <row r="928" spans="2:2" x14ac:dyDescent="0.25">
      <c r="B928" s="159"/>
    </row>
    <row r="929" spans="2:2" x14ac:dyDescent="0.25">
      <c r="B929" s="159"/>
    </row>
    <row r="930" spans="2:2" x14ac:dyDescent="0.25">
      <c r="B930" s="159"/>
    </row>
    <row r="931" spans="2:2" x14ac:dyDescent="0.25">
      <c r="B931" s="159"/>
    </row>
    <row r="932" spans="2:2" x14ac:dyDescent="0.25">
      <c r="B932" s="159"/>
    </row>
    <row r="933" spans="2:2" x14ac:dyDescent="0.25">
      <c r="B933" s="159"/>
    </row>
    <row r="934" spans="2:2" x14ac:dyDescent="0.25">
      <c r="B934" s="159"/>
    </row>
    <row r="935" spans="2:2" x14ac:dyDescent="0.25">
      <c r="B935" s="159"/>
    </row>
    <row r="936" spans="2:2" x14ac:dyDescent="0.25">
      <c r="B936" s="159"/>
    </row>
    <row r="937" spans="2:2" x14ac:dyDescent="0.25">
      <c r="B937" s="159"/>
    </row>
    <row r="938" spans="2:2" x14ac:dyDescent="0.25">
      <c r="B938" s="159"/>
    </row>
    <row r="939" spans="2:2" x14ac:dyDescent="0.25">
      <c r="B939" s="159"/>
    </row>
    <row r="940" spans="2:2" x14ac:dyDescent="0.25">
      <c r="B940" s="159"/>
    </row>
    <row r="941" spans="2:2" x14ac:dyDescent="0.25">
      <c r="B941" s="159"/>
    </row>
    <row r="942" spans="2:2" x14ac:dyDescent="0.25">
      <c r="B942" s="159"/>
    </row>
    <row r="943" spans="2:2" x14ac:dyDescent="0.25">
      <c r="B943" s="159"/>
    </row>
    <row r="944" spans="2:2" x14ac:dyDescent="0.25">
      <c r="B944" s="159"/>
    </row>
    <row r="945" spans="2:2" x14ac:dyDescent="0.25">
      <c r="B945" s="159"/>
    </row>
    <row r="946" spans="2:2" x14ac:dyDescent="0.25">
      <c r="B946" s="159"/>
    </row>
    <row r="947" spans="2:2" x14ac:dyDescent="0.25">
      <c r="B947" s="159"/>
    </row>
    <row r="948" spans="2:2" x14ac:dyDescent="0.25">
      <c r="B948" s="159"/>
    </row>
    <row r="949" spans="2:2" x14ac:dyDescent="0.25">
      <c r="B949" s="159"/>
    </row>
    <row r="950" spans="2:2" x14ac:dyDescent="0.25">
      <c r="B950" s="159"/>
    </row>
    <row r="951" spans="2:2" x14ac:dyDescent="0.25">
      <c r="B951" s="159"/>
    </row>
    <row r="952" spans="2:2" x14ac:dyDescent="0.25">
      <c r="B952" s="159"/>
    </row>
    <row r="953" spans="2:2" x14ac:dyDescent="0.25">
      <c r="B953" s="159"/>
    </row>
    <row r="954" spans="2:2" x14ac:dyDescent="0.25">
      <c r="B954" s="159"/>
    </row>
    <row r="955" spans="2:2" x14ac:dyDescent="0.25">
      <c r="B955" s="159"/>
    </row>
    <row r="956" spans="2:2" x14ac:dyDescent="0.25">
      <c r="B956" s="159"/>
    </row>
    <row r="957" spans="2:2" x14ac:dyDescent="0.25">
      <c r="B957" s="159"/>
    </row>
    <row r="958" spans="2:2" x14ac:dyDescent="0.25">
      <c r="B958" s="159"/>
    </row>
    <row r="959" spans="2:2" x14ac:dyDescent="0.25">
      <c r="B959" s="159"/>
    </row>
    <row r="960" spans="2:2" x14ac:dyDescent="0.25">
      <c r="B960" s="159"/>
    </row>
    <row r="961" spans="2:2" x14ac:dyDescent="0.25">
      <c r="B961" s="159"/>
    </row>
    <row r="962" spans="2:2" x14ac:dyDescent="0.25">
      <c r="B962" s="159"/>
    </row>
    <row r="963" spans="2:2" x14ac:dyDescent="0.25">
      <c r="B963" s="159"/>
    </row>
    <row r="964" spans="2:2" x14ac:dyDescent="0.25">
      <c r="B964" s="159"/>
    </row>
    <row r="965" spans="2:2" x14ac:dyDescent="0.25">
      <c r="B965" s="159"/>
    </row>
    <row r="966" spans="2:2" x14ac:dyDescent="0.25">
      <c r="B966" s="159"/>
    </row>
    <row r="967" spans="2:2" x14ac:dyDescent="0.25">
      <c r="B967" s="159"/>
    </row>
    <row r="968" spans="2:2" x14ac:dyDescent="0.25">
      <c r="B968" s="159"/>
    </row>
    <row r="969" spans="2:2" x14ac:dyDescent="0.25">
      <c r="B969" s="159"/>
    </row>
    <row r="970" spans="2:2" x14ac:dyDescent="0.25">
      <c r="B970" s="159"/>
    </row>
    <row r="971" spans="2:2" x14ac:dyDescent="0.25">
      <c r="B971" s="159"/>
    </row>
    <row r="972" spans="2:2" x14ac:dyDescent="0.25">
      <c r="B972" s="159"/>
    </row>
    <row r="973" spans="2:2" x14ac:dyDescent="0.25">
      <c r="B973" s="159"/>
    </row>
    <row r="974" spans="2:2" x14ac:dyDescent="0.25">
      <c r="B974" s="159"/>
    </row>
    <row r="975" spans="2:2" x14ac:dyDescent="0.25">
      <c r="B975" s="159"/>
    </row>
    <row r="976" spans="2:2" x14ac:dyDescent="0.25">
      <c r="B976" s="159"/>
    </row>
    <row r="977" spans="2:2" x14ac:dyDescent="0.25">
      <c r="B977" s="159"/>
    </row>
    <row r="978" spans="2:2" x14ac:dyDescent="0.25">
      <c r="B978" s="159"/>
    </row>
    <row r="979" spans="2:2" x14ac:dyDescent="0.25">
      <c r="B979" s="159"/>
    </row>
    <row r="980" spans="2:2" x14ac:dyDescent="0.25">
      <c r="B980" s="159"/>
    </row>
    <row r="981" spans="2:2" x14ac:dyDescent="0.25">
      <c r="B981" s="159"/>
    </row>
    <row r="982" spans="2:2" x14ac:dyDescent="0.25">
      <c r="B982" s="159"/>
    </row>
    <row r="983" spans="2:2" x14ac:dyDescent="0.25">
      <c r="B983" s="159"/>
    </row>
    <row r="984" spans="2:2" x14ac:dyDescent="0.25">
      <c r="B984" s="159"/>
    </row>
    <row r="985" spans="2:2" x14ac:dyDescent="0.25">
      <c r="B985" s="159"/>
    </row>
    <row r="986" spans="2:2" x14ac:dyDescent="0.25">
      <c r="B986" s="159"/>
    </row>
    <row r="987" spans="2:2" x14ac:dyDescent="0.25">
      <c r="B987" s="159"/>
    </row>
    <row r="988" spans="2:2" x14ac:dyDescent="0.25">
      <c r="B988" s="159"/>
    </row>
    <row r="989" spans="2:2" x14ac:dyDescent="0.25">
      <c r="B989" s="159"/>
    </row>
    <row r="990" spans="2:2" x14ac:dyDescent="0.25">
      <c r="B990" s="159"/>
    </row>
    <row r="991" spans="2:2" x14ac:dyDescent="0.25">
      <c r="B991" s="159"/>
    </row>
    <row r="992" spans="2:2" x14ac:dyDescent="0.25">
      <c r="B992" s="159"/>
    </row>
    <row r="993" spans="2:2" x14ac:dyDescent="0.25">
      <c r="B993" s="159"/>
    </row>
    <row r="994" spans="2:2" x14ac:dyDescent="0.25">
      <c r="B994" s="159"/>
    </row>
    <row r="995" spans="2:2" x14ac:dyDescent="0.25">
      <c r="B995" s="159"/>
    </row>
    <row r="996" spans="2:2" x14ac:dyDescent="0.25">
      <c r="B996" s="159"/>
    </row>
    <row r="997" spans="2:2" x14ac:dyDescent="0.25">
      <c r="B997" s="159"/>
    </row>
    <row r="998" spans="2:2" x14ac:dyDescent="0.25">
      <c r="B998" s="159"/>
    </row>
    <row r="999" spans="2:2" x14ac:dyDescent="0.25">
      <c r="B999" s="159"/>
    </row>
    <row r="1000" spans="2:2" x14ac:dyDescent="0.25">
      <c r="B1000" s="159"/>
    </row>
    <row r="1001" spans="2:2" x14ac:dyDescent="0.25">
      <c r="B1001" s="159"/>
    </row>
    <row r="1002" spans="2:2" x14ac:dyDescent="0.25">
      <c r="B1002" s="159"/>
    </row>
    <row r="1003" spans="2:2" x14ac:dyDescent="0.25">
      <c r="B1003" s="159"/>
    </row>
    <row r="1004" spans="2:2" x14ac:dyDescent="0.25">
      <c r="B1004" s="159"/>
    </row>
    <row r="1005" spans="2:2" x14ac:dyDescent="0.25">
      <c r="B1005" s="159"/>
    </row>
    <row r="1006" spans="2:2" x14ac:dyDescent="0.25">
      <c r="B1006" s="159"/>
    </row>
    <row r="1007" spans="2:2" x14ac:dyDescent="0.25">
      <c r="B1007" s="159"/>
    </row>
    <row r="1008" spans="2:2" x14ac:dyDescent="0.25">
      <c r="B1008" s="159"/>
    </row>
    <row r="1009" spans="2:2" x14ac:dyDescent="0.25">
      <c r="B1009" s="159"/>
    </row>
    <row r="1010" spans="2:2" x14ac:dyDescent="0.25">
      <c r="B1010" s="159"/>
    </row>
    <row r="1011" spans="2:2" x14ac:dyDescent="0.25">
      <c r="B1011" s="159"/>
    </row>
    <row r="1012" spans="2:2" x14ac:dyDescent="0.25">
      <c r="B1012" s="159"/>
    </row>
    <row r="1013" spans="2:2" x14ac:dyDescent="0.25">
      <c r="B1013" s="159"/>
    </row>
    <row r="1014" spans="2:2" x14ac:dyDescent="0.25">
      <c r="B1014" s="159"/>
    </row>
    <row r="1015" spans="2:2" x14ac:dyDescent="0.25">
      <c r="B1015" s="159"/>
    </row>
    <row r="1016" spans="2:2" x14ac:dyDescent="0.25">
      <c r="B1016" s="159"/>
    </row>
    <row r="1017" spans="2:2" x14ac:dyDescent="0.25">
      <c r="B1017" s="159"/>
    </row>
    <row r="1018" spans="2:2" x14ac:dyDescent="0.25">
      <c r="B1018" s="159"/>
    </row>
    <row r="1019" spans="2:2" x14ac:dyDescent="0.25">
      <c r="B1019" s="159"/>
    </row>
    <row r="1020" spans="2:2" x14ac:dyDescent="0.25">
      <c r="B1020" s="159"/>
    </row>
    <row r="1021" spans="2:2" x14ac:dyDescent="0.25">
      <c r="B1021" s="159"/>
    </row>
    <row r="1022" spans="2:2" x14ac:dyDescent="0.25">
      <c r="B1022" s="159"/>
    </row>
    <row r="1023" spans="2:2" x14ac:dyDescent="0.25">
      <c r="B1023" s="159"/>
    </row>
    <row r="1024" spans="2:2" x14ac:dyDescent="0.25">
      <c r="B1024" s="159"/>
    </row>
    <row r="1025" spans="2:2" x14ac:dyDescent="0.25">
      <c r="B1025" s="159"/>
    </row>
    <row r="1026" spans="2:2" x14ac:dyDescent="0.25">
      <c r="B1026" s="159"/>
    </row>
    <row r="1027" spans="2:2" x14ac:dyDescent="0.25">
      <c r="B1027" s="159"/>
    </row>
    <row r="1028" spans="2:2" x14ac:dyDescent="0.25">
      <c r="B1028" s="159"/>
    </row>
    <row r="1029" spans="2:2" x14ac:dyDescent="0.25">
      <c r="B1029" s="159"/>
    </row>
    <row r="1030" spans="2:2" x14ac:dyDescent="0.25">
      <c r="B1030" s="159"/>
    </row>
    <row r="1031" spans="2:2" x14ac:dyDescent="0.25">
      <c r="B1031" s="159"/>
    </row>
    <row r="1032" spans="2:2" x14ac:dyDescent="0.25">
      <c r="B1032" s="159"/>
    </row>
    <row r="1033" spans="2:2" x14ac:dyDescent="0.25">
      <c r="B1033" s="159"/>
    </row>
    <row r="1034" spans="2:2" x14ac:dyDescent="0.25">
      <c r="B1034" s="159"/>
    </row>
    <row r="1035" spans="2:2" x14ac:dyDescent="0.25">
      <c r="B1035" s="159"/>
    </row>
    <row r="1036" spans="2:2" x14ac:dyDescent="0.25">
      <c r="B1036" s="159"/>
    </row>
    <row r="1037" spans="2:2" x14ac:dyDescent="0.25">
      <c r="B1037" s="159"/>
    </row>
    <row r="1038" spans="2:2" x14ac:dyDescent="0.25">
      <c r="B1038" s="159"/>
    </row>
    <row r="1039" spans="2:2" x14ac:dyDescent="0.25">
      <c r="B1039" s="159"/>
    </row>
    <row r="1040" spans="2:2" x14ac:dyDescent="0.25">
      <c r="B1040" s="159"/>
    </row>
    <row r="1041" spans="2:2" x14ac:dyDescent="0.25">
      <c r="B1041" s="159"/>
    </row>
    <row r="1042" spans="2:2" x14ac:dyDescent="0.25">
      <c r="B1042" s="159"/>
    </row>
    <row r="1043" spans="2:2" x14ac:dyDescent="0.25">
      <c r="B1043" s="159"/>
    </row>
    <row r="1044" spans="2:2" x14ac:dyDescent="0.25">
      <c r="B1044" s="159"/>
    </row>
    <row r="1045" spans="2:2" x14ac:dyDescent="0.25">
      <c r="B1045" s="159"/>
    </row>
    <row r="1046" spans="2:2" x14ac:dyDescent="0.25">
      <c r="B1046" s="159"/>
    </row>
    <row r="1047" spans="2:2" x14ac:dyDescent="0.25">
      <c r="B1047" s="159"/>
    </row>
    <row r="1048" spans="2:2" x14ac:dyDescent="0.25">
      <c r="B1048" s="159"/>
    </row>
    <row r="1049" spans="2:2" x14ac:dyDescent="0.25">
      <c r="B1049" s="159"/>
    </row>
    <row r="1050" spans="2:2" x14ac:dyDescent="0.25">
      <c r="B1050" s="159"/>
    </row>
    <row r="1051" spans="2:2" x14ac:dyDescent="0.25">
      <c r="B1051" s="159"/>
    </row>
    <row r="1052" spans="2:2" x14ac:dyDescent="0.25">
      <c r="B1052" s="159"/>
    </row>
    <row r="1053" spans="2:2" x14ac:dyDescent="0.25">
      <c r="B1053" s="159"/>
    </row>
    <row r="1054" spans="2:2" x14ac:dyDescent="0.25">
      <c r="B1054" s="159"/>
    </row>
    <row r="1055" spans="2:2" x14ac:dyDescent="0.25">
      <c r="B1055" s="159"/>
    </row>
    <row r="1056" spans="2:2" x14ac:dyDescent="0.25">
      <c r="B1056" s="159"/>
    </row>
    <row r="1057" spans="2:2" x14ac:dyDescent="0.25">
      <c r="B1057" s="159"/>
    </row>
    <row r="1058" spans="2:2" x14ac:dyDescent="0.25">
      <c r="B1058" s="159"/>
    </row>
    <row r="1059" spans="2:2" x14ac:dyDescent="0.25">
      <c r="B1059" s="159"/>
    </row>
    <row r="1060" spans="2:2" x14ac:dyDescent="0.25">
      <c r="B1060" s="159"/>
    </row>
    <row r="1061" spans="2:2" x14ac:dyDescent="0.25">
      <c r="B1061" s="159"/>
    </row>
    <row r="1062" spans="2:2" x14ac:dyDescent="0.25">
      <c r="B1062" s="159"/>
    </row>
    <row r="1063" spans="2:2" x14ac:dyDescent="0.25">
      <c r="B1063" s="159"/>
    </row>
    <row r="1064" spans="2:2" x14ac:dyDescent="0.25">
      <c r="B1064" s="159"/>
    </row>
    <row r="1065" spans="2:2" x14ac:dyDescent="0.25">
      <c r="B1065" s="159"/>
    </row>
    <row r="1066" spans="2:2" x14ac:dyDescent="0.25">
      <c r="B1066" s="159"/>
    </row>
    <row r="1067" spans="2:2" x14ac:dyDescent="0.25">
      <c r="B1067" s="159"/>
    </row>
    <row r="1068" spans="2:2" x14ac:dyDescent="0.25">
      <c r="B1068" s="159"/>
    </row>
    <row r="1069" spans="2:2" x14ac:dyDescent="0.25">
      <c r="B1069" s="159"/>
    </row>
    <row r="1070" spans="2:2" x14ac:dyDescent="0.25">
      <c r="B1070" s="159"/>
    </row>
    <row r="1071" spans="2:2" x14ac:dyDescent="0.25">
      <c r="B1071" s="159"/>
    </row>
    <row r="1072" spans="2:2" x14ac:dyDescent="0.25">
      <c r="B1072" s="159"/>
    </row>
    <row r="1073" spans="2:2" x14ac:dyDescent="0.25">
      <c r="B1073" s="159"/>
    </row>
    <row r="1074" spans="2:2" x14ac:dyDescent="0.25">
      <c r="B1074" s="159"/>
    </row>
    <row r="1075" spans="2:2" x14ac:dyDescent="0.25">
      <c r="B1075" s="159"/>
    </row>
    <row r="1076" spans="2:2" x14ac:dyDescent="0.25">
      <c r="B1076" s="159"/>
    </row>
    <row r="1077" spans="2:2" x14ac:dyDescent="0.25">
      <c r="B1077" s="159"/>
    </row>
    <row r="1078" spans="2:2" x14ac:dyDescent="0.25">
      <c r="B1078" s="159"/>
    </row>
    <row r="1079" spans="2:2" x14ac:dyDescent="0.25">
      <c r="B1079" s="159"/>
    </row>
    <row r="1080" spans="2:2" x14ac:dyDescent="0.25">
      <c r="B1080" s="159"/>
    </row>
    <row r="1081" spans="2:2" x14ac:dyDescent="0.25">
      <c r="B1081" s="159"/>
    </row>
    <row r="1082" spans="2:2" x14ac:dyDescent="0.25">
      <c r="B1082" s="159"/>
    </row>
    <row r="1083" spans="2:2" x14ac:dyDescent="0.25">
      <c r="B1083" s="159"/>
    </row>
    <row r="1084" spans="2:2" x14ac:dyDescent="0.25">
      <c r="B1084" s="159"/>
    </row>
    <row r="1085" spans="2:2" x14ac:dyDescent="0.25">
      <c r="B1085" s="159"/>
    </row>
    <row r="1086" spans="2:2" x14ac:dyDescent="0.25">
      <c r="B1086" s="159"/>
    </row>
    <row r="1087" spans="2:2" x14ac:dyDescent="0.25">
      <c r="B1087" s="159"/>
    </row>
    <row r="1088" spans="2:2" x14ac:dyDescent="0.25">
      <c r="B1088" s="159"/>
    </row>
    <row r="1089" spans="2:2" x14ac:dyDescent="0.25">
      <c r="B1089" s="159"/>
    </row>
    <row r="1090" spans="2:2" x14ac:dyDescent="0.25">
      <c r="B1090" s="159"/>
    </row>
    <row r="1091" spans="2:2" x14ac:dyDescent="0.25">
      <c r="B1091" s="159"/>
    </row>
    <row r="1092" spans="2:2" x14ac:dyDescent="0.25">
      <c r="B1092" s="159"/>
    </row>
    <row r="1093" spans="2:2" x14ac:dyDescent="0.25">
      <c r="B1093" s="159"/>
    </row>
    <row r="1094" spans="2:2" x14ac:dyDescent="0.25">
      <c r="B1094" s="159"/>
    </row>
    <row r="1095" spans="2:2" x14ac:dyDescent="0.25">
      <c r="B1095" s="159"/>
    </row>
    <row r="1096" spans="2:2" x14ac:dyDescent="0.25">
      <c r="B1096" s="159"/>
    </row>
    <row r="1097" spans="2:2" x14ac:dyDescent="0.25">
      <c r="B1097" s="159"/>
    </row>
    <row r="1098" spans="2:2" x14ac:dyDescent="0.25">
      <c r="B1098" s="159"/>
    </row>
    <row r="1099" spans="2:2" x14ac:dyDescent="0.25">
      <c r="B1099" s="159"/>
    </row>
    <row r="1100" spans="2:2" x14ac:dyDescent="0.25">
      <c r="B1100" s="159"/>
    </row>
    <row r="1101" spans="2:2" x14ac:dyDescent="0.25">
      <c r="B1101" s="159"/>
    </row>
    <row r="1102" spans="2:2" x14ac:dyDescent="0.25">
      <c r="B1102" s="159"/>
    </row>
    <row r="1103" spans="2:2" x14ac:dyDescent="0.25">
      <c r="B1103" s="159"/>
    </row>
    <row r="1104" spans="2:2" x14ac:dyDescent="0.25">
      <c r="B1104" s="159"/>
    </row>
    <row r="1105" spans="2:2" x14ac:dyDescent="0.25">
      <c r="B1105" s="159"/>
    </row>
    <row r="1106" spans="2:2" x14ac:dyDescent="0.25">
      <c r="B1106" s="159"/>
    </row>
    <row r="1107" spans="2:2" x14ac:dyDescent="0.25">
      <c r="B1107" s="159"/>
    </row>
    <row r="1108" spans="2:2" x14ac:dyDescent="0.25">
      <c r="B1108" s="159"/>
    </row>
    <row r="1109" spans="2:2" x14ac:dyDescent="0.25">
      <c r="B1109" s="159"/>
    </row>
    <row r="1110" spans="2:2" x14ac:dyDescent="0.25">
      <c r="B1110" s="159"/>
    </row>
    <row r="1111" spans="2:2" x14ac:dyDescent="0.25">
      <c r="B1111" s="159"/>
    </row>
    <row r="1112" spans="2:2" x14ac:dyDescent="0.25">
      <c r="B1112" s="159"/>
    </row>
    <row r="1113" spans="2:2" x14ac:dyDescent="0.25">
      <c r="B1113" s="159"/>
    </row>
    <row r="1114" spans="2:2" x14ac:dyDescent="0.25">
      <c r="B1114" s="159"/>
    </row>
    <row r="1115" spans="2:2" x14ac:dyDescent="0.25">
      <c r="B1115" s="159"/>
    </row>
    <row r="1116" spans="2:2" x14ac:dyDescent="0.25">
      <c r="B1116" s="159"/>
    </row>
    <row r="1117" spans="2:2" x14ac:dyDescent="0.25">
      <c r="B1117" s="159"/>
    </row>
    <row r="1118" spans="2:2" x14ac:dyDescent="0.25">
      <c r="B1118" s="159"/>
    </row>
    <row r="1119" spans="2:2" x14ac:dyDescent="0.25">
      <c r="B1119" s="159"/>
    </row>
    <row r="1120" spans="2:2" x14ac:dyDescent="0.25">
      <c r="B1120" s="159"/>
    </row>
    <row r="1121" spans="2:2" x14ac:dyDescent="0.25">
      <c r="B1121" s="159"/>
    </row>
    <row r="1122" spans="2:2" x14ac:dyDescent="0.25">
      <c r="B1122" s="159"/>
    </row>
    <row r="1123" spans="2:2" x14ac:dyDescent="0.25">
      <c r="B1123" s="159"/>
    </row>
    <row r="1124" spans="2:2" x14ac:dyDescent="0.25">
      <c r="B1124" s="159"/>
    </row>
    <row r="1125" spans="2:2" x14ac:dyDescent="0.25">
      <c r="B1125" s="159"/>
    </row>
    <row r="1126" spans="2:2" x14ac:dyDescent="0.25">
      <c r="B1126" s="159"/>
    </row>
    <row r="1127" spans="2:2" x14ac:dyDescent="0.25">
      <c r="B1127" s="159"/>
    </row>
    <row r="1128" spans="2:2" x14ac:dyDescent="0.25">
      <c r="B1128" s="159"/>
    </row>
    <row r="1129" spans="2:2" x14ac:dyDescent="0.25">
      <c r="B1129" s="159"/>
    </row>
    <row r="1130" spans="2:2" x14ac:dyDescent="0.25">
      <c r="B1130" s="159"/>
    </row>
    <row r="1131" spans="2:2" x14ac:dyDescent="0.25">
      <c r="B1131" s="159"/>
    </row>
    <row r="1132" spans="2:2" x14ac:dyDescent="0.25">
      <c r="B1132" s="159"/>
    </row>
    <row r="1133" spans="2:2" x14ac:dyDescent="0.25">
      <c r="B1133" s="159"/>
    </row>
    <row r="1134" spans="2:2" x14ac:dyDescent="0.25">
      <c r="B1134" s="159"/>
    </row>
    <row r="1135" spans="2:2" x14ac:dyDescent="0.25">
      <c r="B1135" s="159"/>
    </row>
    <row r="1136" spans="2:2" x14ac:dyDescent="0.25">
      <c r="B1136" s="159"/>
    </row>
    <row r="1137" spans="2:2" x14ac:dyDescent="0.25">
      <c r="B1137" s="159"/>
    </row>
    <row r="1138" spans="2:2" x14ac:dyDescent="0.25">
      <c r="B1138" s="159"/>
    </row>
    <row r="1139" spans="2:2" x14ac:dyDescent="0.25">
      <c r="B1139" s="159"/>
    </row>
    <row r="1140" spans="2:2" x14ac:dyDescent="0.25">
      <c r="B1140" s="159"/>
    </row>
    <row r="1141" spans="2:2" x14ac:dyDescent="0.25">
      <c r="B1141" s="159"/>
    </row>
    <row r="1142" spans="2:2" x14ac:dyDescent="0.25">
      <c r="B1142" s="159"/>
    </row>
    <row r="1143" spans="2:2" x14ac:dyDescent="0.25">
      <c r="B1143" s="159"/>
    </row>
    <row r="1144" spans="2:2" x14ac:dyDescent="0.25">
      <c r="B1144" s="159"/>
    </row>
    <row r="1145" spans="2:2" x14ac:dyDescent="0.25">
      <c r="B1145" s="159"/>
    </row>
    <row r="1146" spans="2:2" x14ac:dyDescent="0.25">
      <c r="B1146" s="159"/>
    </row>
    <row r="1147" spans="2:2" x14ac:dyDescent="0.25">
      <c r="B1147" s="159"/>
    </row>
    <row r="1148" spans="2:2" x14ac:dyDescent="0.25">
      <c r="B1148" s="159"/>
    </row>
    <row r="1149" spans="2:2" x14ac:dyDescent="0.25">
      <c r="B1149" s="159"/>
    </row>
    <row r="1150" spans="2:2" x14ac:dyDescent="0.25">
      <c r="B1150" s="159"/>
    </row>
    <row r="1151" spans="2:2" x14ac:dyDescent="0.25">
      <c r="B1151" s="159"/>
    </row>
    <row r="1152" spans="2:2" x14ac:dyDescent="0.25">
      <c r="B1152" s="159"/>
    </row>
    <row r="1153" spans="2:2" x14ac:dyDescent="0.25">
      <c r="B1153" s="159"/>
    </row>
    <row r="1154" spans="2:2" x14ac:dyDescent="0.25">
      <c r="B1154" s="159"/>
    </row>
    <row r="1155" spans="2:2" x14ac:dyDescent="0.25">
      <c r="B1155" s="159"/>
    </row>
    <row r="1156" spans="2:2" x14ac:dyDescent="0.25">
      <c r="B1156" s="159"/>
    </row>
    <row r="1157" spans="2:2" x14ac:dyDescent="0.25">
      <c r="B1157" s="159"/>
    </row>
    <row r="1158" spans="2:2" x14ac:dyDescent="0.25">
      <c r="B1158" s="159"/>
    </row>
    <row r="1159" spans="2:2" x14ac:dyDescent="0.25">
      <c r="B1159" s="159"/>
    </row>
    <row r="1160" spans="2:2" x14ac:dyDescent="0.25">
      <c r="B1160" s="159"/>
    </row>
    <row r="1161" spans="2:2" x14ac:dyDescent="0.25">
      <c r="B1161" s="159"/>
    </row>
    <row r="1162" spans="2:2" x14ac:dyDescent="0.25">
      <c r="B1162" s="159"/>
    </row>
    <row r="1163" spans="2:2" x14ac:dyDescent="0.25">
      <c r="B1163" s="159"/>
    </row>
    <row r="1164" spans="2:2" x14ac:dyDescent="0.25">
      <c r="B1164" s="159"/>
    </row>
    <row r="1165" spans="2:2" x14ac:dyDescent="0.25">
      <c r="B1165" s="159"/>
    </row>
    <row r="1166" spans="2:2" x14ac:dyDescent="0.25">
      <c r="B1166" s="159"/>
    </row>
    <row r="1167" spans="2:2" x14ac:dyDescent="0.25">
      <c r="B1167" s="159"/>
    </row>
    <row r="1168" spans="2:2" x14ac:dyDescent="0.25">
      <c r="B1168" s="159"/>
    </row>
    <row r="1169" spans="2:2" x14ac:dyDescent="0.25">
      <c r="B1169" s="159"/>
    </row>
    <row r="1170" spans="2:2" x14ac:dyDescent="0.25">
      <c r="B1170" s="159"/>
    </row>
    <row r="1171" spans="2:2" x14ac:dyDescent="0.25">
      <c r="B1171" s="159"/>
    </row>
    <row r="1172" spans="2:2" x14ac:dyDescent="0.25">
      <c r="B1172" s="159"/>
    </row>
    <row r="1173" spans="2:2" x14ac:dyDescent="0.25">
      <c r="B1173" s="159"/>
    </row>
    <row r="1174" spans="2:2" x14ac:dyDescent="0.25">
      <c r="B1174" s="159"/>
    </row>
    <row r="1175" spans="2:2" x14ac:dyDescent="0.25">
      <c r="B1175" s="159"/>
    </row>
    <row r="1176" spans="2:2" x14ac:dyDescent="0.25">
      <c r="B1176" s="159"/>
    </row>
    <row r="1177" spans="2:2" x14ac:dyDescent="0.25">
      <c r="B1177" s="159"/>
    </row>
    <row r="1178" spans="2:2" x14ac:dyDescent="0.25">
      <c r="B1178" s="159"/>
    </row>
    <row r="1179" spans="2:2" x14ac:dyDescent="0.25">
      <c r="B1179" s="159"/>
    </row>
    <row r="1180" spans="2:2" x14ac:dyDescent="0.25">
      <c r="B1180" s="159"/>
    </row>
    <row r="1181" spans="2:2" x14ac:dyDescent="0.25">
      <c r="B1181" s="159"/>
    </row>
    <row r="1182" spans="2:2" x14ac:dyDescent="0.25">
      <c r="B1182" s="159"/>
    </row>
    <row r="1183" spans="2:2" x14ac:dyDescent="0.25">
      <c r="B1183" s="159"/>
    </row>
    <row r="1184" spans="2:2" x14ac:dyDescent="0.25">
      <c r="B1184" s="159"/>
    </row>
    <row r="1185" spans="2:2" x14ac:dyDescent="0.25">
      <c r="B1185" s="159"/>
    </row>
    <row r="1186" spans="2:2" x14ac:dyDescent="0.25">
      <c r="B1186" s="159"/>
    </row>
    <row r="1187" spans="2:2" x14ac:dyDescent="0.25">
      <c r="B1187" s="159"/>
    </row>
    <row r="1188" spans="2:2" x14ac:dyDescent="0.25">
      <c r="B1188" s="159"/>
    </row>
    <row r="1189" spans="2:2" x14ac:dyDescent="0.25">
      <c r="B1189" s="159"/>
    </row>
    <row r="1190" spans="2:2" x14ac:dyDescent="0.25">
      <c r="B1190" s="159"/>
    </row>
    <row r="1191" spans="2:2" x14ac:dyDescent="0.25">
      <c r="B1191" s="159"/>
    </row>
    <row r="1192" spans="2:2" x14ac:dyDescent="0.25">
      <c r="B1192" s="159"/>
    </row>
    <row r="1193" spans="2:2" x14ac:dyDescent="0.25">
      <c r="B1193" s="159"/>
    </row>
    <row r="1194" spans="2:2" x14ac:dyDescent="0.25">
      <c r="B1194" s="159"/>
    </row>
    <row r="1195" spans="2:2" x14ac:dyDescent="0.25">
      <c r="B1195" s="159"/>
    </row>
    <row r="1196" spans="2:2" x14ac:dyDescent="0.25">
      <c r="B1196" s="159"/>
    </row>
    <row r="1197" spans="2:2" x14ac:dyDescent="0.25">
      <c r="B1197" s="159"/>
    </row>
    <row r="1198" spans="2:2" x14ac:dyDescent="0.25">
      <c r="B1198" s="159"/>
    </row>
    <row r="1199" spans="2:2" x14ac:dyDescent="0.25">
      <c r="B1199" s="159"/>
    </row>
    <row r="1200" spans="2:2" x14ac:dyDescent="0.25">
      <c r="B1200" s="159"/>
    </row>
    <row r="1201" spans="2:2" x14ac:dyDescent="0.25">
      <c r="B1201" s="159"/>
    </row>
    <row r="1202" spans="2:2" x14ac:dyDescent="0.25">
      <c r="B1202" s="159"/>
    </row>
    <row r="1203" spans="2:2" x14ac:dyDescent="0.25">
      <c r="B1203" s="159"/>
    </row>
    <row r="1204" spans="2:2" x14ac:dyDescent="0.25">
      <c r="B1204" s="159"/>
    </row>
    <row r="1205" spans="2:2" x14ac:dyDescent="0.25">
      <c r="B1205" s="159"/>
    </row>
    <row r="1206" spans="2:2" x14ac:dyDescent="0.25">
      <c r="B1206" s="159"/>
    </row>
    <row r="1207" spans="2:2" x14ac:dyDescent="0.25">
      <c r="B1207" s="159"/>
    </row>
    <row r="1208" spans="2:2" x14ac:dyDescent="0.25">
      <c r="B1208" s="159"/>
    </row>
    <row r="1209" spans="2:2" x14ac:dyDescent="0.25">
      <c r="B1209" s="159"/>
    </row>
    <row r="1210" spans="2:2" x14ac:dyDescent="0.25">
      <c r="B1210" s="159"/>
    </row>
    <row r="1211" spans="2:2" x14ac:dyDescent="0.25">
      <c r="B1211" s="159"/>
    </row>
    <row r="1212" spans="2:2" x14ac:dyDescent="0.25">
      <c r="B1212" s="159"/>
    </row>
    <row r="1213" spans="2:2" x14ac:dyDescent="0.25">
      <c r="B1213" s="159"/>
    </row>
    <row r="1214" spans="2:2" x14ac:dyDescent="0.25">
      <c r="B1214" s="159"/>
    </row>
    <row r="1215" spans="2:2" x14ac:dyDescent="0.25">
      <c r="B1215" s="159"/>
    </row>
    <row r="1216" spans="2:2" x14ac:dyDescent="0.25">
      <c r="B1216" s="159"/>
    </row>
    <row r="1217" spans="2:2" x14ac:dyDescent="0.25">
      <c r="B1217" s="159"/>
    </row>
    <row r="1218" spans="2:2" x14ac:dyDescent="0.25">
      <c r="B1218" s="159"/>
    </row>
    <row r="1219" spans="2:2" x14ac:dyDescent="0.25">
      <c r="B1219" s="159"/>
    </row>
    <row r="1220" spans="2:2" x14ac:dyDescent="0.25">
      <c r="B1220" s="159"/>
    </row>
    <row r="1221" spans="2:2" x14ac:dyDescent="0.25">
      <c r="B1221" s="159"/>
    </row>
    <row r="1222" spans="2:2" x14ac:dyDescent="0.25">
      <c r="B1222" s="159"/>
    </row>
    <row r="1223" spans="2:2" x14ac:dyDescent="0.25">
      <c r="B1223" s="159"/>
    </row>
    <row r="1224" spans="2:2" x14ac:dyDescent="0.25">
      <c r="B1224" s="159"/>
    </row>
    <row r="1225" spans="2:2" x14ac:dyDescent="0.25">
      <c r="B1225" s="159"/>
    </row>
    <row r="1226" spans="2:2" x14ac:dyDescent="0.25">
      <c r="B1226" s="159"/>
    </row>
    <row r="1227" spans="2:2" x14ac:dyDescent="0.25">
      <c r="B1227" s="159"/>
    </row>
    <row r="1228" spans="2:2" x14ac:dyDescent="0.25">
      <c r="B1228" s="159"/>
    </row>
    <row r="1229" spans="2:2" x14ac:dyDescent="0.25">
      <c r="B1229" s="159"/>
    </row>
    <row r="1230" spans="2:2" x14ac:dyDescent="0.25">
      <c r="B1230" s="159"/>
    </row>
    <row r="1231" spans="2:2" x14ac:dyDescent="0.25">
      <c r="B1231" s="159"/>
    </row>
    <row r="1232" spans="2:2" x14ac:dyDescent="0.25">
      <c r="B1232" s="159"/>
    </row>
    <row r="1233" spans="2:2" x14ac:dyDescent="0.25">
      <c r="B1233" s="159"/>
    </row>
    <row r="1234" spans="2:2" x14ac:dyDescent="0.25">
      <c r="B1234" s="159"/>
    </row>
    <row r="1235" spans="2:2" x14ac:dyDescent="0.25">
      <c r="B1235" s="159"/>
    </row>
    <row r="1236" spans="2:2" x14ac:dyDescent="0.25">
      <c r="B1236" s="159"/>
    </row>
    <row r="1237" spans="2:2" x14ac:dyDescent="0.25">
      <c r="B1237" s="159"/>
    </row>
    <row r="1238" spans="2:2" x14ac:dyDescent="0.25">
      <c r="B1238" s="159"/>
    </row>
    <row r="1239" spans="2:2" x14ac:dyDescent="0.25">
      <c r="B1239" s="159"/>
    </row>
    <row r="1240" spans="2:2" x14ac:dyDescent="0.25">
      <c r="B1240" s="159"/>
    </row>
    <row r="1241" spans="2:2" x14ac:dyDescent="0.25">
      <c r="B1241" s="159"/>
    </row>
    <row r="1242" spans="2:2" x14ac:dyDescent="0.25">
      <c r="B1242" s="159"/>
    </row>
    <row r="1243" spans="2:2" x14ac:dyDescent="0.25">
      <c r="B1243" s="159"/>
    </row>
    <row r="1244" spans="2:2" x14ac:dyDescent="0.25">
      <c r="B1244" s="159"/>
    </row>
    <row r="1245" spans="2:2" x14ac:dyDescent="0.25">
      <c r="B1245" s="159"/>
    </row>
    <row r="1246" spans="2:2" x14ac:dyDescent="0.25">
      <c r="B1246" s="159"/>
    </row>
    <row r="1247" spans="2:2" x14ac:dyDescent="0.25">
      <c r="B1247" s="159"/>
    </row>
    <row r="1248" spans="2:2" x14ac:dyDescent="0.25">
      <c r="B1248" s="159"/>
    </row>
    <row r="1249" spans="2:2" x14ac:dyDescent="0.25">
      <c r="B1249" s="159"/>
    </row>
    <row r="1250" spans="2:2" x14ac:dyDescent="0.25">
      <c r="B1250" s="159"/>
    </row>
    <row r="1251" spans="2:2" x14ac:dyDescent="0.25">
      <c r="B1251" s="159"/>
    </row>
    <row r="1252" spans="2:2" x14ac:dyDescent="0.25">
      <c r="B1252" s="159"/>
    </row>
    <row r="1253" spans="2:2" x14ac:dyDescent="0.25">
      <c r="B1253" s="159"/>
    </row>
    <row r="1254" spans="2:2" x14ac:dyDescent="0.25">
      <c r="B1254" s="159"/>
    </row>
    <row r="1255" spans="2:2" x14ac:dyDescent="0.25">
      <c r="B1255" s="159"/>
    </row>
    <row r="1256" spans="2:2" x14ac:dyDescent="0.25">
      <c r="B1256" s="159"/>
    </row>
    <row r="1257" spans="2:2" x14ac:dyDescent="0.25">
      <c r="B1257" s="159"/>
    </row>
    <row r="1258" spans="2:2" x14ac:dyDescent="0.25">
      <c r="B1258" s="159"/>
    </row>
    <row r="1259" spans="2:2" x14ac:dyDescent="0.25">
      <c r="B1259" s="159"/>
    </row>
    <row r="1260" spans="2:2" x14ac:dyDescent="0.25">
      <c r="B1260" s="159"/>
    </row>
    <row r="1261" spans="2:2" x14ac:dyDescent="0.25">
      <c r="B1261" s="159"/>
    </row>
    <row r="1262" spans="2:2" x14ac:dyDescent="0.25">
      <c r="B1262" s="159"/>
    </row>
    <row r="1263" spans="2:2" x14ac:dyDescent="0.25">
      <c r="B1263" s="159"/>
    </row>
    <row r="1264" spans="2:2" x14ac:dyDescent="0.25">
      <c r="B1264" s="159"/>
    </row>
    <row r="1265" spans="2:2" x14ac:dyDescent="0.25">
      <c r="B1265" s="159"/>
    </row>
    <row r="1266" spans="2:2" x14ac:dyDescent="0.25">
      <c r="B1266" s="159"/>
    </row>
    <row r="1267" spans="2:2" x14ac:dyDescent="0.25">
      <c r="B1267" s="159"/>
    </row>
    <row r="1268" spans="2:2" x14ac:dyDescent="0.25">
      <c r="B1268" s="159"/>
    </row>
    <row r="1269" spans="2:2" x14ac:dyDescent="0.25">
      <c r="B1269" s="159"/>
    </row>
    <row r="1270" spans="2:2" x14ac:dyDescent="0.25">
      <c r="B1270" s="159"/>
    </row>
    <row r="1271" spans="2:2" x14ac:dyDescent="0.25">
      <c r="B1271" s="159"/>
    </row>
    <row r="1272" spans="2:2" x14ac:dyDescent="0.25">
      <c r="B1272" s="159"/>
    </row>
    <row r="1273" spans="2:2" x14ac:dyDescent="0.25">
      <c r="B1273" s="159"/>
    </row>
    <row r="1274" spans="2:2" x14ac:dyDescent="0.25">
      <c r="B1274" s="159"/>
    </row>
    <row r="1275" spans="2:2" x14ac:dyDescent="0.25">
      <c r="B1275" s="159"/>
    </row>
    <row r="1276" spans="2:2" x14ac:dyDescent="0.25">
      <c r="B1276" s="159"/>
    </row>
    <row r="1277" spans="2:2" x14ac:dyDescent="0.25">
      <c r="B1277" s="159"/>
    </row>
    <row r="1278" spans="2:2" x14ac:dyDescent="0.25">
      <c r="B1278" s="159"/>
    </row>
    <row r="1279" spans="2:2" x14ac:dyDescent="0.25">
      <c r="B1279" s="159"/>
    </row>
    <row r="1280" spans="2:2" x14ac:dyDescent="0.25">
      <c r="B1280" s="159"/>
    </row>
    <row r="1281" spans="2:2" x14ac:dyDescent="0.25">
      <c r="B1281" s="159"/>
    </row>
    <row r="1282" spans="2:2" x14ac:dyDescent="0.25">
      <c r="B1282" s="159"/>
    </row>
    <row r="1283" spans="2:2" x14ac:dyDescent="0.25">
      <c r="B1283" s="159"/>
    </row>
    <row r="1284" spans="2:2" x14ac:dyDescent="0.25">
      <c r="B1284" s="159"/>
    </row>
    <row r="1285" spans="2:2" x14ac:dyDescent="0.25">
      <c r="B1285" s="159"/>
    </row>
    <row r="1286" spans="2:2" x14ac:dyDescent="0.25">
      <c r="B1286" s="159"/>
    </row>
    <row r="1287" spans="2:2" x14ac:dyDescent="0.25">
      <c r="B1287" s="159"/>
    </row>
    <row r="1288" spans="2:2" x14ac:dyDescent="0.25">
      <c r="B1288" s="159"/>
    </row>
    <row r="1289" spans="2:2" x14ac:dyDescent="0.25">
      <c r="B1289" s="159"/>
    </row>
    <row r="1290" spans="2:2" x14ac:dyDescent="0.25">
      <c r="B1290" s="159"/>
    </row>
    <row r="1291" spans="2:2" x14ac:dyDescent="0.25">
      <c r="B1291" s="159"/>
    </row>
    <row r="1292" spans="2:2" x14ac:dyDescent="0.25">
      <c r="B1292" s="159"/>
    </row>
    <row r="1293" spans="2:2" x14ac:dyDescent="0.25">
      <c r="B1293" s="159"/>
    </row>
    <row r="1294" spans="2:2" x14ac:dyDescent="0.25">
      <c r="B1294" s="159"/>
    </row>
    <row r="1295" spans="2:2" x14ac:dyDescent="0.25">
      <c r="B1295" s="159"/>
    </row>
    <row r="1296" spans="2:2" x14ac:dyDescent="0.25">
      <c r="B1296" s="159"/>
    </row>
    <row r="1297" spans="2:2" x14ac:dyDescent="0.25">
      <c r="B1297" s="159"/>
    </row>
    <row r="1298" spans="2:2" x14ac:dyDescent="0.25">
      <c r="B1298" s="159"/>
    </row>
    <row r="1299" spans="2:2" x14ac:dyDescent="0.25">
      <c r="B1299" s="159"/>
    </row>
    <row r="1300" spans="2:2" x14ac:dyDescent="0.25">
      <c r="B1300" s="159"/>
    </row>
    <row r="1301" spans="2:2" x14ac:dyDescent="0.25">
      <c r="B1301" s="159"/>
    </row>
    <row r="1302" spans="2:2" x14ac:dyDescent="0.25">
      <c r="B1302" s="159"/>
    </row>
    <row r="1303" spans="2:2" x14ac:dyDescent="0.25">
      <c r="B1303" s="159"/>
    </row>
    <row r="1304" spans="2:2" x14ac:dyDescent="0.25">
      <c r="B1304" s="159"/>
    </row>
    <row r="1305" spans="2:2" x14ac:dyDescent="0.25">
      <c r="B1305" s="159"/>
    </row>
    <row r="1306" spans="2:2" x14ac:dyDescent="0.25">
      <c r="B1306" s="159"/>
    </row>
    <row r="1307" spans="2:2" x14ac:dyDescent="0.25">
      <c r="B1307" s="159"/>
    </row>
    <row r="1308" spans="2:2" x14ac:dyDescent="0.25">
      <c r="B1308" s="159"/>
    </row>
    <row r="1309" spans="2:2" x14ac:dyDescent="0.25">
      <c r="B1309" s="159"/>
    </row>
    <row r="1310" spans="2:2" x14ac:dyDescent="0.25">
      <c r="B1310" s="159"/>
    </row>
    <row r="1311" spans="2:2" x14ac:dyDescent="0.25">
      <c r="B1311" s="159"/>
    </row>
    <row r="1312" spans="2:2" x14ac:dyDescent="0.25">
      <c r="B1312" s="159"/>
    </row>
    <row r="1313" spans="2:2" x14ac:dyDescent="0.25">
      <c r="B1313" s="159"/>
    </row>
    <row r="1314" spans="2:2" x14ac:dyDescent="0.25">
      <c r="B1314" s="159"/>
    </row>
    <row r="1315" spans="2:2" x14ac:dyDescent="0.25">
      <c r="B1315" s="159"/>
    </row>
    <row r="1316" spans="2:2" x14ac:dyDescent="0.25">
      <c r="B1316" s="159"/>
    </row>
    <row r="1317" spans="2:2" x14ac:dyDescent="0.25">
      <c r="B1317" s="159"/>
    </row>
    <row r="1318" spans="2:2" x14ac:dyDescent="0.25">
      <c r="B1318" s="159"/>
    </row>
    <row r="1319" spans="2:2" x14ac:dyDescent="0.25">
      <c r="B1319" s="159"/>
    </row>
    <row r="1320" spans="2:2" x14ac:dyDescent="0.25">
      <c r="B1320" s="159"/>
    </row>
    <row r="1321" spans="2:2" x14ac:dyDescent="0.25">
      <c r="B1321" s="159"/>
    </row>
    <row r="1322" spans="2:2" x14ac:dyDescent="0.25">
      <c r="B1322" s="159"/>
    </row>
    <row r="1323" spans="2:2" x14ac:dyDescent="0.25">
      <c r="B1323" s="159"/>
    </row>
    <row r="1324" spans="2:2" x14ac:dyDescent="0.25">
      <c r="B1324" s="159"/>
    </row>
    <row r="1325" spans="2:2" x14ac:dyDescent="0.25">
      <c r="B1325" s="159"/>
    </row>
    <row r="1326" spans="2:2" x14ac:dyDescent="0.25">
      <c r="B1326" s="159"/>
    </row>
    <row r="1327" spans="2:2" x14ac:dyDescent="0.25">
      <c r="B1327" s="159"/>
    </row>
    <row r="1328" spans="2:2" x14ac:dyDescent="0.25">
      <c r="B1328" s="159"/>
    </row>
    <row r="1329" spans="2:2" x14ac:dyDescent="0.25">
      <c r="B1329" s="159"/>
    </row>
    <row r="1330" spans="2:2" x14ac:dyDescent="0.25">
      <c r="B1330" s="159"/>
    </row>
    <row r="1331" spans="2:2" x14ac:dyDescent="0.25">
      <c r="B1331" s="159"/>
    </row>
    <row r="1332" spans="2:2" x14ac:dyDescent="0.25">
      <c r="B1332" s="159"/>
    </row>
    <row r="1333" spans="2:2" x14ac:dyDescent="0.25">
      <c r="B1333" s="159"/>
    </row>
    <row r="1334" spans="2:2" x14ac:dyDescent="0.25">
      <c r="B1334" s="159"/>
    </row>
    <row r="1335" spans="2:2" x14ac:dyDescent="0.25">
      <c r="B1335" s="159"/>
    </row>
    <row r="1336" spans="2:2" x14ac:dyDescent="0.25">
      <c r="B1336" s="159"/>
    </row>
    <row r="1337" spans="2:2" x14ac:dyDescent="0.25">
      <c r="B1337" s="159"/>
    </row>
    <row r="1338" spans="2:2" x14ac:dyDescent="0.25">
      <c r="B1338" s="159"/>
    </row>
    <row r="1339" spans="2:2" x14ac:dyDescent="0.25">
      <c r="B1339" s="159"/>
    </row>
    <row r="1340" spans="2:2" x14ac:dyDescent="0.25">
      <c r="B1340" s="159"/>
    </row>
    <row r="1341" spans="2:2" x14ac:dyDescent="0.25">
      <c r="B1341" s="159"/>
    </row>
    <row r="1342" spans="2:2" x14ac:dyDescent="0.25">
      <c r="B1342" s="159"/>
    </row>
    <row r="1343" spans="2:2" x14ac:dyDescent="0.25">
      <c r="B1343" s="159"/>
    </row>
    <row r="1344" spans="2:2" x14ac:dyDescent="0.25">
      <c r="B1344" s="159"/>
    </row>
    <row r="1345" spans="2:2" x14ac:dyDescent="0.25">
      <c r="B1345" s="159"/>
    </row>
    <row r="1346" spans="2:2" x14ac:dyDescent="0.25">
      <c r="B1346" s="159"/>
    </row>
    <row r="1347" spans="2:2" x14ac:dyDescent="0.25">
      <c r="B1347" s="159"/>
    </row>
    <row r="1348" spans="2:2" x14ac:dyDescent="0.25">
      <c r="B1348" s="159"/>
    </row>
    <row r="1349" spans="2:2" x14ac:dyDescent="0.25">
      <c r="B1349" s="159"/>
    </row>
    <row r="1350" spans="2:2" x14ac:dyDescent="0.25">
      <c r="B1350" s="159"/>
    </row>
    <row r="1351" spans="2:2" x14ac:dyDescent="0.25">
      <c r="B1351" s="159"/>
    </row>
    <row r="1352" spans="2:2" x14ac:dyDescent="0.25">
      <c r="B1352" s="159"/>
    </row>
    <row r="1353" spans="2:2" x14ac:dyDescent="0.25">
      <c r="B1353" s="159"/>
    </row>
    <row r="1354" spans="2:2" x14ac:dyDescent="0.25">
      <c r="B1354" s="159"/>
    </row>
    <row r="1355" spans="2:2" x14ac:dyDescent="0.25">
      <c r="B1355" s="159"/>
    </row>
    <row r="1356" spans="2:2" x14ac:dyDescent="0.25">
      <c r="B1356" s="159"/>
    </row>
    <row r="1357" spans="2:2" x14ac:dyDescent="0.25">
      <c r="B1357" s="159"/>
    </row>
    <row r="1358" spans="2:2" x14ac:dyDescent="0.25">
      <c r="B1358" s="159"/>
    </row>
    <row r="1359" spans="2:2" x14ac:dyDescent="0.25">
      <c r="B1359" s="159"/>
    </row>
    <row r="1360" spans="2:2" x14ac:dyDescent="0.25">
      <c r="B1360" s="159"/>
    </row>
    <row r="1361" spans="2:2" x14ac:dyDescent="0.25">
      <c r="B1361" s="159"/>
    </row>
    <row r="1362" spans="2:2" x14ac:dyDescent="0.25">
      <c r="B1362" s="159"/>
    </row>
    <row r="1363" spans="2:2" x14ac:dyDescent="0.25">
      <c r="B1363" s="159"/>
    </row>
    <row r="1364" spans="2:2" x14ac:dyDescent="0.25">
      <c r="B1364" s="159"/>
    </row>
    <row r="1365" spans="2:2" x14ac:dyDescent="0.25">
      <c r="B1365" s="159"/>
    </row>
    <row r="1366" spans="2:2" x14ac:dyDescent="0.25">
      <c r="B1366" s="159"/>
    </row>
    <row r="1367" spans="2:2" x14ac:dyDescent="0.25">
      <c r="B1367" s="159"/>
    </row>
    <row r="1368" spans="2:2" x14ac:dyDescent="0.25">
      <c r="B1368" s="159"/>
    </row>
    <row r="1369" spans="2:2" x14ac:dyDescent="0.25">
      <c r="B1369" s="159"/>
    </row>
    <row r="1370" spans="2:2" x14ac:dyDescent="0.25">
      <c r="B1370" s="159"/>
    </row>
    <row r="1371" spans="2:2" x14ac:dyDescent="0.25">
      <c r="B1371" s="159"/>
    </row>
    <row r="1372" spans="2:2" x14ac:dyDescent="0.25">
      <c r="B1372" s="159"/>
    </row>
    <row r="1373" spans="2:2" x14ac:dyDescent="0.25">
      <c r="B1373" s="159"/>
    </row>
    <row r="1374" spans="2:2" x14ac:dyDescent="0.25">
      <c r="B1374" s="159"/>
    </row>
    <row r="1375" spans="2:2" x14ac:dyDescent="0.25">
      <c r="B1375" s="159"/>
    </row>
    <row r="1376" spans="2:2" x14ac:dyDescent="0.25">
      <c r="B1376" s="159"/>
    </row>
    <row r="1377" spans="2:2" x14ac:dyDescent="0.25">
      <c r="B1377" s="159"/>
    </row>
    <row r="1378" spans="2:2" x14ac:dyDescent="0.25">
      <c r="B1378" s="159"/>
    </row>
    <row r="1379" spans="2:2" x14ac:dyDescent="0.25">
      <c r="B1379" s="159"/>
    </row>
    <row r="1380" spans="2:2" x14ac:dyDescent="0.25">
      <c r="B1380" s="159"/>
    </row>
    <row r="1381" spans="2:2" x14ac:dyDescent="0.25">
      <c r="B1381" s="159"/>
    </row>
    <row r="1382" spans="2:2" x14ac:dyDescent="0.25">
      <c r="B1382" s="159"/>
    </row>
    <row r="1383" spans="2:2" x14ac:dyDescent="0.25">
      <c r="B1383" s="159"/>
    </row>
    <row r="1384" spans="2:2" x14ac:dyDescent="0.25">
      <c r="B1384" s="159"/>
    </row>
    <row r="1385" spans="2:2" x14ac:dyDescent="0.25">
      <c r="B1385" s="159"/>
    </row>
    <row r="1386" spans="2:2" x14ac:dyDescent="0.25">
      <c r="B1386" s="159"/>
    </row>
    <row r="1387" spans="2:2" x14ac:dyDescent="0.25">
      <c r="B1387" s="159"/>
    </row>
    <row r="1388" spans="2:2" x14ac:dyDescent="0.25">
      <c r="B1388" s="159"/>
    </row>
    <row r="1389" spans="2:2" x14ac:dyDescent="0.25">
      <c r="B1389" s="159"/>
    </row>
    <row r="1390" spans="2:2" x14ac:dyDescent="0.25">
      <c r="B1390" s="159"/>
    </row>
    <row r="1391" spans="2:2" x14ac:dyDescent="0.25">
      <c r="B1391" s="159"/>
    </row>
    <row r="1392" spans="2:2" x14ac:dyDescent="0.25">
      <c r="B1392" s="159"/>
    </row>
    <row r="1393" spans="2:2" x14ac:dyDescent="0.25">
      <c r="B1393" s="159"/>
    </row>
    <row r="1394" spans="2:2" x14ac:dyDescent="0.25">
      <c r="B1394" s="159"/>
    </row>
    <row r="1395" spans="2:2" x14ac:dyDescent="0.25">
      <c r="B1395" s="159"/>
    </row>
    <row r="1396" spans="2:2" x14ac:dyDescent="0.25">
      <c r="B1396" s="159"/>
    </row>
    <row r="1397" spans="2:2" x14ac:dyDescent="0.25">
      <c r="B1397" s="159"/>
    </row>
    <row r="1398" spans="2:2" x14ac:dyDescent="0.25">
      <c r="B1398" s="159"/>
    </row>
    <row r="1399" spans="2:2" x14ac:dyDescent="0.25">
      <c r="B1399" s="159"/>
    </row>
    <row r="1400" spans="2:2" x14ac:dyDescent="0.25">
      <c r="B1400" s="159"/>
    </row>
    <row r="1401" spans="2:2" x14ac:dyDescent="0.25">
      <c r="B1401" s="159"/>
    </row>
    <row r="1402" spans="2:2" x14ac:dyDescent="0.25">
      <c r="B1402" s="159"/>
    </row>
    <row r="1403" spans="2:2" x14ac:dyDescent="0.25">
      <c r="B1403" s="159"/>
    </row>
    <row r="1404" spans="2:2" x14ac:dyDescent="0.25">
      <c r="B1404" s="159"/>
    </row>
    <row r="1405" spans="2:2" x14ac:dyDescent="0.25">
      <c r="B1405" s="159"/>
    </row>
    <row r="1406" spans="2:2" x14ac:dyDescent="0.25">
      <c r="B1406" s="159"/>
    </row>
    <row r="1407" spans="2:2" x14ac:dyDescent="0.25">
      <c r="B1407" s="159"/>
    </row>
    <row r="1408" spans="2:2" x14ac:dyDescent="0.25">
      <c r="B1408" s="159"/>
    </row>
    <row r="1409" spans="2:2" x14ac:dyDescent="0.25">
      <c r="B1409" s="159"/>
    </row>
    <row r="1410" spans="2:2" x14ac:dyDescent="0.25">
      <c r="B1410" s="159"/>
    </row>
    <row r="1411" spans="2:2" x14ac:dyDescent="0.25">
      <c r="B1411" s="159"/>
    </row>
    <row r="1412" spans="2:2" x14ac:dyDescent="0.25">
      <c r="B1412" s="159"/>
    </row>
    <row r="1413" spans="2:2" x14ac:dyDescent="0.25">
      <c r="B1413" s="159"/>
    </row>
    <row r="1414" spans="2:2" x14ac:dyDescent="0.25">
      <c r="B1414" s="159"/>
    </row>
    <row r="1415" spans="2:2" x14ac:dyDescent="0.25">
      <c r="B1415" s="159"/>
    </row>
    <row r="1416" spans="2:2" x14ac:dyDescent="0.25">
      <c r="B1416" s="159"/>
    </row>
    <row r="1417" spans="2:2" x14ac:dyDescent="0.25">
      <c r="B1417" s="159"/>
    </row>
    <row r="1418" spans="2:2" x14ac:dyDescent="0.25">
      <c r="B1418" s="159"/>
    </row>
    <row r="1419" spans="2:2" x14ac:dyDescent="0.25">
      <c r="B1419" s="159"/>
    </row>
    <row r="1420" spans="2:2" x14ac:dyDescent="0.25">
      <c r="B1420" s="159"/>
    </row>
    <row r="1421" spans="2:2" x14ac:dyDescent="0.25">
      <c r="B1421" s="159"/>
    </row>
    <row r="1422" spans="2:2" x14ac:dyDescent="0.25">
      <c r="B1422" s="159"/>
    </row>
    <row r="1423" spans="2:2" x14ac:dyDescent="0.25">
      <c r="B1423" s="159"/>
    </row>
    <row r="1424" spans="2:2" x14ac:dyDescent="0.25">
      <c r="B1424" s="159"/>
    </row>
    <row r="1425" spans="2:2" x14ac:dyDescent="0.25">
      <c r="B1425" s="159"/>
    </row>
    <row r="1426" spans="2:2" x14ac:dyDescent="0.25">
      <c r="B1426" s="159"/>
    </row>
    <row r="1427" spans="2:2" x14ac:dyDescent="0.25">
      <c r="B1427" s="159"/>
    </row>
    <row r="1428" spans="2:2" x14ac:dyDescent="0.25">
      <c r="B1428" s="159"/>
    </row>
    <row r="1429" spans="2:2" x14ac:dyDescent="0.25">
      <c r="B1429" s="159"/>
    </row>
    <row r="1430" spans="2:2" x14ac:dyDescent="0.25">
      <c r="B1430" s="159"/>
    </row>
    <row r="1431" spans="2:2" x14ac:dyDescent="0.25">
      <c r="B1431" s="159"/>
    </row>
    <row r="1432" spans="2:2" x14ac:dyDescent="0.25">
      <c r="B1432" s="159"/>
    </row>
    <row r="1433" spans="2:2" x14ac:dyDescent="0.25">
      <c r="B1433" s="159"/>
    </row>
    <row r="1434" spans="2:2" x14ac:dyDescent="0.25">
      <c r="B1434" s="159"/>
    </row>
    <row r="1435" spans="2:2" x14ac:dyDescent="0.25">
      <c r="B1435" s="159"/>
    </row>
    <row r="1436" spans="2:2" x14ac:dyDescent="0.25">
      <c r="B1436" s="159"/>
    </row>
    <row r="1437" spans="2:2" x14ac:dyDescent="0.25">
      <c r="B1437" s="159"/>
    </row>
    <row r="1438" spans="2:2" x14ac:dyDescent="0.25">
      <c r="B1438" s="159"/>
    </row>
    <row r="1439" spans="2:2" x14ac:dyDescent="0.25">
      <c r="B1439" s="159"/>
    </row>
    <row r="1440" spans="2:2" x14ac:dyDescent="0.25">
      <c r="B1440" s="159"/>
    </row>
    <row r="1441" spans="2:2" x14ac:dyDescent="0.25">
      <c r="B1441" s="159"/>
    </row>
    <row r="1442" spans="2:2" x14ac:dyDescent="0.25">
      <c r="B1442" s="159"/>
    </row>
    <row r="1443" spans="2:2" x14ac:dyDescent="0.25">
      <c r="B1443" s="159"/>
    </row>
    <row r="1444" spans="2:2" x14ac:dyDescent="0.25">
      <c r="B1444" s="159"/>
    </row>
    <row r="1445" spans="2:2" x14ac:dyDescent="0.25">
      <c r="B1445" s="159"/>
    </row>
    <row r="1446" spans="2:2" x14ac:dyDescent="0.25">
      <c r="B1446" s="159"/>
    </row>
    <row r="1447" spans="2:2" x14ac:dyDescent="0.25">
      <c r="B1447" s="159"/>
    </row>
    <row r="1448" spans="2:2" x14ac:dyDescent="0.25">
      <c r="B1448" s="159"/>
    </row>
    <row r="1449" spans="2:2" x14ac:dyDescent="0.25">
      <c r="B1449" s="159"/>
    </row>
    <row r="1450" spans="2:2" x14ac:dyDescent="0.25">
      <c r="B1450" s="159"/>
    </row>
    <row r="1451" spans="2:2" x14ac:dyDescent="0.25">
      <c r="B1451" s="159"/>
    </row>
    <row r="1452" spans="2:2" x14ac:dyDescent="0.25">
      <c r="B1452" s="159"/>
    </row>
    <row r="1453" spans="2:2" x14ac:dyDescent="0.25">
      <c r="B1453" s="159"/>
    </row>
    <row r="1454" spans="2:2" x14ac:dyDescent="0.25">
      <c r="B1454" s="159"/>
    </row>
    <row r="1455" spans="2:2" x14ac:dyDescent="0.25">
      <c r="B1455" s="159"/>
    </row>
    <row r="1456" spans="2:2" x14ac:dyDescent="0.25">
      <c r="B1456" s="159"/>
    </row>
    <row r="1457" spans="2:2" x14ac:dyDescent="0.25">
      <c r="B1457" s="159"/>
    </row>
    <row r="1458" spans="2:2" x14ac:dyDescent="0.25">
      <c r="B1458" s="159"/>
    </row>
    <row r="1459" spans="2:2" x14ac:dyDescent="0.25">
      <c r="B1459" s="159"/>
    </row>
    <row r="1460" spans="2:2" x14ac:dyDescent="0.25">
      <c r="B1460" s="159"/>
    </row>
    <row r="1461" spans="2:2" x14ac:dyDescent="0.25">
      <c r="B1461" s="159"/>
    </row>
    <row r="1462" spans="2:2" x14ac:dyDescent="0.25">
      <c r="B1462" s="159"/>
    </row>
    <row r="1463" spans="2:2" x14ac:dyDescent="0.25">
      <c r="B1463" s="159"/>
    </row>
    <row r="1464" spans="2:2" x14ac:dyDescent="0.25">
      <c r="B1464" s="159"/>
    </row>
    <row r="1465" spans="2:2" x14ac:dyDescent="0.25">
      <c r="B1465" s="159"/>
    </row>
    <row r="1466" spans="2:2" x14ac:dyDescent="0.25">
      <c r="B1466" s="159"/>
    </row>
    <row r="1467" spans="2:2" x14ac:dyDescent="0.25">
      <c r="B1467" s="159"/>
    </row>
    <row r="1468" spans="2:2" x14ac:dyDescent="0.25">
      <c r="B1468" s="159"/>
    </row>
    <row r="1469" spans="2:2" x14ac:dyDescent="0.25">
      <c r="B1469" s="159"/>
    </row>
    <row r="1470" spans="2:2" x14ac:dyDescent="0.25">
      <c r="B1470" s="159"/>
    </row>
    <row r="1471" spans="2:2" x14ac:dyDescent="0.25">
      <c r="B1471" s="159"/>
    </row>
    <row r="1472" spans="2:2" x14ac:dyDescent="0.25">
      <c r="B1472" s="159"/>
    </row>
    <row r="1473" spans="2:2" x14ac:dyDescent="0.25">
      <c r="B1473" s="159"/>
    </row>
    <row r="1474" spans="2:2" x14ac:dyDescent="0.25">
      <c r="B1474" s="159"/>
    </row>
    <row r="1475" spans="2:2" x14ac:dyDescent="0.25">
      <c r="B1475" s="159"/>
    </row>
    <row r="1476" spans="2:2" x14ac:dyDescent="0.25">
      <c r="B1476" s="159"/>
    </row>
    <row r="1477" spans="2:2" x14ac:dyDescent="0.25">
      <c r="B1477" s="159"/>
    </row>
    <row r="1478" spans="2:2" x14ac:dyDescent="0.25">
      <c r="B1478" s="159"/>
    </row>
    <row r="1479" spans="2:2" x14ac:dyDescent="0.25">
      <c r="B1479" s="159"/>
    </row>
    <row r="1480" spans="2:2" x14ac:dyDescent="0.25">
      <c r="B1480" s="159"/>
    </row>
    <row r="1481" spans="2:2" x14ac:dyDescent="0.25">
      <c r="B1481" s="159"/>
    </row>
    <row r="1482" spans="2:2" x14ac:dyDescent="0.25">
      <c r="B1482" s="159"/>
    </row>
    <row r="1483" spans="2:2" x14ac:dyDescent="0.25">
      <c r="B1483" s="159"/>
    </row>
    <row r="1484" spans="2:2" x14ac:dyDescent="0.25">
      <c r="B1484" s="159"/>
    </row>
    <row r="1485" spans="2:2" x14ac:dyDescent="0.25">
      <c r="B1485" s="159"/>
    </row>
    <row r="1486" spans="2:2" x14ac:dyDescent="0.25">
      <c r="B1486" s="159"/>
    </row>
    <row r="1487" spans="2:2" x14ac:dyDescent="0.25">
      <c r="B1487" s="159"/>
    </row>
    <row r="1488" spans="2:2" x14ac:dyDescent="0.25">
      <c r="B1488" s="159"/>
    </row>
    <row r="1489" spans="2:2" x14ac:dyDescent="0.25">
      <c r="B1489" s="159"/>
    </row>
    <row r="1490" spans="2:2" x14ac:dyDescent="0.25">
      <c r="B1490" s="159"/>
    </row>
    <row r="1491" spans="2:2" x14ac:dyDescent="0.25">
      <c r="B1491" s="159"/>
    </row>
    <row r="1492" spans="2:2" x14ac:dyDescent="0.25">
      <c r="B1492" s="159"/>
    </row>
    <row r="1493" spans="2:2" x14ac:dyDescent="0.25">
      <c r="B1493" s="159"/>
    </row>
    <row r="1494" spans="2:2" x14ac:dyDescent="0.25">
      <c r="B1494" s="159"/>
    </row>
    <row r="1495" spans="2:2" x14ac:dyDescent="0.25">
      <c r="B1495" s="159"/>
    </row>
    <row r="1496" spans="2:2" x14ac:dyDescent="0.25">
      <c r="B1496" s="159"/>
    </row>
    <row r="1497" spans="2:2" x14ac:dyDescent="0.25">
      <c r="B1497" s="159"/>
    </row>
    <row r="1498" spans="2:2" x14ac:dyDescent="0.25">
      <c r="B1498" s="159"/>
    </row>
    <row r="1499" spans="2:2" x14ac:dyDescent="0.25">
      <c r="B1499" s="159"/>
    </row>
    <row r="1500" spans="2:2" x14ac:dyDescent="0.25">
      <c r="B1500" s="159"/>
    </row>
    <row r="1501" spans="2:2" x14ac:dyDescent="0.25">
      <c r="B1501" s="159"/>
    </row>
    <row r="1502" spans="2:2" x14ac:dyDescent="0.25">
      <c r="B1502" s="159"/>
    </row>
    <row r="1503" spans="2:2" x14ac:dyDescent="0.25">
      <c r="B1503" s="159"/>
    </row>
    <row r="1504" spans="2:2" x14ac:dyDescent="0.25">
      <c r="B1504" s="159"/>
    </row>
    <row r="1505" spans="2:2" x14ac:dyDescent="0.25">
      <c r="B1505" s="159"/>
    </row>
    <row r="1506" spans="2:2" x14ac:dyDescent="0.25">
      <c r="B1506" s="159"/>
    </row>
    <row r="1507" spans="2:2" x14ac:dyDescent="0.25">
      <c r="B1507" s="159"/>
    </row>
    <row r="1508" spans="2:2" x14ac:dyDescent="0.25">
      <c r="B1508" s="159"/>
    </row>
    <row r="1509" spans="2:2" x14ac:dyDescent="0.25">
      <c r="B1509" s="159"/>
    </row>
    <row r="1510" spans="2:2" x14ac:dyDescent="0.25">
      <c r="B1510" s="159"/>
    </row>
    <row r="1511" spans="2:2" x14ac:dyDescent="0.25">
      <c r="B1511" s="159"/>
    </row>
    <row r="1512" spans="2:2" x14ac:dyDescent="0.25">
      <c r="B1512" s="159"/>
    </row>
    <row r="1513" spans="2:2" x14ac:dyDescent="0.25">
      <c r="B1513" s="159"/>
    </row>
    <row r="1514" spans="2:2" x14ac:dyDescent="0.25">
      <c r="B1514" s="159"/>
    </row>
    <row r="1515" spans="2:2" x14ac:dyDescent="0.25">
      <c r="B1515" s="159"/>
    </row>
    <row r="1516" spans="2:2" x14ac:dyDescent="0.25">
      <c r="B1516" s="159"/>
    </row>
    <row r="1517" spans="2:2" x14ac:dyDescent="0.25">
      <c r="B1517" s="159"/>
    </row>
    <row r="1518" spans="2:2" x14ac:dyDescent="0.25">
      <c r="B1518" s="159"/>
    </row>
    <row r="1519" spans="2:2" x14ac:dyDescent="0.25">
      <c r="B1519" s="159"/>
    </row>
    <row r="1520" spans="2:2" x14ac:dyDescent="0.25">
      <c r="B1520" s="159"/>
    </row>
    <row r="1521" spans="2:2" x14ac:dyDescent="0.25">
      <c r="B1521" s="159"/>
    </row>
    <row r="1522" spans="2:2" x14ac:dyDescent="0.25">
      <c r="B1522" s="159"/>
    </row>
    <row r="1523" spans="2:2" x14ac:dyDescent="0.25">
      <c r="B1523" s="159"/>
    </row>
    <row r="1524" spans="2:2" x14ac:dyDescent="0.25">
      <c r="B1524" s="159"/>
    </row>
    <row r="1525" spans="2:2" x14ac:dyDescent="0.25">
      <c r="B1525" s="159"/>
    </row>
    <row r="1526" spans="2:2" x14ac:dyDescent="0.25">
      <c r="B1526" s="159"/>
    </row>
    <row r="1527" spans="2:2" x14ac:dyDescent="0.25">
      <c r="B1527" s="159"/>
    </row>
    <row r="1528" spans="2:2" x14ac:dyDescent="0.25">
      <c r="B1528" s="159"/>
    </row>
    <row r="1529" spans="2:2" x14ac:dyDescent="0.25">
      <c r="B1529" s="159"/>
    </row>
    <row r="1530" spans="2:2" x14ac:dyDescent="0.25">
      <c r="B1530" s="159"/>
    </row>
    <row r="1531" spans="2:2" x14ac:dyDescent="0.25">
      <c r="B1531" s="159"/>
    </row>
    <row r="1532" spans="2:2" x14ac:dyDescent="0.25">
      <c r="B1532" s="159"/>
    </row>
    <row r="1533" spans="2:2" x14ac:dyDescent="0.25">
      <c r="B1533" s="159"/>
    </row>
    <row r="1534" spans="2:2" x14ac:dyDescent="0.25">
      <c r="B1534" s="159"/>
    </row>
    <row r="1535" spans="2:2" x14ac:dyDescent="0.25">
      <c r="B1535" s="159"/>
    </row>
    <row r="1536" spans="2:2" x14ac:dyDescent="0.25">
      <c r="B1536" s="159"/>
    </row>
    <row r="1537" spans="2:2" x14ac:dyDescent="0.25">
      <c r="B1537" s="159"/>
    </row>
    <row r="1538" spans="2:2" x14ac:dyDescent="0.25">
      <c r="B1538" s="159"/>
    </row>
    <row r="1539" spans="2:2" x14ac:dyDescent="0.25">
      <c r="B1539" s="159"/>
    </row>
    <row r="1540" spans="2:2" x14ac:dyDescent="0.25">
      <c r="B1540" s="159"/>
    </row>
    <row r="1541" spans="2:2" x14ac:dyDescent="0.25">
      <c r="B1541" s="159"/>
    </row>
    <row r="1542" spans="2:2" x14ac:dyDescent="0.25">
      <c r="B1542" s="159"/>
    </row>
    <row r="1543" spans="2:2" x14ac:dyDescent="0.25">
      <c r="B1543" s="159"/>
    </row>
    <row r="1544" spans="2:2" x14ac:dyDescent="0.25">
      <c r="B1544" s="159"/>
    </row>
    <row r="1545" spans="2:2" x14ac:dyDescent="0.25">
      <c r="B1545" s="159"/>
    </row>
    <row r="1546" spans="2:2" x14ac:dyDescent="0.25">
      <c r="B1546" s="159"/>
    </row>
    <row r="1547" spans="2:2" x14ac:dyDescent="0.25">
      <c r="B1547" s="159"/>
    </row>
    <row r="1548" spans="2:2" x14ac:dyDescent="0.25">
      <c r="B1548" s="159"/>
    </row>
    <row r="1549" spans="2:2" x14ac:dyDescent="0.25">
      <c r="B1549" s="159"/>
    </row>
    <row r="1550" spans="2:2" x14ac:dyDescent="0.25">
      <c r="B1550" s="159"/>
    </row>
    <row r="1551" spans="2:2" x14ac:dyDescent="0.25">
      <c r="B1551" s="159"/>
    </row>
    <row r="1552" spans="2:2" x14ac:dyDescent="0.25">
      <c r="B1552" s="159"/>
    </row>
    <row r="1553" spans="2:2" x14ac:dyDescent="0.25">
      <c r="B1553" s="159"/>
    </row>
    <row r="1554" spans="2:2" x14ac:dyDescent="0.25">
      <c r="B1554" s="159"/>
    </row>
    <row r="1555" spans="2:2" x14ac:dyDescent="0.25">
      <c r="B1555" s="159"/>
    </row>
    <row r="1556" spans="2:2" x14ac:dyDescent="0.25">
      <c r="B1556" s="159"/>
    </row>
    <row r="1557" spans="2:2" x14ac:dyDescent="0.25">
      <c r="B1557" s="159"/>
    </row>
    <row r="1558" spans="2:2" x14ac:dyDescent="0.25">
      <c r="B1558" s="159"/>
    </row>
    <row r="1559" spans="2:2" x14ac:dyDescent="0.25">
      <c r="B1559" s="159"/>
    </row>
    <row r="1560" spans="2:2" x14ac:dyDescent="0.25">
      <c r="B1560" s="159"/>
    </row>
    <row r="1561" spans="2:2" x14ac:dyDescent="0.25">
      <c r="B1561" s="159"/>
    </row>
    <row r="1562" spans="2:2" x14ac:dyDescent="0.25">
      <c r="B1562" s="159"/>
    </row>
    <row r="1563" spans="2:2" x14ac:dyDescent="0.25">
      <c r="B1563" s="159"/>
    </row>
    <row r="1564" spans="2:2" x14ac:dyDescent="0.25">
      <c r="B1564" s="159"/>
    </row>
    <row r="1565" spans="2:2" x14ac:dyDescent="0.25">
      <c r="B1565" s="159"/>
    </row>
    <row r="1566" spans="2:2" x14ac:dyDescent="0.25">
      <c r="B1566" s="159"/>
    </row>
    <row r="1567" spans="2:2" x14ac:dyDescent="0.25">
      <c r="B1567" s="159"/>
    </row>
    <row r="1568" spans="2:2" x14ac:dyDescent="0.25">
      <c r="B1568" s="159"/>
    </row>
    <row r="1569" spans="2:2" x14ac:dyDescent="0.25">
      <c r="B1569" s="159"/>
    </row>
    <row r="1570" spans="2:2" x14ac:dyDescent="0.25">
      <c r="B1570" s="159"/>
    </row>
    <row r="1571" spans="2:2" x14ac:dyDescent="0.25">
      <c r="B1571" s="159"/>
    </row>
    <row r="1572" spans="2:2" x14ac:dyDescent="0.25">
      <c r="B1572" s="159"/>
    </row>
    <row r="1573" spans="2:2" x14ac:dyDescent="0.25">
      <c r="B1573" s="159"/>
    </row>
    <row r="1574" spans="2:2" x14ac:dyDescent="0.25">
      <c r="B1574" s="159"/>
    </row>
    <row r="1575" spans="2:2" x14ac:dyDescent="0.25">
      <c r="B1575" s="159"/>
    </row>
    <row r="1576" spans="2:2" x14ac:dyDescent="0.25">
      <c r="B1576" s="159"/>
    </row>
    <row r="1577" spans="2:2" x14ac:dyDescent="0.25">
      <c r="B1577" s="159"/>
    </row>
    <row r="1578" spans="2:2" x14ac:dyDescent="0.25">
      <c r="B1578" s="159"/>
    </row>
    <row r="1579" spans="2:2" x14ac:dyDescent="0.25">
      <c r="B1579" s="159"/>
    </row>
    <row r="1580" spans="2:2" x14ac:dyDescent="0.25">
      <c r="B1580" s="159"/>
    </row>
    <row r="1581" spans="2:2" x14ac:dyDescent="0.25">
      <c r="B1581" s="159"/>
    </row>
    <row r="1582" spans="2:2" x14ac:dyDescent="0.25">
      <c r="B1582" s="159"/>
    </row>
    <row r="1583" spans="2:2" x14ac:dyDescent="0.25">
      <c r="B1583" s="159"/>
    </row>
    <row r="1584" spans="2:2" x14ac:dyDescent="0.25">
      <c r="B1584" s="159"/>
    </row>
    <row r="1585" spans="2:2" x14ac:dyDescent="0.25">
      <c r="B1585" s="159"/>
    </row>
    <row r="1586" spans="2:2" x14ac:dyDescent="0.25">
      <c r="B1586" s="159"/>
    </row>
    <row r="1587" spans="2:2" x14ac:dyDescent="0.25">
      <c r="B1587" s="159"/>
    </row>
    <row r="1588" spans="2:2" x14ac:dyDescent="0.25">
      <c r="B1588" s="159"/>
    </row>
    <row r="1589" spans="2:2" x14ac:dyDescent="0.25">
      <c r="B1589" s="159"/>
    </row>
    <row r="1590" spans="2:2" x14ac:dyDescent="0.25">
      <c r="B1590" s="159"/>
    </row>
    <row r="1591" spans="2:2" x14ac:dyDescent="0.25">
      <c r="B1591" s="159"/>
    </row>
    <row r="1592" spans="2:2" x14ac:dyDescent="0.25">
      <c r="B1592" s="159"/>
    </row>
    <row r="1593" spans="2:2" x14ac:dyDescent="0.25">
      <c r="B1593" s="159"/>
    </row>
    <row r="1594" spans="2:2" x14ac:dyDescent="0.25">
      <c r="B1594" s="159"/>
    </row>
    <row r="1595" spans="2:2" x14ac:dyDescent="0.25">
      <c r="B1595" s="159"/>
    </row>
    <row r="1596" spans="2:2" x14ac:dyDescent="0.25">
      <c r="B1596" s="159"/>
    </row>
    <row r="1597" spans="2:2" x14ac:dyDescent="0.25">
      <c r="B1597" s="159"/>
    </row>
    <row r="1598" spans="2:2" x14ac:dyDescent="0.25">
      <c r="B1598" s="159"/>
    </row>
    <row r="1599" spans="2:2" x14ac:dyDescent="0.25">
      <c r="B1599" s="159"/>
    </row>
    <row r="1600" spans="2:2" x14ac:dyDescent="0.25">
      <c r="B1600" s="159"/>
    </row>
    <row r="1601" spans="2:2" x14ac:dyDescent="0.25">
      <c r="B1601" s="159"/>
    </row>
    <row r="1602" spans="2:2" x14ac:dyDescent="0.25">
      <c r="B1602" s="159"/>
    </row>
    <row r="1603" spans="2:2" x14ac:dyDescent="0.25">
      <c r="B1603" s="159"/>
    </row>
    <row r="1604" spans="2:2" x14ac:dyDescent="0.25">
      <c r="B1604" s="159"/>
    </row>
    <row r="1605" spans="2:2" x14ac:dyDescent="0.25">
      <c r="B1605" s="159"/>
    </row>
    <row r="1606" spans="2:2" x14ac:dyDescent="0.25">
      <c r="B1606" s="159"/>
    </row>
    <row r="1607" spans="2:2" x14ac:dyDescent="0.25">
      <c r="B1607" s="159"/>
    </row>
    <row r="1608" spans="2:2" x14ac:dyDescent="0.25">
      <c r="B1608" s="159"/>
    </row>
    <row r="1609" spans="2:2" x14ac:dyDescent="0.25">
      <c r="B1609" s="159"/>
    </row>
    <row r="1610" spans="2:2" x14ac:dyDescent="0.25">
      <c r="B1610" s="159"/>
    </row>
    <row r="1611" spans="2:2" x14ac:dyDescent="0.25">
      <c r="B1611" s="159"/>
    </row>
    <row r="1612" spans="2:2" x14ac:dyDescent="0.25">
      <c r="B1612" s="159"/>
    </row>
    <row r="1613" spans="2:2" x14ac:dyDescent="0.25">
      <c r="B1613" s="159"/>
    </row>
    <row r="1614" spans="2:2" x14ac:dyDescent="0.25">
      <c r="B1614" s="159"/>
    </row>
    <row r="1615" spans="2:2" x14ac:dyDescent="0.25">
      <c r="B1615" s="159"/>
    </row>
    <row r="1616" spans="2:2" x14ac:dyDescent="0.25">
      <c r="B1616" s="159"/>
    </row>
    <row r="1617" spans="2:2" x14ac:dyDescent="0.25">
      <c r="B1617" s="159"/>
    </row>
    <row r="1618" spans="2:2" x14ac:dyDescent="0.25">
      <c r="B1618" s="159"/>
    </row>
    <row r="1619" spans="2:2" x14ac:dyDescent="0.25">
      <c r="B1619" s="159"/>
    </row>
    <row r="1620" spans="2:2" x14ac:dyDescent="0.25">
      <c r="B1620" s="159"/>
    </row>
    <row r="1621" spans="2:2" x14ac:dyDescent="0.25">
      <c r="B1621" s="159"/>
    </row>
    <row r="1622" spans="2:2" x14ac:dyDescent="0.25">
      <c r="B1622" s="159"/>
    </row>
    <row r="1623" spans="2:2" x14ac:dyDescent="0.25">
      <c r="B1623" s="159"/>
    </row>
    <row r="1624" spans="2:2" x14ac:dyDescent="0.25">
      <c r="B1624" s="159"/>
    </row>
    <row r="1625" spans="2:2" x14ac:dyDescent="0.25">
      <c r="B1625" s="159"/>
    </row>
    <row r="1626" spans="2:2" x14ac:dyDescent="0.25">
      <c r="B1626" s="159"/>
    </row>
    <row r="1627" spans="2:2" x14ac:dyDescent="0.25">
      <c r="B1627" s="159"/>
    </row>
    <row r="1628" spans="2:2" x14ac:dyDescent="0.25">
      <c r="B1628" s="159"/>
    </row>
    <row r="1629" spans="2:2" x14ac:dyDescent="0.25">
      <c r="B1629" s="159"/>
    </row>
    <row r="1630" spans="2:2" x14ac:dyDescent="0.25">
      <c r="B1630" s="159"/>
    </row>
    <row r="1631" spans="2:2" x14ac:dyDescent="0.25">
      <c r="B1631" s="159"/>
    </row>
    <row r="1632" spans="2:2" x14ac:dyDescent="0.25">
      <c r="B1632" s="159"/>
    </row>
    <row r="1633" spans="2:2" x14ac:dyDescent="0.25">
      <c r="B1633" s="159"/>
    </row>
    <row r="1634" spans="2:2" x14ac:dyDescent="0.25">
      <c r="B1634" s="159"/>
    </row>
    <row r="1635" spans="2:2" x14ac:dyDescent="0.25">
      <c r="B1635" s="159"/>
    </row>
    <row r="1636" spans="2:2" x14ac:dyDescent="0.25">
      <c r="B1636" s="159"/>
    </row>
    <row r="1637" spans="2:2" x14ac:dyDescent="0.25">
      <c r="B1637" s="159"/>
    </row>
    <row r="1638" spans="2:2" x14ac:dyDescent="0.25">
      <c r="B1638" s="159"/>
    </row>
    <row r="1639" spans="2:2" x14ac:dyDescent="0.25">
      <c r="B1639" s="159"/>
    </row>
    <row r="1640" spans="2:2" x14ac:dyDescent="0.25">
      <c r="B1640" s="159"/>
    </row>
    <row r="1641" spans="2:2" x14ac:dyDescent="0.25">
      <c r="B1641" s="159"/>
    </row>
    <row r="1642" spans="2:2" x14ac:dyDescent="0.25">
      <c r="B1642" s="159"/>
    </row>
    <row r="1643" spans="2:2" x14ac:dyDescent="0.25">
      <c r="B1643" s="159"/>
    </row>
    <row r="1644" spans="2:2" x14ac:dyDescent="0.25">
      <c r="B1644" s="159"/>
    </row>
    <row r="1645" spans="2:2" x14ac:dyDescent="0.25">
      <c r="B1645" s="159"/>
    </row>
    <row r="1646" spans="2:2" x14ac:dyDescent="0.25">
      <c r="B1646" s="159"/>
    </row>
    <row r="1647" spans="2:2" x14ac:dyDescent="0.25">
      <c r="B1647" s="159"/>
    </row>
    <row r="1648" spans="2:2" x14ac:dyDescent="0.25">
      <c r="B1648" s="159"/>
    </row>
    <row r="1649" spans="2:2" x14ac:dyDescent="0.25">
      <c r="B1649" s="159"/>
    </row>
    <row r="1650" spans="2:2" x14ac:dyDescent="0.25">
      <c r="B1650" s="159"/>
    </row>
    <row r="1651" spans="2:2" x14ac:dyDescent="0.25">
      <c r="B1651" s="159"/>
    </row>
    <row r="1652" spans="2:2" x14ac:dyDescent="0.25">
      <c r="B1652" s="159"/>
    </row>
    <row r="1653" spans="2:2" x14ac:dyDescent="0.25">
      <c r="B1653" s="159"/>
    </row>
    <row r="1654" spans="2:2" x14ac:dyDescent="0.25">
      <c r="B1654" s="159"/>
    </row>
    <row r="1655" spans="2:2" x14ac:dyDescent="0.25">
      <c r="B1655" s="159"/>
    </row>
    <row r="1656" spans="2:2" x14ac:dyDescent="0.25">
      <c r="B1656" s="159"/>
    </row>
    <row r="1657" spans="2:2" x14ac:dyDescent="0.25">
      <c r="B1657" s="159"/>
    </row>
    <row r="1658" spans="2:2" x14ac:dyDescent="0.25">
      <c r="B1658" s="159"/>
    </row>
    <row r="1659" spans="2:2" x14ac:dyDescent="0.25">
      <c r="B1659" s="159"/>
    </row>
    <row r="1660" spans="2:2" x14ac:dyDescent="0.25">
      <c r="B1660" s="159"/>
    </row>
    <row r="1661" spans="2:2" x14ac:dyDescent="0.25">
      <c r="B1661" s="159"/>
    </row>
    <row r="1662" spans="2:2" x14ac:dyDescent="0.25">
      <c r="B1662" s="159"/>
    </row>
    <row r="1663" spans="2:2" x14ac:dyDescent="0.25">
      <c r="B1663" s="159"/>
    </row>
    <row r="1664" spans="2:2" x14ac:dyDescent="0.25">
      <c r="B1664" s="159"/>
    </row>
    <row r="1665" spans="2:2" x14ac:dyDescent="0.25">
      <c r="B1665" s="159"/>
    </row>
    <row r="1666" spans="2:2" x14ac:dyDescent="0.25">
      <c r="B1666" s="159"/>
    </row>
    <row r="1667" spans="2:2" x14ac:dyDescent="0.25">
      <c r="B1667" s="159"/>
    </row>
    <row r="1668" spans="2:2" x14ac:dyDescent="0.25">
      <c r="B1668" s="159"/>
    </row>
    <row r="1669" spans="2:2" x14ac:dyDescent="0.25">
      <c r="B1669" s="159"/>
    </row>
    <row r="1670" spans="2:2" x14ac:dyDescent="0.25">
      <c r="B1670" s="159"/>
    </row>
    <row r="1671" spans="2:2" x14ac:dyDescent="0.25">
      <c r="B1671" s="159"/>
    </row>
    <row r="1672" spans="2:2" x14ac:dyDescent="0.25">
      <c r="B1672" s="159"/>
    </row>
    <row r="1673" spans="2:2" x14ac:dyDescent="0.25">
      <c r="B1673" s="159"/>
    </row>
    <row r="1674" spans="2:2" x14ac:dyDescent="0.25">
      <c r="B1674" s="159"/>
    </row>
    <row r="1675" spans="2:2" x14ac:dyDescent="0.25">
      <c r="B1675" s="159"/>
    </row>
    <row r="1676" spans="2:2" x14ac:dyDescent="0.25">
      <c r="B1676" s="159"/>
    </row>
    <row r="1677" spans="2:2" x14ac:dyDescent="0.25">
      <c r="B1677" s="159"/>
    </row>
    <row r="1678" spans="2:2" x14ac:dyDescent="0.25">
      <c r="B1678" s="159"/>
    </row>
    <row r="1679" spans="2:2" x14ac:dyDescent="0.25">
      <c r="B1679" s="159"/>
    </row>
    <row r="1680" spans="2:2" x14ac:dyDescent="0.25">
      <c r="B1680" s="159"/>
    </row>
    <row r="1681" spans="2:2" x14ac:dyDescent="0.25">
      <c r="B1681" s="159"/>
    </row>
    <row r="1682" spans="2:2" x14ac:dyDescent="0.25">
      <c r="B1682" s="159"/>
    </row>
    <row r="1683" spans="2:2" x14ac:dyDescent="0.25">
      <c r="B1683" s="159"/>
    </row>
    <row r="1684" spans="2:2" x14ac:dyDescent="0.25">
      <c r="B1684" s="159"/>
    </row>
    <row r="1685" spans="2:2" x14ac:dyDescent="0.25">
      <c r="B1685" s="159"/>
    </row>
    <row r="1686" spans="2:2" x14ac:dyDescent="0.25">
      <c r="B1686" s="159"/>
    </row>
    <row r="1687" spans="2:2" x14ac:dyDescent="0.25">
      <c r="B1687" s="159"/>
    </row>
    <row r="1688" spans="2:2" x14ac:dyDescent="0.25">
      <c r="B1688" s="159"/>
    </row>
    <row r="1689" spans="2:2" x14ac:dyDescent="0.25">
      <c r="B1689" s="159"/>
    </row>
    <row r="1690" spans="2:2" x14ac:dyDescent="0.25">
      <c r="B1690" s="159"/>
    </row>
    <row r="1691" spans="2:2" x14ac:dyDescent="0.25">
      <c r="B1691" s="159"/>
    </row>
    <row r="1692" spans="2:2" x14ac:dyDescent="0.25">
      <c r="B1692" s="159"/>
    </row>
    <row r="1693" spans="2:2" x14ac:dyDescent="0.25">
      <c r="B1693" s="159"/>
    </row>
    <row r="1694" spans="2:2" x14ac:dyDescent="0.25">
      <c r="B1694" s="159"/>
    </row>
    <row r="1695" spans="2:2" x14ac:dyDescent="0.25">
      <c r="B1695" s="159"/>
    </row>
    <row r="1696" spans="2:2" x14ac:dyDescent="0.25">
      <c r="B1696" s="159"/>
    </row>
    <row r="1697" spans="2:2" x14ac:dyDescent="0.25">
      <c r="B1697" s="159"/>
    </row>
    <row r="1698" spans="2:2" x14ac:dyDescent="0.25">
      <c r="B1698" s="159"/>
    </row>
    <row r="1699" spans="2:2" x14ac:dyDescent="0.25">
      <c r="B1699" s="159"/>
    </row>
    <row r="1700" spans="2:2" x14ac:dyDescent="0.25">
      <c r="B1700" s="159"/>
    </row>
    <row r="1701" spans="2:2" x14ac:dyDescent="0.25">
      <c r="B1701" s="159"/>
    </row>
    <row r="1702" spans="2:2" x14ac:dyDescent="0.25">
      <c r="B1702" s="159"/>
    </row>
    <row r="1703" spans="2:2" x14ac:dyDescent="0.25">
      <c r="B1703" s="159"/>
    </row>
    <row r="1704" spans="2:2" x14ac:dyDescent="0.25">
      <c r="B1704" s="159"/>
    </row>
    <row r="1705" spans="2:2" x14ac:dyDescent="0.25">
      <c r="B1705" s="159"/>
    </row>
    <row r="1706" spans="2:2" x14ac:dyDescent="0.25">
      <c r="B1706" s="159"/>
    </row>
    <row r="1707" spans="2:2" x14ac:dyDescent="0.25">
      <c r="B1707" s="159"/>
    </row>
    <row r="1708" spans="2:2" x14ac:dyDescent="0.25">
      <c r="B1708" s="159"/>
    </row>
    <row r="1709" spans="2:2" x14ac:dyDescent="0.25">
      <c r="B1709" s="159"/>
    </row>
    <row r="1710" spans="2:2" x14ac:dyDescent="0.25">
      <c r="B1710" s="159"/>
    </row>
    <row r="1711" spans="2:2" x14ac:dyDescent="0.25">
      <c r="B1711" s="159"/>
    </row>
    <row r="1712" spans="2:2" x14ac:dyDescent="0.25">
      <c r="B1712" s="159"/>
    </row>
    <row r="1713" spans="2:2" x14ac:dyDescent="0.25">
      <c r="B1713" s="159"/>
    </row>
    <row r="1714" spans="2:2" x14ac:dyDescent="0.25">
      <c r="B1714" s="159"/>
    </row>
    <row r="1715" spans="2:2" x14ac:dyDescent="0.25">
      <c r="B1715" s="159"/>
    </row>
    <row r="1716" spans="2:2" x14ac:dyDescent="0.25">
      <c r="B1716" s="159"/>
    </row>
    <row r="1717" spans="2:2" x14ac:dyDescent="0.25">
      <c r="B1717" s="159"/>
    </row>
    <row r="1718" spans="2:2" x14ac:dyDescent="0.25">
      <c r="B1718" s="159"/>
    </row>
    <row r="1719" spans="2:2" x14ac:dyDescent="0.25">
      <c r="B1719" s="159"/>
    </row>
    <row r="1720" spans="2:2" x14ac:dyDescent="0.25">
      <c r="B1720" s="159"/>
    </row>
    <row r="1721" spans="2:2" x14ac:dyDescent="0.25">
      <c r="B1721" s="159"/>
    </row>
    <row r="1722" spans="2:2" x14ac:dyDescent="0.25">
      <c r="B1722" s="159"/>
    </row>
    <row r="1723" spans="2:2" x14ac:dyDescent="0.25">
      <c r="B1723" s="159"/>
    </row>
    <row r="1724" spans="2:2" x14ac:dyDescent="0.25">
      <c r="B1724" s="159"/>
    </row>
    <row r="1725" spans="2:2" x14ac:dyDescent="0.25">
      <c r="B1725" s="159"/>
    </row>
    <row r="1726" spans="2:2" x14ac:dyDescent="0.25">
      <c r="B1726" s="159"/>
    </row>
    <row r="1727" spans="2:2" x14ac:dyDescent="0.25">
      <c r="B1727" s="159"/>
    </row>
    <row r="1728" spans="2:2" x14ac:dyDescent="0.25">
      <c r="B1728" s="159"/>
    </row>
    <row r="1729" spans="2:2" x14ac:dyDescent="0.25">
      <c r="B1729" s="159"/>
    </row>
    <row r="1730" spans="2:2" x14ac:dyDescent="0.25">
      <c r="B1730" s="159"/>
    </row>
    <row r="1731" spans="2:2" x14ac:dyDescent="0.25">
      <c r="B1731" s="159"/>
    </row>
    <row r="1732" spans="2:2" x14ac:dyDescent="0.25">
      <c r="B1732" s="159"/>
    </row>
    <row r="1733" spans="2:2" x14ac:dyDescent="0.25">
      <c r="B1733" s="159"/>
    </row>
    <row r="1734" spans="2:2" x14ac:dyDescent="0.25">
      <c r="B1734" s="159"/>
    </row>
    <row r="1735" spans="2:2" x14ac:dyDescent="0.25">
      <c r="B1735" s="159"/>
    </row>
    <row r="1736" spans="2:2" x14ac:dyDescent="0.25">
      <c r="B1736" s="159"/>
    </row>
    <row r="1737" spans="2:2" x14ac:dyDescent="0.25">
      <c r="B1737" s="159"/>
    </row>
    <row r="1738" spans="2:2" x14ac:dyDescent="0.25">
      <c r="B1738" s="159"/>
    </row>
    <row r="1739" spans="2:2" x14ac:dyDescent="0.25">
      <c r="B1739" s="159"/>
    </row>
    <row r="1740" spans="2:2" x14ac:dyDescent="0.25">
      <c r="B1740" s="159"/>
    </row>
    <row r="1741" spans="2:2" x14ac:dyDescent="0.25">
      <c r="B1741" s="159"/>
    </row>
    <row r="1742" spans="2:2" x14ac:dyDescent="0.25">
      <c r="B1742" s="159"/>
    </row>
    <row r="1743" spans="2:2" x14ac:dyDescent="0.25">
      <c r="B1743" s="159"/>
    </row>
    <row r="1744" spans="2:2" x14ac:dyDescent="0.25">
      <c r="B1744" s="159"/>
    </row>
    <row r="1745" spans="2:2" x14ac:dyDescent="0.25">
      <c r="B1745" s="159"/>
    </row>
    <row r="1746" spans="2:2" x14ac:dyDescent="0.25">
      <c r="B1746" s="159"/>
    </row>
    <row r="1747" spans="2:2" x14ac:dyDescent="0.25">
      <c r="B1747" s="159"/>
    </row>
    <row r="1748" spans="2:2" x14ac:dyDescent="0.25">
      <c r="B1748" s="159"/>
    </row>
    <row r="1749" spans="2:2" x14ac:dyDescent="0.25">
      <c r="B1749" s="159"/>
    </row>
    <row r="1750" spans="2:2" x14ac:dyDescent="0.25">
      <c r="B1750" s="159"/>
    </row>
    <row r="1751" spans="2:2" x14ac:dyDescent="0.25">
      <c r="B1751" s="159"/>
    </row>
    <row r="1752" spans="2:2" x14ac:dyDescent="0.25">
      <c r="B1752" s="159"/>
    </row>
    <row r="1753" spans="2:2" x14ac:dyDescent="0.25">
      <c r="B1753" s="159"/>
    </row>
    <row r="1754" spans="2:2" x14ac:dyDescent="0.25">
      <c r="B1754" s="159"/>
    </row>
    <row r="1755" spans="2:2" x14ac:dyDescent="0.25">
      <c r="B1755" s="159"/>
    </row>
    <row r="1756" spans="2:2" x14ac:dyDescent="0.25">
      <c r="B1756" s="159"/>
    </row>
    <row r="1757" spans="2:2" x14ac:dyDescent="0.25">
      <c r="B1757" s="159"/>
    </row>
    <row r="1758" spans="2:2" x14ac:dyDescent="0.25">
      <c r="B1758" s="159"/>
    </row>
    <row r="1759" spans="2:2" x14ac:dyDescent="0.25">
      <c r="B1759" s="159"/>
    </row>
    <row r="1760" spans="2:2" x14ac:dyDescent="0.25">
      <c r="B1760" s="159"/>
    </row>
    <row r="1761" spans="2:2" x14ac:dyDescent="0.25">
      <c r="B1761" s="159"/>
    </row>
    <row r="1762" spans="2:2" x14ac:dyDescent="0.25">
      <c r="B1762" s="159"/>
    </row>
    <row r="1763" spans="2:2" x14ac:dyDescent="0.25">
      <c r="B1763" s="159"/>
    </row>
    <row r="1764" spans="2:2" x14ac:dyDescent="0.25">
      <c r="B1764" s="159"/>
    </row>
    <row r="1765" spans="2:2" x14ac:dyDescent="0.25">
      <c r="B1765" s="159"/>
    </row>
    <row r="1766" spans="2:2" x14ac:dyDescent="0.25">
      <c r="B1766" s="159"/>
    </row>
    <row r="1767" spans="2:2" x14ac:dyDescent="0.25">
      <c r="B1767" s="159"/>
    </row>
    <row r="1768" spans="2:2" x14ac:dyDescent="0.25">
      <c r="B1768" s="159"/>
    </row>
    <row r="1769" spans="2:2" x14ac:dyDescent="0.25">
      <c r="B1769" s="159"/>
    </row>
    <row r="1770" spans="2:2" x14ac:dyDescent="0.25">
      <c r="B1770" s="159"/>
    </row>
    <row r="1771" spans="2:2" x14ac:dyDescent="0.25">
      <c r="B1771" s="159"/>
    </row>
    <row r="1772" spans="2:2" x14ac:dyDescent="0.25">
      <c r="B1772" s="159"/>
    </row>
    <row r="1773" spans="2:2" x14ac:dyDescent="0.25">
      <c r="B1773" s="159"/>
    </row>
    <row r="1774" spans="2:2" x14ac:dyDescent="0.25">
      <c r="B1774" s="159"/>
    </row>
    <row r="1775" spans="2:2" x14ac:dyDescent="0.25">
      <c r="B1775" s="159"/>
    </row>
    <row r="1776" spans="2:2" x14ac:dyDescent="0.25">
      <c r="B1776" s="159"/>
    </row>
    <row r="1777" spans="2:2" x14ac:dyDescent="0.25">
      <c r="B1777" s="159"/>
    </row>
    <row r="1778" spans="2:2" x14ac:dyDescent="0.25">
      <c r="B1778" s="159"/>
    </row>
    <row r="1779" spans="2:2" x14ac:dyDescent="0.25">
      <c r="B1779" s="159"/>
    </row>
    <row r="1780" spans="2:2" x14ac:dyDescent="0.25">
      <c r="B1780" s="159"/>
    </row>
    <row r="1781" spans="2:2" x14ac:dyDescent="0.25">
      <c r="B1781" s="159"/>
    </row>
    <row r="1782" spans="2:2" x14ac:dyDescent="0.25">
      <c r="B1782" s="159"/>
    </row>
    <row r="1783" spans="2:2" x14ac:dyDescent="0.25">
      <c r="B1783" s="159"/>
    </row>
    <row r="1784" spans="2:2" x14ac:dyDescent="0.25">
      <c r="B1784" s="159"/>
    </row>
    <row r="1785" spans="2:2" x14ac:dyDescent="0.25">
      <c r="B1785" s="159"/>
    </row>
    <row r="1786" spans="2:2" x14ac:dyDescent="0.25">
      <c r="B1786" s="159"/>
    </row>
    <row r="1787" spans="2:2" x14ac:dyDescent="0.25">
      <c r="B1787" s="159"/>
    </row>
    <row r="1788" spans="2:2" x14ac:dyDescent="0.25">
      <c r="B1788" s="159"/>
    </row>
    <row r="1789" spans="2:2" x14ac:dyDescent="0.25">
      <c r="B1789" s="159"/>
    </row>
    <row r="1790" spans="2:2" x14ac:dyDescent="0.25">
      <c r="B1790" s="159"/>
    </row>
    <row r="1791" spans="2:2" x14ac:dyDescent="0.25">
      <c r="B1791" s="159"/>
    </row>
    <row r="1792" spans="2:2" x14ac:dyDescent="0.25">
      <c r="B1792" s="159"/>
    </row>
    <row r="1793" spans="2:2" x14ac:dyDescent="0.25">
      <c r="B1793" s="159"/>
    </row>
    <row r="1794" spans="2:2" x14ac:dyDescent="0.25">
      <c r="B1794" s="159"/>
    </row>
    <row r="1795" spans="2:2" x14ac:dyDescent="0.25">
      <c r="B1795" s="159"/>
    </row>
    <row r="1796" spans="2:2" x14ac:dyDescent="0.25">
      <c r="B1796" s="159"/>
    </row>
    <row r="1797" spans="2:2" x14ac:dyDescent="0.25">
      <c r="B1797" s="159"/>
    </row>
    <row r="1798" spans="2:2" x14ac:dyDescent="0.25">
      <c r="B1798" s="159"/>
    </row>
    <row r="1799" spans="2:2" x14ac:dyDescent="0.25">
      <c r="B1799" s="159"/>
    </row>
    <row r="1800" spans="2:2" x14ac:dyDescent="0.25">
      <c r="B1800" s="159"/>
    </row>
    <row r="1801" spans="2:2" x14ac:dyDescent="0.25">
      <c r="B1801" s="159"/>
    </row>
    <row r="1802" spans="2:2" x14ac:dyDescent="0.25">
      <c r="B1802" s="159"/>
    </row>
    <row r="1803" spans="2:2" x14ac:dyDescent="0.25">
      <c r="B1803" s="159"/>
    </row>
    <row r="1804" spans="2:2" x14ac:dyDescent="0.25">
      <c r="B1804" s="159"/>
    </row>
    <row r="1805" spans="2:2" x14ac:dyDescent="0.25">
      <c r="B1805" s="159"/>
    </row>
    <row r="1806" spans="2:2" x14ac:dyDescent="0.25">
      <c r="B1806" s="159"/>
    </row>
    <row r="1807" spans="2:2" x14ac:dyDescent="0.25">
      <c r="B1807" s="159"/>
    </row>
    <row r="1808" spans="2:2" x14ac:dyDescent="0.25">
      <c r="B1808" s="159"/>
    </row>
    <row r="1809" spans="2:2" x14ac:dyDescent="0.25">
      <c r="B1809" s="159"/>
    </row>
    <row r="1810" spans="2:2" x14ac:dyDescent="0.25">
      <c r="B1810" s="159"/>
    </row>
    <row r="1811" spans="2:2" x14ac:dyDescent="0.25">
      <c r="B1811" s="159"/>
    </row>
    <row r="1812" spans="2:2" x14ac:dyDescent="0.25">
      <c r="B1812" s="159"/>
    </row>
    <row r="1813" spans="2:2" x14ac:dyDescent="0.25">
      <c r="B1813" s="159"/>
    </row>
    <row r="1814" spans="2:2" x14ac:dyDescent="0.25">
      <c r="B1814" s="159"/>
    </row>
    <row r="1815" spans="2:2" x14ac:dyDescent="0.25">
      <c r="B1815" s="159"/>
    </row>
    <row r="1816" spans="2:2" x14ac:dyDescent="0.25">
      <c r="B1816" s="159"/>
    </row>
    <row r="1817" spans="2:2" x14ac:dyDescent="0.25">
      <c r="B1817" s="159"/>
    </row>
    <row r="1818" spans="2:2" x14ac:dyDescent="0.25">
      <c r="B1818" s="159"/>
    </row>
    <row r="1819" spans="2:2" x14ac:dyDescent="0.25">
      <c r="B1819" s="159"/>
    </row>
    <row r="1820" spans="2:2" x14ac:dyDescent="0.25">
      <c r="B1820" s="159"/>
    </row>
    <row r="1821" spans="2:2" x14ac:dyDescent="0.25">
      <c r="B1821" s="159"/>
    </row>
    <row r="1822" spans="2:2" x14ac:dyDescent="0.25">
      <c r="B1822" s="159"/>
    </row>
    <row r="1823" spans="2:2" x14ac:dyDescent="0.25">
      <c r="B1823" s="159"/>
    </row>
    <row r="1824" spans="2:2" x14ac:dyDescent="0.25">
      <c r="B1824" s="159"/>
    </row>
    <row r="1825" spans="2:2" x14ac:dyDescent="0.25">
      <c r="B1825" s="159"/>
    </row>
    <row r="1826" spans="2:2" x14ac:dyDescent="0.25">
      <c r="B1826" s="159"/>
    </row>
    <row r="1827" spans="2:2" x14ac:dyDescent="0.25">
      <c r="B1827" s="159"/>
    </row>
    <row r="1828" spans="2:2" x14ac:dyDescent="0.25">
      <c r="B1828" s="159"/>
    </row>
    <row r="1829" spans="2:2" x14ac:dyDescent="0.25">
      <c r="B1829" s="159"/>
    </row>
    <row r="1830" spans="2:2" x14ac:dyDescent="0.25">
      <c r="B1830" s="159"/>
    </row>
    <row r="1831" spans="2:2" x14ac:dyDescent="0.25">
      <c r="B1831" s="159"/>
    </row>
    <row r="1832" spans="2:2" x14ac:dyDescent="0.25">
      <c r="B1832" s="159"/>
    </row>
    <row r="1833" spans="2:2" x14ac:dyDescent="0.25">
      <c r="B1833" s="159"/>
    </row>
    <row r="1834" spans="2:2" x14ac:dyDescent="0.25">
      <c r="B1834" s="159"/>
    </row>
    <row r="1835" spans="2:2" x14ac:dyDescent="0.25">
      <c r="B1835" s="159"/>
    </row>
    <row r="1836" spans="2:2" x14ac:dyDescent="0.25">
      <c r="B1836" s="159"/>
    </row>
    <row r="1837" spans="2:2" x14ac:dyDescent="0.25">
      <c r="B1837" s="159"/>
    </row>
    <row r="1838" spans="2:2" x14ac:dyDescent="0.25">
      <c r="B1838" s="159"/>
    </row>
  </sheetData>
  <sheetProtection password="85B3" sheet="1" objects="1" scenarios="1" selectLockedCells="1"/>
  <customSheetViews>
    <customSheetView guid="{367BCCA4-BB9C-4067-9872-BFA4777F9377}" showGridLines="0">
      <selection activeCell="B2" sqref="B2"/>
      <pageMargins left="0.7" right="0.7" top="0.75" bottom="0.5" header="0.3" footer="0.3"/>
      <pageSetup orientation="portrait" r:id="rId1"/>
    </customSheetView>
  </customSheetViews>
  <mergeCells count="9">
    <mergeCell ref="A13:B13"/>
    <mergeCell ref="A15:B15"/>
    <mergeCell ref="A17:B17"/>
    <mergeCell ref="A1:B1"/>
    <mergeCell ref="A3:B3"/>
    <mergeCell ref="A5:B5"/>
    <mergeCell ref="A7:B7"/>
    <mergeCell ref="A9:B9"/>
    <mergeCell ref="A11:B11"/>
  </mergeCells>
  <pageMargins left="0.7" right="0.7" top="0.75" bottom="0.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8"/>
  <sheetViews>
    <sheetView showGridLines="0" topLeftCell="A76" zoomScaleNormal="100" workbookViewId="0">
      <selection activeCell="D74" sqref="D74"/>
    </sheetView>
  </sheetViews>
  <sheetFormatPr defaultRowHeight="15" x14ac:dyDescent="0.25"/>
  <cols>
    <col min="1" max="1" width="13.85546875" customWidth="1"/>
    <col min="2" max="2" width="16" customWidth="1"/>
    <col min="3" max="3" width="50.5703125" customWidth="1"/>
    <col min="4" max="4" width="12.7109375" style="40" customWidth="1"/>
    <col min="5" max="5" width="14.140625" style="40" customWidth="1"/>
    <col min="6" max="6" width="19.85546875" customWidth="1"/>
    <col min="7" max="7" width="10.28515625" customWidth="1"/>
  </cols>
  <sheetData>
    <row r="1" spans="1:13" s="33" customFormat="1" ht="18" x14ac:dyDescent="0.35">
      <c r="A1" s="217" t="s">
        <v>168</v>
      </c>
      <c r="B1" s="217"/>
      <c r="C1" s="217"/>
      <c r="D1" s="217"/>
      <c r="E1" s="217"/>
      <c r="F1" s="217"/>
      <c r="G1" s="217"/>
    </row>
    <row r="2" spans="1:13" s="33" customFormat="1" ht="14.45" x14ac:dyDescent="0.3">
      <c r="A2" s="215"/>
      <c r="B2" s="215"/>
      <c r="C2" s="215"/>
      <c r="D2" s="215"/>
      <c r="E2" s="215"/>
      <c r="F2" s="215"/>
      <c r="G2" s="215"/>
    </row>
    <row r="3" spans="1:13" s="33" customFormat="1" ht="30" customHeight="1" x14ac:dyDescent="0.3">
      <c r="A3" s="254" t="s">
        <v>248</v>
      </c>
      <c r="B3" s="254"/>
      <c r="C3" s="254"/>
      <c r="D3" s="254"/>
      <c r="E3" s="254"/>
      <c r="F3" s="254"/>
      <c r="G3" s="254"/>
    </row>
    <row r="4" spans="1:13" s="33" customFormat="1" ht="45" customHeight="1" x14ac:dyDescent="0.3">
      <c r="A4" s="254" t="s">
        <v>249</v>
      </c>
      <c r="B4" s="254"/>
      <c r="C4" s="254"/>
      <c r="D4" s="254"/>
      <c r="E4" s="254"/>
      <c r="F4" s="254"/>
      <c r="G4" s="254"/>
    </row>
    <row r="5" spans="1:13" s="33" customFormat="1" ht="65.099999999999994" customHeight="1" x14ac:dyDescent="0.3">
      <c r="A5" s="254" t="s">
        <v>250</v>
      </c>
      <c r="B5" s="254"/>
      <c r="C5" s="254"/>
      <c r="D5" s="254"/>
      <c r="E5" s="254"/>
      <c r="F5" s="254"/>
      <c r="G5" s="254"/>
    </row>
    <row r="6" spans="1:13" s="33" customFormat="1" ht="45" customHeight="1" x14ac:dyDescent="0.3">
      <c r="A6" s="254" t="s">
        <v>251</v>
      </c>
      <c r="B6" s="254"/>
      <c r="C6" s="254"/>
      <c r="D6" s="254"/>
      <c r="E6" s="254"/>
      <c r="F6" s="254"/>
      <c r="G6" s="254"/>
    </row>
    <row r="7" spans="1:13" s="33" customFormat="1" ht="30" customHeight="1" x14ac:dyDescent="0.25">
      <c r="A7" s="254" t="s">
        <v>203</v>
      </c>
      <c r="B7" s="254"/>
      <c r="C7" s="254"/>
      <c r="D7" s="254"/>
      <c r="E7" s="254"/>
      <c r="F7" s="254"/>
      <c r="G7" s="254"/>
    </row>
    <row r="8" spans="1:13" s="33" customFormat="1" ht="45" customHeight="1" x14ac:dyDescent="0.25">
      <c r="A8" s="254" t="s">
        <v>252</v>
      </c>
      <c r="B8" s="254"/>
      <c r="C8" s="254"/>
      <c r="D8" s="254"/>
      <c r="E8" s="254"/>
      <c r="F8" s="254"/>
      <c r="G8" s="254"/>
    </row>
    <row r="9" spans="1:13" s="29" customFormat="1" ht="45" customHeight="1" x14ac:dyDescent="0.25">
      <c r="A9" s="254" t="s">
        <v>202</v>
      </c>
      <c r="B9" s="254"/>
      <c r="C9" s="254"/>
      <c r="D9" s="254"/>
      <c r="E9" s="254"/>
      <c r="F9" s="254"/>
      <c r="G9" s="254"/>
    </row>
    <row r="10" spans="1:13" x14ac:dyDescent="0.25">
      <c r="A10" s="254"/>
      <c r="B10" s="254"/>
      <c r="C10" s="254"/>
      <c r="D10" s="254"/>
      <c r="E10" s="254"/>
      <c r="F10" s="254"/>
      <c r="G10" s="254"/>
    </row>
    <row r="11" spans="1:13" ht="45.75" thickBot="1" x14ac:dyDescent="0.3">
      <c r="A11" s="77" t="s">
        <v>4</v>
      </c>
      <c r="B11" s="78" t="s">
        <v>100</v>
      </c>
      <c r="C11" s="79" t="s">
        <v>69</v>
      </c>
      <c r="D11" s="38" t="s">
        <v>263</v>
      </c>
      <c r="E11" s="38" t="s">
        <v>70</v>
      </c>
      <c r="F11" s="38" t="s">
        <v>262</v>
      </c>
      <c r="G11" s="77" t="s">
        <v>82</v>
      </c>
    </row>
    <row r="12" spans="1:13" ht="15.75" thickTop="1" x14ac:dyDescent="0.25">
      <c r="A12" s="251" t="s">
        <v>15</v>
      </c>
      <c r="B12" s="255" t="s">
        <v>11</v>
      </c>
      <c r="C12" s="80" t="s">
        <v>83</v>
      </c>
      <c r="D12" s="81">
        <v>2011</v>
      </c>
      <c r="E12" s="81" t="s">
        <v>72</v>
      </c>
      <c r="F12" s="82" t="s">
        <v>253</v>
      </c>
      <c r="G12" s="82"/>
      <c r="M12" s="33"/>
    </row>
    <row r="13" spans="1:13" x14ac:dyDescent="0.25">
      <c r="A13" s="252"/>
      <c r="B13" s="256"/>
      <c r="C13" s="83" t="s">
        <v>83</v>
      </c>
      <c r="D13" s="84">
        <v>2011</v>
      </c>
      <c r="E13" s="84" t="s">
        <v>84</v>
      </c>
      <c r="F13" s="85" t="s">
        <v>254</v>
      </c>
      <c r="G13" s="85" t="s">
        <v>215</v>
      </c>
      <c r="M13" s="33"/>
    </row>
    <row r="14" spans="1:13" x14ac:dyDescent="0.25">
      <c r="A14" s="252"/>
      <c r="B14" s="256"/>
      <c r="C14" s="83" t="s">
        <v>85</v>
      </c>
      <c r="D14" s="84"/>
      <c r="E14" s="84"/>
      <c r="F14" s="85"/>
      <c r="G14" s="85"/>
      <c r="M14" s="33"/>
    </row>
    <row r="15" spans="1:13" s="144" customFormat="1" x14ac:dyDescent="0.25">
      <c r="A15" s="252"/>
      <c r="B15" s="256"/>
      <c r="C15" s="83" t="s">
        <v>264</v>
      </c>
      <c r="D15" s="84"/>
      <c r="E15" s="84"/>
      <c r="F15" s="85"/>
      <c r="G15" s="85"/>
    </row>
    <row r="16" spans="1:13" s="33" customFormat="1" x14ac:dyDescent="0.25">
      <c r="A16" s="252"/>
      <c r="B16" s="256"/>
      <c r="C16" s="83" t="s">
        <v>86</v>
      </c>
      <c r="D16" s="84" t="s">
        <v>87</v>
      </c>
      <c r="E16" s="84" t="s">
        <v>71</v>
      </c>
      <c r="F16" s="85" t="s">
        <v>204</v>
      </c>
      <c r="G16" s="85"/>
    </row>
    <row r="17" spans="1:13" x14ac:dyDescent="0.25">
      <c r="A17" s="252"/>
      <c r="B17" s="256"/>
      <c r="C17" s="83" t="s">
        <v>86</v>
      </c>
      <c r="D17" s="84" t="s">
        <v>87</v>
      </c>
      <c r="E17" s="84" t="s">
        <v>72</v>
      </c>
      <c r="F17" s="85" t="s">
        <v>205</v>
      </c>
      <c r="G17" s="85"/>
      <c r="M17" s="33"/>
    </row>
    <row r="18" spans="1:13" s="32" customFormat="1" x14ac:dyDescent="0.25">
      <c r="A18" s="252"/>
      <c r="B18" s="256"/>
      <c r="C18" s="83" t="s">
        <v>187</v>
      </c>
      <c r="D18" s="84"/>
      <c r="E18" s="84"/>
      <c r="F18" s="85"/>
      <c r="G18" s="85"/>
      <c r="M18" s="33"/>
    </row>
    <row r="19" spans="1:13" s="32" customFormat="1" x14ac:dyDescent="0.25">
      <c r="A19" s="252"/>
      <c r="B19" s="256"/>
      <c r="C19" s="83" t="s">
        <v>188</v>
      </c>
      <c r="D19" s="84"/>
      <c r="E19" s="84"/>
      <c r="F19" s="85"/>
      <c r="G19" s="85"/>
      <c r="M19" s="33"/>
    </row>
    <row r="20" spans="1:13" s="32" customFormat="1" x14ac:dyDescent="0.25">
      <c r="A20" s="252"/>
      <c r="B20" s="248" t="s">
        <v>26</v>
      </c>
      <c r="C20" s="86" t="s">
        <v>242</v>
      </c>
      <c r="D20" s="87"/>
      <c r="E20" s="87"/>
      <c r="F20" s="88"/>
      <c r="G20" s="88"/>
      <c r="M20" s="33"/>
    </row>
    <row r="21" spans="1:13" s="44" customFormat="1" x14ac:dyDescent="0.25">
      <c r="A21" s="252"/>
      <c r="B21" s="248"/>
      <c r="C21" s="86" t="s">
        <v>243</v>
      </c>
      <c r="D21" s="87"/>
      <c r="E21" s="87"/>
      <c r="F21" s="88"/>
      <c r="G21" s="88"/>
    </row>
    <row r="22" spans="1:13" s="44" customFormat="1" x14ac:dyDescent="0.25">
      <c r="A22" s="252"/>
      <c r="B22" s="248"/>
      <c r="C22" s="86" t="s">
        <v>247</v>
      </c>
      <c r="D22" s="87"/>
      <c r="E22" s="87" t="s">
        <v>71</v>
      </c>
      <c r="F22" s="88">
        <v>4</v>
      </c>
      <c r="G22" s="88"/>
    </row>
    <row r="23" spans="1:13" s="44" customFormat="1" x14ac:dyDescent="0.25">
      <c r="A23" s="252"/>
      <c r="B23" s="248"/>
      <c r="C23" s="86" t="s">
        <v>247</v>
      </c>
      <c r="D23" s="87"/>
      <c r="E23" s="87" t="s">
        <v>72</v>
      </c>
      <c r="F23" s="88">
        <v>5</v>
      </c>
      <c r="G23" s="88"/>
    </row>
    <row r="24" spans="1:13" s="44" customFormat="1" x14ac:dyDescent="0.25">
      <c r="A24" s="252"/>
      <c r="B24" s="248"/>
      <c r="C24" s="86" t="s">
        <v>247</v>
      </c>
      <c r="D24" s="87"/>
      <c r="E24" s="87" t="s">
        <v>84</v>
      </c>
      <c r="F24" s="88">
        <v>7</v>
      </c>
      <c r="G24" s="88"/>
    </row>
    <row r="25" spans="1:13" s="44" customFormat="1" x14ac:dyDescent="0.25">
      <c r="A25" s="252"/>
      <c r="B25" s="248"/>
      <c r="C25" s="86" t="s">
        <v>244</v>
      </c>
      <c r="D25" s="87"/>
      <c r="E25" s="87"/>
      <c r="F25" s="88"/>
      <c r="G25" s="88"/>
    </row>
    <row r="26" spans="1:13" s="32" customFormat="1" x14ac:dyDescent="0.25">
      <c r="A26" s="252"/>
      <c r="B26" s="248"/>
      <c r="C26" s="86" t="s">
        <v>245</v>
      </c>
      <c r="D26" s="87"/>
      <c r="E26" s="87"/>
      <c r="F26" s="88"/>
      <c r="G26" s="88"/>
      <c r="M26" s="33"/>
    </row>
    <row r="27" spans="1:13" x14ac:dyDescent="0.25">
      <c r="A27" s="252"/>
      <c r="B27" s="248"/>
      <c r="C27" s="86" t="s">
        <v>246</v>
      </c>
      <c r="D27" s="87"/>
      <c r="E27" s="87"/>
      <c r="F27" s="88"/>
      <c r="G27" s="88"/>
      <c r="M27" s="33"/>
    </row>
    <row r="28" spans="1:13" x14ac:dyDescent="0.25">
      <c r="A28" s="252"/>
      <c r="B28" s="249" t="s">
        <v>231</v>
      </c>
      <c r="C28" s="89" t="s">
        <v>189</v>
      </c>
      <c r="D28" s="90"/>
      <c r="E28" s="90"/>
      <c r="F28" s="91"/>
      <c r="G28" s="91"/>
      <c r="M28" s="51"/>
    </row>
    <row r="29" spans="1:13" x14ac:dyDescent="0.25">
      <c r="A29" s="252"/>
      <c r="B29" s="249"/>
      <c r="C29" s="89" t="s">
        <v>88</v>
      </c>
      <c r="D29" s="90">
        <v>2011</v>
      </c>
      <c r="E29" s="90" t="s">
        <v>72</v>
      </c>
      <c r="F29" s="91" t="s">
        <v>255</v>
      </c>
      <c r="G29" s="91"/>
      <c r="M29" s="33"/>
    </row>
    <row r="30" spans="1:13" s="33" customFormat="1" x14ac:dyDescent="0.25">
      <c r="A30" s="252"/>
      <c r="B30" s="249"/>
      <c r="C30" s="89" t="s">
        <v>88</v>
      </c>
      <c r="D30" s="90">
        <v>2011</v>
      </c>
      <c r="E30" s="90" t="s">
        <v>84</v>
      </c>
      <c r="F30" s="91" t="s">
        <v>256</v>
      </c>
      <c r="G30" s="91"/>
    </row>
    <row r="31" spans="1:13" x14ac:dyDescent="0.25">
      <c r="A31" s="252"/>
      <c r="B31" s="249"/>
      <c r="C31" s="95" t="s">
        <v>85</v>
      </c>
      <c r="D31" s="90"/>
      <c r="E31" s="90"/>
      <c r="F31" s="91"/>
      <c r="G31" s="91"/>
      <c r="M31" s="33"/>
    </row>
    <row r="32" spans="1:13" s="146" customFormat="1" x14ac:dyDescent="0.25">
      <c r="A32" s="252"/>
      <c r="B32" s="249"/>
      <c r="C32" s="95" t="s">
        <v>265</v>
      </c>
      <c r="D32" s="90"/>
      <c r="E32" s="90"/>
      <c r="F32" s="91"/>
      <c r="G32" s="91"/>
    </row>
    <row r="33" spans="1:13" x14ac:dyDescent="0.25">
      <c r="A33" s="252"/>
      <c r="B33" s="249"/>
      <c r="C33" s="89" t="s">
        <v>89</v>
      </c>
      <c r="D33" s="90" t="s">
        <v>87</v>
      </c>
      <c r="E33" s="90" t="s">
        <v>72</v>
      </c>
      <c r="F33" s="91" t="s">
        <v>269</v>
      </c>
      <c r="G33" s="91"/>
      <c r="M33" s="33"/>
    </row>
    <row r="34" spans="1:13" x14ac:dyDescent="0.25">
      <c r="A34" s="252"/>
      <c r="B34" s="249"/>
      <c r="C34" s="89" t="s">
        <v>89</v>
      </c>
      <c r="D34" s="90" t="s">
        <v>87</v>
      </c>
      <c r="E34" s="90" t="s">
        <v>84</v>
      </c>
      <c r="F34" s="91" t="s">
        <v>270</v>
      </c>
      <c r="G34" s="91"/>
      <c r="M34" s="33"/>
    </row>
    <row r="35" spans="1:13" ht="15.75" thickBot="1" x14ac:dyDescent="0.3">
      <c r="A35" s="253"/>
      <c r="B35" s="250"/>
      <c r="C35" s="96" t="s">
        <v>190</v>
      </c>
      <c r="D35" s="97"/>
      <c r="E35" s="97"/>
      <c r="F35" s="98"/>
      <c r="G35" s="98"/>
      <c r="M35" s="33"/>
    </row>
    <row r="36" spans="1:13" ht="15.75" thickTop="1" x14ac:dyDescent="0.25">
      <c r="A36" s="262" t="s">
        <v>90</v>
      </c>
      <c r="B36" s="258" t="s">
        <v>23</v>
      </c>
      <c r="C36" s="115" t="s">
        <v>91</v>
      </c>
      <c r="D36" s="116">
        <v>2011</v>
      </c>
      <c r="E36" s="116" t="s">
        <v>71</v>
      </c>
      <c r="F36" s="117" t="s">
        <v>259</v>
      </c>
      <c r="G36" s="117"/>
      <c r="M36" s="33"/>
    </row>
    <row r="37" spans="1:13" x14ac:dyDescent="0.25">
      <c r="A37" s="252"/>
      <c r="B37" s="259"/>
      <c r="C37" s="92" t="s">
        <v>91</v>
      </c>
      <c r="D37" s="93">
        <v>2011</v>
      </c>
      <c r="E37" s="93" t="s">
        <v>72</v>
      </c>
      <c r="F37" s="94" t="s">
        <v>260</v>
      </c>
      <c r="G37" s="94"/>
      <c r="M37" s="16"/>
    </row>
    <row r="38" spans="1:13" x14ac:dyDescent="0.25">
      <c r="A38" s="252"/>
      <c r="B38" s="259"/>
      <c r="C38" s="92" t="s">
        <v>91</v>
      </c>
      <c r="D38" s="93">
        <v>2011</v>
      </c>
      <c r="E38" s="93" t="s">
        <v>84</v>
      </c>
      <c r="F38" s="94" t="s">
        <v>261</v>
      </c>
      <c r="G38" s="94"/>
      <c r="M38" s="33"/>
    </row>
    <row r="39" spans="1:13" s="146" customFormat="1" x14ac:dyDescent="0.25">
      <c r="A39" s="252"/>
      <c r="B39" s="259"/>
      <c r="C39" s="92" t="s">
        <v>266</v>
      </c>
      <c r="D39" s="93"/>
      <c r="E39" s="93"/>
      <c r="F39" s="94"/>
      <c r="G39" s="94"/>
    </row>
    <row r="40" spans="1:13" x14ac:dyDescent="0.25">
      <c r="A40" s="252"/>
      <c r="B40" s="259"/>
      <c r="C40" s="92" t="s">
        <v>92</v>
      </c>
      <c r="D40" s="93" t="s">
        <v>87</v>
      </c>
      <c r="E40" s="93" t="s">
        <v>71</v>
      </c>
      <c r="F40" s="94" t="s">
        <v>206</v>
      </c>
      <c r="G40" s="94"/>
      <c r="M40" s="33"/>
    </row>
    <row r="41" spans="1:13" s="33" customFormat="1" x14ac:dyDescent="0.25">
      <c r="A41" s="252"/>
      <c r="B41" s="259"/>
      <c r="C41" s="92" t="s">
        <v>92</v>
      </c>
      <c r="D41" s="93" t="s">
        <v>87</v>
      </c>
      <c r="E41" s="93" t="s">
        <v>72</v>
      </c>
      <c r="F41" s="94" t="s">
        <v>207</v>
      </c>
      <c r="G41" s="94"/>
    </row>
    <row r="42" spans="1:13" s="33" customFormat="1" x14ac:dyDescent="0.25">
      <c r="A42" s="252"/>
      <c r="B42" s="259"/>
      <c r="C42" s="92" t="s">
        <v>92</v>
      </c>
      <c r="D42" s="93" t="s">
        <v>87</v>
      </c>
      <c r="E42" s="93" t="s">
        <v>84</v>
      </c>
      <c r="F42" s="94" t="s">
        <v>207</v>
      </c>
      <c r="G42" s="94"/>
    </row>
    <row r="43" spans="1:13" x14ac:dyDescent="0.25">
      <c r="A43" s="252"/>
      <c r="B43" s="259"/>
      <c r="C43" s="92" t="s">
        <v>187</v>
      </c>
      <c r="D43" s="93"/>
      <c r="E43" s="93"/>
      <c r="F43" s="94"/>
      <c r="G43" s="94"/>
      <c r="M43" s="33"/>
    </row>
    <row r="44" spans="1:13" x14ac:dyDescent="0.25">
      <c r="A44" s="252"/>
      <c r="B44" s="259"/>
      <c r="C44" s="99" t="s">
        <v>191</v>
      </c>
      <c r="D44" s="93"/>
      <c r="E44" s="93"/>
      <c r="F44" s="94"/>
      <c r="G44" s="94"/>
      <c r="M44" s="33"/>
    </row>
    <row r="45" spans="1:13" s="32" customFormat="1" x14ac:dyDescent="0.25">
      <c r="A45" s="252"/>
      <c r="B45" s="259"/>
      <c r="C45" s="92" t="s">
        <v>192</v>
      </c>
      <c r="D45" s="93"/>
      <c r="E45" s="93"/>
      <c r="F45" s="94"/>
      <c r="G45" s="94"/>
      <c r="M45" s="33"/>
    </row>
    <row r="46" spans="1:13" s="44" customFormat="1" x14ac:dyDescent="0.25">
      <c r="A46" s="252"/>
      <c r="B46" s="257" t="s">
        <v>26</v>
      </c>
      <c r="C46" s="86" t="s">
        <v>242</v>
      </c>
      <c r="D46" s="87"/>
      <c r="E46" s="87"/>
      <c r="F46" s="88"/>
      <c r="G46" s="88"/>
    </row>
    <row r="47" spans="1:13" s="44" customFormat="1" x14ac:dyDescent="0.25">
      <c r="A47" s="252"/>
      <c r="B47" s="257"/>
      <c r="C47" s="86" t="s">
        <v>243</v>
      </c>
      <c r="D47" s="87"/>
      <c r="E47" s="87"/>
      <c r="F47" s="88"/>
      <c r="G47" s="88"/>
    </row>
    <row r="48" spans="1:13" s="44" customFormat="1" x14ac:dyDescent="0.25">
      <c r="A48" s="252"/>
      <c r="B48" s="257"/>
      <c r="C48" s="86" t="s">
        <v>247</v>
      </c>
      <c r="D48" s="87"/>
      <c r="E48" s="87" t="s">
        <v>71</v>
      </c>
      <c r="F48" s="88">
        <v>7</v>
      </c>
      <c r="G48" s="88"/>
    </row>
    <row r="49" spans="1:13" s="44" customFormat="1" x14ac:dyDescent="0.25">
      <c r="A49" s="252"/>
      <c r="B49" s="257"/>
      <c r="C49" s="86" t="s">
        <v>247</v>
      </c>
      <c r="D49" s="87"/>
      <c r="E49" s="87" t="s">
        <v>72</v>
      </c>
      <c r="F49" s="88">
        <v>15</v>
      </c>
      <c r="G49" s="88"/>
    </row>
    <row r="50" spans="1:13" s="32" customFormat="1" x14ac:dyDescent="0.25">
      <c r="A50" s="252"/>
      <c r="B50" s="257"/>
      <c r="C50" s="86" t="s">
        <v>247</v>
      </c>
      <c r="D50" s="87"/>
      <c r="E50" s="87" t="s">
        <v>84</v>
      </c>
      <c r="F50" s="88">
        <v>15</v>
      </c>
      <c r="G50" s="88"/>
      <c r="M50" s="33"/>
    </row>
    <row r="51" spans="1:13" s="33" customFormat="1" x14ac:dyDescent="0.25">
      <c r="A51" s="252"/>
      <c r="B51" s="257"/>
      <c r="C51" s="86" t="s">
        <v>244</v>
      </c>
      <c r="D51" s="87"/>
      <c r="E51" s="87"/>
      <c r="F51" s="88"/>
      <c r="G51" s="88"/>
    </row>
    <row r="52" spans="1:13" s="32" customFormat="1" ht="15" customHeight="1" x14ac:dyDescent="0.25">
      <c r="A52" s="252"/>
      <c r="B52" s="257"/>
      <c r="C52" s="86" t="s">
        <v>246</v>
      </c>
      <c r="D52" s="87"/>
      <c r="E52" s="87"/>
      <c r="F52" s="88"/>
      <c r="G52" s="88"/>
      <c r="M52" s="33"/>
    </row>
    <row r="53" spans="1:13" x14ac:dyDescent="0.25">
      <c r="A53" s="252"/>
      <c r="B53" s="249" t="s">
        <v>231</v>
      </c>
      <c r="C53" s="89" t="s">
        <v>189</v>
      </c>
      <c r="D53" s="90"/>
      <c r="E53" s="90"/>
      <c r="F53" s="91"/>
      <c r="G53" s="91"/>
      <c r="M53" s="33"/>
    </row>
    <row r="54" spans="1:13" x14ac:dyDescent="0.25">
      <c r="A54" s="252"/>
      <c r="B54" s="249"/>
      <c r="C54" s="89" t="s">
        <v>88</v>
      </c>
      <c r="D54" s="90">
        <v>2011</v>
      </c>
      <c r="E54" s="90" t="s">
        <v>71</v>
      </c>
      <c r="F54" s="91" t="s">
        <v>254</v>
      </c>
      <c r="G54" s="91"/>
      <c r="M54" s="33"/>
    </row>
    <row r="55" spans="1:13" x14ac:dyDescent="0.25">
      <c r="A55" s="252"/>
      <c r="B55" s="249"/>
      <c r="C55" s="89" t="s">
        <v>88</v>
      </c>
      <c r="D55" s="90">
        <v>2011</v>
      </c>
      <c r="E55" s="90" t="s">
        <v>72</v>
      </c>
      <c r="F55" s="91" t="s">
        <v>258</v>
      </c>
      <c r="G55" s="91"/>
      <c r="M55" s="33"/>
    </row>
    <row r="56" spans="1:13" s="146" customFormat="1" x14ac:dyDescent="0.25">
      <c r="A56" s="252"/>
      <c r="B56" s="249"/>
      <c r="C56" s="89" t="s">
        <v>265</v>
      </c>
      <c r="D56" s="90"/>
      <c r="E56" s="90"/>
      <c r="F56" s="91"/>
      <c r="G56" s="91"/>
    </row>
    <row r="57" spans="1:13" x14ac:dyDescent="0.25">
      <c r="A57" s="252"/>
      <c r="B57" s="249"/>
      <c r="C57" s="89" t="s">
        <v>89</v>
      </c>
      <c r="D57" s="90" t="s">
        <v>87</v>
      </c>
      <c r="E57" s="90" t="s">
        <v>71</v>
      </c>
      <c r="F57" s="91" t="s">
        <v>270</v>
      </c>
      <c r="G57" s="91"/>
      <c r="M57" s="51"/>
    </row>
    <row r="58" spans="1:13" x14ac:dyDescent="0.25">
      <c r="A58" s="252"/>
      <c r="B58" s="249"/>
      <c r="C58" s="89" t="s">
        <v>89</v>
      </c>
      <c r="D58" s="90" t="s">
        <v>87</v>
      </c>
      <c r="E58" s="90" t="s">
        <v>72</v>
      </c>
      <c r="F58" s="91" t="s">
        <v>270</v>
      </c>
      <c r="G58" s="91"/>
      <c r="M58" s="51"/>
    </row>
    <row r="59" spans="1:13" x14ac:dyDescent="0.25">
      <c r="A59" s="252"/>
      <c r="B59" s="249"/>
      <c r="C59" s="89" t="s">
        <v>89</v>
      </c>
      <c r="D59" s="90" t="s">
        <v>87</v>
      </c>
      <c r="E59" s="90" t="s">
        <v>84</v>
      </c>
      <c r="F59" s="91" t="s">
        <v>270</v>
      </c>
      <c r="G59" s="91"/>
      <c r="M59" s="33"/>
    </row>
    <row r="60" spans="1:13" s="33" customFormat="1" ht="15.75" thickBot="1" x14ac:dyDescent="0.3">
      <c r="A60" s="253"/>
      <c r="B60" s="250"/>
      <c r="C60" s="96" t="s">
        <v>190</v>
      </c>
      <c r="D60" s="97"/>
      <c r="E60" s="97"/>
      <c r="F60" s="98"/>
      <c r="G60" s="98"/>
    </row>
    <row r="61" spans="1:13" ht="15.75" thickTop="1" x14ac:dyDescent="0.25">
      <c r="A61" s="262" t="s">
        <v>93</v>
      </c>
      <c r="B61" s="260" t="s">
        <v>102</v>
      </c>
      <c r="C61" s="100" t="s">
        <v>257</v>
      </c>
      <c r="D61" s="101"/>
      <c r="E61" s="101"/>
      <c r="F61" s="102"/>
      <c r="G61" s="102"/>
      <c r="M61" s="33"/>
    </row>
    <row r="62" spans="1:13" s="44" customFormat="1" x14ac:dyDescent="0.25">
      <c r="A62" s="252"/>
      <c r="B62" s="261"/>
      <c r="C62" s="103" t="s">
        <v>194</v>
      </c>
      <c r="D62" s="104"/>
      <c r="E62" s="104"/>
      <c r="F62" s="105"/>
      <c r="G62" s="105"/>
    </row>
    <row r="63" spans="1:13" s="44" customFormat="1" x14ac:dyDescent="0.25">
      <c r="A63" s="252"/>
      <c r="B63" s="266" t="s">
        <v>26</v>
      </c>
      <c r="C63" s="86" t="s">
        <v>242</v>
      </c>
      <c r="D63" s="87"/>
      <c r="E63" s="87"/>
      <c r="F63" s="88"/>
      <c r="G63" s="88"/>
    </row>
    <row r="64" spans="1:13" s="44" customFormat="1" x14ac:dyDescent="0.25">
      <c r="A64" s="252"/>
      <c r="B64" s="267"/>
      <c r="C64" s="86" t="s">
        <v>243</v>
      </c>
      <c r="D64" s="141"/>
      <c r="E64" s="141"/>
      <c r="F64" s="142"/>
      <c r="G64" s="142"/>
    </row>
    <row r="65" spans="1:19" s="44" customFormat="1" x14ac:dyDescent="0.25">
      <c r="A65" s="252"/>
      <c r="B65" s="267"/>
      <c r="C65" s="86" t="s">
        <v>247</v>
      </c>
      <c r="D65" s="141"/>
      <c r="E65" s="87" t="s">
        <v>98</v>
      </c>
      <c r="F65" s="88">
        <v>15</v>
      </c>
      <c r="G65" s="142"/>
    </row>
    <row r="66" spans="1:19" s="44" customFormat="1" x14ac:dyDescent="0.25">
      <c r="A66" s="252"/>
      <c r="B66" s="267"/>
      <c r="C66" s="86" t="s">
        <v>244</v>
      </c>
      <c r="D66" s="141"/>
      <c r="E66" s="141"/>
      <c r="F66" s="142"/>
      <c r="G66" s="142"/>
    </row>
    <row r="67" spans="1:19" x14ac:dyDescent="0.25">
      <c r="A67" s="252"/>
      <c r="B67" s="268"/>
      <c r="C67" s="86" t="s">
        <v>246</v>
      </c>
      <c r="D67" s="141"/>
      <c r="E67" s="141"/>
      <c r="F67" s="142"/>
      <c r="G67" s="142"/>
      <c r="M67" s="33"/>
    </row>
    <row r="68" spans="1:19" x14ac:dyDescent="0.25">
      <c r="A68" s="252"/>
      <c r="B68" s="264" t="s">
        <v>8</v>
      </c>
      <c r="C68" s="138" t="s">
        <v>271</v>
      </c>
      <c r="D68" s="139">
        <v>2011</v>
      </c>
      <c r="E68" s="139" t="s">
        <v>72</v>
      </c>
      <c r="F68" s="140" t="s">
        <v>208</v>
      </c>
      <c r="G68" s="140" t="s">
        <v>208</v>
      </c>
      <c r="M68" s="33"/>
    </row>
    <row r="69" spans="1:19" s="146" customFormat="1" x14ac:dyDescent="0.25">
      <c r="A69" s="252"/>
      <c r="B69" s="264"/>
      <c r="C69" s="138" t="s">
        <v>267</v>
      </c>
      <c r="D69" s="139"/>
      <c r="E69" s="139"/>
      <c r="F69" s="140"/>
      <c r="G69" s="140"/>
    </row>
    <row r="70" spans="1:19" x14ac:dyDescent="0.25">
      <c r="A70" s="252"/>
      <c r="B70" s="263"/>
      <c r="C70" s="106" t="s">
        <v>95</v>
      </c>
      <c r="D70" s="107" t="s">
        <v>87</v>
      </c>
      <c r="E70" s="107" t="s">
        <v>71</v>
      </c>
      <c r="F70" s="108" t="s">
        <v>209</v>
      </c>
      <c r="G70" s="108"/>
      <c r="M70" s="33"/>
    </row>
    <row r="71" spans="1:19" x14ac:dyDescent="0.25">
      <c r="A71" s="252"/>
      <c r="B71" s="263"/>
      <c r="C71" s="106" t="s">
        <v>95</v>
      </c>
      <c r="D71" s="107" t="s">
        <v>87</v>
      </c>
      <c r="E71" s="107" t="s">
        <v>72</v>
      </c>
      <c r="F71" s="108" t="s">
        <v>210</v>
      </c>
      <c r="G71" s="108"/>
      <c r="M71" s="33"/>
      <c r="S71" s="33"/>
    </row>
    <row r="72" spans="1:19" x14ac:dyDescent="0.25">
      <c r="A72" s="252"/>
      <c r="B72" s="263"/>
      <c r="C72" s="106" t="s">
        <v>95</v>
      </c>
      <c r="D72" s="107" t="s">
        <v>87</v>
      </c>
      <c r="E72" s="107" t="s">
        <v>84</v>
      </c>
      <c r="F72" s="108" t="s">
        <v>208</v>
      </c>
      <c r="G72" s="108" t="s">
        <v>208</v>
      </c>
      <c r="M72" s="33"/>
      <c r="S72" s="33"/>
    </row>
    <row r="73" spans="1:19" s="32" customFormat="1" x14ac:dyDescent="0.25">
      <c r="A73" s="252"/>
      <c r="B73" s="263"/>
      <c r="C73" s="109" t="s">
        <v>85</v>
      </c>
      <c r="D73" s="107"/>
      <c r="E73" s="107"/>
      <c r="F73" s="108"/>
      <c r="G73" s="108"/>
      <c r="M73" s="33"/>
      <c r="S73" s="33"/>
    </row>
    <row r="74" spans="1:19" s="32" customFormat="1" x14ac:dyDescent="0.25">
      <c r="A74" s="252"/>
      <c r="B74" s="263"/>
      <c r="C74" s="109" t="s">
        <v>195</v>
      </c>
      <c r="D74" s="107"/>
      <c r="E74" s="107"/>
      <c r="F74" s="108"/>
      <c r="G74" s="108"/>
      <c r="M74" s="33"/>
      <c r="S74" s="33"/>
    </row>
    <row r="75" spans="1:19" x14ac:dyDescent="0.25">
      <c r="A75" s="252"/>
      <c r="B75" s="263"/>
      <c r="C75" s="106" t="s">
        <v>196</v>
      </c>
      <c r="D75" s="107"/>
      <c r="E75" s="107"/>
      <c r="F75" s="108"/>
      <c r="G75" s="108"/>
      <c r="M75" s="33"/>
      <c r="S75" s="33"/>
    </row>
    <row r="76" spans="1:19" s="33" customFormat="1" x14ac:dyDescent="0.25">
      <c r="A76" s="252"/>
      <c r="B76" s="263"/>
      <c r="C76" s="106" t="s">
        <v>197</v>
      </c>
      <c r="D76" s="107"/>
      <c r="E76" s="107"/>
      <c r="F76" s="108"/>
      <c r="G76" s="108"/>
    </row>
    <row r="77" spans="1:19" x14ac:dyDescent="0.25">
      <c r="A77" s="252"/>
      <c r="B77" s="263"/>
      <c r="C77" s="106" t="s">
        <v>190</v>
      </c>
      <c r="D77" s="107"/>
      <c r="E77" s="107"/>
      <c r="F77" s="108"/>
      <c r="G77" s="108"/>
      <c r="M77" s="33"/>
      <c r="S77" s="33"/>
    </row>
    <row r="78" spans="1:19" x14ac:dyDescent="0.25">
      <c r="A78" s="252"/>
      <c r="B78" s="263"/>
      <c r="C78" s="106" t="s">
        <v>198</v>
      </c>
      <c r="D78" s="107"/>
      <c r="E78" s="107"/>
      <c r="F78" s="108"/>
      <c r="G78" s="108"/>
    </row>
    <row r="79" spans="1:19" x14ac:dyDescent="0.25">
      <c r="A79" s="252"/>
      <c r="B79" s="263"/>
      <c r="C79" s="106" t="s">
        <v>199</v>
      </c>
      <c r="D79" s="107"/>
      <c r="E79" s="107"/>
      <c r="F79" s="108"/>
      <c r="G79" s="108"/>
    </row>
    <row r="80" spans="1:19" x14ac:dyDescent="0.25">
      <c r="A80" s="252"/>
      <c r="B80" s="263"/>
      <c r="C80" s="106" t="s">
        <v>200</v>
      </c>
      <c r="D80" s="107"/>
      <c r="E80" s="107"/>
      <c r="F80" s="108"/>
      <c r="G80" s="108"/>
    </row>
    <row r="81" spans="1:7" s="33" customFormat="1" ht="15.75" thickBot="1" x14ac:dyDescent="0.3">
      <c r="A81" s="253"/>
      <c r="B81" s="265"/>
      <c r="C81" s="135" t="s">
        <v>201</v>
      </c>
      <c r="D81" s="136"/>
      <c r="E81" s="136"/>
      <c r="F81" s="137"/>
      <c r="G81" s="137"/>
    </row>
    <row r="82" spans="1:7" ht="15.75" thickTop="1" x14ac:dyDescent="0.25">
      <c r="A82" s="269" t="s">
        <v>96</v>
      </c>
      <c r="B82" s="145" t="s">
        <v>24</v>
      </c>
      <c r="C82" s="112" t="s">
        <v>190</v>
      </c>
      <c r="D82" s="113"/>
      <c r="E82" s="113"/>
      <c r="F82" s="114"/>
      <c r="G82" s="114"/>
    </row>
    <row r="83" spans="1:7" x14ac:dyDescent="0.25">
      <c r="A83" s="270"/>
      <c r="B83" s="263" t="s">
        <v>8</v>
      </c>
      <c r="C83" s="106" t="s">
        <v>271</v>
      </c>
      <c r="D83" s="107">
        <v>2011</v>
      </c>
      <c r="E83" s="107" t="s">
        <v>72</v>
      </c>
      <c r="F83" s="108" t="s">
        <v>211</v>
      </c>
      <c r="G83" s="108" t="s">
        <v>214</v>
      </c>
    </row>
    <row r="84" spans="1:7" s="146" customFormat="1" x14ac:dyDescent="0.25">
      <c r="A84" s="270"/>
      <c r="B84" s="263"/>
      <c r="C84" s="106" t="s">
        <v>267</v>
      </c>
      <c r="D84" s="107"/>
      <c r="E84" s="107"/>
      <c r="F84" s="108"/>
      <c r="G84" s="108"/>
    </row>
    <row r="85" spans="1:7" s="33" customFormat="1" x14ac:dyDescent="0.25">
      <c r="A85" s="270"/>
      <c r="B85" s="263"/>
      <c r="C85" s="106" t="s">
        <v>95</v>
      </c>
      <c r="D85" s="107" t="s">
        <v>87</v>
      </c>
      <c r="E85" s="107" t="s">
        <v>71</v>
      </c>
      <c r="F85" s="108" t="s">
        <v>212</v>
      </c>
      <c r="G85" s="108"/>
    </row>
    <row r="86" spans="1:7" s="33" customFormat="1" x14ac:dyDescent="0.25">
      <c r="A86" s="270"/>
      <c r="B86" s="263"/>
      <c r="C86" s="106" t="s">
        <v>97</v>
      </c>
      <c r="D86" s="107" t="s">
        <v>87</v>
      </c>
      <c r="E86" s="107" t="s">
        <v>72</v>
      </c>
      <c r="F86" s="108" t="s">
        <v>213</v>
      </c>
      <c r="G86" s="108"/>
    </row>
    <row r="87" spans="1:7" s="33" customFormat="1" x14ac:dyDescent="0.25">
      <c r="A87" s="270"/>
      <c r="B87" s="263"/>
      <c r="C87" s="106" t="s">
        <v>95</v>
      </c>
      <c r="D87" s="107" t="s">
        <v>87</v>
      </c>
      <c r="E87" s="107" t="s">
        <v>84</v>
      </c>
      <c r="F87" s="108" t="s">
        <v>211</v>
      </c>
      <c r="G87" s="108" t="s">
        <v>214</v>
      </c>
    </row>
    <row r="88" spans="1:7" s="33" customFormat="1" x14ac:dyDescent="0.25">
      <c r="A88" s="270"/>
      <c r="B88" s="263"/>
      <c r="C88" s="109" t="s">
        <v>85</v>
      </c>
      <c r="D88" s="107"/>
      <c r="E88" s="107"/>
      <c r="F88" s="108"/>
      <c r="G88" s="108"/>
    </row>
    <row r="89" spans="1:7" s="33" customFormat="1" x14ac:dyDescent="0.25">
      <c r="A89" s="270"/>
      <c r="B89" s="263"/>
      <c r="C89" s="109" t="s">
        <v>195</v>
      </c>
      <c r="D89" s="107"/>
      <c r="E89" s="107"/>
      <c r="F89" s="108"/>
      <c r="G89" s="108"/>
    </row>
    <row r="90" spans="1:7" s="33" customFormat="1" x14ac:dyDescent="0.25">
      <c r="A90" s="270"/>
      <c r="B90" s="263"/>
      <c r="C90" s="106" t="s">
        <v>196</v>
      </c>
      <c r="D90" s="107"/>
      <c r="E90" s="107"/>
      <c r="F90" s="108"/>
      <c r="G90" s="108"/>
    </row>
    <row r="91" spans="1:7" s="33" customFormat="1" x14ac:dyDescent="0.25">
      <c r="A91" s="270"/>
      <c r="B91" s="263"/>
      <c r="C91" s="106" t="s">
        <v>197</v>
      </c>
      <c r="D91" s="107"/>
      <c r="E91" s="107"/>
      <c r="F91" s="108"/>
      <c r="G91" s="108"/>
    </row>
    <row r="92" spans="1:7" s="33" customFormat="1" x14ac:dyDescent="0.25">
      <c r="A92" s="270"/>
      <c r="B92" s="263"/>
      <c r="C92" s="106" t="s">
        <v>190</v>
      </c>
      <c r="D92" s="107"/>
      <c r="E92" s="107"/>
      <c r="F92" s="108"/>
      <c r="G92" s="108"/>
    </row>
    <row r="93" spans="1:7" s="33" customFormat="1" x14ac:dyDescent="0.25">
      <c r="A93" s="270"/>
      <c r="B93" s="263"/>
      <c r="C93" s="106" t="s">
        <v>198</v>
      </c>
      <c r="D93" s="107"/>
      <c r="E93" s="107"/>
      <c r="F93" s="108"/>
      <c r="G93" s="108"/>
    </row>
    <row r="94" spans="1:7" x14ac:dyDescent="0.25">
      <c r="A94" s="270"/>
      <c r="B94" s="263"/>
      <c r="C94" s="106" t="s">
        <v>199</v>
      </c>
      <c r="D94" s="107"/>
      <c r="E94" s="107"/>
      <c r="F94" s="108"/>
      <c r="G94" s="108"/>
    </row>
    <row r="95" spans="1:7" x14ac:dyDescent="0.25">
      <c r="A95" s="270"/>
      <c r="B95" s="263"/>
      <c r="C95" s="106" t="s">
        <v>200</v>
      </c>
      <c r="D95" s="107"/>
      <c r="E95" s="107"/>
      <c r="F95" s="108"/>
      <c r="G95" s="108"/>
    </row>
    <row r="96" spans="1:7" x14ac:dyDescent="0.25">
      <c r="A96" s="270"/>
      <c r="B96" s="263"/>
      <c r="C96" s="106" t="s">
        <v>201</v>
      </c>
      <c r="D96" s="107"/>
      <c r="E96" s="107"/>
      <c r="F96" s="108"/>
      <c r="G96" s="108"/>
    </row>
    <row r="97" spans="1:7" x14ac:dyDescent="0.25">
      <c r="A97" s="270"/>
      <c r="B97" s="272" t="s">
        <v>25</v>
      </c>
      <c r="C97" s="149" t="s">
        <v>272</v>
      </c>
      <c r="D97" s="110">
        <v>2011</v>
      </c>
      <c r="E97" s="110" t="s">
        <v>72</v>
      </c>
      <c r="F97" s="111">
        <v>16</v>
      </c>
      <c r="G97" s="111"/>
    </row>
    <row r="98" spans="1:7" s="146" customFormat="1" x14ac:dyDescent="0.25">
      <c r="A98" s="271"/>
      <c r="B98" s="273"/>
      <c r="C98" s="111" t="s">
        <v>268</v>
      </c>
      <c r="D98" s="110"/>
      <c r="E98" s="110"/>
      <c r="F98" s="111"/>
      <c r="G98" s="149"/>
    </row>
  </sheetData>
  <sheetProtection password="85B3" sheet="1" objects="1" scenarios="1" selectLockedCells="1" selectUnlockedCells="1"/>
  <customSheetViews>
    <customSheetView guid="{367BCCA4-BB9C-4067-9872-BFA4777F9377}" showGridLines="0">
      <selection activeCell="C69" sqref="C69"/>
      <rowBreaks count="3" manualBreakCount="3">
        <brk id="10" max="6" man="1"/>
        <brk id="35" max="6" man="1"/>
        <brk id="60" max="6" man="1"/>
      </rowBreaks>
      <pageMargins left="0.45" right="0.45" top="0.4" bottom="0.4" header="0.3" footer="0.3"/>
      <pageSetup orientation="landscape" r:id="rId1"/>
      <headerFooter>
        <oddFooter>&amp;L&amp;9Expected Criteria for Commercial Literacy Measures&amp;R&amp;9Page &amp;P</oddFooter>
      </headerFooter>
    </customSheetView>
  </customSheetViews>
  <mergeCells count="25">
    <mergeCell ref="B46:B52"/>
    <mergeCell ref="B36:B45"/>
    <mergeCell ref="B61:B62"/>
    <mergeCell ref="A61:A81"/>
    <mergeCell ref="B83:B96"/>
    <mergeCell ref="B68:B81"/>
    <mergeCell ref="B63:B67"/>
    <mergeCell ref="B53:B60"/>
    <mergeCell ref="A36:A60"/>
    <mergeCell ref="A82:A98"/>
    <mergeCell ref="B97:B98"/>
    <mergeCell ref="A1:G1"/>
    <mergeCell ref="A3:G3"/>
    <mergeCell ref="A2:G2"/>
    <mergeCell ref="A6:G6"/>
    <mergeCell ref="A9:G9"/>
    <mergeCell ref="A7:G7"/>
    <mergeCell ref="B20:B27"/>
    <mergeCell ref="B28:B35"/>
    <mergeCell ref="A12:A35"/>
    <mergeCell ref="A10:G10"/>
    <mergeCell ref="A4:G4"/>
    <mergeCell ref="A8:G8"/>
    <mergeCell ref="A5:G5"/>
    <mergeCell ref="B12:B19"/>
  </mergeCells>
  <pageMargins left="0.45" right="0.45" top="0.4" bottom="0.4" header="0.3" footer="0.3"/>
  <pageSetup orientation="landscape" r:id="rId2"/>
  <headerFooter>
    <oddFooter>&amp;L&amp;9Expected Criteria for Commercial Literacy Measures&amp;R&amp;9Page &amp;P</oddFooter>
  </headerFooter>
  <rowBreaks count="3" manualBreakCount="3">
    <brk id="10" max="6" man="1"/>
    <brk id="35" max="6" man="1"/>
    <brk id="60"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61"/>
  <sheetViews>
    <sheetView workbookViewId="0"/>
  </sheetViews>
  <sheetFormatPr defaultRowHeight="15" x14ac:dyDescent="0.25"/>
  <sheetData>
    <row r="2" spans="1:1" ht="14.45" x14ac:dyDescent="0.3">
      <c r="A2" s="15" t="s">
        <v>157</v>
      </c>
    </row>
    <row r="3" spans="1:1" ht="14.45" x14ac:dyDescent="0.3">
      <c r="A3" s="33" t="s">
        <v>45</v>
      </c>
    </row>
    <row r="4" spans="1:1" ht="14.45" x14ac:dyDescent="0.3">
      <c r="A4" s="33" t="s">
        <v>46</v>
      </c>
    </row>
    <row r="5" spans="1:1" ht="14.45" x14ac:dyDescent="0.3">
      <c r="A5" s="33" t="s">
        <v>47</v>
      </c>
    </row>
    <row r="6" spans="1:1" ht="14.45" x14ac:dyDescent="0.3">
      <c r="A6" s="33" t="s">
        <v>48</v>
      </c>
    </row>
    <row r="7" spans="1:1" ht="14.45" x14ac:dyDescent="0.3">
      <c r="A7" s="33" t="s">
        <v>49</v>
      </c>
    </row>
    <row r="8" spans="1:1" ht="14.45" x14ac:dyDescent="0.3">
      <c r="A8" s="33" t="s">
        <v>50</v>
      </c>
    </row>
    <row r="9" spans="1:1" ht="14.45" x14ac:dyDescent="0.3">
      <c r="A9" s="33" t="s">
        <v>51</v>
      </c>
    </row>
    <row r="10" spans="1:1" ht="14.45" x14ac:dyDescent="0.3">
      <c r="A10" s="33" t="s">
        <v>52</v>
      </c>
    </row>
    <row r="11" spans="1:1" ht="14.45" x14ac:dyDescent="0.3">
      <c r="A11" s="33" t="s">
        <v>53</v>
      </c>
    </row>
    <row r="12" spans="1:1" ht="14.45" x14ac:dyDescent="0.3">
      <c r="A12" s="33" t="s">
        <v>54</v>
      </c>
    </row>
    <row r="13" spans="1:1" ht="14.45" x14ac:dyDescent="0.3">
      <c r="A13" s="33" t="s">
        <v>55</v>
      </c>
    </row>
    <row r="14" spans="1:1" ht="14.45" x14ac:dyDescent="0.3">
      <c r="A14" s="33" t="s">
        <v>56</v>
      </c>
    </row>
    <row r="16" spans="1:1" s="33" customFormat="1" ht="14.45" x14ac:dyDescent="0.3">
      <c r="A16" s="48" t="s">
        <v>157</v>
      </c>
    </row>
    <row r="17" spans="1:1" ht="14.45" x14ac:dyDescent="0.3">
      <c r="A17" s="22">
        <v>1</v>
      </c>
    </row>
    <row r="18" spans="1:1" x14ac:dyDescent="0.25">
      <c r="A18" s="22">
        <v>2</v>
      </c>
    </row>
    <row r="19" spans="1:1" x14ac:dyDescent="0.25">
      <c r="A19" s="22">
        <v>3</v>
      </c>
    </row>
    <row r="20" spans="1:1" x14ac:dyDescent="0.25">
      <c r="A20" s="22">
        <v>4</v>
      </c>
    </row>
    <row r="21" spans="1:1" x14ac:dyDescent="0.25">
      <c r="A21" s="22">
        <v>5</v>
      </c>
    </row>
    <row r="22" spans="1:1" x14ac:dyDescent="0.25">
      <c r="A22" s="22">
        <v>6</v>
      </c>
    </row>
    <row r="23" spans="1:1" x14ac:dyDescent="0.25">
      <c r="A23" s="22">
        <v>7</v>
      </c>
    </row>
    <row r="24" spans="1:1" x14ac:dyDescent="0.25">
      <c r="A24" s="22">
        <v>8</v>
      </c>
    </row>
    <row r="25" spans="1:1" x14ac:dyDescent="0.25">
      <c r="A25" s="22">
        <v>9</v>
      </c>
    </row>
    <row r="26" spans="1:1" x14ac:dyDescent="0.25">
      <c r="A26" s="22">
        <v>10</v>
      </c>
    </row>
    <row r="27" spans="1:1" x14ac:dyDescent="0.25">
      <c r="A27" s="22">
        <v>11</v>
      </c>
    </row>
    <row r="28" spans="1:1" x14ac:dyDescent="0.25">
      <c r="A28" s="22">
        <v>12</v>
      </c>
    </row>
    <row r="29" spans="1:1" x14ac:dyDescent="0.25">
      <c r="A29" s="22">
        <v>13</v>
      </c>
    </row>
    <row r="30" spans="1:1" x14ac:dyDescent="0.25">
      <c r="A30" s="22">
        <v>14</v>
      </c>
    </row>
    <row r="31" spans="1:1" x14ac:dyDescent="0.25">
      <c r="A31" s="22">
        <v>15</v>
      </c>
    </row>
    <row r="32" spans="1:1" x14ac:dyDescent="0.25">
      <c r="A32" s="22">
        <v>16</v>
      </c>
    </row>
    <row r="33" spans="1:1" x14ac:dyDescent="0.25">
      <c r="A33" s="22">
        <v>17</v>
      </c>
    </row>
    <row r="34" spans="1:1" x14ac:dyDescent="0.25">
      <c r="A34" s="22">
        <v>18</v>
      </c>
    </row>
    <row r="35" spans="1:1" x14ac:dyDescent="0.25">
      <c r="A35" s="22">
        <v>19</v>
      </c>
    </row>
    <row r="36" spans="1:1" x14ac:dyDescent="0.25">
      <c r="A36" s="22">
        <v>20</v>
      </c>
    </row>
    <row r="37" spans="1:1" x14ac:dyDescent="0.25">
      <c r="A37" s="22">
        <v>21</v>
      </c>
    </row>
    <row r="38" spans="1:1" x14ac:dyDescent="0.25">
      <c r="A38" s="22">
        <v>22</v>
      </c>
    </row>
    <row r="39" spans="1:1" x14ac:dyDescent="0.25">
      <c r="A39" s="22">
        <v>23</v>
      </c>
    </row>
    <row r="40" spans="1:1" x14ac:dyDescent="0.25">
      <c r="A40" s="22">
        <v>24</v>
      </c>
    </row>
    <row r="41" spans="1:1" x14ac:dyDescent="0.25">
      <c r="A41" s="22">
        <v>25</v>
      </c>
    </row>
    <row r="42" spans="1:1" x14ac:dyDescent="0.25">
      <c r="A42" s="22">
        <v>26</v>
      </c>
    </row>
    <row r="43" spans="1:1" x14ac:dyDescent="0.25">
      <c r="A43" s="22">
        <v>27</v>
      </c>
    </row>
    <row r="44" spans="1:1" x14ac:dyDescent="0.25">
      <c r="A44" s="22">
        <v>28</v>
      </c>
    </row>
    <row r="45" spans="1:1" x14ac:dyDescent="0.25">
      <c r="A45" s="22">
        <v>29</v>
      </c>
    </row>
    <row r="46" spans="1:1" x14ac:dyDescent="0.25">
      <c r="A46" s="22">
        <v>30</v>
      </c>
    </row>
    <row r="47" spans="1:1" x14ac:dyDescent="0.25">
      <c r="A47" s="22">
        <v>31</v>
      </c>
    </row>
    <row r="49" spans="1:1" x14ac:dyDescent="0.25">
      <c r="A49" s="15" t="s">
        <v>157</v>
      </c>
    </row>
    <row r="50" spans="1:1" x14ac:dyDescent="0.25">
      <c r="A50" s="11" t="s">
        <v>30</v>
      </c>
    </row>
    <row r="51" spans="1:1" x14ac:dyDescent="0.25">
      <c r="A51" s="11" t="s">
        <v>31</v>
      </c>
    </row>
    <row r="52" spans="1:1" x14ac:dyDescent="0.25">
      <c r="A52" s="11" t="s">
        <v>32</v>
      </c>
    </row>
    <row r="53" spans="1:1" x14ac:dyDescent="0.25">
      <c r="A53" s="11" t="s">
        <v>33</v>
      </c>
    </row>
    <row r="54" spans="1:1" x14ac:dyDescent="0.25">
      <c r="A54" s="11" t="s">
        <v>34</v>
      </c>
    </row>
    <row r="55" spans="1:1" x14ac:dyDescent="0.25">
      <c r="A55" s="11" t="s">
        <v>35</v>
      </c>
    </row>
    <row r="56" spans="1:1" x14ac:dyDescent="0.25">
      <c r="A56" s="11" t="s">
        <v>36</v>
      </c>
    </row>
    <row r="58" spans="1:1" x14ac:dyDescent="0.25">
      <c r="A58" s="15" t="s">
        <v>157</v>
      </c>
    </row>
    <row r="59" spans="1:1" x14ac:dyDescent="0.25">
      <c r="A59" s="33" t="s">
        <v>71</v>
      </c>
    </row>
    <row r="60" spans="1:1" x14ac:dyDescent="0.25">
      <c r="A60" s="33" t="s">
        <v>72</v>
      </c>
    </row>
    <row r="61" spans="1:1" x14ac:dyDescent="0.25">
      <c r="A61" s="33" t="s">
        <v>84</v>
      </c>
    </row>
  </sheetData>
  <customSheetViews>
    <customSheetView guid="{367BCCA4-BB9C-4067-9872-BFA4777F9377}" state="hidden">
      <pageMargins left="0.7" right="0.7" top="0.75" bottom="0.75" header="0.3" footer="0.3"/>
      <pageSetup orientation="portrait" r:id="rId1"/>
    </customSheetView>
  </customSheetView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2"/>
  <sheetViews>
    <sheetView workbookViewId="0">
      <selection activeCell="C56" sqref="C56"/>
    </sheetView>
  </sheetViews>
  <sheetFormatPr defaultRowHeight="15" x14ac:dyDescent="0.25"/>
  <cols>
    <col min="1" max="1" width="13.85546875" customWidth="1"/>
    <col min="2" max="2" width="15.42578125" customWidth="1"/>
    <col min="3" max="3" width="77.85546875" customWidth="1"/>
  </cols>
  <sheetData>
    <row r="1" spans="1:3" ht="14.45" x14ac:dyDescent="0.3">
      <c r="A1" s="118" t="s">
        <v>4</v>
      </c>
      <c r="B1" s="118" t="s">
        <v>100</v>
      </c>
      <c r="C1" s="118" t="s">
        <v>69</v>
      </c>
    </row>
    <row r="2" spans="1:3" ht="15" customHeight="1" x14ac:dyDescent="0.25">
      <c r="A2" s="274" t="s">
        <v>15</v>
      </c>
      <c r="B2" s="277" t="s">
        <v>11</v>
      </c>
      <c r="C2" s="161"/>
    </row>
    <row r="3" spans="1:3" ht="15" customHeight="1" x14ac:dyDescent="0.25">
      <c r="A3" s="274"/>
      <c r="B3" s="277"/>
      <c r="C3" s="119" t="s">
        <v>83</v>
      </c>
    </row>
    <row r="4" spans="1:3" ht="15" customHeight="1" x14ac:dyDescent="0.25">
      <c r="A4" s="274"/>
      <c r="B4" s="277"/>
      <c r="C4" s="119" t="s">
        <v>217</v>
      </c>
    </row>
    <row r="5" spans="1:3" ht="15" customHeight="1" x14ac:dyDescent="0.25">
      <c r="A5" s="274"/>
      <c r="B5" s="277"/>
      <c r="C5" s="119" t="s">
        <v>86</v>
      </c>
    </row>
    <row r="6" spans="1:3" ht="15" customHeight="1" x14ac:dyDescent="0.25">
      <c r="A6" s="274"/>
      <c r="B6" s="277"/>
      <c r="C6" s="119" t="s">
        <v>224</v>
      </c>
    </row>
    <row r="7" spans="1:3" ht="15" customHeight="1" x14ac:dyDescent="0.25">
      <c r="A7" s="274"/>
      <c r="B7" s="277"/>
      <c r="C7" s="119" t="s">
        <v>218</v>
      </c>
    </row>
    <row r="8" spans="1:3" s="154" customFormat="1" ht="15" customHeight="1" x14ac:dyDescent="0.25">
      <c r="A8" s="155"/>
      <c r="B8" s="160"/>
      <c r="C8" s="119"/>
    </row>
    <row r="9" spans="1:3" ht="15" customHeight="1" x14ac:dyDescent="0.25">
      <c r="A9" s="274" t="s">
        <v>90</v>
      </c>
      <c r="B9" s="275" t="s">
        <v>167</v>
      </c>
      <c r="C9" s="120" t="s">
        <v>189</v>
      </c>
    </row>
    <row r="10" spans="1:3" ht="15" customHeight="1" x14ac:dyDescent="0.25">
      <c r="A10" s="274"/>
      <c r="B10" s="275"/>
      <c r="C10" s="120" t="s">
        <v>88</v>
      </c>
    </row>
    <row r="11" spans="1:3" ht="15" customHeight="1" x14ac:dyDescent="0.25">
      <c r="A11" s="274"/>
      <c r="B11" s="275"/>
      <c r="C11" s="120" t="s">
        <v>219</v>
      </c>
    </row>
    <row r="12" spans="1:3" ht="15" customHeight="1" x14ac:dyDescent="0.25">
      <c r="A12" s="274"/>
      <c r="B12" s="275"/>
      <c r="C12" s="120" t="s">
        <v>89</v>
      </c>
    </row>
    <row r="13" spans="1:3" ht="15" customHeight="1" x14ac:dyDescent="0.25">
      <c r="A13" s="274"/>
      <c r="B13" s="275"/>
      <c r="C13" s="120" t="s">
        <v>225</v>
      </c>
    </row>
    <row r="14" spans="1:3" s="154" customFormat="1" ht="15" customHeight="1" x14ac:dyDescent="0.25">
      <c r="A14" s="274"/>
      <c r="B14" s="156"/>
      <c r="C14" s="120"/>
    </row>
    <row r="15" spans="1:3" ht="15" customHeight="1" x14ac:dyDescent="0.25">
      <c r="A15" s="274"/>
      <c r="B15" s="276" t="s">
        <v>23</v>
      </c>
      <c r="C15" s="121" t="s">
        <v>91</v>
      </c>
    </row>
    <row r="16" spans="1:3" ht="15" customHeight="1" x14ac:dyDescent="0.25">
      <c r="A16" s="274"/>
      <c r="B16" s="276"/>
      <c r="C16" s="121" t="s">
        <v>92</v>
      </c>
    </row>
    <row r="17" spans="1:3" ht="15" customHeight="1" x14ac:dyDescent="0.25">
      <c r="A17" s="274"/>
      <c r="B17" s="276"/>
      <c r="C17" s="121" t="s">
        <v>223</v>
      </c>
    </row>
    <row r="18" spans="1:3" ht="15" customHeight="1" x14ac:dyDescent="0.25">
      <c r="A18" s="274"/>
      <c r="B18" s="276"/>
      <c r="C18" s="122" t="s">
        <v>191</v>
      </c>
    </row>
    <row r="19" spans="1:3" ht="15" customHeight="1" x14ac:dyDescent="0.25">
      <c r="A19" s="274" t="s">
        <v>93</v>
      </c>
      <c r="B19" s="276"/>
      <c r="C19" s="121" t="s">
        <v>192</v>
      </c>
    </row>
    <row r="20" spans="1:3" ht="15" customHeight="1" x14ac:dyDescent="0.25">
      <c r="A20" s="274"/>
      <c r="B20" s="275" t="s">
        <v>167</v>
      </c>
      <c r="C20" s="120" t="s">
        <v>189</v>
      </c>
    </row>
    <row r="21" spans="1:3" ht="15" customHeight="1" x14ac:dyDescent="0.25">
      <c r="A21" s="274"/>
      <c r="B21" s="275"/>
      <c r="C21" s="120" t="s">
        <v>88</v>
      </c>
    </row>
    <row r="22" spans="1:3" ht="15" customHeight="1" x14ac:dyDescent="0.25">
      <c r="A22" s="274"/>
      <c r="B22" s="275"/>
      <c r="C22" s="120" t="s">
        <v>89</v>
      </c>
    </row>
    <row r="23" spans="1:3" ht="15" customHeight="1" x14ac:dyDescent="0.25">
      <c r="A23" s="274"/>
      <c r="B23" s="275"/>
      <c r="C23" s="120" t="s">
        <v>225</v>
      </c>
    </row>
    <row r="24" spans="1:3" s="154" customFormat="1" ht="15" customHeight="1" x14ac:dyDescent="0.25">
      <c r="A24" s="274"/>
      <c r="B24" s="156"/>
      <c r="C24" s="120"/>
    </row>
    <row r="25" spans="1:3" ht="15" customHeight="1" x14ac:dyDescent="0.25">
      <c r="A25" s="274"/>
      <c r="B25" s="278" t="s">
        <v>102</v>
      </c>
      <c r="C25" s="123" t="s">
        <v>193</v>
      </c>
    </row>
    <row r="26" spans="1:3" ht="15" customHeight="1" x14ac:dyDescent="0.25">
      <c r="A26" s="274"/>
      <c r="B26" s="278"/>
      <c r="C26" s="123" t="s">
        <v>194</v>
      </c>
    </row>
    <row r="27" spans="1:3" s="154" customFormat="1" ht="15" customHeight="1" x14ac:dyDescent="0.25">
      <c r="A27" s="274"/>
      <c r="B27" s="157"/>
      <c r="C27" s="123"/>
    </row>
    <row r="28" spans="1:3" ht="15" customHeight="1" x14ac:dyDescent="0.25">
      <c r="A28" s="274"/>
      <c r="B28" s="279" t="s">
        <v>8</v>
      </c>
      <c r="C28" s="124" t="s">
        <v>94</v>
      </c>
    </row>
    <row r="29" spans="1:3" ht="15" customHeight="1" x14ac:dyDescent="0.25">
      <c r="A29" s="274"/>
      <c r="B29" s="279"/>
      <c r="C29" s="124" t="s">
        <v>95</v>
      </c>
    </row>
    <row r="30" spans="1:3" s="154" customFormat="1" ht="15" customHeight="1" x14ac:dyDescent="0.25">
      <c r="A30" s="274"/>
      <c r="B30" s="279"/>
      <c r="C30" s="124" t="s">
        <v>267</v>
      </c>
    </row>
    <row r="31" spans="1:3" ht="15" customHeight="1" x14ac:dyDescent="0.25">
      <c r="A31" s="274"/>
      <c r="B31" s="279"/>
      <c r="C31" s="124" t="s">
        <v>220</v>
      </c>
    </row>
    <row r="32" spans="1:3" ht="15" customHeight="1" x14ac:dyDescent="0.25">
      <c r="A32" s="274"/>
      <c r="B32" s="279"/>
      <c r="C32" s="124" t="s">
        <v>221</v>
      </c>
    </row>
    <row r="33" spans="1:3" ht="15" customHeight="1" x14ac:dyDescent="0.25">
      <c r="A33" s="274"/>
      <c r="B33" s="279"/>
      <c r="C33" s="124" t="s">
        <v>222</v>
      </c>
    </row>
    <row r="34" spans="1:3" ht="15" customHeight="1" x14ac:dyDescent="0.25">
      <c r="A34" s="274"/>
      <c r="B34" s="279"/>
      <c r="C34" s="124" t="s">
        <v>197</v>
      </c>
    </row>
    <row r="35" spans="1:3" ht="15" customHeight="1" x14ac:dyDescent="0.25">
      <c r="A35" s="274" t="s">
        <v>96</v>
      </c>
      <c r="B35" s="279"/>
      <c r="C35" s="124" t="s">
        <v>226</v>
      </c>
    </row>
    <row r="36" spans="1:3" ht="15" customHeight="1" x14ac:dyDescent="0.25">
      <c r="A36" s="274"/>
      <c r="B36" s="279"/>
      <c r="C36" s="124" t="s">
        <v>227</v>
      </c>
    </row>
    <row r="37" spans="1:3" ht="15" customHeight="1" x14ac:dyDescent="0.25">
      <c r="A37" s="274"/>
      <c r="B37" s="279"/>
      <c r="C37" s="124" t="s">
        <v>228</v>
      </c>
    </row>
    <row r="38" spans="1:3" ht="15" customHeight="1" x14ac:dyDescent="0.25">
      <c r="A38" s="274"/>
      <c r="B38" s="279"/>
      <c r="C38" s="124" t="s">
        <v>200</v>
      </c>
    </row>
    <row r="39" spans="1:3" ht="15" customHeight="1" x14ac:dyDescent="0.25">
      <c r="A39" s="274"/>
      <c r="B39" s="279"/>
      <c r="C39" s="124" t="s">
        <v>229</v>
      </c>
    </row>
    <row r="40" spans="1:3" ht="15" customHeight="1" x14ac:dyDescent="0.25">
      <c r="A40" s="274"/>
      <c r="B40" s="280" t="s">
        <v>24</v>
      </c>
    </row>
    <row r="41" spans="1:3" ht="15" customHeight="1" x14ac:dyDescent="0.25">
      <c r="A41" s="274"/>
      <c r="B41" s="280"/>
      <c r="C41" s="125" t="s">
        <v>230</v>
      </c>
    </row>
    <row r="42" spans="1:3" ht="15" customHeight="1" x14ac:dyDescent="0.25">
      <c r="A42" s="274"/>
      <c r="B42" s="279" t="s">
        <v>8</v>
      </c>
      <c r="C42" s="124" t="s">
        <v>94</v>
      </c>
    </row>
    <row r="43" spans="1:3" ht="15" customHeight="1" x14ac:dyDescent="0.25">
      <c r="A43" s="274"/>
      <c r="B43" s="279"/>
      <c r="C43" s="124" t="s">
        <v>216</v>
      </c>
    </row>
    <row r="44" spans="1:3" ht="15" customHeight="1" x14ac:dyDescent="0.25">
      <c r="A44" s="274"/>
      <c r="B44" s="279"/>
      <c r="C44" s="124" t="s">
        <v>220</v>
      </c>
    </row>
    <row r="45" spans="1:3" ht="15" customHeight="1" x14ac:dyDescent="0.25">
      <c r="A45" s="274"/>
      <c r="B45" s="279"/>
      <c r="C45" s="124" t="s">
        <v>221</v>
      </c>
    </row>
    <row r="46" spans="1:3" ht="15" customHeight="1" x14ac:dyDescent="0.25">
      <c r="A46" s="274"/>
      <c r="B46" s="279"/>
      <c r="C46" s="124" t="s">
        <v>222</v>
      </c>
    </row>
    <row r="47" spans="1:3" ht="15" customHeight="1" x14ac:dyDescent="0.25">
      <c r="A47" s="274"/>
      <c r="B47" s="279"/>
      <c r="C47" s="124" t="s">
        <v>197</v>
      </c>
    </row>
    <row r="48" spans="1:3" ht="15" customHeight="1" x14ac:dyDescent="0.25">
      <c r="A48" s="274"/>
      <c r="B48" s="279"/>
      <c r="C48" s="124" t="s">
        <v>226</v>
      </c>
    </row>
    <row r="49" spans="1:3" x14ac:dyDescent="0.25">
      <c r="B49" s="279"/>
      <c r="C49" s="124" t="s">
        <v>227</v>
      </c>
    </row>
    <row r="50" spans="1:3" x14ac:dyDescent="0.25">
      <c r="B50" s="279"/>
      <c r="C50" s="124" t="s">
        <v>228</v>
      </c>
    </row>
    <row r="51" spans="1:3" x14ac:dyDescent="0.25">
      <c r="B51" s="279"/>
      <c r="C51" s="124" t="s">
        <v>200</v>
      </c>
    </row>
    <row r="52" spans="1:3" x14ac:dyDescent="0.25">
      <c r="A52" s="281" t="s">
        <v>15</v>
      </c>
      <c r="B52" s="279"/>
      <c r="C52" s="124" t="s">
        <v>229</v>
      </c>
    </row>
    <row r="53" spans="1:3" x14ac:dyDescent="0.25">
      <c r="A53" s="281"/>
      <c r="B53" s="126" t="s">
        <v>25</v>
      </c>
    </row>
    <row r="54" spans="1:3" x14ac:dyDescent="0.25">
      <c r="A54" s="281"/>
      <c r="C54" s="127" t="s">
        <v>272</v>
      </c>
    </row>
    <row r="55" spans="1:3" x14ac:dyDescent="0.25">
      <c r="A55" s="281"/>
      <c r="C55" s="124" t="s">
        <v>268</v>
      </c>
    </row>
    <row r="56" spans="1:3" x14ac:dyDescent="0.25">
      <c r="A56" s="281"/>
    </row>
    <row r="57" spans="1:3" x14ac:dyDescent="0.25">
      <c r="A57" s="281"/>
      <c r="B57" s="248" t="s">
        <v>26</v>
      </c>
      <c r="C57" s="86" t="s">
        <v>242</v>
      </c>
    </row>
    <row r="58" spans="1:3" x14ac:dyDescent="0.25">
      <c r="A58" s="281" t="s">
        <v>90</v>
      </c>
      <c r="B58" s="248"/>
      <c r="C58" s="86" t="s">
        <v>243</v>
      </c>
    </row>
    <row r="59" spans="1:3" x14ac:dyDescent="0.25">
      <c r="A59" s="281"/>
      <c r="B59" s="248"/>
      <c r="C59" s="86" t="s">
        <v>247</v>
      </c>
    </row>
    <row r="60" spans="1:3" x14ac:dyDescent="0.25">
      <c r="A60" s="281"/>
      <c r="B60" s="248"/>
      <c r="C60" s="86" t="s">
        <v>244</v>
      </c>
    </row>
    <row r="61" spans="1:3" x14ac:dyDescent="0.25">
      <c r="A61" s="281"/>
      <c r="B61" s="248"/>
      <c r="C61" s="86" t="s">
        <v>245</v>
      </c>
    </row>
    <row r="62" spans="1:3" x14ac:dyDescent="0.25">
      <c r="A62" s="281"/>
      <c r="B62" s="248"/>
      <c r="C62" s="86" t="s">
        <v>246</v>
      </c>
    </row>
    <row r="63" spans="1:3" x14ac:dyDescent="0.25">
      <c r="A63" s="281" t="s">
        <v>93</v>
      </c>
      <c r="B63" s="248" t="s">
        <v>26</v>
      </c>
      <c r="C63" s="86" t="s">
        <v>242</v>
      </c>
    </row>
    <row r="64" spans="1:3" x14ac:dyDescent="0.25">
      <c r="A64" s="281"/>
      <c r="B64" s="248"/>
      <c r="C64" s="86" t="s">
        <v>243</v>
      </c>
    </row>
    <row r="65" spans="1:3" x14ac:dyDescent="0.25">
      <c r="A65" s="281"/>
      <c r="B65" s="248"/>
      <c r="C65" s="86" t="s">
        <v>247</v>
      </c>
    </row>
    <row r="66" spans="1:3" x14ac:dyDescent="0.25">
      <c r="A66" s="281"/>
      <c r="B66" s="248"/>
      <c r="C66" s="86" t="s">
        <v>244</v>
      </c>
    </row>
    <row r="67" spans="1:3" x14ac:dyDescent="0.25">
      <c r="A67" s="281"/>
      <c r="B67" s="248"/>
      <c r="C67" s="86" t="s">
        <v>246</v>
      </c>
    </row>
    <row r="68" spans="1:3" x14ac:dyDescent="0.25">
      <c r="B68" s="248" t="s">
        <v>26</v>
      </c>
      <c r="C68" s="86" t="s">
        <v>242</v>
      </c>
    </row>
    <row r="69" spans="1:3" x14ac:dyDescent="0.25">
      <c r="B69" s="248"/>
      <c r="C69" s="86" t="s">
        <v>243</v>
      </c>
    </row>
    <row r="70" spans="1:3" x14ac:dyDescent="0.25">
      <c r="B70" s="248"/>
      <c r="C70" s="86" t="s">
        <v>247</v>
      </c>
    </row>
    <row r="71" spans="1:3" x14ac:dyDescent="0.25">
      <c r="B71" s="248"/>
      <c r="C71" s="86" t="s">
        <v>244</v>
      </c>
    </row>
    <row r="72" spans="1:3" x14ac:dyDescent="0.25">
      <c r="B72" s="248"/>
      <c r="C72" s="86" t="s">
        <v>246</v>
      </c>
    </row>
  </sheetData>
  <customSheetViews>
    <customSheetView guid="{367BCCA4-BB9C-4067-9872-BFA4777F9377}" state="hidden">
      <selection activeCell="C1" sqref="C1"/>
      <pageMargins left="0.7" right="0.7" top="0.75" bottom="0.75" header="0.3" footer="0.3"/>
    </customSheetView>
  </customSheetViews>
  <mergeCells count="18">
    <mergeCell ref="A58:A62"/>
    <mergeCell ref="B63:B67"/>
    <mergeCell ref="A63:A67"/>
    <mergeCell ref="B68:B72"/>
    <mergeCell ref="B57:B62"/>
    <mergeCell ref="A2:A7"/>
    <mergeCell ref="B9:B13"/>
    <mergeCell ref="A9:A18"/>
    <mergeCell ref="B15:B19"/>
    <mergeCell ref="B20:B23"/>
    <mergeCell ref="B2:B7"/>
    <mergeCell ref="A19:A34"/>
    <mergeCell ref="B25:B26"/>
    <mergeCell ref="B28:B39"/>
    <mergeCell ref="A35:A48"/>
    <mergeCell ref="B40:B41"/>
    <mergeCell ref="B42:B52"/>
    <mergeCell ref="A52:A5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20</vt:i4>
      </vt:variant>
    </vt:vector>
  </HeadingPairs>
  <TitlesOfParts>
    <vt:vector size="27" baseType="lpstr">
      <vt:lpstr>Start Here - Directions</vt:lpstr>
      <vt:lpstr>District Information &amp; Measures</vt:lpstr>
      <vt:lpstr>Literacy Data</vt:lpstr>
      <vt:lpstr>Further Notes</vt:lpstr>
      <vt:lpstr>Criteria Options</vt:lpstr>
      <vt:lpstr>Dropdowns</vt:lpstr>
      <vt:lpstr>CriteriaDropdowns</vt:lpstr>
      <vt:lpstr>Administered</vt:lpstr>
      <vt:lpstr>Day</vt:lpstr>
      <vt:lpstr>DistrictType</vt:lpstr>
      <vt:lpstr>G1_DecodableWords</vt:lpstr>
      <vt:lpstr>G1_OralLanguage</vt:lpstr>
      <vt:lpstr>G1_SegmentBlend</vt:lpstr>
      <vt:lpstr>G2_HighFreqWords</vt:lpstr>
      <vt:lpstr>G2_OralFluency</vt:lpstr>
      <vt:lpstr>G2_OralLanguage</vt:lpstr>
      <vt:lpstr>G3_Comprehension</vt:lpstr>
      <vt:lpstr>G3_OralFluency</vt:lpstr>
      <vt:lpstr>G3_Vocabulary</vt:lpstr>
      <vt:lpstr>K_LetterSounds</vt:lpstr>
      <vt:lpstr>K_OralLanguage</vt:lpstr>
      <vt:lpstr>K_SegmentBlend</vt:lpstr>
      <vt:lpstr>Month</vt:lpstr>
      <vt:lpstr>'Criteria Options'!Print_Area</vt:lpstr>
      <vt:lpstr>'Further Notes'!Print_Area</vt:lpstr>
      <vt:lpstr>'Start Here - Directions'!Print_Area</vt:lpstr>
      <vt:lpstr>'Criteria Options'!Print_Titles</vt:lpstr>
    </vt:vector>
  </TitlesOfParts>
  <Company>Minnesota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 Kari D</dc:creator>
  <cp:lastModifiedBy>McKenzie, Jacqui</cp:lastModifiedBy>
  <cp:lastPrinted>2013-01-28T04:51:31Z</cp:lastPrinted>
  <dcterms:created xsi:type="dcterms:W3CDTF">2011-12-27T22:28:48Z</dcterms:created>
  <dcterms:modified xsi:type="dcterms:W3CDTF">2013-03-25T16:45:07Z</dcterms:modified>
</cp:coreProperties>
</file>