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workbookProtection workbookPassword="8AD3" lockStructure="1"/>
  <bookViews>
    <workbookView xWindow="435" yWindow="1470" windowWidth="15345" windowHeight="6195" tabRatio="714" activeTab="1"/>
  </bookViews>
  <sheets>
    <sheet name="Instructions" sheetId="9" r:id="rId1"/>
    <sheet name="Budget Planner" sheetId="1" r:id="rId2"/>
    <sheet name="Expenditure Planning Worksheet" sheetId="19" r:id="rId3"/>
    <sheet name="Allowable Expenditures" sheetId="10" r:id="rId4"/>
    <sheet name="lookup name" sheetId="5" state="hidden" r:id="rId5"/>
    <sheet name="lookup1_aid_otherev_fundbal" sheetId="3" state="hidden" r:id="rId6"/>
    <sheet name="lookup2_expenditures" sheetId="17" state="hidden" r:id="rId7"/>
    <sheet name="Combined District Planner" sheetId="11" r:id="rId8"/>
    <sheet name="OLD 2010 DATA - queries" sheetId="2" state="hidden" r:id="rId9"/>
    <sheet name="OLD DATA -lookup2_UFARS revenue" sheetId="14" state="hidden" r:id="rId10"/>
    <sheet name="OLD DATA -lookup3_UFARS expends" sheetId="8" state="hidden" r:id="rId11"/>
    <sheet name="OLD 2010 DATA - lookup4_GNL" sheetId="7" state="hidden" r:id="rId12"/>
    <sheet name="Sheet1" sheetId="20" r:id="rId13"/>
  </sheets>
  <definedNames>
    <definedName name="_ftn1" localSheetId="0">Instructions!$A$43</definedName>
    <definedName name="_ftnref1" localSheetId="0">Instructions!$A$5</definedName>
    <definedName name="DATABRIDGE" localSheetId="8" hidden="1">'OLD 2010 DATA - queries'!$F$1:$J$336</definedName>
    <definedName name="DATABRIDGE_1" localSheetId="8" hidden="1">'OLD 2010 DATA - queries'!$A$1:$E$339</definedName>
    <definedName name="DATABRIDGE_2" localSheetId="8" hidden="1">'OLD 2010 DATA - queries'!$L$1:$S$3785</definedName>
    <definedName name="DATABRIDGE_3" localSheetId="8" hidden="1">'OLD 2010 DATA - queries'!$U$1:$AC$774</definedName>
    <definedName name="DATABRIDGE_4" localSheetId="8" hidden="1">'OLD 2010 DATA - queries'!$AE$1:$AJ$336</definedName>
    <definedName name="DATABRIDGE_5" localSheetId="8" hidden="1">'OLD 2010 DATA - queries'!$AL$1:$AQ$338</definedName>
    <definedName name="OLE_LINK1" localSheetId="0">Instructions!#REF!</definedName>
    <definedName name="OLE_LINK2" localSheetId="0">Instructions!#REF!</definedName>
    <definedName name="_xlnm.Print_Area" localSheetId="3">'Allowable Expenditures'!$A$4:$I$20</definedName>
    <definedName name="_xlnm.Print_Area" localSheetId="7">'Combined District Planner'!$A$1:$G$15</definedName>
    <definedName name="Query_from_DATABRIDGE_1" localSheetId="8">'OLD 2010 DATA - queries'!#REF!</definedName>
    <definedName name="Query_from_DATABRIDGE_2" localSheetId="8">'OLD 2010 DATA - queries'!#REF!</definedName>
    <definedName name="Query_from_DATABRIDGE_3" localSheetId="8">'OLD 2010 DATA - queries'!#REF!</definedName>
    <definedName name="Query_from_DATABRIDGE_4" localSheetId="8">'OLD 2010 DATA - queries'!#REF!</definedName>
  </definedNames>
  <calcPr calcId="145621"/>
</workbook>
</file>

<file path=xl/calcChain.xml><?xml version="1.0" encoding="utf-8"?>
<calcChain xmlns="http://schemas.openxmlformats.org/spreadsheetml/2006/main">
  <c r="C23" i="19" l="1"/>
  <c r="E23" i="19"/>
  <c r="G23" i="19"/>
  <c r="J8" i="1" l="1"/>
  <c r="H8" i="1"/>
  <c r="F8" i="1"/>
  <c r="D8" i="1"/>
  <c r="D340" i="3" l="1"/>
  <c r="C340" i="3"/>
  <c r="B340" i="3"/>
  <c r="D11" i="1" l="1"/>
  <c r="D13" i="1" l="1"/>
  <c r="D9" i="1"/>
  <c r="A4" i="1"/>
  <c r="G13" i="19" l="1"/>
  <c r="E13" i="19"/>
  <c r="C13" i="19"/>
  <c r="D14" i="1"/>
  <c r="F13" i="1" s="1"/>
  <c r="G11" i="11"/>
  <c r="G13" i="11" s="1"/>
  <c r="G15" i="11" s="1"/>
  <c r="F11" i="11"/>
  <c r="F13" i="11"/>
  <c r="F15" i="11" s="1"/>
  <c r="E11" i="11"/>
  <c r="E13" i="11" s="1"/>
  <c r="E15" i="11" s="1"/>
  <c r="D11" i="11"/>
  <c r="D13" i="11" s="1"/>
  <c r="D15" i="11" s="1"/>
  <c r="J10" i="1"/>
  <c r="D10" i="1"/>
  <c r="C338" i="7"/>
  <c r="B338" i="7"/>
  <c r="BR1" i="14"/>
  <c r="J337" i="2"/>
  <c r="E340" i="2"/>
  <c r="D340" i="2"/>
  <c r="I337" i="2"/>
  <c r="J350" i="2"/>
  <c r="J352" i="2"/>
  <c r="F348" i="2"/>
  <c r="F347" i="2"/>
  <c r="F350" i="2" s="1"/>
  <c r="F349" i="2"/>
  <c r="F6" i="11"/>
  <c r="E5" i="11"/>
  <c r="H6" i="1"/>
  <c r="F5" i="1"/>
  <c r="H10" i="1"/>
  <c r="F10" i="1"/>
  <c r="G8" i="1" s="1"/>
  <c r="BR1" i="3"/>
  <c r="G27" i="19" l="1"/>
  <c r="H7" i="19" s="1"/>
  <c r="E27" i="19"/>
  <c r="F19" i="19" s="1"/>
  <c r="C27" i="19"/>
  <c r="D11" i="19" s="1"/>
  <c r="H12" i="1"/>
  <c r="I8" i="1"/>
  <c r="K8" i="1"/>
  <c r="E8" i="1"/>
  <c r="G10" i="1"/>
  <c r="E9" i="1"/>
  <c r="I10" i="1"/>
  <c r="G9" i="1"/>
  <c r="F12" i="1"/>
  <c r="F14" i="1" s="1"/>
  <c r="H13" i="1" s="1"/>
  <c r="H14" i="1" s="1"/>
  <c r="J13" i="1" s="1"/>
  <c r="E10" i="1"/>
  <c r="F26" i="19"/>
  <c r="F18" i="19"/>
  <c r="F24" i="19"/>
  <c r="F17" i="19"/>
  <c r="F14" i="19"/>
  <c r="F11" i="19"/>
  <c r="F7" i="19"/>
  <c r="F25" i="19"/>
  <c r="F20" i="19"/>
  <c r="F12" i="19"/>
  <c r="F8" i="19"/>
  <c r="H26" i="19"/>
  <c r="H21" i="19"/>
  <c r="H20" i="19"/>
  <c r="H348" i="2"/>
  <c r="I348" i="2" s="1"/>
  <c r="K348" i="2" s="1"/>
  <c r="H349" i="2"/>
  <c r="I349" i="2" s="1"/>
  <c r="K349" i="2" s="1"/>
  <c r="H350" i="2"/>
  <c r="H347" i="2"/>
  <c r="I347" i="2" s="1"/>
  <c r="K347" i="2" s="1"/>
  <c r="K10" i="1"/>
  <c r="J12" i="1"/>
  <c r="K9" i="1"/>
  <c r="I9" i="1"/>
  <c r="D12" i="1"/>
  <c r="D9" i="19" l="1"/>
  <c r="F27" i="19"/>
  <c r="H19" i="19"/>
  <c r="H24" i="19"/>
  <c r="H17" i="19"/>
  <c r="H13" i="19"/>
  <c r="H25" i="19"/>
  <c r="D20" i="19"/>
  <c r="D10" i="19"/>
  <c r="D24" i="19"/>
  <c r="D7" i="19"/>
  <c r="F13" i="19"/>
  <c r="H14" i="19"/>
  <c r="H16" i="19"/>
  <c r="H10" i="19"/>
  <c r="H18" i="19"/>
  <c r="H9" i="19"/>
  <c r="H22" i="19"/>
  <c r="H23" i="19"/>
  <c r="H27" i="19"/>
  <c r="H8" i="19"/>
  <c r="H12" i="19"/>
  <c r="H11" i="19"/>
  <c r="F21" i="19"/>
  <c r="F10" i="19"/>
  <c r="F22" i="19"/>
  <c r="F9" i="19"/>
  <c r="F23" i="19"/>
  <c r="F16" i="19"/>
  <c r="D17" i="19"/>
  <c r="D12" i="19"/>
  <c r="D18" i="19"/>
  <c r="D25" i="19"/>
  <c r="D16" i="19"/>
  <c r="D26" i="19"/>
  <c r="D22" i="19"/>
  <c r="D21" i="19"/>
  <c r="D27" i="19"/>
  <c r="D23" i="19"/>
  <c r="D8" i="19"/>
  <c r="D14" i="19"/>
  <c r="D13" i="19"/>
  <c r="D19" i="19"/>
  <c r="J14" i="1"/>
  <c r="K350" i="2"/>
</calcChain>
</file>

<file path=xl/connections.xml><?xml version="1.0" encoding="utf-8"?>
<connections xmlns="http://schemas.openxmlformats.org/spreadsheetml/2006/main">
  <connection id="1" name="DATABRIDGE" type="1" refreshedVersion="3" background="1" saveData="1">
    <dbPr connection="Description=DATABRIDGE;DRIVER=SQL Server;SERVER=MDEDATAB;UID=databridge_ro;;APP=Microsoft Data Access Components;WSID=PFDCTW0S71" command="SELECT scrdcalc.dat_yer, scrdcalc.dst_num, scrdcalc.dst_tye, scrdcalc.ent_bef_xfb_adj, scrdcalc.ent_adj_xfb_x000d__x000a_FROM DataBridge.databridge_app_user.scrdcalc scrdcalc_x000d__x000a_WHERE (scrdcalc.dat_yer='09-10')_x000d__x000a_ORDER BY scrdcalc.dst_num, scrdcalc.dst_tye"/>
  </connection>
  <connection id="2" name="DATABRIDGE1" type="1" refreshedVersion="3" background="1" saveData="1">
    <dbPr connection="Description=DATABRIDGE;DRIVER=SQL Server;SERVER=MDEDATAB;UID=databridge_ro;;APP=Microsoft Data Access Components;WSID=PFDCTW0S71" command="SELECT scrdcalc.dat_yer, scrdcalc.dst_num, scrdcalc.dst_tye, scrdcalc.ent_bef_xfb_adj, scrdcalc.ent_adj_xfb_x000d__x000a_FROM DataBridge.databridge_app_user.scrdcalc scrdcalc_x000d__x000a_WHERE (scrdcalc.dat_yer='08-09')_x000d__x000a_ORDER BY scrdcalc.dst_num, scrdcalc.dst_tye"/>
  </connection>
  <connection id="3" name="DATABRIDGE2" type="1" refreshedVersion="3" background="1" saveData="1">
    <dbPr connection="Description=DATABRIDGE;DRIVER=SQL Server;SERVER=MDEDATAB;UID=databridge_ro;;APP=Microsoft Data Access Components;WSID=PFDCTW0S71" command="SELECT expenditures2.dat_yer, expenditures2.dst_num, expenditures2.dst_tye, expenditures2.fun_num, expenditures2.prg_num, expenditures2.fna_num, expenditures2.obj_num, expenditures2.tot_amt_x000d__x000a_FROM DataBridge.databridge_app_user.expenditures2 expenditures2_x000d__x000a_WHERE (expenditures2.dat_yer='08-09') AND (expenditures2.dst_tye&lt;=3) AND (expenditures2.fun_num=4) AND (expenditures2.fna_num=344) OR (expenditures2.dat_yer='08-09') AND (expenditures2.dst_tye&lt;=3) AND (expenditures2.fun_num=4) AND (expenditures2.prg_num=582) AND (expenditures2.fna_num&lt;&gt;344)_x000d__x000a_ORDER BY expenditures2.dst_num, expenditures2.dst_tye"/>
  </connection>
  <connection id="4" name="DATABRIDGE3" type="1" refreshedVersion="3" background="1" saveData="1">
    <dbPr connection="Description=DATABRIDGE;DRIVER=SQL Server;SERVER=MDEDATAB;UID=databridge_ro;;APP=Microsoft Data Access Components;WSID=PFDCTW0S71" command="SELECT revenues2.dat_yer, revenues2.dst_num, revenues2.dst_tye, revenues2.fun_num, revenues2.prg_num, revenues2.fna_num, revenues2.gen_lgr_num, revenues2.src_num, revenues2.tot_amt_x000d__x000a_FROM DataBridge.databridge_app_user.revenues2 revenues2_x000d__x000a_WHERE (revenues2.dat_yer='08-09') AND (revenues2.dst_tye&lt;=3) AND (revenues2.fun_num=4) AND (revenues2.fna_num=344) OR (revenues2.dat_yer='08-09') AND (revenues2.dst_tye&lt;=3) AND (revenues2.fun_num=4) AND (revenues2.prg_num=582) AND (revenues2.fna_num&lt;&gt;344)_x000d__x000a_ORDER BY revenues2.dst_num, revenues2.dst_tye"/>
  </connection>
  <connection id="5" name="DATABRIDGE4" type="1" refreshedVersion="3" background="1" saveData="1">
    <dbPr connection="Description=DATABRIDGE;DRIVER=SQL Server;SERVER=MDEDATAB;UID=databridge_ro;;APP=Microsoft Data Access Components;WSID=PFDCTW0S71" command="SELECT scrdcalc.dat_yer, scrdcalc.dst_num, scrdcalc.dst_tye, scrdcalc.py3_aud_clo_fub, scrdcalc.py2_aud_clo_fub, scrdcalc.pyr_aud_clo_fub_x000d__x000a_FROM DataBridge.databridge_app_user.scrdcalc scrdcalc_x000d__x000a_WHERE (scrdcalc.dat_yer='09-10')_x000d__x000a_ORDER BY scrdcalc.dst_num, scrdcalc.dst_tye"/>
  </connection>
  <connection id="6" name="DATABRIDGE5" type="1" refreshedVersion="3" background="1" saveData="1">
    <dbPr connection="Description=DATABRIDGE;DRIVER=SQL Server;SERVER=MDEDATAB;UID=databridge_ro;;APP=Microsoft Data Access Components;WSID=PFDCTW0S71" command="SELECT orgunit.dat_yer, orgunit.uni_maj, orgunit.uni_tye, orgunit.uni_imd, orgunit.uni_nam, orgunit.atv_sts_x000d__x000a_FROM DataBridge.databridge_app_user.orgunit orgunit_x000d__x000a_WHERE (orgunit.dat_yer='09-10') AND (orgunit.uni_tye&lt;=3) AND (orgunit.uni_imd=0) AND (orgunit.atv_sts='A')_x000d__x000a_ORDER BY orgunit.uni_maj, orgunit.uni_tye"/>
  </connection>
</connections>
</file>

<file path=xl/sharedStrings.xml><?xml version="1.0" encoding="utf-8"?>
<sst xmlns="http://schemas.openxmlformats.org/spreadsheetml/2006/main" count="7071" uniqueCount="451">
  <si>
    <t>Revenue</t>
  </si>
  <si>
    <t>Program Coordinator</t>
  </si>
  <si>
    <t>Contractual/Consultant Services</t>
  </si>
  <si>
    <t>Telephone</t>
  </si>
  <si>
    <t>Postage</t>
  </si>
  <si>
    <t>In-state Travel Staff/Training</t>
  </si>
  <si>
    <t>dat_yer</t>
  </si>
  <si>
    <t>dst_num</t>
  </si>
  <si>
    <t>dst_tye</t>
  </si>
  <si>
    <t>fun_num</t>
  </si>
  <si>
    <t>prg_num</t>
  </si>
  <si>
    <t>tot_amt</t>
  </si>
  <si>
    <t>obj_num</t>
  </si>
  <si>
    <t>fna_num</t>
  </si>
  <si>
    <t>src_num</t>
  </si>
  <si>
    <t>uni_nam</t>
  </si>
  <si>
    <t>uni_maj</t>
  </si>
  <si>
    <t>uni_tye</t>
  </si>
  <si>
    <t>uni_imd</t>
  </si>
  <si>
    <t>AITKIN PUBLIC SCHOOL DISTRICT</t>
  </si>
  <si>
    <t>MINNEAPOLIS PUBLIC SCHOOL DIST.</t>
  </si>
  <si>
    <t>HILL CITY PUBLIC SCHOOL DISTRICT</t>
  </si>
  <si>
    <t>MCGREGOR PUBLIC SCHOOL DISTRICT</t>
  </si>
  <si>
    <t>SOUTH ST. PAUL PUBLIC SCHOOL DIST.</t>
  </si>
  <si>
    <t>ANOKA-HENNEPIN PUBLIC SCHOOL DIST.</t>
  </si>
  <si>
    <t>CENTENNIAL PUBLIC SCHOOL DISTRICT</t>
  </si>
  <si>
    <t>COLUMBIA HEIGHTS PUBLIC SCHOOL DIST</t>
  </si>
  <si>
    <t>FRIDLEY PUBLIC SCHOOL DISTRICT</t>
  </si>
  <si>
    <t>ST. FRANCIS PUBLIC SCHOOL DISTRICT</t>
  </si>
  <si>
    <t>SPRING LAKE PARK PUBLIC SCHOOLS</t>
  </si>
  <si>
    <t>DETROIT LAKES PUBLIC SCHOOL DIST.</t>
  </si>
  <si>
    <t>FRAZEE-VERGAS PUBLIC SCHOOL DIST.</t>
  </si>
  <si>
    <t>PINE POINT PUBLIC SCHOOL DISTRICT</t>
  </si>
  <si>
    <t>BEMIDJI PUBLIC SCHOOL DISTRICT</t>
  </si>
  <si>
    <t>BLACKDUCK PUBLIC SCHOOL DISTRICT</t>
  </si>
  <si>
    <t>KELLIHER PUBLIC SCHOOL DISTRICT</t>
  </si>
  <si>
    <t>RED LAKE PUBLIC SCHOOL DISTRICT</t>
  </si>
  <si>
    <t>SAUK RAPIDS PUBLIC SCHOOL DISTRICT</t>
  </si>
  <si>
    <t>FOLEY PUBLIC SCHOOL DISTRICT</t>
  </si>
  <si>
    <t>ST. CLAIR PUBLIC SCHOOL DISTRICT</t>
  </si>
  <si>
    <t>MANKATO PUBLIC SCHOOL DISTRICT</t>
  </si>
  <si>
    <t>COMFREY PUBLIC SCHOOL DISTRICT</t>
  </si>
  <si>
    <t>SLEEPY EYE PUBLIC SCHOOL DISTRICT</t>
  </si>
  <si>
    <t>SPRINGFIELD PUBLIC SCHOOL DISTRICT</t>
  </si>
  <si>
    <t>NEW ULM PUBLIC SCHOOL DISTRICT</t>
  </si>
  <si>
    <t>BARNUM PUBLIC SCHOOL DISTRICT</t>
  </si>
  <si>
    <t>CARLTON PUBLIC SCHOOL DISTRICT</t>
  </si>
  <si>
    <t>CLOQUET PUBLIC SCHOOL DISTRICT</t>
  </si>
  <si>
    <t>CROMWELL-WRIGHT PUBLIC SCHOOLS</t>
  </si>
  <si>
    <t>MOOSE LAKE PUBLIC SCHOOL DISTRICT</t>
  </si>
  <si>
    <t>ESKO PUBLIC SCHOOL DISTRICT</t>
  </si>
  <si>
    <t>WRENSHALL PUBLIC SCHOOL DISTRICT</t>
  </si>
  <si>
    <t>NORWOOD PUBLIC SCHOOL DISTRICT</t>
  </si>
  <si>
    <t>WACONIA PUBLIC SCHOOL DISTRICT</t>
  </si>
  <si>
    <t>WATERTOWN-MAYER PUBLIC SCHOOL DIST.</t>
  </si>
  <si>
    <t>WALKER-HACKENSACK-AKELEY SCHL. DIST</t>
  </si>
  <si>
    <t>CASS LAKE-BENA PUBLIC SCHOOLS</t>
  </si>
  <si>
    <t>PILLAGER PUBLIC SCHOOL DISTRICT</t>
  </si>
  <si>
    <t>NORTHLAND COMMUNITY SCHOOLS</t>
  </si>
  <si>
    <t>MONTEVIDEO PUBLIC SCHOOL DISTRICT</t>
  </si>
  <si>
    <t>NORTH BRANCH PUBLIC SCHOOLS</t>
  </si>
  <si>
    <t>RUSH CITY PUBLIC SCHOOL DISTRICT</t>
  </si>
  <si>
    <t>BARNESVILLE PUBLIC SCHOOL DIST.</t>
  </si>
  <si>
    <t>HAWLEY PUBLIC SCHOOL DISTRICT</t>
  </si>
  <si>
    <t>MOORHEAD PUBLIC SCHOOL DISTRICT</t>
  </si>
  <si>
    <t>BAGLEY PUBLIC SCHOOL DISTRICT</t>
  </si>
  <si>
    <t>COOK COUNTY PUBLIC SCHOOLS</t>
  </si>
  <si>
    <t>MOUNTAIN LAKE PUBLIC SCHOOLS</t>
  </si>
  <si>
    <t>WINDOM PUBLIC SCHOOL DISTRICT</t>
  </si>
  <si>
    <t>BRAINERD PUBLIC SCHOOL DISTRICT</t>
  </si>
  <si>
    <t>CROSBY-IRONTON PUBLIC SCHOOL DIST.</t>
  </si>
  <si>
    <t>PEQUOT LAKES PUBLIC SCHOOLS</t>
  </si>
  <si>
    <t>BURNSVILLE PUBLIC SCHOOL DISTRICT</t>
  </si>
  <si>
    <t>FARMINGTON PUBLIC SCHOOL DISTRICT</t>
  </si>
  <si>
    <t>LAKEVILLE PUBLIC SCHOOL DISTRICT</t>
  </si>
  <si>
    <t>RANDOLPH PUBLIC SCHOOL DISTRICT</t>
  </si>
  <si>
    <t>ROSEMOUNT-APPLE VALLEY-EAGAN</t>
  </si>
  <si>
    <t>WEST ST. PAUL-MENDOTA HTS.-EAGAN</t>
  </si>
  <si>
    <t>INVER GROVE HEIGHTS SCHOOLS</t>
  </si>
  <si>
    <t>HASTINGS PUBLIC SCHOOL DISTRICT</t>
  </si>
  <si>
    <t>HAYFIELD PUBLIC SCHOOL DISTRICT</t>
  </si>
  <si>
    <t>ALEXANDRIA PUBLIC SCHOOL DISTRICT</t>
  </si>
  <si>
    <t>BRANDON PUBLIC SCHOOL DISTRICT</t>
  </si>
  <si>
    <t>EVANSVILLE PUBLIC SCHOOL DISTRICT</t>
  </si>
  <si>
    <t>OSAKIS PUBLIC SCHOOL DISTRICT</t>
  </si>
  <si>
    <t>CHATFIELD PUBLIC SCHOOLS</t>
  </si>
  <si>
    <t>LANESBORO PUBLIC SCHOOL DISTRICT</t>
  </si>
  <si>
    <t>MABEL-CANTON PUBLIC SCHOOL DIST.</t>
  </si>
  <si>
    <t>ALBERT LEA PUBLIC SCHOOL DISTRICT</t>
  </si>
  <si>
    <t>ALDEN-CONGER PUBLIC SCHOOL DISTRICT</t>
  </si>
  <si>
    <t>CANNON FALLS PUBLIC SCHOOL DISTRICT</t>
  </si>
  <si>
    <t>GOODHUE PUBLIC SCHOOL DISTRICT</t>
  </si>
  <si>
    <t>PINE ISLAND PUBLIC SCHOOL DIST.</t>
  </si>
  <si>
    <t>RED WING PUBLIC SCHOOL DISTRICT</t>
  </si>
  <si>
    <t>ASHBY PUBLIC SCHOOL DISTRICT</t>
  </si>
  <si>
    <t>HERMAN-NORCROSS SCHOOL DISTRICT</t>
  </si>
  <si>
    <t>HOPKINS PUBLIC SCHOOL DISTRICT</t>
  </si>
  <si>
    <t>BLOOMINGTON PUBLIC SCHOOL DISTRICT</t>
  </si>
  <si>
    <t>EDEN PRAIRIE PUBLIC SCHOOL DISTRICT</t>
  </si>
  <si>
    <t>EDINA PUBLIC SCHOOL DISTRICT</t>
  </si>
  <si>
    <t>MINNETONKA PUBLIC SCHOOL DISTRICT</t>
  </si>
  <si>
    <t>WESTONKA PUBLIC SCHOOL DISTRICT</t>
  </si>
  <si>
    <t>ORONO PUBLIC SCHOOL DISTRICT</t>
  </si>
  <si>
    <t>OSSEO PUBLIC SCHOOL DISTRICT</t>
  </si>
  <si>
    <t>RICHFIELD PUBLIC SCHOOL DISTRICT</t>
  </si>
  <si>
    <t>ROBBINSDALE PUBLIC SCHOOL DISTRICT</t>
  </si>
  <si>
    <t>ST. ANTHONY-NEW BRIGHTON SCHOOLS</t>
  </si>
  <si>
    <t>ST. LOUIS PARK PUBLIC SCHOOL DIST.</t>
  </si>
  <si>
    <t>WAYZATA PUBLIC SCHOOL DISTRICT</t>
  </si>
  <si>
    <t>BROOKLYN CENTER SCHOOL DISTRICT</t>
  </si>
  <si>
    <t>HOUSTON PUBLIC SCHOOL DISTRICT</t>
  </si>
  <si>
    <t>SPRING GROVE SCHOOL DISTRICT</t>
  </si>
  <si>
    <t>CALEDONIA PUBLIC SCHOOL DISTRICT</t>
  </si>
  <si>
    <t>LACRESCENT-HOKAH SCHOOL DISTRICT</t>
  </si>
  <si>
    <t>LAPORTE PUBLIC SCHOOL DISTRICT</t>
  </si>
  <si>
    <t>NEVIS PUBLIC SCHOOL DISTRICT</t>
  </si>
  <si>
    <t>PARK RAPIDS PUBLIC SCHOOL DISTRICT</t>
  </si>
  <si>
    <t>BRAHAM PUBLIC SCHOOL DISTRICT</t>
  </si>
  <si>
    <t>GREENWAY PUBLIC SCHOOL DISTRICT</t>
  </si>
  <si>
    <t>DEER RIVER PUBLIC SCHOOL DISTRICT</t>
  </si>
  <si>
    <t>GRAND RAPIDS PUBLIC SCHOOL DISTRICT</t>
  </si>
  <si>
    <t>NASHWAUK-KEEWATIN SCHOOL DISTRICT</t>
  </si>
  <si>
    <t>HERON LAKE-OKABENA SCHOOL DISTRICT</t>
  </si>
  <si>
    <t>MORA PUBLIC SCHOOL DISTRICT</t>
  </si>
  <si>
    <t>OGILVIE PUBLIC SCHOOL DISTRICT</t>
  </si>
  <si>
    <t>NEW LONDON-SPICER SCHOOL DISTRICT</t>
  </si>
  <si>
    <t>WILLMAR PUBLIC SCHOOL DISTRICT</t>
  </si>
  <si>
    <t>LANCASTER PUBLIC SCHOOL DISTRICT</t>
  </si>
  <si>
    <t>INTERNATIONAL FALLS SCHOOL DISTRICT</t>
  </si>
  <si>
    <t>LITTLEFORK-BIG FALLS SCHOOL DIST.</t>
  </si>
  <si>
    <t>SOUTH KOOCHICHING SCHOOL DISTRICT</t>
  </si>
  <si>
    <t>DAWSON-BOYD PUBLIC SCHOOL DISTRICT</t>
  </si>
  <si>
    <t>LAKE SUPERIOR PUBLIC SCHOOL DIST.</t>
  </si>
  <si>
    <t>LAKE OF THE WOODS SCHOOL DISTRICT</t>
  </si>
  <si>
    <t>CLEVELAND PUBLIC SCHOOL DISTRICT</t>
  </si>
  <si>
    <t>LECENTER PUBLIC SCHOOL DISTRICT</t>
  </si>
  <si>
    <t>MONTGOMERY-LONSDALE SCHOOL DISTRICT</t>
  </si>
  <si>
    <t>HENDRICKS PUBLIC SCHOOL DISTRICT</t>
  </si>
  <si>
    <t>IVANHOE PUBLIC SCHOOL DISTRICT</t>
  </si>
  <si>
    <t>LAKE BENTON PUBLIC SCHOOL DISTRICT</t>
  </si>
  <si>
    <t>MARSHALL PUBLIC SCHOOL DISTRICT</t>
  </si>
  <si>
    <t>MINNEOTA PUBLIC SCHOOL DISTRICT</t>
  </si>
  <si>
    <t>LYND PUBLIC SCHOOL DISTRICT</t>
  </si>
  <si>
    <t>HUTCHINSON PUBLIC SCHOOL DISTRICT</t>
  </si>
  <si>
    <t>LESTER PRAIRIE PUBLIC SCHOOL DIST.</t>
  </si>
  <si>
    <t>MAHNOMEN PUBLIC SCHOOL DISTRICT</t>
  </si>
  <si>
    <t>WAUBUN PUBLIC SCHOOL DISTRICT</t>
  </si>
  <si>
    <t>MARSHALL COUNTY CENTRAL SCHOOLS</t>
  </si>
  <si>
    <t>GRYGLA PUBLIC SCHOOL DISTRICT</t>
  </si>
  <si>
    <t>TRUMAN PUBLIC SCHOOL DISTRICT</t>
  </si>
  <si>
    <t>EDEN VALLEY-WATKINS SCHOOL DISTRICT</t>
  </si>
  <si>
    <t>LITCHFIELD PUBLIC SCHOOL DISTRICT</t>
  </si>
  <si>
    <t>DASSEL-COKATO PUBLIC SCHOOL DIST.</t>
  </si>
  <si>
    <t>ISLE PUBLIC SCHOOL DISTRICT</t>
  </si>
  <si>
    <t>PRINCETON PUBLIC SCHOOL DISTRICT</t>
  </si>
  <si>
    <t>ONAMIA PUBLIC SCHOOL DISTRICT</t>
  </si>
  <si>
    <t>LITTLE FALLS PUBLIC SCHOOL DISTRICT</t>
  </si>
  <si>
    <t>PIERZ PUBLIC SCHOOL DISTRICT</t>
  </si>
  <si>
    <t>ROYALTON PUBLIC SCHOOL DISTRICT</t>
  </si>
  <si>
    <t>SWANVILLE PUBLIC SCHOOL DISTRICT</t>
  </si>
  <si>
    <t>UPSALA PUBLIC SCHOOL DISTRICT</t>
  </si>
  <si>
    <t>AUSTIN PUBLIC SCHOOL DISTRICT</t>
  </si>
  <si>
    <t>GRAND MEADOW PUBLIC SCHOOL DISTRICT</t>
  </si>
  <si>
    <t>LYLE PUBLIC SCHOOL DISTRICT</t>
  </si>
  <si>
    <t>LEROY PUBLIC SCHOOL DISTRICT</t>
  </si>
  <si>
    <t>SOUTHLAND PUBLIC SCHOOL DISTRICT</t>
  </si>
  <si>
    <t>FULDA PUBLIC SCHOOL DISTRICT</t>
  </si>
  <si>
    <t>NICOLLET PUBLIC SCHOOL DISTRICT</t>
  </si>
  <si>
    <t>ST. PETER PUBLIC SCHOOL DISTRICT</t>
  </si>
  <si>
    <t>ADRIAN PUBLIC SCHOOL DISTRICT</t>
  </si>
  <si>
    <t>BREWSTER PUBLIC SCHOOL DISTRICT</t>
  </si>
  <si>
    <t>ELLSWORTH PUBLIC SCHOOL DISTRICT</t>
  </si>
  <si>
    <t>ROUND LAKE PUBLIC SCHOOL DISTRICT</t>
  </si>
  <si>
    <t>WORTHINGTON PUBLIC SCHOOL DISTRICT</t>
  </si>
  <si>
    <t>BYRON PUBLIC SCHOOL DISTRICT</t>
  </si>
  <si>
    <t>DOVER-EYOTA PUBLIC SCHOOL DISTRICT</t>
  </si>
  <si>
    <t>STEWARTVILLE PUBLIC SCHOOL DISTRICT</t>
  </si>
  <si>
    <t>ROCHESTER PUBLIC SCHOOL DISTRICT</t>
  </si>
  <si>
    <t>BATTLE LAKE PUBLIC SCHOOL DISTRICT</t>
  </si>
  <si>
    <t>FERGUS FALLS PUBLIC SCHOOL DISTRICT</t>
  </si>
  <si>
    <t>HENNING PUBLIC SCHOOL DISTRICT</t>
  </si>
  <si>
    <t>PARKERS PRAIRIE PUBLIC SCHOOL DIST.</t>
  </si>
  <si>
    <t>PELICAN RAPIDS PUBLIC SCHOOL DIST.</t>
  </si>
  <si>
    <t>PERHAM PUBLIC SCHOOL DISTRICT</t>
  </si>
  <si>
    <t>UNDERWOOD PUBLIC SCHOOL DISTRICT</t>
  </si>
  <si>
    <t>NEW YORK MILLS PUBLIC SCHOOL DIST.</t>
  </si>
  <si>
    <t>GOODRIDGE PUBLIC SCHOOL DISTRICT</t>
  </si>
  <si>
    <t>THIEF RIVER FALLS SCHOOL DISTRICT</t>
  </si>
  <si>
    <t>WILLOW RIVER PUBLIC SCHOOL DISTRICT</t>
  </si>
  <si>
    <t>PINE CITY PUBLIC SCHOOL DISTRICT</t>
  </si>
  <si>
    <t>EDGERTON PUBLIC SCHOOL DISTRICT</t>
  </si>
  <si>
    <t>CLIMAX PUBLIC SCHOOL DISTRICT</t>
  </si>
  <si>
    <t>CROOKSTON PUBLIC SCHOOL DISTRICT</t>
  </si>
  <si>
    <t>EAST GRAND FORKS PUBLIC SCHOOL DIST</t>
  </si>
  <si>
    <t>FERTILE-BELTRAMI SCHOOL DISTRICT</t>
  </si>
  <si>
    <t>FISHER PUBLIC SCHOOL DISTRICT</t>
  </si>
  <si>
    <t>FOSSTON PUBLIC SCHOOL DISTRICT</t>
  </si>
  <si>
    <t>CYRUS PUBLIC SCHOOL DISTRICT</t>
  </si>
  <si>
    <t>MOUNDS VIEW PUBLIC SCHOOL DISTRICT</t>
  </si>
  <si>
    <t>NORTH ST PAUL-MAPLEWOOD SCHOOL DIST</t>
  </si>
  <si>
    <t>ROSEVILLE PUBLIC SCHOOL DISTRICT</t>
  </si>
  <si>
    <t>WHITE BEAR LAKE SCHOOL DISTRICT</t>
  </si>
  <si>
    <t>ST. PAUL PUBLIC SCHOOL DISTRICT</t>
  </si>
  <si>
    <t>OKLEE PUBLIC SCHOOL DISTRICT</t>
  </si>
  <si>
    <t>PLUMMER PUBLIC SCHOOL DISTRICT</t>
  </si>
  <si>
    <t>RED LAKE FALLS PUBLIC SCHOOL DIST.</t>
  </si>
  <si>
    <t>MILROY PUBLIC SCHOOL DISTRICT</t>
  </si>
  <si>
    <t>WABASSO PUBLIC SCHOOL DISTRICT</t>
  </si>
  <si>
    <t>FARIBAULT PUBLIC SCHOOL DISTRICT</t>
  </si>
  <si>
    <t>NORTHFIELD PUBLIC SCHOOL DISTRICT</t>
  </si>
  <si>
    <t>HILLS-BEAVER CREEK SCHOOL DISTRICT</t>
  </si>
  <si>
    <t>BADGER PUBLIC SCHOOL DISTRICT</t>
  </si>
  <si>
    <t>ROSEAU PUBLIC SCHOOL DISTRICT</t>
  </si>
  <si>
    <t>WARROAD PUBLIC SCHOOL DISTRICT</t>
  </si>
  <si>
    <t>CHISHOLM PUBLIC SCHOOL DISTRICT</t>
  </si>
  <si>
    <t>ELY PUBLIC SCHOOL DISTRICT</t>
  </si>
  <si>
    <t>FLOODWOOD PUBLIC SCHOOL DISTRICT</t>
  </si>
  <si>
    <t>HERMANTOWN PUBLIC SCHOOL DISTRICT</t>
  </si>
  <si>
    <t>HIBBING PUBLIC SCHOOL DISTRICT</t>
  </si>
  <si>
    <t>PROCTOR PUBLIC SCHOOL DISTRICT</t>
  </si>
  <si>
    <t>VIRGINIA PUBLIC SCHOOL DISTRICT</t>
  </si>
  <si>
    <t>NETT LAKE PUBLIC SCHOOL DISTRICT</t>
  </si>
  <si>
    <t>DULUTH PUBLIC SCHOOL DISTRICT</t>
  </si>
  <si>
    <t>MOUNTAIN IRON-BUHL SCHOOL DISTRICT</t>
  </si>
  <si>
    <t>BELLE PLAINE PUBLIC SCHOOL DISTRICT</t>
  </si>
  <si>
    <t>JORDAN PUBLIC SCHOOL DISTRICT</t>
  </si>
  <si>
    <t>PRIOR LAKE-SAVAGE AREA SCHOOLS</t>
  </si>
  <si>
    <t>SHAKOPEE PUBLIC SCHOOL DISTRICT</t>
  </si>
  <si>
    <t>NEW PRAGUE AREA SCHOOLS</t>
  </si>
  <si>
    <t>BECKER PUBLIC SCHOOL DISTRICT</t>
  </si>
  <si>
    <t>BIG LAKE PUBLIC SCHOOL DISTRICT</t>
  </si>
  <si>
    <t>ELK RIVER PUBLIC SCHOOL DISTRICT</t>
  </si>
  <si>
    <t>HOLDINGFORD PUBLIC SCHOOL DISTRICT</t>
  </si>
  <si>
    <t>KIMBALL PUBLIC SCHOOL DISTRICT</t>
  </si>
  <si>
    <t>MELROSE PUBLIC SCHOOL DISTRICT</t>
  </si>
  <si>
    <t>PAYNESVILLE PUBLIC SCHOOL DISTRICT</t>
  </si>
  <si>
    <t>ST. CLOUD PUBLIC SCHOOL DISTRICT</t>
  </si>
  <si>
    <t>SAUK CENTRE PUBLIC SCHOOL DISTRICT</t>
  </si>
  <si>
    <t>ALBANY PUBLIC SCHOOL DISTRICT</t>
  </si>
  <si>
    <t>SARTELL-ST. STEPHEN SCHOOL DISTRICT</t>
  </si>
  <si>
    <t>ROCORI PUBLIC SCHOOL DISTRICT</t>
  </si>
  <si>
    <t>BLOOMING PRAIRIE PUBLIC SCHOOL DIST</t>
  </si>
  <si>
    <t>OWATONNA PUBLIC SCHOOL DISTRICT</t>
  </si>
  <si>
    <t>MEDFORD PUBLIC SCHOOL DISTRICT</t>
  </si>
  <si>
    <t>HANCOCK PUBLIC SCHOOL DISTRICT</t>
  </si>
  <si>
    <t>MORRIS PUBLIC SCHOOL DISTRICT</t>
  </si>
  <si>
    <t>CHOKIO-ALBERTA PUBLIC SCHOOL DIST.</t>
  </si>
  <si>
    <t>KERKHOVEN-MURDOCK-SUNBURG</t>
  </si>
  <si>
    <t>BENSON PUBLIC SCHOOL DISTRICT</t>
  </si>
  <si>
    <t>BERTHA-HEWITT PUBLIC SCHOOL DIST.</t>
  </si>
  <si>
    <t>BROWERVILLE PUBLIC SCHOOL DISTRICT</t>
  </si>
  <si>
    <t>BROWNS VALLEY PUBLIC SCHOOL DIST.</t>
  </si>
  <si>
    <t>WHEATON AREA PUBLIC SCHOOL DISTRICT</t>
  </si>
  <si>
    <t>WABASHA-KELLOGG PUBLIC SCHOOL DIST.</t>
  </si>
  <si>
    <t>LAKE CITY PUBLIC SCHOOL DISTRICT</t>
  </si>
  <si>
    <t>PRINSBURG PUBLIC SCHOOL DISTRICT</t>
  </si>
  <si>
    <t>VERNDALE PUBLIC SCHOOL DISTRICT</t>
  </si>
  <si>
    <t>SEBEKA PUBLIC SCHOOL DISTRICT</t>
  </si>
  <si>
    <t>MENAHGA PUBLIC SCHOOL DISTRICT</t>
  </si>
  <si>
    <t>WASECA PUBLIC SCHOOL DISTRICT</t>
  </si>
  <si>
    <t>FOREST LAKE PUBLIC SCHOOL DISTRICT</t>
  </si>
  <si>
    <t>MAHTOMEDI PUBLIC SCHOOL DISTRICT</t>
  </si>
  <si>
    <t>SOUTH WASHINGTON COUNTY SCHOOL DIST</t>
  </si>
  <si>
    <t>STILLWATER AREA PUBLIC SCHOOL DIST.</t>
  </si>
  <si>
    <t>BUTTERFIELD PUBLIC SCHOOL DISTRICT</t>
  </si>
  <si>
    <t>MADELIA PUBLIC SCHOOL DISTRICT</t>
  </si>
  <si>
    <t>ST. JAMES PUBLIC SCHOOL DISTRICT</t>
  </si>
  <si>
    <t>BRECKENRIDGE PUBLIC SCHOOL DISTRICT</t>
  </si>
  <si>
    <t>ROTHSAY PUBLIC SCHOOL DISTRICT</t>
  </si>
  <si>
    <t>CAMPBELL-TINTAH PUBLIC SCHOOL DIST.</t>
  </si>
  <si>
    <t>LEWISTON-ALTURA PUBLIC SCHOOL DIST.</t>
  </si>
  <si>
    <t>ST. CHARLES PUBLIC SCHOOL DISTRICT</t>
  </si>
  <si>
    <t>WINONA AREA PUBLIC SCHOOL DISTRICT</t>
  </si>
  <si>
    <t>ANNANDALE PUBLIC SCHOOL DISTRICT</t>
  </si>
  <si>
    <t>BUFFALO PUBLIC SCHOOL DISTRICT</t>
  </si>
  <si>
    <t>DELANO PUBLIC SCHOOL DISTRICT</t>
  </si>
  <si>
    <t>MAPLE LAKE PUBLIC SCHOOL DISTRICT</t>
  </si>
  <si>
    <t>MONTICELLO PUBLIC SCHOOL DISTRICT</t>
  </si>
  <si>
    <t>ROCKFORD PUBLIC SCHOOL DISTRICT</t>
  </si>
  <si>
    <t>ST. MICHAEL-ALBERTVILLE SCHOOL DIST</t>
  </si>
  <si>
    <t>CANBY PUBLIC SCHOOL DISTRICT</t>
  </si>
  <si>
    <t>CAMBRIDGE-ISANTI PUBLIC SCHOOL DIST</t>
  </si>
  <si>
    <t>MILACA PUBLIC SCHOOL DISTRICT</t>
  </si>
  <si>
    <t>ULEN-HITTERDAL PUBLIC SCHOOL DIST</t>
  </si>
  <si>
    <t>LAKE CRYSTAL-WELLCOME MEMORIAL</t>
  </si>
  <si>
    <t>TRITON SCHOOL DISTRICT</t>
  </si>
  <si>
    <t>UNITED SOUTH CENTRAL SCHOOL DIST.</t>
  </si>
  <si>
    <t>MAPLE RIVER SCHOOL DISTRICT</t>
  </si>
  <si>
    <t>KINGSLAND PUBLIC SCHOOL DISTRICT</t>
  </si>
  <si>
    <t>ST. LOUIS COUNTY SCHOOL DISTRICT</t>
  </si>
  <si>
    <t>WATERVILLE-ELYSIAN-MORRISTOWN</t>
  </si>
  <si>
    <t>CHISAGO LAKES SCHOOL DISTRICT</t>
  </si>
  <si>
    <t>MINNEWASKA SCHOOL DISTRICT</t>
  </si>
  <si>
    <t>EVELETH-GILBERT SCHOOL DISTRICT</t>
  </si>
  <si>
    <t>WADENA-DEER CREEK SCHOOL DISTRICT</t>
  </si>
  <si>
    <t>BUFFALO LAKE-HECTOR SCHOOL DISTRICT</t>
  </si>
  <si>
    <t>DILWORTH-GLYNDON-FELTON</t>
  </si>
  <si>
    <t>HINCKLEY-FINLAYSON SCHOOL DISTRICT</t>
  </si>
  <si>
    <t>LAKEVIEW SCHOOL DISTRICT</t>
  </si>
  <si>
    <t>MURRAY COUNTY CENTRAL SCHOOL DIST.</t>
  </si>
  <si>
    <t>STAPLES-MOTLEY SCHOOL DISTRICT</t>
  </si>
  <si>
    <t>KITTSON CENTRAL SCHOOL DISTRICT</t>
  </si>
  <si>
    <t>KENYON-WANAMINGO SCHOOL DISTRICT</t>
  </si>
  <si>
    <t>PINE RIVER-BACKUS SCHOOL DISTRICT</t>
  </si>
  <si>
    <t>WARREN-ALVARADO-OSLO SCHOOL DIST.</t>
  </si>
  <si>
    <t>M.A.C.C.R.A.Y. SCHOOL DISTRICT</t>
  </si>
  <si>
    <t>LUVERNE PUBLIC SCHOOL DISTRICT</t>
  </si>
  <si>
    <t>YELLOW MEDICINE EAST</t>
  </si>
  <si>
    <t>FILLMORE CENTRAL</t>
  </si>
  <si>
    <t>NORMAN COUNTY EAST SCHOOL DISTRICT</t>
  </si>
  <si>
    <t>SIBLEY EAST SCHOOL DISTRICT</t>
  </si>
  <si>
    <t>CLEARBROOK-GONVICK SCHOOL DISTRICT</t>
  </si>
  <si>
    <t>WEST CENTRAL AREA</t>
  </si>
  <si>
    <t>TRI-COUNTY SCHOOL DISTRICT</t>
  </si>
  <si>
    <t>BELGRADE-BROOTEN-ELROSA SCHOOL DIST</t>
  </si>
  <si>
    <t>G.F.W.</t>
  </si>
  <si>
    <t>A.C.G.C.</t>
  </si>
  <si>
    <t>LESUEUR-HENDERSON SCHOOL DISTRICT</t>
  </si>
  <si>
    <t>MARTIN COUNTY WEST SCHOOL DISTRICT</t>
  </si>
  <si>
    <t>NORMAN COUNTY WEST SCHOOL DISTRICT</t>
  </si>
  <si>
    <t>BIRD ISLAND-OLIVIA-LAKE LILLIAN</t>
  </si>
  <si>
    <t>EAST CENTRAL SCHOOL DISTRICT</t>
  </si>
  <si>
    <t>WIN-E-MAC SCHOOL DISTRICT</t>
  </si>
  <si>
    <t>GREENBUSH-MIDDLE RIVER SCHOOL DIST.</t>
  </si>
  <si>
    <t>HOWARD LAKE-WAVERLY-WINSTED</t>
  </si>
  <si>
    <t>PIPESTONE AREA SCHOOL DISTRICT</t>
  </si>
  <si>
    <t>MESABI EAST SCHOOL DISTRICT</t>
  </si>
  <si>
    <t>FAIRMONT AREA SCHOOL DISTRICT</t>
  </si>
  <si>
    <t>LONG PRAIRIE-GREY EAGLE SCHOOL DIST</t>
  </si>
  <si>
    <t>CEDAR MOUNTAIN SCHOOL DISTRICT</t>
  </si>
  <si>
    <t>EAGLE VALLEY PUBLIC SCHOOL DISTRICT</t>
  </si>
  <si>
    <t>ZUMBROTA-MAZEPPA SCHOOL DISTRICT</t>
  </si>
  <si>
    <t>JANESVILLE-WALDORF-PEMBERTON</t>
  </si>
  <si>
    <t>LAC QUI PARLE VALLEY SCHOOL DIST.</t>
  </si>
  <si>
    <t>ADA-BORUP PUBLIC SCHOOL DISTRICT</t>
  </si>
  <si>
    <t>STEPHEN-ARGYLE CENTRAL SCHOOLS</t>
  </si>
  <si>
    <t>GLENCOE-SILVER LAKE SCHOOL DISTRICT</t>
  </si>
  <si>
    <t>BLUE EARTH AREA PUBLIC SCHOOL</t>
  </si>
  <si>
    <t>RED ROCK CENTRAL SCHOOL DISTRICT</t>
  </si>
  <si>
    <t>CLINTON-GRACEVILLE-BEARDSLEY</t>
  </si>
  <si>
    <t>LAKE PARK AUDUBON SCHOOL DISTRICT</t>
  </si>
  <si>
    <t>RENVILLE COUNTY WEST SCHOOL DIST.</t>
  </si>
  <si>
    <t>JACKSON COUNTY CENTRAL SCHOOL DIST.</t>
  </si>
  <si>
    <t>REDWOOD AREA SCHOOL DISTRICT</t>
  </si>
  <si>
    <t>WESTBROOK-WALNUT GROVE SCHOOLS</t>
  </si>
  <si>
    <t>PLAINVIEW-ELGIN-MILLVILLE</t>
  </si>
  <si>
    <t>RTR PUBLIC SCHOOLS</t>
  </si>
  <si>
    <t>Licensed Instruction</t>
  </si>
  <si>
    <t>Non-Instructional</t>
  </si>
  <si>
    <t>100 Series - Salary</t>
  </si>
  <si>
    <t>Non-Licensed Instruction - Paraprofessionals</t>
  </si>
  <si>
    <t>200 Series - Benefits</t>
  </si>
  <si>
    <t>300 Series - Purchased Services</t>
  </si>
  <si>
    <t>Transportation - Field Trips</t>
  </si>
  <si>
    <t>All Other 300</t>
  </si>
  <si>
    <t>400 Series - Supplies &amp; Materials</t>
  </si>
  <si>
    <t>Beginning Fund Balance</t>
  </si>
  <si>
    <t>gen_lgr_num</t>
  </si>
  <si>
    <t>All Other Salary</t>
  </si>
  <si>
    <t>Equipment Leases</t>
  </si>
  <si>
    <t>Total Expenditures</t>
  </si>
  <si>
    <t>500 Series - Equipment</t>
  </si>
  <si>
    <t xml:space="preserve">Total Revenue </t>
  </si>
  <si>
    <t>Closing Fund Balance</t>
  </si>
  <si>
    <t>360, 365</t>
  </si>
  <si>
    <t>Column  A</t>
  </si>
  <si>
    <t>Column  B</t>
  </si>
  <si>
    <t>Column  C</t>
  </si>
  <si>
    <t>Column  D</t>
  </si>
  <si>
    <t>Subtotal 100 Series</t>
  </si>
  <si>
    <t>Subtotal 300 Series</t>
  </si>
  <si>
    <t>fy 2010 home visiting levy limit, hidden row</t>
  </si>
  <si>
    <t>ent_bef_xfb_adj</t>
  </si>
  <si>
    <t>ent_adj_xfb</t>
  </si>
  <si>
    <t>08-09</t>
  </si>
  <si>
    <t>Districts Submitting Combined Report:</t>
  </si>
  <si>
    <t>1000-Cityville, 2000-Countryland, 3001-Waterplace</t>
  </si>
  <si>
    <t>Enter the combined total amounts of revenue, expenditures and fund balance for all reporting districts in the yellow-shaded cells.</t>
  </si>
  <si>
    <t>FY 2012 (School Year 2011-2012)</t>
  </si>
  <si>
    <t>SCHOOL (LEARNING) READINESS</t>
  </si>
  <si>
    <t>001-999</t>
  </si>
  <si>
    <t>581 Prekindergarten Programs; 582 School Readiness</t>
  </si>
  <si>
    <t>110-305, 320-330, 350-366, 370, 390-391, 394-395, 398-430, 470, 490, 520-530, 555, 820</t>
  </si>
  <si>
    <t>09-10</t>
  </si>
  <si>
    <t>w/ 2887</t>
  </si>
  <si>
    <t>w/o 2887</t>
  </si>
  <si>
    <t>pct alloc</t>
  </si>
  <si>
    <t>2887 alloc</t>
  </si>
  <si>
    <t>col B - #2</t>
  </si>
  <si>
    <t>col C - #3</t>
  </si>
  <si>
    <t>col D - #4</t>
  </si>
  <si>
    <t>sum_143-199</t>
  </si>
  <si>
    <t>sum_200s</t>
  </si>
  <si>
    <t>sum_360-365</t>
  </si>
  <si>
    <t>sum_allother300s</t>
  </si>
  <si>
    <t>sum_400s</t>
  </si>
  <si>
    <t>sum_500s</t>
  </si>
  <si>
    <t>sum_800s</t>
  </si>
  <si>
    <t>OBJ_NUM</t>
  </si>
  <si>
    <t xml:space="preserve">School Readiness State Aid Entitlement </t>
  </si>
  <si>
    <t>py3_aud_clo_fub</t>
  </si>
  <si>
    <t>py2_aud_clo_fub</t>
  </si>
  <si>
    <t>pyr_aud_clo_fub</t>
  </si>
  <si>
    <t>atv_sts</t>
  </si>
  <si>
    <t>A</t>
  </si>
  <si>
    <t>GRANADA HUNTLEY-EAST CHAIN</t>
  </si>
  <si>
    <t>FRANCONIA PUBLIC SCHOOL DISTRICT</t>
  </si>
  <si>
    <t>GLENVILLE-EMMONS SCHOOL DISTRICT</t>
  </si>
  <si>
    <t>EASTERN CARVER COUNTY PUBLIC SCHOOL</t>
  </si>
  <si>
    <t>KASSON-MANTORVILLE SCHOOL DISTRICT</t>
  </si>
  <si>
    <t>RUSHFORD-PETERSON PUBLIC SCHOOLS</t>
  </si>
  <si>
    <t>NRHEG SCHOOL DISTRICT</t>
  </si>
  <si>
    <t>ORTONVILLE PUBLIC SCHOOLS</t>
  </si>
  <si>
    <t>TRACY AREA PUBLIC SCHOOL DISTRICT</t>
  </si>
  <si>
    <t>STATE TOTAL</t>
  </si>
  <si>
    <t>vlookup(</t>
  </si>
  <si>
    <t>Difference, Revenue - Expenditures</t>
  </si>
  <si>
    <r>
      <t xml:space="preserve">District Number:          </t>
    </r>
    <r>
      <rPr>
        <b/>
        <sz val="8"/>
        <rFont val="Arial"/>
        <family val="2"/>
      </rPr>
      <t>(Mpls = 9999; State = 1000)</t>
    </r>
  </si>
  <si>
    <t>820 - Dues, Membership, Licenses &amp; Fees</t>
  </si>
  <si>
    <t xml:space="preserve">Instructions to the User: Detailed instructions for completing the School Readiness Budget Planner are found below in a Word Document  embedded in this spreadsheet. To open and view the "Guide to Using the School Readiness Budget Planner" in Word, right-click once inside the text box below, and select "Document Object," then "Open." </t>
  </si>
  <si>
    <t>FY 2013 (School Year 2012-2013)</t>
  </si>
  <si>
    <t xml:space="preserve"> 04</t>
  </si>
  <si>
    <t>col E - #5</t>
  </si>
  <si>
    <t>col F - #6</t>
  </si>
  <si>
    <t>col G - #7</t>
  </si>
  <si>
    <t>First enter the district number, then enter revenue and expenditure data in yellow-shaded cells only.</t>
  </si>
  <si>
    <t>Expenditures by UFARS Object Code</t>
  </si>
  <si>
    <r>
      <t>Administration</t>
    </r>
    <r>
      <rPr>
        <i/>
        <sz val="8"/>
        <rFont val="Arial"/>
        <family val="2"/>
      </rPr>
      <t xml:space="preserve">    (Limit = 5% of Total Revenue)</t>
    </r>
  </si>
  <si>
    <t>Expenditure Planning Worksheet</t>
  </si>
  <si>
    <t>Budget Planner - Column  D</t>
  </si>
  <si>
    <t>Budget Planner - Column  C</t>
  </si>
  <si>
    <t xml:space="preserve">Budget Planner - Column  B </t>
  </si>
  <si>
    <t xml:space="preserve">Other Government Grants, Fees, Other Local Revenue </t>
  </si>
  <si>
    <t>Expenditures</t>
  </si>
  <si>
    <t>Closing Fund Balance = 5 + 6</t>
  </si>
  <si>
    <t>Line No.</t>
  </si>
  <si>
    <t>Difference, Revenue - Expenditures = 3 - 4</t>
  </si>
  <si>
    <t>Total Revenue = 1 + 2</t>
  </si>
  <si>
    <t>% of Total</t>
  </si>
  <si>
    <t>FY 2014 (School Year 2013-2014)</t>
  </si>
  <si>
    <r>
      <t xml:space="preserve">Other Government Grants, Fees, Other Local Revenue </t>
    </r>
    <r>
      <rPr>
        <i/>
        <sz val="8"/>
        <rFont val="Arial"/>
        <family val="2"/>
      </rPr>
      <t>(FY 2011 Data Source: UFARS)</t>
    </r>
  </si>
  <si>
    <r>
      <t>Total Expenditures</t>
    </r>
    <r>
      <rPr>
        <i/>
        <sz val="8"/>
        <rFont val="Arial"/>
        <family val="2"/>
      </rPr>
      <t xml:space="preserve"> (FY 2011 Data Source: UFARS)</t>
    </r>
  </si>
  <si>
    <t>fy 12 entitlement adjusted for excess fund balance</t>
  </si>
  <si>
    <t>fy11 closing fund balance from Aid Calculation Report/UFARS</t>
  </si>
  <si>
    <t>FY 2015 (School Year 2014-2015)</t>
  </si>
  <si>
    <t>TRI-CITY UNITED SCHOOL DISTRICT</t>
  </si>
  <si>
    <t>fy 13 entitlement adjusted for excess fund balance</t>
  </si>
  <si>
    <t>fy 13 entitlement, prior to adjustment for excess fund balance</t>
  </si>
  <si>
    <t>fy12 other revenue from Aid Calculation Report/UFARS</t>
  </si>
  <si>
    <t>fy12 closing fund balance from Aid Calculation Report/UFARS</t>
  </si>
  <si>
    <t>FY 2012 School Readiness Expenditures: Program 582 and any Finance code except 321, 325, 218; Finance 344 and any Program code except 582.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</si>
</sst>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  <numFmt numFmtId="166" formatCode="0.0%"/>
    <numFmt numFmtId="167" formatCode="0.000000000"/>
  </numFmts>
  <fonts count="18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8"/>
      <color indexed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i/>
      <sz val="8"/>
      <name val="Arial"/>
      <family val="2"/>
    </font>
    <font>
      <b/>
      <sz val="12"/>
      <name val="Arial"/>
      <family val="2"/>
    </font>
    <font>
      <b/>
      <sz val="10"/>
      <name val="Times New Roman"/>
      <family val="1"/>
    </font>
    <font>
      <sz val="10"/>
      <name val="Arial"/>
      <family val="2"/>
    </font>
    <font>
      <b/>
      <sz val="11"/>
      <name val="Arial"/>
      <family val="2"/>
    </font>
    <font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2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6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1" fontId="4" fillId="0" borderId="0" xfId="0" applyNumberFormat="1" applyFont="1"/>
    <xf numFmtId="0" fontId="6" fillId="0" borderId="0" xfId="0" applyFont="1"/>
    <xf numFmtId="0" fontId="4" fillId="0" borderId="0" xfId="1" applyNumberFormat="1" applyFont="1"/>
    <xf numFmtId="0" fontId="0" fillId="0" borderId="0" xfId="1" applyNumberFormat="1" applyFont="1"/>
    <xf numFmtId="43" fontId="0" fillId="0" borderId="0" xfId="1" applyFont="1"/>
    <xf numFmtId="43" fontId="0" fillId="0" borderId="0" xfId="0" applyNumberFormat="1"/>
    <xf numFmtId="164" fontId="6" fillId="0" borderId="0" xfId="2" applyNumberFormat="1" applyFont="1" applyAlignment="1">
      <alignment horizontal="left"/>
    </xf>
    <xf numFmtId="0" fontId="6" fillId="0" borderId="0" xfId="0" applyFont="1" applyProtection="1"/>
    <xf numFmtId="0" fontId="0" fillId="0" borderId="1" xfId="0" applyBorder="1" applyAlignment="1" applyProtection="1"/>
    <xf numFmtId="164" fontId="8" fillId="0" borderId="2" xfId="2" applyNumberFormat="1" applyFont="1" applyBorder="1" applyAlignment="1" applyProtection="1">
      <alignment horizontal="left" vertical="center"/>
    </xf>
    <xf numFmtId="0" fontId="0" fillId="0" borderId="1" xfId="0" applyBorder="1" applyAlignment="1" applyProtection="1">
      <alignment horizontal="center" vertical="center"/>
    </xf>
    <xf numFmtId="164" fontId="6" fillId="0" borderId="3" xfId="2" applyNumberFormat="1" applyFont="1" applyBorder="1" applyAlignment="1" applyProtection="1">
      <alignment horizontal="left" wrapText="1"/>
    </xf>
    <xf numFmtId="0" fontId="0" fillId="2" borderId="1" xfId="0" applyFill="1" applyBorder="1" applyAlignment="1" applyProtection="1">
      <alignment horizontal="center" vertical="center" wrapText="1"/>
    </xf>
    <xf numFmtId="164" fontId="8" fillId="2" borderId="2" xfId="2" applyNumberFormat="1" applyFont="1" applyFill="1" applyBorder="1" applyAlignment="1" applyProtection="1">
      <alignment horizontal="left" vertical="center" wrapText="1"/>
    </xf>
    <xf numFmtId="164" fontId="6" fillId="3" borderId="3" xfId="2" applyNumberFormat="1" applyFont="1" applyFill="1" applyBorder="1" applyAlignment="1" applyProtection="1">
      <alignment horizontal="left" wrapText="1"/>
    </xf>
    <xf numFmtId="0" fontId="6" fillId="0" borderId="4" xfId="0" applyFont="1" applyBorder="1" applyAlignment="1" applyProtection="1">
      <alignment horizontal="center" wrapText="1"/>
    </xf>
    <xf numFmtId="0" fontId="6" fillId="0" borderId="3" xfId="0" applyFont="1" applyBorder="1" applyAlignment="1" applyProtection="1">
      <alignment wrapText="1"/>
    </xf>
    <xf numFmtId="164" fontId="6" fillId="0" borderId="3" xfId="2" applyNumberFormat="1" applyFont="1" applyFill="1" applyBorder="1" applyAlignment="1" applyProtection="1">
      <alignment horizontal="left" wrapText="1"/>
    </xf>
    <xf numFmtId="165" fontId="8" fillId="0" borderId="2" xfId="1" applyNumberFormat="1" applyFont="1" applyBorder="1" applyAlignment="1" applyProtection="1">
      <alignment horizontal="center" vertical="center"/>
    </xf>
    <xf numFmtId="44" fontId="6" fillId="0" borderId="3" xfId="2" applyNumberFormat="1" applyFont="1" applyBorder="1" applyAlignment="1" applyProtection="1">
      <alignment horizontal="center" wrapText="1"/>
    </xf>
    <xf numFmtId="43" fontId="8" fillId="2" borderId="2" xfId="1" applyNumberFormat="1" applyFont="1" applyFill="1" applyBorder="1" applyAlignment="1" applyProtection="1">
      <alignment horizontal="center" vertical="center" wrapText="1"/>
    </xf>
    <xf numFmtId="0" fontId="6" fillId="0" borderId="0" xfId="0" applyFont="1" applyAlignment="1" applyProtection="1"/>
    <xf numFmtId="0" fontId="6" fillId="0" borderId="0" xfId="0" applyFont="1" applyFill="1" applyAlignment="1" applyProtection="1"/>
    <xf numFmtId="0" fontId="6" fillId="0" borderId="5" xfId="0" applyFont="1" applyBorder="1" applyProtection="1"/>
    <xf numFmtId="0" fontId="0" fillId="0" borderId="6" xfId="0" applyBorder="1" applyAlignment="1" applyProtection="1"/>
    <xf numFmtId="164" fontId="6" fillId="4" borderId="3" xfId="2" applyNumberFormat="1" applyFont="1" applyFill="1" applyBorder="1" applyAlignment="1" applyProtection="1">
      <alignment horizontal="left" wrapText="1"/>
      <protection locked="0"/>
    </xf>
    <xf numFmtId="0" fontId="3" fillId="4" borderId="7" xfId="0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14" fillId="0" borderId="0" xfId="0" applyFont="1" applyAlignment="1">
      <alignment horizontal="left" wrapText="1"/>
    </xf>
    <xf numFmtId="0" fontId="14" fillId="0" borderId="0" xfId="0" applyFont="1" applyAlignment="1">
      <alignment wrapText="1"/>
    </xf>
    <xf numFmtId="167" fontId="0" fillId="0" borderId="0" xfId="0" applyNumberFormat="1"/>
    <xf numFmtId="0" fontId="6" fillId="0" borderId="0" xfId="0" applyFont="1" applyAlignment="1">
      <alignment horizontal="center"/>
    </xf>
    <xf numFmtId="43" fontId="15" fillId="5" borderId="0" xfId="1" applyFont="1" applyFill="1"/>
    <xf numFmtId="0" fontId="0" fillId="0" borderId="0" xfId="0" applyBorder="1"/>
    <xf numFmtId="0" fontId="12" fillId="6" borderId="0" xfId="0" applyFont="1" applyFill="1"/>
    <xf numFmtId="0" fontId="0" fillId="6" borderId="0" xfId="0" applyFill="1"/>
    <xf numFmtId="43" fontId="0" fillId="0" borderId="0" xfId="1" applyFont="1" applyBorder="1"/>
    <xf numFmtId="0" fontId="0" fillId="7" borderId="0" xfId="0" applyFill="1"/>
    <xf numFmtId="43" fontId="0" fillId="7" borderId="0" xfId="0" applyNumberFormat="1" applyFill="1"/>
    <xf numFmtId="0" fontId="0" fillId="8" borderId="0" xfId="0" applyFill="1"/>
    <xf numFmtId="43" fontId="0" fillId="8" borderId="0" xfId="0" applyNumberFormat="1" applyFill="1"/>
    <xf numFmtId="165" fontId="15" fillId="7" borderId="0" xfId="1" applyNumberFormat="1" applyFont="1" applyFill="1"/>
    <xf numFmtId="165" fontId="15" fillId="8" borderId="0" xfId="1" applyNumberFormat="1" applyFont="1" applyFill="1"/>
    <xf numFmtId="0" fontId="9" fillId="0" borderId="0" xfId="0" applyFont="1"/>
    <xf numFmtId="0" fontId="6" fillId="0" borderId="5" xfId="0" applyFont="1" applyBorder="1" applyAlignment="1" applyProtection="1"/>
    <xf numFmtId="49" fontId="14" fillId="0" borderId="0" xfId="0" applyNumberFormat="1" applyFont="1" applyAlignment="1">
      <alignment wrapText="1"/>
    </xf>
    <xf numFmtId="0" fontId="3" fillId="0" borderId="8" xfId="0" applyFont="1" applyFill="1" applyBorder="1" applyAlignment="1" applyProtection="1">
      <alignment horizontal="center" wrapText="1"/>
    </xf>
    <xf numFmtId="165" fontId="8" fillId="2" borderId="9" xfId="1" applyNumberFormat="1" applyFont="1" applyFill="1" applyBorder="1" applyAlignment="1" applyProtection="1">
      <alignment horizontal="center" vertical="center" wrapText="1"/>
    </xf>
    <xf numFmtId="0" fontId="0" fillId="0" borderId="4" xfId="0" applyBorder="1" applyAlignment="1" applyProtection="1">
      <alignment wrapText="1"/>
    </xf>
    <xf numFmtId="165" fontId="8" fillId="0" borderId="9" xfId="1" applyNumberFormat="1" applyFont="1" applyBorder="1" applyAlignment="1" applyProtection="1">
      <alignment horizontal="center" vertical="center"/>
    </xf>
    <xf numFmtId="0" fontId="10" fillId="0" borderId="8" xfId="0" applyFont="1" applyBorder="1" applyAlignment="1" applyProtection="1">
      <alignment horizontal="center" vertical="center"/>
    </xf>
    <xf numFmtId="164" fontId="6" fillId="0" borderId="10" xfId="2" applyNumberFormat="1" applyFont="1" applyFill="1" applyBorder="1" applyAlignment="1" applyProtection="1">
      <alignment wrapText="1"/>
    </xf>
    <xf numFmtId="164" fontId="6" fillId="4" borderId="4" xfId="2" applyNumberFormat="1" applyFont="1" applyFill="1" applyBorder="1" applyAlignment="1" applyProtection="1">
      <alignment horizontal="left" wrapText="1"/>
      <protection locked="0"/>
    </xf>
    <xf numFmtId="0" fontId="3" fillId="0" borderId="7" xfId="0" applyFont="1" applyBorder="1" applyAlignment="1" applyProtection="1">
      <alignment horizontal="center" vertical="center"/>
    </xf>
    <xf numFmtId="0" fontId="3" fillId="0" borderId="7" xfId="0" applyFont="1" applyFill="1" applyBorder="1" applyAlignment="1" applyProtection="1">
      <alignment horizontal="center"/>
    </xf>
    <xf numFmtId="0" fontId="3" fillId="0" borderId="2" xfId="0" applyFont="1" applyBorder="1" applyAlignment="1" applyProtection="1"/>
    <xf numFmtId="0" fontId="3" fillId="0" borderId="1" xfId="0" applyFont="1" applyBorder="1" applyAlignment="1" applyProtection="1"/>
    <xf numFmtId="0" fontId="3" fillId="0" borderId="4" xfId="0" applyFont="1" applyBorder="1" applyAlignment="1" applyProtection="1">
      <alignment horizontal="center" vertical="center"/>
    </xf>
    <xf numFmtId="0" fontId="3" fillId="0" borderId="10" xfId="0" applyFont="1" applyFill="1" applyBorder="1" applyAlignment="1" applyProtection="1">
      <alignment horizontal="center"/>
    </xf>
    <xf numFmtId="0" fontId="3" fillId="0" borderId="4" xfId="0" applyFont="1" applyFill="1" applyBorder="1" applyAlignment="1" applyProtection="1">
      <alignment horizontal="center"/>
    </xf>
    <xf numFmtId="164" fontId="6" fillId="0" borderId="18" xfId="2" applyNumberFormat="1" applyFont="1" applyFill="1" applyBorder="1" applyAlignment="1" applyProtection="1">
      <alignment horizontal="left" wrapText="1"/>
    </xf>
    <xf numFmtId="164" fontId="6" fillId="4" borderId="19" xfId="2" applyNumberFormat="1" applyFont="1" applyFill="1" applyBorder="1" applyAlignment="1" applyProtection="1">
      <alignment horizontal="left" wrapText="1"/>
      <protection locked="0"/>
    </xf>
    <xf numFmtId="164" fontId="6" fillId="0" borderId="19" xfId="2" applyNumberFormat="1" applyFont="1" applyFill="1" applyBorder="1" applyAlignment="1" applyProtection="1">
      <alignment wrapText="1"/>
    </xf>
    <xf numFmtId="164" fontId="6" fillId="0" borderId="20" xfId="2" applyNumberFormat="1" applyFont="1" applyFill="1" applyBorder="1" applyAlignment="1" applyProtection="1">
      <alignment wrapText="1"/>
    </xf>
    <xf numFmtId="164" fontId="6" fillId="0" borderId="19" xfId="2" applyNumberFormat="1" applyFont="1" applyFill="1" applyBorder="1" applyAlignment="1" applyProtection="1">
      <alignment horizontal="left" wrapText="1"/>
    </xf>
    <xf numFmtId="0" fontId="0" fillId="0" borderId="19" xfId="0" applyBorder="1" applyAlignment="1" applyProtection="1">
      <alignment wrapText="1"/>
    </xf>
    <xf numFmtId="0" fontId="0" fillId="0" borderId="20" xfId="0" applyBorder="1" applyAlignment="1" applyProtection="1">
      <alignment wrapText="1"/>
    </xf>
    <xf numFmtId="164" fontId="6" fillId="0" borderId="19" xfId="2" applyNumberFormat="1" applyFont="1" applyBorder="1" applyAlignment="1" applyProtection="1">
      <alignment horizontal="left" wrapText="1"/>
    </xf>
    <xf numFmtId="44" fontId="0" fillId="0" borderId="7" xfId="2" applyNumberFormat="1" applyFont="1" applyBorder="1" applyAlignment="1" applyProtection="1">
      <alignment horizontal="left"/>
    </xf>
    <xf numFmtId="44" fontId="6" fillId="0" borderId="18" xfId="2" applyNumberFormat="1" applyFont="1" applyFill="1" applyBorder="1" applyAlignment="1" applyProtection="1">
      <alignment horizontal="left" wrapText="1"/>
    </xf>
    <xf numFmtId="44" fontId="6" fillId="0" borderId="10" xfId="2" applyNumberFormat="1" applyFont="1" applyBorder="1" applyAlignment="1" applyProtection="1">
      <alignment wrapText="1"/>
    </xf>
    <xf numFmtId="44" fontId="6" fillId="0" borderId="1" xfId="2" applyNumberFormat="1" applyFont="1" applyFill="1" applyBorder="1" applyAlignment="1" applyProtection="1">
      <alignment horizontal="left"/>
    </xf>
    <xf numFmtId="9" fontId="9" fillId="0" borderId="1" xfId="3" applyNumberFormat="1" applyFont="1" applyFill="1" applyBorder="1" applyAlignment="1" applyProtection="1">
      <alignment wrapText="1"/>
    </xf>
    <xf numFmtId="166" fontId="9" fillId="0" borderId="1" xfId="3" applyNumberFormat="1" applyFont="1" applyFill="1" applyBorder="1" applyAlignment="1" applyProtection="1">
      <alignment horizontal="right" wrapText="1"/>
    </xf>
    <xf numFmtId="0" fontId="0" fillId="0" borderId="19" xfId="0" applyBorder="1" applyAlignment="1" applyProtection="1">
      <alignment wrapText="1"/>
      <protection locked="0"/>
    </xf>
    <xf numFmtId="164" fontId="6" fillId="0" borderId="19" xfId="2" applyNumberFormat="1" applyFont="1" applyFill="1" applyBorder="1" applyAlignment="1" applyProtection="1">
      <alignment wrapText="1"/>
      <protection locked="0"/>
    </xf>
    <xf numFmtId="164" fontId="6" fillId="0" borderId="1" xfId="2" applyNumberFormat="1" applyFont="1" applyFill="1" applyBorder="1" applyAlignment="1" applyProtection="1">
      <alignment horizontal="left" wrapText="1"/>
    </xf>
    <xf numFmtId="0" fontId="3" fillId="0" borderId="7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166" fontId="9" fillId="0" borderId="19" xfId="2" applyNumberFormat="1" applyFont="1" applyFill="1" applyBorder="1" applyAlignment="1" applyProtection="1">
      <alignment wrapText="1"/>
      <protection locked="0"/>
    </xf>
    <xf numFmtId="0" fontId="4" fillId="0" borderId="0" xfId="0" applyFont="1" applyProtection="1">
      <protection locked="0"/>
    </xf>
    <xf numFmtId="165" fontId="4" fillId="0" borderId="0" xfId="1" applyNumberFormat="1" applyFont="1" applyProtection="1">
      <protection locked="0"/>
    </xf>
    <xf numFmtId="43" fontId="0" fillId="0" borderId="0" xfId="1" applyFont="1" applyProtection="1">
      <protection locked="0"/>
    </xf>
    <xf numFmtId="0" fontId="12" fillId="6" borderId="0" xfId="0" applyFont="1" applyFill="1" applyProtection="1">
      <protection locked="0"/>
    </xf>
    <xf numFmtId="0" fontId="0" fillId="6" borderId="0" xfId="0" applyFill="1" applyProtection="1">
      <protection locked="0"/>
    </xf>
    <xf numFmtId="0" fontId="3" fillId="0" borderId="7" xfId="0" applyFont="1" applyFill="1" applyBorder="1" applyAlignment="1" applyProtection="1">
      <alignment horizontal="center" wrapText="1"/>
    </xf>
    <xf numFmtId="166" fontId="2" fillId="0" borderId="3" xfId="3" applyNumberFormat="1" applyFont="1" applyBorder="1" applyAlignment="1" applyProtection="1">
      <alignment horizontal="right" wrapText="1"/>
    </xf>
    <xf numFmtId="166" fontId="2" fillId="3" borderId="3" xfId="3" applyNumberFormat="1" applyFont="1" applyFill="1" applyBorder="1" applyAlignment="1" applyProtection="1">
      <alignment horizontal="right" wrapText="1"/>
    </xf>
    <xf numFmtId="164" fontId="6" fillId="0" borderId="10" xfId="2" applyNumberFormat="1" applyFont="1" applyFill="1" applyBorder="1" applyAlignment="1" applyProtection="1"/>
    <xf numFmtId="0" fontId="0" fillId="0" borderId="4" xfId="0" applyBorder="1" applyAlignment="1" applyProtection="1"/>
    <xf numFmtId="44" fontId="6" fillId="0" borderId="1" xfId="2" applyNumberFormat="1" applyFont="1" applyBorder="1" applyAlignment="1" applyProtection="1">
      <alignment wrapText="1"/>
    </xf>
    <xf numFmtId="44" fontId="6" fillId="0" borderId="7" xfId="2" applyNumberFormat="1" applyFont="1" applyFill="1" applyBorder="1" applyAlignment="1" applyProtection="1">
      <alignment horizontal="left"/>
    </xf>
    <xf numFmtId="44" fontId="6" fillId="0" borderId="15" xfId="2" applyNumberFormat="1" applyFont="1" applyFill="1" applyBorder="1" applyAlignment="1" applyProtection="1">
      <alignment horizontal="left"/>
    </xf>
    <xf numFmtId="0" fontId="3" fillId="0" borderId="3" xfId="0" applyFont="1" applyFill="1" applyBorder="1" applyAlignment="1" applyProtection="1">
      <alignment wrapText="1"/>
    </xf>
    <xf numFmtId="44" fontId="6" fillId="0" borderId="14" xfId="2" applyNumberFormat="1" applyFont="1" applyBorder="1" applyAlignment="1" applyProtection="1">
      <alignment wrapText="1"/>
    </xf>
    <xf numFmtId="0" fontId="3" fillId="0" borderId="22" xfId="0" applyFont="1" applyFill="1" applyBorder="1" applyAlignment="1" applyProtection="1">
      <alignment wrapText="1"/>
    </xf>
    <xf numFmtId="0" fontId="10" fillId="0" borderId="7" xfId="0" applyFont="1" applyBorder="1" applyAlignment="1" applyProtection="1">
      <alignment horizontal="center" vertical="center"/>
    </xf>
    <xf numFmtId="44" fontId="6" fillId="0" borderId="7" xfId="2" applyNumberFormat="1" applyFont="1" applyFill="1" applyBorder="1" applyAlignment="1" applyProtection="1">
      <alignment horizontal="left" wrapText="1"/>
    </xf>
    <xf numFmtId="44" fontId="6" fillId="0" borderId="23" xfId="2" applyNumberFormat="1" applyFont="1" applyFill="1" applyBorder="1" applyAlignment="1" applyProtection="1">
      <alignment horizontal="left" wrapText="1"/>
    </xf>
    <xf numFmtId="44" fontId="6" fillId="0" borderId="24" xfId="2" applyNumberFormat="1" applyFont="1" applyBorder="1" applyAlignment="1" applyProtection="1">
      <alignment wrapText="1"/>
    </xf>
    <xf numFmtId="0" fontId="3" fillId="0" borderId="21" xfId="0" applyFont="1" applyFill="1" applyBorder="1" applyAlignment="1" applyProtection="1">
      <alignment wrapText="1"/>
    </xf>
    <xf numFmtId="164" fontId="6" fillId="4" borderId="7" xfId="2" applyNumberFormat="1" applyFont="1" applyFill="1" applyBorder="1" applyAlignment="1" applyProtection="1">
      <alignment horizontal="left" wrapText="1"/>
      <protection locked="0"/>
    </xf>
    <xf numFmtId="0" fontId="3" fillId="0" borderId="25" xfId="0" applyFont="1" applyFill="1" applyBorder="1" applyAlignment="1" applyProtection="1">
      <alignment wrapText="1"/>
    </xf>
    <xf numFmtId="0" fontId="3" fillId="0" borderId="9" xfId="0" applyFont="1" applyFill="1" applyBorder="1" applyAlignment="1" applyProtection="1">
      <alignment wrapText="1"/>
    </xf>
    <xf numFmtId="0" fontId="17" fillId="0" borderId="0" xfId="0" applyFont="1"/>
    <xf numFmtId="0" fontId="0" fillId="0" borderId="0" xfId="0" applyFont="1" applyFill="1" applyBorder="1"/>
    <xf numFmtId="40" fontId="0" fillId="0" borderId="0" xfId="0" applyNumberFormat="1"/>
    <xf numFmtId="40" fontId="0" fillId="0" borderId="0" xfId="0" applyNumberFormat="1" applyFont="1" applyFill="1" applyBorder="1"/>
    <xf numFmtId="0" fontId="0" fillId="0" borderId="0" xfId="0" applyFont="1" applyFill="1" applyBorder="1" applyProtection="1">
      <protection locked="0"/>
    </xf>
    <xf numFmtId="8" fontId="0" fillId="0" borderId="0" xfId="0" applyNumberFormat="1" applyFont="1" applyFill="1" applyBorder="1" applyProtection="1">
      <protection locked="0"/>
    </xf>
    <xf numFmtId="8" fontId="0" fillId="0" borderId="0" xfId="0" applyNumberFormat="1" applyFill="1" applyBorder="1" applyProtection="1">
      <protection locked="0"/>
    </xf>
    <xf numFmtId="0" fontId="0" fillId="0" borderId="0" xfId="0" applyAlignment="1" applyProtection="1">
      <protection locked="0"/>
    </xf>
    <xf numFmtId="0" fontId="3" fillId="0" borderId="9" xfId="0" applyFont="1" applyBorder="1" applyAlignment="1" applyProtection="1"/>
    <xf numFmtId="0" fontId="3" fillId="0" borderId="3" xfId="0" applyFont="1" applyBorder="1" applyAlignment="1" applyProtection="1"/>
    <xf numFmtId="166" fontId="9" fillId="0" borderId="10" xfId="3" applyNumberFormat="1" applyFont="1" applyBorder="1" applyAlignment="1" applyProtection="1">
      <alignment wrapText="1"/>
    </xf>
    <xf numFmtId="0" fontId="7" fillId="0" borderId="12" xfId="0" applyFont="1" applyBorder="1" applyAlignment="1" applyProtection="1">
      <alignment horizontal="centerContinuous" vertical="center"/>
    </xf>
    <xf numFmtId="0" fontId="7" fillId="0" borderId="13" xfId="0" applyFont="1" applyBorder="1" applyAlignment="1" applyProtection="1">
      <alignment horizontal="centerContinuous" vertical="center"/>
    </xf>
    <xf numFmtId="0" fontId="7" fillId="0" borderId="14" xfId="0" applyFont="1" applyBorder="1" applyAlignment="1" applyProtection="1">
      <alignment horizontal="centerContinuous" vertical="center"/>
    </xf>
    <xf numFmtId="0" fontId="3" fillId="0" borderId="8" xfId="0" applyFont="1" applyFill="1" applyBorder="1" applyAlignment="1" applyProtection="1">
      <alignment horizontal="centerContinuous" wrapText="1"/>
    </xf>
    <xf numFmtId="0" fontId="3" fillId="0" borderId="17" xfId="0" applyFont="1" applyFill="1" applyBorder="1" applyAlignment="1" applyProtection="1">
      <alignment horizontal="centerContinuous" wrapText="1"/>
    </xf>
    <xf numFmtId="0" fontId="3" fillId="0" borderId="15" xfId="0" applyFont="1" applyFill="1" applyBorder="1" applyAlignment="1" applyProtection="1">
      <alignment horizontal="centerContinuous" wrapText="1"/>
    </xf>
    <xf numFmtId="0" fontId="10" fillId="0" borderId="8" xfId="0" applyFont="1" applyBorder="1" applyAlignment="1" applyProtection="1">
      <alignment vertical="center"/>
    </xf>
    <xf numFmtId="0" fontId="10" fillId="0" borderId="17" xfId="0" applyFont="1" applyBorder="1" applyAlignment="1" applyProtection="1">
      <alignment vertical="center"/>
    </xf>
    <xf numFmtId="0" fontId="10" fillId="0" borderId="15" xfId="0" applyFont="1" applyBorder="1" applyAlignment="1" applyProtection="1">
      <alignment vertical="center"/>
    </xf>
    <xf numFmtId="0" fontId="13" fillId="0" borderId="11" xfId="0" applyFont="1" applyBorder="1" applyAlignment="1" applyProtection="1">
      <alignment horizontal="centerContinuous" vertical="center" wrapText="1"/>
      <protection locked="0"/>
    </xf>
    <xf numFmtId="0" fontId="3" fillId="0" borderId="8" xfId="0" applyFont="1" applyBorder="1" applyAlignment="1" applyProtection="1">
      <alignment horizontal="centerContinuous" vertical="center" wrapText="1"/>
    </xf>
    <xf numFmtId="0" fontId="0" fillId="0" borderId="15" xfId="0" applyBorder="1" applyAlignment="1" applyProtection="1">
      <alignment horizontal="centerContinuous"/>
    </xf>
    <xf numFmtId="0" fontId="5" fillId="0" borderId="2" xfId="0" applyFont="1" applyBorder="1" applyAlignment="1" applyProtection="1">
      <alignment vertical="center" wrapText="1"/>
    </xf>
    <xf numFmtId="0" fontId="5" fillId="0" borderId="1" xfId="0" applyFont="1" applyBorder="1" applyAlignment="1" applyProtection="1">
      <alignment vertical="center" wrapText="1"/>
    </xf>
    <xf numFmtId="0" fontId="5" fillId="0" borderId="12" xfId="0" applyFont="1" applyBorder="1" applyAlignment="1" applyProtection="1">
      <alignment horizontal="centerContinuous" vertical="center" wrapText="1"/>
    </xf>
    <xf numFmtId="0" fontId="5" fillId="0" borderId="14" xfId="0" applyFont="1" applyBorder="1" applyAlignment="1" applyProtection="1">
      <alignment horizontal="centerContinuous" vertical="center" wrapText="1"/>
    </xf>
    <xf numFmtId="0" fontId="5" fillId="0" borderId="2" xfId="0" applyFont="1" applyBorder="1" applyAlignment="1" applyProtection="1">
      <alignment horizontal="centerContinuous" vertical="center" wrapText="1"/>
    </xf>
    <xf numFmtId="0" fontId="5" fillId="0" borderId="1" xfId="0" applyFont="1" applyBorder="1" applyAlignment="1" applyProtection="1">
      <alignment horizontal="centerContinuous" vertical="center" wrapText="1"/>
    </xf>
    <xf numFmtId="0" fontId="0" fillId="0" borderId="14" xfId="0" applyBorder="1" applyAlignment="1" applyProtection="1">
      <alignment horizontal="centerContinuous" vertical="center" wrapText="1"/>
    </xf>
    <xf numFmtId="0" fontId="0" fillId="0" borderId="2" xfId="0" applyBorder="1" applyAlignment="1" applyProtection="1">
      <alignment horizontal="centerContinuous" vertical="center" wrapText="1"/>
    </xf>
    <xf numFmtId="0" fontId="0" fillId="0" borderId="1" xfId="0" applyBorder="1" applyAlignment="1" applyProtection="1">
      <alignment horizontal="centerContinuous" vertical="center" wrapText="1"/>
    </xf>
    <xf numFmtId="0" fontId="6" fillId="0" borderId="8" xfId="0" applyFont="1" applyBorder="1" applyAlignment="1" applyProtection="1">
      <alignment horizontal="centerContinuous" wrapText="1"/>
    </xf>
    <xf numFmtId="0" fontId="6" fillId="0" borderId="15" xfId="0" applyFont="1" applyBorder="1" applyAlignment="1" applyProtection="1">
      <alignment horizontal="centerContinuous" wrapText="1"/>
    </xf>
    <xf numFmtId="0" fontId="6" fillId="0" borderId="17" xfId="0" applyFont="1" applyBorder="1" applyAlignment="1" applyProtection="1">
      <alignment horizontal="centerContinuous" wrapText="1"/>
    </xf>
    <xf numFmtId="0" fontId="3" fillId="0" borderId="8" xfId="0" applyFont="1" applyBorder="1" applyAlignment="1" applyProtection="1">
      <alignment horizontal="centerContinuous" wrapText="1"/>
    </xf>
    <xf numFmtId="0" fontId="3" fillId="0" borderId="15" xfId="0" applyFont="1" applyBorder="1" applyAlignment="1" applyProtection="1">
      <alignment horizontal="centerContinuous" wrapText="1"/>
    </xf>
    <xf numFmtId="0" fontId="10" fillId="0" borderId="8" xfId="0" applyFont="1" applyBorder="1" applyAlignment="1" applyProtection="1">
      <alignment horizontal="centerContinuous" vertical="center"/>
    </xf>
    <xf numFmtId="0" fontId="10" fillId="0" borderId="15" xfId="0" applyFont="1" applyBorder="1" applyAlignment="1" applyProtection="1">
      <alignment horizontal="centerContinuous" vertical="center"/>
    </xf>
    <xf numFmtId="0" fontId="16" fillId="0" borderId="12" xfId="0" applyFont="1" applyBorder="1" applyAlignment="1">
      <alignment horizontal="centerContinuous" vertical="center"/>
    </xf>
    <xf numFmtId="0" fontId="16" fillId="0" borderId="14" xfId="0" applyFont="1" applyBorder="1" applyAlignment="1">
      <alignment horizontal="centerContinuous" vertical="center"/>
    </xf>
    <xf numFmtId="0" fontId="16" fillId="0" borderId="2" xfId="0" applyFont="1" applyBorder="1" applyAlignment="1">
      <alignment horizontal="centerContinuous" vertical="center"/>
    </xf>
    <xf numFmtId="0" fontId="16" fillId="0" borderId="1" xfId="0" applyFont="1" applyBorder="1" applyAlignment="1">
      <alignment horizontal="centerContinuous" vertical="center"/>
    </xf>
    <xf numFmtId="0" fontId="16" fillId="0" borderId="9" xfId="0" applyFont="1" applyBorder="1" applyAlignment="1">
      <alignment horizontal="centerContinuous" vertical="center"/>
    </xf>
    <xf numFmtId="0" fontId="16" fillId="0" borderId="3" xfId="0" applyFont="1" applyBorder="1" applyAlignment="1">
      <alignment horizontal="centerContinuous" vertical="center"/>
    </xf>
    <xf numFmtId="0" fontId="5" fillId="0" borderId="9" xfId="0" applyFont="1" applyBorder="1" applyAlignment="1" applyProtection="1">
      <alignment horizontal="centerContinuous" vertical="center" wrapText="1"/>
    </xf>
    <xf numFmtId="0" fontId="5" fillId="0" borderId="3" xfId="0" applyFont="1" applyBorder="1" applyAlignment="1" applyProtection="1">
      <alignment horizontal="centerContinuous" vertical="center" wrapText="1"/>
    </xf>
    <xf numFmtId="0" fontId="3" fillId="0" borderId="8" xfId="0" applyFont="1" applyFill="1" applyBorder="1" applyAlignment="1" applyProtection="1">
      <alignment horizontal="centerContinuous" vertical="center" wrapText="1"/>
    </xf>
    <xf numFmtId="0" fontId="6" fillId="0" borderId="15" xfId="0" applyFont="1" applyFill="1" applyBorder="1" applyAlignment="1" applyProtection="1">
      <alignment horizontal="centerContinuous" vertical="center" wrapText="1"/>
    </xf>
    <xf numFmtId="0" fontId="10" fillId="0" borderId="8" xfId="0" applyFont="1" applyBorder="1" applyAlignment="1" applyProtection="1">
      <alignment horizontal="centerContinuous" wrapText="1"/>
    </xf>
    <xf numFmtId="0" fontId="11" fillId="0" borderId="15" xfId="0" applyFont="1" applyBorder="1" applyAlignment="1" applyProtection="1">
      <alignment horizontal="centerContinuous" wrapText="1"/>
    </xf>
    <xf numFmtId="0" fontId="0" fillId="0" borderId="15" xfId="0" applyBorder="1" applyAlignment="1" applyProtection="1">
      <alignment horizontal="centerContinuous" wrapText="1"/>
    </xf>
    <xf numFmtId="0" fontId="0" fillId="0" borderId="15" xfId="0" applyFill="1" applyBorder="1" applyAlignment="1" applyProtection="1">
      <alignment horizontal="centerContinuous" wrapText="1"/>
    </xf>
    <xf numFmtId="0" fontId="3" fillId="3" borderId="8" xfId="0" applyFont="1" applyFill="1" applyBorder="1" applyAlignment="1" applyProtection="1">
      <alignment horizontal="centerContinuous" wrapText="1"/>
    </xf>
    <xf numFmtId="0" fontId="10" fillId="0" borderId="16" xfId="0" applyFont="1" applyBorder="1" applyAlignment="1" applyProtection="1">
      <alignment vertical="center"/>
    </xf>
    <xf numFmtId="0" fontId="10" fillId="0" borderId="16" xfId="0" applyFont="1" applyBorder="1" applyAlignment="1" applyProtection="1">
      <alignment horizontal="centerContinuous" vertical="center"/>
    </xf>
    <xf numFmtId="164" fontId="3" fillId="0" borderId="10" xfId="2" applyNumberFormat="1" applyFont="1" applyFill="1" applyBorder="1" applyAlignment="1" applyProtection="1">
      <alignment horizontal="centerContinuous" wrapText="1"/>
    </xf>
    <xf numFmtId="0" fontId="3" fillId="0" borderId="4" xfId="0" applyFont="1" applyBorder="1" applyAlignment="1" applyProtection="1">
      <alignment horizontal="centerContinuous" wrapText="1"/>
    </xf>
    <xf numFmtId="0" fontId="10" fillId="0" borderId="16" xfId="0" applyFont="1" applyBorder="1" applyAlignment="1" applyProtection="1">
      <alignment horizontal="centerContinuous" vertical="center" wrapText="1"/>
    </xf>
    <xf numFmtId="0" fontId="10" fillId="0" borderId="17" xfId="0" applyFont="1" applyBorder="1" applyAlignment="1" applyProtection="1">
      <alignment horizontal="centerContinuous" vertical="center"/>
    </xf>
    <xf numFmtId="0" fontId="3" fillId="4" borderId="12" xfId="0" applyFont="1" applyFill="1" applyBorder="1" applyAlignment="1" applyProtection="1">
      <alignment horizontal="centerContinuous" vertical="center" wrapText="1"/>
      <protection locked="0"/>
    </xf>
    <xf numFmtId="0" fontId="0" fillId="4" borderId="13" xfId="0" applyFill="1" applyBorder="1" applyAlignment="1" applyProtection="1">
      <alignment horizontal="centerContinuous"/>
      <protection locked="0"/>
    </xf>
    <xf numFmtId="0" fontId="0" fillId="4" borderId="14" xfId="0" applyFill="1" applyBorder="1" applyAlignment="1" applyProtection="1">
      <alignment horizontal="centerContinuous"/>
      <protection locked="0"/>
    </xf>
    <xf numFmtId="0" fontId="0" fillId="4" borderId="9" xfId="0" applyFill="1" applyBorder="1" applyAlignment="1" applyProtection="1">
      <alignment horizontal="centerContinuous"/>
      <protection locked="0"/>
    </xf>
    <xf numFmtId="0" fontId="0" fillId="4" borderId="16" xfId="0" applyFill="1" applyBorder="1" applyAlignment="1" applyProtection="1">
      <alignment horizontal="centerContinuous"/>
      <protection locked="0"/>
    </xf>
    <xf numFmtId="0" fontId="0" fillId="4" borderId="3" xfId="0" applyFill="1" applyBorder="1" applyAlignment="1" applyProtection="1">
      <alignment horizontal="centerContinuous"/>
      <protection locked="0"/>
    </xf>
    <xf numFmtId="0" fontId="5" fillId="0" borderId="10" xfId="0" applyFont="1" applyBorder="1" applyAlignment="1" applyProtection="1">
      <alignment horizontal="centerContinuous" wrapText="1"/>
      <protection locked="0"/>
    </xf>
    <xf numFmtId="0" fontId="5" fillId="0" borderId="10" xfId="0" applyFont="1" applyBorder="1" applyAlignment="1" applyProtection="1">
      <alignment horizontal="centerContinuous" wrapText="1"/>
    </xf>
    <xf numFmtId="0" fontId="5" fillId="0" borderId="21" xfId="0" applyFont="1" applyBorder="1" applyAlignment="1" applyProtection="1">
      <alignment horizontal="centerContinuous" wrapText="1"/>
    </xf>
    <xf numFmtId="0" fontId="0" fillId="0" borderId="21" xfId="0" applyBorder="1" applyAlignment="1" applyProtection="1">
      <alignment horizontal="centerContinuous" wrapText="1"/>
    </xf>
    <xf numFmtId="0" fontId="3" fillId="0" borderId="10" xfId="0" applyFont="1" applyFill="1" applyBorder="1" applyAlignment="1" applyProtection="1">
      <alignment horizontal="centerContinuous" wrapText="1"/>
    </xf>
    <xf numFmtId="0" fontId="3" fillId="0" borderId="4" xfId="0" applyFont="1" applyFill="1" applyBorder="1" applyAlignment="1" applyProtection="1">
      <alignment horizontal="centerContinuous" wrapText="1"/>
    </xf>
    <xf numFmtId="0" fontId="3" fillId="0" borderId="8" xfId="0" applyFont="1" applyBorder="1" applyAlignment="1" applyProtection="1"/>
    <xf numFmtId="0" fontId="3" fillId="0" borderId="15" xfId="0" applyFont="1" applyBorder="1" applyAlignment="1" applyProtection="1"/>
    <xf numFmtId="165" fontId="8" fillId="2" borderId="9" xfId="1" applyNumberFormat="1" applyFont="1" applyFill="1" applyBorder="1" applyAlignment="1" applyProtection="1">
      <alignment horizontal="right" vertical="center" wrapText="1"/>
    </xf>
    <xf numFmtId="0" fontId="0" fillId="2" borderId="3" xfId="0" applyFill="1" applyBorder="1" applyAlignment="1" applyProtection="1">
      <alignment horizontal="right" vertical="center" wrapText="1"/>
    </xf>
    <xf numFmtId="165" fontId="8" fillId="2" borderId="3" xfId="1" applyNumberFormat="1" applyFont="1" applyFill="1" applyBorder="1" applyAlignment="1" applyProtection="1">
      <alignment horizontal="right" vertical="center" wrapText="1"/>
    </xf>
    <xf numFmtId="165" fontId="8" fillId="0" borderId="9" xfId="1" applyNumberFormat="1" applyFont="1" applyBorder="1" applyAlignment="1" applyProtection="1">
      <alignment horizontal="right" vertical="center"/>
    </xf>
    <xf numFmtId="0" fontId="0" fillId="0" borderId="3" xfId="0" applyBorder="1" applyAlignment="1" applyProtection="1">
      <alignment horizontal="right" vertical="center"/>
    </xf>
    <xf numFmtId="165" fontId="8" fillId="0" borderId="9" xfId="1" applyNumberFormat="1" applyFont="1" applyBorder="1" applyAlignment="1" applyProtection="1">
      <alignment horizontal="centerContinuous" vertical="center"/>
    </xf>
    <xf numFmtId="0" fontId="0" fillId="0" borderId="3" xfId="0" applyBorder="1" applyAlignment="1" applyProtection="1">
      <alignment horizontal="centerContinuous" vertical="center"/>
    </xf>
    <xf numFmtId="164" fontId="6" fillId="0" borderId="10" xfId="2" applyNumberFormat="1" applyFont="1" applyBorder="1" applyAlignment="1" applyProtection="1">
      <alignment wrapText="1"/>
    </xf>
    <xf numFmtId="44" fontId="6" fillId="0" borderId="7" xfId="2" applyNumberFormat="1" applyFont="1" applyBorder="1" applyAlignment="1" applyProtection="1">
      <alignment wrapText="1"/>
    </xf>
    <xf numFmtId="166" fontId="9" fillId="0" borderId="7" xfId="3" applyNumberFormat="1" applyFont="1" applyBorder="1" applyAlignment="1" applyProtection="1">
      <alignment wrapText="1"/>
    </xf>
    <xf numFmtId="166" fontId="9" fillId="0" borderId="15" xfId="3" applyNumberFormat="1" applyFont="1" applyBorder="1" applyAlignment="1" applyProtection="1">
      <alignment wrapText="1"/>
    </xf>
    <xf numFmtId="164" fontId="6" fillId="4" borderId="15" xfId="2" applyNumberFormat="1" applyFont="1" applyFill="1" applyBorder="1" applyAlignment="1" applyProtection="1">
      <alignment horizontal="left" wrapText="1"/>
      <protection locked="0"/>
    </xf>
    <xf numFmtId="166" fontId="9" fillId="0" borderId="15" xfId="3" applyNumberFormat="1" applyFont="1" applyBorder="1" applyAlignment="1" applyProtection="1">
      <alignment horizontal="right" wrapText="1"/>
    </xf>
    <xf numFmtId="44" fontId="6" fillId="0" borderId="8" xfId="2" applyNumberFormat="1" applyFont="1" applyBorder="1" applyAlignment="1" applyProtection="1">
      <alignment wrapText="1"/>
    </xf>
    <xf numFmtId="166" fontId="9" fillId="0" borderId="17" xfId="3" applyNumberFormat="1" applyFont="1" applyBorder="1" applyAlignment="1" applyProtection="1">
      <alignment wrapText="1"/>
    </xf>
    <xf numFmtId="164" fontId="6" fillId="0" borderId="17" xfId="2" applyNumberFormat="1" applyFont="1" applyBorder="1" applyAlignment="1" applyProtection="1">
      <alignment wrapText="1"/>
    </xf>
    <xf numFmtId="164" fontId="6" fillId="4" borderId="7" xfId="2" applyNumberFormat="1" applyFont="1" applyFill="1" applyBorder="1" applyAlignment="1" applyProtection="1">
      <alignment wrapText="1"/>
      <protection locked="0"/>
    </xf>
    <xf numFmtId="166" fontId="2" fillId="0" borderId="7" xfId="3" applyNumberFormat="1" applyFont="1" applyBorder="1" applyAlignment="1" applyProtection="1">
      <alignment horizontal="right" wrapText="1"/>
    </xf>
    <xf numFmtId="166" fontId="2" fillId="0" borderId="17" xfId="3" applyNumberFormat="1" applyFont="1" applyFill="1" applyBorder="1" applyAlignment="1" applyProtection="1">
      <alignment wrapText="1"/>
    </xf>
    <xf numFmtId="166" fontId="2" fillId="0" borderId="15" xfId="3" applyNumberFormat="1" applyFont="1" applyFill="1" applyBorder="1" applyAlignment="1" applyProtection="1">
      <alignment wrapText="1"/>
    </xf>
    <xf numFmtId="42" fontId="6" fillId="4" borderId="7" xfId="2" applyNumberFormat="1" applyFont="1" applyFill="1" applyBorder="1" applyAlignment="1" applyProtection="1">
      <alignment wrapText="1"/>
      <protection locked="0"/>
    </xf>
    <xf numFmtId="0" fontId="6" fillId="0" borderId="8" xfId="0" applyFont="1" applyBorder="1" applyAlignment="1" applyProtection="1">
      <alignment wrapText="1"/>
    </xf>
    <xf numFmtId="0" fontId="6" fillId="0" borderId="17" xfId="0" applyFont="1" applyBorder="1" applyAlignment="1" applyProtection="1">
      <alignment wrapText="1"/>
    </xf>
    <xf numFmtId="0" fontId="5" fillId="0" borderId="4" xfId="0" applyFont="1" applyBorder="1" applyAlignment="1" applyProtection="1">
      <alignment horizontal="centerContinuous" wrapText="1"/>
      <protection locked="0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11"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295275</xdr:colOff>
          <xdr:row>4</xdr:row>
          <xdr:rowOff>28575</xdr:rowOff>
        </xdr:from>
        <xdr:to>
          <xdr:col>12</xdr:col>
          <xdr:colOff>514350</xdr:colOff>
          <xdr:row>60</xdr:row>
          <xdr:rowOff>142875</xdr:rowOff>
        </xdr:to>
        <xdr:sp macro="" textlink="">
          <xdr:nvSpPr>
            <xdr:cNvPr id="4100" name="Object 4" hidden="1">
              <a:extLst>
                <a:ext uri="{63B3BB69-23CF-44E3-9099-C40C66FF867C}">
                  <a14:compatExt spid="_x0000_s41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5</xdr:col>
      <xdr:colOff>2162175</xdr:colOff>
      <xdr:row>6</xdr:row>
      <xdr:rowOff>47625</xdr:rowOff>
    </xdr:to>
    <xdr:pic>
      <xdr:nvPicPr>
        <xdr:cNvPr id="3300" name="Picture 3" descr="UFARS Coding for School Readiness" title="Restricted Finance Grid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5775"/>
          <a:ext cx="84867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1752600</xdr:colOff>
      <xdr:row>3</xdr:row>
      <xdr:rowOff>114300</xdr:rowOff>
    </xdr:from>
    <xdr:to>
      <xdr:col>5</xdr:col>
      <xdr:colOff>2133600</xdr:colOff>
      <xdr:row>11</xdr:row>
      <xdr:rowOff>19050</xdr:rowOff>
    </xdr:to>
    <xdr:sp macro="" textlink="">
      <xdr:nvSpPr>
        <xdr:cNvPr id="3301" name="Oval 4" descr="Allowable Object Codes" title="Object Codes"/>
        <xdr:cNvSpPr>
          <a:spLocks noChangeArrowheads="1"/>
        </xdr:cNvSpPr>
      </xdr:nvSpPr>
      <xdr:spPr bwMode="auto">
        <a:xfrm>
          <a:off x="6238875" y="600075"/>
          <a:ext cx="2219325" cy="1524000"/>
        </a:xfrm>
        <a:prstGeom prst="ellipse">
          <a:avLst/>
        </a:prstGeom>
        <a:noFill/>
        <a:ln w="1587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queryTables/queryTable1.xml><?xml version="1.0" encoding="utf-8"?>
<queryTable xmlns="http://schemas.openxmlformats.org/spreadsheetml/2006/main" name="DATABRIDGE" connectionId="1" autoFormatId="16" applyNumberFormats="0" applyBorderFormats="0" applyFontFormats="0" applyPatternFormats="0" applyAlignmentFormats="0" applyWidthHeightFormats="0">
  <queryTableRefresh nextId="7">
    <queryTableFields count="5">
      <queryTableField id="1" name="dat_yer" tableColumnId="1"/>
      <queryTableField id="2" name="dst_num" tableColumnId="2"/>
      <queryTableField id="3" name="dst_tye" tableColumnId="3"/>
      <queryTableField id="4" name="ent_bef_xfb_adj" tableColumnId="4"/>
      <queryTableField id="5" name="ent_adj_xfb" tableColumnId="5"/>
    </queryTableFields>
  </queryTableRefresh>
</queryTable>
</file>

<file path=xl/queryTables/queryTable2.xml><?xml version="1.0" encoding="utf-8"?>
<queryTable xmlns="http://schemas.openxmlformats.org/spreadsheetml/2006/main" name="DATABRIDGE_1" connectionId="2" autoFormatId="16" applyNumberFormats="0" applyBorderFormats="0" applyFontFormats="0" applyPatternFormats="0" applyAlignmentFormats="0" applyWidthHeightFormats="0">
  <queryTableRefresh nextId="6">
    <queryTableFields count="5">
      <queryTableField id="1" name="dat_yer" tableColumnId="1"/>
      <queryTableField id="2" name="dst_num" tableColumnId="2"/>
      <queryTableField id="3" name="dst_tye" tableColumnId="3"/>
      <queryTableField id="4" name="ent_bef_xfb_adj" tableColumnId="4"/>
      <queryTableField id="5" name="ent_adj_xfb" tableColumnId="5"/>
    </queryTableFields>
  </queryTableRefresh>
</queryTable>
</file>

<file path=xl/queryTables/queryTable3.xml><?xml version="1.0" encoding="utf-8"?>
<queryTable xmlns="http://schemas.openxmlformats.org/spreadsheetml/2006/main" name="DATABRIDGE_2" connectionId="3" autoFormatId="16" applyNumberFormats="0" applyBorderFormats="0" applyFontFormats="0" applyPatternFormats="0" applyAlignmentFormats="0" applyWidthHeightFormats="0">
  <queryTableRefresh nextId="9">
    <queryTableFields count="8">
      <queryTableField id="1" name="dat_yer" tableColumnId="1"/>
      <queryTableField id="2" name="dst_num" tableColumnId="2"/>
      <queryTableField id="3" name="dst_tye" tableColumnId="3"/>
      <queryTableField id="4" name="fun_num" tableColumnId="4"/>
      <queryTableField id="5" name="prg_num" tableColumnId="5"/>
      <queryTableField id="6" name="fna_num" tableColumnId="6"/>
      <queryTableField id="7" name="obj_num" tableColumnId="7"/>
      <queryTableField id="8" name="tot_amt" tableColumnId="8"/>
    </queryTableFields>
  </queryTableRefresh>
</queryTable>
</file>

<file path=xl/queryTables/queryTable4.xml><?xml version="1.0" encoding="utf-8"?>
<queryTable xmlns="http://schemas.openxmlformats.org/spreadsheetml/2006/main" name="DATABRIDGE_3" connectionId="4" autoFormatId="16" applyNumberFormats="0" applyBorderFormats="0" applyFontFormats="0" applyPatternFormats="0" applyAlignmentFormats="0" applyWidthHeightFormats="0">
  <queryTableRefresh nextId="10">
    <queryTableFields count="9">
      <queryTableField id="1" name="dat_yer" tableColumnId="1"/>
      <queryTableField id="2" name="dst_num" tableColumnId="2"/>
      <queryTableField id="3" name="dst_tye" tableColumnId="3"/>
      <queryTableField id="4" name="fun_num" tableColumnId="4"/>
      <queryTableField id="5" name="prg_num" tableColumnId="5"/>
      <queryTableField id="6" name="fna_num" tableColumnId="6"/>
      <queryTableField id="7" name="gen_lgr_num" tableColumnId="7"/>
      <queryTableField id="8" name="src_num" tableColumnId="8"/>
      <queryTableField id="9" name="tot_amt" tableColumnId="9"/>
    </queryTableFields>
  </queryTableRefresh>
</queryTable>
</file>

<file path=xl/queryTables/queryTable5.xml><?xml version="1.0" encoding="utf-8"?>
<queryTable xmlns="http://schemas.openxmlformats.org/spreadsheetml/2006/main" name="DATABRIDGE_4" connectionId="5" autoFormatId="16" applyNumberFormats="0" applyBorderFormats="0" applyFontFormats="0" applyPatternFormats="0" applyAlignmentFormats="0" applyWidthHeightFormats="0">
  <queryTableRefresh nextId="7">
    <queryTableFields count="6">
      <queryTableField id="1" name="dat_yer" tableColumnId="1"/>
      <queryTableField id="2" name="dst_num" tableColumnId="2"/>
      <queryTableField id="3" name="dst_tye" tableColumnId="3"/>
      <queryTableField id="4" name="py3_aud_clo_fub" tableColumnId="4"/>
      <queryTableField id="5" name="py2_aud_clo_fub" tableColumnId="5"/>
      <queryTableField id="6" name="pyr_aud_clo_fub" tableColumnId="6"/>
    </queryTableFields>
  </queryTableRefresh>
</queryTable>
</file>

<file path=xl/queryTables/queryTable6.xml><?xml version="1.0" encoding="utf-8"?>
<queryTable xmlns="http://schemas.openxmlformats.org/spreadsheetml/2006/main" name="DATABRIDGE_5" connectionId="6" autoFormatId="16" applyNumberFormats="0" applyBorderFormats="0" applyFontFormats="0" applyPatternFormats="0" applyAlignmentFormats="0" applyWidthHeightFormats="0">
  <queryTableRefresh nextId="7">
    <queryTableFields count="6">
      <queryTableField id="1" name="dat_yer" tableColumnId="1"/>
      <queryTableField id="2" name="uni_maj" tableColumnId="2"/>
      <queryTableField id="3" name="uni_tye" tableColumnId="3"/>
      <queryTableField id="4" name="uni_imd" tableColumnId="4"/>
      <queryTableField id="5" name="uni_nam" tableColumnId="5"/>
      <queryTableField id="6" name="atv_st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id="1" name="Table_DATABRIDGE" displayName="Table_DATABRIDGE" ref="F1:J337" tableType="queryTable" totalsRowCount="1" headerRowDxfId="10">
  <autoFilter ref="F1:J336"/>
  <tableColumns count="5">
    <tableColumn id="1" uniqueName="1" name="dat_yer" queryTableFieldId="1" totalsRowDxfId="9"/>
    <tableColumn id="2" uniqueName="2" name="dst_num" queryTableFieldId="2" totalsRowDxfId="8"/>
    <tableColumn id="3" uniqueName="3" name="dst_tye" queryTableFieldId="3" totalsRowDxfId="7"/>
    <tableColumn id="4" uniqueName="4" name="ent_bef_xfb_adj" totalsRowFunction="sum" queryTableFieldId="4" totalsRowDxfId="6" dataCellStyle="Comma"/>
    <tableColumn id="5" uniqueName="5" name="ent_adj_xfb" totalsRowFunction="sum" queryTableFieldId="5" totalsRowDxfId="5" dataCellStyle="Comm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_DATABRIDGE_1" displayName="Table_DATABRIDGE_1" ref="A1:E340" tableType="queryTable" totalsRowCount="1">
  <autoFilter ref="A1:E339"/>
  <tableColumns count="5">
    <tableColumn id="1" uniqueName="1" name="dat_yer" queryTableFieldId="1" totalsRowDxfId="4"/>
    <tableColumn id="2" uniqueName="2" name="dst_num" queryTableFieldId="2" totalsRowDxfId="3"/>
    <tableColumn id="3" uniqueName="3" name="dst_tye" queryTableFieldId="3" totalsRowDxfId="2"/>
    <tableColumn id="4" uniqueName="4" name="ent_bef_xfb_adj" totalsRowFunction="sum" queryTableFieldId="4" totalsRowDxfId="1" dataCellStyle="Comma"/>
    <tableColumn id="5" uniqueName="5" name="ent_adj_xfb" totalsRowFunction="sum" queryTableFieldId="5" totalsRowDxfId="0" dataCellStyle="Comma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_DATABRIDGE_2" displayName="Table_DATABRIDGE_2" ref="L1:S3785" tableType="queryTable" totalsRowShown="0">
  <autoFilter ref="L1:S3785"/>
  <sortState ref="L3:S3785">
    <sortCondition descending="1" ref="R2"/>
  </sortState>
  <tableColumns count="8">
    <tableColumn id="1" uniqueName="1" name="dat_yer" queryTableFieldId="1"/>
    <tableColumn id="2" uniqueName="2" name="dst_num" queryTableFieldId="2"/>
    <tableColumn id="3" uniqueName="3" name="dst_tye" queryTableFieldId="3"/>
    <tableColumn id="4" uniqueName="4" name="fun_num" queryTableFieldId="4"/>
    <tableColumn id="5" uniqueName="5" name="prg_num" queryTableFieldId="5"/>
    <tableColumn id="6" uniqueName="6" name="fna_num" queryTableFieldId="6"/>
    <tableColumn id="7" uniqueName="7" name="obj_num" queryTableFieldId="7"/>
    <tableColumn id="8" uniqueName="8" name="tot_amt" queryTableFieldId="8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6" name="Table_DATABRIDGE_3" displayName="Table_DATABRIDGE_3" ref="U1:AC774" tableType="queryTable" totalsRowShown="0">
  <autoFilter ref="U1:AC774"/>
  <sortState ref="U3:AC774">
    <sortCondition descending="1" ref="AB2"/>
  </sortState>
  <tableColumns count="9">
    <tableColumn id="1" uniqueName="1" name="dat_yer" queryTableFieldId="1"/>
    <tableColumn id="2" uniqueName="2" name="dst_num" queryTableFieldId="2"/>
    <tableColumn id="3" uniqueName="3" name="dst_tye" queryTableFieldId="3"/>
    <tableColumn id="4" uniqueName="4" name="fun_num" queryTableFieldId="4"/>
    <tableColumn id="5" uniqueName="5" name="prg_num" queryTableFieldId="5"/>
    <tableColumn id="6" uniqueName="6" name="fna_num" queryTableFieldId="6"/>
    <tableColumn id="7" uniqueName="7" name="gen_lgr_num" queryTableFieldId="7"/>
    <tableColumn id="8" uniqueName="8" name="src_num" queryTableFieldId="8"/>
    <tableColumn id="9" uniqueName="9" name="tot_amt" queryTableFieldId="9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11" name="Table_DATABRIDGE_4" displayName="Table_DATABRIDGE_4" ref="AE1:AJ336" tableType="queryTable" totalsRowShown="0">
  <autoFilter ref="AE1:AJ336"/>
  <tableColumns count="6">
    <tableColumn id="1" uniqueName="1" name="dat_yer" queryTableFieldId="1"/>
    <tableColumn id="2" uniqueName="2" name="dst_num" queryTableFieldId="2"/>
    <tableColumn id="3" uniqueName="3" name="dst_tye" queryTableFieldId="3"/>
    <tableColumn id="4" uniqueName="4" name="py3_aud_clo_fub" queryTableFieldId="4"/>
    <tableColumn id="5" uniqueName="5" name="py2_aud_clo_fub" queryTableFieldId="5"/>
    <tableColumn id="6" uniqueName="6" name="pyr_aud_clo_fub" queryTableFieldId="6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12" name="Table_DATABRIDGE_5" displayName="Table_DATABRIDGE_5" ref="AL1:AQ338" tableType="queryTable" totalsRowShown="0">
  <autoFilter ref="AL1:AQ338"/>
  <tableColumns count="6">
    <tableColumn id="1" uniqueName="1" name="dat_yer" queryTableFieldId="1"/>
    <tableColumn id="2" uniqueName="2" name="uni_maj" queryTableFieldId="2"/>
    <tableColumn id="3" uniqueName="3" name="uni_tye" queryTableFieldId="3"/>
    <tableColumn id="4" uniqueName="4" name="uni_imd" queryTableFieldId="4"/>
    <tableColumn id="5" uniqueName="5" name="uni_nam" queryTableFieldId="5"/>
    <tableColumn id="6" uniqueName="6" name="atv_sts" queryTableFieldId="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M3"/>
  <sheetViews>
    <sheetView workbookViewId="0">
      <selection activeCell="D3" sqref="D3"/>
    </sheetView>
  </sheetViews>
  <sheetFormatPr defaultRowHeight="12.75" x14ac:dyDescent="0.2"/>
  <cols>
    <col min="1" max="16384" width="9.140625" style="31"/>
  </cols>
  <sheetData>
    <row r="1" spans="1:13" ht="63.75" thickTop="1" x14ac:dyDescent="0.2">
      <c r="A1" s="128" t="s">
        <v>419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</row>
    <row r="2" spans="1:13" ht="13.5" customHeight="1" x14ac:dyDescent="0.2">
      <c r="A2" s="115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</row>
    <row r="3" spans="1:13" x14ac:dyDescent="0.2">
      <c r="A3" s="115"/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</row>
  </sheetData>
  <sheetProtection password="8AD3" sheet="1" objects="1" scenarios="1"/>
  <phoneticPr fontId="2" type="noConversion"/>
  <pageMargins left="0.75" right="0.75" top="1" bottom="1" header="0.5" footer="0.5"/>
  <pageSetup scale="76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4100" r:id="rId4">
          <objectPr defaultSize="0" altText="Planner Guide" r:id="rId5">
            <anchor moveWithCells="1">
              <from>
                <xdr:col>0</xdr:col>
                <xdr:colOff>295275</xdr:colOff>
                <xdr:row>4</xdr:row>
                <xdr:rowOff>28575</xdr:rowOff>
              </from>
              <to>
                <xdr:col>12</xdr:col>
                <xdr:colOff>514350</xdr:colOff>
                <xdr:row>60</xdr:row>
                <xdr:rowOff>142875</xdr:rowOff>
              </to>
            </anchor>
          </objectPr>
        </oleObject>
      </mc:Choice>
      <mc:Fallback>
        <oleObject progId="Word.Document.8" shapeId="4100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4"/>
  <sheetViews>
    <sheetView tabSelected="1" view="pageLayout" topLeftCell="B1" zoomScaleNormal="82" workbookViewId="0">
      <selection activeCell="E13" sqref="E13"/>
    </sheetView>
  </sheetViews>
  <sheetFormatPr defaultRowHeight="12.75" x14ac:dyDescent="0.2"/>
  <cols>
    <col min="1" max="1" width="4.42578125" style="27" customWidth="1"/>
    <col min="2" max="2" width="15.5703125" style="11" customWidth="1"/>
    <col min="3" max="3" width="22.5703125" style="11" customWidth="1"/>
    <col min="4" max="4" width="15.85546875" style="25" customWidth="1"/>
    <col min="5" max="5" width="7.140625" style="25" customWidth="1"/>
    <col min="6" max="6" width="14.85546875" style="25" customWidth="1"/>
    <col min="7" max="7" width="7" style="26" customWidth="1"/>
    <col min="8" max="8" width="16.28515625" style="25" customWidth="1"/>
    <col min="9" max="9" width="7" style="26" customWidth="1"/>
    <col min="10" max="10" width="15.42578125" style="25" customWidth="1"/>
    <col min="11" max="11" width="6.140625" style="26" customWidth="1"/>
    <col min="12" max="34" width="15.7109375" style="5" customWidth="1"/>
    <col min="35" max="16384" width="9.140625" style="5"/>
  </cols>
  <sheetData>
    <row r="1" spans="1:11" ht="21" customHeight="1" thickBot="1" x14ac:dyDescent="0.25">
      <c r="A1" s="163" t="s">
        <v>425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</row>
    <row r="2" spans="1:11" ht="21" customHeight="1" thickBot="1" x14ac:dyDescent="0.25">
      <c r="A2" s="125"/>
      <c r="B2" s="126"/>
      <c r="C2" s="127"/>
      <c r="D2" s="145" t="s">
        <v>365</v>
      </c>
      <c r="E2" s="146"/>
      <c r="F2" s="145" t="s">
        <v>366</v>
      </c>
      <c r="G2" s="146"/>
      <c r="H2" s="145" t="s">
        <v>367</v>
      </c>
      <c r="I2" s="146"/>
      <c r="J2" s="145" t="s">
        <v>368</v>
      </c>
      <c r="K2" s="146"/>
    </row>
    <row r="3" spans="1:11" ht="36" customHeight="1" thickBot="1" x14ac:dyDescent="0.25">
      <c r="A3" s="129" t="s">
        <v>417</v>
      </c>
      <c r="B3" s="130"/>
      <c r="C3" s="30">
        <v>2</v>
      </c>
      <c r="D3" s="133" t="s">
        <v>378</v>
      </c>
      <c r="E3" s="134"/>
      <c r="F3" s="133" t="s">
        <v>420</v>
      </c>
      <c r="G3" s="134"/>
      <c r="H3" s="133" t="s">
        <v>439</v>
      </c>
      <c r="I3" s="134"/>
      <c r="J3" s="133" t="s">
        <v>444</v>
      </c>
      <c r="K3" s="137"/>
    </row>
    <row r="4" spans="1:11" ht="16.5" customHeight="1" thickBot="1" x14ac:dyDescent="0.25">
      <c r="A4" s="119" t="str">
        <f>VLOOKUP($C$3,'lookup name'!A2:B340,2,FALSE)</f>
        <v>HILL CITY PUBLIC SCHOOL DISTRICT</v>
      </c>
      <c r="B4" s="120"/>
      <c r="C4" s="121"/>
      <c r="D4" s="131"/>
      <c r="E4" s="132"/>
      <c r="F4" s="135"/>
      <c r="G4" s="136"/>
      <c r="H4" s="135"/>
      <c r="I4" s="136"/>
      <c r="J4" s="138"/>
      <c r="K4" s="139"/>
    </row>
    <row r="5" spans="1:11" ht="18" hidden="1" customHeight="1" thickBot="1" x14ac:dyDescent="0.25">
      <c r="A5" s="48" t="s">
        <v>415</v>
      </c>
      <c r="B5" s="116"/>
      <c r="C5" s="117"/>
      <c r="D5" s="187"/>
      <c r="E5" s="188"/>
      <c r="F5" s="185" t="e">
        <f>VLOOKUP($C$3,'OLD DATA -lookup3_UFARS expends'!#REF!,3,FALSE)</f>
        <v>#REF!</v>
      </c>
      <c r="G5" s="186"/>
      <c r="H5" s="182">
        <v>0</v>
      </c>
      <c r="I5" s="184"/>
      <c r="J5" s="182">
        <v>0</v>
      </c>
      <c r="K5" s="183"/>
    </row>
    <row r="6" spans="1:11" ht="18" hidden="1" customHeight="1" thickBot="1" x14ac:dyDescent="0.25">
      <c r="A6" s="28"/>
      <c r="B6" s="59" t="s">
        <v>371</v>
      </c>
      <c r="C6" s="60"/>
      <c r="D6" s="22"/>
      <c r="E6" s="14"/>
      <c r="F6" s="22"/>
      <c r="G6" s="14"/>
      <c r="H6" s="23">
        <f>VLOOKUP($C$3,'OLD DATA -lookup3_UFARS expends'!A$3:D$342,4,FALSE)</f>
        <v>3545.32</v>
      </c>
      <c r="I6" s="16"/>
      <c r="J6" s="24"/>
      <c r="K6" s="16"/>
    </row>
    <row r="7" spans="1:11" ht="18" customHeight="1" thickBot="1" x14ac:dyDescent="0.25">
      <c r="A7" s="122" t="s">
        <v>0</v>
      </c>
      <c r="B7" s="123"/>
      <c r="C7" s="124"/>
      <c r="D7" s="195"/>
      <c r="E7" s="196"/>
      <c r="F7" s="197"/>
      <c r="G7" s="196"/>
      <c r="H7" s="197"/>
      <c r="I7" s="196"/>
      <c r="J7" s="197"/>
      <c r="K7" s="192"/>
    </row>
    <row r="8" spans="1:11" ht="33" customHeight="1" thickBot="1" x14ac:dyDescent="0.25">
      <c r="A8" s="82">
        <v>1</v>
      </c>
      <c r="B8" s="140" t="s">
        <v>399</v>
      </c>
      <c r="C8" s="141"/>
      <c r="D8" s="190">
        <f>VLOOKUP($C$3,lookup1_aid_otherev_fundbal!A2:B337,2,FALSE)</f>
        <v>3731.63</v>
      </c>
      <c r="E8" s="118">
        <f>+D8/D$10</f>
        <v>0.96884435940108471</v>
      </c>
      <c r="F8" s="189">
        <f>VLOOKUP($C$3,lookup1_aid_otherev_fundbal!A2:D337,3,FALSE)</f>
        <v>3247.74</v>
      </c>
      <c r="G8" s="118">
        <f>+F8/F$10</f>
        <v>1</v>
      </c>
      <c r="H8" s="189">
        <f>VLOOKUP($C$3,lookup1_aid_otherev_fundbal!A2:D337,4,FALSE)</f>
        <v>5140.26</v>
      </c>
      <c r="I8" s="118">
        <f>IF(H$10&gt;0,+H8/H$10,"0%")</f>
        <v>1</v>
      </c>
      <c r="J8" s="189">
        <f>+H8</f>
        <v>5140.26</v>
      </c>
      <c r="K8" s="118">
        <f>IF(J$10&gt;0,+J8/J$10,"0%")</f>
        <v>1</v>
      </c>
    </row>
    <row r="9" spans="1:11" ht="39.75" customHeight="1" thickBot="1" x14ac:dyDescent="0.25">
      <c r="A9" s="81">
        <v>2</v>
      </c>
      <c r="B9" s="142" t="s">
        <v>440</v>
      </c>
      <c r="C9" s="141"/>
      <c r="D9" s="72">
        <f>VLOOKUP($C$3,lookup1_aid_otherev_fundbal!A2:G337,5,FALSE)</f>
        <v>120</v>
      </c>
      <c r="E9" s="191">
        <f>+D9/D$10</f>
        <v>3.1155640598915263E-2</v>
      </c>
      <c r="F9" s="105"/>
      <c r="G9" s="192">
        <f>+F9/F$10</f>
        <v>0</v>
      </c>
      <c r="H9" s="193"/>
      <c r="I9" s="194">
        <f>IF(H$10&gt;0,+H9/H$10,"0%")</f>
        <v>0</v>
      </c>
      <c r="J9" s="193"/>
      <c r="K9" s="194">
        <f>IF(J$10&gt;0,+J9/J$10,"0%")</f>
        <v>0</v>
      </c>
    </row>
    <row r="10" spans="1:11" ht="18" customHeight="1" thickBot="1" x14ac:dyDescent="0.25">
      <c r="A10" s="62">
        <v>3</v>
      </c>
      <c r="B10" s="122" t="s">
        <v>362</v>
      </c>
      <c r="C10" s="124"/>
      <c r="D10" s="75">
        <f>SUM(D7:D9)</f>
        <v>3851.63</v>
      </c>
      <c r="E10" s="76">
        <f>+D10/D$10</f>
        <v>1</v>
      </c>
      <c r="F10" s="80">
        <f>SUM(F7:F9)</f>
        <v>3247.74</v>
      </c>
      <c r="G10" s="76">
        <f>+F10/F$10</f>
        <v>1</v>
      </c>
      <c r="H10" s="80">
        <f>SUM(H7:H9)</f>
        <v>5140.26</v>
      </c>
      <c r="I10" s="77">
        <f>IF(H$10&gt;0,+H10/H$10,"0%")</f>
        <v>1</v>
      </c>
      <c r="J10" s="80">
        <f>SUM(J7:J9)</f>
        <v>5140.26</v>
      </c>
      <c r="K10" s="77">
        <f>IF(J$10&gt;0,+J10/J$10,"0%")</f>
        <v>1</v>
      </c>
    </row>
    <row r="11" spans="1:11" ht="30" customHeight="1" thickBot="1" x14ac:dyDescent="0.25">
      <c r="A11" s="89">
        <v>4</v>
      </c>
      <c r="B11" s="122" t="s">
        <v>441</v>
      </c>
      <c r="C11" s="124"/>
      <c r="D11" s="73">
        <f>VLOOKUP($C$3,lookup2_expenditures!A2:G339,2,FALSE)</f>
        <v>5315.13</v>
      </c>
      <c r="E11" s="83"/>
      <c r="F11" s="65"/>
      <c r="G11" s="66"/>
      <c r="H11" s="65"/>
      <c r="I11" s="66"/>
      <c r="J11" s="65"/>
      <c r="K11" s="67"/>
    </row>
    <row r="12" spans="1:11" ht="21.75" customHeight="1" thickBot="1" x14ac:dyDescent="0.25">
      <c r="A12" s="63">
        <v>5</v>
      </c>
      <c r="B12" s="122" t="s">
        <v>416</v>
      </c>
      <c r="C12" s="124"/>
      <c r="D12" s="64">
        <f>+D10-D11</f>
        <v>-1463.5</v>
      </c>
      <c r="E12" s="79"/>
      <c r="F12" s="68">
        <f>+F10-F11</f>
        <v>3247.74</v>
      </c>
      <c r="G12" s="66"/>
      <c r="H12" s="68">
        <f>+H10-H11</f>
        <v>5140.26</v>
      </c>
      <c r="I12" s="66"/>
      <c r="J12" s="68">
        <f>+J10-J11</f>
        <v>5140.26</v>
      </c>
      <c r="K12" s="67"/>
    </row>
    <row r="13" spans="1:11" ht="24.75" customHeight="1" thickBot="1" x14ac:dyDescent="0.25">
      <c r="A13" s="58">
        <v>6</v>
      </c>
      <c r="B13" s="122" t="s">
        <v>356</v>
      </c>
      <c r="C13" s="124"/>
      <c r="D13" s="64">
        <f>VLOOKUP($C$3,lookup1_aid_otherev_fundbal!A2:G339,6,FALSE)</f>
        <v>4058.41</v>
      </c>
      <c r="E13" s="78"/>
      <c r="F13" s="68">
        <f>+D14</f>
        <v>1459.97</v>
      </c>
      <c r="G13" s="69"/>
      <c r="H13" s="68">
        <f>+F14</f>
        <v>4707.71</v>
      </c>
      <c r="I13" s="69"/>
      <c r="J13" s="68">
        <f>+H14</f>
        <v>9847.9700000000012</v>
      </c>
      <c r="K13" s="70"/>
    </row>
    <row r="14" spans="1:11" ht="24.75" customHeight="1" thickBot="1" x14ac:dyDescent="0.25">
      <c r="A14" s="58">
        <v>7</v>
      </c>
      <c r="B14" s="143" t="s">
        <v>363</v>
      </c>
      <c r="C14" s="144"/>
      <c r="D14" s="64">
        <f>VLOOKUP($C$3,lookup1_aid_otherev_fundbal!A2:G340,7,FALSE)</f>
        <v>1459.97</v>
      </c>
      <c r="E14" s="78"/>
      <c r="F14" s="71">
        <f>+F12+F13</f>
        <v>4707.71</v>
      </c>
      <c r="G14" s="69"/>
      <c r="H14" s="71">
        <f>+H12+H13</f>
        <v>9847.9700000000012</v>
      </c>
      <c r="I14" s="69"/>
      <c r="J14" s="71">
        <f>+J12+J13</f>
        <v>14988.230000000001</v>
      </c>
      <c r="K14" s="70"/>
    </row>
  </sheetData>
  <sheetProtection password="8AD3" sheet="1" objects="1" scenarios="1" selectLockedCells="1"/>
  <phoneticPr fontId="2" type="noConversion"/>
  <pageMargins left="0.47" right="0.45" top="1" bottom="1" header="0.5" footer="0.5"/>
  <pageSetup scale="99" orientation="landscape" r:id="rId1"/>
  <headerFooter alignWithMargins="0">
    <oddHeader>&amp;C&amp;"Arial,Bold"&amp;11School Readiness Budget Planner</oddHeader>
    <oddFooter>&amp;L&amp;9&amp;D&amp;RFY 2012 UFARS revenue, expenditure, and fund balance data compiled as of 1/10/2013</oddFooter>
  </headerFooter>
  <ignoredErrors>
    <ignoredError sqref="E10:F10 G10 I10:J1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workbookViewId="0">
      <pane xSplit="2" ySplit="4" topLeftCell="C14" activePane="bottomRight" state="frozen"/>
      <selection pane="topRight" activeCell="C1" sqref="C1"/>
      <selection pane="bottomLeft" activeCell="A5" sqref="A5"/>
      <selection pane="bottomRight" activeCell="G15" sqref="G15"/>
    </sheetView>
  </sheetViews>
  <sheetFormatPr defaultRowHeight="12.75" x14ac:dyDescent="0.2"/>
  <cols>
    <col min="2" max="2" width="34.5703125" customWidth="1"/>
    <col min="3" max="3" width="26.7109375" customWidth="1"/>
    <col min="4" max="4" width="6.28515625" customWidth="1"/>
    <col min="5" max="5" width="25.42578125" customWidth="1"/>
    <col min="6" max="6" width="7.28515625" customWidth="1"/>
    <col min="7" max="7" width="26.42578125" customWidth="1"/>
  </cols>
  <sheetData>
    <row r="1" spans="1:8" ht="13.5" thickBot="1" x14ac:dyDescent="0.25">
      <c r="A1" s="162"/>
      <c r="B1" s="162"/>
      <c r="C1" s="162"/>
      <c r="D1" s="162"/>
      <c r="E1" s="162"/>
      <c r="F1" s="162"/>
      <c r="G1" s="162"/>
      <c r="H1" s="162"/>
    </row>
    <row r="2" spans="1:8" ht="13.5" customHeight="1" thickBot="1" x14ac:dyDescent="0.25">
      <c r="A2" s="147" t="s">
        <v>428</v>
      </c>
      <c r="B2" s="148"/>
      <c r="C2" s="145" t="s">
        <v>431</v>
      </c>
      <c r="D2" s="146"/>
      <c r="E2" s="145" t="s">
        <v>430</v>
      </c>
      <c r="F2" s="146"/>
      <c r="G2" s="145" t="s">
        <v>429</v>
      </c>
      <c r="H2" s="146"/>
    </row>
    <row r="3" spans="1:8" ht="13.5" customHeight="1" x14ac:dyDescent="0.2">
      <c r="A3" s="149"/>
      <c r="B3" s="150"/>
      <c r="C3" s="133" t="s">
        <v>420</v>
      </c>
      <c r="D3" s="134"/>
      <c r="E3" s="133" t="s">
        <v>439</v>
      </c>
      <c r="F3" s="134"/>
      <c r="G3" s="133" t="s">
        <v>444</v>
      </c>
      <c r="H3" s="134"/>
    </row>
    <row r="4" spans="1:8" ht="13.5" customHeight="1" thickBot="1" x14ac:dyDescent="0.25">
      <c r="A4" s="151"/>
      <c r="B4" s="152"/>
      <c r="C4" s="153"/>
      <c r="D4" s="154"/>
      <c r="E4" s="153"/>
      <c r="F4" s="154"/>
      <c r="G4" s="153"/>
      <c r="H4" s="154"/>
    </row>
    <row r="5" spans="1:8" ht="33" customHeight="1" thickBot="1" x14ac:dyDescent="0.25">
      <c r="A5" s="155" t="s">
        <v>426</v>
      </c>
      <c r="B5" s="156"/>
      <c r="C5" s="55"/>
      <c r="D5" s="164" t="s">
        <v>438</v>
      </c>
      <c r="E5" s="92"/>
      <c r="F5" s="164" t="s">
        <v>438</v>
      </c>
      <c r="G5" s="55"/>
      <c r="H5" s="164" t="s">
        <v>438</v>
      </c>
    </row>
    <row r="6" spans="1:8" ht="15.75" customHeight="1" thickBot="1" x14ac:dyDescent="0.25">
      <c r="A6" s="157" t="s">
        <v>349</v>
      </c>
      <c r="B6" s="158"/>
      <c r="C6" s="52"/>
      <c r="D6" s="165"/>
      <c r="E6" s="93"/>
      <c r="F6" s="165"/>
      <c r="G6" s="52"/>
      <c r="H6" s="165"/>
    </row>
    <row r="7" spans="1:8" ht="24.75" thickBot="1" x14ac:dyDescent="0.25">
      <c r="A7" s="19">
        <v>110</v>
      </c>
      <c r="B7" s="20" t="s">
        <v>427</v>
      </c>
      <c r="C7" s="29"/>
      <c r="D7" s="90" t="str">
        <f t="shared" ref="D7:D14" si="0">IF(C$27&gt;0,C7/C$27,"0%")</f>
        <v>0%</v>
      </c>
      <c r="E7" s="29"/>
      <c r="F7" s="90" t="str">
        <f t="shared" ref="F7:F14" si="1">IF(E$27&gt;0,E7/E$27,"0%")</f>
        <v>0%</v>
      </c>
      <c r="G7" s="29"/>
      <c r="H7" s="90" t="str">
        <f t="shared" ref="H7:H14" si="2">IF(G$27&gt;0,G7/G$27,"0%")</f>
        <v>0%</v>
      </c>
    </row>
    <row r="8" spans="1:8" ht="21" customHeight="1" thickBot="1" x14ac:dyDescent="0.25">
      <c r="A8" s="19">
        <v>120</v>
      </c>
      <c r="B8" s="20" t="s">
        <v>1</v>
      </c>
      <c r="C8" s="29"/>
      <c r="D8" s="90" t="str">
        <f t="shared" si="0"/>
        <v>0%</v>
      </c>
      <c r="E8" s="29"/>
      <c r="F8" s="90" t="str">
        <f t="shared" si="1"/>
        <v>0%</v>
      </c>
      <c r="G8" s="29"/>
      <c r="H8" s="90" t="str">
        <f t="shared" si="2"/>
        <v>0%</v>
      </c>
    </row>
    <row r="9" spans="1:8" ht="21.75" customHeight="1" thickBot="1" x14ac:dyDescent="0.25">
      <c r="A9" s="19">
        <v>140</v>
      </c>
      <c r="B9" s="20" t="s">
        <v>347</v>
      </c>
      <c r="C9" s="29"/>
      <c r="D9" s="90" t="str">
        <f t="shared" si="0"/>
        <v>0%</v>
      </c>
      <c r="E9" s="29"/>
      <c r="F9" s="90" t="str">
        <f t="shared" si="1"/>
        <v>0%</v>
      </c>
      <c r="G9" s="29"/>
      <c r="H9" s="90" t="str">
        <f t="shared" si="2"/>
        <v>0%</v>
      </c>
    </row>
    <row r="10" spans="1:8" ht="26.25" thickBot="1" x14ac:dyDescent="0.25">
      <c r="A10" s="19">
        <v>141</v>
      </c>
      <c r="B10" s="20" t="s">
        <v>350</v>
      </c>
      <c r="C10" s="29"/>
      <c r="D10" s="90" t="str">
        <f t="shared" si="0"/>
        <v>0%</v>
      </c>
      <c r="E10" s="29"/>
      <c r="F10" s="90" t="str">
        <f t="shared" si="1"/>
        <v>0%</v>
      </c>
      <c r="G10" s="29"/>
      <c r="H10" s="90" t="str">
        <f t="shared" si="2"/>
        <v>0%</v>
      </c>
    </row>
    <row r="11" spans="1:8" ht="19.5" customHeight="1" thickBot="1" x14ac:dyDescent="0.25">
      <c r="A11" s="19">
        <v>170</v>
      </c>
      <c r="B11" s="20" t="s">
        <v>348</v>
      </c>
      <c r="C11" s="29"/>
      <c r="D11" s="90" t="str">
        <f t="shared" si="0"/>
        <v>0%</v>
      </c>
      <c r="E11" s="29"/>
      <c r="F11" s="90" t="str">
        <f t="shared" si="1"/>
        <v>0%</v>
      </c>
      <c r="G11" s="29"/>
      <c r="H11" s="90" t="str">
        <f t="shared" si="2"/>
        <v>0%</v>
      </c>
    </row>
    <row r="12" spans="1:8" ht="20.25" customHeight="1" thickBot="1" x14ac:dyDescent="0.25">
      <c r="A12" s="140" t="s">
        <v>358</v>
      </c>
      <c r="B12" s="159"/>
      <c r="C12" s="29"/>
      <c r="D12" s="90" t="str">
        <f t="shared" si="0"/>
        <v>0%</v>
      </c>
      <c r="E12" s="29"/>
      <c r="F12" s="90" t="str">
        <f t="shared" si="1"/>
        <v>0%</v>
      </c>
      <c r="G12" s="29"/>
      <c r="H12" s="90" t="str">
        <f t="shared" si="2"/>
        <v>0%</v>
      </c>
    </row>
    <row r="13" spans="1:8" ht="27" customHeight="1" thickBot="1" x14ac:dyDescent="0.25">
      <c r="A13" s="122" t="s">
        <v>369</v>
      </c>
      <c r="B13" s="160"/>
      <c r="C13" s="21">
        <f>SUM(C7:C12)</f>
        <v>0</v>
      </c>
      <c r="D13" s="90" t="str">
        <f t="shared" si="0"/>
        <v>0%</v>
      </c>
      <c r="E13" s="21">
        <f>SUM(E7:E12)</f>
        <v>0</v>
      </c>
      <c r="F13" s="90" t="str">
        <f t="shared" si="1"/>
        <v>0%</v>
      </c>
      <c r="G13" s="21">
        <f>SUM(G7:G12)</f>
        <v>0</v>
      </c>
      <c r="H13" s="90" t="str">
        <f t="shared" si="2"/>
        <v>0%</v>
      </c>
    </row>
    <row r="14" spans="1:8" ht="24" customHeight="1" thickBot="1" x14ac:dyDescent="0.25">
      <c r="A14" s="122" t="s">
        <v>351</v>
      </c>
      <c r="B14" s="160"/>
      <c r="C14" s="29"/>
      <c r="D14" s="90" t="str">
        <f t="shared" si="0"/>
        <v>0%</v>
      </c>
      <c r="E14" s="29"/>
      <c r="F14" s="90" t="str">
        <f t="shared" si="1"/>
        <v>0%</v>
      </c>
      <c r="G14" s="29"/>
      <c r="H14" s="90" t="str">
        <f t="shared" si="2"/>
        <v>0%</v>
      </c>
    </row>
    <row r="15" spans="1:8" ht="22.5" customHeight="1" thickBot="1" x14ac:dyDescent="0.25">
      <c r="A15" s="157" t="s">
        <v>352</v>
      </c>
      <c r="B15" s="158"/>
      <c r="C15" s="203"/>
      <c r="D15" s="200"/>
      <c r="E15" s="204"/>
      <c r="F15" s="200"/>
      <c r="G15" s="204"/>
      <c r="H15" s="201"/>
    </row>
    <row r="16" spans="1:8" ht="30.75" customHeight="1" thickBot="1" x14ac:dyDescent="0.25">
      <c r="A16" s="19">
        <v>305</v>
      </c>
      <c r="B16" s="20" t="s">
        <v>2</v>
      </c>
      <c r="C16" s="202"/>
      <c r="D16" s="199" t="str">
        <f>IF(C$27&gt;0,C16/C$27,"0%")</f>
        <v>0%</v>
      </c>
      <c r="E16" s="198"/>
      <c r="F16" s="199" t="str">
        <f>IF(E$27&gt;0,E16/E$27,"0%")</f>
        <v>0%</v>
      </c>
      <c r="G16" s="198"/>
      <c r="H16" s="199" t="str">
        <f>IF(G$27&gt;0,G16/G$27,"0%")</f>
        <v>0%</v>
      </c>
    </row>
    <row r="17" spans="1:8" ht="24" customHeight="1" thickBot="1" x14ac:dyDescent="0.25">
      <c r="A17" s="19">
        <v>320</v>
      </c>
      <c r="B17" s="20" t="s">
        <v>3</v>
      </c>
      <c r="C17" s="29"/>
      <c r="D17" s="90" t="str">
        <f t="shared" ref="D17:D27" si="3">IF(C$27&gt;0,C17/C$27,"0%")</f>
        <v>0%</v>
      </c>
      <c r="E17" s="29"/>
      <c r="F17" s="199" t="str">
        <f t="shared" ref="F17:F27" si="4">IF(E$27&gt;0,E17/E$27,"0%")</f>
        <v>0%</v>
      </c>
      <c r="G17" s="29"/>
      <c r="H17" s="90" t="str">
        <f t="shared" ref="H17:H27" si="5">IF(G$27&gt;0,G17/G$27,"0%")</f>
        <v>0%</v>
      </c>
    </row>
    <row r="18" spans="1:8" ht="21" customHeight="1" thickBot="1" x14ac:dyDescent="0.25">
      <c r="A18" s="19">
        <v>329</v>
      </c>
      <c r="B18" s="20" t="s">
        <v>4</v>
      </c>
      <c r="C18" s="29"/>
      <c r="D18" s="90" t="str">
        <f t="shared" si="3"/>
        <v>0%</v>
      </c>
      <c r="E18" s="29"/>
      <c r="F18" s="90" t="str">
        <f t="shared" si="4"/>
        <v>0%</v>
      </c>
      <c r="G18" s="29"/>
      <c r="H18" s="90" t="str">
        <f t="shared" si="5"/>
        <v>0%</v>
      </c>
    </row>
    <row r="19" spans="1:8" ht="25.5" customHeight="1" thickBot="1" x14ac:dyDescent="0.25">
      <c r="A19" s="19" t="s">
        <v>364</v>
      </c>
      <c r="B19" s="20" t="s">
        <v>353</v>
      </c>
      <c r="C19" s="29"/>
      <c r="D19" s="90" t="str">
        <f t="shared" si="3"/>
        <v>0%</v>
      </c>
      <c r="E19" s="29"/>
      <c r="F19" s="90" t="str">
        <f t="shared" si="4"/>
        <v>0%</v>
      </c>
      <c r="G19" s="29"/>
      <c r="H19" s="90" t="str">
        <f t="shared" si="5"/>
        <v>0%</v>
      </c>
    </row>
    <row r="20" spans="1:8" ht="24.75" customHeight="1" thickBot="1" x14ac:dyDescent="0.25">
      <c r="A20" s="19">
        <v>366</v>
      </c>
      <c r="B20" s="20" t="s">
        <v>5</v>
      </c>
      <c r="C20" s="29"/>
      <c r="D20" s="90" t="str">
        <f t="shared" si="3"/>
        <v>0%</v>
      </c>
      <c r="E20" s="29"/>
      <c r="F20" s="90" t="str">
        <f t="shared" si="4"/>
        <v>0%</v>
      </c>
      <c r="G20" s="29"/>
      <c r="H20" s="90" t="str">
        <f t="shared" si="5"/>
        <v>0%</v>
      </c>
    </row>
    <row r="21" spans="1:8" ht="29.25" customHeight="1" thickBot="1" x14ac:dyDescent="0.25">
      <c r="A21" s="19">
        <v>370</v>
      </c>
      <c r="B21" s="20" t="s">
        <v>359</v>
      </c>
      <c r="C21" s="29"/>
      <c r="D21" s="90" t="str">
        <f t="shared" si="3"/>
        <v>0%</v>
      </c>
      <c r="E21" s="29"/>
      <c r="F21" s="90" t="str">
        <f t="shared" si="4"/>
        <v>0%</v>
      </c>
      <c r="G21" s="29"/>
      <c r="H21" s="90" t="str">
        <f t="shared" si="5"/>
        <v>0%</v>
      </c>
    </row>
    <row r="22" spans="1:8" ht="27.75" customHeight="1" thickBot="1" x14ac:dyDescent="0.25">
      <c r="A22" s="140" t="s">
        <v>354</v>
      </c>
      <c r="B22" s="159"/>
      <c r="C22" s="29"/>
      <c r="D22" s="90" t="str">
        <f t="shared" si="3"/>
        <v>0%</v>
      </c>
      <c r="E22" s="29"/>
      <c r="F22" s="90" t="str">
        <f t="shared" si="4"/>
        <v>0%</v>
      </c>
      <c r="G22" s="29"/>
      <c r="H22" s="90" t="str">
        <f t="shared" si="5"/>
        <v>0%</v>
      </c>
    </row>
    <row r="23" spans="1:8" ht="20.25" customHeight="1" thickBot="1" x14ac:dyDescent="0.25">
      <c r="A23" s="122" t="s">
        <v>370</v>
      </c>
      <c r="B23" s="160"/>
      <c r="C23" s="21">
        <f>SUM(C16:C22)</f>
        <v>0</v>
      </c>
      <c r="D23" s="90" t="str">
        <f t="shared" si="3"/>
        <v>0%</v>
      </c>
      <c r="E23" s="21">
        <f>SUM(E16:E22)</f>
        <v>0</v>
      </c>
      <c r="F23" s="90" t="str">
        <f t="shared" si="4"/>
        <v>0%</v>
      </c>
      <c r="G23" s="21">
        <f>SUM(G16:G22)</f>
        <v>0</v>
      </c>
      <c r="H23" s="90" t="str">
        <f t="shared" si="5"/>
        <v>0%</v>
      </c>
    </row>
    <row r="24" spans="1:8" ht="27" customHeight="1" thickBot="1" x14ac:dyDescent="0.25">
      <c r="A24" s="143" t="s">
        <v>355</v>
      </c>
      <c r="B24" s="159"/>
      <c r="C24" s="29"/>
      <c r="D24" s="90" t="str">
        <f t="shared" si="3"/>
        <v>0%</v>
      </c>
      <c r="E24" s="29"/>
      <c r="F24" s="90" t="str">
        <f t="shared" si="4"/>
        <v>0%</v>
      </c>
      <c r="G24" s="29"/>
      <c r="H24" s="90" t="str">
        <f t="shared" si="5"/>
        <v>0%</v>
      </c>
    </row>
    <row r="25" spans="1:8" ht="25.5" customHeight="1" thickBot="1" x14ac:dyDescent="0.25">
      <c r="A25" s="143" t="s">
        <v>361</v>
      </c>
      <c r="B25" s="159"/>
      <c r="C25" s="29"/>
      <c r="D25" s="90" t="str">
        <f t="shared" si="3"/>
        <v>0%</v>
      </c>
      <c r="E25" s="29"/>
      <c r="F25" s="90" t="str">
        <f t="shared" si="4"/>
        <v>0%</v>
      </c>
      <c r="G25" s="29"/>
      <c r="H25" s="90" t="str">
        <f t="shared" si="5"/>
        <v>0%</v>
      </c>
    </row>
    <row r="26" spans="1:8" ht="34.5" customHeight="1" thickBot="1" x14ac:dyDescent="0.25">
      <c r="A26" s="143" t="s">
        <v>418</v>
      </c>
      <c r="B26" s="159"/>
      <c r="C26" s="29"/>
      <c r="D26" s="90" t="str">
        <f t="shared" si="3"/>
        <v>0%</v>
      </c>
      <c r="E26" s="29"/>
      <c r="F26" s="90" t="str">
        <f t="shared" si="4"/>
        <v>0%</v>
      </c>
      <c r="G26" s="29"/>
      <c r="H26" s="90" t="str">
        <f t="shared" si="5"/>
        <v>0%</v>
      </c>
    </row>
    <row r="27" spans="1:8" ht="27.75" customHeight="1" thickBot="1" x14ac:dyDescent="0.25">
      <c r="A27" s="161" t="s">
        <v>360</v>
      </c>
      <c r="B27" s="159"/>
      <c r="C27" s="18">
        <f>+SUM(C13:C14)+SUM(C23:C26)</f>
        <v>0</v>
      </c>
      <c r="D27" s="91" t="str">
        <f t="shared" si="3"/>
        <v>0%</v>
      </c>
      <c r="E27" s="18">
        <f>+SUM(E13:E14)+SUM(E23:E26)</f>
        <v>0</v>
      </c>
      <c r="F27" s="91" t="str">
        <f t="shared" si="4"/>
        <v>0%</v>
      </c>
      <c r="G27" s="18">
        <f>+SUM(G13:G14)+SUM(G23:G26)</f>
        <v>0</v>
      </c>
      <c r="H27" s="91" t="str">
        <f t="shared" si="5"/>
        <v>0%</v>
      </c>
    </row>
    <row r="28" spans="1:8" ht="20.25" customHeight="1" x14ac:dyDescent="0.2"/>
  </sheetData>
  <sheetProtection password="8AD3" sheet="1" objects="1" scenarios="1"/>
  <pageMargins left="0.7" right="0.7" top="0.75" bottom="0.75" header="0.3" footer="0.3"/>
  <pageSetup scale="80" orientation="landscape" r:id="rId1"/>
  <ignoredErrors>
    <ignoredError sqref="F13 D13 D27 F27" formula="1"/>
    <ignoredError sqref="D23 F23" formula="1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8:F8"/>
  <sheetViews>
    <sheetView workbookViewId="0">
      <selection activeCell="C15" sqref="C15"/>
    </sheetView>
  </sheetViews>
  <sheetFormatPr defaultRowHeight="12.75" x14ac:dyDescent="0.2"/>
  <cols>
    <col min="2" max="2" width="31.42578125" customWidth="1"/>
    <col min="3" max="3" width="11.5703125" customWidth="1"/>
    <col min="4" max="4" width="15.140625" customWidth="1"/>
    <col min="5" max="5" width="27.5703125" customWidth="1"/>
    <col min="6" max="6" width="32.7109375" customWidth="1"/>
    <col min="7" max="7" width="32.140625" customWidth="1"/>
  </cols>
  <sheetData>
    <row r="8" spans="1:6" s="33" customFormat="1" ht="38.25" x14ac:dyDescent="0.2">
      <c r="A8" s="32">
        <v>344</v>
      </c>
      <c r="B8" s="33" t="s">
        <v>379</v>
      </c>
      <c r="C8" s="49" t="s">
        <v>421</v>
      </c>
      <c r="D8" s="33" t="s">
        <v>380</v>
      </c>
      <c r="E8" s="33" t="s">
        <v>381</v>
      </c>
      <c r="F8" s="33" t="s">
        <v>382</v>
      </c>
    </row>
  </sheetData>
  <sheetProtection password="8AD3" sheet="1"/>
  <phoneticPr fontId="2" type="noConversion"/>
  <pageMargins left="0.75" right="0.75" top="1" bottom="1" header="0.5" footer="0.5"/>
  <pageSetup scale="69" orientation="landscape" r:id="rId1"/>
  <headerFooter alignWithMargins="0">
    <oddHeader>&amp;CSchool Readiness Budget Planner</oddHeader>
    <oddFooter xml:space="preserve">&amp;L&amp;D&amp;RSource: UFARS Manual Chapter 10 http://education.state.mn.us/MDE/Accountability_Programs/Program_Finance/Financial_Management/UFARS/index.html
</oddFooter>
  </headerFooter>
  <ignoredErrors>
    <ignoredError sqref="C8" numberStoredAsText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40"/>
  <sheetViews>
    <sheetView topLeftCell="A327" workbookViewId="0">
      <selection activeCell="A340" sqref="A340"/>
    </sheetView>
  </sheetViews>
  <sheetFormatPr defaultRowHeight="11.25" x14ac:dyDescent="0.2"/>
  <cols>
    <col min="1" max="1" width="9.140625" style="2"/>
    <col min="2" max="2" width="32" style="2" customWidth="1"/>
    <col min="3" max="4" width="9.140625" style="2"/>
    <col min="5" max="5" width="10" style="2" customWidth="1"/>
    <col min="6" max="16384" width="9.140625" style="2"/>
  </cols>
  <sheetData>
    <row r="1" spans="1:20" s="3" customFormat="1" x14ac:dyDescent="0.2">
      <c r="A1" s="3">
        <v>1</v>
      </c>
      <c r="B1" s="4">
        <v>2</v>
      </c>
      <c r="M1" s="3">
        <v>13</v>
      </c>
      <c r="N1" s="3">
        <v>14</v>
      </c>
      <c r="O1" s="3">
        <v>15</v>
      </c>
      <c r="P1" s="3">
        <v>16</v>
      </c>
      <c r="Q1" s="3">
        <v>17</v>
      </c>
      <c r="R1" s="3">
        <v>18</v>
      </c>
      <c r="S1" s="3">
        <v>19</v>
      </c>
      <c r="T1" s="3">
        <v>20</v>
      </c>
    </row>
    <row r="2" spans="1:20" x14ac:dyDescent="0.2">
      <c r="A2" s="2">
        <v>1</v>
      </c>
      <c r="B2" s="2" t="s">
        <v>19</v>
      </c>
    </row>
    <row r="3" spans="1:20" x14ac:dyDescent="0.2">
      <c r="A3" s="2">
        <v>9999</v>
      </c>
      <c r="B3" s="2" t="s">
        <v>20</v>
      </c>
    </row>
    <row r="4" spans="1:20" x14ac:dyDescent="0.2">
      <c r="A4" s="2">
        <v>2</v>
      </c>
      <c r="B4" s="2" t="s">
        <v>21</v>
      </c>
    </row>
    <row r="5" spans="1:20" x14ac:dyDescent="0.2">
      <c r="A5" s="2">
        <v>4</v>
      </c>
      <c r="B5" s="2" t="s">
        <v>22</v>
      </c>
    </row>
    <row r="6" spans="1:20" x14ac:dyDescent="0.2">
      <c r="A6" s="2">
        <v>6</v>
      </c>
      <c r="B6" s="2" t="s">
        <v>23</v>
      </c>
    </row>
    <row r="7" spans="1:20" x14ac:dyDescent="0.2">
      <c r="A7" s="2">
        <v>11</v>
      </c>
      <c r="B7" s="2" t="s">
        <v>24</v>
      </c>
    </row>
    <row r="8" spans="1:20" x14ac:dyDescent="0.2">
      <c r="A8" s="2">
        <v>12</v>
      </c>
      <c r="B8" s="2" t="s">
        <v>25</v>
      </c>
    </row>
    <row r="9" spans="1:20" x14ac:dyDescent="0.2">
      <c r="A9" s="2">
        <v>13</v>
      </c>
      <c r="B9" s="2" t="s">
        <v>26</v>
      </c>
    </row>
    <row r="10" spans="1:20" x14ac:dyDescent="0.2">
      <c r="A10" s="2">
        <v>14</v>
      </c>
      <c r="B10" s="2" t="s">
        <v>27</v>
      </c>
    </row>
    <row r="11" spans="1:20" x14ac:dyDescent="0.2">
      <c r="A11" s="2">
        <v>15</v>
      </c>
      <c r="B11" s="2" t="s">
        <v>28</v>
      </c>
    </row>
    <row r="12" spans="1:20" x14ac:dyDescent="0.2">
      <c r="A12" s="2">
        <v>16</v>
      </c>
      <c r="B12" s="2" t="s">
        <v>29</v>
      </c>
    </row>
    <row r="13" spans="1:20" x14ac:dyDescent="0.2">
      <c r="A13" s="2">
        <v>22</v>
      </c>
      <c r="B13" s="2" t="s">
        <v>30</v>
      </c>
    </row>
    <row r="14" spans="1:20" x14ac:dyDescent="0.2">
      <c r="A14" s="2">
        <v>23</v>
      </c>
      <c r="B14" s="2" t="s">
        <v>31</v>
      </c>
    </row>
    <row r="15" spans="1:20" x14ac:dyDescent="0.2">
      <c r="A15" s="2">
        <v>25</v>
      </c>
      <c r="B15" s="2" t="s">
        <v>32</v>
      </c>
    </row>
    <row r="16" spans="1:20" x14ac:dyDescent="0.2">
      <c r="A16" s="2">
        <v>31</v>
      </c>
      <c r="B16" s="2" t="s">
        <v>33</v>
      </c>
    </row>
    <row r="17" spans="1:2" x14ac:dyDescent="0.2">
      <c r="A17" s="2">
        <v>32</v>
      </c>
      <c r="B17" s="2" t="s">
        <v>34</v>
      </c>
    </row>
    <row r="18" spans="1:2" x14ac:dyDescent="0.2">
      <c r="A18" s="2">
        <v>36</v>
      </c>
      <c r="B18" s="2" t="s">
        <v>35</v>
      </c>
    </row>
    <row r="19" spans="1:2" x14ac:dyDescent="0.2">
      <c r="A19" s="2">
        <v>38</v>
      </c>
      <c r="B19" s="2" t="s">
        <v>36</v>
      </c>
    </row>
    <row r="20" spans="1:2" x14ac:dyDescent="0.2">
      <c r="A20" s="2">
        <v>47</v>
      </c>
      <c r="B20" s="2" t="s">
        <v>37</v>
      </c>
    </row>
    <row r="21" spans="1:2" x14ac:dyDescent="0.2">
      <c r="A21" s="2">
        <v>51</v>
      </c>
      <c r="B21" s="2" t="s">
        <v>38</v>
      </c>
    </row>
    <row r="22" spans="1:2" x14ac:dyDescent="0.2">
      <c r="A22" s="2">
        <v>75</v>
      </c>
      <c r="B22" s="2" t="s">
        <v>39</v>
      </c>
    </row>
    <row r="23" spans="1:2" x14ac:dyDescent="0.2">
      <c r="A23" s="2">
        <v>77</v>
      </c>
      <c r="B23" s="2" t="s">
        <v>40</v>
      </c>
    </row>
    <row r="24" spans="1:2" x14ac:dyDescent="0.2">
      <c r="A24" s="2">
        <v>81</v>
      </c>
      <c r="B24" s="2" t="s">
        <v>41</v>
      </c>
    </row>
    <row r="25" spans="1:2" x14ac:dyDescent="0.2">
      <c r="A25" s="2">
        <v>84</v>
      </c>
      <c r="B25" s="2" t="s">
        <v>42</v>
      </c>
    </row>
    <row r="26" spans="1:2" x14ac:dyDescent="0.2">
      <c r="A26" s="2">
        <v>85</v>
      </c>
      <c r="B26" s="2" t="s">
        <v>43</v>
      </c>
    </row>
    <row r="27" spans="1:2" x14ac:dyDescent="0.2">
      <c r="A27" s="2">
        <v>88</v>
      </c>
      <c r="B27" s="2" t="s">
        <v>44</v>
      </c>
    </row>
    <row r="28" spans="1:2" x14ac:dyDescent="0.2">
      <c r="A28" s="2">
        <v>91</v>
      </c>
      <c r="B28" s="2" t="s">
        <v>45</v>
      </c>
    </row>
    <row r="29" spans="1:2" x14ac:dyDescent="0.2">
      <c r="A29" s="2">
        <v>93</v>
      </c>
      <c r="B29" s="2" t="s">
        <v>46</v>
      </c>
    </row>
    <row r="30" spans="1:2" x14ac:dyDescent="0.2">
      <c r="A30" s="2">
        <v>94</v>
      </c>
      <c r="B30" s="2" t="s">
        <v>47</v>
      </c>
    </row>
    <row r="31" spans="1:2" x14ac:dyDescent="0.2">
      <c r="A31" s="2">
        <v>95</v>
      </c>
      <c r="B31" s="2" t="s">
        <v>48</v>
      </c>
    </row>
    <row r="32" spans="1:2" x14ac:dyDescent="0.2">
      <c r="A32" s="2">
        <v>97</v>
      </c>
      <c r="B32" s="2" t="s">
        <v>49</v>
      </c>
    </row>
    <row r="33" spans="1:2" x14ac:dyDescent="0.2">
      <c r="A33" s="2">
        <v>99</v>
      </c>
      <c r="B33" s="2" t="s">
        <v>50</v>
      </c>
    </row>
    <row r="34" spans="1:2" x14ac:dyDescent="0.2">
      <c r="A34" s="2">
        <v>100</v>
      </c>
      <c r="B34" s="2" t="s">
        <v>51</v>
      </c>
    </row>
    <row r="35" spans="1:2" x14ac:dyDescent="0.2">
      <c r="A35" s="2">
        <v>108</v>
      </c>
      <c r="B35" s="2" t="s">
        <v>52</v>
      </c>
    </row>
    <row r="36" spans="1:2" x14ac:dyDescent="0.2">
      <c r="A36" s="2">
        <v>110</v>
      </c>
      <c r="B36" s="2" t="s">
        <v>53</v>
      </c>
    </row>
    <row r="37" spans="1:2" x14ac:dyDescent="0.2">
      <c r="A37" s="2">
        <v>111</v>
      </c>
      <c r="B37" s="2" t="s">
        <v>54</v>
      </c>
    </row>
    <row r="38" spans="1:2" x14ac:dyDescent="0.2">
      <c r="A38" s="2">
        <v>112</v>
      </c>
      <c r="B38" s="2" t="s">
        <v>408</v>
      </c>
    </row>
    <row r="39" spans="1:2" x14ac:dyDescent="0.2">
      <c r="A39" s="2">
        <v>113</v>
      </c>
      <c r="B39" s="2" t="s">
        <v>55</v>
      </c>
    </row>
    <row r="40" spans="1:2" x14ac:dyDescent="0.2">
      <c r="A40" s="2">
        <v>115</v>
      </c>
      <c r="B40" s="2" t="s">
        <v>56</v>
      </c>
    </row>
    <row r="41" spans="1:2" x14ac:dyDescent="0.2">
      <c r="A41" s="2">
        <v>116</v>
      </c>
      <c r="B41" s="2" t="s">
        <v>57</v>
      </c>
    </row>
    <row r="42" spans="1:2" x14ac:dyDescent="0.2">
      <c r="A42" s="2">
        <v>118</v>
      </c>
      <c r="B42" s="2" t="s">
        <v>58</v>
      </c>
    </row>
    <row r="43" spans="1:2" x14ac:dyDescent="0.2">
      <c r="A43" s="2">
        <v>129</v>
      </c>
      <c r="B43" s="2" t="s">
        <v>59</v>
      </c>
    </row>
    <row r="44" spans="1:2" x14ac:dyDescent="0.2">
      <c r="A44" s="2">
        <v>138</v>
      </c>
      <c r="B44" s="2" t="s">
        <v>60</v>
      </c>
    </row>
    <row r="45" spans="1:2" x14ac:dyDescent="0.2">
      <c r="A45" s="2">
        <v>139</v>
      </c>
      <c r="B45" s="2" t="s">
        <v>61</v>
      </c>
    </row>
    <row r="46" spans="1:2" x14ac:dyDescent="0.2">
      <c r="A46" s="2">
        <v>146</v>
      </c>
      <c r="B46" s="2" t="s">
        <v>62</v>
      </c>
    </row>
    <row r="47" spans="1:2" x14ac:dyDescent="0.2">
      <c r="A47" s="2">
        <v>150</v>
      </c>
      <c r="B47" s="2" t="s">
        <v>63</v>
      </c>
    </row>
    <row r="48" spans="1:2" x14ac:dyDescent="0.2">
      <c r="A48" s="2">
        <v>152</v>
      </c>
      <c r="B48" s="2" t="s">
        <v>64</v>
      </c>
    </row>
    <row r="49" spans="1:2" x14ac:dyDescent="0.2">
      <c r="A49" s="2">
        <v>162</v>
      </c>
      <c r="B49" s="2" t="s">
        <v>65</v>
      </c>
    </row>
    <row r="50" spans="1:2" x14ac:dyDescent="0.2">
      <c r="A50" s="2">
        <v>166</v>
      </c>
      <c r="B50" s="2" t="s">
        <v>66</v>
      </c>
    </row>
    <row r="51" spans="1:2" x14ac:dyDescent="0.2">
      <c r="A51" s="2">
        <v>173</v>
      </c>
      <c r="B51" s="2" t="s">
        <v>67</v>
      </c>
    </row>
    <row r="52" spans="1:2" x14ac:dyDescent="0.2">
      <c r="A52" s="2">
        <v>177</v>
      </c>
      <c r="B52" s="2" t="s">
        <v>68</v>
      </c>
    </row>
    <row r="53" spans="1:2" x14ac:dyDescent="0.2">
      <c r="A53" s="2">
        <v>181</v>
      </c>
      <c r="B53" s="2" t="s">
        <v>69</v>
      </c>
    </row>
    <row r="54" spans="1:2" x14ac:dyDescent="0.2">
      <c r="A54" s="2">
        <v>182</v>
      </c>
      <c r="B54" s="2" t="s">
        <v>70</v>
      </c>
    </row>
    <row r="55" spans="1:2" x14ac:dyDescent="0.2">
      <c r="A55" s="2">
        <v>186</v>
      </c>
      <c r="B55" s="2" t="s">
        <v>71</v>
      </c>
    </row>
    <row r="56" spans="1:2" x14ac:dyDescent="0.2">
      <c r="A56" s="2">
        <v>191</v>
      </c>
      <c r="B56" s="2" t="s">
        <v>72</v>
      </c>
    </row>
    <row r="57" spans="1:2" x14ac:dyDescent="0.2">
      <c r="A57" s="2">
        <v>192</v>
      </c>
      <c r="B57" s="2" t="s">
        <v>73</v>
      </c>
    </row>
    <row r="58" spans="1:2" x14ac:dyDescent="0.2">
      <c r="A58" s="2">
        <v>194</v>
      </c>
      <c r="B58" s="2" t="s">
        <v>74</v>
      </c>
    </row>
    <row r="59" spans="1:2" x14ac:dyDescent="0.2">
      <c r="A59" s="2">
        <v>195</v>
      </c>
      <c r="B59" s="2" t="s">
        <v>75</v>
      </c>
    </row>
    <row r="60" spans="1:2" x14ac:dyDescent="0.2">
      <c r="A60" s="2">
        <v>196</v>
      </c>
      <c r="B60" s="2" t="s">
        <v>76</v>
      </c>
    </row>
    <row r="61" spans="1:2" x14ac:dyDescent="0.2">
      <c r="A61" s="2">
        <v>197</v>
      </c>
      <c r="B61" s="2" t="s">
        <v>77</v>
      </c>
    </row>
    <row r="62" spans="1:2" x14ac:dyDescent="0.2">
      <c r="A62" s="2">
        <v>199</v>
      </c>
      <c r="B62" s="2" t="s">
        <v>78</v>
      </c>
    </row>
    <row r="63" spans="1:2" x14ac:dyDescent="0.2">
      <c r="A63" s="2">
        <v>200</v>
      </c>
      <c r="B63" s="2" t="s">
        <v>79</v>
      </c>
    </row>
    <row r="64" spans="1:2" x14ac:dyDescent="0.2">
      <c r="A64" s="2">
        <v>203</v>
      </c>
      <c r="B64" s="2" t="s">
        <v>80</v>
      </c>
    </row>
    <row r="65" spans="1:2" x14ac:dyDescent="0.2">
      <c r="A65" s="2">
        <v>204</v>
      </c>
      <c r="B65" s="2" t="s">
        <v>409</v>
      </c>
    </row>
    <row r="66" spans="1:2" x14ac:dyDescent="0.2">
      <c r="A66" s="2">
        <v>206</v>
      </c>
      <c r="B66" s="2" t="s">
        <v>81</v>
      </c>
    </row>
    <row r="67" spans="1:2" x14ac:dyDescent="0.2">
      <c r="A67" s="2">
        <v>207</v>
      </c>
      <c r="B67" s="2" t="s">
        <v>82</v>
      </c>
    </row>
    <row r="68" spans="1:2" x14ac:dyDescent="0.2">
      <c r="A68" s="2">
        <v>208</v>
      </c>
      <c r="B68" s="2" t="s">
        <v>83</v>
      </c>
    </row>
    <row r="69" spans="1:2" x14ac:dyDescent="0.2">
      <c r="A69" s="2">
        <v>213</v>
      </c>
      <c r="B69" s="2" t="s">
        <v>84</v>
      </c>
    </row>
    <row r="70" spans="1:2" x14ac:dyDescent="0.2">
      <c r="A70" s="2">
        <v>227</v>
      </c>
      <c r="B70" s="2" t="s">
        <v>85</v>
      </c>
    </row>
    <row r="71" spans="1:2" x14ac:dyDescent="0.2">
      <c r="A71" s="2">
        <v>229</v>
      </c>
      <c r="B71" s="2" t="s">
        <v>86</v>
      </c>
    </row>
    <row r="72" spans="1:2" x14ac:dyDescent="0.2">
      <c r="A72" s="2">
        <v>238</v>
      </c>
      <c r="B72" s="2" t="s">
        <v>87</v>
      </c>
    </row>
    <row r="73" spans="1:2" x14ac:dyDescent="0.2">
      <c r="A73" s="2">
        <v>239</v>
      </c>
      <c r="B73" s="2" t="s">
        <v>410</v>
      </c>
    </row>
    <row r="74" spans="1:2" x14ac:dyDescent="0.2">
      <c r="A74" s="2">
        <v>241</v>
      </c>
      <c r="B74" s="2" t="s">
        <v>88</v>
      </c>
    </row>
    <row r="75" spans="1:2" x14ac:dyDescent="0.2">
      <c r="A75" s="2">
        <v>242</v>
      </c>
      <c r="B75" s="2" t="s">
        <v>89</v>
      </c>
    </row>
    <row r="76" spans="1:2" x14ac:dyDescent="0.2">
      <c r="A76" s="2">
        <v>252</v>
      </c>
      <c r="B76" s="2" t="s">
        <v>90</v>
      </c>
    </row>
    <row r="77" spans="1:2" x14ac:dyDescent="0.2">
      <c r="A77" s="2">
        <v>253</v>
      </c>
      <c r="B77" s="2" t="s">
        <v>91</v>
      </c>
    </row>
    <row r="78" spans="1:2" x14ac:dyDescent="0.2">
      <c r="A78" s="2">
        <v>255</v>
      </c>
      <c r="B78" s="2" t="s">
        <v>92</v>
      </c>
    </row>
    <row r="79" spans="1:2" x14ac:dyDescent="0.2">
      <c r="A79" s="2">
        <v>256</v>
      </c>
      <c r="B79" s="2" t="s">
        <v>93</v>
      </c>
    </row>
    <row r="80" spans="1:2" x14ac:dyDescent="0.2">
      <c r="A80" s="2">
        <v>261</v>
      </c>
      <c r="B80" s="2" t="s">
        <v>94</v>
      </c>
    </row>
    <row r="81" spans="1:2" x14ac:dyDescent="0.2">
      <c r="A81" s="2">
        <v>264</v>
      </c>
      <c r="B81" s="2" t="s">
        <v>95</v>
      </c>
    </row>
    <row r="82" spans="1:2" x14ac:dyDescent="0.2">
      <c r="A82" s="2">
        <v>270</v>
      </c>
      <c r="B82" s="2" t="s">
        <v>96</v>
      </c>
    </row>
    <row r="83" spans="1:2" x14ac:dyDescent="0.2">
      <c r="A83" s="2">
        <v>271</v>
      </c>
      <c r="B83" s="2" t="s">
        <v>97</v>
      </c>
    </row>
    <row r="84" spans="1:2" x14ac:dyDescent="0.2">
      <c r="A84" s="2">
        <v>272</v>
      </c>
      <c r="B84" s="2" t="s">
        <v>98</v>
      </c>
    </row>
    <row r="85" spans="1:2" x14ac:dyDescent="0.2">
      <c r="A85" s="2">
        <v>273</v>
      </c>
      <c r="B85" s="2" t="s">
        <v>99</v>
      </c>
    </row>
    <row r="86" spans="1:2" x14ac:dyDescent="0.2">
      <c r="A86" s="2">
        <v>276</v>
      </c>
      <c r="B86" s="2" t="s">
        <v>100</v>
      </c>
    </row>
    <row r="87" spans="1:2" x14ac:dyDescent="0.2">
      <c r="A87" s="2">
        <v>277</v>
      </c>
      <c r="B87" s="2" t="s">
        <v>101</v>
      </c>
    </row>
    <row r="88" spans="1:2" x14ac:dyDescent="0.2">
      <c r="A88" s="2">
        <v>278</v>
      </c>
      <c r="B88" s="2" t="s">
        <v>102</v>
      </c>
    </row>
    <row r="89" spans="1:2" x14ac:dyDescent="0.2">
      <c r="A89" s="2">
        <v>279</v>
      </c>
      <c r="B89" s="2" t="s">
        <v>103</v>
      </c>
    </row>
    <row r="90" spans="1:2" x14ac:dyDescent="0.2">
      <c r="A90" s="2">
        <v>280</v>
      </c>
      <c r="B90" s="2" t="s">
        <v>104</v>
      </c>
    </row>
    <row r="91" spans="1:2" x14ac:dyDescent="0.2">
      <c r="A91" s="2">
        <v>281</v>
      </c>
      <c r="B91" s="2" t="s">
        <v>105</v>
      </c>
    </row>
    <row r="92" spans="1:2" x14ac:dyDescent="0.2">
      <c r="A92" s="2">
        <v>282</v>
      </c>
      <c r="B92" s="2" t="s">
        <v>106</v>
      </c>
    </row>
    <row r="93" spans="1:2" x14ac:dyDescent="0.2">
      <c r="A93" s="2">
        <v>283</v>
      </c>
      <c r="B93" s="2" t="s">
        <v>107</v>
      </c>
    </row>
    <row r="94" spans="1:2" x14ac:dyDescent="0.2">
      <c r="A94" s="2">
        <v>284</v>
      </c>
      <c r="B94" s="2" t="s">
        <v>108</v>
      </c>
    </row>
    <row r="95" spans="1:2" x14ac:dyDescent="0.2">
      <c r="A95" s="2">
        <v>286</v>
      </c>
      <c r="B95" s="2" t="s">
        <v>109</v>
      </c>
    </row>
    <row r="96" spans="1:2" x14ac:dyDescent="0.2">
      <c r="A96" s="2">
        <v>294</v>
      </c>
      <c r="B96" s="2" t="s">
        <v>110</v>
      </c>
    </row>
    <row r="97" spans="1:2" x14ac:dyDescent="0.2">
      <c r="A97" s="2">
        <v>297</v>
      </c>
      <c r="B97" s="2" t="s">
        <v>111</v>
      </c>
    </row>
    <row r="98" spans="1:2" x14ac:dyDescent="0.2">
      <c r="A98" s="2">
        <v>299</v>
      </c>
      <c r="B98" s="2" t="s">
        <v>112</v>
      </c>
    </row>
    <row r="99" spans="1:2" x14ac:dyDescent="0.2">
      <c r="A99" s="2">
        <v>300</v>
      </c>
      <c r="B99" s="2" t="s">
        <v>113</v>
      </c>
    </row>
    <row r="100" spans="1:2" x14ac:dyDescent="0.2">
      <c r="A100" s="2">
        <v>306</v>
      </c>
      <c r="B100" s="2" t="s">
        <v>114</v>
      </c>
    </row>
    <row r="101" spans="1:2" x14ac:dyDescent="0.2">
      <c r="A101" s="2">
        <v>308</v>
      </c>
      <c r="B101" s="2" t="s">
        <v>115</v>
      </c>
    </row>
    <row r="102" spans="1:2" x14ac:dyDescent="0.2">
      <c r="A102" s="2">
        <v>309</v>
      </c>
      <c r="B102" s="2" t="s">
        <v>116</v>
      </c>
    </row>
    <row r="103" spans="1:2" x14ac:dyDescent="0.2">
      <c r="A103" s="2">
        <v>314</v>
      </c>
      <c r="B103" s="2" t="s">
        <v>117</v>
      </c>
    </row>
    <row r="104" spans="1:2" x14ac:dyDescent="0.2">
      <c r="A104" s="2">
        <v>316</v>
      </c>
      <c r="B104" s="2" t="s">
        <v>118</v>
      </c>
    </row>
    <row r="105" spans="1:2" x14ac:dyDescent="0.2">
      <c r="A105" s="2">
        <v>317</v>
      </c>
      <c r="B105" s="2" t="s">
        <v>119</v>
      </c>
    </row>
    <row r="106" spans="1:2" x14ac:dyDescent="0.2">
      <c r="A106" s="2">
        <v>318</v>
      </c>
      <c r="B106" s="2" t="s">
        <v>120</v>
      </c>
    </row>
    <row r="107" spans="1:2" x14ac:dyDescent="0.2">
      <c r="A107" s="2">
        <v>319</v>
      </c>
      <c r="B107" s="2" t="s">
        <v>121</v>
      </c>
    </row>
    <row r="108" spans="1:2" x14ac:dyDescent="0.2">
      <c r="A108" s="2">
        <v>323</v>
      </c>
      <c r="B108" s="2" t="s">
        <v>406</v>
      </c>
    </row>
    <row r="109" spans="1:2" x14ac:dyDescent="0.2">
      <c r="A109" s="2">
        <v>330</v>
      </c>
      <c r="B109" s="2" t="s">
        <v>122</v>
      </c>
    </row>
    <row r="110" spans="1:2" x14ac:dyDescent="0.2">
      <c r="A110" s="2">
        <v>332</v>
      </c>
      <c r="B110" s="2" t="s">
        <v>123</v>
      </c>
    </row>
    <row r="111" spans="1:2" x14ac:dyDescent="0.2">
      <c r="A111" s="2">
        <v>333</v>
      </c>
      <c r="B111" s="2" t="s">
        <v>124</v>
      </c>
    </row>
    <row r="112" spans="1:2" x14ac:dyDescent="0.2">
      <c r="A112" s="2">
        <v>345</v>
      </c>
      <c r="B112" s="2" t="s">
        <v>125</v>
      </c>
    </row>
    <row r="113" spans="1:2" x14ac:dyDescent="0.2">
      <c r="A113" s="2">
        <v>347</v>
      </c>
      <c r="B113" s="2" t="s">
        <v>126</v>
      </c>
    </row>
    <row r="114" spans="1:2" x14ac:dyDescent="0.2">
      <c r="A114" s="2">
        <v>356</v>
      </c>
      <c r="B114" s="2" t="s">
        <v>127</v>
      </c>
    </row>
    <row r="115" spans="1:2" x14ac:dyDescent="0.2">
      <c r="A115" s="2">
        <v>361</v>
      </c>
      <c r="B115" s="2" t="s">
        <v>128</v>
      </c>
    </row>
    <row r="116" spans="1:2" x14ac:dyDescent="0.2">
      <c r="A116" s="2">
        <v>362</v>
      </c>
      <c r="B116" s="2" t="s">
        <v>129</v>
      </c>
    </row>
    <row r="117" spans="1:2" x14ac:dyDescent="0.2">
      <c r="A117" s="2">
        <v>363</v>
      </c>
      <c r="B117" s="2" t="s">
        <v>130</v>
      </c>
    </row>
    <row r="118" spans="1:2" x14ac:dyDescent="0.2">
      <c r="A118" s="2">
        <v>378</v>
      </c>
      <c r="B118" s="2" t="s">
        <v>131</v>
      </c>
    </row>
    <row r="119" spans="1:2" x14ac:dyDescent="0.2">
      <c r="A119" s="2">
        <v>381</v>
      </c>
      <c r="B119" s="2" t="s">
        <v>132</v>
      </c>
    </row>
    <row r="120" spans="1:2" x14ac:dyDescent="0.2">
      <c r="A120" s="2">
        <v>390</v>
      </c>
      <c r="B120" s="2" t="s">
        <v>133</v>
      </c>
    </row>
    <row r="121" spans="1:2" x14ac:dyDescent="0.2">
      <c r="A121" s="2">
        <v>391</v>
      </c>
      <c r="B121" s="2" t="s">
        <v>134</v>
      </c>
    </row>
    <row r="122" spans="1:2" x14ac:dyDescent="0.2">
      <c r="A122" s="2">
        <v>392</v>
      </c>
      <c r="B122" s="2" t="s">
        <v>135</v>
      </c>
    </row>
    <row r="123" spans="1:2" x14ac:dyDescent="0.2">
      <c r="A123" s="2">
        <v>394</v>
      </c>
      <c r="B123" s="2" t="s">
        <v>136</v>
      </c>
    </row>
    <row r="124" spans="1:2" x14ac:dyDescent="0.2">
      <c r="A124" s="2">
        <v>402</v>
      </c>
      <c r="B124" s="2" t="s">
        <v>137</v>
      </c>
    </row>
    <row r="125" spans="1:2" x14ac:dyDescent="0.2">
      <c r="A125" s="2">
        <v>403</v>
      </c>
      <c r="B125" s="2" t="s">
        <v>138</v>
      </c>
    </row>
    <row r="126" spans="1:2" x14ac:dyDescent="0.2">
      <c r="A126" s="2">
        <v>404</v>
      </c>
      <c r="B126" s="2" t="s">
        <v>139</v>
      </c>
    </row>
    <row r="127" spans="1:2" x14ac:dyDescent="0.2">
      <c r="A127" s="2">
        <v>413</v>
      </c>
      <c r="B127" s="2" t="s">
        <v>140</v>
      </c>
    </row>
    <row r="128" spans="1:2" x14ac:dyDescent="0.2">
      <c r="A128" s="2">
        <v>414</v>
      </c>
      <c r="B128" s="2" t="s">
        <v>141</v>
      </c>
    </row>
    <row r="129" spans="1:2" x14ac:dyDescent="0.2">
      <c r="A129" s="2">
        <v>415</v>
      </c>
      <c r="B129" s="2" t="s">
        <v>142</v>
      </c>
    </row>
    <row r="130" spans="1:2" x14ac:dyDescent="0.2">
      <c r="A130" s="2">
        <v>423</v>
      </c>
      <c r="B130" s="2" t="s">
        <v>143</v>
      </c>
    </row>
    <row r="131" spans="1:2" x14ac:dyDescent="0.2">
      <c r="A131" s="2">
        <v>424</v>
      </c>
      <c r="B131" s="2" t="s">
        <v>144</v>
      </c>
    </row>
    <row r="132" spans="1:2" x14ac:dyDescent="0.2">
      <c r="A132" s="2">
        <v>432</v>
      </c>
      <c r="B132" s="2" t="s">
        <v>145</v>
      </c>
    </row>
    <row r="133" spans="1:2" x14ac:dyDescent="0.2">
      <c r="A133" s="2">
        <v>435</v>
      </c>
      <c r="B133" s="2" t="s">
        <v>146</v>
      </c>
    </row>
    <row r="134" spans="1:2" x14ac:dyDescent="0.2">
      <c r="A134" s="2">
        <v>441</v>
      </c>
      <c r="B134" s="2" t="s">
        <v>147</v>
      </c>
    </row>
    <row r="135" spans="1:2" x14ac:dyDescent="0.2">
      <c r="A135" s="2">
        <v>447</v>
      </c>
      <c r="B135" s="2" t="s">
        <v>148</v>
      </c>
    </row>
    <row r="136" spans="1:2" x14ac:dyDescent="0.2">
      <c r="A136" s="2">
        <v>458</v>
      </c>
      <c r="B136" s="2" t="s">
        <v>149</v>
      </c>
    </row>
    <row r="137" spans="1:2" x14ac:dyDescent="0.2">
      <c r="A137" s="2">
        <v>463</v>
      </c>
      <c r="B137" s="2" t="s">
        <v>150</v>
      </c>
    </row>
    <row r="138" spans="1:2" x14ac:dyDescent="0.2">
      <c r="A138" s="2">
        <v>465</v>
      </c>
      <c r="B138" s="2" t="s">
        <v>151</v>
      </c>
    </row>
    <row r="139" spans="1:2" x14ac:dyDescent="0.2">
      <c r="A139" s="2">
        <v>466</v>
      </c>
      <c r="B139" s="2" t="s">
        <v>152</v>
      </c>
    </row>
    <row r="140" spans="1:2" x14ac:dyDescent="0.2">
      <c r="A140" s="2">
        <v>473</v>
      </c>
      <c r="B140" s="2" t="s">
        <v>153</v>
      </c>
    </row>
    <row r="141" spans="1:2" x14ac:dyDescent="0.2">
      <c r="A141" s="2">
        <v>477</v>
      </c>
      <c r="B141" s="2" t="s">
        <v>154</v>
      </c>
    </row>
    <row r="142" spans="1:2" x14ac:dyDescent="0.2">
      <c r="A142" s="2">
        <v>480</v>
      </c>
      <c r="B142" s="2" t="s">
        <v>155</v>
      </c>
    </row>
    <row r="143" spans="1:2" x14ac:dyDescent="0.2">
      <c r="A143" s="2">
        <v>482</v>
      </c>
      <c r="B143" s="2" t="s">
        <v>156</v>
      </c>
    </row>
    <row r="144" spans="1:2" x14ac:dyDescent="0.2">
      <c r="A144" s="2">
        <v>484</v>
      </c>
      <c r="B144" s="2" t="s">
        <v>157</v>
      </c>
    </row>
    <row r="145" spans="1:2" x14ac:dyDescent="0.2">
      <c r="A145" s="2">
        <v>485</v>
      </c>
      <c r="B145" s="2" t="s">
        <v>158</v>
      </c>
    </row>
    <row r="146" spans="1:2" x14ac:dyDescent="0.2">
      <c r="A146" s="2">
        <v>486</v>
      </c>
      <c r="B146" s="2" t="s">
        <v>159</v>
      </c>
    </row>
    <row r="147" spans="1:2" x14ac:dyDescent="0.2">
      <c r="A147" s="2">
        <v>487</v>
      </c>
      <c r="B147" s="2" t="s">
        <v>160</v>
      </c>
    </row>
    <row r="148" spans="1:2" x14ac:dyDescent="0.2">
      <c r="A148" s="2">
        <v>492</v>
      </c>
      <c r="B148" s="2" t="s">
        <v>161</v>
      </c>
    </row>
    <row r="149" spans="1:2" x14ac:dyDescent="0.2">
      <c r="A149" s="2">
        <v>495</v>
      </c>
      <c r="B149" s="2" t="s">
        <v>162</v>
      </c>
    </row>
    <row r="150" spans="1:2" x14ac:dyDescent="0.2">
      <c r="A150" s="2">
        <v>497</v>
      </c>
      <c r="B150" s="2" t="s">
        <v>163</v>
      </c>
    </row>
    <row r="151" spans="1:2" x14ac:dyDescent="0.2">
      <c r="A151" s="2">
        <v>499</v>
      </c>
      <c r="B151" s="2" t="s">
        <v>164</v>
      </c>
    </row>
    <row r="152" spans="1:2" x14ac:dyDescent="0.2">
      <c r="A152" s="2">
        <v>500</v>
      </c>
      <c r="B152" s="2" t="s">
        <v>165</v>
      </c>
    </row>
    <row r="153" spans="1:2" x14ac:dyDescent="0.2">
      <c r="A153" s="2">
        <v>505</v>
      </c>
      <c r="B153" s="2" t="s">
        <v>166</v>
      </c>
    </row>
    <row r="154" spans="1:2" x14ac:dyDescent="0.2">
      <c r="A154" s="2">
        <v>507</v>
      </c>
      <c r="B154" s="2" t="s">
        <v>167</v>
      </c>
    </row>
    <row r="155" spans="1:2" x14ac:dyDescent="0.2">
      <c r="A155" s="2">
        <v>508</v>
      </c>
      <c r="B155" s="2" t="s">
        <v>168</v>
      </c>
    </row>
    <row r="156" spans="1:2" x14ac:dyDescent="0.2">
      <c r="A156" s="2">
        <v>511</v>
      </c>
      <c r="B156" s="2" t="s">
        <v>169</v>
      </c>
    </row>
    <row r="157" spans="1:2" x14ac:dyDescent="0.2">
      <c r="A157" s="2">
        <v>513</v>
      </c>
      <c r="B157" s="2" t="s">
        <v>170</v>
      </c>
    </row>
    <row r="158" spans="1:2" x14ac:dyDescent="0.2">
      <c r="A158" s="2">
        <v>514</v>
      </c>
      <c r="B158" s="2" t="s">
        <v>171</v>
      </c>
    </row>
    <row r="159" spans="1:2" x14ac:dyDescent="0.2">
      <c r="A159" s="2">
        <v>516</v>
      </c>
      <c r="B159" s="2" t="s">
        <v>172</v>
      </c>
    </row>
    <row r="160" spans="1:2" x14ac:dyDescent="0.2">
      <c r="A160" s="2">
        <v>518</v>
      </c>
      <c r="B160" s="2" t="s">
        <v>173</v>
      </c>
    </row>
    <row r="161" spans="1:2" x14ac:dyDescent="0.2">
      <c r="A161" s="2">
        <v>531</v>
      </c>
      <c r="B161" s="2" t="s">
        <v>174</v>
      </c>
    </row>
    <row r="162" spans="1:2" x14ac:dyDescent="0.2">
      <c r="A162" s="2">
        <v>533</v>
      </c>
      <c r="B162" s="2" t="s">
        <v>175</v>
      </c>
    </row>
    <row r="163" spans="1:2" x14ac:dyDescent="0.2">
      <c r="A163" s="2">
        <v>534</v>
      </c>
      <c r="B163" s="2" t="s">
        <v>176</v>
      </c>
    </row>
    <row r="164" spans="1:2" x14ac:dyDescent="0.2">
      <c r="A164" s="2">
        <v>535</v>
      </c>
      <c r="B164" s="2" t="s">
        <v>177</v>
      </c>
    </row>
    <row r="165" spans="1:2" x14ac:dyDescent="0.2">
      <c r="A165" s="2">
        <v>542</v>
      </c>
      <c r="B165" s="2" t="s">
        <v>178</v>
      </c>
    </row>
    <row r="166" spans="1:2" x14ac:dyDescent="0.2">
      <c r="A166" s="2">
        <v>544</v>
      </c>
      <c r="B166" s="2" t="s">
        <v>179</v>
      </c>
    </row>
    <row r="167" spans="1:2" x14ac:dyDescent="0.2">
      <c r="A167" s="2">
        <v>545</v>
      </c>
      <c r="B167" s="2" t="s">
        <v>180</v>
      </c>
    </row>
    <row r="168" spans="1:2" x14ac:dyDescent="0.2">
      <c r="A168" s="2">
        <v>547</v>
      </c>
      <c r="B168" s="2" t="s">
        <v>181</v>
      </c>
    </row>
    <row r="169" spans="1:2" x14ac:dyDescent="0.2">
      <c r="A169" s="2">
        <v>548</v>
      </c>
      <c r="B169" s="2" t="s">
        <v>182</v>
      </c>
    </row>
    <row r="170" spans="1:2" x14ac:dyDescent="0.2">
      <c r="A170" s="2">
        <v>549</v>
      </c>
      <c r="B170" s="2" t="s">
        <v>183</v>
      </c>
    </row>
    <row r="171" spans="1:2" x14ac:dyDescent="0.2">
      <c r="A171" s="2">
        <v>550</v>
      </c>
      <c r="B171" s="2" t="s">
        <v>184</v>
      </c>
    </row>
    <row r="172" spans="1:2" x14ac:dyDescent="0.2">
      <c r="A172" s="2">
        <v>553</v>
      </c>
      <c r="B172" s="2" t="s">
        <v>185</v>
      </c>
    </row>
    <row r="173" spans="1:2" x14ac:dyDescent="0.2">
      <c r="A173" s="2">
        <v>561</v>
      </c>
      <c r="B173" s="2" t="s">
        <v>186</v>
      </c>
    </row>
    <row r="174" spans="1:2" x14ac:dyDescent="0.2">
      <c r="A174" s="2">
        <v>564</v>
      </c>
      <c r="B174" s="2" t="s">
        <v>187</v>
      </c>
    </row>
    <row r="175" spans="1:2" x14ac:dyDescent="0.2">
      <c r="A175" s="2">
        <v>577</v>
      </c>
      <c r="B175" s="2" t="s">
        <v>188</v>
      </c>
    </row>
    <row r="176" spans="1:2" x14ac:dyDescent="0.2">
      <c r="A176" s="2">
        <v>578</v>
      </c>
      <c r="B176" s="2" t="s">
        <v>189</v>
      </c>
    </row>
    <row r="177" spans="1:2" x14ac:dyDescent="0.2">
      <c r="A177" s="2">
        <v>581</v>
      </c>
      <c r="B177" s="2" t="s">
        <v>190</v>
      </c>
    </row>
    <row r="178" spans="1:2" x14ac:dyDescent="0.2">
      <c r="A178" s="2">
        <v>592</v>
      </c>
      <c r="B178" s="2" t="s">
        <v>191</v>
      </c>
    </row>
    <row r="179" spans="1:2" x14ac:dyDescent="0.2">
      <c r="A179" s="2">
        <v>593</v>
      </c>
      <c r="B179" s="2" t="s">
        <v>192</v>
      </c>
    </row>
    <row r="180" spans="1:2" x14ac:dyDescent="0.2">
      <c r="A180" s="2">
        <v>595</v>
      </c>
      <c r="B180" s="2" t="s">
        <v>193</v>
      </c>
    </row>
    <row r="181" spans="1:2" x14ac:dyDescent="0.2">
      <c r="A181" s="2">
        <v>599</v>
      </c>
      <c r="B181" s="2" t="s">
        <v>194</v>
      </c>
    </row>
    <row r="182" spans="1:2" x14ac:dyDescent="0.2">
      <c r="A182" s="2">
        <v>600</v>
      </c>
      <c r="B182" s="2" t="s">
        <v>195</v>
      </c>
    </row>
    <row r="183" spans="1:2" x14ac:dyDescent="0.2">
      <c r="A183" s="2">
        <v>601</v>
      </c>
      <c r="B183" s="2" t="s">
        <v>196</v>
      </c>
    </row>
    <row r="184" spans="1:2" x14ac:dyDescent="0.2">
      <c r="A184" s="2">
        <v>611</v>
      </c>
      <c r="B184" s="2" t="s">
        <v>197</v>
      </c>
    </row>
    <row r="185" spans="1:2" x14ac:dyDescent="0.2">
      <c r="A185" s="2">
        <v>621</v>
      </c>
      <c r="B185" s="2" t="s">
        <v>198</v>
      </c>
    </row>
    <row r="186" spans="1:2" x14ac:dyDescent="0.2">
      <c r="A186" s="2">
        <v>622</v>
      </c>
      <c r="B186" s="2" t="s">
        <v>199</v>
      </c>
    </row>
    <row r="187" spans="1:2" x14ac:dyDescent="0.2">
      <c r="A187" s="2">
        <v>623</v>
      </c>
      <c r="B187" s="2" t="s">
        <v>200</v>
      </c>
    </row>
    <row r="188" spans="1:2" x14ac:dyDescent="0.2">
      <c r="A188" s="2">
        <v>624</v>
      </c>
      <c r="B188" s="2" t="s">
        <v>201</v>
      </c>
    </row>
    <row r="189" spans="1:2" x14ac:dyDescent="0.2">
      <c r="A189" s="2">
        <v>625</v>
      </c>
      <c r="B189" s="2" t="s">
        <v>202</v>
      </c>
    </row>
    <row r="190" spans="1:2" x14ac:dyDescent="0.2">
      <c r="A190" s="2">
        <v>627</v>
      </c>
      <c r="B190" s="2" t="s">
        <v>203</v>
      </c>
    </row>
    <row r="191" spans="1:2" x14ac:dyDescent="0.2">
      <c r="A191" s="2">
        <v>628</v>
      </c>
      <c r="B191" s="2" t="s">
        <v>204</v>
      </c>
    </row>
    <row r="192" spans="1:2" x14ac:dyDescent="0.2">
      <c r="A192" s="2">
        <v>630</v>
      </c>
      <c r="B192" s="2" t="s">
        <v>205</v>
      </c>
    </row>
    <row r="193" spans="1:2" x14ac:dyDescent="0.2">
      <c r="A193" s="2">
        <v>635</v>
      </c>
      <c r="B193" s="2" t="s">
        <v>206</v>
      </c>
    </row>
    <row r="194" spans="1:2" x14ac:dyDescent="0.2">
      <c r="A194" s="2">
        <v>640</v>
      </c>
      <c r="B194" s="2" t="s">
        <v>207</v>
      </c>
    </row>
    <row r="195" spans="1:2" x14ac:dyDescent="0.2">
      <c r="A195" s="2">
        <v>656</v>
      </c>
      <c r="B195" s="2" t="s">
        <v>208</v>
      </c>
    </row>
    <row r="196" spans="1:2" x14ac:dyDescent="0.2">
      <c r="A196" s="2">
        <v>659</v>
      </c>
      <c r="B196" s="2" t="s">
        <v>209</v>
      </c>
    </row>
    <row r="197" spans="1:2" x14ac:dyDescent="0.2">
      <c r="A197" s="2">
        <v>671</v>
      </c>
      <c r="B197" s="2" t="s">
        <v>210</v>
      </c>
    </row>
    <row r="198" spans="1:2" x14ac:dyDescent="0.2">
      <c r="A198" s="2">
        <v>676</v>
      </c>
      <c r="B198" s="2" t="s">
        <v>211</v>
      </c>
    </row>
    <row r="199" spans="1:2" x14ac:dyDescent="0.2">
      <c r="A199" s="2">
        <v>682</v>
      </c>
      <c r="B199" s="2" t="s">
        <v>212</v>
      </c>
    </row>
    <row r="200" spans="1:2" x14ac:dyDescent="0.2">
      <c r="A200" s="2">
        <v>690</v>
      </c>
      <c r="B200" s="2" t="s">
        <v>213</v>
      </c>
    </row>
    <row r="201" spans="1:2" x14ac:dyDescent="0.2">
      <c r="A201" s="2">
        <v>695</v>
      </c>
      <c r="B201" s="2" t="s">
        <v>214</v>
      </c>
    </row>
    <row r="202" spans="1:2" x14ac:dyDescent="0.2">
      <c r="A202" s="2">
        <v>696</v>
      </c>
      <c r="B202" s="2" t="s">
        <v>215</v>
      </c>
    </row>
    <row r="203" spans="1:2" x14ac:dyDescent="0.2">
      <c r="A203" s="2">
        <v>698</v>
      </c>
      <c r="B203" s="2" t="s">
        <v>216</v>
      </c>
    </row>
    <row r="204" spans="1:2" x14ac:dyDescent="0.2">
      <c r="A204" s="2">
        <v>700</v>
      </c>
      <c r="B204" s="2" t="s">
        <v>217</v>
      </c>
    </row>
    <row r="205" spans="1:2" x14ac:dyDescent="0.2">
      <c r="A205" s="2">
        <v>701</v>
      </c>
      <c r="B205" s="2" t="s">
        <v>218</v>
      </c>
    </row>
    <row r="206" spans="1:2" x14ac:dyDescent="0.2">
      <c r="A206" s="2">
        <v>704</v>
      </c>
      <c r="B206" s="2" t="s">
        <v>219</v>
      </c>
    </row>
    <row r="207" spans="1:2" x14ac:dyDescent="0.2">
      <c r="A207" s="2">
        <v>706</v>
      </c>
      <c r="B207" s="2" t="s">
        <v>220</v>
      </c>
    </row>
    <row r="208" spans="1:2" x14ac:dyDescent="0.2">
      <c r="A208" s="2">
        <v>707</v>
      </c>
      <c r="B208" s="2" t="s">
        <v>221</v>
      </c>
    </row>
    <row r="209" spans="1:2" x14ac:dyDescent="0.2">
      <c r="A209" s="2">
        <v>709</v>
      </c>
      <c r="B209" s="2" t="s">
        <v>222</v>
      </c>
    </row>
    <row r="210" spans="1:2" x14ac:dyDescent="0.2">
      <c r="A210" s="2">
        <v>712</v>
      </c>
      <c r="B210" s="2" t="s">
        <v>223</v>
      </c>
    </row>
    <row r="211" spans="1:2" x14ac:dyDescent="0.2">
      <c r="A211" s="2">
        <v>716</v>
      </c>
      <c r="B211" s="2" t="s">
        <v>224</v>
      </c>
    </row>
    <row r="212" spans="1:2" x14ac:dyDescent="0.2">
      <c r="A212" s="2">
        <v>717</v>
      </c>
      <c r="B212" s="2" t="s">
        <v>225</v>
      </c>
    </row>
    <row r="213" spans="1:2" x14ac:dyDescent="0.2">
      <c r="A213" s="2">
        <v>719</v>
      </c>
      <c r="B213" s="2" t="s">
        <v>226</v>
      </c>
    </row>
    <row r="214" spans="1:2" x14ac:dyDescent="0.2">
      <c r="A214" s="2">
        <v>720</v>
      </c>
      <c r="B214" s="2" t="s">
        <v>227</v>
      </c>
    </row>
    <row r="215" spans="1:2" x14ac:dyDescent="0.2">
      <c r="A215" s="2">
        <v>721</v>
      </c>
      <c r="B215" s="2" t="s">
        <v>228</v>
      </c>
    </row>
    <row r="216" spans="1:2" x14ac:dyDescent="0.2">
      <c r="A216" s="2">
        <v>726</v>
      </c>
      <c r="B216" s="2" t="s">
        <v>229</v>
      </c>
    </row>
    <row r="217" spans="1:2" x14ac:dyDescent="0.2">
      <c r="A217" s="2">
        <v>727</v>
      </c>
      <c r="B217" s="2" t="s">
        <v>230</v>
      </c>
    </row>
    <row r="218" spans="1:2" x14ac:dyDescent="0.2">
      <c r="A218" s="2">
        <v>728</v>
      </c>
      <c r="B218" s="2" t="s">
        <v>231</v>
      </c>
    </row>
    <row r="219" spans="1:2" x14ac:dyDescent="0.2">
      <c r="A219" s="2">
        <v>738</v>
      </c>
      <c r="B219" s="2" t="s">
        <v>232</v>
      </c>
    </row>
    <row r="220" spans="1:2" x14ac:dyDescent="0.2">
      <c r="A220" s="2">
        <v>739</v>
      </c>
      <c r="B220" s="2" t="s">
        <v>233</v>
      </c>
    </row>
    <row r="221" spans="1:2" x14ac:dyDescent="0.2">
      <c r="A221" s="2">
        <v>740</v>
      </c>
      <c r="B221" s="2" t="s">
        <v>234</v>
      </c>
    </row>
    <row r="222" spans="1:2" x14ac:dyDescent="0.2">
      <c r="A222" s="2">
        <v>741</v>
      </c>
      <c r="B222" s="2" t="s">
        <v>235</v>
      </c>
    </row>
    <row r="223" spans="1:2" x14ac:dyDescent="0.2">
      <c r="A223" s="2">
        <v>742</v>
      </c>
      <c r="B223" s="2" t="s">
        <v>236</v>
      </c>
    </row>
    <row r="224" spans="1:2" x14ac:dyDescent="0.2">
      <c r="A224" s="2">
        <v>743</v>
      </c>
      <c r="B224" s="2" t="s">
        <v>237</v>
      </c>
    </row>
    <row r="225" spans="1:2" x14ac:dyDescent="0.2">
      <c r="A225" s="2">
        <v>745</v>
      </c>
      <c r="B225" s="2" t="s">
        <v>238</v>
      </c>
    </row>
    <row r="226" spans="1:2" x14ac:dyDescent="0.2">
      <c r="A226" s="2">
        <v>748</v>
      </c>
      <c r="B226" s="2" t="s">
        <v>239</v>
      </c>
    </row>
    <row r="227" spans="1:2" x14ac:dyDescent="0.2">
      <c r="A227" s="2">
        <v>750</v>
      </c>
      <c r="B227" s="2" t="s">
        <v>240</v>
      </c>
    </row>
    <row r="228" spans="1:2" x14ac:dyDescent="0.2">
      <c r="A228" s="2">
        <v>756</v>
      </c>
      <c r="B228" s="2" t="s">
        <v>241</v>
      </c>
    </row>
    <row r="229" spans="1:2" x14ac:dyDescent="0.2">
      <c r="A229" s="2">
        <v>761</v>
      </c>
      <c r="B229" s="2" t="s">
        <v>242</v>
      </c>
    </row>
    <row r="230" spans="1:2" x14ac:dyDescent="0.2">
      <c r="A230" s="2">
        <v>763</v>
      </c>
      <c r="B230" s="2" t="s">
        <v>243</v>
      </c>
    </row>
    <row r="231" spans="1:2" x14ac:dyDescent="0.2">
      <c r="A231" s="2">
        <v>768</v>
      </c>
      <c r="B231" s="2" t="s">
        <v>244</v>
      </c>
    </row>
    <row r="232" spans="1:2" x14ac:dyDescent="0.2">
      <c r="A232" s="2">
        <v>769</v>
      </c>
      <c r="B232" s="2" t="s">
        <v>245</v>
      </c>
    </row>
    <row r="233" spans="1:2" x14ac:dyDescent="0.2">
      <c r="A233" s="2">
        <v>771</v>
      </c>
      <c r="B233" s="2" t="s">
        <v>246</v>
      </c>
    </row>
    <row r="234" spans="1:2" x14ac:dyDescent="0.2">
      <c r="A234" s="2">
        <v>775</v>
      </c>
      <c r="B234" s="2" t="s">
        <v>247</v>
      </c>
    </row>
    <row r="235" spans="1:2" x14ac:dyDescent="0.2">
      <c r="A235" s="2">
        <v>777</v>
      </c>
      <c r="B235" s="2" t="s">
        <v>248</v>
      </c>
    </row>
    <row r="236" spans="1:2" x14ac:dyDescent="0.2">
      <c r="A236" s="2">
        <v>786</v>
      </c>
      <c r="B236" s="2" t="s">
        <v>249</v>
      </c>
    </row>
    <row r="237" spans="1:2" x14ac:dyDescent="0.2">
      <c r="A237" s="2">
        <v>787</v>
      </c>
      <c r="B237" s="2" t="s">
        <v>250</v>
      </c>
    </row>
    <row r="238" spans="1:2" x14ac:dyDescent="0.2">
      <c r="A238" s="2">
        <v>801</v>
      </c>
      <c r="B238" s="2" t="s">
        <v>251</v>
      </c>
    </row>
    <row r="239" spans="1:2" x14ac:dyDescent="0.2">
      <c r="A239" s="2">
        <v>803</v>
      </c>
      <c r="B239" s="2" t="s">
        <v>252</v>
      </c>
    </row>
    <row r="240" spans="1:2" x14ac:dyDescent="0.2">
      <c r="A240" s="2">
        <v>811</v>
      </c>
      <c r="B240" s="2" t="s">
        <v>253</v>
      </c>
    </row>
    <row r="241" spans="1:2" x14ac:dyDescent="0.2">
      <c r="A241" s="2">
        <v>813</v>
      </c>
      <c r="B241" s="2" t="s">
        <v>254</v>
      </c>
    </row>
    <row r="242" spans="1:2" x14ac:dyDescent="0.2">
      <c r="A242" s="2">
        <v>815</v>
      </c>
      <c r="B242" s="2" t="s">
        <v>255</v>
      </c>
    </row>
    <row r="243" spans="1:2" x14ac:dyDescent="0.2">
      <c r="A243" s="2">
        <v>818</v>
      </c>
      <c r="B243" s="2" t="s">
        <v>256</v>
      </c>
    </row>
    <row r="244" spans="1:2" x14ac:dyDescent="0.2">
      <c r="A244" s="2">
        <v>820</v>
      </c>
      <c r="B244" s="2" t="s">
        <v>257</v>
      </c>
    </row>
    <row r="245" spans="1:2" x14ac:dyDescent="0.2">
      <c r="A245" s="2">
        <v>821</v>
      </c>
      <c r="B245" s="2" t="s">
        <v>258</v>
      </c>
    </row>
    <row r="246" spans="1:2" x14ac:dyDescent="0.2">
      <c r="A246" s="2">
        <v>829</v>
      </c>
      <c r="B246" s="2" t="s">
        <v>259</v>
      </c>
    </row>
    <row r="247" spans="1:2" x14ac:dyDescent="0.2">
      <c r="A247" s="2">
        <v>831</v>
      </c>
      <c r="B247" s="2" t="s">
        <v>260</v>
      </c>
    </row>
    <row r="248" spans="1:2" x14ac:dyDescent="0.2">
      <c r="A248" s="2">
        <v>832</v>
      </c>
      <c r="B248" s="2" t="s">
        <v>261</v>
      </c>
    </row>
    <row r="249" spans="1:2" x14ac:dyDescent="0.2">
      <c r="A249" s="2">
        <v>833</v>
      </c>
      <c r="B249" s="2" t="s">
        <v>262</v>
      </c>
    </row>
    <row r="250" spans="1:2" x14ac:dyDescent="0.2">
      <c r="A250" s="2">
        <v>834</v>
      </c>
      <c r="B250" s="2" t="s">
        <v>263</v>
      </c>
    </row>
    <row r="251" spans="1:2" x14ac:dyDescent="0.2">
      <c r="A251" s="2">
        <v>836</v>
      </c>
      <c r="B251" s="2" t="s">
        <v>264</v>
      </c>
    </row>
    <row r="252" spans="1:2" x14ac:dyDescent="0.2">
      <c r="A252" s="2">
        <v>837</v>
      </c>
      <c r="B252" s="2" t="s">
        <v>265</v>
      </c>
    </row>
    <row r="253" spans="1:2" x14ac:dyDescent="0.2">
      <c r="A253" s="2">
        <v>840</v>
      </c>
      <c r="B253" s="2" t="s">
        <v>266</v>
      </c>
    </row>
    <row r="254" spans="1:2" x14ac:dyDescent="0.2">
      <c r="A254" s="2">
        <v>846</v>
      </c>
      <c r="B254" s="2" t="s">
        <v>267</v>
      </c>
    </row>
    <row r="255" spans="1:2" x14ac:dyDescent="0.2">
      <c r="A255" s="2">
        <v>850</v>
      </c>
      <c r="B255" s="2" t="s">
        <v>268</v>
      </c>
    </row>
    <row r="256" spans="1:2" x14ac:dyDescent="0.2">
      <c r="A256" s="2">
        <v>852</v>
      </c>
      <c r="B256" s="2" t="s">
        <v>269</v>
      </c>
    </row>
    <row r="257" spans="1:2" x14ac:dyDescent="0.2">
      <c r="A257" s="2">
        <v>857</v>
      </c>
      <c r="B257" s="2" t="s">
        <v>270</v>
      </c>
    </row>
    <row r="258" spans="1:2" x14ac:dyDescent="0.2">
      <c r="A258" s="2">
        <v>858</v>
      </c>
      <c r="B258" s="2" t="s">
        <v>271</v>
      </c>
    </row>
    <row r="259" spans="1:2" x14ac:dyDescent="0.2">
      <c r="A259" s="2">
        <v>861</v>
      </c>
      <c r="B259" s="2" t="s">
        <v>272</v>
      </c>
    </row>
    <row r="260" spans="1:2" x14ac:dyDescent="0.2">
      <c r="A260" s="2">
        <v>876</v>
      </c>
      <c r="B260" s="2" t="s">
        <v>273</v>
      </c>
    </row>
    <row r="261" spans="1:2" x14ac:dyDescent="0.2">
      <c r="A261" s="2">
        <v>877</v>
      </c>
      <c r="B261" s="2" t="s">
        <v>274</v>
      </c>
    </row>
    <row r="262" spans="1:2" x14ac:dyDescent="0.2">
      <c r="A262" s="2">
        <v>879</v>
      </c>
      <c r="B262" s="2" t="s">
        <v>275</v>
      </c>
    </row>
    <row r="263" spans="1:2" x14ac:dyDescent="0.2">
      <c r="A263" s="2">
        <v>881</v>
      </c>
      <c r="B263" s="2" t="s">
        <v>276</v>
      </c>
    </row>
    <row r="264" spans="1:2" x14ac:dyDescent="0.2">
      <c r="A264" s="2">
        <v>882</v>
      </c>
      <c r="B264" s="2" t="s">
        <v>277</v>
      </c>
    </row>
    <row r="265" spans="1:2" x14ac:dyDescent="0.2">
      <c r="A265" s="2">
        <v>883</v>
      </c>
      <c r="B265" s="2" t="s">
        <v>278</v>
      </c>
    </row>
    <row r="266" spans="1:2" x14ac:dyDescent="0.2">
      <c r="A266" s="2">
        <v>885</v>
      </c>
      <c r="B266" s="2" t="s">
        <v>279</v>
      </c>
    </row>
    <row r="267" spans="1:2" x14ac:dyDescent="0.2">
      <c r="A267" s="2">
        <v>891</v>
      </c>
      <c r="B267" s="2" t="s">
        <v>280</v>
      </c>
    </row>
    <row r="268" spans="1:2" x14ac:dyDescent="0.2">
      <c r="A268" s="2">
        <v>911</v>
      </c>
      <c r="B268" s="2" t="s">
        <v>281</v>
      </c>
    </row>
    <row r="269" spans="1:2" x14ac:dyDescent="0.2">
      <c r="A269" s="2">
        <v>912</v>
      </c>
      <c r="B269" s="2" t="s">
        <v>282</v>
      </c>
    </row>
    <row r="270" spans="1:2" x14ac:dyDescent="0.2">
      <c r="A270" s="2">
        <v>914</v>
      </c>
      <c r="B270" s="2" t="s">
        <v>283</v>
      </c>
    </row>
    <row r="271" spans="1:2" x14ac:dyDescent="0.2">
      <c r="A271" s="2">
        <v>2071</v>
      </c>
      <c r="B271" s="2" t="s">
        <v>284</v>
      </c>
    </row>
    <row r="272" spans="1:2" x14ac:dyDescent="0.2">
      <c r="A272" s="2">
        <v>2125</v>
      </c>
      <c r="B272" s="2" t="s">
        <v>285</v>
      </c>
    </row>
    <row r="273" spans="1:2" x14ac:dyDescent="0.2">
      <c r="A273" s="2">
        <v>2134</v>
      </c>
      <c r="B273" s="2" t="s">
        <v>286</v>
      </c>
    </row>
    <row r="274" spans="1:2" x14ac:dyDescent="0.2">
      <c r="A274" s="2">
        <v>2135</v>
      </c>
      <c r="B274" s="2" t="s">
        <v>287</v>
      </c>
    </row>
    <row r="275" spans="1:2" x14ac:dyDescent="0.2">
      <c r="A275" s="2">
        <v>2137</v>
      </c>
      <c r="B275" s="2" t="s">
        <v>288</v>
      </c>
    </row>
    <row r="276" spans="1:2" x14ac:dyDescent="0.2">
      <c r="A276" s="2">
        <v>2142</v>
      </c>
      <c r="B276" s="2" t="s">
        <v>289</v>
      </c>
    </row>
    <row r="277" spans="1:2" x14ac:dyDescent="0.2">
      <c r="A277" s="2">
        <v>2143</v>
      </c>
      <c r="B277" s="2" t="s">
        <v>290</v>
      </c>
    </row>
    <row r="278" spans="1:2" x14ac:dyDescent="0.2">
      <c r="A278" s="2">
        <v>2144</v>
      </c>
      <c r="B278" s="2" t="s">
        <v>291</v>
      </c>
    </row>
    <row r="279" spans="1:2" x14ac:dyDescent="0.2">
      <c r="A279" s="2">
        <v>2149</v>
      </c>
      <c r="B279" s="2" t="s">
        <v>292</v>
      </c>
    </row>
    <row r="280" spans="1:2" x14ac:dyDescent="0.2">
      <c r="A280" s="2">
        <v>2154</v>
      </c>
      <c r="B280" s="2" t="s">
        <v>293</v>
      </c>
    </row>
    <row r="281" spans="1:2" x14ac:dyDescent="0.2">
      <c r="A281" s="2">
        <v>2155</v>
      </c>
      <c r="B281" s="2" t="s">
        <v>294</v>
      </c>
    </row>
    <row r="282" spans="1:2" x14ac:dyDescent="0.2">
      <c r="A282" s="2">
        <v>2159</v>
      </c>
      <c r="B282" s="2" t="s">
        <v>295</v>
      </c>
    </row>
    <row r="283" spans="1:2" x14ac:dyDescent="0.2">
      <c r="A283" s="2">
        <v>2164</v>
      </c>
      <c r="B283" s="2" t="s">
        <v>296</v>
      </c>
    </row>
    <row r="284" spans="1:2" x14ac:dyDescent="0.2">
      <c r="A284" s="2">
        <v>2165</v>
      </c>
      <c r="B284" s="2" t="s">
        <v>297</v>
      </c>
    </row>
    <row r="285" spans="1:2" x14ac:dyDescent="0.2">
      <c r="A285" s="2">
        <v>2167</v>
      </c>
      <c r="B285" s="2" t="s">
        <v>298</v>
      </c>
    </row>
    <row r="286" spans="1:2" x14ac:dyDescent="0.2">
      <c r="A286" s="2">
        <v>2168</v>
      </c>
      <c r="B286" s="2" t="s">
        <v>411</v>
      </c>
    </row>
    <row r="287" spans="1:2" x14ac:dyDescent="0.2">
      <c r="A287" s="2">
        <v>2169</v>
      </c>
      <c r="B287" s="2" t="s">
        <v>299</v>
      </c>
    </row>
    <row r="288" spans="1:2" x14ac:dyDescent="0.2">
      <c r="A288" s="2">
        <v>2170</v>
      </c>
      <c r="B288" s="2" t="s">
        <v>300</v>
      </c>
    </row>
    <row r="289" spans="1:2" x14ac:dyDescent="0.2">
      <c r="A289" s="2">
        <v>2171</v>
      </c>
      <c r="B289" s="2" t="s">
        <v>301</v>
      </c>
    </row>
    <row r="290" spans="1:2" x14ac:dyDescent="0.2">
      <c r="A290" s="2">
        <v>2172</v>
      </c>
      <c r="B290" s="2" t="s">
        <v>302</v>
      </c>
    </row>
    <row r="291" spans="1:2" x14ac:dyDescent="0.2">
      <c r="A291" s="2">
        <v>2174</v>
      </c>
      <c r="B291" s="2" t="s">
        <v>303</v>
      </c>
    </row>
    <row r="292" spans="1:2" x14ac:dyDescent="0.2">
      <c r="A292" s="2">
        <v>2176</v>
      </c>
      <c r="B292" s="2" t="s">
        <v>304</v>
      </c>
    </row>
    <row r="293" spans="1:2" x14ac:dyDescent="0.2">
      <c r="A293" s="2">
        <v>2180</v>
      </c>
      <c r="B293" s="2" t="s">
        <v>305</v>
      </c>
    </row>
    <row r="294" spans="1:2" x14ac:dyDescent="0.2">
      <c r="A294" s="2">
        <v>2184</v>
      </c>
      <c r="B294" s="2" t="s">
        <v>306</v>
      </c>
    </row>
    <row r="295" spans="1:2" x14ac:dyDescent="0.2">
      <c r="A295" s="2">
        <v>2190</v>
      </c>
      <c r="B295" s="2" t="s">
        <v>307</v>
      </c>
    </row>
    <row r="296" spans="1:2" x14ac:dyDescent="0.2">
      <c r="A296" s="2">
        <v>2198</v>
      </c>
      <c r="B296" s="2" t="s">
        <v>308</v>
      </c>
    </row>
    <row r="297" spans="1:2" x14ac:dyDescent="0.2">
      <c r="A297" s="2">
        <v>2215</v>
      </c>
      <c r="B297" s="2" t="s">
        <v>309</v>
      </c>
    </row>
    <row r="298" spans="1:2" x14ac:dyDescent="0.2">
      <c r="A298" s="2">
        <v>2310</v>
      </c>
      <c r="B298" s="2" t="s">
        <v>310</v>
      </c>
    </row>
    <row r="299" spans="1:2" x14ac:dyDescent="0.2">
      <c r="A299" s="2">
        <v>2311</v>
      </c>
      <c r="B299" s="2" t="s">
        <v>311</v>
      </c>
    </row>
    <row r="300" spans="1:2" x14ac:dyDescent="0.2">
      <c r="A300" s="2">
        <v>2342</v>
      </c>
      <c r="B300" s="2" t="s">
        <v>312</v>
      </c>
    </row>
    <row r="301" spans="1:2" x14ac:dyDescent="0.2">
      <c r="A301" s="2">
        <v>2358</v>
      </c>
      <c r="B301" s="2" t="s">
        <v>313</v>
      </c>
    </row>
    <row r="302" spans="1:2" x14ac:dyDescent="0.2">
      <c r="A302" s="2">
        <v>2364</v>
      </c>
      <c r="B302" s="2" t="s">
        <v>314</v>
      </c>
    </row>
    <row r="303" spans="1:2" x14ac:dyDescent="0.2">
      <c r="A303" s="2">
        <v>2365</v>
      </c>
      <c r="B303" s="2" t="s">
        <v>315</v>
      </c>
    </row>
    <row r="304" spans="1:2" x14ac:dyDescent="0.2">
      <c r="A304" s="2">
        <v>2396</v>
      </c>
      <c r="B304" s="2" t="s">
        <v>316</v>
      </c>
    </row>
    <row r="305" spans="1:2" x14ac:dyDescent="0.2">
      <c r="A305" s="2">
        <v>2397</v>
      </c>
      <c r="B305" s="2" t="s">
        <v>317</v>
      </c>
    </row>
    <row r="306" spans="1:2" x14ac:dyDescent="0.2">
      <c r="A306" s="2">
        <v>2448</v>
      </c>
      <c r="B306" s="2" t="s">
        <v>318</v>
      </c>
    </row>
    <row r="307" spans="1:2" x14ac:dyDescent="0.2">
      <c r="A307" s="2">
        <v>2527</v>
      </c>
      <c r="B307" s="2" t="s">
        <v>319</v>
      </c>
    </row>
    <row r="308" spans="1:2" x14ac:dyDescent="0.2">
      <c r="A308" s="2">
        <v>2534</v>
      </c>
      <c r="B308" s="2" t="s">
        <v>320</v>
      </c>
    </row>
    <row r="309" spans="1:2" x14ac:dyDescent="0.2">
      <c r="A309" s="2">
        <v>2536</v>
      </c>
      <c r="B309" s="2" t="s">
        <v>405</v>
      </c>
    </row>
    <row r="310" spans="1:2" x14ac:dyDescent="0.2">
      <c r="A310" s="2">
        <v>2580</v>
      </c>
      <c r="B310" s="2" t="s">
        <v>321</v>
      </c>
    </row>
    <row r="311" spans="1:2" x14ac:dyDescent="0.2">
      <c r="A311" s="2">
        <v>2609</v>
      </c>
      <c r="B311" s="2" t="s">
        <v>322</v>
      </c>
    </row>
    <row r="312" spans="1:2" x14ac:dyDescent="0.2">
      <c r="A312" s="2">
        <v>2683</v>
      </c>
      <c r="B312" s="2" t="s">
        <v>323</v>
      </c>
    </row>
    <row r="313" spans="1:2" x14ac:dyDescent="0.2">
      <c r="A313" s="2">
        <v>2687</v>
      </c>
      <c r="B313" s="2" t="s">
        <v>324</v>
      </c>
    </row>
    <row r="314" spans="1:2" x14ac:dyDescent="0.2">
      <c r="A314" s="2">
        <v>2689</v>
      </c>
      <c r="B314" s="2" t="s">
        <v>325</v>
      </c>
    </row>
    <row r="315" spans="1:2" x14ac:dyDescent="0.2">
      <c r="A315" s="2">
        <v>2711</v>
      </c>
      <c r="B315" s="2" t="s">
        <v>326</v>
      </c>
    </row>
    <row r="316" spans="1:2" x14ac:dyDescent="0.2">
      <c r="A316" s="2">
        <v>2752</v>
      </c>
      <c r="B316" s="2" t="s">
        <v>327</v>
      </c>
    </row>
    <row r="317" spans="1:2" x14ac:dyDescent="0.2">
      <c r="A317" s="2">
        <v>2753</v>
      </c>
      <c r="B317" s="2" t="s">
        <v>328</v>
      </c>
    </row>
    <row r="318" spans="1:2" x14ac:dyDescent="0.2">
      <c r="A318" s="2">
        <v>2754</v>
      </c>
      <c r="B318" s="2" t="s">
        <v>329</v>
      </c>
    </row>
    <row r="319" spans="1:2" x14ac:dyDescent="0.2">
      <c r="A319" s="2">
        <v>2759</v>
      </c>
      <c r="B319" s="2" t="s">
        <v>330</v>
      </c>
    </row>
    <row r="320" spans="1:2" x14ac:dyDescent="0.2">
      <c r="A320" s="2">
        <v>2805</v>
      </c>
      <c r="B320" s="2" t="s">
        <v>331</v>
      </c>
    </row>
    <row r="321" spans="1:2" x14ac:dyDescent="0.2">
      <c r="A321" s="2">
        <v>2835</v>
      </c>
      <c r="B321" s="2" t="s">
        <v>332</v>
      </c>
    </row>
    <row r="322" spans="1:2" x14ac:dyDescent="0.2">
      <c r="A322" s="2">
        <v>2853</v>
      </c>
      <c r="B322" s="2" t="s">
        <v>333</v>
      </c>
    </row>
    <row r="323" spans="1:2" x14ac:dyDescent="0.2">
      <c r="A323" s="2">
        <v>2854</v>
      </c>
      <c r="B323" s="2" t="s">
        <v>334</v>
      </c>
    </row>
    <row r="324" spans="1:2" x14ac:dyDescent="0.2">
      <c r="A324" s="2">
        <v>2856</v>
      </c>
      <c r="B324" s="2" t="s">
        <v>335</v>
      </c>
    </row>
    <row r="325" spans="1:2" x14ac:dyDescent="0.2">
      <c r="A325" s="2">
        <v>2859</v>
      </c>
      <c r="B325" s="2" t="s">
        <v>336</v>
      </c>
    </row>
    <row r="326" spans="1:2" x14ac:dyDescent="0.2">
      <c r="A326" s="2">
        <v>2860</v>
      </c>
      <c r="B326" s="2" t="s">
        <v>337</v>
      </c>
    </row>
    <row r="327" spans="1:2" x14ac:dyDescent="0.2">
      <c r="A327" s="2">
        <v>2884</v>
      </c>
      <c r="B327" s="2" t="s">
        <v>338</v>
      </c>
    </row>
    <row r="328" spans="1:2" x14ac:dyDescent="0.2">
      <c r="A328" s="2">
        <v>2886</v>
      </c>
      <c r="B328" s="2" t="s">
        <v>407</v>
      </c>
    </row>
    <row r="329" spans="1:2" x14ac:dyDescent="0.2">
      <c r="A329" s="2">
        <v>2888</v>
      </c>
      <c r="B329" s="2" t="s">
        <v>339</v>
      </c>
    </row>
    <row r="330" spans="1:2" x14ac:dyDescent="0.2">
      <c r="A330" s="2">
        <v>2889</v>
      </c>
      <c r="B330" s="2" t="s">
        <v>340</v>
      </c>
    </row>
    <row r="331" spans="1:2" x14ac:dyDescent="0.2">
      <c r="A331" s="2">
        <v>2890</v>
      </c>
      <c r="B331" s="2" t="s">
        <v>341</v>
      </c>
    </row>
    <row r="332" spans="1:2" x14ac:dyDescent="0.2">
      <c r="A332" s="2">
        <v>2895</v>
      </c>
      <c r="B332" s="2" t="s">
        <v>342</v>
      </c>
    </row>
    <row r="333" spans="1:2" x14ac:dyDescent="0.2">
      <c r="A333" s="2">
        <v>2897</v>
      </c>
      <c r="B333" s="2" t="s">
        <v>343</v>
      </c>
    </row>
    <row r="334" spans="1:2" x14ac:dyDescent="0.2">
      <c r="A334" s="2">
        <v>2898</v>
      </c>
      <c r="B334" s="2" t="s">
        <v>344</v>
      </c>
    </row>
    <row r="335" spans="1:2" x14ac:dyDescent="0.2">
      <c r="A335" s="2">
        <v>2899</v>
      </c>
      <c r="B335" s="2" t="s">
        <v>345</v>
      </c>
    </row>
    <row r="336" spans="1:2" x14ac:dyDescent="0.2">
      <c r="A336" s="2">
        <v>2902</v>
      </c>
      <c r="B336" s="2" t="s">
        <v>346</v>
      </c>
    </row>
    <row r="337" spans="1:2" x14ac:dyDescent="0.2">
      <c r="A337" s="2">
        <v>2903</v>
      </c>
      <c r="B337" s="2" t="s">
        <v>412</v>
      </c>
    </row>
    <row r="338" spans="1:2" x14ac:dyDescent="0.2">
      <c r="A338" s="2">
        <v>2904</v>
      </c>
      <c r="B338" s="2" t="s">
        <v>413</v>
      </c>
    </row>
    <row r="339" spans="1:2" x14ac:dyDescent="0.2">
      <c r="A339" s="2">
        <v>2905</v>
      </c>
      <c r="B339" s="2" t="s">
        <v>445</v>
      </c>
    </row>
    <row r="340" spans="1:2" x14ac:dyDescent="0.2">
      <c r="A340" s="2">
        <v>1000</v>
      </c>
      <c r="B340" s="47" t="s">
        <v>414</v>
      </c>
    </row>
  </sheetData>
  <phoneticPr fontId="2" type="noConversion"/>
  <pageMargins left="0.75" right="0.75" top="0.75" bottom="0.75" header="0.5" footer="0.5"/>
  <pageSetup scale="70" orientation="portrait" r:id="rId1"/>
  <headerFooter alignWithMargins="0">
    <oddHeader>&amp;L&amp;A&amp;C&amp;F&amp;R&amp;D</oddHeader>
    <oddFooter>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345"/>
  <sheetViews>
    <sheetView workbookViewId="0">
      <pane xSplit="1" ySplit="1" topLeftCell="B327" activePane="bottomRight" state="frozen"/>
      <selection activeCell="Z1" sqref="Z1:AE65536"/>
      <selection pane="topRight" activeCell="Z1" sqref="Z1:AE65536"/>
      <selection pane="bottomLeft" activeCell="Z1" sqref="Z1:AE65536"/>
      <selection pane="bottomRight" activeCell="D340" sqref="D340"/>
    </sheetView>
  </sheetViews>
  <sheetFormatPr defaultRowHeight="12.75" x14ac:dyDescent="0.2"/>
  <cols>
    <col min="1" max="1" width="9.140625" style="31"/>
    <col min="2" max="2" width="15.140625" style="31" bestFit="1" customWidth="1"/>
    <col min="3" max="3" width="17.140625" style="31" customWidth="1"/>
    <col min="4" max="5" width="15" style="31" bestFit="1" customWidth="1"/>
    <col min="6" max="6" width="14.5703125" style="31" customWidth="1"/>
    <col min="7" max="7" width="14.7109375" style="31" customWidth="1"/>
    <col min="8" max="14" width="12" style="31" bestFit="1" customWidth="1"/>
    <col min="15" max="19" width="12" bestFit="1" customWidth="1"/>
    <col min="20" max="21" width="12" customWidth="1"/>
    <col min="22" max="36" width="12" bestFit="1" customWidth="1"/>
    <col min="37" max="37" width="12" customWidth="1"/>
    <col min="38" max="54" width="12" bestFit="1" customWidth="1"/>
    <col min="55" max="55" width="12" customWidth="1"/>
    <col min="56" max="56" width="12" style="7" customWidth="1"/>
    <col min="57" max="64" width="12" bestFit="1" customWidth="1"/>
    <col min="65" max="65" width="12" customWidth="1"/>
    <col min="66" max="70" width="12" bestFit="1" customWidth="1"/>
    <col min="71" max="71" width="12" customWidth="1"/>
    <col min="72" max="75" width="12" bestFit="1" customWidth="1"/>
    <col min="76" max="76" width="12" customWidth="1"/>
    <col min="77" max="77" width="14" bestFit="1" customWidth="1"/>
    <col min="78" max="78" width="12.28515625" customWidth="1"/>
  </cols>
  <sheetData>
    <row r="1" spans="1:78" s="3" customFormat="1" ht="11.25" x14ac:dyDescent="0.2">
      <c r="A1" s="84">
        <v>1</v>
      </c>
      <c r="B1" s="84">
        <v>2</v>
      </c>
      <c r="C1" s="84">
        <v>3</v>
      </c>
      <c r="D1" s="84">
        <v>4</v>
      </c>
      <c r="E1" s="84">
        <v>5</v>
      </c>
      <c r="F1" s="84">
        <v>6</v>
      </c>
      <c r="G1" s="84">
        <v>7</v>
      </c>
      <c r="H1" s="84">
        <v>8</v>
      </c>
      <c r="I1" s="84">
        <v>9</v>
      </c>
      <c r="J1" s="84">
        <v>10</v>
      </c>
      <c r="K1" s="84">
        <v>11</v>
      </c>
      <c r="L1" s="84">
        <v>12</v>
      </c>
      <c r="M1" s="84">
        <v>13</v>
      </c>
      <c r="N1" s="84">
        <v>14</v>
      </c>
      <c r="O1" s="3">
        <v>15</v>
      </c>
      <c r="P1" s="3">
        <v>16</v>
      </c>
      <c r="Q1" s="3">
        <v>17</v>
      </c>
      <c r="R1" s="3">
        <v>18</v>
      </c>
      <c r="S1" s="3">
        <v>19</v>
      </c>
      <c r="T1" s="3">
        <v>20</v>
      </c>
      <c r="U1" s="3">
        <v>21</v>
      </c>
      <c r="V1" s="3">
        <v>22</v>
      </c>
      <c r="W1" s="3">
        <v>23</v>
      </c>
      <c r="X1" s="3">
        <v>24</v>
      </c>
      <c r="Y1" s="3">
        <v>25</v>
      </c>
      <c r="Z1" s="3">
        <v>26</v>
      </c>
      <c r="AA1" s="3">
        <v>27</v>
      </c>
      <c r="AB1" s="3">
        <v>28</v>
      </c>
      <c r="AC1" s="3">
        <v>29</v>
      </c>
      <c r="AD1" s="3">
        <v>30</v>
      </c>
      <c r="AE1" s="3">
        <v>31</v>
      </c>
      <c r="AF1" s="3">
        <v>32</v>
      </c>
      <c r="AG1" s="3">
        <v>33</v>
      </c>
      <c r="AH1" s="3">
        <v>34</v>
      </c>
      <c r="AI1" s="3">
        <v>35</v>
      </c>
      <c r="AJ1" s="3">
        <v>36</v>
      </c>
      <c r="AK1" s="3">
        <v>37</v>
      </c>
      <c r="AL1" s="3">
        <v>38</v>
      </c>
      <c r="AM1" s="3">
        <v>39</v>
      </c>
      <c r="AN1" s="3">
        <v>40</v>
      </c>
      <c r="AO1" s="3">
        <v>41</v>
      </c>
      <c r="AP1" s="3">
        <v>42</v>
      </c>
      <c r="AQ1" s="3">
        <v>43</v>
      </c>
      <c r="AR1" s="3">
        <v>44</v>
      </c>
      <c r="AS1" s="3">
        <v>45</v>
      </c>
      <c r="AT1" s="3">
        <v>46</v>
      </c>
      <c r="AU1" s="3">
        <v>47</v>
      </c>
      <c r="AV1" s="3">
        <v>48</v>
      </c>
      <c r="AW1" s="3">
        <v>49</v>
      </c>
      <c r="AX1" s="3">
        <v>50</v>
      </c>
      <c r="AY1" s="3">
        <v>51</v>
      </c>
      <c r="AZ1" s="3">
        <v>52</v>
      </c>
      <c r="BA1" s="3">
        <v>53</v>
      </c>
      <c r="BB1" s="3">
        <v>54</v>
      </c>
      <c r="BC1" s="3">
        <v>55</v>
      </c>
      <c r="BD1" s="6">
        <v>56</v>
      </c>
      <c r="BE1" s="3">
        <v>57</v>
      </c>
      <c r="BF1" s="3">
        <v>58</v>
      </c>
      <c r="BG1" s="3">
        <v>59</v>
      </c>
      <c r="BH1" s="3">
        <v>60</v>
      </c>
      <c r="BI1" s="3">
        <v>61</v>
      </c>
      <c r="BJ1" s="3">
        <v>62</v>
      </c>
      <c r="BK1" s="3">
        <v>63</v>
      </c>
      <c r="BL1" s="3">
        <v>64</v>
      </c>
      <c r="BM1" s="3">
        <v>65</v>
      </c>
      <c r="BN1" s="3">
        <v>66</v>
      </c>
      <c r="BO1" s="3">
        <v>67</v>
      </c>
      <c r="BP1" s="3">
        <v>68</v>
      </c>
      <c r="BQ1" s="3">
        <v>69</v>
      </c>
      <c r="BR1" s="3">
        <f>+BQ1+1</f>
        <v>70</v>
      </c>
      <c r="BS1" s="3">
        <v>71</v>
      </c>
      <c r="BT1" s="3">
        <v>72</v>
      </c>
      <c r="BU1" s="3">
        <v>73</v>
      </c>
      <c r="BV1" s="3">
        <v>74</v>
      </c>
      <c r="BW1" s="3">
        <v>75</v>
      </c>
      <c r="BX1" s="3">
        <v>76</v>
      </c>
      <c r="BY1" s="3">
        <v>77</v>
      </c>
      <c r="BZ1" s="3">
        <v>78</v>
      </c>
    </row>
    <row r="2" spans="1:78" x14ac:dyDescent="0.2">
      <c r="A2" s="112">
        <v>1</v>
      </c>
      <c r="B2" s="113">
        <v>13046.14</v>
      </c>
      <c r="C2" s="113">
        <v>15057.75</v>
      </c>
      <c r="D2" s="113">
        <v>16606.849999999999</v>
      </c>
      <c r="E2" s="113">
        <v>48185.24</v>
      </c>
      <c r="F2" s="113">
        <v>24001.08</v>
      </c>
      <c r="G2" s="113">
        <v>21548.7</v>
      </c>
      <c r="J2" s="87" t="s">
        <v>388</v>
      </c>
      <c r="K2" s="87" t="s">
        <v>442</v>
      </c>
      <c r="L2" s="88"/>
      <c r="M2" s="88"/>
      <c r="N2" s="88"/>
    </row>
    <row r="3" spans="1:78" x14ac:dyDescent="0.2">
      <c r="A3" s="112">
        <v>9999</v>
      </c>
      <c r="B3" s="113">
        <v>769806.08</v>
      </c>
      <c r="C3" s="113">
        <v>754515.66</v>
      </c>
      <c r="D3" s="113">
        <v>769806.08</v>
      </c>
      <c r="E3" s="113">
        <v>65222.93</v>
      </c>
      <c r="F3" s="113">
        <v>23897.64</v>
      </c>
      <c r="G3" s="113">
        <v>174010.8</v>
      </c>
      <c r="J3" s="87" t="s">
        <v>389</v>
      </c>
      <c r="K3" s="87" t="s">
        <v>446</v>
      </c>
      <c r="L3" s="88"/>
      <c r="M3" s="88"/>
      <c r="N3" s="88"/>
    </row>
    <row r="4" spans="1:78" x14ac:dyDescent="0.2">
      <c r="A4" s="112">
        <v>2</v>
      </c>
      <c r="B4" s="113">
        <v>3731.63</v>
      </c>
      <c r="C4" s="113">
        <v>3247.74</v>
      </c>
      <c r="D4" s="113">
        <v>5140.26</v>
      </c>
      <c r="E4" s="113">
        <v>120</v>
      </c>
      <c r="F4" s="113">
        <v>4058.41</v>
      </c>
      <c r="G4" s="113">
        <v>1459.97</v>
      </c>
      <c r="J4" s="87" t="s">
        <v>390</v>
      </c>
      <c r="K4" s="87" t="s">
        <v>447</v>
      </c>
      <c r="L4" s="88"/>
      <c r="M4" s="88"/>
      <c r="N4" s="88"/>
    </row>
    <row r="5" spans="1:78" x14ac:dyDescent="0.2">
      <c r="A5" s="112">
        <v>4</v>
      </c>
      <c r="B5" s="113">
        <v>6191.44</v>
      </c>
      <c r="C5" s="113">
        <v>7169.38</v>
      </c>
      <c r="D5" s="113">
        <v>6191.44</v>
      </c>
      <c r="E5" s="113">
        <v>35469.300000000003</v>
      </c>
      <c r="F5" s="113">
        <v>-25143.08</v>
      </c>
      <c r="G5" s="113">
        <v>-6370.4</v>
      </c>
      <c r="J5" s="87" t="s">
        <v>422</v>
      </c>
      <c r="K5" s="87" t="s">
        <v>448</v>
      </c>
      <c r="L5" s="87"/>
      <c r="M5" s="87"/>
      <c r="N5" s="87"/>
    </row>
    <row r="6" spans="1:78" x14ac:dyDescent="0.2">
      <c r="A6" s="112">
        <v>6</v>
      </c>
      <c r="B6" s="113">
        <v>43366.15</v>
      </c>
      <c r="C6" s="113">
        <v>45156.39</v>
      </c>
      <c r="D6" s="113">
        <v>43366.15</v>
      </c>
      <c r="E6" s="113">
        <v>33941.71</v>
      </c>
      <c r="F6" s="113">
        <v>4732.38</v>
      </c>
      <c r="G6" s="113">
        <v>0</v>
      </c>
      <c r="J6" s="87" t="s">
        <v>423</v>
      </c>
      <c r="K6" s="87" t="s">
        <v>443</v>
      </c>
      <c r="L6" s="87"/>
      <c r="M6" s="87"/>
      <c r="N6" s="87"/>
    </row>
    <row r="7" spans="1:78" x14ac:dyDescent="0.2">
      <c r="A7" s="112">
        <v>11</v>
      </c>
      <c r="B7" s="113">
        <v>417875.98</v>
      </c>
      <c r="C7" s="113">
        <v>420409.29</v>
      </c>
      <c r="D7" s="113">
        <v>417875.98</v>
      </c>
      <c r="E7" s="113">
        <v>710123.33</v>
      </c>
      <c r="F7" s="113">
        <v>57550.94</v>
      </c>
      <c r="G7" s="113">
        <v>191884.74</v>
      </c>
      <c r="J7" s="87" t="s">
        <v>424</v>
      </c>
      <c r="K7" s="87" t="s">
        <v>449</v>
      </c>
      <c r="L7" s="87"/>
      <c r="M7" s="87"/>
      <c r="N7" s="87"/>
    </row>
    <row r="8" spans="1:78" x14ac:dyDescent="0.2">
      <c r="A8" s="112">
        <v>12</v>
      </c>
      <c r="B8" s="113">
        <v>50870.25</v>
      </c>
      <c r="C8" s="113">
        <v>50668.67</v>
      </c>
      <c r="D8" s="113">
        <v>50870.25</v>
      </c>
      <c r="E8" s="113">
        <v>23279.62</v>
      </c>
      <c r="F8" s="113">
        <v>-740.87</v>
      </c>
      <c r="G8" s="113">
        <v>4976.03</v>
      </c>
    </row>
    <row r="9" spans="1:78" x14ac:dyDescent="0.2">
      <c r="A9" s="112">
        <v>13</v>
      </c>
      <c r="B9" s="113">
        <v>61851.25</v>
      </c>
      <c r="C9" s="113">
        <v>63846.52</v>
      </c>
      <c r="D9" s="113">
        <v>61851.25</v>
      </c>
      <c r="E9" s="113">
        <v>83368.649999999994</v>
      </c>
      <c r="F9" s="113">
        <v>4344.17</v>
      </c>
      <c r="G9" s="113">
        <v>16863.12</v>
      </c>
    </row>
    <row r="10" spans="1:78" x14ac:dyDescent="0.2">
      <c r="A10" s="112">
        <v>14</v>
      </c>
      <c r="B10" s="113">
        <v>42503.64</v>
      </c>
      <c r="C10" s="113">
        <v>39828.29</v>
      </c>
      <c r="D10" s="113">
        <v>42503.64</v>
      </c>
      <c r="E10" s="113">
        <v>18346.5</v>
      </c>
      <c r="F10" s="113">
        <v>20183.990000000002</v>
      </c>
      <c r="G10" s="113">
        <v>21910.67</v>
      </c>
    </row>
    <row r="11" spans="1:78" x14ac:dyDescent="0.2">
      <c r="A11" s="112">
        <v>15</v>
      </c>
      <c r="B11" s="113">
        <v>59011.040000000001</v>
      </c>
      <c r="C11" s="113">
        <v>59346.83</v>
      </c>
      <c r="D11" s="113">
        <v>59011.040000000001</v>
      </c>
      <c r="E11" s="113">
        <v>0</v>
      </c>
      <c r="F11" s="113">
        <v>10534.28</v>
      </c>
      <c r="G11" s="113">
        <v>6292.4</v>
      </c>
    </row>
    <row r="12" spans="1:78" x14ac:dyDescent="0.2">
      <c r="A12" s="112">
        <v>16</v>
      </c>
      <c r="B12" s="113">
        <v>66518.97</v>
      </c>
      <c r="C12" s="113">
        <v>69129.740000000005</v>
      </c>
      <c r="D12" s="113">
        <v>66518.97</v>
      </c>
      <c r="E12" s="113">
        <v>5977.24</v>
      </c>
      <c r="F12" s="113">
        <v>1699.26</v>
      </c>
      <c r="G12" s="113">
        <v>1143.6400000000001</v>
      </c>
    </row>
    <row r="13" spans="1:78" x14ac:dyDescent="0.2">
      <c r="A13" s="112">
        <v>22</v>
      </c>
      <c r="B13" s="113">
        <v>36847.07</v>
      </c>
      <c r="C13" s="113">
        <v>33211.75</v>
      </c>
      <c r="D13" s="113">
        <v>36847.07</v>
      </c>
      <c r="E13" s="113">
        <v>44489</v>
      </c>
      <c r="F13" s="113">
        <v>8725.6</v>
      </c>
      <c r="G13" s="113">
        <v>7813.86</v>
      </c>
    </row>
    <row r="14" spans="1:78" x14ac:dyDescent="0.2">
      <c r="A14" s="112">
        <v>23</v>
      </c>
      <c r="B14" s="113">
        <v>12094.15</v>
      </c>
      <c r="C14" s="113">
        <v>13263.55</v>
      </c>
      <c r="D14" s="113">
        <v>13808.45</v>
      </c>
      <c r="E14" s="113">
        <v>19427.5</v>
      </c>
      <c r="F14" s="113">
        <v>6913.38</v>
      </c>
      <c r="G14" s="113">
        <v>4467.84</v>
      </c>
    </row>
    <row r="15" spans="1:78" x14ac:dyDescent="0.2">
      <c r="A15" s="112">
        <v>25</v>
      </c>
      <c r="B15" s="113">
        <v>2185.41</v>
      </c>
      <c r="C15" s="113">
        <v>1977.01</v>
      </c>
      <c r="D15" s="113">
        <v>2185.41</v>
      </c>
      <c r="E15" s="113">
        <v>0</v>
      </c>
      <c r="F15" s="113">
        <v>0</v>
      </c>
      <c r="G15" s="113">
        <v>0</v>
      </c>
    </row>
    <row r="16" spans="1:78" x14ac:dyDescent="0.2">
      <c r="A16" s="112">
        <v>31</v>
      </c>
      <c r="B16" s="113">
        <v>69261.58</v>
      </c>
      <c r="C16" s="113">
        <v>86444.72</v>
      </c>
      <c r="D16" s="113">
        <v>87096.85</v>
      </c>
      <c r="E16" s="113">
        <v>0</v>
      </c>
      <c r="F16" s="113">
        <v>54738.32</v>
      </c>
      <c r="G16" s="113">
        <v>25034.3</v>
      </c>
    </row>
    <row r="17" spans="1:7" x14ac:dyDescent="0.2">
      <c r="A17" s="112">
        <v>32</v>
      </c>
      <c r="B17" s="113">
        <v>7271.89</v>
      </c>
      <c r="C17" s="113">
        <v>4912.24</v>
      </c>
      <c r="D17" s="113">
        <v>10682.84</v>
      </c>
      <c r="E17" s="113">
        <v>0</v>
      </c>
      <c r="F17" s="113">
        <v>10396.049999999999</v>
      </c>
      <c r="G17" s="113">
        <v>12038.05</v>
      </c>
    </row>
    <row r="18" spans="1:7" x14ac:dyDescent="0.2">
      <c r="A18" s="112">
        <v>36</v>
      </c>
      <c r="B18" s="113">
        <v>3931.13</v>
      </c>
      <c r="C18" s="113">
        <v>4128</v>
      </c>
      <c r="D18" s="113">
        <v>3931.13</v>
      </c>
      <c r="E18" s="113">
        <v>0</v>
      </c>
      <c r="F18" s="113">
        <v>242.84</v>
      </c>
      <c r="G18" s="113">
        <v>243.57</v>
      </c>
    </row>
    <row r="19" spans="1:7" x14ac:dyDescent="0.2">
      <c r="A19" s="112">
        <v>38</v>
      </c>
      <c r="B19" s="113">
        <v>35127.18</v>
      </c>
      <c r="C19" s="113">
        <v>32875.24</v>
      </c>
      <c r="D19" s="113">
        <v>35127.18</v>
      </c>
      <c r="E19" s="113">
        <v>0</v>
      </c>
      <c r="F19" s="113">
        <v>-0.01</v>
      </c>
      <c r="G19" s="113">
        <v>-0.01</v>
      </c>
    </row>
    <row r="20" spans="1:7" x14ac:dyDescent="0.2">
      <c r="A20" s="112">
        <v>47</v>
      </c>
      <c r="B20" s="113">
        <v>48592.21</v>
      </c>
      <c r="C20" s="113">
        <v>50883.69</v>
      </c>
      <c r="D20" s="113">
        <v>48592.21</v>
      </c>
      <c r="E20" s="113">
        <v>55354.31</v>
      </c>
      <c r="F20" s="113">
        <v>33449.949999999997</v>
      </c>
      <c r="G20" s="113">
        <v>26788.22</v>
      </c>
    </row>
    <row r="21" spans="1:7" x14ac:dyDescent="0.2">
      <c r="A21" s="112">
        <v>51</v>
      </c>
      <c r="B21" s="113">
        <v>21321.08</v>
      </c>
      <c r="C21" s="113">
        <v>20608.36</v>
      </c>
      <c r="D21" s="113">
        <v>21321.08</v>
      </c>
      <c r="E21" s="113">
        <v>0</v>
      </c>
      <c r="F21" s="113">
        <v>0</v>
      </c>
      <c r="G21" s="113">
        <v>-2485.94</v>
      </c>
    </row>
    <row r="22" spans="1:7" x14ac:dyDescent="0.2">
      <c r="A22" s="112">
        <v>75</v>
      </c>
      <c r="B22" s="113">
        <v>4445.7299999999996</v>
      </c>
      <c r="C22" s="113">
        <v>4625.57</v>
      </c>
      <c r="D22" s="113">
        <v>4445.7299999999996</v>
      </c>
      <c r="E22" s="113">
        <v>0</v>
      </c>
      <c r="F22" s="113">
        <v>1719.02</v>
      </c>
      <c r="G22" s="113">
        <v>957.5</v>
      </c>
    </row>
    <row r="23" spans="1:7" x14ac:dyDescent="0.2">
      <c r="A23" s="112">
        <v>77</v>
      </c>
      <c r="B23" s="113">
        <v>90003.47</v>
      </c>
      <c r="C23" s="113">
        <v>90029.42</v>
      </c>
      <c r="D23" s="113">
        <v>90003.47</v>
      </c>
      <c r="E23" s="113">
        <v>45069.3</v>
      </c>
      <c r="F23" s="113">
        <v>29846.25</v>
      </c>
      <c r="G23" s="113">
        <v>40353.74</v>
      </c>
    </row>
    <row r="24" spans="1:7" x14ac:dyDescent="0.2">
      <c r="A24" s="112">
        <v>81</v>
      </c>
      <c r="B24" s="113">
        <v>2633.63</v>
      </c>
      <c r="C24" s="113">
        <v>2556.06</v>
      </c>
      <c r="D24" s="113">
        <v>2633.63</v>
      </c>
      <c r="E24" s="113">
        <v>4588.4399999999996</v>
      </c>
      <c r="F24" s="113">
        <v>-3596.15</v>
      </c>
      <c r="G24" s="113">
        <v>-1088.23</v>
      </c>
    </row>
    <row r="25" spans="1:7" x14ac:dyDescent="0.2">
      <c r="A25" s="112">
        <v>84</v>
      </c>
      <c r="B25" s="113">
        <v>11466.38</v>
      </c>
      <c r="C25" s="113">
        <v>11167.08</v>
      </c>
      <c r="D25" s="113">
        <v>11466.38</v>
      </c>
      <c r="E25" s="113">
        <v>31374.61</v>
      </c>
      <c r="F25" s="113">
        <v>0</v>
      </c>
      <c r="G25" s="113">
        <v>0</v>
      </c>
    </row>
    <row r="26" spans="1:7" x14ac:dyDescent="0.2">
      <c r="A26" s="112">
        <v>85</v>
      </c>
      <c r="B26" s="113">
        <v>6595.48</v>
      </c>
      <c r="C26" s="113">
        <v>7077.16</v>
      </c>
      <c r="D26" s="113">
        <v>6595.48</v>
      </c>
      <c r="E26" s="113">
        <v>11013</v>
      </c>
      <c r="F26" s="113">
        <v>-12457.14</v>
      </c>
      <c r="G26" s="113">
        <v>-7486.45</v>
      </c>
    </row>
    <row r="27" spans="1:7" x14ac:dyDescent="0.2">
      <c r="A27" s="112">
        <v>88</v>
      </c>
      <c r="B27" s="113">
        <v>24576.04</v>
      </c>
      <c r="C27" s="113">
        <v>24673.98</v>
      </c>
      <c r="D27" s="113">
        <v>24576.04</v>
      </c>
      <c r="E27" s="113">
        <v>22920.32</v>
      </c>
      <c r="F27" s="113">
        <v>10024.65</v>
      </c>
      <c r="G27" s="113">
        <v>10209.15</v>
      </c>
    </row>
    <row r="28" spans="1:7" x14ac:dyDescent="0.2">
      <c r="A28" s="112">
        <v>91</v>
      </c>
      <c r="B28" s="113">
        <v>9800.92</v>
      </c>
      <c r="C28" s="113">
        <v>9625.73</v>
      </c>
      <c r="D28" s="113">
        <v>9800.92</v>
      </c>
      <c r="E28" s="113">
        <v>12955.75</v>
      </c>
      <c r="F28" s="113">
        <v>4372.22</v>
      </c>
      <c r="G28" s="113">
        <v>-7339.32</v>
      </c>
    </row>
    <row r="29" spans="1:7" x14ac:dyDescent="0.2">
      <c r="A29" s="112">
        <v>93</v>
      </c>
      <c r="B29" s="113">
        <v>4988.72</v>
      </c>
      <c r="C29" s="113">
        <v>5966.34</v>
      </c>
      <c r="D29" s="113">
        <v>4988.72</v>
      </c>
      <c r="E29" s="113">
        <v>18670.64</v>
      </c>
      <c r="F29" s="113">
        <v>-98288.95</v>
      </c>
      <c r="G29" s="113">
        <v>-114046.96</v>
      </c>
    </row>
    <row r="30" spans="1:7" x14ac:dyDescent="0.2">
      <c r="A30" s="112">
        <v>94</v>
      </c>
      <c r="B30" s="113">
        <v>32717.24</v>
      </c>
      <c r="C30" s="113">
        <v>35455.46</v>
      </c>
      <c r="D30" s="113">
        <v>32717.24</v>
      </c>
      <c r="E30" s="113">
        <v>21712.45</v>
      </c>
      <c r="F30" s="113">
        <v>7614.78</v>
      </c>
      <c r="G30" s="113">
        <v>4886.5200000000004</v>
      </c>
    </row>
    <row r="31" spans="1:7" x14ac:dyDescent="0.2">
      <c r="A31" s="112">
        <v>95</v>
      </c>
      <c r="B31" s="113">
        <v>4419.68</v>
      </c>
      <c r="C31" s="113">
        <v>3920.48</v>
      </c>
      <c r="D31" s="113">
        <v>4419.68</v>
      </c>
      <c r="E31" s="113">
        <v>18364.189999999999</v>
      </c>
      <c r="F31" s="113">
        <v>2503.37</v>
      </c>
      <c r="G31" s="113">
        <v>2503.37</v>
      </c>
    </row>
    <row r="32" spans="1:7" x14ac:dyDescent="0.2">
      <c r="A32" s="112">
        <v>97</v>
      </c>
      <c r="B32" s="113">
        <v>7925.21</v>
      </c>
      <c r="C32" s="113">
        <v>7676.27</v>
      </c>
      <c r="D32" s="113">
        <v>7925.21</v>
      </c>
      <c r="E32" s="113">
        <v>22227</v>
      </c>
      <c r="F32" s="113">
        <v>255.92</v>
      </c>
      <c r="G32" s="113">
        <v>-2092.85</v>
      </c>
    </row>
    <row r="33" spans="1:7" x14ac:dyDescent="0.2">
      <c r="A33" s="112">
        <v>99</v>
      </c>
      <c r="B33" s="113">
        <v>7807.4</v>
      </c>
      <c r="C33" s="113">
        <v>8615.77</v>
      </c>
      <c r="D33" s="113">
        <v>7807.4</v>
      </c>
      <c r="E33" s="113">
        <v>31203.75</v>
      </c>
      <c r="F33" s="113">
        <v>806.27</v>
      </c>
      <c r="G33" s="113">
        <v>1036.1099999999999</v>
      </c>
    </row>
    <row r="34" spans="1:7" x14ac:dyDescent="0.2">
      <c r="A34" s="112">
        <v>100</v>
      </c>
      <c r="B34" s="113">
        <v>4540.49</v>
      </c>
      <c r="C34" s="113">
        <v>4067.5</v>
      </c>
      <c r="D34" s="113">
        <v>4540.49</v>
      </c>
      <c r="E34" s="113">
        <v>66</v>
      </c>
      <c r="F34" s="113">
        <v>307.74</v>
      </c>
      <c r="G34" s="113">
        <v>-3251.45</v>
      </c>
    </row>
    <row r="35" spans="1:7" x14ac:dyDescent="0.2">
      <c r="A35" s="112">
        <v>108</v>
      </c>
      <c r="B35" s="113">
        <v>8579.52</v>
      </c>
      <c r="C35" s="113">
        <v>8811.0300000000007</v>
      </c>
      <c r="D35" s="113">
        <v>10941.1</v>
      </c>
      <c r="E35" s="113">
        <v>18103</v>
      </c>
      <c r="F35" s="113">
        <v>10290.629999999999</v>
      </c>
      <c r="G35" s="113">
        <v>12232.98</v>
      </c>
    </row>
    <row r="36" spans="1:7" x14ac:dyDescent="0.2">
      <c r="A36" s="112">
        <v>110</v>
      </c>
      <c r="B36" s="113">
        <v>32465.19</v>
      </c>
      <c r="C36" s="113">
        <v>31351.89</v>
      </c>
      <c r="D36" s="113">
        <v>32465.19</v>
      </c>
      <c r="E36" s="113">
        <v>12778</v>
      </c>
      <c r="F36" s="113">
        <v>8214.98</v>
      </c>
      <c r="G36" s="113">
        <v>11400.81</v>
      </c>
    </row>
    <row r="37" spans="1:7" x14ac:dyDescent="0.2">
      <c r="A37" s="112">
        <v>111</v>
      </c>
      <c r="B37" s="113">
        <v>16196.62</v>
      </c>
      <c r="C37" s="113">
        <v>17598.05</v>
      </c>
      <c r="D37" s="113">
        <v>16196.62</v>
      </c>
      <c r="E37" s="113">
        <v>56565.11</v>
      </c>
      <c r="F37" s="113">
        <v>11931.73</v>
      </c>
      <c r="G37" s="113">
        <v>14.95</v>
      </c>
    </row>
    <row r="38" spans="1:7" x14ac:dyDescent="0.2">
      <c r="A38" s="112">
        <v>112</v>
      </c>
      <c r="B38" s="113">
        <v>87060.38</v>
      </c>
      <c r="C38" s="113">
        <v>84509.21</v>
      </c>
      <c r="D38" s="113">
        <v>87060.38</v>
      </c>
      <c r="E38" s="113">
        <v>58082</v>
      </c>
      <c r="F38" s="113">
        <v>0</v>
      </c>
      <c r="G38" s="113">
        <v>0</v>
      </c>
    </row>
    <row r="39" spans="1:7" x14ac:dyDescent="0.2">
      <c r="A39" s="112">
        <v>113</v>
      </c>
      <c r="B39" s="113">
        <v>9521.25</v>
      </c>
      <c r="C39" s="113">
        <v>11967.43</v>
      </c>
      <c r="D39" s="113">
        <v>11393.39</v>
      </c>
      <c r="E39" s="113">
        <v>2422</v>
      </c>
      <c r="F39" s="113">
        <v>2198.54</v>
      </c>
      <c r="G39" s="113">
        <v>-1332.19</v>
      </c>
    </row>
    <row r="40" spans="1:7" x14ac:dyDescent="0.2">
      <c r="A40" s="112">
        <v>115</v>
      </c>
      <c r="B40" s="113">
        <v>23051.22</v>
      </c>
      <c r="C40" s="113">
        <v>23021.39</v>
      </c>
      <c r="D40" s="113">
        <v>23051.22</v>
      </c>
      <c r="E40" s="113">
        <v>0</v>
      </c>
      <c r="F40" s="113">
        <v>-15007.69</v>
      </c>
      <c r="G40" s="113">
        <v>-14789.64</v>
      </c>
    </row>
    <row r="41" spans="1:7" x14ac:dyDescent="0.2">
      <c r="A41" s="112">
        <v>116</v>
      </c>
      <c r="B41" s="113">
        <v>13816.77</v>
      </c>
      <c r="C41" s="113">
        <v>13396.81</v>
      </c>
      <c r="D41" s="113">
        <v>13816.77</v>
      </c>
      <c r="E41" s="113">
        <v>28543.68</v>
      </c>
      <c r="F41" s="113">
        <v>11897.38</v>
      </c>
      <c r="G41" s="113">
        <v>4951.3999999999996</v>
      </c>
    </row>
    <row r="42" spans="1:7" x14ac:dyDescent="0.2">
      <c r="A42" s="112">
        <v>118</v>
      </c>
      <c r="B42" s="113">
        <v>7716.68</v>
      </c>
      <c r="C42" s="113">
        <v>8249.34</v>
      </c>
      <c r="D42" s="113">
        <v>7716.68</v>
      </c>
      <c r="E42" s="113">
        <v>0</v>
      </c>
      <c r="F42" s="113">
        <v>-2074.65</v>
      </c>
      <c r="G42" s="113">
        <v>-2072.1</v>
      </c>
    </row>
    <row r="43" spans="1:7" x14ac:dyDescent="0.2">
      <c r="A43" s="112">
        <v>129</v>
      </c>
      <c r="B43" s="113">
        <v>18216.61</v>
      </c>
      <c r="C43" s="113">
        <v>16709.16</v>
      </c>
      <c r="D43" s="113">
        <v>18216.61</v>
      </c>
      <c r="E43" s="113">
        <v>0</v>
      </c>
      <c r="F43" s="113">
        <v>1755.76</v>
      </c>
      <c r="G43" s="113">
        <v>3250.66</v>
      </c>
    </row>
    <row r="44" spans="1:7" x14ac:dyDescent="0.2">
      <c r="A44" s="112">
        <v>138</v>
      </c>
      <c r="B44" s="113">
        <v>38166.07</v>
      </c>
      <c r="C44" s="113">
        <v>37157.89</v>
      </c>
      <c r="D44" s="113">
        <v>38498.67</v>
      </c>
      <c r="E44" s="113">
        <v>5741.98</v>
      </c>
      <c r="F44" s="113">
        <v>8767.3700000000008</v>
      </c>
      <c r="G44" s="113">
        <v>9166.94</v>
      </c>
    </row>
    <row r="45" spans="1:7" x14ac:dyDescent="0.2">
      <c r="A45" s="112">
        <v>139</v>
      </c>
      <c r="B45" s="113">
        <v>11751.54</v>
      </c>
      <c r="C45" s="113">
        <v>10424.85</v>
      </c>
      <c r="D45" s="113">
        <v>11751.54</v>
      </c>
      <c r="E45" s="113">
        <v>0</v>
      </c>
      <c r="F45" s="113">
        <v>0</v>
      </c>
      <c r="G45" s="113">
        <v>0</v>
      </c>
    </row>
    <row r="46" spans="1:7" x14ac:dyDescent="0.2">
      <c r="A46" s="112">
        <v>146</v>
      </c>
      <c r="B46" s="113">
        <v>8074.83</v>
      </c>
      <c r="C46" s="113">
        <v>7847.51</v>
      </c>
      <c r="D46" s="113">
        <v>8074.83</v>
      </c>
      <c r="E46" s="113">
        <v>29591</v>
      </c>
      <c r="F46" s="113">
        <v>-9538.56</v>
      </c>
      <c r="G46" s="113">
        <v>-3373.82</v>
      </c>
    </row>
    <row r="47" spans="1:7" x14ac:dyDescent="0.2">
      <c r="A47" s="112">
        <v>150</v>
      </c>
      <c r="B47" s="113">
        <v>7108.38</v>
      </c>
      <c r="C47" s="113">
        <v>6804.97</v>
      </c>
      <c r="D47" s="113">
        <v>7108.38</v>
      </c>
      <c r="E47" s="113">
        <v>0</v>
      </c>
      <c r="F47" s="113">
        <v>954.37</v>
      </c>
      <c r="G47" s="113">
        <v>857.1</v>
      </c>
    </row>
    <row r="48" spans="1:7" x14ac:dyDescent="0.2">
      <c r="A48" s="112">
        <v>152</v>
      </c>
      <c r="B48" s="113">
        <v>64472.51</v>
      </c>
      <c r="C48" s="113">
        <v>65359.68</v>
      </c>
      <c r="D48" s="113">
        <v>64472.51</v>
      </c>
      <c r="E48" s="113">
        <v>33652</v>
      </c>
      <c r="F48" s="113">
        <v>7753.8</v>
      </c>
      <c r="G48" s="113">
        <v>2474.89</v>
      </c>
    </row>
    <row r="49" spans="1:7" x14ac:dyDescent="0.2">
      <c r="A49" s="112">
        <v>162</v>
      </c>
      <c r="B49" s="113">
        <v>16922.740000000002</v>
      </c>
      <c r="C49" s="113">
        <v>17309.78</v>
      </c>
      <c r="D49" s="113">
        <v>16922.740000000002</v>
      </c>
      <c r="E49" s="113">
        <v>25180</v>
      </c>
      <c r="F49" s="113">
        <v>7361.2</v>
      </c>
      <c r="G49" s="113">
        <v>8899.89</v>
      </c>
    </row>
    <row r="50" spans="1:7" x14ac:dyDescent="0.2">
      <c r="A50" s="112">
        <v>166</v>
      </c>
      <c r="B50" s="113">
        <v>1150.95</v>
      </c>
      <c r="C50" s="113">
        <v>5524.7</v>
      </c>
      <c r="D50" s="113">
        <v>6178</v>
      </c>
      <c r="E50" s="113">
        <v>12813.25</v>
      </c>
      <c r="F50" s="113">
        <v>17162.5</v>
      </c>
      <c r="G50" s="113">
        <v>-12242.7</v>
      </c>
    </row>
    <row r="51" spans="1:7" x14ac:dyDescent="0.2">
      <c r="A51" s="112">
        <v>173</v>
      </c>
      <c r="B51" s="113">
        <v>6338.07</v>
      </c>
      <c r="C51" s="113">
        <v>6869.07</v>
      </c>
      <c r="D51" s="113">
        <v>6338.07</v>
      </c>
      <c r="E51" s="113">
        <v>0</v>
      </c>
      <c r="F51" s="113">
        <v>1407.88</v>
      </c>
      <c r="G51" s="113">
        <v>1862.12</v>
      </c>
    </row>
    <row r="52" spans="1:7" x14ac:dyDescent="0.2">
      <c r="A52" s="112">
        <v>177</v>
      </c>
      <c r="B52" s="113">
        <v>12727.8</v>
      </c>
      <c r="C52" s="113">
        <v>12935.7</v>
      </c>
      <c r="D52" s="113">
        <v>12727.8</v>
      </c>
      <c r="E52" s="113">
        <v>2160</v>
      </c>
      <c r="F52" s="113">
        <v>3720.82</v>
      </c>
      <c r="G52" s="113">
        <v>822.96</v>
      </c>
    </row>
    <row r="53" spans="1:7" x14ac:dyDescent="0.2">
      <c r="A53" s="112">
        <v>181</v>
      </c>
      <c r="B53" s="113">
        <v>101714.03</v>
      </c>
      <c r="C53" s="113">
        <v>93361.96</v>
      </c>
      <c r="D53" s="113">
        <v>101714.03</v>
      </c>
      <c r="E53" s="113">
        <v>155195.49</v>
      </c>
      <c r="F53" s="113">
        <v>0</v>
      </c>
      <c r="G53" s="113">
        <v>29222.44</v>
      </c>
    </row>
    <row r="54" spans="1:7" x14ac:dyDescent="0.2">
      <c r="A54" s="112">
        <v>182</v>
      </c>
      <c r="B54" s="113">
        <v>17744.48</v>
      </c>
      <c r="C54" s="113">
        <v>17497.54</v>
      </c>
      <c r="D54" s="113">
        <v>17744.48</v>
      </c>
      <c r="E54" s="113">
        <v>1800</v>
      </c>
      <c r="F54" s="113">
        <v>1500.72</v>
      </c>
      <c r="G54" s="113">
        <v>893.76</v>
      </c>
    </row>
    <row r="55" spans="1:7" x14ac:dyDescent="0.2">
      <c r="A55" s="112">
        <v>186</v>
      </c>
      <c r="B55" s="113">
        <v>19653.91</v>
      </c>
      <c r="C55" s="113">
        <v>17385.2</v>
      </c>
      <c r="D55" s="113">
        <v>19653.91</v>
      </c>
      <c r="E55" s="113">
        <v>34524</v>
      </c>
      <c r="F55" s="113">
        <v>32262.05</v>
      </c>
      <c r="G55" s="113">
        <v>11617.16</v>
      </c>
    </row>
    <row r="56" spans="1:7" x14ac:dyDescent="0.2">
      <c r="A56" s="112">
        <v>191</v>
      </c>
      <c r="B56" s="113">
        <v>118363.13</v>
      </c>
      <c r="C56" s="113">
        <v>120134.38</v>
      </c>
      <c r="D56" s="113">
        <v>118363.13</v>
      </c>
      <c r="E56" s="113">
        <v>20</v>
      </c>
      <c r="F56" s="113">
        <v>34952.19</v>
      </c>
      <c r="G56" s="113">
        <v>39789.17</v>
      </c>
    </row>
    <row r="57" spans="1:7" x14ac:dyDescent="0.2">
      <c r="A57" s="112">
        <v>192</v>
      </c>
      <c r="B57" s="113">
        <v>61250.879999999997</v>
      </c>
      <c r="C57" s="113">
        <v>62830.84</v>
      </c>
      <c r="D57" s="113">
        <v>61250.879999999997</v>
      </c>
      <c r="E57" s="113">
        <v>18857.75</v>
      </c>
      <c r="F57" s="113">
        <v>8272.7800000000007</v>
      </c>
      <c r="G57" s="113">
        <v>367.13</v>
      </c>
    </row>
    <row r="58" spans="1:7" x14ac:dyDescent="0.2">
      <c r="A58" s="112">
        <v>194</v>
      </c>
      <c r="B58" s="113">
        <v>83409.3</v>
      </c>
      <c r="C58" s="113">
        <v>80259.08</v>
      </c>
      <c r="D58" s="113">
        <v>83409.3</v>
      </c>
      <c r="E58" s="113">
        <v>0</v>
      </c>
      <c r="F58" s="113">
        <v>9469</v>
      </c>
      <c r="G58" s="113">
        <v>8706</v>
      </c>
    </row>
    <row r="59" spans="1:7" x14ac:dyDescent="0.2">
      <c r="A59" s="112">
        <v>195</v>
      </c>
      <c r="B59" s="113">
        <v>4378.92</v>
      </c>
      <c r="C59" s="113">
        <v>3855.8</v>
      </c>
      <c r="D59" s="113">
        <v>4378.92</v>
      </c>
      <c r="E59" s="113">
        <v>38315.440000000002</v>
      </c>
      <c r="F59" s="113">
        <v>-21659.07</v>
      </c>
      <c r="G59" s="113">
        <v>0</v>
      </c>
    </row>
    <row r="60" spans="1:7" x14ac:dyDescent="0.2">
      <c r="A60" s="112">
        <v>196</v>
      </c>
      <c r="B60" s="113">
        <v>264933.59999999998</v>
      </c>
      <c r="C60" s="113">
        <v>242553.83</v>
      </c>
      <c r="D60" s="113">
        <v>264933.59999999998</v>
      </c>
      <c r="E60" s="113">
        <v>150461.54999999999</v>
      </c>
      <c r="F60" s="113">
        <v>98364.06</v>
      </c>
      <c r="G60" s="113">
        <v>83659.66</v>
      </c>
    </row>
    <row r="61" spans="1:7" x14ac:dyDescent="0.2">
      <c r="A61" s="112">
        <v>197</v>
      </c>
      <c r="B61" s="113">
        <v>71066.73</v>
      </c>
      <c r="C61" s="113">
        <v>71596.83</v>
      </c>
      <c r="D61" s="113">
        <v>71066.73</v>
      </c>
      <c r="E61" s="113">
        <v>2984</v>
      </c>
      <c r="F61" s="113">
        <v>9635</v>
      </c>
      <c r="G61" s="113">
        <v>-8627</v>
      </c>
    </row>
    <row r="62" spans="1:7" x14ac:dyDescent="0.2">
      <c r="A62" s="112">
        <v>199</v>
      </c>
      <c r="B62" s="113">
        <v>47760.22</v>
      </c>
      <c r="C62" s="113">
        <v>48471.98</v>
      </c>
      <c r="D62" s="113">
        <v>47760.22</v>
      </c>
      <c r="E62" s="113">
        <v>0</v>
      </c>
      <c r="F62" s="113">
        <v>6367.68</v>
      </c>
      <c r="G62" s="113">
        <v>11716.87</v>
      </c>
    </row>
    <row r="63" spans="1:7" x14ac:dyDescent="0.2">
      <c r="A63" s="112">
        <v>200</v>
      </c>
      <c r="B63" s="113">
        <v>47127.17</v>
      </c>
      <c r="C63" s="113">
        <v>45613.15</v>
      </c>
      <c r="D63" s="113">
        <v>47127.17</v>
      </c>
      <c r="E63" s="113">
        <v>33369.78</v>
      </c>
      <c r="F63" s="113">
        <v>17986.89</v>
      </c>
      <c r="G63" s="113">
        <v>15133.2</v>
      </c>
    </row>
    <row r="64" spans="1:7" x14ac:dyDescent="0.2">
      <c r="A64" s="112">
        <v>203</v>
      </c>
      <c r="B64" s="113">
        <v>8726.89</v>
      </c>
      <c r="C64" s="113">
        <v>8603.23</v>
      </c>
      <c r="D64" s="113">
        <v>8726.89</v>
      </c>
      <c r="E64" s="113">
        <v>0</v>
      </c>
      <c r="F64" s="113">
        <v>2685.04</v>
      </c>
      <c r="G64" s="113">
        <v>707.41</v>
      </c>
    </row>
    <row r="65" spans="1:7" x14ac:dyDescent="0.2">
      <c r="A65" s="112">
        <v>204</v>
      </c>
      <c r="B65" s="113">
        <v>14520.83</v>
      </c>
      <c r="C65" s="113">
        <v>18593.29</v>
      </c>
      <c r="D65" s="113">
        <v>17360.080000000002</v>
      </c>
      <c r="E65" s="113">
        <v>83992.67</v>
      </c>
      <c r="F65" s="113">
        <v>26995.24</v>
      </c>
      <c r="G65" s="113">
        <v>2905.32</v>
      </c>
    </row>
    <row r="66" spans="1:7" x14ac:dyDescent="0.2">
      <c r="A66" s="112">
        <v>206</v>
      </c>
      <c r="B66" s="113">
        <v>46195.93</v>
      </c>
      <c r="C66" s="113">
        <v>47472.56</v>
      </c>
      <c r="D66" s="113">
        <v>46195.93</v>
      </c>
      <c r="E66" s="113">
        <v>92222.05</v>
      </c>
      <c r="F66" s="113">
        <v>48052.52</v>
      </c>
      <c r="G66" s="113">
        <v>0</v>
      </c>
    </row>
    <row r="67" spans="1:7" x14ac:dyDescent="0.2">
      <c r="A67" s="112">
        <v>207</v>
      </c>
      <c r="B67" s="113">
        <v>3624.41</v>
      </c>
      <c r="C67" s="113">
        <v>4289.93</v>
      </c>
      <c r="D67" s="113">
        <v>3624.41</v>
      </c>
      <c r="E67" s="113">
        <v>13832</v>
      </c>
      <c r="F67" s="113">
        <v>-4202.47</v>
      </c>
      <c r="G67" s="113">
        <v>-5862.61</v>
      </c>
    </row>
    <row r="68" spans="1:7" x14ac:dyDescent="0.2">
      <c r="A68" s="112">
        <v>208</v>
      </c>
      <c r="B68" s="113">
        <v>2662.87</v>
      </c>
      <c r="C68" s="113">
        <v>2962.65</v>
      </c>
      <c r="D68" s="113">
        <v>2662.87</v>
      </c>
      <c r="E68" s="113">
        <v>3722.8</v>
      </c>
      <c r="F68" s="113">
        <v>-296.70999999999998</v>
      </c>
      <c r="G68" s="113">
        <v>-2235.29</v>
      </c>
    </row>
    <row r="69" spans="1:7" x14ac:dyDescent="0.2">
      <c r="A69" s="112">
        <v>213</v>
      </c>
      <c r="B69" s="113">
        <v>9023.7900000000009</v>
      </c>
      <c r="C69" s="113">
        <v>11037.44</v>
      </c>
      <c r="D69" s="113">
        <v>9023.7900000000009</v>
      </c>
      <c r="E69" s="113">
        <v>41419.760000000002</v>
      </c>
      <c r="F69" s="113">
        <v>-52774.63</v>
      </c>
      <c r="G69" s="113">
        <v>-73550.02</v>
      </c>
    </row>
    <row r="70" spans="1:7" x14ac:dyDescent="0.2">
      <c r="A70" s="112">
        <v>227</v>
      </c>
      <c r="B70" s="113">
        <v>8154.66</v>
      </c>
      <c r="C70" s="113">
        <v>9809.23</v>
      </c>
      <c r="D70" s="113">
        <v>8154.66</v>
      </c>
      <c r="E70" s="113">
        <v>141270.88</v>
      </c>
      <c r="F70" s="113">
        <v>4439.45</v>
      </c>
      <c r="G70" s="113">
        <v>82.58</v>
      </c>
    </row>
    <row r="71" spans="1:7" x14ac:dyDescent="0.2">
      <c r="A71" s="112">
        <v>229</v>
      </c>
      <c r="B71" s="113">
        <v>3952.04</v>
      </c>
      <c r="C71" s="113">
        <v>4224.97</v>
      </c>
      <c r="D71" s="113">
        <v>3952.04</v>
      </c>
      <c r="E71" s="113">
        <v>0</v>
      </c>
      <c r="F71" s="113">
        <v>-769.13</v>
      </c>
      <c r="G71" s="113">
        <v>-753.95</v>
      </c>
    </row>
    <row r="72" spans="1:7" x14ac:dyDescent="0.2">
      <c r="A72" s="112">
        <v>238</v>
      </c>
      <c r="B72" s="113">
        <v>4038.27</v>
      </c>
      <c r="C72" s="113">
        <v>4678.8599999999997</v>
      </c>
      <c r="D72" s="113">
        <v>4038.27</v>
      </c>
      <c r="E72" s="113">
        <v>26970</v>
      </c>
      <c r="F72" s="113">
        <v>1455.8</v>
      </c>
      <c r="G72" s="113">
        <v>5780.86</v>
      </c>
    </row>
    <row r="73" spans="1:7" x14ac:dyDescent="0.2">
      <c r="A73" s="112">
        <v>239</v>
      </c>
      <c r="B73" s="113">
        <v>9831.86</v>
      </c>
      <c r="C73" s="113">
        <v>8219.7199999999993</v>
      </c>
      <c r="D73" s="113">
        <v>9831.86</v>
      </c>
      <c r="E73" s="113">
        <v>49532.37</v>
      </c>
      <c r="F73" s="113">
        <v>-5644.12</v>
      </c>
      <c r="G73" s="113">
        <v>-12550.01</v>
      </c>
    </row>
    <row r="74" spans="1:7" x14ac:dyDescent="0.2">
      <c r="A74" s="112">
        <v>241</v>
      </c>
      <c r="B74" s="113">
        <v>48004.42</v>
      </c>
      <c r="C74" s="113">
        <v>44853.54</v>
      </c>
      <c r="D74" s="113">
        <v>48766.8</v>
      </c>
      <c r="E74" s="113">
        <v>36060.74</v>
      </c>
      <c r="F74" s="113">
        <v>23189.11</v>
      </c>
      <c r="G74" s="113">
        <v>26078.7</v>
      </c>
    </row>
    <row r="75" spans="1:7" x14ac:dyDescent="0.2">
      <c r="A75" s="112">
        <v>242</v>
      </c>
      <c r="B75" s="113">
        <v>5128.9399999999996</v>
      </c>
      <c r="C75" s="113">
        <v>4444.16</v>
      </c>
      <c r="D75" s="113">
        <v>5128.9399999999996</v>
      </c>
      <c r="E75" s="113">
        <v>0</v>
      </c>
      <c r="F75" s="113">
        <v>703.69</v>
      </c>
      <c r="G75" s="113">
        <v>-617.79</v>
      </c>
    </row>
    <row r="76" spans="1:7" x14ac:dyDescent="0.2">
      <c r="A76" s="112">
        <v>252</v>
      </c>
      <c r="B76" s="113">
        <v>11091.37</v>
      </c>
      <c r="C76" s="113">
        <v>10806.27</v>
      </c>
      <c r="D76" s="113">
        <v>11091.37</v>
      </c>
      <c r="E76" s="113">
        <v>0</v>
      </c>
      <c r="F76" s="113">
        <v>1718.95</v>
      </c>
      <c r="G76" s="113">
        <v>-24292.43</v>
      </c>
    </row>
    <row r="77" spans="1:7" x14ac:dyDescent="0.2">
      <c r="A77" s="112">
        <v>253</v>
      </c>
      <c r="B77" s="113">
        <v>6119.31</v>
      </c>
      <c r="C77" s="113">
        <v>5067.49</v>
      </c>
      <c r="D77" s="113">
        <v>6119.31</v>
      </c>
      <c r="E77" s="113">
        <v>18205</v>
      </c>
      <c r="F77" s="113">
        <v>-5936.26</v>
      </c>
      <c r="G77" s="113">
        <v>-12041.26</v>
      </c>
    </row>
    <row r="78" spans="1:7" x14ac:dyDescent="0.2">
      <c r="A78" s="112">
        <v>255</v>
      </c>
      <c r="B78" s="113">
        <v>15340.74</v>
      </c>
      <c r="C78" s="113">
        <v>9103.5499999999993</v>
      </c>
      <c r="D78" s="113">
        <v>15340.74</v>
      </c>
      <c r="E78" s="113">
        <v>81955.5</v>
      </c>
      <c r="F78" s="113">
        <v>12098</v>
      </c>
      <c r="G78" s="113">
        <v>7576.91</v>
      </c>
    </row>
    <row r="79" spans="1:7" x14ac:dyDescent="0.2">
      <c r="A79" s="112">
        <v>256</v>
      </c>
      <c r="B79" s="113">
        <v>32218.22</v>
      </c>
      <c r="C79" s="113">
        <v>31224.22</v>
      </c>
      <c r="D79" s="113">
        <v>32218.22</v>
      </c>
      <c r="E79" s="113">
        <v>19684</v>
      </c>
      <c r="F79" s="113">
        <v>-16923.43</v>
      </c>
      <c r="G79" s="113">
        <v>13039.49</v>
      </c>
    </row>
    <row r="80" spans="1:7" x14ac:dyDescent="0.2">
      <c r="A80" s="112">
        <v>261</v>
      </c>
      <c r="B80" s="113">
        <v>2873.11</v>
      </c>
      <c r="C80" s="113">
        <v>2868.34</v>
      </c>
      <c r="D80" s="113">
        <v>2873.11</v>
      </c>
      <c r="E80" s="113">
        <v>2158.39</v>
      </c>
      <c r="F80" s="113">
        <v>-13837.74</v>
      </c>
      <c r="G80" s="113">
        <v>-16059.1</v>
      </c>
    </row>
    <row r="81" spans="1:7" x14ac:dyDescent="0.2">
      <c r="A81" s="112">
        <v>264</v>
      </c>
      <c r="B81" s="113">
        <v>1595.46</v>
      </c>
      <c r="C81" s="113">
        <v>1331.17</v>
      </c>
      <c r="D81" s="113">
        <v>1595.46</v>
      </c>
      <c r="E81" s="113">
        <v>5881</v>
      </c>
      <c r="F81" s="113">
        <v>-18520.509999999998</v>
      </c>
      <c r="G81" s="113">
        <v>-31822.48</v>
      </c>
    </row>
    <row r="82" spans="1:7" x14ac:dyDescent="0.2">
      <c r="A82" s="112">
        <v>270</v>
      </c>
      <c r="B82" s="113">
        <v>86711.81</v>
      </c>
      <c r="C82" s="113">
        <v>87069.2</v>
      </c>
      <c r="D82" s="113">
        <v>86711.81</v>
      </c>
      <c r="E82" s="113">
        <v>0</v>
      </c>
      <c r="F82" s="113">
        <v>6924.56</v>
      </c>
      <c r="G82" s="113">
        <v>15666.98</v>
      </c>
    </row>
    <row r="83" spans="1:7" x14ac:dyDescent="0.2">
      <c r="A83" s="112">
        <v>271</v>
      </c>
      <c r="B83" s="113">
        <v>136249.14000000001</v>
      </c>
      <c r="C83" s="113">
        <v>135703.57</v>
      </c>
      <c r="D83" s="113">
        <v>136249.14000000001</v>
      </c>
      <c r="E83" s="113">
        <v>508527.64</v>
      </c>
      <c r="F83" s="113">
        <v>0</v>
      </c>
      <c r="G83" s="113">
        <v>116837.19</v>
      </c>
    </row>
    <row r="84" spans="1:7" x14ac:dyDescent="0.2">
      <c r="A84" s="112">
        <v>272</v>
      </c>
      <c r="B84" s="113">
        <v>86386.55</v>
      </c>
      <c r="C84" s="113">
        <v>91153.75</v>
      </c>
      <c r="D84" s="113">
        <v>86386.55</v>
      </c>
      <c r="E84" s="113">
        <v>234101.44</v>
      </c>
      <c r="F84" s="113">
        <v>67531.95</v>
      </c>
      <c r="G84" s="113">
        <v>92042.65</v>
      </c>
    </row>
    <row r="85" spans="1:7" x14ac:dyDescent="0.2">
      <c r="A85" s="112">
        <v>273</v>
      </c>
      <c r="B85" s="113">
        <v>51842.05</v>
      </c>
      <c r="C85" s="113">
        <v>52883.53</v>
      </c>
      <c r="D85" s="113">
        <v>51842.05</v>
      </c>
      <c r="E85" s="113">
        <v>18703</v>
      </c>
      <c r="F85" s="113">
        <v>795.51</v>
      </c>
      <c r="G85" s="113">
        <v>3386.35</v>
      </c>
    </row>
    <row r="86" spans="1:7" x14ac:dyDescent="0.2">
      <c r="A86" s="112">
        <v>276</v>
      </c>
      <c r="B86" s="113">
        <v>46226.43</v>
      </c>
      <c r="C86" s="113">
        <v>44967.81</v>
      </c>
      <c r="D86" s="113">
        <v>46805.96</v>
      </c>
      <c r="E86" s="113">
        <v>0</v>
      </c>
      <c r="F86" s="113">
        <v>12047.67</v>
      </c>
      <c r="G86" s="113">
        <v>2434.42</v>
      </c>
    </row>
    <row r="87" spans="1:7" x14ac:dyDescent="0.2">
      <c r="A87" s="112">
        <v>277</v>
      </c>
      <c r="B87" s="113">
        <v>27373.37</v>
      </c>
      <c r="C87" s="113">
        <v>24634.75</v>
      </c>
      <c r="D87" s="113">
        <v>27373.37</v>
      </c>
      <c r="E87" s="113">
        <v>328960.83</v>
      </c>
      <c r="F87" s="113">
        <v>45103.26</v>
      </c>
      <c r="G87" s="113">
        <v>53871.56</v>
      </c>
    </row>
    <row r="88" spans="1:7" x14ac:dyDescent="0.2">
      <c r="A88" s="112">
        <v>278</v>
      </c>
      <c r="B88" s="113">
        <v>14638.31</v>
      </c>
      <c r="C88" s="113">
        <v>13764.09</v>
      </c>
      <c r="D88" s="113">
        <v>14638.31</v>
      </c>
      <c r="E88" s="113">
        <v>121615.56</v>
      </c>
      <c r="F88" s="113">
        <v>32334.51</v>
      </c>
      <c r="G88" s="113">
        <v>25321.77</v>
      </c>
    </row>
    <row r="89" spans="1:7" x14ac:dyDescent="0.2">
      <c r="A89" s="112">
        <v>279</v>
      </c>
      <c r="B89" s="113">
        <v>270313.71999999997</v>
      </c>
      <c r="C89" s="113">
        <v>277337.34000000003</v>
      </c>
      <c r="D89" s="113">
        <v>270313.71999999997</v>
      </c>
      <c r="E89" s="113">
        <v>23805.279999999999</v>
      </c>
      <c r="F89" s="113">
        <v>-64331.96</v>
      </c>
      <c r="G89" s="113">
        <v>-70745.240000000005</v>
      </c>
    </row>
    <row r="90" spans="1:7" x14ac:dyDescent="0.2">
      <c r="A90" s="112">
        <v>280</v>
      </c>
      <c r="B90" s="113">
        <v>81172.2</v>
      </c>
      <c r="C90" s="113">
        <v>81205.41</v>
      </c>
      <c r="D90" s="113">
        <v>81172.2</v>
      </c>
      <c r="E90" s="113">
        <v>0</v>
      </c>
      <c r="F90" s="113">
        <v>8580.82</v>
      </c>
      <c r="G90" s="113">
        <v>8590.94</v>
      </c>
    </row>
    <row r="91" spans="1:7" x14ac:dyDescent="0.2">
      <c r="A91" s="112">
        <v>281</v>
      </c>
      <c r="B91" s="113">
        <v>190514.56</v>
      </c>
      <c r="C91" s="113">
        <v>198548.92</v>
      </c>
      <c r="D91" s="113">
        <v>190514.56</v>
      </c>
      <c r="E91" s="113">
        <v>0</v>
      </c>
      <c r="F91" s="113">
        <v>26167.06</v>
      </c>
      <c r="G91" s="113">
        <v>24300.03</v>
      </c>
    </row>
    <row r="92" spans="1:7" x14ac:dyDescent="0.2">
      <c r="A92" s="112">
        <v>282</v>
      </c>
      <c r="B92" s="113">
        <v>11051.02</v>
      </c>
      <c r="C92" s="113">
        <v>11386.56</v>
      </c>
      <c r="D92" s="113">
        <v>11051.02</v>
      </c>
      <c r="E92" s="113">
        <v>180</v>
      </c>
      <c r="F92" s="113">
        <v>1902.9</v>
      </c>
      <c r="G92" s="113">
        <v>1902.9</v>
      </c>
    </row>
    <row r="93" spans="1:7" x14ac:dyDescent="0.2">
      <c r="A93" s="112">
        <v>283</v>
      </c>
      <c r="B93" s="113">
        <v>69493.259999999995</v>
      </c>
      <c r="C93" s="113">
        <v>70917.67</v>
      </c>
      <c r="D93" s="113">
        <v>69493.259999999995</v>
      </c>
      <c r="E93" s="113">
        <v>40</v>
      </c>
      <c r="F93" s="113">
        <v>-10598.66</v>
      </c>
      <c r="G93" s="113">
        <v>0</v>
      </c>
    </row>
    <row r="94" spans="1:7" x14ac:dyDescent="0.2">
      <c r="A94" s="112">
        <v>284</v>
      </c>
      <c r="B94" s="113">
        <v>68779.509999999995</v>
      </c>
      <c r="C94" s="113">
        <v>73624.37</v>
      </c>
      <c r="D94" s="113">
        <v>68779.509999999995</v>
      </c>
      <c r="E94" s="113">
        <v>0</v>
      </c>
      <c r="F94" s="113">
        <v>10287.950000000001</v>
      </c>
      <c r="G94" s="113">
        <v>7201.07</v>
      </c>
    </row>
    <row r="95" spans="1:7" x14ac:dyDescent="0.2">
      <c r="A95" s="112">
        <v>286</v>
      </c>
      <c r="B95" s="113">
        <v>39723.800000000003</v>
      </c>
      <c r="C95" s="113">
        <v>37018.239999999998</v>
      </c>
      <c r="D95" s="113">
        <v>39723.800000000003</v>
      </c>
      <c r="E95" s="113">
        <v>35833</v>
      </c>
      <c r="F95" s="113">
        <v>23865.18</v>
      </c>
      <c r="G95" s="113">
        <v>11068.41</v>
      </c>
    </row>
    <row r="96" spans="1:7" x14ac:dyDescent="0.2">
      <c r="A96" s="112">
        <v>294</v>
      </c>
      <c r="B96" s="113">
        <v>9285.0300000000007</v>
      </c>
      <c r="C96" s="113">
        <v>12551.9</v>
      </c>
      <c r="D96" s="113">
        <v>9285.0300000000007</v>
      </c>
      <c r="E96" s="113">
        <v>829</v>
      </c>
      <c r="F96" s="113">
        <v>0</v>
      </c>
      <c r="G96" s="113">
        <v>0</v>
      </c>
    </row>
    <row r="97" spans="1:7" x14ac:dyDescent="0.2">
      <c r="A97" s="112">
        <v>297</v>
      </c>
      <c r="B97" s="113">
        <v>3112.86</v>
      </c>
      <c r="C97" s="113">
        <v>3073.79</v>
      </c>
      <c r="D97" s="113">
        <v>3523.45</v>
      </c>
      <c r="E97" s="113">
        <v>2168.36</v>
      </c>
      <c r="F97" s="113">
        <v>2483.8200000000002</v>
      </c>
      <c r="G97" s="113">
        <v>3020.04</v>
      </c>
    </row>
    <row r="98" spans="1:7" x14ac:dyDescent="0.2">
      <c r="A98" s="112">
        <v>299</v>
      </c>
      <c r="B98" s="113">
        <v>9950.5400000000009</v>
      </c>
      <c r="C98" s="113">
        <v>9021.5</v>
      </c>
      <c r="D98" s="113">
        <v>9950.5400000000009</v>
      </c>
      <c r="E98" s="113">
        <v>50477</v>
      </c>
      <c r="F98" s="113">
        <v>9837.77</v>
      </c>
      <c r="G98" s="113">
        <v>17832.650000000001</v>
      </c>
    </row>
    <row r="99" spans="1:7" x14ac:dyDescent="0.2">
      <c r="A99" s="112">
        <v>300</v>
      </c>
      <c r="B99" s="113">
        <v>11475.78</v>
      </c>
      <c r="C99" s="113">
        <v>11505.39</v>
      </c>
      <c r="D99" s="113">
        <v>11475.78</v>
      </c>
      <c r="E99" s="113">
        <v>36076.870000000003</v>
      </c>
      <c r="F99" s="113">
        <v>7712.16</v>
      </c>
      <c r="G99" s="113">
        <v>15122.05</v>
      </c>
    </row>
    <row r="100" spans="1:7" x14ac:dyDescent="0.2">
      <c r="A100" s="112">
        <v>306</v>
      </c>
      <c r="B100" s="113">
        <v>3965.27</v>
      </c>
      <c r="C100" s="113">
        <v>4701.6499999999996</v>
      </c>
      <c r="D100" s="113">
        <v>3965.27</v>
      </c>
      <c r="E100" s="113">
        <v>4550.0200000000004</v>
      </c>
      <c r="F100" s="113">
        <v>-1839.31</v>
      </c>
      <c r="G100" s="113">
        <v>-2008.87</v>
      </c>
    </row>
    <row r="101" spans="1:7" x14ac:dyDescent="0.2">
      <c r="A101" s="112">
        <v>308</v>
      </c>
      <c r="B101" s="113">
        <v>7933.53</v>
      </c>
      <c r="C101" s="113">
        <v>7432.56</v>
      </c>
      <c r="D101" s="113">
        <v>7933.53</v>
      </c>
      <c r="E101" s="113">
        <v>3350</v>
      </c>
      <c r="F101" s="113">
        <v>-40319.01</v>
      </c>
      <c r="G101" s="113">
        <v>-82537.05</v>
      </c>
    </row>
    <row r="102" spans="1:7" x14ac:dyDescent="0.2">
      <c r="A102" s="112">
        <v>309</v>
      </c>
      <c r="B102" s="113">
        <v>25830.41</v>
      </c>
      <c r="C102" s="113">
        <v>26239.06</v>
      </c>
      <c r="D102" s="113">
        <v>25830.41</v>
      </c>
      <c r="E102" s="113">
        <v>34676</v>
      </c>
      <c r="F102" s="113">
        <v>11074.53</v>
      </c>
      <c r="G102" s="113">
        <v>11356.33</v>
      </c>
    </row>
    <row r="103" spans="1:7" x14ac:dyDescent="0.2">
      <c r="A103" s="112">
        <v>314</v>
      </c>
      <c r="B103" s="113">
        <v>8483.64</v>
      </c>
      <c r="C103" s="113">
        <v>12823.44</v>
      </c>
      <c r="D103" s="113">
        <v>12891.09</v>
      </c>
      <c r="E103" s="113">
        <v>16512</v>
      </c>
      <c r="F103" s="113">
        <v>16351.33</v>
      </c>
      <c r="G103" s="113">
        <v>-911.91</v>
      </c>
    </row>
    <row r="104" spans="1:7" x14ac:dyDescent="0.2">
      <c r="A104" s="112">
        <v>316</v>
      </c>
      <c r="B104" s="113">
        <v>16316.58</v>
      </c>
      <c r="C104" s="113">
        <v>16708.87</v>
      </c>
      <c r="D104" s="113">
        <v>16316.58</v>
      </c>
      <c r="E104" s="113">
        <v>0</v>
      </c>
      <c r="F104" s="113">
        <v>0.3</v>
      </c>
      <c r="G104" s="113">
        <v>0</v>
      </c>
    </row>
    <row r="105" spans="1:7" x14ac:dyDescent="0.2">
      <c r="A105" s="112">
        <v>317</v>
      </c>
      <c r="B105" s="113">
        <v>15092.93</v>
      </c>
      <c r="C105" s="113">
        <v>15773.84</v>
      </c>
      <c r="D105" s="113">
        <v>15092.93</v>
      </c>
      <c r="E105" s="113">
        <v>32500</v>
      </c>
      <c r="F105" s="113">
        <v>1.7</v>
      </c>
      <c r="G105" s="113">
        <v>5622.98</v>
      </c>
    </row>
    <row r="106" spans="1:7" x14ac:dyDescent="0.2">
      <c r="A106" s="112">
        <v>318</v>
      </c>
      <c r="B106" s="113">
        <v>49461.120000000003</v>
      </c>
      <c r="C106" s="113">
        <v>50216.75</v>
      </c>
      <c r="D106" s="113">
        <v>49461.120000000003</v>
      </c>
      <c r="E106" s="113">
        <v>0</v>
      </c>
      <c r="F106" s="113">
        <v>0</v>
      </c>
      <c r="G106" s="113">
        <v>0</v>
      </c>
    </row>
    <row r="107" spans="1:7" x14ac:dyDescent="0.2">
      <c r="A107" s="112">
        <v>319</v>
      </c>
      <c r="B107" s="113">
        <v>8710.8799999999992</v>
      </c>
      <c r="C107" s="113">
        <v>8080.48</v>
      </c>
      <c r="D107" s="113">
        <v>8710.8799999999992</v>
      </c>
      <c r="E107" s="113">
        <v>0</v>
      </c>
      <c r="F107" s="113">
        <v>-832.81</v>
      </c>
      <c r="G107" s="113">
        <v>381.48</v>
      </c>
    </row>
    <row r="108" spans="1:7" x14ac:dyDescent="0.2">
      <c r="A108" s="112">
        <v>330</v>
      </c>
      <c r="B108" s="113">
        <v>4062.82</v>
      </c>
      <c r="C108" s="113">
        <v>3783.05</v>
      </c>
      <c r="D108" s="113">
        <v>4062.82</v>
      </c>
      <c r="E108" s="113">
        <v>14243</v>
      </c>
      <c r="F108" s="113">
        <v>-10715.69</v>
      </c>
      <c r="G108" s="113">
        <v>6878.56</v>
      </c>
    </row>
    <row r="109" spans="1:7" x14ac:dyDescent="0.2">
      <c r="A109" s="112">
        <v>332</v>
      </c>
      <c r="B109" s="113">
        <v>24378.81</v>
      </c>
      <c r="C109" s="113">
        <v>22254.78</v>
      </c>
      <c r="D109" s="113">
        <v>24378.81</v>
      </c>
      <c r="E109" s="113">
        <v>730</v>
      </c>
      <c r="F109" s="113">
        <v>8639.42</v>
      </c>
      <c r="G109" s="113">
        <v>5195.72</v>
      </c>
    </row>
    <row r="110" spans="1:7" x14ac:dyDescent="0.2">
      <c r="A110" s="112">
        <v>333</v>
      </c>
      <c r="B110" s="113">
        <v>8976.61</v>
      </c>
      <c r="C110" s="113">
        <v>9988.91</v>
      </c>
      <c r="D110" s="113">
        <v>8976.61</v>
      </c>
      <c r="E110" s="113">
        <v>24627.21</v>
      </c>
      <c r="F110" s="113">
        <v>-7901.8</v>
      </c>
      <c r="G110" s="113">
        <v>-18177.88</v>
      </c>
    </row>
    <row r="111" spans="1:7" x14ac:dyDescent="0.2">
      <c r="A111" s="112">
        <v>345</v>
      </c>
      <c r="B111" s="113">
        <v>14795.81</v>
      </c>
      <c r="C111" s="113">
        <v>11119.27</v>
      </c>
      <c r="D111" s="113">
        <v>14795.81</v>
      </c>
      <c r="E111" s="113">
        <v>21678.37</v>
      </c>
      <c r="F111" s="113">
        <v>27135.43</v>
      </c>
      <c r="G111" s="113">
        <v>10785.62</v>
      </c>
    </row>
    <row r="112" spans="1:7" x14ac:dyDescent="0.2">
      <c r="A112" s="112">
        <v>347</v>
      </c>
      <c r="B112" s="113">
        <v>64537.82</v>
      </c>
      <c r="C112" s="113">
        <v>65743.56</v>
      </c>
      <c r="D112" s="113">
        <v>64537.82</v>
      </c>
      <c r="E112" s="113">
        <v>74674.22</v>
      </c>
      <c r="F112" s="113">
        <v>45699.35</v>
      </c>
      <c r="G112" s="113">
        <v>7139.21</v>
      </c>
    </row>
    <row r="113" spans="1:7" x14ac:dyDescent="0.2">
      <c r="A113" s="112">
        <v>356</v>
      </c>
      <c r="B113" s="113">
        <v>2361.4899999999998</v>
      </c>
      <c r="C113" s="113">
        <v>1988.68</v>
      </c>
      <c r="D113" s="113">
        <v>2361.4899999999998</v>
      </c>
      <c r="E113" s="113">
        <v>4066.46</v>
      </c>
      <c r="F113" s="113">
        <v>-0.6</v>
      </c>
      <c r="G113" s="113">
        <v>0</v>
      </c>
    </row>
    <row r="114" spans="1:7" x14ac:dyDescent="0.2">
      <c r="A114" s="112">
        <v>361</v>
      </c>
      <c r="B114" s="113">
        <v>14453.68</v>
      </c>
      <c r="C114" s="113">
        <v>13558.17</v>
      </c>
      <c r="D114" s="113">
        <v>14453.68</v>
      </c>
      <c r="E114" s="113">
        <v>63244.91</v>
      </c>
      <c r="F114" s="113">
        <v>7065.57</v>
      </c>
      <c r="G114" s="113">
        <v>33.72</v>
      </c>
    </row>
    <row r="115" spans="1:7" x14ac:dyDescent="0.2">
      <c r="A115" s="112">
        <v>362</v>
      </c>
      <c r="B115" s="113">
        <v>3513.85</v>
      </c>
      <c r="C115" s="113">
        <v>3504.3</v>
      </c>
      <c r="D115" s="113">
        <v>3513.85</v>
      </c>
      <c r="E115" s="113">
        <v>63587.5</v>
      </c>
      <c r="F115" s="113">
        <v>0</v>
      </c>
      <c r="G115" s="113">
        <v>0</v>
      </c>
    </row>
    <row r="116" spans="1:7" x14ac:dyDescent="0.2">
      <c r="A116" s="112">
        <v>363</v>
      </c>
      <c r="B116" s="113">
        <v>4574.8500000000004</v>
      </c>
      <c r="C116" s="113">
        <v>4485.4799999999996</v>
      </c>
      <c r="D116" s="113">
        <v>4574.8500000000004</v>
      </c>
      <c r="E116" s="113">
        <v>22093.05</v>
      </c>
      <c r="F116" s="113">
        <v>0</v>
      </c>
      <c r="G116" s="113">
        <v>0</v>
      </c>
    </row>
    <row r="117" spans="1:7" x14ac:dyDescent="0.2">
      <c r="A117" s="112">
        <v>378</v>
      </c>
      <c r="B117" s="113">
        <v>0</v>
      </c>
      <c r="C117" s="113">
        <v>0</v>
      </c>
      <c r="D117" s="113">
        <v>5805.12</v>
      </c>
      <c r="E117" s="113">
        <v>34261.440000000002</v>
      </c>
      <c r="F117" s="113">
        <v>29092.400000000001</v>
      </c>
      <c r="G117" s="113">
        <v>20891.650000000001</v>
      </c>
    </row>
    <row r="118" spans="1:7" x14ac:dyDescent="0.2">
      <c r="A118" s="112">
        <v>381</v>
      </c>
      <c r="B118" s="113">
        <v>16593.189999999999</v>
      </c>
      <c r="C118" s="113">
        <v>17443.89</v>
      </c>
      <c r="D118" s="113">
        <v>16593.189999999999</v>
      </c>
      <c r="E118" s="113">
        <v>18979</v>
      </c>
      <c r="F118" s="113">
        <v>-480.21</v>
      </c>
      <c r="G118" s="113">
        <v>3184.89</v>
      </c>
    </row>
    <row r="119" spans="1:7" x14ac:dyDescent="0.2">
      <c r="A119" s="112">
        <v>390</v>
      </c>
      <c r="B119" s="113">
        <v>7596.08</v>
      </c>
      <c r="C119" s="113">
        <v>7411</v>
      </c>
      <c r="D119" s="113">
        <v>7596.08</v>
      </c>
      <c r="E119" s="113">
        <v>17817</v>
      </c>
      <c r="F119" s="113">
        <v>0</v>
      </c>
      <c r="G119" s="113">
        <v>352.59</v>
      </c>
    </row>
    <row r="120" spans="1:7" x14ac:dyDescent="0.2">
      <c r="A120" s="112">
        <v>391</v>
      </c>
      <c r="B120" s="113">
        <v>3117.71</v>
      </c>
      <c r="C120" s="113">
        <v>2860.27</v>
      </c>
      <c r="D120" s="113">
        <v>3117.71</v>
      </c>
      <c r="E120" s="113">
        <v>39595</v>
      </c>
      <c r="F120" s="113">
        <v>4083.92</v>
      </c>
      <c r="G120" s="113">
        <v>-18942.830000000002</v>
      </c>
    </row>
    <row r="121" spans="1:7" x14ac:dyDescent="0.2">
      <c r="A121" s="112">
        <v>392</v>
      </c>
      <c r="B121" s="113">
        <v>8298.2999999999993</v>
      </c>
      <c r="C121" s="113">
        <v>0</v>
      </c>
      <c r="D121" s="113">
        <v>0</v>
      </c>
      <c r="E121" s="113">
        <v>0</v>
      </c>
      <c r="F121" s="113">
        <v>-4835.18</v>
      </c>
      <c r="G121" s="113">
        <v>327.07</v>
      </c>
    </row>
    <row r="122" spans="1:7" x14ac:dyDescent="0.2">
      <c r="A122" s="112">
        <v>394</v>
      </c>
      <c r="B122" s="113">
        <v>15463.46</v>
      </c>
      <c r="C122" s="113">
        <v>0</v>
      </c>
      <c r="D122" s="113">
        <v>0</v>
      </c>
      <c r="E122" s="113">
        <v>0</v>
      </c>
      <c r="F122" s="113">
        <v>10154.65</v>
      </c>
      <c r="G122" s="113">
        <v>15995.05</v>
      </c>
    </row>
    <row r="123" spans="1:7" x14ac:dyDescent="0.2">
      <c r="A123" s="112">
        <v>402</v>
      </c>
      <c r="B123" s="113">
        <v>2092.56</v>
      </c>
      <c r="C123" s="113">
        <v>2187.19</v>
      </c>
      <c r="D123" s="113">
        <v>2092.56</v>
      </c>
      <c r="E123" s="113">
        <v>6388.71</v>
      </c>
      <c r="F123" s="113">
        <v>-18464.07</v>
      </c>
      <c r="G123" s="113">
        <v>-14257.58</v>
      </c>
    </row>
    <row r="124" spans="1:7" x14ac:dyDescent="0.2">
      <c r="A124" s="112">
        <v>403</v>
      </c>
      <c r="B124" s="113">
        <v>1536.76</v>
      </c>
      <c r="C124" s="113">
        <v>2660.25</v>
      </c>
      <c r="D124" s="113">
        <v>1536.76</v>
      </c>
      <c r="E124" s="113">
        <v>8738</v>
      </c>
      <c r="F124" s="113">
        <v>-11035.72</v>
      </c>
      <c r="G124" s="113">
        <v>-46500.98</v>
      </c>
    </row>
    <row r="125" spans="1:7" x14ac:dyDescent="0.2">
      <c r="A125" s="112">
        <v>404</v>
      </c>
      <c r="B125" s="113">
        <v>2050.08</v>
      </c>
      <c r="C125" s="113">
        <v>2045.86</v>
      </c>
      <c r="D125" s="113">
        <v>2050.08</v>
      </c>
      <c r="E125" s="113">
        <v>17367</v>
      </c>
      <c r="F125" s="113">
        <v>-14301.32</v>
      </c>
      <c r="G125" s="113">
        <v>-34230.47</v>
      </c>
    </row>
    <row r="126" spans="1:7" x14ac:dyDescent="0.2">
      <c r="A126" s="112">
        <v>413</v>
      </c>
      <c r="B126" s="113">
        <v>28096.92</v>
      </c>
      <c r="C126" s="113">
        <v>28663.97</v>
      </c>
      <c r="D126" s="113">
        <v>28096.92</v>
      </c>
      <c r="E126" s="113">
        <v>39231.629999999997</v>
      </c>
      <c r="F126" s="113">
        <v>-4438.1099999999997</v>
      </c>
      <c r="G126" s="113">
        <v>57.67</v>
      </c>
    </row>
    <row r="127" spans="1:7" x14ac:dyDescent="0.2">
      <c r="A127" s="112">
        <v>414</v>
      </c>
      <c r="B127" s="113">
        <v>5593.18</v>
      </c>
      <c r="C127" s="113">
        <v>5554.05</v>
      </c>
      <c r="D127" s="113">
        <v>5593.18</v>
      </c>
      <c r="E127" s="113">
        <v>19195</v>
      </c>
      <c r="F127" s="113">
        <v>-0.44</v>
      </c>
      <c r="G127" s="113">
        <v>2.34</v>
      </c>
    </row>
    <row r="128" spans="1:7" x14ac:dyDescent="0.2">
      <c r="A128" s="112">
        <v>415</v>
      </c>
      <c r="B128" s="113">
        <v>2400.5500000000002</v>
      </c>
      <c r="C128" s="113">
        <v>2446.1799999999998</v>
      </c>
      <c r="D128" s="113">
        <v>2400.5500000000002</v>
      </c>
      <c r="E128" s="113">
        <v>17469.169999999998</v>
      </c>
      <c r="F128" s="113">
        <v>-0.4</v>
      </c>
      <c r="G128" s="113">
        <v>0.31</v>
      </c>
    </row>
    <row r="129" spans="1:7" x14ac:dyDescent="0.2">
      <c r="A129" s="112">
        <v>423</v>
      </c>
      <c r="B129" s="113">
        <v>35618.959999999999</v>
      </c>
      <c r="C129" s="113">
        <v>33060.46</v>
      </c>
      <c r="D129" s="113">
        <v>35618.959999999999</v>
      </c>
      <c r="E129" s="113">
        <v>9207.25</v>
      </c>
      <c r="F129" s="113">
        <v>11783.59</v>
      </c>
      <c r="G129" s="113">
        <v>7941.5</v>
      </c>
    </row>
    <row r="130" spans="1:7" x14ac:dyDescent="0.2">
      <c r="A130" s="112">
        <v>424</v>
      </c>
      <c r="B130" s="113">
        <v>4929.6000000000004</v>
      </c>
      <c r="C130" s="113">
        <v>4500.1099999999997</v>
      </c>
      <c r="D130" s="113">
        <v>4929.6000000000004</v>
      </c>
      <c r="E130" s="113">
        <v>25818.25</v>
      </c>
      <c r="F130" s="113">
        <v>-72816.67</v>
      </c>
      <c r="G130" s="113">
        <v>-84668.82</v>
      </c>
    </row>
    <row r="131" spans="1:7" x14ac:dyDescent="0.2">
      <c r="A131" s="112">
        <v>432</v>
      </c>
      <c r="B131" s="113">
        <v>12312.66</v>
      </c>
      <c r="C131" s="113">
        <v>10997.64</v>
      </c>
      <c r="D131" s="113">
        <v>12312.66</v>
      </c>
      <c r="E131" s="113">
        <v>0</v>
      </c>
      <c r="F131" s="113">
        <v>2480.41</v>
      </c>
      <c r="G131" s="113">
        <v>1813.96</v>
      </c>
    </row>
    <row r="132" spans="1:7" x14ac:dyDescent="0.2">
      <c r="A132" s="112">
        <v>435</v>
      </c>
      <c r="B132" s="113">
        <v>10212.209999999999</v>
      </c>
      <c r="C132" s="113">
        <v>10742.25</v>
      </c>
      <c r="D132" s="113">
        <v>10212.209999999999</v>
      </c>
      <c r="E132" s="113">
        <v>0</v>
      </c>
      <c r="F132" s="113">
        <v>861.62</v>
      </c>
      <c r="G132" s="113">
        <v>1868.64</v>
      </c>
    </row>
    <row r="133" spans="1:7" x14ac:dyDescent="0.2">
      <c r="A133" s="112">
        <v>441</v>
      </c>
      <c r="B133" s="113">
        <v>5066.84</v>
      </c>
      <c r="C133" s="113">
        <v>4497.45</v>
      </c>
      <c r="D133" s="113">
        <v>5066.84</v>
      </c>
      <c r="E133" s="113">
        <v>16315.73</v>
      </c>
      <c r="F133" s="113">
        <v>0</v>
      </c>
      <c r="G133" s="113">
        <v>0</v>
      </c>
    </row>
    <row r="134" spans="1:7" x14ac:dyDescent="0.2">
      <c r="A134" s="112">
        <v>447</v>
      </c>
      <c r="B134" s="113">
        <v>2495.1</v>
      </c>
      <c r="C134" s="113">
        <v>2332.11</v>
      </c>
      <c r="D134" s="113">
        <v>2495.1</v>
      </c>
      <c r="E134" s="113">
        <v>0</v>
      </c>
      <c r="F134" s="113">
        <v>25.4</v>
      </c>
      <c r="G134" s="113">
        <v>20.3</v>
      </c>
    </row>
    <row r="135" spans="1:7" x14ac:dyDescent="0.2">
      <c r="A135" s="112">
        <v>458</v>
      </c>
      <c r="B135" s="113">
        <v>4634.83</v>
      </c>
      <c r="C135" s="113">
        <v>5458.22</v>
      </c>
      <c r="D135" s="113">
        <v>4634.83</v>
      </c>
      <c r="E135" s="113">
        <v>28426.02</v>
      </c>
      <c r="F135" s="113">
        <v>-5160.43</v>
      </c>
      <c r="G135" s="113">
        <v>-519.92999999999995</v>
      </c>
    </row>
    <row r="136" spans="1:7" x14ac:dyDescent="0.2">
      <c r="A136" s="112">
        <v>463</v>
      </c>
      <c r="B136" s="113">
        <v>12152.59</v>
      </c>
      <c r="C136" s="113">
        <v>11209.91</v>
      </c>
      <c r="D136" s="113">
        <v>12152.59</v>
      </c>
      <c r="E136" s="113">
        <v>78080</v>
      </c>
      <c r="F136" s="113">
        <v>-34362.160000000003</v>
      </c>
      <c r="G136" s="113">
        <v>8366.9500000000007</v>
      </c>
    </row>
    <row r="137" spans="1:7" x14ac:dyDescent="0.2">
      <c r="A137" s="112">
        <v>465</v>
      </c>
      <c r="B137" s="113">
        <v>22253.17</v>
      </c>
      <c r="C137" s="113">
        <v>22465.599999999999</v>
      </c>
      <c r="D137" s="113">
        <v>22253.17</v>
      </c>
      <c r="E137" s="113">
        <v>4666.75</v>
      </c>
      <c r="F137" s="113">
        <v>-4618.5600000000004</v>
      </c>
      <c r="G137" s="113">
        <v>-4014.85</v>
      </c>
    </row>
    <row r="138" spans="1:7" x14ac:dyDescent="0.2">
      <c r="A138" s="112">
        <v>466</v>
      </c>
      <c r="B138" s="113">
        <v>28058.29</v>
      </c>
      <c r="C138" s="113">
        <v>26370.799999999999</v>
      </c>
      <c r="D138" s="113">
        <v>28058.29</v>
      </c>
      <c r="E138" s="113">
        <v>58695</v>
      </c>
      <c r="F138" s="113">
        <v>23656.52</v>
      </c>
      <c r="G138" s="113">
        <v>21988.18</v>
      </c>
    </row>
    <row r="139" spans="1:7" x14ac:dyDescent="0.2">
      <c r="A139" s="112">
        <v>473</v>
      </c>
      <c r="B139" s="113">
        <v>7002.94</v>
      </c>
      <c r="C139" s="113">
        <v>6521.75</v>
      </c>
      <c r="D139" s="113">
        <v>7002.94</v>
      </c>
      <c r="E139" s="113">
        <v>12306.5</v>
      </c>
      <c r="F139" s="113">
        <v>-1464.68</v>
      </c>
      <c r="G139" s="113">
        <v>2166.86</v>
      </c>
    </row>
    <row r="140" spans="1:7" x14ac:dyDescent="0.2">
      <c r="A140" s="112">
        <v>477</v>
      </c>
      <c r="B140" s="113">
        <v>39294.379999999997</v>
      </c>
      <c r="C140" s="113">
        <v>38831.910000000003</v>
      </c>
      <c r="D140" s="113">
        <v>39294.379999999997</v>
      </c>
      <c r="E140" s="113">
        <v>92208.25</v>
      </c>
      <c r="F140" s="113">
        <v>50070.53</v>
      </c>
      <c r="G140" s="113">
        <v>21478.33</v>
      </c>
    </row>
    <row r="141" spans="1:7" x14ac:dyDescent="0.2">
      <c r="A141" s="112">
        <v>480</v>
      </c>
      <c r="B141" s="113">
        <v>13759.78</v>
      </c>
      <c r="C141" s="113">
        <v>12866.84</v>
      </c>
      <c r="D141" s="113">
        <v>13759.78</v>
      </c>
      <c r="E141" s="113">
        <v>1382</v>
      </c>
      <c r="F141" s="113">
        <v>-15665.75</v>
      </c>
      <c r="G141" s="113">
        <v>-20593.099999999999</v>
      </c>
    </row>
    <row r="142" spans="1:7" x14ac:dyDescent="0.2">
      <c r="A142" s="112">
        <v>482</v>
      </c>
      <c r="B142" s="113">
        <v>33595.97</v>
      </c>
      <c r="C142" s="113">
        <v>33598.870000000003</v>
      </c>
      <c r="D142" s="113">
        <v>33595.97</v>
      </c>
      <c r="E142" s="113">
        <v>19735</v>
      </c>
      <c r="F142" s="113">
        <v>-5714.17</v>
      </c>
      <c r="G142" s="113">
        <v>-37582</v>
      </c>
    </row>
    <row r="143" spans="1:7" x14ac:dyDescent="0.2">
      <c r="A143" s="112">
        <v>484</v>
      </c>
      <c r="B143" s="113">
        <v>13362.15</v>
      </c>
      <c r="C143" s="113">
        <v>13300.41</v>
      </c>
      <c r="D143" s="113">
        <v>13362.15</v>
      </c>
      <c r="E143" s="113">
        <v>17070</v>
      </c>
      <c r="F143" s="113">
        <v>0</v>
      </c>
      <c r="G143" s="113">
        <v>0</v>
      </c>
    </row>
    <row r="144" spans="1:7" x14ac:dyDescent="0.2">
      <c r="A144" s="112">
        <v>485</v>
      </c>
      <c r="B144" s="113">
        <v>9201.36</v>
      </c>
      <c r="C144" s="113">
        <v>8930.51</v>
      </c>
      <c r="D144" s="113">
        <v>9201.36</v>
      </c>
      <c r="E144" s="113">
        <v>15958</v>
      </c>
      <c r="F144" s="113">
        <v>-13771.05</v>
      </c>
      <c r="G144" s="113">
        <v>-7843.92</v>
      </c>
    </row>
    <row r="145" spans="1:7" x14ac:dyDescent="0.2">
      <c r="A145" s="112">
        <v>486</v>
      </c>
      <c r="B145" s="113">
        <v>3728.99</v>
      </c>
      <c r="C145" s="113">
        <v>3873.18</v>
      </c>
      <c r="D145" s="113">
        <v>3728.99</v>
      </c>
      <c r="E145" s="113">
        <v>0</v>
      </c>
      <c r="F145" s="113">
        <v>-3803.27</v>
      </c>
      <c r="G145" s="113">
        <v>-5690.74</v>
      </c>
    </row>
    <row r="146" spans="1:7" x14ac:dyDescent="0.2">
      <c r="A146" s="112">
        <v>487</v>
      </c>
      <c r="B146" s="113">
        <v>4372.5200000000004</v>
      </c>
      <c r="C146" s="113">
        <v>4804.03</v>
      </c>
      <c r="D146" s="113">
        <v>4372.5200000000004</v>
      </c>
      <c r="E146" s="113">
        <v>0</v>
      </c>
      <c r="F146" s="113">
        <v>-527.94000000000005</v>
      </c>
      <c r="G146" s="113">
        <v>-946.3</v>
      </c>
    </row>
    <row r="147" spans="1:7" x14ac:dyDescent="0.2">
      <c r="A147" s="112">
        <v>492</v>
      </c>
      <c r="B147" s="113">
        <v>60451.96</v>
      </c>
      <c r="C147" s="113">
        <v>62430.69</v>
      </c>
      <c r="D147" s="113">
        <v>70603.98</v>
      </c>
      <c r="E147" s="113">
        <v>3649.84</v>
      </c>
      <c r="F147" s="113">
        <v>47458.04</v>
      </c>
      <c r="G147" s="113">
        <v>28568.68</v>
      </c>
    </row>
    <row r="148" spans="1:7" x14ac:dyDescent="0.2">
      <c r="A148" s="112">
        <v>495</v>
      </c>
      <c r="B148" s="113">
        <v>4044.89</v>
      </c>
      <c r="C148" s="113">
        <v>4707.92</v>
      </c>
      <c r="D148" s="113">
        <v>4044.89</v>
      </c>
      <c r="E148" s="113">
        <v>25615</v>
      </c>
      <c r="F148" s="113">
        <v>0</v>
      </c>
      <c r="G148" s="113">
        <v>1637.43</v>
      </c>
    </row>
    <row r="149" spans="1:7" x14ac:dyDescent="0.2">
      <c r="A149" s="112">
        <v>497</v>
      </c>
      <c r="B149" s="113">
        <v>2365.11</v>
      </c>
      <c r="C149" s="113">
        <v>1793.48</v>
      </c>
      <c r="D149" s="113">
        <v>2658.18</v>
      </c>
      <c r="E149" s="113">
        <v>3972</v>
      </c>
      <c r="F149" s="113">
        <v>3518.28</v>
      </c>
      <c r="G149" s="113">
        <v>5548.72</v>
      </c>
    </row>
    <row r="150" spans="1:7" x14ac:dyDescent="0.2">
      <c r="A150" s="112">
        <v>499</v>
      </c>
      <c r="B150" s="113">
        <v>4196.43</v>
      </c>
      <c r="C150" s="113">
        <v>4136.6400000000003</v>
      </c>
      <c r="D150" s="113">
        <v>4196.43</v>
      </c>
      <c r="E150" s="113">
        <v>0</v>
      </c>
      <c r="F150" s="113">
        <v>257.32</v>
      </c>
      <c r="G150" s="113">
        <v>374.28</v>
      </c>
    </row>
    <row r="151" spans="1:7" x14ac:dyDescent="0.2">
      <c r="A151" s="112">
        <v>500</v>
      </c>
      <c r="B151" s="113">
        <v>4540.28</v>
      </c>
      <c r="C151" s="113">
        <v>5073.2</v>
      </c>
      <c r="D151" s="113">
        <v>4540.28</v>
      </c>
      <c r="E151" s="113">
        <v>33245</v>
      </c>
      <c r="F151" s="113">
        <v>7306.68</v>
      </c>
      <c r="G151" s="113">
        <v>9780.18</v>
      </c>
    </row>
    <row r="152" spans="1:7" x14ac:dyDescent="0.2">
      <c r="A152" s="112">
        <v>505</v>
      </c>
      <c r="B152" s="113">
        <v>4313.82</v>
      </c>
      <c r="C152" s="113">
        <v>0</v>
      </c>
      <c r="D152" s="113">
        <v>4313.82</v>
      </c>
      <c r="E152" s="113">
        <v>0</v>
      </c>
      <c r="F152" s="113">
        <v>31.06</v>
      </c>
      <c r="G152" s="113">
        <v>4344.6899999999996</v>
      </c>
    </row>
    <row r="153" spans="1:7" x14ac:dyDescent="0.2">
      <c r="A153" s="112">
        <v>507</v>
      </c>
      <c r="B153" s="113">
        <v>3751.41</v>
      </c>
      <c r="C153" s="113">
        <v>3190.5</v>
      </c>
      <c r="D153" s="113">
        <v>3751.41</v>
      </c>
      <c r="E153" s="113">
        <v>0</v>
      </c>
      <c r="F153" s="113">
        <v>0</v>
      </c>
      <c r="G153" s="113">
        <v>0</v>
      </c>
    </row>
    <row r="154" spans="1:7" x14ac:dyDescent="0.2">
      <c r="A154" s="112">
        <v>508</v>
      </c>
      <c r="B154" s="113">
        <v>26050.26</v>
      </c>
      <c r="C154" s="113">
        <v>26680.69</v>
      </c>
      <c r="D154" s="113">
        <v>26050.26</v>
      </c>
      <c r="E154" s="113">
        <v>77531.3</v>
      </c>
      <c r="F154" s="113">
        <v>32514.65</v>
      </c>
      <c r="G154" s="113">
        <v>14664.26</v>
      </c>
    </row>
    <row r="155" spans="1:7" x14ac:dyDescent="0.2">
      <c r="A155" s="112">
        <v>511</v>
      </c>
      <c r="B155" s="113">
        <v>1585.63</v>
      </c>
      <c r="C155" s="113">
        <v>4409.05</v>
      </c>
      <c r="D155" s="113">
        <v>6417.69</v>
      </c>
      <c r="E155" s="113">
        <v>0</v>
      </c>
      <c r="F155" s="113">
        <v>6114.86</v>
      </c>
      <c r="G155" s="113">
        <v>1863.68</v>
      </c>
    </row>
    <row r="156" spans="1:7" x14ac:dyDescent="0.2">
      <c r="A156" s="112">
        <v>513</v>
      </c>
      <c r="B156" s="113">
        <v>2814.62</v>
      </c>
      <c r="C156" s="113">
        <v>2540.21</v>
      </c>
      <c r="D156" s="113">
        <v>2814.62</v>
      </c>
      <c r="E156" s="113">
        <v>7915</v>
      </c>
      <c r="F156" s="113">
        <v>-59222.62</v>
      </c>
      <c r="G156" s="113">
        <v>-48493.58</v>
      </c>
    </row>
    <row r="157" spans="1:7" x14ac:dyDescent="0.2">
      <c r="A157" s="112">
        <v>514</v>
      </c>
      <c r="B157" s="113">
        <v>0</v>
      </c>
      <c r="C157" s="113">
        <v>0</v>
      </c>
      <c r="D157" s="113">
        <v>0</v>
      </c>
      <c r="E157" s="113">
        <v>0</v>
      </c>
      <c r="F157" s="113">
        <v>4845.59</v>
      </c>
      <c r="G157" s="113">
        <v>3901.5</v>
      </c>
    </row>
    <row r="158" spans="1:7" x14ac:dyDescent="0.2">
      <c r="A158" s="112">
        <v>516</v>
      </c>
      <c r="B158" s="113">
        <v>1300.49</v>
      </c>
      <c r="C158" s="113">
        <v>1152.43</v>
      </c>
      <c r="D158" s="113">
        <v>1300.49</v>
      </c>
      <c r="E158" s="113">
        <v>0</v>
      </c>
      <c r="F158" s="113">
        <v>-3805.85</v>
      </c>
      <c r="G158" s="113">
        <v>-2505.58</v>
      </c>
    </row>
    <row r="159" spans="1:7" x14ac:dyDescent="0.2">
      <c r="A159" s="112">
        <v>518</v>
      </c>
      <c r="B159" s="113">
        <v>44783.38</v>
      </c>
      <c r="C159" s="113">
        <v>44999.3</v>
      </c>
      <c r="D159" s="113">
        <v>44783.38</v>
      </c>
      <c r="E159" s="113">
        <v>0</v>
      </c>
      <c r="F159" s="113">
        <v>10897.69</v>
      </c>
      <c r="G159" s="113">
        <v>9866.5300000000007</v>
      </c>
    </row>
    <row r="160" spans="1:7" x14ac:dyDescent="0.2">
      <c r="A160" s="112">
        <v>531</v>
      </c>
      <c r="B160" s="113">
        <v>11371.4</v>
      </c>
      <c r="C160" s="113">
        <v>12057.19</v>
      </c>
      <c r="D160" s="113">
        <v>11371.4</v>
      </c>
      <c r="E160" s="113">
        <v>131759.13</v>
      </c>
      <c r="F160" s="113">
        <v>2658.85</v>
      </c>
      <c r="G160" s="113">
        <v>277.76</v>
      </c>
    </row>
    <row r="161" spans="1:7" x14ac:dyDescent="0.2">
      <c r="A161" s="112">
        <v>533</v>
      </c>
      <c r="B161" s="113">
        <v>7954.24</v>
      </c>
      <c r="C161" s="113">
        <v>7562.77</v>
      </c>
      <c r="D161" s="113">
        <v>7954.24</v>
      </c>
      <c r="E161" s="113">
        <v>45135.19</v>
      </c>
      <c r="F161" s="113">
        <v>4744.97</v>
      </c>
      <c r="G161" s="113">
        <v>10283.92</v>
      </c>
    </row>
    <row r="162" spans="1:7" x14ac:dyDescent="0.2">
      <c r="A162" s="112">
        <v>534</v>
      </c>
      <c r="B162" s="113">
        <v>16286.7</v>
      </c>
      <c r="C162" s="113">
        <v>17229.810000000001</v>
      </c>
      <c r="D162" s="113">
        <v>16286.7</v>
      </c>
      <c r="E162" s="113">
        <v>41371</v>
      </c>
      <c r="F162" s="113">
        <v>-22417.91</v>
      </c>
      <c r="G162" s="113">
        <v>-23022.799999999999</v>
      </c>
    </row>
    <row r="163" spans="1:7" x14ac:dyDescent="0.2">
      <c r="A163" s="112">
        <v>535</v>
      </c>
      <c r="B163" s="113">
        <v>209341.62</v>
      </c>
      <c r="C163" s="113">
        <v>214600.98</v>
      </c>
      <c r="D163" s="113">
        <v>209341.62</v>
      </c>
      <c r="E163" s="113">
        <v>0</v>
      </c>
      <c r="F163" s="113">
        <v>40685.06</v>
      </c>
      <c r="G163" s="113">
        <v>24064.62</v>
      </c>
    </row>
    <row r="164" spans="1:7" x14ac:dyDescent="0.2">
      <c r="A164" s="112">
        <v>542</v>
      </c>
      <c r="B164" s="113">
        <v>5847.38</v>
      </c>
      <c r="C164" s="113">
        <v>5787.59</v>
      </c>
      <c r="D164" s="113">
        <v>5847.38</v>
      </c>
      <c r="E164" s="113">
        <v>22353.39</v>
      </c>
      <c r="F164" s="113">
        <v>-65392.26</v>
      </c>
      <c r="G164" s="113">
        <v>-70210</v>
      </c>
    </row>
    <row r="165" spans="1:7" x14ac:dyDescent="0.2">
      <c r="A165" s="112">
        <v>544</v>
      </c>
      <c r="B165" s="113">
        <v>28460.2</v>
      </c>
      <c r="C165" s="113">
        <v>28955.26</v>
      </c>
      <c r="D165" s="113">
        <v>28460.2</v>
      </c>
      <c r="E165" s="113">
        <v>128074.95</v>
      </c>
      <c r="F165" s="113">
        <v>0</v>
      </c>
      <c r="G165" s="113">
        <v>-25056.14</v>
      </c>
    </row>
    <row r="166" spans="1:7" x14ac:dyDescent="0.2">
      <c r="A166" s="112">
        <v>545</v>
      </c>
      <c r="B166" s="113">
        <v>4045.09</v>
      </c>
      <c r="C166" s="113">
        <v>4338.46</v>
      </c>
      <c r="D166" s="113">
        <v>4045.09</v>
      </c>
      <c r="E166" s="113">
        <v>31664.48</v>
      </c>
      <c r="F166" s="113">
        <v>723.02</v>
      </c>
      <c r="G166" s="113">
        <v>3553.8</v>
      </c>
    </row>
    <row r="167" spans="1:7" x14ac:dyDescent="0.2">
      <c r="A167" s="112">
        <v>547</v>
      </c>
      <c r="B167" s="113">
        <v>7095.79</v>
      </c>
      <c r="C167" s="113">
        <v>0</v>
      </c>
      <c r="D167" s="113">
        <v>7095.79</v>
      </c>
      <c r="E167" s="113">
        <v>0</v>
      </c>
      <c r="F167" s="113">
        <v>14091.49</v>
      </c>
      <c r="G167" s="113">
        <v>3662.89</v>
      </c>
    </row>
    <row r="168" spans="1:7" x14ac:dyDescent="0.2">
      <c r="A168" s="112">
        <v>548</v>
      </c>
      <c r="B168" s="113">
        <v>12398.89</v>
      </c>
      <c r="C168" s="113">
        <v>12430.91</v>
      </c>
      <c r="D168" s="113">
        <v>12398.89</v>
      </c>
      <c r="E168" s="113">
        <v>16865.95</v>
      </c>
      <c r="F168" s="113">
        <v>-10661.97</v>
      </c>
      <c r="G168" s="113">
        <v>17944.439999999999</v>
      </c>
    </row>
    <row r="169" spans="1:7" x14ac:dyDescent="0.2">
      <c r="A169" s="112">
        <v>549</v>
      </c>
      <c r="B169" s="113">
        <v>17950.02</v>
      </c>
      <c r="C169" s="113">
        <v>16037.01</v>
      </c>
      <c r="D169" s="113">
        <v>17950.02</v>
      </c>
      <c r="E169" s="113">
        <v>58873.15</v>
      </c>
      <c r="F169" s="113">
        <v>1898.14</v>
      </c>
      <c r="G169" s="113">
        <v>5713.01</v>
      </c>
    </row>
    <row r="170" spans="1:7" x14ac:dyDescent="0.2">
      <c r="A170" s="112">
        <v>550</v>
      </c>
      <c r="B170" s="113">
        <v>7175.83</v>
      </c>
      <c r="C170" s="113">
        <v>6762.79</v>
      </c>
      <c r="D170" s="113">
        <v>7175.83</v>
      </c>
      <c r="E170" s="113">
        <v>53425.3</v>
      </c>
      <c r="F170" s="113">
        <v>-2299.59</v>
      </c>
      <c r="G170" s="113">
        <v>-5823.73</v>
      </c>
    </row>
    <row r="171" spans="1:7" x14ac:dyDescent="0.2">
      <c r="A171" s="112">
        <v>553</v>
      </c>
      <c r="B171" s="113">
        <v>9442.5499999999993</v>
      </c>
      <c r="C171" s="113">
        <v>10106.870000000001</v>
      </c>
      <c r="D171" s="113">
        <v>9442.5499999999993</v>
      </c>
      <c r="E171" s="113">
        <v>6753.95</v>
      </c>
      <c r="F171" s="113">
        <v>0</v>
      </c>
      <c r="G171" s="113">
        <v>156.47999999999999</v>
      </c>
    </row>
    <row r="172" spans="1:7" x14ac:dyDescent="0.2">
      <c r="A172" s="112">
        <v>561</v>
      </c>
      <c r="B172" s="113">
        <v>2804.8</v>
      </c>
      <c r="C172" s="113">
        <v>2893.8</v>
      </c>
      <c r="D172" s="113">
        <v>2804.8</v>
      </c>
      <c r="E172" s="113">
        <v>11909.54</v>
      </c>
      <c r="F172" s="113">
        <v>0</v>
      </c>
      <c r="G172" s="113">
        <v>0</v>
      </c>
    </row>
    <row r="173" spans="1:7" x14ac:dyDescent="0.2">
      <c r="A173" s="112">
        <v>564</v>
      </c>
      <c r="B173" s="113">
        <v>26047.05</v>
      </c>
      <c r="C173" s="113">
        <v>25744.43</v>
      </c>
      <c r="D173" s="113">
        <v>26047.05</v>
      </c>
      <c r="E173" s="113">
        <v>115441.43</v>
      </c>
      <c r="F173" s="113">
        <v>-2229.3200000000002</v>
      </c>
      <c r="G173" s="113">
        <v>4192.6499999999996</v>
      </c>
    </row>
    <row r="174" spans="1:7" x14ac:dyDescent="0.2">
      <c r="A174" s="112">
        <v>577</v>
      </c>
      <c r="B174" s="113">
        <v>4763.75</v>
      </c>
      <c r="C174" s="113">
        <v>5522.32</v>
      </c>
      <c r="D174" s="113">
        <v>4763.75</v>
      </c>
      <c r="E174" s="113">
        <v>5768.34</v>
      </c>
      <c r="F174" s="113">
        <v>0</v>
      </c>
      <c r="G174" s="113">
        <v>0</v>
      </c>
    </row>
    <row r="175" spans="1:7" x14ac:dyDescent="0.2">
      <c r="A175" s="112">
        <v>578</v>
      </c>
      <c r="B175" s="113">
        <v>23141.93</v>
      </c>
      <c r="C175" s="113">
        <v>21524.58</v>
      </c>
      <c r="D175" s="113">
        <v>23141.93</v>
      </c>
      <c r="E175" s="113">
        <v>1648</v>
      </c>
      <c r="F175" s="113">
        <v>475.98</v>
      </c>
      <c r="G175" s="113">
        <v>8767.32</v>
      </c>
    </row>
    <row r="176" spans="1:7" x14ac:dyDescent="0.2">
      <c r="A176" s="112">
        <v>581</v>
      </c>
      <c r="B176" s="113">
        <v>4360.99</v>
      </c>
      <c r="C176" s="113">
        <v>4780.67</v>
      </c>
      <c r="D176" s="113">
        <v>4360.99</v>
      </c>
      <c r="E176" s="113">
        <v>8145.05</v>
      </c>
      <c r="F176" s="113">
        <v>3178.36</v>
      </c>
      <c r="G176" s="113">
        <v>4868.32</v>
      </c>
    </row>
    <row r="177" spans="1:7" x14ac:dyDescent="0.2">
      <c r="A177" s="112">
        <v>592</v>
      </c>
      <c r="B177" s="113">
        <v>2001.42</v>
      </c>
      <c r="C177" s="113">
        <v>2294.69</v>
      </c>
      <c r="D177" s="113">
        <v>2001.42</v>
      </c>
      <c r="E177" s="113">
        <v>0</v>
      </c>
      <c r="F177" s="113">
        <v>-17438.62</v>
      </c>
      <c r="G177" s="113">
        <v>-38015.129999999997</v>
      </c>
    </row>
    <row r="178" spans="1:7" x14ac:dyDescent="0.2">
      <c r="A178" s="112">
        <v>593</v>
      </c>
      <c r="B178" s="113">
        <v>19712.400000000001</v>
      </c>
      <c r="C178" s="113">
        <v>20064.919999999998</v>
      </c>
      <c r="D178" s="113">
        <v>19712.400000000001</v>
      </c>
      <c r="E178" s="113">
        <v>18766.5</v>
      </c>
      <c r="F178" s="113">
        <v>1059.81</v>
      </c>
      <c r="G178" s="113">
        <v>6223.91</v>
      </c>
    </row>
    <row r="179" spans="1:7" x14ac:dyDescent="0.2">
      <c r="A179" s="112">
        <v>595</v>
      </c>
      <c r="B179" s="113">
        <v>18223.009999999998</v>
      </c>
      <c r="C179" s="113">
        <v>17251.09</v>
      </c>
      <c r="D179" s="113">
        <v>18223.009999999998</v>
      </c>
      <c r="E179" s="113">
        <v>44511.91</v>
      </c>
      <c r="F179" s="113">
        <v>13663.23</v>
      </c>
      <c r="G179" s="113">
        <v>18217.09</v>
      </c>
    </row>
    <row r="180" spans="1:7" x14ac:dyDescent="0.2">
      <c r="A180" s="112">
        <v>599</v>
      </c>
      <c r="B180" s="113">
        <v>5744.72</v>
      </c>
      <c r="C180" s="113">
        <v>5758.24</v>
      </c>
      <c r="D180" s="113">
        <v>5744.72</v>
      </c>
      <c r="E180" s="113">
        <v>3725</v>
      </c>
      <c r="F180" s="113">
        <v>2607.87</v>
      </c>
      <c r="G180" s="113">
        <v>4491.07</v>
      </c>
    </row>
    <row r="181" spans="1:7" x14ac:dyDescent="0.2">
      <c r="A181" s="112">
        <v>600</v>
      </c>
      <c r="B181" s="113">
        <v>1602.08</v>
      </c>
      <c r="C181" s="113">
        <v>1855.15</v>
      </c>
      <c r="D181" s="113">
        <v>1602.08</v>
      </c>
      <c r="E181" s="113">
        <v>30150.43</v>
      </c>
      <c r="F181" s="113">
        <v>8813.5400000000009</v>
      </c>
      <c r="G181" s="113">
        <v>-1566.15</v>
      </c>
    </row>
    <row r="182" spans="1:7" x14ac:dyDescent="0.2">
      <c r="A182" s="112">
        <v>601</v>
      </c>
      <c r="B182" s="113">
        <v>8317.94</v>
      </c>
      <c r="C182" s="113">
        <v>8178.68</v>
      </c>
      <c r="D182" s="113">
        <v>8317.94</v>
      </c>
      <c r="E182" s="113">
        <v>3802</v>
      </c>
      <c r="F182" s="113">
        <v>-8491.24</v>
      </c>
      <c r="G182" s="113">
        <v>-12721.99</v>
      </c>
    </row>
    <row r="183" spans="1:7" x14ac:dyDescent="0.2">
      <c r="A183" s="112">
        <v>611</v>
      </c>
      <c r="B183" s="113">
        <v>0</v>
      </c>
      <c r="C183" s="113">
        <v>0</v>
      </c>
      <c r="D183" s="113">
        <v>759.42</v>
      </c>
      <c r="E183" s="113">
        <v>0</v>
      </c>
      <c r="F183" s="113">
        <v>922.94</v>
      </c>
      <c r="G183" s="113">
        <v>669.58</v>
      </c>
    </row>
    <row r="184" spans="1:7" x14ac:dyDescent="0.2">
      <c r="A184" s="112">
        <v>621</v>
      </c>
      <c r="B184" s="113">
        <v>117584.31</v>
      </c>
      <c r="C184" s="113">
        <v>119747.51</v>
      </c>
      <c r="D184" s="113">
        <v>117584.31</v>
      </c>
      <c r="E184" s="113">
        <v>19516.5</v>
      </c>
      <c r="F184" s="113">
        <v>29518.11</v>
      </c>
      <c r="G184" s="113">
        <v>0</v>
      </c>
    </row>
    <row r="185" spans="1:7" x14ac:dyDescent="0.2">
      <c r="A185" s="112">
        <v>622</v>
      </c>
      <c r="B185" s="113">
        <v>135676.03</v>
      </c>
      <c r="C185" s="113">
        <v>136789.19</v>
      </c>
      <c r="D185" s="113">
        <v>135676.03</v>
      </c>
      <c r="E185" s="113">
        <v>2085</v>
      </c>
      <c r="F185" s="113">
        <v>25136.639999999999</v>
      </c>
      <c r="G185" s="113">
        <v>35786.839999999997</v>
      </c>
    </row>
    <row r="186" spans="1:7" x14ac:dyDescent="0.2">
      <c r="A186" s="112">
        <v>623</v>
      </c>
      <c r="B186" s="113">
        <v>86151.53</v>
      </c>
      <c r="C186" s="113">
        <v>87279.83</v>
      </c>
      <c r="D186" s="113">
        <v>86151.53</v>
      </c>
      <c r="E186" s="113">
        <v>9983.33</v>
      </c>
      <c r="F186" s="113">
        <v>18286.599999999999</v>
      </c>
      <c r="G186" s="113">
        <v>18675.03</v>
      </c>
    </row>
    <row r="187" spans="1:7" x14ac:dyDescent="0.2">
      <c r="A187" s="112">
        <v>624</v>
      </c>
      <c r="B187" s="113">
        <v>83142.55</v>
      </c>
      <c r="C187" s="113">
        <v>75580.39</v>
      </c>
      <c r="D187" s="113">
        <v>89015.48</v>
      </c>
      <c r="E187" s="113">
        <v>0</v>
      </c>
      <c r="F187" s="113">
        <v>62613</v>
      </c>
      <c r="G187" s="113">
        <v>29121</v>
      </c>
    </row>
    <row r="188" spans="1:7" x14ac:dyDescent="0.2">
      <c r="A188" s="112">
        <v>625</v>
      </c>
      <c r="B188" s="113">
        <v>792643.74</v>
      </c>
      <c r="C188" s="113">
        <v>797271.21</v>
      </c>
      <c r="D188" s="113">
        <v>792643.74</v>
      </c>
      <c r="E188" s="113">
        <v>1022193.07</v>
      </c>
      <c r="F188" s="113">
        <v>278238.90000000002</v>
      </c>
      <c r="G188" s="113">
        <v>246662.49</v>
      </c>
    </row>
    <row r="189" spans="1:7" x14ac:dyDescent="0.2">
      <c r="A189" s="112">
        <v>627</v>
      </c>
      <c r="B189" s="113">
        <v>3119.2</v>
      </c>
      <c r="C189" s="113">
        <v>3235.42</v>
      </c>
      <c r="D189" s="113">
        <v>3119.2</v>
      </c>
      <c r="E189" s="113">
        <v>36.520000000000003</v>
      </c>
      <c r="F189" s="113">
        <v>0</v>
      </c>
      <c r="G189" s="113">
        <v>0.66</v>
      </c>
    </row>
    <row r="190" spans="1:7" x14ac:dyDescent="0.2">
      <c r="A190" s="112">
        <v>628</v>
      </c>
      <c r="B190" s="113">
        <v>2754.43</v>
      </c>
      <c r="C190" s="113">
        <v>2981.84</v>
      </c>
      <c r="D190" s="113">
        <v>2754.43</v>
      </c>
      <c r="E190" s="113">
        <v>0</v>
      </c>
      <c r="F190" s="113">
        <v>-2902.51</v>
      </c>
      <c r="G190" s="113">
        <v>-4742.2700000000004</v>
      </c>
    </row>
    <row r="191" spans="1:7" x14ac:dyDescent="0.2">
      <c r="A191" s="112">
        <v>630</v>
      </c>
      <c r="B191" s="113">
        <v>4636.54</v>
      </c>
      <c r="C191" s="113">
        <v>4723.49</v>
      </c>
      <c r="D191" s="113">
        <v>4636.54</v>
      </c>
      <c r="E191" s="113">
        <v>45493.08</v>
      </c>
      <c r="F191" s="113">
        <v>-18925.61</v>
      </c>
      <c r="G191" s="113">
        <v>0</v>
      </c>
    </row>
    <row r="192" spans="1:7" x14ac:dyDescent="0.2">
      <c r="A192" s="112">
        <v>635</v>
      </c>
      <c r="B192" s="113">
        <v>901.15</v>
      </c>
      <c r="C192" s="113">
        <v>799.12</v>
      </c>
      <c r="D192" s="113">
        <v>901.15</v>
      </c>
      <c r="E192" s="113">
        <v>9220</v>
      </c>
      <c r="F192" s="113">
        <v>-14478.96</v>
      </c>
      <c r="G192" s="113">
        <v>-14950.09</v>
      </c>
    </row>
    <row r="193" spans="1:7" x14ac:dyDescent="0.2">
      <c r="A193" s="112">
        <v>640</v>
      </c>
      <c r="B193" s="113">
        <v>4605.38</v>
      </c>
      <c r="C193" s="113">
        <v>4352.8100000000004</v>
      </c>
      <c r="D193" s="113">
        <v>4605.38</v>
      </c>
      <c r="E193" s="113">
        <v>18719</v>
      </c>
      <c r="F193" s="113">
        <v>-13235.69</v>
      </c>
      <c r="G193" s="113">
        <v>-20168.580000000002</v>
      </c>
    </row>
    <row r="194" spans="1:7" x14ac:dyDescent="0.2">
      <c r="A194" s="112">
        <v>656</v>
      </c>
      <c r="B194" s="113">
        <v>63311.83</v>
      </c>
      <c r="C194" s="113">
        <v>62797.63</v>
      </c>
      <c r="D194" s="113">
        <v>63311.83</v>
      </c>
      <c r="E194" s="113">
        <v>70942.009999999995</v>
      </c>
      <c r="F194" s="113">
        <v>38469.129999999997</v>
      </c>
      <c r="G194" s="113">
        <v>45125.45</v>
      </c>
    </row>
    <row r="195" spans="1:7" x14ac:dyDescent="0.2">
      <c r="A195" s="112">
        <v>659</v>
      </c>
      <c r="B195" s="113">
        <v>39309.75</v>
      </c>
      <c r="C195" s="113">
        <v>40307.64</v>
      </c>
      <c r="D195" s="113">
        <v>39309.75</v>
      </c>
      <c r="E195" s="113">
        <v>100795.89</v>
      </c>
      <c r="F195" s="113">
        <v>-14252.45</v>
      </c>
      <c r="G195" s="113">
        <v>-34196</v>
      </c>
    </row>
    <row r="196" spans="1:7" x14ac:dyDescent="0.2">
      <c r="A196" s="112">
        <v>671</v>
      </c>
      <c r="B196" s="113">
        <v>0</v>
      </c>
      <c r="C196" s="113">
        <v>4442.9399999999996</v>
      </c>
      <c r="D196" s="113">
        <v>5208.34</v>
      </c>
      <c r="E196" s="113">
        <v>24843.759999999998</v>
      </c>
      <c r="F196" s="113">
        <v>19571.21</v>
      </c>
      <c r="G196" s="113">
        <v>-14613.57</v>
      </c>
    </row>
    <row r="197" spans="1:7" x14ac:dyDescent="0.2">
      <c r="A197" s="112">
        <v>676</v>
      </c>
      <c r="B197" s="113">
        <v>2640.25</v>
      </c>
      <c r="C197" s="113">
        <v>3515.98</v>
      </c>
      <c r="D197" s="113">
        <v>2640.25</v>
      </c>
      <c r="E197" s="113">
        <v>0</v>
      </c>
      <c r="F197" s="113">
        <v>29.07</v>
      </c>
      <c r="G197" s="113">
        <v>88.04</v>
      </c>
    </row>
    <row r="198" spans="1:7" x14ac:dyDescent="0.2">
      <c r="A198" s="112">
        <v>682</v>
      </c>
      <c r="B198" s="113">
        <v>12844.98</v>
      </c>
      <c r="C198" s="113">
        <v>11962.31</v>
      </c>
      <c r="D198" s="113">
        <v>12844.98</v>
      </c>
      <c r="E198" s="113">
        <v>49672.3</v>
      </c>
      <c r="F198" s="113">
        <v>0</v>
      </c>
      <c r="G198" s="113">
        <v>0</v>
      </c>
    </row>
    <row r="199" spans="1:7" x14ac:dyDescent="0.2">
      <c r="A199" s="112">
        <v>690</v>
      </c>
      <c r="B199" s="113">
        <v>13075.07</v>
      </c>
      <c r="C199" s="113">
        <v>12967.14</v>
      </c>
      <c r="D199" s="113">
        <v>13075.07</v>
      </c>
      <c r="E199" s="113">
        <v>31100.77</v>
      </c>
      <c r="F199" s="113">
        <v>0</v>
      </c>
      <c r="G199" s="113">
        <v>0</v>
      </c>
    </row>
    <row r="200" spans="1:7" x14ac:dyDescent="0.2">
      <c r="A200" s="112">
        <v>695</v>
      </c>
      <c r="B200" s="113">
        <v>11355.61</v>
      </c>
      <c r="C200" s="113">
        <v>10980.54</v>
      </c>
      <c r="D200" s="113">
        <v>11355.61</v>
      </c>
      <c r="E200" s="113">
        <v>4069</v>
      </c>
      <c r="F200" s="113">
        <v>1662.37</v>
      </c>
      <c r="G200" s="113">
        <v>2564.96</v>
      </c>
    </row>
    <row r="201" spans="1:7" x14ac:dyDescent="0.2">
      <c r="A201" s="112">
        <v>696</v>
      </c>
      <c r="B201" s="113">
        <v>6168.68</v>
      </c>
      <c r="C201" s="113">
        <v>6366.66</v>
      </c>
      <c r="D201" s="113">
        <v>6406.37</v>
      </c>
      <c r="E201" s="113">
        <v>190</v>
      </c>
      <c r="F201" s="113">
        <v>1854.06</v>
      </c>
      <c r="G201" s="113">
        <v>-4431.71</v>
      </c>
    </row>
    <row r="202" spans="1:7" x14ac:dyDescent="0.2">
      <c r="A202" s="112">
        <v>698</v>
      </c>
      <c r="B202" s="113">
        <v>4012.44</v>
      </c>
      <c r="C202" s="113">
        <v>4016.59</v>
      </c>
      <c r="D202" s="113">
        <v>4012.44</v>
      </c>
      <c r="E202" s="113">
        <v>3485</v>
      </c>
      <c r="F202" s="113">
        <v>-1716.73</v>
      </c>
      <c r="G202" s="113">
        <v>-3355.86</v>
      </c>
    </row>
    <row r="203" spans="1:7" x14ac:dyDescent="0.2">
      <c r="A203" s="112">
        <v>700</v>
      </c>
      <c r="B203" s="113">
        <v>14032.56</v>
      </c>
      <c r="C203" s="113">
        <v>14444.68</v>
      </c>
      <c r="D203" s="113">
        <v>14032.56</v>
      </c>
      <c r="E203" s="113">
        <v>108035.69</v>
      </c>
      <c r="F203" s="113">
        <v>20985.13</v>
      </c>
      <c r="G203" s="113">
        <v>27725.73</v>
      </c>
    </row>
    <row r="204" spans="1:7" x14ac:dyDescent="0.2">
      <c r="A204" s="112">
        <v>701</v>
      </c>
      <c r="B204" s="113">
        <v>33418.6</v>
      </c>
      <c r="C204" s="113">
        <v>32671.91</v>
      </c>
      <c r="D204" s="113">
        <v>33418.6</v>
      </c>
      <c r="E204" s="113">
        <v>14071.5</v>
      </c>
      <c r="F204" s="113">
        <v>7350.88</v>
      </c>
      <c r="G204" s="113">
        <v>23350.03</v>
      </c>
    </row>
    <row r="205" spans="1:7" x14ac:dyDescent="0.2">
      <c r="A205" s="112">
        <v>704</v>
      </c>
      <c r="B205" s="113">
        <v>19176.23</v>
      </c>
      <c r="C205" s="113">
        <v>19031.97</v>
      </c>
      <c r="D205" s="113">
        <v>19176.23</v>
      </c>
      <c r="E205" s="113">
        <v>0</v>
      </c>
      <c r="F205" s="113">
        <v>-869.78</v>
      </c>
      <c r="G205" s="113">
        <v>-953.4</v>
      </c>
    </row>
    <row r="206" spans="1:7" x14ac:dyDescent="0.2">
      <c r="A206" s="112">
        <v>706</v>
      </c>
      <c r="B206" s="113">
        <v>20788.330000000002</v>
      </c>
      <c r="C206" s="113">
        <v>21450.32</v>
      </c>
      <c r="D206" s="113">
        <v>20788.330000000002</v>
      </c>
      <c r="E206" s="113">
        <v>30598</v>
      </c>
      <c r="F206" s="113">
        <v>2073.7800000000002</v>
      </c>
      <c r="G206" s="113">
        <v>101.28</v>
      </c>
    </row>
    <row r="207" spans="1:7" x14ac:dyDescent="0.2">
      <c r="A207" s="112">
        <v>707</v>
      </c>
      <c r="B207" s="113">
        <v>2291.88</v>
      </c>
      <c r="C207" s="113">
        <v>1564.71</v>
      </c>
      <c r="D207" s="113">
        <v>2402.04</v>
      </c>
      <c r="E207" s="113">
        <v>0</v>
      </c>
      <c r="F207" s="113">
        <v>353</v>
      </c>
      <c r="G207" s="113">
        <v>212.99</v>
      </c>
    </row>
    <row r="208" spans="1:7" x14ac:dyDescent="0.2">
      <c r="A208" s="112">
        <v>709</v>
      </c>
      <c r="B208" s="113">
        <v>151346.76</v>
      </c>
      <c r="C208" s="113">
        <v>154746.76999999999</v>
      </c>
      <c r="D208" s="113">
        <v>151346.76</v>
      </c>
      <c r="E208" s="113">
        <v>52647.5</v>
      </c>
      <c r="F208" s="113">
        <v>0</v>
      </c>
      <c r="G208" s="113">
        <v>19372.73</v>
      </c>
    </row>
    <row r="209" spans="1:7" x14ac:dyDescent="0.2">
      <c r="A209" s="112">
        <v>712</v>
      </c>
      <c r="B209" s="113">
        <v>9740.51</v>
      </c>
      <c r="C209" s="113">
        <v>10071.540000000001</v>
      </c>
      <c r="D209" s="113">
        <v>9740.51</v>
      </c>
      <c r="E209" s="113">
        <v>2750</v>
      </c>
      <c r="F209" s="113">
        <v>862.18</v>
      </c>
      <c r="G209" s="113">
        <v>1443.82</v>
      </c>
    </row>
    <row r="210" spans="1:7" x14ac:dyDescent="0.2">
      <c r="A210" s="112">
        <v>716</v>
      </c>
      <c r="B210" s="113">
        <v>20200.32</v>
      </c>
      <c r="C210" s="113">
        <v>21183.74</v>
      </c>
      <c r="D210" s="113">
        <v>20200.32</v>
      </c>
      <c r="E210" s="113">
        <v>10150</v>
      </c>
      <c r="F210" s="113">
        <v>1792.45</v>
      </c>
      <c r="G210" s="113">
        <v>5245.05</v>
      </c>
    </row>
    <row r="211" spans="1:7" x14ac:dyDescent="0.2">
      <c r="A211" s="112">
        <v>717</v>
      </c>
      <c r="B211" s="113">
        <v>20024.650000000001</v>
      </c>
      <c r="C211" s="113">
        <v>20344.54</v>
      </c>
      <c r="D211" s="113">
        <v>20024.650000000001</v>
      </c>
      <c r="E211" s="113">
        <v>21900</v>
      </c>
      <c r="F211" s="113">
        <v>2454.35</v>
      </c>
      <c r="G211" s="113">
        <v>12216.82</v>
      </c>
    </row>
    <row r="212" spans="1:7" x14ac:dyDescent="0.2">
      <c r="A212" s="112">
        <v>719</v>
      </c>
      <c r="B212" s="113">
        <v>74053.41</v>
      </c>
      <c r="C212" s="113">
        <v>56099.28</v>
      </c>
      <c r="D212" s="113">
        <v>74053.41</v>
      </c>
      <c r="E212" s="113">
        <v>245974.74</v>
      </c>
      <c r="F212" s="113">
        <v>80953</v>
      </c>
      <c r="G212" s="113">
        <v>124160</v>
      </c>
    </row>
    <row r="213" spans="1:7" x14ac:dyDescent="0.2">
      <c r="A213" s="112">
        <v>720</v>
      </c>
      <c r="B213" s="113">
        <v>88930.74</v>
      </c>
      <c r="C213" s="113">
        <v>88905.09</v>
      </c>
      <c r="D213" s="113">
        <v>88930.74</v>
      </c>
      <c r="E213" s="113">
        <v>4520</v>
      </c>
      <c r="F213" s="113">
        <v>18050.61</v>
      </c>
      <c r="G213" s="113">
        <v>11048.87</v>
      </c>
    </row>
    <row r="214" spans="1:7" x14ac:dyDescent="0.2">
      <c r="A214" s="112">
        <v>721</v>
      </c>
      <c r="B214" s="113">
        <v>30678.48</v>
      </c>
      <c r="C214" s="113">
        <v>36118.5</v>
      </c>
      <c r="D214" s="113">
        <v>30678.48</v>
      </c>
      <c r="E214" s="113">
        <v>223150.16</v>
      </c>
      <c r="F214" s="113">
        <v>14059.28</v>
      </c>
      <c r="G214" s="113">
        <v>28221.21</v>
      </c>
    </row>
    <row r="215" spans="1:7" x14ac:dyDescent="0.2">
      <c r="A215" s="112">
        <v>726</v>
      </c>
      <c r="B215" s="113">
        <v>23890.25</v>
      </c>
      <c r="C215" s="113">
        <v>25160.82</v>
      </c>
      <c r="D215" s="113">
        <v>23890.25</v>
      </c>
      <c r="E215" s="113">
        <v>93390.16</v>
      </c>
      <c r="F215" s="113">
        <v>23311.69</v>
      </c>
      <c r="G215" s="113">
        <v>22652.95</v>
      </c>
    </row>
    <row r="216" spans="1:7" x14ac:dyDescent="0.2">
      <c r="A216" s="112">
        <v>727</v>
      </c>
      <c r="B216" s="113">
        <v>46704.78</v>
      </c>
      <c r="C216" s="113">
        <v>46448.18</v>
      </c>
      <c r="D216" s="113">
        <v>46704.78</v>
      </c>
      <c r="E216" s="113">
        <v>82627.850000000006</v>
      </c>
      <c r="F216" s="113">
        <v>16712.14</v>
      </c>
      <c r="G216" s="113">
        <v>25181.439999999999</v>
      </c>
    </row>
    <row r="217" spans="1:7" x14ac:dyDescent="0.2">
      <c r="A217" s="112">
        <v>728</v>
      </c>
      <c r="B217" s="113">
        <v>134943.97</v>
      </c>
      <c r="C217" s="113">
        <v>128982.64</v>
      </c>
      <c r="D217" s="113">
        <v>134943.97</v>
      </c>
      <c r="E217" s="113">
        <v>160161.76</v>
      </c>
      <c r="F217" s="113">
        <v>27646.15</v>
      </c>
      <c r="G217" s="113">
        <v>24537.64</v>
      </c>
    </row>
    <row r="218" spans="1:7" x14ac:dyDescent="0.2">
      <c r="A218" s="112">
        <v>738</v>
      </c>
      <c r="B218" s="113">
        <v>8752.92</v>
      </c>
      <c r="C218" s="113">
        <v>8597.25</v>
      </c>
      <c r="D218" s="113">
        <v>8752.92</v>
      </c>
      <c r="E218" s="113">
        <v>18019</v>
      </c>
      <c r="F218" s="113">
        <v>-19594.04</v>
      </c>
      <c r="G218" s="113">
        <v>-14163.62</v>
      </c>
    </row>
    <row r="219" spans="1:7" x14ac:dyDescent="0.2">
      <c r="A219" s="112">
        <v>739</v>
      </c>
      <c r="B219" s="113">
        <v>7374.11</v>
      </c>
      <c r="C219" s="113">
        <v>7077.45</v>
      </c>
      <c r="D219" s="113">
        <v>7374.11</v>
      </c>
      <c r="E219" s="113">
        <v>79524.88</v>
      </c>
      <c r="F219" s="113">
        <v>5358.34</v>
      </c>
      <c r="G219" s="113">
        <v>17185.34</v>
      </c>
    </row>
    <row r="220" spans="1:7" x14ac:dyDescent="0.2">
      <c r="A220" s="112">
        <v>740</v>
      </c>
      <c r="B220" s="113">
        <v>16847.61</v>
      </c>
      <c r="C220" s="113">
        <v>17001.689999999999</v>
      </c>
      <c r="D220" s="113">
        <v>16847.61</v>
      </c>
      <c r="E220" s="113">
        <v>7138.52</v>
      </c>
      <c r="F220" s="113">
        <v>3505.98</v>
      </c>
      <c r="G220" s="113">
        <v>4376.7</v>
      </c>
    </row>
    <row r="221" spans="1:7" x14ac:dyDescent="0.2">
      <c r="A221" s="112">
        <v>741</v>
      </c>
      <c r="B221" s="113">
        <v>12390.57</v>
      </c>
      <c r="C221" s="113">
        <v>12682.41</v>
      </c>
      <c r="D221" s="113">
        <v>12390.57</v>
      </c>
      <c r="E221" s="113">
        <v>21383.74</v>
      </c>
      <c r="F221" s="113">
        <v>5380.92</v>
      </c>
      <c r="G221" s="113">
        <v>3385.71</v>
      </c>
    </row>
    <row r="222" spans="1:7" x14ac:dyDescent="0.2">
      <c r="A222" s="112">
        <v>742</v>
      </c>
      <c r="B222" s="113">
        <v>185296.84</v>
      </c>
      <c r="C222" s="113">
        <v>190557.11</v>
      </c>
      <c r="D222" s="113">
        <v>185296.84</v>
      </c>
      <c r="E222" s="113">
        <v>344427.66</v>
      </c>
      <c r="F222" s="113">
        <v>67850.84</v>
      </c>
      <c r="G222" s="113">
        <v>-9551.2199999999993</v>
      </c>
    </row>
    <row r="223" spans="1:7" x14ac:dyDescent="0.2">
      <c r="A223" s="112">
        <v>743</v>
      </c>
      <c r="B223" s="113">
        <v>14748.23</v>
      </c>
      <c r="C223" s="113">
        <v>13902.46</v>
      </c>
      <c r="D223" s="113">
        <v>14748.23</v>
      </c>
      <c r="E223" s="113">
        <v>0</v>
      </c>
      <c r="F223" s="113">
        <v>-824.54</v>
      </c>
      <c r="G223" s="113">
        <v>-1452.06</v>
      </c>
    </row>
    <row r="224" spans="1:7" x14ac:dyDescent="0.2">
      <c r="A224" s="112">
        <v>745</v>
      </c>
      <c r="B224" s="113">
        <v>16086.06</v>
      </c>
      <c r="C224" s="113">
        <v>17627.39</v>
      </c>
      <c r="D224" s="113">
        <v>16086.06</v>
      </c>
      <c r="E224" s="113">
        <v>99904.51</v>
      </c>
      <c r="F224" s="113">
        <v>-7775.85</v>
      </c>
      <c r="G224" s="113">
        <v>5315.02</v>
      </c>
    </row>
    <row r="225" spans="1:7" x14ac:dyDescent="0.2">
      <c r="A225" s="112">
        <v>748</v>
      </c>
      <c r="B225" s="113">
        <v>30572.62</v>
      </c>
      <c r="C225" s="113">
        <v>29074.37</v>
      </c>
      <c r="D225" s="113">
        <v>30572.62</v>
      </c>
      <c r="E225" s="113">
        <v>135525.5</v>
      </c>
      <c r="F225" s="113">
        <v>24176.560000000001</v>
      </c>
      <c r="G225" s="113">
        <v>34570.660000000003</v>
      </c>
    </row>
    <row r="226" spans="1:7" x14ac:dyDescent="0.2">
      <c r="A226" s="112">
        <v>750</v>
      </c>
      <c r="B226" s="113">
        <v>21951.16</v>
      </c>
      <c r="C226" s="113">
        <v>21355.64</v>
      </c>
      <c r="D226" s="113">
        <v>21951.16</v>
      </c>
      <c r="E226" s="113">
        <v>20977</v>
      </c>
      <c r="F226" s="113">
        <v>2531.56</v>
      </c>
      <c r="G226" s="113">
        <v>4565.6400000000003</v>
      </c>
    </row>
    <row r="227" spans="1:7" x14ac:dyDescent="0.2">
      <c r="A227" s="112">
        <v>756</v>
      </c>
      <c r="B227" s="113">
        <v>7895.75</v>
      </c>
      <c r="C227" s="113">
        <v>6987.03</v>
      </c>
      <c r="D227" s="113">
        <v>7895.75</v>
      </c>
      <c r="E227" s="113">
        <v>27600</v>
      </c>
      <c r="F227" s="113">
        <v>10026.76</v>
      </c>
      <c r="G227" s="113">
        <v>3764.61</v>
      </c>
    </row>
    <row r="228" spans="1:7" x14ac:dyDescent="0.2">
      <c r="A228" s="112">
        <v>761</v>
      </c>
      <c r="B228" s="113">
        <v>60383.87</v>
      </c>
      <c r="C228" s="113">
        <v>65989.86</v>
      </c>
      <c r="D228" s="113">
        <v>60383.87</v>
      </c>
      <c r="E228" s="113">
        <v>19981</v>
      </c>
      <c r="F228" s="113">
        <v>0</v>
      </c>
      <c r="G228" s="113">
        <v>0</v>
      </c>
    </row>
    <row r="229" spans="1:7" x14ac:dyDescent="0.2">
      <c r="A229" s="112">
        <v>763</v>
      </c>
      <c r="B229" s="113">
        <v>6394.85</v>
      </c>
      <c r="C229" s="113">
        <v>6939.73</v>
      </c>
      <c r="D229" s="113">
        <v>6394.85</v>
      </c>
      <c r="E229" s="113">
        <v>1300</v>
      </c>
      <c r="F229" s="113">
        <v>501.68</v>
      </c>
      <c r="G229" s="113">
        <v>1050.6500000000001</v>
      </c>
    </row>
    <row r="230" spans="1:7" x14ac:dyDescent="0.2">
      <c r="A230" s="112">
        <v>768</v>
      </c>
      <c r="B230" s="113">
        <v>2050.23</v>
      </c>
      <c r="C230" s="113">
        <v>2350.41</v>
      </c>
      <c r="D230" s="113">
        <v>3172.98</v>
      </c>
      <c r="E230" s="113">
        <v>0</v>
      </c>
      <c r="F230" s="113">
        <v>3476.65</v>
      </c>
      <c r="G230" s="113">
        <v>462.12</v>
      </c>
    </row>
    <row r="231" spans="1:7" x14ac:dyDescent="0.2">
      <c r="A231" s="112">
        <v>769</v>
      </c>
      <c r="B231" s="113">
        <v>10574.37</v>
      </c>
      <c r="C231" s="113">
        <v>11252.96</v>
      </c>
      <c r="D231" s="113">
        <v>10794.69</v>
      </c>
      <c r="E231" s="113">
        <v>8000</v>
      </c>
      <c r="F231" s="113">
        <v>6418.76</v>
      </c>
      <c r="G231" s="113">
        <v>4898.3</v>
      </c>
    </row>
    <row r="232" spans="1:7" x14ac:dyDescent="0.2">
      <c r="A232" s="112">
        <v>771</v>
      </c>
      <c r="B232" s="113">
        <v>2019.13</v>
      </c>
      <c r="C232" s="113">
        <v>2226.41</v>
      </c>
      <c r="D232" s="113">
        <v>2019.13</v>
      </c>
      <c r="E232" s="113">
        <v>6617</v>
      </c>
      <c r="F232" s="113">
        <v>-5439.48</v>
      </c>
      <c r="G232" s="113">
        <v>-3868.59</v>
      </c>
    </row>
    <row r="233" spans="1:7" x14ac:dyDescent="0.2">
      <c r="A233" s="112">
        <v>775</v>
      </c>
      <c r="B233" s="113">
        <v>8283.57</v>
      </c>
      <c r="C233" s="113">
        <v>8762.2199999999993</v>
      </c>
      <c r="D233" s="113">
        <v>8283.57</v>
      </c>
      <c r="E233" s="113">
        <v>0</v>
      </c>
      <c r="F233" s="113">
        <v>-3253.89</v>
      </c>
      <c r="G233" s="113">
        <v>-4880.1000000000004</v>
      </c>
    </row>
    <row r="234" spans="1:7" x14ac:dyDescent="0.2">
      <c r="A234" s="112">
        <v>777</v>
      </c>
      <c r="B234" s="113">
        <v>10247.64</v>
      </c>
      <c r="C234" s="113">
        <v>9405.67</v>
      </c>
      <c r="D234" s="113">
        <v>10247.64</v>
      </c>
      <c r="E234" s="113">
        <v>0</v>
      </c>
      <c r="F234" s="113">
        <v>-6751.85</v>
      </c>
      <c r="G234" s="113">
        <v>-10707.95</v>
      </c>
    </row>
    <row r="235" spans="1:7" x14ac:dyDescent="0.2">
      <c r="A235" s="112">
        <v>786</v>
      </c>
      <c r="B235" s="113">
        <v>7227.9</v>
      </c>
      <c r="C235" s="113">
        <v>6764.88</v>
      </c>
      <c r="D235" s="113">
        <v>7227.9</v>
      </c>
      <c r="E235" s="113">
        <v>185.39</v>
      </c>
      <c r="F235" s="113">
        <v>-947.64</v>
      </c>
      <c r="G235" s="113">
        <v>-4181.72</v>
      </c>
    </row>
    <row r="236" spans="1:7" x14ac:dyDescent="0.2">
      <c r="A236" s="112">
        <v>787</v>
      </c>
      <c r="B236" s="113">
        <v>7089.95</v>
      </c>
      <c r="C236" s="113">
        <v>6305.58</v>
      </c>
      <c r="D236" s="113">
        <v>7166</v>
      </c>
      <c r="E236" s="113">
        <v>0</v>
      </c>
      <c r="F236" s="113">
        <v>1650.28</v>
      </c>
      <c r="G236" s="113">
        <v>956.75</v>
      </c>
    </row>
    <row r="237" spans="1:7" x14ac:dyDescent="0.2">
      <c r="A237" s="112">
        <v>801</v>
      </c>
      <c r="B237" s="113">
        <v>1535.27</v>
      </c>
      <c r="C237" s="113">
        <v>1605.74</v>
      </c>
      <c r="D237" s="113">
        <v>1535.27</v>
      </c>
      <c r="E237" s="113">
        <v>0</v>
      </c>
      <c r="F237" s="113">
        <v>-1040.07</v>
      </c>
      <c r="G237" s="113">
        <v>-1016.58</v>
      </c>
    </row>
    <row r="238" spans="1:7" x14ac:dyDescent="0.2">
      <c r="A238" s="112">
        <v>803</v>
      </c>
      <c r="B238" s="113">
        <v>4010.74</v>
      </c>
      <c r="C238" s="113">
        <v>3543.52</v>
      </c>
      <c r="D238" s="113">
        <v>4010.74</v>
      </c>
      <c r="E238" s="113">
        <v>39537.26</v>
      </c>
      <c r="F238" s="113">
        <v>-18636.150000000001</v>
      </c>
      <c r="G238" s="113">
        <v>0</v>
      </c>
    </row>
    <row r="239" spans="1:7" x14ac:dyDescent="0.2">
      <c r="A239" s="112">
        <v>811</v>
      </c>
      <c r="B239" s="113">
        <v>7444.33</v>
      </c>
      <c r="C239" s="113">
        <v>6963.67</v>
      </c>
      <c r="D239" s="113">
        <v>7444.33</v>
      </c>
      <c r="E239" s="113">
        <v>29755.55</v>
      </c>
      <c r="F239" s="113">
        <v>11261.96</v>
      </c>
      <c r="G239" s="113">
        <v>12510.08</v>
      </c>
    </row>
    <row r="240" spans="1:7" x14ac:dyDescent="0.2">
      <c r="A240" s="112">
        <v>813</v>
      </c>
      <c r="B240" s="113">
        <v>13878.25</v>
      </c>
      <c r="C240" s="113">
        <v>14139.9</v>
      </c>
      <c r="D240" s="113">
        <v>13878.25</v>
      </c>
      <c r="E240" s="113">
        <v>0</v>
      </c>
      <c r="F240" s="113">
        <v>-14289.42</v>
      </c>
      <c r="G240" s="113">
        <v>-2878.09</v>
      </c>
    </row>
    <row r="241" spans="1:7" x14ac:dyDescent="0.2">
      <c r="A241" s="112">
        <v>818</v>
      </c>
      <c r="B241" s="113">
        <v>7562.15</v>
      </c>
      <c r="C241" s="113">
        <v>8023.31</v>
      </c>
      <c r="D241" s="113">
        <v>7562.15</v>
      </c>
      <c r="E241" s="113">
        <v>17935</v>
      </c>
      <c r="F241" s="113">
        <v>-4013.25</v>
      </c>
      <c r="G241" s="113">
        <v>-14944.25</v>
      </c>
    </row>
    <row r="242" spans="1:7" x14ac:dyDescent="0.2">
      <c r="A242" s="112">
        <v>820</v>
      </c>
      <c r="B242" s="113">
        <v>7632.16</v>
      </c>
      <c r="C242" s="113">
        <v>7455.93</v>
      </c>
      <c r="D242" s="113">
        <v>7632.16</v>
      </c>
      <c r="E242" s="113">
        <v>27459.29</v>
      </c>
      <c r="F242" s="113">
        <v>0</v>
      </c>
      <c r="G242" s="113">
        <v>0</v>
      </c>
    </row>
    <row r="243" spans="1:7" x14ac:dyDescent="0.2">
      <c r="A243" s="112">
        <v>821</v>
      </c>
      <c r="B243" s="113">
        <v>11523.39</v>
      </c>
      <c r="C243" s="113">
        <v>13025.54</v>
      </c>
      <c r="D243" s="113">
        <v>11960.71</v>
      </c>
      <c r="E243" s="113">
        <v>7098</v>
      </c>
      <c r="F243" s="113">
        <v>5497.54</v>
      </c>
      <c r="G243" s="113">
        <v>4574.6400000000003</v>
      </c>
    </row>
    <row r="244" spans="1:7" x14ac:dyDescent="0.2">
      <c r="A244" s="112">
        <v>829</v>
      </c>
      <c r="B244" s="113">
        <v>23752.37</v>
      </c>
      <c r="C244" s="113">
        <v>25213.72</v>
      </c>
      <c r="D244" s="113">
        <v>23752.37</v>
      </c>
      <c r="E244" s="113">
        <v>9023.19</v>
      </c>
      <c r="F244" s="113">
        <v>10832.45</v>
      </c>
      <c r="G244" s="113">
        <v>12278.99</v>
      </c>
    </row>
    <row r="245" spans="1:7" x14ac:dyDescent="0.2">
      <c r="A245" s="112">
        <v>831</v>
      </c>
      <c r="B245" s="113">
        <v>71919.850000000006</v>
      </c>
      <c r="C245" s="113">
        <v>71429.679999999993</v>
      </c>
      <c r="D245" s="113">
        <v>71919.850000000006</v>
      </c>
      <c r="E245" s="113">
        <v>50309.25</v>
      </c>
      <c r="F245" s="113">
        <v>0</v>
      </c>
      <c r="G245" s="113">
        <v>11209</v>
      </c>
    </row>
    <row r="246" spans="1:7" x14ac:dyDescent="0.2">
      <c r="A246" s="112">
        <v>832</v>
      </c>
      <c r="B246" s="113">
        <v>17301.18</v>
      </c>
      <c r="C246" s="113">
        <v>15962.67</v>
      </c>
      <c r="D246" s="113">
        <v>17301.18</v>
      </c>
      <c r="E246" s="113">
        <v>0</v>
      </c>
      <c r="F246" s="113">
        <v>2805.93</v>
      </c>
      <c r="G246" s="113">
        <v>2616.54</v>
      </c>
    </row>
    <row r="247" spans="1:7" x14ac:dyDescent="0.2">
      <c r="A247" s="112">
        <v>833</v>
      </c>
      <c r="B247" s="113">
        <v>155968.4</v>
      </c>
      <c r="C247" s="113">
        <v>169270.94</v>
      </c>
      <c r="D247" s="113">
        <v>155968.4</v>
      </c>
      <c r="E247" s="113">
        <v>404092.38</v>
      </c>
      <c r="F247" s="113">
        <v>-115103.63</v>
      </c>
      <c r="G247" s="113">
        <v>-175737.37</v>
      </c>
    </row>
    <row r="248" spans="1:7" x14ac:dyDescent="0.2">
      <c r="A248" s="112">
        <v>834</v>
      </c>
      <c r="B248" s="113">
        <v>77755.28</v>
      </c>
      <c r="C248" s="113">
        <v>76712.89</v>
      </c>
      <c r="D248" s="113">
        <v>77755.28</v>
      </c>
      <c r="E248" s="113">
        <v>53888</v>
      </c>
      <c r="F248" s="113">
        <v>0</v>
      </c>
      <c r="G248" s="113">
        <v>0</v>
      </c>
    </row>
    <row r="249" spans="1:7" x14ac:dyDescent="0.2">
      <c r="A249" s="112">
        <v>836</v>
      </c>
      <c r="B249" s="113">
        <v>3453.44</v>
      </c>
      <c r="C249" s="113">
        <v>3724.07</v>
      </c>
      <c r="D249" s="113">
        <v>3453.44</v>
      </c>
      <c r="E249" s="113">
        <v>1552</v>
      </c>
      <c r="F249" s="113">
        <v>-853.92</v>
      </c>
      <c r="G249" s="113">
        <v>531.64</v>
      </c>
    </row>
    <row r="250" spans="1:7" x14ac:dyDescent="0.2">
      <c r="A250" s="112">
        <v>837</v>
      </c>
      <c r="B250" s="113">
        <v>7938.23</v>
      </c>
      <c r="C250" s="113">
        <v>7839.15</v>
      </c>
      <c r="D250" s="113">
        <v>7938.23</v>
      </c>
      <c r="E250" s="113">
        <v>9843</v>
      </c>
      <c r="F250" s="113">
        <v>-158.9</v>
      </c>
      <c r="G250" s="113">
        <v>-5428.71</v>
      </c>
    </row>
    <row r="251" spans="1:7" x14ac:dyDescent="0.2">
      <c r="A251" s="112">
        <v>840</v>
      </c>
      <c r="B251" s="113">
        <v>16761.8</v>
      </c>
      <c r="C251" s="113">
        <v>17177.759999999998</v>
      </c>
      <c r="D251" s="113">
        <v>16761.8</v>
      </c>
      <c r="E251" s="113">
        <v>1495</v>
      </c>
      <c r="F251" s="113">
        <v>1714.59</v>
      </c>
      <c r="G251" s="113">
        <v>1714.59</v>
      </c>
    </row>
    <row r="252" spans="1:7" x14ac:dyDescent="0.2">
      <c r="A252" s="112">
        <v>846</v>
      </c>
      <c r="B252" s="113">
        <v>10172.299999999999</v>
      </c>
      <c r="C252" s="113">
        <v>10207.17</v>
      </c>
      <c r="D252" s="113">
        <v>10172.299999999999</v>
      </c>
      <c r="E252" s="113">
        <v>25796.16</v>
      </c>
      <c r="F252" s="113">
        <v>0</v>
      </c>
      <c r="G252" s="113">
        <v>0</v>
      </c>
    </row>
    <row r="253" spans="1:7" x14ac:dyDescent="0.2">
      <c r="A253" s="112">
        <v>850</v>
      </c>
      <c r="B253" s="113">
        <v>3088.25</v>
      </c>
      <c r="C253" s="113">
        <v>2665.95</v>
      </c>
      <c r="D253" s="113">
        <v>3088.25</v>
      </c>
      <c r="E253" s="113">
        <v>0</v>
      </c>
      <c r="F253" s="113">
        <v>0</v>
      </c>
      <c r="G253" s="113">
        <v>0</v>
      </c>
    </row>
    <row r="254" spans="1:7" x14ac:dyDescent="0.2">
      <c r="A254" s="112">
        <v>852</v>
      </c>
      <c r="B254" s="113">
        <v>687.39</v>
      </c>
      <c r="C254" s="113">
        <v>0</v>
      </c>
      <c r="D254" s="113">
        <v>2061.61</v>
      </c>
      <c r="E254" s="113">
        <v>0</v>
      </c>
      <c r="F254" s="113">
        <v>3872.86</v>
      </c>
      <c r="G254" s="113">
        <v>4274.24</v>
      </c>
    </row>
    <row r="255" spans="1:7" x14ac:dyDescent="0.2">
      <c r="A255" s="112">
        <v>857</v>
      </c>
      <c r="B255" s="113">
        <v>9316.84</v>
      </c>
      <c r="C255" s="113">
        <v>9099.66</v>
      </c>
      <c r="D255" s="113">
        <v>9316.84</v>
      </c>
      <c r="E255" s="113">
        <v>105409.12</v>
      </c>
      <c r="F255" s="113">
        <v>-27928.45</v>
      </c>
      <c r="G255" s="113">
        <v>0</v>
      </c>
    </row>
    <row r="256" spans="1:7" x14ac:dyDescent="0.2">
      <c r="A256" s="112">
        <v>858</v>
      </c>
      <c r="B256" s="113">
        <v>11623.19</v>
      </c>
      <c r="C256" s="113">
        <v>10119.52</v>
      </c>
      <c r="D256" s="113">
        <v>12166.89</v>
      </c>
      <c r="E256" s="113">
        <v>0</v>
      </c>
      <c r="F256" s="113">
        <v>4726.3900000000003</v>
      </c>
      <c r="G256" s="113">
        <v>9380.31</v>
      </c>
    </row>
    <row r="257" spans="1:7" x14ac:dyDescent="0.2">
      <c r="A257" s="112">
        <v>861</v>
      </c>
      <c r="B257" s="113">
        <v>49267.11</v>
      </c>
      <c r="C257" s="113">
        <v>48826.44</v>
      </c>
      <c r="D257" s="113">
        <v>49267.11</v>
      </c>
      <c r="E257" s="113">
        <v>29791.5</v>
      </c>
      <c r="F257" s="113">
        <v>10789.65</v>
      </c>
      <c r="G257" s="113">
        <v>13397.77</v>
      </c>
    </row>
    <row r="258" spans="1:7" x14ac:dyDescent="0.2">
      <c r="A258" s="112">
        <v>876</v>
      </c>
      <c r="B258" s="113">
        <v>18620.22</v>
      </c>
      <c r="C258" s="113">
        <v>17893.89</v>
      </c>
      <c r="D258" s="113">
        <v>18620.22</v>
      </c>
      <c r="E258" s="113">
        <v>83238.97</v>
      </c>
      <c r="F258" s="113">
        <v>22288.04</v>
      </c>
      <c r="G258" s="113">
        <v>22744.59</v>
      </c>
    </row>
    <row r="259" spans="1:7" x14ac:dyDescent="0.2">
      <c r="A259" s="112">
        <v>877</v>
      </c>
      <c r="B259" s="113">
        <v>72847.67</v>
      </c>
      <c r="C259" s="113">
        <v>71973.7</v>
      </c>
      <c r="D259" s="113">
        <v>72847.67</v>
      </c>
      <c r="E259" s="113">
        <v>233740.81</v>
      </c>
      <c r="F259" s="113">
        <v>40554.370000000003</v>
      </c>
      <c r="G259" s="113">
        <v>32303.24</v>
      </c>
    </row>
    <row r="260" spans="1:7" x14ac:dyDescent="0.2">
      <c r="A260" s="112">
        <v>879</v>
      </c>
      <c r="B260" s="113">
        <v>18267.62</v>
      </c>
      <c r="C260" s="113">
        <v>17362.990000000002</v>
      </c>
      <c r="D260" s="113">
        <v>18267.62</v>
      </c>
      <c r="E260" s="113">
        <v>0</v>
      </c>
      <c r="F260" s="113">
        <v>1866.98</v>
      </c>
      <c r="G260" s="113">
        <v>1834.31</v>
      </c>
    </row>
    <row r="261" spans="1:7" x14ac:dyDescent="0.2">
      <c r="A261" s="112">
        <v>881</v>
      </c>
      <c r="B261" s="113">
        <v>10305.700000000001</v>
      </c>
      <c r="C261" s="113">
        <v>10592.48</v>
      </c>
      <c r="D261" s="113">
        <v>10305.700000000001</v>
      </c>
      <c r="E261" s="113">
        <v>0</v>
      </c>
      <c r="F261" s="113">
        <v>0</v>
      </c>
      <c r="G261" s="113">
        <v>2.93</v>
      </c>
    </row>
    <row r="262" spans="1:7" x14ac:dyDescent="0.2">
      <c r="A262" s="112">
        <v>882</v>
      </c>
      <c r="B262" s="113">
        <v>40982.47</v>
      </c>
      <c r="C262" s="113">
        <v>42172.1</v>
      </c>
      <c r="D262" s="113">
        <v>40982.47</v>
      </c>
      <c r="E262" s="113">
        <v>66964.5</v>
      </c>
      <c r="F262" s="113">
        <v>19682.53</v>
      </c>
      <c r="G262" s="113">
        <v>20767.740000000002</v>
      </c>
    </row>
    <row r="263" spans="1:7" x14ac:dyDescent="0.2">
      <c r="A263" s="112">
        <v>883</v>
      </c>
      <c r="B263" s="113">
        <v>19861.8</v>
      </c>
      <c r="C263" s="113">
        <v>20120.580000000002</v>
      </c>
      <c r="D263" s="113">
        <v>19861.8</v>
      </c>
      <c r="E263" s="113">
        <v>159836.4</v>
      </c>
      <c r="F263" s="113">
        <v>40124.53</v>
      </c>
      <c r="G263" s="113">
        <v>37389.51</v>
      </c>
    </row>
    <row r="264" spans="1:7" x14ac:dyDescent="0.2">
      <c r="A264" s="112">
        <v>885</v>
      </c>
      <c r="B264" s="113">
        <v>45724.03</v>
      </c>
      <c r="C264" s="113">
        <v>43600.45</v>
      </c>
      <c r="D264" s="113">
        <v>45724.03</v>
      </c>
      <c r="E264" s="113">
        <v>265693.62</v>
      </c>
      <c r="F264" s="113">
        <v>4389.75</v>
      </c>
      <c r="G264" s="113">
        <v>-10841.8</v>
      </c>
    </row>
    <row r="265" spans="1:7" x14ac:dyDescent="0.2">
      <c r="A265" s="112">
        <v>891</v>
      </c>
      <c r="B265" s="113">
        <v>6153.88</v>
      </c>
      <c r="C265" s="113">
        <v>6433.43</v>
      </c>
      <c r="D265" s="113">
        <v>6153.88</v>
      </c>
      <c r="E265" s="113">
        <v>26715.75</v>
      </c>
      <c r="F265" s="113">
        <v>-8305.5</v>
      </c>
      <c r="G265" s="113">
        <v>2599.1</v>
      </c>
    </row>
    <row r="266" spans="1:7" x14ac:dyDescent="0.2">
      <c r="A266" s="112">
        <v>911</v>
      </c>
      <c r="B266" s="113">
        <v>59911.96</v>
      </c>
      <c r="C266" s="113">
        <v>61447.57</v>
      </c>
      <c r="D266" s="113">
        <v>59911.96</v>
      </c>
      <c r="E266" s="113">
        <v>0</v>
      </c>
      <c r="F266" s="113">
        <v>9427.14</v>
      </c>
      <c r="G266" s="113">
        <v>4450.1499999999996</v>
      </c>
    </row>
    <row r="267" spans="1:7" x14ac:dyDescent="0.2">
      <c r="A267" s="112">
        <v>912</v>
      </c>
      <c r="B267" s="113">
        <v>0</v>
      </c>
      <c r="C267" s="113">
        <v>0</v>
      </c>
      <c r="D267" s="113">
        <v>25416.77</v>
      </c>
      <c r="E267" s="113">
        <v>45169.87</v>
      </c>
      <c r="F267" s="113">
        <v>135544.37</v>
      </c>
      <c r="G267" s="113">
        <v>77837.320000000007</v>
      </c>
    </row>
    <row r="268" spans="1:7" x14ac:dyDescent="0.2">
      <c r="A268" s="112">
        <v>914</v>
      </c>
      <c r="B268" s="113">
        <v>3376.61</v>
      </c>
      <c r="C268" s="113">
        <v>2255.75</v>
      </c>
      <c r="D268" s="113">
        <v>3376.61</v>
      </c>
      <c r="E268" s="113">
        <v>16428.400000000001</v>
      </c>
      <c r="F268" s="113">
        <v>0</v>
      </c>
      <c r="G268" s="113">
        <v>0</v>
      </c>
    </row>
    <row r="269" spans="1:7" x14ac:dyDescent="0.2">
      <c r="A269" s="112">
        <v>2071</v>
      </c>
      <c r="B269" s="113">
        <v>10542.19</v>
      </c>
      <c r="C269" s="113">
        <v>11289.23</v>
      </c>
      <c r="D269" s="113">
        <v>10542.19</v>
      </c>
      <c r="E269" s="113">
        <v>115989.79</v>
      </c>
      <c r="F269" s="113">
        <v>19376.72</v>
      </c>
      <c r="G269" s="113">
        <v>6789.33</v>
      </c>
    </row>
    <row r="270" spans="1:7" x14ac:dyDescent="0.2">
      <c r="A270" s="112">
        <v>2125</v>
      </c>
      <c r="B270" s="113">
        <v>17592.09</v>
      </c>
      <c r="C270" s="113">
        <v>16919.63</v>
      </c>
      <c r="D270" s="113">
        <v>17592.09</v>
      </c>
      <c r="E270" s="113">
        <v>37422.85</v>
      </c>
      <c r="F270" s="113">
        <v>-1864.62</v>
      </c>
      <c r="G270" s="113">
        <v>6099.07</v>
      </c>
    </row>
    <row r="271" spans="1:7" x14ac:dyDescent="0.2">
      <c r="A271" s="112">
        <v>2134</v>
      </c>
      <c r="B271" s="113">
        <v>9592.3799999999992</v>
      </c>
      <c r="C271" s="113">
        <v>10409.56</v>
      </c>
      <c r="D271" s="113">
        <v>9592.3799999999992</v>
      </c>
      <c r="E271" s="113">
        <v>22684</v>
      </c>
      <c r="F271" s="113">
        <v>7226.76</v>
      </c>
      <c r="G271" s="113">
        <v>5831.24</v>
      </c>
    </row>
    <row r="272" spans="1:7" x14ac:dyDescent="0.2">
      <c r="A272" s="112">
        <v>2135</v>
      </c>
      <c r="B272" s="113">
        <v>11918.23</v>
      </c>
      <c r="C272" s="113">
        <v>12925.82</v>
      </c>
      <c r="D272" s="113">
        <v>11918.23</v>
      </c>
      <c r="E272" s="113">
        <v>76901.61</v>
      </c>
      <c r="F272" s="113">
        <v>-6221.09</v>
      </c>
      <c r="G272" s="113">
        <v>-13610.31</v>
      </c>
    </row>
    <row r="273" spans="1:7" x14ac:dyDescent="0.2">
      <c r="A273" s="112">
        <v>2137</v>
      </c>
      <c r="B273" s="113">
        <v>9259.6299999999992</v>
      </c>
      <c r="C273" s="113">
        <v>8147.82</v>
      </c>
      <c r="D273" s="113">
        <v>9259.6299999999992</v>
      </c>
      <c r="E273" s="113">
        <v>30736.93</v>
      </c>
      <c r="F273" s="113">
        <v>4648.47</v>
      </c>
      <c r="G273" s="113">
        <v>4119.71</v>
      </c>
    </row>
    <row r="274" spans="1:7" x14ac:dyDescent="0.2">
      <c r="A274" s="112">
        <v>2142</v>
      </c>
      <c r="B274" s="113">
        <v>25141.85</v>
      </c>
      <c r="C274" s="113">
        <v>25213.040000000001</v>
      </c>
      <c r="D274" s="113">
        <v>25141.85</v>
      </c>
      <c r="E274" s="113">
        <v>174116.1</v>
      </c>
      <c r="F274" s="113">
        <v>45.02</v>
      </c>
      <c r="G274" s="113">
        <v>0</v>
      </c>
    </row>
    <row r="275" spans="1:7" x14ac:dyDescent="0.2">
      <c r="A275" s="112">
        <v>2143</v>
      </c>
      <c r="B275" s="113">
        <v>11751.32</v>
      </c>
      <c r="C275" s="113">
        <v>11495.22</v>
      </c>
      <c r="D275" s="113">
        <v>11751.32</v>
      </c>
      <c r="E275" s="113">
        <v>22246.5</v>
      </c>
      <c r="F275" s="113">
        <v>4440.8999999999996</v>
      </c>
      <c r="G275" s="113">
        <v>4050.58</v>
      </c>
    </row>
    <row r="276" spans="1:7" x14ac:dyDescent="0.2">
      <c r="A276" s="112">
        <v>2144</v>
      </c>
      <c r="B276" s="113">
        <v>28417.73</v>
      </c>
      <c r="C276" s="113">
        <v>28295.37</v>
      </c>
      <c r="D276" s="113">
        <v>28417.73</v>
      </c>
      <c r="E276" s="113">
        <v>3626</v>
      </c>
      <c r="F276" s="113">
        <v>1334.14</v>
      </c>
      <c r="G276" s="113">
        <v>5523.18</v>
      </c>
    </row>
    <row r="277" spans="1:7" x14ac:dyDescent="0.2">
      <c r="A277" s="112">
        <v>2149</v>
      </c>
      <c r="B277" s="113">
        <v>15548.62</v>
      </c>
      <c r="C277" s="113">
        <v>13222.53</v>
      </c>
      <c r="D277" s="113">
        <v>15548.62</v>
      </c>
      <c r="E277" s="113">
        <v>49322.49</v>
      </c>
      <c r="F277" s="113">
        <v>6.83</v>
      </c>
      <c r="G277" s="113">
        <v>733.85</v>
      </c>
    </row>
    <row r="278" spans="1:7" x14ac:dyDescent="0.2">
      <c r="A278" s="112">
        <v>2154</v>
      </c>
      <c r="B278" s="113">
        <v>16026.51</v>
      </c>
      <c r="C278" s="113">
        <v>15026.2</v>
      </c>
      <c r="D278" s="113">
        <v>16026.51</v>
      </c>
      <c r="E278" s="113">
        <v>11158.75</v>
      </c>
      <c r="F278" s="113">
        <v>4895.9799999999996</v>
      </c>
      <c r="G278" s="113">
        <v>9059.2800000000007</v>
      </c>
    </row>
    <row r="279" spans="1:7" x14ac:dyDescent="0.2">
      <c r="A279" s="112">
        <v>2155</v>
      </c>
      <c r="B279" s="113">
        <v>18674.439999999999</v>
      </c>
      <c r="C279" s="113">
        <v>18305.599999999999</v>
      </c>
      <c r="D279" s="113">
        <v>18674.439999999999</v>
      </c>
      <c r="E279" s="113">
        <v>36216.75</v>
      </c>
      <c r="F279" s="113">
        <v>0</v>
      </c>
      <c r="G279" s="113">
        <v>-170</v>
      </c>
    </row>
    <row r="280" spans="1:7" x14ac:dyDescent="0.2">
      <c r="A280" s="112">
        <v>2159</v>
      </c>
      <c r="B280" s="113">
        <v>7015.75</v>
      </c>
      <c r="C280" s="113">
        <v>6064.26</v>
      </c>
      <c r="D280" s="113">
        <v>7015.75</v>
      </c>
      <c r="E280" s="113">
        <v>16827.11</v>
      </c>
      <c r="F280" s="113">
        <v>8285.5300000000007</v>
      </c>
      <c r="G280" s="113">
        <v>0</v>
      </c>
    </row>
    <row r="281" spans="1:7" x14ac:dyDescent="0.2">
      <c r="A281" s="112">
        <v>2164</v>
      </c>
      <c r="B281" s="113">
        <v>16094.17</v>
      </c>
      <c r="C281" s="113">
        <v>15865.69</v>
      </c>
      <c r="D281" s="113">
        <v>16094.17</v>
      </c>
      <c r="E281" s="113">
        <v>66299</v>
      </c>
      <c r="F281" s="113">
        <v>20061.47</v>
      </c>
      <c r="G281" s="113">
        <v>31496.43</v>
      </c>
    </row>
    <row r="282" spans="1:7" x14ac:dyDescent="0.2">
      <c r="A282" s="112">
        <v>2165</v>
      </c>
      <c r="B282" s="113">
        <v>15484.16</v>
      </c>
      <c r="C282" s="113">
        <v>15096.57</v>
      </c>
      <c r="D282" s="113">
        <v>15484.16</v>
      </c>
      <c r="E282" s="113">
        <v>32231.03</v>
      </c>
      <c r="F282" s="113">
        <v>0</v>
      </c>
      <c r="G282" s="113">
        <v>0</v>
      </c>
    </row>
    <row r="283" spans="1:7" x14ac:dyDescent="0.2">
      <c r="A283" s="112">
        <v>2167</v>
      </c>
      <c r="B283" s="113">
        <v>288.19</v>
      </c>
      <c r="C283" s="113">
        <v>6946</v>
      </c>
      <c r="D283" s="113">
        <v>7033.68</v>
      </c>
      <c r="E283" s="113">
        <v>57501.1</v>
      </c>
      <c r="F283" s="113">
        <v>17830.189999999999</v>
      </c>
      <c r="G283" s="113">
        <v>10237.75</v>
      </c>
    </row>
    <row r="284" spans="1:7" x14ac:dyDescent="0.2">
      <c r="A284" s="112">
        <v>2168</v>
      </c>
      <c r="B284" s="113">
        <v>10674.52</v>
      </c>
      <c r="C284" s="113">
        <v>10512.89</v>
      </c>
      <c r="D284" s="113">
        <v>10674.52</v>
      </c>
      <c r="E284" s="113">
        <v>16738.25</v>
      </c>
      <c r="F284" s="113">
        <v>-16871.29</v>
      </c>
      <c r="G284" s="113">
        <v>1935.41</v>
      </c>
    </row>
    <row r="285" spans="1:7" x14ac:dyDescent="0.2">
      <c r="A285" s="112">
        <v>2169</v>
      </c>
      <c r="B285" s="113">
        <v>8220.19</v>
      </c>
      <c r="C285" s="113">
        <v>9329.6</v>
      </c>
      <c r="D285" s="113">
        <v>8220.19</v>
      </c>
      <c r="E285" s="113">
        <v>31013.43</v>
      </c>
      <c r="F285" s="113">
        <v>0</v>
      </c>
      <c r="G285" s="113">
        <v>318.14</v>
      </c>
    </row>
    <row r="286" spans="1:7" x14ac:dyDescent="0.2">
      <c r="A286" s="112">
        <v>2170</v>
      </c>
      <c r="B286" s="113">
        <v>21421.18</v>
      </c>
      <c r="C286" s="113">
        <v>21463.52</v>
      </c>
      <c r="D286" s="113">
        <v>21421.18</v>
      </c>
      <c r="E286" s="113">
        <v>0</v>
      </c>
      <c r="F286" s="113">
        <v>-1479.09</v>
      </c>
      <c r="G286" s="113">
        <v>-832.17</v>
      </c>
    </row>
    <row r="287" spans="1:7" x14ac:dyDescent="0.2">
      <c r="A287" s="112">
        <v>2171</v>
      </c>
      <c r="B287" s="113">
        <v>2405.46</v>
      </c>
      <c r="C287" s="113">
        <v>2705.46</v>
      </c>
      <c r="D287" s="113">
        <v>2405.46</v>
      </c>
      <c r="E287" s="113">
        <v>21467.61</v>
      </c>
      <c r="F287" s="113">
        <v>0</v>
      </c>
      <c r="G287" s="113">
        <v>0</v>
      </c>
    </row>
    <row r="288" spans="1:7" x14ac:dyDescent="0.2">
      <c r="A288" s="112">
        <v>2172</v>
      </c>
      <c r="B288" s="113">
        <v>7445.83</v>
      </c>
      <c r="C288" s="113">
        <v>10409.56</v>
      </c>
      <c r="D288" s="113">
        <v>7445.83</v>
      </c>
      <c r="E288" s="113">
        <v>69358.95</v>
      </c>
      <c r="F288" s="113">
        <v>3034.37</v>
      </c>
      <c r="G288" s="113">
        <v>0</v>
      </c>
    </row>
    <row r="289" spans="1:7" x14ac:dyDescent="0.2">
      <c r="A289" s="112">
        <v>2174</v>
      </c>
      <c r="B289" s="113">
        <v>18164.53</v>
      </c>
      <c r="C289" s="113">
        <v>16270.85</v>
      </c>
      <c r="D289" s="113">
        <v>18164.53</v>
      </c>
      <c r="E289" s="113">
        <v>7957.71</v>
      </c>
      <c r="F289" s="113">
        <v>-2123.94</v>
      </c>
      <c r="G289" s="113">
        <v>629.26</v>
      </c>
    </row>
    <row r="290" spans="1:7" x14ac:dyDescent="0.2">
      <c r="A290" s="112">
        <v>2176</v>
      </c>
      <c r="B290" s="113">
        <v>6909.88</v>
      </c>
      <c r="C290" s="113">
        <v>7299.6</v>
      </c>
      <c r="D290" s="113">
        <v>6909.88</v>
      </c>
      <c r="E290" s="113">
        <v>14805</v>
      </c>
      <c r="F290" s="113">
        <v>1134.45</v>
      </c>
      <c r="G290" s="113">
        <v>2621.44</v>
      </c>
    </row>
    <row r="291" spans="1:7" x14ac:dyDescent="0.2">
      <c r="A291" s="112">
        <v>2180</v>
      </c>
      <c r="B291" s="113">
        <v>9451.64</v>
      </c>
      <c r="C291" s="113">
        <v>9413.74</v>
      </c>
      <c r="D291" s="113">
        <v>9615.01</v>
      </c>
      <c r="E291" s="113">
        <v>0</v>
      </c>
      <c r="F291" s="113">
        <v>2138.1799999999998</v>
      </c>
      <c r="G291" s="113">
        <v>2407.29</v>
      </c>
    </row>
    <row r="292" spans="1:7" x14ac:dyDescent="0.2">
      <c r="A292" s="112">
        <v>2184</v>
      </c>
      <c r="B292" s="113">
        <v>13886.57</v>
      </c>
      <c r="C292" s="113">
        <v>14166.86</v>
      </c>
      <c r="D292" s="113">
        <v>13886.57</v>
      </c>
      <c r="E292" s="113">
        <v>2835.07</v>
      </c>
      <c r="F292" s="113">
        <v>902.16</v>
      </c>
      <c r="G292" s="113">
        <v>0</v>
      </c>
    </row>
    <row r="293" spans="1:7" x14ac:dyDescent="0.2">
      <c r="A293" s="112">
        <v>2190</v>
      </c>
      <c r="B293" s="113">
        <v>13832.78</v>
      </c>
      <c r="C293" s="113">
        <v>11276.68</v>
      </c>
      <c r="D293" s="113">
        <v>13832.78</v>
      </c>
      <c r="E293" s="113">
        <v>30484.25</v>
      </c>
      <c r="F293" s="113">
        <v>5476.5</v>
      </c>
      <c r="G293" s="113">
        <v>4756.34</v>
      </c>
    </row>
    <row r="294" spans="1:7" x14ac:dyDescent="0.2">
      <c r="A294" s="112">
        <v>2198</v>
      </c>
      <c r="B294" s="113">
        <v>8586.4500000000007</v>
      </c>
      <c r="C294" s="113">
        <v>8448.42</v>
      </c>
      <c r="D294" s="113">
        <v>8586.4500000000007</v>
      </c>
      <c r="E294" s="113">
        <v>77366.5</v>
      </c>
      <c r="F294" s="113">
        <v>-12493.65</v>
      </c>
      <c r="G294" s="113">
        <v>2686.9</v>
      </c>
    </row>
    <row r="295" spans="1:7" x14ac:dyDescent="0.2">
      <c r="A295" s="112">
        <v>2215</v>
      </c>
      <c r="B295" s="113">
        <v>4023.76</v>
      </c>
      <c r="C295" s="113">
        <v>3692.63</v>
      </c>
      <c r="D295" s="113">
        <v>4023.76</v>
      </c>
      <c r="E295" s="113">
        <v>11535</v>
      </c>
      <c r="F295" s="113">
        <v>-34971.75</v>
      </c>
      <c r="G295" s="113">
        <v>-63270.6</v>
      </c>
    </row>
    <row r="296" spans="1:7" x14ac:dyDescent="0.2">
      <c r="A296" s="112">
        <v>2310</v>
      </c>
      <c r="B296" s="113">
        <v>17142.580000000002</v>
      </c>
      <c r="C296" s="113">
        <v>16538.21</v>
      </c>
      <c r="D296" s="113">
        <v>17142.580000000002</v>
      </c>
      <c r="E296" s="113">
        <v>15560</v>
      </c>
      <c r="F296" s="113">
        <v>-1119.4000000000001</v>
      </c>
      <c r="G296" s="113">
        <v>1663.21</v>
      </c>
    </row>
    <row r="297" spans="1:7" x14ac:dyDescent="0.2">
      <c r="A297" s="112">
        <v>2311</v>
      </c>
      <c r="B297" s="113">
        <v>6739.48</v>
      </c>
      <c r="C297" s="113">
        <v>6114.44</v>
      </c>
      <c r="D297" s="113">
        <v>6838.38</v>
      </c>
      <c r="E297" s="113">
        <v>10388.24</v>
      </c>
      <c r="F297" s="113">
        <v>7010.65</v>
      </c>
      <c r="G297" s="113">
        <v>6621.38</v>
      </c>
    </row>
    <row r="298" spans="1:7" x14ac:dyDescent="0.2">
      <c r="A298" s="112">
        <v>2342</v>
      </c>
      <c r="B298" s="113">
        <v>11156.68</v>
      </c>
      <c r="C298" s="113">
        <v>10758.69</v>
      </c>
      <c r="D298" s="113">
        <v>11156.68</v>
      </c>
      <c r="E298" s="113">
        <v>10607</v>
      </c>
      <c r="F298" s="113">
        <v>8725.07</v>
      </c>
      <c r="G298" s="113">
        <v>-8349.93</v>
      </c>
    </row>
    <row r="299" spans="1:7" x14ac:dyDescent="0.2">
      <c r="A299" s="112">
        <v>2358</v>
      </c>
      <c r="B299" s="113">
        <v>3184.51</v>
      </c>
      <c r="C299" s="113">
        <v>3535.73</v>
      </c>
      <c r="D299" s="113">
        <v>3184.51</v>
      </c>
      <c r="E299" s="113">
        <v>2070.4899999999998</v>
      </c>
      <c r="F299" s="113">
        <v>-9.2100000000000009</v>
      </c>
      <c r="G299" s="113">
        <v>0</v>
      </c>
    </row>
    <row r="300" spans="1:7" x14ac:dyDescent="0.2">
      <c r="A300" s="112">
        <v>2364</v>
      </c>
      <c r="B300" s="113">
        <v>8150.39</v>
      </c>
      <c r="C300" s="113">
        <v>9486.5</v>
      </c>
      <c r="D300" s="113">
        <v>8150.39</v>
      </c>
      <c r="E300" s="113">
        <v>0</v>
      </c>
      <c r="F300" s="113">
        <v>1021.79</v>
      </c>
      <c r="G300" s="113">
        <v>4.4800000000000004</v>
      </c>
    </row>
    <row r="301" spans="1:7" x14ac:dyDescent="0.2">
      <c r="A301" s="112">
        <v>2365</v>
      </c>
      <c r="B301" s="113">
        <v>12273.15</v>
      </c>
      <c r="C301" s="113">
        <v>6337.27</v>
      </c>
      <c r="D301" s="113">
        <v>13522.86</v>
      </c>
      <c r="E301" s="113">
        <v>18281.63</v>
      </c>
      <c r="F301" s="113">
        <v>19766.419999999998</v>
      </c>
      <c r="G301" s="113">
        <v>15542.57</v>
      </c>
    </row>
    <row r="302" spans="1:7" x14ac:dyDescent="0.2">
      <c r="A302" s="112">
        <v>2396</v>
      </c>
      <c r="B302" s="113">
        <v>13892.98</v>
      </c>
      <c r="C302" s="113">
        <v>10937.14</v>
      </c>
      <c r="D302" s="113">
        <v>13892.98</v>
      </c>
      <c r="E302" s="113">
        <v>68719.3</v>
      </c>
      <c r="F302" s="113">
        <v>-4665.53</v>
      </c>
      <c r="G302" s="113">
        <v>-3525.75</v>
      </c>
    </row>
    <row r="303" spans="1:7" x14ac:dyDescent="0.2">
      <c r="A303" s="112">
        <v>2397</v>
      </c>
      <c r="B303" s="113">
        <v>5582</v>
      </c>
      <c r="C303" s="113">
        <v>9494.2900000000009</v>
      </c>
      <c r="D303" s="113">
        <v>15346.28</v>
      </c>
      <c r="E303" s="113">
        <v>19740</v>
      </c>
      <c r="F303" s="113">
        <v>25891.41</v>
      </c>
      <c r="G303" s="113">
        <v>12963.82</v>
      </c>
    </row>
    <row r="304" spans="1:7" x14ac:dyDescent="0.2">
      <c r="A304" s="112">
        <v>2448</v>
      </c>
      <c r="B304" s="113">
        <v>7802.91</v>
      </c>
      <c r="C304" s="113">
        <v>8993.67</v>
      </c>
      <c r="D304" s="113">
        <v>7802.91</v>
      </c>
      <c r="E304" s="113">
        <v>56994</v>
      </c>
      <c r="F304" s="113">
        <v>10.94</v>
      </c>
      <c r="G304" s="113">
        <v>4.3099999999999996</v>
      </c>
    </row>
    <row r="305" spans="1:7" x14ac:dyDescent="0.2">
      <c r="A305" s="112">
        <v>2527</v>
      </c>
      <c r="B305" s="113">
        <v>3373.62</v>
      </c>
      <c r="C305" s="113">
        <v>4203.13</v>
      </c>
      <c r="D305" s="113">
        <v>3373.62</v>
      </c>
      <c r="E305" s="113">
        <v>0</v>
      </c>
      <c r="F305" s="113">
        <v>114.07</v>
      </c>
      <c r="G305" s="113">
        <v>114.07</v>
      </c>
    </row>
    <row r="306" spans="1:7" x14ac:dyDescent="0.2">
      <c r="A306" s="112">
        <v>2534</v>
      </c>
      <c r="B306" s="113">
        <v>9998.14</v>
      </c>
      <c r="C306" s="113">
        <v>8912.84</v>
      </c>
      <c r="D306" s="113">
        <v>9998.14</v>
      </c>
      <c r="E306" s="113">
        <v>15901.7</v>
      </c>
      <c r="F306" s="113">
        <v>917.87</v>
      </c>
      <c r="G306" s="113">
        <v>1757.66</v>
      </c>
    </row>
    <row r="307" spans="1:7" x14ac:dyDescent="0.2">
      <c r="A307" s="112">
        <v>2536</v>
      </c>
      <c r="B307" s="113">
        <v>3709.15</v>
      </c>
      <c r="C307" s="113">
        <v>3745.92</v>
      </c>
      <c r="D307" s="113">
        <v>3709.15</v>
      </c>
      <c r="E307" s="113">
        <v>10341</v>
      </c>
      <c r="F307" s="113">
        <v>7344.28</v>
      </c>
      <c r="G307" s="113">
        <v>2096.9499999999998</v>
      </c>
    </row>
    <row r="308" spans="1:7" x14ac:dyDescent="0.2">
      <c r="A308" s="112">
        <v>2580</v>
      </c>
      <c r="B308" s="113">
        <v>10769.29</v>
      </c>
      <c r="C308" s="113">
        <v>11268.32</v>
      </c>
      <c r="D308" s="113">
        <v>10769.29</v>
      </c>
      <c r="E308" s="113">
        <v>59185.1</v>
      </c>
      <c r="F308" s="113">
        <v>-46187.360000000001</v>
      </c>
      <c r="G308" s="113">
        <v>0</v>
      </c>
    </row>
    <row r="309" spans="1:7" x14ac:dyDescent="0.2">
      <c r="A309" s="112">
        <v>2609</v>
      </c>
      <c r="B309" s="113">
        <v>5756.24</v>
      </c>
      <c r="C309" s="113">
        <v>5198.37</v>
      </c>
      <c r="D309" s="113">
        <v>5951.76</v>
      </c>
      <c r="E309" s="113">
        <v>5885</v>
      </c>
      <c r="F309" s="113">
        <v>3782.05</v>
      </c>
      <c r="G309" s="113">
        <v>-796.88</v>
      </c>
    </row>
    <row r="310" spans="1:7" x14ac:dyDescent="0.2">
      <c r="A310" s="112">
        <v>2683</v>
      </c>
      <c r="B310" s="113">
        <v>4155.87</v>
      </c>
      <c r="C310" s="113">
        <v>4933.68</v>
      </c>
      <c r="D310" s="113">
        <v>4155.87</v>
      </c>
      <c r="E310" s="113">
        <v>15312.58</v>
      </c>
      <c r="F310" s="113">
        <v>-0.26</v>
      </c>
      <c r="G310" s="113">
        <v>-0.26</v>
      </c>
    </row>
    <row r="311" spans="1:7" x14ac:dyDescent="0.2">
      <c r="A311" s="112">
        <v>2687</v>
      </c>
      <c r="B311" s="113">
        <v>15707.85</v>
      </c>
      <c r="C311" s="113">
        <v>15120.14</v>
      </c>
      <c r="D311" s="113">
        <v>15707.85</v>
      </c>
      <c r="E311" s="113">
        <v>0</v>
      </c>
      <c r="F311" s="113">
        <v>750.06</v>
      </c>
      <c r="G311" s="113">
        <v>214.91</v>
      </c>
    </row>
    <row r="312" spans="1:7" x14ac:dyDescent="0.2">
      <c r="A312" s="112">
        <v>2689</v>
      </c>
      <c r="B312" s="113">
        <v>13856.72</v>
      </c>
      <c r="C312" s="113">
        <v>13446.4</v>
      </c>
      <c r="D312" s="113">
        <v>16911.22</v>
      </c>
      <c r="E312" s="113">
        <v>5890</v>
      </c>
      <c r="F312" s="113">
        <v>9995.7999999999993</v>
      </c>
      <c r="G312" s="113">
        <v>6714.74</v>
      </c>
    </row>
    <row r="313" spans="1:7" x14ac:dyDescent="0.2">
      <c r="A313" s="112">
        <v>2711</v>
      </c>
      <c r="B313" s="113">
        <v>8874.07</v>
      </c>
      <c r="C313" s="113">
        <v>11339.55</v>
      </c>
      <c r="D313" s="113">
        <v>11658.9</v>
      </c>
      <c r="E313" s="113">
        <v>38158</v>
      </c>
      <c r="F313" s="113">
        <v>24865.39</v>
      </c>
      <c r="G313" s="113">
        <v>1830.49</v>
      </c>
    </row>
    <row r="314" spans="1:7" x14ac:dyDescent="0.2">
      <c r="A314" s="112">
        <v>2752</v>
      </c>
      <c r="B314" s="113">
        <v>22841.42</v>
      </c>
      <c r="C314" s="113">
        <v>26021.38</v>
      </c>
      <c r="D314" s="113">
        <v>22841.42</v>
      </c>
      <c r="E314" s="113">
        <v>58565.599999999999</v>
      </c>
      <c r="F314" s="113">
        <v>17951.75</v>
      </c>
      <c r="G314" s="113">
        <v>15907.13</v>
      </c>
    </row>
    <row r="315" spans="1:7" x14ac:dyDescent="0.2">
      <c r="A315" s="112">
        <v>2753</v>
      </c>
      <c r="B315" s="113">
        <v>19709.189999999999</v>
      </c>
      <c r="C315" s="113">
        <v>20660.13</v>
      </c>
      <c r="D315" s="113">
        <v>19709.189999999999</v>
      </c>
      <c r="E315" s="113">
        <v>180</v>
      </c>
      <c r="F315" s="113">
        <v>-18273.86</v>
      </c>
      <c r="G315" s="113">
        <v>-48366.38</v>
      </c>
    </row>
    <row r="316" spans="1:7" x14ac:dyDescent="0.2">
      <c r="A316" s="112">
        <v>2754</v>
      </c>
      <c r="B316" s="113">
        <v>6913.3</v>
      </c>
      <c r="C316" s="113">
        <v>7055.61</v>
      </c>
      <c r="D316" s="113">
        <v>6913.3</v>
      </c>
      <c r="E316" s="113">
        <v>18254.509999999998</v>
      </c>
      <c r="F316" s="113">
        <v>-15650.2</v>
      </c>
      <c r="G316" s="113">
        <v>-18069.54</v>
      </c>
    </row>
    <row r="317" spans="1:7" x14ac:dyDescent="0.2">
      <c r="A317" s="112">
        <v>2759</v>
      </c>
      <c r="B317" s="113">
        <v>5601.29</v>
      </c>
      <c r="C317" s="113">
        <v>6412.15</v>
      </c>
      <c r="D317" s="113">
        <v>5601.29</v>
      </c>
      <c r="E317" s="113">
        <v>1927.26</v>
      </c>
      <c r="F317" s="113">
        <v>1269.48</v>
      </c>
      <c r="G317" s="113">
        <v>-11114.71</v>
      </c>
    </row>
    <row r="318" spans="1:7" x14ac:dyDescent="0.2">
      <c r="A318" s="112">
        <v>2805</v>
      </c>
      <c r="B318" s="113">
        <v>10752.22</v>
      </c>
      <c r="C318" s="113">
        <v>10690.69</v>
      </c>
      <c r="D318" s="113">
        <v>10752.22</v>
      </c>
      <c r="E318" s="113">
        <v>54279.14</v>
      </c>
      <c r="F318" s="113">
        <v>-4303.2</v>
      </c>
      <c r="G318" s="113">
        <v>-37847.18</v>
      </c>
    </row>
    <row r="319" spans="1:7" x14ac:dyDescent="0.2">
      <c r="A319" s="112">
        <v>2835</v>
      </c>
      <c r="B319" s="113">
        <v>7390.33</v>
      </c>
      <c r="C319" s="113">
        <v>6757.67</v>
      </c>
      <c r="D319" s="113">
        <v>7390.33</v>
      </c>
      <c r="E319" s="113">
        <v>28196.25</v>
      </c>
      <c r="F319" s="113">
        <v>4618.24</v>
      </c>
      <c r="G319" s="113">
        <v>5546.21</v>
      </c>
    </row>
    <row r="320" spans="1:7" x14ac:dyDescent="0.2">
      <c r="A320" s="112">
        <v>2853</v>
      </c>
      <c r="B320" s="113">
        <v>10195.35</v>
      </c>
      <c r="C320" s="113">
        <v>9992.81</v>
      </c>
      <c r="D320" s="113">
        <v>10195.35</v>
      </c>
      <c r="E320" s="113">
        <v>52998.18</v>
      </c>
      <c r="F320" s="113">
        <v>-37648.68</v>
      </c>
      <c r="G320" s="113">
        <v>-45027.839999999997</v>
      </c>
    </row>
    <row r="321" spans="1:7" x14ac:dyDescent="0.2">
      <c r="A321" s="112">
        <v>2854</v>
      </c>
      <c r="B321" s="113">
        <v>7059.93</v>
      </c>
      <c r="C321" s="113">
        <v>6217.25</v>
      </c>
      <c r="D321" s="113">
        <v>7059.93</v>
      </c>
      <c r="E321" s="113">
        <v>10325</v>
      </c>
      <c r="F321" s="113">
        <v>0.8</v>
      </c>
      <c r="G321" s="113">
        <v>-6679.52</v>
      </c>
    </row>
    <row r="322" spans="1:7" x14ac:dyDescent="0.2">
      <c r="A322" s="112">
        <v>2856</v>
      </c>
      <c r="B322" s="113">
        <v>4346.4799999999996</v>
      </c>
      <c r="C322" s="113">
        <v>4030.36</v>
      </c>
      <c r="D322" s="113">
        <v>4346.4799999999996</v>
      </c>
      <c r="E322" s="113">
        <v>14400</v>
      </c>
      <c r="F322" s="113">
        <v>-2580.8200000000002</v>
      </c>
      <c r="G322" s="113">
        <v>-1611.06</v>
      </c>
    </row>
    <row r="323" spans="1:7" x14ac:dyDescent="0.2">
      <c r="A323" s="112">
        <v>2859</v>
      </c>
      <c r="B323" s="113">
        <v>24044.14</v>
      </c>
      <c r="C323" s="113">
        <v>23424.29</v>
      </c>
      <c r="D323" s="113">
        <v>24044.14</v>
      </c>
      <c r="E323" s="113">
        <v>49204</v>
      </c>
      <c r="F323" s="113">
        <v>20001.38</v>
      </c>
      <c r="G323" s="113">
        <v>22810.29</v>
      </c>
    </row>
    <row r="324" spans="1:7" x14ac:dyDescent="0.2">
      <c r="A324" s="112">
        <v>2860</v>
      </c>
      <c r="B324" s="113">
        <v>20074.38</v>
      </c>
      <c r="C324" s="113">
        <v>20211.939999999999</v>
      </c>
      <c r="D324" s="113">
        <v>20074.38</v>
      </c>
      <c r="E324" s="113">
        <v>30695</v>
      </c>
      <c r="F324" s="113">
        <v>401.53</v>
      </c>
      <c r="G324" s="113">
        <v>10093.99</v>
      </c>
    </row>
    <row r="325" spans="1:7" x14ac:dyDescent="0.2">
      <c r="A325" s="112">
        <v>2884</v>
      </c>
      <c r="B325" s="113">
        <v>5563.93</v>
      </c>
      <c r="C325" s="113">
        <v>0</v>
      </c>
      <c r="D325" s="113">
        <v>5563.93</v>
      </c>
      <c r="E325" s="113">
        <v>7040</v>
      </c>
      <c r="F325" s="113">
        <v>-142223.04999999999</v>
      </c>
      <c r="G325" s="113">
        <v>-155564.78</v>
      </c>
    </row>
    <row r="326" spans="1:7" x14ac:dyDescent="0.2">
      <c r="A326" s="112">
        <v>2886</v>
      </c>
      <c r="B326" s="113">
        <v>3590.26</v>
      </c>
      <c r="C326" s="113">
        <v>4026.75</v>
      </c>
      <c r="D326" s="113">
        <v>3590.26</v>
      </c>
      <c r="E326" s="113">
        <v>0</v>
      </c>
      <c r="F326" s="113">
        <v>0</v>
      </c>
      <c r="G326" s="113">
        <v>1779.76</v>
      </c>
    </row>
    <row r="327" spans="1:7" x14ac:dyDescent="0.2">
      <c r="A327" s="112">
        <v>2888</v>
      </c>
      <c r="B327" s="113">
        <v>4892.45</v>
      </c>
      <c r="C327" s="113">
        <v>5265.43</v>
      </c>
      <c r="D327" s="113">
        <v>4892.45</v>
      </c>
      <c r="E327" s="113">
        <v>31697</v>
      </c>
      <c r="F327" s="113">
        <v>3658.8</v>
      </c>
      <c r="G327" s="113">
        <v>9409.07</v>
      </c>
    </row>
    <row r="328" spans="1:7" x14ac:dyDescent="0.2">
      <c r="A328" s="112">
        <v>2889</v>
      </c>
      <c r="B328" s="113">
        <v>8531.3700000000008</v>
      </c>
      <c r="C328" s="113">
        <v>9649.66</v>
      </c>
      <c r="D328" s="113">
        <v>8531.3700000000008</v>
      </c>
      <c r="E328" s="113">
        <v>24859.78</v>
      </c>
      <c r="F328" s="113">
        <v>-63383.61</v>
      </c>
      <c r="G328" s="113">
        <v>-77572.2</v>
      </c>
    </row>
    <row r="329" spans="1:7" x14ac:dyDescent="0.2">
      <c r="A329" s="112">
        <v>2890</v>
      </c>
      <c r="B329" s="113">
        <v>4737.2700000000004</v>
      </c>
      <c r="C329" s="113">
        <v>8569.7000000000007</v>
      </c>
      <c r="D329" s="113">
        <v>8303.2099999999991</v>
      </c>
      <c r="E329" s="113">
        <v>14328.87</v>
      </c>
      <c r="F329" s="113">
        <v>9534.5400000000009</v>
      </c>
      <c r="G329" s="113">
        <v>143.54</v>
      </c>
    </row>
    <row r="330" spans="1:7" x14ac:dyDescent="0.2">
      <c r="A330" s="112">
        <v>2895</v>
      </c>
      <c r="B330" s="113">
        <v>14582.38</v>
      </c>
      <c r="C330" s="113">
        <v>16071.41</v>
      </c>
      <c r="D330" s="113">
        <v>14582.38</v>
      </c>
      <c r="E330" s="113">
        <v>14285.4</v>
      </c>
      <c r="F330" s="113">
        <v>3335.53</v>
      </c>
      <c r="G330" s="113">
        <v>840.94</v>
      </c>
    </row>
    <row r="331" spans="1:7" x14ac:dyDescent="0.2">
      <c r="A331" s="112">
        <v>2897</v>
      </c>
      <c r="B331" s="113">
        <v>16284.98</v>
      </c>
      <c r="C331" s="113">
        <v>16642.97</v>
      </c>
      <c r="D331" s="113">
        <v>16284.98</v>
      </c>
      <c r="E331" s="113">
        <v>46070</v>
      </c>
      <c r="F331" s="113">
        <v>-4334.7299999999996</v>
      </c>
      <c r="G331" s="113">
        <v>-2300.88</v>
      </c>
    </row>
    <row r="332" spans="1:7" x14ac:dyDescent="0.2">
      <c r="A332" s="112">
        <v>2898</v>
      </c>
      <c r="B332" s="113">
        <v>6349.6</v>
      </c>
      <c r="C332" s="113">
        <v>6171.76</v>
      </c>
      <c r="D332" s="113">
        <v>6349.6</v>
      </c>
      <c r="E332" s="113">
        <v>3650</v>
      </c>
      <c r="F332" s="113">
        <v>4240.8900000000003</v>
      </c>
      <c r="G332" s="113">
        <v>1223.81</v>
      </c>
    </row>
    <row r="333" spans="1:7" x14ac:dyDescent="0.2">
      <c r="A333" s="112">
        <v>2899</v>
      </c>
      <c r="B333" s="113">
        <v>13723.28</v>
      </c>
      <c r="C333" s="113">
        <v>15087.84</v>
      </c>
      <c r="D333" s="113">
        <v>13723.28</v>
      </c>
      <c r="E333" s="113">
        <v>77267.990000000005</v>
      </c>
      <c r="F333" s="113">
        <v>14367.77</v>
      </c>
      <c r="G333" s="113">
        <v>22602.17</v>
      </c>
    </row>
    <row r="334" spans="1:7" x14ac:dyDescent="0.2">
      <c r="A334" s="112">
        <v>2902</v>
      </c>
      <c r="B334" s="113">
        <v>6013.65</v>
      </c>
      <c r="C334" s="113">
        <v>6832.23</v>
      </c>
      <c r="D334" s="113">
        <v>6013.65</v>
      </c>
      <c r="E334" s="113">
        <v>0</v>
      </c>
      <c r="F334" s="113">
        <v>-0.46</v>
      </c>
      <c r="G334" s="113">
        <v>-0.93</v>
      </c>
    </row>
    <row r="335" spans="1:7" x14ac:dyDescent="0.2">
      <c r="A335" s="112">
        <v>2903</v>
      </c>
      <c r="B335" s="113">
        <v>5832.86</v>
      </c>
      <c r="C335" s="113">
        <v>5712.75</v>
      </c>
      <c r="D335" s="113">
        <v>5832.86</v>
      </c>
      <c r="E335" s="113">
        <v>22494</v>
      </c>
      <c r="F335" s="113">
        <v>3520.71</v>
      </c>
      <c r="G335" s="113">
        <v>3398.81</v>
      </c>
    </row>
    <row r="336" spans="1:7" x14ac:dyDescent="0.2">
      <c r="A336" s="112">
        <v>2904</v>
      </c>
      <c r="B336" s="113">
        <v>11784.62</v>
      </c>
      <c r="C336" s="113">
        <v>11512.03</v>
      </c>
      <c r="D336" s="113">
        <v>11784.62</v>
      </c>
      <c r="E336" s="113">
        <v>41398</v>
      </c>
      <c r="F336" s="113">
        <v>0</v>
      </c>
      <c r="G336" s="113">
        <v>-670.75</v>
      </c>
    </row>
    <row r="337" spans="1:7" x14ac:dyDescent="0.2">
      <c r="A337" s="112">
        <v>2905</v>
      </c>
      <c r="B337" s="113">
        <v>0</v>
      </c>
      <c r="C337" s="113">
        <v>25071.34</v>
      </c>
      <c r="D337" s="113">
        <v>23761.759999999998</v>
      </c>
      <c r="E337" s="113">
        <v>81409.679999999993</v>
      </c>
      <c r="F337" s="113">
        <v>0</v>
      </c>
      <c r="G337" s="113">
        <v>0</v>
      </c>
    </row>
    <row r="338" spans="1:7" x14ac:dyDescent="0.2">
      <c r="A338" s="112">
        <v>1000</v>
      </c>
      <c r="B338" s="114">
        <v>9958393.0899999999</v>
      </c>
      <c r="C338" s="114">
        <v>9966123.3899999969</v>
      </c>
      <c r="D338" s="114">
        <v>10095000</v>
      </c>
      <c r="E338" s="113">
        <v>13031453.509999994</v>
      </c>
      <c r="F338" s="114">
        <v>1345804.2599999993</v>
      </c>
      <c r="G338" s="114">
        <v>1038325.34</v>
      </c>
    </row>
    <row r="340" spans="1:7" x14ac:dyDescent="0.2">
      <c r="B340" s="31">
        <f>COUNTIF(B2:B337,"&gt;0")</f>
        <v>330</v>
      </c>
      <c r="C340" s="31">
        <f>COUNTIF(C2:C337,"&gt;0")</f>
        <v>326</v>
      </c>
      <c r="D340" s="31">
        <f>COUNTIF(D2:D337,"&gt;0")</f>
        <v>333</v>
      </c>
    </row>
    <row r="341" spans="1:7" x14ac:dyDescent="0.2">
      <c r="B341" s="86"/>
    </row>
    <row r="342" spans="1:7" x14ac:dyDescent="0.2">
      <c r="B342" s="86"/>
    </row>
    <row r="343" spans="1:7" x14ac:dyDescent="0.2">
      <c r="B343" s="86"/>
    </row>
    <row r="344" spans="1:7" x14ac:dyDescent="0.2">
      <c r="B344" s="86"/>
    </row>
    <row r="345" spans="1:7" x14ac:dyDescent="0.2">
      <c r="B345" s="86"/>
    </row>
  </sheetData>
  <sheetProtection password="8A77" sheet="1"/>
  <phoneticPr fontId="2" type="noConversion"/>
  <pageMargins left="0.75" right="0.75" top="1" bottom="1" header="0.5" footer="0.5"/>
  <pageSetup scale="90" orientation="portrait" r:id="rId1"/>
  <headerFooter alignWithMargins="0">
    <oddHeader>&amp;L&amp;A&amp;C&amp;F&amp;R&amp;D</oddHeader>
    <oddFooter>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38"/>
  <sheetViews>
    <sheetView topLeftCell="A324" workbookViewId="0">
      <selection activeCell="C332" sqref="C332"/>
    </sheetView>
  </sheetViews>
  <sheetFormatPr defaultRowHeight="12.75" x14ac:dyDescent="0.2"/>
  <cols>
    <col min="1" max="1" width="9.140625" style="31"/>
    <col min="2" max="2" width="14" style="86" bestFit="1" customWidth="1"/>
  </cols>
  <sheetData>
    <row r="1" spans="1:17" x14ac:dyDescent="0.2">
      <c r="A1" s="84">
        <v>1</v>
      </c>
      <c r="B1" s="85">
        <v>2</v>
      </c>
      <c r="C1" s="3">
        <v>3</v>
      </c>
      <c r="E1" s="38" t="s">
        <v>388</v>
      </c>
      <c r="F1" s="38" t="s">
        <v>450</v>
      </c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x14ac:dyDescent="0.2">
      <c r="A2" s="109">
        <v>1</v>
      </c>
      <c r="B2" s="110">
        <v>63683.33</v>
      </c>
      <c r="E2" s="108"/>
    </row>
    <row r="3" spans="1:17" x14ac:dyDescent="0.2">
      <c r="A3" s="109">
        <v>9999</v>
      </c>
      <c r="B3" s="110">
        <v>684754.88000000024</v>
      </c>
    </row>
    <row r="4" spans="1:17" x14ac:dyDescent="0.2">
      <c r="A4" s="109">
        <v>2</v>
      </c>
      <c r="B4" s="110">
        <v>5315.13</v>
      </c>
    </row>
    <row r="5" spans="1:17" x14ac:dyDescent="0.2">
      <c r="A5" s="109">
        <v>4</v>
      </c>
      <c r="B5" s="110">
        <v>22886.840000000004</v>
      </c>
    </row>
    <row r="6" spans="1:17" x14ac:dyDescent="0.2">
      <c r="A6" s="109">
        <v>6</v>
      </c>
      <c r="B6" s="110">
        <v>82118.930000000008</v>
      </c>
    </row>
    <row r="7" spans="1:17" x14ac:dyDescent="0.2">
      <c r="A7" s="109">
        <v>11</v>
      </c>
      <c r="B7" s="110">
        <v>993658.64000000025</v>
      </c>
    </row>
    <row r="8" spans="1:17" x14ac:dyDescent="0.2">
      <c r="A8" s="109">
        <v>12</v>
      </c>
      <c r="B8" s="110">
        <v>68433.45</v>
      </c>
    </row>
    <row r="9" spans="1:17" x14ac:dyDescent="0.2">
      <c r="A9" s="109">
        <v>13</v>
      </c>
      <c r="B9" s="110">
        <v>132697.83000000002</v>
      </c>
    </row>
    <row r="10" spans="1:17" x14ac:dyDescent="0.2">
      <c r="A10" s="109">
        <v>14</v>
      </c>
      <c r="B10" s="110">
        <v>59612.560000000005</v>
      </c>
    </row>
    <row r="11" spans="1:17" x14ac:dyDescent="0.2">
      <c r="A11" s="109">
        <v>15</v>
      </c>
      <c r="B11" s="110">
        <v>63252.99</v>
      </c>
    </row>
    <row r="12" spans="1:17" x14ac:dyDescent="0.2">
      <c r="A12" s="109">
        <v>16</v>
      </c>
      <c r="B12" s="110">
        <v>73048.28</v>
      </c>
    </row>
    <row r="13" spans="1:17" x14ac:dyDescent="0.2">
      <c r="A13" s="109">
        <v>22</v>
      </c>
      <c r="B13" s="110">
        <v>82252.939999999973</v>
      </c>
    </row>
    <row r="14" spans="1:17" x14ac:dyDescent="0.2">
      <c r="A14" s="109">
        <v>23</v>
      </c>
      <c r="B14" s="110">
        <v>33279.83</v>
      </c>
    </row>
    <row r="15" spans="1:17" x14ac:dyDescent="0.2">
      <c r="A15" s="109">
        <v>25</v>
      </c>
      <c r="B15" s="110">
        <v>2185.33</v>
      </c>
    </row>
    <row r="16" spans="1:17" x14ac:dyDescent="0.2">
      <c r="A16" s="109">
        <v>31</v>
      </c>
      <c r="B16" s="110">
        <v>88699.56</v>
      </c>
    </row>
    <row r="17" spans="1:2" x14ac:dyDescent="0.2">
      <c r="A17" s="109">
        <v>32</v>
      </c>
      <c r="B17" s="110">
        <v>5629.36</v>
      </c>
    </row>
    <row r="18" spans="1:2" x14ac:dyDescent="0.2">
      <c r="A18" s="109">
        <v>36</v>
      </c>
      <c r="B18" s="110">
        <v>3930</v>
      </c>
    </row>
    <row r="19" spans="1:2" x14ac:dyDescent="0.2">
      <c r="A19" s="109">
        <v>38</v>
      </c>
      <c r="B19" s="110">
        <v>35120.600000000006</v>
      </c>
    </row>
    <row r="20" spans="1:2" x14ac:dyDescent="0.2">
      <c r="A20" s="109">
        <v>47</v>
      </c>
      <c r="B20" s="110">
        <v>110608.65999999999</v>
      </c>
    </row>
    <row r="21" spans="1:2" x14ac:dyDescent="0.2">
      <c r="A21" s="109">
        <v>51</v>
      </c>
      <c r="B21" s="110">
        <v>23806.450000000004</v>
      </c>
    </row>
    <row r="22" spans="1:2" x14ac:dyDescent="0.2">
      <c r="A22" s="109">
        <v>75</v>
      </c>
      <c r="B22" s="110">
        <v>5207.25</v>
      </c>
    </row>
    <row r="23" spans="1:2" x14ac:dyDescent="0.2">
      <c r="A23" s="109">
        <v>77</v>
      </c>
      <c r="B23" s="110">
        <v>124562.95000000001</v>
      </c>
    </row>
    <row r="24" spans="1:2" x14ac:dyDescent="0.2">
      <c r="A24" s="109">
        <v>81</v>
      </c>
      <c r="B24" s="110">
        <v>4399.3900000000003</v>
      </c>
    </row>
    <row r="25" spans="1:2" x14ac:dyDescent="0.2">
      <c r="A25" s="109">
        <v>84</v>
      </c>
      <c r="B25" s="110">
        <v>42840.74</v>
      </c>
    </row>
    <row r="26" spans="1:2" x14ac:dyDescent="0.2">
      <c r="A26" s="109">
        <v>85</v>
      </c>
      <c r="B26" s="110">
        <v>12637.51</v>
      </c>
    </row>
    <row r="27" spans="1:2" x14ac:dyDescent="0.2">
      <c r="A27" s="109">
        <v>88</v>
      </c>
      <c r="B27" s="110">
        <v>47313.42</v>
      </c>
    </row>
    <row r="28" spans="1:2" x14ac:dyDescent="0.2">
      <c r="A28" s="109">
        <v>91</v>
      </c>
      <c r="B28" s="110">
        <v>34467.96</v>
      </c>
    </row>
    <row r="29" spans="1:2" x14ac:dyDescent="0.2">
      <c r="A29" s="109">
        <v>93</v>
      </c>
      <c r="B29" s="110">
        <v>39416.350000000006</v>
      </c>
    </row>
    <row r="30" spans="1:2" x14ac:dyDescent="0.2">
      <c r="A30" s="109">
        <v>94</v>
      </c>
      <c r="B30" s="110">
        <v>57157.46</v>
      </c>
    </row>
    <row r="31" spans="1:2" x14ac:dyDescent="0.2">
      <c r="A31" s="109">
        <v>95</v>
      </c>
      <c r="B31" s="110">
        <v>22783.7</v>
      </c>
    </row>
    <row r="32" spans="1:2" x14ac:dyDescent="0.2">
      <c r="A32" s="109">
        <v>97</v>
      </c>
      <c r="B32" s="110">
        <v>32500.749999999996</v>
      </c>
    </row>
    <row r="33" spans="1:2" x14ac:dyDescent="0.2">
      <c r="A33" s="109">
        <v>99</v>
      </c>
      <c r="B33" s="110">
        <v>38781.399999999994</v>
      </c>
    </row>
    <row r="34" spans="1:2" x14ac:dyDescent="0.2">
      <c r="A34" s="109">
        <v>100</v>
      </c>
      <c r="B34" s="110">
        <v>8164.6000000000013</v>
      </c>
    </row>
    <row r="35" spans="1:2" x14ac:dyDescent="0.2">
      <c r="A35" s="109">
        <v>108</v>
      </c>
      <c r="B35" s="110">
        <v>24739.989999999998</v>
      </c>
    </row>
    <row r="36" spans="1:2" x14ac:dyDescent="0.2">
      <c r="A36" s="109">
        <v>110</v>
      </c>
      <c r="B36" s="110">
        <v>42057.770000000004</v>
      </c>
    </row>
    <row r="37" spans="1:2" x14ac:dyDescent="0.2">
      <c r="A37" s="109">
        <v>111</v>
      </c>
      <c r="B37" s="110">
        <v>84678.65</v>
      </c>
    </row>
    <row r="38" spans="1:2" x14ac:dyDescent="0.2">
      <c r="A38" s="109">
        <v>112</v>
      </c>
      <c r="B38" s="110">
        <v>145144.37</v>
      </c>
    </row>
    <row r="39" spans="1:2" x14ac:dyDescent="0.2">
      <c r="A39" s="109">
        <v>113</v>
      </c>
      <c r="B39" s="110">
        <v>12799.859999999999</v>
      </c>
    </row>
    <row r="40" spans="1:2" x14ac:dyDescent="0.2">
      <c r="A40" s="109">
        <v>115</v>
      </c>
      <c r="B40" s="110">
        <v>22836.21</v>
      </c>
    </row>
    <row r="41" spans="1:2" x14ac:dyDescent="0.2">
      <c r="A41" s="109">
        <v>116</v>
      </c>
      <c r="B41" s="110">
        <v>49305.739999999991</v>
      </c>
    </row>
    <row r="42" spans="1:2" x14ac:dyDescent="0.2">
      <c r="A42" s="109">
        <v>118</v>
      </c>
      <c r="B42" s="110">
        <v>7714</v>
      </c>
    </row>
    <row r="43" spans="1:2" x14ac:dyDescent="0.2">
      <c r="A43" s="109">
        <v>129</v>
      </c>
      <c r="B43" s="110">
        <v>16720.95</v>
      </c>
    </row>
    <row r="44" spans="1:2" x14ac:dyDescent="0.2">
      <c r="A44" s="109">
        <v>138</v>
      </c>
      <c r="B44" s="110">
        <v>43508.76</v>
      </c>
    </row>
    <row r="45" spans="1:2" x14ac:dyDescent="0.2">
      <c r="A45" s="109">
        <v>139</v>
      </c>
      <c r="B45" s="111">
        <v>23747.589999999997</v>
      </c>
    </row>
    <row r="46" spans="1:2" x14ac:dyDescent="0.2">
      <c r="A46" s="109">
        <v>146</v>
      </c>
      <c r="B46" s="110">
        <v>31500.899999999998</v>
      </c>
    </row>
    <row r="47" spans="1:2" x14ac:dyDescent="0.2">
      <c r="A47" s="109">
        <v>150</v>
      </c>
      <c r="B47" s="110">
        <v>7204.3099999999995</v>
      </c>
    </row>
    <row r="48" spans="1:2" x14ac:dyDescent="0.2">
      <c r="A48" s="109">
        <v>152</v>
      </c>
      <c r="B48" s="110">
        <v>103400.67</v>
      </c>
    </row>
    <row r="49" spans="1:2" x14ac:dyDescent="0.2">
      <c r="A49" s="109">
        <v>162</v>
      </c>
      <c r="B49" s="110">
        <v>40559.670000000006</v>
      </c>
    </row>
    <row r="50" spans="1:2" x14ac:dyDescent="0.2">
      <c r="A50" s="109">
        <v>166</v>
      </c>
      <c r="B50" s="110">
        <v>39103.51</v>
      </c>
    </row>
    <row r="51" spans="1:2" x14ac:dyDescent="0.2">
      <c r="A51" s="109">
        <v>173</v>
      </c>
      <c r="B51" s="110">
        <v>5883.4600000000009</v>
      </c>
    </row>
    <row r="52" spans="1:2" x14ac:dyDescent="0.2">
      <c r="A52" s="109">
        <v>177</v>
      </c>
      <c r="B52" s="110">
        <v>17785.27</v>
      </c>
    </row>
    <row r="53" spans="1:2" x14ac:dyDescent="0.2">
      <c r="A53" s="109">
        <v>181</v>
      </c>
      <c r="B53" s="110">
        <v>227685.1</v>
      </c>
    </row>
    <row r="54" spans="1:2" x14ac:dyDescent="0.2">
      <c r="A54" s="109">
        <v>182</v>
      </c>
      <c r="B54" s="110">
        <v>20150.41</v>
      </c>
    </row>
    <row r="55" spans="1:2" x14ac:dyDescent="0.2">
      <c r="A55" s="109">
        <v>186</v>
      </c>
      <c r="B55" s="110">
        <v>74821.94</v>
      </c>
    </row>
    <row r="56" spans="1:2" x14ac:dyDescent="0.2">
      <c r="A56" s="109">
        <v>191</v>
      </c>
      <c r="B56" s="110">
        <v>114320.13</v>
      </c>
    </row>
    <row r="57" spans="1:2" x14ac:dyDescent="0.2">
      <c r="A57" s="109">
        <v>192</v>
      </c>
      <c r="B57" s="110">
        <v>88016.57</v>
      </c>
    </row>
    <row r="58" spans="1:2" x14ac:dyDescent="0.2">
      <c r="A58" s="109">
        <v>194</v>
      </c>
      <c r="B58" s="110">
        <v>84175.11</v>
      </c>
    </row>
    <row r="59" spans="1:2" x14ac:dyDescent="0.2">
      <c r="A59" s="109">
        <v>195</v>
      </c>
      <c r="B59" s="110">
        <v>24286.29</v>
      </c>
    </row>
    <row r="60" spans="1:2" x14ac:dyDescent="0.2">
      <c r="A60" s="109">
        <v>196</v>
      </c>
      <c r="B60" s="110">
        <v>430098.99</v>
      </c>
    </row>
    <row r="61" spans="1:2" x14ac:dyDescent="0.2">
      <c r="A61" s="109">
        <v>197</v>
      </c>
      <c r="B61" s="110">
        <v>92312.93</v>
      </c>
    </row>
    <row r="62" spans="1:2" x14ac:dyDescent="0.2">
      <c r="A62" s="109">
        <v>199</v>
      </c>
      <c r="B62" s="110">
        <v>42410.359999999993</v>
      </c>
    </row>
    <row r="63" spans="1:2" x14ac:dyDescent="0.2">
      <c r="A63" s="109">
        <v>200</v>
      </c>
      <c r="B63" s="110">
        <v>83350.67</v>
      </c>
    </row>
    <row r="64" spans="1:2" x14ac:dyDescent="0.2">
      <c r="A64" s="109">
        <v>203</v>
      </c>
      <c r="B64" s="110">
        <v>10704.86</v>
      </c>
    </row>
    <row r="65" spans="1:2" x14ac:dyDescent="0.2">
      <c r="A65" s="109">
        <v>204</v>
      </c>
      <c r="B65" s="110">
        <v>122604.75</v>
      </c>
    </row>
    <row r="66" spans="1:2" x14ac:dyDescent="0.2">
      <c r="A66" s="109">
        <v>206</v>
      </c>
      <c r="B66" s="110">
        <v>186480.33</v>
      </c>
    </row>
    <row r="67" spans="1:2" x14ac:dyDescent="0.2">
      <c r="A67" s="109">
        <v>207</v>
      </c>
      <c r="B67" s="110">
        <v>19116.240000000002</v>
      </c>
    </row>
    <row r="68" spans="1:2" x14ac:dyDescent="0.2">
      <c r="A68" s="109">
        <v>208</v>
      </c>
      <c r="B68" s="110">
        <v>8324.17</v>
      </c>
    </row>
    <row r="69" spans="1:2" x14ac:dyDescent="0.2">
      <c r="A69" s="109">
        <v>213</v>
      </c>
      <c r="B69" s="110">
        <v>71597.239999999991</v>
      </c>
    </row>
    <row r="70" spans="1:2" x14ac:dyDescent="0.2">
      <c r="A70" s="109">
        <v>227</v>
      </c>
      <c r="B70" s="110">
        <v>153781.20999999996</v>
      </c>
    </row>
    <row r="71" spans="1:2" x14ac:dyDescent="0.2">
      <c r="A71" s="109">
        <v>229</v>
      </c>
      <c r="B71" s="110">
        <v>3936.1499999999996</v>
      </c>
    </row>
    <row r="72" spans="1:2" x14ac:dyDescent="0.2">
      <c r="A72" s="109">
        <v>238</v>
      </c>
      <c r="B72" s="110">
        <v>26683.25</v>
      </c>
    </row>
    <row r="73" spans="1:2" x14ac:dyDescent="0.2">
      <c r="A73" s="109">
        <v>239</v>
      </c>
      <c r="B73" s="110">
        <v>66269.39</v>
      </c>
    </row>
    <row r="74" spans="1:2" x14ac:dyDescent="0.2">
      <c r="A74" s="109">
        <v>241</v>
      </c>
      <c r="B74" s="110">
        <v>81174.140000000014</v>
      </c>
    </row>
    <row r="75" spans="1:2" x14ac:dyDescent="0.2">
      <c r="A75" s="109">
        <v>242</v>
      </c>
      <c r="B75" s="110">
        <v>6449.89</v>
      </c>
    </row>
    <row r="76" spans="1:2" x14ac:dyDescent="0.2">
      <c r="A76" s="109">
        <v>252</v>
      </c>
      <c r="B76" s="110">
        <v>37103.040000000001</v>
      </c>
    </row>
    <row r="77" spans="1:2" x14ac:dyDescent="0.2">
      <c r="A77" s="109">
        <v>253</v>
      </c>
      <c r="B77" s="110">
        <v>30428.859999999997</v>
      </c>
    </row>
    <row r="78" spans="1:2" x14ac:dyDescent="0.2">
      <c r="A78" s="109">
        <v>255</v>
      </c>
      <c r="B78" s="110">
        <v>101817.21</v>
      </c>
    </row>
    <row r="79" spans="1:2" x14ac:dyDescent="0.2">
      <c r="A79" s="109">
        <v>256</v>
      </c>
      <c r="B79" s="110">
        <v>21939.569999999996</v>
      </c>
    </row>
    <row r="80" spans="1:2" x14ac:dyDescent="0.2">
      <c r="A80" s="109">
        <v>261</v>
      </c>
      <c r="B80" s="110">
        <v>7252.81</v>
      </c>
    </row>
    <row r="81" spans="1:2" x14ac:dyDescent="0.2">
      <c r="A81" s="109">
        <v>264</v>
      </c>
      <c r="B81" s="110">
        <v>20778.37</v>
      </c>
    </row>
    <row r="82" spans="1:2" x14ac:dyDescent="0.2">
      <c r="A82" s="109">
        <v>270</v>
      </c>
      <c r="B82" s="110">
        <v>77966.679999999993</v>
      </c>
    </row>
    <row r="83" spans="1:2" x14ac:dyDescent="0.2">
      <c r="A83" s="109">
        <v>271</v>
      </c>
      <c r="B83" s="110">
        <v>672949.70000000007</v>
      </c>
    </row>
    <row r="84" spans="1:2" x14ac:dyDescent="0.2">
      <c r="A84" s="109">
        <v>272</v>
      </c>
      <c r="B84" s="110">
        <v>295991.18000000005</v>
      </c>
    </row>
    <row r="85" spans="1:2" x14ac:dyDescent="0.2">
      <c r="A85" s="109">
        <v>273</v>
      </c>
      <c r="B85" s="110">
        <v>67947.099999999991</v>
      </c>
    </row>
    <row r="86" spans="1:2" x14ac:dyDescent="0.2">
      <c r="A86" s="109">
        <v>276</v>
      </c>
      <c r="B86" s="110">
        <v>55405.66</v>
      </c>
    </row>
    <row r="87" spans="1:2" x14ac:dyDescent="0.2">
      <c r="A87" s="109">
        <v>277</v>
      </c>
      <c r="B87" s="110">
        <v>347564.75999999995</v>
      </c>
    </row>
    <row r="88" spans="1:2" x14ac:dyDescent="0.2">
      <c r="A88" s="109">
        <v>278</v>
      </c>
      <c r="B88" s="110">
        <v>143266.61000000002</v>
      </c>
    </row>
    <row r="89" spans="1:2" x14ac:dyDescent="0.2">
      <c r="A89" s="109">
        <v>279</v>
      </c>
      <c r="B89" s="110">
        <v>300527.40999999992</v>
      </c>
    </row>
    <row r="90" spans="1:2" x14ac:dyDescent="0.2">
      <c r="A90" s="109">
        <v>280</v>
      </c>
      <c r="B90" s="110">
        <v>81157.850000000006</v>
      </c>
    </row>
    <row r="91" spans="1:2" x14ac:dyDescent="0.2">
      <c r="A91" s="109">
        <v>281</v>
      </c>
      <c r="B91" s="110">
        <v>192375.52999999997</v>
      </c>
    </row>
    <row r="92" spans="1:2" x14ac:dyDescent="0.2">
      <c r="A92" s="109">
        <v>282</v>
      </c>
      <c r="B92" s="110">
        <v>11230.58</v>
      </c>
    </row>
    <row r="93" spans="1:2" x14ac:dyDescent="0.2">
      <c r="A93" s="109">
        <v>283</v>
      </c>
      <c r="B93" s="110">
        <v>58934.93</v>
      </c>
    </row>
    <row r="94" spans="1:2" x14ac:dyDescent="0.2">
      <c r="A94" s="109">
        <v>284</v>
      </c>
      <c r="B94" s="110">
        <v>71867.659999999989</v>
      </c>
    </row>
    <row r="95" spans="1:2" x14ac:dyDescent="0.2">
      <c r="A95" s="109">
        <v>286</v>
      </c>
      <c r="B95" s="110">
        <v>88351.840000000011</v>
      </c>
    </row>
    <row r="96" spans="1:2" x14ac:dyDescent="0.2">
      <c r="A96" s="109">
        <v>294</v>
      </c>
      <c r="B96" s="110">
        <v>10113.130000000001</v>
      </c>
    </row>
    <row r="97" spans="1:2" x14ac:dyDescent="0.2">
      <c r="A97" s="109">
        <v>297</v>
      </c>
      <c r="B97" s="110">
        <v>4629.3599999999997</v>
      </c>
    </row>
    <row r="98" spans="1:2" x14ac:dyDescent="0.2">
      <c r="A98" s="109">
        <v>299</v>
      </c>
      <c r="B98" s="111">
        <v>52432.55999999999</v>
      </c>
    </row>
    <row r="99" spans="1:2" x14ac:dyDescent="0.2">
      <c r="A99" s="109">
        <v>300</v>
      </c>
      <c r="B99" s="110">
        <v>40142.80000000001</v>
      </c>
    </row>
    <row r="100" spans="1:2" x14ac:dyDescent="0.2">
      <c r="A100" s="109">
        <v>306</v>
      </c>
      <c r="B100" s="110">
        <v>8684.67</v>
      </c>
    </row>
    <row r="101" spans="1:2" x14ac:dyDescent="0.2">
      <c r="A101" s="109">
        <v>308</v>
      </c>
      <c r="B101" s="110">
        <v>53501.27</v>
      </c>
    </row>
    <row r="102" spans="1:2" x14ac:dyDescent="0.2">
      <c r="A102" s="109">
        <v>309</v>
      </c>
      <c r="B102" s="110">
        <v>60224.15</v>
      </c>
    </row>
    <row r="103" spans="1:2" x14ac:dyDescent="0.2">
      <c r="A103" s="109">
        <v>314</v>
      </c>
      <c r="B103" s="110">
        <v>38302.999999999993</v>
      </c>
    </row>
    <row r="104" spans="1:2" x14ac:dyDescent="0.2">
      <c r="A104" s="109">
        <v>316</v>
      </c>
      <c r="B104" s="110">
        <v>16316.490000000002</v>
      </c>
    </row>
    <row r="105" spans="1:2" x14ac:dyDescent="0.2">
      <c r="A105" s="109">
        <v>317</v>
      </c>
      <c r="B105" s="110">
        <v>47590.090000000004</v>
      </c>
    </row>
    <row r="106" spans="1:2" x14ac:dyDescent="0.2">
      <c r="A106" s="109">
        <v>318</v>
      </c>
      <c r="B106" s="110">
        <v>49459.600000000006</v>
      </c>
    </row>
    <row r="107" spans="1:2" x14ac:dyDescent="0.2">
      <c r="A107" s="109">
        <v>319</v>
      </c>
      <c r="B107" s="110">
        <v>7496.26</v>
      </c>
    </row>
    <row r="108" spans="1:2" x14ac:dyDescent="0.2">
      <c r="A108" s="109">
        <v>330</v>
      </c>
      <c r="B108" s="110">
        <v>711.56999999999994</v>
      </c>
    </row>
    <row r="109" spans="1:2" x14ac:dyDescent="0.2">
      <c r="A109" s="109">
        <v>332</v>
      </c>
      <c r="B109" s="110">
        <v>28551.43</v>
      </c>
    </row>
    <row r="110" spans="1:2" x14ac:dyDescent="0.2">
      <c r="A110" s="109">
        <v>333</v>
      </c>
      <c r="B110" s="110">
        <v>43879.149999999994</v>
      </c>
    </row>
    <row r="111" spans="1:2" x14ac:dyDescent="0.2">
      <c r="A111" s="109">
        <v>345</v>
      </c>
      <c r="B111" s="110">
        <v>52823.65</v>
      </c>
    </row>
    <row r="112" spans="1:2" x14ac:dyDescent="0.2">
      <c r="A112" s="109">
        <v>347</v>
      </c>
      <c r="B112" s="110">
        <v>177769.74</v>
      </c>
    </row>
    <row r="113" spans="1:2" x14ac:dyDescent="0.2">
      <c r="A113" s="109">
        <v>356</v>
      </c>
      <c r="B113" s="110">
        <v>6426.9</v>
      </c>
    </row>
    <row r="114" spans="1:2" x14ac:dyDescent="0.2">
      <c r="A114" s="109">
        <v>361</v>
      </c>
      <c r="B114" s="110">
        <v>84726.830000000031</v>
      </c>
    </row>
    <row r="115" spans="1:2" x14ac:dyDescent="0.2">
      <c r="A115" s="109">
        <v>362</v>
      </c>
      <c r="B115" s="110">
        <v>67101.03</v>
      </c>
    </row>
    <row r="116" spans="1:2" x14ac:dyDescent="0.2">
      <c r="A116" s="109">
        <v>363</v>
      </c>
      <c r="B116" s="110">
        <v>26667.440000000002</v>
      </c>
    </row>
    <row r="117" spans="1:2" x14ac:dyDescent="0.2">
      <c r="A117" s="109">
        <v>378</v>
      </c>
      <c r="B117" s="110">
        <v>43058.11</v>
      </c>
    </row>
    <row r="118" spans="1:2" x14ac:dyDescent="0.2">
      <c r="A118" s="109">
        <v>381</v>
      </c>
      <c r="B118" s="110">
        <v>31907.170000000006</v>
      </c>
    </row>
    <row r="119" spans="1:2" x14ac:dyDescent="0.2">
      <c r="A119" s="109">
        <v>390</v>
      </c>
      <c r="B119" s="110">
        <v>25060.210000000003</v>
      </c>
    </row>
    <row r="120" spans="1:2" x14ac:dyDescent="0.2">
      <c r="A120" s="109">
        <v>391</v>
      </c>
      <c r="B120" s="110">
        <v>65741.259999999995</v>
      </c>
    </row>
    <row r="121" spans="1:2" x14ac:dyDescent="0.2">
      <c r="A121" s="109">
        <v>392</v>
      </c>
      <c r="B121" s="110">
        <v>37323.479999999996</v>
      </c>
    </row>
    <row r="122" spans="1:2" x14ac:dyDescent="0.2">
      <c r="A122" s="109">
        <v>394</v>
      </c>
      <c r="B122" s="110">
        <v>56845.530000000006</v>
      </c>
    </row>
    <row r="123" spans="1:2" x14ac:dyDescent="0.2">
      <c r="A123" s="109">
        <v>402</v>
      </c>
      <c r="B123" s="110">
        <v>4274.7199999999993</v>
      </c>
    </row>
    <row r="124" spans="1:2" x14ac:dyDescent="0.2">
      <c r="A124" s="109">
        <v>403</v>
      </c>
      <c r="B124" s="110">
        <v>45739.79</v>
      </c>
    </row>
    <row r="125" spans="1:2" x14ac:dyDescent="0.2">
      <c r="A125" s="109">
        <v>404</v>
      </c>
      <c r="B125" s="110">
        <v>39345.930000000008</v>
      </c>
    </row>
    <row r="126" spans="1:2" x14ac:dyDescent="0.2">
      <c r="A126" s="109">
        <v>413</v>
      </c>
      <c r="B126" s="110">
        <v>62788.029999999992</v>
      </c>
    </row>
    <row r="127" spans="1:2" x14ac:dyDescent="0.2">
      <c r="A127" s="109">
        <v>414</v>
      </c>
      <c r="B127" s="110">
        <v>24785.190000000002</v>
      </c>
    </row>
    <row r="128" spans="1:2" x14ac:dyDescent="0.2">
      <c r="A128" s="109">
        <v>415</v>
      </c>
      <c r="B128" s="110">
        <v>19868.93</v>
      </c>
    </row>
    <row r="129" spans="1:2" x14ac:dyDescent="0.2">
      <c r="A129" s="109">
        <v>423</v>
      </c>
      <c r="B129" s="110">
        <v>48668.479999999996</v>
      </c>
    </row>
    <row r="130" spans="1:2" x14ac:dyDescent="0.2">
      <c r="A130" s="109">
        <v>424</v>
      </c>
      <c r="B130" s="110">
        <v>42599.95</v>
      </c>
    </row>
    <row r="131" spans="1:2" x14ac:dyDescent="0.2">
      <c r="A131" s="109">
        <v>432</v>
      </c>
      <c r="B131" s="110">
        <v>12978.439999999999</v>
      </c>
    </row>
    <row r="132" spans="1:2" x14ac:dyDescent="0.2">
      <c r="A132" s="109">
        <v>435</v>
      </c>
      <c r="B132" s="110">
        <v>9204.3199999999979</v>
      </c>
    </row>
    <row r="133" spans="1:2" x14ac:dyDescent="0.2">
      <c r="A133" s="109">
        <v>441</v>
      </c>
      <c r="B133" s="111">
        <v>21382.300000000003</v>
      </c>
    </row>
    <row r="134" spans="1:2" x14ac:dyDescent="0.2">
      <c r="A134" s="109">
        <v>447</v>
      </c>
      <c r="B134" s="110">
        <v>2500</v>
      </c>
    </row>
    <row r="135" spans="1:2" x14ac:dyDescent="0.2">
      <c r="A135" s="109">
        <v>458</v>
      </c>
      <c r="B135" s="110">
        <v>28420.379999999994</v>
      </c>
    </row>
    <row r="136" spans="1:2" x14ac:dyDescent="0.2">
      <c r="A136" s="109">
        <v>463</v>
      </c>
      <c r="B136" s="110">
        <v>49130.15</v>
      </c>
    </row>
    <row r="137" spans="1:2" x14ac:dyDescent="0.2">
      <c r="A137" s="109">
        <v>465</v>
      </c>
      <c r="B137" s="110">
        <v>26312.7</v>
      </c>
    </row>
    <row r="138" spans="1:2" x14ac:dyDescent="0.2">
      <c r="A138" s="109">
        <v>466</v>
      </c>
      <c r="B138" s="110">
        <v>88420.65</v>
      </c>
    </row>
    <row r="139" spans="1:2" x14ac:dyDescent="0.2">
      <c r="A139" s="109">
        <v>473</v>
      </c>
      <c r="B139" s="110">
        <v>15677.470000000001</v>
      </c>
    </row>
    <row r="140" spans="1:2" x14ac:dyDescent="0.2">
      <c r="A140" s="109">
        <v>477</v>
      </c>
      <c r="B140" s="110">
        <v>160094.11000000002</v>
      </c>
    </row>
    <row r="141" spans="1:2" x14ac:dyDescent="0.2">
      <c r="A141" s="109">
        <v>480</v>
      </c>
      <c r="B141" s="110">
        <v>20038.43</v>
      </c>
    </row>
    <row r="142" spans="1:2" x14ac:dyDescent="0.2">
      <c r="A142" s="109">
        <v>482</v>
      </c>
      <c r="B142" s="110">
        <v>85198.110000000015</v>
      </c>
    </row>
    <row r="143" spans="1:2" x14ac:dyDescent="0.2">
      <c r="A143" s="109">
        <v>484</v>
      </c>
      <c r="B143" s="110">
        <v>93873.079999999973</v>
      </c>
    </row>
    <row r="144" spans="1:2" x14ac:dyDescent="0.2">
      <c r="A144" s="109">
        <v>485</v>
      </c>
      <c r="B144" s="110">
        <v>19230.559999999998</v>
      </c>
    </row>
    <row r="145" spans="1:2" x14ac:dyDescent="0.2">
      <c r="A145" s="109">
        <v>486</v>
      </c>
      <c r="B145" s="110">
        <v>5616.34</v>
      </c>
    </row>
    <row r="146" spans="1:2" x14ac:dyDescent="0.2">
      <c r="A146" s="109">
        <v>487</v>
      </c>
      <c r="B146" s="110">
        <v>4790.7299999999996</v>
      </c>
    </row>
    <row r="147" spans="1:2" x14ac:dyDescent="0.2">
      <c r="A147" s="109">
        <v>492</v>
      </c>
      <c r="B147" s="110">
        <v>70192.62000000001</v>
      </c>
    </row>
    <row r="148" spans="1:2" x14ac:dyDescent="0.2">
      <c r="A148" s="109">
        <v>495</v>
      </c>
      <c r="B148" s="110">
        <v>28022.850000000002</v>
      </c>
    </row>
    <row r="149" spans="1:2" x14ac:dyDescent="0.2">
      <c r="A149" s="109">
        <v>497</v>
      </c>
      <c r="B149" s="110">
        <v>4306.4399999999996</v>
      </c>
    </row>
    <row r="150" spans="1:2" x14ac:dyDescent="0.2">
      <c r="A150" s="109">
        <v>499</v>
      </c>
      <c r="B150" s="110">
        <v>4078.76</v>
      </c>
    </row>
    <row r="151" spans="1:2" x14ac:dyDescent="0.2">
      <c r="A151" s="109">
        <v>500</v>
      </c>
      <c r="B151" s="110">
        <v>35312.18</v>
      </c>
    </row>
    <row r="152" spans="1:2" x14ac:dyDescent="0.2">
      <c r="A152" s="109">
        <v>505</v>
      </c>
      <c r="B152" s="110">
        <v>0</v>
      </c>
    </row>
    <row r="153" spans="1:2" x14ac:dyDescent="0.2">
      <c r="A153" s="109">
        <v>507</v>
      </c>
      <c r="B153" s="110">
        <v>3751.17</v>
      </c>
    </row>
    <row r="154" spans="1:2" x14ac:dyDescent="0.2">
      <c r="A154" s="109">
        <v>508</v>
      </c>
      <c r="B154" s="110">
        <v>121436.12</v>
      </c>
    </row>
    <row r="155" spans="1:2" x14ac:dyDescent="0.2">
      <c r="A155" s="109">
        <v>511</v>
      </c>
      <c r="B155" s="110">
        <v>5835.7199999999993</v>
      </c>
    </row>
    <row r="156" spans="1:2" x14ac:dyDescent="0.2">
      <c r="A156" s="109">
        <v>513</v>
      </c>
      <c r="B156" s="110">
        <v>0</v>
      </c>
    </row>
    <row r="157" spans="1:2" x14ac:dyDescent="0.2">
      <c r="A157" s="109">
        <v>514</v>
      </c>
      <c r="B157" s="110">
        <v>944.09</v>
      </c>
    </row>
    <row r="158" spans="1:2" x14ac:dyDescent="0.2">
      <c r="A158" s="109">
        <v>516</v>
      </c>
      <c r="B158" s="110">
        <v>0</v>
      </c>
    </row>
    <row r="159" spans="1:2" x14ac:dyDescent="0.2">
      <c r="A159" s="109">
        <v>518</v>
      </c>
      <c r="B159" s="110">
        <v>45806.099999999991</v>
      </c>
    </row>
    <row r="160" spans="1:2" x14ac:dyDescent="0.2">
      <c r="A160" s="109">
        <v>531</v>
      </c>
      <c r="B160" s="110">
        <v>145511.72999999995</v>
      </c>
    </row>
    <row r="161" spans="1:2" x14ac:dyDescent="0.2">
      <c r="A161" s="109">
        <v>533</v>
      </c>
      <c r="B161" s="110">
        <v>47550.259999999995</v>
      </c>
    </row>
    <row r="162" spans="1:2" x14ac:dyDescent="0.2">
      <c r="A162" s="109">
        <v>534</v>
      </c>
      <c r="B162" s="110">
        <v>58261.829999999994</v>
      </c>
    </row>
    <row r="163" spans="1:2" x14ac:dyDescent="0.2">
      <c r="A163" s="109">
        <v>535</v>
      </c>
      <c r="B163" s="110">
        <v>225960.41</v>
      </c>
    </row>
    <row r="164" spans="1:2" x14ac:dyDescent="0.2">
      <c r="A164" s="109">
        <v>542</v>
      </c>
      <c r="B164" s="110">
        <v>33018.43</v>
      </c>
    </row>
    <row r="165" spans="1:2" x14ac:dyDescent="0.2">
      <c r="A165" s="109">
        <v>544</v>
      </c>
      <c r="B165" s="110">
        <v>181591.37999999998</v>
      </c>
    </row>
    <row r="166" spans="1:2" x14ac:dyDescent="0.2">
      <c r="A166" s="109">
        <v>545</v>
      </c>
      <c r="B166" s="110">
        <v>32878.159999999996</v>
      </c>
    </row>
    <row r="167" spans="1:2" x14ac:dyDescent="0.2">
      <c r="A167" s="109">
        <v>547</v>
      </c>
      <c r="B167" s="110">
        <v>17522.969999999998</v>
      </c>
    </row>
    <row r="168" spans="1:2" x14ac:dyDescent="0.2">
      <c r="A168" s="109">
        <v>548</v>
      </c>
      <c r="B168" s="110">
        <v>656.27</v>
      </c>
    </row>
    <row r="169" spans="1:2" x14ac:dyDescent="0.2">
      <c r="A169" s="109">
        <v>549</v>
      </c>
      <c r="B169" s="110">
        <v>73007.150000000009</v>
      </c>
    </row>
    <row r="170" spans="1:2" x14ac:dyDescent="0.2">
      <c r="A170" s="109">
        <v>550</v>
      </c>
      <c r="B170" s="110">
        <v>64124.53</v>
      </c>
    </row>
    <row r="171" spans="1:2" x14ac:dyDescent="0.2">
      <c r="A171" s="109">
        <v>553</v>
      </c>
      <c r="B171" s="110">
        <v>16038.319999999996</v>
      </c>
    </row>
    <row r="172" spans="1:2" x14ac:dyDescent="0.2">
      <c r="A172" s="109">
        <v>561</v>
      </c>
      <c r="B172" s="110">
        <v>14714.21</v>
      </c>
    </row>
    <row r="173" spans="1:2" x14ac:dyDescent="0.2">
      <c r="A173" s="109">
        <v>564</v>
      </c>
      <c r="B173" s="110">
        <v>135065.92000000001</v>
      </c>
    </row>
    <row r="174" spans="1:2" x14ac:dyDescent="0.2">
      <c r="A174" s="109">
        <v>577</v>
      </c>
      <c r="B174" s="110">
        <v>10532.089999999998</v>
      </c>
    </row>
    <row r="175" spans="1:2" x14ac:dyDescent="0.2">
      <c r="A175" s="109">
        <v>578</v>
      </c>
      <c r="B175" s="110">
        <v>16497.41</v>
      </c>
    </row>
    <row r="176" spans="1:2" x14ac:dyDescent="0.2">
      <c r="A176" s="109">
        <v>581</v>
      </c>
      <c r="B176" s="110">
        <v>10816.78</v>
      </c>
    </row>
    <row r="177" spans="1:2" x14ac:dyDescent="0.2">
      <c r="A177" s="109">
        <v>592</v>
      </c>
      <c r="B177" s="110">
        <v>22593.34</v>
      </c>
    </row>
    <row r="178" spans="1:2" x14ac:dyDescent="0.2">
      <c r="A178" s="109">
        <v>593</v>
      </c>
      <c r="B178" s="110">
        <v>33317.879999999997</v>
      </c>
    </row>
    <row r="179" spans="1:2" x14ac:dyDescent="0.2">
      <c r="A179" s="109">
        <v>595</v>
      </c>
      <c r="B179" s="110">
        <v>58181.430000000015</v>
      </c>
    </row>
    <row r="180" spans="1:2" x14ac:dyDescent="0.2">
      <c r="A180" s="109">
        <v>599</v>
      </c>
      <c r="B180" s="110">
        <v>7586.38</v>
      </c>
    </row>
    <row r="181" spans="1:2" x14ac:dyDescent="0.2">
      <c r="A181" s="109">
        <v>600</v>
      </c>
      <c r="B181" s="110">
        <v>42162.26</v>
      </c>
    </row>
    <row r="182" spans="1:2" x14ac:dyDescent="0.2">
      <c r="A182" s="109">
        <v>601</v>
      </c>
      <c r="B182" s="110">
        <v>17434.84</v>
      </c>
    </row>
    <row r="183" spans="1:2" x14ac:dyDescent="0.2">
      <c r="A183" s="109">
        <v>611</v>
      </c>
      <c r="B183" s="110">
        <v>253.36</v>
      </c>
    </row>
    <row r="184" spans="1:2" x14ac:dyDescent="0.2">
      <c r="A184" s="109">
        <v>621</v>
      </c>
      <c r="B184" s="110">
        <v>166602.17999999996</v>
      </c>
    </row>
    <row r="185" spans="1:2" x14ac:dyDescent="0.2">
      <c r="A185" s="109">
        <v>622</v>
      </c>
      <c r="B185" s="110">
        <v>127104.88999999997</v>
      </c>
    </row>
    <row r="186" spans="1:2" x14ac:dyDescent="0.2">
      <c r="A186" s="109">
        <v>623</v>
      </c>
      <c r="B186" s="110">
        <v>95745.229999999952</v>
      </c>
    </row>
    <row r="187" spans="1:2" x14ac:dyDescent="0.2">
      <c r="A187" s="109">
        <v>624</v>
      </c>
      <c r="B187" s="110">
        <v>116634.48999999999</v>
      </c>
    </row>
    <row r="188" spans="1:2" x14ac:dyDescent="0.2">
      <c r="A188" s="109">
        <v>625</v>
      </c>
      <c r="B188" s="110">
        <v>1846268.4399999997</v>
      </c>
    </row>
    <row r="189" spans="1:2" x14ac:dyDescent="0.2">
      <c r="A189" s="109">
        <v>627</v>
      </c>
      <c r="B189" s="110">
        <v>3155.0299999999997</v>
      </c>
    </row>
    <row r="190" spans="1:2" x14ac:dyDescent="0.2">
      <c r="A190" s="109">
        <v>628</v>
      </c>
      <c r="B190" s="110">
        <v>4379.4900000000007</v>
      </c>
    </row>
    <row r="191" spans="1:2" x14ac:dyDescent="0.2">
      <c r="A191" s="109">
        <v>630</v>
      </c>
      <c r="B191" s="110">
        <v>31203.95</v>
      </c>
    </row>
    <row r="192" spans="1:2" x14ac:dyDescent="0.2">
      <c r="A192" s="109">
        <v>635</v>
      </c>
      <c r="B192" s="110">
        <v>10592.170000000002</v>
      </c>
    </row>
    <row r="193" spans="1:2" x14ac:dyDescent="0.2">
      <c r="A193" s="109">
        <v>640</v>
      </c>
      <c r="B193" s="110">
        <v>30158.330000000005</v>
      </c>
    </row>
    <row r="194" spans="1:2" x14ac:dyDescent="0.2">
      <c r="A194" s="109">
        <v>656</v>
      </c>
      <c r="B194" s="110">
        <v>127594.94999999997</v>
      </c>
    </row>
    <row r="195" spans="1:2" x14ac:dyDescent="0.2">
      <c r="A195" s="109">
        <v>659</v>
      </c>
      <c r="B195" s="110">
        <v>160048.88000000003</v>
      </c>
    </row>
    <row r="196" spans="1:2" x14ac:dyDescent="0.2">
      <c r="A196" s="109">
        <v>671</v>
      </c>
      <c r="B196" s="110">
        <v>54497.319999999992</v>
      </c>
    </row>
    <row r="197" spans="1:2" x14ac:dyDescent="0.2">
      <c r="A197" s="109">
        <v>676</v>
      </c>
      <c r="B197" s="110">
        <v>2581.14</v>
      </c>
    </row>
    <row r="198" spans="1:2" x14ac:dyDescent="0.2">
      <c r="A198" s="109">
        <v>682</v>
      </c>
      <c r="B198" s="110">
        <v>62516.959999999999</v>
      </c>
    </row>
    <row r="199" spans="1:2" x14ac:dyDescent="0.2">
      <c r="A199" s="109">
        <v>690</v>
      </c>
      <c r="B199" s="110">
        <v>44175.560000000005</v>
      </c>
    </row>
    <row r="200" spans="1:2" x14ac:dyDescent="0.2">
      <c r="A200" s="109">
        <v>695</v>
      </c>
      <c r="B200" s="110">
        <v>14521.749999999998</v>
      </c>
    </row>
    <row r="201" spans="1:2" x14ac:dyDescent="0.2">
      <c r="A201" s="109">
        <v>696</v>
      </c>
      <c r="B201" s="110">
        <v>6830.4800000000005</v>
      </c>
    </row>
    <row r="202" spans="1:2" x14ac:dyDescent="0.2">
      <c r="A202" s="109">
        <v>698</v>
      </c>
      <c r="B202" s="110">
        <v>9136.2800000000025</v>
      </c>
    </row>
    <row r="203" spans="1:2" x14ac:dyDescent="0.2">
      <c r="A203" s="109">
        <v>700</v>
      </c>
      <c r="B203" s="110">
        <v>115327.79000000001</v>
      </c>
    </row>
    <row r="204" spans="1:2" x14ac:dyDescent="0.2">
      <c r="A204" s="109">
        <v>701</v>
      </c>
      <c r="B204" s="110">
        <v>31485.099999999995</v>
      </c>
    </row>
    <row r="205" spans="1:2" x14ac:dyDescent="0.2">
      <c r="A205" s="109">
        <v>704</v>
      </c>
      <c r="B205" s="110">
        <v>19259.55</v>
      </c>
    </row>
    <row r="206" spans="1:2" x14ac:dyDescent="0.2">
      <c r="A206" s="109">
        <v>706</v>
      </c>
      <c r="B206" s="110">
        <v>53358.329999999987</v>
      </c>
    </row>
    <row r="207" spans="1:2" x14ac:dyDescent="0.2">
      <c r="A207" s="109">
        <v>707</v>
      </c>
      <c r="B207" s="110">
        <v>2373.21</v>
      </c>
    </row>
    <row r="208" spans="1:2" x14ac:dyDescent="0.2">
      <c r="A208" s="109">
        <v>709</v>
      </c>
      <c r="B208" s="110">
        <v>184598.26</v>
      </c>
    </row>
    <row r="209" spans="1:2" x14ac:dyDescent="0.2">
      <c r="A209" s="109">
        <v>712</v>
      </c>
      <c r="B209" s="110">
        <v>11718.889999999998</v>
      </c>
    </row>
    <row r="210" spans="1:2" x14ac:dyDescent="0.2">
      <c r="A210" s="109">
        <v>716</v>
      </c>
      <c r="B210" s="110">
        <v>26898.059999999998</v>
      </c>
    </row>
    <row r="211" spans="1:2" x14ac:dyDescent="0.2">
      <c r="A211" s="109">
        <v>717</v>
      </c>
      <c r="B211" s="110">
        <v>32159.38</v>
      </c>
    </row>
    <row r="212" spans="1:2" x14ac:dyDescent="0.2">
      <c r="A212" s="109">
        <v>719</v>
      </c>
      <c r="B212" s="110">
        <v>277391.52000000014</v>
      </c>
    </row>
    <row r="213" spans="1:2" x14ac:dyDescent="0.2">
      <c r="A213" s="109">
        <v>720</v>
      </c>
      <c r="B213" s="110">
        <v>100451.98</v>
      </c>
    </row>
    <row r="214" spans="1:2" x14ac:dyDescent="0.2">
      <c r="A214" s="109">
        <v>721</v>
      </c>
      <c r="B214" s="110">
        <v>255007.10000000009</v>
      </c>
    </row>
    <row r="215" spans="1:2" x14ac:dyDescent="0.2">
      <c r="A215" s="109">
        <v>726</v>
      </c>
      <c r="B215" s="110">
        <v>117939.64000000001</v>
      </c>
    </row>
    <row r="216" spans="1:2" x14ac:dyDescent="0.2">
      <c r="A216" s="109">
        <v>727</v>
      </c>
      <c r="B216" s="110">
        <v>120870.32000000002</v>
      </c>
    </row>
    <row r="217" spans="1:2" x14ac:dyDescent="0.2">
      <c r="A217" s="109">
        <v>728</v>
      </c>
      <c r="B217" s="110">
        <v>298214.24000000005</v>
      </c>
    </row>
    <row r="218" spans="1:2" x14ac:dyDescent="0.2">
      <c r="A218" s="109">
        <v>738</v>
      </c>
      <c r="B218" s="110">
        <v>21340.160000000003</v>
      </c>
    </row>
    <row r="219" spans="1:2" x14ac:dyDescent="0.2">
      <c r="A219" s="109">
        <v>739</v>
      </c>
      <c r="B219" s="110">
        <v>75071.989999999991</v>
      </c>
    </row>
    <row r="220" spans="1:2" x14ac:dyDescent="0.2">
      <c r="A220" s="109">
        <v>740</v>
      </c>
      <c r="B220" s="110">
        <v>23114.989999999998</v>
      </c>
    </row>
    <row r="221" spans="1:2" x14ac:dyDescent="0.2">
      <c r="A221" s="109">
        <v>741</v>
      </c>
      <c r="B221" s="110">
        <v>35767.369999999995</v>
      </c>
    </row>
    <row r="222" spans="1:2" x14ac:dyDescent="0.2">
      <c r="A222" s="109">
        <v>742</v>
      </c>
      <c r="B222" s="110">
        <v>607125.62999999989</v>
      </c>
    </row>
    <row r="223" spans="1:2" x14ac:dyDescent="0.2">
      <c r="A223" s="109">
        <v>743</v>
      </c>
      <c r="B223" s="110">
        <v>15373.52</v>
      </c>
    </row>
    <row r="224" spans="1:2" x14ac:dyDescent="0.2">
      <c r="A224" s="109">
        <v>745</v>
      </c>
      <c r="B224" s="110">
        <v>102899.60999999999</v>
      </c>
    </row>
    <row r="225" spans="1:2" x14ac:dyDescent="0.2">
      <c r="A225" s="109">
        <v>748</v>
      </c>
      <c r="B225" s="110">
        <v>155704.81999999998</v>
      </c>
    </row>
    <row r="226" spans="1:2" x14ac:dyDescent="0.2">
      <c r="A226" s="109">
        <v>750</v>
      </c>
      <c r="B226" s="110">
        <v>40541.120000000003</v>
      </c>
    </row>
    <row r="227" spans="1:2" x14ac:dyDescent="0.2">
      <c r="A227" s="109">
        <v>756</v>
      </c>
      <c r="B227" s="110">
        <v>41757.069999999992</v>
      </c>
    </row>
    <row r="228" spans="1:2" x14ac:dyDescent="0.2">
      <c r="A228" s="109">
        <v>761</v>
      </c>
      <c r="B228" s="110">
        <v>80363.960000000006</v>
      </c>
    </row>
    <row r="229" spans="1:2" x14ac:dyDescent="0.2">
      <c r="A229" s="109">
        <v>763</v>
      </c>
      <c r="B229" s="110">
        <v>7145.38</v>
      </c>
    </row>
    <row r="230" spans="1:2" x14ac:dyDescent="0.2">
      <c r="A230" s="109">
        <v>768</v>
      </c>
      <c r="B230" s="110">
        <v>4332.4900000000007</v>
      </c>
    </row>
    <row r="231" spans="1:2" x14ac:dyDescent="0.2">
      <c r="A231" s="109">
        <v>769</v>
      </c>
      <c r="B231" s="110">
        <v>20093.22</v>
      </c>
    </row>
    <row r="232" spans="1:2" x14ac:dyDescent="0.2">
      <c r="A232" s="109">
        <v>771</v>
      </c>
      <c r="B232" s="110">
        <v>7065.1100000000006</v>
      </c>
    </row>
    <row r="233" spans="1:2" x14ac:dyDescent="0.2">
      <c r="A233" s="109">
        <v>775</v>
      </c>
      <c r="B233" s="110">
        <v>9909.39</v>
      </c>
    </row>
    <row r="234" spans="1:2" x14ac:dyDescent="0.2">
      <c r="A234" s="109">
        <v>777</v>
      </c>
      <c r="B234" s="110">
        <v>14203.269999999997</v>
      </c>
    </row>
    <row r="235" spans="1:2" x14ac:dyDescent="0.2">
      <c r="A235" s="109">
        <v>786</v>
      </c>
      <c r="B235" s="110">
        <v>10646.99</v>
      </c>
    </row>
    <row r="236" spans="1:2" x14ac:dyDescent="0.2">
      <c r="A236" s="109">
        <v>787</v>
      </c>
      <c r="B236" s="110">
        <v>7608.99</v>
      </c>
    </row>
    <row r="237" spans="1:2" x14ac:dyDescent="0.2">
      <c r="A237" s="109">
        <v>801</v>
      </c>
      <c r="B237" s="110">
        <v>1563.5</v>
      </c>
    </row>
    <row r="238" spans="1:2" x14ac:dyDescent="0.2">
      <c r="A238" s="109">
        <v>803</v>
      </c>
      <c r="B238" s="110">
        <v>24911.11</v>
      </c>
    </row>
    <row r="239" spans="1:2" x14ac:dyDescent="0.2">
      <c r="A239" s="109">
        <v>811</v>
      </c>
      <c r="B239" s="110">
        <v>35951.350000000006</v>
      </c>
    </row>
    <row r="240" spans="1:2" x14ac:dyDescent="0.2">
      <c r="A240" s="109">
        <v>813</v>
      </c>
      <c r="B240" s="110">
        <v>2468.37</v>
      </c>
    </row>
    <row r="241" spans="1:2" x14ac:dyDescent="0.2">
      <c r="A241" s="109">
        <v>818</v>
      </c>
      <c r="B241" s="110">
        <v>36427.599999999999</v>
      </c>
    </row>
    <row r="242" spans="1:2" x14ac:dyDescent="0.2">
      <c r="A242" s="109">
        <v>820</v>
      </c>
      <c r="B242" s="110">
        <v>36578.410000000003</v>
      </c>
    </row>
    <row r="243" spans="1:2" x14ac:dyDescent="0.2">
      <c r="A243" s="109">
        <v>821</v>
      </c>
      <c r="B243" s="110">
        <v>19543.750000000004</v>
      </c>
    </row>
    <row r="244" spans="1:2" x14ac:dyDescent="0.2">
      <c r="A244" s="109">
        <v>829</v>
      </c>
      <c r="B244" s="110">
        <v>31330.760000000006</v>
      </c>
    </row>
    <row r="245" spans="1:2" x14ac:dyDescent="0.2">
      <c r="A245" s="109">
        <v>831</v>
      </c>
      <c r="B245" s="110">
        <v>108827.30000000002</v>
      </c>
    </row>
    <row r="246" spans="1:2" x14ac:dyDescent="0.2">
      <c r="A246" s="109">
        <v>832</v>
      </c>
      <c r="B246" s="110">
        <v>17491.669999999998</v>
      </c>
    </row>
    <row r="247" spans="1:2" x14ac:dyDescent="0.2">
      <c r="A247" s="109">
        <v>833</v>
      </c>
      <c r="B247" s="110">
        <v>720693.40000000014</v>
      </c>
    </row>
    <row r="248" spans="1:2" x14ac:dyDescent="0.2">
      <c r="A248" s="109">
        <v>834</v>
      </c>
      <c r="B248" s="110">
        <v>131645.87999999998</v>
      </c>
    </row>
    <row r="249" spans="1:2" x14ac:dyDescent="0.2">
      <c r="A249" s="109">
        <v>836</v>
      </c>
      <c r="B249" s="110">
        <v>4134.63</v>
      </c>
    </row>
    <row r="250" spans="1:2" x14ac:dyDescent="0.2">
      <c r="A250" s="109">
        <v>837</v>
      </c>
      <c r="B250" s="110">
        <v>23051.14</v>
      </c>
    </row>
    <row r="251" spans="1:2" x14ac:dyDescent="0.2">
      <c r="A251" s="109">
        <v>840</v>
      </c>
      <c r="B251" s="110">
        <v>18255.75</v>
      </c>
    </row>
    <row r="252" spans="1:2" x14ac:dyDescent="0.2">
      <c r="A252" s="109">
        <v>846</v>
      </c>
      <c r="B252" s="110">
        <v>35968.410000000003</v>
      </c>
    </row>
    <row r="253" spans="1:2" x14ac:dyDescent="0.2">
      <c r="A253" s="109">
        <v>850</v>
      </c>
      <c r="B253" s="110">
        <v>3088.12</v>
      </c>
    </row>
    <row r="254" spans="1:2" x14ac:dyDescent="0.2">
      <c r="A254" s="109">
        <v>852</v>
      </c>
      <c r="B254" s="110">
        <v>0</v>
      </c>
    </row>
    <row r="255" spans="1:2" x14ac:dyDescent="0.2">
      <c r="A255" s="109">
        <v>857</v>
      </c>
      <c r="B255" s="110">
        <v>102203.98999999999</v>
      </c>
    </row>
    <row r="256" spans="1:2" x14ac:dyDescent="0.2">
      <c r="A256" s="109">
        <v>858</v>
      </c>
      <c r="B256" s="110">
        <v>4414.71</v>
      </c>
    </row>
    <row r="257" spans="1:2" x14ac:dyDescent="0.2">
      <c r="A257" s="109">
        <v>861</v>
      </c>
      <c r="B257" s="110">
        <v>76457.650000000023</v>
      </c>
    </row>
    <row r="258" spans="1:2" x14ac:dyDescent="0.2">
      <c r="A258" s="109">
        <v>876</v>
      </c>
      <c r="B258" s="110">
        <v>104228.84999999999</v>
      </c>
    </row>
    <row r="259" spans="1:2" x14ac:dyDescent="0.2">
      <c r="A259" s="109">
        <v>877</v>
      </c>
      <c r="B259" s="110">
        <v>241991.94</v>
      </c>
    </row>
    <row r="260" spans="1:2" x14ac:dyDescent="0.2">
      <c r="A260" s="109">
        <v>879</v>
      </c>
      <c r="B260" s="110">
        <v>18300.880000000005</v>
      </c>
    </row>
    <row r="261" spans="1:2" x14ac:dyDescent="0.2">
      <c r="A261" s="109">
        <v>881</v>
      </c>
      <c r="B261" s="110">
        <v>10304.379999999999</v>
      </c>
    </row>
    <row r="262" spans="1:2" x14ac:dyDescent="0.2">
      <c r="A262" s="109">
        <v>882</v>
      </c>
      <c r="B262" s="110">
        <v>106860.50000000001</v>
      </c>
    </row>
    <row r="263" spans="1:2" x14ac:dyDescent="0.2">
      <c r="A263" s="109">
        <v>883</v>
      </c>
      <c r="B263" s="110">
        <v>182433.52</v>
      </c>
    </row>
    <row r="264" spans="1:2" x14ac:dyDescent="0.2">
      <c r="A264" s="109">
        <v>885</v>
      </c>
      <c r="B264" s="110">
        <v>326656.14</v>
      </c>
    </row>
    <row r="265" spans="1:2" x14ac:dyDescent="0.2">
      <c r="A265" s="109">
        <v>891</v>
      </c>
      <c r="B265" s="110">
        <v>21964.599999999995</v>
      </c>
    </row>
    <row r="266" spans="1:2" x14ac:dyDescent="0.2">
      <c r="A266" s="109">
        <v>911</v>
      </c>
      <c r="B266" s="110">
        <v>63699.46</v>
      </c>
    </row>
    <row r="267" spans="1:2" x14ac:dyDescent="0.2">
      <c r="A267" s="109">
        <v>912</v>
      </c>
      <c r="B267" s="110">
        <v>109133.62000000001</v>
      </c>
    </row>
    <row r="268" spans="1:2" x14ac:dyDescent="0.2">
      <c r="A268" s="109">
        <v>914</v>
      </c>
      <c r="B268" s="110">
        <v>19804.5</v>
      </c>
    </row>
    <row r="269" spans="1:2" x14ac:dyDescent="0.2">
      <c r="A269" s="109">
        <v>2071</v>
      </c>
      <c r="B269" s="110">
        <v>139120.05000000002</v>
      </c>
    </row>
    <row r="270" spans="1:2" x14ac:dyDescent="0.2">
      <c r="A270" s="109">
        <v>2125</v>
      </c>
      <c r="B270" s="110">
        <v>47050.000000000007</v>
      </c>
    </row>
    <row r="271" spans="1:2" x14ac:dyDescent="0.2">
      <c r="A271" s="109">
        <v>2134</v>
      </c>
      <c r="B271" s="110">
        <v>33671.909999999996</v>
      </c>
    </row>
    <row r="272" spans="1:2" x14ac:dyDescent="0.2">
      <c r="A272" s="109">
        <v>2135</v>
      </c>
      <c r="B272" s="110">
        <v>96208.47</v>
      </c>
    </row>
    <row r="273" spans="1:2" x14ac:dyDescent="0.2">
      <c r="A273" s="109">
        <v>2137</v>
      </c>
      <c r="B273" s="110">
        <v>40525.29</v>
      </c>
    </row>
    <row r="274" spans="1:2" x14ac:dyDescent="0.2">
      <c r="A274" s="109">
        <v>2142</v>
      </c>
      <c r="B274" s="110">
        <v>199302.97</v>
      </c>
    </row>
    <row r="275" spans="1:2" x14ac:dyDescent="0.2">
      <c r="A275" s="109">
        <v>2143</v>
      </c>
      <c r="B275" s="110">
        <v>34388.93</v>
      </c>
    </row>
    <row r="276" spans="1:2" x14ac:dyDescent="0.2">
      <c r="A276" s="109">
        <v>2144</v>
      </c>
      <c r="B276" s="110">
        <v>28131.03</v>
      </c>
    </row>
    <row r="277" spans="1:2" x14ac:dyDescent="0.2">
      <c r="A277" s="109">
        <v>2149</v>
      </c>
      <c r="B277" s="110">
        <v>64143.939999999995</v>
      </c>
    </row>
    <row r="278" spans="1:2" x14ac:dyDescent="0.2">
      <c r="A278" s="109">
        <v>2154</v>
      </c>
      <c r="B278" s="110">
        <v>23022.12</v>
      </c>
    </row>
    <row r="279" spans="1:2" x14ac:dyDescent="0.2">
      <c r="A279" s="109">
        <v>2155</v>
      </c>
      <c r="B279" s="110">
        <v>55060.840000000011</v>
      </c>
    </row>
    <row r="280" spans="1:2" x14ac:dyDescent="0.2">
      <c r="A280" s="109">
        <v>2159</v>
      </c>
      <c r="B280" s="110">
        <v>32644.959999999999</v>
      </c>
    </row>
    <row r="281" spans="1:2" x14ac:dyDescent="0.2">
      <c r="A281" s="109">
        <v>2164</v>
      </c>
      <c r="B281" s="110">
        <v>70955.88</v>
      </c>
    </row>
    <row r="282" spans="1:2" x14ac:dyDescent="0.2">
      <c r="A282" s="109">
        <v>2165</v>
      </c>
      <c r="B282" s="110">
        <v>47062.85</v>
      </c>
    </row>
    <row r="283" spans="1:2" x14ac:dyDescent="0.2">
      <c r="A283" s="109">
        <v>2167</v>
      </c>
      <c r="B283" s="110">
        <v>65380.569999999992</v>
      </c>
    </row>
    <row r="284" spans="1:2" x14ac:dyDescent="0.2">
      <c r="A284" s="109">
        <v>2168</v>
      </c>
      <c r="B284" s="110">
        <v>8605.880000000001</v>
      </c>
    </row>
    <row r="285" spans="1:2" x14ac:dyDescent="0.2">
      <c r="A285" s="109">
        <v>2169</v>
      </c>
      <c r="B285" s="110">
        <v>52771.359999999993</v>
      </c>
    </row>
    <row r="286" spans="1:2" x14ac:dyDescent="0.2">
      <c r="A286" s="109">
        <v>2170</v>
      </c>
      <c r="B286" s="110">
        <v>21521.18</v>
      </c>
    </row>
    <row r="287" spans="1:2" x14ac:dyDescent="0.2">
      <c r="A287" s="109">
        <v>2171</v>
      </c>
      <c r="B287" s="110">
        <v>23873.01</v>
      </c>
    </row>
    <row r="288" spans="1:2" x14ac:dyDescent="0.2">
      <c r="A288" s="109">
        <v>2172</v>
      </c>
      <c r="B288" s="110">
        <v>79839.389999999985</v>
      </c>
    </row>
    <row r="289" spans="1:2" x14ac:dyDescent="0.2">
      <c r="A289" s="109">
        <v>2174</v>
      </c>
      <c r="B289" s="110">
        <v>23368.080000000002</v>
      </c>
    </row>
    <row r="290" spans="1:2" x14ac:dyDescent="0.2">
      <c r="A290" s="109">
        <v>2176</v>
      </c>
      <c r="B290" s="110">
        <v>20227.580000000002</v>
      </c>
    </row>
    <row r="291" spans="1:2" x14ac:dyDescent="0.2">
      <c r="A291" s="109">
        <v>2180</v>
      </c>
      <c r="B291" s="110">
        <v>9154.02</v>
      </c>
    </row>
    <row r="292" spans="1:2" x14ac:dyDescent="0.2">
      <c r="A292" s="109">
        <v>2184</v>
      </c>
      <c r="B292" s="110">
        <v>17623.559999999998</v>
      </c>
    </row>
    <row r="293" spans="1:2" x14ac:dyDescent="0.2">
      <c r="A293" s="109">
        <v>2190</v>
      </c>
      <c r="B293" s="110">
        <v>45036.459999999992</v>
      </c>
    </row>
    <row r="294" spans="1:2" x14ac:dyDescent="0.2">
      <c r="A294" s="109">
        <v>2198</v>
      </c>
      <c r="B294" s="110">
        <v>70772.42</v>
      </c>
    </row>
    <row r="295" spans="1:2" x14ac:dyDescent="0.2">
      <c r="A295" s="109">
        <v>2215</v>
      </c>
      <c r="B295" s="110">
        <v>43857.499999999993</v>
      </c>
    </row>
    <row r="296" spans="1:2" x14ac:dyDescent="0.2">
      <c r="A296" s="109">
        <v>2310</v>
      </c>
      <c r="B296" s="110">
        <v>29919.840000000004</v>
      </c>
    </row>
    <row r="297" spans="1:2" x14ac:dyDescent="0.2">
      <c r="A297" s="109">
        <v>2311</v>
      </c>
      <c r="B297" s="110">
        <v>13184.03</v>
      </c>
    </row>
    <row r="298" spans="1:2" x14ac:dyDescent="0.2">
      <c r="A298" s="109">
        <v>2342</v>
      </c>
      <c r="B298" s="110">
        <v>38838.359999999993</v>
      </c>
    </row>
    <row r="299" spans="1:2" x14ac:dyDescent="0.2">
      <c r="A299" s="109">
        <v>2358</v>
      </c>
      <c r="B299" s="110">
        <v>5245.63</v>
      </c>
    </row>
    <row r="300" spans="1:2" x14ac:dyDescent="0.2">
      <c r="A300" s="109">
        <v>2364</v>
      </c>
      <c r="B300" s="110">
        <v>9167.49</v>
      </c>
    </row>
    <row r="301" spans="1:2" x14ac:dyDescent="0.2">
      <c r="A301" s="109">
        <v>2365</v>
      </c>
      <c r="B301" s="110">
        <v>34778.5</v>
      </c>
    </row>
    <row r="302" spans="1:2" x14ac:dyDescent="0.2">
      <c r="A302" s="109">
        <v>2396</v>
      </c>
      <c r="B302" s="110">
        <v>81473.070000000007</v>
      </c>
    </row>
    <row r="303" spans="1:2" x14ac:dyDescent="0.2">
      <c r="A303" s="109">
        <v>2397</v>
      </c>
      <c r="B303" s="110">
        <v>38247.329999999994</v>
      </c>
    </row>
    <row r="304" spans="1:2" x14ac:dyDescent="0.2">
      <c r="A304" s="109">
        <v>2448</v>
      </c>
      <c r="B304" s="110">
        <v>64803.570000000007</v>
      </c>
    </row>
    <row r="305" spans="1:2" x14ac:dyDescent="0.2">
      <c r="A305" s="109">
        <v>2527</v>
      </c>
      <c r="B305" s="110">
        <v>3373.44</v>
      </c>
    </row>
    <row r="306" spans="1:2" x14ac:dyDescent="0.2">
      <c r="A306" s="109">
        <v>2534</v>
      </c>
      <c r="B306" s="110">
        <v>25059.65</v>
      </c>
    </row>
    <row r="307" spans="1:2" x14ac:dyDescent="0.2">
      <c r="A307" s="109">
        <v>2536</v>
      </c>
      <c r="B307" s="110">
        <v>19297.28</v>
      </c>
    </row>
    <row r="308" spans="1:2" x14ac:dyDescent="0.2">
      <c r="A308" s="109">
        <v>2580</v>
      </c>
      <c r="B308" s="110">
        <v>23767.210000000003</v>
      </c>
    </row>
    <row r="309" spans="1:2" x14ac:dyDescent="0.2">
      <c r="A309" s="109">
        <v>2609</v>
      </c>
      <c r="B309" s="110">
        <v>16219.91</v>
      </c>
    </row>
    <row r="310" spans="1:2" x14ac:dyDescent="0.2">
      <c r="A310" s="109">
        <v>2683</v>
      </c>
      <c r="B310" s="110">
        <v>19468.400000000001</v>
      </c>
    </row>
    <row r="311" spans="1:2" x14ac:dyDescent="0.2">
      <c r="A311" s="109">
        <v>2687</v>
      </c>
      <c r="B311" s="110">
        <v>16246.17</v>
      </c>
    </row>
    <row r="312" spans="1:2" x14ac:dyDescent="0.2">
      <c r="A312" s="109">
        <v>2689</v>
      </c>
      <c r="B312" s="110">
        <v>21974.489999999998</v>
      </c>
    </row>
    <row r="313" spans="1:2" x14ac:dyDescent="0.2">
      <c r="A313" s="109">
        <v>2711</v>
      </c>
      <c r="B313" s="110">
        <v>70066.62999999999</v>
      </c>
    </row>
    <row r="314" spans="1:2" x14ac:dyDescent="0.2">
      <c r="A314" s="109">
        <v>2752</v>
      </c>
      <c r="B314" s="110">
        <v>83452.249999999985</v>
      </c>
    </row>
    <row r="315" spans="1:2" x14ac:dyDescent="0.2">
      <c r="A315" s="109">
        <v>2753</v>
      </c>
      <c r="B315" s="110">
        <v>49981.49</v>
      </c>
    </row>
    <row r="316" spans="1:2" x14ac:dyDescent="0.2">
      <c r="A316" s="109">
        <v>2754</v>
      </c>
      <c r="B316" s="110">
        <v>26805.750000000004</v>
      </c>
    </row>
    <row r="317" spans="1:2" x14ac:dyDescent="0.2">
      <c r="A317" s="109">
        <v>2759</v>
      </c>
      <c r="B317" s="110">
        <v>19912.599999999999</v>
      </c>
    </row>
    <row r="318" spans="1:2" x14ac:dyDescent="0.2">
      <c r="A318" s="109">
        <v>2805</v>
      </c>
      <c r="B318" s="110">
        <v>98575.13</v>
      </c>
    </row>
    <row r="319" spans="1:2" x14ac:dyDescent="0.2">
      <c r="A319" s="109">
        <v>2835</v>
      </c>
      <c r="B319" s="110">
        <v>34658.54</v>
      </c>
    </row>
    <row r="320" spans="1:2" x14ac:dyDescent="0.2">
      <c r="A320" s="109">
        <v>2853</v>
      </c>
      <c r="B320" s="110">
        <v>70572.430000000008</v>
      </c>
    </row>
    <row r="321" spans="1:2" x14ac:dyDescent="0.2">
      <c r="A321" s="109">
        <v>2854</v>
      </c>
      <c r="B321" s="110">
        <v>24065.02</v>
      </c>
    </row>
    <row r="322" spans="1:2" x14ac:dyDescent="0.2">
      <c r="A322" s="109">
        <v>2856</v>
      </c>
      <c r="B322" s="110">
        <v>17776.47</v>
      </c>
    </row>
    <row r="323" spans="1:2" x14ac:dyDescent="0.2">
      <c r="A323" s="109">
        <v>2859</v>
      </c>
      <c r="B323" s="110">
        <v>70438.239999999991</v>
      </c>
    </row>
    <row r="324" spans="1:2" x14ac:dyDescent="0.2">
      <c r="A324" s="109">
        <v>2860</v>
      </c>
      <c r="B324" s="110">
        <v>41076.06</v>
      </c>
    </row>
    <row r="325" spans="1:2" x14ac:dyDescent="0.2">
      <c r="A325" s="109">
        <v>2884</v>
      </c>
      <c r="B325" s="110">
        <v>25946.55</v>
      </c>
    </row>
    <row r="326" spans="1:2" x14ac:dyDescent="0.2">
      <c r="A326" s="109">
        <v>2886</v>
      </c>
      <c r="B326" s="110">
        <v>1810.35</v>
      </c>
    </row>
    <row r="327" spans="1:2" x14ac:dyDescent="0.2">
      <c r="A327" s="109">
        <v>2888</v>
      </c>
      <c r="B327" s="110">
        <v>30588.93</v>
      </c>
    </row>
    <row r="328" spans="1:2" x14ac:dyDescent="0.2">
      <c r="A328" s="109">
        <v>2889</v>
      </c>
      <c r="B328" s="110">
        <v>41975.99</v>
      </c>
    </row>
    <row r="329" spans="1:2" x14ac:dyDescent="0.2">
      <c r="A329" s="109">
        <v>2890</v>
      </c>
      <c r="B329" s="110">
        <v>25263.699999999997</v>
      </c>
    </row>
    <row r="330" spans="1:2" x14ac:dyDescent="0.2">
      <c r="A330" s="109">
        <v>2895</v>
      </c>
      <c r="B330" s="110">
        <v>31362.010000000002</v>
      </c>
    </row>
    <row r="331" spans="1:2" x14ac:dyDescent="0.2">
      <c r="A331" s="109">
        <v>2897</v>
      </c>
      <c r="B331" s="110">
        <v>60323.040000000001</v>
      </c>
    </row>
    <row r="332" spans="1:2" x14ac:dyDescent="0.2">
      <c r="A332" s="109">
        <v>2898</v>
      </c>
      <c r="B332" s="110">
        <v>13016.300000000001</v>
      </c>
    </row>
    <row r="333" spans="1:2" x14ac:dyDescent="0.2">
      <c r="A333" s="109">
        <v>2899</v>
      </c>
      <c r="B333" s="110">
        <v>82756.53</v>
      </c>
    </row>
    <row r="334" spans="1:2" x14ac:dyDescent="0.2">
      <c r="A334" s="109">
        <v>2902</v>
      </c>
      <c r="B334" s="110">
        <v>6014</v>
      </c>
    </row>
    <row r="335" spans="1:2" x14ac:dyDescent="0.2">
      <c r="A335" s="109">
        <v>2903</v>
      </c>
      <c r="B335" s="110">
        <v>28448.34</v>
      </c>
    </row>
    <row r="336" spans="1:2" x14ac:dyDescent="0.2">
      <c r="A336" s="109">
        <v>2904</v>
      </c>
      <c r="B336" s="110">
        <v>53851.130000000005</v>
      </c>
    </row>
    <row r="337" spans="1:2" x14ac:dyDescent="0.2">
      <c r="A337" s="109">
        <v>2905</v>
      </c>
      <c r="B337" s="110">
        <v>0</v>
      </c>
    </row>
    <row r="338" spans="1:2" x14ac:dyDescent="0.2">
      <c r="A338" s="109">
        <v>1000</v>
      </c>
      <c r="B338" s="110">
        <v>23545271.239999991</v>
      </c>
    </row>
  </sheetData>
  <pageMargins left="0.7" right="0.7" top="0.75" bottom="0.75" header="0.3" footer="0.3"/>
  <pageSetup scale="90" orientation="portrait" r:id="rId1"/>
  <headerFooter>
    <oddHeader>&amp;L&amp;A&amp;C&amp;F&amp;R&amp;D</oddHeader>
    <oddFooter>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5"/>
  <sheetViews>
    <sheetView workbookViewId="0">
      <selection activeCell="D11" sqref="D11"/>
    </sheetView>
  </sheetViews>
  <sheetFormatPr defaultRowHeight="12.75" x14ac:dyDescent="0.2"/>
  <cols>
    <col min="1" max="1" width="9.7109375" style="5" customWidth="1"/>
    <col min="2" max="2" width="14.28515625" style="5" customWidth="1"/>
    <col min="3" max="3" width="26.28515625" style="5" customWidth="1"/>
    <col min="4" max="4" width="18" style="10" customWidth="1"/>
    <col min="5" max="5" width="18.42578125" style="10" customWidth="1"/>
    <col min="6" max="6" width="20.42578125" style="10" customWidth="1"/>
    <col min="7" max="7" width="19.5703125" style="10" customWidth="1"/>
    <col min="8" max="33" width="15.7109375" style="5" customWidth="1"/>
    <col min="34" max="16384" width="9.140625" style="5"/>
  </cols>
  <sheetData>
    <row r="1" spans="1:7" ht="33.75" customHeight="1" thickBot="1" x14ac:dyDescent="0.25">
      <c r="A1" s="166" t="s">
        <v>377</v>
      </c>
      <c r="B1" s="166"/>
      <c r="C1" s="166"/>
      <c r="D1" s="166"/>
      <c r="E1" s="166"/>
      <c r="F1" s="166"/>
      <c r="G1" s="166"/>
    </row>
    <row r="2" spans="1:7" ht="21" customHeight="1" thickBot="1" x14ac:dyDescent="0.25">
      <c r="A2" s="145" t="s">
        <v>375</v>
      </c>
      <c r="B2" s="167"/>
      <c r="C2" s="146"/>
      <c r="D2" s="54" t="s">
        <v>365</v>
      </c>
      <c r="E2" s="54" t="s">
        <v>366</v>
      </c>
      <c r="F2" s="54" t="s">
        <v>367</v>
      </c>
      <c r="G2" s="100" t="s">
        <v>368</v>
      </c>
    </row>
    <row r="3" spans="1:7" ht="27" customHeight="1" x14ac:dyDescent="0.2">
      <c r="A3" s="168" t="s">
        <v>376</v>
      </c>
      <c r="B3" s="169"/>
      <c r="C3" s="170"/>
      <c r="D3" s="174" t="s">
        <v>378</v>
      </c>
      <c r="E3" s="175" t="s">
        <v>420</v>
      </c>
      <c r="F3" s="175" t="s">
        <v>439</v>
      </c>
      <c r="G3" s="175" t="s">
        <v>444</v>
      </c>
    </row>
    <row r="4" spans="1:7" ht="16.5" customHeight="1" thickBot="1" x14ac:dyDescent="0.25">
      <c r="A4" s="171"/>
      <c r="B4" s="172"/>
      <c r="C4" s="173"/>
      <c r="D4" s="205"/>
      <c r="E4" s="176"/>
      <c r="F4" s="177"/>
      <c r="G4" s="177"/>
    </row>
    <row r="5" spans="1:7" ht="16.5" hidden="1" customHeight="1" thickBot="1" x14ac:dyDescent="0.25">
      <c r="A5" s="11"/>
      <c r="B5" s="180"/>
      <c r="C5" s="181"/>
      <c r="D5" s="53"/>
      <c r="E5" s="53" t="e">
        <f>VLOOKUP($C$3,'OLD DATA -lookup3_UFARS expends'!#REF!,3,FALSE)</f>
        <v>#REF!</v>
      </c>
      <c r="F5" s="51">
        <v>0</v>
      </c>
      <c r="G5" s="51">
        <v>0</v>
      </c>
    </row>
    <row r="6" spans="1:7" ht="16.5" hidden="1" customHeight="1" thickBot="1" x14ac:dyDescent="0.25">
      <c r="A6" s="12"/>
      <c r="B6" s="59" t="s">
        <v>371</v>
      </c>
      <c r="C6" s="60"/>
      <c r="D6" s="13"/>
      <c r="E6" s="13"/>
      <c r="F6" s="15" t="e">
        <f>VLOOKUP($C$3,'OLD DATA -lookup3_UFARS expends'!A$3:D$342,4,FALSE)</f>
        <v>#N/A</v>
      </c>
      <c r="G6" s="17"/>
    </row>
    <row r="7" spans="1:7" ht="24" customHeight="1" x14ac:dyDescent="0.2">
      <c r="A7" s="178" t="s">
        <v>435</v>
      </c>
      <c r="B7" s="106"/>
      <c r="C7" s="99"/>
      <c r="D7" s="103"/>
      <c r="E7" s="98"/>
      <c r="F7" s="74"/>
      <c r="G7" s="74"/>
    </row>
    <row r="8" spans="1:7" ht="23.25" customHeight="1" thickBot="1" x14ac:dyDescent="0.25">
      <c r="A8" s="179"/>
      <c r="B8" s="107" t="s">
        <v>0</v>
      </c>
      <c r="C8" s="97"/>
      <c r="D8" s="104"/>
      <c r="E8" s="94"/>
      <c r="F8" s="94"/>
      <c r="G8" s="94"/>
    </row>
    <row r="9" spans="1:7" ht="30" customHeight="1" thickBot="1" x14ac:dyDescent="0.25">
      <c r="A9" s="61">
        <v>1</v>
      </c>
      <c r="B9" s="140" t="s">
        <v>399</v>
      </c>
      <c r="C9" s="141"/>
      <c r="D9" s="56">
        <v>0</v>
      </c>
      <c r="E9" s="29">
        <v>0</v>
      </c>
      <c r="F9" s="29">
        <v>0</v>
      </c>
      <c r="G9" s="29">
        <v>0</v>
      </c>
    </row>
    <row r="10" spans="1:7" ht="30.75" customHeight="1" thickBot="1" x14ac:dyDescent="0.25">
      <c r="A10" s="57">
        <v>2</v>
      </c>
      <c r="B10" s="140" t="s">
        <v>432</v>
      </c>
      <c r="C10" s="141"/>
      <c r="D10" s="56">
        <v>0</v>
      </c>
      <c r="E10" s="29">
        <v>0</v>
      </c>
      <c r="F10" s="29">
        <v>0</v>
      </c>
      <c r="G10" s="29">
        <v>0</v>
      </c>
    </row>
    <row r="11" spans="1:7" ht="29.25" customHeight="1" thickBot="1" x14ac:dyDescent="0.25">
      <c r="A11" s="62">
        <v>3</v>
      </c>
      <c r="B11" s="122" t="s">
        <v>437</v>
      </c>
      <c r="C11" s="124"/>
      <c r="D11" s="95">
        <f>SUM(D7:D10)</f>
        <v>0</v>
      </c>
      <c r="E11" s="96">
        <f>SUM(E7:E10)</f>
        <v>0</v>
      </c>
      <c r="F11" s="96">
        <f>SUM(F7:F10)</f>
        <v>0</v>
      </c>
      <c r="G11" s="96">
        <f>SUM(G7:G10)</f>
        <v>0</v>
      </c>
    </row>
    <row r="12" spans="1:7" ht="32.25" customHeight="1" thickBot="1" x14ac:dyDescent="0.25">
      <c r="A12" s="50">
        <v>4</v>
      </c>
      <c r="B12" s="122" t="s">
        <v>433</v>
      </c>
      <c r="C12" s="124"/>
      <c r="D12" s="105">
        <v>0</v>
      </c>
      <c r="E12" s="29">
        <v>0</v>
      </c>
      <c r="F12" s="29">
        <v>0</v>
      </c>
      <c r="G12" s="29">
        <v>0</v>
      </c>
    </row>
    <row r="13" spans="1:7" ht="28.5" customHeight="1" thickBot="1" x14ac:dyDescent="0.25">
      <c r="A13" s="63">
        <v>5</v>
      </c>
      <c r="B13" s="122" t="s">
        <v>436</v>
      </c>
      <c r="C13" s="124"/>
      <c r="D13" s="101">
        <f>+D11-D12</f>
        <v>0</v>
      </c>
      <c r="E13" s="102">
        <f>+E11-E12</f>
        <v>0</v>
      </c>
      <c r="F13" s="73">
        <f>+F11-F12</f>
        <v>0</v>
      </c>
      <c r="G13" s="101">
        <f>+G11-G12</f>
        <v>0</v>
      </c>
    </row>
    <row r="14" spans="1:7" ht="28.5" customHeight="1" thickBot="1" x14ac:dyDescent="0.25">
      <c r="A14" s="58">
        <v>6</v>
      </c>
      <c r="B14" s="122" t="s">
        <v>356</v>
      </c>
      <c r="C14" s="124"/>
      <c r="D14" s="56">
        <v>0</v>
      </c>
      <c r="E14" s="29">
        <v>0</v>
      </c>
      <c r="F14" s="29">
        <v>0</v>
      </c>
      <c r="G14" s="56">
        <v>0</v>
      </c>
    </row>
    <row r="15" spans="1:7" ht="37.5" customHeight="1" thickBot="1" x14ac:dyDescent="0.25">
      <c r="A15" s="58">
        <v>7</v>
      </c>
      <c r="B15" s="143" t="s">
        <v>434</v>
      </c>
      <c r="C15" s="144"/>
      <c r="D15" s="101">
        <f>+D13+D14</f>
        <v>0</v>
      </c>
      <c r="E15" s="102">
        <f>+E13+E14</f>
        <v>0</v>
      </c>
      <c r="F15" s="73">
        <f>+F13+F14</f>
        <v>0</v>
      </c>
      <c r="G15" s="101">
        <f>+G13+G14</f>
        <v>0</v>
      </c>
    </row>
  </sheetData>
  <sheetProtection password="8AD3" sheet="1" objects="1" scenarios="1"/>
  <phoneticPr fontId="2" type="noConversion"/>
  <pageMargins left="0.75" right="0.75" top="1" bottom="1" header="0.5" footer="0.5"/>
  <pageSetup scale="71" orientation="portrait" r:id="rId1"/>
  <headerFooter alignWithMargins="0">
    <oddHeader>&amp;C&amp;"Arial,Bold"&amp;11School Readiness Combined District Budget Planner</oddHeader>
    <oddFooter>&amp;R&amp;D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785"/>
  <sheetViews>
    <sheetView workbookViewId="0">
      <selection activeCell="C22" sqref="C22"/>
    </sheetView>
  </sheetViews>
  <sheetFormatPr defaultRowHeight="12.75" x14ac:dyDescent="0.2"/>
  <cols>
    <col min="1" max="1" width="10.42578125" customWidth="1"/>
    <col min="2" max="2" width="11.28515625" customWidth="1"/>
    <col min="3" max="3" width="10" customWidth="1"/>
    <col min="4" max="4" width="18.28515625" customWidth="1"/>
    <col min="5" max="5" width="14.28515625" customWidth="1"/>
    <col min="6" max="6" width="10.42578125" customWidth="1"/>
    <col min="7" max="7" width="15" customWidth="1"/>
    <col min="8" max="8" width="11.28515625" customWidth="1"/>
    <col min="9" max="9" width="16.42578125" customWidth="1"/>
    <col min="10" max="10" width="16" customWidth="1"/>
    <col min="11" max="11" width="5.140625" customWidth="1"/>
    <col min="12" max="12" width="10.42578125" bestFit="1" customWidth="1"/>
    <col min="13" max="13" width="11.28515625" bestFit="1" customWidth="1"/>
    <col min="14" max="14" width="10" bestFit="1" customWidth="1"/>
    <col min="15" max="15" width="11.5703125" bestFit="1" customWidth="1"/>
    <col min="16" max="16" width="11.7109375" bestFit="1" customWidth="1"/>
    <col min="17" max="18" width="11.5703125" bestFit="1" customWidth="1"/>
    <col min="19" max="19" width="10.42578125" bestFit="1" customWidth="1"/>
    <col min="21" max="21" width="10.42578125" customWidth="1"/>
    <col min="22" max="22" width="11.28515625" customWidth="1"/>
    <col min="23" max="23" width="10" customWidth="1"/>
    <col min="24" max="24" width="11.5703125" customWidth="1"/>
    <col min="25" max="25" width="11.7109375" customWidth="1"/>
    <col min="26" max="26" width="11.5703125" customWidth="1"/>
    <col min="27" max="27" width="15.5703125" customWidth="1"/>
    <col min="28" max="28" width="11.28515625" customWidth="1"/>
    <col min="29" max="29" width="11" customWidth="1"/>
    <col min="31" max="31" width="10.42578125" customWidth="1"/>
    <col min="32" max="32" width="11.28515625" customWidth="1"/>
    <col min="33" max="33" width="10" customWidth="1"/>
    <col min="34" max="35" width="19" customWidth="1"/>
    <col min="36" max="36" width="18.7109375" customWidth="1"/>
    <col min="38" max="38" width="10.42578125" customWidth="1"/>
    <col min="39" max="39" width="11" customWidth="1"/>
    <col min="40" max="40" width="10.28515625" customWidth="1"/>
    <col min="41" max="41" width="11" customWidth="1"/>
    <col min="42" max="42" width="43" customWidth="1"/>
    <col min="43" max="43" width="9.7109375" customWidth="1"/>
  </cols>
  <sheetData>
    <row r="1" spans="1:43" x14ac:dyDescent="0.2">
      <c r="A1" t="s">
        <v>6</v>
      </c>
      <c r="B1" t="s">
        <v>7</v>
      </c>
      <c r="C1" t="s">
        <v>8</v>
      </c>
      <c r="D1" t="s">
        <v>372</v>
      </c>
      <c r="E1" t="s">
        <v>373</v>
      </c>
      <c r="F1" s="1" t="s">
        <v>6</v>
      </c>
      <c r="G1" s="1" t="s">
        <v>7</v>
      </c>
      <c r="H1" s="1" t="s">
        <v>8</v>
      </c>
      <c r="I1" s="1" t="s">
        <v>372</v>
      </c>
      <c r="J1" s="1" t="s">
        <v>373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13</v>
      </c>
      <c r="R1" t="s">
        <v>12</v>
      </c>
      <c r="S1" t="s">
        <v>11</v>
      </c>
      <c r="U1" t="s">
        <v>6</v>
      </c>
      <c r="V1" t="s">
        <v>7</v>
      </c>
      <c r="W1" t="s">
        <v>8</v>
      </c>
      <c r="X1" t="s">
        <v>9</v>
      </c>
      <c r="Y1" t="s">
        <v>10</v>
      </c>
      <c r="Z1" t="s">
        <v>13</v>
      </c>
      <c r="AA1" t="s">
        <v>357</v>
      </c>
      <c r="AB1" t="s">
        <v>14</v>
      </c>
      <c r="AC1" t="s">
        <v>11</v>
      </c>
      <c r="AE1" t="s">
        <v>6</v>
      </c>
      <c r="AF1" t="s">
        <v>7</v>
      </c>
      <c r="AG1" t="s">
        <v>8</v>
      </c>
      <c r="AH1" t="s">
        <v>400</v>
      </c>
      <c r="AI1" t="s">
        <v>401</v>
      </c>
      <c r="AJ1" t="s">
        <v>402</v>
      </c>
      <c r="AL1" t="s">
        <v>6</v>
      </c>
      <c r="AM1" t="s">
        <v>16</v>
      </c>
      <c r="AN1" t="s">
        <v>17</v>
      </c>
      <c r="AO1" t="s">
        <v>18</v>
      </c>
      <c r="AP1" t="s">
        <v>15</v>
      </c>
      <c r="AQ1" t="s">
        <v>403</v>
      </c>
    </row>
    <row r="2" spans="1:43" x14ac:dyDescent="0.2">
      <c r="A2" t="s">
        <v>374</v>
      </c>
      <c r="B2">
        <v>1</v>
      </c>
      <c r="C2">
        <v>1</v>
      </c>
      <c r="D2">
        <v>19114.41</v>
      </c>
      <c r="E2">
        <v>19114.41</v>
      </c>
      <c r="F2" t="s">
        <v>383</v>
      </c>
      <c r="G2">
        <v>1</v>
      </c>
      <c r="H2">
        <v>1</v>
      </c>
      <c r="I2">
        <v>18839.939999999999</v>
      </c>
      <c r="J2">
        <v>18839.939999999999</v>
      </c>
      <c r="L2" t="s">
        <v>374</v>
      </c>
      <c r="M2">
        <v>139</v>
      </c>
      <c r="N2">
        <v>1</v>
      </c>
      <c r="O2">
        <v>4</v>
      </c>
      <c r="P2">
        <v>582</v>
      </c>
      <c r="Q2">
        <v>321</v>
      </c>
      <c r="R2">
        <v>899</v>
      </c>
      <c r="S2">
        <v>25</v>
      </c>
      <c r="U2" t="s">
        <v>374</v>
      </c>
      <c r="V2">
        <v>378</v>
      </c>
      <c r="W2">
        <v>1</v>
      </c>
      <c r="X2">
        <v>4</v>
      </c>
      <c r="Y2">
        <v>0</v>
      </c>
      <c r="Z2">
        <v>344</v>
      </c>
      <c r="AA2">
        <v>5.19</v>
      </c>
      <c r="AB2">
        <v>649</v>
      </c>
      <c r="AC2">
        <v>446.75</v>
      </c>
      <c r="AE2" t="s">
        <v>383</v>
      </c>
      <c r="AF2">
        <v>1</v>
      </c>
      <c r="AG2">
        <v>1</v>
      </c>
      <c r="AH2">
        <v>-1999.92</v>
      </c>
      <c r="AI2">
        <v>6266.02</v>
      </c>
      <c r="AJ2">
        <v>10325.66</v>
      </c>
      <c r="AL2" t="s">
        <v>383</v>
      </c>
      <c r="AM2">
        <v>1</v>
      </c>
      <c r="AN2">
        <v>1</v>
      </c>
      <c r="AO2">
        <v>0</v>
      </c>
      <c r="AP2" t="s">
        <v>19</v>
      </c>
      <c r="AQ2" t="s">
        <v>404</v>
      </c>
    </row>
    <row r="3" spans="1:43" x14ac:dyDescent="0.2">
      <c r="A3" t="s">
        <v>374</v>
      </c>
      <c r="B3">
        <v>1</v>
      </c>
      <c r="C3">
        <v>3</v>
      </c>
      <c r="D3">
        <v>815697.41</v>
      </c>
      <c r="E3">
        <v>815697.41</v>
      </c>
      <c r="F3" t="s">
        <v>383</v>
      </c>
      <c r="G3">
        <v>1</v>
      </c>
      <c r="H3">
        <v>3</v>
      </c>
      <c r="I3">
        <v>797880.43</v>
      </c>
      <c r="J3">
        <v>797880.43</v>
      </c>
      <c r="L3" t="s">
        <v>374</v>
      </c>
      <c r="M3">
        <v>282</v>
      </c>
      <c r="N3">
        <v>1</v>
      </c>
      <c r="O3">
        <v>4</v>
      </c>
      <c r="P3">
        <v>582</v>
      </c>
      <c r="Q3">
        <v>321</v>
      </c>
      <c r="R3">
        <v>899</v>
      </c>
      <c r="S3">
        <v>4033.4</v>
      </c>
      <c r="U3" t="s">
        <v>374</v>
      </c>
      <c r="V3">
        <v>726</v>
      </c>
      <c r="W3">
        <v>1</v>
      </c>
      <c r="X3">
        <v>4</v>
      </c>
      <c r="Y3">
        <v>0</v>
      </c>
      <c r="Z3">
        <v>344</v>
      </c>
      <c r="AA3">
        <v>5.19</v>
      </c>
      <c r="AB3">
        <v>649</v>
      </c>
      <c r="AC3">
        <v>18625.61</v>
      </c>
      <c r="AE3" t="s">
        <v>383</v>
      </c>
      <c r="AF3">
        <v>1</v>
      </c>
      <c r="AG3">
        <v>3</v>
      </c>
      <c r="AH3">
        <v>319151.58</v>
      </c>
      <c r="AI3">
        <v>357430.58</v>
      </c>
      <c r="AJ3">
        <v>173292.49</v>
      </c>
      <c r="AL3" t="s">
        <v>383</v>
      </c>
      <c r="AM3">
        <v>1</v>
      </c>
      <c r="AN3">
        <v>3</v>
      </c>
      <c r="AO3">
        <v>0</v>
      </c>
      <c r="AP3" t="s">
        <v>20</v>
      </c>
      <c r="AQ3" t="s">
        <v>404</v>
      </c>
    </row>
    <row r="4" spans="1:43" x14ac:dyDescent="0.2">
      <c r="A4" t="s">
        <v>374</v>
      </c>
      <c r="B4">
        <v>2</v>
      </c>
      <c r="C4">
        <v>1</v>
      </c>
      <c r="D4">
        <v>4653.6000000000004</v>
      </c>
      <c r="E4">
        <v>4653.6000000000004</v>
      </c>
      <c r="F4" t="s">
        <v>383</v>
      </c>
      <c r="G4">
        <v>2</v>
      </c>
      <c r="H4">
        <v>1</v>
      </c>
      <c r="I4">
        <v>5501.6</v>
      </c>
      <c r="J4">
        <v>5501.6</v>
      </c>
      <c r="L4" t="s">
        <v>374</v>
      </c>
      <c r="M4">
        <v>813</v>
      </c>
      <c r="N4">
        <v>1</v>
      </c>
      <c r="O4">
        <v>4</v>
      </c>
      <c r="P4">
        <v>582</v>
      </c>
      <c r="Q4">
        <v>321</v>
      </c>
      <c r="R4">
        <v>898</v>
      </c>
      <c r="S4">
        <v>4450</v>
      </c>
      <c r="U4" t="s">
        <v>374</v>
      </c>
      <c r="V4">
        <v>820</v>
      </c>
      <c r="W4">
        <v>1</v>
      </c>
      <c r="X4">
        <v>4</v>
      </c>
      <c r="Y4">
        <v>0</v>
      </c>
      <c r="Z4">
        <v>344</v>
      </c>
      <c r="AA4">
        <v>5.19</v>
      </c>
      <c r="AB4">
        <v>649</v>
      </c>
      <c r="AC4">
        <v>10366.35</v>
      </c>
      <c r="AE4" t="s">
        <v>383</v>
      </c>
      <c r="AF4">
        <v>2</v>
      </c>
      <c r="AG4">
        <v>1</v>
      </c>
      <c r="AH4">
        <v>999.64</v>
      </c>
      <c r="AI4">
        <v>1505.71</v>
      </c>
      <c r="AJ4">
        <v>1412.92</v>
      </c>
      <c r="AL4" t="s">
        <v>383</v>
      </c>
      <c r="AM4">
        <v>2</v>
      </c>
      <c r="AN4">
        <v>1</v>
      </c>
      <c r="AO4">
        <v>0</v>
      </c>
      <c r="AP4" t="s">
        <v>21</v>
      </c>
      <c r="AQ4" t="s">
        <v>404</v>
      </c>
    </row>
    <row r="5" spans="1:43" x14ac:dyDescent="0.2">
      <c r="A5" t="s">
        <v>374</v>
      </c>
      <c r="B5">
        <v>4</v>
      </c>
      <c r="C5">
        <v>1</v>
      </c>
      <c r="D5">
        <v>7250.74</v>
      </c>
      <c r="E5">
        <v>7250.74</v>
      </c>
      <c r="F5" t="s">
        <v>383</v>
      </c>
      <c r="G5">
        <v>4</v>
      </c>
      <c r="H5">
        <v>1</v>
      </c>
      <c r="I5">
        <v>7248.85</v>
      </c>
      <c r="J5">
        <v>7248.85</v>
      </c>
      <c r="L5" t="s">
        <v>374</v>
      </c>
      <c r="M5">
        <v>1</v>
      </c>
      <c r="N5">
        <v>3</v>
      </c>
      <c r="O5">
        <v>4</v>
      </c>
      <c r="P5">
        <v>582</v>
      </c>
      <c r="Q5">
        <v>599</v>
      </c>
      <c r="R5">
        <v>895</v>
      </c>
      <c r="S5">
        <v>2885.38</v>
      </c>
      <c r="U5" t="s">
        <v>374</v>
      </c>
      <c r="V5">
        <v>914</v>
      </c>
      <c r="W5">
        <v>1</v>
      </c>
      <c r="X5">
        <v>4</v>
      </c>
      <c r="Y5">
        <v>0</v>
      </c>
      <c r="Z5">
        <v>344</v>
      </c>
      <c r="AA5">
        <v>5.19</v>
      </c>
      <c r="AB5">
        <v>649</v>
      </c>
      <c r="AC5">
        <v>3306</v>
      </c>
      <c r="AE5" t="s">
        <v>383</v>
      </c>
      <c r="AF5">
        <v>4</v>
      </c>
      <c r="AG5">
        <v>1</v>
      </c>
      <c r="AH5">
        <v>-361.05</v>
      </c>
      <c r="AI5">
        <v>-8770.7000000000007</v>
      </c>
      <c r="AJ5">
        <v>-18451.43</v>
      </c>
      <c r="AL5" t="s">
        <v>383</v>
      </c>
      <c r="AM5">
        <v>4</v>
      </c>
      <c r="AN5">
        <v>1</v>
      </c>
      <c r="AO5">
        <v>0</v>
      </c>
      <c r="AP5" t="s">
        <v>22</v>
      </c>
      <c r="AQ5" t="s">
        <v>404</v>
      </c>
    </row>
    <row r="6" spans="1:43" x14ac:dyDescent="0.2">
      <c r="A6" t="s">
        <v>374</v>
      </c>
      <c r="B6">
        <v>6</v>
      </c>
      <c r="C6">
        <v>3</v>
      </c>
      <c r="D6">
        <v>42830.95</v>
      </c>
      <c r="E6">
        <v>42830.95</v>
      </c>
      <c r="F6" t="s">
        <v>383</v>
      </c>
      <c r="G6">
        <v>6</v>
      </c>
      <c r="H6">
        <v>3</v>
      </c>
      <c r="I6">
        <v>43445.31</v>
      </c>
      <c r="J6">
        <v>43445.31</v>
      </c>
      <c r="L6" t="s">
        <v>374</v>
      </c>
      <c r="M6">
        <v>625</v>
      </c>
      <c r="N6">
        <v>1</v>
      </c>
      <c r="O6">
        <v>4</v>
      </c>
      <c r="P6">
        <v>582</v>
      </c>
      <c r="Q6">
        <v>599</v>
      </c>
      <c r="R6">
        <v>895</v>
      </c>
      <c r="S6">
        <v>27438.880000000001</v>
      </c>
      <c r="U6" t="s">
        <v>374</v>
      </c>
      <c r="V6">
        <v>2165</v>
      </c>
      <c r="W6">
        <v>1</v>
      </c>
      <c r="X6">
        <v>4</v>
      </c>
      <c r="Y6">
        <v>0</v>
      </c>
      <c r="Z6">
        <v>344</v>
      </c>
      <c r="AA6">
        <v>5.05</v>
      </c>
      <c r="AB6">
        <v>649</v>
      </c>
      <c r="AC6">
        <v>30797.83</v>
      </c>
      <c r="AE6" t="s">
        <v>383</v>
      </c>
      <c r="AF6">
        <v>6</v>
      </c>
      <c r="AG6">
        <v>3</v>
      </c>
      <c r="AH6">
        <v>-12719.37</v>
      </c>
      <c r="AI6">
        <v>-2944.54</v>
      </c>
      <c r="AJ6">
        <v>6056.87</v>
      </c>
      <c r="AL6" t="s">
        <v>383</v>
      </c>
      <c r="AM6">
        <v>6</v>
      </c>
      <c r="AN6">
        <v>3</v>
      </c>
      <c r="AO6">
        <v>0</v>
      </c>
      <c r="AP6" t="s">
        <v>23</v>
      </c>
      <c r="AQ6" t="s">
        <v>404</v>
      </c>
    </row>
    <row r="7" spans="1:43" x14ac:dyDescent="0.2">
      <c r="A7" t="s">
        <v>374</v>
      </c>
      <c r="B7">
        <v>11</v>
      </c>
      <c r="C7">
        <v>1</v>
      </c>
      <c r="D7">
        <v>422702.88</v>
      </c>
      <c r="E7">
        <v>422702.88</v>
      </c>
      <c r="F7" t="s">
        <v>383</v>
      </c>
      <c r="G7">
        <v>11</v>
      </c>
      <c r="H7">
        <v>1</v>
      </c>
      <c r="I7">
        <v>418671.54</v>
      </c>
      <c r="J7">
        <v>418671.54</v>
      </c>
      <c r="L7" t="s">
        <v>374</v>
      </c>
      <c r="M7">
        <v>1</v>
      </c>
      <c r="N7">
        <v>3</v>
      </c>
      <c r="O7">
        <v>4</v>
      </c>
      <c r="P7">
        <v>582</v>
      </c>
      <c r="Q7">
        <v>0</v>
      </c>
      <c r="R7">
        <v>895</v>
      </c>
      <c r="S7">
        <v>1327.76</v>
      </c>
      <c r="U7" t="s">
        <v>374</v>
      </c>
      <c r="V7">
        <v>2172</v>
      </c>
      <c r="W7">
        <v>1</v>
      </c>
      <c r="X7">
        <v>4</v>
      </c>
      <c r="Y7">
        <v>0</v>
      </c>
      <c r="Z7">
        <v>344</v>
      </c>
      <c r="AA7">
        <v>5.19</v>
      </c>
      <c r="AB7">
        <v>649</v>
      </c>
      <c r="AC7">
        <v>20771.580000000002</v>
      </c>
      <c r="AE7" t="s">
        <v>383</v>
      </c>
      <c r="AF7">
        <v>11</v>
      </c>
      <c r="AG7">
        <v>1</v>
      </c>
      <c r="AH7">
        <v>123106.65</v>
      </c>
      <c r="AI7">
        <v>179128.25</v>
      </c>
      <c r="AJ7">
        <v>177680.78</v>
      </c>
      <c r="AL7" t="s">
        <v>383</v>
      </c>
      <c r="AM7">
        <v>11</v>
      </c>
      <c r="AN7">
        <v>1</v>
      </c>
      <c r="AO7">
        <v>0</v>
      </c>
      <c r="AP7" t="s">
        <v>24</v>
      </c>
      <c r="AQ7" t="s">
        <v>404</v>
      </c>
    </row>
    <row r="8" spans="1:43" x14ac:dyDescent="0.2">
      <c r="A8" t="s">
        <v>374</v>
      </c>
      <c r="B8">
        <v>12</v>
      </c>
      <c r="C8">
        <v>1</v>
      </c>
      <c r="D8">
        <v>50579.32</v>
      </c>
      <c r="E8">
        <v>50579.32</v>
      </c>
      <c r="F8" t="s">
        <v>383</v>
      </c>
      <c r="G8">
        <v>12</v>
      </c>
      <c r="H8">
        <v>1</v>
      </c>
      <c r="I8">
        <v>49509.17</v>
      </c>
      <c r="J8">
        <v>49509.17</v>
      </c>
      <c r="L8" t="s">
        <v>374</v>
      </c>
      <c r="M8">
        <v>4</v>
      </c>
      <c r="N8">
        <v>1</v>
      </c>
      <c r="O8">
        <v>4</v>
      </c>
      <c r="P8">
        <v>582</v>
      </c>
      <c r="Q8">
        <v>344</v>
      </c>
      <c r="R8">
        <v>820</v>
      </c>
      <c r="S8">
        <v>105</v>
      </c>
      <c r="U8" t="s">
        <v>374</v>
      </c>
      <c r="V8">
        <v>62</v>
      </c>
      <c r="W8">
        <v>1</v>
      </c>
      <c r="X8">
        <v>4</v>
      </c>
      <c r="Y8">
        <v>582</v>
      </c>
      <c r="Z8">
        <v>344</v>
      </c>
      <c r="AA8">
        <v>5.19</v>
      </c>
      <c r="AB8">
        <v>649</v>
      </c>
      <c r="AC8">
        <v>6898</v>
      </c>
      <c r="AE8" t="s">
        <v>383</v>
      </c>
      <c r="AF8">
        <v>12</v>
      </c>
      <c r="AG8">
        <v>1</v>
      </c>
      <c r="AH8">
        <v>3783.26</v>
      </c>
      <c r="AI8">
        <v>27709.69</v>
      </c>
      <c r="AJ8">
        <v>21904.54</v>
      </c>
      <c r="AL8" t="s">
        <v>383</v>
      </c>
      <c r="AM8">
        <v>12</v>
      </c>
      <c r="AN8">
        <v>1</v>
      </c>
      <c r="AO8">
        <v>0</v>
      </c>
      <c r="AP8" t="s">
        <v>25</v>
      </c>
      <c r="AQ8" t="s">
        <v>404</v>
      </c>
    </row>
    <row r="9" spans="1:43" x14ac:dyDescent="0.2">
      <c r="A9" t="s">
        <v>374</v>
      </c>
      <c r="B9">
        <v>13</v>
      </c>
      <c r="C9">
        <v>1</v>
      </c>
      <c r="D9">
        <v>59011.91</v>
      </c>
      <c r="E9">
        <v>59011.91</v>
      </c>
      <c r="F9" t="s">
        <v>383</v>
      </c>
      <c r="G9">
        <v>13</v>
      </c>
      <c r="H9">
        <v>1</v>
      </c>
      <c r="I9">
        <v>60006.04</v>
      </c>
      <c r="J9">
        <v>60006.04</v>
      </c>
      <c r="L9" t="s">
        <v>374</v>
      </c>
      <c r="M9">
        <v>6</v>
      </c>
      <c r="N9">
        <v>3</v>
      </c>
      <c r="O9">
        <v>4</v>
      </c>
      <c r="P9">
        <v>582</v>
      </c>
      <c r="Q9">
        <v>344</v>
      </c>
      <c r="R9">
        <v>820</v>
      </c>
      <c r="S9">
        <v>47.5</v>
      </c>
      <c r="U9" t="s">
        <v>374</v>
      </c>
      <c r="V9">
        <v>84</v>
      </c>
      <c r="W9">
        <v>1</v>
      </c>
      <c r="X9">
        <v>4</v>
      </c>
      <c r="Y9">
        <v>582</v>
      </c>
      <c r="Z9">
        <v>344</v>
      </c>
      <c r="AA9">
        <v>5.19</v>
      </c>
      <c r="AB9">
        <v>649</v>
      </c>
      <c r="AC9">
        <v>16902.169999999998</v>
      </c>
      <c r="AE9" t="s">
        <v>383</v>
      </c>
      <c r="AF9">
        <v>13</v>
      </c>
      <c r="AG9">
        <v>1</v>
      </c>
      <c r="AH9">
        <v>7792.64</v>
      </c>
      <c r="AI9">
        <v>22377.82</v>
      </c>
      <c r="AJ9">
        <v>23924.959999999999</v>
      </c>
      <c r="AL9" t="s">
        <v>383</v>
      </c>
      <c r="AM9">
        <v>13</v>
      </c>
      <c r="AN9">
        <v>1</v>
      </c>
      <c r="AO9">
        <v>0</v>
      </c>
      <c r="AP9" t="s">
        <v>26</v>
      </c>
      <c r="AQ9" t="s">
        <v>404</v>
      </c>
    </row>
    <row r="10" spans="1:43" x14ac:dyDescent="0.2">
      <c r="A10" t="s">
        <v>374</v>
      </c>
      <c r="B10">
        <v>14</v>
      </c>
      <c r="C10">
        <v>1</v>
      </c>
      <c r="D10">
        <v>39647.39</v>
      </c>
      <c r="E10">
        <v>39647.39</v>
      </c>
      <c r="F10" t="s">
        <v>383</v>
      </c>
      <c r="G10">
        <v>14</v>
      </c>
      <c r="H10">
        <v>1</v>
      </c>
      <c r="I10">
        <v>41669.949999999997</v>
      </c>
      <c r="J10">
        <v>41669.949999999997</v>
      </c>
      <c r="L10" t="s">
        <v>374</v>
      </c>
      <c r="M10">
        <v>11</v>
      </c>
      <c r="N10">
        <v>1</v>
      </c>
      <c r="O10">
        <v>4</v>
      </c>
      <c r="P10">
        <v>582</v>
      </c>
      <c r="Q10">
        <v>344</v>
      </c>
      <c r="R10">
        <v>820</v>
      </c>
      <c r="S10">
        <v>316.67</v>
      </c>
      <c r="U10" t="s">
        <v>374</v>
      </c>
      <c r="V10">
        <v>95</v>
      </c>
      <c r="W10">
        <v>1</v>
      </c>
      <c r="X10">
        <v>4</v>
      </c>
      <c r="Y10">
        <v>582</v>
      </c>
      <c r="Z10">
        <v>344</v>
      </c>
      <c r="AA10">
        <v>5.19</v>
      </c>
      <c r="AB10">
        <v>649</v>
      </c>
      <c r="AC10">
        <v>18563.48</v>
      </c>
      <c r="AE10" t="s">
        <v>383</v>
      </c>
      <c r="AF10">
        <v>14</v>
      </c>
      <c r="AG10">
        <v>1</v>
      </c>
      <c r="AH10">
        <v>8674.32</v>
      </c>
      <c r="AI10">
        <v>6898</v>
      </c>
      <c r="AJ10">
        <v>8619.51</v>
      </c>
      <c r="AL10" t="s">
        <v>383</v>
      </c>
      <c r="AM10">
        <v>14</v>
      </c>
      <c r="AN10">
        <v>1</v>
      </c>
      <c r="AO10">
        <v>0</v>
      </c>
      <c r="AP10" t="s">
        <v>27</v>
      </c>
      <c r="AQ10" t="s">
        <v>404</v>
      </c>
    </row>
    <row r="11" spans="1:43" x14ac:dyDescent="0.2">
      <c r="A11" t="s">
        <v>374</v>
      </c>
      <c r="B11">
        <v>15</v>
      </c>
      <c r="C11">
        <v>1</v>
      </c>
      <c r="D11">
        <v>59047.8</v>
      </c>
      <c r="E11">
        <v>59047.8</v>
      </c>
      <c r="F11" t="s">
        <v>383</v>
      </c>
      <c r="G11">
        <v>15</v>
      </c>
      <c r="H11">
        <v>1</v>
      </c>
      <c r="I11">
        <v>60370.89</v>
      </c>
      <c r="J11">
        <v>60370.89</v>
      </c>
      <c r="L11" t="s">
        <v>374</v>
      </c>
      <c r="M11">
        <v>14</v>
      </c>
      <c r="N11">
        <v>1</v>
      </c>
      <c r="O11">
        <v>4</v>
      </c>
      <c r="P11">
        <v>582</v>
      </c>
      <c r="Q11">
        <v>344</v>
      </c>
      <c r="R11">
        <v>820</v>
      </c>
      <c r="S11">
        <v>47.5</v>
      </c>
      <c r="U11" t="s">
        <v>374</v>
      </c>
      <c r="V11">
        <v>272</v>
      </c>
      <c r="W11">
        <v>1</v>
      </c>
      <c r="X11">
        <v>4</v>
      </c>
      <c r="Y11">
        <v>582</v>
      </c>
      <c r="Z11">
        <v>344</v>
      </c>
      <c r="AA11">
        <v>5.19</v>
      </c>
      <c r="AB11">
        <v>649</v>
      </c>
      <c r="AC11">
        <v>162840.85999999999</v>
      </c>
      <c r="AE11" t="s">
        <v>383</v>
      </c>
      <c r="AF11">
        <v>15</v>
      </c>
      <c r="AG11">
        <v>1</v>
      </c>
      <c r="AH11">
        <v>11161.95</v>
      </c>
      <c r="AI11">
        <v>10580.5</v>
      </c>
      <c r="AJ11">
        <v>10468.91</v>
      </c>
      <c r="AL11" t="s">
        <v>383</v>
      </c>
      <c r="AM11">
        <v>15</v>
      </c>
      <c r="AN11">
        <v>1</v>
      </c>
      <c r="AO11">
        <v>0</v>
      </c>
      <c r="AP11" t="s">
        <v>28</v>
      </c>
      <c r="AQ11" t="s">
        <v>404</v>
      </c>
    </row>
    <row r="12" spans="1:43" x14ac:dyDescent="0.2">
      <c r="A12" t="s">
        <v>374</v>
      </c>
      <c r="B12">
        <v>16</v>
      </c>
      <c r="C12">
        <v>1</v>
      </c>
      <c r="D12">
        <v>63728.86</v>
      </c>
      <c r="E12">
        <v>63728.86</v>
      </c>
      <c r="F12" t="s">
        <v>383</v>
      </c>
      <c r="G12">
        <v>16</v>
      </c>
      <c r="H12">
        <v>1</v>
      </c>
      <c r="I12">
        <v>62806.33</v>
      </c>
      <c r="J12">
        <v>62806.33</v>
      </c>
      <c r="L12" t="s">
        <v>374</v>
      </c>
      <c r="M12">
        <v>129</v>
      </c>
      <c r="N12">
        <v>1</v>
      </c>
      <c r="O12">
        <v>4</v>
      </c>
      <c r="P12">
        <v>582</v>
      </c>
      <c r="Q12">
        <v>344</v>
      </c>
      <c r="R12">
        <v>820</v>
      </c>
      <c r="S12">
        <v>12690</v>
      </c>
      <c r="U12" t="s">
        <v>374</v>
      </c>
      <c r="V12">
        <v>362</v>
      </c>
      <c r="W12">
        <v>1</v>
      </c>
      <c r="X12">
        <v>4</v>
      </c>
      <c r="Y12">
        <v>582</v>
      </c>
      <c r="Z12">
        <v>344</v>
      </c>
      <c r="AA12">
        <v>5.19</v>
      </c>
      <c r="AB12">
        <v>649</v>
      </c>
      <c r="AC12">
        <v>56782.16</v>
      </c>
      <c r="AE12" t="s">
        <v>383</v>
      </c>
      <c r="AF12">
        <v>16</v>
      </c>
      <c r="AG12">
        <v>1</v>
      </c>
      <c r="AH12">
        <v>6247.34</v>
      </c>
      <c r="AI12">
        <v>7374.98</v>
      </c>
      <c r="AJ12">
        <v>9437.64</v>
      </c>
      <c r="AL12" t="s">
        <v>383</v>
      </c>
      <c r="AM12">
        <v>16</v>
      </c>
      <c r="AN12">
        <v>1</v>
      </c>
      <c r="AO12">
        <v>0</v>
      </c>
      <c r="AP12" t="s">
        <v>29</v>
      </c>
      <c r="AQ12" t="s">
        <v>404</v>
      </c>
    </row>
    <row r="13" spans="1:43" x14ac:dyDescent="0.2">
      <c r="A13" t="s">
        <v>374</v>
      </c>
      <c r="B13">
        <v>22</v>
      </c>
      <c r="C13">
        <v>1</v>
      </c>
      <c r="D13">
        <v>35584.370000000003</v>
      </c>
      <c r="E13">
        <v>35584.370000000003</v>
      </c>
      <c r="F13" t="s">
        <v>383</v>
      </c>
      <c r="G13">
        <v>22</v>
      </c>
      <c r="H13">
        <v>1</v>
      </c>
      <c r="I13">
        <v>34865.56</v>
      </c>
      <c r="J13">
        <v>34865.56</v>
      </c>
      <c r="L13" t="s">
        <v>374</v>
      </c>
      <c r="M13">
        <v>241</v>
      </c>
      <c r="N13">
        <v>1</v>
      </c>
      <c r="O13">
        <v>4</v>
      </c>
      <c r="P13">
        <v>582</v>
      </c>
      <c r="Q13">
        <v>344</v>
      </c>
      <c r="R13">
        <v>820</v>
      </c>
      <c r="S13">
        <v>298.31</v>
      </c>
      <c r="U13" t="s">
        <v>374</v>
      </c>
      <c r="V13">
        <v>363</v>
      </c>
      <c r="W13">
        <v>1</v>
      </c>
      <c r="X13">
        <v>4</v>
      </c>
      <c r="Y13">
        <v>582</v>
      </c>
      <c r="Z13">
        <v>344</v>
      </c>
      <c r="AA13">
        <v>5.19</v>
      </c>
      <c r="AB13">
        <v>649</v>
      </c>
      <c r="AC13">
        <v>61905.15</v>
      </c>
      <c r="AE13" t="s">
        <v>383</v>
      </c>
      <c r="AF13">
        <v>22</v>
      </c>
      <c r="AG13">
        <v>1</v>
      </c>
      <c r="AH13">
        <v>12286.85</v>
      </c>
      <c r="AI13">
        <v>6550.15</v>
      </c>
      <c r="AJ13">
        <v>5427.59</v>
      </c>
      <c r="AL13" t="s">
        <v>383</v>
      </c>
      <c r="AM13">
        <v>22</v>
      </c>
      <c r="AN13">
        <v>1</v>
      </c>
      <c r="AO13">
        <v>0</v>
      </c>
      <c r="AP13" t="s">
        <v>30</v>
      </c>
      <c r="AQ13" t="s">
        <v>404</v>
      </c>
    </row>
    <row r="14" spans="1:43" x14ac:dyDescent="0.2">
      <c r="A14" t="s">
        <v>374</v>
      </c>
      <c r="B14">
        <v>23</v>
      </c>
      <c r="C14">
        <v>1</v>
      </c>
      <c r="D14">
        <v>15152.83</v>
      </c>
      <c r="E14">
        <v>15152.83</v>
      </c>
      <c r="F14" t="s">
        <v>383</v>
      </c>
      <c r="G14">
        <v>23</v>
      </c>
      <c r="H14">
        <v>1</v>
      </c>
      <c r="I14">
        <v>15132.5</v>
      </c>
      <c r="J14">
        <v>15132.5</v>
      </c>
      <c r="L14" t="s">
        <v>374</v>
      </c>
      <c r="M14">
        <v>270</v>
      </c>
      <c r="N14">
        <v>1</v>
      </c>
      <c r="O14">
        <v>4</v>
      </c>
      <c r="P14">
        <v>582</v>
      </c>
      <c r="Q14">
        <v>344</v>
      </c>
      <c r="R14">
        <v>820</v>
      </c>
      <c r="S14">
        <v>124</v>
      </c>
      <c r="U14" t="s">
        <v>374</v>
      </c>
      <c r="V14">
        <v>463</v>
      </c>
      <c r="W14">
        <v>1</v>
      </c>
      <c r="X14">
        <v>4</v>
      </c>
      <c r="Y14">
        <v>582</v>
      </c>
      <c r="Z14">
        <v>344</v>
      </c>
      <c r="AA14">
        <v>5.19</v>
      </c>
      <c r="AB14">
        <v>649</v>
      </c>
      <c r="AC14">
        <v>40000</v>
      </c>
      <c r="AE14" t="s">
        <v>383</v>
      </c>
      <c r="AF14">
        <v>23</v>
      </c>
      <c r="AG14">
        <v>1</v>
      </c>
      <c r="AH14">
        <v>3723.61</v>
      </c>
      <c r="AI14">
        <v>5419.53</v>
      </c>
      <c r="AJ14">
        <v>11790.52</v>
      </c>
      <c r="AL14" t="s">
        <v>383</v>
      </c>
      <c r="AM14">
        <v>23</v>
      </c>
      <c r="AN14">
        <v>1</v>
      </c>
      <c r="AO14">
        <v>0</v>
      </c>
      <c r="AP14" t="s">
        <v>31</v>
      </c>
      <c r="AQ14" t="s">
        <v>404</v>
      </c>
    </row>
    <row r="15" spans="1:43" x14ac:dyDescent="0.2">
      <c r="A15" t="s">
        <v>374</v>
      </c>
      <c r="B15">
        <v>25</v>
      </c>
      <c r="C15">
        <v>1</v>
      </c>
      <c r="D15">
        <v>2073.37</v>
      </c>
      <c r="E15">
        <v>2073.37</v>
      </c>
      <c r="F15" t="s">
        <v>383</v>
      </c>
      <c r="G15">
        <v>25</v>
      </c>
      <c r="H15">
        <v>1</v>
      </c>
      <c r="I15">
        <v>2945.75</v>
      </c>
      <c r="J15">
        <v>2945.75</v>
      </c>
      <c r="L15" t="s">
        <v>374</v>
      </c>
      <c r="M15">
        <v>277</v>
      </c>
      <c r="N15">
        <v>1</v>
      </c>
      <c r="O15">
        <v>4</v>
      </c>
      <c r="P15">
        <v>582</v>
      </c>
      <c r="Q15">
        <v>344</v>
      </c>
      <c r="R15">
        <v>820</v>
      </c>
      <c r="S15">
        <v>244.45</v>
      </c>
      <c r="U15" t="s">
        <v>374</v>
      </c>
      <c r="V15">
        <v>545</v>
      </c>
      <c r="W15">
        <v>1</v>
      </c>
      <c r="X15">
        <v>4</v>
      </c>
      <c r="Y15">
        <v>582</v>
      </c>
      <c r="Z15">
        <v>344</v>
      </c>
      <c r="AA15">
        <v>5.19</v>
      </c>
      <c r="AB15">
        <v>649</v>
      </c>
      <c r="AC15">
        <v>7500</v>
      </c>
      <c r="AE15" t="s">
        <v>383</v>
      </c>
      <c r="AF15">
        <v>25</v>
      </c>
      <c r="AG15">
        <v>1</v>
      </c>
      <c r="AH15">
        <v>0</v>
      </c>
      <c r="AI15">
        <v>186.21</v>
      </c>
      <c r="AJ15">
        <v>199.62</v>
      </c>
      <c r="AL15" t="s">
        <v>383</v>
      </c>
      <c r="AM15">
        <v>25</v>
      </c>
      <c r="AN15">
        <v>1</v>
      </c>
      <c r="AO15">
        <v>0</v>
      </c>
      <c r="AP15" t="s">
        <v>32</v>
      </c>
      <c r="AQ15" t="s">
        <v>404</v>
      </c>
    </row>
    <row r="16" spans="1:43" x14ac:dyDescent="0.2">
      <c r="A16" t="s">
        <v>374</v>
      </c>
      <c r="B16">
        <v>31</v>
      </c>
      <c r="C16">
        <v>1</v>
      </c>
      <c r="D16">
        <v>82580.94</v>
      </c>
      <c r="E16">
        <v>76516.11</v>
      </c>
      <c r="F16" t="s">
        <v>383</v>
      </c>
      <c r="G16">
        <v>31</v>
      </c>
      <c r="H16">
        <v>1</v>
      </c>
      <c r="I16">
        <v>81206.11</v>
      </c>
      <c r="J16">
        <v>75892.91</v>
      </c>
      <c r="L16" t="s">
        <v>374</v>
      </c>
      <c r="M16">
        <v>284</v>
      </c>
      <c r="N16">
        <v>1</v>
      </c>
      <c r="O16">
        <v>4</v>
      </c>
      <c r="P16">
        <v>582</v>
      </c>
      <c r="Q16">
        <v>344</v>
      </c>
      <c r="R16">
        <v>820</v>
      </c>
      <c r="S16">
        <v>110</v>
      </c>
      <c r="U16" t="s">
        <v>374</v>
      </c>
      <c r="V16">
        <v>564</v>
      </c>
      <c r="W16">
        <v>1</v>
      </c>
      <c r="X16">
        <v>4</v>
      </c>
      <c r="Y16">
        <v>582</v>
      </c>
      <c r="Z16">
        <v>344</v>
      </c>
      <c r="AA16">
        <v>5.19</v>
      </c>
      <c r="AB16">
        <v>649</v>
      </c>
      <c r="AC16">
        <v>6590</v>
      </c>
      <c r="AE16" t="s">
        <v>383</v>
      </c>
      <c r="AF16">
        <v>31</v>
      </c>
      <c r="AG16">
        <v>1</v>
      </c>
      <c r="AH16">
        <v>22331.84</v>
      </c>
      <c r="AI16">
        <v>26226.78</v>
      </c>
      <c r="AJ16">
        <v>35381.519999999997</v>
      </c>
      <c r="AL16" t="s">
        <v>383</v>
      </c>
      <c r="AM16">
        <v>31</v>
      </c>
      <c r="AN16">
        <v>1</v>
      </c>
      <c r="AO16">
        <v>0</v>
      </c>
      <c r="AP16" t="s">
        <v>33</v>
      </c>
      <c r="AQ16" t="s">
        <v>404</v>
      </c>
    </row>
    <row r="17" spans="1:43" x14ac:dyDescent="0.2">
      <c r="A17" t="s">
        <v>374</v>
      </c>
      <c r="B17">
        <v>32</v>
      </c>
      <c r="C17">
        <v>1</v>
      </c>
      <c r="D17">
        <v>10538.92</v>
      </c>
      <c r="E17">
        <v>10538.92</v>
      </c>
      <c r="F17" t="s">
        <v>383</v>
      </c>
      <c r="G17">
        <v>32</v>
      </c>
      <c r="H17">
        <v>1</v>
      </c>
      <c r="I17">
        <v>10095.120000000001</v>
      </c>
      <c r="J17">
        <v>10095.120000000001</v>
      </c>
      <c r="L17" t="s">
        <v>374</v>
      </c>
      <c r="M17">
        <v>465</v>
      </c>
      <c r="N17">
        <v>1</v>
      </c>
      <c r="O17">
        <v>4</v>
      </c>
      <c r="P17">
        <v>582</v>
      </c>
      <c r="Q17">
        <v>344</v>
      </c>
      <c r="R17">
        <v>820</v>
      </c>
      <c r="S17">
        <v>55</v>
      </c>
      <c r="U17" t="s">
        <v>374</v>
      </c>
      <c r="V17">
        <v>771</v>
      </c>
      <c r="W17">
        <v>1</v>
      </c>
      <c r="X17">
        <v>4</v>
      </c>
      <c r="Y17">
        <v>582</v>
      </c>
      <c r="Z17">
        <v>344</v>
      </c>
      <c r="AA17">
        <v>5.19</v>
      </c>
      <c r="AB17">
        <v>649</v>
      </c>
      <c r="AC17">
        <v>12804.05</v>
      </c>
      <c r="AE17" t="s">
        <v>383</v>
      </c>
      <c r="AF17">
        <v>32</v>
      </c>
      <c r="AG17">
        <v>1</v>
      </c>
      <c r="AH17">
        <v>-1599</v>
      </c>
      <c r="AI17">
        <v>-428.16</v>
      </c>
      <c r="AJ17">
        <v>2619.4499999999998</v>
      </c>
      <c r="AL17" t="s">
        <v>383</v>
      </c>
      <c r="AM17">
        <v>32</v>
      </c>
      <c r="AN17">
        <v>1</v>
      </c>
      <c r="AO17">
        <v>0</v>
      </c>
      <c r="AP17" t="s">
        <v>34</v>
      </c>
      <c r="AQ17" t="s">
        <v>404</v>
      </c>
    </row>
    <row r="18" spans="1:43" x14ac:dyDescent="0.2">
      <c r="A18" t="s">
        <v>374</v>
      </c>
      <c r="B18">
        <v>36</v>
      </c>
      <c r="C18">
        <v>1</v>
      </c>
      <c r="D18">
        <v>4445.75</v>
      </c>
      <c r="E18">
        <v>4445.75</v>
      </c>
      <c r="F18" t="s">
        <v>383</v>
      </c>
      <c r="G18">
        <v>36</v>
      </c>
      <c r="H18">
        <v>1</v>
      </c>
      <c r="I18">
        <v>4505.5200000000004</v>
      </c>
      <c r="J18">
        <v>4505.5200000000004</v>
      </c>
      <c r="L18" t="s">
        <v>374</v>
      </c>
      <c r="M18">
        <v>508</v>
      </c>
      <c r="N18">
        <v>1</v>
      </c>
      <c r="O18">
        <v>4</v>
      </c>
      <c r="P18">
        <v>582</v>
      </c>
      <c r="Q18">
        <v>344</v>
      </c>
      <c r="R18">
        <v>820</v>
      </c>
      <c r="S18">
        <v>231.25</v>
      </c>
      <c r="U18" t="s">
        <v>374</v>
      </c>
      <c r="V18">
        <v>857</v>
      </c>
      <c r="W18">
        <v>1</v>
      </c>
      <c r="X18">
        <v>4</v>
      </c>
      <c r="Y18">
        <v>582</v>
      </c>
      <c r="Z18">
        <v>344</v>
      </c>
      <c r="AA18">
        <v>5.19</v>
      </c>
      <c r="AB18">
        <v>649</v>
      </c>
      <c r="AC18">
        <v>34093.43</v>
      </c>
      <c r="AE18" t="s">
        <v>383</v>
      </c>
      <c r="AF18">
        <v>36</v>
      </c>
      <c r="AG18">
        <v>1</v>
      </c>
      <c r="AH18">
        <v>-0.2</v>
      </c>
      <c r="AI18">
        <v>-0.36</v>
      </c>
      <c r="AJ18">
        <v>-0.36</v>
      </c>
      <c r="AL18" t="s">
        <v>383</v>
      </c>
      <c r="AM18">
        <v>36</v>
      </c>
      <c r="AN18">
        <v>1</v>
      </c>
      <c r="AO18">
        <v>0</v>
      </c>
      <c r="AP18" t="s">
        <v>35</v>
      </c>
      <c r="AQ18" t="s">
        <v>404</v>
      </c>
    </row>
    <row r="19" spans="1:43" x14ac:dyDescent="0.2">
      <c r="A19" t="s">
        <v>374</v>
      </c>
      <c r="B19">
        <v>38</v>
      </c>
      <c r="C19">
        <v>1</v>
      </c>
      <c r="D19">
        <v>32134.16</v>
      </c>
      <c r="E19">
        <v>32134.16</v>
      </c>
      <c r="F19" t="s">
        <v>383</v>
      </c>
      <c r="G19">
        <v>38</v>
      </c>
      <c r="H19">
        <v>1</v>
      </c>
      <c r="I19">
        <v>33893.79</v>
      </c>
      <c r="J19">
        <v>33893.79</v>
      </c>
      <c r="L19" t="s">
        <v>374</v>
      </c>
      <c r="M19">
        <v>622</v>
      </c>
      <c r="N19">
        <v>1</v>
      </c>
      <c r="O19">
        <v>4</v>
      </c>
      <c r="P19">
        <v>582</v>
      </c>
      <c r="Q19">
        <v>344</v>
      </c>
      <c r="R19">
        <v>820</v>
      </c>
      <c r="S19">
        <v>28.38</v>
      </c>
      <c r="U19" t="s">
        <v>374</v>
      </c>
      <c r="V19">
        <v>2169</v>
      </c>
      <c r="W19">
        <v>1</v>
      </c>
      <c r="X19">
        <v>4</v>
      </c>
      <c r="Y19">
        <v>582</v>
      </c>
      <c r="Z19">
        <v>344</v>
      </c>
      <c r="AA19">
        <v>5.19</v>
      </c>
      <c r="AB19">
        <v>649</v>
      </c>
      <c r="AC19">
        <v>9500</v>
      </c>
      <c r="AE19" t="s">
        <v>383</v>
      </c>
      <c r="AF19">
        <v>38</v>
      </c>
      <c r="AG19">
        <v>1</v>
      </c>
      <c r="AH19">
        <v>0</v>
      </c>
      <c r="AI19">
        <v>0</v>
      </c>
      <c r="AJ19">
        <v>0.1</v>
      </c>
      <c r="AL19" t="s">
        <v>383</v>
      </c>
      <c r="AM19">
        <v>38</v>
      </c>
      <c r="AN19">
        <v>1</v>
      </c>
      <c r="AO19">
        <v>0</v>
      </c>
      <c r="AP19" t="s">
        <v>36</v>
      </c>
      <c r="AQ19" t="s">
        <v>404</v>
      </c>
    </row>
    <row r="20" spans="1:43" x14ac:dyDescent="0.2">
      <c r="A20" t="s">
        <v>374</v>
      </c>
      <c r="B20">
        <v>47</v>
      </c>
      <c r="C20">
        <v>1</v>
      </c>
      <c r="D20">
        <v>46560.86</v>
      </c>
      <c r="E20">
        <v>46560.86</v>
      </c>
      <c r="F20" t="s">
        <v>383</v>
      </c>
      <c r="G20">
        <v>47</v>
      </c>
      <c r="H20">
        <v>1</v>
      </c>
      <c r="I20">
        <v>49606.49</v>
      </c>
      <c r="J20">
        <v>49606.49</v>
      </c>
      <c r="L20" t="s">
        <v>374</v>
      </c>
      <c r="M20">
        <v>623</v>
      </c>
      <c r="N20">
        <v>1</v>
      </c>
      <c r="O20">
        <v>4</v>
      </c>
      <c r="P20">
        <v>582</v>
      </c>
      <c r="Q20">
        <v>344</v>
      </c>
      <c r="R20">
        <v>820</v>
      </c>
      <c r="S20">
        <v>97.69</v>
      </c>
      <c r="U20" t="s">
        <v>374</v>
      </c>
      <c r="V20">
        <v>2448</v>
      </c>
      <c r="W20">
        <v>1</v>
      </c>
      <c r="X20">
        <v>4</v>
      </c>
      <c r="Y20">
        <v>582</v>
      </c>
      <c r="Z20">
        <v>344</v>
      </c>
      <c r="AA20">
        <v>5.19</v>
      </c>
      <c r="AB20">
        <v>649</v>
      </c>
      <c r="AC20">
        <v>26268.42</v>
      </c>
      <c r="AE20" t="s">
        <v>383</v>
      </c>
      <c r="AF20">
        <v>47</v>
      </c>
      <c r="AG20">
        <v>1</v>
      </c>
      <c r="AH20">
        <v>21916.82</v>
      </c>
      <c r="AI20">
        <v>23452.880000000001</v>
      </c>
      <c r="AJ20">
        <v>11973.87</v>
      </c>
      <c r="AL20" t="s">
        <v>383</v>
      </c>
      <c r="AM20">
        <v>47</v>
      </c>
      <c r="AN20">
        <v>1</v>
      </c>
      <c r="AO20">
        <v>0</v>
      </c>
      <c r="AP20" t="s">
        <v>37</v>
      </c>
      <c r="AQ20" t="s">
        <v>404</v>
      </c>
    </row>
    <row r="21" spans="1:43" x14ac:dyDescent="0.2">
      <c r="A21" t="s">
        <v>374</v>
      </c>
      <c r="B21">
        <v>51</v>
      </c>
      <c r="C21">
        <v>1</v>
      </c>
      <c r="D21">
        <v>20401.78</v>
      </c>
      <c r="E21">
        <v>20401.78</v>
      </c>
      <c r="F21" t="s">
        <v>383</v>
      </c>
      <c r="G21">
        <v>51</v>
      </c>
      <c r="H21">
        <v>1</v>
      </c>
      <c r="I21">
        <v>20517.27</v>
      </c>
      <c r="J21">
        <v>20517.27</v>
      </c>
      <c r="L21" t="s">
        <v>374</v>
      </c>
      <c r="M21">
        <v>659</v>
      </c>
      <c r="N21">
        <v>1</v>
      </c>
      <c r="O21">
        <v>4</v>
      </c>
      <c r="P21">
        <v>582</v>
      </c>
      <c r="Q21">
        <v>344</v>
      </c>
      <c r="R21">
        <v>820</v>
      </c>
      <c r="S21">
        <v>75</v>
      </c>
      <c r="U21" t="s">
        <v>374</v>
      </c>
      <c r="V21">
        <v>2888</v>
      </c>
      <c r="W21">
        <v>1</v>
      </c>
      <c r="X21">
        <v>4</v>
      </c>
      <c r="Y21">
        <v>582</v>
      </c>
      <c r="Z21">
        <v>344</v>
      </c>
      <c r="AA21">
        <v>5.19</v>
      </c>
      <c r="AB21">
        <v>649</v>
      </c>
      <c r="AC21">
        <v>9220</v>
      </c>
      <c r="AE21" t="s">
        <v>383</v>
      </c>
      <c r="AF21">
        <v>51</v>
      </c>
      <c r="AG21">
        <v>1</v>
      </c>
      <c r="AH21">
        <v>1658.77</v>
      </c>
      <c r="AI21">
        <v>1548.2</v>
      </c>
      <c r="AJ21">
        <v>-195.42</v>
      </c>
      <c r="AL21" t="s">
        <v>383</v>
      </c>
      <c r="AM21">
        <v>51</v>
      </c>
      <c r="AN21">
        <v>1</v>
      </c>
      <c r="AO21">
        <v>0</v>
      </c>
      <c r="AP21" t="s">
        <v>38</v>
      </c>
      <c r="AQ21" t="s">
        <v>404</v>
      </c>
    </row>
    <row r="22" spans="1:43" x14ac:dyDescent="0.2">
      <c r="A22" t="s">
        <v>374</v>
      </c>
      <c r="B22">
        <v>62</v>
      </c>
      <c r="C22">
        <v>1</v>
      </c>
      <c r="D22">
        <v>5852.72</v>
      </c>
      <c r="E22">
        <v>5852.72</v>
      </c>
      <c r="F22" t="s">
        <v>383</v>
      </c>
      <c r="G22">
        <v>75</v>
      </c>
      <c r="H22">
        <v>1</v>
      </c>
      <c r="I22">
        <v>3965.29</v>
      </c>
      <c r="J22">
        <v>3965.29</v>
      </c>
      <c r="L22" t="s">
        <v>374</v>
      </c>
      <c r="M22">
        <v>2889</v>
      </c>
      <c r="N22">
        <v>1</v>
      </c>
      <c r="O22">
        <v>4</v>
      </c>
      <c r="P22">
        <v>582</v>
      </c>
      <c r="Q22">
        <v>344</v>
      </c>
      <c r="R22">
        <v>820</v>
      </c>
      <c r="S22">
        <v>42.68</v>
      </c>
      <c r="U22" t="s">
        <v>374</v>
      </c>
      <c r="V22">
        <v>415</v>
      </c>
      <c r="W22">
        <v>1</v>
      </c>
      <c r="X22">
        <v>4</v>
      </c>
      <c r="Y22">
        <v>583</v>
      </c>
      <c r="Z22">
        <v>344</v>
      </c>
      <c r="AA22">
        <v>5.19</v>
      </c>
      <c r="AB22">
        <v>649</v>
      </c>
      <c r="AC22">
        <v>1718</v>
      </c>
      <c r="AE22" t="s">
        <v>383</v>
      </c>
      <c r="AF22">
        <v>75</v>
      </c>
      <c r="AG22">
        <v>1</v>
      </c>
      <c r="AH22">
        <v>319</v>
      </c>
      <c r="AI22">
        <v>17.149999999999999</v>
      </c>
      <c r="AJ22">
        <v>-994.86</v>
      </c>
      <c r="AL22" t="s">
        <v>383</v>
      </c>
      <c r="AM22">
        <v>75</v>
      </c>
      <c r="AN22">
        <v>1</v>
      </c>
      <c r="AO22">
        <v>0</v>
      </c>
      <c r="AP22" t="s">
        <v>39</v>
      </c>
      <c r="AQ22" t="s">
        <v>404</v>
      </c>
    </row>
    <row r="23" spans="1:43" x14ac:dyDescent="0.2">
      <c r="A23" t="s">
        <v>374</v>
      </c>
      <c r="B23">
        <v>75</v>
      </c>
      <c r="C23">
        <v>1</v>
      </c>
      <c r="D23">
        <v>4733.51</v>
      </c>
      <c r="E23">
        <v>4733.51</v>
      </c>
      <c r="F23" t="s">
        <v>383</v>
      </c>
      <c r="G23">
        <v>77</v>
      </c>
      <c r="H23">
        <v>1</v>
      </c>
      <c r="I23">
        <v>91747.36</v>
      </c>
      <c r="J23">
        <v>91747.36</v>
      </c>
      <c r="L23" t="s">
        <v>374</v>
      </c>
      <c r="M23">
        <v>1</v>
      </c>
      <c r="N23">
        <v>3</v>
      </c>
      <c r="O23">
        <v>4</v>
      </c>
      <c r="P23">
        <v>582</v>
      </c>
      <c r="Q23">
        <v>344</v>
      </c>
      <c r="R23">
        <v>555</v>
      </c>
      <c r="S23">
        <v>1640.85</v>
      </c>
      <c r="U23" t="s">
        <v>374</v>
      </c>
      <c r="V23">
        <v>38</v>
      </c>
      <c r="W23">
        <v>1</v>
      </c>
      <c r="X23">
        <v>4</v>
      </c>
      <c r="Y23">
        <v>950</v>
      </c>
      <c r="Z23">
        <v>344</v>
      </c>
      <c r="AA23">
        <v>5.19</v>
      </c>
      <c r="AB23">
        <v>649</v>
      </c>
      <c r="AC23">
        <v>4450.63</v>
      </c>
      <c r="AE23" t="s">
        <v>383</v>
      </c>
      <c r="AF23">
        <v>77</v>
      </c>
      <c r="AG23">
        <v>1</v>
      </c>
      <c r="AH23">
        <v>23692.04</v>
      </c>
      <c r="AI23">
        <v>21904.44</v>
      </c>
      <c r="AJ23">
        <v>25020.15</v>
      </c>
      <c r="AL23" t="s">
        <v>383</v>
      </c>
      <c r="AM23">
        <v>77</v>
      </c>
      <c r="AN23">
        <v>1</v>
      </c>
      <c r="AO23">
        <v>0</v>
      </c>
      <c r="AP23" t="s">
        <v>40</v>
      </c>
      <c r="AQ23" t="s">
        <v>404</v>
      </c>
    </row>
    <row r="24" spans="1:43" x14ac:dyDescent="0.2">
      <c r="A24" t="s">
        <v>374</v>
      </c>
      <c r="B24">
        <v>77</v>
      </c>
      <c r="C24">
        <v>1</v>
      </c>
      <c r="D24">
        <v>88954.15</v>
      </c>
      <c r="E24">
        <v>88954.15</v>
      </c>
      <c r="F24" t="s">
        <v>383</v>
      </c>
      <c r="G24">
        <v>81</v>
      </c>
      <c r="H24">
        <v>1</v>
      </c>
      <c r="I24">
        <v>2335.0100000000002</v>
      </c>
      <c r="J24">
        <v>2335.0100000000002</v>
      </c>
      <c r="L24" t="s">
        <v>374</v>
      </c>
      <c r="M24">
        <v>11</v>
      </c>
      <c r="N24">
        <v>1</v>
      </c>
      <c r="O24">
        <v>4</v>
      </c>
      <c r="P24">
        <v>582</v>
      </c>
      <c r="Q24">
        <v>344</v>
      </c>
      <c r="R24">
        <v>555</v>
      </c>
      <c r="S24">
        <v>1503.02</v>
      </c>
      <c r="U24" t="s">
        <v>374</v>
      </c>
      <c r="V24">
        <v>139</v>
      </c>
      <c r="W24">
        <v>1</v>
      </c>
      <c r="X24">
        <v>4</v>
      </c>
      <c r="Y24">
        <v>582</v>
      </c>
      <c r="Z24">
        <v>0</v>
      </c>
      <c r="AA24">
        <v>5.19</v>
      </c>
      <c r="AB24">
        <v>649</v>
      </c>
      <c r="AC24">
        <v>8707.09</v>
      </c>
      <c r="AE24" t="s">
        <v>383</v>
      </c>
      <c r="AF24">
        <v>81</v>
      </c>
      <c r="AG24">
        <v>1</v>
      </c>
      <c r="AH24">
        <v>-1432.93</v>
      </c>
      <c r="AI24">
        <v>-2606.13</v>
      </c>
      <c r="AJ24">
        <v>-3961.21</v>
      </c>
      <c r="AL24" t="s">
        <v>383</v>
      </c>
      <c r="AM24">
        <v>81</v>
      </c>
      <c r="AN24">
        <v>1</v>
      </c>
      <c r="AO24">
        <v>0</v>
      </c>
      <c r="AP24" t="s">
        <v>41</v>
      </c>
      <c r="AQ24" t="s">
        <v>404</v>
      </c>
    </row>
    <row r="25" spans="1:43" x14ac:dyDescent="0.2">
      <c r="A25" t="s">
        <v>374</v>
      </c>
      <c r="B25">
        <v>81</v>
      </c>
      <c r="C25">
        <v>1</v>
      </c>
      <c r="D25">
        <v>2408.17</v>
      </c>
      <c r="E25">
        <v>2408.17</v>
      </c>
      <c r="F25" t="s">
        <v>383</v>
      </c>
      <c r="G25">
        <v>84</v>
      </c>
      <c r="H25">
        <v>1</v>
      </c>
      <c r="I25">
        <v>11049.77</v>
      </c>
      <c r="J25">
        <v>11049.77</v>
      </c>
      <c r="L25" t="s">
        <v>374</v>
      </c>
      <c r="M25">
        <v>281</v>
      </c>
      <c r="N25">
        <v>1</v>
      </c>
      <c r="O25">
        <v>4</v>
      </c>
      <c r="P25">
        <v>582</v>
      </c>
      <c r="Q25">
        <v>344</v>
      </c>
      <c r="R25">
        <v>555</v>
      </c>
      <c r="S25">
        <v>489</v>
      </c>
      <c r="U25" t="s">
        <v>374</v>
      </c>
      <c r="V25">
        <v>378</v>
      </c>
      <c r="W25">
        <v>1</v>
      </c>
      <c r="X25">
        <v>4</v>
      </c>
      <c r="Y25">
        <v>582</v>
      </c>
      <c r="Z25">
        <v>0</v>
      </c>
      <c r="AA25">
        <v>5.19</v>
      </c>
      <c r="AB25">
        <v>649</v>
      </c>
      <c r="AC25">
        <v>1831.1</v>
      </c>
      <c r="AE25" t="s">
        <v>383</v>
      </c>
      <c r="AF25">
        <v>84</v>
      </c>
      <c r="AG25">
        <v>1</v>
      </c>
      <c r="AH25">
        <v>-14643.52</v>
      </c>
      <c r="AI25">
        <v>-16902.169999999998</v>
      </c>
      <c r="AJ25">
        <v>-16353.77</v>
      </c>
      <c r="AL25" t="s">
        <v>383</v>
      </c>
      <c r="AM25">
        <v>84</v>
      </c>
      <c r="AN25">
        <v>1</v>
      </c>
      <c r="AO25">
        <v>0</v>
      </c>
      <c r="AP25" t="s">
        <v>42</v>
      </c>
      <c r="AQ25" t="s">
        <v>404</v>
      </c>
    </row>
    <row r="26" spans="1:43" x14ac:dyDescent="0.2">
      <c r="A26" t="s">
        <v>374</v>
      </c>
      <c r="B26">
        <v>84</v>
      </c>
      <c r="C26">
        <v>1</v>
      </c>
      <c r="D26">
        <v>12339.51</v>
      </c>
      <c r="E26">
        <v>12339.51</v>
      </c>
      <c r="F26" t="s">
        <v>383</v>
      </c>
      <c r="G26">
        <v>85</v>
      </c>
      <c r="H26">
        <v>1</v>
      </c>
      <c r="I26">
        <v>5801.47</v>
      </c>
      <c r="J26">
        <v>5801.47</v>
      </c>
      <c r="L26" t="s">
        <v>374</v>
      </c>
      <c r="M26">
        <v>761</v>
      </c>
      <c r="N26">
        <v>1</v>
      </c>
      <c r="O26">
        <v>4</v>
      </c>
      <c r="P26">
        <v>582</v>
      </c>
      <c r="Q26">
        <v>344</v>
      </c>
      <c r="R26">
        <v>555</v>
      </c>
      <c r="S26">
        <v>2991.22</v>
      </c>
      <c r="U26" t="s">
        <v>374</v>
      </c>
      <c r="V26">
        <v>241</v>
      </c>
      <c r="W26">
        <v>1</v>
      </c>
      <c r="X26">
        <v>4</v>
      </c>
      <c r="Y26">
        <v>582</v>
      </c>
      <c r="Z26">
        <v>0</v>
      </c>
      <c r="AA26">
        <v>5.19</v>
      </c>
      <c r="AB26">
        <v>631</v>
      </c>
      <c r="AC26">
        <v>3039.7</v>
      </c>
      <c r="AE26" t="s">
        <v>383</v>
      </c>
      <c r="AF26">
        <v>85</v>
      </c>
      <c r="AG26">
        <v>1</v>
      </c>
      <c r="AH26">
        <v>-3948.19</v>
      </c>
      <c r="AI26">
        <v>-5805.3</v>
      </c>
      <c r="AJ26">
        <v>-4425.47</v>
      </c>
      <c r="AL26" t="s">
        <v>383</v>
      </c>
      <c r="AM26">
        <v>85</v>
      </c>
      <c r="AN26">
        <v>1</v>
      </c>
      <c r="AO26">
        <v>0</v>
      </c>
      <c r="AP26" t="s">
        <v>43</v>
      </c>
      <c r="AQ26" t="s">
        <v>404</v>
      </c>
    </row>
    <row r="27" spans="1:43" x14ac:dyDescent="0.2">
      <c r="A27" t="s">
        <v>374</v>
      </c>
      <c r="B27">
        <v>85</v>
      </c>
      <c r="C27">
        <v>1</v>
      </c>
      <c r="D27">
        <v>5948.31</v>
      </c>
      <c r="E27">
        <v>5948.31</v>
      </c>
      <c r="F27" t="s">
        <v>383</v>
      </c>
      <c r="G27">
        <v>88</v>
      </c>
      <c r="H27">
        <v>1</v>
      </c>
      <c r="I27">
        <v>26234.46</v>
      </c>
      <c r="J27">
        <v>26234.46</v>
      </c>
      <c r="L27" t="s">
        <v>374</v>
      </c>
      <c r="M27">
        <v>876</v>
      </c>
      <c r="N27">
        <v>1</v>
      </c>
      <c r="O27">
        <v>4</v>
      </c>
      <c r="P27">
        <v>582</v>
      </c>
      <c r="Q27">
        <v>344</v>
      </c>
      <c r="R27">
        <v>555</v>
      </c>
      <c r="S27">
        <v>887</v>
      </c>
      <c r="U27" t="s">
        <v>374</v>
      </c>
      <c r="V27">
        <v>564</v>
      </c>
      <c r="W27">
        <v>1</v>
      </c>
      <c r="X27">
        <v>4</v>
      </c>
      <c r="Y27">
        <v>582</v>
      </c>
      <c r="Z27">
        <v>344</v>
      </c>
      <c r="AA27">
        <v>5.19</v>
      </c>
      <c r="AB27">
        <v>621</v>
      </c>
      <c r="AC27">
        <v>326</v>
      </c>
      <c r="AE27" t="s">
        <v>383</v>
      </c>
      <c r="AF27">
        <v>88</v>
      </c>
      <c r="AG27">
        <v>1</v>
      </c>
      <c r="AH27">
        <v>3679.21</v>
      </c>
      <c r="AI27">
        <v>1150.27</v>
      </c>
      <c r="AJ27">
        <v>0</v>
      </c>
      <c r="AL27" t="s">
        <v>383</v>
      </c>
      <c r="AM27">
        <v>88</v>
      </c>
      <c r="AN27">
        <v>1</v>
      </c>
      <c r="AO27">
        <v>0</v>
      </c>
      <c r="AP27" t="s">
        <v>44</v>
      </c>
      <c r="AQ27" t="s">
        <v>404</v>
      </c>
    </row>
    <row r="28" spans="1:43" x14ac:dyDescent="0.2">
      <c r="A28" t="s">
        <v>374</v>
      </c>
      <c r="B28">
        <v>88</v>
      </c>
      <c r="C28">
        <v>1</v>
      </c>
      <c r="D28">
        <v>23711.93</v>
      </c>
      <c r="E28">
        <v>23711.93</v>
      </c>
      <c r="F28" t="s">
        <v>383</v>
      </c>
      <c r="G28">
        <v>91</v>
      </c>
      <c r="H28">
        <v>1</v>
      </c>
      <c r="I28">
        <v>9402.9699999999993</v>
      </c>
      <c r="J28">
        <v>9402.9699999999993</v>
      </c>
      <c r="L28" t="s">
        <v>374</v>
      </c>
      <c r="M28">
        <v>2071</v>
      </c>
      <c r="N28">
        <v>1</v>
      </c>
      <c r="O28">
        <v>4</v>
      </c>
      <c r="P28">
        <v>582</v>
      </c>
      <c r="Q28">
        <v>344</v>
      </c>
      <c r="R28">
        <v>555</v>
      </c>
      <c r="S28">
        <v>1934.98</v>
      </c>
      <c r="U28" t="s">
        <v>374</v>
      </c>
      <c r="V28">
        <v>745</v>
      </c>
      <c r="W28">
        <v>1</v>
      </c>
      <c r="X28">
        <v>4</v>
      </c>
      <c r="Y28">
        <v>582</v>
      </c>
      <c r="Z28">
        <v>344</v>
      </c>
      <c r="AA28">
        <v>5.19</v>
      </c>
      <c r="AB28">
        <v>621</v>
      </c>
      <c r="AC28">
        <v>492</v>
      </c>
      <c r="AE28" t="s">
        <v>383</v>
      </c>
      <c r="AF28">
        <v>91</v>
      </c>
      <c r="AG28">
        <v>1</v>
      </c>
      <c r="AH28">
        <v>931.43</v>
      </c>
      <c r="AI28">
        <v>2999.97</v>
      </c>
      <c r="AJ28">
        <v>4477.93</v>
      </c>
      <c r="AL28" t="s">
        <v>383</v>
      </c>
      <c r="AM28">
        <v>91</v>
      </c>
      <c r="AN28">
        <v>1</v>
      </c>
      <c r="AO28">
        <v>0</v>
      </c>
      <c r="AP28" t="s">
        <v>45</v>
      </c>
      <c r="AQ28" t="s">
        <v>404</v>
      </c>
    </row>
    <row r="29" spans="1:43" x14ac:dyDescent="0.2">
      <c r="A29" t="s">
        <v>374</v>
      </c>
      <c r="B29">
        <v>91</v>
      </c>
      <c r="C29">
        <v>1</v>
      </c>
      <c r="D29">
        <v>8823.0300000000007</v>
      </c>
      <c r="E29">
        <v>8823.0300000000007</v>
      </c>
      <c r="F29" t="s">
        <v>383</v>
      </c>
      <c r="G29">
        <v>93</v>
      </c>
      <c r="H29">
        <v>1</v>
      </c>
      <c r="I29">
        <v>6634.63</v>
      </c>
      <c r="J29">
        <v>6634.63</v>
      </c>
      <c r="L29" t="s">
        <v>374</v>
      </c>
      <c r="M29">
        <v>2167</v>
      </c>
      <c r="N29">
        <v>1</v>
      </c>
      <c r="O29">
        <v>4</v>
      </c>
      <c r="P29">
        <v>582</v>
      </c>
      <c r="Q29">
        <v>344</v>
      </c>
      <c r="R29">
        <v>555</v>
      </c>
      <c r="S29">
        <v>955</v>
      </c>
      <c r="U29" t="s">
        <v>374</v>
      </c>
      <c r="V29">
        <v>2159</v>
      </c>
      <c r="W29">
        <v>1</v>
      </c>
      <c r="X29">
        <v>4</v>
      </c>
      <c r="Y29">
        <v>582</v>
      </c>
      <c r="Z29">
        <v>344</v>
      </c>
      <c r="AA29">
        <v>5.19</v>
      </c>
      <c r="AB29">
        <v>620</v>
      </c>
      <c r="AC29">
        <v>5670.4</v>
      </c>
      <c r="AE29" t="s">
        <v>383</v>
      </c>
      <c r="AF29">
        <v>93</v>
      </c>
      <c r="AG29">
        <v>1</v>
      </c>
      <c r="AH29">
        <v>775.23</v>
      </c>
      <c r="AI29">
        <v>2349.39</v>
      </c>
      <c r="AJ29">
        <v>-10858.9</v>
      </c>
      <c r="AL29" t="s">
        <v>383</v>
      </c>
      <c r="AM29">
        <v>93</v>
      </c>
      <c r="AN29">
        <v>1</v>
      </c>
      <c r="AO29">
        <v>0</v>
      </c>
      <c r="AP29" t="s">
        <v>46</v>
      </c>
      <c r="AQ29" t="s">
        <v>404</v>
      </c>
    </row>
    <row r="30" spans="1:43" x14ac:dyDescent="0.2">
      <c r="A30" t="s">
        <v>374</v>
      </c>
      <c r="B30">
        <v>93</v>
      </c>
      <c r="C30">
        <v>1</v>
      </c>
      <c r="D30">
        <v>7053.44</v>
      </c>
      <c r="E30">
        <v>7053.44</v>
      </c>
      <c r="F30" t="s">
        <v>383</v>
      </c>
      <c r="G30">
        <v>94</v>
      </c>
      <c r="H30">
        <v>1</v>
      </c>
      <c r="I30">
        <v>34609.269999999997</v>
      </c>
      <c r="J30">
        <v>34609.269999999997</v>
      </c>
      <c r="L30" t="s">
        <v>374</v>
      </c>
      <c r="M30">
        <v>1</v>
      </c>
      <c r="N30">
        <v>3</v>
      </c>
      <c r="O30">
        <v>4</v>
      </c>
      <c r="P30">
        <v>582</v>
      </c>
      <c r="Q30">
        <v>344</v>
      </c>
      <c r="R30">
        <v>530</v>
      </c>
      <c r="S30">
        <v>4284.75</v>
      </c>
      <c r="U30" t="s">
        <v>374</v>
      </c>
      <c r="V30">
        <v>2169</v>
      </c>
      <c r="W30">
        <v>1</v>
      </c>
      <c r="X30">
        <v>4</v>
      </c>
      <c r="Y30">
        <v>582</v>
      </c>
      <c r="Z30">
        <v>344</v>
      </c>
      <c r="AA30">
        <v>5.19</v>
      </c>
      <c r="AB30">
        <v>620</v>
      </c>
      <c r="AC30">
        <v>3665</v>
      </c>
      <c r="AE30" t="s">
        <v>383</v>
      </c>
      <c r="AF30">
        <v>94</v>
      </c>
      <c r="AG30">
        <v>1</v>
      </c>
      <c r="AH30">
        <v>3524.01</v>
      </c>
      <c r="AI30">
        <v>7826.61</v>
      </c>
      <c r="AJ30">
        <v>10389.450000000001</v>
      </c>
      <c r="AL30" t="s">
        <v>383</v>
      </c>
      <c r="AM30">
        <v>94</v>
      </c>
      <c r="AN30">
        <v>1</v>
      </c>
      <c r="AO30">
        <v>0</v>
      </c>
      <c r="AP30" t="s">
        <v>47</v>
      </c>
      <c r="AQ30" t="s">
        <v>404</v>
      </c>
    </row>
    <row r="31" spans="1:43" x14ac:dyDescent="0.2">
      <c r="A31" t="s">
        <v>374</v>
      </c>
      <c r="B31">
        <v>94</v>
      </c>
      <c r="C31">
        <v>1</v>
      </c>
      <c r="D31">
        <v>33802.559999999998</v>
      </c>
      <c r="E31">
        <v>33802.559999999998</v>
      </c>
      <c r="F31" t="s">
        <v>383</v>
      </c>
      <c r="G31">
        <v>95</v>
      </c>
      <c r="H31">
        <v>1</v>
      </c>
      <c r="I31">
        <v>3991.26</v>
      </c>
      <c r="J31">
        <v>3991.26</v>
      </c>
      <c r="L31" t="s">
        <v>374</v>
      </c>
      <c r="M31">
        <v>11</v>
      </c>
      <c r="N31">
        <v>1</v>
      </c>
      <c r="O31">
        <v>4</v>
      </c>
      <c r="P31">
        <v>582</v>
      </c>
      <c r="Q31">
        <v>344</v>
      </c>
      <c r="R31">
        <v>530</v>
      </c>
      <c r="S31">
        <v>6425.46</v>
      </c>
      <c r="U31" t="s">
        <v>374</v>
      </c>
      <c r="V31">
        <v>2159</v>
      </c>
      <c r="W31">
        <v>1</v>
      </c>
      <c r="X31">
        <v>4</v>
      </c>
      <c r="Y31">
        <v>582</v>
      </c>
      <c r="Z31">
        <v>344</v>
      </c>
      <c r="AA31">
        <v>5.19</v>
      </c>
      <c r="AB31">
        <v>619</v>
      </c>
      <c r="AC31">
        <v>-3380.45</v>
      </c>
      <c r="AE31" t="s">
        <v>383</v>
      </c>
      <c r="AF31">
        <v>95</v>
      </c>
      <c r="AG31">
        <v>1</v>
      </c>
      <c r="AH31">
        <v>2536.9899999999998</v>
      </c>
      <c r="AI31">
        <v>2503.5500000000002</v>
      </c>
      <c r="AJ31">
        <v>2503.5500000000002</v>
      </c>
      <c r="AL31" t="s">
        <v>383</v>
      </c>
      <c r="AM31">
        <v>95</v>
      </c>
      <c r="AN31">
        <v>1</v>
      </c>
      <c r="AO31">
        <v>0</v>
      </c>
      <c r="AP31" t="s">
        <v>48</v>
      </c>
      <c r="AQ31" t="s">
        <v>404</v>
      </c>
    </row>
    <row r="32" spans="1:43" x14ac:dyDescent="0.2">
      <c r="A32" t="s">
        <v>374</v>
      </c>
      <c r="B32">
        <v>95</v>
      </c>
      <c r="C32">
        <v>1</v>
      </c>
      <c r="D32">
        <v>4303.1099999999997</v>
      </c>
      <c r="E32">
        <v>4303.1099999999997</v>
      </c>
      <c r="F32" t="s">
        <v>383</v>
      </c>
      <c r="G32">
        <v>97</v>
      </c>
      <c r="H32">
        <v>1</v>
      </c>
      <c r="I32">
        <v>8073.03</v>
      </c>
      <c r="J32">
        <v>8073.03</v>
      </c>
      <c r="L32" t="s">
        <v>374</v>
      </c>
      <c r="M32">
        <v>77</v>
      </c>
      <c r="N32">
        <v>1</v>
      </c>
      <c r="O32">
        <v>4</v>
      </c>
      <c r="P32">
        <v>582</v>
      </c>
      <c r="Q32">
        <v>344</v>
      </c>
      <c r="R32">
        <v>530</v>
      </c>
      <c r="S32">
        <v>160.19999999999999</v>
      </c>
      <c r="U32" t="s">
        <v>374</v>
      </c>
      <c r="V32">
        <v>2169</v>
      </c>
      <c r="W32">
        <v>1</v>
      </c>
      <c r="X32">
        <v>4</v>
      </c>
      <c r="Y32">
        <v>582</v>
      </c>
      <c r="Z32">
        <v>344</v>
      </c>
      <c r="AA32">
        <v>5.19</v>
      </c>
      <c r="AB32">
        <v>619</v>
      </c>
      <c r="AC32">
        <v>-1353.93</v>
      </c>
      <c r="AE32" t="s">
        <v>383</v>
      </c>
      <c r="AF32">
        <v>97</v>
      </c>
      <c r="AG32">
        <v>1</v>
      </c>
      <c r="AH32">
        <v>-1862.03</v>
      </c>
      <c r="AI32">
        <v>-6903.96</v>
      </c>
      <c r="AJ32">
        <v>-3802.4</v>
      </c>
      <c r="AL32" t="s">
        <v>383</v>
      </c>
      <c r="AM32">
        <v>97</v>
      </c>
      <c r="AN32">
        <v>1</v>
      </c>
      <c r="AO32">
        <v>0</v>
      </c>
      <c r="AP32" t="s">
        <v>49</v>
      </c>
      <c r="AQ32" t="s">
        <v>404</v>
      </c>
    </row>
    <row r="33" spans="1:43" x14ac:dyDescent="0.2">
      <c r="A33" t="s">
        <v>374</v>
      </c>
      <c r="B33">
        <v>97</v>
      </c>
      <c r="C33">
        <v>1</v>
      </c>
      <c r="D33">
        <v>8581.6</v>
      </c>
      <c r="E33">
        <v>8581.6</v>
      </c>
      <c r="F33" t="s">
        <v>383</v>
      </c>
      <c r="G33">
        <v>99</v>
      </c>
      <c r="H33">
        <v>1</v>
      </c>
      <c r="I33">
        <v>7251.96</v>
      </c>
      <c r="J33">
        <v>6998.12</v>
      </c>
      <c r="L33" t="s">
        <v>374</v>
      </c>
      <c r="M33">
        <v>112</v>
      </c>
      <c r="N33">
        <v>1</v>
      </c>
      <c r="O33">
        <v>4</v>
      </c>
      <c r="P33">
        <v>582</v>
      </c>
      <c r="Q33">
        <v>344</v>
      </c>
      <c r="R33">
        <v>530</v>
      </c>
      <c r="S33">
        <v>509.64</v>
      </c>
      <c r="U33" t="s">
        <v>374</v>
      </c>
      <c r="V33">
        <v>2171</v>
      </c>
      <c r="W33">
        <v>1</v>
      </c>
      <c r="X33">
        <v>4</v>
      </c>
      <c r="Y33">
        <v>582</v>
      </c>
      <c r="Z33">
        <v>344</v>
      </c>
      <c r="AA33">
        <v>5.19</v>
      </c>
      <c r="AB33">
        <v>608</v>
      </c>
      <c r="AC33">
        <v>990</v>
      </c>
      <c r="AE33" t="s">
        <v>383</v>
      </c>
      <c r="AF33">
        <v>99</v>
      </c>
      <c r="AG33">
        <v>1</v>
      </c>
      <c r="AH33">
        <v>8112.98</v>
      </c>
      <c r="AI33">
        <v>11988.8</v>
      </c>
      <c r="AJ33">
        <v>6762.12</v>
      </c>
      <c r="AL33" t="s">
        <v>383</v>
      </c>
      <c r="AM33">
        <v>99</v>
      </c>
      <c r="AN33">
        <v>1</v>
      </c>
      <c r="AO33">
        <v>0</v>
      </c>
      <c r="AP33" t="s">
        <v>50</v>
      </c>
      <c r="AQ33" t="s">
        <v>404</v>
      </c>
    </row>
    <row r="34" spans="1:43" x14ac:dyDescent="0.2">
      <c r="A34" t="s">
        <v>374</v>
      </c>
      <c r="B34">
        <v>99</v>
      </c>
      <c r="C34">
        <v>1</v>
      </c>
      <c r="D34">
        <v>6814.86</v>
      </c>
      <c r="E34">
        <v>6814.86</v>
      </c>
      <c r="F34" t="s">
        <v>383</v>
      </c>
      <c r="G34">
        <v>100</v>
      </c>
      <c r="H34">
        <v>1</v>
      </c>
      <c r="I34">
        <v>3465.99</v>
      </c>
      <c r="J34">
        <v>3465.99</v>
      </c>
      <c r="L34" t="s">
        <v>374</v>
      </c>
      <c r="M34">
        <v>113</v>
      </c>
      <c r="N34">
        <v>1</v>
      </c>
      <c r="O34">
        <v>4</v>
      </c>
      <c r="P34">
        <v>582</v>
      </c>
      <c r="Q34">
        <v>344</v>
      </c>
      <c r="R34">
        <v>530</v>
      </c>
      <c r="S34">
        <v>698.24</v>
      </c>
      <c r="U34" t="s">
        <v>374</v>
      </c>
      <c r="V34">
        <v>625</v>
      </c>
      <c r="W34">
        <v>1</v>
      </c>
      <c r="X34">
        <v>4</v>
      </c>
      <c r="Y34">
        <v>582</v>
      </c>
      <c r="Z34">
        <v>599</v>
      </c>
      <c r="AA34">
        <v>5.19</v>
      </c>
      <c r="AB34">
        <v>500</v>
      </c>
      <c r="AC34">
        <v>1096471.45</v>
      </c>
      <c r="AE34" t="s">
        <v>383</v>
      </c>
      <c r="AF34">
        <v>100</v>
      </c>
      <c r="AG34">
        <v>1</v>
      </c>
      <c r="AH34">
        <v>-2339.66</v>
      </c>
      <c r="AI34">
        <v>241.9</v>
      </c>
      <c r="AJ34">
        <v>441.3</v>
      </c>
      <c r="AL34" t="s">
        <v>383</v>
      </c>
      <c r="AM34">
        <v>100</v>
      </c>
      <c r="AN34">
        <v>1</v>
      </c>
      <c r="AO34">
        <v>0</v>
      </c>
      <c r="AP34" t="s">
        <v>51</v>
      </c>
      <c r="AQ34" t="s">
        <v>404</v>
      </c>
    </row>
    <row r="35" spans="1:43" x14ac:dyDescent="0.2">
      <c r="A35" t="s">
        <v>374</v>
      </c>
      <c r="B35">
        <v>100</v>
      </c>
      <c r="C35">
        <v>1</v>
      </c>
      <c r="D35">
        <v>3892.21</v>
      </c>
      <c r="E35">
        <v>3892.21</v>
      </c>
      <c r="F35" t="s">
        <v>383</v>
      </c>
      <c r="G35">
        <v>108</v>
      </c>
      <c r="H35">
        <v>1</v>
      </c>
      <c r="I35">
        <v>11202.28</v>
      </c>
      <c r="J35">
        <v>11202.28</v>
      </c>
      <c r="L35" t="s">
        <v>374</v>
      </c>
      <c r="M35">
        <v>177</v>
      </c>
      <c r="N35">
        <v>1</v>
      </c>
      <c r="O35">
        <v>4</v>
      </c>
      <c r="P35">
        <v>582</v>
      </c>
      <c r="Q35">
        <v>344</v>
      </c>
      <c r="R35">
        <v>530</v>
      </c>
      <c r="S35">
        <v>3.78</v>
      </c>
      <c r="U35" t="s">
        <v>374</v>
      </c>
      <c r="V35">
        <v>1</v>
      </c>
      <c r="W35">
        <v>3</v>
      </c>
      <c r="X35">
        <v>4</v>
      </c>
      <c r="Y35">
        <v>582</v>
      </c>
      <c r="Z35">
        <v>599</v>
      </c>
      <c r="AA35">
        <v>5.19</v>
      </c>
      <c r="AB35">
        <v>499</v>
      </c>
      <c r="AC35">
        <v>118300.52</v>
      </c>
      <c r="AE35" t="s">
        <v>383</v>
      </c>
      <c r="AF35">
        <v>108</v>
      </c>
      <c r="AG35">
        <v>1</v>
      </c>
      <c r="AH35">
        <v>688.43</v>
      </c>
      <c r="AI35">
        <v>2594.58</v>
      </c>
      <c r="AJ35">
        <v>5448</v>
      </c>
      <c r="AL35" t="s">
        <v>383</v>
      </c>
      <c r="AM35">
        <v>108</v>
      </c>
      <c r="AN35">
        <v>1</v>
      </c>
      <c r="AO35">
        <v>0</v>
      </c>
      <c r="AP35" t="s">
        <v>52</v>
      </c>
      <c r="AQ35" t="s">
        <v>404</v>
      </c>
    </row>
    <row r="36" spans="1:43" x14ac:dyDescent="0.2">
      <c r="A36" t="s">
        <v>374</v>
      </c>
      <c r="B36">
        <v>108</v>
      </c>
      <c r="C36">
        <v>1</v>
      </c>
      <c r="D36">
        <v>11690.64</v>
      </c>
      <c r="E36">
        <v>11690.64</v>
      </c>
      <c r="F36" t="s">
        <v>383</v>
      </c>
      <c r="G36">
        <v>110</v>
      </c>
      <c r="H36">
        <v>1</v>
      </c>
      <c r="I36">
        <v>27693.56</v>
      </c>
      <c r="J36">
        <v>27693.56</v>
      </c>
      <c r="L36" t="s">
        <v>374</v>
      </c>
      <c r="M36">
        <v>181</v>
      </c>
      <c r="N36">
        <v>1</v>
      </c>
      <c r="O36">
        <v>4</v>
      </c>
      <c r="P36">
        <v>582</v>
      </c>
      <c r="Q36">
        <v>344</v>
      </c>
      <c r="R36">
        <v>530</v>
      </c>
      <c r="S36">
        <v>6891.24</v>
      </c>
      <c r="U36" t="s">
        <v>374</v>
      </c>
      <c r="V36">
        <v>786</v>
      </c>
      <c r="W36">
        <v>1</v>
      </c>
      <c r="X36">
        <v>4</v>
      </c>
      <c r="Y36">
        <v>0</v>
      </c>
      <c r="Z36">
        <v>344</v>
      </c>
      <c r="AA36">
        <v>5.19</v>
      </c>
      <c r="AB36">
        <v>405</v>
      </c>
      <c r="AC36">
        <v>39.950000000000003</v>
      </c>
      <c r="AE36" t="s">
        <v>383</v>
      </c>
      <c r="AF36">
        <v>110</v>
      </c>
      <c r="AG36">
        <v>1</v>
      </c>
      <c r="AH36">
        <v>4457.03</v>
      </c>
      <c r="AI36">
        <v>2089.21</v>
      </c>
      <c r="AJ36">
        <v>5394.68</v>
      </c>
      <c r="AL36" t="s">
        <v>383</v>
      </c>
      <c r="AM36">
        <v>110</v>
      </c>
      <c r="AN36">
        <v>1</v>
      </c>
      <c r="AO36">
        <v>0</v>
      </c>
      <c r="AP36" t="s">
        <v>53</v>
      </c>
      <c r="AQ36" t="s">
        <v>404</v>
      </c>
    </row>
    <row r="37" spans="1:43" x14ac:dyDescent="0.2">
      <c r="A37" t="s">
        <v>374</v>
      </c>
      <c r="B37">
        <v>110</v>
      </c>
      <c r="C37">
        <v>1</v>
      </c>
      <c r="D37">
        <v>23991.97</v>
      </c>
      <c r="E37">
        <v>23991.97</v>
      </c>
      <c r="F37" t="s">
        <v>383</v>
      </c>
      <c r="G37">
        <v>111</v>
      </c>
      <c r="H37">
        <v>1</v>
      </c>
      <c r="I37">
        <v>15688.41</v>
      </c>
      <c r="J37">
        <v>15688.41</v>
      </c>
      <c r="L37" t="s">
        <v>374</v>
      </c>
      <c r="M37">
        <v>191</v>
      </c>
      <c r="N37">
        <v>1</v>
      </c>
      <c r="O37">
        <v>4</v>
      </c>
      <c r="P37">
        <v>582</v>
      </c>
      <c r="Q37">
        <v>344</v>
      </c>
      <c r="R37">
        <v>530</v>
      </c>
      <c r="S37">
        <v>599.64</v>
      </c>
      <c r="U37" t="s">
        <v>374</v>
      </c>
      <c r="V37">
        <v>877</v>
      </c>
      <c r="W37">
        <v>1</v>
      </c>
      <c r="X37">
        <v>4</v>
      </c>
      <c r="Y37">
        <v>582</v>
      </c>
      <c r="Z37">
        <v>344</v>
      </c>
      <c r="AA37">
        <v>5.19</v>
      </c>
      <c r="AB37">
        <v>370</v>
      </c>
      <c r="AC37">
        <v>67608.17</v>
      </c>
      <c r="AE37" t="s">
        <v>383</v>
      </c>
      <c r="AF37">
        <v>111</v>
      </c>
      <c r="AG37">
        <v>1</v>
      </c>
      <c r="AH37">
        <v>1063.46</v>
      </c>
      <c r="AI37">
        <v>-2614.4899999999998</v>
      </c>
      <c r="AJ37">
        <v>-4340.08</v>
      </c>
      <c r="AL37" t="s">
        <v>383</v>
      </c>
      <c r="AM37">
        <v>111</v>
      </c>
      <c r="AN37">
        <v>1</v>
      </c>
      <c r="AO37">
        <v>0</v>
      </c>
      <c r="AP37" t="s">
        <v>54</v>
      </c>
      <c r="AQ37" t="s">
        <v>404</v>
      </c>
    </row>
    <row r="38" spans="1:43" x14ac:dyDescent="0.2">
      <c r="A38" t="s">
        <v>374</v>
      </c>
      <c r="B38">
        <v>111</v>
      </c>
      <c r="C38">
        <v>1</v>
      </c>
      <c r="D38">
        <v>15642.31</v>
      </c>
      <c r="E38">
        <v>15642.31</v>
      </c>
      <c r="F38" t="s">
        <v>383</v>
      </c>
      <c r="G38">
        <v>112</v>
      </c>
      <c r="H38">
        <v>1</v>
      </c>
      <c r="I38">
        <v>89010.36</v>
      </c>
      <c r="J38">
        <v>89010.36</v>
      </c>
      <c r="L38" t="s">
        <v>374</v>
      </c>
      <c r="M38">
        <v>206</v>
      </c>
      <c r="N38">
        <v>1</v>
      </c>
      <c r="O38">
        <v>4</v>
      </c>
      <c r="P38">
        <v>582</v>
      </c>
      <c r="Q38">
        <v>344</v>
      </c>
      <c r="R38">
        <v>530</v>
      </c>
      <c r="S38">
        <v>9871.82</v>
      </c>
      <c r="U38" t="s">
        <v>374</v>
      </c>
      <c r="V38">
        <v>2527</v>
      </c>
      <c r="W38">
        <v>1</v>
      </c>
      <c r="X38">
        <v>4</v>
      </c>
      <c r="Y38">
        <v>582</v>
      </c>
      <c r="Z38">
        <v>344</v>
      </c>
      <c r="AA38">
        <v>5.19</v>
      </c>
      <c r="AB38">
        <v>370</v>
      </c>
      <c r="AC38">
        <v>502.74</v>
      </c>
      <c r="AE38" t="s">
        <v>383</v>
      </c>
      <c r="AF38">
        <v>112</v>
      </c>
      <c r="AG38">
        <v>1</v>
      </c>
      <c r="AH38">
        <v>19917.91</v>
      </c>
      <c r="AI38">
        <v>0</v>
      </c>
      <c r="AJ38">
        <v>0</v>
      </c>
      <c r="AL38" t="s">
        <v>383</v>
      </c>
      <c r="AM38">
        <v>112</v>
      </c>
      <c r="AN38">
        <v>1</v>
      </c>
      <c r="AO38">
        <v>0</v>
      </c>
      <c r="AP38" t="s">
        <v>408</v>
      </c>
      <c r="AQ38" t="s">
        <v>404</v>
      </c>
    </row>
    <row r="39" spans="1:43" x14ac:dyDescent="0.2">
      <c r="A39" t="s">
        <v>374</v>
      </c>
      <c r="B39">
        <v>112</v>
      </c>
      <c r="C39">
        <v>1</v>
      </c>
      <c r="D39">
        <v>91609.68</v>
      </c>
      <c r="E39">
        <v>91609.68</v>
      </c>
      <c r="F39" t="s">
        <v>383</v>
      </c>
      <c r="G39">
        <v>113</v>
      </c>
      <c r="H39">
        <v>1</v>
      </c>
      <c r="I39">
        <v>11964.34</v>
      </c>
      <c r="J39">
        <v>11964.34</v>
      </c>
      <c r="L39" t="s">
        <v>374</v>
      </c>
      <c r="M39">
        <v>277</v>
      </c>
      <c r="N39">
        <v>1</v>
      </c>
      <c r="O39">
        <v>4</v>
      </c>
      <c r="P39">
        <v>582</v>
      </c>
      <c r="Q39">
        <v>344</v>
      </c>
      <c r="R39">
        <v>530</v>
      </c>
      <c r="S39">
        <v>3486.62</v>
      </c>
      <c r="U39" t="s">
        <v>374</v>
      </c>
      <c r="V39">
        <v>297</v>
      </c>
      <c r="W39">
        <v>1</v>
      </c>
      <c r="X39">
        <v>4</v>
      </c>
      <c r="Y39">
        <v>582</v>
      </c>
      <c r="Z39">
        <v>0</v>
      </c>
      <c r="AA39">
        <v>5.19</v>
      </c>
      <c r="AB39">
        <v>370</v>
      </c>
      <c r="AC39">
        <v>1008</v>
      </c>
      <c r="AE39" t="s">
        <v>383</v>
      </c>
      <c r="AF39">
        <v>113</v>
      </c>
      <c r="AG39">
        <v>1</v>
      </c>
      <c r="AH39">
        <v>149.44</v>
      </c>
      <c r="AI39">
        <v>2243.59</v>
      </c>
      <c r="AJ39">
        <v>5603.48</v>
      </c>
      <c r="AL39" t="s">
        <v>383</v>
      </c>
      <c r="AM39">
        <v>113</v>
      </c>
      <c r="AN39">
        <v>1</v>
      </c>
      <c r="AO39">
        <v>0</v>
      </c>
      <c r="AP39" t="s">
        <v>55</v>
      </c>
      <c r="AQ39" t="s">
        <v>404</v>
      </c>
    </row>
    <row r="40" spans="1:43" x14ac:dyDescent="0.2">
      <c r="A40" t="s">
        <v>374</v>
      </c>
      <c r="B40">
        <v>113</v>
      </c>
      <c r="C40">
        <v>1</v>
      </c>
      <c r="D40">
        <v>11830.45</v>
      </c>
      <c r="E40">
        <v>11830.45</v>
      </c>
      <c r="F40" t="s">
        <v>383</v>
      </c>
      <c r="G40">
        <v>115</v>
      </c>
      <c r="H40">
        <v>1</v>
      </c>
      <c r="I40">
        <v>21720.44</v>
      </c>
      <c r="J40">
        <v>21720.44</v>
      </c>
      <c r="L40" t="s">
        <v>374</v>
      </c>
      <c r="M40">
        <v>281</v>
      </c>
      <c r="N40">
        <v>1</v>
      </c>
      <c r="O40">
        <v>4</v>
      </c>
      <c r="P40">
        <v>582</v>
      </c>
      <c r="Q40">
        <v>344</v>
      </c>
      <c r="R40">
        <v>530</v>
      </c>
      <c r="S40">
        <v>4090.39</v>
      </c>
      <c r="U40" t="s">
        <v>374</v>
      </c>
      <c r="V40">
        <v>601</v>
      </c>
      <c r="W40">
        <v>1</v>
      </c>
      <c r="X40">
        <v>4</v>
      </c>
      <c r="Y40">
        <v>582</v>
      </c>
      <c r="Z40">
        <v>344</v>
      </c>
      <c r="AA40">
        <v>5.19</v>
      </c>
      <c r="AB40">
        <v>301</v>
      </c>
      <c r="AC40">
        <v>-41.33</v>
      </c>
      <c r="AE40" t="s">
        <v>383</v>
      </c>
      <c r="AF40">
        <v>115</v>
      </c>
      <c r="AG40">
        <v>1</v>
      </c>
      <c r="AH40">
        <v>399.93</v>
      </c>
      <c r="AI40">
        <v>613.67999999999995</v>
      </c>
      <c r="AJ40">
        <v>-15786.42</v>
      </c>
      <c r="AL40" t="s">
        <v>383</v>
      </c>
      <c r="AM40">
        <v>115</v>
      </c>
      <c r="AN40">
        <v>1</v>
      </c>
      <c r="AO40">
        <v>0</v>
      </c>
      <c r="AP40" t="s">
        <v>56</v>
      </c>
      <c r="AQ40" t="s">
        <v>404</v>
      </c>
    </row>
    <row r="41" spans="1:43" x14ac:dyDescent="0.2">
      <c r="A41" t="s">
        <v>374</v>
      </c>
      <c r="B41">
        <v>115</v>
      </c>
      <c r="C41">
        <v>1</v>
      </c>
      <c r="D41">
        <v>25631.68</v>
      </c>
      <c r="E41">
        <v>25631.68</v>
      </c>
      <c r="F41" t="s">
        <v>383</v>
      </c>
      <c r="G41">
        <v>116</v>
      </c>
      <c r="H41">
        <v>1</v>
      </c>
      <c r="I41">
        <v>13582.65</v>
      </c>
      <c r="J41">
        <v>13582.65</v>
      </c>
      <c r="L41" t="s">
        <v>374</v>
      </c>
      <c r="M41">
        <v>413</v>
      </c>
      <c r="N41">
        <v>1</v>
      </c>
      <c r="O41">
        <v>4</v>
      </c>
      <c r="P41">
        <v>582</v>
      </c>
      <c r="Q41">
        <v>344</v>
      </c>
      <c r="R41">
        <v>530</v>
      </c>
      <c r="S41">
        <v>15571.87</v>
      </c>
      <c r="U41" t="s">
        <v>374</v>
      </c>
      <c r="V41">
        <v>378</v>
      </c>
      <c r="W41">
        <v>1</v>
      </c>
      <c r="X41">
        <v>4</v>
      </c>
      <c r="Y41">
        <v>582</v>
      </c>
      <c r="Z41">
        <v>354</v>
      </c>
      <c r="AA41">
        <v>5.19</v>
      </c>
      <c r="AB41">
        <v>300</v>
      </c>
      <c r="AC41">
        <v>1060</v>
      </c>
      <c r="AE41" t="s">
        <v>383</v>
      </c>
      <c r="AF41">
        <v>116</v>
      </c>
      <c r="AG41">
        <v>1</v>
      </c>
      <c r="AH41">
        <v>-5847.89</v>
      </c>
      <c r="AI41">
        <v>-8431.1</v>
      </c>
      <c r="AJ41">
        <v>-3649.01</v>
      </c>
      <c r="AL41" t="s">
        <v>383</v>
      </c>
      <c r="AM41">
        <v>116</v>
      </c>
      <c r="AN41">
        <v>1</v>
      </c>
      <c r="AO41">
        <v>0</v>
      </c>
      <c r="AP41" t="s">
        <v>57</v>
      </c>
      <c r="AQ41" t="s">
        <v>404</v>
      </c>
    </row>
    <row r="42" spans="1:43" x14ac:dyDescent="0.2">
      <c r="A42" t="s">
        <v>374</v>
      </c>
      <c r="B42">
        <v>116</v>
      </c>
      <c r="C42">
        <v>1</v>
      </c>
      <c r="D42">
        <v>12892.07</v>
      </c>
      <c r="E42">
        <v>12892.07</v>
      </c>
      <c r="F42" t="s">
        <v>383</v>
      </c>
      <c r="G42">
        <v>118</v>
      </c>
      <c r="H42">
        <v>1</v>
      </c>
      <c r="I42">
        <v>7765.63</v>
      </c>
      <c r="J42">
        <v>7765.63</v>
      </c>
      <c r="L42" t="s">
        <v>374</v>
      </c>
      <c r="M42">
        <v>465</v>
      </c>
      <c r="N42">
        <v>1</v>
      </c>
      <c r="O42">
        <v>4</v>
      </c>
      <c r="P42">
        <v>582</v>
      </c>
      <c r="Q42">
        <v>344</v>
      </c>
      <c r="R42">
        <v>530</v>
      </c>
      <c r="S42">
        <v>327.14999999999998</v>
      </c>
      <c r="U42" t="s">
        <v>374</v>
      </c>
      <c r="V42">
        <v>2159</v>
      </c>
      <c r="W42">
        <v>1</v>
      </c>
      <c r="X42">
        <v>4</v>
      </c>
      <c r="Y42">
        <v>582</v>
      </c>
      <c r="Z42">
        <v>354</v>
      </c>
      <c r="AA42">
        <v>5.19</v>
      </c>
      <c r="AB42">
        <v>300</v>
      </c>
      <c r="AC42">
        <v>2770</v>
      </c>
      <c r="AE42" t="s">
        <v>383</v>
      </c>
      <c r="AF42">
        <v>118</v>
      </c>
      <c r="AG42">
        <v>1</v>
      </c>
      <c r="AH42">
        <v>-1362.86</v>
      </c>
      <c r="AI42">
        <v>-1362.17</v>
      </c>
      <c r="AJ42">
        <v>-2077.9699999999998</v>
      </c>
      <c r="AL42" t="s">
        <v>383</v>
      </c>
      <c r="AM42">
        <v>118</v>
      </c>
      <c r="AN42">
        <v>1</v>
      </c>
      <c r="AO42">
        <v>0</v>
      </c>
      <c r="AP42" t="s">
        <v>58</v>
      </c>
      <c r="AQ42" t="s">
        <v>404</v>
      </c>
    </row>
    <row r="43" spans="1:43" x14ac:dyDescent="0.2">
      <c r="A43" t="s">
        <v>374</v>
      </c>
      <c r="B43">
        <v>118</v>
      </c>
      <c r="C43">
        <v>1</v>
      </c>
      <c r="D43">
        <v>8623.51</v>
      </c>
      <c r="E43">
        <v>8623.51</v>
      </c>
      <c r="F43" t="s">
        <v>383</v>
      </c>
      <c r="G43">
        <v>129</v>
      </c>
      <c r="H43">
        <v>1</v>
      </c>
      <c r="I43">
        <v>18762.96</v>
      </c>
      <c r="J43">
        <v>18762.96</v>
      </c>
      <c r="L43" t="s">
        <v>374</v>
      </c>
      <c r="M43">
        <v>477</v>
      </c>
      <c r="N43">
        <v>1</v>
      </c>
      <c r="O43">
        <v>4</v>
      </c>
      <c r="P43">
        <v>582</v>
      </c>
      <c r="Q43">
        <v>344</v>
      </c>
      <c r="R43">
        <v>530</v>
      </c>
      <c r="S43">
        <v>47991.85</v>
      </c>
      <c r="U43" t="s">
        <v>374</v>
      </c>
      <c r="V43">
        <v>1</v>
      </c>
      <c r="W43">
        <v>3</v>
      </c>
      <c r="X43">
        <v>4</v>
      </c>
      <c r="Y43">
        <v>0</v>
      </c>
      <c r="Z43">
        <v>344</v>
      </c>
      <c r="AA43">
        <v>5.19</v>
      </c>
      <c r="AB43">
        <v>300</v>
      </c>
      <c r="AC43">
        <v>-4163</v>
      </c>
      <c r="AE43" t="s">
        <v>383</v>
      </c>
      <c r="AF43">
        <v>129</v>
      </c>
      <c r="AG43">
        <v>1</v>
      </c>
      <c r="AH43">
        <v>-2822.31</v>
      </c>
      <c r="AI43">
        <v>248.01</v>
      </c>
      <c r="AJ43">
        <v>2223.67</v>
      </c>
      <c r="AL43" t="s">
        <v>383</v>
      </c>
      <c r="AM43">
        <v>129</v>
      </c>
      <c r="AN43">
        <v>1</v>
      </c>
      <c r="AO43">
        <v>0</v>
      </c>
      <c r="AP43" t="s">
        <v>59</v>
      </c>
      <c r="AQ43" t="s">
        <v>404</v>
      </c>
    </row>
    <row r="44" spans="1:43" x14ac:dyDescent="0.2">
      <c r="A44" t="s">
        <v>374</v>
      </c>
      <c r="B44">
        <v>129</v>
      </c>
      <c r="C44">
        <v>1</v>
      </c>
      <c r="D44">
        <v>16665.66</v>
      </c>
      <c r="E44">
        <v>16665.66</v>
      </c>
      <c r="F44" t="s">
        <v>383</v>
      </c>
      <c r="G44">
        <v>138</v>
      </c>
      <c r="H44">
        <v>1</v>
      </c>
      <c r="I44">
        <v>41114.019999999997</v>
      </c>
      <c r="J44">
        <v>40228.620000000003</v>
      </c>
      <c r="L44" t="s">
        <v>374</v>
      </c>
      <c r="M44">
        <v>492</v>
      </c>
      <c r="N44">
        <v>1</v>
      </c>
      <c r="O44">
        <v>4</v>
      </c>
      <c r="P44">
        <v>582</v>
      </c>
      <c r="Q44">
        <v>344</v>
      </c>
      <c r="R44">
        <v>530</v>
      </c>
      <c r="S44">
        <v>1575.81</v>
      </c>
      <c r="U44" t="s">
        <v>374</v>
      </c>
      <c r="V44">
        <v>16</v>
      </c>
      <c r="W44">
        <v>1</v>
      </c>
      <c r="X44">
        <v>4</v>
      </c>
      <c r="Y44">
        <v>0</v>
      </c>
      <c r="Z44">
        <v>344</v>
      </c>
      <c r="AA44">
        <v>5.19</v>
      </c>
      <c r="AB44">
        <v>300</v>
      </c>
      <c r="AC44">
        <v>63728.86</v>
      </c>
      <c r="AE44" t="s">
        <v>383</v>
      </c>
      <c r="AF44">
        <v>138</v>
      </c>
      <c r="AG44">
        <v>1</v>
      </c>
      <c r="AH44">
        <v>13428.18</v>
      </c>
      <c r="AI44">
        <v>12370.34</v>
      </c>
      <c r="AJ44">
        <v>12763.41</v>
      </c>
      <c r="AL44" t="s">
        <v>383</v>
      </c>
      <c r="AM44">
        <v>138</v>
      </c>
      <c r="AN44">
        <v>1</v>
      </c>
      <c r="AO44">
        <v>0</v>
      </c>
      <c r="AP44" t="s">
        <v>60</v>
      </c>
      <c r="AQ44" t="s">
        <v>404</v>
      </c>
    </row>
    <row r="45" spans="1:43" x14ac:dyDescent="0.2">
      <c r="A45" t="s">
        <v>374</v>
      </c>
      <c r="B45">
        <v>138</v>
      </c>
      <c r="C45">
        <v>1</v>
      </c>
      <c r="D45">
        <v>40238.5</v>
      </c>
      <c r="E45">
        <v>40238.5</v>
      </c>
      <c r="F45" t="s">
        <v>383</v>
      </c>
      <c r="G45">
        <v>139</v>
      </c>
      <c r="H45">
        <v>1</v>
      </c>
      <c r="I45">
        <v>10958.32</v>
      </c>
      <c r="J45">
        <v>10958.32</v>
      </c>
      <c r="L45" t="s">
        <v>374</v>
      </c>
      <c r="M45">
        <v>508</v>
      </c>
      <c r="N45">
        <v>1</v>
      </c>
      <c r="O45">
        <v>4</v>
      </c>
      <c r="P45">
        <v>582</v>
      </c>
      <c r="Q45">
        <v>344</v>
      </c>
      <c r="R45">
        <v>530</v>
      </c>
      <c r="S45">
        <v>70</v>
      </c>
      <c r="U45" t="s">
        <v>374</v>
      </c>
      <c r="V45">
        <v>22</v>
      </c>
      <c r="W45">
        <v>1</v>
      </c>
      <c r="X45">
        <v>4</v>
      </c>
      <c r="Y45">
        <v>0</v>
      </c>
      <c r="Z45">
        <v>344</v>
      </c>
      <c r="AA45">
        <v>5.05</v>
      </c>
      <c r="AB45">
        <v>300</v>
      </c>
      <c r="AC45">
        <v>35584.370000000003</v>
      </c>
      <c r="AE45" t="s">
        <v>383</v>
      </c>
      <c r="AF45">
        <v>139</v>
      </c>
      <c r="AG45">
        <v>1</v>
      </c>
      <c r="AH45">
        <v>0</v>
      </c>
      <c r="AI45">
        <v>0</v>
      </c>
      <c r="AJ45">
        <v>0</v>
      </c>
      <c r="AL45" t="s">
        <v>383</v>
      </c>
      <c r="AM45">
        <v>139</v>
      </c>
      <c r="AN45">
        <v>1</v>
      </c>
      <c r="AO45">
        <v>0</v>
      </c>
      <c r="AP45" t="s">
        <v>61</v>
      </c>
      <c r="AQ45" t="s">
        <v>404</v>
      </c>
    </row>
    <row r="46" spans="1:43" x14ac:dyDescent="0.2">
      <c r="A46" t="s">
        <v>374</v>
      </c>
      <c r="B46">
        <v>139</v>
      </c>
      <c r="C46">
        <v>1</v>
      </c>
      <c r="D46">
        <v>10101.44</v>
      </c>
      <c r="E46">
        <v>10101.44</v>
      </c>
      <c r="F46" t="s">
        <v>383</v>
      </c>
      <c r="G46">
        <v>146</v>
      </c>
      <c r="H46">
        <v>1</v>
      </c>
      <c r="I46">
        <v>8268.51</v>
      </c>
      <c r="J46">
        <v>8268.51</v>
      </c>
      <c r="L46" t="s">
        <v>374</v>
      </c>
      <c r="M46">
        <v>545</v>
      </c>
      <c r="N46">
        <v>1</v>
      </c>
      <c r="O46">
        <v>4</v>
      </c>
      <c r="P46">
        <v>582</v>
      </c>
      <c r="Q46">
        <v>344</v>
      </c>
      <c r="R46">
        <v>530</v>
      </c>
      <c r="S46">
        <v>239.99</v>
      </c>
      <c r="U46" t="s">
        <v>374</v>
      </c>
      <c r="V46">
        <v>36</v>
      </c>
      <c r="W46">
        <v>1</v>
      </c>
      <c r="X46">
        <v>4</v>
      </c>
      <c r="Y46">
        <v>0</v>
      </c>
      <c r="Z46">
        <v>344</v>
      </c>
      <c r="AA46">
        <v>5.19</v>
      </c>
      <c r="AB46">
        <v>300</v>
      </c>
      <c r="AC46">
        <v>4445.75</v>
      </c>
      <c r="AE46" t="s">
        <v>383</v>
      </c>
      <c r="AF46">
        <v>146</v>
      </c>
      <c r="AG46">
        <v>1</v>
      </c>
      <c r="AH46">
        <v>-7263.39</v>
      </c>
      <c r="AI46">
        <v>-245.88</v>
      </c>
      <c r="AJ46">
        <v>11473.85</v>
      </c>
      <c r="AL46" t="s">
        <v>383</v>
      </c>
      <c r="AM46">
        <v>146</v>
      </c>
      <c r="AN46">
        <v>1</v>
      </c>
      <c r="AO46">
        <v>0</v>
      </c>
      <c r="AP46" t="s">
        <v>62</v>
      </c>
      <c r="AQ46" t="s">
        <v>404</v>
      </c>
    </row>
    <row r="47" spans="1:43" x14ac:dyDescent="0.2">
      <c r="A47" t="s">
        <v>374</v>
      </c>
      <c r="B47">
        <v>146</v>
      </c>
      <c r="C47">
        <v>1</v>
      </c>
      <c r="D47">
        <v>7527.96</v>
      </c>
      <c r="E47">
        <v>7527.96</v>
      </c>
      <c r="F47" t="s">
        <v>383</v>
      </c>
      <c r="G47">
        <v>150</v>
      </c>
      <c r="H47">
        <v>1</v>
      </c>
      <c r="I47">
        <v>6610.21</v>
      </c>
      <c r="J47">
        <v>6529.78</v>
      </c>
      <c r="L47" t="s">
        <v>374</v>
      </c>
      <c r="M47">
        <v>581</v>
      </c>
      <c r="N47">
        <v>1</v>
      </c>
      <c r="O47">
        <v>4</v>
      </c>
      <c r="P47">
        <v>582</v>
      </c>
      <c r="Q47">
        <v>344</v>
      </c>
      <c r="R47">
        <v>530</v>
      </c>
      <c r="S47">
        <v>499</v>
      </c>
      <c r="U47" t="s">
        <v>374</v>
      </c>
      <c r="V47">
        <v>51</v>
      </c>
      <c r="W47">
        <v>1</v>
      </c>
      <c r="X47">
        <v>4</v>
      </c>
      <c r="Y47">
        <v>0</v>
      </c>
      <c r="Z47">
        <v>344</v>
      </c>
      <c r="AA47">
        <v>5.19</v>
      </c>
      <c r="AB47">
        <v>300</v>
      </c>
      <c r="AC47">
        <v>20401.78</v>
      </c>
      <c r="AE47" t="s">
        <v>383</v>
      </c>
      <c r="AF47">
        <v>150</v>
      </c>
      <c r="AG47">
        <v>1</v>
      </c>
      <c r="AH47">
        <v>4719.6000000000004</v>
      </c>
      <c r="AI47">
        <v>2628.98</v>
      </c>
      <c r="AJ47">
        <v>1506.91</v>
      </c>
      <c r="AL47" t="s">
        <v>383</v>
      </c>
      <c r="AM47">
        <v>150</v>
      </c>
      <c r="AN47">
        <v>1</v>
      </c>
      <c r="AO47">
        <v>0</v>
      </c>
      <c r="AP47" t="s">
        <v>63</v>
      </c>
      <c r="AQ47" t="s">
        <v>404</v>
      </c>
    </row>
    <row r="48" spans="1:43" x14ac:dyDescent="0.2">
      <c r="A48" t="s">
        <v>374</v>
      </c>
      <c r="B48">
        <v>150</v>
      </c>
      <c r="C48">
        <v>1</v>
      </c>
      <c r="D48">
        <v>6102.12</v>
      </c>
      <c r="E48">
        <v>4869.42</v>
      </c>
      <c r="F48" t="s">
        <v>383</v>
      </c>
      <c r="G48">
        <v>152</v>
      </c>
      <c r="H48">
        <v>1</v>
      </c>
      <c r="I48">
        <v>61867.95</v>
      </c>
      <c r="J48">
        <v>61867.95</v>
      </c>
      <c r="L48" t="s">
        <v>374</v>
      </c>
      <c r="M48">
        <v>623</v>
      </c>
      <c r="N48">
        <v>1</v>
      </c>
      <c r="O48">
        <v>4</v>
      </c>
      <c r="P48">
        <v>582</v>
      </c>
      <c r="Q48">
        <v>344</v>
      </c>
      <c r="R48">
        <v>530</v>
      </c>
      <c r="S48">
        <v>331.2</v>
      </c>
      <c r="U48" t="s">
        <v>374</v>
      </c>
      <c r="V48">
        <v>152</v>
      </c>
      <c r="W48">
        <v>1</v>
      </c>
      <c r="X48">
        <v>4</v>
      </c>
      <c r="Y48">
        <v>0</v>
      </c>
      <c r="Z48">
        <v>344</v>
      </c>
      <c r="AA48">
        <v>5.19</v>
      </c>
      <c r="AB48">
        <v>300</v>
      </c>
      <c r="AC48">
        <v>64279.29</v>
      </c>
      <c r="AE48" t="s">
        <v>383</v>
      </c>
      <c r="AF48">
        <v>152</v>
      </c>
      <c r="AG48">
        <v>1</v>
      </c>
      <c r="AH48">
        <v>2078.89</v>
      </c>
      <c r="AI48">
        <v>9253.0499999999993</v>
      </c>
      <c r="AJ48">
        <v>20625.599999999999</v>
      </c>
      <c r="AL48" t="s">
        <v>383</v>
      </c>
      <c r="AM48">
        <v>152</v>
      </c>
      <c r="AN48">
        <v>1</v>
      </c>
      <c r="AO48">
        <v>0</v>
      </c>
      <c r="AP48" t="s">
        <v>64</v>
      </c>
      <c r="AQ48" t="s">
        <v>404</v>
      </c>
    </row>
    <row r="49" spans="1:43" x14ac:dyDescent="0.2">
      <c r="A49" t="s">
        <v>374</v>
      </c>
      <c r="B49">
        <v>152</v>
      </c>
      <c r="C49">
        <v>1</v>
      </c>
      <c r="D49">
        <v>64279.29</v>
      </c>
      <c r="E49">
        <v>64279.29</v>
      </c>
      <c r="F49" t="s">
        <v>383</v>
      </c>
      <c r="G49">
        <v>162</v>
      </c>
      <c r="H49">
        <v>1</v>
      </c>
      <c r="I49">
        <v>17033.68</v>
      </c>
      <c r="J49">
        <v>17033.68</v>
      </c>
      <c r="L49" t="s">
        <v>374</v>
      </c>
      <c r="M49">
        <v>700</v>
      </c>
      <c r="N49">
        <v>1</v>
      </c>
      <c r="O49">
        <v>4</v>
      </c>
      <c r="P49">
        <v>582</v>
      </c>
      <c r="Q49">
        <v>344</v>
      </c>
      <c r="R49">
        <v>530</v>
      </c>
      <c r="S49">
        <v>1499</v>
      </c>
      <c r="U49" t="s">
        <v>374</v>
      </c>
      <c r="V49">
        <v>162</v>
      </c>
      <c r="W49">
        <v>1</v>
      </c>
      <c r="X49">
        <v>4</v>
      </c>
      <c r="Y49">
        <v>0</v>
      </c>
      <c r="Z49">
        <v>344</v>
      </c>
      <c r="AA49">
        <v>5.19</v>
      </c>
      <c r="AB49">
        <v>300</v>
      </c>
      <c r="AC49">
        <v>17139.560000000001</v>
      </c>
      <c r="AE49" t="s">
        <v>383</v>
      </c>
      <c r="AF49">
        <v>162</v>
      </c>
      <c r="AG49">
        <v>1</v>
      </c>
      <c r="AH49">
        <v>7244.57</v>
      </c>
      <c r="AI49">
        <v>13217</v>
      </c>
      <c r="AJ49">
        <v>7733.31</v>
      </c>
      <c r="AL49" t="s">
        <v>383</v>
      </c>
      <c r="AM49">
        <v>162</v>
      </c>
      <c r="AN49">
        <v>1</v>
      </c>
      <c r="AO49">
        <v>0</v>
      </c>
      <c r="AP49" t="s">
        <v>65</v>
      </c>
      <c r="AQ49" t="s">
        <v>404</v>
      </c>
    </row>
    <row r="50" spans="1:43" x14ac:dyDescent="0.2">
      <c r="A50" t="s">
        <v>374</v>
      </c>
      <c r="B50">
        <v>162</v>
      </c>
      <c r="C50">
        <v>1</v>
      </c>
      <c r="D50">
        <v>17139.560000000001</v>
      </c>
      <c r="E50">
        <v>17139.560000000001</v>
      </c>
      <c r="F50" t="s">
        <v>383</v>
      </c>
      <c r="G50">
        <v>166</v>
      </c>
      <c r="H50">
        <v>1</v>
      </c>
      <c r="I50">
        <v>6194.83</v>
      </c>
      <c r="J50">
        <v>3820.75</v>
      </c>
      <c r="L50" t="s">
        <v>374</v>
      </c>
      <c r="M50">
        <v>719</v>
      </c>
      <c r="N50">
        <v>1</v>
      </c>
      <c r="O50">
        <v>4</v>
      </c>
      <c r="P50">
        <v>582</v>
      </c>
      <c r="Q50">
        <v>344</v>
      </c>
      <c r="R50">
        <v>530</v>
      </c>
      <c r="S50">
        <v>20</v>
      </c>
      <c r="U50" t="s">
        <v>374</v>
      </c>
      <c r="V50">
        <v>199</v>
      </c>
      <c r="W50">
        <v>1</v>
      </c>
      <c r="X50">
        <v>4</v>
      </c>
      <c r="Y50">
        <v>0</v>
      </c>
      <c r="Z50">
        <v>344</v>
      </c>
      <c r="AA50">
        <v>5.19</v>
      </c>
      <c r="AB50">
        <v>300</v>
      </c>
      <c r="AC50">
        <v>41407.24</v>
      </c>
      <c r="AE50" t="s">
        <v>383</v>
      </c>
      <c r="AF50">
        <v>166</v>
      </c>
      <c r="AG50">
        <v>1</v>
      </c>
      <c r="AH50">
        <v>8245.06</v>
      </c>
      <c r="AI50">
        <v>8109.72</v>
      </c>
      <c r="AJ50">
        <v>3859.57</v>
      </c>
      <c r="AL50" t="s">
        <v>383</v>
      </c>
      <c r="AM50">
        <v>166</v>
      </c>
      <c r="AN50">
        <v>1</v>
      </c>
      <c r="AO50">
        <v>0</v>
      </c>
      <c r="AP50" t="s">
        <v>66</v>
      </c>
      <c r="AQ50" t="s">
        <v>404</v>
      </c>
    </row>
    <row r="51" spans="1:43" x14ac:dyDescent="0.2">
      <c r="A51" t="s">
        <v>374</v>
      </c>
      <c r="B51">
        <v>166</v>
      </c>
      <c r="C51">
        <v>1</v>
      </c>
      <c r="D51">
        <v>6797.94</v>
      </c>
      <c r="E51">
        <v>3331.6</v>
      </c>
      <c r="F51" t="s">
        <v>383</v>
      </c>
      <c r="G51">
        <v>173</v>
      </c>
      <c r="H51">
        <v>1</v>
      </c>
      <c r="I51">
        <v>7522.26</v>
      </c>
      <c r="J51">
        <v>7522.26</v>
      </c>
      <c r="L51" t="s">
        <v>374</v>
      </c>
      <c r="M51">
        <v>721</v>
      </c>
      <c r="N51">
        <v>1</v>
      </c>
      <c r="O51">
        <v>4</v>
      </c>
      <c r="P51">
        <v>582</v>
      </c>
      <c r="Q51">
        <v>344</v>
      </c>
      <c r="R51">
        <v>530</v>
      </c>
      <c r="S51">
        <v>419.26</v>
      </c>
      <c r="U51" t="s">
        <v>374</v>
      </c>
      <c r="V51">
        <v>264</v>
      </c>
      <c r="W51">
        <v>1</v>
      </c>
      <c r="X51">
        <v>4</v>
      </c>
      <c r="Y51">
        <v>0</v>
      </c>
      <c r="Z51">
        <v>344</v>
      </c>
      <c r="AA51">
        <v>5.19</v>
      </c>
      <c r="AB51">
        <v>300</v>
      </c>
      <c r="AC51">
        <v>2071.7800000000002</v>
      </c>
      <c r="AE51" t="s">
        <v>383</v>
      </c>
      <c r="AF51">
        <v>173</v>
      </c>
      <c r="AG51">
        <v>1</v>
      </c>
      <c r="AH51">
        <v>1008.95</v>
      </c>
      <c r="AI51">
        <v>1500.19</v>
      </c>
      <c r="AJ51">
        <v>1440.32</v>
      </c>
      <c r="AL51" t="s">
        <v>383</v>
      </c>
      <c r="AM51">
        <v>173</v>
      </c>
      <c r="AN51">
        <v>1</v>
      </c>
      <c r="AO51">
        <v>0</v>
      </c>
      <c r="AP51" t="s">
        <v>67</v>
      </c>
      <c r="AQ51" t="s">
        <v>404</v>
      </c>
    </row>
    <row r="52" spans="1:43" x14ac:dyDescent="0.2">
      <c r="A52" t="s">
        <v>374</v>
      </c>
      <c r="B52">
        <v>173</v>
      </c>
      <c r="C52">
        <v>1</v>
      </c>
      <c r="D52">
        <v>8213.23</v>
      </c>
      <c r="E52">
        <v>8213.23</v>
      </c>
      <c r="F52" t="s">
        <v>383</v>
      </c>
      <c r="G52">
        <v>177</v>
      </c>
      <c r="H52">
        <v>1</v>
      </c>
      <c r="I52">
        <v>11894.91</v>
      </c>
      <c r="J52">
        <v>11894.91</v>
      </c>
      <c r="L52" t="s">
        <v>374</v>
      </c>
      <c r="M52">
        <v>727</v>
      </c>
      <c r="N52">
        <v>1</v>
      </c>
      <c r="O52">
        <v>4</v>
      </c>
      <c r="P52">
        <v>582</v>
      </c>
      <c r="Q52">
        <v>344</v>
      </c>
      <c r="R52">
        <v>530</v>
      </c>
      <c r="S52">
        <v>49.87</v>
      </c>
      <c r="U52" t="s">
        <v>374</v>
      </c>
      <c r="V52">
        <v>278</v>
      </c>
      <c r="W52">
        <v>1</v>
      </c>
      <c r="X52">
        <v>4</v>
      </c>
      <c r="Y52">
        <v>0</v>
      </c>
      <c r="Z52">
        <v>344</v>
      </c>
      <c r="AA52">
        <v>5.19</v>
      </c>
      <c r="AB52">
        <v>300</v>
      </c>
      <c r="AC52">
        <v>15108.44</v>
      </c>
      <c r="AE52" t="s">
        <v>383</v>
      </c>
      <c r="AF52">
        <v>177</v>
      </c>
      <c r="AG52">
        <v>1</v>
      </c>
      <c r="AH52">
        <v>3496.72</v>
      </c>
      <c r="AI52">
        <v>4431.21</v>
      </c>
      <c r="AJ52">
        <v>3079.86</v>
      </c>
      <c r="AL52" t="s">
        <v>383</v>
      </c>
      <c r="AM52">
        <v>177</v>
      </c>
      <c r="AN52">
        <v>1</v>
      </c>
      <c r="AO52">
        <v>0</v>
      </c>
      <c r="AP52" t="s">
        <v>68</v>
      </c>
      <c r="AQ52" t="s">
        <v>404</v>
      </c>
    </row>
    <row r="53" spans="1:43" x14ac:dyDescent="0.2">
      <c r="A53" t="s">
        <v>374</v>
      </c>
      <c r="B53">
        <v>177</v>
      </c>
      <c r="C53">
        <v>1</v>
      </c>
      <c r="D53">
        <v>11526.66</v>
      </c>
      <c r="E53">
        <v>11389.32</v>
      </c>
      <c r="F53" t="s">
        <v>383</v>
      </c>
      <c r="G53">
        <v>181</v>
      </c>
      <c r="H53">
        <v>1</v>
      </c>
      <c r="I53">
        <v>99746.29</v>
      </c>
      <c r="J53">
        <v>99746.29</v>
      </c>
      <c r="L53" t="s">
        <v>374</v>
      </c>
      <c r="M53">
        <v>742</v>
      </c>
      <c r="N53">
        <v>1</v>
      </c>
      <c r="O53">
        <v>4</v>
      </c>
      <c r="P53">
        <v>582</v>
      </c>
      <c r="Q53">
        <v>344</v>
      </c>
      <c r="R53">
        <v>530</v>
      </c>
      <c r="S53">
        <v>289.32</v>
      </c>
      <c r="U53" t="s">
        <v>374</v>
      </c>
      <c r="V53">
        <v>280</v>
      </c>
      <c r="W53">
        <v>1</v>
      </c>
      <c r="X53">
        <v>4</v>
      </c>
      <c r="Y53">
        <v>0</v>
      </c>
      <c r="Z53">
        <v>344</v>
      </c>
      <c r="AA53">
        <v>5.19</v>
      </c>
      <c r="AB53">
        <v>300</v>
      </c>
      <c r="AC53">
        <v>68290.05</v>
      </c>
      <c r="AE53" t="s">
        <v>383</v>
      </c>
      <c r="AF53">
        <v>181</v>
      </c>
      <c r="AG53">
        <v>1</v>
      </c>
      <c r="AH53">
        <v>27640.58</v>
      </c>
      <c r="AI53">
        <v>38566.5</v>
      </c>
      <c r="AJ53">
        <v>21797.96</v>
      </c>
      <c r="AL53" t="s">
        <v>383</v>
      </c>
      <c r="AM53">
        <v>181</v>
      </c>
      <c r="AN53">
        <v>1</v>
      </c>
      <c r="AO53">
        <v>0</v>
      </c>
      <c r="AP53" t="s">
        <v>69</v>
      </c>
      <c r="AQ53" t="s">
        <v>404</v>
      </c>
    </row>
    <row r="54" spans="1:43" x14ac:dyDescent="0.2">
      <c r="A54" t="s">
        <v>374</v>
      </c>
      <c r="B54">
        <v>181</v>
      </c>
      <c r="C54">
        <v>1</v>
      </c>
      <c r="D54">
        <v>99959.61</v>
      </c>
      <c r="E54">
        <v>99959.61</v>
      </c>
      <c r="F54" t="s">
        <v>383</v>
      </c>
      <c r="G54">
        <v>182</v>
      </c>
      <c r="H54">
        <v>1</v>
      </c>
      <c r="I54">
        <v>18382.54</v>
      </c>
      <c r="J54">
        <v>18382.54</v>
      </c>
      <c r="L54" t="s">
        <v>374</v>
      </c>
      <c r="M54">
        <v>745</v>
      </c>
      <c r="N54">
        <v>1</v>
      </c>
      <c r="O54">
        <v>4</v>
      </c>
      <c r="P54">
        <v>582</v>
      </c>
      <c r="Q54">
        <v>344</v>
      </c>
      <c r="R54">
        <v>530</v>
      </c>
      <c r="S54">
        <v>2745.16</v>
      </c>
      <c r="U54" t="s">
        <v>374</v>
      </c>
      <c r="V54">
        <v>282</v>
      </c>
      <c r="W54">
        <v>1</v>
      </c>
      <c r="X54">
        <v>4</v>
      </c>
      <c r="Y54">
        <v>0</v>
      </c>
      <c r="Z54">
        <v>344</v>
      </c>
      <c r="AA54">
        <v>5.19</v>
      </c>
      <c r="AB54">
        <v>300</v>
      </c>
      <c r="AC54">
        <v>9672.64</v>
      </c>
      <c r="AE54" t="s">
        <v>383</v>
      </c>
      <c r="AF54">
        <v>182</v>
      </c>
      <c r="AG54">
        <v>1</v>
      </c>
      <c r="AH54">
        <v>131.30000000000001</v>
      </c>
      <c r="AI54">
        <v>2489.5500000000002</v>
      </c>
      <c r="AJ54">
        <v>2480.44</v>
      </c>
      <c r="AL54" t="s">
        <v>383</v>
      </c>
      <c r="AM54">
        <v>182</v>
      </c>
      <c r="AN54">
        <v>1</v>
      </c>
      <c r="AO54">
        <v>0</v>
      </c>
      <c r="AP54" t="s">
        <v>70</v>
      </c>
      <c r="AQ54" t="s">
        <v>404</v>
      </c>
    </row>
    <row r="55" spans="1:43" x14ac:dyDescent="0.2">
      <c r="A55" t="s">
        <v>374</v>
      </c>
      <c r="B55">
        <v>182</v>
      </c>
      <c r="C55">
        <v>1</v>
      </c>
      <c r="D55">
        <v>17136.37</v>
      </c>
      <c r="E55">
        <v>17136.37</v>
      </c>
      <c r="F55" t="s">
        <v>383</v>
      </c>
      <c r="G55">
        <v>186</v>
      </c>
      <c r="H55">
        <v>1</v>
      </c>
      <c r="I55">
        <v>18031.8</v>
      </c>
      <c r="J55">
        <v>18031.8</v>
      </c>
      <c r="L55" t="s">
        <v>374</v>
      </c>
      <c r="M55">
        <v>834</v>
      </c>
      <c r="N55">
        <v>1</v>
      </c>
      <c r="O55">
        <v>4</v>
      </c>
      <c r="P55">
        <v>582</v>
      </c>
      <c r="Q55">
        <v>344</v>
      </c>
      <c r="R55">
        <v>530</v>
      </c>
      <c r="S55">
        <v>2193.0300000000002</v>
      </c>
      <c r="U55" t="s">
        <v>374</v>
      </c>
      <c r="V55">
        <v>332</v>
      </c>
      <c r="W55">
        <v>1</v>
      </c>
      <c r="X55">
        <v>4</v>
      </c>
      <c r="Y55">
        <v>0</v>
      </c>
      <c r="Z55">
        <v>344</v>
      </c>
      <c r="AA55">
        <v>5.19</v>
      </c>
      <c r="AB55">
        <v>300</v>
      </c>
      <c r="AC55">
        <v>25215.29</v>
      </c>
      <c r="AE55" t="s">
        <v>383</v>
      </c>
      <c r="AF55">
        <v>186</v>
      </c>
      <c r="AG55">
        <v>1</v>
      </c>
      <c r="AH55">
        <v>22263.02</v>
      </c>
      <c r="AI55">
        <v>16875.93</v>
      </c>
      <c r="AJ55">
        <v>154.13999999999999</v>
      </c>
      <c r="AL55" t="s">
        <v>383</v>
      </c>
      <c r="AM55">
        <v>186</v>
      </c>
      <c r="AN55">
        <v>1</v>
      </c>
      <c r="AO55">
        <v>0</v>
      </c>
      <c r="AP55" t="s">
        <v>71</v>
      </c>
      <c r="AQ55" t="s">
        <v>404</v>
      </c>
    </row>
    <row r="56" spans="1:43" x14ac:dyDescent="0.2">
      <c r="A56" t="s">
        <v>374</v>
      </c>
      <c r="B56">
        <v>186</v>
      </c>
      <c r="C56">
        <v>1</v>
      </c>
      <c r="D56">
        <v>17523.87</v>
      </c>
      <c r="E56">
        <v>12503.49</v>
      </c>
      <c r="F56" t="s">
        <v>383</v>
      </c>
      <c r="G56">
        <v>191</v>
      </c>
      <c r="H56">
        <v>1</v>
      </c>
      <c r="I56">
        <v>114711.92</v>
      </c>
      <c r="J56">
        <v>114711.92</v>
      </c>
      <c r="L56" t="s">
        <v>374</v>
      </c>
      <c r="M56">
        <v>883</v>
      </c>
      <c r="N56">
        <v>1</v>
      </c>
      <c r="O56">
        <v>4</v>
      </c>
      <c r="P56">
        <v>582</v>
      </c>
      <c r="Q56">
        <v>344</v>
      </c>
      <c r="R56">
        <v>530</v>
      </c>
      <c r="S56">
        <v>2520</v>
      </c>
      <c r="U56" t="s">
        <v>374</v>
      </c>
      <c r="V56">
        <v>333</v>
      </c>
      <c r="W56">
        <v>1</v>
      </c>
      <c r="X56">
        <v>4</v>
      </c>
      <c r="Y56">
        <v>0</v>
      </c>
      <c r="Z56">
        <v>344</v>
      </c>
      <c r="AA56">
        <v>5.19</v>
      </c>
      <c r="AB56">
        <v>300</v>
      </c>
      <c r="AC56">
        <v>823.35</v>
      </c>
      <c r="AE56" t="s">
        <v>383</v>
      </c>
      <c r="AF56">
        <v>191</v>
      </c>
      <c r="AG56">
        <v>1</v>
      </c>
      <c r="AH56">
        <v>27104.26</v>
      </c>
      <c r="AI56">
        <v>16404.5</v>
      </c>
      <c r="AJ56">
        <v>18643.73</v>
      </c>
      <c r="AL56" t="s">
        <v>383</v>
      </c>
      <c r="AM56">
        <v>191</v>
      </c>
      <c r="AN56">
        <v>1</v>
      </c>
      <c r="AO56">
        <v>0</v>
      </c>
      <c r="AP56" t="s">
        <v>72</v>
      </c>
      <c r="AQ56" t="s">
        <v>404</v>
      </c>
    </row>
    <row r="57" spans="1:43" x14ac:dyDescent="0.2">
      <c r="A57" t="s">
        <v>374</v>
      </c>
      <c r="B57">
        <v>191</v>
      </c>
      <c r="C57">
        <v>1</v>
      </c>
      <c r="D57">
        <v>114859.41</v>
      </c>
      <c r="E57">
        <v>114859.41</v>
      </c>
      <c r="F57" t="s">
        <v>383</v>
      </c>
      <c r="G57">
        <v>192</v>
      </c>
      <c r="H57">
        <v>1</v>
      </c>
      <c r="I57">
        <v>55798.67</v>
      </c>
      <c r="J57">
        <v>49607.93</v>
      </c>
      <c r="L57" t="s">
        <v>374</v>
      </c>
      <c r="M57">
        <v>2071</v>
      </c>
      <c r="N57">
        <v>1</v>
      </c>
      <c r="O57">
        <v>4</v>
      </c>
      <c r="P57">
        <v>582</v>
      </c>
      <c r="Q57">
        <v>344</v>
      </c>
      <c r="R57">
        <v>530</v>
      </c>
      <c r="S57">
        <v>2484.94</v>
      </c>
      <c r="U57" t="s">
        <v>374</v>
      </c>
      <c r="V57">
        <v>356</v>
      </c>
      <c r="W57">
        <v>1</v>
      </c>
      <c r="X57">
        <v>4</v>
      </c>
      <c r="Y57">
        <v>0</v>
      </c>
      <c r="Z57">
        <v>344</v>
      </c>
      <c r="AA57">
        <v>5.19</v>
      </c>
      <c r="AB57">
        <v>300</v>
      </c>
      <c r="AC57">
        <v>2701.87</v>
      </c>
      <c r="AE57" t="s">
        <v>383</v>
      </c>
      <c r="AF57">
        <v>192</v>
      </c>
      <c r="AG57">
        <v>1</v>
      </c>
      <c r="AH57">
        <v>20405.740000000002</v>
      </c>
      <c r="AI57">
        <v>22220.39</v>
      </c>
      <c r="AJ57">
        <v>21144.99</v>
      </c>
      <c r="AL57" t="s">
        <v>383</v>
      </c>
      <c r="AM57">
        <v>192</v>
      </c>
      <c r="AN57">
        <v>1</v>
      </c>
      <c r="AO57">
        <v>0</v>
      </c>
      <c r="AP57" t="s">
        <v>73</v>
      </c>
      <c r="AQ57" t="s">
        <v>404</v>
      </c>
    </row>
    <row r="58" spans="1:43" x14ac:dyDescent="0.2">
      <c r="A58" t="s">
        <v>374</v>
      </c>
      <c r="B58">
        <v>192</v>
      </c>
      <c r="C58">
        <v>1</v>
      </c>
      <c r="D58">
        <v>56781.46</v>
      </c>
      <c r="E58">
        <v>54708.67</v>
      </c>
      <c r="F58" t="s">
        <v>383</v>
      </c>
      <c r="G58">
        <v>194</v>
      </c>
      <c r="H58">
        <v>1</v>
      </c>
      <c r="I58">
        <v>82237.83</v>
      </c>
      <c r="J58">
        <v>82237.83</v>
      </c>
      <c r="L58" t="s">
        <v>374</v>
      </c>
      <c r="M58">
        <v>2752</v>
      </c>
      <c r="N58">
        <v>1</v>
      </c>
      <c r="O58">
        <v>4</v>
      </c>
      <c r="P58">
        <v>582</v>
      </c>
      <c r="Q58">
        <v>344</v>
      </c>
      <c r="R58">
        <v>530</v>
      </c>
      <c r="S58">
        <v>1000</v>
      </c>
      <c r="U58" t="s">
        <v>374</v>
      </c>
      <c r="V58">
        <v>391</v>
      </c>
      <c r="W58">
        <v>1</v>
      </c>
      <c r="X58">
        <v>4</v>
      </c>
      <c r="Y58">
        <v>0</v>
      </c>
      <c r="Z58">
        <v>344</v>
      </c>
      <c r="AA58">
        <v>5.19</v>
      </c>
      <c r="AB58">
        <v>300</v>
      </c>
      <c r="AC58">
        <v>4842.9799999999996</v>
      </c>
      <c r="AE58" t="s">
        <v>383</v>
      </c>
      <c r="AF58">
        <v>194</v>
      </c>
      <c r="AG58">
        <v>1</v>
      </c>
      <c r="AH58">
        <v>10363</v>
      </c>
      <c r="AI58">
        <v>12095</v>
      </c>
      <c r="AJ58">
        <v>12245</v>
      </c>
      <c r="AL58" t="s">
        <v>383</v>
      </c>
      <c r="AM58">
        <v>194</v>
      </c>
      <c r="AN58">
        <v>1</v>
      </c>
      <c r="AO58">
        <v>0</v>
      </c>
      <c r="AP58" t="s">
        <v>74</v>
      </c>
      <c r="AQ58" t="s">
        <v>404</v>
      </c>
    </row>
    <row r="59" spans="1:43" x14ac:dyDescent="0.2">
      <c r="A59" t="s">
        <v>374</v>
      </c>
      <c r="B59">
        <v>194</v>
      </c>
      <c r="C59">
        <v>1</v>
      </c>
      <c r="D59">
        <v>78185.77</v>
      </c>
      <c r="E59">
        <v>78185.77</v>
      </c>
      <c r="F59" t="s">
        <v>383</v>
      </c>
      <c r="G59">
        <v>195</v>
      </c>
      <c r="H59">
        <v>1</v>
      </c>
      <c r="I59">
        <v>2994.22</v>
      </c>
      <c r="J59">
        <v>516.71</v>
      </c>
      <c r="L59" t="s">
        <v>374</v>
      </c>
      <c r="M59">
        <v>2805</v>
      </c>
      <c r="N59">
        <v>1</v>
      </c>
      <c r="O59">
        <v>4</v>
      </c>
      <c r="P59">
        <v>582</v>
      </c>
      <c r="Q59">
        <v>344</v>
      </c>
      <c r="R59">
        <v>530</v>
      </c>
      <c r="S59">
        <v>14438.33</v>
      </c>
      <c r="U59" t="s">
        <v>374</v>
      </c>
      <c r="V59">
        <v>417</v>
      </c>
      <c r="W59">
        <v>1</v>
      </c>
      <c r="X59">
        <v>4</v>
      </c>
      <c r="Y59">
        <v>0</v>
      </c>
      <c r="Z59">
        <v>344</v>
      </c>
      <c r="AA59">
        <v>5.19</v>
      </c>
      <c r="AB59">
        <v>300</v>
      </c>
      <c r="AC59">
        <v>10287.58</v>
      </c>
      <c r="AE59" t="s">
        <v>383</v>
      </c>
      <c r="AF59">
        <v>195</v>
      </c>
      <c r="AG59">
        <v>1</v>
      </c>
      <c r="AH59">
        <v>1275.46</v>
      </c>
      <c r="AI59">
        <v>3669.86</v>
      </c>
      <c r="AJ59">
        <v>5931.81</v>
      </c>
      <c r="AL59" t="s">
        <v>383</v>
      </c>
      <c r="AM59">
        <v>195</v>
      </c>
      <c r="AN59">
        <v>1</v>
      </c>
      <c r="AO59">
        <v>0</v>
      </c>
      <c r="AP59" t="s">
        <v>75</v>
      </c>
      <c r="AQ59" t="s">
        <v>404</v>
      </c>
    </row>
    <row r="60" spans="1:43" x14ac:dyDescent="0.2">
      <c r="A60" t="s">
        <v>374</v>
      </c>
      <c r="B60">
        <v>195</v>
      </c>
      <c r="C60">
        <v>1</v>
      </c>
      <c r="D60">
        <v>3180.72</v>
      </c>
      <c r="E60">
        <v>2324.52</v>
      </c>
      <c r="F60" t="s">
        <v>383</v>
      </c>
      <c r="G60">
        <v>196</v>
      </c>
      <c r="H60">
        <v>1</v>
      </c>
      <c r="I60">
        <v>244312.45</v>
      </c>
      <c r="J60">
        <v>244312.45</v>
      </c>
      <c r="L60" t="s">
        <v>374</v>
      </c>
      <c r="M60">
        <v>831</v>
      </c>
      <c r="N60">
        <v>1</v>
      </c>
      <c r="O60">
        <v>4</v>
      </c>
      <c r="P60">
        <v>582</v>
      </c>
      <c r="Q60">
        <v>321</v>
      </c>
      <c r="R60">
        <v>530</v>
      </c>
      <c r="S60">
        <v>2371.09</v>
      </c>
      <c r="U60" t="s">
        <v>374</v>
      </c>
      <c r="V60">
        <v>432</v>
      </c>
      <c r="W60">
        <v>1</v>
      </c>
      <c r="X60">
        <v>4</v>
      </c>
      <c r="Y60">
        <v>0</v>
      </c>
      <c r="Z60">
        <v>344</v>
      </c>
      <c r="AA60">
        <v>5.19</v>
      </c>
      <c r="AB60">
        <v>300</v>
      </c>
      <c r="AC60">
        <v>13689.6</v>
      </c>
      <c r="AE60" t="s">
        <v>383</v>
      </c>
      <c r="AF60">
        <v>196</v>
      </c>
      <c r="AG60">
        <v>1</v>
      </c>
      <c r="AH60">
        <v>55585.07</v>
      </c>
      <c r="AI60">
        <v>84376.5</v>
      </c>
      <c r="AJ60">
        <v>62688.28</v>
      </c>
      <c r="AL60" t="s">
        <v>383</v>
      </c>
      <c r="AM60">
        <v>196</v>
      </c>
      <c r="AN60">
        <v>1</v>
      </c>
      <c r="AO60">
        <v>0</v>
      </c>
      <c r="AP60" t="s">
        <v>76</v>
      </c>
      <c r="AQ60" t="s">
        <v>404</v>
      </c>
    </row>
    <row r="61" spans="1:43" x14ac:dyDescent="0.2">
      <c r="A61" t="s">
        <v>374</v>
      </c>
      <c r="B61">
        <v>196</v>
      </c>
      <c r="C61">
        <v>1</v>
      </c>
      <c r="D61">
        <v>223210.95</v>
      </c>
      <c r="E61">
        <v>223210.95</v>
      </c>
      <c r="F61" t="s">
        <v>383</v>
      </c>
      <c r="G61">
        <v>197</v>
      </c>
      <c r="H61">
        <v>1</v>
      </c>
      <c r="I61">
        <v>73059.570000000007</v>
      </c>
      <c r="J61">
        <v>73059.570000000007</v>
      </c>
      <c r="L61" t="s">
        <v>374</v>
      </c>
      <c r="M61">
        <v>625</v>
      </c>
      <c r="N61">
        <v>1</v>
      </c>
      <c r="O61">
        <v>4</v>
      </c>
      <c r="P61">
        <v>582</v>
      </c>
      <c r="Q61">
        <v>599</v>
      </c>
      <c r="R61">
        <v>490</v>
      </c>
      <c r="S61">
        <v>1485.91</v>
      </c>
      <c r="U61" t="s">
        <v>374</v>
      </c>
      <c r="V61">
        <v>447</v>
      </c>
      <c r="W61">
        <v>1</v>
      </c>
      <c r="X61">
        <v>4</v>
      </c>
      <c r="Y61">
        <v>0</v>
      </c>
      <c r="Z61">
        <v>344</v>
      </c>
      <c r="AA61">
        <v>5.19</v>
      </c>
      <c r="AB61">
        <v>300</v>
      </c>
      <c r="AC61">
        <v>2877.28</v>
      </c>
      <c r="AE61" t="s">
        <v>383</v>
      </c>
      <c r="AF61">
        <v>197</v>
      </c>
      <c r="AG61">
        <v>1</v>
      </c>
      <c r="AH61">
        <v>9271</v>
      </c>
      <c r="AI61">
        <v>14041</v>
      </c>
      <c r="AJ61">
        <v>17175</v>
      </c>
      <c r="AL61" t="s">
        <v>383</v>
      </c>
      <c r="AM61">
        <v>197</v>
      </c>
      <c r="AN61">
        <v>1</v>
      </c>
      <c r="AO61">
        <v>0</v>
      </c>
      <c r="AP61" t="s">
        <v>77</v>
      </c>
      <c r="AQ61" t="s">
        <v>404</v>
      </c>
    </row>
    <row r="62" spans="1:43" x14ac:dyDescent="0.2">
      <c r="A62" t="s">
        <v>374</v>
      </c>
      <c r="B62">
        <v>197</v>
      </c>
      <c r="C62">
        <v>1</v>
      </c>
      <c r="D62">
        <v>72859.12</v>
      </c>
      <c r="E62">
        <v>72859.12</v>
      </c>
      <c r="F62" t="s">
        <v>383</v>
      </c>
      <c r="G62">
        <v>199</v>
      </c>
      <c r="H62">
        <v>1</v>
      </c>
      <c r="I62">
        <v>44241.24</v>
      </c>
      <c r="J62">
        <v>44241.24</v>
      </c>
      <c r="L62" t="s">
        <v>374</v>
      </c>
      <c r="M62">
        <v>4</v>
      </c>
      <c r="N62">
        <v>1</v>
      </c>
      <c r="O62">
        <v>4</v>
      </c>
      <c r="P62">
        <v>582</v>
      </c>
      <c r="Q62">
        <v>344</v>
      </c>
      <c r="R62">
        <v>490</v>
      </c>
      <c r="S62">
        <v>198.12</v>
      </c>
      <c r="U62" t="s">
        <v>374</v>
      </c>
      <c r="V62">
        <v>463</v>
      </c>
      <c r="W62">
        <v>1</v>
      </c>
      <c r="X62">
        <v>4</v>
      </c>
      <c r="Y62">
        <v>0</v>
      </c>
      <c r="Z62">
        <v>344</v>
      </c>
      <c r="AA62">
        <v>5.19</v>
      </c>
      <c r="AB62">
        <v>300</v>
      </c>
      <c r="AC62">
        <v>11116.73</v>
      </c>
      <c r="AE62" t="s">
        <v>383</v>
      </c>
      <c r="AF62">
        <v>199</v>
      </c>
      <c r="AG62">
        <v>1</v>
      </c>
      <c r="AH62">
        <v>18390.88</v>
      </c>
      <c r="AI62">
        <v>-4362.2299999999996</v>
      </c>
      <c r="AJ62">
        <v>-6052.74</v>
      </c>
      <c r="AL62" t="s">
        <v>383</v>
      </c>
      <c r="AM62">
        <v>199</v>
      </c>
      <c r="AN62">
        <v>1</v>
      </c>
      <c r="AO62">
        <v>0</v>
      </c>
      <c r="AP62" t="s">
        <v>78</v>
      </c>
      <c r="AQ62" t="s">
        <v>404</v>
      </c>
    </row>
    <row r="63" spans="1:43" x14ac:dyDescent="0.2">
      <c r="A63" t="s">
        <v>374</v>
      </c>
      <c r="B63">
        <v>199</v>
      </c>
      <c r="C63">
        <v>1</v>
      </c>
      <c r="D63">
        <v>41407.24</v>
      </c>
      <c r="E63">
        <v>41407.24</v>
      </c>
      <c r="F63" t="s">
        <v>383</v>
      </c>
      <c r="G63">
        <v>200</v>
      </c>
      <c r="H63">
        <v>1</v>
      </c>
      <c r="I63">
        <v>46351.42</v>
      </c>
      <c r="J63">
        <v>46351.42</v>
      </c>
      <c r="L63" t="s">
        <v>374</v>
      </c>
      <c r="M63">
        <v>6</v>
      </c>
      <c r="N63">
        <v>3</v>
      </c>
      <c r="O63">
        <v>4</v>
      </c>
      <c r="P63">
        <v>582</v>
      </c>
      <c r="Q63">
        <v>344</v>
      </c>
      <c r="R63">
        <v>490</v>
      </c>
      <c r="S63">
        <v>66.59</v>
      </c>
      <c r="U63" t="s">
        <v>374</v>
      </c>
      <c r="V63">
        <v>473</v>
      </c>
      <c r="W63">
        <v>1</v>
      </c>
      <c r="X63">
        <v>4</v>
      </c>
      <c r="Y63">
        <v>0</v>
      </c>
      <c r="Z63">
        <v>344</v>
      </c>
      <c r="AA63">
        <v>5.19</v>
      </c>
      <c r="AB63">
        <v>300</v>
      </c>
      <c r="AC63">
        <v>6528.08</v>
      </c>
      <c r="AE63" t="s">
        <v>383</v>
      </c>
      <c r="AF63">
        <v>200</v>
      </c>
      <c r="AG63">
        <v>1</v>
      </c>
      <c r="AH63">
        <v>4692.93</v>
      </c>
      <c r="AI63">
        <v>14061.96</v>
      </c>
      <c r="AJ63">
        <v>8321.01</v>
      </c>
      <c r="AL63" t="s">
        <v>383</v>
      </c>
      <c r="AM63">
        <v>200</v>
      </c>
      <c r="AN63">
        <v>1</v>
      </c>
      <c r="AO63">
        <v>0</v>
      </c>
      <c r="AP63" t="s">
        <v>79</v>
      </c>
      <c r="AQ63" t="s">
        <v>404</v>
      </c>
    </row>
    <row r="64" spans="1:43" x14ac:dyDescent="0.2">
      <c r="A64" t="s">
        <v>374</v>
      </c>
      <c r="B64">
        <v>200</v>
      </c>
      <c r="C64">
        <v>1</v>
      </c>
      <c r="D64">
        <v>44092.89</v>
      </c>
      <c r="E64">
        <v>44092.89</v>
      </c>
      <c r="F64" t="s">
        <v>383</v>
      </c>
      <c r="G64">
        <v>203</v>
      </c>
      <c r="H64">
        <v>1</v>
      </c>
      <c r="I64">
        <v>8412.4</v>
      </c>
      <c r="J64">
        <v>8356.84</v>
      </c>
      <c r="L64" t="s">
        <v>374</v>
      </c>
      <c r="M64">
        <v>11</v>
      </c>
      <c r="N64">
        <v>1</v>
      </c>
      <c r="O64">
        <v>4</v>
      </c>
      <c r="P64">
        <v>582</v>
      </c>
      <c r="Q64">
        <v>344</v>
      </c>
      <c r="R64">
        <v>490</v>
      </c>
      <c r="S64">
        <v>393.75</v>
      </c>
      <c r="U64" t="s">
        <v>374</v>
      </c>
      <c r="V64">
        <v>480</v>
      </c>
      <c r="W64">
        <v>1</v>
      </c>
      <c r="X64">
        <v>4</v>
      </c>
      <c r="Y64">
        <v>0</v>
      </c>
      <c r="Z64">
        <v>344</v>
      </c>
      <c r="AA64">
        <v>5.19</v>
      </c>
      <c r="AB64">
        <v>300</v>
      </c>
      <c r="AC64">
        <v>15532.1</v>
      </c>
      <c r="AE64" t="s">
        <v>383</v>
      </c>
      <c r="AF64">
        <v>203</v>
      </c>
      <c r="AG64">
        <v>1</v>
      </c>
      <c r="AH64">
        <v>2233.94</v>
      </c>
      <c r="AI64">
        <v>6020.66</v>
      </c>
      <c r="AJ64">
        <v>0</v>
      </c>
      <c r="AL64" t="s">
        <v>383</v>
      </c>
      <c r="AM64">
        <v>203</v>
      </c>
      <c r="AN64">
        <v>1</v>
      </c>
      <c r="AO64">
        <v>0</v>
      </c>
      <c r="AP64" t="s">
        <v>80</v>
      </c>
      <c r="AQ64" t="s">
        <v>404</v>
      </c>
    </row>
    <row r="65" spans="1:43" x14ac:dyDescent="0.2">
      <c r="A65" t="s">
        <v>374</v>
      </c>
      <c r="B65">
        <v>203</v>
      </c>
      <c r="C65">
        <v>1</v>
      </c>
      <c r="D65">
        <v>7714.71</v>
      </c>
      <c r="E65">
        <v>6688.46</v>
      </c>
      <c r="F65" t="s">
        <v>383</v>
      </c>
      <c r="G65">
        <v>204</v>
      </c>
      <c r="H65">
        <v>1</v>
      </c>
      <c r="I65">
        <v>16610.03</v>
      </c>
      <c r="J65">
        <v>16610.03</v>
      </c>
      <c r="L65" t="s">
        <v>374</v>
      </c>
      <c r="M65">
        <v>14</v>
      </c>
      <c r="N65">
        <v>1</v>
      </c>
      <c r="O65">
        <v>4</v>
      </c>
      <c r="P65">
        <v>582</v>
      </c>
      <c r="Q65">
        <v>344</v>
      </c>
      <c r="R65">
        <v>490</v>
      </c>
      <c r="S65">
        <v>34.76</v>
      </c>
      <c r="U65" t="s">
        <v>374</v>
      </c>
      <c r="V65">
        <v>484</v>
      </c>
      <c r="W65">
        <v>1</v>
      </c>
      <c r="X65">
        <v>4</v>
      </c>
      <c r="Y65">
        <v>0</v>
      </c>
      <c r="Z65">
        <v>344</v>
      </c>
      <c r="AA65">
        <v>5.19</v>
      </c>
      <c r="AB65">
        <v>300</v>
      </c>
      <c r="AC65">
        <v>13188.51</v>
      </c>
      <c r="AE65" t="s">
        <v>383</v>
      </c>
      <c r="AF65">
        <v>204</v>
      </c>
      <c r="AG65">
        <v>1</v>
      </c>
      <c r="AH65">
        <v>7285.47</v>
      </c>
      <c r="AI65">
        <v>7578.57</v>
      </c>
      <c r="AJ65">
        <v>36304.07</v>
      </c>
      <c r="AL65" t="s">
        <v>383</v>
      </c>
      <c r="AM65">
        <v>204</v>
      </c>
      <c r="AN65">
        <v>1</v>
      </c>
      <c r="AO65">
        <v>0</v>
      </c>
      <c r="AP65" t="s">
        <v>409</v>
      </c>
      <c r="AQ65" t="s">
        <v>404</v>
      </c>
    </row>
    <row r="66" spans="1:43" x14ac:dyDescent="0.2">
      <c r="A66" t="s">
        <v>374</v>
      </c>
      <c r="B66">
        <v>204</v>
      </c>
      <c r="C66">
        <v>1</v>
      </c>
      <c r="D66">
        <v>16439.48</v>
      </c>
      <c r="E66">
        <v>16439.48</v>
      </c>
      <c r="F66" t="s">
        <v>383</v>
      </c>
      <c r="G66">
        <v>206</v>
      </c>
      <c r="H66">
        <v>1</v>
      </c>
      <c r="I66">
        <v>44206.16</v>
      </c>
      <c r="J66">
        <v>44206.16</v>
      </c>
      <c r="L66" t="s">
        <v>374</v>
      </c>
      <c r="M66">
        <v>32</v>
      </c>
      <c r="N66">
        <v>1</v>
      </c>
      <c r="O66">
        <v>4</v>
      </c>
      <c r="P66">
        <v>582</v>
      </c>
      <c r="Q66">
        <v>344</v>
      </c>
      <c r="R66">
        <v>490</v>
      </c>
      <c r="S66">
        <v>55.14</v>
      </c>
      <c r="U66" t="s">
        <v>374</v>
      </c>
      <c r="V66">
        <v>485</v>
      </c>
      <c r="W66">
        <v>1</v>
      </c>
      <c r="X66">
        <v>4</v>
      </c>
      <c r="Y66">
        <v>0</v>
      </c>
      <c r="Z66">
        <v>344</v>
      </c>
      <c r="AA66">
        <v>5.05</v>
      </c>
      <c r="AB66">
        <v>300</v>
      </c>
      <c r="AC66">
        <v>8172.3</v>
      </c>
      <c r="AE66" t="s">
        <v>383</v>
      </c>
      <c r="AF66">
        <v>206</v>
      </c>
      <c r="AG66">
        <v>1</v>
      </c>
      <c r="AH66">
        <v>20572.16</v>
      </c>
      <c r="AI66">
        <v>9925.68</v>
      </c>
      <c r="AJ66">
        <v>3965.57</v>
      </c>
      <c r="AL66" t="s">
        <v>383</v>
      </c>
      <c r="AM66">
        <v>206</v>
      </c>
      <c r="AN66">
        <v>1</v>
      </c>
      <c r="AO66">
        <v>0</v>
      </c>
      <c r="AP66" t="s">
        <v>81</v>
      </c>
      <c r="AQ66" t="s">
        <v>404</v>
      </c>
    </row>
    <row r="67" spans="1:43" x14ac:dyDescent="0.2">
      <c r="A67" t="s">
        <v>374</v>
      </c>
      <c r="B67">
        <v>206</v>
      </c>
      <c r="C67">
        <v>1</v>
      </c>
      <c r="D67">
        <v>42796.66</v>
      </c>
      <c r="E67">
        <v>42796.66</v>
      </c>
      <c r="F67" t="s">
        <v>383</v>
      </c>
      <c r="G67">
        <v>207</v>
      </c>
      <c r="H67">
        <v>1</v>
      </c>
      <c r="I67">
        <v>3025.71</v>
      </c>
      <c r="J67">
        <v>3025.71</v>
      </c>
      <c r="L67" t="s">
        <v>374</v>
      </c>
      <c r="M67">
        <v>77</v>
      </c>
      <c r="N67">
        <v>1</v>
      </c>
      <c r="O67">
        <v>4</v>
      </c>
      <c r="P67">
        <v>582</v>
      </c>
      <c r="Q67">
        <v>344</v>
      </c>
      <c r="R67">
        <v>490</v>
      </c>
      <c r="S67">
        <v>891.62</v>
      </c>
      <c r="U67" t="s">
        <v>374</v>
      </c>
      <c r="V67">
        <v>486</v>
      </c>
      <c r="W67">
        <v>1</v>
      </c>
      <c r="X67">
        <v>4</v>
      </c>
      <c r="Y67">
        <v>0</v>
      </c>
      <c r="Z67">
        <v>344</v>
      </c>
      <c r="AA67">
        <v>5.19</v>
      </c>
      <c r="AB67">
        <v>300</v>
      </c>
      <c r="AC67">
        <v>4903.96</v>
      </c>
      <c r="AE67" t="s">
        <v>383</v>
      </c>
      <c r="AF67">
        <v>207</v>
      </c>
      <c r="AG67">
        <v>1</v>
      </c>
      <c r="AH67">
        <v>7068.05</v>
      </c>
      <c r="AI67">
        <v>1679.87</v>
      </c>
      <c r="AJ67">
        <v>-974.31</v>
      </c>
      <c r="AL67" t="s">
        <v>383</v>
      </c>
      <c r="AM67">
        <v>207</v>
      </c>
      <c r="AN67">
        <v>1</v>
      </c>
      <c r="AO67">
        <v>0</v>
      </c>
      <c r="AP67" t="s">
        <v>82</v>
      </c>
      <c r="AQ67" t="s">
        <v>404</v>
      </c>
    </row>
    <row r="68" spans="1:43" x14ac:dyDescent="0.2">
      <c r="A68" t="s">
        <v>374</v>
      </c>
      <c r="B68">
        <v>207</v>
      </c>
      <c r="C68">
        <v>1</v>
      </c>
      <c r="D68">
        <v>3050.57</v>
      </c>
      <c r="E68">
        <v>3050.57</v>
      </c>
      <c r="F68" t="s">
        <v>383</v>
      </c>
      <c r="G68">
        <v>208</v>
      </c>
      <c r="H68">
        <v>1</v>
      </c>
      <c r="I68">
        <v>3065.69</v>
      </c>
      <c r="J68">
        <v>3065.69</v>
      </c>
      <c r="L68" t="s">
        <v>374</v>
      </c>
      <c r="M68">
        <v>88</v>
      </c>
      <c r="N68">
        <v>1</v>
      </c>
      <c r="O68">
        <v>4</v>
      </c>
      <c r="P68">
        <v>582</v>
      </c>
      <c r="Q68">
        <v>344</v>
      </c>
      <c r="R68">
        <v>490</v>
      </c>
      <c r="S68">
        <v>152.04</v>
      </c>
      <c r="U68" t="s">
        <v>374</v>
      </c>
      <c r="V68">
        <v>487</v>
      </c>
      <c r="W68">
        <v>1</v>
      </c>
      <c r="X68">
        <v>4</v>
      </c>
      <c r="Y68">
        <v>0</v>
      </c>
      <c r="Z68">
        <v>344</v>
      </c>
      <c r="AA68">
        <v>5.19</v>
      </c>
      <c r="AB68">
        <v>300</v>
      </c>
      <c r="AC68">
        <v>4408.6400000000003</v>
      </c>
      <c r="AE68" t="s">
        <v>383</v>
      </c>
      <c r="AF68">
        <v>208</v>
      </c>
      <c r="AG68">
        <v>1</v>
      </c>
      <c r="AH68">
        <v>536.47</v>
      </c>
      <c r="AI68">
        <v>584.61</v>
      </c>
      <c r="AJ68">
        <v>629.73</v>
      </c>
      <c r="AL68" t="s">
        <v>383</v>
      </c>
      <c r="AM68">
        <v>208</v>
      </c>
      <c r="AN68">
        <v>1</v>
      </c>
      <c r="AO68">
        <v>0</v>
      </c>
      <c r="AP68" t="s">
        <v>83</v>
      </c>
      <c r="AQ68" t="s">
        <v>404</v>
      </c>
    </row>
    <row r="69" spans="1:43" x14ac:dyDescent="0.2">
      <c r="A69" t="s">
        <v>374</v>
      </c>
      <c r="B69">
        <v>208</v>
      </c>
      <c r="C69">
        <v>1</v>
      </c>
      <c r="D69">
        <v>2737.21</v>
      </c>
      <c r="E69">
        <v>2737.21</v>
      </c>
      <c r="F69" t="s">
        <v>383</v>
      </c>
      <c r="G69">
        <v>213</v>
      </c>
      <c r="H69">
        <v>1</v>
      </c>
      <c r="I69">
        <v>8745.7800000000007</v>
      </c>
      <c r="J69">
        <v>8745.7800000000007</v>
      </c>
      <c r="L69" t="s">
        <v>374</v>
      </c>
      <c r="M69">
        <v>100</v>
      </c>
      <c r="N69">
        <v>1</v>
      </c>
      <c r="O69">
        <v>4</v>
      </c>
      <c r="P69">
        <v>582</v>
      </c>
      <c r="Q69">
        <v>344</v>
      </c>
      <c r="R69">
        <v>490</v>
      </c>
      <c r="S69">
        <v>231.38</v>
      </c>
      <c r="U69" t="s">
        <v>374</v>
      </c>
      <c r="V69">
        <v>505</v>
      </c>
      <c r="W69">
        <v>1</v>
      </c>
      <c r="X69">
        <v>4</v>
      </c>
      <c r="Y69">
        <v>0</v>
      </c>
      <c r="Z69">
        <v>344</v>
      </c>
      <c r="AA69">
        <v>5.19</v>
      </c>
      <c r="AB69">
        <v>300</v>
      </c>
      <c r="AC69">
        <v>4329.34</v>
      </c>
      <c r="AE69" t="s">
        <v>383</v>
      </c>
      <c r="AF69">
        <v>213</v>
      </c>
      <c r="AG69">
        <v>1</v>
      </c>
      <c r="AH69">
        <v>955.33</v>
      </c>
      <c r="AI69">
        <v>-962.96</v>
      </c>
      <c r="AJ69">
        <v>-14435.88</v>
      </c>
      <c r="AL69" t="s">
        <v>383</v>
      </c>
      <c r="AM69">
        <v>213</v>
      </c>
      <c r="AN69">
        <v>1</v>
      </c>
      <c r="AO69">
        <v>0</v>
      </c>
      <c r="AP69" t="s">
        <v>84</v>
      </c>
      <c r="AQ69" t="s">
        <v>404</v>
      </c>
    </row>
    <row r="70" spans="1:43" x14ac:dyDescent="0.2">
      <c r="A70" t="s">
        <v>374</v>
      </c>
      <c r="B70">
        <v>213</v>
      </c>
      <c r="C70">
        <v>1</v>
      </c>
      <c r="D70">
        <v>9627.5499999999993</v>
      </c>
      <c r="E70">
        <v>9627.5499999999993</v>
      </c>
      <c r="F70" t="s">
        <v>383</v>
      </c>
      <c r="G70">
        <v>227</v>
      </c>
      <c r="H70">
        <v>1</v>
      </c>
      <c r="I70">
        <v>7992.1</v>
      </c>
      <c r="J70">
        <v>7992.1</v>
      </c>
      <c r="L70" t="s">
        <v>374</v>
      </c>
      <c r="M70">
        <v>162</v>
      </c>
      <c r="N70">
        <v>1</v>
      </c>
      <c r="O70">
        <v>4</v>
      </c>
      <c r="P70">
        <v>582</v>
      </c>
      <c r="Q70">
        <v>344</v>
      </c>
      <c r="R70">
        <v>490</v>
      </c>
      <c r="S70">
        <v>259.48</v>
      </c>
      <c r="U70" t="s">
        <v>374</v>
      </c>
      <c r="V70">
        <v>511</v>
      </c>
      <c r="W70">
        <v>1</v>
      </c>
      <c r="X70">
        <v>4</v>
      </c>
      <c r="Y70">
        <v>0</v>
      </c>
      <c r="Z70">
        <v>344</v>
      </c>
      <c r="AA70">
        <v>5.19</v>
      </c>
      <c r="AB70">
        <v>300</v>
      </c>
      <c r="AC70">
        <v>7196.7</v>
      </c>
      <c r="AE70" t="s">
        <v>383</v>
      </c>
      <c r="AF70">
        <v>227</v>
      </c>
      <c r="AG70">
        <v>1</v>
      </c>
      <c r="AH70">
        <v>3841.47</v>
      </c>
      <c r="AI70">
        <v>15382.58</v>
      </c>
      <c r="AJ70">
        <v>12105.1</v>
      </c>
      <c r="AL70" t="s">
        <v>383</v>
      </c>
      <c r="AM70">
        <v>227</v>
      </c>
      <c r="AN70">
        <v>1</v>
      </c>
      <c r="AO70">
        <v>0</v>
      </c>
      <c r="AP70" t="s">
        <v>85</v>
      </c>
      <c r="AQ70" t="s">
        <v>404</v>
      </c>
    </row>
    <row r="71" spans="1:43" x14ac:dyDescent="0.2">
      <c r="A71" t="s">
        <v>374</v>
      </c>
      <c r="B71">
        <v>227</v>
      </c>
      <c r="C71">
        <v>1</v>
      </c>
      <c r="D71">
        <v>8111.52</v>
      </c>
      <c r="E71">
        <v>8111.52</v>
      </c>
      <c r="F71" t="s">
        <v>383</v>
      </c>
      <c r="G71">
        <v>229</v>
      </c>
      <c r="H71">
        <v>1</v>
      </c>
      <c r="I71">
        <v>4906.91</v>
      </c>
      <c r="J71">
        <v>4906.91</v>
      </c>
      <c r="L71" t="s">
        <v>374</v>
      </c>
      <c r="M71">
        <v>191</v>
      </c>
      <c r="N71">
        <v>1</v>
      </c>
      <c r="O71">
        <v>4</v>
      </c>
      <c r="P71">
        <v>582</v>
      </c>
      <c r="Q71">
        <v>344</v>
      </c>
      <c r="R71">
        <v>490</v>
      </c>
      <c r="S71">
        <v>13.95</v>
      </c>
      <c r="U71" t="s">
        <v>374</v>
      </c>
      <c r="V71">
        <v>549</v>
      </c>
      <c r="W71">
        <v>1</v>
      </c>
      <c r="X71">
        <v>4</v>
      </c>
      <c r="Y71">
        <v>0</v>
      </c>
      <c r="Z71">
        <v>344</v>
      </c>
      <c r="AA71">
        <v>5.19</v>
      </c>
      <c r="AB71">
        <v>300</v>
      </c>
      <c r="AC71">
        <v>18797.25</v>
      </c>
      <c r="AE71" t="s">
        <v>383</v>
      </c>
      <c r="AF71">
        <v>229</v>
      </c>
      <c r="AG71">
        <v>1</v>
      </c>
      <c r="AH71">
        <v>-2287.48</v>
      </c>
      <c r="AI71">
        <v>-2287.6</v>
      </c>
      <c r="AJ71">
        <v>-1648.79</v>
      </c>
      <c r="AL71" t="s">
        <v>383</v>
      </c>
      <c r="AM71">
        <v>229</v>
      </c>
      <c r="AN71">
        <v>1</v>
      </c>
      <c r="AO71">
        <v>0</v>
      </c>
      <c r="AP71" t="s">
        <v>86</v>
      </c>
      <c r="AQ71" t="s">
        <v>404</v>
      </c>
    </row>
    <row r="72" spans="1:43" x14ac:dyDescent="0.2">
      <c r="A72" t="s">
        <v>374</v>
      </c>
      <c r="B72">
        <v>229</v>
      </c>
      <c r="C72">
        <v>1</v>
      </c>
      <c r="D72">
        <v>5005.3100000000004</v>
      </c>
      <c r="E72">
        <v>5005.3100000000004</v>
      </c>
      <c r="F72" t="s">
        <v>383</v>
      </c>
      <c r="G72">
        <v>238</v>
      </c>
      <c r="H72">
        <v>1</v>
      </c>
      <c r="I72">
        <v>4526.59</v>
      </c>
      <c r="J72">
        <v>4526.59</v>
      </c>
      <c r="L72" t="s">
        <v>374</v>
      </c>
      <c r="M72">
        <v>192</v>
      </c>
      <c r="N72">
        <v>1</v>
      </c>
      <c r="O72">
        <v>4</v>
      </c>
      <c r="P72">
        <v>582</v>
      </c>
      <c r="Q72">
        <v>344</v>
      </c>
      <c r="R72">
        <v>490</v>
      </c>
      <c r="S72">
        <v>18.82</v>
      </c>
      <c r="U72" t="s">
        <v>374</v>
      </c>
      <c r="V72">
        <v>578</v>
      </c>
      <c r="W72">
        <v>1</v>
      </c>
      <c r="X72">
        <v>4</v>
      </c>
      <c r="Y72">
        <v>0</v>
      </c>
      <c r="Z72">
        <v>344</v>
      </c>
      <c r="AA72">
        <v>5.19</v>
      </c>
      <c r="AB72">
        <v>300</v>
      </c>
      <c r="AC72">
        <v>19817.59</v>
      </c>
      <c r="AE72" t="s">
        <v>383</v>
      </c>
      <c r="AF72">
        <v>238</v>
      </c>
      <c r="AG72">
        <v>1</v>
      </c>
      <c r="AH72">
        <v>-3299.29</v>
      </c>
      <c r="AI72">
        <v>-541.64</v>
      </c>
      <c r="AJ72">
        <v>3959.49</v>
      </c>
      <c r="AL72" t="s">
        <v>383</v>
      </c>
      <c r="AM72">
        <v>238</v>
      </c>
      <c r="AN72">
        <v>1</v>
      </c>
      <c r="AO72">
        <v>0</v>
      </c>
      <c r="AP72" t="s">
        <v>87</v>
      </c>
      <c r="AQ72" t="s">
        <v>404</v>
      </c>
    </row>
    <row r="73" spans="1:43" x14ac:dyDescent="0.2">
      <c r="A73" t="s">
        <v>374</v>
      </c>
      <c r="B73">
        <v>238</v>
      </c>
      <c r="C73">
        <v>1</v>
      </c>
      <c r="D73">
        <v>5046.8599999999997</v>
      </c>
      <c r="E73">
        <v>5046.8599999999997</v>
      </c>
      <c r="F73" t="s">
        <v>383</v>
      </c>
      <c r="G73">
        <v>239</v>
      </c>
      <c r="H73">
        <v>1</v>
      </c>
      <c r="I73">
        <v>8207.4599999999991</v>
      </c>
      <c r="J73">
        <v>3207.57</v>
      </c>
      <c r="L73" t="s">
        <v>374</v>
      </c>
      <c r="M73">
        <v>196</v>
      </c>
      <c r="N73">
        <v>1</v>
      </c>
      <c r="O73">
        <v>4</v>
      </c>
      <c r="P73">
        <v>582</v>
      </c>
      <c r="Q73">
        <v>344</v>
      </c>
      <c r="R73">
        <v>490</v>
      </c>
      <c r="S73">
        <v>529.22</v>
      </c>
      <c r="U73" t="s">
        <v>374</v>
      </c>
      <c r="V73">
        <v>630</v>
      </c>
      <c r="W73">
        <v>1</v>
      </c>
      <c r="X73">
        <v>4</v>
      </c>
      <c r="Y73">
        <v>0</v>
      </c>
      <c r="Z73">
        <v>344</v>
      </c>
      <c r="AA73">
        <v>5.19</v>
      </c>
      <c r="AB73">
        <v>300</v>
      </c>
      <c r="AC73">
        <v>5721.6</v>
      </c>
      <c r="AE73" t="s">
        <v>383</v>
      </c>
      <c r="AF73">
        <v>239</v>
      </c>
      <c r="AG73">
        <v>1</v>
      </c>
      <c r="AH73">
        <v>1731.35</v>
      </c>
      <c r="AI73">
        <v>6567.28</v>
      </c>
      <c r="AJ73">
        <v>14783.26</v>
      </c>
      <c r="AL73" t="s">
        <v>383</v>
      </c>
      <c r="AM73">
        <v>239</v>
      </c>
      <c r="AN73">
        <v>1</v>
      </c>
      <c r="AO73">
        <v>0</v>
      </c>
      <c r="AP73" t="s">
        <v>410</v>
      </c>
      <c r="AQ73" t="s">
        <v>404</v>
      </c>
    </row>
    <row r="74" spans="1:43" x14ac:dyDescent="0.2">
      <c r="A74" t="s">
        <v>374</v>
      </c>
      <c r="B74">
        <v>239</v>
      </c>
      <c r="C74">
        <v>1</v>
      </c>
      <c r="D74">
        <v>10224.59</v>
      </c>
      <c r="E74">
        <v>9810.82</v>
      </c>
      <c r="F74" t="s">
        <v>383</v>
      </c>
      <c r="G74">
        <v>241</v>
      </c>
      <c r="H74">
        <v>1</v>
      </c>
      <c r="I74">
        <v>49281.38</v>
      </c>
      <c r="J74">
        <v>49281.38</v>
      </c>
      <c r="L74" t="s">
        <v>374</v>
      </c>
      <c r="M74">
        <v>206</v>
      </c>
      <c r="N74">
        <v>1</v>
      </c>
      <c r="O74">
        <v>4</v>
      </c>
      <c r="P74">
        <v>582</v>
      </c>
      <c r="Q74">
        <v>344</v>
      </c>
      <c r="R74">
        <v>490</v>
      </c>
      <c r="S74">
        <v>4578.2299999999996</v>
      </c>
      <c r="U74" t="s">
        <v>374</v>
      </c>
      <c r="V74">
        <v>696</v>
      </c>
      <c r="W74">
        <v>1</v>
      </c>
      <c r="X74">
        <v>4</v>
      </c>
      <c r="Y74">
        <v>0</v>
      </c>
      <c r="Z74">
        <v>344</v>
      </c>
      <c r="AA74">
        <v>5.19</v>
      </c>
      <c r="AB74">
        <v>300</v>
      </c>
      <c r="AC74">
        <v>5806.12</v>
      </c>
      <c r="AE74" t="s">
        <v>383</v>
      </c>
      <c r="AF74">
        <v>241</v>
      </c>
      <c r="AG74">
        <v>1</v>
      </c>
      <c r="AH74">
        <v>18307.54</v>
      </c>
      <c r="AI74">
        <v>18166.97</v>
      </c>
      <c r="AJ74">
        <v>19786.87</v>
      </c>
      <c r="AL74" t="s">
        <v>383</v>
      </c>
      <c r="AM74">
        <v>241</v>
      </c>
      <c r="AN74">
        <v>1</v>
      </c>
      <c r="AO74">
        <v>0</v>
      </c>
      <c r="AP74" t="s">
        <v>88</v>
      </c>
      <c r="AQ74" t="s">
        <v>404</v>
      </c>
    </row>
    <row r="75" spans="1:43" x14ac:dyDescent="0.2">
      <c r="A75" t="s">
        <v>374</v>
      </c>
      <c r="B75">
        <v>241</v>
      </c>
      <c r="C75">
        <v>1</v>
      </c>
      <c r="D75">
        <v>51935.97</v>
      </c>
      <c r="E75">
        <v>51935.97</v>
      </c>
      <c r="F75" t="s">
        <v>383</v>
      </c>
      <c r="G75">
        <v>242</v>
      </c>
      <c r="H75">
        <v>1</v>
      </c>
      <c r="I75">
        <v>3806.32</v>
      </c>
      <c r="J75">
        <v>3806.32</v>
      </c>
      <c r="L75" t="s">
        <v>374</v>
      </c>
      <c r="M75">
        <v>213</v>
      </c>
      <c r="N75">
        <v>1</v>
      </c>
      <c r="O75">
        <v>4</v>
      </c>
      <c r="P75">
        <v>582</v>
      </c>
      <c r="Q75">
        <v>344</v>
      </c>
      <c r="R75">
        <v>490</v>
      </c>
      <c r="S75">
        <v>208.94</v>
      </c>
      <c r="U75" t="s">
        <v>374</v>
      </c>
      <c r="V75">
        <v>720</v>
      </c>
      <c r="W75">
        <v>1</v>
      </c>
      <c r="X75">
        <v>4</v>
      </c>
      <c r="Y75">
        <v>0</v>
      </c>
      <c r="Z75">
        <v>344</v>
      </c>
      <c r="AA75">
        <v>5.19</v>
      </c>
      <c r="AB75">
        <v>300</v>
      </c>
      <c r="AC75">
        <v>83962.04</v>
      </c>
      <c r="AE75" t="s">
        <v>383</v>
      </c>
      <c r="AF75">
        <v>242</v>
      </c>
      <c r="AG75">
        <v>1</v>
      </c>
      <c r="AH75">
        <v>-12151.46</v>
      </c>
      <c r="AI75">
        <v>-22542.23</v>
      </c>
      <c r="AJ75">
        <v>-32425.73</v>
      </c>
      <c r="AL75" t="s">
        <v>383</v>
      </c>
      <c r="AM75">
        <v>242</v>
      </c>
      <c r="AN75">
        <v>1</v>
      </c>
      <c r="AO75">
        <v>0</v>
      </c>
      <c r="AP75" t="s">
        <v>89</v>
      </c>
      <c r="AQ75" t="s">
        <v>404</v>
      </c>
    </row>
    <row r="76" spans="1:43" x14ac:dyDescent="0.2">
      <c r="A76" t="s">
        <v>374</v>
      </c>
      <c r="B76">
        <v>242</v>
      </c>
      <c r="C76">
        <v>1</v>
      </c>
      <c r="D76">
        <v>4373.46</v>
      </c>
      <c r="E76">
        <v>4373.46</v>
      </c>
      <c r="F76" t="s">
        <v>383</v>
      </c>
      <c r="G76">
        <v>252</v>
      </c>
      <c r="H76">
        <v>1</v>
      </c>
      <c r="I76">
        <v>10612.01</v>
      </c>
      <c r="J76">
        <v>10549.77</v>
      </c>
      <c r="L76" t="s">
        <v>374</v>
      </c>
      <c r="M76">
        <v>238</v>
      </c>
      <c r="N76">
        <v>1</v>
      </c>
      <c r="O76">
        <v>4</v>
      </c>
      <c r="P76">
        <v>582</v>
      </c>
      <c r="Q76">
        <v>344</v>
      </c>
      <c r="R76">
        <v>490</v>
      </c>
      <c r="S76">
        <v>565.49</v>
      </c>
      <c r="U76" t="s">
        <v>374</v>
      </c>
      <c r="V76">
        <v>721</v>
      </c>
      <c r="W76">
        <v>1</v>
      </c>
      <c r="X76">
        <v>4</v>
      </c>
      <c r="Y76">
        <v>0</v>
      </c>
      <c r="Z76">
        <v>344</v>
      </c>
      <c r="AA76">
        <v>5.0199999999999996</v>
      </c>
      <c r="AB76">
        <v>300</v>
      </c>
      <c r="AC76">
        <v>31441.72</v>
      </c>
      <c r="AE76" t="s">
        <v>383</v>
      </c>
      <c r="AF76">
        <v>252</v>
      </c>
      <c r="AG76">
        <v>1</v>
      </c>
      <c r="AH76">
        <v>3311.11</v>
      </c>
      <c r="AI76">
        <v>2169.12</v>
      </c>
      <c r="AJ76">
        <v>2569.15</v>
      </c>
      <c r="AL76" t="s">
        <v>383</v>
      </c>
      <c r="AM76">
        <v>252</v>
      </c>
      <c r="AN76">
        <v>1</v>
      </c>
      <c r="AO76">
        <v>0</v>
      </c>
      <c r="AP76" t="s">
        <v>90</v>
      </c>
      <c r="AQ76" t="s">
        <v>404</v>
      </c>
    </row>
    <row r="77" spans="1:43" x14ac:dyDescent="0.2">
      <c r="A77" t="s">
        <v>374</v>
      </c>
      <c r="B77">
        <v>252</v>
      </c>
      <c r="C77">
        <v>1</v>
      </c>
      <c r="D77">
        <v>10483.549999999999</v>
      </c>
      <c r="E77">
        <v>10483.549999999999</v>
      </c>
      <c r="F77" t="s">
        <v>383</v>
      </c>
      <c r="G77">
        <v>253</v>
      </c>
      <c r="H77">
        <v>1</v>
      </c>
      <c r="I77">
        <v>7069.53</v>
      </c>
      <c r="J77">
        <v>7069.53</v>
      </c>
      <c r="L77" t="s">
        <v>374</v>
      </c>
      <c r="M77">
        <v>241</v>
      </c>
      <c r="N77">
        <v>1</v>
      </c>
      <c r="O77">
        <v>4</v>
      </c>
      <c r="P77">
        <v>582</v>
      </c>
      <c r="Q77">
        <v>344</v>
      </c>
      <c r="R77">
        <v>490</v>
      </c>
      <c r="S77">
        <v>482.72</v>
      </c>
      <c r="U77" t="s">
        <v>374</v>
      </c>
      <c r="V77">
        <v>726</v>
      </c>
      <c r="W77">
        <v>1</v>
      </c>
      <c r="X77">
        <v>4</v>
      </c>
      <c r="Y77">
        <v>0</v>
      </c>
      <c r="Z77">
        <v>344</v>
      </c>
      <c r="AA77">
        <v>5.19</v>
      </c>
      <c r="AB77">
        <v>300</v>
      </c>
      <c r="AC77">
        <v>24966.99</v>
      </c>
      <c r="AE77" t="s">
        <v>383</v>
      </c>
      <c r="AF77">
        <v>253</v>
      </c>
      <c r="AG77">
        <v>1</v>
      </c>
      <c r="AH77">
        <v>-1448.97</v>
      </c>
      <c r="AI77">
        <v>2566.5700000000002</v>
      </c>
      <c r="AJ77">
        <v>1802.53</v>
      </c>
      <c r="AL77" t="s">
        <v>383</v>
      </c>
      <c r="AM77">
        <v>253</v>
      </c>
      <c r="AN77">
        <v>1</v>
      </c>
      <c r="AO77">
        <v>0</v>
      </c>
      <c r="AP77" t="s">
        <v>91</v>
      </c>
      <c r="AQ77" t="s">
        <v>404</v>
      </c>
    </row>
    <row r="78" spans="1:43" x14ac:dyDescent="0.2">
      <c r="A78" t="s">
        <v>374</v>
      </c>
      <c r="B78">
        <v>253</v>
      </c>
      <c r="C78">
        <v>1</v>
      </c>
      <c r="D78">
        <v>6647.95</v>
      </c>
      <c r="E78">
        <v>6647.95</v>
      </c>
      <c r="F78" t="s">
        <v>383</v>
      </c>
      <c r="G78">
        <v>255</v>
      </c>
      <c r="H78">
        <v>1</v>
      </c>
      <c r="I78">
        <v>13401.89</v>
      </c>
      <c r="J78">
        <v>13401.89</v>
      </c>
      <c r="L78" t="s">
        <v>374</v>
      </c>
      <c r="M78">
        <v>270</v>
      </c>
      <c r="N78">
        <v>1</v>
      </c>
      <c r="O78">
        <v>4</v>
      </c>
      <c r="P78">
        <v>582</v>
      </c>
      <c r="Q78">
        <v>344</v>
      </c>
      <c r="R78">
        <v>490</v>
      </c>
      <c r="S78">
        <v>261.04000000000002</v>
      </c>
      <c r="U78" t="s">
        <v>374</v>
      </c>
      <c r="V78">
        <v>738</v>
      </c>
      <c r="W78">
        <v>1</v>
      </c>
      <c r="X78">
        <v>4</v>
      </c>
      <c r="Y78">
        <v>0</v>
      </c>
      <c r="Z78">
        <v>344</v>
      </c>
      <c r="AA78">
        <v>5.19</v>
      </c>
      <c r="AB78">
        <v>300</v>
      </c>
      <c r="AC78">
        <v>9278.0499999999993</v>
      </c>
      <c r="AE78" t="s">
        <v>383</v>
      </c>
      <c r="AF78">
        <v>255</v>
      </c>
      <c r="AG78">
        <v>1</v>
      </c>
      <c r="AH78">
        <v>10525.58</v>
      </c>
      <c r="AI78">
        <v>1579.18</v>
      </c>
      <c r="AJ78">
        <v>4850.92</v>
      </c>
      <c r="AL78" t="s">
        <v>383</v>
      </c>
      <c r="AM78">
        <v>255</v>
      </c>
      <c r="AN78">
        <v>1</v>
      </c>
      <c r="AO78">
        <v>0</v>
      </c>
      <c r="AP78" t="s">
        <v>92</v>
      </c>
      <c r="AQ78" t="s">
        <v>404</v>
      </c>
    </row>
    <row r="79" spans="1:43" x14ac:dyDescent="0.2">
      <c r="A79" t="s">
        <v>374</v>
      </c>
      <c r="B79">
        <v>255</v>
      </c>
      <c r="C79">
        <v>1</v>
      </c>
      <c r="D79">
        <v>12923.35</v>
      </c>
      <c r="E79">
        <v>12514.02</v>
      </c>
      <c r="F79" t="s">
        <v>383</v>
      </c>
      <c r="G79">
        <v>256</v>
      </c>
      <c r="H79">
        <v>1</v>
      </c>
      <c r="I79">
        <v>31445.66</v>
      </c>
      <c r="J79">
        <v>31445.66</v>
      </c>
      <c r="L79" t="s">
        <v>374</v>
      </c>
      <c r="M79">
        <v>271</v>
      </c>
      <c r="N79">
        <v>1</v>
      </c>
      <c r="O79">
        <v>4</v>
      </c>
      <c r="P79">
        <v>582</v>
      </c>
      <c r="Q79">
        <v>344</v>
      </c>
      <c r="R79">
        <v>490</v>
      </c>
      <c r="S79">
        <v>1400.55</v>
      </c>
      <c r="U79" t="s">
        <v>374</v>
      </c>
      <c r="V79">
        <v>769</v>
      </c>
      <c r="W79">
        <v>1</v>
      </c>
      <c r="X79">
        <v>4</v>
      </c>
      <c r="Y79">
        <v>0</v>
      </c>
      <c r="Z79">
        <v>344</v>
      </c>
      <c r="AA79">
        <v>5.19</v>
      </c>
      <c r="AB79">
        <v>300</v>
      </c>
      <c r="AC79">
        <v>10882.93</v>
      </c>
      <c r="AE79" t="s">
        <v>383</v>
      </c>
      <c r="AF79">
        <v>256</v>
      </c>
      <c r="AG79">
        <v>1</v>
      </c>
      <c r="AH79">
        <v>-9762.8799999999992</v>
      </c>
      <c r="AI79">
        <v>3625.78</v>
      </c>
      <c r="AJ79">
        <v>6816.4</v>
      </c>
      <c r="AL79" t="s">
        <v>383</v>
      </c>
      <c r="AM79">
        <v>256</v>
      </c>
      <c r="AN79">
        <v>1</v>
      </c>
      <c r="AO79">
        <v>0</v>
      </c>
      <c r="AP79" t="s">
        <v>93</v>
      </c>
      <c r="AQ79" t="s">
        <v>404</v>
      </c>
    </row>
    <row r="80" spans="1:43" x14ac:dyDescent="0.2">
      <c r="A80" t="s">
        <v>374</v>
      </c>
      <c r="B80">
        <v>256</v>
      </c>
      <c r="C80">
        <v>1</v>
      </c>
      <c r="D80">
        <v>28817.09</v>
      </c>
      <c r="E80">
        <v>28817.09</v>
      </c>
      <c r="F80" t="s">
        <v>383</v>
      </c>
      <c r="G80">
        <v>261</v>
      </c>
      <c r="H80">
        <v>1</v>
      </c>
      <c r="I80">
        <v>2997.22</v>
      </c>
      <c r="J80">
        <v>2997.22</v>
      </c>
      <c r="L80" t="s">
        <v>374</v>
      </c>
      <c r="M80">
        <v>272</v>
      </c>
      <c r="N80">
        <v>1</v>
      </c>
      <c r="O80">
        <v>4</v>
      </c>
      <c r="P80">
        <v>582</v>
      </c>
      <c r="Q80">
        <v>344</v>
      </c>
      <c r="R80">
        <v>490</v>
      </c>
      <c r="S80">
        <v>2453.56</v>
      </c>
      <c r="U80" t="s">
        <v>374</v>
      </c>
      <c r="V80">
        <v>786</v>
      </c>
      <c r="W80">
        <v>1</v>
      </c>
      <c r="X80">
        <v>4</v>
      </c>
      <c r="Y80">
        <v>0</v>
      </c>
      <c r="Z80">
        <v>344</v>
      </c>
      <c r="AA80">
        <v>5.19</v>
      </c>
      <c r="AB80">
        <v>300</v>
      </c>
      <c r="AC80">
        <v>7348.17</v>
      </c>
      <c r="AE80" t="s">
        <v>383</v>
      </c>
      <c r="AF80">
        <v>261</v>
      </c>
      <c r="AG80">
        <v>1</v>
      </c>
      <c r="AH80">
        <v>-3561.01</v>
      </c>
      <c r="AI80">
        <v>-3408.02</v>
      </c>
      <c r="AJ80">
        <v>-6308.82</v>
      </c>
      <c r="AL80" t="s">
        <v>383</v>
      </c>
      <c r="AM80">
        <v>261</v>
      </c>
      <c r="AN80">
        <v>1</v>
      </c>
      <c r="AO80">
        <v>0</v>
      </c>
      <c r="AP80" t="s">
        <v>94</v>
      </c>
      <c r="AQ80" t="s">
        <v>404</v>
      </c>
    </row>
    <row r="81" spans="1:43" x14ac:dyDescent="0.2">
      <c r="A81" t="s">
        <v>374</v>
      </c>
      <c r="B81">
        <v>261</v>
      </c>
      <c r="C81">
        <v>1</v>
      </c>
      <c r="D81">
        <v>3679.24</v>
      </c>
      <c r="E81">
        <v>3679.24</v>
      </c>
      <c r="F81" t="s">
        <v>383</v>
      </c>
      <c r="G81">
        <v>264</v>
      </c>
      <c r="H81">
        <v>1</v>
      </c>
      <c r="I81">
        <v>1904.17</v>
      </c>
      <c r="J81">
        <v>1904.17</v>
      </c>
      <c r="L81" t="s">
        <v>374</v>
      </c>
      <c r="M81">
        <v>277</v>
      </c>
      <c r="N81">
        <v>1</v>
      </c>
      <c r="O81">
        <v>4</v>
      </c>
      <c r="P81">
        <v>582</v>
      </c>
      <c r="Q81">
        <v>344</v>
      </c>
      <c r="R81">
        <v>490</v>
      </c>
      <c r="S81">
        <v>2583.5700000000002</v>
      </c>
      <c r="U81" t="s">
        <v>374</v>
      </c>
      <c r="V81">
        <v>787</v>
      </c>
      <c r="W81">
        <v>1</v>
      </c>
      <c r="X81">
        <v>4</v>
      </c>
      <c r="Y81">
        <v>0</v>
      </c>
      <c r="Z81">
        <v>344</v>
      </c>
      <c r="AA81">
        <v>5.19</v>
      </c>
      <c r="AB81">
        <v>300</v>
      </c>
      <c r="AC81">
        <v>7715.68</v>
      </c>
      <c r="AE81" t="s">
        <v>383</v>
      </c>
      <c r="AF81">
        <v>264</v>
      </c>
      <c r="AG81">
        <v>1</v>
      </c>
      <c r="AH81">
        <v>968.11</v>
      </c>
      <c r="AI81">
        <v>1846.11</v>
      </c>
      <c r="AJ81">
        <v>1728.82</v>
      </c>
      <c r="AL81" t="s">
        <v>383</v>
      </c>
      <c r="AM81">
        <v>264</v>
      </c>
      <c r="AN81">
        <v>1</v>
      </c>
      <c r="AO81">
        <v>0</v>
      </c>
      <c r="AP81" t="s">
        <v>95</v>
      </c>
      <c r="AQ81" t="s">
        <v>404</v>
      </c>
    </row>
    <row r="82" spans="1:43" x14ac:dyDescent="0.2">
      <c r="A82" t="s">
        <v>374</v>
      </c>
      <c r="B82">
        <v>264</v>
      </c>
      <c r="C82">
        <v>1</v>
      </c>
      <c r="D82">
        <v>2071.7800000000002</v>
      </c>
      <c r="E82">
        <v>2071.7800000000002</v>
      </c>
      <c r="F82" t="s">
        <v>383</v>
      </c>
      <c r="G82">
        <v>270</v>
      </c>
      <c r="H82">
        <v>1</v>
      </c>
      <c r="I82">
        <v>87696.84</v>
      </c>
      <c r="J82">
        <v>87696.84</v>
      </c>
      <c r="L82" t="s">
        <v>374</v>
      </c>
      <c r="M82">
        <v>281</v>
      </c>
      <c r="N82">
        <v>1</v>
      </c>
      <c r="O82">
        <v>4</v>
      </c>
      <c r="P82">
        <v>582</v>
      </c>
      <c r="Q82">
        <v>344</v>
      </c>
      <c r="R82">
        <v>490</v>
      </c>
      <c r="S82">
        <v>186.24</v>
      </c>
      <c r="U82" t="s">
        <v>374</v>
      </c>
      <c r="V82">
        <v>801</v>
      </c>
      <c r="W82">
        <v>1</v>
      </c>
      <c r="X82">
        <v>4</v>
      </c>
      <c r="Y82">
        <v>0</v>
      </c>
      <c r="Z82">
        <v>344</v>
      </c>
      <c r="AA82">
        <v>5.19</v>
      </c>
      <c r="AB82">
        <v>300</v>
      </c>
      <c r="AC82">
        <v>1185.8800000000001</v>
      </c>
      <c r="AE82" t="s">
        <v>383</v>
      </c>
      <c r="AF82">
        <v>270</v>
      </c>
      <c r="AG82">
        <v>1</v>
      </c>
      <c r="AH82">
        <v>-12045</v>
      </c>
      <c r="AI82">
        <v>4951.78</v>
      </c>
      <c r="AJ82">
        <v>28508</v>
      </c>
      <c r="AL82" t="s">
        <v>383</v>
      </c>
      <c r="AM82">
        <v>270</v>
      </c>
      <c r="AN82">
        <v>1</v>
      </c>
      <c r="AO82">
        <v>0</v>
      </c>
      <c r="AP82" t="s">
        <v>96</v>
      </c>
      <c r="AQ82" t="s">
        <v>404</v>
      </c>
    </row>
    <row r="83" spans="1:43" x14ac:dyDescent="0.2">
      <c r="A83" t="s">
        <v>374</v>
      </c>
      <c r="B83">
        <v>270</v>
      </c>
      <c r="C83">
        <v>1</v>
      </c>
      <c r="D83">
        <v>90388.14</v>
      </c>
      <c r="E83">
        <v>90388.14</v>
      </c>
      <c r="F83" t="s">
        <v>383</v>
      </c>
      <c r="G83">
        <v>271</v>
      </c>
      <c r="H83">
        <v>1</v>
      </c>
      <c r="I83">
        <v>133211.65</v>
      </c>
      <c r="J83">
        <v>133211.65</v>
      </c>
      <c r="L83" t="s">
        <v>374</v>
      </c>
      <c r="M83">
        <v>283</v>
      </c>
      <c r="N83">
        <v>1</v>
      </c>
      <c r="O83">
        <v>4</v>
      </c>
      <c r="P83">
        <v>582</v>
      </c>
      <c r="Q83">
        <v>344</v>
      </c>
      <c r="R83">
        <v>490</v>
      </c>
      <c r="S83">
        <v>120.17</v>
      </c>
      <c r="U83" t="s">
        <v>374</v>
      </c>
      <c r="V83">
        <v>813</v>
      </c>
      <c r="W83">
        <v>1</v>
      </c>
      <c r="X83">
        <v>4</v>
      </c>
      <c r="Y83">
        <v>0</v>
      </c>
      <c r="Z83">
        <v>344</v>
      </c>
      <c r="AA83">
        <v>5.19</v>
      </c>
      <c r="AB83">
        <v>300</v>
      </c>
      <c r="AC83">
        <v>12875.35</v>
      </c>
      <c r="AE83" t="s">
        <v>383</v>
      </c>
      <c r="AF83">
        <v>271</v>
      </c>
      <c r="AG83">
        <v>1</v>
      </c>
      <c r="AH83">
        <v>15866.8</v>
      </c>
      <c r="AI83">
        <v>8702.5400000000009</v>
      </c>
      <c r="AJ83">
        <v>59930.239999999998</v>
      </c>
      <c r="AL83" t="s">
        <v>383</v>
      </c>
      <c r="AM83">
        <v>271</v>
      </c>
      <c r="AN83">
        <v>1</v>
      </c>
      <c r="AO83">
        <v>0</v>
      </c>
      <c r="AP83" t="s">
        <v>97</v>
      </c>
      <c r="AQ83" t="s">
        <v>404</v>
      </c>
    </row>
    <row r="84" spans="1:43" x14ac:dyDescent="0.2">
      <c r="A84" t="s">
        <v>374</v>
      </c>
      <c r="B84">
        <v>271</v>
      </c>
      <c r="C84">
        <v>1</v>
      </c>
      <c r="D84">
        <v>127304.09</v>
      </c>
      <c r="E84">
        <v>127304.09</v>
      </c>
      <c r="F84" t="s">
        <v>383</v>
      </c>
      <c r="G84">
        <v>272</v>
      </c>
      <c r="H84">
        <v>1</v>
      </c>
      <c r="I84">
        <v>91564.31</v>
      </c>
      <c r="J84">
        <v>91564.31</v>
      </c>
      <c r="L84" t="s">
        <v>374</v>
      </c>
      <c r="M84">
        <v>284</v>
      </c>
      <c r="N84">
        <v>1</v>
      </c>
      <c r="O84">
        <v>4</v>
      </c>
      <c r="P84">
        <v>582</v>
      </c>
      <c r="Q84">
        <v>344</v>
      </c>
      <c r="R84">
        <v>490</v>
      </c>
      <c r="S84">
        <v>77.319999999999993</v>
      </c>
      <c r="U84" t="s">
        <v>374</v>
      </c>
      <c r="V84">
        <v>820</v>
      </c>
      <c r="W84">
        <v>1</v>
      </c>
      <c r="X84">
        <v>4</v>
      </c>
      <c r="Y84">
        <v>0</v>
      </c>
      <c r="Z84">
        <v>344</v>
      </c>
      <c r="AA84">
        <v>5.19</v>
      </c>
      <c r="AB84">
        <v>300</v>
      </c>
      <c r="AC84">
        <v>8341.16</v>
      </c>
      <c r="AE84" t="s">
        <v>383</v>
      </c>
      <c r="AF84">
        <v>272</v>
      </c>
      <c r="AG84">
        <v>1</v>
      </c>
      <c r="AH84">
        <v>27366.400000000001</v>
      </c>
      <c r="AI84">
        <v>4339.7700000000004</v>
      </c>
      <c r="AJ84">
        <v>-25455.77</v>
      </c>
      <c r="AL84" t="s">
        <v>383</v>
      </c>
      <c r="AM84">
        <v>272</v>
      </c>
      <c r="AN84">
        <v>1</v>
      </c>
      <c r="AO84">
        <v>0</v>
      </c>
      <c r="AP84" t="s">
        <v>98</v>
      </c>
      <c r="AQ84" t="s">
        <v>404</v>
      </c>
    </row>
    <row r="85" spans="1:43" x14ac:dyDescent="0.2">
      <c r="A85" t="s">
        <v>374</v>
      </c>
      <c r="B85">
        <v>272</v>
      </c>
      <c r="C85">
        <v>1</v>
      </c>
      <c r="D85">
        <v>88598.45</v>
      </c>
      <c r="E85">
        <v>88598.45</v>
      </c>
      <c r="F85" t="s">
        <v>383</v>
      </c>
      <c r="G85">
        <v>273</v>
      </c>
      <c r="H85">
        <v>1</v>
      </c>
      <c r="I85">
        <v>49318.59</v>
      </c>
      <c r="J85">
        <v>49318.59</v>
      </c>
      <c r="L85" t="s">
        <v>374</v>
      </c>
      <c r="M85">
        <v>286</v>
      </c>
      <c r="N85">
        <v>1</v>
      </c>
      <c r="O85">
        <v>4</v>
      </c>
      <c r="P85">
        <v>582</v>
      </c>
      <c r="Q85">
        <v>344</v>
      </c>
      <c r="R85">
        <v>490</v>
      </c>
      <c r="S85">
        <v>605.76</v>
      </c>
      <c r="U85" t="s">
        <v>374</v>
      </c>
      <c r="V85">
        <v>833</v>
      </c>
      <c r="W85">
        <v>1</v>
      </c>
      <c r="X85">
        <v>4</v>
      </c>
      <c r="Y85">
        <v>0</v>
      </c>
      <c r="Z85">
        <v>344</v>
      </c>
      <c r="AA85">
        <v>5.19</v>
      </c>
      <c r="AB85">
        <v>300</v>
      </c>
      <c r="AC85">
        <v>152608.23000000001</v>
      </c>
      <c r="AE85" t="s">
        <v>383</v>
      </c>
      <c r="AF85">
        <v>273</v>
      </c>
      <c r="AG85">
        <v>1</v>
      </c>
      <c r="AH85">
        <v>-4227.34</v>
      </c>
      <c r="AI85">
        <v>6005.83</v>
      </c>
      <c r="AJ85">
        <v>6619.42</v>
      </c>
      <c r="AL85" t="s">
        <v>383</v>
      </c>
      <c r="AM85">
        <v>273</v>
      </c>
      <c r="AN85">
        <v>1</v>
      </c>
      <c r="AO85">
        <v>0</v>
      </c>
      <c r="AP85" t="s">
        <v>99</v>
      </c>
      <c r="AQ85" t="s">
        <v>404</v>
      </c>
    </row>
    <row r="86" spans="1:43" x14ac:dyDescent="0.2">
      <c r="A86" t="s">
        <v>374</v>
      </c>
      <c r="B86">
        <v>273</v>
      </c>
      <c r="C86">
        <v>1</v>
      </c>
      <c r="D86">
        <v>50411</v>
      </c>
      <c r="E86">
        <v>50411</v>
      </c>
      <c r="F86" t="s">
        <v>383</v>
      </c>
      <c r="G86">
        <v>276</v>
      </c>
      <c r="H86">
        <v>1</v>
      </c>
      <c r="I86">
        <v>50922.89</v>
      </c>
      <c r="J86">
        <v>50922.89</v>
      </c>
      <c r="L86" t="s">
        <v>374</v>
      </c>
      <c r="M86">
        <v>297</v>
      </c>
      <c r="N86">
        <v>1</v>
      </c>
      <c r="O86">
        <v>4</v>
      </c>
      <c r="P86">
        <v>582</v>
      </c>
      <c r="Q86">
        <v>344</v>
      </c>
      <c r="R86">
        <v>490</v>
      </c>
      <c r="S86">
        <v>52.65</v>
      </c>
      <c r="U86" t="s">
        <v>374</v>
      </c>
      <c r="V86">
        <v>852</v>
      </c>
      <c r="W86">
        <v>1</v>
      </c>
      <c r="X86">
        <v>4</v>
      </c>
      <c r="Y86">
        <v>0</v>
      </c>
      <c r="Z86">
        <v>344</v>
      </c>
      <c r="AA86">
        <v>5.19</v>
      </c>
      <c r="AB86">
        <v>300</v>
      </c>
      <c r="AC86">
        <v>2168.35</v>
      </c>
      <c r="AE86" t="s">
        <v>383</v>
      </c>
      <c r="AF86">
        <v>276</v>
      </c>
      <c r="AG86">
        <v>1</v>
      </c>
      <c r="AH86">
        <v>6439.78</v>
      </c>
      <c r="AI86">
        <v>13129.67</v>
      </c>
      <c r="AJ86">
        <v>13772.14</v>
      </c>
      <c r="AL86" t="s">
        <v>383</v>
      </c>
      <c r="AM86">
        <v>276</v>
      </c>
      <c r="AN86">
        <v>1</v>
      </c>
      <c r="AO86">
        <v>0</v>
      </c>
      <c r="AP86" t="s">
        <v>100</v>
      </c>
      <c r="AQ86" t="s">
        <v>404</v>
      </c>
    </row>
    <row r="87" spans="1:43" x14ac:dyDescent="0.2">
      <c r="A87" t="s">
        <v>374</v>
      </c>
      <c r="B87">
        <v>276</v>
      </c>
      <c r="C87">
        <v>1</v>
      </c>
      <c r="D87">
        <v>52158.79</v>
      </c>
      <c r="E87">
        <v>52158.79</v>
      </c>
      <c r="F87" t="s">
        <v>383</v>
      </c>
      <c r="G87">
        <v>277</v>
      </c>
      <c r="H87">
        <v>1</v>
      </c>
      <c r="I87">
        <v>27000.82</v>
      </c>
      <c r="J87">
        <v>27000.82</v>
      </c>
      <c r="L87" t="s">
        <v>374</v>
      </c>
      <c r="M87">
        <v>314</v>
      </c>
      <c r="N87">
        <v>1</v>
      </c>
      <c r="O87">
        <v>4</v>
      </c>
      <c r="P87">
        <v>582</v>
      </c>
      <c r="Q87">
        <v>344</v>
      </c>
      <c r="R87">
        <v>490</v>
      </c>
      <c r="S87">
        <v>76.42</v>
      </c>
      <c r="U87" t="s">
        <v>374</v>
      </c>
      <c r="V87">
        <v>885</v>
      </c>
      <c r="W87">
        <v>1</v>
      </c>
      <c r="X87">
        <v>4</v>
      </c>
      <c r="Y87">
        <v>0</v>
      </c>
      <c r="Z87">
        <v>344</v>
      </c>
      <c r="AA87">
        <v>5.19</v>
      </c>
      <c r="AB87">
        <v>300</v>
      </c>
      <c r="AC87">
        <v>44328.11</v>
      </c>
      <c r="AE87" t="s">
        <v>383</v>
      </c>
      <c r="AF87">
        <v>277</v>
      </c>
      <c r="AG87">
        <v>1</v>
      </c>
      <c r="AH87">
        <v>52430.29</v>
      </c>
      <c r="AI87">
        <v>75106.7</v>
      </c>
      <c r="AJ87">
        <v>83133.5</v>
      </c>
      <c r="AL87" t="s">
        <v>383</v>
      </c>
      <c r="AM87">
        <v>277</v>
      </c>
      <c r="AN87">
        <v>1</v>
      </c>
      <c r="AO87">
        <v>0</v>
      </c>
      <c r="AP87" t="s">
        <v>101</v>
      </c>
      <c r="AQ87" t="s">
        <v>404</v>
      </c>
    </row>
    <row r="88" spans="1:43" x14ac:dyDescent="0.2">
      <c r="A88" t="s">
        <v>374</v>
      </c>
      <c r="B88">
        <v>277</v>
      </c>
      <c r="C88">
        <v>1</v>
      </c>
      <c r="D88">
        <v>25577.73</v>
      </c>
      <c r="E88">
        <v>25577.73</v>
      </c>
      <c r="F88" t="s">
        <v>383</v>
      </c>
      <c r="G88">
        <v>278</v>
      </c>
      <c r="H88">
        <v>1</v>
      </c>
      <c r="I88">
        <v>15760.95</v>
      </c>
      <c r="J88">
        <v>15760.95</v>
      </c>
      <c r="L88" t="s">
        <v>374</v>
      </c>
      <c r="M88">
        <v>316</v>
      </c>
      <c r="N88">
        <v>1</v>
      </c>
      <c r="O88">
        <v>4</v>
      </c>
      <c r="P88">
        <v>582</v>
      </c>
      <c r="Q88">
        <v>344</v>
      </c>
      <c r="R88">
        <v>490</v>
      </c>
      <c r="S88">
        <v>1300</v>
      </c>
      <c r="U88" t="s">
        <v>374</v>
      </c>
      <c r="V88">
        <v>2137</v>
      </c>
      <c r="W88">
        <v>1</v>
      </c>
      <c r="X88">
        <v>4</v>
      </c>
      <c r="Y88">
        <v>0</v>
      </c>
      <c r="Z88">
        <v>344</v>
      </c>
      <c r="AA88">
        <v>5.19</v>
      </c>
      <c r="AB88">
        <v>300</v>
      </c>
      <c r="AC88">
        <v>7766.57</v>
      </c>
      <c r="AE88" t="s">
        <v>383</v>
      </c>
      <c r="AF88">
        <v>278</v>
      </c>
      <c r="AG88">
        <v>1</v>
      </c>
      <c r="AH88">
        <v>27962.27</v>
      </c>
      <c r="AI88">
        <v>15809.22</v>
      </c>
      <c r="AJ88">
        <v>8537.11</v>
      </c>
      <c r="AL88" t="s">
        <v>383</v>
      </c>
      <c r="AM88">
        <v>278</v>
      </c>
      <c r="AN88">
        <v>1</v>
      </c>
      <c r="AO88">
        <v>0</v>
      </c>
      <c r="AP88" t="s">
        <v>102</v>
      </c>
      <c r="AQ88" t="s">
        <v>404</v>
      </c>
    </row>
    <row r="89" spans="1:43" x14ac:dyDescent="0.2">
      <c r="A89" t="s">
        <v>374</v>
      </c>
      <c r="B89">
        <v>278</v>
      </c>
      <c r="C89">
        <v>1</v>
      </c>
      <c r="D89">
        <v>15108.27</v>
      </c>
      <c r="E89">
        <v>15108.27</v>
      </c>
      <c r="F89" t="s">
        <v>383</v>
      </c>
      <c r="G89">
        <v>279</v>
      </c>
      <c r="H89">
        <v>1</v>
      </c>
      <c r="I89">
        <v>269132.61</v>
      </c>
      <c r="J89">
        <v>269132.61</v>
      </c>
      <c r="L89" t="s">
        <v>374</v>
      </c>
      <c r="M89">
        <v>317</v>
      </c>
      <c r="N89">
        <v>1</v>
      </c>
      <c r="O89">
        <v>4</v>
      </c>
      <c r="P89">
        <v>582</v>
      </c>
      <c r="Q89">
        <v>344</v>
      </c>
      <c r="R89">
        <v>490</v>
      </c>
      <c r="S89">
        <v>2813.2</v>
      </c>
      <c r="U89" t="s">
        <v>374</v>
      </c>
      <c r="V89">
        <v>2165</v>
      </c>
      <c r="W89">
        <v>1</v>
      </c>
      <c r="X89">
        <v>4</v>
      </c>
      <c r="Y89">
        <v>0</v>
      </c>
      <c r="Z89">
        <v>344</v>
      </c>
      <c r="AA89">
        <v>5.05</v>
      </c>
      <c r="AB89">
        <v>300</v>
      </c>
      <c r="AC89">
        <v>16022.29</v>
      </c>
      <c r="AE89" t="s">
        <v>383</v>
      </c>
      <c r="AF89">
        <v>279</v>
      </c>
      <c r="AG89">
        <v>1</v>
      </c>
      <c r="AH89">
        <v>0</v>
      </c>
      <c r="AI89">
        <v>56126.61</v>
      </c>
      <c r="AJ89">
        <v>71411.42</v>
      </c>
      <c r="AL89" t="s">
        <v>383</v>
      </c>
      <c r="AM89">
        <v>279</v>
      </c>
      <c r="AN89">
        <v>1</v>
      </c>
      <c r="AO89">
        <v>0</v>
      </c>
      <c r="AP89" t="s">
        <v>103</v>
      </c>
      <c r="AQ89" t="s">
        <v>404</v>
      </c>
    </row>
    <row r="90" spans="1:43" x14ac:dyDescent="0.2">
      <c r="A90" t="s">
        <v>374</v>
      </c>
      <c r="B90">
        <v>279</v>
      </c>
      <c r="C90">
        <v>1</v>
      </c>
      <c r="D90">
        <v>271293.33</v>
      </c>
      <c r="E90">
        <v>271293.33</v>
      </c>
      <c r="F90" t="s">
        <v>383</v>
      </c>
      <c r="G90">
        <v>280</v>
      </c>
      <c r="H90">
        <v>1</v>
      </c>
      <c r="I90">
        <v>70669.399999999994</v>
      </c>
      <c r="J90">
        <v>70669.399999999994</v>
      </c>
      <c r="L90" t="s">
        <v>374</v>
      </c>
      <c r="M90">
        <v>318</v>
      </c>
      <c r="N90">
        <v>1</v>
      </c>
      <c r="O90">
        <v>4</v>
      </c>
      <c r="P90">
        <v>582</v>
      </c>
      <c r="Q90">
        <v>344</v>
      </c>
      <c r="R90">
        <v>490</v>
      </c>
      <c r="S90">
        <v>436.63</v>
      </c>
      <c r="U90" t="s">
        <v>374</v>
      </c>
      <c r="V90">
        <v>2580</v>
      </c>
      <c r="W90">
        <v>1</v>
      </c>
      <c r="X90">
        <v>4</v>
      </c>
      <c r="Y90">
        <v>0</v>
      </c>
      <c r="Z90">
        <v>344</v>
      </c>
      <c r="AA90">
        <v>5.19</v>
      </c>
      <c r="AB90">
        <v>300</v>
      </c>
      <c r="AC90">
        <v>12564.01</v>
      </c>
      <c r="AE90" t="s">
        <v>383</v>
      </c>
      <c r="AF90">
        <v>280</v>
      </c>
      <c r="AG90">
        <v>1</v>
      </c>
      <c r="AH90">
        <v>3389.48</v>
      </c>
      <c r="AI90">
        <v>33389.58</v>
      </c>
      <c r="AJ90">
        <v>3389.58</v>
      </c>
      <c r="AL90" t="s">
        <v>383</v>
      </c>
      <c r="AM90">
        <v>280</v>
      </c>
      <c r="AN90">
        <v>1</v>
      </c>
      <c r="AO90">
        <v>0</v>
      </c>
      <c r="AP90" t="s">
        <v>104</v>
      </c>
      <c r="AQ90" t="s">
        <v>404</v>
      </c>
    </row>
    <row r="91" spans="1:43" x14ac:dyDescent="0.2">
      <c r="A91" t="s">
        <v>374</v>
      </c>
      <c r="B91">
        <v>280</v>
      </c>
      <c r="C91">
        <v>1</v>
      </c>
      <c r="D91">
        <v>68290.05</v>
      </c>
      <c r="E91">
        <v>68290.05</v>
      </c>
      <c r="F91" t="s">
        <v>383</v>
      </c>
      <c r="G91">
        <v>281</v>
      </c>
      <c r="H91">
        <v>1</v>
      </c>
      <c r="I91">
        <v>178762.26</v>
      </c>
      <c r="J91">
        <v>178762.26</v>
      </c>
      <c r="L91" t="s">
        <v>374</v>
      </c>
      <c r="M91">
        <v>378</v>
      </c>
      <c r="N91">
        <v>1</v>
      </c>
      <c r="O91">
        <v>4</v>
      </c>
      <c r="P91">
        <v>582</v>
      </c>
      <c r="Q91">
        <v>344</v>
      </c>
      <c r="R91">
        <v>490</v>
      </c>
      <c r="S91">
        <v>11.75</v>
      </c>
      <c r="U91" t="s">
        <v>374</v>
      </c>
      <c r="V91">
        <v>2683</v>
      </c>
      <c r="W91">
        <v>1</v>
      </c>
      <c r="X91">
        <v>4</v>
      </c>
      <c r="Y91">
        <v>0</v>
      </c>
      <c r="Z91">
        <v>344</v>
      </c>
      <c r="AA91">
        <v>5.19</v>
      </c>
      <c r="AB91">
        <v>300</v>
      </c>
      <c r="AC91">
        <v>7069.75</v>
      </c>
      <c r="AE91" t="s">
        <v>383</v>
      </c>
      <c r="AF91">
        <v>281</v>
      </c>
      <c r="AG91">
        <v>1</v>
      </c>
      <c r="AH91">
        <v>32263.97</v>
      </c>
      <c r="AI91">
        <v>33996.800000000003</v>
      </c>
      <c r="AJ91">
        <v>39130.85</v>
      </c>
      <c r="AL91" t="s">
        <v>383</v>
      </c>
      <c r="AM91">
        <v>281</v>
      </c>
      <c r="AN91">
        <v>1</v>
      </c>
      <c r="AO91">
        <v>0</v>
      </c>
      <c r="AP91" t="s">
        <v>105</v>
      </c>
      <c r="AQ91" t="s">
        <v>404</v>
      </c>
    </row>
    <row r="92" spans="1:43" x14ac:dyDescent="0.2">
      <c r="A92" t="s">
        <v>374</v>
      </c>
      <c r="B92">
        <v>281</v>
      </c>
      <c r="C92">
        <v>1</v>
      </c>
      <c r="D92">
        <v>194566.79</v>
      </c>
      <c r="E92">
        <v>194566.79</v>
      </c>
      <c r="F92" t="s">
        <v>383</v>
      </c>
      <c r="G92">
        <v>282</v>
      </c>
      <c r="H92">
        <v>1</v>
      </c>
      <c r="I92">
        <v>10111.15</v>
      </c>
      <c r="J92">
        <v>10111.15</v>
      </c>
      <c r="L92" t="s">
        <v>374</v>
      </c>
      <c r="M92">
        <v>392</v>
      </c>
      <c r="N92">
        <v>1</v>
      </c>
      <c r="O92">
        <v>4</v>
      </c>
      <c r="P92">
        <v>582</v>
      </c>
      <c r="Q92">
        <v>344</v>
      </c>
      <c r="R92">
        <v>490</v>
      </c>
      <c r="S92">
        <v>323.39999999999998</v>
      </c>
      <c r="U92" t="s">
        <v>374</v>
      </c>
      <c r="V92">
        <v>2687</v>
      </c>
      <c r="W92">
        <v>1</v>
      </c>
      <c r="X92">
        <v>4</v>
      </c>
      <c r="Y92">
        <v>0</v>
      </c>
      <c r="Z92">
        <v>344</v>
      </c>
      <c r="AA92">
        <v>5.01</v>
      </c>
      <c r="AB92">
        <v>300</v>
      </c>
      <c r="AC92">
        <v>12275.82</v>
      </c>
      <c r="AE92" t="s">
        <v>383</v>
      </c>
      <c r="AF92">
        <v>282</v>
      </c>
      <c r="AG92">
        <v>1</v>
      </c>
      <c r="AH92">
        <v>-211.6</v>
      </c>
      <c r="AI92">
        <v>335.3</v>
      </c>
      <c r="AJ92">
        <v>335.3</v>
      </c>
      <c r="AL92" t="s">
        <v>383</v>
      </c>
      <c r="AM92">
        <v>282</v>
      </c>
      <c r="AN92">
        <v>1</v>
      </c>
      <c r="AO92">
        <v>0</v>
      </c>
      <c r="AP92" t="s">
        <v>106</v>
      </c>
      <c r="AQ92" t="s">
        <v>404</v>
      </c>
    </row>
    <row r="93" spans="1:43" x14ac:dyDescent="0.2">
      <c r="A93" t="s">
        <v>374</v>
      </c>
      <c r="B93">
        <v>282</v>
      </c>
      <c r="C93">
        <v>1</v>
      </c>
      <c r="D93">
        <v>9672.64</v>
      </c>
      <c r="E93">
        <v>9672.64</v>
      </c>
      <c r="F93" t="s">
        <v>383</v>
      </c>
      <c r="G93">
        <v>283</v>
      </c>
      <c r="H93">
        <v>1</v>
      </c>
      <c r="I93">
        <v>66271.11</v>
      </c>
      <c r="J93">
        <v>63824.639999999999</v>
      </c>
      <c r="L93" t="s">
        <v>374</v>
      </c>
      <c r="M93">
        <v>417</v>
      </c>
      <c r="N93">
        <v>1</v>
      </c>
      <c r="O93">
        <v>4</v>
      </c>
      <c r="P93">
        <v>582</v>
      </c>
      <c r="Q93">
        <v>344</v>
      </c>
      <c r="R93">
        <v>490</v>
      </c>
      <c r="S93">
        <v>330.98</v>
      </c>
      <c r="U93" t="s">
        <v>374</v>
      </c>
      <c r="V93">
        <v>2759</v>
      </c>
      <c r="W93">
        <v>1</v>
      </c>
      <c r="X93">
        <v>4</v>
      </c>
      <c r="Y93">
        <v>0</v>
      </c>
      <c r="Z93">
        <v>344</v>
      </c>
      <c r="AA93">
        <v>5.19</v>
      </c>
      <c r="AB93">
        <v>300</v>
      </c>
      <c r="AC93">
        <v>5287.05</v>
      </c>
      <c r="AE93" t="s">
        <v>383</v>
      </c>
      <c r="AF93">
        <v>283</v>
      </c>
      <c r="AG93">
        <v>1</v>
      </c>
      <c r="AH93">
        <v>29494.28</v>
      </c>
      <c r="AI93">
        <v>21465.13</v>
      </c>
      <c r="AJ93">
        <v>21465.13</v>
      </c>
      <c r="AL93" t="s">
        <v>383</v>
      </c>
      <c r="AM93">
        <v>283</v>
      </c>
      <c r="AN93">
        <v>1</v>
      </c>
      <c r="AO93">
        <v>0</v>
      </c>
      <c r="AP93" t="s">
        <v>107</v>
      </c>
      <c r="AQ93" t="s">
        <v>404</v>
      </c>
    </row>
    <row r="94" spans="1:43" x14ac:dyDescent="0.2">
      <c r="A94" t="s">
        <v>374</v>
      </c>
      <c r="B94">
        <v>283</v>
      </c>
      <c r="C94">
        <v>1</v>
      </c>
      <c r="D94">
        <v>68694.39</v>
      </c>
      <c r="E94">
        <v>58068.44</v>
      </c>
      <c r="F94" t="s">
        <v>383</v>
      </c>
      <c r="G94">
        <v>284</v>
      </c>
      <c r="H94">
        <v>1</v>
      </c>
      <c r="I94">
        <v>71446.399999999994</v>
      </c>
      <c r="J94">
        <v>71446.399999999994</v>
      </c>
      <c r="L94" t="s">
        <v>374</v>
      </c>
      <c r="M94">
        <v>423</v>
      </c>
      <c r="N94">
        <v>1</v>
      </c>
      <c r="O94">
        <v>4</v>
      </c>
      <c r="P94">
        <v>582</v>
      </c>
      <c r="Q94">
        <v>344</v>
      </c>
      <c r="R94">
        <v>490</v>
      </c>
      <c r="S94">
        <v>205.53</v>
      </c>
      <c r="U94" t="s">
        <v>374</v>
      </c>
      <c r="V94">
        <v>2835</v>
      </c>
      <c r="W94">
        <v>1</v>
      </c>
      <c r="X94">
        <v>4</v>
      </c>
      <c r="Y94">
        <v>0</v>
      </c>
      <c r="Z94">
        <v>344</v>
      </c>
      <c r="AA94">
        <v>5.19</v>
      </c>
      <c r="AB94">
        <v>300</v>
      </c>
      <c r="AC94">
        <v>7163.92</v>
      </c>
      <c r="AE94" t="s">
        <v>383</v>
      </c>
      <c r="AF94">
        <v>284</v>
      </c>
      <c r="AG94">
        <v>1</v>
      </c>
      <c r="AH94">
        <v>196.56</v>
      </c>
      <c r="AI94">
        <v>192.65</v>
      </c>
      <c r="AJ94">
        <v>8346.76</v>
      </c>
      <c r="AL94" t="s">
        <v>383</v>
      </c>
      <c r="AM94">
        <v>284</v>
      </c>
      <c r="AN94">
        <v>1</v>
      </c>
      <c r="AO94">
        <v>0</v>
      </c>
      <c r="AP94" t="s">
        <v>108</v>
      </c>
      <c r="AQ94" t="s">
        <v>404</v>
      </c>
    </row>
    <row r="95" spans="1:43" x14ac:dyDescent="0.2">
      <c r="A95" t="s">
        <v>374</v>
      </c>
      <c r="B95">
        <v>284</v>
      </c>
      <c r="C95">
        <v>1</v>
      </c>
      <c r="D95">
        <v>69888.73</v>
      </c>
      <c r="E95">
        <v>69888.73</v>
      </c>
      <c r="F95" t="s">
        <v>383</v>
      </c>
      <c r="G95">
        <v>286</v>
      </c>
      <c r="H95">
        <v>1</v>
      </c>
      <c r="I95">
        <v>38483.83</v>
      </c>
      <c r="J95">
        <v>38483.83</v>
      </c>
      <c r="L95" t="s">
        <v>374</v>
      </c>
      <c r="M95">
        <v>458</v>
      </c>
      <c r="N95">
        <v>1</v>
      </c>
      <c r="O95">
        <v>4</v>
      </c>
      <c r="P95">
        <v>582</v>
      </c>
      <c r="Q95">
        <v>344</v>
      </c>
      <c r="R95">
        <v>490</v>
      </c>
      <c r="S95">
        <v>105.61</v>
      </c>
      <c r="U95" t="s">
        <v>374</v>
      </c>
      <c r="V95">
        <v>2860</v>
      </c>
      <c r="W95">
        <v>1</v>
      </c>
      <c r="X95">
        <v>4</v>
      </c>
      <c r="Y95">
        <v>0</v>
      </c>
      <c r="Z95">
        <v>344</v>
      </c>
      <c r="AA95">
        <v>5.19</v>
      </c>
      <c r="AB95">
        <v>300</v>
      </c>
      <c r="AC95">
        <v>18613.099999999999</v>
      </c>
      <c r="AE95" t="s">
        <v>383</v>
      </c>
      <c r="AF95">
        <v>286</v>
      </c>
      <c r="AG95">
        <v>1</v>
      </c>
      <c r="AH95">
        <v>14085.03</v>
      </c>
      <c r="AI95">
        <v>24369.64</v>
      </c>
      <c r="AJ95">
        <v>7885.59</v>
      </c>
      <c r="AL95" t="s">
        <v>383</v>
      </c>
      <c r="AM95">
        <v>286</v>
      </c>
      <c r="AN95">
        <v>1</v>
      </c>
      <c r="AO95">
        <v>0</v>
      </c>
      <c r="AP95" t="s">
        <v>109</v>
      </c>
      <c r="AQ95" t="s">
        <v>404</v>
      </c>
    </row>
    <row r="96" spans="1:43" x14ac:dyDescent="0.2">
      <c r="A96" t="s">
        <v>374</v>
      </c>
      <c r="B96">
        <v>286</v>
      </c>
      <c r="C96">
        <v>1</v>
      </c>
      <c r="D96">
        <v>39951.81</v>
      </c>
      <c r="E96">
        <v>39951.81</v>
      </c>
      <c r="F96" t="s">
        <v>383</v>
      </c>
      <c r="G96">
        <v>294</v>
      </c>
      <c r="H96">
        <v>1</v>
      </c>
      <c r="I96">
        <v>7162.9</v>
      </c>
      <c r="J96">
        <v>7162.9</v>
      </c>
      <c r="L96" t="s">
        <v>374</v>
      </c>
      <c r="M96">
        <v>465</v>
      </c>
      <c r="N96">
        <v>1</v>
      </c>
      <c r="O96">
        <v>4</v>
      </c>
      <c r="P96">
        <v>582</v>
      </c>
      <c r="Q96">
        <v>344</v>
      </c>
      <c r="R96">
        <v>490</v>
      </c>
      <c r="S96">
        <v>21.3</v>
      </c>
      <c r="U96" t="s">
        <v>374</v>
      </c>
      <c r="V96">
        <v>2886</v>
      </c>
      <c r="W96">
        <v>1</v>
      </c>
      <c r="X96">
        <v>4</v>
      </c>
      <c r="Y96">
        <v>0</v>
      </c>
      <c r="Z96">
        <v>344</v>
      </c>
      <c r="AA96">
        <v>5.19</v>
      </c>
      <c r="AB96">
        <v>300</v>
      </c>
      <c r="AC96">
        <v>3970</v>
      </c>
      <c r="AE96" t="s">
        <v>383</v>
      </c>
      <c r="AF96">
        <v>294</v>
      </c>
      <c r="AG96">
        <v>1</v>
      </c>
      <c r="AH96">
        <v>0</v>
      </c>
      <c r="AI96">
        <v>0</v>
      </c>
      <c r="AJ96">
        <v>0</v>
      </c>
      <c r="AL96" t="s">
        <v>383</v>
      </c>
      <c r="AM96">
        <v>294</v>
      </c>
      <c r="AN96">
        <v>1</v>
      </c>
      <c r="AO96">
        <v>0</v>
      </c>
      <c r="AP96" t="s">
        <v>110</v>
      </c>
      <c r="AQ96" t="s">
        <v>404</v>
      </c>
    </row>
    <row r="97" spans="1:43" x14ac:dyDescent="0.2">
      <c r="A97" t="s">
        <v>374</v>
      </c>
      <c r="B97">
        <v>294</v>
      </c>
      <c r="C97">
        <v>1</v>
      </c>
      <c r="D97">
        <v>7516.79</v>
      </c>
      <c r="E97">
        <v>7516.79</v>
      </c>
      <c r="F97" t="s">
        <v>383</v>
      </c>
      <c r="G97">
        <v>297</v>
      </c>
      <c r="H97">
        <v>1</v>
      </c>
      <c r="I97">
        <v>3727.91</v>
      </c>
      <c r="J97">
        <v>3727.91</v>
      </c>
      <c r="L97" t="s">
        <v>374</v>
      </c>
      <c r="M97">
        <v>477</v>
      </c>
      <c r="N97">
        <v>1</v>
      </c>
      <c r="O97">
        <v>4</v>
      </c>
      <c r="P97">
        <v>582</v>
      </c>
      <c r="Q97">
        <v>344</v>
      </c>
      <c r="R97">
        <v>490</v>
      </c>
      <c r="S97">
        <v>303.8</v>
      </c>
      <c r="U97" t="s">
        <v>374</v>
      </c>
      <c r="V97">
        <v>1</v>
      </c>
      <c r="W97">
        <v>1</v>
      </c>
      <c r="X97">
        <v>4</v>
      </c>
      <c r="Y97">
        <v>582</v>
      </c>
      <c r="Z97">
        <v>344</v>
      </c>
      <c r="AA97">
        <v>5.19</v>
      </c>
      <c r="AB97">
        <v>300</v>
      </c>
      <c r="AC97">
        <v>19114.41</v>
      </c>
      <c r="AE97" t="s">
        <v>383</v>
      </c>
      <c r="AF97">
        <v>297</v>
      </c>
      <c r="AG97">
        <v>1</v>
      </c>
      <c r="AH97">
        <v>162.27000000000001</v>
      </c>
      <c r="AI97">
        <v>1699.96</v>
      </c>
      <c r="AJ97">
        <v>1955.09</v>
      </c>
      <c r="AL97" t="s">
        <v>383</v>
      </c>
      <c r="AM97">
        <v>297</v>
      </c>
      <c r="AN97">
        <v>1</v>
      </c>
      <c r="AO97">
        <v>0</v>
      </c>
      <c r="AP97" t="s">
        <v>111</v>
      </c>
      <c r="AQ97" t="s">
        <v>404</v>
      </c>
    </row>
    <row r="98" spans="1:43" x14ac:dyDescent="0.2">
      <c r="A98" t="s">
        <v>374</v>
      </c>
      <c r="B98">
        <v>297</v>
      </c>
      <c r="C98">
        <v>1</v>
      </c>
      <c r="D98">
        <v>3652.4</v>
      </c>
      <c r="E98">
        <v>3652.4</v>
      </c>
      <c r="F98" t="s">
        <v>383</v>
      </c>
      <c r="G98">
        <v>299</v>
      </c>
      <c r="H98">
        <v>1</v>
      </c>
      <c r="I98">
        <v>9290.56</v>
      </c>
      <c r="J98">
        <v>9290.56</v>
      </c>
      <c r="L98" t="s">
        <v>374</v>
      </c>
      <c r="M98">
        <v>595</v>
      </c>
      <c r="N98">
        <v>1</v>
      </c>
      <c r="O98">
        <v>4</v>
      </c>
      <c r="P98">
        <v>582</v>
      </c>
      <c r="Q98">
        <v>344</v>
      </c>
      <c r="R98">
        <v>490</v>
      </c>
      <c r="S98">
        <v>253</v>
      </c>
      <c r="U98" t="s">
        <v>374</v>
      </c>
      <c r="V98">
        <v>1</v>
      </c>
      <c r="W98">
        <v>3</v>
      </c>
      <c r="X98">
        <v>4</v>
      </c>
      <c r="Y98">
        <v>582</v>
      </c>
      <c r="Z98">
        <v>344</v>
      </c>
      <c r="AA98">
        <v>5.19</v>
      </c>
      <c r="AB98">
        <v>300</v>
      </c>
      <c r="AC98">
        <v>819859.88</v>
      </c>
      <c r="AE98" t="s">
        <v>383</v>
      </c>
      <c r="AF98">
        <v>299</v>
      </c>
      <c r="AG98">
        <v>1</v>
      </c>
      <c r="AH98">
        <v>1672.12</v>
      </c>
      <c r="AI98">
        <v>4095.26</v>
      </c>
      <c r="AJ98">
        <v>8227.06</v>
      </c>
      <c r="AL98" t="s">
        <v>383</v>
      </c>
      <c r="AM98">
        <v>299</v>
      </c>
      <c r="AN98">
        <v>1</v>
      </c>
      <c r="AO98">
        <v>0</v>
      </c>
      <c r="AP98" t="s">
        <v>112</v>
      </c>
      <c r="AQ98" t="s">
        <v>404</v>
      </c>
    </row>
    <row r="99" spans="1:43" x14ac:dyDescent="0.2">
      <c r="A99" t="s">
        <v>374</v>
      </c>
      <c r="B99">
        <v>299</v>
      </c>
      <c r="C99">
        <v>1</v>
      </c>
      <c r="D99">
        <v>9458.07</v>
      </c>
      <c r="E99">
        <v>9458.07</v>
      </c>
      <c r="F99" t="s">
        <v>383</v>
      </c>
      <c r="G99">
        <v>300</v>
      </c>
      <c r="H99">
        <v>1</v>
      </c>
      <c r="I99">
        <v>12333.27</v>
      </c>
      <c r="J99">
        <v>12333.27</v>
      </c>
      <c r="L99" t="s">
        <v>374</v>
      </c>
      <c r="M99">
        <v>625</v>
      </c>
      <c r="N99">
        <v>1</v>
      </c>
      <c r="O99">
        <v>4</v>
      </c>
      <c r="P99">
        <v>582</v>
      </c>
      <c r="Q99">
        <v>344</v>
      </c>
      <c r="R99">
        <v>490</v>
      </c>
      <c r="S99">
        <v>641.47</v>
      </c>
      <c r="U99" t="s">
        <v>374</v>
      </c>
      <c r="V99">
        <v>2</v>
      </c>
      <c r="W99">
        <v>1</v>
      </c>
      <c r="X99">
        <v>4</v>
      </c>
      <c r="Y99">
        <v>582</v>
      </c>
      <c r="Z99">
        <v>344</v>
      </c>
      <c r="AA99">
        <v>5.19</v>
      </c>
      <c r="AB99">
        <v>300</v>
      </c>
      <c r="AC99">
        <v>4653.6000000000004</v>
      </c>
      <c r="AE99" t="s">
        <v>383</v>
      </c>
      <c r="AF99">
        <v>300</v>
      </c>
      <c r="AG99">
        <v>1</v>
      </c>
      <c r="AH99">
        <v>-2845.01</v>
      </c>
      <c r="AI99">
        <v>-6280.37</v>
      </c>
      <c r="AJ99">
        <v>-4352.3500000000004</v>
      </c>
      <c r="AL99" t="s">
        <v>383</v>
      </c>
      <c r="AM99">
        <v>300</v>
      </c>
      <c r="AN99">
        <v>1</v>
      </c>
      <c r="AO99">
        <v>0</v>
      </c>
      <c r="AP99" t="s">
        <v>113</v>
      </c>
      <c r="AQ99" t="s">
        <v>404</v>
      </c>
    </row>
    <row r="100" spans="1:43" x14ac:dyDescent="0.2">
      <c r="A100" t="s">
        <v>374</v>
      </c>
      <c r="B100">
        <v>300</v>
      </c>
      <c r="C100">
        <v>1</v>
      </c>
      <c r="D100">
        <v>12664.04</v>
      </c>
      <c r="E100">
        <v>12664.04</v>
      </c>
      <c r="F100" t="s">
        <v>383</v>
      </c>
      <c r="G100">
        <v>306</v>
      </c>
      <c r="H100">
        <v>1</v>
      </c>
      <c r="I100">
        <v>5356.17</v>
      </c>
      <c r="J100">
        <v>5051.03</v>
      </c>
      <c r="L100" t="s">
        <v>374</v>
      </c>
      <c r="M100">
        <v>659</v>
      </c>
      <c r="N100">
        <v>1</v>
      </c>
      <c r="O100">
        <v>4</v>
      </c>
      <c r="P100">
        <v>582</v>
      </c>
      <c r="Q100">
        <v>344</v>
      </c>
      <c r="R100">
        <v>490</v>
      </c>
      <c r="S100">
        <v>1439.57</v>
      </c>
      <c r="U100" t="s">
        <v>374</v>
      </c>
      <c r="V100">
        <v>4</v>
      </c>
      <c r="W100">
        <v>1</v>
      </c>
      <c r="X100">
        <v>4</v>
      </c>
      <c r="Y100">
        <v>582</v>
      </c>
      <c r="Z100">
        <v>344</v>
      </c>
      <c r="AA100">
        <v>5.19</v>
      </c>
      <c r="AB100">
        <v>300</v>
      </c>
      <c r="AC100">
        <v>7250.74</v>
      </c>
      <c r="AE100" t="s">
        <v>383</v>
      </c>
      <c r="AF100">
        <v>306</v>
      </c>
      <c r="AG100">
        <v>1</v>
      </c>
      <c r="AH100">
        <v>1262.46</v>
      </c>
      <c r="AI100">
        <v>2151.96</v>
      </c>
      <c r="AJ100">
        <v>1050.4000000000001</v>
      </c>
      <c r="AL100" t="s">
        <v>383</v>
      </c>
      <c r="AM100">
        <v>306</v>
      </c>
      <c r="AN100">
        <v>1</v>
      </c>
      <c r="AO100">
        <v>0</v>
      </c>
      <c r="AP100" t="s">
        <v>114</v>
      </c>
      <c r="AQ100" t="s">
        <v>404</v>
      </c>
    </row>
    <row r="101" spans="1:43" x14ac:dyDescent="0.2">
      <c r="A101" t="s">
        <v>374</v>
      </c>
      <c r="B101">
        <v>306</v>
      </c>
      <c r="C101">
        <v>1</v>
      </c>
      <c r="D101">
        <v>4710.82</v>
      </c>
      <c r="E101">
        <v>4694.54</v>
      </c>
      <c r="F101" t="s">
        <v>383</v>
      </c>
      <c r="G101">
        <v>308</v>
      </c>
      <c r="H101">
        <v>1</v>
      </c>
      <c r="I101">
        <v>8967.6</v>
      </c>
      <c r="J101">
        <v>8967.6</v>
      </c>
      <c r="L101" t="s">
        <v>374</v>
      </c>
      <c r="M101">
        <v>696</v>
      </c>
      <c r="N101">
        <v>1</v>
      </c>
      <c r="O101">
        <v>4</v>
      </c>
      <c r="P101">
        <v>582</v>
      </c>
      <c r="Q101">
        <v>344</v>
      </c>
      <c r="R101">
        <v>490</v>
      </c>
      <c r="S101">
        <v>49.8</v>
      </c>
      <c r="U101" t="s">
        <v>374</v>
      </c>
      <c r="V101">
        <v>6</v>
      </c>
      <c r="W101">
        <v>3</v>
      </c>
      <c r="X101">
        <v>4</v>
      </c>
      <c r="Y101">
        <v>582</v>
      </c>
      <c r="Z101">
        <v>344</v>
      </c>
      <c r="AA101">
        <v>5.19</v>
      </c>
      <c r="AB101">
        <v>300</v>
      </c>
      <c r="AC101">
        <v>42831.03</v>
      </c>
      <c r="AE101" t="s">
        <v>383</v>
      </c>
      <c r="AF101">
        <v>308</v>
      </c>
      <c r="AG101">
        <v>1</v>
      </c>
      <c r="AH101">
        <v>-0.37</v>
      </c>
      <c r="AI101">
        <v>671.71</v>
      </c>
      <c r="AJ101">
        <v>1012.84</v>
      </c>
      <c r="AL101" t="s">
        <v>383</v>
      </c>
      <c r="AM101">
        <v>308</v>
      </c>
      <c r="AN101">
        <v>1</v>
      </c>
      <c r="AO101">
        <v>0</v>
      </c>
      <c r="AP101" t="s">
        <v>115</v>
      </c>
      <c r="AQ101" t="s">
        <v>404</v>
      </c>
    </row>
    <row r="102" spans="1:43" x14ac:dyDescent="0.2">
      <c r="A102" t="s">
        <v>374</v>
      </c>
      <c r="B102">
        <v>308</v>
      </c>
      <c r="C102">
        <v>1</v>
      </c>
      <c r="D102">
        <v>7912.98</v>
      </c>
      <c r="E102">
        <v>7912.98</v>
      </c>
      <c r="F102" t="s">
        <v>383</v>
      </c>
      <c r="G102">
        <v>309</v>
      </c>
      <c r="H102">
        <v>1</v>
      </c>
      <c r="I102">
        <v>25842.42</v>
      </c>
      <c r="J102">
        <v>25842.42</v>
      </c>
      <c r="L102" t="s">
        <v>374</v>
      </c>
      <c r="M102">
        <v>700</v>
      </c>
      <c r="N102">
        <v>1</v>
      </c>
      <c r="O102">
        <v>4</v>
      </c>
      <c r="P102">
        <v>582</v>
      </c>
      <c r="Q102">
        <v>344</v>
      </c>
      <c r="R102">
        <v>490</v>
      </c>
      <c r="S102">
        <v>884.82</v>
      </c>
      <c r="U102" t="s">
        <v>374</v>
      </c>
      <c r="V102">
        <v>11</v>
      </c>
      <c r="W102">
        <v>1</v>
      </c>
      <c r="X102">
        <v>4</v>
      </c>
      <c r="Y102">
        <v>582</v>
      </c>
      <c r="Z102">
        <v>344</v>
      </c>
      <c r="AA102">
        <v>5.19</v>
      </c>
      <c r="AB102">
        <v>300</v>
      </c>
      <c r="AC102">
        <v>422702.88</v>
      </c>
      <c r="AE102" t="s">
        <v>383</v>
      </c>
      <c r="AF102">
        <v>309</v>
      </c>
      <c r="AG102">
        <v>1</v>
      </c>
      <c r="AH102">
        <v>806.58</v>
      </c>
      <c r="AI102">
        <v>0</v>
      </c>
      <c r="AJ102">
        <v>0</v>
      </c>
      <c r="AL102" t="s">
        <v>383</v>
      </c>
      <c r="AM102">
        <v>309</v>
      </c>
      <c r="AN102">
        <v>1</v>
      </c>
      <c r="AO102">
        <v>0</v>
      </c>
      <c r="AP102" t="s">
        <v>116</v>
      </c>
      <c r="AQ102" t="s">
        <v>404</v>
      </c>
    </row>
    <row r="103" spans="1:43" x14ac:dyDescent="0.2">
      <c r="A103" t="s">
        <v>374</v>
      </c>
      <c r="B103">
        <v>309</v>
      </c>
      <c r="C103">
        <v>1</v>
      </c>
      <c r="D103">
        <v>26179.37</v>
      </c>
      <c r="E103">
        <v>26179.37</v>
      </c>
      <c r="F103" t="s">
        <v>383</v>
      </c>
      <c r="G103">
        <v>314</v>
      </c>
      <c r="H103">
        <v>1</v>
      </c>
      <c r="I103">
        <v>13323.25</v>
      </c>
      <c r="J103">
        <v>9878.48</v>
      </c>
      <c r="L103" t="s">
        <v>374</v>
      </c>
      <c r="M103">
        <v>704</v>
      </c>
      <c r="N103">
        <v>1</v>
      </c>
      <c r="O103">
        <v>4</v>
      </c>
      <c r="P103">
        <v>582</v>
      </c>
      <c r="Q103">
        <v>344</v>
      </c>
      <c r="R103">
        <v>490</v>
      </c>
      <c r="S103">
        <v>916.44</v>
      </c>
      <c r="U103" t="s">
        <v>374</v>
      </c>
      <c r="V103">
        <v>12</v>
      </c>
      <c r="W103">
        <v>1</v>
      </c>
      <c r="X103">
        <v>4</v>
      </c>
      <c r="Y103">
        <v>582</v>
      </c>
      <c r="Z103">
        <v>344</v>
      </c>
      <c r="AA103">
        <v>5.0199999999999996</v>
      </c>
      <c r="AB103">
        <v>300</v>
      </c>
      <c r="AC103">
        <v>50579.14</v>
      </c>
      <c r="AE103" t="s">
        <v>383</v>
      </c>
      <c r="AF103">
        <v>314</v>
      </c>
      <c r="AG103">
        <v>1</v>
      </c>
      <c r="AH103">
        <v>8113.37</v>
      </c>
      <c r="AI103">
        <v>12374.42</v>
      </c>
      <c r="AJ103">
        <v>12719.94</v>
      </c>
      <c r="AL103" t="s">
        <v>383</v>
      </c>
      <c r="AM103">
        <v>314</v>
      </c>
      <c r="AN103">
        <v>1</v>
      </c>
      <c r="AO103">
        <v>0</v>
      </c>
      <c r="AP103" t="s">
        <v>117</v>
      </c>
      <c r="AQ103" t="s">
        <v>404</v>
      </c>
    </row>
    <row r="104" spans="1:43" x14ac:dyDescent="0.2">
      <c r="A104" t="s">
        <v>374</v>
      </c>
      <c r="B104">
        <v>314</v>
      </c>
      <c r="C104">
        <v>1</v>
      </c>
      <c r="D104">
        <v>12630.19</v>
      </c>
      <c r="E104">
        <v>11102.45</v>
      </c>
      <c r="F104" t="s">
        <v>383</v>
      </c>
      <c r="G104">
        <v>316</v>
      </c>
      <c r="H104">
        <v>1</v>
      </c>
      <c r="I104">
        <v>17719.36</v>
      </c>
      <c r="J104">
        <v>17719.36</v>
      </c>
      <c r="L104" t="s">
        <v>374</v>
      </c>
      <c r="M104">
        <v>709</v>
      </c>
      <c r="N104">
        <v>1</v>
      </c>
      <c r="O104">
        <v>4</v>
      </c>
      <c r="P104">
        <v>582</v>
      </c>
      <c r="Q104">
        <v>344</v>
      </c>
      <c r="R104">
        <v>490</v>
      </c>
      <c r="S104">
        <v>311.45</v>
      </c>
      <c r="U104" t="s">
        <v>374</v>
      </c>
      <c r="V104">
        <v>13</v>
      </c>
      <c r="W104">
        <v>1</v>
      </c>
      <c r="X104">
        <v>4</v>
      </c>
      <c r="Y104">
        <v>582</v>
      </c>
      <c r="Z104">
        <v>344</v>
      </c>
      <c r="AA104">
        <v>5.19</v>
      </c>
      <c r="AB104">
        <v>300</v>
      </c>
      <c r="AC104">
        <v>59011.23</v>
      </c>
      <c r="AE104" t="s">
        <v>383</v>
      </c>
      <c r="AF104">
        <v>316</v>
      </c>
      <c r="AG104">
        <v>1</v>
      </c>
      <c r="AH104">
        <v>27467</v>
      </c>
      <c r="AI104">
        <v>18037.400000000001</v>
      </c>
      <c r="AJ104">
        <v>-3207.84</v>
      </c>
      <c r="AL104" t="s">
        <v>383</v>
      </c>
      <c r="AM104">
        <v>316</v>
      </c>
      <c r="AN104">
        <v>1</v>
      </c>
      <c r="AO104">
        <v>0</v>
      </c>
      <c r="AP104" t="s">
        <v>118</v>
      </c>
      <c r="AQ104" t="s">
        <v>404</v>
      </c>
    </row>
    <row r="105" spans="1:43" x14ac:dyDescent="0.2">
      <c r="A105" t="s">
        <v>374</v>
      </c>
      <c r="B105">
        <v>316</v>
      </c>
      <c r="C105">
        <v>1</v>
      </c>
      <c r="D105">
        <v>18468.830000000002</v>
      </c>
      <c r="E105">
        <v>14687.83</v>
      </c>
      <c r="F105" t="s">
        <v>383</v>
      </c>
      <c r="G105">
        <v>317</v>
      </c>
      <c r="H105">
        <v>1</v>
      </c>
      <c r="I105">
        <v>15984.57</v>
      </c>
      <c r="J105">
        <v>15984.57</v>
      </c>
      <c r="L105" t="s">
        <v>374</v>
      </c>
      <c r="M105">
        <v>719</v>
      </c>
      <c r="N105">
        <v>1</v>
      </c>
      <c r="O105">
        <v>4</v>
      </c>
      <c r="P105">
        <v>582</v>
      </c>
      <c r="Q105">
        <v>344</v>
      </c>
      <c r="R105">
        <v>490</v>
      </c>
      <c r="S105">
        <v>771.28</v>
      </c>
      <c r="U105" t="s">
        <v>374</v>
      </c>
      <c r="V105">
        <v>14</v>
      </c>
      <c r="W105">
        <v>1</v>
      </c>
      <c r="X105">
        <v>4</v>
      </c>
      <c r="Y105">
        <v>582</v>
      </c>
      <c r="Z105">
        <v>344</v>
      </c>
      <c r="AA105">
        <v>5.19</v>
      </c>
      <c r="AB105">
        <v>300</v>
      </c>
      <c r="AC105">
        <v>39647.39</v>
      </c>
      <c r="AE105" t="s">
        <v>383</v>
      </c>
      <c r="AF105">
        <v>317</v>
      </c>
      <c r="AG105">
        <v>1</v>
      </c>
      <c r="AH105">
        <v>26280.43</v>
      </c>
      <c r="AI105">
        <v>33472.33</v>
      </c>
      <c r="AJ105">
        <v>31684.23</v>
      </c>
      <c r="AL105" t="s">
        <v>383</v>
      </c>
      <c r="AM105">
        <v>317</v>
      </c>
      <c r="AN105">
        <v>1</v>
      </c>
      <c r="AO105">
        <v>0</v>
      </c>
      <c r="AP105" t="s">
        <v>119</v>
      </c>
      <c r="AQ105" t="s">
        <v>404</v>
      </c>
    </row>
    <row r="106" spans="1:43" x14ac:dyDescent="0.2">
      <c r="A106" t="s">
        <v>374</v>
      </c>
      <c r="B106">
        <v>317</v>
      </c>
      <c r="C106">
        <v>1</v>
      </c>
      <c r="D106">
        <v>16862.34</v>
      </c>
      <c r="E106">
        <v>16862.34</v>
      </c>
      <c r="F106" t="s">
        <v>383</v>
      </c>
      <c r="G106">
        <v>318</v>
      </c>
      <c r="H106">
        <v>1</v>
      </c>
      <c r="I106">
        <v>48948.95</v>
      </c>
      <c r="J106">
        <v>48948.95</v>
      </c>
      <c r="L106" t="s">
        <v>374</v>
      </c>
      <c r="M106">
        <v>720</v>
      </c>
      <c r="N106">
        <v>1</v>
      </c>
      <c r="O106">
        <v>4</v>
      </c>
      <c r="P106">
        <v>582</v>
      </c>
      <c r="Q106">
        <v>344</v>
      </c>
      <c r="R106">
        <v>490</v>
      </c>
      <c r="S106">
        <v>1152.44</v>
      </c>
      <c r="U106" t="s">
        <v>374</v>
      </c>
      <c r="V106">
        <v>15</v>
      </c>
      <c r="W106">
        <v>1</v>
      </c>
      <c r="X106">
        <v>4</v>
      </c>
      <c r="Y106">
        <v>582</v>
      </c>
      <c r="Z106">
        <v>344</v>
      </c>
      <c r="AA106">
        <v>5.19</v>
      </c>
      <c r="AB106">
        <v>300</v>
      </c>
      <c r="AC106">
        <v>59048.22</v>
      </c>
      <c r="AE106" t="s">
        <v>383</v>
      </c>
      <c r="AF106">
        <v>318</v>
      </c>
      <c r="AG106">
        <v>1</v>
      </c>
      <c r="AH106">
        <v>3799.4</v>
      </c>
      <c r="AI106">
        <v>3799.4</v>
      </c>
      <c r="AJ106">
        <v>0</v>
      </c>
      <c r="AL106" t="s">
        <v>383</v>
      </c>
      <c r="AM106">
        <v>318</v>
      </c>
      <c r="AN106">
        <v>1</v>
      </c>
      <c r="AO106">
        <v>0</v>
      </c>
      <c r="AP106" t="s">
        <v>120</v>
      </c>
      <c r="AQ106" t="s">
        <v>404</v>
      </c>
    </row>
    <row r="107" spans="1:43" x14ac:dyDescent="0.2">
      <c r="A107" t="s">
        <v>374</v>
      </c>
      <c r="B107">
        <v>318</v>
      </c>
      <c r="C107">
        <v>1</v>
      </c>
      <c r="D107">
        <v>50278.99</v>
      </c>
      <c r="E107">
        <v>50278.99</v>
      </c>
      <c r="F107" t="s">
        <v>383</v>
      </c>
      <c r="G107">
        <v>319</v>
      </c>
      <c r="H107">
        <v>1</v>
      </c>
      <c r="I107">
        <v>9843.73</v>
      </c>
      <c r="J107">
        <v>9843.73</v>
      </c>
      <c r="L107" t="s">
        <v>374</v>
      </c>
      <c r="M107">
        <v>727</v>
      </c>
      <c r="N107">
        <v>1</v>
      </c>
      <c r="O107">
        <v>4</v>
      </c>
      <c r="P107">
        <v>582</v>
      </c>
      <c r="Q107">
        <v>344</v>
      </c>
      <c r="R107">
        <v>490</v>
      </c>
      <c r="S107">
        <v>18.940000000000001</v>
      </c>
      <c r="U107" t="s">
        <v>374</v>
      </c>
      <c r="V107">
        <v>23</v>
      </c>
      <c r="W107">
        <v>1</v>
      </c>
      <c r="X107">
        <v>4</v>
      </c>
      <c r="Y107">
        <v>582</v>
      </c>
      <c r="Z107">
        <v>344</v>
      </c>
      <c r="AA107">
        <v>5.05</v>
      </c>
      <c r="AB107">
        <v>300</v>
      </c>
      <c r="AC107">
        <v>15152.82</v>
      </c>
      <c r="AE107" t="s">
        <v>383</v>
      </c>
      <c r="AF107">
        <v>319</v>
      </c>
      <c r="AG107">
        <v>1</v>
      </c>
      <c r="AH107">
        <v>0</v>
      </c>
      <c r="AI107">
        <v>-832.77</v>
      </c>
      <c r="AJ107">
        <v>-832.77</v>
      </c>
      <c r="AL107" t="s">
        <v>383</v>
      </c>
      <c r="AM107">
        <v>319</v>
      </c>
      <c r="AN107">
        <v>1</v>
      </c>
      <c r="AO107">
        <v>0</v>
      </c>
      <c r="AP107" t="s">
        <v>121</v>
      </c>
      <c r="AQ107" t="s">
        <v>404</v>
      </c>
    </row>
    <row r="108" spans="1:43" x14ac:dyDescent="0.2">
      <c r="A108" t="s">
        <v>374</v>
      </c>
      <c r="B108">
        <v>319</v>
      </c>
      <c r="C108">
        <v>1</v>
      </c>
      <c r="D108">
        <v>9287.35</v>
      </c>
      <c r="E108">
        <v>9287.35</v>
      </c>
      <c r="F108" t="s">
        <v>383</v>
      </c>
      <c r="G108">
        <v>330</v>
      </c>
      <c r="H108">
        <v>1</v>
      </c>
      <c r="I108">
        <v>3508.48</v>
      </c>
      <c r="J108">
        <v>3508.48</v>
      </c>
      <c r="L108" t="s">
        <v>374</v>
      </c>
      <c r="M108">
        <v>739</v>
      </c>
      <c r="N108">
        <v>1</v>
      </c>
      <c r="O108">
        <v>4</v>
      </c>
      <c r="P108">
        <v>582</v>
      </c>
      <c r="Q108">
        <v>344</v>
      </c>
      <c r="R108">
        <v>490</v>
      </c>
      <c r="S108">
        <v>14.36</v>
      </c>
      <c r="U108" t="s">
        <v>374</v>
      </c>
      <c r="V108">
        <v>25</v>
      </c>
      <c r="W108">
        <v>1</v>
      </c>
      <c r="X108">
        <v>4</v>
      </c>
      <c r="Y108">
        <v>582</v>
      </c>
      <c r="Z108">
        <v>344</v>
      </c>
      <c r="AA108">
        <v>5.19</v>
      </c>
      <c r="AB108">
        <v>300</v>
      </c>
      <c r="AC108">
        <v>2073.37</v>
      </c>
      <c r="AE108" t="s">
        <v>383</v>
      </c>
      <c r="AF108">
        <v>330</v>
      </c>
      <c r="AG108">
        <v>1</v>
      </c>
      <c r="AH108">
        <v>9.35</v>
      </c>
      <c r="AI108">
        <v>1189.81</v>
      </c>
      <c r="AJ108">
        <v>680.81</v>
      </c>
      <c r="AL108" t="s">
        <v>383</v>
      </c>
      <c r="AM108">
        <v>323</v>
      </c>
      <c r="AN108">
        <v>2</v>
      </c>
      <c r="AO108">
        <v>0</v>
      </c>
      <c r="AP108" t="s">
        <v>406</v>
      </c>
      <c r="AQ108" t="s">
        <v>404</v>
      </c>
    </row>
    <row r="109" spans="1:43" x14ac:dyDescent="0.2">
      <c r="A109" t="s">
        <v>374</v>
      </c>
      <c r="B109">
        <v>330</v>
      </c>
      <c r="C109">
        <v>1</v>
      </c>
      <c r="D109">
        <v>3316</v>
      </c>
      <c r="E109">
        <v>3316</v>
      </c>
      <c r="F109" t="s">
        <v>383</v>
      </c>
      <c r="G109">
        <v>332</v>
      </c>
      <c r="H109">
        <v>1</v>
      </c>
      <c r="I109">
        <v>24967.25</v>
      </c>
      <c r="J109">
        <v>24967.25</v>
      </c>
      <c r="L109" t="s">
        <v>374</v>
      </c>
      <c r="M109">
        <v>745</v>
      </c>
      <c r="N109">
        <v>1</v>
      </c>
      <c r="O109">
        <v>4</v>
      </c>
      <c r="P109">
        <v>582</v>
      </c>
      <c r="Q109">
        <v>344</v>
      </c>
      <c r="R109">
        <v>490</v>
      </c>
      <c r="S109">
        <v>114.04</v>
      </c>
      <c r="U109" t="s">
        <v>374</v>
      </c>
      <c r="V109">
        <v>31</v>
      </c>
      <c r="W109">
        <v>1</v>
      </c>
      <c r="X109">
        <v>4</v>
      </c>
      <c r="Y109">
        <v>582</v>
      </c>
      <c r="Z109">
        <v>344</v>
      </c>
      <c r="AA109">
        <v>5.05</v>
      </c>
      <c r="AB109">
        <v>300</v>
      </c>
      <c r="AC109">
        <v>76516.11</v>
      </c>
      <c r="AE109" t="s">
        <v>383</v>
      </c>
      <c r="AF109">
        <v>332</v>
      </c>
      <c r="AG109">
        <v>1</v>
      </c>
      <c r="AH109">
        <v>2586.79</v>
      </c>
      <c r="AI109">
        <v>7553.08</v>
      </c>
      <c r="AJ109">
        <v>5811.15</v>
      </c>
      <c r="AL109" t="s">
        <v>383</v>
      </c>
      <c r="AM109">
        <v>330</v>
      </c>
      <c r="AN109">
        <v>1</v>
      </c>
      <c r="AO109">
        <v>0</v>
      </c>
      <c r="AP109" t="s">
        <v>122</v>
      </c>
      <c r="AQ109" t="s">
        <v>404</v>
      </c>
    </row>
    <row r="110" spans="1:43" x14ac:dyDescent="0.2">
      <c r="A110" t="s">
        <v>374</v>
      </c>
      <c r="B110">
        <v>332</v>
      </c>
      <c r="C110">
        <v>1</v>
      </c>
      <c r="D110">
        <v>25215.29</v>
      </c>
      <c r="E110">
        <v>25215.29</v>
      </c>
      <c r="F110" t="s">
        <v>383</v>
      </c>
      <c r="G110">
        <v>333</v>
      </c>
      <c r="H110">
        <v>1</v>
      </c>
      <c r="I110">
        <v>9218.99</v>
      </c>
      <c r="J110">
        <v>9218.99</v>
      </c>
      <c r="L110" t="s">
        <v>374</v>
      </c>
      <c r="M110">
        <v>761</v>
      </c>
      <c r="N110">
        <v>1</v>
      </c>
      <c r="O110">
        <v>4</v>
      </c>
      <c r="P110">
        <v>582</v>
      </c>
      <c r="Q110">
        <v>344</v>
      </c>
      <c r="R110">
        <v>490</v>
      </c>
      <c r="S110">
        <v>1254.08</v>
      </c>
      <c r="U110" t="s">
        <v>374</v>
      </c>
      <c r="V110">
        <v>32</v>
      </c>
      <c r="W110">
        <v>1</v>
      </c>
      <c r="X110">
        <v>4</v>
      </c>
      <c r="Y110">
        <v>582</v>
      </c>
      <c r="Z110">
        <v>344</v>
      </c>
      <c r="AA110">
        <v>5.19</v>
      </c>
      <c r="AB110">
        <v>300</v>
      </c>
      <c r="AC110">
        <v>10538.92</v>
      </c>
      <c r="AE110" t="s">
        <v>383</v>
      </c>
      <c r="AF110">
        <v>333</v>
      </c>
      <c r="AG110">
        <v>1</v>
      </c>
      <c r="AH110">
        <v>9128.7099999999991</v>
      </c>
      <c r="AI110">
        <v>2532.79</v>
      </c>
      <c r="AJ110">
        <v>-1669.26</v>
      </c>
      <c r="AL110" t="s">
        <v>383</v>
      </c>
      <c r="AM110">
        <v>332</v>
      </c>
      <c r="AN110">
        <v>1</v>
      </c>
      <c r="AO110">
        <v>0</v>
      </c>
      <c r="AP110" t="s">
        <v>123</v>
      </c>
      <c r="AQ110" t="s">
        <v>404</v>
      </c>
    </row>
    <row r="111" spans="1:43" x14ac:dyDescent="0.2">
      <c r="A111" t="s">
        <v>374</v>
      </c>
      <c r="B111">
        <v>333</v>
      </c>
      <c r="C111">
        <v>1</v>
      </c>
      <c r="D111">
        <v>8616.16</v>
      </c>
      <c r="E111">
        <v>8233.5499999999993</v>
      </c>
      <c r="F111" t="s">
        <v>383</v>
      </c>
      <c r="G111">
        <v>345</v>
      </c>
      <c r="H111">
        <v>1</v>
      </c>
      <c r="I111">
        <v>15738.81</v>
      </c>
      <c r="J111">
        <v>15738.81</v>
      </c>
      <c r="L111" t="s">
        <v>374</v>
      </c>
      <c r="M111">
        <v>811</v>
      </c>
      <c r="N111">
        <v>1</v>
      </c>
      <c r="O111">
        <v>4</v>
      </c>
      <c r="P111">
        <v>582</v>
      </c>
      <c r="Q111">
        <v>344</v>
      </c>
      <c r="R111">
        <v>490</v>
      </c>
      <c r="S111">
        <v>55</v>
      </c>
      <c r="U111" t="s">
        <v>374</v>
      </c>
      <c r="V111">
        <v>38</v>
      </c>
      <c r="W111">
        <v>1</v>
      </c>
      <c r="X111">
        <v>4</v>
      </c>
      <c r="Y111">
        <v>582</v>
      </c>
      <c r="Z111">
        <v>344</v>
      </c>
      <c r="AA111">
        <v>5.19</v>
      </c>
      <c r="AB111">
        <v>300</v>
      </c>
      <c r="AC111">
        <v>32134.16</v>
      </c>
      <c r="AE111" t="s">
        <v>383</v>
      </c>
      <c r="AF111">
        <v>345</v>
      </c>
      <c r="AG111">
        <v>1</v>
      </c>
      <c r="AH111">
        <v>-7192.6</v>
      </c>
      <c r="AI111">
        <v>1153.23</v>
      </c>
      <c r="AJ111">
        <v>1693.28</v>
      </c>
      <c r="AL111" t="s">
        <v>383</v>
      </c>
      <c r="AM111">
        <v>333</v>
      </c>
      <c r="AN111">
        <v>1</v>
      </c>
      <c r="AO111">
        <v>0</v>
      </c>
      <c r="AP111" t="s">
        <v>124</v>
      </c>
      <c r="AQ111" t="s">
        <v>404</v>
      </c>
    </row>
    <row r="112" spans="1:43" x14ac:dyDescent="0.2">
      <c r="A112" t="s">
        <v>374</v>
      </c>
      <c r="B112">
        <v>345</v>
      </c>
      <c r="C112">
        <v>1</v>
      </c>
      <c r="D112">
        <v>15650.99</v>
      </c>
      <c r="E112">
        <v>15650.99</v>
      </c>
      <c r="F112" t="s">
        <v>383</v>
      </c>
      <c r="G112">
        <v>347</v>
      </c>
      <c r="H112">
        <v>1</v>
      </c>
      <c r="I112">
        <v>67810.320000000007</v>
      </c>
      <c r="J112">
        <v>67810.320000000007</v>
      </c>
      <c r="L112" t="s">
        <v>374</v>
      </c>
      <c r="M112">
        <v>832</v>
      </c>
      <c r="N112">
        <v>1</v>
      </c>
      <c r="O112">
        <v>4</v>
      </c>
      <c r="P112">
        <v>582</v>
      </c>
      <c r="Q112">
        <v>344</v>
      </c>
      <c r="R112">
        <v>490</v>
      </c>
      <c r="S112">
        <v>37.01</v>
      </c>
      <c r="U112" t="s">
        <v>374</v>
      </c>
      <c r="V112">
        <v>47</v>
      </c>
      <c r="W112">
        <v>1</v>
      </c>
      <c r="X112">
        <v>4</v>
      </c>
      <c r="Y112">
        <v>582</v>
      </c>
      <c r="Z112">
        <v>344</v>
      </c>
      <c r="AA112">
        <v>5.19</v>
      </c>
      <c r="AB112">
        <v>300</v>
      </c>
      <c r="AC112">
        <v>46560.86</v>
      </c>
      <c r="AE112" t="s">
        <v>383</v>
      </c>
      <c r="AF112">
        <v>347</v>
      </c>
      <c r="AG112">
        <v>1</v>
      </c>
      <c r="AH112">
        <v>0</v>
      </c>
      <c r="AI112">
        <v>1660</v>
      </c>
      <c r="AJ112">
        <v>47370.67</v>
      </c>
      <c r="AL112" t="s">
        <v>383</v>
      </c>
      <c r="AM112">
        <v>345</v>
      </c>
      <c r="AN112">
        <v>1</v>
      </c>
      <c r="AO112">
        <v>0</v>
      </c>
      <c r="AP112" t="s">
        <v>125</v>
      </c>
      <c r="AQ112" t="s">
        <v>404</v>
      </c>
    </row>
    <row r="113" spans="1:43" x14ac:dyDescent="0.2">
      <c r="A113" t="s">
        <v>374</v>
      </c>
      <c r="B113">
        <v>347</v>
      </c>
      <c r="C113">
        <v>1</v>
      </c>
      <c r="D113">
        <v>68505.42</v>
      </c>
      <c r="E113">
        <v>68505.42</v>
      </c>
      <c r="F113" t="s">
        <v>383</v>
      </c>
      <c r="G113">
        <v>356</v>
      </c>
      <c r="H113">
        <v>1</v>
      </c>
      <c r="I113">
        <v>3034.69</v>
      </c>
      <c r="J113">
        <v>3034.69</v>
      </c>
      <c r="L113" t="s">
        <v>374</v>
      </c>
      <c r="M113">
        <v>833</v>
      </c>
      <c r="N113">
        <v>1</v>
      </c>
      <c r="O113">
        <v>4</v>
      </c>
      <c r="P113">
        <v>582</v>
      </c>
      <c r="Q113">
        <v>344</v>
      </c>
      <c r="R113">
        <v>490</v>
      </c>
      <c r="S113">
        <v>1080.04</v>
      </c>
      <c r="U113" t="s">
        <v>374</v>
      </c>
      <c r="V113">
        <v>62</v>
      </c>
      <c r="W113">
        <v>1</v>
      </c>
      <c r="X113">
        <v>4</v>
      </c>
      <c r="Y113">
        <v>582</v>
      </c>
      <c r="Z113">
        <v>344</v>
      </c>
      <c r="AA113">
        <v>5.19</v>
      </c>
      <c r="AB113">
        <v>300</v>
      </c>
      <c r="AC113">
        <v>5808.47</v>
      </c>
      <c r="AE113" t="s">
        <v>383</v>
      </c>
      <c r="AF113">
        <v>356</v>
      </c>
      <c r="AG113">
        <v>1</v>
      </c>
      <c r="AH113">
        <v>0</v>
      </c>
      <c r="AI113">
        <v>0.62</v>
      </c>
      <c r="AJ113">
        <v>-0.14000000000000001</v>
      </c>
      <c r="AL113" t="s">
        <v>383</v>
      </c>
      <c r="AM113">
        <v>347</v>
      </c>
      <c r="AN113">
        <v>1</v>
      </c>
      <c r="AO113">
        <v>0</v>
      </c>
      <c r="AP113" t="s">
        <v>126</v>
      </c>
      <c r="AQ113" t="s">
        <v>404</v>
      </c>
    </row>
    <row r="114" spans="1:43" x14ac:dyDescent="0.2">
      <c r="A114" t="s">
        <v>374</v>
      </c>
      <c r="B114">
        <v>356</v>
      </c>
      <c r="C114">
        <v>1</v>
      </c>
      <c r="D114">
        <v>2596.52</v>
      </c>
      <c r="E114">
        <v>2596.52</v>
      </c>
      <c r="F114" t="s">
        <v>383</v>
      </c>
      <c r="G114">
        <v>361</v>
      </c>
      <c r="H114">
        <v>1</v>
      </c>
      <c r="I114">
        <v>14689.71</v>
      </c>
      <c r="J114">
        <v>14689.71</v>
      </c>
      <c r="L114" t="s">
        <v>374</v>
      </c>
      <c r="M114">
        <v>834</v>
      </c>
      <c r="N114">
        <v>1</v>
      </c>
      <c r="O114">
        <v>4</v>
      </c>
      <c r="P114">
        <v>582</v>
      </c>
      <c r="Q114">
        <v>344</v>
      </c>
      <c r="R114">
        <v>490</v>
      </c>
      <c r="S114">
        <v>125.48</v>
      </c>
      <c r="U114" t="s">
        <v>374</v>
      </c>
      <c r="V114">
        <v>75</v>
      </c>
      <c r="W114">
        <v>1</v>
      </c>
      <c r="X114">
        <v>4</v>
      </c>
      <c r="Y114">
        <v>582</v>
      </c>
      <c r="Z114">
        <v>344</v>
      </c>
      <c r="AA114">
        <v>5.19</v>
      </c>
      <c r="AB114">
        <v>300</v>
      </c>
      <c r="AC114">
        <v>4733.51</v>
      </c>
      <c r="AE114" t="s">
        <v>383</v>
      </c>
      <c r="AF114">
        <v>361</v>
      </c>
      <c r="AG114">
        <v>1</v>
      </c>
      <c r="AH114">
        <v>3268.75</v>
      </c>
      <c r="AI114">
        <v>4170.42</v>
      </c>
      <c r="AJ114">
        <v>11168.34</v>
      </c>
      <c r="AL114" t="s">
        <v>383</v>
      </c>
      <c r="AM114">
        <v>356</v>
      </c>
      <c r="AN114">
        <v>1</v>
      </c>
      <c r="AO114">
        <v>0</v>
      </c>
      <c r="AP114" t="s">
        <v>127</v>
      </c>
      <c r="AQ114" t="s">
        <v>404</v>
      </c>
    </row>
    <row r="115" spans="1:43" x14ac:dyDescent="0.2">
      <c r="A115" t="s">
        <v>374</v>
      </c>
      <c r="B115">
        <v>361</v>
      </c>
      <c r="C115">
        <v>1</v>
      </c>
      <c r="D115">
        <v>16021.93</v>
      </c>
      <c r="E115">
        <v>16021.93</v>
      </c>
      <c r="F115" t="s">
        <v>383</v>
      </c>
      <c r="G115">
        <v>362</v>
      </c>
      <c r="H115">
        <v>1</v>
      </c>
      <c r="I115">
        <v>4291.13</v>
      </c>
      <c r="J115">
        <v>4291.13</v>
      </c>
      <c r="L115" t="s">
        <v>374</v>
      </c>
      <c r="M115">
        <v>876</v>
      </c>
      <c r="N115">
        <v>1</v>
      </c>
      <c r="O115">
        <v>4</v>
      </c>
      <c r="P115">
        <v>582</v>
      </c>
      <c r="Q115">
        <v>344</v>
      </c>
      <c r="R115">
        <v>490</v>
      </c>
      <c r="S115">
        <v>9.25</v>
      </c>
      <c r="U115" t="s">
        <v>374</v>
      </c>
      <c r="V115">
        <v>77</v>
      </c>
      <c r="W115">
        <v>1</v>
      </c>
      <c r="X115">
        <v>4</v>
      </c>
      <c r="Y115">
        <v>582</v>
      </c>
      <c r="Z115">
        <v>344</v>
      </c>
      <c r="AA115">
        <v>5.19</v>
      </c>
      <c r="AB115">
        <v>300</v>
      </c>
      <c r="AC115">
        <v>88954.15</v>
      </c>
      <c r="AE115" t="s">
        <v>383</v>
      </c>
      <c r="AF115">
        <v>362</v>
      </c>
      <c r="AG115">
        <v>1</v>
      </c>
      <c r="AH115">
        <v>0</v>
      </c>
      <c r="AI115">
        <v>0</v>
      </c>
      <c r="AJ115">
        <v>0</v>
      </c>
      <c r="AL115" t="s">
        <v>383</v>
      </c>
      <c r="AM115">
        <v>361</v>
      </c>
      <c r="AN115">
        <v>1</v>
      </c>
      <c r="AO115">
        <v>0</v>
      </c>
      <c r="AP115" t="s">
        <v>128</v>
      </c>
      <c r="AQ115" t="s">
        <v>404</v>
      </c>
    </row>
    <row r="116" spans="1:43" x14ac:dyDescent="0.2">
      <c r="A116" t="s">
        <v>374</v>
      </c>
      <c r="B116">
        <v>362</v>
      </c>
      <c r="C116">
        <v>1</v>
      </c>
      <c r="D116">
        <v>4409.6099999999997</v>
      </c>
      <c r="E116">
        <v>4409.6099999999997</v>
      </c>
      <c r="F116" t="s">
        <v>383</v>
      </c>
      <c r="G116">
        <v>363</v>
      </c>
      <c r="H116">
        <v>1</v>
      </c>
      <c r="I116">
        <v>5065.2700000000004</v>
      </c>
      <c r="J116">
        <v>5065.2700000000004</v>
      </c>
      <c r="L116" t="s">
        <v>374</v>
      </c>
      <c r="M116">
        <v>879</v>
      </c>
      <c r="N116">
        <v>1</v>
      </c>
      <c r="O116">
        <v>4</v>
      </c>
      <c r="P116">
        <v>582</v>
      </c>
      <c r="Q116">
        <v>344</v>
      </c>
      <c r="R116">
        <v>490</v>
      </c>
      <c r="S116">
        <v>69.94</v>
      </c>
      <c r="U116" t="s">
        <v>374</v>
      </c>
      <c r="V116">
        <v>84</v>
      </c>
      <c r="W116">
        <v>1</v>
      </c>
      <c r="X116">
        <v>4</v>
      </c>
      <c r="Y116">
        <v>582</v>
      </c>
      <c r="Z116">
        <v>344</v>
      </c>
      <c r="AA116">
        <v>5.19</v>
      </c>
      <c r="AB116">
        <v>300</v>
      </c>
      <c r="AC116">
        <v>12657.56</v>
      </c>
      <c r="AE116" t="s">
        <v>383</v>
      </c>
      <c r="AF116">
        <v>363</v>
      </c>
      <c r="AG116">
        <v>1</v>
      </c>
      <c r="AH116">
        <v>0</v>
      </c>
      <c r="AI116">
        <v>0</v>
      </c>
      <c r="AJ116">
        <v>0</v>
      </c>
      <c r="AL116" t="s">
        <v>383</v>
      </c>
      <c r="AM116">
        <v>362</v>
      </c>
      <c r="AN116">
        <v>1</v>
      </c>
      <c r="AO116">
        <v>0</v>
      </c>
      <c r="AP116" t="s">
        <v>129</v>
      </c>
      <c r="AQ116" t="s">
        <v>404</v>
      </c>
    </row>
    <row r="117" spans="1:43" x14ac:dyDescent="0.2">
      <c r="A117" t="s">
        <v>374</v>
      </c>
      <c r="B117">
        <v>363</v>
      </c>
      <c r="C117">
        <v>1</v>
      </c>
      <c r="D117">
        <v>4897.58</v>
      </c>
      <c r="E117">
        <v>4897.58</v>
      </c>
      <c r="F117" t="s">
        <v>383</v>
      </c>
      <c r="G117">
        <v>378</v>
      </c>
      <c r="H117">
        <v>1</v>
      </c>
      <c r="I117">
        <v>5943.93</v>
      </c>
      <c r="J117">
        <v>0</v>
      </c>
      <c r="L117" t="s">
        <v>374</v>
      </c>
      <c r="M117">
        <v>885</v>
      </c>
      <c r="N117">
        <v>1</v>
      </c>
      <c r="O117">
        <v>4</v>
      </c>
      <c r="P117">
        <v>582</v>
      </c>
      <c r="Q117">
        <v>344</v>
      </c>
      <c r="R117">
        <v>490</v>
      </c>
      <c r="S117">
        <v>4836.41</v>
      </c>
      <c r="U117" t="s">
        <v>374</v>
      </c>
      <c r="V117">
        <v>88</v>
      </c>
      <c r="W117">
        <v>1</v>
      </c>
      <c r="X117">
        <v>4</v>
      </c>
      <c r="Y117">
        <v>582</v>
      </c>
      <c r="Z117">
        <v>344</v>
      </c>
      <c r="AA117">
        <v>5.19</v>
      </c>
      <c r="AB117">
        <v>300</v>
      </c>
      <c r="AC117">
        <v>23711.52</v>
      </c>
      <c r="AE117" t="s">
        <v>383</v>
      </c>
      <c r="AF117">
        <v>378</v>
      </c>
      <c r="AG117">
        <v>1</v>
      </c>
      <c r="AH117">
        <v>7736.66</v>
      </c>
      <c r="AI117">
        <v>21023.46</v>
      </c>
      <c r="AJ117">
        <v>17886.849999999999</v>
      </c>
      <c r="AL117" t="s">
        <v>383</v>
      </c>
      <c r="AM117">
        <v>363</v>
      </c>
      <c r="AN117">
        <v>1</v>
      </c>
      <c r="AO117">
        <v>0</v>
      </c>
      <c r="AP117" t="s">
        <v>130</v>
      </c>
      <c r="AQ117" t="s">
        <v>404</v>
      </c>
    </row>
    <row r="118" spans="1:43" x14ac:dyDescent="0.2">
      <c r="A118" t="s">
        <v>374</v>
      </c>
      <c r="B118">
        <v>371</v>
      </c>
      <c r="C118">
        <v>1</v>
      </c>
      <c r="D118">
        <v>1286.74</v>
      </c>
      <c r="E118">
        <v>580.6</v>
      </c>
      <c r="F118" t="s">
        <v>383</v>
      </c>
      <c r="G118">
        <v>381</v>
      </c>
      <c r="H118">
        <v>1</v>
      </c>
      <c r="I118">
        <v>16345.01</v>
      </c>
      <c r="J118">
        <v>16345.01</v>
      </c>
      <c r="L118" t="s">
        <v>374</v>
      </c>
      <c r="M118">
        <v>912</v>
      </c>
      <c r="N118">
        <v>1</v>
      </c>
      <c r="O118">
        <v>4</v>
      </c>
      <c r="P118">
        <v>582</v>
      </c>
      <c r="Q118">
        <v>344</v>
      </c>
      <c r="R118">
        <v>490</v>
      </c>
      <c r="S118">
        <v>264.25</v>
      </c>
      <c r="U118" t="s">
        <v>374</v>
      </c>
      <c r="V118">
        <v>91</v>
      </c>
      <c r="W118">
        <v>1</v>
      </c>
      <c r="X118">
        <v>4</v>
      </c>
      <c r="Y118">
        <v>582</v>
      </c>
      <c r="Z118">
        <v>344</v>
      </c>
      <c r="AA118">
        <v>5.19</v>
      </c>
      <c r="AB118">
        <v>300</v>
      </c>
      <c r="AC118">
        <v>8823.0300000000007</v>
      </c>
      <c r="AE118" t="s">
        <v>383</v>
      </c>
      <c r="AF118">
        <v>381</v>
      </c>
      <c r="AG118">
        <v>1</v>
      </c>
      <c r="AH118">
        <v>-1304.68</v>
      </c>
      <c r="AI118">
        <v>2048.36</v>
      </c>
      <c r="AJ118">
        <v>2116.0100000000002</v>
      </c>
      <c r="AL118" t="s">
        <v>383</v>
      </c>
      <c r="AM118">
        <v>378</v>
      </c>
      <c r="AN118">
        <v>1</v>
      </c>
      <c r="AO118">
        <v>0</v>
      </c>
      <c r="AP118" t="s">
        <v>131</v>
      </c>
      <c r="AQ118" t="s">
        <v>404</v>
      </c>
    </row>
    <row r="119" spans="1:43" x14ac:dyDescent="0.2">
      <c r="A119" t="s">
        <v>374</v>
      </c>
      <c r="B119">
        <v>378</v>
      </c>
      <c r="C119">
        <v>1</v>
      </c>
      <c r="D119">
        <v>6108.85</v>
      </c>
      <c r="E119">
        <v>3355.11</v>
      </c>
      <c r="F119" t="s">
        <v>383</v>
      </c>
      <c r="G119">
        <v>390</v>
      </c>
      <c r="H119">
        <v>1</v>
      </c>
      <c r="I119">
        <v>8266.9500000000007</v>
      </c>
      <c r="J119">
        <v>8266.9500000000007</v>
      </c>
      <c r="L119" t="s">
        <v>374</v>
      </c>
      <c r="M119">
        <v>2071</v>
      </c>
      <c r="N119">
        <v>1</v>
      </c>
      <c r="O119">
        <v>4</v>
      </c>
      <c r="P119">
        <v>582</v>
      </c>
      <c r="Q119">
        <v>344</v>
      </c>
      <c r="R119">
        <v>490</v>
      </c>
      <c r="S119">
        <v>858.98</v>
      </c>
      <c r="U119" t="s">
        <v>374</v>
      </c>
      <c r="V119">
        <v>93</v>
      </c>
      <c r="W119">
        <v>1</v>
      </c>
      <c r="X119">
        <v>4</v>
      </c>
      <c r="Y119">
        <v>582</v>
      </c>
      <c r="Z119">
        <v>344</v>
      </c>
      <c r="AA119">
        <v>5.19</v>
      </c>
      <c r="AB119">
        <v>300</v>
      </c>
      <c r="AC119">
        <v>7053.44</v>
      </c>
      <c r="AE119" t="s">
        <v>383</v>
      </c>
      <c r="AF119">
        <v>390</v>
      </c>
      <c r="AG119">
        <v>1</v>
      </c>
      <c r="AH119">
        <v>71.510000000000005</v>
      </c>
      <c r="AI119">
        <v>-585.1</v>
      </c>
      <c r="AJ119">
        <v>0</v>
      </c>
      <c r="AL119" t="s">
        <v>383</v>
      </c>
      <c r="AM119">
        <v>381</v>
      </c>
      <c r="AN119">
        <v>1</v>
      </c>
      <c r="AO119">
        <v>0</v>
      </c>
      <c r="AP119" t="s">
        <v>132</v>
      </c>
      <c r="AQ119" t="s">
        <v>404</v>
      </c>
    </row>
    <row r="120" spans="1:43" x14ac:dyDescent="0.2">
      <c r="A120" t="s">
        <v>374</v>
      </c>
      <c r="B120">
        <v>381</v>
      </c>
      <c r="C120">
        <v>1</v>
      </c>
      <c r="D120">
        <v>17803.03</v>
      </c>
      <c r="E120">
        <v>17803.03</v>
      </c>
      <c r="F120" t="s">
        <v>383</v>
      </c>
      <c r="G120">
        <v>391</v>
      </c>
      <c r="H120">
        <v>1</v>
      </c>
      <c r="I120">
        <v>3508.48</v>
      </c>
      <c r="J120">
        <v>3508.48</v>
      </c>
      <c r="L120" t="s">
        <v>374</v>
      </c>
      <c r="M120">
        <v>2889</v>
      </c>
      <c r="N120">
        <v>1</v>
      </c>
      <c r="O120">
        <v>4</v>
      </c>
      <c r="P120">
        <v>582</v>
      </c>
      <c r="Q120">
        <v>344</v>
      </c>
      <c r="R120">
        <v>490</v>
      </c>
      <c r="S120">
        <v>881.82</v>
      </c>
      <c r="U120" t="s">
        <v>374</v>
      </c>
      <c r="V120">
        <v>94</v>
      </c>
      <c r="W120">
        <v>1</v>
      </c>
      <c r="X120">
        <v>4</v>
      </c>
      <c r="Y120">
        <v>582</v>
      </c>
      <c r="Z120">
        <v>344</v>
      </c>
      <c r="AA120">
        <v>5.19</v>
      </c>
      <c r="AB120">
        <v>300</v>
      </c>
      <c r="AC120">
        <v>33802.559999999998</v>
      </c>
      <c r="AE120" t="s">
        <v>383</v>
      </c>
      <c r="AF120">
        <v>391</v>
      </c>
      <c r="AG120">
        <v>1</v>
      </c>
      <c r="AH120">
        <v>-16488.25</v>
      </c>
      <c r="AI120">
        <v>-26236.55</v>
      </c>
      <c r="AJ120">
        <v>-33777.379999999997</v>
      </c>
      <c r="AL120" t="s">
        <v>383</v>
      </c>
      <c r="AM120">
        <v>390</v>
      </c>
      <c r="AN120">
        <v>1</v>
      </c>
      <c r="AO120">
        <v>0</v>
      </c>
      <c r="AP120" t="s">
        <v>133</v>
      </c>
      <c r="AQ120" t="s">
        <v>404</v>
      </c>
    </row>
    <row r="121" spans="1:43" x14ac:dyDescent="0.2">
      <c r="A121" t="s">
        <v>374</v>
      </c>
      <c r="B121">
        <v>390</v>
      </c>
      <c r="C121">
        <v>1</v>
      </c>
      <c r="D121">
        <v>7707.35</v>
      </c>
      <c r="E121">
        <v>7707.35</v>
      </c>
      <c r="F121" t="s">
        <v>383</v>
      </c>
      <c r="G121">
        <v>392</v>
      </c>
      <c r="H121">
        <v>1</v>
      </c>
      <c r="I121">
        <v>9125.61</v>
      </c>
      <c r="J121">
        <v>9125.61</v>
      </c>
      <c r="L121" t="s">
        <v>374</v>
      </c>
      <c r="M121">
        <v>1</v>
      </c>
      <c r="N121">
        <v>3</v>
      </c>
      <c r="O121">
        <v>4</v>
      </c>
      <c r="P121">
        <v>582</v>
      </c>
      <c r="Q121">
        <v>0</v>
      </c>
      <c r="R121">
        <v>490</v>
      </c>
      <c r="S121">
        <v>421.97</v>
      </c>
      <c r="U121" t="s">
        <v>374</v>
      </c>
      <c r="V121">
        <v>95</v>
      </c>
      <c r="W121">
        <v>1</v>
      </c>
      <c r="X121">
        <v>4</v>
      </c>
      <c r="Y121">
        <v>582</v>
      </c>
      <c r="Z121">
        <v>344</v>
      </c>
      <c r="AA121">
        <v>5.19</v>
      </c>
      <c r="AB121">
        <v>300</v>
      </c>
      <c r="AC121">
        <v>4303.1099999999997</v>
      </c>
      <c r="AE121" t="s">
        <v>383</v>
      </c>
      <c r="AF121">
        <v>392</v>
      </c>
      <c r="AG121">
        <v>1</v>
      </c>
      <c r="AH121">
        <v>5497.45</v>
      </c>
      <c r="AI121">
        <v>2309.0300000000002</v>
      </c>
      <c r="AJ121">
        <v>6600.29</v>
      </c>
      <c r="AL121" t="s">
        <v>383</v>
      </c>
      <c r="AM121">
        <v>391</v>
      </c>
      <c r="AN121">
        <v>1</v>
      </c>
      <c r="AO121">
        <v>0</v>
      </c>
      <c r="AP121" t="s">
        <v>134</v>
      </c>
      <c r="AQ121" t="s">
        <v>404</v>
      </c>
    </row>
    <row r="122" spans="1:43" x14ac:dyDescent="0.2">
      <c r="A122" t="s">
        <v>374</v>
      </c>
      <c r="B122">
        <v>391</v>
      </c>
      <c r="C122">
        <v>1</v>
      </c>
      <c r="D122">
        <v>4843.1899999999996</v>
      </c>
      <c r="E122">
        <v>4843.1899999999996</v>
      </c>
      <c r="F122" t="s">
        <v>383</v>
      </c>
      <c r="G122">
        <v>394</v>
      </c>
      <c r="H122">
        <v>1</v>
      </c>
      <c r="I122">
        <v>13924.65</v>
      </c>
      <c r="J122">
        <v>13924.65</v>
      </c>
      <c r="L122" t="s">
        <v>374</v>
      </c>
      <c r="M122">
        <v>625</v>
      </c>
      <c r="N122">
        <v>1</v>
      </c>
      <c r="O122">
        <v>4</v>
      </c>
      <c r="P122">
        <v>582</v>
      </c>
      <c r="Q122">
        <v>0</v>
      </c>
      <c r="R122">
        <v>490</v>
      </c>
      <c r="S122">
        <v>22.8</v>
      </c>
      <c r="U122" t="s">
        <v>374</v>
      </c>
      <c r="V122">
        <v>97</v>
      </c>
      <c r="W122">
        <v>1</v>
      </c>
      <c r="X122">
        <v>4</v>
      </c>
      <c r="Y122">
        <v>582</v>
      </c>
      <c r="Z122">
        <v>344</v>
      </c>
      <c r="AA122">
        <v>5.19</v>
      </c>
      <c r="AB122">
        <v>300</v>
      </c>
      <c r="AC122">
        <v>8581.6</v>
      </c>
      <c r="AE122" t="s">
        <v>383</v>
      </c>
      <c r="AF122">
        <v>394</v>
      </c>
      <c r="AG122">
        <v>1</v>
      </c>
      <c r="AH122">
        <v>6595.88</v>
      </c>
      <c r="AI122">
        <v>12603.48</v>
      </c>
      <c r="AJ122">
        <v>10989.28</v>
      </c>
      <c r="AL122" t="s">
        <v>383</v>
      </c>
      <c r="AM122">
        <v>392</v>
      </c>
      <c r="AN122">
        <v>1</v>
      </c>
      <c r="AO122">
        <v>0</v>
      </c>
      <c r="AP122" t="s">
        <v>135</v>
      </c>
      <c r="AQ122" t="s">
        <v>404</v>
      </c>
    </row>
    <row r="123" spans="1:43" x14ac:dyDescent="0.2">
      <c r="A123" t="s">
        <v>374</v>
      </c>
      <c r="B123">
        <v>392</v>
      </c>
      <c r="C123">
        <v>1</v>
      </c>
      <c r="D123">
        <v>8603.67</v>
      </c>
      <c r="E123">
        <v>8603.67</v>
      </c>
      <c r="F123" t="s">
        <v>383</v>
      </c>
      <c r="G123">
        <v>402</v>
      </c>
      <c r="H123">
        <v>1</v>
      </c>
      <c r="I123">
        <v>2429.4499999999998</v>
      </c>
      <c r="J123">
        <v>2429.4499999999998</v>
      </c>
      <c r="L123" t="s">
        <v>374</v>
      </c>
      <c r="M123">
        <v>138</v>
      </c>
      <c r="N123">
        <v>1</v>
      </c>
      <c r="O123">
        <v>4</v>
      </c>
      <c r="P123">
        <v>582</v>
      </c>
      <c r="Q123">
        <v>344</v>
      </c>
      <c r="R123">
        <v>470</v>
      </c>
      <c r="S123">
        <v>403</v>
      </c>
      <c r="U123" t="s">
        <v>374</v>
      </c>
      <c r="V123">
        <v>99</v>
      </c>
      <c r="W123">
        <v>1</v>
      </c>
      <c r="X123">
        <v>4</v>
      </c>
      <c r="Y123">
        <v>582</v>
      </c>
      <c r="Z123">
        <v>344</v>
      </c>
      <c r="AA123">
        <v>5.19</v>
      </c>
      <c r="AB123">
        <v>300</v>
      </c>
      <c r="AC123">
        <v>6814.86</v>
      </c>
      <c r="AE123" t="s">
        <v>383</v>
      </c>
      <c r="AF123">
        <v>402</v>
      </c>
      <c r="AG123">
        <v>1</v>
      </c>
      <c r="AH123">
        <v>-21161</v>
      </c>
      <c r="AI123">
        <v>-17342.240000000002</v>
      </c>
      <c r="AJ123">
        <v>-15148.55</v>
      </c>
      <c r="AL123" t="s">
        <v>383</v>
      </c>
      <c r="AM123">
        <v>394</v>
      </c>
      <c r="AN123">
        <v>1</v>
      </c>
      <c r="AO123">
        <v>0</v>
      </c>
      <c r="AP123" t="s">
        <v>136</v>
      </c>
      <c r="AQ123" t="s">
        <v>404</v>
      </c>
    </row>
    <row r="124" spans="1:43" x14ac:dyDescent="0.2">
      <c r="A124" t="s">
        <v>374</v>
      </c>
      <c r="B124">
        <v>394</v>
      </c>
      <c r="C124">
        <v>1</v>
      </c>
      <c r="D124">
        <v>13610.22</v>
      </c>
      <c r="E124">
        <v>13610.22</v>
      </c>
      <c r="F124" t="s">
        <v>383</v>
      </c>
      <c r="G124">
        <v>403</v>
      </c>
      <c r="H124">
        <v>1</v>
      </c>
      <c r="I124">
        <v>2126.59</v>
      </c>
      <c r="J124">
        <v>2126.59</v>
      </c>
      <c r="L124" t="s">
        <v>374</v>
      </c>
      <c r="M124">
        <v>196</v>
      </c>
      <c r="N124">
        <v>1</v>
      </c>
      <c r="O124">
        <v>4</v>
      </c>
      <c r="P124">
        <v>582</v>
      </c>
      <c r="Q124">
        <v>344</v>
      </c>
      <c r="R124">
        <v>470</v>
      </c>
      <c r="S124">
        <v>307.55</v>
      </c>
      <c r="U124" t="s">
        <v>374</v>
      </c>
      <c r="V124">
        <v>100</v>
      </c>
      <c r="W124">
        <v>1</v>
      </c>
      <c r="X124">
        <v>4</v>
      </c>
      <c r="Y124">
        <v>582</v>
      </c>
      <c r="Z124">
        <v>344</v>
      </c>
      <c r="AA124">
        <v>5.19</v>
      </c>
      <c r="AB124">
        <v>300</v>
      </c>
      <c r="AC124">
        <v>3892.21</v>
      </c>
      <c r="AE124" t="s">
        <v>383</v>
      </c>
      <c r="AF124">
        <v>403</v>
      </c>
      <c r="AG124">
        <v>1</v>
      </c>
      <c r="AH124">
        <v>-5119.53</v>
      </c>
      <c r="AI124">
        <v>-8886.7800000000007</v>
      </c>
      <c r="AJ124">
        <v>-6808.53</v>
      </c>
      <c r="AL124" t="s">
        <v>383</v>
      </c>
      <c r="AM124">
        <v>402</v>
      </c>
      <c r="AN124">
        <v>1</v>
      </c>
      <c r="AO124">
        <v>0</v>
      </c>
      <c r="AP124" t="s">
        <v>137</v>
      </c>
      <c r="AQ124" t="s">
        <v>404</v>
      </c>
    </row>
    <row r="125" spans="1:43" x14ac:dyDescent="0.2">
      <c r="A125" t="s">
        <v>374</v>
      </c>
      <c r="B125">
        <v>402</v>
      </c>
      <c r="C125">
        <v>1</v>
      </c>
      <c r="D125">
        <v>2278.0300000000002</v>
      </c>
      <c r="E125">
        <v>2278.0300000000002</v>
      </c>
      <c r="F125" t="s">
        <v>383</v>
      </c>
      <c r="G125">
        <v>404</v>
      </c>
      <c r="H125">
        <v>1</v>
      </c>
      <c r="I125">
        <v>2260.54</v>
      </c>
      <c r="J125">
        <v>2260.54</v>
      </c>
      <c r="L125" t="s">
        <v>374</v>
      </c>
      <c r="M125">
        <v>833</v>
      </c>
      <c r="N125">
        <v>1</v>
      </c>
      <c r="O125">
        <v>4</v>
      </c>
      <c r="P125">
        <v>582</v>
      </c>
      <c r="Q125">
        <v>344</v>
      </c>
      <c r="R125">
        <v>470</v>
      </c>
      <c r="S125">
        <v>838.88</v>
      </c>
      <c r="U125" t="s">
        <v>374</v>
      </c>
      <c r="V125">
        <v>110</v>
      </c>
      <c r="W125">
        <v>1</v>
      </c>
      <c r="X125">
        <v>4</v>
      </c>
      <c r="Y125">
        <v>582</v>
      </c>
      <c r="Z125">
        <v>344</v>
      </c>
      <c r="AA125">
        <v>5.19</v>
      </c>
      <c r="AB125">
        <v>300</v>
      </c>
      <c r="AC125">
        <v>23992.07</v>
      </c>
      <c r="AE125" t="s">
        <v>383</v>
      </c>
      <c r="AF125">
        <v>404</v>
      </c>
      <c r="AG125">
        <v>1</v>
      </c>
      <c r="AH125">
        <v>-55307.71</v>
      </c>
      <c r="AI125">
        <v>-81063.210000000006</v>
      </c>
      <c r="AJ125">
        <v>-91651.11</v>
      </c>
      <c r="AL125" t="s">
        <v>383</v>
      </c>
      <c r="AM125">
        <v>403</v>
      </c>
      <c r="AN125">
        <v>1</v>
      </c>
      <c r="AO125">
        <v>0</v>
      </c>
      <c r="AP125" t="s">
        <v>138</v>
      </c>
      <c r="AQ125" t="s">
        <v>404</v>
      </c>
    </row>
    <row r="126" spans="1:43" x14ac:dyDescent="0.2">
      <c r="A126" t="s">
        <v>374</v>
      </c>
      <c r="B126">
        <v>403</v>
      </c>
      <c r="C126">
        <v>1</v>
      </c>
      <c r="D126">
        <v>2162.59</v>
      </c>
      <c r="E126">
        <v>2162.59</v>
      </c>
      <c r="F126" t="s">
        <v>383</v>
      </c>
      <c r="G126">
        <v>413</v>
      </c>
      <c r="H126">
        <v>1</v>
      </c>
      <c r="I126">
        <v>28469.39</v>
      </c>
      <c r="J126">
        <v>28394.06</v>
      </c>
      <c r="L126" t="s">
        <v>374</v>
      </c>
      <c r="M126">
        <v>110</v>
      </c>
      <c r="N126">
        <v>1</v>
      </c>
      <c r="O126">
        <v>4</v>
      </c>
      <c r="P126">
        <v>582</v>
      </c>
      <c r="Q126">
        <v>733</v>
      </c>
      <c r="R126">
        <v>440</v>
      </c>
      <c r="S126">
        <v>21.68</v>
      </c>
      <c r="U126" t="s">
        <v>374</v>
      </c>
      <c r="V126">
        <v>111</v>
      </c>
      <c r="W126">
        <v>1</v>
      </c>
      <c r="X126">
        <v>4</v>
      </c>
      <c r="Y126">
        <v>582</v>
      </c>
      <c r="Z126">
        <v>344</v>
      </c>
      <c r="AA126">
        <v>5.19</v>
      </c>
      <c r="AB126">
        <v>300</v>
      </c>
      <c r="AC126">
        <v>16522.61</v>
      </c>
      <c r="AE126" t="s">
        <v>383</v>
      </c>
      <c r="AF126">
        <v>413</v>
      </c>
      <c r="AG126">
        <v>1</v>
      </c>
      <c r="AH126">
        <v>19705.29</v>
      </c>
      <c r="AI126">
        <v>24731.759999999998</v>
      </c>
      <c r="AJ126">
        <v>5472.02</v>
      </c>
      <c r="AL126" t="s">
        <v>383</v>
      </c>
      <c r="AM126">
        <v>404</v>
      </c>
      <c r="AN126">
        <v>1</v>
      </c>
      <c r="AO126">
        <v>0</v>
      </c>
      <c r="AP126" t="s">
        <v>139</v>
      </c>
      <c r="AQ126" t="s">
        <v>404</v>
      </c>
    </row>
    <row r="127" spans="1:43" x14ac:dyDescent="0.2">
      <c r="A127" t="s">
        <v>374</v>
      </c>
      <c r="B127">
        <v>404</v>
      </c>
      <c r="C127">
        <v>1</v>
      </c>
      <c r="D127">
        <v>2567.73</v>
      </c>
      <c r="E127">
        <v>2567.73</v>
      </c>
      <c r="F127" t="s">
        <v>383</v>
      </c>
      <c r="G127">
        <v>414</v>
      </c>
      <c r="H127">
        <v>1</v>
      </c>
      <c r="I127">
        <v>5734.55</v>
      </c>
      <c r="J127">
        <v>5734.55</v>
      </c>
      <c r="L127" t="s">
        <v>374</v>
      </c>
      <c r="M127">
        <v>625</v>
      </c>
      <c r="N127">
        <v>1</v>
      </c>
      <c r="O127">
        <v>4</v>
      </c>
      <c r="P127">
        <v>582</v>
      </c>
      <c r="Q127">
        <v>599</v>
      </c>
      <c r="R127">
        <v>430</v>
      </c>
      <c r="S127">
        <v>12222</v>
      </c>
      <c r="U127" t="s">
        <v>374</v>
      </c>
      <c r="V127">
        <v>112</v>
      </c>
      <c r="W127">
        <v>1</v>
      </c>
      <c r="X127">
        <v>4</v>
      </c>
      <c r="Y127">
        <v>582</v>
      </c>
      <c r="Z127">
        <v>344</v>
      </c>
      <c r="AA127">
        <v>5.19</v>
      </c>
      <c r="AB127">
        <v>300</v>
      </c>
      <c r="AC127">
        <v>91609.88</v>
      </c>
      <c r="AE127" t="s">
        <v>383</v>
      </c>
      <c r="AF127">
        <v>414</v>
      </c>
      <c r="AG127">
        <v>1</v>
      </c>
      <c r="AH127">
        <v>16436.43</v>
      </c>
      <c r="AI127">
        <v>1312.56</v>
      </c>
      <c r="AJ127">
        <v>0</v>
      </c>
      <c r="AL127" t="s">
        <v>383</v>
      </c>
      <c r="AM127">
        <v>413</v>
      </c>
      <c r="AN127">
        <v>1</v>
      </c>
      <c r="AO127">
        <v>0</v>
      </c>
      <c r="AP127" t="s">
        <v>140</v>
      </c>
      <c r="AQ127" t="s">
        <v>404</v>
      </c>
    </row>
    <row r="128" spans="1:43" x14ac:dyDescent="0.2">
      <c r="A128" t="s">
        <v>374</v>
      </c>
      <c r="B128">
        <v>411</v>
      </c>
      <c r="C128">
        <v>1</v>
      </c>
      <c r="D128">
        <v>1756.48</v>
      </c>
      <c r="E128">
        <v>1756.48</v>
      </c>
      <c r="F128" t="s">
        <v>383</v>
      </c>
      <c r="G128">
        <v>415</v>
      </c>
      <c r="H128">
        <v>1</v>
      </c>
      <c r="I128">
        <v>2826.27</v>
      </c>
      <c r="J128">
        <v>2826.27</v>
      </c>
      <c r="L128" t="s">
        <v>374</v>
      </c>
      <c r="M128">
        <v>1</v>
      </c>
      <c r="N128">
        <v>1</v>
      </c>
      <c r="O128">
        <v>4</v>
      </c>
      <c r="P128">
        <v>582</v>
      </c>
      <c r="Q128">
        <v>344</v>
      </c>
      <c r="R128">
        <v>430</v>
      </c>
      <c r="S128">
        <v>164.24</v>
      </c>
      <c r="U128" t="s">
        <v>374</v>
      </c>
      <c r="V128">
        <v>113</v>
      </c>
      <c r="W128">
        <v>1</v>
      </c>
      <c r="X128">
        <v>4</v>
      </c>
      <c r="Y128">
        <v>582</v>
      </c>
      <c r="Z128">
        <v>344</v>
      </c>
      <c r="AA128">
        <v>5.19</v>
      </c>
      <c r="AB128">
        <v>300</v>
      </c>
      <c r="AC128">
        <v>13144.45</v>
      </c>
      <c r="AE128" t="s">
        <v>383</v>
      </c>
      <c r="AF128">
        <v>415</v>
      </c>
      <c r="AG128">
        <v>1</v>
      </c>
      <c r="AH128">
        <v>0.28999999999999998</v>
      </c>
      <c r="AI128">
        <v>7.94</v>
      </c>
      <c r="AJ128">
        <v>-0.21</v>
      </c>
      <c r="AL128" t="s">
        <v>383</v>
      </c>
      <c r="AM128">
        <v>414</v>
      </c>
      <c r="AN128">
        <v>1</v>
      </c>
      <c r="AO128">
        <v>0</v>
      </c>
      <c r="AP128" t="s">
        <v>141</v>
      </c>
      <c r="AQ128" t="s">
        <v>404</v>
      </c>
    </row>
    <row r="129" spans="1:43" x14ac:dyDescent="0.2">
      <c r="A129" t="s">
        <v>374</v>
      </c>
      <c r="B129">
        <v>413</v>
      </c>
      <c r="C129">
        <v>1</v>
      </c>
      <c r="D129">
        <v>29586.44</v>
      </c>
      <c r="E129">
        <v>22565.16</v>
      </c>
      <c r="F129" t="s">
        <v>383</v>
      </c>
      <c r="G129">
        <v>423</v>
      </c>
      <c r="H129">
        <v>1</v>
      </c>
      <c r="I129">
        <v>40378.89</v>
      </c>
      <c r="J129">
        <v>40378.89</v>
      </c>
      <c r="L129" t="s">
        <v>374</v>
      </c>
      <c r="M129">
        <v>1</v>
      </c>
      <c r="N129">
        <v>3</v>
      </c>
      <c r="O129">
        <v>4</v>
      </c>
      <c r="P129">
        <v>582</v>
      </c>
      <c r="Q129">
        <v>344</v>
      </c>
      <c r="R129">
        <v>430</v>
      </c>
      <c r="S129">
        <v>19772.38</v>
      </c>
      <c r="U129" t="s">
        <v>374</v>
      </c>
      <c r="V129">
        <v>115</v>
      </c>
      <c r="W129">
        <v>1</v>
      </c>
      <c r="X129">
        <v>4</v>
      </c>
      <c r="Y129">
        <v>582</v>
      </c>
      <c r="Z129">
        <v>344</v>
      </c>
      <c r="AA129">
        <v>5.19</v>
      </c>
      <c r="AB129">
        <v>300</v>
      </c>
      <c r="AC129">
        <v>25630.51</v>
      </c>
      <c r="AE129" t="s">
        <v>383</v>
      </c>
      <c r="AF129">
        <v>423</v>
      </c>
      <c r="AG129">
        <v>1</v>
      </c>
      <c r="AH129">
        <v>8817.82</v>
      </c>
      <c r="AI129">
        <v>13396.36</v>
      </c>
      <c r="AJ129">
        <v>9304.11</v>
      </c>
      <c r="AL129" t="s">
        <v>383</v>
      </c>
      <c r="AM129">
        <v>415</v>
      </c>
      <c r="AN129">
        <v>1</v>
      </c>
      <c r="AO129">
        <v>0</v>
      </c>
      <c r="AP129" t="s">
        <v>142</v>
      </c>
      <c r="AQ129" t="s">
        <v>404</v>
      </c>
    </row>
    <row r="130" spans="1:43" x14ac:dyDescent="0.2">
      <c r="A130" t="s">
        <v>374</v>
      </c>
      <c r="B130">
        <v>414</v>
      </c>
      <c r="C130">
        <v>1</v>
      </c>
      <c r="D130">
        <v>5632.38</v>
      </c>
      <c r="E130">
        <v>2237.25</v>
      </c>
      <c r="F130" t="s">
        <v>383</v>
      </c>
      <c r="G130">
        <v>424</v>
      </c>
      <c r="H130">
        <v>1</v>
      </c>
      <c r="I130">
        <v>5069.3500000000004</v>
      </c>
      <c r="J130">
        <v>5069.3500000000004</v>
      </c>
      <c r="L130" t="s">
        <v>374</v>
      </c>
      <c r="M130">
        <v>4</v>
      </c>
      <c r="N130">
        <v>1</v>
      </c>
      <c r="O130">
        <v>4</v>
      </c>
      <c r="P130">
        <v>582</v>
      </c>
      <c r="Q130">
        <v>344</v>
      </c>
      <c r="R130">
        <v>430</v>
      </c>
      <c r="S130">
        <v>85.96</v>
      </c>
      <c r="U130" t="s">
        <v>374</v>
      </c>
      <c r="V130">
        <v>116</v>
      </c>
      <c r="W130">
        <v>1</v>
      </c>
      <c r="X130">
        <v>4</v>
      </c>
      <c r="Y130">
        <v>582</v>
      </c>
      <c r="Z130">
        <v>344</v>
      </c>
      <c r="AA130">
        <v>5.19</v>
      </c>
      <c r="AB130">
        <v>300</v>
      </c>
      <c r="AC130">
        <v>12892.07</v>
      </c>
      <c r="AE130" t="s">
        <v>383</v>
      </c>
      <c r="AF130">
        <v>424</v>
      </c>
      <c r="AG130">
        <v>1</v>
      </c>
      <c r="AH130">
        <v>-49127.18</v>
      </c>
      <c r="AI130">
        <v>-42519.75</v>
      </c>
      <c r="AJ130">
        <v>-44198</v>
      </c>
      <c r="AL130" t="s">
        <v>383</v>
      </c>
      <c r="AM130">
        <v>423</v>
      </c>
      <c r="AN130">
        <v>1</v>
      </c>
      <c r="AO130">
        <v>0</v>
      </c>
      <c r="AP130" t="s">
        <v>143</v>
      </c>
      <c r="AQ130" t="s">
        <v>404</v>
      </c>
    </row>
    <row r="131" spans="1:43" x14ac:dyDescent="0.2">
      <c r="A131" t="s">
        <v>374</v>
      </c>
      <c r="B131">
        <v>415</v>
      </c>
      <c r="C131">
        <v>1</v>
      </c>
      <c r="D131">
        <v>2668.46</v>
      </c>
      <c r="E131">
        <v>2668.46</v>
      </c>
      <c r="F131" t="s">
        <v>383</v>
      </c>
      <c r="G131">
        <v>432</v>
      </c>
      <c r="H131">
        <v>1</v>
      </c>
      <c r="I131">
        <v>12841.43</v>
      </c>
      <c r="J131">
        <v>12841.43</v>
      </c>
      <c r="L131" t="s">
        <v>374</v>
      </c>
      <c r="M131">
        <v>6</v>
      </c>
      <c r="N131">
        <v>3</v>
      </c>
      <c r="O131">
        <v>4</v>
      </c>
      <c r="P131">
        <v>582</v>
      </c>
      <c r="Q131">
        <v>344</v>
      </c>
      <c r="R131">
        <v>430</v>
      </c>
      <c r="S131">
        <v>743.09</v>
      </c>
      <c r="U131" t="s">
        <v>374</v>
      </c>
      <c r="V131">
        <v>118</v>
      </c>
      <c r="W131">
        <v>1</v>
      </c>
      <c r="X131">
        <v>4</v>
      </c>
      <c r="Y131">
        <v>582</v>
      </c>
      <c r="Z131">
        <v>344</v>
      </c>
      <c r="AA131">
        <v>5.19</v>
      </c>
      <c r="AB131">
        <v>300</v>
      </c>
      <c r="AC131">
        <v>8623.51</v>
      </c>
      <c r="AE131" t="s">
        <v>383</v>
      </c>
      <c r="AF131">
        <v>432</v>
      </c>
      <c r="AG131">
        <v>1</v>
      </c>
      <c r="AH131">
        <v>2371.59</v>
      </c>
      <c r="AI131">
        <v>2376.02</v>
      </c>
      <c r="AJ131">
        <v>2605.8000000000002</v>
      </c>
      <c r="AL131" t="s">
        <v>383</v>
      </c>
      <c r="AM131">
        <v>424</v>
      </c>
      <c r="AN131">
        <v>1</v>
      </c>
      <c r="AO131">
        <v>0</v>
      </c>
      <c r="AP131" t="s">
        <v>144</v>
      </c>
      <c r="AQ131" t="s">
        <v>404</v>
      </c>
    </row>
    <row r="132" spans="1:43" x14ac:dyDescent="0.2">
      <c r="A132" t="s">
        <v>374</v>
      </c>
      <c r="B132">
        <v>417</v>
      </c>
      <c r="C132">
        <v>1</v>
      </c>
      <c r="D132">
        <v>10287.58</v>
      </c>
      <c r="E132">
        <v>10287.58</v>
      </c>
      <c r="F132" t="s">
        <v>383</v>
      </c>
      <c r="G132">
        <v>435</v>
      </c>
      <c r="H132">
        <v>1</v>
      </c>
      <c r="I132">
        <v>9987.14</v>
      </c>
      <c r="J132">
        <v>9987.14</v>
      </c>
      <c r="L132" t="s">
        <v>374</v>
      </c>
      <c r="M132">
        <v>13</v>
      </c>
      <c r="N132">
        <v>1</v>
      </c>
      <c r="O132">
        <v>4</v>
      </c>
      <c r="P132">
        <v>582</v>
      </c>
      <c r="Q132">
        <v>344</v>
      </c>
      <c r="R132">
        <v>430</v>
      </c>
      <c r="S132">
        <v>114.87</v>
      </c>
      <c r="U132" t="s">
        <v>374</v>
      </c>
      <c r="V132">
        <v>129</v>
      </c>
      <c r="W132">
        <v>1</v>
      </c>
      <c r="X132">
        <v>4</v>
      </c>
      <c r="Y132">
        <v>582</v>
      </c>
      <c r="Z132">
        <v>344</v>
      </c>
      <c r="AA132">
        <v>5.19</v>
      </c>
      <c r="AB132">
        <v>300</v>
      </c>
      <c r="AC132">
        <v>16665.66</v>
      </c>
      <c r="AE132" t="s">
        <v>383</v>
      </c>
      <c r="AF132">
        <v>435</v>
      </c>
      <c r="AG132">
        <v>1</v>
      </c>
      <c r="AH132">
        <v>0</v>
      </c>
      <c r="AI132">
        <v>24.02</v>
      </c>
      <c r="AJ132">
        <v>75.53</v>
      </c>
      <c r="AL132" t="s">
        <v>383</v>
      </c>
      <c r="AM132">
        <v>432</v>
      </c>
      <c r="AN132">
        <v>1</v>
      </c>
      <c r="AO132">
        <v>0</v>
      </c>
      <c r="AP132" t="s">
        <v>145</v>
      </c>
      <c r="AQ132" t="s">
        <v>404</v>
      </c>
    </row>
    <row r="133" spans="1:43" x14ac:dyDescent="0.2">
      <c r="A133" t="s">
        <v>374</v>
      </c>
      <c r="B133">
        <v>423</v>
      </c>
      <c r="C133">
        <v>1</v>
      </c>
      <c r="D133">
        <v>36129.49</v>
      </c>
      <c r="E133">
        <v>36129.49</v>
      </c>
      <c r="F133" t="s">
        <v>383</v>
      </c>
      <c r="G133">
        <v>441</v>
      </c>
      <c r="H133">
        <v>1</v>
      </c>
      <c r="I133">
        <v>5798</v>
      </c>
      <c r="J133">
        <v>5798</v>
      </c>
      <c r="L133" t="s">
        <v>374</v>
      </c>
      <c r="M133">
        <v>14</v>
      </c>
      <c r="N133">
        <v>1</v>
      </c>
      <c r="O133">
        <v>4</v>
      </c>
      <c r="P133">
        <v>582</v>
      </c>
      <c r="Q133">
        <v>344</v>
      </c>
      <c r="R133">
        <v>430</v>
      </c>
      <c r="S133">
        <v>248.34</v>
      </c>
      <c r="U133" t="s">
        <v>374</v>
      </c>
      <c r="V133">
        <v>138</v>
      </c>
      <c r="W133">
        <v>1</v>
      </c>
      <c r="X133">
        <v>4</v>
      </c>
      <c r="Y133">
        <v>582</v>
      </c>
      <c r="Z133">
        <v>344</v>
      </c>
      <c r="AA133">
        <v>5.05</v>
      </c>
      <c r="AB133">
        <v>300</v>
      </c>
      <c r="AC133">
        <v>40238.5</v>
      </c>
      <c r="AE133" t="s">
        <v>383</v>
      </c>
      <c r="AF133">
        <v>441</v>
      </c>
      <c r="AG133">
        <v>1</v>
      </c>
      <c r="AH133">
        <v>0</v>
      </c>
      <c r="AI133">
        <v>0.02</v>
      </c>
      <c r="AJ133">
        <v>0.11</v>
      </c>
      <c r="AL133" t="s">
        <v>383</v>
      </c>
      <c r="AM133">
        <v>435</v>
      </c>
      <c r="AN133">
        <v>1</v>
      </c>
      <c r="AO133">
        <v>0</v>
      </c>
      <c r="AP133" t="s">
        <v>146</v>
      </c>
      <c r="AQ133" t="s">
        <v>404</v>
      </c>
    </row>
    <row r="134" spans="1:43" x14ac:dyDescent="0.2">
      <c r="A134" t="s">
        <v>374</v>
      </c>
      <c r="B134">
        <v>424</v>
      </c>
      <c r="C134">
        <v>1</v>
      </c>
      <c r="D134">
        <v>5205.8100000000004</v>
      </c>
      <c r="E134">
        <v>5205.8100000000004</v>
      </c>
      <c r="F134" t="s">
        <v>383</v>
      </c>
      <c r="G134">
        <v>447</v>
      </c>
      <c r="H134">
        <v>1</v>
      </c>
      <c r="I134">
        <v>2358.4699999999998</v>
      </c>
      <c r="J134">
        <v>2358.4699999999998</v>
      </c>
      <c r="L134" t="s">
        <v>374</v>
      </c>
      <c r="M134">
        <v>22</v>
      </c>
      <c r="N134">
        <v>1</v>
      </c>
      <c r="O134">
        <v>4</v>
      </c>
      <c r="P134">
        <v>582</v>
      </c>
      <c r="Q134">
        <v>344</v>
      </c>
      <c r="R134">
        <v>430</v>
      </c>
      <c r="S134">
        <v>337.34</v>
      </c>
      <c r="U134" t="s">
        <v>374</v>
      </c>
      <c r="V134">
        <v>139</v>
      </c>
      <c r="W134">
        <v>1</v>
      </c>
      <c r="X134">
        <v>4</v>
      </c>
      <c r="Y134">
        <v>582</v>
      </c>
      <c r="Z134">
        <v>344</v>
      </c>
      <c r="AA134">
        <v>5.19</v>
      </c>
      <c r="AB134">
        <v>300</v>
      </c>
      <c r="AC134">
        <v>10101.44</v>
      </c>
      <c r="AE134" t="s">
        <v>383</v>
      </c>
      <c r="AF134">
        <v>447</v>
      </c>
      <c r="AG134">
        <v>1</v>
      </c>
      <c r="AH134">
        <v>0</v>
      </c>
      <c r="AI134">
        <v>325.87</v>
      </c>
      <c r="AJ134">
        <v>-296.85000000000002</v>
      </c>
      <c r="AL134" t="s">
        <v>383</v>
      </c>
      <c r="AM134">
        <v>441</v>
      </c>
      <c r="AN134">
        <v>1</v>
      </c>
      <c r="AO134">
        <v>0</v>
      </c>
      <c r="AP134" t="s">
        <v>147</v>
      </c>
      <c r="AQ134" t="s">
        <v>404</v>
      </c>
    </row>
    <row r="135" spans="1:43" x14ac:dyDescent="0.2">
      <c r="A135" t="s">
        <v>374</v>
      </c>
      <c r="B135">
        <v>432</v>
      </c>
      <c r="C135">
        <v>1</v>
      </c>
      <c r="D135">
        <v>13689.6</v>
      </c>
      <c r="E135">
        <v>13689.6</v>
      </c>
      <c r="F135" t="s">
        <v>383</v>
      </c>
      <c r="G135">
        <v>458</v>
      </c>
      <c r="H135">
        <v>1</v>
      </c>
      <c r="I135">
        <v>5634.59</v>
      </c>
      <c r="J135">
        <v>5634.59</v>
      </c>
      <c r="L135" t="s">
        <v>374</v>
      </c>
      <c r="M135">
        <v>38</v>
      </c>
      <c r="N135">
        <v>1</v>
      </c>
      <c r="O135">
        <v>4</v>
      </c>
      <c r="P135">
        <v>582</v>
      </c>
      <c r="Q135">
        <v>344</v>
      </c>
      <c r="R135">
        <v>430</v>
      </c>
      <c r="S135">
        <v>562.25</v>
      </c>
      <c r="U135" t="s">
        <v>374</v>
      </c>
      <c r="V135">
        <v>146</v>
      </c>
      <c r="W135">
        <v>1</v>
      </c>
      <c r="X135">
        <v>4</v>
      </c>
      <c r="Y135">
        <v>582</v>
      </c>
      <c r="Z135">
        <v>344</v>
      </c>
      <c r="AA135">
        <v>5.19</v>
      </c>
      <c r="AB135">
        <v>300</v>
      </c>
      <c r="AC135">
        <v>7527.96</v>
      </c>
      <c r="AE135" t="s">
        <v>383</v>
      </c>
      <c r="AF135">
        <v>458</v>
      </c>
      <c r="AG135">
        <v>1</v>
      </c>
      <c r="AH135">
        <v>0</v>
      </c>
      <c r="AI135">
        <v>0.28999999999999998</v>
      </c>
      <c r="AJ135">
        <v>0</v>
      </c>
      <c r="AL135" t="s">
        <v>383</v>
      </c>
      <c r="AM135">
        <v>447</v>
      </c>
      <c r="AN135">
        <v>1</v>
      </c>
      <c r="AO135">
        <v>0</v>
      </c>
      <c r="AP135" t="s">
        <v>148</v>
      </c>
      <c r="AQ135" t="s">
        <v>404</v>
      </c>
    </row>
    <row r="136" spans="1:43" x14ac:dyDescent="0.2">
      <c r="A136" t="s">
        <v>374</v>
      </c>
      <c r="B136">
        <v>435</v>
      </c>
      <c r="C136">
        <v>1</v>
      </c>
      <c r="D136">
        <v>9899.09</v>
      </c>
      <c r="E136">
        <v>9899.09</v>
      </c>
      <c r="F136" t="s">
        <v>383</v>
      </c>
      <c r="G136">
        <v>463</v>
      </c>
      <c r="H136">
        <v>1</v>
      </c>
      <c r="I136">
        <v>12251.75</v>
      </c>
      <c r="J136">
        <v>12251.75</v>
      </c>
      <c r="L136" t="s">
        <v>374</v>
      </c>
      <c r="M136">
        <v>47</v>
      </c>
      <c r="N136">
        <v>1</v>
      </c>
      <c r="O136">
        <v>4</v>
      </c>
      <c r="P136">
        <v>582</v>
      </c>
      <c r="Q136">
        <v>344</v>
      </c>
      <c r="R136">
        <v>430</v>
      </c>
      <c r="S136">
        <v>1448.26</v>
      </c>
      <c r="U136" t="s">
        <v>374</v>
      </c>
      <c r="V136">
        <v>150</v>
      </c>
      <c r="W136">
        <v>1</v>
      </c>
      <c r="X136">
        <v>4</v>
      </c>
      <c r="Y136">
        <v>582</v>
      </c>
      <c r="Z136">
        <v>344</v>
      </c>
      <c r="AA136">
        <v>5.19</v>
      </c>
      <c r="AB136">
        <v>300</v>
      </c>
      <c r="AC136">
        <v>4794.41</v>
      </c>
      <c r="AE136" t="s">
        <v>383</v>
      </c>
      <c r="AF136">
        <v>463</v>
      </c>
      <c r="AG136">
        <v>1</v>
      </c>
      <c r="AH136">
        <v>-22027.48</v>
      </c>
      <c r="AI136">
        <v>-41533.75</v>
      </c>
      <c r="AJ136">
        <v>-23640.45</v>
      </c>
      <c r="AL136" t="s">
        <v>383</v>
      </c>
      <c r="AM136">
        <v>458</v>
      </c>
      <c r="AN136">
        <v>1</v>
      </c>
      <c r="AO136">
        <v>0</v>
      </c>
      <c r="AP136" t="s">
        <v>149</v>
      </c>
      <c r="AQ136" t="s">
        <v>404</v>
      </c>
    </row>
    <row r="137" spans="1:43" x14ac:dyDescent="0.2">
      <c r="A137" t="s">
        <v>374</v>
      </c>
      <c r="B137">
        <v>441</v>
      </c>
      <c r="C137">
        <v>1</v>
      </c>
      <c r="D137">
        <v>5601.38</v>
      </c>
      <c r="E137">
        <v>5601.38</v>
      </c>
      <c r="F137" t="s">
        <v>383</v>
      </c>
      <c r="G137">
        <v>465</v>
      </c>
      <c r="H137">
        <v>1</v>
      </c>
      <c r="I137">
        <v>23170.09</v>
      </c>
      <c r="J137">
        <v>23170.09</v>
      </c>
      <c r="L137" t="s">
        <v>374</v>
      </c>
      <c r="M137">
        <v>75</v>
      </c>
      <c r="N137">
        <v>1</v>
      </c>
      <c r="O137">
        <v>4</v>
      </c>
      <c r="P137">
        <v>582</v>
      </c>
      <c r="Q137">
        <v>344</v>
      </c>
      <c r="R137">
        <v>430</v>
      </c>
      <c r="S137">
        <v>1070</v>
      </c>
      <c r="U137" t="s">
        <v>374</v>
      </c>
      <c r="V137">
        <v>152</v>
      </c>
      <c r="W137">
        <v>1</v>
      </c>
      <c r="X137">
        <v>4</v>
      </c>
      <c r="Y137">
        <v>582</v>
      </c>
      <c r="Z137">
        <v>344</v>
      </c>
      <c r="AA137">
        <v>5.19</v>
      </c>
      <c r="AB137">
        <v>300</v>
      </c>
      <c r="AC137">
        <v>5000</v>
      </c>
      <c r="AE137" t="s">
        <v>383</v>
      </c>
      <c r="AF137">
        <v>465</v>
      </c>
      <c r="AG137">
        <v>1</v>
      </c>
      <c r="AH137">
        <v>-8703.52</v>
      </c>
      <c r="AI137">
        <v>-31413.58</v>
      </c>
      <c r="AJ137">
        <v>-25787.13</v>
      </c>
      <c r="AL137" t="s">
        <v>383</v>
      </c>
      <c r="AM137">
        <v>463</v>
      </c>
      <c r="AN137">
        <v>1</v>
      </c>
      <c r="AO137">
        <v>0</v>
      </c>
      <c r="AP137" t="s">
        <v>150</v>
      </c>
      <c r="AQ137" t="s">
        <v>404</v>
      </c>
    </row>
    <row r="138" spans="1:43" x14ac:dyDescent="0.2">
      <c r="A138" t="s">
        <v>374</v>
      </c>
      <c r="B138">
        <v>447</v>
      </c>
      <c r="C138">
        <v>1</v>
      </c>
      <c r="D138">
        <v>2877.28</v>
      </c>
      <c r="E138">
        <v>2877.28</v>
      </c>
      <c r="F138" t="s">
        <v>383</v>
      </c>
      <c r="G138">
        <v>466</v>
      </c>
      <c r="H138">
        <v>1</v>
      </c>
      <c r="I138">
        <v>26495.67</v>
      </c>
      <c r="J138">
        <v>26495.67</v>
      </c>
      <c r="L138" t="s">
        <v>374</v>
      </c>
      <c r="M138">
        <v>77</v>
      </c>
      <c r="N138">
        <v>1</v>
      </c>
      <c r="O138">
        <v>4</v>
      </c>
      <c r="P138">
        <v>582</v>
      </c>
      <c r="Q138">
        <v>344</v>
      </c>
      <c r="R138">
        <v>430</v>
      </c>
      <c r="S138">
        <v>11760.46</v>
      </c>
      <c r="U138" t="s">
        <v>374</v>
      </c>
      <c r="V138">
        <v>166</v>
      </c>
      <c r="W138">
        <v>1</v>
      </c>
      <c r="X138">
        <v>4</v>
      </c>
      <c r="Y138">
        <v>582</v>
      </c>
      <c r="Z138">
        <v>344</v>
      </c>
      <c r="AA138">
        <v>5.19</v>
      </c>
      <c r="AB138">
        <v>300</v>
      </c>
      <c r="AC138">
        <v>3331.6</v>
      </c>
      <c r="AE138" t="s">
        <v>383</v>
      </c>
      <c r="AF138">
        <v>466</v>
      </c>
      <c r="AG138">
        <v>1</v>
      </c>
      <c r="AH138">
        <v>5421.02</v>
      </c>
      <c r="AI138">
        <v>7469.76</v>
      </c>
      <c r="AJ138">
        <v>4164.8</v>
      </c>
      <c r="AL138" t="s">
        <v>383</v>
      </c>
      <c r="AM138">
        <v>465</v>
      </c>
      <c r="AN138">
        <v>1</v>
      </c>
      <c r="AO138">
        <v>0</v>
      </c>
      <c r="AP138" t="s">
        <v>151</v>
      </c>
      <c r="AQ138" t="s">
        <v>404</v>
      </c>
    </row>
    <row r="139" spans="1:43" x14ac:dyDescent="0.2">
      <c r="A139" t="s">
        <v>374</v>
      </c>
      <c r="B139">
        <v>458</v>
      </c>
      <c r="C139">
        <v>1</v>
      </c>
      <c r="D139">
        <v>6033.37</v>
      </c>
      <c r="E139">
        <v>6033.37</v>
      </c>
      <c r="F139" t="s">
        <v>383</v>
      </c>
      <c r="G139">
        <v>473</v>
      </c>
      <c r="H139">
        <v>1</v>
      </c>
      <c r="I139">
        <v>7288.83</v>
      </c>
      <c r="J139">
        <v>7288.83</v>
      </c>
      <c r="L139" t="s">
        <v>374</v>
      </c>
      <c r="M139">
        <v>84</v>
      </c>
      <c r="N139">
        <v>1</v>
      </c>
      <c r="O139">
        <v>4</v>
      </c>
      <c r="P139">
        <v>582</v>
      </c>
      <c r="Q139">
        <v>344</v>
      </c>
      <c r="R139">
        <v>430</v>
      </c>
      <c r="S139">
        <v>261.02999999999997</v>
      </c>
      <c r="U139" t="s">
        <v>374</v>
      </c>
      <c r="V139">
        <v>173</v>
      </c>
      <c r="W139">
        <v>1</v>
      </c>
      <c r="X139">
        <v>4</v>
      </c>
      <c r="Y139">
        <v>582</v>
      </c>
      <c r="Z139">
        <v>344</v>
      </c>
      <c r="AA139">
        <v>5.19</v>
      </c>
      <c r="AB139">
        <v>300</v>
      </c>
      <c r="AC139">
        <v>8213.23</v>
      </c>
      <c r="AE139" t="s">
        <v>383</v>
      </c>
      <c r="AF139">
        <v>473</v>
      </c>
      <c r="AG139">
        <v>1</v>
      </c>
      <c r="AH139">
        <v>5646.16</v>
      </c>
      <c r="AI139">
        <v>2328.4</v>
      </c>
      <c r="AJ139">
        <v>1229.55</v>
      </c>
      <c r="AL139" t="s">
        <v>383</v>
      </c>
      <c r="AM139">
        <v>466</v>
      </c>
      <c r="AN139">
        <v>1</v>
      </c>
      <c r="AO139">
        <v>0</v>
      </c>
      <c r="AP139" t="s">
        <v>152</v>
      </c>
      <c r="AQ139" t="s">
        <v>404</v>
      </c>
    </row>
    <row r="140" spans="1:43" x14ac:dyDescent="0.2">
      <c r="A140" t="s">
        <v>374</v>
      </c>
      <c r="B140">
        <v>463</v>
      </c>
      <c r="C140">
        <v>1</v>
      </c>
      <c r="D140">
        <v>11116.73</v>
      </c>
      <c r="E140">
        <v>11116.73</v>
      </c>
      <c r="F140" t="s">
        <v>383</v>
      </c>
      <c r="G140">
        <v>477</v>
      </c>
      <c r="H140">
        <v>1</v>
      </c>
      <c r="I140">
        <v>40581.800000000003</v>
      </c>
      <c r="J140">
        <v>40581.800000000003</v>
      </c>
      <c r="L140" t="s">
        <v>374</v>
      </c>
      <c r="M140">
        <v>88</v>
      </c>
      <c r="N140">
        <v>1</v>
      </c>
      <c r="O140">
        <v>4</v>
      </c>
      <c r="P140">
        <v>582</v>
      </c>
      <c r="Q140">
        <v>344</v>
      </c>
      <c r="R140">
        <v>430</v>
      </c>
      <c r="S140">
        <v>2709.42</v>
      </c>
      <c r="U140" t="s">
        <v>374</v>
      </c>
      <c r="V140">
        <v>177</v>
      </c>
      <c r="W140">
        <v>1</v>
      </c>
      <c r="X140">
        <v>4</v>
      </c>
      <c r="Y140">
        <v>582</v>
      </c>
      <c r="Z140">
        <v>344</v>
      </c>
      <c r="AA140">
        <v>5.19</v>
      </c>
      <c r="AB140">
        <v>300</v>
      </c>
      <c r="AC140">
        <v>11389.32</v>
      </c>
      <c r="AE140" t="s">
        <v>383</v>
      </c>
      <c r="AF140">
        <v>477</v>
      </c>
      <c r="AG140">
        <v>1</v>
      </c>
      <c r="AH140">
        <v>9154.39</v>
      </c>
      <c r="AI140">
        <v>37693.42</v>
      </c>
      <c r="AJ140">
        <v>8949.51</v>
      </c>
      <c r="AL140" t="s">
        <v>383</v>
      </c>
      <c r="AM140">
        <v>473</v>
      </c>
      <c r="AN140">
        <v>1</v>
      </c>
      <c r="AO140">
        <v>0</v>
      </c>
      <c r="AP140" t="s">
        <v>153</v>
      </c>
      <c r="AQ140" t="s">
        <v>404</v>
      </c>
    </row>
    <row r="141" spans="1:43" x14ac:dyDescent="0.2">
      <c r="A141" t="s">
        <v>374</v>
      </c>
      <c r="B141">
        <v>465</v>
      </c>
      <c r="C141">
        <v>1</v>
      </c>
      <c r="D141">
        <v>22231.16</v>
      </c>
      <c r="E141">
        <v>22231.16</v>
      </c>
      <c r="F141" t="s">
        <v>383</v>
      </c>
      <c r="G141">
        <v>480</v>
      </c>
      <c r="H141">
        <v>1</v>
      </c>
      <c r="I141">
        <v>14991.01</v>
      </c>
      <c r="J141">
        <v>14991.01</v>
      </c>
      <c r="L141" t="s">
        <v>374</v>
      </c>
      <c r="M141">
        <v>91</v>
      </c>
      <c r="N141">
        <v>1</v>
      </c>
      <c r="O141">
        <v>4</v>
      </c>
      <c r="P141">
        <v>582</v>
      </c>
      <c r="Q141">
        <v>344</v>
      </c>
      <c r="R141">
        <v>430</v>
      </c>
      <c r="S141">
        <v>624.79</v>
      </c>
      <c r="U141" t="s">
        <v>374</v>
      </c>
      <c r="V141">
        <v>181</v>
      </c>
      <c r="W141">
        <v>1</v>
      </c>
      <c r="X141">
        <v>4</v>
      </c>
      <c r="Y141">
        <v>582</v>
      </c>
      <c r="Z141">
        <v>344</v>
      </c>
      <c r="AA141">
        <v>5.19</v>
      </c>
      <c r="AB141">
        <v>300</v>
      </c>
      <c r="AC141">
        <v>99959.65</v>
      </c>
      <c r="AE141" t="s">
        <v>383</v>
      </c>
      <c r="AF141">
        <v>480</v>
      </c>
      <c r="AG141">
        <v>1</v>
      </c>
      <c r="AH141">
        <v>652.01</v>
      </c>
      <c r="AI141">
        <v>-1073.43</v>
      </c>
      <c r="AJ141">
        <v>-2915.91</v>
      </c>
      <c r="AL141" t="s">
        <v>383</v>
      </c>
      <c r="AM141">
        <v>477</v>
      </c>
      <c r="AN141">
        <v>1</v>
      </c>
      <c r="AO141">
        <v>0</v>
      </c>
      <c r="AP141" t="s">
        <v>154</v>
      </c>
      <c r="AQ141" t="s">
        <v>404</v>
      </c>
    </row>
    <row r="142" spans="1:43" x14ac:dyDescent="0.2">
      <c r="A142" t="s">
        <v>374</v>
      </c>
      <c r="B142">
        <v>466</v>
      </c>
      <c r="C142">
        <v>1</v>
      </c>
      <c r="D142">
        <v>27165.16</v>
      </c>
      <c r="E142">
        <v>27165.16</v>
      </c>
      <c r="F142" t="s">
        <v>383</v>
      </c>
      <c r="G142">
        <v>482</v>
      </c>
      <c r="H142">
        <v>1</v>
      </c>
      <c r="I142">
        <v>36451.33</v>
      </c>
      <c r="J142">
        <v>36451.33</v>
      </c>
      <c r="L142" t="s">
        <v>374</v>
      </c>
      <c r="M142">
        <v>99</v>
      </c>
      <c r="N142">
        <v>1</v>
      </c>
      <c r="O142">
        <v>4</v>
      </c>
      <c r="P142">
        <v>582</v>
      </c>
      <c r="Q142">
        <v>344</v>
      </c>
      <c r="R142">
        <v>430</v>
      </c>
      <c r="S142">
        <v>1265.29</v>
      </c>
      <c r="U142" t="s">
        <v>374</v>
      </c>
      <c r="V142">
        <v>182</v>
      </c>
      <c r="W142">
        <v>1</v>
      </c>
      <c r="X142">
        <v>4</v>
      </c>
      <c r="Y142">
        <v>582</v>
      </c>
      <c r="Z142">
        <v>344</v>
      </c>
      <c r="AA142">
        <v>5.19</v>
      </c>
      <c r="AB142">
        <v>300</v>
      </c>
      <c r="AC142">
        <v>17136.37</v>
      </c>
      <c r="AE142" t="s">
        <v>383</v>
      </c>
      <c r="AF142">
        <v>482</v>
      </c>
      <c r="AG142">
        <v>1</v>
      </c>
      <c r="AH142">
        <v>21193.94</v>
      </c>
      <c r="AI142">
        <v>-4204.72</v>
      </c>
      <c r="AJ142">
        <v>13276.45</v>
      </c>
      <c r="AL142" t="s">
        <v>383</v>
      </c>
      <c r="AM142">
        <v>480</v>
      </c>
      <c r="AN142">
        <v>1</v>
      </c>
      <c r="AO142">
        <v>0</v>
      </c>
      <c r="AP142" t="s">
        <v>155</v>
      </c>
      <c r="AQ142" t="s">
        <v>404</v>
      </c>
    </row>
    <row r="143" spans="1:43" x14ac:dyDescent="0.2">
      <c r="A143" t="s">
        <v>374</v>
      </c>
      <c r="B143">
        <v>473</v>
      </c>
      <c r="C143">
        <v>1</v>
      </c>
      <c r="D143">
        <v>6528.08</v>
      </c>
      <c r="E143">
        <v>6528.08</v>
      </c>
      <c r="F143" t="s">
        <v>383</v>
      </c>
      <c r="G143">
        <v>484</v>
      </c>
      <c r="H143">
        <v>1</v>
      </c>
      <c r="I143">
        <v>13303.74</v>
      </c>
      <c r="J143">
        <v>13303.74</v>
      </c>
      <c r="L143" t="s">
        <v>374</v>
      </c>
      <c r="M143">
        <v>100</v>
      </c>
      <c r="N143">
        <v>1</v>
      </c>
      <c r="O143">
        <v>4</v>
      </c>
      <c r="P143">
        <v>582</v>
      </c>
      <c r="Q143">
        <v>344</v>
      </c>
      <c r="R143">
        <v>430</v>
      </c>
      <c r="S143">
        <v>112.92</v>
      </c>
      <c r="U143" t="s">
        <v>374</v>
      </c>
      <c r="V143">
        <v>186</v>
      </c>
      <c r="W143">
        <v>1</v>
      </c>
      <c r="X143">
        <v>4</v>
      </c>
      <c r="Y143">
        <v>582</v>
      </c>
      <c r="Z143">
        <v>344</v>
      </c>
      <c r="AA143">
        <v>5.19</v>
      </c>
      <c r="AB143">
        <v>300</v>
      </c>
      <c r="AC143">
        <v>12503.49</v>
      </c>
      <c r="AE143" t="s">
        <v>383</v>
      </c>
      <c r="AF143">
        <v>484</v>
      </c>
      <c r="AG143">
        <v>1</v>
      </c>
      <c r="AH143">
        <v>0</v>
      </c>
      <c r="AI143">
        <v>0</v>
      </c>
      <c r="AJ143">
        <v>0</v>
      </c>
      <c r="AL143" t="s">
        <v>383</v>
      </c>
      <c r="AM143">
        <v>482</v>
      </c>
      <c r="AN143">
        <v>1</v>
      </c>
      <c r="AO143">
        <v>0</v>
      </c>
      <c r="AP143" t="s">
        <v>156</v>
      </c>
      <c r="AQ143" t="s">
        <v>404</v>
      </c>
    </row>
    <row r="144" spans="1:43" x14ac:dyDescent="0.2">
      <c r="A144" t="s">
        <v>374</v>
      </c>
      <c r="B144">
        <v>477</v>
      </c>
      <c r="C144">
        <v>1</v>
      </c>
      <c r="D144">
        <v>37941.61</v>
      </c>
      <c r="E144">
        <v>37941.61</v>
      </c>
      <c r="F144" t="s">
        <v>383</v>
      </c>
      <c r="G144">
        <v>485</v>
      </c>
      <c r="H144">
        <v>1</v>
      </c>
      <c r="I144">
        <v>8763.73</v>
      </c>
      <c r="J144">
        <v>8763.73</v>
      </c>
      <c r="L144" t="s">
        <v>374</v>
      </c>
      <c r="M144">
        <v>108</v>
      </c>
      <c r="N144">
        <v>1</v>
      </c>
      <c r="O144">
        <v>4</v>
      </c>
      <c r="P144">
        <v>582</v>
      </c>
      <c r="Q144">
        <v>344</v>
      </c>
      <c r="R144">
        <v>430</v>
      </c>
      <c r="S144">
        <v>931.63</v>
      </c>
      <c r="U144" t="s">
        <v>374</v>
      </c>
      <c r="V144">
        <v>191</v>
      </c>
      <c r="W144">
        <v>1</v>
      </c>
      <c r="X144">
        <v>4</v>
      </c>
      <c r="Y144">
        <v>582</v>
      </c>
      <c r="Z144">
        <v>344</v>
      </c>
      <c r="AA144">
        <v>5.19</v>
      </c>
      <c r="AB144">
        <v>300</v>
      </c>
      <c r="AC144">
        <v>114859.17</v>
      </c>
      <c r="AE144" t="s">
        <v>383</v>
      </c>
      <c r="AF144">
        <v>485</v>
      </c>
      <c r="AG144">
        <v>1</v>
      </c>
      <c r="AH144">
        <v>2789.56</v>
      </c>
      <c r="AI144">
        <v>1029.9100000000001</v>
      </c>
      <c r="AJ144">
        <v>-1204.1600000000001</v>
      </c>
      <c r="AL144" t="s">
        <v>383</v>
      </c>
      <c r="AM144">
        <v>484</v>
      </c>
      <c r="AN144">
        <v>1</v>
      </c>
      <c r="AO144">
        <v>0</v>
      </c>
      <c r="AP144" t="s">
        <v>157</v>
      </c>
      <c r="AQ144" t="s">
        <v>404</v>
      </c>
    </row>
    <row r="145" spans="1:43" x14ac:dyDescent="0.2">
      <c r="A145" t="s">
        <v>374</v>
      </c>
      <c r="B145">
        <v>480</v>
      </c>
      <c r="C145">
        <v>1</v>
      </c>
      <c r="D145">
        <v>15532.1</v>
      </c>
      <c r="E145">
        <v>15532.1</v>
      </c>
      <c r="F145" t="s">
        <v>383</v>
      </c>
      <c r="G145">
        <v>486</v>
      </c>
      <c r="H145">
        <v>1</v>
      </c>
      <c r="I145">
        <v>4753.4399999999996</v>
      </c>
      <c r="J145">
        <v>4753.4399999999996</v>
      </c>
      <c r="L145" t="s">
        <v>374</v>
      </c>
      <c r="M145">
        <v>112</v>
      </c>
      <c r="N145">
        <v>1</v>
      </c>
      <c r="O145">
        <v>4</v>
      </c>
      <c r="P145">
        <v>582</v>
      </c>
      <c r="Q145">
        <v>344</v>
      </c>
      <c r="R145">
        <v>430</v>
      </c>
      <c r="S145">
        <v>13759.74</v>
      </c>
      <c r="U145" t="s">
        <v>374</v>
      </c>
      <c r="V145">
        <v>192</v>
      </c>
      <c r="W145">
        <v>1</v>
      </c>
      <c r="X145">
        <v>4</v>
      </c>
      <c r="Y145">
        <v>582</v>
      </c>
      <c r="Z145">
        <v>344</v>
      </c>
      <c r="AA145">
        <v>5.05</v>
      </c>
      <c r="AB145">
        <v>300</v>
      </c>
      <c r="AC145">
        <v>54708.67</v>
      </c>
      <c r="AE145" t="s">
        <v>383</v>
      </c>
      <c r="AF145">
        <v>486</v>
      </c>
      <c r="AG145">
        <v>1</v>
      </c>
      <c r="AH145">
        <v>-2151.46</v>
      </c>
      <c r="AI145">
        <v>-2189.2399999999998</v>
      </c>
      <c r="AJ145">
        <v>-1843.18</v>
      </c>
      <c r="AL145" t="s">
        <v>383</v>
      </c>
      <c r="AM145">
        <v>485</v>
      </c>
      <c r="AN145">
        <v>1</v>
      </c>
      <c r="AO145">
        <v>0</v>
      </c>
      <c r="AP145" t="s">
        <v>158</v>
      </c>
      <c r="AQ145" t="s">
        <v>404</v>
      </c>
    </row>
    <row r="146" spans="1:43" x14ac:dyDescent="0.2">
      <c r="A146" t="s">
        <v>374</v>
      </c>
      <c r="B146">
        <v>482</v>
      </c>
      <c r="C146">
        <v>1</v>
      </c>
      <c r="D146">
        <v>36119.660000000003</v>
      </c>
      <c r="E146">
        <v>36119.660000000003</v>
      </c>
      <c r="F146" t="s">
        <v>383</v>
      </c>
      <c r="G146">
        <v>487</v>
      </c>
      <c r="H146">
        <v>1</v>
      </c>
      <c r="I146">
        <v>4576.03</v>
      </c>
      <c r="J146">
        <v>4576.03</v>
      </c>
      <c r="L146" t="s">
        <v>374</v>
      </c>
      <c r="M146">
        <v>115</v>
      </c>
      <c r="N146">
        <v>1</v>
      </c>
      <c r="O146">
        <v>4</v>
      </c>
      <c r="P146">
        <v>582</v>
      </c>
      <c r="Q146">
        <v>344</v>
      </c>
      <c r="R146">
        <v>430</v>
      </c>
      <c r="S146">
        <v>46</v>
      </c>
      <c r="U146" t="s">
        <v>374</v>
      </c>
      <c r="V146">
        <v>194</v>
      </c>
      <c r="W146">
        <v>1</v>
      </c>
      <c r="X146">
        <v>4</v>
      </c>
      <c r="Y146">
        <v>582</v>
      </c>
      <c r="Z146">
        <v>344</v>
      </c>
      <c r="AA146">
        <v>5.19</v>
      </c>
      <c r="AB146">
        <v>300</v>
      </c>
      <c r="AC146">
        <v>78185.91</v>
      </c>
      <c r="AE146" t="s">
        <v>383</v>
      </c>
      <c r="AF146">
        <v>487</v>
      </c>
      <c r="AG146">
        <v>1</v>
      </c>
      <c r="AH146">
        <v>-699.64</v>
      </c>
      <c r="AI146">
        <v>-681.64</v>
      </c>
      <c r="AJ146">
        <v>-681.64</v>
      </c>
      <c r="AL146" t="s">
        <v>383</v>
      </c>
      <c r="AM146">
        <v>486</v>
      </c>
      <c r="AN146">
        <v>1</v>
      </c>
      <c r="AO146">
        <v>0</v>
      </c>
      <c r="AP146" t="s">
        <v>159</v>
      </c>
      <c r="AQ146" t="s">
        <v>404</v>
      </c>
    </row>
    <row r="147" spans="1:43" x14ac:dyDescent="0.2">
      <c r="A147" t="s">
        <v>374</v>
      </c>
      <c r="B147">
        <v>484</v>
      </c>
      <c r="C147">
        <v>1</v>
      </c>
      <c r="D147">
        <v>13188.51</v>
      </c>
      <c r="E147">
        <v>13188.51</v>
      </c>
      <c r="F147" t="s">
        <v>383</v>
      </c>
      <c r="G147">
        <v>492</v>
      </c>
      <c r="H147">
        <v>1</v>
      </c>
      <c r="I147">
        <v>68696.87</v>
      </c>
      <c r="J147">
        <v>60327.63</v>
      </c>
      <c r="L147" t="s">
        <v>374</v>
      </c>
      <c r="M147">
        <v>116</v>
      </c>
      <c r="N147">
        <v>1</v>
      </c>
      <c r="O147">
        <v>4</v>
      </c>
      <c r="P147">
        <v>582</v>
      </c>
      <c r="Q147">
        <v>344</v>
      </c>
      <c r="R147">
        <v>430</v>
      </c>
      <c r="S147">
        <v>653</v>
      </c>
      <c r="U147" t="s">
        <v>374</v>
      </c>
      <c r="V147">
        <v>195</v>
      </c>
      <c r="W147">
        <v>1</v>
      </c>
      <c r="X147">
        <v>4</v>
      </c>
      <c r="Y147">
        <v>582</v>
      </c>
      <c r="Z147">
        <v>344</v>
      </c>
      <c r="AA147">
        <v>5.19</v>
      </c>
      <c r="AB147">
        <v>300</v>
      </c>
      <c r="AC147">
        <v>2422.02</v>
      </c>
      <c r="AE147" t="s">
        <v>383</v>
      </c>
      <c r="AF147">
        <v>492</v>
      </c>
      <c r="AG147">
        <v>1</v>
      </c>
      <c r="AH147">
        <v>12265.25</v>
      </c>
      <c r="AI147">
        <v>35861.769999999997</v>
      </c>
      <c r="AJ147">
        <v>30459.59</v>
      </c>
      <c r="AL147" t="s">
        <v>383</v>
      </c>
      <c r="AM147">
        <v>487</v>
      </c>
      <c r="AN147">
        <v>1</v>
      </c>
      <c r="AO147">
        <v>0</v>
      </c>
      <c r="AP147" t="s">
        <v>160</v>
      </c>
      <c r="AQ147" t="s">
        <v>404</v>
      </c>
    </row>
    <row r="148" spans="1:43" x14ac:dyDescent="0.2">
      <c r="A148" t="s">
        <v>374</v>
      </c>
      <c r="B148">
        <v>485</v>
      </c>
      <c r="C148">
        <v>1</v>
      </c>
      <c r="D148">
        <v>8172.3</v>
      </c>
      <c r="E148">
        <v>8172.3</v>
      </c>
      <c r="F148" t="s">
        <v>383</v>
      </c>
      <c r="G148">
        <v>495</v>
      </c>
      <c r="H148">
        <v>1</v>
      </c>
      <c r="I148">
        <v>3802.36</v>
      </c>
      <c r="J148">
        <v>3802.36</v>
      </c>
      <c r="L148" t="s">
        <v>374</v>
      </c>
      <c r="M148">
        <v>138</v>
      </c>
      <c r="N148">
        <v>1</v>
      </c>
      <c r="O148">
        <v>4</v>
      </c>
      <c r="P148">
        <v>582</v>
      </c>
      <c r="Q148">
        <v>344</v>
      </c>
      <c r="R148">
        <v>430</v>
      </c>
      <c r="S148">
        <v>1370.88</v>
      </c>
      <c r="U148" t="s">
        <v>374</v>
      </c>
      <c r="V148">
        <v>196</v>
      </c>
      <c r="W148">
        <v>1</v>
      </c>
      <c r="X148">
        <v>4</v>
      </c>
      <c r="Y148">
        <v>582</v>
      </c>
      <c r="Z148">
        <v>344</v>
      </c>
      <c r="AA148">
        <v>5.19</v>
      </c>
      <c r="AB148">
        <v>300</v>
      </c>
      <c r="AC148">
        <v>223210.95</v>
      </c>
      <c r="AE148" t="s">
        <v>383</v>
      </c>
      <c r="AF148">
        <v>495</v>
      </c>
      <c r="AG148">
        <v>1</v>
      </c>
      <c r="AH148">
        <v>1359.5</v>
      </c>
      <c r="AI148">
        <v>7774.03</v>
      </c>
      <c r="AJ148">
        <v>-314.89</v>
      </c>
      <c r="AL148" t="s">
        <v>383</v>
      </c>
      <c r="AM148">
        <v>492</v>
      </c>
      <c r="AN148">
        <v>1</v>
      </c>
      <c r="AO148">
        <v>0</v>
      </c>
      <c r="AP148" t="s">
        <v>161</v>
      </c>
      <c r="AQ148" t="s">
        <v>404</v>
      </c>
    </row>
    <row r="149" spans="1:43" x14ac:dyDescent="0.2">
      <c r="A149" t="s">
        <v>374</v>
      </c>
      <c r="B149">
        <v>486</v>
      </c>
      <c r="C149">
        <v>1</v>
      </c>
      <c r="D149">
        <v>4903.96</v>
      </c>
      <c r="E149">
        <v>4903.96</v>
      </c>
      <c r="F149" t="s">
        <v>383</v>
      </c>
      <c r="G149">
        <v>497</v>
      </c>
      <c r="H149">
        <v>1</v>
      </c>
      <c r="I149">
        <v>4167.71</v>
      </c>
      <c r="J149">
        <v>4167.71</v>
      </c>
      <c r="L149" t="s">
        <v>374</v>
      </c>
      <c r="M149">
        <v>146</v>
      </c>
      <c r="N149">
        <v>1</v>
      </c>
      <c r="O149">
        <v>4</v>
      </c>
      <c r="P149">
        <v>582</v>
      </c>
      <c r="Q149">
        <v>344</v>
      </c>
      <c r="R149">
        <v>430</v>
      </c>
      <c r="S149">
        <v>390.75</v>
      </c>
      <c r="U149" t="s">
        <v>374</v>
      </c>
      <c r="V149">
        <v>200</v>
      </c>
      <c r="W149">
        <v>1</v>
      </c>
      <c r="X149">
        <v>4</v>
      </c>
      <c r="Y149">
        <v>582</v>
      </c>
      <c r="Z149">
        <v>344</v>
      </c>
      <c r="AA149">
        <v>5.19</v>
      </c>
      <c r="AB149">
        <v>300</v>
      </c>
      <c r="AC149">
        <v>44092.89</v>
      </c>
      <c r="AE149" t="s">
        <v>383</v>
      </c>
      <c r="AF149">
        <v>497</v>
      </c>
      <c r="AG149">
        <v>1</v>
      </c>
      <c r="AH149">
        <v>0</v>
      </c>
      <c r="AI149">
        <v>0</v>
      </c>
      <c r="AJ149">
        <v>0</v>
      </c>
      <c r="AL149" t="s">
        <v>383</v>
      </c>
      <c r="AM149">
        <v>495</v>
      </c>
      <c r="AN149">
        <v>1</v>
      </c>
      <c r="AO149">
        <v>0</v>
      </c>
      <c r="AP149" t="s">
        <v>162</v>
      </c>
      <c r="AQ149" t="s">
        <v>404</v>
      </c>
    </row>
    <row r="150" spans="1:43" x14ac:dyDescent="0.2">
      <c r="A150" t="s">
        <v>374</v>
      </c>
      <c r="B150">
        <v>487</v>
      </c>
      <c r="C150">
        <v>1</v>
      </c>
      <c r="D150">
        <v>4408.6400000000003</v>
      </c>
      <c r="E150">
        <v>4408.6400000000003</v>
      </c>
      <c r="F150" t="s">
        <v>383</v>
      </c>
      <c r="G150">
        <v>499</v>
      </c>
      <c r="H150">
        <v>1</v>
      </c>
      <c r="I150">
        <v>4236.18</v>
      </c>
      <c r="J150">
        <v>4236.18</v>
      </c>
      <c r="L150" t="s">
        <v>374</v>
      </c>
      <c r="M150">
        <v>150</v>
      </c>
      <c r="N150">
        <v>1</v>
      </c>
      <c r="O150">
        <v>4</v>
      </c>
      <c r="P150">
        <v>582</v>
      </c>
      <c r="Q150">
        <v>344</v>
      </c>
      <c r="R150">
        <v>430</v>
      </c>
      <c r="S150">
        <v>14.57</v>
      </c>
      <c r="U150" t="s">
        <v>374</v>
      </c>
      <c r="V150">
        <v>204</v>
      </c>
      <c r="W150">
        <v>1</v>
      </c>
      <c r="X150">
        <v>4</v>
      </c>
      <c r="Y150">
        <v>582</v>
      </c>
      <c r="Z150">
        <v>344</v>
      </c>
      <c r="AA150">
        <v>5.19</v>
      </c>
      <c r="AB150">
        <v>300</v>
      </c>
      <c r="AC150">
        <v>16453</v>
      </c>
      <c r="AE150" t="s">
        <v>383</v>
      </c>
      <c r="AF150">
        <v>499</v>
      </c>
      <c r="AG150">
        <v>1</v>
      </c>
      <c r="AH150">
        <v>183.13</v>
      </c>
      <c r="AI150">
        <v>229.9</v>
      </c>
      <c r="AJ150">
        <v>253.1</v>
      </c>
      <c r="AL150" t="s">
        <v>383</v>
      </c>
      <c r="AM150">
        <v>497</v>
      </c>
      <c r="AN150">
        <v>1</v>
      </c>
      <c r="AO150">
        <v>0</v>
      </c>
      <c r="AP150" t="s">
        <v>163</v>
      </c>
      <c r="AQ150" t="s">
        <v>404</v>
      </c>
    </row>
    <row r="151" spans="1:43" x14ac:dyDescent="0.2">
      <c r="A151" t="s">
        <v>374</v>
      </c>
      <c r="B151">
        <v>492</v>
      </c>
      <c r="C151">
        <v>1</v>
      </c>
      <c r="D151">
        <v>69635.179999999993</v>
      </c>
      <c r="E151">
        <v>69635.179999999993</v>
      </c>
      <c r="F151" t="s">
        <v>383</v>
      </c>
      <c r="G151">
        <v>500</v>
      </c>
      <c r="H151">
        <v>1</v>
      </c>
      <c r="I151">
        <v>5101.3100000000004</v>
      </c>
      <c r="J151">
        <v>5101.3100000000004</v>
      </c>
      <c r="L151" t="s">
        <v>374</v>
      </c>
      <c r="M151">
        <v>152</v>
      </c>
      <c r="N151">
        <v>1</v>
      </c>
      <c r="O151">
        <v>4</v>
      </c>
      <c r="P151">
        <v>582</v>
      </c>
      <c r="Q151">
        <v>344</v>
      </c>
      <c r="R151">
        <v>430</v>
      </c>
      <c r="S151">
        <v>2367.31</v>
      </c>
      <c r="U151" t="s">
        <v>374</v>
      </c>
      <c r="V151">
        <v>206</v>
      </c>
      <c r="W151">
        <v>1</v>
      </c>
      <c r="X151">
        <v>4</v>
      </c>
      <c r="Y151">
        <v>582</v>
      </c>
      <c r="Z151">
        <v>344</v>
      </c>
      <c r="AA151">
        <v>5.19</v>
      </c>
      <c r="AB151">
        <v>300</v>
      </c>
      <c r="AC151">
        <v>42796.66</v>
      </c>
      <c r="AE151" t="s">
        <v>383</v>
      </c>
      <c r="AF151">
        <v>500</v>
      </c>
      <c r="AG151">
        <v>1</v>
      </c>
      <c r="AH151">
        <v>-9900.2099999999991</v>
      </c>
      <c r="AI151">
        <v>0</v>
      </c>
      <c r="AJ151">
        <v>4693.01</v>
      </c>
      <c r="AL151" t="s">
        <v>383</v>
      </c>
      <c r="AM151">
        <v>499</v>
      </c>
      <c r="AN151">
        <v>1</v>
      </c>
      <c r="AO151">
        <v>0</v>
      </c>
      <c r="AP151" t="s">
        <v>164</v>
      </c>
      <c r="AQ151" t="s">
        <v>404</v>
      </c>
    </row>
    <row r="152" spans="1:43" x14ac:dyDescent="0.2">
      <c r="A152" t="s">
        <v>374</v>
      </c>
      <c r="B152">
        <v>495</v>
      </c>
      <c r="C152">
        <v>1</v>
      </c>
      <c r="D152">
        <v>3518.08</v>
      </c>
      <c r="E152">
        <v>3518.08</v>
      </c>
      <c r="F152" t="s">
        <v>383</v>
      </c>
      <c r="G152">
        <v>505</v>
      </c>
      <c r="H152">
        <v>1</v>
      </c>
      <c r="I152">
        <v>3936.8</v>
      </c>
      <c r="J152">
        <v>3936.8</v>
      </c>
      <c r="L152" t="s">
        <v>374</v>
      </c>
      <c r="M152">
        <v>162</v>
      </c>
      <c r="N152">
        <v>1</v>
      </c>
      <c r="O152">
        <v>4</v>
      </c>
      <c r="P152">
        <v>582</v>
      </c>
      <c r="Q152">
        <v>344</v>
      </c>
      <c r="R152">
        <v>430</v>
      </c>
      <c r="S152">
        <v>612.30999999999995</v>
      </c>
      <c r="U152" t="s">
        <v>374</v>
      </c>
      <c r="V152">
        <v>208</v>
      </c>
      <c r="W152">
        <v>1</v>
      </c>
      <c r="X152">
        <v>4</v>
      </c>
      <c r="Y152">
        <v>582</v>
      </c>
      <c r="Z152">
        <v>344</v>
      </c>
      <c r="AA152">
        <v>5.19</v>
      </c>
      <c r="AB152">
        <v>300</v>
      </c>
      <c r="AC152">
        <v>2737.21</v>
      </c>
      <c r="AE152" t="s">
        <v>383</v>
      </c>
      <c r="AF152">
        <v>505</v>
      </c>
      <c r="AG152">
        <v>1</v>
      </c>
      <c r="AH152">
        <v>31.06</v>
      </c>
      <c r="AI152">
        <v>31.06</v>
      </c>
      <c r="AJ152">
        <v>31.06</v>
      </c>
      <c r="AL152" t="s">
        <v>383</v>
      </c>
      <c r="AM152">
        <v>500</v>
      </c>
      <c r="AN152">
        <v>1</v>
      </c>
      <c r="AO152">
        <v>0</v>
      </c>
      <c r="AP152" t="s">
        <v>165</v>
      </c>
      <c r="AQ152" t="s">
        <v>404</v>
      </c>
    </row>
    <row r="153" spans="1:43" x14ac:dyDescent="0.2">
      <c r="A153" t="s">
        <v>374</v>
      </c>
      <c r="B153">
        <v>497</v>
      </c>
      <c r="C153">
        <v>1</v>
      </c>
      <c r="D153">
        <v>4199.1899999999996</v>
      </c>
      <c r="E153">
        <v>4199.1899999999996</v>
      </c>
      <c r="F153" t="s">
        <v>383</v>
      </c>
      <c r="G153">
        <v>507</v>
      </c>
      <c r="H153">
        <v>1</v>
      </c>
      <c r="I153">
        <v>4144.25</v>
      </c>
      <c r="J153">
        <v>4144.25</v>
      </c>
      <c r="L153" t="s">
        <v>374</v>
      </c>
      <c r="M153">
        <v>166</v>
      </c>
      <c r="N153">
        <v>1</v>
      </c>
      <c r="O153">
        <v>4</v>
      </c>
      <c r="P153">
        <v>582</v>
      </c>
      <c r="Q153">
        <v>344</v>
      </c>
      <c r="R153">
        <v>430</v>
      </c>
      <c r="S153">
        <v>850.95</v>
      </c>
      <c r="U153" t="s">
        <v>374</v>
      </c>
      <c r="V153">
        <v>213</v>
      </c>
      <c r="W153">
        <v>1</v>
      </c>
      <c r="X153">
        <v>4</v>
      </c>
      <c r="Y153">
        <v>582</v>
      </c>
      <c r="Z153">
        <v>344</v>
      </c>
      <c r="AA153">
        <v>5.19</v>
      </c>
      <c r="AB153">
        <v>300</v>
      </c>
      <c r="AC153">
        <v>9627.5499999999993</v>
      </c>
      <c r="AE153" t="s">
        <v>383</v>
      </c>
      <c r="AF153">
        <v>507</v>
      </c>
      <c r="AG153">
        <v>1</v>
      </c>
      <c r="AH153">
        <v>0</v>
      </c>
      <c r="AI153">
        <v>0</v>
      </c>
      <c r="AJ153">
        <v>0</v>
      </c>
      <c r="AL153" t="s">
        <v>383</v>
      </c>
      <c r="AM153">
        <v>505</v>
      </c>
      <c r="AN153">
        <v>1</v>
      </c>
      <c r="AO153">
        <v>0</v>
      </c>
      <c r="AP153" t="s">
        <v>166</v>
      </c>
      <c r="AQ153" t="s">
        <v>404</v>
      </c>
    </row>
    <row r="154" spans="1:43" x14ac:dyDescent="0.2">
      <c r="A154" t="s">
        <v>374</v>
      </c>
      <c r="B154">
        <v>499</v>
      </c>
      <c r="C154">
        <v>1</v>
      </c>
      <c r="D154">
        <v>4127.88</v>
      </c>
      <c r="E154">
        <v>4127.88</v>
      </c>
      <c r="F154" t="s">
        <v>383</v>
      </c>
      <c r="G154">
        <v>508</v>
      </c>
      <c r="H154">
        <v>1</v>
      </c>
      <c r="I154">
        <v>26439.279999999999</v>
      </c>
      <c r="J154">
        <v>26439.279999999999</v>
      </c>
      <c r="L154" t="s">
        <v>374</v>
      </c>
      <c r="M154">
        <v>177</v>
      </c>
      <c r="N154">
        <v>1</v>
      </c>
      <c r="O154">
        <v>4</v>
      </c>
      <c r="P154">
        <v>582</v>
      </c>
      <c r="Q154">
        <v>344</v>
      </c>
      <c r="R154">
        <v>430</v>
      </c>
      <c r="S154">
        <v>549.72</v>
      </c>
      <c r="U154" t="s">
        <v>374</v>
      </c>
      <c r="V154">
        <v>227</v>
      </c>
      <c r="W154">
        <v>1</v>
      </c>
      <c r="X154">
        <v>4</v>
      </c>
      <c r="Y154">
        <v>582</v>
      </c>
      <c r="Z154">
        <v>344</v>
      </c>
      <c r="AA154">
        <v>5.19</v>
      </c>
      <c r="AB154">
        <v>300</v>
      </c>
      <c r="AC154">
        <v>8111.52</v>
      </c>
      <c r="AE154" t="s">
        <v>383</v>
      </c>
      <c r="AF154">
        <v>508</v>
      </c>
      <c r="AG154">
        <v>1</v>
      </c>
      <c r="AH154">
        <v>22676.31</v>
      </c>
      <c r="AI154">
        <v>-1084.99</v>
      </c>
      <c r="AJ154">
        <v>-714.51</v>
      </c>
      <c r="AL154" t="s">
        <v>383</v>
      </c>
      <c r="AM154">
        <v>507</v>
      </c>
      <c r="AN154">
        <v>1</v>
      </c>
      <c r="AO154">
        <v>0</v>
      </c>
      <c r="AP154" t="s">
        <v>167</v>
      </c>
      <c r="AQ154" t="s">
        <v>404</v>
      </c>
    </row>
    <row r="155" spans="1:43" x14ac:dyDescent="0.2">
      <c r="A155" t="s">
        <v>374</v>
      </c>
      <c r="B155">
        <v>500</v>
      </c>
      <c r="C155">
        <v>1</v>
      </c>
      <c r="D155">
        <v>6066.95</v>
      </c>
      <c r="E155">
        <v>6066.95</v>
      </c>
      <c r="F155" t="s">
        <v>383</v>
      </c>
      <c r="G155">
        <v>511</v>
      </c>
      <c r="H155">
        <v>1</v>
      </c>
      <c r="I155">
        <v>7428.29</v>
      </c>
      <c r="J155">
        <v>7428.29</v>
      </c>
      <c r="L155" t="s">
        <v>374</v>
      </c>
      <c r="M155">
        <v>181</v>
      </c>
      <c r="N155">
        <v>1</v>
      </c>
      <c r="O155">
        <v>4</v>
      </c>
      <c r="P155">
        <v>582</v>
      </c>
      <c r="Q155">
        <v>344</v>
      </c>
      <c r="R155">
        <v>430</v>
      </c>
      <c r="S155">
        <v>8656.2099999999991</v>
      </c>
      <c r="U155" t="s">
        <v>374</v>
      </c>
      <c r="V155">
        <v>229</v>
      </c>
      <c r="W155">
        <v>1</v>
      </c>
      <c r="X155">
        <v>4</v>
      </c>
      <c r="Y155">
        <v>582</v>
      </c>
      <c r="Z155">
        <v>344</v>
      </c>
      <c r="AA155">
        <v>5.01</v>
      </c>
      <c r="AB155">
        <v>300</v>
      </c>
      <c r="AC155">
        <v>5005.3100000000004</v>
      </c>
      <c r="AE155" t="s">
        <v>383</v>
      </c>
      <c r="AF155">
        <v>511</v>
      </c>
      <c r="AG155">
        <v>1</v>
      </c>
      <c r="AH155">
        <v>-1740.05</v>
      </c>
      <c r="AI155">
        <v>-1723.08</v>
      </c>
      <c r="AJ155">
        <v>5056.74</v>
      </c>
      <c r="AL155" t="s">
        <v>383</v>
      </c>
      <c r="AM155">
        <v>508</v>
      </c>
      <c r="AN155">
        <v>1</v>
      </c>
      <c r="AO155">
        <v>0</v>
      </c>
      <c r="AP155" t="s">
        <v>168</v>
      </c>
      <c r="AQ155" t="s">
        <v>404</v>
      </c>
    </row>
    <row r="156" spans="1:43" x14ac:dyDescent="0.2">
      <c r="A156" t="s">
        <v>374</v>
      </c>
      <c r="B156">
        <v>505</v>
      </c>
      <c r="C156">
        <v>1</v>
      </c>
      <c r="D156">
        <v>4329.34</v>
      </c>
      <c r="E156">
        <v>4329.34</v>
      </c>
      <c r="F156" t="s">
        <v>383</v>
      </c>
      <c r="G156">
        <v>513</v>
      </c>
      <c r="H156">
        <v>1</v>
      </c>
      <c r="I156">
        <v>2181.06</v>
      </c>
      <c r="J156">
        <v>2181.06</v>
      </c>
      <c r="L156" t="s">
        <v>374</v>
      </c>
      <c r="M156">
        <v>186</v>
      </c>
      <c r="N156">
        <v>1</v>
      </c>
      <c r="O156">
        <v>4</v>
      </c>
      <c r="P156">
        <v>582</v>
      </c>
      <c r="Q156">
        <v>344</v>
      </c>
      <c r="R156">
        <v>430</v>
      </c>
      <c r="S156">
        <v>527.26</v>
      </c>
      <c r="U156" t="s">
        <v>374</v>
      </c>
      <c r="V156">
        <v>238</v>
      </c>
      <c r="W156">
        <v>1</v>
      </c>
      <c r="X156">
        <v>4</v>
      </c>
      <c r="Y156">
        <v>582</v>
      </c>
      <c r="Z156">
        <v>344</v>
      </c>
      <c r="AA156">
        <v>5.19</v>
      </c>
      <c r="AB156">
        <v>300</v>
      </c>
      <c r="AC156">
        <v>5046.8599999999997</v>
      </c>
      <c r="AE156" t="s">
        <v>383</v>
      </c>
      <c r="AF156">
        <v>513</v>
      </c>
      <c r="AG156">
        <v>1</v>
      </c>
      <c r="AH156">
        <v>3499.07</v>
      </c>
      <c r="AI156">
        <v>-1969.27</v>
      </c>
      <c r="AJ156">
        <v>0</v>
      </c>
      <c r="AL156" t="s">
        <v>383</v>
      </c>
      <c r="AM156">
        <v>511</v>
      </c>
      <c r="AN156">
        <v>1</v>
      </c>
      <c r="AO156">
        <v>0</v>
      </c>
      <c r="AP156" t="s">
        <v>169</v>
      </c>
      <c r="AQ156" t="s">
        <v>404</v>
      </c>
    </row>
    <row r="157" spans="1:43" x14ac:dyDescent="0.2">
      <c r="A157" t="s">
        <v>374</v>
      </c>
      <c r="B157">
        <v>507</v>
      </c>
      <c r="C157">
        <v>1</v>
      </c>
      <c r="D157">
        <v>3802.03</v>
      </c>
      <c r="E157">
        <v>3802.03</v>
      </c>
      <c r="F157" t="s">
        <v>383</v>
      </c>
      <c r="G157">
        <v>514</v>
      </c>
      <c r="H157">
        <v>1</v>
      </c>
      <c r="I157">
        <v>1736.22</v>
      </c>
      <c r="J157">
        <v>96.97</v>
      </c>
      <c r="L157" t="s">
        <v>374</v>
      </c>
      <c r="M157">
        <v>192</v>
      </c>
      <c r="N157">
        <v>1</v>
      </c>
      <c r="O157">
        <v>4</v>
      </c>
      <c r="P157">
        <v>582</v>
      </c>
      <c r="Q157">
        <v>344</v>
      </c>
      <c r="R157">
        <v>430</v>
      </c>
      <c r="S157">
        <v>559.14</v>
      </c>
      <c r="U157" t="s">
        <v>374</v>
      </c>
      <c r="V157">
        <v>239</v>
      </c>
      <c r="W157">
        <v>1</v>
      </c>
      <c r="X157">
        <v>4</v>
      </c>
      <c r="Y157">
        <v>582</v>
      </c>
      <c r="Z157">
        <v>344</v>
      </c>
      <c r="AA157">
        <v>5.19</v>
      </c>
      <c r="AB157">
        <v>300</v>
      </c>
      <c r="AC157">
        <v>9810.7199999999993</v>
      </c>
      <c r="AE157" t="s">
        <v>383</v>
      </c>
      <c r="AF157">
        <v>514</v>
      </c>
      <c r="AG157">
        <v>1</v>
      </c>
      <c r="AH157">
        <v>4556.55</v>
      </c>
      <c r="AI157">
        <v>3411.43</v>
      </c>
      <c r="AJ157">
        <v>3269.88</v>
      </c>
      <c r="AL157" t="s">
        <v>383</v>
      </c>
      <c r="AM157">
        <v>513</v>
      </c>
      <c r="AN157">
        <v>1</v>
      </c>
      <c r="AO157">
        <v>0</v>
      </c>
      <c r="AP157" t="s">
        <v>170</v>
      </c>
      <c r="AQ157" t="s">
        <v>404</v>
      </c>
    </row>
    <row r="158" spans="1:43" x14ac:dyDescent="0.2">
      <c r="A158" t="s">
        <v>374</v>
      </c>
      <c r="B158">
        <v>508</v>
      </c>
      <c r="C158">
        <v>1</v>
      </c>
      <c r="D158">
        <v>22485.07</v>
      </c>
      <c r="E158">
        <v>22485.07</v>
      </c>
      <c r="F158" t="s">
        <v>383</v>
      </c>
      <c r="G158">
        <v>516</v>
      </c>
      <c r="H158">
        <v>1</v>
      </c>
      <c r="I158">
        <v>1504.35</v>
      </c>
      <c r="J158">
        <v>1504.35</v>
      </c>
      <c r="L158" t="s">
        <v>374</v>
      </c>
      <c r="M158">
        <v>196</v>
      </c>
      <c r="N158">
        <v>1</v>
      </c>
      <c r="O158">
        <v>4</v>
      </c>
      <c r="P158">
        <v>582</v>
      </c>
      <c r="Q158">
        <v>344</v>
      </c>
      <c r="R158">
        <v>430</v>
      </c>
      <c r="S158">
        <v>2823.26</v>
      </c>
      <c r="U158" t="s">
        <v>374</v>
      </c>
      <c r="V158">
        <v>241</v>
      </c>
      <c r="W158">
        <v>1</v>
      </c>
      <c r="X158">
        <v>4</v>
      </c>
      <c r="Y158">
        <v>582</v>
      </c>
      <c r="Z158">
        <v>344</v>
      </c>
      <c r="AA158">
        <v>5.19</v>
      </c>
      <c r="AB158">
        <v>300</v>
      </c>
      <c r="AC158">
        <v>51935.97</v>
      </c>
      <c r="AE158" t="s">
        <v>383</v>
      </c>
      <c r="AF158">
        <v>516</v>
      </c>
      <c r="AG158">
        <v>1</v>
      </c>
      <c r="AH158">
        <v>-10560.69</v>
      </c>
      <c r="AI158">
        <v>-6568.95</v>
      </c>
      <c r="AJ158">
        <v>-6521.21</v>
      </c>
      <c r="AL158" t="s">
        <v>383</v>
      </c>
      <c r="AM158">
        <v>514</v>
      </c>
      <c r="AN158">
        <v>1</v>
      </c>
      <c r="AO158">
        <v>0</v>
      </c>
      <c r="AP158" t="s">
        <v>171</v>
      </c>
      <c r="AQ158" t="s">
        <v>404</v>
      </c>
    </row>
    <row r="159" spans="1:43" x14ac:dyDescent="0.2">
      <c r="A159" t="s">
        <v>374</v>
      </c>
      <c r="B159">
        <v>511</v>
      </c>
      <c r="C159">
        <v>1</v>
      </c>
      <c r="D159">
        <v>7196.7</v>
      </c>
      <c r="E159">
        <v>7196.7</v>
      </c>
      <c r="F159" t="s">
        <v>383</v>
      </c>
      <c r="G159">
        <v>518</v>
      </c>
      <c r="H159">
        <v>1</v>
      </c>
      <c r="I159">
        <v>40977.800000000003</v>
      </c>
      <c r="J159">
        <v>40977.800000000003</v>
      </c>
      <c r="L159" t="s">
        <v>374</v>
      </c>
      <c r="M159">
        <v>197</v>
      </c>
      <c r="N159">
        <v>1</v>
      </c>
      <c r="O159">
        <v>4</v>
      </c>
      <c r="P159">
        <v>582</v>
      </c>
      <c r="Q159">
        <v>344</v>
      </c>
      <c r="R159">
        <v>430</v>
      </c>
      <c r="S159">
        <v>233.2</v>
      </c>
      <c r="U159" t="s">
        <v>374</v>
      </c>
      <c r="V159">
        <v>242</v>
      </c>
      <c r="W159">
        <v>1</v>
      </c>
      <c r="X159">
        <v>4</v>
      </c>
      <c r="Y159">
        <v>582</v>
      </c>
      <c r="Z159">
        <v>344</v>
      </c>
      <c r="AA159">
        <v>5.19</v>
      </c>
      <c r="AB159">
        <v>300</v>
      </c>
      <c r="AC159">
        <v>4373.46</v>
      </c>
      <c r="AE159" t="s">
        <v>383</v>
      </c>
      <c r="AF159">
        <v>518</v>
      </c>
      <c r="AG159">
        <v>1</v>
      </c>
      <c r="AH159">
        <v>3336.87</v>
      </c>
      <c r="AI159">
        <v>4465.3100000000004</v>
      </c>
      <c r="AJ159">
        <v>2640.17</v>
      </c>
      <c r="AL159" t="s">
        <v>383</v>
      </c>
      <c r="AM159">
        <v>516</v>
      </c>
      <c r="AN159">
        <v>1</v>
      </c>
      <c r="AO159">
        <v>0</v>
      </c>
      <c r="AP159" t="s">
        <v>172</v>
      </c>
      <c r="AQ159" t="s">
        <v>404</v>
      </c>
    </row>
    <row r="160" spans="1:43" x14ac:dyDescent="0.2">
      <c r="A160" t="s">
        <v>374</v>
      </c>
      <c r="B160">
        <v>513</v>
      </c>
      <c r="C160">
        <v>1</v>
      </c>
      <c r="D160">
        <v>2223.98</v>
      </c>
      <c r="E160">
        <v>2223.98</v>
      </c>
      <c r="F160" t="s">
        <v>383</v>
      </c>
      <c r="G160">
        <v>531</v>
      </c>
      <c r="H160">
        <v>1</v>
      </c>
      <c r="I160">
        <v>11247.77</v>
      </c>
      <c r="J160">
        <v>11247.77</v>
      </c>
      <c r="L160" t="s">
        <v>374</v>
      </c>
      <c r="M160">
        <v>203</v>
      </c>
      <c r="N160">
        <v>1</v>
      </c>
      <c r="O160">
        <v>4</v>
      </c>
      <c r="P160">
        <v>582</v>
      </c>
      <c r="Q160">
        <v>344</v>
      </c>
      <c r="R160">
        <v>430</v>
      </c>
      <c r="S160">
        <v>103.44</v>
      </c>
      <c r="U160" t="s">
        <v>374</v>
      </c>
      <c r="V160">
        <v>252</v>
      </c>
      <c r="W160">
        <v>1</v>
      </c>
      <c r="X160">
        <v>4</v>
      </c>
      <c r="Y160">
        <v>582</v>
      </c>
      <c r="Z160">
        <v>344</v>
      </c>
      <c r="AA160">
        <v>5.19</v>
      </c>
      <c r="AB160">
        <v>300</v>
      </c>
      <c r="AC160">
        <v>10483.549999999999</v>
      </c>
      <c r="AE160" t="s">
        <v>383</v>
      </c>
      <c r="AF160">
        <v>531</v>
      </c>
      <c r="AG160">
        <v>1</v>
      </c>
      <c r="AH160">
        <v>458.66</v>
      </c>
      <c r="AI160">
        <v>265.7</v>
      </c>
      <c r="AJ160">
        <v>524.79</v>
      </c>
      <c r="AL160" t="s">
        <v>383</v>
      </c>
      <c r="AM160">
        <v>518</v>
      </c>
      <c r="AN160">
        <v>1</v>
      </c>
      <c r="AO160">
        <v>0</v>
      </c>
      <c r="AP160" t="s">
        <v>173</v>
      </c>
      <c r="AQ160" t="s">
        <v>404</v>
      </c>
    </row>
    <row r="161" spans="1:43" x14ac:dyDescent="0.2">
      <c r="A161" t="s">
        <v>374</v>
      </c>
      <c r="B161">
        <v>514</v>
      </c>
      <c r="C161">
        <v>1</v>
      </c>
      <c r="D161">
        <v>2432.8000000000002</v>
      </c>
      <c r="E161">
        <v>177.77</v>
      </c>
      <c r="F161" t="s">
        <v>383</v>
      </c>
      <c r="G161">
        <v>533</v>
      </c>
      <c r="H161">
        <v>1</v>
      </c>
      <c r="I161">
        <v>7312.89</v>
      </c>
      <c r="J161">
        <v>7312.89</v>
      </c>
      <c r="L161" t="s">
        <v>374</v>
      </c>
      <c r="M161">
        <v>204</v>
      </c>
      <c r="N161">
        <v>1</v>
      </c>
      <c r="O161">
        <v>4</v>
      </c>
      <c r="P161">
        <v>582</v>
      </c>
      <c r="Q161">
        <v>344</v>
      </c>
      <c r="R161">
        <v>430</v>
      </c>
      <c r="S161">
        <v>540.97</v>
      </c>
      <c r="U161" t="s">
        <v>374</v>
      </c>
      <c r="V161">
        <v>253</v>
      </c>
      <c r="W161">
        <v>1</v>
      </c>
      <c r="X161">
        <v>4</v>
      </c>
      <c r="Y161">
        <v>582</v>
      </c>
      <c r="Z161">
        <v>344</v>
      </c>
      <c r="AA161">
        <v>5.19</v>
      </c>
      <c r="AB161">
        <v>300</v>
      </c>
      <c r="AC161">
        <v>6647.95</v>
      </c>
      <c r="AE161" t="s">
        <v>383</v>
      </c>
      <c r="AF161">
        <v>533</v>
      </c>
      <c r="AG161">
        <v>1</v>
      </c>
      <c r="AH161">
        <v>5160.0600000000004</v>
      </c>
      <c r="AI161">
        <v>0</v>
      </c>
      <c r="AJ161">
        <v>-604.45000000000005</v>
      </c>
      <c r="AL161" t="s">
        <v>383</v>
      </c>
      <c r="AM161">
        <v>531</v>
      </c>
      <c r="AN161">
        <v>1</v>
      </c>
      <c r="AO161">
        <v>0</v>
      </c>
      <c r="AP161" t="s">
        <v>174</v>
      </c>
      <c r="AQ161" t="s">
        <v>404</v>
      </c>
    </row>
    <row r="162" spans="1:43" x14ac:dyDescent="0.2">
      <c r="A162" t="s">
        <v>374</v>
      </c>
      <c r="B162">
        <v>516</v>
      </c>
      <c r="C162">
        <v>1</v>
      </c>
      <c r="D162">
        <v>1251.58</v>
      </c>
      <c r="E162">
        <v>1251.58</v>
      </c>
      <c r="F162" t="s">
        <v>383</v>
      </c>
      <c r="G162">
        <v>534</v>
      </c>
      <c r="H162">
        <v>1</v>
      </c>
      <c r="I162">
        <v>14834.18</v>
      </c>
      <c r="J162">
        <v>14834.18</v>
      </c>
      <c r="L162" t="s">
        <v>374</v>
      </c>
      <c r="M162">
        <v>206</v>
      </c>
      <c r="N162">
        <v>1</v>
      </c>
      <c r="O162">
        <v>4</v>
      </c>
      <c r="P162">
        <v>582</v>
      </c>
      <c r="Q162">
        <v>344</v>
      </c>
      <c r="R162">
        <v>430</v>
      </c>
      <c r="S162">
        <v>1457.65</v>
      </c>
      <c r="U162" t="s">
        <v>374</v>
      </c>
      <c r="V162">
        <v>255</v>
      </c>
      <c r="W162">
        <v>1</v>
      </c>
      <c r="X162">
        <v>4</v>
      </c>
      <c r="Y162">
        <v>582</v>
      </c>
      <c r="Z162">
        <v>344</v>
      </c>
      <c r="AA162">
        <v>5.19</v>
      </c>
      <c r="AB162">
        <v>300</v>
      </c>
      <c r="AC162">
        <v>12513</v>
      </c>
      <c r="AE162" t="s">
        <v>383</v>
      </c>
      <c r="AF162">
        <v>534</v>
      </c>
      <c r="AG162">
        <v>1</v>
      </c>
      <c r="AH162">
        <v>4021.19</v>
      </c>
      <c r="AI162">
        <v>8094.09</v>
      </c>
      <c r="AJ162">
        <v>1015.43</v>
      </c>
      <c r="AL162" t="s">
        <v>383</v>
      </c>
      <c r="AM162">
        <v>533</v>
      </c>
      <c r="AN162">
        <v>1</v>
      </c>
      <c r="AO162">
        <v>0</v>
      </c>
      <c r="AP162" t="s">
        <v>175</v>
      </c>
      <c r="AQ162" t="s">
        <v>404</v>
      </c>
    </row>
    <row r="163" spans="1:43" x14ac:dyDescent="0.2">
      <c r="A163" t="s">
        <v>374</v>
      </c>
      <c r="B163">
        <v>518</v>
      </c>
      <c r="C163">
        <v>1</v>
      </c>
      <c r="D163">
        <v>39326.33</v>
      </c>
      <c r="E163">
        <v>39326.33</v>
      </c>
      <c r="F163" t="s">
        <v>383</v>
      </c>
      <c r="G163">
        <v>535</v>
      </c>
      <c r="H163">
        <v>1</v>
      </c>
      <c r="I163">
        <v>207895.15</v>
      </c>
      <c r="J163">
        <v>207895.15</v>
      </c>
      <c r="L163" t="s">
        <v>374</v>
      </c>
      <c r="M163">
        <v>213</v>
      </c>
      <c r="N163">
        <v>1</v>
      </c>
      <c r="O163">
        <v>4</v>
      </c>
      <c r="P163">
        <v>582</v>
      </c>
      <c r="Q163">
        <v>344</v>
      </c>
      <c r="R163">
        <v>430</v>
      </c>
      <c r="S163">
        <v>1131.33</v>
      </c>
      <c r="U163" t="s">
        <v>374</v>
      </c>
      <c r="V163">
        <v>256</v>
      </c>
      <c r="W163">
        <v>1</v>
      </c>
      <c r="X163">
        <v>4</v>
      </c>
      <c r="Y163">
        <v>582</v>
      </c>
      <c r="Z163">
        <v>344</v>
      </c>
      <c r="AA163">
        <v>5.19</v>
      </c>
      <c r="AB163">
        <v>300</v>
      </c>
      <c r="AC163">
        <v>28816.99</v>
      </c>
      <c r="AE163" t="s">
        <v>383</v>
      </c>
      <c r="AF163">
        <v>535</v>
      </c>
      <c r="AG163">
        <v>1</v>
      </c>
      <c r="AH163">
        <v>3332.85</v>
      </c>
      <c r="AI163">
        <v>-31814.98</v>
      </c>
      <c r="AJ163">
        <v>1481.9</v>
      </c>
      <c r="AL163" t="s">
        <v>383</v>
      </c>
      <c r="AM163">
        <v>534</v>
      </c>
      <c r="AN163">
        <v>1</v>
      </c>
      <c r="AO163">
        <v>0</v>
      </c>
      <c r="AP163" t="s">
        <v>176</v>
      </c>
      <c r="AQ163" t="s">
        <v>404</v>
      </c>
    </row>
    <row r="164" spans="1:43" x14ac:dyDescent="0.2">
      <c r="A164" t="s">
        <v>374</v>
      </c>
      <c r="B164">
        <v>531</v>
      </c>
      <c r="C164">
        <v>1</v>
      </c>
      <c r="D164">
        <v>11335.38</v>
      </c>
      <c r="E164">
        <v>11335.38</v>
      </c>
      <c r="F164" t="s">
        <v>383</v>
      </c>
      <c r="G164">
        <v>542</v>
      </c>
      <c r="H164">
        <v>1</v>
      </c>
      <c r="I164">
        <v>6069.37</v>
      </c>
      <c r="J164">
        <v>6069.37</v>
      </c>
      <c r="L164" t="s">
        <v>374</v>
      </c>
      <c r="M164">
        <v>227</v>
      </c>
      <c r="N164">
        <v>1</v>
      </c>
      <c r="O164">
        <v>4</v>
      </c>
      <c r="P164">
        <v>582</v>
      </c>
      <c r="Q164">
        <v>344</v>
      </c>
      <c r="R164">
        <v>430</v>
      </c>
      <c r="S164">
        <v>1177.6500000000001</v>
      </c>
      <c r="U164" t="s">
        <v>374</v>
      </c>
      <c r="V164">
        <v>261</v>
      </c>
      <c r="W164">
        <v>1</v>
      </c>
      <c r="X164">
        <v>4</v>
      </c>
      <c r="Y164">
        <v>582</v>
      </c>
      <c r="Z164">
        <v>344</v>
      </c>
      <c r="AA164">
        <v>5.19</v>
      </c>
      <c r="AB164">
        <v>300</v>
      </c>
      <c r="AC164">
        <v>3679.24</v>
      </c>
      <c r="AE164" t="s">
        <v>383</v>
      </c>
      <c r="AF164">
        <v>542</v>
      </c>
      <c r="AG164">
        <v>1</v>
      </c>
      <c r="AH164">
        <v>-42789.74</v>
      </c>
      <c r="AI164">
        <v>-53130.84</v>
      </c>
      <c r="AJ164">
        <v>-63300.84</v>
      </c>
      <c r="AL164" t="s">
        <v>383</v>
      </c>
      <c r="AM164">
        <v>535</v>
      </c>
      <c r="AN164">
        <v>1</v>
      </c>
      <c r="AO164">
        <v>0</v>
      </c>
      <c r="AP164" t="s">
        <v>177</v>
      </c>
      <c r="AQ164" t="s">
        <v>404</v>
      </c>
    </row>
    <row r="165" spans="1:43" x14ac:dyDescent="0.2">
      <c r="A165" t="s">
        <v>374</v>
      </c>
      <c r="B165">
        <v>533</v>
      </c>
      <c r="C165">
        <v>1</v>
      </c>
      <c r="D165">
        <v>7263.49</v>
      </c>
      <c r="E165">
        <v>7263.49</v>
      </c>
      <c r="F165" t="s">
        <v>383</v>
      </c>
      <c r="G165">
        <v>544</v>
      </c>
      <c r="H165">
        <v>1</v>
      </c>
      <c r="I165">
        <v>31074.32</v>
      </c>
      <c r="J165">
        <v>31074.32</v>
      </c>
      <c r="L165" t="s">
        <v>374</v>
      </c>
      <c r="M165">
        <v>238</v>
      </c>
      <c r="N165">
        <v>1</v>
      </c>
      <c r="O165">
        <v>4</v>
      </c>
      <c r="P165">
        <v>582</v>
      </c>
      <c r="Q165">
        <v>344</v>
      </c>
      <c r="R165">
        <v>430</v>
      </c>
      <c r="S165">
        <v>74.790000000000006</v>
      </c>
      <c r="U165" t="s">
        <v>374</v>
      </c>
      <c r="V165">
        <v>270</v>
      </c>
      <c r="W165">
        <v>1</v>
      </c>
      <c r="X165">
        <v>4</v>
      </c>
      <c r="Y165">
        <v>582</v>
      </c>
      <c r="Z165">
        <v>344</v>
      </c>
      <c r="AA165">
        <v>5.19</v>
      </c>
      <c r="AB165">
        <v>300</v>
      </c>
      <c r="AC165">
        <v>90388.14</v>
      </c>
      <c r="AE165" t="s">
        <v>383</v>
      </c>
      <c r="AF165">
        <v>544</v>
      </c>
      <c r="AG165">
        <v>1</v>
      </c>
      <c r="AH165">
        <v>-156.62</v>
      </c>
      <c r="AI165">
        <v>1837.09</v>
      </c>
      <c r="AJ165">
        <v>640.91999999999996</v>
      </c>
      <c r="AL165" t="s">
        <v>383</v>
      </c>
      <c r="AM165">
        <v>542</v>
      </c>
      <c r="AN165">
        <v>1</v>
      </c>
      <c r="AO165">
        <v>0</v>
      </c>
      <c r="AP165" t="s">
        <v>178</v>
      </c>
      <c r="AQ165" t="s">
        <v>404</v>
      </c>
    </row>
    <row r="166" spans="1:43" x14ac:dyDescent="0.2">
      <c r="A166" t="s">
        <v>374</v>
      </c>
      <c r="B166">
        <v>534</v>
      </c>
      <c r="C166">
        <v>1</v>
      </c>
      <c r="D166">
        <v>15576.49</v>
      </c>
      <c r="E166">
        <v>15576.49</v>
      </c>
      <c r="F166" t="s">
        <v>383</v>
      </c>
      <c r="G166">
        <v>545</v>
      </c>
      <c r="H166">
        <v>1</v>
      </c>
      <c r="I166">
        <v>4590.5200000000004</v>
      </c>
      <c r="J166">
        <v>4590.5200000000004</v>
      </c>
      <c r="L166" t="s">
        <v>374</v>
      </c>
      <c r="M166">
        <v>239</v>
      </c>
      <c r="N166">
        <v>1</v>
      </c>
      <c r="O166">
        <v>4</v>
      </c>
      <c r="P166">
        <v>582</v>
      </c>
      <c r="Q166">
        <v>344</v>
      </c>
      <c r="R166">
        <v>430</v>
      </c>
      <c r="S166">
        <v>-4425</v>
      </c>
      <c r="U166" t="s">
        <v>374</v>
      </c>
      <c r="V166">
        <v>271</v>
      </c>
      <c r="W166">
        <v>1</v>
      </c>
      <c r="X166">
        <v>4</v>
      </c>
      <c r="Y166">
        <v>582</v>
      </c>
      <c r="Z166">
        <v>344</v>
      </c>
      <c r="AA166">
        <v>5.19</v>
      </c>
      <c r="AB166">
        <v>300</v>
      </c>
      <c r="AC166">
        <v>127303.38</v>
      </c>
      <c r="AE166" t="s">
        <v>383</v>
      </c>
      <c r="AF166">
        <v>545</v>
      </c>
      <c r="AG166">
        <v>1</v>
      </c>
      <c r="AH166">
        <v>185.76</v>
      </c>
      <c r="AI166">
        <v>335.63</v>
      </c>
      <c r="AJ166">
        <v>2252.6799999999998</v>
      </c>
      <c r="AL166" t="s">
        <v>383</v>
      </c>
      <c r="AM166">
        <v>544</v>
      </c>
      <c r="AN166">
        <v>1</v>
      </c>
      <c r="AO166">
        <v>0</v>
      </c>
      <c r="AP166" t="s">
        <v>179</v>
      </c>
      <c r="AQ166" t="s">
        <v>404</v>
      </c>
    </row>
    <row r="167" spans="1:43" x14ac:dyDescent="0.2">
      <c r="A167" t="s">
        <v>374</v>
      </c>
      <c r="B167">
        <v>535</v>
      </c>
      <c r="C167">
        <v>1</v>
      </c>
      <c r="D167">
        <v>202488.55</v>
      </c>
      <c r="E167">
        <v>202488.55</v>
      </c>
      <c r="F167" t="s">
        <v>383</v>
      </c>
      <c r="G167">
        <v>547</v>
      </c>
      <c r="H167">
        <v>1</v>
      </c>
      <c r="I167">
        <v>6743.08</v>
      </c>
      <c r="J167">
        <v>6743.08</v>
      </c>
      <c r="L167" t="s">
        <v>374</v>
      </c>
      <c r="M167">
        <v>241</v>
      </c>
      <c r="N167">
        <v>1</v>
      </c>
      <c r="O167">
        <v>4</v>
      </c>
      <c r="P167">
        <v>582</v>
      </c>
      <c r="Q167">
        <v>344</v>
      </c>
      <c r="R167">
        <v>430</v>
      </c>
      <c r="S167">
        <v>2175.5100000000002</v>
      </c>
      <c r="U167" t="s">
        <v>374</v>
      </c>
      <c r="V167">
        <v>272</v>
      </c>
      <c r="W167">
        <v>1</v>
      </c>
      <c r="X167">
        <v>4</v>
      </c>
      <c r="Y167">
        <v>582</v>
      </c>
      <c r="Z167">
        <v>344</v>
      </c>
      <c r="AA167">
        <v>5.19</v>
      </c>
      <c r="AB167">
        <v>300</v>
      </c>
      <c r="AC167">
        <v>88597.47</v>
      </c>
      <c r="AE167" t="s">
        <v>383</v>
      </c>
      <c r="AF167">
        <v>547</v>
      </c>
      <c r="AG167">
        <v>1</v>
      </c>
      <c r="AH167">
        <v>-2359.71</v>
      </c>
      <c r="AI167">
        <v>-17228.88</v>
      </c>
      <c r="AJ167">
        <v>-36991.99</v>
      </c>
      <c r="AL167" t="s">
        <v>383</v>
      </c>
      <c r="AM167">
        <v>545</v>
      </c>
      <c r="AN167">
        <v>1</v>
      </c>
      <c r="AO167">
        <v>0</v>
      </c>
      <c r="AP167" t="s">
        <v>180</v>
      </c>
      <c r="AQ167" t="s">
        <v>404</v>
      </c>
    </row>
    <row r="168" spans="1:43" x14ac:dyDescent="0.2">
      <c r="A168" t="s">
        <v>374</v>
      </c>
      <c r="B168">
        <v>542</v>
      </c>
      <c r="C168">
        <v>1</v>
      </c>
      <c r="D168">
        <v>7552.58</v>
      </c>
      <c r="E168">
        <v>7552.58</v>
      </c>
      <c r="F168" t="s">
        <v>383</v>
      </c>
      <c r="G168">
        <v>548</v>
      </c>
      <c r="H168">
        <v>1</v>
      </c>
      <c r="I168">
        <v>13214.79</v>
      </c>
      <c r="J168">
        <v>13214.79</v>
      </c>
      <c r="L168" t="s">
        <v>374</v>
      </c>
      <c r="M168">
        <v>253</v>
      </c>
      <c r="N168">
        <v>1</v>
      </c>
      <c r="O168">
        <v>4</v>
      </c>
      <c r="P168">
        <v>582</v>
      </c>
      <c r="Q168">
        <v>344</v>
      </c>
      <c r="R168">
        <v>430</v>
      </c>
      <c r="S168">
        <v>120</v>
      </c>
      <c r="U168" t="s">
        <v>374</v>
      </c>
      <c r="V168">
        <v>273</v>
      </c>
      <c r="W168">
        <v>1</v>
      </c>
      <c r="X168">
        <v>4</v>
      </c>
      <c r="Y168">
        <v>582</v>
      </c>
      <c r="Z168">
        <v>344</v>
      </c>
      <c r="AA168">
        <v>5.19</v>
      </c>
      <c r="AB168">
        <v>300</v>
      </c>
      <c r="AC168">
        <v>50411.360000000001</v>
      </c>
      <c r="AE168" t="s">
        <v>383</v>
      </c>
      <c r="AF168">
        <v>548</v>
      </c>
      <c r="AG168">
        <v>1</v>
      </c>
      <c r="AH168">
        <v>-30451.54</v>
      </c>
      <c r="AI168">
        <v>-36949.550000000003</v>
      </c>
      <c r="AJ168">
        <v>-25228.13</v>
      </c>
      <c r="AL168" t="s">
        <v>383</v>
      </c>
      <c r="AM168">
        <v>547</v>
      </c>
      <c r="AN168">
        <v>1</v>
      </c>
      <c r="AO168">
        <v>0</v>
      </c>
      <c r="AP168" t="s">
        <v>181</v>
      </c>
      <c r="AQ168" t="s">
        <v>404</v>
      </c>
    </row>
    <row r="169" spans="1:43" x14ac:dyDescent="0.2">
      <c r="A169" t="s">
        <v>374</v>
      </c>
      <c r="B169">
        <v>544</v>
      </c>
      <c r="C169">
        <v>1</v>
      </c>
      <c r="D169">
        <v>28243.09</v>
      </c>
      <c r="E169">
        <v>28243.09</v>
      </c>
      <c r="F169" t="s">
        <v>383</v>
      </c>
      <c r="G169">
        <v>549</v>
      </c>
      <c r="H169">
        <v>1</v>
      </c>
      <c r="I169">
        <v>17817.28</v>
      </c>
      <c r="J169">
        <v>17817.28</v>
      </c>
      <c r="L169" t="s">
        <v>374</v>
      </c>
      <c r="M169">
        <v>255</v>
      </c>
      <c r="N169">
        <v>1</v>
      </c>
      <c r="O169">
        <v>4</v>
      </c>
      <c r="P169">
        <v>582</v>
      </c>
      <c r="Q169">
        <v>344</v>
      </c>
      <c r="R169">
        <v>430</v>
      </c>
      <c r="S169">
        <v>1052.79</v>
      </c>
      <c r="U169" t="s">
        <v>374</v>
      </c>
      <c r="V169">
        <v>276</v>
      </c>
      <c r="W169">
        <v>1</v>
      </c>
      <c r="X169">
        <v>4</v>
      </c>
      <c r="Y169">
        <v>582</v>
      </c>
      <c r="Z169">
        <v>344</v>
      </c>
      <c r="AA169">
        <v>5.19</v>
      </c>
      <c r="AB169">
        <v>300</v>
      </c>
      <c r="AC169">
        <v>52158.79</v>
      </c>
      <c r="AE169" t="s">
        <v>383</v>
      </c>
      <c r="AF169">
        <v>549</v>
      </c>
      <c r="AG169">
        <v>1</v>
      </c>
      <c r="AH169">
        <v>-24187.599999999999</v>
      </c>
      <c r="AI169">
        <v>3812.42</v>
      </c>
      <c r="AJ169">
        <v>1018.17</v>
      </c>
      <c r="AL169" t="s">
        <v>383</v>
      </c>
      <c r="AM169">
        <v>548</v>
      </c>
      <c r="AN169">
        <v>1</v>
      </c>
      <c r="AO169">
        <v>0</v>
      </c>
      <c r="AP169" t="s">
        <v>182</v>
      </c>
      <c r="AQ169" t="s">
        <v>404</v>
      </c>
    </row>
    <row r="170" spans="1:43" x14ac:dyDescent="0.2">
      <c r="A170" t="s">
        <v>374</v>
      </c>
      <c r="B170">
        <v>545</v>
      </c>
      <c r="C170">
        <v>1</v>
      </c>
      <c r="D170">
        <v>5241.96</v>
      </c>
      <c r="E170">
        <v>5241.96</v>
      </c>
      <c r="F170" t="s">
        <v>383</v>
      </c>
      <c r="G170">
        <v>550</v>
      </c>
      <c r="H170">
        <v>1</v>
      </c>
      <c r="I170">
        <v>6232.77</v>
      </c>
      <c r="J170">
        <v>6232.77</v>
      </c>
      <c r="L170" t="s">
        <v>374</v>
      </c>
      <c r="M170">
        <v>256</v>
      </c>
      <c r="N170">
        <v>1</v>
      </c>
      <c r="O170">
        <v>4</v>
      </c>
      <c r="P170">
        <v>582</v>
      </c>
      <c r="Q170">
        <v>344</v>
      </c>
      <c r="R170">
        <v>430</v>
      </c>
      <c r="S170">
        <v>1166.72</v>
      </c>
      <c r="U170" t="s">
        <v>374</v>
      </c>
      <c r="V170">
        <v>277</v>
      </c>
      <c r="W170">
        <v>1</v>
      </c>
      <c r="X170">
        <v>4</v>
      </c>
      <c r="Y170">
        <v>582</v>
      </c>
      <c r="Z170">
        <v>344</v>
      </c>
      <c r="AA170">
        <v>5.19</v>
      </c>
      <c r="AB170">
        <v>300</v>
      </c>
      <c r="AC170">
        <v>25578.400000000001</v>
      </c>
      <c r="AE170" t="s">
        <v>383</v>
      </c>
      <c r="AF170">
        <v>550</v>
      </c>
      <c r="AG170">
        <v>1</v>
      </c>
      <c r="AH170">
        <v>-7026.89</v>
      </c>
      <c r="AI170">
        <v>-6440.79</v>
      </c>
      <c r="AJ170">
        <v>691.92</v>
      </c>
      <c r="AL170" t="s">
        <v>383</v>
      </c>
      <c r="AM170">
        <v>549</v>
      </c>
      <c r="AN170">
        <v>1</v>
      </c>
      <c r="AO170">
        <v>0</v>
      </c>
      <c r="AP170" t="s">
        <v>183</v>
      </c>
      <c r="AQ170" t="s">
        <v>404</v>
      </c>
    </row>
    <row r="171" spans="1:43" x14ac:dyDescent="0.2">
      <c r="A171" t="s">
        <v>374</v>
      </c>
      <c r="B171">
        <v>547</v>
      </c>
      <c r="C171">
        <v>1</v>
      </c>
      <c r="D171">
        <v>6360.19</v>
      </c>
      <c r="E171">
        <v>6360.19</v>
      </c>
      <c r="F171" t="s">
        <v>383</v>
      </c>
      <c r="G171">
        <v>553</v>
      </c>
      <c r="H171">
        <v>1</v>
      </c>
      <c r="I171">
        <v>10311.06</v>
      </c>
      <c r="J171">
        <v>10311.06</v>
      </c>
      <c r="L171" t="s">
        <v>374</v>
      </c>
      <c r="M171">
        <v>264</v>
      </c>
      <c r="N171">
        <v>1</v>
      </c>
      <c r="O171">
        <v>4</v>
      </c>
      <c r="P171">
        <v>582</v>
      </c>
      <c r="Q171">
        <v>344</v>
      </c>
      <c r="R171">
        <v>430</v>
      </c>
      <c r="S171">
        <v>127.33</v>
      </c>
      <c r="U171" t="s">
        <v>374</v>
      </c>
      <c r="V171">
        <v>281</v>
      </c>
      <c r="W171">
        <v>1</v>
      </c>
      <c r="X171">
        <v>4</v>
      </c>
      <c r="Y171">
        <v>582</v>
      </c>
      <c r="Z171">
        <v>344</v>
      </c>
      <c r="AA171">
        <v>5.19</v>
      </c>
      <c r="AB171">
        <v>300</v>
      </c>
      <c r="AC171">
        <v>194566.79</v>
      </c>
      <c r="AE171" t="s">
        <v>383</v>
      </c>
      <c r="AF171">
        <v>553</v>
      </c>
      <c r="AG171">
        <v>1</v>
      </c>
      <c r="AH171">
        <v>-789.24</v>
      </c>
      <c r="AI171">
        <v>4228.2299999999996</v>
      </c>
      <c r="AJ171">
        <v>4303.96</v>
      </c>
      <c r="AL171" t="s">
        <v>383</v>
      </c>
      <c r="AM171">
        <v>550</v>
      </c>
      <c r="AN171">
        <v>1</v>
      </c>
      <c r="AO171">
        <v>0</v>
      </c>
      <c r="AP171" t="s">
        <v>184</v>
      </c>
      <c r="AQ171" t="s">
        <v>404</v>
      </c>
    </row>
    <row r="172" spans="1:43" x14ac:dyDescent="0.2">
      <c r="A172" t="s">
        <v>374</v>
      </c>
      <c r="B172">
        <v>548</v>
      </c>
      <c r="C172">
        <v>1</v>
      </c>
      <c r="D172">
        <v>13716.44</v>
      </c>
      <c r="E172">
        <v>13716.44</v>
      </c>
      <c r="F172" t="s">
        <v>383</v>
      </c>
      <c r="G172">
        <v>561</v>
      </c>
      <c r="H172">
        <v>1</v>
      </c>
      <c r="I172">
        <v>3482.99</v>
      </c>
      <c r="J172">
        <v>3482.99</v>
      </c>
      <c r="L172" t="s">
        <v>374</v>
      </c>
      <c r="M172">
        <v>270</v>
      </c>
      <c r="N172">
        <v>1</v>
      </c>
      <c r="O172">
        <v>4</v>
      </c>
      <c r="P172">
        <v>582</v>
      </c>
      <c r="Q172">
        <v>344</v>
      </c>
      <c r="R172">
        <v>430</v>
      </c>
      <c r="S172">
        <v>19.899999999999999</v>
      </c>
      <c r="U172" t="s">
        <v>374</v>
      </c>
      <c r="V172">
        <v>283</v>
      </c>
      <c r="W172">
        <v>1</v>
      </c>
      <c r="X172">
        <v>4</v>
      </c>
      <c r="Y172">
        <v>582</v>
      </c>
      <c r="Z172">
        <v>344</v>
      </c>
      <c r="AA172">
        <v>5.19</v>
      </c>
      <c r="AB172">
        <v>300</v>
      </c>
      <c r="AC172">
        <v>52261.599999999999</v>
      </c>
      <c r="AE172" t="s">
        <v>383</v>
      </c>
      <c r="AF172">
        <v>561</v>
      </c>
      <c r="AG172">
        <v>1</v>
      </c>
      <c r="AH172">
        <v>0</v>
      </c>
      <c r="AI172">
        <v>0.36</v>
      </c>
      <c r="AJ172">
        <v>-30.19</v>
      </c>
      <c r="AL172" t="s">
        <v>383</v>
      </c>
      <c r="AM172">
        <v>553</v>
      </c>
      <c r="AN172">
        <v>1</v>
      </c>
      <c r="AO172">
        <v>0</v>
      </c>
      <c r="AP172" t="s">
        <v>185</v>
      </c>
      <c r="AQ172" t="s">
        <v>404</v>
      </c>
    </row>
    <row r="173" spans="1:43" x14ac:dyDescent="0.2">
      <c r="A173" t="s">
        <v>374</v>
      </c>
      <c r="B173">
        <v>549</v>
      </c>
      <c r="C173">
        <v>1</v>
      </c>
      <c r="D173">
        <v>18797.25</v>
      </c>
      <c r="E173">
        <v>18797.25</v>
      </c>
      <c r="F173" t="s">
        <v>383</v>
      </c>
      <c r="G173">
        <v>564</v>
      </c>
      <c r="H173">
        <v>1</v>
      </c>
      <c r="I173">
        <v>25327.69</v>
      </c>
      <c r="J173">
        <v>25327.69</v>
      </c>
      <c r="L173" t="s">
        <v>374</v>
      </c>
      <c r="M173">
        <v>271</v>
      </c>
      <c r="N173">
        <v>1</v>
      </c>
      <c r="O173">
        <v>4</v>
      </c>
      <c r="P173">
        <v>582</v>
      </c>
      <c r="Q173">
        <v>344</v>
      </c>
      <c r="R173">
        <v>430</v>
      </c>
      <c r="S173">
        <v>676.32</v>
      </c>
      <c r="U173" t="s">
        <v>374</v>
      </c>
      <c r="V173">
        <v>284</v>
      </c>
      <c r="W173">
        <v>1</v>
      </c>
      <c r="X173">
        <v>4</v>
      </c>
      <c r="Y173">
        <v>582</v>
      </c>
      <c r="Z173">
        <v>344</v>
      </c>
      <c r="AA173">
        <v>5.01</v>
      </c>
      <c r="AB173">
        <v>300</v>
      </c>
      <c r="AC173">
        <v>69888.73</v>
      </c>
      <c r="AE173" t="s">
        <v>383</v>
      </c>
      <c r="AF173">
        <v>564</v>
      </c>
      <c r="AG173">
        <v>1</v>
      </c>
      <c r="AH173">
        <v>-5122.9799999999996</v>
      </c>
      <c r="AI173">
        <v>-11206.74</v>
      </c>
      <c r="AJ173">
        <v>-5281.02</v>
      </c>
      <c r="AL173" t="s">
        <v>383</v>
      </c>
      <c r="AM173">
        <v>561</v>
      </c>
      <c r="AN173">
        <v>1</v>
      </c>
      <c r="AO173">
        <v>0</v>
      </c>
      <c r="AP173" t="s">
        <v>186</v>
      </c>
      <c r="AQ173" t="s">
        <v>404</v>
      </c>
    </row>
    <row r="174" spans="1:43" x14ac:dyDescent="0.2">
      <c r="A174" t="s">
        <v>374</v>
      </c>
      <c r="B174">
        <v>550</v>
      </c>
      <c r="C174">
        <v>1</v>
      </c>
      <c r="D174">
        <v>6425.75</v>
      </c>
      <c r="E174">
        <v>6425.75</v>
      </c>
      <c r="F174" t="s">
        <v>383</v>
      </c>
      <c r="G174">
        <v>577</v>
      </c>
      <c r="H174">
        <v>1</v>
      </c>
      <c r="I174">
        <v>6974.48</v>
      </c>
      <c r="J174">
        <v>6974.48</v>
      </c>
      <c r="L174" t="s">
        <v>374</v>
      </c>
      <c r="M174">
        <v>272</v>
      </c>
      <c r="N174">
        <v>1</v>
      </c>
      <c r="O174">
        <v>4</v>
      </c>
      <c r="P174">
        <v>582</v>
      </c>
      <c r="Q174">
        <v>344</v>
      </c>
      <c r="R174">
        <v>430</v>
      </c>
      <c r="S174">
        <v>6764.72</v>
      </c>
      <c r="U174" t="s">
        <v>374</v>
      </c>
      <c r="V174">
        <v>286</v>
      </c>
      <c r="W174">
        <v>1</v>
      </c>
      <c r="X174">
        <v>4</v>
      </c>
      <c r="Y174">
        <v>582</v>
      </c>
      <c r="Z174">
        <v>344</v>
      </c>
      <c r="AA174">
        <v>5.19</v>
      </c>
      <c r="AB174">
        <v>300</v>
      </c>
      <c r="AC174">
        <v>39952.15</v>
      </c>
      <c r="AE174" t="s">
        <v>383</v>
      </c>
      <c r="AF174">
        <v>577</v>
      </c>
      <c r="AG174">
        <v>1</v>
      </c>
      <c r="AH174">
        <v>-22291.23</v>
      </c>
      <c r="AI174">
        <v>0</v>
      </c>
      <c r="AJ174">
        <v>-1806.42</v>
      </c>
      <c r="AL174" t="s">
        <v>383</v>
      </c>
      <c r="AM174">
        <v>564</v>
      </c>
      <c r="AN174">
        <v>1</v>
      </c>
      <c r="AO174">
        <v>0</v>
      </c>
      <c r="AP174" t="s">
        <v>187</v>
      </c>
      <c r="AQ174" t="s">
        <v>404</v>
      </c>
    </row>
    <row r="175" spans="1:43" x14ac:dyDescent="0.2">
      <c r="A175" t="s">
        <v>374</v>
      </c>
      <c r="B175">
        <v>553</v>
      </c>
      <c r="C175">
        <v>1</v>
      </c>
      <c r="D175">
        <v>10673.85</v>
      </c>
      <c r="E175">
        <v>10673.85</v>
      </c>
      <c r="F175" t="s">
        <v>383</v>
      </c>
      <c r="G175">
        <v>578</v>
      </c>
      <c r="H175">
        <v>1</v>
      </c>
      <c r="I175">
        <v>21438.29</v>
      </c>
      <c r="J175">
        <v>21438.29</v>
      </c>
      <c r="L175" t="s">
        <v>374</v>
      </c>
      <c r="M175">
        <v>277</v>
      </c>
      <c r="N175">
        <v>1</v>
      </c>
      <c r="O175">
        <v>4</v>
      </c>
      <c r="P175">
        <v>582</v>
      </c>
      <c r="Q175">
        <v>344</v>
      </c>
      <c r="R175">
        <v>430</v>
      </c>
      <c r="S175">
        <v>7782.61</v>
      </c>
      <c r="U175" t="s">
        <v>374</v>
      </c>
      <c r="V175">
        <v>294</v>
      </c>
      <c r="W175">
        <v>1</v>
      </c>
      <c r="X175">
        <v>4</v>
      </c>
      <c r="Y175">
        <v>582</v>
      </c>
      <c r="Z175">
        <v>344</v>
      </c>
      <c r="AA175">
        <v>5.19</v>
      </c>
      <c r="AB175">
        <v>300</v>
      </c>
      <c r="AC175">
        <v>7517.44</v>
      </c>
      <c r="AE175" t="s">
        <v>383</v>
      </c>
      <c r="AF175">
        <v>578</v>
      </c>
      <c r="AG175">
        <v>1</v>
      </c>
      <c r="AH175">
        <v>-12110.29</v>
      </c>
      <c r="AI175">
        <v>-40457.43</v>
      </c>
      <c r="AJ175">
        <v>-33922.089999999997</v>
      </c>
      <c r="AL175" t="s">
        <v>383</v>
      </c>
      <c r="AM175">
        <v>577</v>
      </c>
      <c r="AN175">
        <v>1</v>
      </c>
      <c r="AO175">
        <v>0</v>
      </c>
      <c r="AP175" t="s">
        <v>188</v>
      </c>
      <c r="AQ175" t="s">
        <v>404</v>
      </c>
    </row>
    <row r="176" spans="1:43" x14ac:dyDescent="0.2">
      <c r="A176" t="s">
        <v>374</v>
      </c>
      <c r="B176">
        <v>561</v>
      </c>
      <c r="C176">
        <v>1</v>
      </c>
      <c r="D176">
        <v>3280.83</v>
      </c>
      <c r="E176">
        <v>3280.83</v>
      </c>
      <c r="F176" t="s">
        <v>383</v>
      </c>
      <c r="G176">
        <v>581</v>
      </c>
      <c r="H176">
        <v>1</v>
      </c>
      <c r="I176">
        <v>4829.45</v>
      </c>
      <c r="J176">
        <v>4829.45</v>
      </c>
      <c r="L176" t="s">
        <v>374</v>
      </c>
      <c r="M176">
        <v>279</v>
      </c>
      <c r="N176">
        <v>1</v>
      </c>
      <c r="O176">
        <v>4</v>
      </c>
      <c r="P176">
        <v>582</v>
      </c>
      <c r="Q176">
        <v>344</v>
      </c>
      <c r="R176">
        <v>430</v>
      </c>
      <c r="S176">
        <v>1671.3</v>
      </c>
      <c r="U176" t="s">
        <v>374</v>
      </c>
      <c r="V176">
        <v>297</v>
      </c>
      <c r="W176">
        <v>1</v>
      </c>
      <c r="X176">
        <v>4</v>
      </c>
      <c r="Y176">
        <v>582</v>
      </c>
      <c r="Z176">
        <v>344</v>
      </c>
      <c r="AA176">
        <v>5.19</v>
      </c>
      <c r="AB176">
        <v>300</v>
      </c>
      <c r="AC176">
        <v>3651.54</v>
      </c>
      <c r="AE176" t="s">
        <v>383</v>
      </c>
      <c r="AF176">
        <v>581</v>
      </c>
      <c r="AG176">
        <v>1</v>
      </c>
      <c r="AH176">
        <v>1201.79</v>
      </c>
      <c r="AI176">
        <v>2214.3000000000002</v>
      </c>
      <c r="AJ176">
        <v>-543.79</v>
      </c>
      <c r="AL176" t="s">
        <v>383</v>
      </c>
      <c r="AM176">
        <v>578</v>
      </c>
      <c r="AN176">
        <v>1</v>
      </c>
      <c r="AO176">
        <v>0</v>
      </c>
      <c r="AP176" t="s">
        <v>189</v>
      </c>
      <c r="AQ176" t="s">
        <v>404</v>
      </c>
    </row>
    <row r="177" spans="1:43" x14ac:dyDescent="0.2">
      <c r="A177" t="s">
        <v>374</v>
      </c>
      <c r="B177">
        <v>564</v>
      </c>
      <c r="C177">
        <v>1</v>
      </c>
      <c r="D177">
        <v>25658.44</v>
      </c>
      <c r="E177">
        <v>25658.44</v>
      </c>
      <c r="F177" t="s">
        <v>383</v>
      </c>
      <c r="G177">
        <v>592</v>
      </c>
      <c r="H177">
        <v>1</v>
      </c>
      <c r="I177">
        <v>2395.4499999999998</v>
      </c>
      <c r="J177">
        <v>2395.4499999999998</v>
      </c>
      <c r="L177" t="s">
        <v>374</v>
      </c>
      <c r="M177">
        <v>281</v>
      </c>
      <c r="N177">
        <v>1</v>
      </c>
      <c r="O177">
        <v>4</v>
      </c>
      <c r="P177">
        <v>582</v>
      </c>
      <c r="Q177">
        <v>344</v>
      </c>
      <c r="R177">
        <v>430</v>
      </c>
      <c r="S177">
        <v>3467.11</v>
      </c>
      <c r="U177" t="s">
        <v>374</v>
      </c>
      <c r="V177">
        <v>299</v>
      </c>
      <c r="W177">
        <v>1</v>
      </c>
      <c r="X177">
        <v>4</v>
      </c>
      <c r="Y177">
        <v>582</v>
      </c>
      <c r="Z177">
        <v>344</v>
      </c>
      <c r="AA177">
        <v>5.19</v>
      </c>
      <c r="AB177">
        <v>300</v>
      </c>
      <c r="AC177">
        <v>9458</v>
      </c>
      <c r="AE177" t="s">
        <v>383</v>
      </c>
      <c r="AF177">
        <v>592</v>
      </c>
      <c r="AG177">
        <v>1</v>
      </c>
      <c r="AH177">
        <v>-2842.91</v>
      </c>
      <c r="AI177">
        <v>-10754.64</v>
      </c>
      <c r="AJ177">
        <v>-22541.03</v>
      </c>
      <c r="AL177" t="s">
        <v>383</v>
      </c>
      <c r="AM177">
        <v>581</v>
      </c>
      <c r="AN177">
        <v>1</v>
      </c>
      <c r="AO177">
        <v>0</v>
      </c>
      <c r="AP177" t="s">
        <v>190</v>
      </c>
      <c r="AQ177" t="s">
        <v>404</v>
      </c>
    </row>
    <row r="178" spans="1:43" x14ac:dyDescent="0.2">
      <c r="A178" t="s">
        <v>374</v>
      </c>
      <c r="B178">
        <v>577</v>
      </c>
      <c r="C178">
        <v>1</v>
      </c>
      <c r="D178">
        <v>7256.5</v>
      </c>
      <c r="E178">
        <v>7256.5</v>
      </c>
      <c r="F178" t="s">
        <v>383</v>
      </c>
      <c r="G178">
        <v>593</v>
      </c>
      <c r="H178">
        <v>1</v>
      </c>
      <c r="I178">
        <v>21913.17</v>
      </c>
      <c r="J178">
        <v>21913.17</v>
      </c>
      <c r="L178" t="s">
        <v>374</v>
      </c>
      <c r="M178">
        <v>283</v>
      </c>
      <c r="N178">
        <v>1</v>
      </c>
      <c r="O178">
        <v>4</v>
      </c>
      <c r="P178">
        <v>582</v>
      </c>
      <c r="Q178">
        <v>344</v>
      </c>
      <c r="R178">
        <v>430</v>
      </c>
      <c r="S178">
        <v>556.73</v>
      </c>
      <c r="U178" t="s">
        <v>374</v>
      </c>
      <c r="V178">
        <v>300</v>
      </c>
      <c r="W178">
        <v>1</v>
      </c>
      <c r="X178">
        <v>4</v>
      </c>
      <c r="Y178">
        <v>582</v>
      </c>
      <c r="Z178">
        <v>344</v>
      </c>
      <c r="AA178">
        <v>5.19</v>
      </c>
      <c r="AB178">
        <v>300</v>
      </c>
      <c r="AC178">
        <v>12663.87</v>
      </c>
      <c r="AE178" t="s">
        <v>383</v>
      </c>
      <c r="AF178">
        <v>593</v>
      </c>
      <c r="AG178">
        <v>1</v>
      </c>
      <c r="AH178">
        <v>0</v>
      </c>
      <c r="AI178">
        <v>17282.48</v>
      </c>
      <c r="AJ178">
        <v>5640.62</v>
      </c>
      <c r="AL178" t="s">
        <v>383</v>
      </c>
      <c r="AM178">
        <v>592</v>
      </c>
      <c r="AN178">
        <v>1</v>
      </c>
      <c r="AO178">
        <v>0</v>
      </c>
      <c r="AP178" t="s">
        <v>191</v>
      </c>
      <c r="AQ178" t="s">
        <v>404</v>
      </c>
    </row>
    <row r="179" spans="1:43" x14ac:dyDescent="0.2">
      <c r="A179" t="s">
        <v>374</v>
      </c>
      <c r="B179">
        <v>578</v>
      </c>
      <c r="C179">
        <v>1</v>
      </c>
      <c r="D179">
        <v>19817.59</v>
      </c>
      <c r="E179">
        <v>19817.59</v>
      </c>
      <c r="F179" t="s">
        <v>383</v>
      </c>
      <c r="G179">
        <v>595</v>
      </c>
      <c r="H179">
        <v>1</v>
      </c>
      <c r="I179">
        <v>19139.8</v>
      </c>
      <c r="J179">
        <v>19139.8</v>
      </c>
      <c r="L179" t="s">
        <v>374</v>
      </c>
      <c r="M179">
        <v>286</v>
      </c>
      <c r="N179">
        <v>1</v>
      </c>
      <c r="O179">
        <v>4</v>
      </c>
      <c r="P179">
        <v>582</v>
      </c>
      <c r="Q179">
        <v>344</v>
      </c>
      <c r="R179">
        <v>430</v>
      </c>
      <c r="S179">
        <v>2403.19</v>
      </c>
      <c r="U179" t="s">
        <v>374</v>
      </c>
      <c r="V179">
        <v>306</v>
      </c>
      <c r="W179">
        <v>1</v>
      </c>
      <c r="X179">
        <v>4</v>
      </c>
      <c r="Y179">
        <v>582</v>
      </c>
      <c r="Z179">
        <v>344</v>
      </c>
      <c r="AA179">
        <v>5.19</v>
      </c>
      <c r="AB179">
        <v>300</v>
      </c>
      <c r="AC179">
        <v>4225.09</v>
      </c>
      <c r="AE179" t="s">
        <v>383</v>
      </c>
      <c r="AF179">
        <v>595</v>
      </c>
      <c r="AG179">
        <v>1</v>
      </c>
      <c r="AH179">
        <v>0</v>
      </c>
      <c r="AI179">
        <v>-5288.37</v>
      </c>
      <c r="AJ179">
        <v>-11727.6</v>
      </c>
      <c r="AL179" t="s">
        <v>383</v>
      </c>
      <c r="AM179">
        <v>593</v>
      </c>
      <c r="AN179">
        <v>1</v>
      </c>
      <c r="AO179">
        <v>0</v>
      </c>
      <c r="AP179" t="s">
        <v>192</v>
      </c>
      <c r="AQ179" t="s">
        <v>404</v>
      </c>
    </row>
    <row r="180" spans="1:43" x14ac:dyDescent="0.2">
      <c r="A180" t="s">
        <v>374</v>
      </c>
      <c r="B180">
        <v>581</v>
      </c>
      <c r="C180">
        <v>1</v>
      </c>
      <c r="D180">
        <v>4768.68</v>
      </c>
      <c r="E180">
        <v>4768.68</v>
      </c>
      <c r="F180" t="s">
        <v>383</v>
      </c>
      <c r="G180">
        <v>599</v>
      </c>
      <c r="H180">
        <v>1</v>
      </c>
      <c r="I180">
        <v>6608.17</v>
      </c>
      <c r="J180">
        <v>6608.17</v>
      </c>
      <c r="L180" t="s">
        <v>374</v>
      </c>
      <c r="M180">
        <v>294</v>
      </c>
      <c r="N180">
        <v>1</v>
      </c>
      <c r="O180">
        <v>4</v>
      </c>
      <c r="P180">
        <v>582</v>
      </c>
      <c r="Q180">
        <v>344</v>
      </c>
      <c r="R180">
        <v>430</v>
      </c>
      <c r="S180">
        <v>12.66</v>
      </c>
      <c r="U180" t="s">
        <v>374</v>
      </c>
      <c r="V180">
        <v>308</v>
      </c>
      <c r="W180">
        <v>1</v>
      </c>
      <c r="X180">
        <v>4</v>
      </c>
      <c r="Y180">
        <v>582</v>
      </c>
      <c r="Z180">
        <v>344</v>
      </c>
      <c r="AA180">
        <v>5.19</v>
      </c>
      <c r="AB180">
        <v>300</v>
      </c>
      <c r="AC180">
        <v>7912.98</v>
      </c>
      <c r="AE180" t="s">
        <v>383</v>
      </c>
      <c r="AF180">
        <v>599</v>
      </c>
      <c r="AG180">
        <v>1</v>
      </c>
      <c r="AH180">
        <v>58.57</v>
      </c>
      <c r="AI180">
        <v>0.13</v>
      </c>
      <c r="AJ180">
        <v>2152.15</v>
      </c>
      <c r="AL180" t="s">
        <v>383</v>
      </c>
      <c r="AM180">
        <v>595</v>
      </c>
      <c r="AN180">
        <v>1</v>
      </c>
      <c r="AO180">
        <v>0</v>
      </c>
      <c r="AP180" t="s">
        <v>193</v>
      </c>
      <c r="AQ180" t="s">
        <v>404</v>
      </c>
    </row>
    <row r="181" spans="1:43" x14ac:dyDescent="0.2">
      <c r="A181" t="s">
        <v>374</v>
      </c>
      <c r="B181">
        <v>592</v>
      </c>
      <c r="C181">
        <v>1</v>
      </c>
      <c r="D181">
        <v>2062.84</v>
      </c>
      <c r="E181">
        <v>2062.84</v>
      </c>
      <c r="F181" t="s">
        <v>383</v>
      </c>
      <c r="G181">
        <v>600</v>
      </c>
      <c r="H181">
        <v>1</v>
      </c>
      <c r="I181">
        <v>2366.48</v>
      </c>
      <c r="J181">
        <v>2366.48</v>
      </c>
      <c r="L181" t="s">
        <v>374</v>
      </c>
      <c r="M181">
        <v>297</v>
      </c>
      <c r="N181">
        <v>1</v>
      </c>
      <c r="O181">
        <v>4</v>
      </c>
      <c r="P181">
        <v>582</v>
      </c>
      <c r="Q181">
        <v>344</v>
      </c>
      <c r="R181">
        <v>430</v>
      </c>
      <c r="S181">
        <v>338.69</v>
      </c>
      <c r="U181" t="s">
        <v>374</v>
      </c>
      <c r="V181">
        <v>309</v>
      </c>
      <c r="W181">
        <v>1</v>
      </c>
      <c r="X181">
        <v>4</v>
      </c>
      <c r="Y181">
        <v>582</v>
      </c>
      <c r="Z181">
        <v>344</v>
      </c>
      <c r="AA181">
        <v>5.19</v>
      </c>
      <c r="AB181">
        <v>300</v>
      </c>
      <c r="AC181">
        <v>26179.37</v>
      </c>
      <c r="AE181" t="s">
        <v>383</v>
      </c>
      <c r="AF181">
        <v>600</v>
      </c>
      <c r="AG181">
        <v>1</v>
      </c>
      <c r="AH181">
        <v>0.37</v>
      </c>
      <c r="AI181">
        <v>-5757.92</v>
      </c>
      <c r="AJ181">
        <v>-4491.26</v>
      </c>
      <c r="AL181" t="s">
        <v>383</v>
      </c>
      <c r="AM181">
        <v>599</v>
      </c>
      <c r="AN181">
        <v>1</v>
      </c>
      <c r="AO181">
        <v>0</v>
      </c>
      <c r="AP181" t="s">
        <v>194</v>
      </c>
      <c r="AQ181" t="s">
        <v>404</v>
      </c>
    </row>
    <row r="182" spans="1:43" x14ac:dyDescent="0.2">
      <c r="A182" t="s">
        <v>374</v>
      </c>
      <c r="B182">
        <v>593</v>
      </c>
      <c r="C182">
        <v>1</v>
      </c>
      <c r="D182">
        <v>19363.189999999999</v>
      </c>
      <c r="E182">
        <v>19363.189999999999</v>
      </c>
      <c r="F182" t="s">
        <v>383</v>
      </c>
      <c r="G182">
        <v>601</v>
      </c>
      <c r="H182">
        <v>1</v>
      </c>
      <c r="I182">
        <v>8984.1200000000008</v>
      </c>
      <c r="J182">
        <v>8984.1200000000008</v>
      </c>
      <c r="L182" t="s">
        <v>374</v>
      </c>
      <c r="M182">
        <v>300</v>
      </c>
      <c r="N182">
        <v>1</v>
      </c>
      <c r="O182">
        <v>4</v>
      </c>
      <c r="P182">
        <v>582</v>
      </c>
      <c r="Q182">
        <v>344</v>
      </c>
      <c r="R182">
        <v>430</v>
      </c>
      <c r="S182">
        <v>307.26</v>
      </c>
      <c r="U182" t="s">
        <v>374</v>
      </c>
      <c r="V182">
        <v>314</v>
      </c>
      <c r="W182">
        <v>1</v>
      </c>
      <c r="X182">
        <v>4</v>
      </c>
      <c r="Y182">
        <v>582</v>
      </c>
      <c r="Z182">
        <v>344</v>
      </c>
      <c r="AA182">
        <v>5.19</v>
      </c>
      <c r="AB182">
        <v>300</v>
      </c>
      <c r="AC182">
        <v>11102.45</v>
      </c>
      <c r="AE182" t="s">
        <v>383</v>
      </c>
      <c r="AF182">
        <v>601</v>
      </c>
      <c r="AG182">
        <v>1</v>
      </c>
      <c r="AH182">
        <v>303.72000000000003</v>
      </c>
      <c r="AI182">
        <v>-816.59</v>
      </c>
      <c r="AJ182">
        <v>2615.52</v>
      </c>
      <c r="AL182" t="s">
        <v>383</v>
      </c>
      <c r="AM182">
        <v>600</v>
      </c>
      <c r="AN182">
        <v>1</v>
      </c>
      <c r="AO182">
        <v>0</v>
      </c>
      <c r="AP182" t="s">
        <v>195</v>
      </c>
      <c r="AQ182" t="s">
        <v>404</v>
      </c>
    </row>
    <row r="183" spans="1:43" x14ac:dyDescent="0.2">
      <c r="A183" t="s">
        <v>374</v>
      </c>
      <c r="B183">
        <v>595</v>
      </c>
      <c r="C183">
        <v>1</v>
      </c>
      <c r="D183">
        <v>19257.669999999998</v>
      </c>
      <c r="E183">
        <v>19257.669999999998</v>
      </c>
      <c r="F183" t="s">
        <v>383</v>
      </c>
      <c r="G183">
        <v>611</v>
      </c>
      <c r="H183">
        <v>1</v>
      </c>
      <c r="I183">
        <v>825.14</v>
      </c>
      <c r="J183">
        <v>755.54</v>
      </c>
      <c r="L183" t="s">
        <v>374</v>
      </c>
      <c r="M183">
        <v>308</v>
      </c>
      <c r="N183">
        <v>1</v>
      </c>
      <c r="O183">
        <v>4</v>
      </c>
      <c r="P183">
        <v>582</v>
      </c>
      <c r="Q183">
        <v>344</v>
      </c>
      <c r="R183">
        <v>430</v>
      </c>
      <c r="S183">
        <v>500.65</v>
      </c>
      <c r="U183" t="s">
        <v>374</v>
      </c>
      <c r="V183">
        <v>316</v>
      </c>
      <c r="W183">
        <v>1</v>
      </c>
      <c r="X183">
        <v>4</v>
      </c>
      <c r="Y183">
        <v>582</v>
      </c>
      <c r="Z183">
        <v>344</v>
      </c>
      <c r="AA183">
        <v>5.19</v>
      </c>
      <c r="AB183">
        <v>300</v>
      </c>
      <c r="AC183">
        <v>14687.83</v>
      </c>
      <c r="AE183" t="s">
        <v>383</v>
      </c>
      <c r="AF183">
        <v>611</v>
      </c>
      <c r="AG183">
        <v>1</v>
      </c>
      <c r="AH183">
        <v>479.1</v>
      </c>
      <c r="AI183">
        <v>122.03</v>
      </c>
      <c r="AJ183">
        <v>858.96</v>
      </c>
      <c r="AL183" t="s">
        <v>383</v>
      </c>
      <c r="AM183">
        <v>601</v>
      </c>
      <c r="AN183">
        <v>1</v>
      </c>
      <c r="AO183">
        <v>0</v>
      </c>
      <c r="AP183" t="s">
        <v>196</v>
      </c>
      <c r="AQ183" t="s">
        <v>404</v>
      </c>
    </row>
    <row r="184" spans="1:43" x14ac:dyDescent="0.2">
      <c r="A184" t="s">
        <v>374</v>
      </c>
      <c r="B184">
        <v>599</v>
      </c>
      <c r="C184">
        <v>1</v>
      </c>
      <c r="D184">
        <v>6645.73</v>
      </c>
      <c r="E184">
        <v>6645.73</v>
      </c>
      <c r="F184" t="s">
        <v>383</v>
      </c>
      <c r="G184">
        <v>621</v>
      </c>
      <c r="H184">
        <v>1</v>
      </c>
      <c r="I184">
        <v>115528.3</v>
      </c>
      <c r="J184">
        <v>115528.3</v>
      </c>
      <c r="L184" t="s">
        <v>374</v>
      </c>
      <c r="M184">
        <v>309</v>
      </c>
      <c r="N184">
        <v>1</v>
      </c>
      <c r="O184">
        <v>4</v>
      </c>
      <c r="P184">
        <v>582</v>
      </c>
      <c r="Q184">
        <v>344</v>
      </c>
      <c r="R184">
        <v>430</v>
      </c>
      <c r="S184">
        <v>452.27</v>
      </c>
      <c r="U184" t="s">
        <v>374</v>
      </c>
      <c r="V184">
        <v>317</v>
      </c>
      <c r="W184">
        <v>1</v>
      </c>
      <c r="X184">
        <v>4</v>
      </c>
      <c r="Y184">
        <v>582</v>
      </c>
      <c r="Z184">
        <v>344</v>
      </c>
      <c r="AA184">
        <v>5.19</v>
      </c>
      <c r="AB184">
        <v>300</v>
      </c>
      <c r="AC184">
        <v>16862.34</v>
      </c>
      <c r="AE184" t="s">
        <v>383</v>
      </c>
      <c r="AF184">
        <v>621</v>
      </c>
      <c r="AG184">
        <v>1</v>
      </c>
      <c r="AH184">
        <v>3049.97</v>
      </c>
      <c r="AI184">
        <v>10111.709999999999</v>
      </c>
      <c r="AJ184">
        <v>12603.23</v>
      </c>
      <c r="AL184" t="s">
        <v>383</v>
      </c>
      <c r="AM184">
        <v>611</v>
      </c>
      <c r="AN184">
        <v>1</v>
      </c>
      <c r="AO184">
        <v>0</v>
      </c>
      <c r="AP184" t="s">
        <v>197</v>
      </c>
      <c r="AQ184" t="s">
        <v>404</v>
      </c>
    </row>
    <row r="185" spans="1:43" x14ac:dyDescent="0.2">
      <c r="A185" t="s">
        <v>374</v>
      </c>
      <c r="B185">
        <v>600</v>
      </c>
      <c r="C185">
        <v>1</v>
      </c>
      <c r="D185">
        <v>2133.17</v>
      </c>
      <c r="E185">
        <v>2133.17</v>
      </c>
      <c r="F185" t="s">
        <v>383</v>
      </c>
      <c r="G185">
        <v>622</v>
      </c>
      <c r="H185">
        <v>1</v>
      </c>
      <c r="I185">
        <v>133156.82999999999</v>
      </c>
      <c r="J185">
        <v>133156.82999999999</v>
      </c>
      <c r="L185" t="s">
        <v>374</v>
      </c>
      <c r="M185">
        <v>314</v>
      </c>
      <c r="N185">
        <v>1</v>
      </c>
      <c r="O185">
        <v>4</v>
      </c>
      <c r="P185">
        <v>582</v>
      </c>
      <c r="Q185">
        <v>344</v>
      </c>
      <c r="R185">
        <v>430</v>
      </c>
      <c r="S185">
        <v>490.23</v>
      </c>
      <c r="U185" t="s">
        <v>374</v>
      </c>
      <c r="V185">
        <v>318</v>
      </c>
      <c r="W185">
        <v>1</v>
      </c>
      <c r="X185">
        <v>4</v>
      </c>
      <c r="Y185">
        <v>582</v>
      </c>
      <c r="Z185">
        <v>344</v>
      </c>
      <c r="AA185">
        <v>5.19</v>
      </c>
      <c r="AB185">
        <v>300</v>
      </c>
      <c r="AC185">
        <v>50278.99</v>
      </c>
      <c r="AE185" t="s">
        <v>383</v>
      </c>
      <c r="AF185">
        <v>622</v>
      </c>
      <c r="AG185">
        <v>1</v>
      </c>
      <c r="AH185">
        <v>20709.54</v>
      </c>
      <c r="AI185">
        <v>51407.03</v>
      </c>
      <c r="AJ185">
        <v>29573.01</v>
      </c>
      <c r="AL185" t="s">
        <v>383</v>
      </c>
      <c r="AM185">
        <v>621</v>
      </c>
      <c r="AN185">
        <v>1</v>
      </c>
      <c r="AO185">
        <v>0</v>
      </c>
      <c r="AP185" t="s">
        <v>198</v>
      </c>
      <c r="AQ185" t="s">
        <v>404</v>
      </c>
    </row>
    <row r="186" spans="1:43" x14ac:dyDescent="0.2">
      <c r="A186" t="s">
        <v>374</v>
      </c>
      <c r="B186">
        <v>601</v>
      </c>
      <c r="C186">
        <v>1</v>
      </c>
      <c r="D186">
        <v>9699.84</v>
      </c>
      <c r="E186">
        <v>9699.84</v>
      </c>
      <c r="F186" t="s">
        <v>383</v>
      </c>
      <c r="G186">
        <v>623</v>
      </c>
      <c r="H186">
        <v>1</v>
      </c>
      <c r="I186">
        <v>80490.38</v>
      </c>
      <c r="J186">
        <v>80490.38</v>
      </c>
      <c r="L186" t="s">
        <v>374</v>
      </c>
      <c r="M186">
        <v>316</v>
      </c>
      <c r="N186">
        <v>1</v>
      </c>
      <c r="O186">
        <v>4</v>
      </c>
      <c r="P186">
        <v>582</v>
      </c>
      <c r="Q186">
        <v>344</v>
      </c>
      <c r="R186">
        <v>430</v>
      </c>
      <c r="S186">
        <v>7752.44</v>
      </c>
      <c r="U186" t="s">
        <v>374</v>
      </c>
      <c r="V186">
        <v>319</v>
      </c>
      <c r="W186">
        <v>1</v>
      </c>
      <c r="X186">
        <v>4</v>
      </c>
      <c r="Y186">
        <v>582</v>
      </c>
      <c r="Z186">
        <v>344</v>
      </c>
      <c r="AA186">
        <v>5.19</v>
      </c>
      <c r="AB186">
        <v>300</v>
      </c>
      <c r="AC186">
        <v>9287.35</v>
      </c>
      <c r="AE186" t="s">
        <v>383</v>
      </c>
      <c r="AF186">
        <v>623</v>
      </c>
      <c r="AG186">
        <v>1</v>
      </c>
      <c r="AH186">
        <v>5795.69</v>
      </c>
      <c r="AI186">
        <v>13164.52</v>
      </c>
      <c r="AJ186">
        <v>24667.43</v>
      </c>
      <c r="AL186" t="s">
        <v>383</v>
      </c>
      <c r="AM186">
        <v>622</v>
      </c>
      <c r="AN186">
        <v>1</v>
      </c>
      <c r="AO186">
        <v>0</v>
      </c>
      <c r="AP186" t="s">
        <v>199</v>
      </c>
      <c r="AQ186" t="s">
        <v>404</v>
      </c>
    </row>
    <row r="187" spans="1:43" x14ac:dyDescent="0.2">
      <c r="A187" t="s">
        <v>374</v>
      </c>
      <c r="B187">
        <v>611</v>
      </c>
      <c r="C187">
        <v>1</v>
      </c>
      <c r="D187">
        <v>1136.1300000000001</v>
      </c>
      <c r="E187">
        <v>736.93</v>
      </c>
      <c r="F187" t="s">
        <v>383</v>
      </c>
      <c r="G187">
        <v>624</v>
      </c>
      <c r="H187">
        <v>1</v>
      </c>
      <c r="I187">
        <v>73824.87</v>
      </c>
      <c r="J187">
        <v>73824.87</v>
      </c>
      <c r="L187" t="s">
        <v>374</v>
      </c>
      <c r="M187">
        <v>317</v>
      </c>
      <c r="N187">
        <v>1</v>
      </c>
      <c r="O187">
        <v>4</v>
      </c>
      <c r="P187">
        <v>582</v>
      </c>
      <c r="Q187">
        <v>344</v>
      </c>
      <c r="R187">
        <v>430</v>
      </c>
      <c r="S187">
        <v>7730.79</v>
      </c>
      <c r="U187" t="s">
        <v>374</v>
      </c>
      <c r="V187">
        <v>330</v>
      </c>
      <c r="W187">
        <v>1</v>
      </c>
      <c r="X187">
        <v>4</v>
      </c>
      <c r="Y187">
        <v>582</v>
      </c>
      <c r="Z187">
        <v>344</v>
      </c>
      <c r="AA187">
        <v>5.19</v>
      </c>
      <c r="AB187">
        <v>300</v>
      </c>
      <c r="AC187">
        <v>3316</v>
      </c>
      <c r="AE187" t="s">
        <v>383</v>
      </c>
      <c r="AF187">
        <v>624</v>
      </c>
      <c r="AG187">
        <v>1</v>
      </c>
      <c r="AH187">
        <v>-5365</v>
      </c>
      <c r="AI187">
        <v>-42027</v>
      </c>
      <c r="AJ187">
        <v>0</v>
      </c>
      <c r="AL187" t="s">
        <v>383</v>
      </c>
      <c r="AM187">
        <v>623</v>
      </c>
      <c r="AN187">
        <v>1</v>
      </c>
      <c r="AO187">
        <v>0</v>
      </c>
      <c r="AP187" t="s">
        <v>200</v>
      </c>
      <c r="AQ187" t="s">
        <v>404</v>
      </c>
    </row>
    <row r="188" spans="1:43" x14ac:dyDescent="0.2">
      <c r="A188" t="s">
        <v>374</v>
      </c>
      <c r="B188">
        <v>621</v>
      </c>
      <c r="C188">
        <v>1</v>
      </c>
      <c r="D188">
        <v>101083.07</v>
      </c>
      <c r="E188">
        <v>101083.07</v>
      </c>
      <c r="F188" t="s">
        <v>383</v>
      </c>
      <c r="G188">
        <v>625</v>
      </c>
      <c r="H188">
        <v>1</v>
      </c>
      <c r="I188">
        <v>835358.51</v>
      </c>
      <c r="J188">
        <v>835358.51</v>
      </c>
      <c r="L188" t="s">
        <v>374</v>
      </c>
      <c r="M188">
        <v>318</v>
      </c>
      <c r="N188">
        <v>1</v>
      </c>
      <c r="O188">
        <v>4</v>
      </c>
      <c r="P188">
        <v>582</v>
      </c>
      <c r="Q188">
        <v>344</v>
      </c>
      <c r="R188">
        <v>430</v>
      </c>
      <c r="S188">
        <v>1065.81</v>
      </c>
      <c r="U188" t="s">
        <v>374</v>
      </c>
      <c r="V188">
        <v>333</v>
      </c>
      <c r="W188">
        <v>1</v>
      </c>
      <c r="X188">
        <v>4</v>
      </c>
      <c r="Y188">
        <v>582</v>
      </c>
      <c r="Z188">
        <v>344</v>
      </c>
      <c r="AA188">
        <v>5.19</v>
      </c>
      <c r="AB188">
        <v>300</v>
      </c>
      <c r="AC188">
        <v>7410.2</v>
      </c>
      <c r="AE188" t="s">
        <v>383</v>
      </c>
      <c r="AF188">
        <v>625</v>
      </c>
      <c r="AG188">
        <v>1</v>
      </c>
      <c r="AH188">
        <v>224509.82</v>
      </c>
      <c r="AI188">
        <v>216962.8</v>
      </c>
      <c r="AJ188">
        <v>554314.23</v>
      </c>
      <c r="AL188" t="s">
        <v>383</v>
      </c>
      <c r="AM188">
        <v>624</v>
      </c>
      <c r="AN188">
        <v>1</v>
      </c>
      <c r="AO188">
        <v>0</v>
      </c>
      <c r="AP188" t="s">
        <v>201</v>
      </c>
      <c r="AQ188" t="s">
        <v>404</v>
      </c>
    </row>
    <row r="189" spans="1:43" x14ac:dyDescent="0.2">
      <c r="A189" t="s">
        <v>374</v>
      </c>
      <c r="B189">
        <v>622</v>
      </c>
      <c r="C189">
        <v>1</v>
      </c>
      <c r="D189">
        <v>135602.45000000001</v>
      </c>
      <c r="E189">
        <v>135602.45000000001</v>
      </c>
      <c r="F189" t="s">
        <v>383</v>
      </c>
      <c r="G189">
        <v>627</v>
      </c>
      <c r="H189">
        <v>1</v>
      </c>
      <c r="I189">
        <v>3308.57</v>
      </c>
      <c r="J189">
        <v>3308.57</v>
      </c>
      <c r="L189" t="s">
        <v>374</v>
      </c>
      <c r="M189">
        <v>332</v>
      </c>
      <c r="N189">
        <v>1</v>
      </c>
      <c r="O189">
        <v>4</v>
      </c>
      <c r="P189">
        <v>582</v>
      </c>
      <c r="Q189">
        <v>344</v>
      </c>
      <c r="R189">
        <v>430</v>
      </c>
      <c r="S189">
        <v>2501.9699999999998</v>
      </c>
      <c r="U189" t="s">
        <v>374</v>
      </c>
      <c r="V189">
        <v>345</v>
      </c>
      <c r="W189">
        <v>1</v>
      </c>
      <c r="X189">
        <v>4</v>
      </c>
      <c r="Y189">
        <v>582</v>
      </c>
      <c r="Z189">
        <v>344</v>
      </c>
      <c r="AA189">
        <v>5.19</v>
      </c>
      <c r="AB189">
        <v>300</v>
      </c>
      <c r="AC189">
        <v>15650.99</v>
      </c>
      <c r="AE189" t="s">
        <v>383</v>
      </c>
      <c r="AF189">
        <v>627</v>
      </c>
      <c r="AG189">
        <v>1</v>
      </c>
      <c r="AH189">
        <v>242.96</v>
      </c>
      <c r="AI189">
        <v>50.24</v>
      </c>
      <c r="AJ189">
        <v>0.46</v>
      </c>
      <c r="AL189" t="s">
        <v>383</v>
      </c>
      <c r="AM189">
        <v>625</v>
      </c>
      <c r="AN189">
        <v>1</v>
      </c>
      <c r="AO189">
        <v>0</v>
      </c>
      <c r="AP189" t="s">
        <v>202</v>
      </c>
      <c r="AQ189" t="s">
        <v>404</v>
      </c>
    </row>
    <row r="190" spans="1:43" x14ac:dyDescent="0.2">
      <c r="A190" t="s">
        <v>374</v>
      </c>
      <c r="B190">
        <v>623</v>
      </c>
      <c r="C190">
        <v>1</v>
      </c>
      <c r="D190">
        <v>77690.710000000006</v>
      </c>
      <c r="E190">
        <v>77690.710000000006</v>
      </c>
      <c r="F190" t="s">
        <v>383</v>
      </c>
      <c r="G190">
        <v>628</v>
      </c>
      <c r="H190">
        <v>1</v>
      </c>
      <c r="I190">
        <v>3052.16</v>
      </c>
      <c r="J190">
        <v>3052.16</v>
      </c>
      <c r="L190" t="s">
        <v>374</v>
      </c>
      <c r="M190">
        <v>333</v>
      </c>
      <c r="N190">
        <v>1</v>
      </c>
      <c r="O190">
        <v>4</v>
      </c>
      <c r="P190">
        <v>582</v>
      </c>
      <c r="Q190">
        <v>344</v>
      </c>
      <c r="R190">
        <v>430</v>
      </c>
      <c r="S190">
        <v>459.81</v>
      </c>
      <c r="U190" t="s">
        <v>374</v>
      </c>
      <c r="V190">
        <v>347</v>
      </c>
      <c r="W190">
        <v>1</v>
      </c>
      <c r="X190">
        <v>4</v>
      </c>
      <c r="Y190">
        <v>582</v>
      </c>
      <c r="Z190">
        <v>344</v>
      </c>
      <c r="AA190">
        <v>5.19</v>
      </c>
      <c r="AB190">
        <v>300</v>
      </c>
      <c r="AC190">
        <v>68505.42</v>
      </c>
      <c r="AE190" t="s">
        <v>383</v>
      </c>
      <c r="AF190">
        <v>628</v>
      </c>
      <c r="AG190">
        <v>1</v>
      </c>
      <c r="AH190">
        <v>-513.33000000000004</v>
      </c>
      <c r="AI190">
        <v>-413.9</v>
      </c>
      <c r="AJ190">
        <v>0</v>
      </c>
      <c r="AL190" t="s">
        <v>383</v>
      </c>
      <c r="AM190">
        <v>627</v>
      </c>
      <c r="AN190">
        <v>1</v>
      </c>
      <c r="AO190">
        <v>0</v>
      </c>
      <c r="AP190" t="s">
        <v>203</v>
      </c>
      <c r="AQ190" t="s">
        <v>404</v>
      </c>
    </row>
    <row r="191" spans="1:43" x14ac:dyDescent="0.2">
      <c r="A191" t="s">
        <v>374</v>
      </c>
      <c r="B191">
        <v>624</v>
      </c>
      <c r="C191">
        <v>1</v>
      </c>
      <c r="D191">
        <v>85736.23</v>
      </c>
      <c r="E191">
        <v>85736.23</v>
      </c>
      <c r="F191" t="s">
        <v>383</v>
      </c>
      <c r="G191">
        <v>630</v>
      </c>
      <c r="H191">
        <v>1</v>
      </c>
      <c r="I191">
        <v>6065.9</v>
      </c>
      <c r="J191">
        <v>6065.9</v>
      </c>
      <c r="L191" t="s">
        <v>374</v>
      </c>
      <c r="M191">
        <v>345</v>
      </c>
      <c r="N191">
        <v>1</v>
      </c>
      <c r="O191">
        <v>4</v>
      </c>
      <c r="P191">
        <v>582</v>
      </c>
      <c r="Q191">
        <v>344</v>
      </c>
      <c r="R191">
        <v>430</v>
      </c>
      <c r="S191">
        <v>1560.29</v>
      </c>
      <c r="U191" t="s">
        <v>374</v>
      </c>
      <c r="V191">
        <v>361</v>
      </c>
      <c r="W191">
        <v>1</v>
      </c>
      <c r="X191">
        <v>4</v>
      </c>
      <c r="Y191">
        <v>582</v>
      </c>
      <c r="Z191">
        <v>344</v>
      </c>
      <c r="AA191">
        <v>5.19</v>
      </c>
      <c r="AB191">
        <v>300</v>
      </c>
      <c r="AC191">
        <v>16021.93</v>
      </c>
      <c r="AE191" t="s">
        <v>383</v>
      </c>
      <c r="AF191">
        <v>630</v>
      </c>
      <c r="AG191">
        <v>1</v>
      </c>
      <c r="AH191">
        <v>-4691.57</v>
      </c>
      <c r="AI191">
        <v>-12850.38</v>
      </c>
      <c r="AJ191">
        <v>-14642.47</v>
      </c>
      <c r="AL191" t="s">
        <v>383</v>
      </c>
      <c r="AM191">
        <v>628</v>
      </c>
      <c r="AN191">
        <v>1</v>
      </c>
      <c r="AO191">
        <v>0</v>
      </c>
      <c r="AP191" t="s">
        <v>204</v>
      </c>
      <c r="AQ191" t="s">
        <v>404</v>
      </c>
    </row>
    <row r="192" spans="1:43" x14ac:dyDescent="0.2">
      <c r="A192" t="s">
        <v>374</v>
      </c>
      <c r="B192">
        <v>625</v>
      </c>
      <c r="C192">
        <v>1</v>
      </c>
      <c r="D192">
        <v>875132.01</v>
      </c>
      <c r="E192">
        <v>875132.01</v>
      </c>
      <c r="F192" t="s">
        <v>383</v>
      </c>
      <c r="G192">
        <v>635</v>
      </c>
      <c r="H192">
        <v>1</v>
      </c>
      <c r="I192">
        <v>1053.06</v>
      </c>
      <c r="J192">
        <v>1053.06</v>
      </c>
      <c r="L192" t="s">
        <v>374</v>
      </c>
      <c r="M192">
        <v>356</v>
      </c>
      <c r="N192">
        <v>1</v>
      </c>
      <c r="O192">
        <v>4</v>
      </c>
      <c r="P192">
        <v>582</v>
      </c>
      <c r="Q192">
        <v>344</v>
      </c>
      <c r="R192">
        <v>430</v>
      </c>
      <c r="S192">
        <v>1973.68</v>
      </c>
      <c r="U192" t="s">
        <v>374</v>
      </c>
      <c r="V192">
        <v>362</v>
      </c>
      <c r="W192">
        <v>1</v>
      </c>
      <c r="X192">
        <v>4</v>
      </c>
      <c r="Y192">
        <v>582</v>
      </c>
      <c r="Z192">
        <v>344</v>
      </c>
      <c r="AA192">
        <v>5.19</v>
      </c>
      <c r="AB192">
        <v>300</v>
      </c>
      <c r="AC192">
        <v>4409.6099999999997</v>
      </c>
      <c r="AE192" t="s">
        <v>383</v>
      </c>
      <c r="AF192">
        <v>635</v>
      </c>
      <c r="AG192">
        <v>1</v>
      </c>
      <c r="AH192">
        <v>-12768.7</v>
      </c>
      <c r="AI192">
        <v>-11651.79</v>
      </c>
      <c r="AJ192">
        <v>-11651.79</v>
      </c>
      <c r="AL192" t="s">
        <v>383</v>
      </c>
      <c r="AM192">
        <v>630</v>
      </c>
      <c r="AN192">
        <v>1</v>
      </c>
      <c r="AO192">
        <v>0</v>
      </c>
      <c r="AP192" t="s">
        <v>205</v>
      </c>
      <c r="AQ192" t="s">
        <v>404</v>
      </c>
    </row>
    <row r="193" spans="1:43" x14ac:dyDescent="0.2">
      <c r="A193" t="s">
        <v>374</v>
      </c>
      <c r="B193">
        <v>627</v>
      </c>
      <c r="C193">
        <v>1</v>
      </c>
      <c r="D193">
        <v>2919.8</v>
      </c>
      <c r="E193">
        <v>2919.8</v>
      </c>
      <c r="F193" t="s">
        <v>383</v>
      </c>
      <c r="G193">
        <v>640</v>
      </c>
      <c r="H193">
        <v>1</v>
      </c>
      <c r="I193">
        <v>4498.58</v>
      </c>
      <c r="J193">
        <v>4498.58</v>
      </c>
      <c r="L193" t="s">
        <v>374</v>
      </c>
      <c r="M193">
        <v>361</v>
      </c>
      <c r="N193">
        <v>1</v>
      </c>
      <c r="O193">
        <v>4</v>
      </c>
      <c r="P193">
        <v>582</v>
      </c>
      <c r="Q193">
        <v>344</v>
      </c>
      <c r="R193">
        <v>430</v>
      </c>
      <c r="S193">
        <v>548.04999999999995</v>
      </c>
      <c r="U193" t="s">
        <v>374</v>
      </c>
      <c r="V193">
        <v>363</v>
      </c>
      <c r="W193">
        <v>1</v>
      </c>
      <c r="X193">
        <v>4</v>
      </c>
      <c r="Y193">
        <v>582</v>
      </c>
      <c r="Z193">
        <v>344</v>
      </c>
      <c r="AA193">
        <v>5.19</v>
      </c>
      <c r="AB193">
        <v>300</v>
      </c>
      <c r="AC193">
        <v>4897.58</v>
      </c>
      <c r="AE193" t="s">
        <v>383</v>
      </c>
      <c r="AF193">
        <v>640</v>
      </c>
      <c r="AG193">
        <v>1</v>
      </c>
      <c r="AH193">
        <v>462.53</v>
      </c>
      <c r="AI193">
        <v>2490.06</v>
      </c>
      <c r="AJ193">
        <v>-765.17</v>
      </c>
      <c r="AL193" t="s">
        <v>383</v>
      </c>
      <c r="AM193">
        <v>635</v>
      </c>
      <c r="AN193">
        <v>1</v>
      </c>
      <c r="AO193">
        <v>0</v>
      </c>
      <c r="AP193" t="s">
        <v>206</v>
      </c>
      <c r="AQ193" t="s">
        <v>404</v>
      </c>
    </row>
    <row r="194" spans="1:43" x14ac:dyDescent="0.2">
      <c r="A194" t="s">
        <v>374</v>
      </c>
      <c r="B194">
        <v>628</v>
      </c>
      <c r="C194">
        <v>1</v>
      </c>
      <c r="D194">
        <v>3035.24</v>
      </c>
      <c r="E194">
        <v>3035.24</v>
      </c>
      <c r="F194" t="s">
        <v>383</v>
      </c>
      <c r="G194">
        <v>656</v>
      </c>
      <c r="H194">
        <v>1</v>
      </c>
      <c r="I194">
        <v>61097.279999999999</v>
      </c>
      <c r="J194">
        <v>61097.279999999999</v>
      </c>
      <c r="L194" t="s">
        <v>374</v>
      </c>
      <c r="M194">
        <v>363</v>
      </c>
      <c r="N194">
        <v>1</v>
      </c>
      <c r="O194">
        <v>4</v>
      </c>
      <c r="P194">
        <v>582</v>
      </c>
      <c r="Q194">
        <v>344</v>
      </c>
      <c r="R194">
        <v>430</v>
      </c>
      <c r="S194">
        <v>103.05</v>
      </c>
      <c r="U194" t="s">
        <v>374</v>
      </c>
      <c r="V194">
        <v>371</v>
      </c>
      <c r="W194">
        <v>1</v>
      </c>
      <c r="X194">
        <v>4</v>
      </c>
      <c r="Y194">
        <v>582</v>
      </c>
      <c r="Z194">
        <v>344</v>
      </c>
      <c r="AA194">
        <v>5.19</v>
      </c>
      <c r="AB194">
        <v>300</v>
      </c>
      <c r="AC194">
        <v>522.54</v>
      </c>
      <c r="AE194" t="s">
        <v>383</v>
      </c>
      <c r="AF194">
        <v>656</v>
      </c>
      <c r="AG194">
        <v>1</v>
      </c>
      <c r="AH194">
        <v>4726.75</v>
      </c>
      <c r="AI194">
        <v>-1480.9</v>
      </c>
      <c r="AJ194">
        <v>-10793.22</v>
      </c>
      <c r="AL194" t="s">
        <v>383</v>
      </c>
      <c r="AM194">
        <v>640</v>
      </c>
      <c r="AN194">
        <v>1</v>
      </c>
      <c r="AO194">
        <v>0</v>
      </c>
      <c r="AP194" t="s">
        <v>207</v>
      </c>
      <c r="AQ194" t="s">
        <v>404</v>
      </c>
    </row>
    <row r="195" spans="1:43" x14ac:dyDescent="0.2">
      <c r="A195" t="s">
        <v>374</v>
      </c>
      <c r="B195">
        <v>630</v>
      </c>
      <c r="C195">
        <v>1</v>
      </c>
      <c r="D195">
        <v>5721.6</v>
      </c>
      <c r="E195">
        <v>5721.6</v>
      </c>
      <c r="F195" t="s">
        <v>383</v>
      </c>
      <c r="G195">
        <v>659</v>
      </c>
      <c r="H195">
        <v>1</v>
      </c>
      <c r="I195">
        <v>38156.410000000003</v>
      </c>
      <c r="J195">
        <v>38156.410000000003</v>
      </c>
      <c r="L195" t="s">
        <v>374</v>
      </c>
      <c r="M195">
        <v>378</v>
      </c>
      <c r="N195">
        <v>1</v>
      </c>
      <c r="O195">
        <v>4</v>
      </c>
      <c r="P195">
        <v>582</v>
      </c>
      <c r="Q195">
        <v>344</v>
      </c>
      <c r="R195">
        <v>430</v>
      </c>
      <c r="S195">
        <v>589.48</v>
      </c>
      <c r="U195" t="s">
        <v>374</v>
      </c>
      <c r="V195">
        <v>378</v>
      </c>
      <c r="W195">
        <v>1</v>
      </c>
      <c r="X195">
        <v>4</v>
      </c>
      <c r="Y195">
        <v>582</v>
      </c>
      <c r="Z195">
        <v>344</v>
      </c>
      <c r="AA195">
        <v>5.19</v>
      </c>
      <c r="AB195">
        <v>300</v>
      </c>
      <c r="AC195">
        <v>3355.11</v>
      </c>
      <c r="AE195" t="s">
        <v>383</v>
      </c>
      <c r="AF195">
        <v>659</v>
      </c>
      <c r="AG195">
        <v>1</v>
      </c>
      <c r="AH195">
        <v>10483.16</v>
      </c>
      <c r="AI195">
        <v>-9329.83</v>
      </c>
      <c r="AJ195">
        <v>-42608.19</v>
      </c>
      <c r="AL195" t="s">
        <v>383</v>
      </c>
      <c r="AM195">
        <v>656</v>
      </c>
      <c r="AN195">
        <v>1</v>
      </c>
      <c r="AO195">
        <v>0</v>
      </c>
      <c r="AP195" t="s">
        <v>208</v>
      </c>
      <c r="AQ195" t="s">
        <v>404</v>
      </c>
    </row>
    <row r="196" spans="1:43" x14ac:dyDescent="0.2">
      <c r="A196" t="s">
        <v>374</v>
      </c>
      <c r="B196">
        <v>635</v>
      </c>
      <c r="C196">
        <v>1</v>
      </c>
      <c r="D196">
        <v>1063.22</v>
      </c>
      <c r="E196">
        <v>1063.22</v>
      </c>
      <c r="F196" t="s">
        <v>383</v>
      </c>
      <c r="G196">
        <v>671</v>
      </c>
      <c r="H196">
        <v>1</v>
      </c>
      <c r="I196">
        <v>4244.2</v>
      </c>
      <c r="J196">
        <v>0</v>
      </c>
      <c r="L196" t="s">
        <v>374</v>
      </c>
      <c r="M196">
        <v>391</v>
      </c>
      <c r="N196">
        <v>1</v>
      </c>
      <c r="O196">
        <v>4</v>
      </c>
      <c r="P196">
        <v>582</v>
      </c>
      <c r="Q196">
        <v>344</v>
      </c>
      <c r="R196">
        <v>430</v>
      </c>
      <c r="S196">
        <v>535.54999999999995</v>
      </c>
      <c r="U196" t="s">
        <v>374</v>
      </c>
      <c r="V196">
        <v>381</v>
      </c>
      <c r="W196">
        <v>1</v>
      </c>
      <c r="X196">
        <v>4</v>
      </c>
      <c r="Y196">
        <v>582</v>
      </c>
      <c r="Z196">
        <v>344</v>
      </c>
      <c r="AA196">
        <v>5.19</v>
      </c>
      <c r="AB196">
        <v>300</v>
      </c>
      <c r="AC196">
        <v>17803.03</v>
      </c>
      <c r="AE196" t="s">
        <v>383</v>
      </c>
      <c r="AF196">
        <v>671</v>
      </c>
      <c r="AG196">
        <v>1</v>
      </c>
      <c r="AH196">
        <v>4959.54</v>
      </c>
      <c r="AI196">
        <v>8414.33</v>
      </c>
      <c r="AJ196">
        <v>12173.97</v>
      </c>
      <c r="AL196" t="s">
        <v>383</v>
      </c>
      <c r="AM196">
        <v>659</v>
      </c>
      <c r="AN196">
        <v>1</v>
      </c>
      <c r="AO196">
        <v>0</v>
      </c>
      <c r="AP196" t="s">
        <v>209</v>
      </c>
      <c r="AQ196" t="s">
        <v>404</v>
      </c>
    </row>
    <row r="197" spans="1:43" x14ac:dyDescent="0.2">
      <c r="A197" t="s">
        <v>374</v>
      </c>
      <c r="B197">
        <v>640</v>
      </c>
      <c r="C197">
        <v>1</v>
      </c>
      <c r="D197">
        <v>4622.2299999999996</v>
      </c>
      <c r="E197">
        <v>4622.2299999999996</v>
      </c>
      <c r="F197" t="s">
        <v>383</v>
      </c>
      <c r="G197">
        <v>676</v>
      </c>
      <c r="H197">
        <v>1</v>
      </c>
      <c r="I197">
        <v>3100.65</v>
      </c>
      <c r="J197">
        <v>3100.65</v>
      </c>
      <c r="L197" t="s">
        <v>374</v>
      </c>
      <c r="M197">
        <v>392</v>
      </c>
      <c r="N197">
        <v>1</v>
      </c>
      <c r="O197">
        <v>4</v>
      </c>
      <c r="P197">
        <v>582</v>
      </c>
      <c r="Q197">
        <v>344</v>
      </c>
      <c r="R197">
        <v>430</v>
      </c>
      <c r="S197">
        <v>546.11</v>
      </c>
      <c r="U197" t="s">
        <v>374</v>
      </c>
      <c r="V197">
        <v>390</v>
      </c>
      <c r="W197">
        <v>1</v>
      </c>
      <c r="X197">
        <v>4</v>
      </c>
      <c r="Y197">
        <v>582</v>
      </c>
      <c r="Z197">
        <v>344</v>
      </c>
      <c r="AA197">
        <v>5.19</v>
      </c>
      <c r="AB197">
        <v>300</v>
      </c>
      <c r="AC197">
        <v>7707.35</v>
      </c>
      <c r="AE197" t="s">
        <v>383</v>
      </c>
      <c r="AF197">
        <v>676</v>
      </c>
      <c r="AG197">
        <v>1</v>
      </c>
      <c r="AH197">
        <v>0</v>
      </c>
      <c r="AI197">
        <v>-429.2</v>
      </c>
      <c r="AJ197">
        <v>1.18</v>
      </c>
      <c r="AL197" t="s">
        <v>383</v>
      </c>
      <c r="AM197">
        <v>671</v>
      </c>
      <c r="AN197">
        <v>1</v>
      </c>
      <c r="AO197">
        <v>0</v>
      </c>
      <c r="AP197" t="s">
        <v>210</v>
      </c>
      <c r="AQ197" t="s">
        <v>404</v>
      </c>
    </row>
    <row r="198" spans="1:43" x14ac:dyDescent="0.2">
      <c r="A198" t="s">
        <v>374</v>
      </c>
      <c r="B198">
        <v>656</v>
      </c>
      <c r="C198">
        <v>1</v>
      </c>
      <c r="D198">
        <v>59610.1</v>
      </c>
      <c r="E198">
        <v>59610.1</v>
      </c>
      <c r="F198" t="s">
        <v>383</v>
      </c>
      <c r="G198">
        <v>682</v>
      </c>
      <c r="H198">
        <v>1</v>
      </c>
      <c r="I198">
        <v>13535.25</v>
      </c>
      <c r="J198">
        <v>13535.25</v>
      </c>
      <c r="L198" t="s">
        <v>374</v>
      </c>
      <c r="M198">
        <v>394</v>
      </c>
      <c r="N198">
        <v>1</v>
      </c>
      <c r="O198">
        <v>4</v>
      </c>
      <c r="P198">
        <v>582</v>
      </c>
      <c r="Q198">
        <v>344</v>
      </c>
      <c r="R198">
        <v>430</v>
      </c>
      <c r="S198">
        <v>417.67</v>
      </c>
      <c r="U198" t="s">
        <v>374</v>
      </c>
      <c r="V198">
        <v>392</v>
      </c>
      <c r="W198">
        <v>1</v>
      </c>
      <c r="X198">
        <v>4</v>
      </c>
      <c r="Y198">
        <v>582</v>
      </c>
      <c r="Z198">
        <v>344</v>
      </c>
      <c r="AA198">
        <v>5.19</v>
      </c>
      <c r="AB198">
        <v>300</v>
      </c>
      <c r="AC198">
        <v>8604.5400000000009</v>
      </c>
      <c r="AE198" t="s">
        <v>383</v>
      </c>
      <c r="AF198">
        <v>682</v>
      </c>
      <c r="AG198">
        <v>1</v>
      </c>
      <c r="AH198">
        <v>0</v>
      </c>
      <c r="AI198">
        <v>0</v>
      </c>
      <c r="AJ198">
        <v>0</v>
      </c>
      <c r="AL198" t="s">
        <v>383</v>
      </c>
      <c r="AM198">
        <v>676</v>
      </c>
      <c r="AN198">
        <v>1</v>
      </c>
      <c r="AO198">
        <v>0</v>
      </c>
      <c r="AP198" t="s">
        <v>211</v>
      </c>
      <c r="AQ198" t="s">
        <v>404</v>
      </c>
    </row>
    <row r="199" spans="1:43" x14ac:dyDescent="0.2">
      <c r="A199" t="s">
        <v>374</v>
      </c>
      <c r="B199">
        <v>659</v>
      </c>
      <c r="C199">
        <v>1</v>
      </c>
      <c r="D199">
        <v>37553.03</v>
      </c>
      <c r="E199">
        <v>37553.03</v>
      </c>
      <c r="F199" t="s">
        <v>383</v>
      </c>
      <c r="G199">
        <v>690</v>
      </c>
      <c r="H199">
        <v>1</v>
      </c>
      <c r="I199">
        <v>12731.53</v>
      </c>
      <c r="J199">
        <v>12731.53</v>
      </c>
      <c r="L199" t="s">
        <v>374</v>
      </c>
      <c r="M199">
        <v>413</v>
      </c>
      <c r="N199">
        <v>1</v>
      </c>
      <c r="O199">
        <v>4</v>
      </c>
      <c r="P199">
        <v>582</v>
      </c>
      <c r="Q199">
        <v>344</v>
      </c>
      <c r="R199">
        <v>430</v>
      </c>
      <c r="S199">
        <v>2318.86</v>
      </c>
      <c r="U199" t="s">
        <v>374</v>
      </c>
      <c r="V199">
        <v>394</v>
      </c>
      <c r="W199">
        <v>1</v>
      </c>
      <c r="X199">
        <v>4</v>
      </c>
      <c r="Y199">
        <v>582</v>
      </c>
      <c r="Z199">
        <v>344</v>
      </c>
      <c r="AA199">
        <v>5.19</v>
      </c>
      <c r="AB199">
        <v>300</v>
      </c>
      <c r="AC199">
        <v>13609.98</v>
      </c>
      <c r="AE199" t="s">
        <v>383</v>
      </c>
      <c r="AF199">
        <v>690</v>
      </c>
      <c r="AG199">
        <v>1</v>
      </c>
      <c r="AH199">
        <v>-22966.31</v>
      </c>
      <c r="AI199">
        <v>-6264.05</v>
      </c>
      <c r="AJ199">
        <v>-9107.58</v>
      </c>
      <c r="AL199" t="s">
        <v>383</v>
      </c>
      <c r="AM199">
        <v>682</v>
      </c>
      <c r="AN199">
        <v>1</v>
      </c>
      <c r="AO199">
        <v>0</v>
      </c>
      <c r="AP199" t="s">
        <v>212</v>
      </c>
      <c r="AQ199" t="s">
        <v>404</v>
      </c>
    </row>
    <row r="200" spans="1:43" x14ac:dyDescent="0.2">
      <c r="A200" t="s">
        <v>374</v>
      </c>
      <c r="B200">
        <v>671</v>
      </c>
      <c r="C200">
        <v>1</v>
      </c>
      <c r="D200">
        <v>4569.78</v>
      </c>
      <c r="E200">
        <v>2018.36</v>
      </c>
      <c r="F200" t="s">
        <v>383</v>
      </c>
      <c r="G200">
        <v>695</v>
      </c>
      <c r="H200">
        <v>1</v>
      </c>
      <c r="I200">
        <v>11720.97</v>
      </c>
      <c r="J200">
        <v>11720.97</v>
      </c>
      <c r="L200" t="s">
        <v>374</v>
      </c>
      <c r="M200">
        <v>415</v>
      </c>
      <c r="N200">
        <v>1</v>
      </c>
      <c r="O200">
        <v>4</v>
      </c>
      <c r="P200">
        <v>582</v>
      </c>
      <c r="Q200">
        <v>344</v>
      </c>
      <c r="R200">
        <v>430</v>
      </c>
      <c r="S200">
        <v>392.61</v>
      </c>
      <c r="U200" t="s">
        <v>374</v>
      </c>
      <c r="V200">
        <v>402</v>
      </c>
      <c r="W200">
        <v>1</v>
      </c>
      <c r="X200">
        <v>4</v>
      </c>
      <c r="Y200">
        <v>582</v>
      </c>
      <c r="Z200">
        <v>344</v>
      </c>
      <c r="AA200">
        <v>5.19</v>
      </c>
      <c r="AB200">
        <v>300</v>
      </c>
      <c r="AC200">
        <v>2278.0300000000002</v>
      </c>
      <c r="AE200" t="s">
        <v>383</v>
      </c>
      <c r="AF200">
        <v>695</v>
      </c>
      <c r="AG200">
        <v>1</v>
      </c>
      <c r="AH200">
        <v>-4918.79</v>
      </c>
      <c r="AI200">
        <v>253.02</v>
      </c>
      <c r="AJ200">
        <v>4289.25</v>
      </c>
      <c r="AL200" t="s">
        <v>383</v>
      </c>
      <c r="AM200">
        <v>690</v>
      </c>
      <c r="AN200">
        <v>1</v>
      </c>
      <c r="AO200">
        <v>0</v>
      </c>
      <c r="AP200" t="s">
        <v>213</v>
      </c>
      <c r="AQ200" t="s">
        <v>404</v>
      </c>
    </row>
    <row r="201" spans="1:43" x14ac:dyDescent="0.2">
      <c r="A201" t="s">
        <v>374</v>
      </c>
      <c r="B201">
        <v>676</v>
      </c>
      <c r="C201">
        <v>1</v>
      </c>
      <c r="D201">
        <v>3865.99</v>
      </c>
      <c r="E201">
        <v>3865.99</v>
      </c>
      <c r="F201" t="s">
        <v>383</v>
      </c>
      <c r="G201">
        <v>696</v>
      </c>
      <c r="H201">
        <v>1</v>
      </c>
      <c r="I201">
        <v>6448.73</v>
      </c>
      <c r="J201">
        <v>4865.75</v>
      </c>
      <c r="L201" t="s">
        <v>374</v>
      </c>
      <c r="M201">
        <v>417</v>
      </c>
      <c r="N201">
        <v>1</v>
      </c>
      <c r="O201">
        <v>4</v>
      </c>
      <c r="P201">
        <v>582</v>
      </c>
      <c r="Q201">
        <v>344</v>
      </c>
      <c r="R201">
        <v>430</v>
      </c>
      <c r="S201">
        <v>432.8</v>
      </c>
      <c r="U201" t="s">
        <v>374</v>
      </c>
      <c r="V201">
        <v>403</v>
      </c>
      <c r="W201">
        <v>1</v>
      </c>
      <c r="X201">
        <v>4</v>
      </c>
      <c r="Y201">
        <v>582</v>
      </c>
      <c r="Z201">
        <v>344</v>
      </c>
      <c r="AA201">
        <v>5.19</v>
      </c>
      <c r="AB201">
        <v>300</v>
      </c>
      <c r="AC201">
        <v>2162.59</v>
      </c>
      <c r="AE201" t="s">
        <v>383</v>
      </c>
      <c r="AF201">
        <v>696</v>
      </c>
      <c r="AG201">
        <v>1</v>
      </c>
      <c r="AH201">
        <v>1764.45</v>
      </c>
      <c r="AI201">
        <v>4145.4799999999996</v>
      </c>
      <c r="AJ201">
        <v>4183.8100000000004</v>
      </c>
      <c r="AL201" t="s">
        <v>383</v>
      </c>
      <c r="AM201">
        <v>695</v>
      </c>
      <c r="AN201">
        <v>1</v>
      </c>
      <c r="AO201">
        <v>0</v>
      </c>
      <c r="AP201" t="s">
        <v>214</v>
      </c>
      <c r="AQ201" t="s">
        <v>404</v>
      </c>
    </row>
    <row r="202" spans="1:43" x14ac:dyDescent="0.2">
      <c r="A202" t="s">
        <v>374</v>
      </c>
      <c r="B202">
        <v>682</v>
      </c>
      <c r="C202">
        <v>1</v>
      </c>
      <c r="D202">
        <v>13612.17</v>
      </c>
      <c r="E202">
        <v>13612.17</v>
      </c>
      <c r="F202" t="s">
        <v>383</v>
      </c>
      <c r="G202">
        <v>698</v>
      </c>
      <c r="H202">
        <v>1</v>
      </c>
      <c r="I202">
        <v>3117.64</v>
      </c>
      <c r="J202">
        <v>3117.64</v>
      </c>
      <c r="L202" t="s">
        <v>374</v>
      </c>
      <c r="M202">
        <v>423</v>
      </c>
      <c r="N202">
        <v>1</v>
      </c>
      <c r="O202">
        <v>4</v>
      </c>
      <c r="P202">
        <v>582</v>
      </c>
      <c r="Q202">
        <v>344</v>
      </c>
      <c r="R202">
        <v>430</v>
      </c>
      <c r="S202">
        <v>163.93</v>
      </c>
      <c r="U202" t="s">
        <v>374</v>
      </c>
      <c r="V202">
        <v>404</v>
      </c>
      <c r="W202">
        <v>1</v>
      </c>
      <c r="X202">
        <v>4</v>
      </c>
      <c r="Y202">
        <v>582</v>
      </c>
      <c r="Z202">
        <v>344</v>
      </c>
      <c r="AA202">
        <v>5.19</v>
      </c>
      <c r="AB202">
        <v>300</v>
      </c>
      <c r="AC202">
        <v>2567.73</v>
      </c>
      <c r="AE202" t="s">
        <v>383</v>
      </c>
      <c r="AF202">
        <v>698</v>
      </c>
      <c r="AG202">
        <v>1</v>
      </c>
      <c r="AH202">
        <v>-2156.5300000000002</v>
      </c>
      <c r="AI202">
        <v>248.24</v>
      </c>
      <c r="AJ202">
        <v>-661.18</v>
      </c>
      <c r="AL202" t="s">
        <v>383</v>
      </c>
      <c r="AM202">
        <v>696</v>
      </c>
      <c r="AN202">
        <v>1</v>
      </c>
      <c r="AO202">
        <v>0</v>
      </c>
      <c r="AP202" t="s">
        <v>215</v>
      </c>
      <c r="AQ202" t="s">
        <v>404</v>
      </c>
    </row>
    <row r="203" spans="1:43" x14ac:dyDescent="0.2">
      <c r="A203" t="s">
        <v>374</v>
      </c>
      <c r="B203">
        <v>690</v>
      </c>
      <c r="C203">
        <v>1</v>
      </c>
      <c r="D203">
        <v>14607.62</v>
      </c>
      <c r="E203">
        <v>14607.62</v>
      </c>
      <c r="F203" t="s">
        <v>383</v>
      </c>
      <c r="G203">
        <v>700</v>
      </c>
      <c r="H203">
        <v>1</v>
      </c>
      <c r="I203">
        <v>13156.97</v>
      </c>
      <c r="J203">
        <v>13156.97</v>
      </c>
      <c r="L203" t="s">
        <v>374</v>
      </c>
      <c r="M203">
        <v>424</v>
      </c>
      <c r="N203">
        <v>1</v>
      </c>
      <c r="O203">
        <v>4</v>
      </c>
      <c r="P203">
        <v>582</v>
      </c>
      <c r="Q203">
        <v>344</v>
      </c>
      <c r="R203">
        <v>430</v>
      </c>
      <c r="S203">
        <v>195.65</v>
      </c>
      <c r="U203" t="s">
        <v>374</v>
      </c>
      <c r="V203">
        <v>411</v>
      </c>
      <c r="W203">
        <v>1</v>
      </c>
      <c r="X203">
        <v>4</v>
      </c>
      <c r="Y203">
        <v>582</v>
      </c>
      <c r="Z203">
        <v>344</v>
      </c>
      <c r="AA203">
        <v>5.19</v>
      </c>
      <c r="AB203">
        <v>300</v>
      </c>
      <c r="AC203">
        <v>1756.48</v>
      </c>
      <c r="AE203" t="s">
        <v>383</v>
      </c>
      <c r="AF203">
        <v>700</v>
      </c>
      <c r="AG203">
        <v>1</v>
      </c>
      <c r="AH203">
        <v>23943.08</v>
      </c>
      <c r="AI203">
        <v>33431.269999999997</v>
      </c>
      <c r="AJ203">
        <v>22825.759999999998</v>
      </c>
      <c r="AL203" t="s">
        <v>383</v>
      </c>
      <c r="AM203">
        <v>698</v>
      </c>
      <c r="AN203">
        <v>1</v>
      </c>
      <c r="AO203">
        <v>0</v>
      </c>
      <c r="AP203" t="s">
        <v>216</v>
      </c>
      <c r="AQ203" t="s">
        <v>404</v>
      </c>
    </row>
    <row r="204" spans="1:43" x14ac:dyDescent="0.2">
      <c r="A204" t="s">
        <v>374</v>
      </c>
      <c r="B204">
        <v>695</v>
      </c>
      <c r="C204">
        <v>1</v>
      </c>
      <c r="D204">
        <v>11746.02</v>
      </c>
      <c r="E204">
        <v>11746.02</v>
      </c>
      <c r="F204" t="s">
        <v>383</v>
      </c>
      <c r="G204">
        <v>701</v>
      </c>
      <c r="H204">
        <v>1</v>
      </c>
      <c r="I204">
        <v>31523.47</v>
      </c>
      <c r="J204">
        <v>31523.47</v>
      </c>
      <c r="L204" t="s">
        <v>374</v>
      </c>
      <c r="M204">
        <v>432</v>
      </c>
      <c r="N204">
        <v>1</v>
      </c>
      <c r="O204">
        <v>4</v>
      </c>
      <c r="P204">
        <v>582</v>
      </c>
      <c r="Q204">
        <v>344</v>
      </c>
      <c r="R204">
        <v>430</v>
      </c>
      <c r="S204">
        <v>187.39</v>
      </c>
      <c r="U204" t="s">
        <v>374</v>
      </c>
      <c r="V204">
        <v>414</v>
      </c>
      <c r="W204">
        <v>1</v>
      </c>
      <c r="X204">
        <v>4</v>
      </c>
      <c r="Y204">
        <v>582</v>
      </c>
      <c r="Z204">
        <v>344</v>
      </c>
      <c r="AA204">
        <v>5.19</v>
      </c>
      <c r="AB204">
        <v>300</v>
      </c>
      <c r="AC204">
        <v>2237.25</v>
      </c>
      <c r="AE204" t="s">
        <v>383</v>
      </c>
      <c r="AF204">
        <v>701</v>
      </c>
      <c r="AG204">
        <v>1</v>
      </c>
      <c r="AH204">
        <v>4561.09</v>
      </c>
      <c r="AI204">
        <v>2938.5</v>
      </c>
      <c r="AJ204">
        <v>2977.19</v>
      </c>
      <c r="AL204" t="s">
        <v>383</v>
      </c>
      <c r="AM204">
        <v>700</v>
      </c>
      <c r="AN204">
        <v>1</v>
      </c>
      <c r="AO204">
        <v>0</v>
      </c>
      <c r="AP204" t="s">
        <v>217</v>
      </c>
      <c r="AQ204" t="s">
        <v>404</v>
      </c>
    </row>
    <row r="205" spans="1:43" x14ac:dyDescent="0.2">
      <c r="A205" t="s">
        <v>374</v>
      </c>
      <c r="B205">
        <v>696</v>
      </c>
      <c r="C205">
        <v>1</v>
      </c>
      <c r="D205">
        <v>6670.36</v>
      </c>
      <c r="E205">
        <v>6392.07</v>
      </c>
      <c r="F205" t="s">
        <v>383</v>
      </c>
      <c r="G205">
        <v>704</v>
      </c>
      <c r="H205">
        <v>1</v>
      </c>
      <c r="I205">
        <v>18533.13</v>
      </c>
      <c r="J205">
        <v>18533.13</v>
      </c>
      <c r="L205" t="s">
        <v>374</v>
      </c>
      <c r="M205">
        <v>441</v>
      </c>
      <c r="N205">
        <v>1</v>
      </c>
      <c r="O205">
        <v>4</v>
      </c>
      <c r="P205">
        <v>582</v>
      </c>
      <c r="Q205">
        <v>344</v>
      </c>
      <c r="R205">
        <v>430</v>
      </c>
      <c r="S205">
        <v>456.63</v>
      </c>
      <c r="U205" t="s">
        <v>374</v>
      </c>
      <c r="V205">
        <v>415</v>
      </c>
      <c r="W205">
        <v>1</v>
      </c>
      <c r="X205">
        <v>4</v>
      </c>
      <c r="Y205">
        <v>582</v>
      </c>
      <c r="Z205">
        <v>344</v>
      </c>
      <c r="AA205">
        <v>5.19</v>
      </c>
      <c r="AB205">
        <v>300</v>
      </c>
      <c r="AC205">
        <v>2668.46</v>
      </c>
      <c r="AE205" t="s">
        <v>383</v>
      </c>
      <c r="AF205">
        <v>704</v>
      </c>
      <c r="AG205">
        <v>1</v>
      </c>
      <c r="AH205">
        <v>-133.33000000000001</v>
      </c>
      <c r="AI205">
        <v>-3094.41</v>
      </c>
      <c r="AJ205">
        <v>-5004.66</v>
      </c>
      <c r="AL205" t="s">
        <v>383</v>
      </c>
      <c r="AM205">
        <v>701</v>
      </c>
      <c r="AN205">
        <v>1</v>
      </c>
      <c r="AO205">
        <v>0</v>
      </c>
      <c r="AP205" t="s">
        <v>218</v>
      </c>
      <c r="AQ205" t="s">
        <v>404</v>
      </c>
    </row>
    <row r="206" spans="1:43" x14ac:dyDescent="0.2">
      <c r="A206" t="s">
        <v>374</v>
      </c>
      <c r="B206">
        <v>698</v>
      </c>
      <c r="C206">
        <v>1</v>
      </c>
      <c r="D206">
        <v>4150.92</v>
      </c>
      <c r="E206">
        <v>4150.92</v>
      </c>
      <c r="F206" t="s">
        <v>383</v>
      </c>
      <c r="G206">
        <v>706</v>
      </c>
      <c r="H206">
        <v>1</v>
      </c>
      <c r="I206">
        <v>19523.11</v>
      </c>
      <c r="J206">
        <v>19523.11</v>
      </c>
      <c r="L206" t="s">
        <v>374</v>
      </c>
      <c r="M206">
        <v>458</v>
      </c>
      <c r="N206">
        <v>1</v>
      </c>
      <c r="O206">
        <v>4</v>
      </c>
      <c r="P206">
        <v>582</v>
      </c>
      <c r="Q206">
        <v>344</v>
      </c>
      <c r="R206">
        <v>430</v>
      </c>
      <c r="S206">
        <v>57.96</v>
      </c>
      <c r="U206" t="s">
        <v>374</v>
      </c>
      <c r="V206">
        <v>423</v>
      </c>
      <c r="W206">
        <v>1</v>
      </c>
      <c r="X206">
        <v>4</v>
      </c>
      <c r="Y206">
        <v>582</v>
      </c>
      <c r="Z206">
        <v>344</v>
      </c>
      <c r="AA206">
        <v>5.19</v>
      </c>
      <c r="AB206">
        <v>300</v>
      </c>
      <c r="AC206">
        <v>36129.49</v>
      </c>
      <c r="AE206" t="s">
        <v>383</v>
      </c>
      <c r="AF206">
        <v>706</v>
      </c>
      <c r="AG206">
        <v>1</v>
      </c>
      <c r="AH206">
        <v>10944.71</v>
      </c>
      <c r="AI206">
        <v>9103.2999999999993</v>
      </c>
      <c r="AJ206">
        <v>7470.01</v>
      </c>
      <c r="AL206" t="s">
        <v>383</v>
      </c>
      <c r="AM206">
        <v>704</v>
      </c>
      <c r="AN206">
        <v>1</v>
      </c>
      <c r="AO206">
        <v>0</v>
      </c>
      <c r="AP206" t="s">
        <v>219</v>
      </c>
      <c r="AQ206" t="s">
        <v>404</v>
      </c>
    </row>
    <row r="207" spans="1:43" x14ac:dyDescent="0.2">
      <c r="A207" t="s">
        <v>374</v>
      </c>
      <c r="B207">
        <v>700</v>
      </c>
      <c r="C207">
        <v>1</v>
      </c>
      <c r="D207">
        <v>13217.22</v>
      </c>
      <c r="E207">
        <v>13217.22</v>
      </c>
      <c r="F207" t="s">
        <v>383</v>
      </c>
      <c r="G207">
        <v>707</v>
      </c>
      <c r="H207">
        <v>1</v>
      </c>
      <c r="I207">
        <v>2158.0700000000002</v>
      </c>
      <c r="J207">
        <v>2158.0700000000002</v>
      </c>
      <c r="L207" t="s">
        <v>374</v>
      </c>
      <c r="M207">
        <v>463</v>
      </c>
      <c r="N207">
        <v>1</v>
      </c>
      <c r="O207">
        <v>4</v>
      </c>
      <c r="P207">
        <v>582</v>
      </c>
      <c r="Q207">
        <v>344</v>
      </c>
      <c r="R207">
        <v>430</v>
      </c>
      <c r="S207">
        <v>89.52</v>
      </c>
      <c r="U207" t="s">
        <v>374</v>
      </c>
      <c r="V207">
        <v>424</v>
      </c>
      <c r="W207">
        <v>1</v>
      </c>
      <c r="X207">
        <v>4</v>
      </c>
      <c r="Y207">
        <v>582</v>
      </c>
      <c r="Z207">
        <v>344</v>
      </c>
      <c r="AA207">
        <v>5.19</v>
      </c>
      <c r="AB207">
        <v>300</v>
      </c>
      <c r="AC207">
        <v>5469.12</v>
      </c>
      <c r="AE207" t="s">
        <v>383</v>
      </c>
      <c r="AF207">
        <v>707</v>
      </c>
      <c r="AG207">
        <v>1</v>
      </c>
      <c r="AH207">
        <v>356.42</v>
      </c>
      <c r="AI207">
        <v>303.20999999999998</v>
      </c>
      <c r="AJ207">
        <v>300.58999999999997</v>
      </c>
      <c r="AL207" t="s">
        <v>383</v>
      </c>
      <c r="AM207">
        <v>706</v>
      </c>
      <c r="AN207">
        <v>1</v>
      </c>
      <c r="AO207">
        <v>0</v>
      </c>
      <c r="AP207" t="s">
        <v>220</v>
      </c>
      <c r="AQ207" t="s">
        <v>404</v>
      </c>
    </row>
    <row r="208" spans="1:43" x14ac:dyDescent="0.2">
      <c r="A208" t="s">
        <v>374</v>
      </c>
      <c r="B208">
        <v>701</v>
      </c>
      <c r="C208">
        <v>1</v>
      </c>
      <c r="D208">
        <v>31882.11</v>
      </c>
      <c r="E208">
        <v>31882.11</v>
      </c>
      <c r="F208" t="s">
        <v>383</v>
      </c>
      <c r="G208">
        <v>709</v>
      </c>
      <c r="H208">
        <v>1</v>
      </c>
      <c r="I208">
        <v>159625.43</v>
      </c>
      <c r="J208">
        <v>159625.43</v>
      </c>
      <c r="L208" t="s">
        <v>374</v>
      </c>
      <c r="M208">
        <v>465</v>
      </c>
      <c r="N208">
        <v>1</v>
      </c>
      <c r="O208">
        <v>4</v>
      </c>
      <c r="P208">
        <v>582</v>
      </c>
      <c r="Q208">
        <v>344</v>
      </c>
      <c r="R208">
        <v>430</v>
      </c>
      <c r="S208">
        <v>611.36</v>
      </c>
      <c r="U208" t="s">
        <v>374</v>
      </c>
      <c r="V208">
        <v>435</v>
      </c>
      <c r="W208">
        <v>1</v>
      </c>
      <c r="X208">
        <v>4</v>
      </c>
      <c r="Y208">
        <v>582</v>
      </c>
      <c r="Z208">
        <v>344</v>
      </c>
      <c r="AA208">
        <v>5.19</v>
      </c>
      <c r="AB208">
        <v>300</v>
      </c>
      <c r="AC208">
        <v>9899.09</v>
      </c>
      <c r="AE208" t="s">
        <v>383</v>
      </c>
      <c r="AF208">
        <v>709</v>
      </c>
      <c r="AG208">
        <v>1</v>
      </c>
      <c r="AH208">
        <v>42006.89</v>
      </c>
      <c r="AI208">
        <v>45966.71</v>
      </c>
      <c r="AJ208">
        <v>46916.27</v>
      </c>
      <c r="AL208" t="s">
        <v>383</v>
      </c>
      <c r="AM208">
        <v>707</v>
      </c>
      <c r="AN208">
        <v>1</v>
      </c>
      <c r="AO208">
        <v>0</v>
      </c>
      <c r="AP208" t="s">
        <v>221</v>
      </c>
      <c r="AQ208" t="s">
        <v>404</v>
      </c>
    </row>
    <row r="209" spans="1:43" x14ac:dyDescent="0.2">
      <c r="A209" t="s">
        <v>374</v>
      </c>
      <c r="B209">
        <v>704</v>
      </c>
      <c r="C209">
        <v>1</v>
      </c>
      <c r="D209">
        <v>17252.689999999999</v>
      </c>
      <c r="E209">
        <v>17252.689999999999</v>
      </c>
      <c r="F209" t="s">
        <v>383</v>
      </c>
      <c r="G209">
        <v>712</v>
      </c>
      <c r="H209">
        <v>1</v>
      </c>
      <c r="I209">
        <v>10190.64</v>
      </c>
      <c r="J209">
        <v>10091.790000000001</v>
      </c>
      <c r="L209" t="s">
        <v>374</v>
      </c>
      <c r="M209">
        <v>466</v>
      </c>
      <c r="N209">
        <v>1</v>
      </c>
      <c r="O209">
        <v>4</v>
      </c>
      <c r="P209">
        <v>582</v>
      </c>
      <c r="Q209">
        <v>344</v>
      </c>
      <c r="R209">
        <v>430</v>
      </c>
      <c r="S209">
        <v>365.06</v>
      </c>
      <c r="U209" t="s">
        <v>374</v>
      </c>
      <c r="V209">
        <v>441</v>
      </c>
      <c r="W209">
        <v>1</v>
      </c>
      <c r="X209">
        <v>4</v>
      </c>
      <c r="Y209">
        <v>582</v>
      </c>
      <c r="Z209">
        <v>344</v>
      </c>
      <c r="AA209">
        <v>5.19</v>
      </c>
      <c r="AB209">
        <v>300</v>
      </c>
      <c r="AC209">
        <v>5601.38</v>
      </c>
      <c r="AE209" t="s">
        <v>383</v>
      </c>
      <c r="AF209">
        <v>712</v>
      </c>
      <c r="AG209">
        <v>1</v>
      </c>
      <c r="AH209">
        <v>2632.24</v>
      </c>
      <c r="AI209">
        <v>3835.01</v>
      </c>
      <c r="AJ209">
        <v>3037.65</v>
      </c>
      <c r="AL209" t="s">
        <v>383</v>
      </c>
      <c r="AM209">
        <v>709</v>
      </c>
      <c r="AN209">
        <v>1</v>
      </c>
      <c r="AO209">
        <v>0</v>
      </c>
      <c r="AP209" t="s">
        <v>222</v>
      </c>
      <c r="AQ209" t="s">
        <v>404</v>
      </c>
    </row>
    <row r="210" spans="1:43" x14ac:dyDescent="0.2">
      <c r="A210" t="s">
        <v>374</v>
      </c>
      <c r="B210">
        <v>706</v>
      </c>
      <c r="C210">
        <v>1</v>
      </c>
      <c r="D210">
        <v>21016.09</v>
      </c>
      <c r="E210">
        <v>21016.09</v>
      </c>
      <c r="F210" t="s">
        <v>383</v>
      </c>
      <c r="G210">
        <v>716</v>
      </c>
      <c r="H210">
        <v>1</v>
      </c>
      <c r="I210">
        <v>17656.150000000001</v>
      </c>
      <c r="J210">
        <v>17656.150000000001</v>
      </c>
      <c r="L210" t="s">
        <v>374</v>
      </c>
      <c r="M210">
        <v>473</v>
      </c>
      <c r="N210">
        <v>1</v>
      </c>
      <c r="O210">
        <v>4</v>
      </c>
      <c r="P210">
        <v>582</v>
      </c>
      <c r="Q210">
        <v>344</v>
      </c>
      <c r="R210">
        <v>430</v>
      </c>
      <c r="S210">
        <v>177.17</v>
      </c>
      <c r="U210" t="s">
        <v>374</v>
      </c>
      <c r="V210">
        <v>458</v>
      </c>
      <c r="W210">
        <v>1</v>
      </c>
      <c r="X210">
        <v>4</v>
      </c>
      <c r="Y210">
        <v>582</v>
      </c>
      <c r="Z210">
        <v>344</v>
      </c>
      <c r="AA210">
        <v>5.19</v>
      </c>
      <c r="AB210">
        <v>300</v>
      </c>
      <c r="AC210">
        <v>6635.78</v>
      </c>
      <c r="AE210" t="s">
        <v>383</v>
      </c>
      <c r="AF210">
        <v>716</v>
      </c>
      <c r="AG210">
        <v>1</v>
      </c>
      <c r="AH210">
        <v>1830.69</v>
      </c>
      <c r="AI210">
        <v>-6905.44</v>
      </c>
      <c r="AJ210">
        <v>0</v>
      </c>
      <c r="AL210" t="s">
        <v>383</v>
      </c>
      <c r="AM210">
        <v>712</v>
      </c>
      <c r="AN210">
        <v>1</v>
      </c>
      <c r="AO210">
        <v>0</v>
      </c>
      <c r="AP210" t="s">
        <v>223</v>
      </c>
      <c r="AQ210" t="s">
        <v>404</v>
      </c>
    </row>
    <row r="211" spans="1:43" x14ac:dyDescent="0.2">
      <c r="A211" t="s">
        <v>374</v>
      </c>
      <c r="B211">
        <v>707</v>
      </c>
      <c r="C211">
        <v>1</v>
      </c>
      <c r="D211">
        <v>1779.5</v>
      </c>
      <c r="E211">
        <v>1779.5</v>
      </c>
      <c r="F211" t="s">
        <v>383</v>
      </c>
      <c r="G211">
        <v>717</v>
      </c>
      <c r="H211">
        <v>1</v>
      </c>
      <c r="I211">
        <v>20460.88</v>
      </c>
      <c r="J211">
        <v>20460.88</v>
      </c>
      <c r="L211" t="s">
        <v>374</v>
      </c>
      <c r="M211">
        <v>477</v>
      </c>
      <c r="N211">
        <v>1</v>
      </c>
      <c r="O211">
        <v>4</v>
      </c>
      <c r="P211">
        <v>582</v>
      </c>
      <c r="Q211">
        <v>344</v>
      </c>
      <c r="R211">
        <v>430</v>
      </c>
      <c r="S211">
        <v>1822.18</v>
      </c>
      <c r="U211" t="s">
        <v>374</v>
      </c>
      <c r="V211">
        <v>465</v>
      </c>
      <c r="W211">
        <v>1</v>
      </c>
      <c r="X211">
        <v>4</v>
      </c>
      <c r="Y211">
        <v>582</v>
      </c>
      <c r="Z211">
        <v>344</v>
      </c>
      <c r="AA211">
        <v>5.19</v>
      </c>
      <c r="AB211">
        <v>300</v>
      </c>
      <c r="AC211">
        <v>22231.16</v>
      </c>
      <c r="AE211" t="s">
        <v>383</v>
      </c>
      <c r="AF211">
        <v>717</v>
      </c>
      <c r="AG211">
        <v>1</v>
      </c>
      <c r="AH211">
        <v>8141.9</v>
      </c>
      <c r="AI211">
        <v>5719.1</v>
      </c>
      <c r="AJ211">
        <v>8358.16</v>
      </c>
      <c r="AL211" t="s">
        <v>383</v>
      </c>
      <c r="AM211">
        <v>716</v>
      </c>
      <c r="AN211">
        <v>1</v>
      </c>
      <c r="AO211">
        <v>0</v>
      </c>
      <c r="AP211" t="s">
        <v>224</v>
      </c>
      <c r="AQ211" t="s">
        <v>404</v>
      </c>
    </row>
    <row r="212" spans="1:43" x14ac:dyDescent="0.2">
      <c r="A212" t="s">
        <v>374</v>
      </c>
      <c r="B212">
        <v>709</v>
      </c>
      <c r="C212">
        <v>1</v>
      </c>
      <c r="D212">
        <v>161566.19</v>
      </c>
      <c r="E212">
        <v>161566.19</v>
      </c>
      <c r="F212" t="s">
        <v>383</v>
      </c>
      <c r="G212">
        <v>719</v>
      </c>
      <c r="H212">
        <v>1</v>
      </c>
      <c r="I212">
        <v>70788.22</v>
      </c>
      <c r="J212">
        <v>70788.22</v>
      </c>
      <c r="L212" t="s">
        <v>374</v>
      </c>
      <c r="M212">
        <v>482</v>
      </c>
      <c r="N212">
        <v>1</v>
      </c>
      <c r="O212">
        <v>4</v>
      </c>
      <c r="P212">
        <v>582</v>
      </c>
      <c r="Q212">
        <v>344</v>
      </c>
      <c r="R212">
        <v>430</v>
      </c>
      <c r="S212">
        <v>341.08</v>
      </c>
      <c r="U212" t="s">
        <v>374</v>
      </c>
      <c r="V212">
        <v>466</v>
      </c>
      <c r="W212">
        <v>1</v>
      </c>
      <c r="X212">
        <v>4</v>
      </c>
      <c r="Y212">
        <v>582</v>
      </c>
      <c r="Z212">
        <v>344</v>
      </c>
      <c r="AA212">
        <v>5.19</v>
      </c>
      <c r="AB212">
        <v>300</v>
      </c>
      <c r="AC212">
        <v>27165.16</v>
      </c>
      <c r="AE212" t="s">
        <v>383</v>
      </c>
      <c r="AF212">
        <v>719</v>
      </c>
      <c r="AG212">
        <v>1</v>
      </c>
      <c r="AH212">
        <v>13396.36</v>
      </c>
      <c r="AI212">
        <v>8624.36</v>
      </c>
      <c r="AJ212">
        <v>17666</v>
      </c>
      <c r="AL212" t="s">
        <v>383</v>
      </c>
      <c r="AM212">
        <v>717</v>
      </c>
      <c r="AN212">
        <v>1</v>
      </c>
      <c r="AO212">
        <v>0</v>
      </c>
      <c r="AP212" t="s">
        <v>225</v>
      </c>
      <c r="AQ212" t="s">
        <v>404</v>
      </c>
    </row>
    <row r="213" spans="1:43" x14ac:dyDescent="0.2">
      <c r="A213" t="s">
        <v>374</v>
      </c>
      <c r="B213">
        <v>712</v>
      </c>
      <c r="C213">
        <v>1</v>
      </c>
      <c r="D213">
        <v>9707.82</v>
      </c>
      <c r="E213">
        <v>9655.34</v>
      </c>
      <c r="F213" t="s">
        <v>383</v>
      </c>
      <c r="G213">
        <v>720</v>
      </c>
      <c r="H213">
        <v>1</v>
      </c>
      <c r="I213">
        <v>88764.98</v>
      </c>
      <c r="J213">
        <v>88764.98</v>
      </c>
      <c r="L213" t="s">
        <v>374</v>
      </c>
      <c r="M213">
        <v>485</v>
      </c>
      <c r="N213">
        <v>1</v>
      </c>
      <c r="O213">
        <v>4</v>
      </c>
      <c r="P213">
        <v>582</v>
      </c>
      <c r="Q213">
        <v>344</v>
      </c>
      <c r="R213">
        <v>430</v>
      </c>
      <c r="S213">
        <v>387.25</v>
      </c>
      <c r="U213" t="s">
        <v>374</v>
      </c>
      <c r="V213">
        <v>477</v>
      </c>
      <c r="W213">
        <v>1</v>
      </c>
      <c r="X213">
        <v>4</v>
      </c>
      <c r="Y213">
        <v>582</v>
      </c>
      <c r="Z213">
        <v>344</v>
      </c>
      <c r="AA213">
        <v>5.19</v>
      </c>
      <c r="AB213">
        <v>300</v>
      </c>
      <c r="AC213">
        <v>37941.61</v>
      </c>
      <c r="AE213" t="s">
        <v>383</v>
      </c>
      <c r="AF213">
        <v>720</v>
      </c>
      <c r="AG213">
        <v>1</v>
      </c>
      <c r="AH213">
        <v>0</v>
      </c>
      <c r="AI213">
        <v>124</v>
      </c>
      <c r="AJ213">
        <v>124</v>
      </c>
      <c r="AL213" t="s">
        <v>383</v>
      </c>
      <c r="AM213">
        <v>719</v>
      </c>
      <c r="AN213">
        <v>1</v>
      </c>
      <c r="AO213">
        <v>0</v>
      </c>
      <c r="AP213" t="s">
        <v>226</v>
      </c>
      <c r="AQ213" t="s">
        <v>404</v>
      </c>
    </row>
    <row r="214" spans="1:43" x14ac:dyDescent="0.2">
      <c r="A214" t="s">
        <v>374</v>
      </c>
      <c r="B214">
        <v>716</v>
      </c>
      <c r="C214">
        <v>1</v>
      </c>
      <c r="D214">
        <v>16932.86</v>
      </c>
      <c r="E214">
        <v>16932.86</v>
      </c>
      <c r="F214" t="s">
        <v>383</v>
      </c>
      <c r="G214">
        <v>721</v>
      </c>
      <c r="H214">
        <v>1</v>
      </c>
      <c r="I214">
        <v>27277.1</v>
      </c>
      <c r="J214">
        <v>27277.1</v>
      </c>
      <c r="L214" t="s">
        <v>374</v>
      </c>
      <c r="M214">
        <v>492</v>
      </c>
      <c r="N214">
        <v>1</v>
      </c>
      <c r="O214">
        <v>4</v>
      </c>
      <c r="P214">
        <v>582</v>
      </c>
      <c r="Q214">
        <v>344</v>
      </c>
      <c r="R214">
        <v>430</v>
      </c>
      <c r="S214">
        <v>8181.75</v>
      </c>
      <c r="U214" t="s">
        <v>374</v>
      </c>
      <c r="V214">
        <v>482</v>
      </c>
      <c r="W214">
        <v>1</v>
      </c>
      <c r="X214">
        <v>4</v>
      </c>
      <c r="Y214">
        <v>582</v>
      </c>
      <c r="Z214">
        <v>344</v>
      </c>
      <c r="AA214">
        <v>5.19</v>
      </c>
      <c r="AB214">
        <v>300</v>
      </c>
      <c r="AC214">
        <v>36119.660000000003</v>
      </c>
      <c r="AE214" t="s">
        <v>383</v>
      </c>
      <c r="AF214">
        <v>721</v>
      </c>
      <c r="AG214">
        <v>1</v>
      </c>
      <c r="AH214">
        <v>0</v>
      </c>
      <c r="AI214">
        <v>0</v>
      </c>
      <c r="AJ214">
        <v>30382</v>
      </c>
      <c r="AL214" t="s">
        <v>383</v>
      </c>
      <c r="AM214">
        <v>720</v>
      </c>
      <c r="AN214">
        <v>1</v>
      </c>
      <c r="AO214">
        <v>0</v>
      </c>
      <c r="AP214" t="s">
        <v>227</v>
      </c>
      <c r="AQ214" t="s">
        <v>404</v>
      </c>
    </row>
    <row r="215" spans="1:43" x14ac:dyDescent="0.2">
      <c r="A215" t="s">
        <v>374</v>
      </c>
      <c r="B215">
        <v>717</v>
      </c>
      <c r="C215">
        <v>1</v>
      </c>
      <c r="D215">
        <v>19923.990000000002</v>
      </c>
      <c r="E215">
        <v>19923.990000000002</v>
      </c>
      <c r="F215" t="s">
        <v>383</v>
      </c>
      <c r="G215">
        <v>726</v>
      </c>
      <c r="H215">
        <v>1</v>
      </c>
      <c r="I215">
        <v>26925.17</v>
      </c>
      <c r="J215">
        <v>26925.17</v>
      </c>
      <c r="L215" t="s">
        <v>374</v>
      </c>
      <c r="M215">
        <v>495</v>
      </c>
      <c r="N215">
        <v>1</v>
      </c>
      <c r="O215">
        <v>4</v>
      </c>
      <c r="P215">
        <v>582</v>
      </c>
      <c r="Q215">
        <v>344</v>
      </c>
      <c r="R215">
        <v>430</v>
      </c>
      <c r="S215">
        <v>416.19</v>
      </c>
      <c r="U215" t="s">
        <v>374</v>
      </c>
      <c r="V215">
        <v>492</v>
      </c>
      <c r="W215">
        <v>1</v>
      </c>
      <c r="X215">
        <v>4</v>
      </c>
      <c r="Y215">
        <v>582</v>
      </c>
      <c r="Z215">
        <v>344</v>
      </c>
      <c r="AA215">
        <v>5.19</v>
      </c>
      <c r="AB215">
        <v>300</v>
      </c>
      <c r="AC215">
        <v>69634.66</v>
      </c>
      <c r="AE215" t="s">
        <v>383</v>
      </c>
      <c r="AF215">
        <v>726</v>
      </c>
      <c r="AG215">
        <v>1</v>
      </c>
      <c r="AH215">
        <v>16448.34</v>
      </c>
      <c r="AI215">
        <v>7762.33</v>
      </c>
      <c r="AJ215">
        <v>17253.75</v>
      </c>
      <c r="AL215" t="s">
        <v>383</v>
      </c>
      <c r="AM215">
        <v>721</v>
      </c>
      <c r="AN215">
        <v>1</v>
      </c>
      <c r="AO215">
        <v>0</v>
      </c>
      <c r="AP215" t="s">
        <v>228</v>
      </c>
      <c r="AQ215" t="s">
        <v>404</v>
      </c>
    </row>
    <row r="216" spans="1:43" x14ac:dyDescent="0.2">
      <c r="A216" t="s">
        <v>374</v>
      </c>
      <c r="B216">
        <v>719</v>
      </c>
      <c r="C216">
        <v>1</v>
      </c>
      <c r="D216">
        <v>64789.16</v>
      </c>
      <c r="E216">
        <v>64789.16</v>
      </c>
      <c r="F216" t="s">
        <v>383</v>
      </c>
      <c r="G216">
        <v>727</v>
      </c>
      <c r="H216">
        <v>1</v>
      </c>
      <c r="I216">
        <v>45106.47</v>
      </c>
      <c r="J216">
        <v>45106.47</v>
      </c>
      <c r="L216" t="s">
        <v>374</v>
      </c>
      <c r="M216">
        <v>500</v>
      </c>
      <c r="N216">
        <v>1</v>
      </c>
      <c r="O216">
        <v>4</v>
      </c>
      <c r="P216">
        <v>582</v>
      </c>
      <c r="Q216">
        <v>344</v>
      </c>
      <c r="R216">
        <v>430</v>
      </c>
      <c r="S216">
        <v>1.99</v>
      </c>
      <c r="U216" t="s">
        <v>374</v>
      </c>
      <c r="V216">
        <v>495</v>
      </c>
      <c r="W216">
        <v>1</v>
      </c>
      <c r="X216">
        <v>4</v>
      </c>
      <c r="Y216">
        <v>582</v>
      </c>
      <c r="Z216">
        <v>344</v>
      </c>
      <c r="AA216">
        <v>5.19</v>
      </c>
      <c r="AB216">
        <v>300</v>
      </c>
      <c r="AC216">
        <v>3518.37</v>
      </c>
      <c r="AE216" t="s">
        <v>383</v>
      </c>
      <c r="AF216">
        <v>727</v>
      </c>
      <c r="AG216">
        <v>1</v>
      </c>
      <c r="AH216">
        <v>-1888.08</v>
      </c>
      <c r="AI216">
        <v>18565.189999999999</v>
      </c>
      <c r="AJ216">
        <v>26220.43</v>
      </c>
      <c r="AL216" t="s">
        <v>383</v>
      </c>
      <c r="AM216">
        <v>726</v>
      </c>
      <c r="AN216">
        <v>1</v>
      </c>
      <c r="AO216">
        <v>0</v>
      </c>
      <c r="AP216" t="s">
        <v>229</v>
      </c>
      <c r="AQ216" t="s">
        <v>404</v>
      </c>
    </row>
    <row r="217" spans="1:43" x14ac:dyDescent="0.2">
      <c r="A217" t="s">
        <v>374</v>
      </c>
      <c r="B217">
        <v>720</v>
      </c>
      <c r="C217">
        <v>1</v>
      </c>
      <c r="D217">
        <v>83962.04</v>
      </c>
      <c r="E217">
        <v>83962.04</v>
      </c>
      <c r="F217" t="s">
        <v>383</v>
      </c>
      <c r="G217">
        <v>728</v>
      </c>
      <c r="H217">
        <v>1</v>
      </c>
      <c r="I217">
        <v>122121.26</v>
      </c>
      <c r="J217">
        <v>122121.26</v>
      </c>
      <c r="L217" t="s">
        <v>374</v>
      </c>
      <c r="M217">
        <v>508</v>
      </c>
      <c r="N217">
        <v>1</v>
      </c>
      <c r="O217">
        <v>4</v>
      </c>
      <c r="P217">
        <v>582</v>
      </c>
      <c r="Q217">
        <v>344</v>
      </c>
      <c r="R217">
        <v>430</v>
      </c>
      <c r="S217">
        <v>627.49</v>
      </c>
      <c r="U217" t="s">
        <v>374</v>
      </c>
      <c r="V217">
        <v>497</v>
      </c>
      <c r="W217">
        <v>1</v>
      </c>
      <c r="X217">
        <v>4</v>
      </c>
      <c r="Y217">
        <v>582</v>
      </c>
      <c r="Z217">
        <v>344</v>
      </c>
      <c r="AA217">
        <v>5.19</v>
      </c>
      <c r="AB217">
        <v>300</v>
      </c>
      <c r="AC217">
        <v>4199.1899999999996</v>
      </c>
      <c r="AE217" t="s">
        <v>383</v>
      </c>
      <c r="AF217">
        <v>728</v>
      </c>
      <c r="AG217">
        <v>1</v>
      </c>
      <c r="AH217">
        <v>85349.17</v>
      </c>
      <c r="AI217">
        <v>40811.79</v>
      </c>
      <c r="AJ217">
        <v>58979.38</v>
      </c>
      <c r="AL217" t="s">
        <v>383</v>
      </c>
      <c r="AM217">
        <v>727</v>
      </c>
      <c r="AN217">
        <v>1</v>
      </c>
      <c r="AO217">
        <v>0</v>
      </c>
      <c r="AP217" t="s">
        <v>230</v>
      </c>
      <c r="AQ217" t="s">
        <v>404</v>
      </c>
    </row>
    <row r="218" spans="1:43" x14ac:dyDescent="0.2">
      <c r="A218" t="s">
        <v>374</v>
      </c>
      <c r="B218">
        <v>721</v>
      </c>
      <c r="C218">
        <v>1</v>
      </c>
      <c r="D218">
        <v>28536.51</v>
      </c>
      <c r="E218">
        <v>28536.51</v>
      </c>
      <c r="F218" t="s">
        <v>383</v>
      </c>
      <c r="G218">
        <v>738</v>
      </c>
      <c r="H218">
        <v>1</v>
      </c>
      <c r="I218">
        <v>9108.61</v>
      </c>
      <c r="J218">
        <v>9108.61</v>
      </c>
      <c r="L218" t="s">
        <v>374</v>
      </c>
      <c r="M218">
        <v>511</v>
      </c>
      <c r="N218">
        <v>1</v>
      </c>
      <c r="O218">
        <v>4</v>
      </c>
      <c r="P218">
        <v>582</v>
      </c>
      <c r="Q218">
        <v>344</v>
      </c>
      <c r="R218">
        <v>430</v>
      </c>
      <c r="S218">
        <v>392.24</v>
      </c>
      <c r="U218" t="s">
        <v>374</v>
      </c>
      <c r="V218">
        <v>499</v>
      </c>
      <c r="W218">
        <v>1</v>
      </c>
      <c r="X218">
        <v>4</v>
      </c>
      <c r="Y218">
        <v>582</v>
      </c>
      <c r="Z218">
        <v>344</v>
      </c>
      <c r="AA218">
        <v>5.19</v>
      </c>
      <c r="AB218">
        <v>300</v>
      </c>
      <c r="AC218">
        <v>4127.88</v>
      </c>
      <c r="AE218" t="s">
        <v>383</v>
      </c>
      <c r="AF218">
        <v>738</v>
      </c>
      <c r="AG218">
        <v>1</v>
      </c>
      <c r="AH218">
        <v>-6541.43</v>
      </c>
      <c r="AI218">
        <v>-21459.82</v>
      </c>
      <c r="AJ218">
        <v>-21459.82</v>
      </c>
      <c r="AL218" t="s">
        <v>383</v>
      </c>
      <c r="AM218">
        <v>728</v>
      </c>
      <c r="AN218">
        <v>1</v>
      </c>
      <c r="AO218">
        <v>0</v>
      </c>
      <c r="AP218" t="s">
        <v>231</v>
      </c>
      <c r="AQ218" t="s">
        <v>404</v>
      </c>
    </row>
    <row r="219" spans="1:43" x14ac:dyDescent="0.2">
      <c r="A219" t="s">
        <v>374</v>
      </c>
      <c r="B219">
        <v>726</v>
      </c>
      <c r="C219">
        <v>1</v>
      </c>
      <c r="D219">
        <v>24966.69</v>
      </c>
      <c r="E219">
        <v>24966.69</v>
      </c>
      <c r="F219" t="s">
        <v>383</v>
      </c>
      <c r="G219">
        <v>739</v>
      </c>
      <c r="H219">
        <v>1</v>
      </c>
      <c r="I219">
        <v>7489.81</v>
      </c>
      <c r="J219">
        <v>7489.81</v>
      </c>
      <c r="L219" t="s">
        <v>374</v>
      </c>
      <c r="M219">
        <v>513</v>
      </c>
      <c r="N219">
        <v>1</v>
      </c>
      <c r="O219">
        <v>4</v>
      </c>
      <c r="P219">
        <v>582</v>
      </c>
      <c r="Q219">
        <v>344</v>
      </c>
      <c r="R219">
        <v>430</v>
      </c>
      <c r="S219">
        <v>235.49</v>
      </c>
      <c r="U219" t="s">
        <v>374</v>
      </c>
      <c r="V219">
        <v>500</v>
      </c>
      <c r="W219">
        <v>1</v>
      </c>
      <c r="X219">
        <v>4</v>
      </c>
      <c r="Y219">
        <v>582</v>
      </c>
      <c r="Z219">
        <v>344</v>
      </c>
      <c r="AA219">
        <v>5.19</v>
      </c>
      <c r="AB219">
        <v>300</v>
      </c>
      <c r="AC219">
        <v>6067.57</v>
      </c>
      <c r="AE219" t="s">
        <v>383</v>
      </c>
      <c r="AF219">
        <v>739</v>
      </c>
      <c r="AG219">
        <v>1</v>
      </c>
      <c r="AH219">
        <v>2950.79</v>
      </c>
      <c r="AI219">
        <v>1532.81</v>
      </c>
      <c r="AJ219">
        <v>9530.25</v>
      </c>
      <c r="AL219" t="s">
        <v>383</v>
      </c>
      <c r="AM219">
        <v>738</v>
      </c>
      <c r="AN219">
        <v>1</v>
      </c>
      <c r="AO219">
        <v>0</v>
      </c>
      <c r="AP219" t="s">
        <v>232</v>
      </c>
      <c r="AQ219" t="s">
        <v>404</v>
      </c>
    </row>
    <row r="220" spans="1:43" x14ac:dyDescent="0.2">
      <c r="A220" t="s">
        <v>374</v>
      </c>
      <c r="B220">
        <v>727</v>
      </c>
      <c r="C220">
        <v>1</v>
      </c>
      <c r="D220">
        <v>44365.31</v>
      </c>
      <c r="E220">
        <v>44365.31</v>
      </c>
      <c r="F220" t="s">
        <v>383</v>
      </c>
      <c r="G220">
        <v>740</v>
      </c>
      <c r="H220">
        <v>1</v>
      </c>
      <c r="I220">
        <v>17871.87</v>
      </c>
      <c r="J220">
        <v>17871.87</v>
      </c>
      <c r="L220" t="s">
        <v>374</v>
      </c>
      <c r="M220">
        <v>514</v>
      </c>
      <c r="N220">
        <v>1</v>
      </c>
      <c r="O220">
        <v>4</v>
      </c>
      <c r="P220">
        <v>582</v>
      </c>
      <c r="Q220">
        <v>344</v>
      </c>
      <c r="R220">
        <v>430</v>
      </c>
      <c r="S220">
        <v>319.32</v>
      </c>
      <c r="U220" t="s">
        <v>374</v>
      </c>
      <c r="V220">
        <v>507</v>
      </c>
      <c r="W220">
        <v>1</v>
      </c>
      <c r="X220">
        <v>4</v>
      </c>
      <c r="Y220">
        <v>582</v>
      </c>
      <c r="Z220">
        <v>344</v>
      </c>
      <c r="AA220">
        <v>5.19</v>
      </c>
      <c r="AB220">
        <v>300</v>
      </c>
      <c r="AC220">
        <v>3801.28</v>
      </c>
      <c r="AE220" t="s">
        <v>383</v>
      </c>
      <c r="AF220">
        <v>740</v>
      </c>
      <c r="AG220">
        <v>1</v>
      </c>
      <c r="AH220">
        <v>1750.24</v>
      </c>
      <c r="AI220">
        <v>5100.24</v>
      </c>
      <c r="AJ220">
        <v>4152.6000000000004</v>
      </c>
      <c r="AL220" t="s">
        <v>383</v>
      </c>
      <c r="AM220">
        <v>739</v>
      </c>
      <c r="AN220">
        <v>1</v>
      </c>
      <c r="AO220">
        <v>0</v>
      </c>
      <c r="AP220" t="s">
        <v>233</v>
      </c>
      <c r="AQ220" t="s">
        <v>404</v>
      </c>
    </row>
    <row r="221" spans="1:43" x14ac:dyDescent="0.2">
      <c r="A221" t="s">
        <v>374</v>
      </c>
      <c r="B221">
        <v>728</v>
      </c>
      <c r="C221">
        <v>1</v>
      </c>
      <c r="D221">
        <v>117501.83</v>
      </c>
      <c r="E221">
        <v>117501.83</v>
      </c>
      <c r="F221" t="s">
        <v>383</v>
      </c>
      <c r="G221">
        <v>741</v>
      </c>
      <c r="H221">
        <v>1</v>
      </c>
      <c r="I221">
        <v>12603.09</v>
      </c>
      <c r="J221">
        <v>12603.09</v>
      </c>
      <c r="L221" t="s">
        <v>374</v>
      </c>
      <c r="M221">
        <v>533</v>
      </c>
      <c r="N221">
        <v>1</v>
      </c>
      <c r="O221">
        <v>4</v>
      </c>
      <c r="P221">
        <v>582</v>
      </c>
      <c r="Q221">
        <v>344</v>
      </c>
      <c r="R221">
        <v>430</v>
      </c>
      <c r="S221">
        <v>469.91</v>
      </c>
      <c r="U221" t="s">
        <v>374</v>
      </c>
      <c r="V221">
        <v>508</v>
      </c>
      <c r="W221">
        <v>1</v>
      </c>
      <c r="X221">
        <v>4</v>
      </c>
      <c r="Y221">
        <v>582</v>
      </c>
      <c r="Z221">
        <v>344</v>
      </c>
      <c r="AA221">
        <v>5.19</v>
      </c>
      <c r="AB221">
        <v>300</v>
      </c>
      <c r="AC221">
        <v>22484.560000000001</v>
      </c>
      <c r="AE221" t="s">
        <v>383</v>
      </c>
      <c r="AF221">
        <v>741</v>
      </c>
      <c r="AG221">
        <v>1</v>
      </c>
      <c r="AH221">
        <v>2406</v>
      </c>
      <c r="AI221">
        <v>8605.41</v>
      </c>
      <c r="AJ221">
        <v>6875.8</v>
      </c>
      <c r="AL221" t="s">
        <v>383</v>
      </c>
      <c r="AM221">
        <v>740</v>
      </c>
      <c r="AN221">
        <v>1</v>
      </c>
      <c r="AO221">
        <v>0</v>
      </c>
      <c r="AP221" t="s">
        <v>234</v>
      </c>
      <c r="AQ221" t="s">
        <v>404</v>
      </c>
    </row>
    <row r="222" spans="1:43" x14ac:dyDescent="0.2">
      <c r="A222" t="s">
        <v>374</v>
      </c>
      <c r="B222">
        <v>738</v>
      </c>
      <c r="C222">
        <v>1</v>
      </c>
      <c r="D222">
        <v>9278.0499999999993</v>
      </c>
      <c r="E222">
        <v>9278.0499999999993</v>
      </c>
      <c r="F222" t="s">
        <v>383</v>
      </c>
      <c r="G222">
        <v>742</v>
      </c>
      <c r="H222">
        <v>1</v>
      </c>
      <c r="I222">
        <v>186249.4</v>
      </c>
      <c r="J222">
        <v>186249.4</v>
      </c>
      <c r="L222" t="s">
        <v>374</v>
      </c>
      <c r="M222">
        <v>534</v>
      </c>
      <c r="N222">
        <v>1</v>
      </c>
      <c r="O222">
        <v>4</v>
      </c>
      <c r="P222">
        <v>582</v>
      </c>
      <c r="Q222">
        <v>344</v>
      </c>
      <c r="R222">
        <v>430</v>
      </c>
      <c r="S222">
        <v>389.18</v>
      </c>
      <c r="U222" t="s">
        <v>374</v>
      </c>
      <c r="V222">
        <v>513</v>
      </c>
      <c r="W222">
        <v>1</v>
      </c>
      <c r="X222">
        <v>4</v>
      </c>
      <c r="Y222">
        <v>582</v>
      </c>
      <c r="Z222">
        <v>344</v>
      </c>
      <c r="AA222">
        <v>5.19</v>
      </c>
      <c r="AB222">
        <v>300</v>
      </c>
      <c r="AC222">
        <v>2223.98</v>
      </c>
      <c r="AE222" t="s">
        <v>383</v>
      </c>
      <c r="AF222">
        <v>742</v>
      </c>
      <c r="AG222">
        <v>1</v>
      </c>
      <c r="AH222">
        <v>-151832.17000000001</v>
      </c>
      <c r="AI222">
        <v>-109103.74</v>
      </c>
      <c r="AJ222">
        <v>921.51</v>
      </c>
      <c r="AL222" t="s">
        <v>383</v>
      </c>
      <c r="AM222">
        <v>741</v>
      </c>
      <c r="AN222">
        <v>1</v>
      </c>
      <c r="AO222">
        <v>0</v>
      </c>
      <c r="AP222" t="s">
        <v>235</v>
      </c>
      <c r="AQ222" t="s">
        <v>404</v>
      </c>
    </row>
    <row r="223" spans="1:43" x14ac:dyDescent="0.2">
      <c r="A223" t="s">
        <v>374</v>
      </c>
      <c r="B223">
        <v>739</v>
      </c>
      <c r="C223">
        <v>1</v>
      </c>
      <c r="D223">
        <v>7052.46</v>
      </c>
      <c r="E223">
        <v>7052.46</v>
      </c>
      <c r="F223" t="s">
        <v>383</v>
      </c>
      <c r="G223">
        <v>743</v>
      </c>
      <c r="H223">
        <v>1</v>
      </c>
      <c r="I223">
        <v>13916.51</v>
      </c>
      <c r="J223">
        <v>13916.51</v>
      </c>
      <c r="L223" t="s">
        <v>374</v>
      </c>
      <c r="M223">
        <v>535</v>
      </c>
      <c r="N223">
        <v>1</v>
      </c>
      <c r="O223">
        <v>4</v>
      </c>
      <c r="P223">
        <v>582</v>
      </c>
      <c r="Q223">
        <v>344</v>
      </c>
      <c r="R223">
        <v>430</v>
      </c>
      <c r="S223">
        <v>396.95</v>
      </c>
      <c r="U223" t="s">
        <v>374</v>
      </c>
      <c r="V223">
        <v>514</v>
      </c>
      <c r="W223">
        <v>1</v>
      </c>
      <c r="X223">
        <v>4</v>
      </c>
      <c r="Y223">
        <v>582</v>
      </c>
      <c r="Z223">
        <v>344</v>
      </c>
      <c r="AA223">
        <v>5.19</v>
      </c>
      <c r="AB223">
        <v>300</v>
      </c>
      <c r="AC223">
        <v>177.77</v>
      </c>
      <c r="AE223" t="s">
        <v>383</v>
      </c>
      <c r="AF223">
        <v>743</v>
      </c>
      <c r="AG223">
        <v>1</v>
      </c>
      <c r="AH223">
        <v>3982.39</v>
      </c>
      <c r="AI223">
        <v>2909.63</v>
      </c>
      <c r="AJ223">
        <v>1519.34</v>
      </c>
      <c r="AL223" t="s">
        <v>383</v>
      </c>
      <c r="AM223">
        <v>742</v>
      </c>
      <c r="AN223">
        <v>1</v>
      </c>
      <c r="AO223">
        <v>0</v>
      </c>
      <c r="AP223" t="s">
        <v>236</v>
      </c>
      <c r="AQ223" t="s">
        <v>404</v>
      </c>
    </row>
    <row r="224" spans="1:43" x14ac:dyDescent="0.2">
      <c r="A224" t="s">
        <v>374</v>
      </c>
      <c r="B224">
        <v>740</v>
      </c>
      <c r="C224">
        <v>1</v>
      </c>
      <c r="D224">
        <v>18221.29</v>
      </c>
      <c r="E224">
        <v>18221.29</v>
      </c>
      <c r="F224" t="s">
        <v>383</v>
      </c>
      <c r="G224">
        <v>745</v>
      </c>
      <c r="H224">
        <v>1</v>
      </c>
      <c r="I224">
        <v>16417.060000000001</v>
      </c>
      <c r="J224">
        <v>16417.060000000001</v>
      </c>
      <c r="L224" t="s">
        <v>374</v>
      </c>
      <c r="M224">
        <v>542</v>
      </c>
      <c r="N224">
        <v>1</v>
      </c>
      <c r="O224">
        <v>4</v>
      </c>
      <c r="P224">
        <v>582</v>
      </c>
      <c r="Q224">
        <v>344</v>
      </c>
      <c r="R224">
        <v>430</v>
      </c>
      <c r="S224">
        <v>264.49</v>
      </c>
      <c r="U224" t="s">
        <v>374</v>
      </c>
      <c r="V224">
        <v>516</v>
      </c>
      <c r="W224">
        <v>1</v>
      </c>
      <c r="X224">
        <v>4</v>
      </c>
      <c r="Y224">
        <v>582</v>
      </c>
      <c r="Z224">
        <v>344</v>
      </c>
      <c r="AA224">
        <v>5.19</v>
      </c>
      <c r="AB224">
        <v>300</v>
      </c>
      <c r="AC224">
        <v>1251.58</v>
      </c>
      <c r="AE224" t="s">
        <v>383</v>
      </c>
      <c r="AF224">
        <v>745</v>
      </c>
      <c r="AG224">
        <v>1</v>
      </c>
      <c r="AH224">
        <v>11788.95</v>
      </c>
      <c r="AI224">
        <v>22555.46</v>
      </c>
      <c r="AJ224">
        <v>33338.639999999999</v>
      </c>
      <c r="AL224" t="s">
        <v>383</v>
      </c>
      <c r="AM224">
        <v>743</v>
      </c>
      <c r="AN224">
        <v>1</v>
      </c>
      <c r="AO224">
        <v>0</v>
      </c>
      <c r="AP224" t="s">
        <v>237</v>
      </c>
      <c r="AQ224" t="s">
        <v>404</v>
      </c>
    </row>
    <row r="225" spans="1:43" x14ac:dyDescent="0.2">
      <c r="A225" t="s">
        <v>374</v>
      </c>
      <c r="B225">
        <v>741</v>
      </c>
      <c r="C225">
        <v>1</v>
      </c>
      <c r="D225">
        <v>12517.94</v>
      </c>
      <c r="E225">
        <v>12517.94</v>
      </c>
      <c r="F225" t="s">
        <v>383</v>
      </c>
      <c r="G225">
        <v>748</v>
      </c>
      <c r="H225">
        <v>1</v>
      </c>
      <c r="I225">
        <v>28401.62</v>
      </c>
      <c r="J225">
        <v>28401.62</v>
      </c>
      <c r="L225" t="s">
        <v>374</v>
      </c>
      <c r="M225">
        <v>545</v>
      </c>
      <c r="N225">
        <v>1</v>
      </c>
      <c r="O225">
        <v>4</v>
      </c>
      <c r="P225">
        <v>582</v>
      </c>
      <c r="Q225">
        <v>344</v>
      </c>
      <c r="R225">
        <v>430</v>
      </c>
      <c r="S225">
        <v>72.16</v>
      </c>
      <c r="U225" t="s">
        <v>374</v>
      </c>
      <c r="V225">
        <v>518</v>
      </c>
      <c r="W225">
        <v>1</v>
      </c>
      <c r="X225">
        <v>4</v>
      </c>
      <c r="Y225">
        <v>582</v>
      </c>
      <c r="Z225">
        <v>344</v>
      </c>
      <c r="AA225">
        <v>5.19</v>
      </c>
      <c r="AB225">
        <v>300</v>
      </c>
      <c r="AC225">
        <v>39326.33</v>
      </c>
      <c r="AE225" t="s">
        <v>383</v>
      </c>
      <c r="AF225">
        <v>748</v>
      </c>
      <c r="AG225">
        <v>1</v>
      </c>
      <c r="AH225">
        <v>7834.31</v>
      </c>
      <c r="AI225">
        <v>14276.32</v>
      </c>
      <c r="AJ225">
        <v>0</v>
      </c>
      <c r="AL225" t="s">
        <v>383</v>
      </c>
      <c r="AM225">
        <v>745</v>
      </c>
      <c r="AN225">
        <v>1</v>
      </c>
      <c r="AO225">
        <v>0</v>
      </c>
      <c r="AP225" t="s">
        <v>238</v>
      </c>
      <c r="AQ225" t="s">
        <v>404</v>
      </c>
    </row>
    <row r="226" spans="1:43" x14ac:dyDescent="0.2">
      <c r="A226" t="s">
        <v>374</v>
      </c>
      <c r="B226">
        <v>742</v>
      </c>
      <c r="C226">
        <v>1</v>
      </c>
      <c r="D226">
        <v>180568.09</v>
      </c>
      <c r="E226">
        <v>180568.09</v>
      </c>
      <c r="F226" t="s">
        <v>383</v>
      </c>
      <c r="G226">
        <v>750</v>
      </c>
      <c r="H226">
        <v>1</v>
      </c>
      <c r="I226">
        <v>24284.2</v>
      </c>
      <c r="J226">
        <v>20351.96</v>
      </c>
      <c r="L226" t="s">
        <v>374</v>
      </c>
      <c r="M226">
        <v>547</v>
      </c>
      <c r="N226">
        <v>1</v>
      </c>
      <c r="O226">
        <v>4</v>
      </c>
      <c r="P226">
        <v>582</v>
      </c>
      <c r="Q226">
        <v>344</v>
      </c>
      <c r="R226">
        <v>430</v>
      </c>
      <c r="S226">
        <v>188.88</v>
      </c>
      <c r="U226" t="s">
        <v>374</v>
      </c>
      <c r="V226">
        <v>531</v>
      </c>
      <c r="W226">
        <v>1</v>
      </c>
      <c r="X226">
        <v>4</v>
      </c>
      <c r="Y226">
        <v>582</v>
      </c>
      <c r="Z226">
        <v>344</v>
      </c>
      <c r="AA226">
        <v>5.19</v>
      </c>
      <c r="AB226">
        <v>300</v>
      </c>
      <c r="AC226">
        <v>11335.93</v>
      </c>
      <c r="AE226" t="s">
        <v>383</v>
      </c>
      <c r="AF226">
        <v>750</v>
      </c>
      <c r="AG226">
        <v>1</v>
      </c>
      <c r="AH226">
        <v>16957.830000000002</v>
      </c>
      <c r="AI226">
        <v>16375.9</v>
      </c>
      <c r="AJ226">
        <v>15701.06</v>
      </c>
      <c r="AL226" t="s">
        <v>383</v>
      </c>
      <c r="AM226">
        <v>748</v>
      </c>
      <c r="AN226">
        <v>1</v>
      </c>
      <c r="AO226">
        <v>0</v>
      </c>
      <c r="AP226" t="s">
        <v>239</v>
      </c>
      <c r="AQ226" t="s">
        <v>404</v>
      </c>
    </row>
    <row r="227" spans="1:43" x14ac:dyDescent="0.2">
      <c r="A227" t="s">
        <v>374</v>
      </c>
      <c r="B227">
        <v>743</v>
      </c>
      <c r="C227">
        <v>1</v>
      </c>
      <c r="D227">
        <v>15491.43</v>
      </c>
      <c r="E227">
        <v>15491.43</v>
      </c>
      <c r="F227" t="s">
        <v>383</v>
      </c>
      <c r="G227">
        <v>756</v>
      </c>
      <c r="H227">
        <v>1</v>
      </c>
      <c r="I227">
        <v>7338.87</v>
      </c>
      <c r="J227">
        <v>7338.87</v>
      </c>
      <c r="L227" t="s">
        <v>374</v>
      </c>
      <c r="M227">
        <v>548</v>
      </c>
      <c r="N227">
        <v>1</v>
      </c>
      <c r="O227">
        <v>4</v>
      </c>
      <c r="P227">
        <v>582</v>
      </c>
      <c r="Q227">
        <v>344</v>
      </c>
      <c r="R227">
        <v>430</v>
      </c>
      <c r="S227">
        <v>101.11</v>
      </c>
      <c r="U227" t="s">
        <v>374</v>
      </c>
      <c r="V227">
        <v>533</v>
      </c>
      <c r="W227">
        <v>1</v>
      </c>
      <c r="X227">
        <v>4</v>
      </c>
      <c r="Y227">
        <v>582</v>
      </c>
      <c r="Z227">
        <v>344</v>
      </c>
      <c r="AA227">
        <v>5.19</v>
      </c>
      <c r="AB227">
        <v>300</v>
      </c>
      <c r="AC227">
        <v>7263.14</v>
      </c>
      <c r="AE227" t="s">
        <v>383</v>
      </c>
      <c r="AF227">
        <v>756</v>
      </c>
      <c r="AG227">
        <v>1</v>
      </c>
      <c r="AH227">
        <v>1415.77</v>
      </c>
      <c r="AI227">
        <v>1690.99</v>
      </c>
      <c r="AJ227">
        <v>6307.05</v>
      </c>
      <c r="AL227" t="s">
        <v>383</v>
      </c>
      <c r="AM227">
        <v>750</v>
      </c>
      <c r="AN227">
        <v>1</v>
      </c>
      <c r="AO227">
        <v>0</v>
      </c>
      <c r="AP227" t="s">
        <v>240</v>
      </c>
      <c r="AQ227" t="s">
        <v>404</v>
      </c>
    </row>
    <row r="228" spans="1:43" x14ac:dyDescent="0.2">
      <c r="A228" t="s">
        <v>374</v>
      </c>
      <c r="B228">
        <v>745</v>
      </c>
      <c r="C228">
        <v>1</v>
      </c>
      <c r="D228">
        <v>15192.43</v>
      </c>
      <c r="E228">
        <v>15192.43</v>
      </c>
      <c r="F228" t="s">
        <v>383</v>
      </c>
      <c r="G228">
        <v>761</v>
      </c>
      <c r="H228">
        <v>1</v>
      </c>
      <c r="I228">
        <v>65975.45</v>
      </c>
      <c r="J228">
        <v>65975.45</v>
      </c>
      <c r="L228" t="s">
        <v>374</v>
      </c>
      <c r="M228">
        <v>549</v>
      </c>
      <c r="N228">
        <v>1</v>
      </c>
      <c r="O228">
        <v>4</v>
      </c>
      <c r="P228">
        <v>582</v>
      </c>
      <c r="Q228">
        <v>344</v>
      </c>
      <c r="R228">
        <v>430</v>
      </c>
      <c r="S228">
        <v>1420.55</v>
      </c>
      <c r="U228" t="s">
        <v>374</v>
      </c>
      <c r="V228">
        <v>534</v>
      </c>
      <c r="W228">
        <v>1</v>
      </c>
      <c r="X228">
        <v>4</v>
      </c>
      <c r="Y228">
        <v>582</v>
      </c>
      <c r="Z228">
        <v>344</v>
      </c>
      <c r="AA228">
        <v>5.19</v>
      </c>
      <c r="AB228">
        <v>300</v>
      </c>
      <c r="AC228">
        <v>15576.35</v>
      </c>
      <c r="AE228" t="s">
        <v>383</v>
      </c>
      <c r="AF228">
        <v>761</v>
      </c>
      <c r="AG228">
        <v>1</v>
      </c>
      <c r="AH228">
        <v>0</v>
      </c>
      <c r="AI228">
        <v>5062.46</v>
      </c>
      <c r="AJ228">
        <v>-2708.92</v>
      </c>
      <c r="AL228" t="s">
        <v>383</v>
      </c>
      <c r="AM228">
        <v>756</v>
      </c>
      <c r="AN228">
        <v>1</v>
      </c>
      <c r="AO228">
        <v>0</v>
      </c>
      <c r="AP228" t="s">
        <v>241</v>
      </c>
      <c r="AQ228" t="s">
        <v>404</v>
      </c>
    </row>
    <row r="229" spans="1:43" x14ac:dyDescent="0.2">
      <c r="A229" t="s">
        <v>374</v>
      </c>
      <c r="B229">
        <v>748</v>
      </c>
      <c r="C229">
        <v>1</v>
      </c>
      <c r="D229">
        <v>28053.05</v>
      </c>
      <c r="E229">
        <v>28053.05</v>
      </c>
      <c r="F229" t="s">
        <v>383</v>
      </c>
      <c r="G229">
        <v>763</v>
      </c>
      <c r="H229">
        <v>1</v>
      </c>
      <c r="I229">
        <v>6571.19</v>
      </c>
      <c r="J229">
        <v>6571.19</v>
      </c>
      <c r="L229" t="s">
        <v>374</v>
      </c>
      <c r="M229">
        <v>549</v>
      </c>
      <c r="N229">
        <v>1</v>
      </c>
      <c r="O229">
        <v>4</v>
      </c>
      <c r="P229">
        <v>582</v>
      </c>
      <c r="Q229">
        <v>344</v>
      </c>
      <c r="R229">
        <v>430</v>
      </c>
      <c r="S229">
        <v>1315.66</v>
      </c>
      <c r="U229" t="s">
        <v>374</v>
      </c>
      <c r="V229">
        <v>535</v>
      </c>
      <c r="W229">
        <v>1</v>
      </c>
      <c r="X229">
        <v>4</v>
      </c>
      <c r="Y229">
        <v>582</v>
      </c>
      <c r="Z229">
        <v>344</v>
      </c>
      <c r="AA229">
        <v>5.19</v>
      </c>
      <c r="AB229">
        <v>300</v>
      </c>
      <c r="AC229">
        <v>202488.55</v>
      </c>
      <c r="AE229" t="s">
        <v>383</v>
      </c>
      <c r="AF229">
        <v>763</v>
      </c>
      <c r="AG229">
        <v>1</v>
      </c>
      <c r="AH229">
        <v>1317.88</v>
      </c>
      <c r="AI229">
        <v>403.51</v>
      </c>
      <c r="AJ229">
        <v>1674.59</v>
      </c>
      <c r="AL229" t="s">
        <v>383</v>
      </c>
      <c r="AM229">
        <v>761</v>
      </c>
      <c r="AN229">
        <v>1</v>
      </c>
      <c r="AO229">
        <v>0</v>
      </c>
      <c r="AP229" t="s">
        <v>242</v>
      </c>
      <c r="AQ229" t="s">
        <v>404</v>
      </c>
    </row>
    <row r="230" spans="1:43" x14ac:dyDescent="0.2">
      <c r="A230" t="s">
        <v>374</v>
      </c>
      <c r="B230">
        <v>750</v>
      </c>
      <c r="C230">
        <v>1</v>
      </c>
      <c r="D230">
        <v>18570.8</v>
      </c>
      <c r="E230">
        <v>15826.81</v>
      </c>
      <c r="F230" t="s">
        <v>383</v>
      </c>
      <c r="G230">
        <v>768</v>
      </c>
      <c r="H230">
        <v>1</v>
      </c>
      <c r="I230">
        <v>3197.13</v>
      </c>
      <c r="J230">
        <v>3197.13</v>
      </c>
      <c r="L230" t="s">
        <v>374</v>
      </c>
      <c r="M230">
        <v>550</v>
      </c>
      <c r="N230">
        <v>1</v>
      </c>
      <c r="O230">
        <v>4</v>
      </c>
      <c r="P230">
        <v>582</v>
      </c>
      <c r="Q230">
        <v>344</v>
      </c>
      <c r="R230">
        <v>430</v>
      </c>
      <c r="S230">
        <v>215.02</v>
      </c>
      <c r="U230" t="s">
        <v>374</v>
      </c>
      <c r="V230">
        <v>542</v>
      </c>
      <c r="W230">
        <v>1</v>
      </c>
      <c r="X230">
        <v>4</v>
      </c>
      <c r="Y230">
        <v>582</v>
      </c>
      <c r="Z230">
        <v>344</v>
      </c>
      <c r="AA230">
        <v>5.19</v>
      </c>
      <c r="AB230">
        <v>300</v>
      </c>
      <c r="AC230">
        <v>7552.58</v>
      </c>
      <c r="AE230" t="s">
        <v>383</v>
      </c>
      <c r="AF230">
        <v>768</v>
      </c>
      <c r="AG230">
        <v>1</v>
      </c>
      <c r="AH230">
        <v>354.27</v>
      </c>
      <c r="AI230">
        <v>1659.6</v>
      </c>
      <c r="AJ230">
        <v>464.38</v>
      </c>
      <c r="AL230" t="s">
        <v>383</v>
      </c>
      <c r="AM230">
        <v>763</v>
      </c>
      <c r="AN230">
        <v>1</v>
      </c>
      <c r="AO230">
        <v>0</v>
      </c>
      <c r="AP230" t="s">
        <v>243</v>
      </c>
      <c r="AQ230" t="s">
        <v>404</v>
      </c>
    </row>
    <row r="231" spans="1:43" x14ac:dyDescent="0.2">
      <c r="A231" t="s">
        <v>374</v>
      </c>
      <c r="B231">
        <v>756</v>
      </c>
      <c r="C231">
        <v>1</v>
      </c>
      <c r="D231">
        <v>7217.78</v>
      </c>
      <c r="E231">
        <v>7217.78</v>
      </c>
      <c r="F231" t="s">
        <v>383</v>
      </c>
      <c r="G231">
        <v>769</v>
      </c>
      <c r="H231">
        <v>1</v>
      </c>
      <c r="I231">
        <v>11231.25</v>
      </c>
      <c r="J231">
        <v>11231.25</v>
      </c>
      <c r="L231" t="s">
        <v>374</v>
      </c>
      <c r="M231">
        <v>553</v>
      </c>
      <c r="N231">
        <v>1</v>
      </c>
      <c r="O231">
        <v>4</v>
      </c>
      <c r="P231">
        <v>582</v>
      </c>
      <c r="Q231">
        <v>344</v>
      </c>
      <c r="R231">
        <v>430</v>
      </c>
      <c r="S231">
        <v>297.43</v>
      </c>
      <c r="U231" t="s">
        <v>374</v>
      </c>
      <c r="V231">
        <v>544</v>
      </c>
      <c r="W231">
        <v>1</v>
      </c>
      <c r="X231">
        <v>4</v>
      </c>
      <c r="Y231">
        <v>582</v>
      </c>
      <c r="Z231">
        <v>344</v>
      </c>
      <c r="AA231">
        <v>5.19</v>
      </c>
      <c r="AB231">
        <v>300</v>
      </c>
      <c r="AC231">
        <v>28243.09</v>
      </c>
      <c r="AE231" t="s">
        <v>383</v>
      </c>
      <c r="AF231">
        <v>769</v>
      </c>
      <c r="AG231">
        <v>1</v>
      </c>
      <c r="AH231">
        <v>-3404.84</v>
      </c>
      <c r="AI231">
        <v>5995.97</v>
      </c>
      <c r="AJ231">
        <v>4474.08</v>
      </c>
      <c r="AL231" t="s">
        <v>383</v>
      </c>
      <c r="AM231">
        <v>768</v>
      </c>
      <c r="AN231">
        <v>1</v>
      </c>
      <c r="AO231">
        <v>0</v>
      </c>
      <c r="AP231" t="s">
        <v>244</v>
      </c>
      <c r="AQ231" t="s">
        <v>404</v>
      </c>
    </row>
    <row r="232" spans="1:43" x14ac:dyDescent="0.2">
      <c r="A232" t="s">
        <v>374</v>
      </c>
      <c r="B232">
        <v>761</v>
      </c>
      <c r="C232">
        <v>1</v>
      </c>
      <c r="D232">
        <v>64704.19</v>
      </c>
      <c r="E232">
        <v>64704.19</v>
      </c>
      <c r="F232" t="s">
        <v>383</v>
      </c>
      <c r="G232">
        <v>771</v>
      </c>
      <c r="H232">
        <v>1</v>
      </c>
      <c r="I232">
        <v>2822.8</v>
      </c>
      <c r="J232">
        <v>2822.8</v>
      </c>
      <c r="L232" t="s">
        <v>374</v>
      </c>
      <c r="M232">
        <v>561</v>
      </c>
      <c r="N232">
        <v>1</v>
      </c>
      <c r="O232">
        <v>4</v>
      </c>
      <c r="P232">
        <v>582</v>
      </c>
      <c r="Q232">
        <v>344</v>
      </c>
      <c r="R232">
        <v>430</v>
      </c>
      <c r="S232">
        <v>1054.8900000000001</v>
      </c>
      <c r="U232" t="s">
        <v>374</v>
      </c>
      <c r="V232">
        <v>545</v>
      </c>
      <c r="W232">
        <v>1</v>
      </c>
      <c r="X232">
        <v>4</v>
      </c>
      <c r="Y232">
        <v>582</v>
      </c>
      <c r="Z232">
        <v>344</v>
      </c>
      <c r="AA232">
        <v>5.19</v>
      </c>
      <c r="AB232">
        <v>300</v>
      </c>
      <c r="AC232">
        <v>5241.96</v>
      </c>
      <c r="AE232" t="s">
        <v>383</v>
      </c>
      <c r="AF232">
        <v>771</v>
      </c>
      <c r="AG232">
        <v>1</v>
      </c>
      <c r="AH232">
        <v>-14456.32</v>
      </c>
      <c r="AI232">
        <v>-12804.05</v>
      </c>
      <c r="AJ232">
        <v>50.44</v>
      </c>
      <c r="AL232" t="s">
        <v>383</v>
      </c>
      <c r="AM232">
        <v>769</v>
      </c>
      <c r="AN232">
        <v>1</v>
      </c>
      <c r="AO232">
        <v>0</v>
      </c>
      <c r="AP232" t="s">
        <v>245</v>
      </c>
      <c r="AQ232" t="s">
        <v>404</v>
      </c>
    </row>
    <row r="233" spans="1:43" x14ac:dyDescent="0.2">
      <c r="A233" t="s">
        <v>374</v>
      </c>
      <c r="B233">
        <v>763</v>
      </c>
      <c r="C233">
        <v>1</v>
      </c>
      <c r="D233">
        <v>6669.38</v>
      </c>
      <c r="E233">
        <v>6669.38</v>
      </c>
      <c r="F233" t="s">
        <v>383</v>
      </c>
      <c r="G233">
        <v>775</v>
      </c>
      <c r="H233">
        <v>1</v>
      </c>
      <c r="I233">
        <v>7792.68</v>
      </c>
      <c r="J233">
        <v>7792.68</v>
      </c>
      <c r="L233" t="s">
        <v>374</v>
      </c>
      <c r="M233">
        <v>564</v>
      </c>
      <c r="N233">
        <v>1</v>
      </c>
      <c r="O233">
        <v>4</v>
      </c>
      <c r="P233">
        <v>582</v>
      </c>
      <c r="Q233">
        <v>344</v>
      </c>
      <c r="R233">
        <v>430</v>
      </c>
      <c r="S233">
        <v>2621.1</v>
      </c>
      <c r="U233" t="s">
        <v>374</v>
      </c>
      <c r="V233">
        <v>547</v>
      </c>
      <c r="W233">
        <v>1</v>
      </c>
      <c r="X233">
        <v>4</v>
      </c>
      <c r="Y233">
        <v>582</v>
      </c>
      <c r="Z233">
        <v>344</v>
      </c>
      <c r="AA233">
        <v>5.19</v>
      </c>
      <c r="AB233">
        <v>300</v>
      </c>
      <c r="AC233">
        <v>248</v>
      </c>
      <c r="AE233" t="s">
        <v>383</v>
      </c>
      <c r="AF233">
        <v>775</v>
      </c>
      <c r="AG233">
        <v>1</v>
      </c>
      <c r="AH233">
        <v>-11286.54</v>
      </c>
      <c r="AI233">
        <v>-12126.33</v>
      </c>
      <c r="AJ233">
        <v>-16583.09</v>
      </c>
      <c r="AL233" t="s">
        <v>383</v>
      </c>
      <c r="AM233">
        <v>771</v>
      </c>
      <c r="AN233">
        <v>1</v>
      </c>
      <c r="AO233">
        <v>0</v>
      </c>
      <c r="AP233" t="s">
        <v>246</v>
      </c>
      <c r="AQ233" t="s">
        <v>404</v>
      </c>
    </row>
    <row r="234" spans="1:43" x14ac:dyDescent="0.2">
      <c r="A234" t="s">
        <v>374</v>
      </c>
      <c r="B234">
        <v>768</v>
      </c>
      <c r="C234">
        <v>1</v>
      </c>
      <c r="D234">
        <v>2982.8</v>
      </c>
      <c r="E234">
        <v>2764.77</v>
      </c>
      <c r="F234" t="s">
        <v>383</v>
      </c>
      <c r="G234">
        <v>777</v>
      </c>
      <c r="H234">
        <v>1</v>
      </c>
      <c r="I234">
        <v>9663.33</v>
      </c>
      <c r="J234">
        <v>9663.33</v>
      </c>
      <c r="L234" t="s">
        <v>374</v>
      </c>
      <c r="M234">
        <v>581</v>
      </c>
      <c r="N234">
        <v>1</v>
      </c>
      <c r="O234">
        <v>4</v>
      </c>
      <c r="P234">
        <v>582</v>
      </c>
      <c r="Q234">
        <v>344</v>
      </c>
      <c r="R234">
        <v>430</v>
      </c>
      <c r="S234">
        <v>550.46</v>
      </c>
      <c r="U234" t="s">
        <v>374</v>
      </c>
      <c r="V234">
        <v>548</v>
      </c>
      <c r="W234">
        <v>1</v>
      </c>
      <c r="X234">
        <v>4</v>
      </c>
      <c r="Y234">
        <v>582</v>
      </c>
      <c r="Z234">
        <v>344</v>
      </c>
      <c r="AA234">
        <v>5.19</v>
      </c>
      <c r="AB234">
        <v>300</v>
      </c>
      <c r="AC234">
        <v>13604.12</v>
      </c>
      <c r="AE234" t="s">
        <v>383</v>
      </c>
      <c r="AF234">
        <v>777</v>
      </c>
      <c r="AG234">
        <v>1</v>
      </c>
      <c r="AH234">
        <v>1134.54</v>
      </c>
      <c r="AI234">
        <v>1889.32</v>
      </c>
      <c r="AJ234">
        <v>267.85000000000002</v>
      </c>
      <c r="AL234" t="s">
        <v>383</v>
      </c>
      <c r="AM234">
        <v>775</v>
      </c>
      <c r="AN234">
        <v>1</v>
      </c>
      <c r="AO234">
        <v>0</v>
      </c>
      <c r="AP234" t="s">
        <v>247</v>
      </c>
      <c r="AQ234" t="s">
        <v>404</v>
      </c>
    </row>
    <row r="235" spans="1:43" x14ac:dyDescent="0.2">
      <c r="A235" t="s">
        <v>374</v>
      </c>
      <c r="B235">
        <v>769</v>
      </c>
      <c r="C235">
        <v>1</v>
      </c>
      <c r="D235">
        <v>10882.93</v>
      </c>
      <c r="E235">
        <v>10882.93</v>
      </c>
      <c r="F235" t="s">
        <v>383</v>
      </c>
      <c r="G235">
        <v>786</v>
      </c>
      <c r="H235">
        <v>1</v>
      </c>
      <c r="I235">
        <v>8191.42</v>
      </c>
      <c r="J235">
        <v>8191.42</v>
      </c>
      <c r="L235" t="s">
        <v>374</v>
      </c>
      <c r="M235">
        <v>593</v>
      </c>
      <c r="N235">
        <v>1</v>
      </c>
      <c r="O235">
        <v>4</v>
      </c>
      <c r="P235">
        <v>582</v>
      </c>
      <c r="Q235">
        <v>344</v>
      </c>
      <c r="R235">
        <v>430</v>
      </c>
      <c r="S235">
        <v>46.5</v>
      </c>
      <c r="U235" t="s">
        <v>374</v>
      </c>
      <c r="V235">
        <v>550</v>
      </c>
      <c r="W235">
        <v>1</v>
      </c>
      <c r="X235">
        <v>4</v>
      </c>
      <c r="Y235">
        <v>582</v>
      </c>
      <c r="Z235">
        <v>344</v>
      </c>
      <c r="AA235">
        <v>5.19</v>
      </c>
      <c r="AB235">
        <v>300</v>
      </c>
      <c r="AC235">
        <v>6425.75</v>
      </c>
      <c r="AE235" t="s">
        <v>383</v>
      </c>
      <c r="AF235">
        <v>786</v>
      </c>
      <c r="AG235">
        <v>1</v>
      </c>
      <c r="AH235">
        <v>4723.41</v>
      </c>
      <c r="AI235">
        <v>3221.2</v>
      </c>
      <c r="AJ235">
        <v>841.83</v>
      </c>
      <c r="AL235" t="s">
        <v>383</v>
      </c>
      <c r="AM235">
        <v>777</v>
      </c>
      <c r="AN235">
        <v>1</v>
      </c>
      <c r="AO235">
        <v>0</v>
      </c>
      <c r="AP235" t="s">
        <v>248</v>
      </c>
      <c r="AQ235" t="s">
        <v>404</v>
      </c>
    </row>
    <row r="236" spans="1:43" x14ac:dyDescent="0.2">
      <c r="A236" t="s">
        <v>374</v>
      </c>
      <c r="B236">
        <v>771</v>
      </c>
      <c r="C236">
        <v>1</v>
      </c>
      <c r="D236">
        <v>2727.29</v>
      </c>
      <c r="E236">
        <v>2727.29</v>
      </c>
      <c r="F236" t="s">
        <v>383</v>
      </c>
      <c r="G236">
        <v>787</v>
      </c>
      <c r="H236">
        <v>1</v>
      </c>
      <c r="I236">
        <v>6558.14</v>
      </c>
      <c r="J236">
        <v>6558.14</v>
      </c>
      <c r="L236" t="s">
        <v>374</v>
      </c>
      <c r="M236">
        <v>599</v>
      </c>
      <c r="N236">
        <v>1</v>
      </c>
      <c r="O236">
        <v>4</v>
      </c>
      <c r="P236">
        <v>582</v>
      </c>
      <c r="Q236">
        <v>344</v>
      </c>
      <c r="R236">
        <v>430</v>
      </c>
      <c r="S236">
        <v>132.18</v>
      </c>
      <c r="U236" t="s">
        <v>374</v>
      </c>
      <c r="V236">
        <v>553</v>
      </c>
      <c r="W236">
        <v>1</v>
      </c>
      <c r="X236">
        <v>4</v>
      </c>
      <c r="Y236">
        <v>582</v>
      </c>
      <c r="Z236">
        <v>344</v>
      </c>
      <c r="AA236">
        <v>5.19</v>
      </c>
      <c r="AB236">
        <v>300</v>
      </c>
      <c r="AC236">
        <v>10673.85</v>
      </c>
      <c r="AE236" t="s">
        <v>383</v>
      </c>
      <c r="AF236">
        <v>787</v>
      </c>
      <c r="AG236">
        <v>1</v>
      </c>
      <c r="AH236">
        <v>402.81</v>
      </c>
      <c r="AI236">
        <v>1702.36</v>
      </c>
      <c r="AJ236">
        <v>1700.52</v>
      </c>
      <c r="AL236" t="s">
        <v>383</v>
      </c>
      <c r="AM236">
        <v>786</v>
      </c>
      <c r="AN236">
        <v>1</v>
      </c>
      <c r="AO236">
        <v>0</v>
      </c>
      <c r="AP236" t="s">
        <v>249</v>
      </c>
      <c r="AQ236" t="s">
        <v>404</v>
      </c>
    </row>
    <row r="237" spans="1:43" x14ac:dyDescent="0.2">
      <c r="A237" t="s">
        <v>374</v>
      </c>
      <c r="B237">
        <v>775</v>
      </c>
      <c r="C237">
        <v>1</v>
      </c>
      <c r="D237">
        <v>6632.62</v>
      </c>
      <c r="E237">
        <v>6632.62</v>
      </c>
      <c r="F237" t="s">
        <v>383</v>
      </c>
      <c r="G237">
        <v>801</v>
      </c>
      <c r="H237">
        <v>1</v>
      </c>
      <c r="I237">
        <v>1527.34</v>
      </c>
      <c r="J237">
        <v>1278.5899999999999</v>
      </c>
      <c r="L237" t="s">
        <v>374</v>
      </c>
      <c r="M237">
        <v>600</v>
      </c>
      <c r="N237">
        <v>1</v>
      </c>
      <c r="O237">
        <v>4</v>
      </c>
      <c r="P237">
        <v>582</v>
      </c>
      <c r="Q237">
        <v>344</v>
      </c>
      <c r="R237">
        <v>430</v>
      </c>
      <c r="S237">
        <v>1046.18</v>
      </c>
      <c r="U237" t="s">
        <v>374</v>
      </c>
      <c r="V237">
        <v>561</v>
      </c>
      <c r="W237">
        <v>1</v>
      </c>
      <c r="X237">
        <v>4</v>
      </c>
      <c r="Y237">
        <v>582</v>
      </c>
      <c r="Z237">
        <v>344</v>
      </c>
      <c r="AA237">
        <v>5.19</v>
      </c>
      <c r="AB237">
        <v>300</v>
      </c>
      <c r="AC237">
        <v>3280.63</v>
      </c>
      <c r="AE237" t="s">
        <v>383</v>
      </c>
      <c r="AF237">
        <v>801</v>
      </c>
      <c r="AG237">
        <v>1</v>
      </c>
      <c r="AH237">
        <v>818.48</v>
      </c>
      <c r="AI237">
        <v>1707.05</v>
      </c>
      <c r="AJ237">
        <v>-7.07</v>
      </c>
      <c r="AL237" t="s">
        <v>383</v>
      </c>
      <c r="AM237">
        <v>787</v>
      </c>
      <c r="AN237">
        <v>1</v>
      </c>
      <c r="AO237">
        <v>0</v>
      </c>
      <c r="AP237" t="s">
        <v>250</v>
      </c>
      <c r="AQ237" t="s">
        <v>404</v>
      </c>
    </row>
    <row r="238" spans="1:43" x14ac:dyDescent="0.2">
      <c r="A238" t="s">
        <v>374</v>
      </c>
      <c r="B238">
        <v>777</v>
      </c>
      <c r="C238">
        <v>1</v>
      </c>
      <c r="D238">
        <v>11379.24</v>
      </c>
      <c r="E238">
        <v>11379.24</v>
      </c>
      <c r="F238" t="s">
        <v>383</v>
      </c>
      <c r="G238">
        <v>803</v>
      </c>
      <c r="H238">
        <v>1</v>
      </c>
      <c r="I238">
        <v>4270.18</v>
      </c>
      <c r="J238">
        <v>4270.18</v>
      </c>
      <c r="L238" t="s">
        <v>374</v>
      </c>
      <c r="M238">
        <v>601</v>
      </c>
      <c r="N238">
        <v>1</v>
      </c>
      <c r="O238">
        <v>4</v>
      </c>
      <c r="P238">
        <v>582</v>
      </c>
      <c r="Q238">
        <v>344</v>
      </c>
      <c r="R238">
        <v>430</v>
      </c>
      <c r="S238">
        <v>80.599999999999994</v>
      </c>
      <c r="U238" t="s">
        <v>374</v>
      </c>
      <c r="V238">
        <v>564</v>
      </c>
      <c r="W238">
        <v>1</v>
      </c>
      <c r="X238">
        <v>4</v>
      </c>
      <c r="Y238">
        <v>582</v>
      </c>
      <c r="Z238">
        <v>344</v>
      </c>
      <c r="AA238">
        <v>5.19</v>
      </c>
      <c r="AB238">
        <v>300</v>
      </c>
      <c r="AC238">
        <v>28181.23</v>
      </c>
      <c r="AE238" t="s">
        <v>383</v>
      </c>
      <c r="AF238">
        <v>803</v>
      </c>
      <c r="AG238">
        <v>1</v>
      </c>
      <c r="AH238">
        <v>4064.3</v>
      </c>
      <c r="AI238">
        <v>1850.47</v>
      </c>
      <c r="AJ238">
        <v>1134.8699999999999</v>
      </c>
      <c r="AL238" t="s">
        <v>383</v>
      </c>
      <c r="AM238">
        <v>801</v>
      </c>
      <c r="AN238">
        <v>1</v>
      </c>
      <c r="AO238">
        <v>0</v>
      </c>
      <c r="AP238" t="s">
        <v>251</v>
      </c>
      <c r="AQ238" t="s">
        <v>404</v>
      </c>
    </row>
    <row r="239" spans="1:43" x14ac:dyDescent="0.2">
      <c r="A239" t="s">
        <v>374</v>
      </c>
      <c r="B239">
        <v>786</v>
      </c>
      <c r="C239">
        <v>1</v>
      </c>
      <c r="D239">
        <v>8428.7800000000007</v>
      </c>
      <c r="E239">
        <v>7348.17</v>
      </c>
      <c r="F239" t="s">
        <v>383</v>
      </c>
      <c r="G239">
        <v>811</v>
      </c>
      <c r="H239">
        <v>1</v>
      </c>
      <c r="I239">
        <v>8597.34</v>
      </c>
      <c r="J239">
        <v>8597.34</v>
      </c>
      <c r="L239" t="s">
        <v>374</v>
      </c>
      <c r="M239">
        <v>622</v>
      </c>
      <c r="N239">
        <v>1</v>
      </c>
      <c r="O239">
        <v>4</v>
      </c>
      <c r="P239">
        <v>582</v>
      </c>
      <c r="Q239">
        <v>344</v>
      </c>
      <c r="R239">
        <v>430</v>
      </c>
      <c r="S239">
        <v>2887.61</v>
      </c>
      <c r="U239" t="s">
        <v>374</v>
      </c>
      <c r="V239">
        <v>577</v>
      </c>
      <c r="W239">
        <v>1</v>
      </c>
      <c r="X239">
        <v>4</v>
      </c>
      <c r="Y239">
        <v>582</v>
      </c>
      <c r="Z239">
        <v>344</v>
      </c>
      <c r="AA239">
        <v>5.19</v>
      </c>
      <c r="AB239">
        <v>300</v>
      </c>
      <c r="AC239">
        <v>7256.5</v>
      </c>
      <c r="AE239" t="s">
        <v>383</v>
      </c>
      <c r="AF239">
        <v>811</v>
      </c>
      <c r="AG239">
        <v>1</v>
      </c>
      <c r="AH239">
        <v>2815.38</v>
      </c>
      <c r="AI239">
        <v>5484.28</v>
      </c>
      <c r="AJ239">
        <v>-1842.68</v>
      </c>
      <c r="AL239" t="s">
        <v>383</v>
      </c>
      <c r="AM239">
        <v>803</v>
      </c>
      <c r="AN239">
        <v>1</v>
      </c>
      <c r="AO239">
        <v>0</v>
      </c>
      <c r="AP239" t="s">
        <v>252</v>
      </c>
      <c r="AQ239" t="s">
        <v>404</v>
      </c>
    </row>
    <row r="240" spans="1:43" x14ac:dyDescent="0.2">
      <c r="A240" t="s">
        <v>374</v>
      </c>
      <c r="B240">
        <v>787</v>
      </c>
      <c r="C240">
        <v>1</v>
      </c>
      <c r="D240">
        <v>7715.68</v>
      </c>
      <c r="E240">
        <v>7715.68</v>
      </c>
      <c r="F240" t="s">
        <v>383</v>
      </c>
      <c r="G240">
        <v>813</v>
      </c>
      <c r="H240">
        <v>1</v>
      </c>
      <c r="I240">
        <v>14319.45</v>
      </c>
      <c r="J240">
        <v>14319.45</v>
      </c>
      <c r="L240" t="s">
        <v>374</v>
      </c>
      <c r="M240">
        <v>623</v>
      </c>
      <c r="N240">
        <v>1</v>
      </c>
      <c r="O240">
        <v>4</v>
      </c>
      <c r="P240">
        <v>582</v>
      </c>
      <c r="Q240">
        <v>344</v>
      </c>
      <c r="R240">
        <v>430</v>
      </c>
      <c r="S240">
        <v>2125.58</v>
      </c>
      <c r="U240" t="s">
        <v>374</v>
      </c>
      <c r="V240">
        <v>581</v>
      </c>
      <c r="W240">
        <v>1</v>
      </c>
      <c r="X240">
        <v>4</v>
      </c>
      <c r="Y240">
        <v>582</v>
      </c>
      <c r="Z240">
        <v>344</v>
      </c>
      <c r="AA240">
        <v>5.19</v>
      </c>
      <c r="AB240">
        <v>300</v>
      </c>
      <c r="AC240">
        <v>4768.68</v>
      </c>
      <c r="AE240" t="s">
        <v>383</v>
      </c>
      <c r="AF240">
        <v>813</v>
      </c>
      <c r="AG240">
        <v>1</v>
      </c>
      <c r="AH240">
        <v>3114.07</v>
      </c>
      <c r="AI240">
        <v>4978.1000000000004</v>
      </c>
      <c r="AJ240">
        <v>-1251.1300000000001</v>
      </c>
      <c r="AL240" t="s">
        <v>383</v>
      </c>
      <c r="AM240">
        <v>811</v>
      </c>
      <c r="AN240">
        <v>1</v>
      </c>
      <c r="AO240">
        <v>0</v>
      </c>
      <c r="AP240" t="s">
        <v>253</v>
      </c>
      <c r="AQ240" t="s">
        <v>404</v>
      </c>
    </row>
    <row r="241" spans="1:43" x14ac:dyDescent="0.2">
      <c r="A241" t="s">
        <v>374</v>
      </c>
      <c r="B241">
        <v>801</v>
      </c>
      <c r="C241">
        <v>1</v>
      </c>
      <c r="D241">
        <v>1538.09</v>
      </c>
      <c r="E241">
        <v>1317.64</v>
      </c>
      <c r="F241" t="s">
        <v>383</v>
      </c>
      <c r="G241">
        <v>818</v>
      </c>
      <c r="H241">
        <v>1</v>
      </c>
      <c r="I241">
        <v>6883.51</v>
      </c>
      <c r="J241">
        <v>6883.51</v>
      </c>
      <c r="L241" t="s">
        <v>374</v>
      </c>
      <c r="M241">
        <v>624</v>
      </c>
      <c r="N241">
        <v>1</v>
      </c>
      <c r="O241">
        <v>4</v>
      </c>
      <c r="P241">
        <v>582</v>
      </c>
      <c r="Q241">
        <v>344</v>
      </c>
      <c r="R241">
        <v>430</v>
      </c>
      <c r="S241">
        <v>491.78</v>
      </c>
      <c r="U241" t="s">
        <v>374</v>
      </c>
      <c r="V241">
        <v>592</v>
      </c>
      <c r="W241">
        <v>1</v>
      </c>
      <c r="X241">
        <v>4</v>
      </c>
      <c r="Y241">
        <v>582</v>
      </c>
      <c r="Z241">
        <v>344</v>
      </c>
      <c r="AA241">
        <v>5.19</v>
      </c>
      <c r="AB241">
        <v>300</v>
      </c>
      <c r="AC241">
        <v>2062.56</v>
      </c>
      <c r="AE241" t="s">
        <v>383</v>
      </c>
      <c r="AF241">
        <v>818</v>
      </c>
      <c r="AG241">
        <v>1</v>
      </c>
      <c r="AH241">
        <v>2610.64</v>
      </c>
      <c r="AI241">
        <v>515.14</v>
      </c>
      <c r="AJ241">
        <v>353.48</v>
      </c>
      <c r="AL241" t="s">
        <v>383</v>
      </c>
      <c r="AM241">
        <v>813</v>
      </c>
      <c r="AN241">
        <v>1</v>
      </c>
      <c r="AO241">
        <v>0</v>
      </c>
      <c r="AP241" t="s">
        <v>254</v>
      </c>
      <c r="AQ241" t="s">
        <v>404</v>
      </c>
    </row>
    <row r="242" spans="1:43" x14ac:dyDescent="0.2">
      <c r="A242" t="s">
        <v>374</v>
      </c>
      <c r="B242">
        <v>803</v>
      </c>
      <c r="C242">
        <v>1</v>
      </c>
      <c r="D242">
        <v>4235.96</v>
      </c>
      <c r="E242">
        <v>4235.96</v>
      </c>
      <c r="F242" t="s">
        <v>383</v>
      </c>
      <c r="G242">
        <v>820</v>
      </c>
      <c r="H242">
        <v>1</v>
      </c>
      <c r="I242">
        <v>7868.57</v>
      </c>
      <c r="J242">
        <v>7868.57</v>
      </c>
      <c r="L242" t="s">
        <v>374</v>
      </c>
      <c r="M242">
        <v>625</v>
      </c>
      <c r="N242">
        <v>1</v>
      </c>
      <c r="O242">
        <v>4</v>
      </c>
      <c r="P242">
        <v>582</v>
      </c>
      <c r="Q242">
        <v>344</v>
      </c>
      <c r="R242">
        <v>430</v>
      </c>
      <c r="S242">
        <v>3362.47</v>
      </c>
      <c r="U242" t="s">
        <v>374</v>
      </c>
      <c r="V242">
        <v>593</v>
      </c>
      <c r="W242">
        <v>1</v>
      </c>
      <c r="X242">
        <v>4</v>
      </c>
      <c r="Y242">
        <v>582</v>
      </c>
      <c r="Z242">
        <v>344</v>
      </c>
      <c r="AA242">
        <v>5.05</v>
      </c>
      <c r="AB242">
        <v>300</v>
      </c>
      <c r="AC242">
        <v>19363.189999999999</v>
      </c>
      <c r="AE242" t="s">
        <v>383</v>
      </c>
      <c r="AF242">
        <v>820</v>
      </c>
      <c r="AG242">
        <v>1</v>
      </c>
      <c r="AH242">
        <v>1881.66</v>
      </c>
      <c r="AI242">
        <v>0</v>
      </c>
      <c r="AJ242">
        <v>0</v>
      </c>
      <c r="AL242" t="s">
        <v>383</v>
      </c>
      <c r="AM242">
        <v>815</v>
      </c>
      <c r="AN242">
        <v>2</v>
      </c>
      <c r="AO242">
        <v>0</v>
      </c>
      <c r="AP242" t="s">
        <v>255</v>
      </c>
      <c r="AQ242" t="s">
        <v>404</v>
      </c>
    </row>
    <row r="243" spans="1:43" x14ac:dyDescent="0.2">
      <c r="A243" t="s">
        <v>374</v>
      </c>
      <c r="B243">
        <v>811</v>
      </c>
      <c r="C243">
        <v>1</v>
      </c>
      <c r="D243">
        <v>7001</v>
      </c>
      <c r="E243">
        <v>7001</v>
      </c>
      <c r="F243" t="s">
        <v>383</v>
      </c>
      <c r="G243">
        <v>821</v>
      </c>
      <c r="H243">
        <v>1</v>
      </c>
      <c r="I243">
        <v>12286.71</v>
      </c>
      <c r="J243">
        <v>10895.7</v>
      </c>
      <c r="L243" t="s">
        <v>374</v>
      </c>
      <c r="M243">
        <v>628</v>
      </c>
      <c r="N243">
        <v>1</v>
      </c>
      <c r="O243">
        <v>4</v>
      </c>
      <c r="P243">
        <v>582</v>
      </c>
      <c r="Q243">
        <v>344</v>
      </c>
      <c r="R243">
        <v>430</v>
      </c>
      <c r="S243">
        <v>26.27</v>
      </c>
      <c r="U243" t="s">
        <v>374</v>
      </c>
      <c r="V243">
        <v>599</v>
      </c>
      <c r="W243">
        <v>1</v>
      </c>
      <c r="X243">
        <v>4</v>
      </c>
      <c r="Y243">
        <v>582</v>
      </c>
      <c r="Z243">
        <v>344</v>
      </c>
      <c r="AA243">
        <v>5.19</v>
      </c>
      <c r="AB243">
        <v>300</v>
      </c>
      <c r="AC243">
        <v>6645.73</v>
      </c>
      <c r="AE243" t="s">
        <v>383</v>
      </c>
      <c r="AF243">
        <v>821</v>
      </c>
      <c r="AG243">
        <v>1</v>
      </c>
      <c r="AH243">
        <v>5271.95</v>
      </c>
      <c r="AI243">
        <v>6435.83</v>
      </c>
      <c r="AJ243">
        <v>6434.89</v>
      </c>
      <c r="AL243" t="s">
        <v>383</v>
      </c>
      <c r="AM243">
        <v>818</v>
      </c>
      <c r="AN243">
        <v>1</v>
      </c>
      <c r="AO243">
        <v>0</v>
      </c>
      <c r="AP243" t="s">
        <v>256</v>
      </c>
      <c r="AQ243" t="s">
        <v>404</v>
      </c>
    </row>
    <row r="244" spans="1:43" x14ac:dyDescent="0.2">
      <c r="A244" t="s">
        <v>374</v>
      </c>
      <c r="B244">
        <v>813</v>
      </c>
      <c r="C244">
        <v>1</v>
      </c>
      <c r="D244">
        <v>13484.24</v>
      </c>
      <c r="E244">
        <v>12876.25</v>
      </c>
      <c r="F244" t="s">
        <v>383</v>
      </c>
      <c r="G244">
        <v>829</v>
      </c>
      <c r="H244">
        <v>1</v>
      </c>
      <c r="I244">
        <v>25826.02</v>
      </c>
      <c r="J244">
        <v>25826.02</v>
      </c>
      <c r="L244" t="s">
        <v>374</v>
      </c>
      <c r="M244">
        <v>630</v>
      </c>
      <c r="N244">
        <v>1</v>
      </c>
      <c r="O244">
        <v>4</v>
      </c>
      <c r="P244">
        <v>582</v>
      </c>
      <c r="Q244">
        <v>344</v>
      </c>
      <c r="R244">
        <v>430</v>
      </c>
      <c r="S244">
        <v>322.01</v>
      </c>
      <c r="U244" t="s">
        <v>374</v>
      </c>
      <c r="V244">
        <v>600</v>
      </c>
      <c r="W244">
        <v>1</v>
      </c>
      <c r="X244">
        <v>4</v>
      </c>
      <c r="Y244">
        <v>582</v>
      </c>
      <c r="Z244">
        <v>344</v>
      </c>
      <c r="AA244">
        <v>5.19</v>
      </c>
      <c r="AB244">
        <v>300</v>
      </c>
      <c r="AC244">
        <v>2588.9899999999998</v>
      </c>
      <c r="AE244" t="s">
        <v>383</v>
      </c>
      <c r="AF244">
        <v>829</v>
      </c>
      <c r="AG244">
        <v>1</v>
      </c>
      <c r="AH244">
        <v>6556.64</v>
      </c>
      <c r="AI244">
        <v>5739.35</v>
      </c>
      <c r="AJ244">
        <v>1779.44</v>
      </c>
      <c r="AL244" t="s">
        <v>383</v>
      </c>
      <c r="AM244">
        <v>820</v>
      </c>
      <c r="AN244">
        <v>1</v>
      </c>
      <c r="AO244">
        <v>0</v>
      </c>
      <c r="AP244" t="s">
        <v>257</v>
      </c>
      <c r="AQ244" t="s">
        <v>404</v>
      </c>
    </row>
    <row r="245" spans="1:43" x14ac:dyDescent="0.2">
      <c r="A245" t="s">
        <v>374</v>
      </c>
      <c r="B245">
        <v>818</v>
      </c>
      <c r="C245">
        <v>1</v>
      </c>
      <c r="D245">
        <v>5732.5</v>
      </c>
      <c r="E245">
        <v>5732.5</v>
      </c>
      <c r="F245" t="s">
        <v>383</v>
      </c>
      <c r="G245">
        <v>831</v>
      </c>
      <c r="H245">
        <v>1</v>
      </c>
      <c r="I245">
        <v>72312</v>
      </c>
      <c r="J245">
        <v>72312</v>
      </c>
      <c r="L245" t="s">
        <v>374</v>
      </c>
      <c r="M245">
        <v>635</v>
      </c>
      <c r="N245">
        <v>1</v>
      </c>
      <c r="O245">
        <v>4</v>
      </c>
      <c r="P245">
        <v>582</v>
      </c>
      <c r="Q245">
        <v>344</v>
      </c>
      <c r="R245">
        <v>430</v>
      </c>
      <c r="S245">
        <v>65.349999999999994</v>
      </c>
      <c r="U245" t="s">
        <v>374</v>
      </c>
      <c r="V245">
        <v>601</v>
      </c>
      <c r="W245">
        <v>1</v>
      </c>
      <c r="X245">
        <v>4</v>
      </c>
      <c r="Y245">
        <v>582</v>
      </c>
      <c r="Z245">
        <v>344</v>
      </c>
      <c r="AA245">
        <v>5.19</v>
      </c>
      <c r="AB245">
        <v>300</v>
      </c>
      <c r="AC245">
        <v>9699.84</v>
      </c>
      <c r="AE245" t="s">
        <v>383</v>
      </c>
      <c r="AF245">
        <v>831</v>
      </c>
      <c r="AG245">
        <v>1</v>
      </c>
      <c r="AH245">
        <v>20822.46</v>
      </c>
      <c r="AI245">
        <v>41370.92</v>
      </c>
      <c r="AJ245">
        <v>32994.5</v>
      </c>
      <c r="AL245" t="s">
        <v>383</v>
      </c>
      <c r="AM245">
        <v>821</v>
      </c>
      <c r="AN245">
        <v>1</v>
      </c>
      <c r="AO245">
        <v>0</v>
      </c>
      <c r="AP245" t="s">
        <v>258</v>
      </c>
      <c r="AQ245" t="s">
        <v>404</v>
      </c>
    </row>
    <row r="246" spans="1:43" x14ac:dyDescent="0.2">
      <c r="A246" t="s">
        <v>374</v>
      </c>
      <c r="B246">
        <v>820</v>
      </c>
      <c r="C246">
        <v>1</v>
      </c>
      <c r="D246">
        <v>8341.16</v>
      </c>
      <c r="E246">
        <v>8341.16</v>
      </c>
      <c r="F246" t="s">
        <v>383</v>
      </c>
      <c r="G246">
        <v>832</v>
      </c>
      <c r="H246">
        <v>1</v>
      </c>
      <c r="I246">
        <v>17579.66</v>
      </c>
      <c r="J246">
        <v>17579.66</v>
      </c>
      <c r="L246" t="s">
        <v>374</v>
      </c>
      <c r="M246">
        <v>656</v>
      </c>
      <c r="N246">
        <v>1</v>
      </c>
      <c r="O246">
        <v>4</v>
      </c>
      <c r="P246">
        <v>582</v>
      </c>
      <c r="Q246">
        <v>344</v>
      </c>
      <c r="R246">
        <v>430</v>
      </c>
      <c r="S246">
        <v>158.56</v>
      </c>
      <c r="U246" t="s">
        <v>374</v>
      </c>
      <c r="V246">
        <v>611</v>
      </c>
      <c r="W246">
        <v>1</v>
      </c>
      <c r="X246">
        <v>4</v>
      </c>
      <c r="Y246">
        <v>582</v>
      </c>
      <c r="Z246">
        <v>344</v>
      </c>
      <c r="AA246">
        <v>5.19</v>
      </c>
      <c r="AB246">
        <v>300</v>
      </c>
      <c r="AC246">
        <v>736.93</v>
      </c>
      <c r="AE246" t="s">
        <v>383</v>
      </c>
      <c r="AF246">
        <v>832</v>
      </c>
      <c r="AG246">
        <v>1</v>
      </c>
      <c r="AH246">
        <v>2298.31</v>
      </c>
      <c r="AI246">
        <v>3468.62</v>
      </c>
      <c r="AJ246">
        <v>5050.1899999999996</v>
      </c>
      <c r="AL246" t="s">
        <v>383</v>
      </c>
      <c r="AM246">
        <v>829</v>
      </c>
      <c r="AN246">
        <v>1</v>
      </c>
      <c r="AO246">
        <v>0</v>
      </c>
      <c r="AP246" t="s">
        <v>259</v>
      </c>
      <c r="AQ246" t="s">
        <v>404</v>
      </c>
    </row>
    <row r="247" spans="1:43" x14ac:dyDescent="0.2">
      <c r="A247" t="s">
        <v>374</v>
      </c>
      <c r="B247">
        <v>821</v>
      </c>
      <c r="C247">
        <v>1</v>
      </c>
      <c r="D247">
        <v>11211.71</v>
      </c>
      <c r="E247">
        <v>11211.71</v>
      </c>
      <c r="F247" t="s">
        <v>383</v>
      </c>
      <c r="G247">
        <v>833</v>
      </c>
      <c r="H247">
        <v>1</v>
      </c>
      <c r="I247">
        <v>159590.79</v>
      </c>
      <c r="J247">
        <v>159590.79</v>
      </c>
      <c r="L247" t="s">
        <v>374</v>
      </c>
      <c r="M247">
        <v>659</v>
      </c>
      <c r="N247">
        <v>1</v>
      </c>
      <c r="O247">
        <v>4</v>
      </c>
      <c r="P247">
        <v>582</v>
      </c>
      <c r="Q247">
        <v>344</v>
      </c>
      <c r="R247">
        <v>430</v>
      </c>
      <c r="S247">
        <v>363.38</v>
      </c>
      <c r="U247" t="s">
        <v>374</v>
      </c>
      <c r="V247">
        <v>621</v>
      </c>
      <c r="W247">
        <v>1</v>
      </c>
      <c r="X247">
        <v>4</v>
      </c>
      <c r="Y247">
        <v>582</v>
      </c>
      <c r="Z247">
        <v>344</v>
      </c>
      <c r="AA247">
        <v>5.19</v>
      </c>
      <c r="AB247">
        <v>300</v>
      </c>
      <c r="AC247">
        <v>101082.56</v>
      </c>
      <c r="AE247" t="s">
        <v>383</v>
      </c>
      <c r="AF247">
        <v>833</v>
      </c>
      <c r="AG247">
        <v>1</v>
      </c>
      <c r="AH247">
        <v>10023.94</v>
      </c>
      <c r="AI247">
        <v>3524.01</v>
      </c>
      <c r="AJ247">
        <v>-29692.77</v>
      </c>
      <c r="AL247" t="s">
        <v>383</v>
      </c>
      <c r="AM247">
        <v>831</v>
      </c>
      <c r="AN247">
        <v>1</v>
      </c>
      <c r="AO247">
        <v>0</v>
      </c>
      <c r="AP247" t="s">
        <v>260</v>
      </c>
      <c r="AQ247" t="s">
        <v>404</v>
      </c>
    </row>
    <row r="248" spans="1:43" x14ac:dyDescent="0.2">
      <c r="A248" t="s">
        <v>374</v>
      </c>
      <c r="B248">
        <v>829</v>
      </c>
      <c r="C248">
        <v>1</v>
      </c>
      <c r="D248">
        <v>26120.45</v>
      </c>
      <c r="E248">
        <v>26120.45</v>
      </c>
      <c r="F248" t="s">
        <v>383</v>
      </c>
      <c r="G248">
        <v>834</v>
      </c>
      <c r="H248">
        <v>1</v>
      </c>
      <c r="I248">
        <v>74270.02</v>
      </c>
      <c r="J248">
        <v>74270.02</v>
      </c>
      <c r="L248" t="s">
        <v>374</v>
      </c>
      <c r="M248">
        <v>676</v>
      </c>
      <c r="N248">
        <v>1</v>
      </c>
      <c r="O248">
        <v>4</v>
      </c>
      <c r="P248">
        <v>582</v>
      </c>
      <c r="Q248">
        <v>344</v>
      </c>
      <c r="R248">
        <v>430</v>
      </c>
      <c r="S248">
        <v>296.47000000000003</v>
      </c>
      <c r="U248" t="s">
        <v>374</v>
      </c>
      <c r="V248">
        <v>622</v>
      </c>
      <c r="W248">
        <v>1</v>
      </c>
      <c r="X248">
        <v>4</v>
      </c>
      <c r="Y248">
        <v>582</v>
      </c>
      <c r="Z248">
        <v>344</v>
      </c>
      <c r="AA248">
        <v>5.19</v>
      </c>
      <c r="AB248">
        <v>300</v>
      </c>
      <c r="AC248">
        <v>135602.45000000001</v>
      </c>
      <c r="AE248" t="s">
        <v>383</v>
      </c>
      <c r="AF248">
        <v>834</v>
      </c>
      <c r="AG248">
        <v>1</v>
      </c>
      <c r="AH248">
        <v>6583.89</v>
      </c>
      <c r="AI248">
        <v>0</v>
      </c>
      <c r="AJ248">
        <v>0</v>
      </c>
      <c r="AL248" t="s">
        <v>383</v>
      </c>
      <c r="AM248">
        <v>832</v>
      </c>
      <c r="AN248">
        <v>1</v>
      </c>
      <c r="AO248">
        <v>0</v>
      </c>
      <c r="AP248" t="s">
        <v>261</v>
      </c>
      <c r="AQ248" t="s">
        <v>404</v>
      </c>
    </row>
    <row r="249" spans="1:43" x14ac:dyDescent="0.2">
      <c r="A249" t="s">
        <v>374</v>
      </c>
      <c r="B249">
        <v>831</v>
      </c>
      <c r="C249">
        <v>1</v>
      </c>
      <c r="D249">
        <v>72167.12</v>
      </c>
      <c r="E249">
        <v>72167.12</v>
      </c>
      <c r="F249" t="s">
        <v>383</v>
      </c>
      <c r="G249">
        <v>836</v>
      </c>
      <c r="H249">
        <v>1</v>
      </c>
      <c r="I249">
        <v>3548.95</v>
      </c>
      <c r="J249">
        <v>3548.95</v>
      </c>
      <c r="L249" t="s">
        <v>374</v>
      </c>
      <c r="M249">
        <v>682</v>
      </c>
      <c r="N249">
        <v>1</v>
      </c>
      <c r="O249">
        <v>4</v>
      </c>
      <c r="P249">
        <v>582</v>
      </c>
      <c r="Q249">
        <v>344</v>
      </c>
      <c r="R249">
        <v>430</v>
      </c>
      <c r="S249">
        <v>9839.82</v>
      </c>
      <c r="U249" t="s">
        <v>374</v>
      </c>
      <c r="V249">
        <v>623</v>
      </c>
      <c r="W249">
        <v>1</v>
      </c>
      <c r="X249">
        <v>4</v>
      </c>
      <c r="Y249">
        <v>582</v>
      </c>
      <c r="Z249">
        <v>344</v>
      </c>
      <c r="AA249">
        <v>5.19</v>
      </c>
      <c r="AB249">
        <v>300</v>
      </c>
      <c r="AC249">
        <v>77689.89</v>
      </c>
      <c r="AE249" t="s">
        <v>383</v>
      </c>
      <c r="AF249">
        <v>836</v>
      </c>
      <c r="AG249">
        <v>1</v>
      </c>
      <c r="AH249">
        <v>699.67</v>
      </c>
      <c r="AI249">
        <v>856.59</v>
      </c>
      <c r="AJ249">
        <v>500.05</v>
      </c>
      <c r="AL249" t="s">
        <v>383</v>
      </c>
      <c r="AM249">
        <v>833</v>
      </c>
      <c r="AN249">
        <v>1</v>
      </c>
      <c r="AO249">
        <v>0</v>
      </c>
      <c r="AP249" t="s">
        <v>262</v>
      </c>
      <c r="AQ249" t="s">
        <v>404</v>
      </c>
    </row>
    <row r="250" spans="1:43" x14ac:dyDescent="0.2">
      <c r="A250" t="s">
        <v>374</v>
      </c>
      <c r="B250">
        <v>832</v>
      </c>
      <c r="C250">
        <v>1</v>
      </c>
      <c r="D250">
        <v>17383.099999999999</v>
      </c>
      <c r="E250">
        <v>17383.099999999999</v>
      </c>
      <c r="F250" t="s">
        <v>383</v>
      </c>
      <c r="G250">
        <v>837</v>
      </c>
      <c r="H250">
        <v>1</v>
      </c>
      <c r="I250">
        <v>8130.49</v>
      </c>
      <c r="J250">
        <v>8130.49</v>
      </c>
      <c r="L250" t="s">
        <v>374</v>
      </c>
      <c r="M250">
        <v>695</v>
      </c>
      <c r="N250">
        <v>1</v>
      </c>
      <c r="O250">
        <v>4</v>
      </c>
      <c r="P250">
        <v>582</v>
      </c>
      <c r="Q250">
        <v>344</v>
      </c>
      <c r="R250">
        <v>430</v>
      </c>
      <c r="S250">
        <v>6.63</v>
      </c>
      <c r="U250" t="s">
        <v>374</v>
      </c>
      <c r="V250">
        <v>624</v>
      </c>
      <c r="W250">
        <v>1</v>
      </c>
      <c r="X250">
        <v>4</v>
      </c>
      <c r="Y250">
        <v>582</v>
      </c>
      <c r="Z250">
        <v>344</v>
      </c>
      <c r="AA250">
        <v>5.19</v>
      </c>
      <c r="AB250">
        <v>300</v>
      </c>
      <c r="AC250">
        <v>85735.61</v>
      </c>
      <c r="AE250" t="s">
        <v>383</v>
      </c>
      <c r="AF250">
        <v>837</v>
      </c>
      <c r="AG250">
        <v>1</v>
      </c>
      <c r="AH250">
        <v>56.75</v>
      </c>
      <c r="AI250">
        <v>157.04</v>
      </c>
      <c r="AJ250">
        <v>884.81</v>
      </c>
      <c r="AL250" t="s">
        <v>383</v>
      </c>
      <c r="AM250">
        <v>834</v>
      </c>
      <c r="AN250">
        <v>1</v>
      </c>
      <c r="AO250">
        <v>0</v>
      </c>
      <c r="AP250" t="s">
        <v>263</v>
      </c>
      <c r="AQ250" t="s">
        <v>404</v>
      </c>
    </row>
    <row r="251" spans="1:43" x14ac:dyDescent="0.2">
      <c r="A251" t="s">
        <v>374</v>
      </c>
      <c r="B251">
        <v>833</v>
      </c>
      <c r="C251">
        <v>1</v>
      </c>
      <c r="D251">
        <v>152608.23000000001</v>
      </c>
      <c r="E251">
        <v>152608.23000000001</v>
      </c>
      <c r="F251" t="s">
        <v>383</v>
      </c>
      <c r="G251">
        <v>840</v>
      </c>
      <c r="H251">
        <v>1</v>
      </c>
      <c r="I251">
        <v>16624.29</v>
      </c>
      <c r="J251">
        <v>16624.29</v>
      </c>
      <c r="L251" t="s">
        <v>374</v>
      </c>
      <c r="M251">
        <v>696</v>
      </c>
      <c r="N251">
        <v>1</v>
      </c>
      <c r="O251">
        <v>4</v>
      </c>
      <c r="P251">
        <v>582</v>
      </c>
      <c r="Q251">
        <v>344</v>
      </c>
      <c r="R251">
        <v>430</v>
      </c>
      <c r="S251">
        <v>331.02</v>
      </c>
      <c r="U251" t="s">
        <v>374</v>
      </c>
      <c r="V251">
        <v>625</v>
      </c>
      <c r="W251">
        <v>1</v>
      </c>
      <c r="X251">
        <v>4</v>
      </c>
      <c r="Y251">
        <v>582</v>
      </c>
      <c r="Z251">
        <v>344</v>
      </c>
      <c r="AA251">
        <v>5.19</v>
      </c>
      <c r="AB251">
        <v>300</v>
      </c>
      <c r="AC251">
        <v>875132.07</v>
      </c>
      <c r="AE251" t="s">
        <v>383</v>
      </c>
      <c r="AF251">
        <v>840</v>
      </c>
      <c r="AG251">
        <v>1</v>
      </c>
      <c r="AH251">
        <v>3973.98</v>
      </c>
      <c r="AI251">
        <v>3996.49</v>
      </c>
      <c r="AJ251">
        <v>3721.29</v>
      </c>
      <c r="AL251" t="s">
        <v>383</v>
      </c>
      <c r="AM251">
        <v>836</v>
      </c>
      <c r="AN251">
        <v>1</v>
      </c>
      <c r="AO251">
        <v>0</v>
      </c>
      <c r="AP251" t="s">
        <v>264</v>
      </c>
      <c r="AQ251" t="s">
        <v>404</v>
      </c>
    </row>
    <row r="252" spans="1:43" x14ac:dyDescent="0.2">
      <c r="A252" t="s">
        <v>374</v>
      </c>
      <c r="B252">
        <v>834</v>
      </c>
      <c r="C252">
        <v>1</v>
      </c>
      <c r="D252">
        <v>73327.7</v>
      </c>
      <c r="E252">
        <v>73327.7</v>
      </c>
      <c r="F252" t="s">
        <v>383</v>
      </c>
      <c r="G252">
        <v>846</v>
      </c>
      <c r="H252">
        <v>1</v>
      </c>
      <c r="I252">
        <v>11015.3</v>
      </c>
      <c r="J252">
        <v>11015.3</v>
      </c>
      <c r="L252" t="s">
        <v>374</v>
      </c>
      <c r="M252">
        <v>701</v>
      </c>
      <c r="N252">
        <v>1</v>
      </c>
      <c r="O252">
        <v>4</v>
      </c>
      <c r="P252">
        <v>582</v>
      </c>
      <c r="Q252">
        <v>344</v>
      </c>
      <c r="R252">
        <v>430</v>
      </c>
      <c r="S252">
        <v>941.96</v>
      </c>
      <c r="U252" t="s">
        <v>374</v>
      </c>
      <c r="V252">
        <v>627</v>
      </c>
      <c r="W252">
        <v>1</v>
      </c>
      <c r="X252">
        <v>4</v>
      </c>
      <c r="Y252">
        <v>582</v>
      </c>
      <c r="Z252">
        <v>344</v>
      </c>
      <c r="AA252">
        <v>5.19</v>
      </c>
      <c r="AB252">
        <v>300</v>
      </c>
      <c r="AC252">
        <v>2919.8</v>
      </c>
      <c r="AE252" t="s">
        <v>383</v>
      </c>
      <c r="AF252">
        <v>846</v>
      </c>
      <c r="AG252">
        <v>1</v>
      </c>
      <c r="AH252">
        <v>-5</v>
      </c>
      <c r="AI252">
        <v>0</v>
      </c>
      <c r="AJ252">
        <v>0</v>
      </c>
      <c r="AL252" t="s">
        <v>383</v>
      </c>
      <c r="AM252">
        <v>837</v>
      </c>
      <c r="AN252">
        <v>1</v>
      </c>
      <c r="AO252">
        <v>0</v>
      </c>
      <c r="AP252" t="s">
        <v>265</v>
      </c>
      <c r="AQ252" t="s">
        <v>404</v>
      </c>
    </row>
    <row r="253" spans="1:43" x14ac:dyDescent="0.2">
      <c r="A253" t="s">
        <v>374</v>
      </c>
      <c r="B253">
        <v>836</v>
      </c>
      <c r="C253">
        <v>1</v>
      </c>
      <c r="D253">
        <v>3212.08</v>
      </c>
      <c r="E253">
        <v>3212.08</v>
      </c>
      <c r="F253" t="s">
        <v>383</v>
      </c>
      <c r="G253">
        <v>850</v>
      </c>
      <c r="H253">
        <v>1</v>
      </c>
      <c r="I253">
        <v>2432.44</v>
      </c>
      <c r="J253">
        <v>2432.44</v>
      </c>
      <c r="L253" t="s">
        <v>374</v>
      </c>
      <c r="M253">
        <v>706</v>
      </c>
      <c r="N253">
        <v>1</v>
      </c>
      <c r="O253">
        <v>4</v>
      </c>
      <c r="P253">
        <v>582</v>
      </c>
      <c r="Q253">
        <v>344</v>
      </c>
      <c r="R253">
        <v>430</v>
      </c>
      <c r="S253">
        <v>639.73</v>
      </c>
      <c r="U253" t="s">
        <v>374</v>
      </c>
      <c r="V253">
        <v>628</v>
      </c>
      <c r="W253">
        <v>1</v>
      </c>
      <c r="X253">
        <v>4</v>
      </c>
      <c r="Y253">
        <v>582</v>
      </c>
      <c r="Z253">
        <v>344</v>
      </c>
      <c r="AA253">
        <v>5.19</v>
      </c>
      <c r="AB253">
        <v>300</v>
      </c>
      <c r="AC253">
        <v>3029.71</v>
      </c>
      <c r="AE253" t="s">
        <v>383</v>
      </c>
      <c r="AF253">
        <v>850</v>
      </c>
      <c r="AG253">
        <v>1</v>
      </c>
      <c r="AH253">
        <v>1610.29</v>
      </c>
      <c r="AI253">
        <v>1905.1</v>
      </c>
      <c r="AJ253">
        <v>-0.81</v>
      </c>
      <c r="AL253" t="s">
        <v>383</v>
      </c>
      <c r="AM253">
        <v>840</v>
      </c>
      <c r="AN253">
        <v>1</v>
      </c>
      <c r="AO253">
        <v>0</v>
      </c>
      <c r="AP253" t="s">
        <v>266</v>
      </c>
      <c r="AQ253" t="s">
        <v>404</v>
      </c>
    </row>
    <row r="254" spans="1:43" x14ac:dyDescent="0.2">
      <c r="A254" t="s">
        <v>374</v>
      </c>
      <c r="B254">
        <v>837</v>
      </c>
      <c r="C254">
        <v>1</v>
      </c>
      <c r="D254">
        <v>7064.95</v>
      </c>
      <c r="E254">
        <v>7064.95</v>
      </c>
      <c r="F254" t="s">
        <v>383</v>
      </c>
      <c r="G254">
        <v>852</v>
      </c>
      <c r="H254">
        <v>1</v>
      </c>
      <c r="I254">
        <v>1818.71</v>
      </c>
      <c r="J254">
        <v>1818.71</v>
      </c>
      <c r="L254" t="s">
        <v>374</v>
      </c>
      <c r="M254">
        <v>709</v>
      </c>
      <c r="N254">
        <v>1</v>
      </c>
      <c r="O254">
        <v>4</v>
      </c>
      <c r="P254">
        <v>582</v>
      </c>
      <c r="Q254">
        <v>344</v>
      </c>
      <c r="R254">
        <v>430</v>
      </c>
      <c r="S254">
        <v>2553.9499999999998</v>
      </c>
      <c r="U254" t="s">
        <v>374</v>
      </c>
      <c r="V254">
        <v>635</v>
      </c>
      <c r="W254">
        <v>1</v>
      </c>
      <c r="X254">
        <v>4</v>
      </c>
      <c r="Y254">
        <v>582</v>
      </c>
      <c r="Z254">
        <v>344</v>
      </c>
      <c r="AA254">
        <v>5.19</v>
      </c>
      <c r="AB254">
        <v>300</v>
      </c>
      <c r="AC254">
        <v>1063.22</v>
      </c>
      <c r="AE254" t="s">
        <v>383</v>
      </c>
      <c r="AF254">
        <v>852</v>
      </c>
      <c r="AG254">
        <v>1</v>
      </c>
      <c r="AH254">
        <v>-81.680000000000007</v>
      </c>
      <c r="AI254">
        <v>-38.96</v>
      </c>
      <c r="AJ254">
        <v>0</v>
      </c>
      <c r="AL254" t="s">
        <v>383</v>
      </c>
      <c r="AM254">
        <v>846</v>
      </c>
      <c r="AN254">
        <v>1</v>
      </c>
      <c r="AO254">
        <v>0</v>
      </c>
      <c r="AP254" t="s">
        <v>267</v>
      </c>
      <c r="AQ254" t="s">
        <v>404</v>
      </c>
    </row>
    <row r="255" spans="1:43" x14ac:dyDescent="0.2">
      <c r="A255" t="s">
        <v>374</v>
      </c>
      <c r="B255">
        <v>840</v>
      </c>
      <c r="C255">
        <v>1</v>
      </c>
      <c r="D255">
        <v>17508.900000000001</v>
      </c>
      <c r="E255">
        <v>17508.900000000001</v>
      </c>
      <c r="F255" t="s">
        <v>383</v>
      </c>
      <c r="G255">
        <v>857</v>
      </c>
      <c r="H255">
        <v>1</v>
      </c>
      <c r="I255">
        <v>11910.95</v>
      </c>
      <c r="J255">
        <v>11910.95</v>
      </c>
      <c r="L255" t="s">
        <v>374</v>
      </c>
      <c r="M255">
        <v>712</v>
      </c>
      <c r="N255">
        <v>1</v>
      </c>
      <c r="O255">
        <v>4</v>
      </c>
      <c r="P255">
        <v>582</v>
      </c>
      <c r="Q255">
        <v>344</v>
      </c>
      <c r="R255">
        <v>430</v>
      </c>
      <c r="S255">
        <v>358</v>
      </c>
      <c r="U255" t="s">
        <v>374</v>
      </c>
      <c r="V255">
        <v>640</v>
      </c>
      <c r="W255">
        <v>1</v>
      </c>
      <c r="X255">
        <v>4</v>
      </c>
      <c r="Y255">
        <v>582</v>
      </c>
      <c r="Z255">
        <v>344</v>
      </c>
      <c r="AA255">
        <v>5.19</v>
      </c>
      <c r="AB255">
        <v>300</v>
      </c>
      <c r="AC255">
        <v>4621.1499999999996</v>
      </c>
      <c r="AE255" t="s">
        <v>383</v>
      </c>
      <c r="AF255">
        <v>857</v>
      </c>
      <c r="AG255">
        <v>1</v>
      </c>
      <c r="AH255">
        <v>-30252</v>
      </c>
      <c r="AI255">
        <v>-26990.47</v>
      </c>
      <c r="AJ255">
        <v>-30000</v>
      </c>
      <c r="AL255" t="s">
        <v>383</v>
      </c>
      <c r="AM255">
        <v>850</v>
      </c>
      <c r="AN255">
        <v>1</v>
      </c>
      <c r="AO255">
        <v>0</v>
      </c>
      <c r="AP255" t="s">
        <v>268</v>
      </c>
      <c r="AQ255" t="s">
        <v>404</v>
      </c>
    </row>
    <row r="256" spans="1:43" x14ac:dyDescent="0.2">
      <c r="A256" t="s">
        <v>374</v>
      </c>
      <c r="B256">
        <v>846</v>
      </c>
      <c r="C256">
        <v>1</v>
      </c>
      <c r="D256">
        <v>10212.719999999999</v>
      </c>
      <c r="E256">
        <v>10212.719999999999</v>
      </c>
      <c r="F256" t="s">
        <v>383</v>
      </c>
      <c r="G256">
        <v>858</v>
      </c>
      <c r="H256">
        <v>1</v>
      </c>
      <c r="I256">
        <v>12293.29</v>
      </c>
      <c r="J256">
        <v>10348.959999999999</v>
      </c>
      <c r="L256" t="s">
        <v>374</v>
      </c>
      <c r="M256">
        <v>716</v>
      </c>
      <c r="N256">
        <v>1</v>
      </c>
      <c r="O256">
        <v>4</v>
      </c>
      <c r="P256">
        <v>582</v>
      </c>
      <c r="Q256">
        <v>344</v>
      </c>
      <c r="R256">
        <v>430</v>
      </c>
      <c r="S256">
        <v>1387.32</v>
      </c>
      <c r="U256" t="s">
        <v>374</v>
      </c>
      <c r="V256">
        <v>656</v>
      </c>
      <c r="W256">
        <v>1</v>
      </c>
      <c r="X256">
        <v>4</v>
      </c>
      <c r="Y256">
        <v>582</v>
      </c>
      <c r="Z256">
        <v>344</v>
      </c>
      <c r="AA256">
        <v>5.19</v>
      </c>
      <c r="AB256">
        <v>300</v>
      </c>
      <c r="AC256">
        <v>59609.77</v>
      </c>
      <c r="AE256" t="s">
        <v>383</v>
      </c>
      <c r="AF256">
        <v>858</v>
      </c>
      <c r="AG256">
        <v>1</v>
      </c>
      <c r="AH256">
        <v>2469.56</v>
      </c>
      <c r="AI256">
        <v>8423.74</v>
      </c>
      <c r="AJ256">
        <v>8423.74</v>
      </c>
      <c r="AL256" t="s">
        <v>383</v>
      </c>
      <c r="AM256">
        <v>852</v>
      </c>
      <c r="AN256">
        <v>1</v>
      </c>
      <c r="AO256">
        <v>0</v>
      </c>
      <c r="AP256" t="s">
        <v>269</v>
      </c>
      <c r="AQ256" t="s">
        <v>404</v>
      </c>
    </row>
    <row r="257" spans="1:43" x14ac:dyDescent="0.2">
      <c r="A257" t="s">
        <v>374</v>
      </c>
      <c r="B257">
        <v>850</v>
      </c>
      <c r="C257">
        <v>1</v>
      </c>
      <c r="D257">
        <v>3016.37</v>
      </c>
      <c r="E257">
        <v>2263.2800000000002</v>
      </c>
      <c r="F257" t="s">
        <v>383</v>
      </c>
      <c r="G257">
        <v>861</v>
      </c>
      <c r="H257">
        <v>1</v>
      </c>
      <c r="I257">
        <v>51408.68</v>
      </c>
      <c r="J257">
        <v>51408.68</v>
      </c>
      <c r="L257" t="s">
        <v>374</v>
      </c>
      <c r="M257">
        <v>719</v>
      </c>
      <c r="N257">
        <v>1</v>
      </c>
      <c r="O257">
        <v>4</v>
      </c>
      <c r="P257">
        <v>582</v>
      </c>
      <c r="Q257">
        <v>344</v>
      </c>
      <c r="R257">
        <v>430</v>
      </c>
      <c r="S257">
        <v>8456.7999999999993</v>
      </c>
      <c r="U257" t="s">
        <v>374</v>
      </c>
      <c r="V257">
        <v>659</v>
      </c>
      <c r="W257">
        <v>1</v>
      </c>
      <c r="X257">
        <v>4</v>
      </c>
      <c r="Y257">
        <v>582</v>
      </c>
      <c r="Z257">
        <v>344</v>
      </c>
      <c r="AA257">
        <v>5.19</v>
      </c>
      <c r="AB257">
        <v>300</v>
      </c>
      <c r="AC257">
        <v>37554.01</v>
      </c>
      <c r="AE257" t="s">
        <v>383</v>
      </c>
      <c r="AF257">
        <v>861</v>
      </c>
      <c r="AG257">
        <v>1</v>
      </c>
      <c r="AH257">
        <v>2877.61</v>
      </c>
      <c r="AI257">
        <v>6811.02</v>
      </c>
      <c r="AJ257">
        <v>9313.34</v>
      </c>
      <c r="AL257" t="s">
        <v>383</v>
      </c>
      <c r="AM257">
        <v>857</v>
      </c>
      <c r="AN257">
        <v>1</v>
      </c>
      <c r="AO257">
        <v>0</v>
      </c>
      <c r="AP257" t="s">
        <v>270</v>
      </c>
      <c r="AQ257" t="s">
        <v>404</v>
      </c>
    </row>
    <row r="258" spans="1:43" x14ac:dyDescent="0.2">
      <c r="A258" t="s">
        <v>374</v>
      </c>
      <c r="B258">
        <v>852</v>
      </c>
      <c r="C258">
        <v>1</v>
      </c>
      <c r="D258">
        <v>2168.35</v>
      </c>
      <c r="E258">
        <v>2168.35</v>
      </c>
      <c r="F258" t="s">
        <v>383</v>
      </c>
      <c r="G258">
        <v>876</v>
      </c>
      <c r="H258">
        <v>1</v>
      </c>
      <c r="I258">
        <v>17307.689999999999</v>
      </c>
      <c r="J258">
        <v>17307.689999999999</v>
      </c>
      <c r="L258" t="s">
        <v>374</v>
      </c>
      <c r="M258">
        <v>720</v>
      </c>
      <c r="N258">
        <v>1</v>
      </c>
      <c r="O258">
        <v>4</v>
      </c>
      <c r="P258">
        <v>582</v>
      </c>
      <c r="Q258">
        <v>344</v>
      </c>
      <c r="R258">
        <v>430</v>
      </c>
      <c r="S258">
        <v>1248.3699999999999</v>
      </c>
      <c r="U258" t="s">
        <v>374</v>
      </c>
      <c r="V258">
        <v>671</v>
      </c>
      <c r="W258">
        <v>1</v>
      </c>
      <c r="X258">
        <v>4</v>
      </c>
      <c r="Y258">
        <v>582</v>
      </c>
      <c r="Z258">
        <v>344</v>
      </c>
      <c r="AA258">
        <v>5.19</v>
      </c>
      <c r="AB258">
        <v>300</v>
      </c>
      <c r="AC258">
        <v>2018.36</v>
      </c>
      <c r="AE258" t="s">
        <v>383</v>
      </c>
      <c r="AF258">
        <v>876</v>
      </c>
      <c r="AG258">
        <v>1</v>
      </c>
      <c r="AH258">
        <v>8407.49</v>
      </c>
      <c r="AI258">
        <v>16742.27</v>
      </c>
      <c r="AJ258">
        <v>23770.35</v>
      </c>
      <c r="AL258" t="s">
        <v>383</v>
      </c>
      <c r="AM258">
        <v>858</v>
      </c>
      <c r="AN258">
        <v>1</v>
      </c>
      <c r="AO258">
        <v>0</v>
      </c>
      <c r="AP258" t="s">
        <v>271</v>
      </c>
      <c r="AQ258" t="s">
        <v>404</v>
      </c>
    </row>
    <row r="259" spans="1:43" x14ac:dyDescent="0.2">
      <c r="A259" t="s">
        <v>374</v>
      </c>
      <c r="B259">
        <v>857</v>
      </c>
      <c r="C259">
        <v>1</v>
      </c>
      <c r="D259">
        <v>9675.2199999999993</v>
      </c>
      <c r="E259">
        <v>9675.2199999999993</v>
      </c>
      <c r="F259" t="s">
        <v>383</v>
      </c>
      <c r="G259">
        <v>877</v>
      </c>
      <c r="H259">
        <v>1</v>
      </c>
      <c r="I259">
        <v>70214.37</v>
      </c>
      <c r="J259">
        <v>70214.37</v>
      </c>
      <c r="L259" t="s">
        <v>374</v>
      </c>
      <c r="M259">
        <v>721</v>
      </c>
      <c r="N259">
        <v>1</v>
      </c>
      <c r="O259">
        <v>4</v>
      </c>
      <c r="P259">
        <v>582</v>
      </c>
      <c r="Q259">
        <v>344</v>
      </c>
      <c r="R259">
        <v>430</v>
      </c>
      <c r="S259">
        <v>1857.48</v>
      </c>
      <c r="U259" t="s">
        <v>374</v>
      </c>
      <c r="V259">
        <v>676</v>
      </c>
      <c r="W259">
        <v>1</v>
      </c>
      <c r="X259">
        <v>4</v>
      </c>
      <c r="Y259">
        <v>582</v>
      </c>
      <c r="Z259">
        <v>344</v>
      </c>
      <c r="AA259">
        <v>5.19</v>
      </c>
      <c r="AB259">
        <v>300</v>
      </c>
      <c r="AC259">
        <v>3865.99</v>
      </c>
      <c r="AE259" t="s">
        <v>383</v>
      </c>
      <c r="AF259">
        <v>877</v>
      </c>
      <c r="AG259">
        <v>1</v>
      </c>
      <c r="AH259">
        <v>11424.65</v>
      </c>
      <c r="AI259">
        <v>20552.849999999999</v>
      </c>
      <c r="AJ259">
        <v>44430.48</v>
      </c>
      <c r="AL259" t="s">
        <v>383</v>
      </c>
      <c r="AM259">
        <v>861</v>
      </c>
      <c r="AN259">
        <v>1</v>
      </c>
      <c r="AO259">
        <v>0</v>
      </c>
      <c r="AP259" t="s">
        <v>272</v>
      </c>
      <c r="AQ259" t="s">
        <v>404</v>
      </c>
    </row>
    <row r="260" spans="1:43" x14ac:dyDescent="0.2">
      <c r="A260" t="s">
        <v>374</v>
      </c>
      <c r="B260">
        <v>858</v>
      </c>
      <c r="C260">
        <v>1</v>
      </c>
      <c r="D260">
        <v>13320.51</v>
      </c>
      <c r="E260">
        <v>13320.51</v>
      </c>
      <c r="F260" t="s">
        <v>383</v>
      </c>
      <c r="G260">
        <v>879</v>
      </c>
      <c r="H260">
        <v>1</v>
      </c>
      <c r="I260">
        <v>18842.080000000002</v>
      </c>
      <c r="J260">
        <v>18842.080000000002</v>
      </c>
      <c r="L260" t="s">
        <v>374</v>
      </c>
      <c r="M260">
        <v>726</v>
      </c>
      <c r="N260">
        <v>1</v>
      </c>
      <c r="O260">
        <v>4</v>
      </c>
      <c r="P260">
        <v>582</v>
      </c>
      <c r="Q260">
        <v>344</v>
      </c>
      <c r="R260">
        <v>430</v>
      </c>
      <c r="S260">
        <v>3234.14</v>
      </c>
      <c r="U260" t="s">
        <v>374</v>
      </c>
      <c r="V260">
        <v>682</v>
      </c>
      <c r="W260">
        <v>1</v>
      </c>
      <c r="X260">
        <v>4</v>
      </c>
      <c r="Y260">
        <v>582</v>
      </c>
      <c r="Z260">
        <v>344</v>
      </c>
      <c r="AA260">
        <v>5.19</v>
      </c>
      <c r="AB260">
        <v>300</v>
      </c>
      <c r="AC260">
        <v>13612.17</v>
      </c>
      <c r="AE260" t="s">
        <v>383</v>
      </c>
      <c r="AF260">
        <v>879</v>
      </c>
      <c r="AG260">
        <v>1</v>
      </c>
      <c r="AH260">
        <v>-4553.91</v>
      </c>
      <c r="AI260">
        <v>-2405.52</v>
      </c>
      <c r="AJ260">
        <v>-1169.4100000000001</v>
      </c>
      <c r="AL260" t="s">
        <v>383</v>
      </c>
      <c r="AM260">
        <v>876</v>
      </c>
      <c r="AN260">
        <v>1</v>
      </c>
      <c r="AO260">
        <v>0</v>
      </c>
      <c r="AP260" t="s">
        <v>273</v>
      </c>
      <c r="AQ260" t="s">
        <v>404</v>
      </c>
    </row>
    <row r="261" spans="1:43" x14ac:dyDescent="0.2">
      <c r="A261" t="s">
        <v>374</v>
      </c>
      <c r="B261">
        <v>861</v>
      </c>
      <c r="C261">
        <v>1</v>
      </c>
      <c r="D261">
        <v>50999.97</v>
      </c>
      <c r="E261">
        <v>50999.97</v>
      </c>
      <c r="F261" t="s">
        <v>383</v>
      </c>
      <c r="G261">
        <v>881</v>
      </c>
      <c r="H261">
        <v>1</v>
      </c>
      <c r="I261">
        <v>9386.57</v>
      </c>
      <c r="J261">
        <v>9386.57</v>
      </c>
      <c r="L261" t="s">
        <v>374</v>
      </c>
      <c r="M261">
        <v>727</v>
      </c>
      <c r="N261">
        <v>1</v>
      </c>
      <c r="O261">
        <v>4</v>
      </c>
      <c r="P261">
        <v>582</v>
      </c>
      <c r="Q261">
        <v>344</v>
      </c>
      <c r="R261">
        <v>430</v>
      </c>
      <c r="S261">
        <v>2715.68</v>
      </c>
      <c r="U261" t="s">
        <v>374</v>
      </c>
      <c r="V261">
        <v>690</v>
      </c>
      <c r="W261">
        <v>1</v>
      </c>
      <c r="X261">
        <v>4</v>
      </c>
      <c r="Y261">
        <v>582</v>
      </c>
      <c r="Z261">
        <v>344</v>
      </c>
      <c r="AA261">
        <v>5.19</v>
      </c>
      <c r="AB261">
        <v>300</v>
      </c>
      <c r="AC261">
        <v>14607.62</v>
      </c>
      <c r="AE261" t="s">
        <v>383</v>
      </c>
      <c r="AF261">
        <v>881</v>
      </c>
      <c r="AG261">
        <v>1</v>
      </c>
      <c r="AH261">
        <v>0</v>
      </c>
      <c r="AI261">
        <v>0</v>
      </c>
      <c r="AJ261">
        <v>0</v>
      </c>
      <c r="AL261" t="s">
        <v>383</v>
      </c>
      <c r="AM261">
        <v>877</v>
      </c>
      <c r="AN261">
        <v>1</v>
      </c>
      <c r="AO261">
        <v>0</v>
      </c>
      <c r="AP261" t="s">
        <v>274</v>
      </c>
      <c r="AQ261" t="s">
        <v>404</v>
      </c>
    </row>
    <row r="262" spans="1:43" x14ac:dyDescent="0.2">
      <c r="A262" t="s">
        <v>374</v>
      </c>
      <c r="B262">
        <v>876</v>
      </c>
      <c r="C262">
        <v>1</v>
      </c>
      <c r="D262">
        <v>18026.21</v>
      </c>
      <c r="E262">
        <v>18026.21</v>
      </c>
      <c r="F262" t="s">
        <v>383</v>
      </c>
      <c r="G262">
        <v>882</v>
      </c>
      <c r="H262">
        <v>1</v>
      </c>
      <c r="I262">
        <v>38376.199999999997</v>
      </c>
      <c r="J262">
        <v>38376.199999999997</v>
      </c>
      <c r="L262" t="s">
        <v>374</v>
      </c>
      <c r="M262">
        <v>728</v>
      </c>
      <c r="N262">
        <v>1</v>
      </c>
      <c r="O262">
        <v>4</v>
      </c>
      <c r="P262">
        <v>582</v>
      </c>
      <c r="Q262">
        <v>344</v>
      </c>
      <c r="R262">
        <v>430</v>
      </c>
      <c r="S262">
        <v>1170.04</v>
      </c>
      <c r="U262" t="s">
        <v>374</v>
      </c>
      <c r="V262">
        <v>695</v>
      </c>
      <c r="W262">
        <v>1</v>
      </c>
      <c r="X262">
        <v>4</v>
      </c>
      <c r="Y262">
        <v>582</v>
      </c>
      <c r="Z262">
        <v>344</v>
      </c>
      <c r="AA262">
        <v>5.19</v>
      </c>
      <c r="AB262">
        <v>300</v>
      </c>
      <c r="AC262">
        <v>11746.02</v>
      </c>
      <c r="AE262" t="s">
        <v>383</v>
      </c>
      <c r="AF262">
        <v>882</v>
      </c>
      <c r="AG262">
        <v>1</v>
      </c>
      <c r="AH262">
        <v>9307.68</v>
      </c>
      <c r="AI262">
        <v>8295.57</v>
      </c>
      <c r="AJ262">
        <v>13195.17</v>
      </c>
      <c r="AL262" t="s">
        <v>383</v>
      </c>
      <c r="AM262">
        <v>879</v>
      </c>
      <c r="AN262">
        <v>1</v>
      </c>
      <c r="AO262">
        <v>0</v>
      </c>
      <c r="AP262" t="s">
        <v>275</v>
      </c>
      <c r="AQ262" t="s">
        <v>404</v>
      </c>
    </row>
    <row r="263" spans="1:43" x14ac:dyDescent="0.2">
      <c r="A263" t="s">
        <v>374</v>
      </c>
      <c r="B263">
        <v>877</v>
      </c>
      <c r="C263">
        <v>1</v>
      </c>
      <c r="D263">
        <v>67608.490000000005</v>
      </c>
      <c r="E263">
        <v>67608.490000000005</v>
      </c>
      <c r="F263" t="s">
        <v>383</v>
      </c>
      <c r="G263">
        <v>883</v>
      </c>
      <c r="H263">
        <v>1</v>
      </c>
      <c r="I263">
        <v>18083.87</v>
      </c>
      <c r="J263">
        <v>18083.87</v>
      </c>
      <c r="L263" t="s">
        <v>374</v>
      </c>
      <c r="M263">
        <v>741</v>
      </c>
      <c r="N263">
        <v>1</v>
      </c>
      <c r="O263">
        <v>4</v>
      </c>
      <c r="P263">
        <v>582</v>
      </c>
      <c r="Q263">
        <v>344</v>
      </c>
      <c r="R263">
        <v>430</v>
      </c>
      <c r="S263">
        <v>675.24</v>
      </c>
      <c r="U263" t="s">
        <v>374</v>
      </c>
      <c r="V263">
        <v>698</v>
      </c>
      <c r="W263">
        <v>1</v>
      </c>
      <c r="X263">
        <v>4</v>
      </c>
      <c r="Y263">
        <v>582</v>
      </c>
      <c r="Z263">
        <v>344</v>
      </c>
      <c r="AA263">
        <v>5.19</v>
      </c>
      <c r="AB263">
        <v>300</v>
      </c>
      <c r="AC263">
        <v>4150.92</v>
      </c>
      <c r="AE263" t="s">
        <v>383</v>
      </c>
      <c r="AF263">
        <v>883</v>
      </c>
      <c r="AG263">
        <v>1</v>
      </c>
      <c r="AH263">
        <v>8449.81</v>
      </c>
      <c r="AI263">
        <v>32514.27</v>
      </c>
      <c r="AJ263">
        <v>44355.13</v>
      </c>
      <c r="AL263" t="s">
        <v>383</v>
      </c>
      <c r="AM263">
        <v>881</v>
      </c>
      <c r="AN263">
        <v>1</v>
      </c>
      <c r="AO263">
        <v>0</v>
      </c>
      <c r="AP263" t="s">
        <v>276</v>
      </c>
      <c r="AQ263" t="s">
        <v>404</v>
      </c>
    </row>
    <row r="264" spans="1:43" x14ac:dyDescent="0.2">
      <c r="A264" t="s">
        <v>374</v>
      </c>
      <c r="B264">
        <v>879</v>
      </c>
      <c r="C264">
        <v>1</v>
      </c>
      <c r="D264">
        <v>17625.5</v>
      </c>
      <c r="E264">
        <v>17625.5</v>
      </c>
      <c r="F264" t="s">
        <v>383</v>
      </c>
      <c r="G264">
        <v>885</v>
      </c>
      <c r="H264">
        <v>1</v>
      </c>
      <c r="I264">
        <v>42844.12</v>
      </c>
      <c r="J264">
        <v>42844.12</v>
      </c>
      <c r="L264" t="s">
        <v>374</v>
      </c>
      <c r="M264">
        <v>742</v>
      </c>
      <c r="N264">
        <v>1</v>
      </c>
      <c r="O264">
        <v>4</v>
      </c>
      <c r="P264">
        <v>582</v>
      </c>
      <c r="Q264">
        <v>344</v>
      </c>
      <c r="R264">
        <v>430</v>
      </c>
      <c r="S264">
        <v>5729.6</v>
      </c>
      <c r="U264" t="s">
        <v>374</v>
      </c>
      <c r="V264">
        <v>700</v>
      </c>
      <c r="W264">
        <v>1</v>
      </c>
      <c r="X264">
        <v>4</v>
      </c>
      <c r="Y264">
        <v>582</v>
      </c>
      <c r="Z264">
        <v>344</v>
      </c>
      <c r="AA264">
        <v>5.19</v>
      </c>
      <c r="AB264">
        <v>300</v>
      </c>
      <c r="AC264">
        <v>13217.22</v>
      </c>
      <c r="AE264" t="s">
        <v>383</v>
      </c>
      <c r="AF264">
        <v>885</v>
      </c>
      <c r="AG264">
        <v>1</v>
      </c>
      <c r="AH264">
        <v>-2547.2399999999998</v>
      </c>
      <c r="AI264">
        <v>-53082.6</v>
      </c>
      <c r="AJ264">
        <v>-5202.66</v>
      </c>
      <c r="AL264" t="s">
        <v>383</v>
      </c>
      <c r="AM264">
        <v>882</v>
      </c>
      <c r="AN264">
        <v>1</v>
      </c>
      <c r="AO264">
        <v>0</v>
      </c>
      <c r="AP264" t="s">
        <v>277</v>
      </c>
      <c r="AQ264" t="s">
        <v>404</v>
      </c>
    </row>
    <row r="265" spans="1:43" x14ac:dyDescent="0.2">
      <c r="A265" t="s">
        <v>374</v>
      </c>
      <c r="B265">
        <v>881</v>
      </c>
      <c r="C265">
        <v>1</v>
      </c>
      <c r="D265">
        <v>9413.59</v>
      </c>
      <c r="E265">
        <v>9413.59</v>
      </c>
      <c r="F265" t="s">
        <v>383</v>
      </c>
      <c r="G265">
        <v>891</v>
      </c>
      <c r="H265">
        <v>1</v>
      </c>
      <c r="I265">
        <v>6174.84</v>
      </c>
      <c r="J265">
        <v>6174.84</v>
      </c>
      <c r="L265" t="s">
        <v>374</v>
      </c>
      <c r="M265">
        <v>743</v>
      </c>
      <c r="N265">
        <v>1</v>
      </c>
      <c r="O265">
        <v>4</v>
      </c>
      <c r="P265">
        <v>582</v>
      </c>
      <c r="Q265">
        <v>344</v>
      </c>
      <c r="R265">
        <v>430</v>
      </c>
      <c r="S265">
        <v>94.07</v>
      </c>
      <c r="U265" t="s">
        <v>374</v>
      </c>
      <c r="V265">
        <v>701</v>
      </c>
      <c r="W265">
        <v>1</v>
      </c>
      <c r="X265">
        <v>4</v>
      </c>
      <c r="Y265">
        <v>582</v>
      </c>
      <c r="Z265">
        <v>344</v>
      </c>
      <c r="AA265">
        <v>5.19</v>
      </c>
      <c r="AB265">
        <v>300</v>
      </c>
      <c r="AC265">
        <v>31882.11</v>
      </c>
      <c r="AE265" t="s">
        <v>383</v>
      </c>
      <c r="AF265">
        <v>891</v>
      </c>
      <c r="AG265">
        <v>1</v>
      </c>
      <c r="AH265">
        <v>-12412.39</v>
      </c>
      <c r="AI265">
        <v>-4874.8</v>
      </c>
      <c r="AJ265">
        <v>-7108.09</v>
      </c>
      <c r="AL265" t="s">
        <v>383</v>
      </c>
      <c r="AM265">
        <v>883</v>
      </c>
      <c r="AN265">
        <v>1</v>
      </c>
      <c r="AO265">
        <v>0</v>
      </c>
      <c r="AP265" t="s">
        <v>278</v>
      </c>
      <c r="AQ265" t="s">
        <v>404</v>
      </c>
    </row>
    <row r="266" spans="1:43" x14ac:dyDescent="0.2">
      <c r="A266" t="s">
        <v>374</v>
      </c>
      <c r="B266">
        <v>882</v>
      </c>
      <c r="C266">
        <v>1</v>
      </c>
      <c r="D266">
        <v>38887.79</v>
      </c>
      <c r="E266">
        <v>38887.79</v>
      </c>
      <c r="F266" t="s">
        <v>383</v>
      </c>
      <c r="G266">
        <v>911</v>
      </c>
      <c r="H266">
        <v>1</v>
      </c>
      <c r="I266">
        <v>57418.44</v>
      </c>
      <c r="J266">
        <v>57418.44</v>
      </c>
      <c r="L266" t="s">
        <v>374</v>
      </c>
      <c r="M266">
        <v>745</v>
      </c>
      <c r="N266">
        <v>1</v>
      </c>
      <c r="O266">
        <v>4</v>
      </c>
      <c r="P266">
        <v>582</v>
      </c>
      <c r="Q266">
        <v>344</v>
      </c>
      <c r="R266">
        <v>430</v>
      </c>
      <c r="S266">
        <v>838.13</v>
      </c>
      <c r="U266" t="s">
        <v>374</v>
      </c>
      <c r="V266">
        <v>704</v>
      </c>
      <c r="W266">
        <v>1</v>
      </c>
      <c r="X266">
        <v>4</v>
      </c>
      <c r="Y266">
        <v>582</v>
      </c>
      <c r="Z266">
        <v>344</v>
      </c>
      <c r="AA266">
        <v>5.19</v>
      </c>
      <c r="AB266">
        <v>300</v>
      </c>
      <c r="AC266">
        <v>17252.689999999999</v>
      </c>
      <c r="AE266" t="s">
        <v>383</v>
      </c>
      <c r="AF266">
        <v>911</v>
      </c>
      <c r="AG266">
        <v>1</v>
      </c>
      <c r="AH266">
        <v>11996.34</v>
      </c>
      <c r="AI266">
        <v>12147.68</v>
      </c>
      <c r="AJ266">
        <v>13116.15</v>
      </c>
      <c r="AL266" t="s">
        <v>383</v>
      </c>
      <c r="AM266">
        <v>885</v>
      </c>
      <c r="AN266">
        <v>1</v>
      </c>
      <c r="AO266">
        <v>0</v>
      </c>
      <c r="AP266" t="s">
        <v>279</v>
      </c>
      <c r="AQ266" t="s">
        <v>404</v>
      </c>
    </row>
    <row r="267" spans="1:43" x14ac:dyDescent="0.2">
      <c r="A267" t="s">
        <v>374</v>
      </c>
      <c r="B267">
        <v>883</v>
      </c>
      <c r="C267">
        <v>1</v>
      </c>
      <c r="D267">
        <v>19234.91</v>
      </c>
      <c r="E267">
        <v>19234.91</v>
      </c>
      <c r="F267" t="s">
        <v>383</v>
      </c>
      <c r="G267">
        <v>912</v>
      </c>
      <c r="H267">
        <v>1</v>
      </c>
      <c r="I267">
        <v>25032.73</v>
      </c>
      <c r="J267">
        <v>25032.73</v>
      </c>
      <c r="L267" t="s">
        <v>374</v>
      </c>
      <c r="M267">
        <v>750</v>
      </c>
      <c r="N267">
        <v>1</v>
      </c>
      <c r="O267">
        <v>4</v>
      </c>
      <c r="P267">
        <v>582</v>
      </c>
      <c r="Q267">
        <v>344</v>
      </c>
      <c r="R267">
        <v>430</v>
      </c>
      <c r="S267">
        <v>-249.64</v>
      </c>
      <c r="U267" t="s">
        <v>374</v>
      </c>
      <c r="V267">
        <v>706</v>
      </c>
      <c r="W267">
        <v>1</v>
      </c>
      <c r="X267">
        <v>4</v>
      </c>
      <c r="Y267">
        <v>582</v>
      </c>
      <c r="Z267">
        <v>344</v>
      </c>
      <c r="AA267">
        <v>5.19</v>
      </c>
      <c r="AB267">
        <v>300</v>
      </c>
      <c r="AC267">
        <v>21016.58</v>
      </c>
      <c r="AE267" t="s">
        <v>383</v>
      </c>
      <c r="AF267">
        <v>912</v>
      </c>
      <c r="AG267">
        <v>1</v>
      </c>
      <c r="AH267">
        <v>-56608.51</v>
      </c>
      <c r="AI267">
        <v>-37181.660000000003</v>
      </c>
      <c r="AJ267">
        <v>-17645.73</v>
      </c>
      <c r="AL267" t="s">
        <v>383</v>
      </c>
      <c r="AM267">
        <v>891</v>
      </c>
      <c r="AN267">
        <v>1</v>
      </c>
      <c r="AO267">
        <v>0</v>
      </c>
      <c r="AP267" t="s">
        <v>280</v>
      </c>
      <c r="AQ267" t="s">
        <v>404</v>
      </c>
    </row>
    <row r="268" spans="1:43" x14ac:dyDescent="0.2">
      <c r="A268" t="s">
        <v>374</v>
      </c>
      <c r="B268">
        <v>885</v>
      </c>
      <c r="C268">
        <v>1</v>
      </c>
      <c r="D268">
        <v>44328.11</v>
      </c>
      <c r="E268">
        <v>44328.11</v>
      </c>
      <c r="F268" t="s">
        <v>383</v>
      </c>
      <c r="G268">
        <v>914</v>
      </c>
      <c r="H268">
        <v>1</v>
      </c>
      <c r="I268">
        <v>2697.83</v>
      </c>
      <c r="J268">
        <v>2697.83</v>
      </c>
      <c r="L268" t="s">
        <v>374</v>
      </c>
      <c r="M268">
        <v>761</v>
      </c>
      <c r="N268">
        <v>1</v>
      </c>
      <c r="O268">
        <v>4</v>
      </c>
      <c r="P268">
        <v>582</v>
      </c>
      <c r="Q268">
        <v>344</v>
      </c>
      <c r="R268">
        <v>430</v>
      </c>
      <c r="S268">
        <v>5667.99</v>
      </c>
      <c r="U268" t="s">
        <v>374</v>
      </c>
      <c r="V268">
        <v>707</v>
      </c>
      <c r="W268">
        <v>1</v>
      </c>
      <c r="X268">
        <v>4</v>
      </c>
      <c r="Y268">
        <v>582</v>
      </c>
      <c r="Z268">
        <v>344</v>
      </c>
      <c r="AA268">
        <v>5.19</v>
      </c>
      <c r="AB268">
        <v>300</v>
      </c>
      <c r="AC268">
        <v>1779.5</v>
      </c>
      <c r="AE268" t="s">
        <v>383</v>
      </c>
      <c r="AF268">
        <v>914</v>
      </c>
      <c r="AG268">
        <v>1</v>
      </c>
      <c r="AH268">
        <v>0</v>
      </c>
      <c r="AI268">
        <v>0</v>
      </c>
      <c r="AJ268">
        <v>0</v>
      </c>
      <c r="AL268" t="s">
        <v>383</v>
      </c>
      <c r="AM268">
        <v>911</v>
      </c>
      <c r="AN268">
        <v>1</v>
      </c>
      <c r="AO268">
        <v>0</v>
      </c>
      <c r="AP268" t="s">
        <v>281</v>
      </c>
      <c r="AQ268" t="s">
        <v>404</v>
      </c>
    </row>
    <row r="269" spans="1:43" x14ac:dyDescent="0.2">
      <c r="A269" t="s">
        <v>374</v>
      </c>
      <c r="B269">
        <v>891</v>
      </c>
      <c r="C269">
        <v>1</v>
      </c>
      <c r="D269">
        <v>5959.21</v>
      </c>
      <c r="E269">
        <v>5959.21</v>
      </c>
      <c r="F269" t="s">
        <v>383</v>
      </c>
      <c r="G269">
        <v>2071</v>
      </c>
      <c r="H269">
        <v>1</v>
      </c>
      <c r="I269">
        <v>10450.040000000001</v>
      </c>
      <c r="J269">
        <v>10450.040000000001</v>
      </c>
      <c r="L269" t="s">
        <v>374</v>
      </c>
      <c r="M269">
        <v>763</v>
      </c>
      <c r="N269">
        <v>1</v>
      </c>
      <c r="O269">
        <v>4</v>
      </c>
      <c r="P269">
        <v>582</v>
      </c>
      <c r="Q269">
        <v>344</v>
      </c>
      <c r="R269">
        <v>430</v>
      </c>
      <c r="S269">
        <v>398.3</v>
      </c>
      <c r="U269" t="s">
        <v>374</v>
      </c>
      <c r="V269">
        <v>709</v>
      </c>
      <c r="W269">
        <v>1</v>
      </c>
      <c r="X269">
        <v>4</v>
      </c>
      <c r="Y269">
        <v>582</v>
      </c>
      <c r="Z269">
        <v>344</v>
      </c>
      <c r="AA269">
        <v>5.19</v>
      </c>
      <c r="AB269">
        <v>300</v>
      </c>
      <c r="AC269">
        <v>161566.19</v>
      </c>
      <c r="AE269" t="s">
        <v>383</v>
      </c>
      <c r="AF269">
        <v>2071</v>
      </c>
      <c r="AG269">
        <v>1</v>
      </c>
      <c r="AH269">
        <v>11254.35</v>
      </c>
      <c r="AI269">
        <v>11076.22</v>
      </c>
      <c r="AJ269">
        <v>46296.800000000003</v>
      </c>
      <c r="AL269" t="s">
        <v>383</v>
      </c>
      <c r="AM269">
        <v>912</v>
      </c>
      <c r="AN269">
        <v>1</v>
      </c>
      <c r="AO269">
        <v>0</v>
      </c>
      <c r="AP269" t="s">
        <v>282</v>
      </c>
      <c r="AQ269" t="s">
        <v>404</v>
      </c>
    </row>
    <row r="270" spans="1:43" x14ac:dyDescent="0.2">
      <c r="A270" t="s">
        <v>374</v>
      </c>
      <c r="B270">
        <v>911</v>
      </c>
      <c r="C270">
        <v>1</v>
      </c>
      <c r="D270">
        <v>54676.99</v>
      </c>
      <c r="E270">
        <v>54676.99</v>
      </c>
      <c r="F270" t="s">
        <v>383</v>
      </c>
      <c r="G270">
        <v>2125</v>
      </c>
      <c r="H270">
        <v>1</v>
      </c>
      <c r="I270">
        <v>15276.98</v>
      </c>
      <c r="J270">
        <v>15276.98</v>
      </c>
      <c r="L270" t="s">
        <v>374</v>
      </c>
      <c r="M270">
        <v>768</v>
      </c>
      <c r="N270">
        <v>1</v>
      </c>
      <c r="O270">
        <v>4</v>
      </c>
      <c r="P270">
        <v>582</v>
      </c>
      <c r="Q270">
        <v>344</v>
      </c>
      <c r="R270">
        <v>430</v>
      </c>
      <c r="S270">
        <v>1017.2</v>
      </c>
      <c r="U270" t="s">
        <v>374</v>
      </c>
      <c r="V270">
        <v>716</v>
      </c>
      <c r="W270">
        <v>1</v>
      </c>
      <c r="X270">
        <v>4</v>
      </c>
      <c r="Y270">
        <v>582</v>
      </c>
      <c r="Z270">
        <v>344</v>
      </c>
      <c r="AA270">
        <v>5.19</v>
      </c>
      <c r="AB270">
        <v>300</v>
      </c>
      <c r="AC270">
        <v>1812.75</v>
      </c>
      <c r="AE270" t="s">
        <v>383</v>
      </c>
      <c r="AF270">
        <v>2125</v>
      </c>
      <c r="AG270">
        <v>1</v>
      </c>
      <c r="AH270">
        <v>3550.94</v>
      </c>
      <c r="AI270">
        <v>5172.93</v>
      </c>
      <c r="AJ270">
        <v>15385.82</v>
      </c>
      <c r="AL270" t="s">
        <v>383</v>
      </c>
      <c r="AM270">
        <v>914</v>
      </c>
      <c r="AN270">
        <v>1</v>
      </c>
      <c r="AO270">
        <v>0</v>
      </c>
      <c r="AP270" t="s">
        <v>283</v>
      </c>
      <c r="AQ270" t="s">
        <v>404</v>
      </c>
    </row>
    <row r="271" spans="1:43" x14ac:dyDescent="0.2">
      <c r="A271" t="s">
        <v>374</v>
      </c>
      <c r="B271">
        <v>912</v>
      </c>
      <c r="C271">
        <v>1</v>
      </c>
      <c r="D271">
        <v>25385.65</v>
      </c>
      <c r="E271">
        <v>25385.65</v>
      </c>
      <c r="F271" t="s">
        <v>383</v>
      </c>
      <c r="G271">
        <v>2134</v>
      </c>
      <c r="H271">
        <v>1</v>
      </c>
      <c r="I271">
        <v>11215.69</v>
      </c>
      <c r="J271">
        <v>11215.69</v>
      </c>
      <c r="L271" t="s">
        <v>374</v>
      </c>
      <c r="M271">
        <v>769</v>
      </c>
      <c r="N271">
        <v>1</v>
      </c>
      <c r="O271">
        <v>4</v>
      </c>
      <c r="P271">
        <v>582</v>
      </c>
      <c r="Q271">
        <v>344</v>
      </c>
      <c r="R271">
        <v>430</v>
      </c>
      <c r="S271">
        <v>209.94</v>
      </c>
      <c r="U271" t="s">
        <v>374</v>
      </c>
      <c r="V271">
        <v>717</v>
      </c>
      <c r="W271">
        <v>1</v>
      </c>
      <c r="X271">
        <v>4</v>
      </c>
      <c r="Y271">
        <v>582</v>
      </c>
      <c r="Z271">
        <v>344</v>
      </c>
      <c r="AA271">
        <v>5.19</v>
      </c>
      <c r="AB271">
        <v>300</v>
      </c>
      <c r="AC271">
        <v>19923.71</v>
      </c>
      <c r="AE271" t="s">
        <v>383</v>
      </c>
      <c r="AF271">
        <v>2134</v>
      </c>
      <c r="AG271">
        <v>1</v>
      </c>
      <c r="AH271">
        <v>6583.24</v>
      </c>
      <c r="AI271">
        <v>7405.77</v>
      </c>
      <c r="AJ271">
        <v>7402.09</v>
      </c>
      <c r="AL271" t="s">
        <v>383</v>
      </c>
      <c r="AM271">
        <v>2071</v>
      </c>
      <c r="AN271">
        <v>1</v>
      </c>
      <c r="AO271">
        <v>0</v>
      </c>
      <c r="AP271" t="s">
        <v>284</v>
      </c>
      <c r="AQ271" t="s">
        <v>404</v>
      </c>
    </row>
    <row r="272" spans="1:43" x14ac:dyDescent="0.2">
      <c r="A272" t="s">
        <v>374</v>
      </c>
      <c r="B272">
        <v>914</v>
      </c>
      <c r="C272">
        <v>1</v>
      </c>
      <c r="D272">
        <v>3595.78</v>
      </c>
      <c r="E272">
        <v>3595.78</v>
      </c>
      <c r="F272" t="s">
        <v>383</v>
      </c>
      <c r="G272">
        <v>2135</v>
      </c>
      <c r="H272">
        <v>1</v>
      </c>
      <c r="I272">
        <v>11953.33</v>
      </c>
      <c r="J272">
        <v>11953.33</v>
      </c>
      <c r="L272" t="s">
        <v>374</v>
      </c>
      <c r="M272">
        <v>771</v>
      </c>
      <c r="N272">
        <v>1</v>
      </c>
      <c r="O272">
        <v>4</v>
      </c>
      <c r="P272">
        <v>582</v>
      </c>
      <c r="Q272">
        <v>344</v>
      </c>
      <c r="R272">
        <v>430</v>
      </c>
      <c r="S272">
        <v>534.04</v>
      </c>
      <c r="U272" t="s">
        <v>374</v>
      </c>
      <c r="V272">
        <v>719</v>
      </c>
      <c r="W272">
        <v>1</v>
      </c>
      <c r="X272">
        <v>4</v>
      </c>
      <c r="Y272">
        <v>582</v>
      </c>
      <c r="Z272">
        <v>344</v>
      </c>
      <c r="AA272">
        <v>5.19</v>
      </c>
      <c r="AB272">
        <v>300</v>
      </c>
      <c r="AC272">
        <v>64789.54</v>
      </c>
      <c r="AE272" t="s">
        <v>383</v>
      </c>
      <c r="AF272">
        <v>2135</v>
      </c>
      <c r="AG272">
        <v>1</v>
      </c>
      <c r="AH272">
        <v>3794.25</v>
      </c>
      <c r="AI272">
        <v>13364.96</v>
      </c>
      <c r="AJ272">
        <v>13689.97</v>
      </c>
      <c r="AL272" t="s">
        <v>383</v>
      </c>
      <c r="AM272">
        <v>2125</v>
      </c>
      <c r="AN272">
        <v>1</v>
      </c>
      <c r="AO272">
        <v>0</v>
      </c>
      <c r="AP272" t="s">
        <v>285</v>
      </c>
      <c r="AQ272" t="s">
        <v>404</v>
      </c>
    </row>
    <row r="273" spans="1:43" x14ac:dyDescent="0.2">
      <c r="A273" t="s">
        <v>374</v>
      </c>
      <c r="B273">
        <v>2071</v>
      </c>
      <c r="C273">
        <v>1</v>
      </c>
      <c r="D273">
        <v>9785.52</v>
      </c>
      <c r="E273">
        <v>9785.52</v>
      </c>
      <c r="F273" t="s">
        <v>383</v>
      </c>
      <c r="G273">
        <v>2137</v>
      </c>
      <c r="H273">
        <v>1</v>
      </c>
      <c r="I273">
        <v>8397.43</v>
      </c>
      <c r="J273">
        <v>8397.43</v>
      </c>
      <c r="L273" t="s">
        <v>374</v>
      </c>
      <c r="M273">
        <v>777</v>
      </c>
      <c r="N273">
        <v>1</v>
      </c>
      <c r="O273">
        <v>4</v>
      </c>
      <c r="P273">
        <v>582</v>
      </c>
      <c r="Q273">
        <v>344</v>
      </c>
      <c r="R273">
        <v>430</v>
      </c>
      <c r="S273">
        <v>159.41</v>
      </c>
      <c r="U273" t="s">
        <v>374</v>
      </c>
      <c r="V273">
        <v>727</v>
      </c>
      <c r="W273">
        <v>1</v>
      </c>
      <c r="X273">
        <v>4</v>
      </c>
      <c r="Y273">
        <v>582</v>
      </c>
      <c r="Z273">
        <v>344</v>
      </c>
      <c r="AA273">
        <v>5.19</v>
      </c>
      <c r="AB273">
        <v>300</v>
      </c>
      <c r="AC273">
        <v>44365.31</v>
      </c>
      <c r="AE273" t="s">
        <v>383</v>
      </c>
      <c r="AF273">
        <v>2137</v>
      </c>
      <c r="AG273">
        <v>1</v>
      </c>
      <c r="AH273">
        <v>6374.36</v>
      </c>
      <c r="AI273">
        <v>6110.52</v>
      </c>
      <c r="AJ273">
        <v>6410.61</v>
      </c>
      <c r="AL273" t="s">
        <v>383</v>
      </c>
      <c r="AM273">
        <v>2134</v>
      </c>
      <c r="AN273">
        <v>1</v>
      </c>
      <c r="AO273">
        <v>0</v>
      </c>
      <c r="AP273" t="s">
        <v>286</v>
      </c>
      <c r="AQ273" t="s">
        <v>404</v>
      </c>
    </row>
    <row r="274" spans="1:43" x14ac:dyDescent="0.2">
      <c r="A274" t="s">
        <v>374</v>
      </c>
      <c r="B274">
        <v>2125</v>
      </c>
      <c r="C274">
        <v>1</v>
      </c>
      <c r="D274">
        <v>16500.61</v>
      </c>
      <c r="E274">
        <v>16500.61</v>
      </c>
      <c r="F274" t="s">
        <v>383</v>
      </c>
      <c r="G274">
        <v>2142</v>
      </c>
      <c r="H274">
        <v>1</v>
      </c>
      <c r="I274">
        <v>27621.03</v>
      </c>
      <c r="J274">
        <v>27621.03</v>
      </c>
      <c r="L274" t="s">
        <v>374</v>
      </c>
      <c r="M274">
        <v>801</v>
      </c>
      <c r="N274">
        <v>1</v>
      </c>
      <c r="O274">
        <v>4</v>
      </c>
      <c r="P274">
        <v>582</v>
      </c>
      <c r="Q274">
        <v>344</v>
      </c>
      <c r="R274">
        <v>430</v>
      </c>
      <c r="S274">
        <v>2900</v>
      </c>
      <c r="U274" t="s">
        <v>374</v>
      </c>
      <c r="V274">
        <v>728</v>
      </c>
      <c r="W274">
        <v>1</v>
      </c>
      <c r="X274">
        <v>4</v>
      </c>
      <c r="Y274">
        <v>582</v>
      </c>
      <c r="Z274">
        <v>344</v>
      </c>
      <c r="AA274">
        <v>5.05</v>
      </c>
      <c r="AB274">
        <v>300</v>
      </c>
      <c r="AC274">
        <v>117501.83</v>
      </c>
      <c r="AE274" t="s">
        <v>383</v>
      </c>
      <c r="AF274">
        <v>2142</v>
      </c>
      <c r="AG274">
        <v>1</v>
      </c>
      <c r="AH274">
        <v>616.55999999999995</v>
      </c>
      <c r="AI274">
        <v>472.12</v>
      </c>
      <c r="AJ274">
        <v>0</v>
      </c>
      <c r="AL274" t="s">
        <v>383</v>
      </c>
      <c r="AM274">
        <v>2135</v>
      </c>
      <c r="AN274">
        <v>1</v>
      </c>
      <c r="AO274">
        <v>0</v>
      </c>
      <c r="AP274" t="s">
        <v>287</v>
      </c>
      <c r="AQ274" t="s">
        <v>404</v>
      </c>
    </row>
    <row r="275" spans="1:43" x14ac:dyDescent="0.2">
      <c r="A275" t="s">
        <v>374</v>
      </c>
      <c r="B275">
        <v>2134</v>
      </c>
      <c r="C275">
        <v>1</v>
      </c>
      <c r="D275">
        <v>14109.1</v>
      </c>
      <c r="E275">
        <v>14109.1</v>
      </c>
      <c r="F275" t="s">
        <v>383</v>
      </c>
      <c r="G275">
        <v>2143</v>
      </c>
      <c r="H275">
        <v>1</v>
      </c>
      <c r="I275">
        <v>9902.26</v>
      </c>
      <c r="J275">
        <v>9902.26</v>
      </c>
      <c r="L275" t="s">
        <v>374</v>
      </c>
      <c r="M275">
        <v>803</v>
      </c>
      <c r="N275">
        <v>1</v>
      </c>
      <c r="O275">
        <v>4</v>
      </c>
      <c r="P275">
        <v>582</v>
      </c>
      <c r="Q275">
        <v>344</v>
      </c>
      <c r="R275">
        <v>430</v>
      </c>
      <c r="S275">
        <v>592.66999999999996</v>
      </c>
      <c r="U275" t="s">
        <v>374</v>
      </c>
      <c r="V275">
        <v>739</v>
      </c>
      <c r="W275">
        <v>1</v>
      </c>
      <c r="X275">
        <v>4</v>
      </c>
      <c r="Y275">
        <v>582</v>
      </c>
      <c r="Z275">
        <v>344</v>
      </c>
      <c r="AA275">
        <v>5.19</v>
      </c>
      <c r="AB275">
        <v>300</v>
      </c>
      <c r="AC275">
        <v>7052.46</v>
      </c>
      <c r="AE275" t="s">
        <v>383</v>
      </c>
      <c r="AF275">
        <v>2143</v>
      </c>
      <c r="AG275">
        <v>1</v>
      </c>
      <c r="AH275">
        <v>1137.06</v>
      </c>
      <c r="AI275">
        <v>910.69</v>
      </c>
      <c r="AJ275">
        <v>-5981.63</v>
      </c>
      <c r="AL275" t="s">
        <v>383</v>
      </c>
      <c r="AM275">
        <v>2137</v>
      </c>
      <c r="AN275">
        <v>1</v>
      </c>
      <c r="AO275">
        <v>0</v>
      </c>
      <c r="AP275" t="s">
        <v>288</v>
      </c>
      <c r="AQ275" t="s">
        <v>404</v>
      </c>
    </row>
    <row r="276" spans="1:43" x14ac:dyDescent="0.2">
      <c r="A276" t="s">
        <v>374</v>
      </c>
      <c r="B276">
        <v>2135</v>
      </c>
      <c r="C276">
        <v>1</v>
      </c>
      <c r="D276">
        <v>14287.53</v>
      </c>
      <c r="E276">
        <v>14287.53</v>
      </c>
      <c r="F276" t="s">
        <v>383</v>
      </c>
      <c r="G276">
        <v>2144</v>
      </c>
      <c r="H276">
        <v>1</v>
      </c>
      <c r="I276">
        <v>28657.33</v>
      </c>
      <c r="J276">
        <v>28657.33</v>
      </c>
      <c r="L276" t="s">
        <v>374</v>
      </c>
      <c r="M276">
        <v>811</v>
      </c>
      <c r="N276">
        <v>1</v>
      </c>
      <c r="O276">
        <v>4</v>
      </c>
      <c r="P276">
        <v>582</v>
      </c>
      <c r="Q276">
        <v>344</v>
      </c>
      <c r="R276">
        <v>430</v>
      </c>
      <c r="S276">
        <v>200</v>
      </c>
      <c r="U276" t="s">
        <v>374</v>
      </c>
      <c r="V276">
        <v>740</v>
      </c>
      <c r="W276">
        <v>1</v>
      </c>
      <c r="X276">
        <v>4</v>
      </c>
      <c r="Y276">
        <v>582</v>
      </c>
      <c r="Z276">
        <v>344</v>
      </c>
      <c r="AA276">
        <v>5.19</v>
      </c>
      <c r="AB276">
        <v>300</v>
      </c>
      <c r="AC276">
        <v>18221.29</v>
      </c>
      <c r="AE276" t="s">
        <v>383</v>
      </c>
      <c r="AF276">
        <v>2144</v>
      </c>
      <c r="AG276">
        <v>1</v>
      </c>
      <c r="AH276">
        <v>1502.67</v>
      </c>
      <c r="AI276">
        <v>-1449.47</v>
      </c>
      <c r="AJ276">
        <v>-2420.71</v>
      </c>
      <c r="AL276" t="s">
        <v>383</v>
      </c>
      <c r="AM276">
        <v>2142</v>
      </c>
      <c r="AN276">
        <v>1</v>
      </c>
      <c r="AO276">
        <v>0</v>
      </c>
      <c r="AP276" t="s">
        <v>289</v>
      </c>
      <c r="AQ276" t="s">
        <v>404</v>
      </c>
    </row>
    <row r="277" spans="1:43" x14ac:dyDescent="0.2">
      <c r="A277" t="s">
        <v>374</v>
      </c>
      <c r="B277">
        <v>2137</v>
      </c>
      <c r="C277">
        <v>1</v>
      </c>
      <c r="D277">
        <v>7766.19</v>
      </c>
      <c r="E277">
        <v>7766.19</v>
      </c>
      <c r="F277" t="s">
        <v>383</v>
      </c>
      <c r="G277">
        <v>2149</v>
      </c>
      <c r="H277">
        <v>1</v>
      </c>
      <c r="I277">
        <v>15385.92</v>
      </c>
      <c r="J277">
        <v>15385.92</v>
      </c>
      <c r="L277" t="s">
        <v>374</v>
      </c>
      <c r="M277">
        <v>813</v>
      </c>
      <c r="N277">
        <v>1</v>
      </c>
      <c r="O277">
        <v>4</v>
      </c>
      <c r="P277">
        <v>582</v>
      </c>
      <c r="Q277">
        <v>344</v>
      </c>
      <c r="R277">
        <v>430</v>
      </c>
      <c r="S277">
        <v>1574.89</v>
      </c>
      <c r="U277" t="s">
        <v>374</v>
      </c>
      <c r="V277">
        <v>741</v>
      </c>
      <c r="W277">
        <v>1</v>
      </c>
      <c r="X277">
        <v>4</v>
      </c>
      <c r="Y277">
        <v>582</v>
      </c>
      <c r="Z277">
        <v>344</v>
      </c>
      <c r="AA277">
        <v>5.19</v>
      </c>
      <c r="AB277">
        <v>300</v>
      </c>
      <c r="AC277">
        <v>12517.94</v>
      </c>
      <c r="AE277" t="s">
        <v>383</v>
      </c>
      <c r="AF277">
        <v>2149</v>
      </c>
      <c r="AG277">
        <v>1</v>
      </c>
      <c r="AH277">
        <v>2.99</v>
      </c>
      <c r="AI277">
        <v>1056.8499999999999</v>
      </c>
      <c r="AJ277">
        <v>3505.78</v>
      </c>
      <c r="AL277" t="s">
        <v>383</v>
      </c>
      <c r="AM277">
        <v>2143</v>
      </c>
      <c r="AN277">
        <v>1</v>
      </c>
      <c r="AO277">
        <v>0</v>
      </c>
      <c r="AP277" t="s">
        <v>290</v>
      </c>
      <c r="AQ277" t="s">
        <v>404</v>
      </c>
    </row>
    <row r="278" spans="1:43" x14ac:dyDescent="0.2">
      <c r="A278" t="s">
        <v>374</v>
      </c>
      <c r="B278">
        <v>2142</v>
      </c>
      <c r="C278">
        <v>1</v>
      </c>
      <c r="D278">
        <v>27982.26</v>
      </c>
      <c r="E278">
        <v>27982.26</v>
      </c>
      <c r="F278" t="s">
        <v>383</v>
      </c>
      <c r="G278">
        <v>2154</v>
      </c>
      <c r="H278">
        <v>1</v>
      </c>
      <c r="I278">
        <v>17318.580000000002</v>
      </c>
      <c r="J278">
        <v>14851.55</v>
      </c>
      <c r="L278" t="s">
        <v>374</v>
      </c>
      <c r="M278">
        <v>831</v>
      </c>
      <c r="N278">
        <v>1</v>
      </c>
      <c r="O278">
        <v>4</v>
      </c>
      <c r="P278">
        <v>582</v>
      </c>
      <c r="Q278">
        <v>344</v>
      </c>
      <c r="R278">
        <v>430</v>
      </c>
      <c r="S278">
        <v>954.7</v>
      </c>
      <c r="U278" t="s">
        <v>374</v>
      </c>
      <c r="V278">
        <v>742</v>
      </c>
      <c r="W278">
        <v>1</v>
      </c>
      <c r="X278">
        <v>4</v>
      </c>
      <c r="Y278">
        <v>582</v>
      </c>
      <c r="Z278">
        <v>344</v>
      </c>
      <c r="AA278">
        <v>5.19</v>
      </c>
      <c r="AB278">
        <v>300</v>
      </c>
      <c r="AC278">
        <v>180568.09</v>
      </c>
      <c r="AE278" t="s">
        <v>383</v>
      </c>
      <c r="AF278">
        <v>2154</v>
      </c>
      <c r="AG278">
        <v>1</v>
      </c>
      <c r="AH278">
        <v>5092.05</v>
      </c>
      <c r="AI278">
        <v>8096.59</v>
      </c>
      <c r="AJ278">
        <v>12154.99</v>
      </c>
      <c r="AL278" t="s">
        <v>383</v>
      </c>
      <c r="AM278">
        <v>2144</v>
      </c>
      <c r="AN278">
        <v>1</v>
      </c>
      <c r="AO278">
        <v>0</v>
      </c>
      <c r="AP278" t="s">
        <v>291</v>
      </c>
      <c r="AQ278" t="s">
        <v>404</v>
      </c>
    </row>
    <row r="279" spans="1:43" x14ac:dyDescent="0.2">
      <c r="A279" t="s">
        <v>374</v>
      </c>
      <c r="B279">
        <v>2143</v>
      </c>
      <c r="C279">
        <v>1</v>
      </c>
      <c r="D279">
        <v>10586.23</v>
      </c>
      <c r="E279">
        <v>10586.23</v>
      </c>
      <c r="F279" t="s">
        <v>383</v>
      </c>
      <c r="G279">
        <v>2155</v>
      </c>
      <c r="H279">
        <v>1</v>
      </c>
      <c r="I279">
        <v>19452.599999999999</v>
      </c>
      <c r="J279">
        <v>19452.599999999999</v>
      </c>
      <c r="L279" t="s">
        <v>374</v>
      </c>
      <c r="M279">
        <v>833</v>
      </c>
      <c r="N279">
        <v>1</v>
      </c>
      <c r="O279">
        <v>4</v>
      </c>
      <c r="P279">
        <v>582</v>
      </c>
      <c r="Q279">
        <v>344</v>
      </c>
      <c r="R279">
        <v>430</v>
      </c>
      <c r="S279">
        <v>3771.64</v>
      </c>
      <c r="U279" t="s">
        <v>374</v>
      </c>
      <c r="V279">
        <v>743</v>
      </c>
      <c r="W279">
        <v>1</v>
      </c>
      <c r="X279">
        <v>4</v>
      </c>
      <c r="Y279">
        <v>582</v>
      </c>
      <c r="Z279">
        <v>344</v>
      </c>
      <c r="AA279">
        <v>5.19</v>
      </c>
      <c r="AB279">
        <v>300</v>
      </c>
      <c r="AC279">
        <v>15491.43</v>
      </c>
      <c r="AE279" t="s">
        <v>383</v>
      </c>
      <c r="AF279">
        <v>2155</v>
      </c>
      <c r="AG279">
        <v>1</v>
      </c>
      <c r="AH279">
        <v>0</v>
      </c>
      <c r="AI279">
        <v>0</v>
      </c>
      <c r="AJ279">
        <v>0</v>
      </c>
      <c r="AL279" t="s">
        <v>383</v>
      </c>
      <c r="AM279">
        <v>2149</v>
      </c>
      <c r="AN279">
        <v>1</v>
      </c>
      <c r="AO279">
        <v>0</v>
      </c>
      <c r="AP279" t="s">
        <v>292</v>
      </c>
      <c r="AQ279" t="s">
        <v>404</v>
      </c>
    </row>
    <row r="280" spans="1:43" x14ac:dyDescent="0.2">
      <c r="A280" t="s">
        <v>374</v>
      </c>
      <c r="B280">
        <v>2144</v>
      </c>
      <c r="C280">
        <v>1</v>
      </c>
      <c r="D280">
        <v>28849.34</v>
      </c>
      <c r="E280">
        <v>28849.34</v>
      </c>
      <c r="F280" t="s">
        <v>383</v>
      </c>
      <c r="G280">
        <v>2159</v>
      </c>
      <c r="H280">
        <v>1</v>
      </c>
      <c r="I280">
        <v>8113.01</v>
      </c>
      <c r="J280">
        <v>8113.01</v>
      </c>
      <c r="L280" t="s">
        <v>374</v>
      </c>
      <c r="M280">
        <v>834</v>
      </c>
      <c r="N280">
        <v>1</v>
      </c>
      <c r="O280">
        <v>4</v>
      </c>
      <c r="P280">
        <v>582</v>
      </c>
      <c r="Q280">
        <v>344</v>
      </c>
      <c r="R280">
        <v>430</v>
      </c>
      <c r="S280">
        <v>2704.5</v>
      </c>
      <c r="U280" t="s">
        <v>374</v>
      </c>
      <c r="V280">
        <v>745</v>
      </c>
      <c r="W280">
        <v>1</v>
      </c>
      <c r="X280">
        <v>4</v>
      </c>
      <c r="Y280">
        <v>582</v>
      </c>
      <c r="Z280">
        <v>344</v>
      </c>
      <c r="AA280">
        <v>5.19</v>
      </c>
      <c r="AB280">
        <v>300</v>
      </c>
      <c r="AC280">
        <v>15192.43</v>
      </c>
      <c r="AE280" t="s">
        <v>383</v>
      </c>
      <c r="AF280">
        <v>2159</v>
      </c>
      <c r="AG280">
        <v>1</v>
      </c>
      <c r="AH280">
        <v>1452.47</v>
      </c>
      <c r="AI280">
        <v>2928.12</v>
      </c>
      <c r="AJ280">
        <v>4237.2700000000004</v>
      </c>
      <c r="AL280" t="s">
        <v>383</v>
      </c>
      <c r="AM280">
        <v>2154</v>
      </c>
      <c r="AN280">
        <v>1</v>
      </c>
      <c r="AO280">
        <v>0</v>
      </c>
      <c r="AP280" t="s">
        <v>293</v>
      </c>
      <c r="AQ280" t="s">
        <v>404</v>
      </c>
    </row>
    <row r="281" spans="1:43" x14ac:dyDescent="0.2">
      <c r="A281" t="s">
        <v>374</v>
      </c>
      <c r="B281">
        <v>2149</v>
      </c>
      <c r="C281">
        <v>1</v>
      </c>
      <c r="D281">
        <v>16833.810000000001</v>
      </c>
      <c r="E281">
        <v>16833.810000000001</v>
      </c>
      <c r="F281" t="s">
        <v>383</v>
      </c>
      <c r="G281">
        <v>2164</v>
      </c>
      <c r="H281">
        <v>1</v>
      </c>
      <c r="I281">
        <v>16263.61</v>
      </c>
      <c r="J281">
        <v>14066.53</v>
      </c>
      <c r="L281" t="s">
        <v>374</v>
      </c>
      <c r="M281">
        <v>837</v>
      </c>
      <c r="N281">
        <v>1</v>
      </c>
      <c r="O281">
        <v>4</v>
      </c>
      <c r="P281">
        <v>582</v>
      </c>
      <c r="Q281">
        <v>344</v>
      </c>
      <c r="R281">
        <v>430</v>
      </c>
      <c r="S281">
        <v>682.8</v>
      </c>
      <c r="U281" t="s">
        <v>374</v>
      </c>
      <c r="V281">
        <v>748</v>
      </c>
      <c r="W281">
        <v>1</v>
      </c>
      <c r="X281">
        <v>4</v>
      </c>
      <c r="Y281">
        <v>582</v>
      </c>
      <c r="Z281">
        <v>344</v>
      </c>
      <c r="AA281">
        <v>5.19</v>
      </c>
      <c r="AB281">
        <v>300</v>
      </c>
      <c r="AC281">
        <v>28053.05</v>
      </c>
      <c r="AE281" t="s">
        <v>383</v>
      </c>
      <c r="AF281">
        <v>2164</v>
      </c>
      <c r="AG281">
        <v>1</v>
      </c>
      <c r="AH281">
        <v>11671.97</v>
      </c>
      <c r="AI281">
        <v>19171.05</v>
      </c>
      <c r="AJ281">
        <v>35269.25</v>
      </c>
      <c r="AL281" t="s">
        <v>383</v>
      </c>
      <c r="AM281">
        <v>2155</v>
      </c>
      <c r="AN281">
        <v>1</v>
      </c>
      <c r="AO281">
        <v>0</v>
      </c>
      <c r="AP281" t="s">
        <v>294</v>
      </c>
      <c r="AQ281" t="s">
        <v>404</v>
      </c>
    </row>
    <row r="282" spans="1:43" x14ac:dyDescent="0.2">
      <c r="A282" t="s">
        <v>374</v>
      </c>
      <c r="B282">
        <v>2154</v>
      </c>
      <c r="C282">
        <v>1</v>
      </c>
      <c r="D282">
        <v>17473.38</v>
      </c>
      <c r="E282">
        <v>17473.38</v>
      </c>
      <c r="F282" t="s">
        <v>383</v>
      </c>
      <c r="G282">
        <v>2165</v>
      </c>
      <c r="H282">
        <v>1</v>
      </c>
      <c r="I282">
        <v>14465.73</v>
      </c>
      <c r="J282">
        <v>14465.73</v>
      </c>
      <c r="L282" t="s">
        <v>374</v>
      </c>
      <c r="M282">
        <v>840</v>
      </c>
      <c r="N282">
        <v>1</v>
      </c>
      <c r="O282">
        <v>4</v>
      </c>
      <c r="P282">
        <v>582</v>
      </c>
      <c r="Q282">
        <v>344</v>
      </c>
      <c r="R282">
        <v>430</v>
      </c>
      <c r="S282">
        <v>2118.44</v>
      </c>
      <c r="U282" t="s">
        <v>374</v>
      </c>
      <c r="V282">
        <v>750</v>
      </c>
      <c r="W282">
        <v>1</v>
      </c>
      <c r="X282">
        <v>4</v>
      </c>
      <c r="Y282">
        <v>582</v>
      </c>
      <c r="Z282">
        <v>344</v>
      </c>
      <c r="AA282">
        <v>5.19</v>
      </c>
      <c r="AB282">
        <v>300</v>
      </c>
      <c r="AC282">
        <v>15826.81</v>
      </c>
      <c r="AE282" t="s">
        <v>383</v>
      </c>
      <c r="AF282">
        <v>2165</v>
      </c>
      <c r="AG282">
        <v>1</v>
      </c>
      <c r="AH282">
        <v>1488.3</v>
      </c>
      <c r="AI282">
        <v>0</v>
      </c>
      <c r="AJ282">
        <v>0</v>
      </c>
      <c r="AL282" t="s">
        <v>383</v>
      </c>
      <c r="AM282">
        <v>2159</v>
      </c>
      <c r="AN282">
        <v>1</v>
      </c>
      <c r="AO282">
        <v>0</v>
      </c>
      <c r="AP282" t="s">
        <v>295</v>
      </c>
      <c r="AQ282" t="s">
        <v>404</v>
      </c>
    </row>
    <row r="283" spans="1:43" x14ac:dyDescent="0.2">
      <c r="A283" t="s">
        <v>374</v>
      </c>
      <c r="B283">
        <v>2155</v>
      </c>
      <c r="C283">
        <v>1</v>
      </c>
      <c r="D283">
        <v>22652.97</v>
      </c>
      <c r="E283">
        <v>22652.97</v>
      </c>
      <c r="F283" t="s">
        <v>383</v>
      </c>
      <c r="G283">
        <v>2167</v>
      </c>
      <c r="H283">
        <v>1</v>
      </c>
      <c r="I283">
        <v>7092.99</v>
      </c>
      <c r="J283">
        <v>0</v>
      </c>
      <c r="L283" t="s">
        <v>374</v>
      </c>
      <c r="M283">
        <v>846</v>
      </c>
      <c r="N283">
        <v>1</v>
      </c>
      <c r="O283">
        <v>4</v>
      </c>
      <c r="P283">
        <v>582</v>
      </c>
      <c r="Q283">
        <v>344</v>
      </c>
      <c r="R283">
        <v>430</v>
      </c>
      <c r="S283">
        <v>2050.1999999999998</v>
      </c>
      <c r="U283" t="s">
        <v>374</v>
      </c>
      <c r="V283">
        <v>756</v>
      </c>
      <c r="W283">
        <v>1</v>
      </c>
      <c r="X283">
        <v>4</v>
      </c>
      <c r="Y283">
        <v>582</v>
      </c>
      <c r="Z283">
        <v>344</v>
      </c>
      <c r="AA283">
        <v>5.19</v>
      </c>
      <c r="AB283">
        <v>300</v>
      </c>
      <c r="AC283">
        <v>7218.34</v>
      </c>
      <c r="AE283" t="s">
        <v>383</v>
      </c>
      <c r="AF283">
        <v>2167</v>
      </c>
      <c r="AG283">
        <v>1</v>
      </c>
      <c r="AH283">
        <v>9820.01</v>
      </c>
      <c r="AI283">
        <v>15543.44</v>
      </c>
      <c r="AJ283">
        <v>23402.57</v>
      </c>
      <c r="AL283" t="s">
        <v>383</v>
      </c>
      <c r="AM283">
        <v>2164</v>
      </c>
      <c r="AN283">
        <v>1</v>
      </c>
      <c r="AO283">
        <v>0</v>
      </c>
      <c r="AP283" t="s">
        <v>296</v>
      </c>
      <c r="AQ283" t="s">
        <v>404</v>
      </c>
    </row>
    <row r="284" spans="1:43" x14ac:dyDescent="0.2">
      <c r="A284" t="s">
        <v>374</v>
      </c>
      <c r="B284">
        <v>2159</v>
      </c>
      <c r="C284">
        <v>1</v>
      </c>
      <c r="D284">
        <v>7136.9</v>
      </c>
      <c r="E284">
        <v>7136.9</v>
      </c>
      <c r="F284" t="s">
        <v>383</v>
      </c>
      <c r="G284">
        <v>2168</v>
      </c>
      <c r="H284">
        <v>1</v>
      </c>
      <c r="I284">
        <v>10445.49</v>
      </c>
      <c r="J284">
        <v>10445.49</v>
      </c>
      <c r="L284" t="s">
        <v>374</v>
      </c>
      <c r="M284">
        <v>850</v>
      </c>
      <c r="N284">
        <v>1</v>
      </c>
      <c r="O284">
        <v>4</v>
      </c>
      <c r="P284">
        <v>582</v>
      </c>
      <c r="Q284">
        <v>344</v>
      </c>
      <c r="R284">
        <v>430</v>
      </c>
      <c r="S284">
        <v>20.190000000000001</v>
      </c>
      <c r="U284" t="s">
        <v>374</v>
      </c>
      <c r="V284">
        <v>761</v>
      </c>
      <c r="W284">
        <v>1</v>
      </c>
      <c r="X284">
        <v>4</v>
      </c>
      <c r="Y284">
        <v>582</v>
      </c>
      <c r="Z284">
        <v>344</v>
      </c>
      <c r="AA284">
        <v>5.19</v>
      </c>
      <c r="AB284">
        <v>300</v>
      </c>
      <c r="AC284">
        <v>64704.08</v>
      </c>
      <c r="AE284" t="s">
        <v>383</v>
      </c>
      <c r="AF284">
        <v>2168</v>
      </c>
      <c r="AG284">
        <v>1</v>
      </c>
      <c r="AH284">
        <v>0</v>
      </c>
      <c r="AI284">
        <v>0</v>
      </c>
      <c r="AJ284">
        <v>-5963.45</v>
      </c>
      <c r="AL284" t="s">
        <v>383</v>
      </c>
      <c r="AM284">
        <v>2165</v>
      </c>
      <c r="AN284">
        <v>1</v>
      </c>
      <c r="AO284">
        <v>0</v>
      </c>
      <c r="AP284" t="s">
        <v>297</v>
      </c>
      <c r="AQ284" t="s">
        <v>404</v>
      </c>
    </row>
    <row r="285" spans="1:43" x14ac:dyDescent="0.2">
      <c r="A285" t="s">
        <v>374</v>
      </c>
      <c r="B285">
        <v>2164</v>
      </c>
      <c r="C285">
        <v>1</v>
      </c>
      <c r="D285">
        <v>17044.849999999999</v>
      </c>
      <c r="E285">
        <v>17044.849999999999</v>
      </c>
      <c r="F285" t="s">
        <v>383</v>
      </c>
      <c r="G285">
        <v>2169</v>
      </c>
      <c r="H285">
        <v>1</v>
      </c>
      <c r="I285">
        <v>8914.69</v>
      </c>
      <c r="J285">
        <v>8914.69</v>
      </c>
      <c r="L285" t="s">
        <v>374</v>
      </c>
      <c r="M285">
        <v>857</v>
      </c>
      <c r="N285">
        <v>1</v>
      </c>
      <c r="O285">
        <v>4</v>
      </c>
      <c r="P285">
        <v>582</v>
      </c>
      <c r="Q285">
        <v>344</v>
      </c>
      <c r="R285">
        <v>430</v>
      </c>
      <c r="S285">
        <v>2084.63</v>
      </c>
      <c r="U285" t="s">
        <v>374</v>
      </c>
      <c r="V285">
        <v>763</v>
      </c>
      <c r="W285">
        <v>1</v>
      </c>
      <c r="X285">
        <v>4</v>
      </c>
      <c r="Y285">
        <v>582</v>
      </c>
      <c r="Z285">
        <v>344</v>
      </c>
      <c r="AA285">
        <v>5.19</v>
      </c>
      <c r="AB285">
        <v>300</v>
      </c>
      <c r="AC285">
        <v>6669.38</v>
      </c>
      <c r="AE285" t="s">
        <v>383</v>
      </c>
      <c r="AF285">
        <v>2169</v>
      </c>
      <c r="AG285">
        <v>1</v>
      </c>
      <c r="AH285">
        <v>0</v>
      </c>
      <c r="AI285">
        <v>0</v>
      </c>
      <c r="AJ285">
        <v>0</v>
      </c>
      <c r="AL285" t="s">
        <v>383</v>
      </c>
      <c r="AM285">
        <v>2167</v>
      </c>
      <c r="AN285">
        <v>1</v>
      </c>
      <c r="AO285">
        <v>0</v>
      </c>
      <c r="AP285" t="s">
        <v>298</v>
      </c>
      <c r="AQ285" t="s">
        <v>404</v>
      </c>
    </row>
    <row r="286" spans="1:43" x14ac:dyDescent="0.2">
      <c r="A286" t="s">
        <v>374</v>
      </c>
      <c r="B286">
        <v>2165</v>
      </c>
      <c r="C286">
        <v>1</v>
      </c>
      <c r="D286">
        <v>16022.29</v>
      </c>
      <c r="E286">
        <v>16022.29</v>
      </c>
      <c r="F286" t="s">
        <v>383</v>
      </c>
      <c r="G286">
        <v>2170</v>
      </c>
      <c r="H286">
        <v>1</v>
      </c>
      <c r="I286">
        <v>23606.78</v>
      </c>
      <c r="J286">
        <v>23606.78</v>
      </c>
      <c r="L286" t="s">
        <v>374</v>
      </c>
      <c r="M286">
        <v>861</v>
      </c>
      <c r="N286">
        <v>1</v>
      </c>
      <c r="O286">
        <v>4</v>
      </c>
      <c r="P286">
        <v>582</v>
      </c>
      <c r="Q286">
        <v>344</v>
      </c>
      <c r="R286">
        <v>430</v>
      </c>
      <c r="S286">
        <v>174.36</v>
      </c>
      <c r="U286" t="s">
        <v>374</v>
      </c>
      <c r="V286">
        <v>768</v>
      </c>
      <c r="W286">
        <v>1</v>
      </c>
      <c r="X286">
        <v>4</v>
      </c>
      <c r="Y286">
        <v>582</v>
      </c>
      <c r="Z286">
        <v>344</v>
      </c>
      <c r="AA286">
        <v>5.19</v>
      </c>
      <c r="AB286">
        <v>300</v>
      </c>
      <c r="AC286">
        <v>2764.77</v>
      </c>
      <c r="AE286" t="s">
        <v>383</v>
      </c>
      <c r="AF286">
        <v>2170</v>
      </c>
      <c r="AG286">
        <v>1</v>
      </c>
      <c r="AH286">
        <v>5692.07</v>
      </c>
      <c r="AI286">
        <v>5692.07</v>
      </c>
      <c r="AJ286">
        <v>5878.43</v>
      </c>
      <c r="AL286" t="s">
        <v>383</v>
      </c>
      <c r="AM286">
        <v>2168</v>
      </c>
      <c r="AN286">
        <v>1</v>
      </c>
      <c r="AO286">
        <v>0</v>
      </c>
      <c r="AP286" t="s">
        <v>411</v>
      </c>
      <c r="AQ286" t="s">
        <v>404</v>
      </c>
    </row>
    <row r="287" spans="1:43" x14ac:dyDescent="0.2">
      <c r="A287" t="s">
        <v>374</v>
      </c>
      <c r="B287">
        <v>2167</v>
      </c>
      <c r="C287">
        <v>1</v>
      </c>
      <c r="D287">
        <v>7630.28</v>
      </c>
      <c r="E287">
        <v>7387.33</v>
      </c>
      <c r="F287" t="s">
        <v>383</v>
      </c>
      <c r="G287">
        <v>2171</v>
      </c>
      <c r="H287">
        <v>1</v>
      </c>
      <c r="I287">
        <v>2546.4</v>
      </c>
      <c r="J287">
        <v>2546.4</v>
      </c>
      <c r="L287" t="s">
        <v>374</v>
      </c>
      <c r="M287">
        <v>876</v>
      </c>
      <c r="N287">
        <v>1</v>
      </c>
      <c r="O287">
        <v>4</v>
      </c>
      <c r="P287">
        <v>582</v>
      </c>
      <c r="Q287">
        <v>344</v>
      </c>
      <c r="R287">
        <v>430</v>
      </c>
      <c r="S287">
        <v>86.1</v>
      </c>
      <c r="U287" t="s">
        <v>374</v>
      </c>
      <c r="V287">
        <v>771</v>
      </c>
      <c r="W287">
        <v>1</v>
      </c>
      <c r="X287">
        <v>4</v>
      </c>
      <c r="Y287">
        <v>582</v>
      </c>
      <c r="Z287">
        <v>344</v>
      </c>
      <c r="AA287">
        <v>5.19</v>
      </c>
      <c r="AB287">
        <v>300</v>
      </c>
      <c r="AC287">
        <v>2727.29</v>
      </c>
      <c r="AE287" t="s">
        <v>383</v>
      </c>
      <c r="AF287">
        <v>2171</v>
      </c>
      <c r="AG287">
        <v>1</v>
      </c>
      <c r="AH287">
        <v>0</v>
      </c>
      <c r="AI287">
        <v>0</v>
      </c>
      <c r="AJ287">
        <v>0</v>
      </c>
      <c r="AL287" t="s">
        <v>383</v>
      </c>
      <c r="AM287">
        <v>2169</v>
      </c>
      <c r="AN287">
        <v>1</v>
      </c>
      <c r="AO287">
        <v>0</v>
      </c>
      <c r="AP287" t="s">
        <v>299</v>
      </c>
      <c r="AQ287" t="s">
        <v>404</v>
      </c>
    </row>
    <row r="288" spans="1:43" x14ac:dyDescent="0.2">
      <c r="A288" t="s">
        <v>374</v>
      </c>
      <c r="B288">
        <v>2168</v>
      </c>
      <c r="C288">
        <v>1</v>
      </c>
      <c r="D288">
        <v>10419.94</v>
      </c>
      <c r="E288">
        <v>10419.94</v>
      </c>
      <c r="F288" t="s">
        <v>383</v>
      </c>
      <c r="G288">
        <v>2172</v>
      </c>
      <c r="H288">
        <v>1</v>
      </c>
      <c r="I288">
        <v>8394.44</v>
      </c>
      <c r="J288">
        <v>8394.44</v>
      </c>
      <c r="L288" t="s">
        <v>374</v>
      </c>
      <c r="M288">
        <v>879</v>
      </c>
      <c r="N288">
        <v>1</v>
      </c>
      <c r="O288">
        <v>4</v>
      </c>
      <c r="P288">
        <v>582</v>
      </c>
      <c r="Q288">
        <v>344</v>
      </c>
      <c r="R288">
        <v>430</v>
      </c>
      <c r="S288">
        <v>754.4</v>
      </c>
      <c r="U288" t="s">
        <v>374</v>
      </c>
      <c r="V288">
        <v>775</v>
      </c>
      <c r="W288">
        <v>1</v>
      </c>
      <c r="X288">
        <v>4</v>
      </c>
      <c r="Y288">
        <v>582</v>
      </c>
      <c r="Z288">
        <v>344</v>
      </c>
      <c r="AA288">
        <v>5.19</v>
      </c>
      <c r="AB288">
        <v>300</v>
      </c>
      <c r="AC288">
        <v>6632.36</v>
      </c>
      <c r="AE288" t="s">
        <v>383</v>
      </c>
      <c r="AF288">
        <v>2172</v>
      </c>
      <c r="AG288">
        <v>1</v>
      </c>
      <c r="AH288">
        <v>-13997.96</v>
      </c>
      <c r="AI288">
        <v>-21709.85</v>
      </c>
      <c r="AJ288">
        <v>0</v>
      </c>
      <c r="AL288" t="s">
        <v>383</v>
      </c>
      <c r="AM288">
        <v>2170</v>
      </c>
      <c r="AN288">
        <v>1</v>
      </c>
      <c r="AO288">
        <v>0</v>
      </c>
      <c r="AP288" t="s">
        <v>300</v>
      </c>
      <c r="AQ288" t="s">
        <v>404</v>
      </c>
    </row>
    <row r="289" spans="1:43" x14ac:dyDescent="0.2">
      <c r="A289" t="s">
        <v>374</v>
      </c>
      <c r="B289">
        <v>2169</v>
      </c>
      <c r="C289">
        <v>1</v>
      </c>
      <c r="D289">
        <v>8573.27</v>
      </c>
      <c r="E289">
        <v>8573.27</v>
      </c>
      <c r="F289" t="s">
        <v>383</v>
      </c>
      <c r="G289">
        <v>2174</v>
      </c>
      <c r="H289">
        <v>1</v>
      </c>
      <c r="I289">
        <v>17260.04</v>
      </c>
      <c r="J289">
        <v>17260.04</v>
      </c>
      <c r="L289" t="s">
        <v>374</v>
      </c>
      <c r="M289">
        <v>882</v>
      </c>
      <c r="N289">
        <v>1</v>
      </c>
      <c r="O289">
        <v>4</v>
      </c>
      <c r="P289">
        <v>582</v>
      </c>
      <c r="Q289">
        <v>344</v>
      </c>
      <c r="R289">
        <v>430</v>
      </c>
      <c r="S289">
        <v>66.67</v>
      </c>
      <c r="U289" t="s">
        <v>374</v>
      </c>
      <c r="V289">
        <v>777</v>
      </c>
      <c r="W289">
        <v>1</v>
      </c>
      <c r="X289">
        <v>4</v>
      </c>
      <c r="Y289">
        <v>582</v>
      </c>
      <c r="Z289">
        <v>344</v>
      </c>
      <c r="AA289">
        <v>5.19</v>
      </c>
      <c r="AB289">
        <v>300</v>
      </c>
      <c r="AC289">
        <v>11379.24</v>
      </c>
      <c r="AE289" t="s">
        <v>383</v>
      </c>
      <c r="AF289">
        <v>2174</v>
      </c>
      <c r="AG289">
        <v>1</v>
      </c>
      <c r="AH289">
        <v>4717.8599999999997</v>
      </c>
      <c r="AI289">
        <v>1074.6400000000001</v>
      </c>
      <c r="AJ289">
        <v>2803.48</v>
      </c>
      <c r="AL289" t="s">
        <v>383</v>
      </c>
      <c r="AM289">
        <v>2171</v>
      </c>
      <c r="AN289">
        <v>1</v>
      </c>
      <c r="AO289">
        <v>0</v>
      </c>
      <c r="AP289" t="s">
        <v>301</v>
      </c>
      <c r="AQ289" t="s">
        <v>404</v>
      </c>
    </row>
    <row r="290" spans="1:43" x14ac:dyDescent="0.2">
      <c r="A290" t="s">
        <v>374</v>
      </c>
      <c r="B290">
        <v>2170</v>
      </c>
      <c r="C290">
        <v>1</v>
      </c>
      <c r="D290">
        <v>23675.95</v>
      </c>
      <c r="E290">
        <v>23675.95</v>
      </c>
      <c r="F290" t="s">
        <v>383</v>
      </c>
      <c r="G290">
        <v>2176</v>
      </c>
      <c r="H290">
        <v>1</v>
      </c>
      <c r="I290">
        <v>6902.54</v>
      </c>
      <c r="J290">
        <v>6902.54</v>
      </c>
      <c r="L290" t="s">
        <v>374</v>
      </c>
      <c r="M290">
        <v>885</v>
      </c>
      <c r="N290">
        <v>1</v>
      </c>
      <c r="O290">
        <v>4</v>
      </c>
      <c r="P290">
        <v>582</v>
      </c>
      <c r="Q290">
        <v>344</v>
      </c>
      <c r="R290">
        <v>430</v>
      </c>
      <c r="S290">
        <v>1202.19</v>
      </c>
      <c r="U290" t="s">
        <v>374</v>
      </c>
      <c r="V290">
        <v>803</v>
      </c>
      <c r="W290">
        <v>1</v>
      </c>
      <c r="X290">
        <v>4</v>
      </c>
      <c r="Y290">
        <v>582</v>
      </c>
      <c r="Z290">
        <v>344</v>
      </c>
      <c r="AA290">
        <v>5.19</v>
      </c>
      <c r="AB290">
        <v>300</v>
      </c>
      <c r="AC290">
        <v>3812.36</v>
      </c>
      <c r="AE290" t="s">
        <v>383</v>
      </c>
      <c r="AF290">
        <v>2176</v>
      </c>
      <c r="AG290">
        <v>1</v>
      </c>
      <c r="AH290">
        <v>567.77</v>
      </c>
      <c r="AI290">
        <v>46.3</v>
      </c>
      <c r="AJ290">
        <v>200.15</v>
      </c>
      <c r="AL290" t="s">
        <v>383</v>
      </c>
      <c r="AM290">
        <v>2172</v>
      </c>
      <c r="AN290">
        <v>1</v>
      </c>
      <c r="AO290">
        <v>0</v>
      </c>
      <c r="AP290" t="s">
        <v>302</v>
      </c>
      <c r="AQ290" t="s">
        <v>404</v>
      </c>
    </row>
    <row r="291" spans="1:43" x14ac:dyDescent="0.2">
      <c r="A291" t="s">
        <v>374</v>
      </c>
      <c r="B291">
        <v>2171</v>
      </c>
      <c r="C291">
        <v>1</v>
      </c>
      <c r="D291">
        <v>2819.08</v>
      </c>
      <c r="E291">
        <v>2819.08</v>
      </c>
      <c r="F291" t="s">
        <v>383</v>
      </c>
      <c r="G291">
        <v>2180</v>
      </c>
      <c r="H291">
        <v>1</v>
      </c>
      <c r="I291">
        <v>9294.52</v>
      </c>
      <c r="J291">
        <v>9294.52</v>
      </c>
      <c r="L291" t="s">
        <v>374</v>
      </c>
      <c r="M291">
        <v>911</v>
      </c>
      <c r="N291">
        <v>1</v>
      </c>
      <c r="O291">
        <v>4</v>
      </c>
      <c r="P291">
        <v>582</v>
      </c>
      <c r="Q291">
        <v>344</v>
      </c>
      <c r="R291">
        <v>430</v>
      </c>
      <c r="S291">
        <v>4873.9799999999996</v>
      </c>
      <c r="U291" t="s">
        <v>374</v>
      </c>
      <c r="V291">
        <v>811</v>
      </c>
      <c r="W291">
        <v>1</v>
      </c>
      <c r="X291">
        <v>4</v>
      </c>
      <c r="Y291">
        <v>582</v>
      </c>
      <c r="Z291">
        <v>344</v>
      </c>
      <c r="AA291">
        <v>5.19</v>
      </c>
      <c r="AB291">
        <v>300</v>
      </c>
      <c r="AC291">
        <v>7000.96</v>
      </c>
      <c r="AE291" t="s">
        <v>383</v>
      </c>
      <c r="AF291">
        <v>2180</v>
      </c>
      <c r="AG291">
        <v>1</v>
      </c>
      <c r="AH291">
        <v>1983.12</v>
      </c>
      <c r="AI291">
        <v>2126.56</v>
      </c>
      <c r="AJ291">
        <v>2154.46</v>
      </c>
      <c r="AL291" t="s">
        <v>383</v>
      </c>
      <c r="AM291">
        <v>2174</v>
      </c>
      <c r="AN291">
        <v>1</v>
      </c>
      <c r="AO291">
        <v>0</v>
      </c>
      <c r="AP291" t="s">
        <v>303</v>
      </c>
      <c r="AQ291" t="s">
        <v>404</v>
      </c>
    </row>
    <row r="292" spans="1:43" x14ac:dyDescent="0.2">
      <c r="A292" t="s">
        <v>374</v>
      </c>
      <c r="B292">
        <v>2172</v>
      </c>
      <c r="C292">
        <v>1</v>
      </c>
      <c r="D292">
        <v>9288.58</v>
      </c>
      <c r="E292">
        <v>9288.58</v>
      </c>
      <c r="F292" t="s">
        <v>383</v>
      </c>
      <c r="G292">
        <v>2184</v>
      </c>
      <c r="H292">
        <v>1</v>
      </c>
      <c r="I292">
        <v>13830.09</v>
      </c>
      <c r="J292">
        <v>13830.09</v>
      </c>
      <c r="L292" t="s">
        <v>374</v>
      </c>
      <c r="M292">
        <v>912</v>
      </c>
      <c r="N292">
        <v>1</v>
      </c>
      <c r="O292">
        <v>4</v>
      </c>
      <c r="P292">
        <v>582</v>
      </c>
      <c r="Q292">
        <v>344</v>
      </c>
      <c r="R292">
        <v>430</v>
      </c>
      <c r="S292">
        <v>808.97</v>
      </c>
      <c r="U292" t="s">
        <v>374</v>
      </c>
      <c r="V292">
        <v>818</v>
      </c>
      <c r="W292">
        <v>1</v>
      </c>
      <c r="X292">
        <v>4</v>
      </c>
      <c r="Y292">
        <v>582</v>
      </c>
      <c r="Z292">
        <v>344</v>
      </c>
      <c r="AA292">
        <v>5.19</v>
      </c>
      <c r="AB292">
        <v>300</v>
      </c>
      <c r="AC292">
        <v>5732.5</v>
      </c>
      <c r="AE292" t="s">
        <v>383</v>
      </c>
      <c r="AF292">
        <v>2184</v>
      </c>
      <c r="AG292">
        <v>1</v>
      </c>
      <c r="AH292">
        <v>3142.22</v>
      </c>
      <c r="AI292">
        <v>2543.65</v>
      </c>
      <c r="AJ292">
        <v>3732.4</v>
      </c>
      <c r="AL292" t="s">
        <v>383</v>
      </c>
      <c r="AM292">
        <v>2176</v>
      </c>
      <c r="AN292">
        <v>1</v>
      </c>
      <c r="AO292">
        <v>0</v>
      </c>
      <c r="AP292" t="s">
        <v>304</v>
      </c>
      <c r="AQ292" t="s">
        <v>404</v>
      </c>
    </row>
    <row r="293" spans="1:43" x14ac:dyDescent="0.2">
      <c r="A293" t="s">
        <v>374</v>
      </c>
      <c r="B293">
        <v>2174</v>
      </c>
      <c r="C293">
        <v>1</v>
      </c>
      <c r="D293">
        <v>17336.86</v>
      </c>
      <c r="E293">
        <v>17336.86</v>
      </c>
      <c r="F293" t="s">
        <v>383</v>
      </c>
      <c r="G293">
        <v>2190</v>
      </c>
      <c r="H293">
        <v>1</v>
      </c>
      <c r="I293">
        <v>13008.9</v>
      </c>
      <c r="J293">
        <v>13008.9</v>
      </c>
      <c r="L293" t="s">
        <v>374</v>
      </c>
      <c r="M293">
        <v>2071</v>
      </c>
      <c r="N293">
        <v>1</v>
      </c>
      <c r="O293">
        <v>4</v>
      </c>
      <c r="P293">
        <v>582</v>
      </c>
      <c r="Q293">
        <v>344</v>
      </c>
      <c r="R293">
        <v>430</v>
      </c>
      <c r="S293">
        <v>4097.8500000000004</v>
      </c>
      <c r="U293" t="s">
        <v>374</v>
      </c>
      <c r="V293">
        <v>829</v>
      </c>
      <c r="W293">
        <v>1</v>
      </c>
      <c r="X293">
        <v>4</v>
      </c>
      <c r="Y293">
        <v>582</v>
      </c>
      <c r="Z293">
        <v>344</v>
      </c>
      <c r="AA293">
        <v>5.19</v>
      </c>
      <c r="AB293">
        <v>300</v>
      </c>
      <c r="AC293">
        <v>26120.62</v>
      </c>
      <c r="AE293" t="s">
        <v>383</v>
      </c>
      <c r="AF293">
        <v>2190</v>
      </c>
      <c r="AG293">
        <v>1</v>
      </c>
      <c r="AH293">
        <v>5011.2299999999996</v>
      </c>
      <c r="AI293">
        <v>10412.67</v>
      </c>
      <c r="AJ293">
        <v>2888.27</v>
      </c>
      <c r="AL293" t="s">
        <v>383</v>
      </c>
      <c r="AM293">
        <v>2180</v>
      </c>
      <c r="AN293">
        <v>1</v>
      </c>
      <c r="AO293">
        <v>0</v>
      </c>
      <c r="AP293" t="s">
        <v>305</v>
      </c>
      <c r="AQ293" t="s">
        <v>404</v>
      </c>
    </row>
    <row r="294" spans="1:43" x14ac:dyDescent="0.2">
      <c r="A294" t="s">
        <v>374</v>
      </c>
      <c r="B294">
        <v>2176</v>
      </c>
      <c r="C294">
        <v>1</v>
      </c>
      <c r="D294">
        <v>6844.63</v>
      </c>
      <c r="E294">
        <v>6844.63</v>
      </c>
      <c r="F294" t="s">
        <v>383</v>
      </c>
      <c r="G294">
        <v>2198</v>
      </c>
      <c r="H294">
        <v>1</v>
      </c>
      <c r="I294">
        <v>5917.47</v>
      </c>
      <c r="J294">
        <v>5917.47</v>
      </c>
      <c r="L294" t="s">
        <v>374</v>
      </c>
      <c r="M294">
        <v>2125</v>
      </c>
      <c r="N294">
        <v>1</v>
      </c>
      <c r="O294">
        <v>4</v>
      </c>
      <c r="P294">
        <v>582</v>
      </c>
      <c r="Q294">
        <v>344</v>
      </c>
      <c r="R294">
        <v>430</v>
      </c>
      <c r="S294">
        <v>247.64</v>
      </c>
      <c r="U294" t="s">
        <v>374</v>
      </c>
      <c r="V294">
        <v>831</v>
      </c>
      <c r="W294">
        <v>1</v>
      </c>
      <c r="X294">
        <v>4</v>
      </c>
      <c r="Y294">
        <v>582</v>
      </c>
      <c r="Z294">
        <v>344</v>
      </c>
      <c r="AA294">
        <v>5.19</v>
      </c>
      <c r="AB294">
        <v>300</v>
      </c>
      <c r="AC294">
        <v>72167.47</v>
      </c>
      <c r="AE294" t="s">
        <v>383</v>
      </c>
      <c r="AF294">
        <v>2198</v>
      </c>
      <c r="AG294">
        <v>1</v>
      </c>
      <c r="AH294">
        <v>-32460.93</v>
      </c>
      <c r="AI294">
        <v>-30536.79</v>
      </c>
      <c r="AJ294">
        <v>-29074.26</v>
      </c>
      <c r="AL294" t="s">
        <v>383</v>
      </c>
      <c r="AM294">
        <v>2184</v>
      </c>
      <c r="AN294">
        <v>1</v>
      </c>
      <c r="AO294">
        <v>0</v>
      </c>
      <c r="AP294" t="s">
        <v>306</v>
      </c>
      <c r="AQ294" t="s">
        <v>404</v>
      </c>
    </row>
    <row r="295" spans="1:43" x14ac:dyDescent="0.2">
      <c r="A295" t="s">
        <v>374</v>
      </c>
      <c r="B295">
        <v>2180</v>
      </c>
      <c r="C295">
        <v>1</v>
      </c>
      <c r="D295">
        <v>8650.35</v>
      </c>
      <c r="E295">
        <v>8650.35</v>
      </c>
      <c r="F295" t="s">
        <v>383</v>
      </c>
      <c r="G295">
        <v>2215</v>
      </c>
      <c r="H295">
        <v>1</v>
      </c>
      <c r="I295">
        <v>5458.63</v>
      </c>
      <c r="J295">
        <v>4154.93</v>
      </c>
      <c r="L295" t="s">
        <v>374</v>
      </c>
      <c r="M295">
        <v>2142</v>
      </c>
      <c r="N295">
        <v>1</v>
      </c>
      <c r="O295">
        <v>4</v>
      </c>
      <c r="P295">
        <v>582</v>
      </c>
      <c r="Q295">
        <v>344</v>
      </c>
      <c r="R295">
        <v>430</v>
      </c>
      <c r="S295">
        <v>423.64</v>
      </c>
      <c r="U295" t="s">
        <v>374</v>
      </c>
      <c r="V295">
        <v>832</v>
      </c>
      <c r="W295">
        <v>1</v>
      </c>
      <c r="X295">
        <v>4</v>
      </c>
      <c r="Y295">
        <v>582</v>
      </c>
      <c r="Z295">
        <v>344</v>
      </c>
      <c r="AA295">
        <v>5.19</v>
      </c>
      <c r="AB295">
        <v>300</v>
      </c>
      <c r="AC295">
        <v>17383.099999999999</v>
      </c>
      <c r="AE295" t="s">
        <v>383</v>
      </c>
      <c r="AF295">
        <v>2215</v>
      </c>
      <c r="AG295">
        <v>1</v>
      </c>
      <c r="AH295">
        <v>0</v>
      </c>
      <c r="AI295">
        <v>1007</v>
      </c>
      <c r="AJ295">
        <v>10150.5</v>
      </c>
      <c r="AL295" t="s">
        <v>383</v>
      </c>
      <c r="AM295">
        <v>2190</v>
      </c>
      <c r="AN295">
        <v>1</v>
      </c>
      <c r="AO295">
        <v>0</v>
      </c>
      <c r="AP295" t="s">
        <v>307</v>
      </c>
      <c r="AQ295" t="s">
        <v>404</v>
      </c>
    </row>
    <row r="296" spans="1:43" x14ac:dyDescent="0.2">
      <c r="A296" t="s">
        <v>374</v>
      </c>
      <c r="B296">
        <v>2184</v>
      </c>
      <c r="C296">
        <v>1</v>
      </c>
      <c r="D296">
        <v>14239.24</v>
      </c>
      <c r="E296">
        <v>14239.24</v>
      </c>
      <c r="F296" t="s">
        <v>383</v>
      </c>
      <c r="G296">
        <v>2310</v>
      </c>
      <c r="H296">
        <v>1</v>
      </c>
      <c r="I296">
        <v>18999.38</v>
      </c>
      <c r="J296">
        <v>16376.68</v>
      </c>
      <c r="L296" t="s">
        <v>374</v>
      </c>
      <c r="M296">
        <v>2154</v>
      </c>
      <c r="N296">
        <v>1</v>
      </c>
      <c r="O296">
        <v>4</v>
      </c>
      <c r="P296">
        <v>582</v>
      </c>
      <c r="Q296">
        <v>344</v>
      </c>
      <c r="R296">
        <v>430</v>
      </c>
      <c r="S296">
        <v>2137.0300000000002</v>
      </c>
      <c r="U296" t="s">
        <v>374</v>
      </c>
      <c r="V296">
        <v>834</v>
      </c>
      <c r="W296">
        <v>1</v>
      </c>
      <c r="X296">
        <v>4</v>
      </c>
      <c r="Y296">
        <v>582</v>
      </c>
      <c r="Z296">
        <v>344</v>
      </c>
      <c r="AA296">
        <v>5.19</v>
      </c>
      <c r="AB296">
        <v>300</v>
      </c>
      <c r="AC296">
        <v>73327.94</v>
      </c>
      <c r="AE296" t="s">
        <v>383</v>
      </c>
      <c r="AF296">
        <v>2310</v>
      </c>
      <c r="AG296">
        <v>1</v>
      </c>
      <c r="AH296">
        <v>5848.14</v>
      </c>
      <c r="AI296">
        <v>27088.33</v>
      </c>
      <c r="AJ296">
        <v>4172</v>
      </c>
      <c r="AL296" t="s">
        <v>383</v>
      </c>
      <c r="AM296">
        <v>2198</v>
      </c>
      <c r="AN296">
        <v>1</v>
      </c>
      <c r="AO296">
        <v>0</v>
      </c>
      <c r="AP296" t="s">
        <v>308</v>
      </c>
      <c r="AQ296" t="s">
        <v>404</v>
      </c>
    </row>
    <row r="297" spans="1:43" x14ac:dyDescent="0.2">
      <c r="A297" t="s">
        <v>374</v>
      </c>
      <c r="B297">
        <v>2190</v>
      </c>
      <c r="C297">
        <v>1</v>
      </c>
      <c r="D297">
        <v>14240.22</v>
      </c>
      <c r="E297">
        <v>14240.22</v>
      </c>
      <c r="F297" t="s">
        <v>383</v>
      </c>
      <c r="G297">
        <v>2311</v>
      </c>
      <c r="H297">
        <v>1</v>
      </c>
      <c r="I297">
        <v>7453.78</v>
      </c>
      <c r="J297">
        <v>7453.78</v>
      </c>
      <c r="L297" t="s">
        <v>374</v>
      </c>
      <c r="M297">
        <v>2164</v>
      </c>
      <c r="N297">
        <v>1</v>
      </c>
      <c r="O297">
        <v>4</v>
      </c>
      <c r="P297">
        <v>582</v>
      </c>
      <c r="Q297">
        <v>344</v>
      </c>
      <c r="R297">
        <v>430</v>
      </c>
      <c r="S297">
        <v>333.17</v>
      </c>
      <c r="U297" t="s">
        <v>374</v>
      </c>
      <c r="V297">
        <v>836</v>
      </c>
      <c r="W297">
        <v>1</v>
      </c>
      <c r="X297">
        <v>4</v>
      </c>
      <c r="Y297">
        <v>582</v>
      </c>
      <c r="Z297">
        <v>344</v>
      </c>
      <c r="AA297">
        <v>5.19</v>
      </c>
      <c r="AB297">
        <v>300</v>
      </c>
      <c r="AC297">
        <v>3212.6</v>
      </c>
      <c r="AE297" t="s">
        <v>383</v>
      </c>
      <c r="AF297">
        <v>2311</v>
      </c>
      <c r="AG297">
        <v>1</v>
      </c>
      <c r="AH297">
        <v>2442.16</v>
      </c>
      <c r="AI297">
        <v>4016.02</v>
      </c>
      <c r="AJ297">
        <v>4373.3500000000004</v>
      </c>
      <c r="AL297" t="s">
        <v>383</v>
      </c>
      <c r="AM297">
        <v>2215</v>
      </c>
      <c r="AN297">
        <v>1</v>
      </c>
      <c r="AO297">
        <v>0</v>
      </c>
      <c r="AP297" t="s">
        <v>309</v>
      </c>
      <c r="AQ297" t="s">
        <v>404</v>
      </c>
    </row>
    <row r="298" spans="1:43" x14ac:dyDescent="0.2">
      <c r="A298" t="s">
        <v>374</v>
      </c>
      <c r="B298">
        <v>2198</v>
      </c>
      <c r="C298">
        <v>1</v>
      </c>
      <c r="D298">
        <v>7317.54</v>
      </c>
      <c r="E298">
        <v>7317.54</v>
      </c>
      <c r="F298" t="s">
        <v>383</v>
      </c>
      <c r="G298">
        <v>2342</v>
      </c>
      <c r="H298">
        <v>1</v>
      </c>
      <c r="I298">
        <v>9514.9</v>
      </c>
      <c r="J298">
        <v>9514.9</v>
      </c>
      <c r="L298" t="s">
        <v>374</v>
      </c>
      <c r="M298">
        <v>2165</v>
      </c>
      <c r="N298">
        <v>1</v>
      </c>
      <c r="O298">
        <v>4</v>
      </c>
      <c r="P298">
        <v>582</v>
      </c>
      <c r="Q298">
        <v>344</v>
      </c>
      <c r="R298">
        <v>430</v>
      </c>
      <c r="S298">
        <v>473.2</v>
      </c>
      <c r="U298" t="s">
        <v>374</v>
      </c>
      <c r="V298">
        <v>837</v>
      </c>
      <c r="W298">
        <v>1</v>
      </c>
      <c r="X298">
        <v>4</v>
      </c>
      <c r="Y298">
        <v>582</v>
      </c>
      <c r="Z298">
        <v>344</v>
      </c>
      <c r="AA298">
        <v>5.19</v>
      </c>
      <c r="AB298">
        <v>300</v>
      </c>
      <c r="AC298">
        <v>7065.85</v>
      </c>
      <c r="AE298" t="s">
        <v>383</v>
      </c>
      <c r="AF298">
        <v>2342</v>
      </c>
      <c r="AG298">
        <v>1</v>
      </c>
      <c r="AH298">
        <v>-7946.94</v>
      </c>
      <c r="AI298">
        <v>-5724.89</v>
      </c>
      <c r="AJ298">
        <v>-5694.82</v>
      </c>
      <c r="AL298" t="s">
        <v>383</v>
      </c>
      <c r="AM298">
        <v>2310</v>
      </c>
      <c r="AN298">
        <v>1</v>
      </c>
      <c r="AO298">
        <v>0</v>
      </c>
      <c r="AP298" t="s">
        <v>310</v>
      </c>
      <c r="AQ298" t="s">
        <v>404</v>
      </c>
    </row>
    <row r="299" spans="1:43" x14ac:dyDescent="0.2">
      <c r="A299" t="s">
        <v>374</v>
      </c>
      <c r="B299">
        <v>2215</v>
      </c>
      <c r="C299">
        <v>1</v>
      </c>
      <c r="D299">
        <v>5071.8599999999997</v>
      </c>
      <c r="E299">
        <v>5071.8599999999997</v>
      </c>
      <c r="F299" t="s">
        <v>383</v>
      </c>
      <c r="G299">
        <v>2358</v>
      </c>
      <c r="H299">
        <v>1</v>
      </c>
      <c r="I299">
        <v>3451.51</v>
      </c>
      <c r="J299">
        <v>3451.51</v>
      </c>
      <c r="L299" t="s">
        <v>374</v>
      </c>
      <c r="M299">
        <v>2168</v>
      </c>
      <c r="N299">
        <v>1</v>
      </c>
      <c r="O299">
        <v>4</v>
      </c>
      <c r="P299">
        <v>582</v>
      </c>
      <c r="Q299">
        <v>344</v>
      </c>
      <c r="R299">
        <v>430</v>
      </c>
      <c r="S299">
        <v>500</v>
      </c>
      <c r="U299" t="s">
        <v>374</v>
      </c>
      <c r="V299">
        <v>840</v>
      </c>
      <c r="W299">
        <v>1</v>
      </c>
      <c r="X299">
        <v>4</v>
      </c>
      <c r="Y299">
        <v>582</v>
      </c>
      <c r="Z299">
        <v>344</v>
      </c>
      <c r="AA299">
        <v>5.19</v>
      </c>
      <c r="AB299">
        <v>300</v>
      </c>
      <c r="AC299">
        <v>17508.990000000002</v>
      </c>
      <c r="AE299" t="s">
        <v>383</v>
      </c>
      <c r="AF299">
        <v>2358</v>
      </c>
      <c r="AG299">
        <v>1</v>
      </c>
      <c r="AH299">
        <v>446.04</v>
      </c>
      <c r="AI299">
        <v>-0.11</v>
      </c>
      <c r="AJ299">
        <v>380.36</v>
      </c>
      <c r="AL299" t="s">
        <v>383</v>
      </c>
      <c r="AM299">
        <v>2311</v>
      </c>
      <c r="AN299">
        <v>1</v>
      </c>
      <c r="AO299">
        <v>0</v>
      </c>
      <c r="AP299" t="s">
        <v>311</v>
      </c>
      <c r="AQ299" t="s">
        <v>404</v>
      </c>
    </row>
    <row r="300" spans="1:43" x14ac:dyDescent="0.2">
      <c r="A300" t="s">
        <v>374</v>
      </c>
      <c r="B300">
        <v>2310</v>
      </c>
      <c r="C300">
        <v>1</v>
      </c>
      <c r="D300">
        <v>18674.72</v>
      </c>
      <c r="E300">
        <v>18674.72</v>
      </c>
      <c r="F300" t="s">
        <v>383</v>
      </c>
      <c r="G300">
        <v>2364</v>
      </c>
      <c r="H300">
        <v>1</v>
      </c>
      <c r="I300">
        <v>9495.39</v>
      </c>
      <c r="J300">
        <v>9495.39</v>
      </c>
      <c r="L300" t="s">
        <v>374</v>
      </c>
      <c r="M300">
        <v>2169</v>
      </c>
      <c r="N300">
        <v>1</v>
      </c>
      <c r="O300">
        <v>4</v>
      </c>
      <c r="P300">
        <v>582</v>
      </c>
      <c r="Q300">
        <v>344</v>
      </c>
      <c r="R300">
        <v>430</v>
      </c>
      <c r="S300">
        <v>1128.6500000000001</v>
      </c>
      <c r="U300" t="s">
        <v>374</v>
      </c>
      <c r="V300">
        <v>846</v>
      </c>
      <c r="W300">
        <v>1</v>
      </c>
      <c r="X300">
        <v>4</v>
      </c>
      <c r="Y300">
        <v>582</v>
      </c>
      <c r="Z300">
        <v>344</v>
      </c>
      <c r="AA300">
        <v>5.19</v>
      </c>
      <c r="AB300">
        <v>300</v>
      </c>
      <c r="AC300">
        <v>10212.719999999999</v>
      </c>
      <c r="AE300" t="s">
        <v>383</v>
      </c>
      <c r="AF300">
        <v>2364</v>
      </c>
      <c r="AG300">
        <v>1</v>
      </c>
      <c r="AH300">
        <v>1263.6500000000001</v>
      </c>
      <c r="AI300">
        <v>1899.77</v>
      </c>
      <c r="AJ300">
        <v>1691.63</v>
      </c>
      <c r="AL300" t="s">
        <v>383</v>
      </c>
      <c r="AM300">
        <v>2342</v>
      </c>
      <c r="AN300">
        <v>1</v>
      </c>
      <c r="AO300">
        <v>0</v>
      </c>
      <c r="AP300" t="s">
        <v>312</v>
      </c>
      <c r="AQ300" t="s">
        <v>404</v>
      </c>
    </row>
    <row r="301" spans="1:43" x14ac:dyDescent="0.2">
      <c r="A301" t="s">
        <v>374</v>
      </c>
      <c r="B301">
        <v>2311</v>
      </c>
      <c r="C301">
        <v>1</v>
      </c>
      <c r="D301">
        <v>7570.83</v>
      </c>
      <c r="E301">
        <v>7570.83</v>
      </c>
      <c r="F301" t="s">
        <v>383</v>
      </c>
      <c r="G301">
        <v>2365</v>
      </c>
      <c r="H301">
        <v>1</v>
      </c>
      <c r="I301">
        <v>19590.03</v>
      </c>
      <c r="J301">
        <v>19590.03</v>
      </c>
      <c r="L301" t="s">
        <v>374</v>
      </c>
      <c r="M301">
        <v>2171</v>
      </c>
      <c r="N301">
        <v>1</v>
      </c>
      <c r="O301">
        <v>4</v>
      </c>
      <c r="P301">
        <v>582</v>
      </c>
      <c r="Q301">
        <v>344</v>
      </c>
      <c r="R301">
        <v>430</v>
      </c>
      <c r="S301">
        <v>3155.36</v>
      </c>
      <c r="U301" t="s">
        <v>374</v>
      </c>
      <c r="V301">
        <v>850</v>
      </c>
      <c r="W301">
        <v>1</v>
      </c>
      <c r="X301">
        <v>4</v>
      </c>
      <c r="Y301">
        <v>582</v>
      </c>
      <c r="Z301">
        <v>344</v>
      </c>
      <c r="AA301">
        <v>5.19</v>
      </c>
      <c r="AB301">
        <v>300</v>
      </c>
      <c r="AC301">
        <v>2263.2800000000002</v>
      </c>
      <c r="AE301" t="s">
        <v>383</v>
      </c>
      <c r="AF301">
        <v>2365</v>
      </c>
      <c r="AG301">
        <v>1</v>
      </c>
      <c r="AH301">
        <v>766.37</v>
      </c>
      <c r="AI301">
        <v>-22.26</v>
      </c>
      <c r="AJ301">
        <v>686.42</v>
      </c>
      <c r="AL301" t="s">
        <v>383</v>
      </c>
      <c r="AM301">
        <v>2358</v>
      </c>
      <c r="AN301">
        <v>1</v>
      </c>
      <c r="AO301">
        <v>0</v>
      </c>
      <c r="AP301" t="s">
        <v>313</v>
      </c>
      <c r="AQ301" t="s">
        <v>404</v>
      </c>
    </row>
    <row r="302" spans="1:43" x14ac:dyDescent="0.2">
      <c r="A302" t="s">
        <v>374</v>
      </c>
      <c r="B302">
        <v>2342</v>
      </c>
      <c r="C302">
        <v>1</v>
      </c>
      <c r="D302">
        <v>11385</v>
      </c>
      <c r="E302">
        <v>11385</v>
      </c>
      <c r="F302" t="s">
        <v>383</v>
      </c>
      <c r="G302">
        <v>2396</v>
      </c>
      <c r="H302">
        <v>1</v>
      </c>
      <c r="I302">
        <v>11658.49</v>
      </c>
      <c r="J302">
        <v>11658.49</v>
      </c>
      <c r="L302" t="s">
        <v>374</v>
      </c>
      <c r="M302">
        <v>2172</v>
      </c>
      <c r="N302">
        <v>1</v>
      </c>
      <c r="O302">
        <v>4</v>
      </c>
      <c r="P302">
        <v>582</v>
      </c>
      <c r="Q302">
        <v>344</v>
      </c>
      <c r="R302">
        <v>430</v>
      </c>
      <c r="S302">
        <v>24.97</v>
      </c>
      <c r="U302" t="s">
        <v>374</v>
      </c>
      <c r="V302">
        <v>857</v>
      </c>
      <c r="W302">
        <v>1</v>
      </c>
      <c r="X302">
        <v>4</v>
      </c>
      <c r="Y302">
        <v>582</v>
      </c>
      <c r="Z302">
        <v>344</v>
      </c>
      <c r="AA302">
        <v>5.19</v>
      </c>
      <c r="AB302">
        <v>300</v>
      </c>
      <c r="AC302">
        <v>9674.08</v>
      </c>
      <c r="AE302" t="s">
        <v>383</v>
      </c>
      <c r="AF302">
        <v>2396</v>
      </c>
      <c r="AG302">
        <v>1</v>
      </c>
      <c r="AH302">
        <v>178.09</v>
      </c>
      <c r="AI302">
        <v>-5843.89</v>
      </c>
      <c r="AJ302">
        <v>1906.63</v>
      </c>
      <c r="AL302" t="s">
        <v>383</v>
      </c>
      <c r="AM302">
        <v>2364</v>
      </c>
      <c r="AN302">
        <v>1</v>
      </c>
      <c r="AO302">
        <v>0</v>
      </c>
      <c r="AP302" t="s">
        <v>314</v>
      </c>
      <c r="AQ302" t="s">
        <v>404</v>
      </c>
    </row>
    <row r="303" spans="1:43" x14ac:dyDescent="0.2">
      <c r="A303" t="s">
        <v>374</v>
      </c>
      <c r="B303">
        <v>2358</v>
      </c>
      <c r="C303">
        <v>1</v>
      </c>
      <c r="D303">
        <v>3364.28</v>
      </c>
      <c r="E303">
        <v>3364.28</v>
      </c>
      <c r="F303" t="s">
        <v>383</v>
      </c>
      <c r="G303">
        <v>2397</v>
      </c>
      <c r="H303">
        <v>1</v>
      </c>
      <c r="I303">
        <v>15778.31</v>
      </c>
      <c r="J303">
        <v>15778.31</v>
      </c>
      <c r="L303" t="s">
        <v>374</v>
      </c>
      <c r="M303">
        <v>2174</v>
      </c>
      <c r="N303">
        <v>1</v>
      </c>
      <c r="O303">
        <v>4</v>
      </c>
      <c r="P303">
        <v>582</v>
      </c>
      <c r="Q303">
        <v>344</v>
      </c>
      <c r="R303">
        <v>430</v>
      </c>
      <c r="S303">
        <v>513.36</v>
      </c>
      <c r="U303" t="s">
        <v>374</v>
      </c>
      <c r="V303">
        <v>858</v>
      </c>
      <c r="W303">
        <v>1</v>
      </c>
      <c r="X303">
        <v>4</v>
      </c>
      <c r="Y303">
        <v>582</v>
      </c>
      <c r="Z303">
        <v>344</v>
      </c>
      <c r="AA303">
        <v>5.19</v>
      </c>
      <c r="AB303">
        <v>300</v>
      </c>
      <c r="AC303">
        <v>13321.64</v>
      </c>
      <c r="AE303" t="s">
        <v>383</v>
      </c>
      <c r="AF303">
        <v>2397</v>
      </c>
      <c r="AG303">
        <v>1</v>
      </c>
      <c r="AH303">
        <v>-289.69</v>
      </c>
      <c r="AI303">
        <v>8696.81</v>
      </c>
      <c r="AJ303">
        <v>14126.37</v>
      </c>
      <c r="AL303" t="s">
        <v>383</v>
      </c>
      <c r="AM303">
        <v>2365</v>
      </c>
      <c r="AN303">
        <v>1</v>
      </c>
      <c r="AO303">
        <v>0</v>
      </c>
      <c r="AP303" t="s">
        <v>315</v>
      </c>
      <c r="AQ303" t="s">
        <v>404</v>
      </c>
    </row>
    <row r="304" spans="1:43" x14ac:dyDescent="0.2">
      <c r="A304" t="s">
        <v>374</v>
      </c>
      <c r="B304">
        <v>2364</v>
      </c>
      <c r="C304">
        <v>1</v>
      </c>
      <c r="D304">
        <v>9318.35</v>
      </c>
      <c r="E304">
        <v>9318.35</v>
      </c>
      <c r="F304" t="s">
        <v>383</v>
      </c>
      <c r="G304">
        <v>2448</v>
      </c>
      <c r="H304">
        <v>1</v>
      </c>
      <c r="I304">
        <v>10070.700000000001</v>
      </c>
      <c r="J304">
        <v>10070.700000000001</v>
      </c>
      <c r="L304" t="s">
        <v>374</v>
      </c>
      <c r="M304">
        <v>2184</v>
      </c>
      <c r="N304">
        <v>1</v>
      </c>
      <c r="O304">
        <v>4</v>
      </c>
      <c r="P304">
        <v>582</v>
      </c>
      <c r="Q304">
        <v>344</v>
      </c>
      <c r="R304">
        <v>430</v>
      </c>
      <c r="S304">
        <v>337.9</v>
      </c>
      <c r="U304" t="s">
        <v>374</v>
      </c>
      <c r="V304">
        <v>861</v>
      </c>
      <c r="W304">
        <v>1</v>
      </c>
      <c r="X304">
        <v>4</v>
      </c>
      <c r="Y304">
        <v>582</v>
      </c>
      <c r="Z304">
        <v>344</v>
      </c>
      <c r="AA304">
        <v>5.19</v>
      </c>
      <c r="AB304">
        <v>300</v>
      </c>
      <c r="AC304">
        <v>50999.97</v>
      </c>
      <c r="AE304" t="s">
        <v>383</v>
      </c>
      <c r="AF304">
        <v>2448</v>
      </c>
      <c r="AG304">
        <v>1</v>
      </c>
      <c r="AH304">
        <v>0</v>
      </c>
      <c r="AI304">
        <v>0</v>
      </c>
      <c r="AJ304">
        <v>0</v>
      </c>
      <c r="AL304" t="s">
        <v>383</v>
      </c>
      <c r="AM304">
        <v>2396</v>
      </c>
      <c r="AN304">
        <v>1</v>
      </c>
      <c r="AO304">
        <v>0</v>
      </c>
      <c r="AP304" t="s">
        <v>316</v>
      </c>
      <c r="AQ304" t="s">
        <v>404</v>
      </c>
    </row>
    <row r="305" spans="1:43" x14ac:dyDescent="0.2">
      <c r="A305" t="s">
        <v>374</v>
      </c>
      <c r="B305">
        <v>2365</v>
      </c>
      <c r="C305">
        <v>1</v>
      </c>
      <c r="D305">
        <v>12519.18</v>
      </c>
      <c r="E305">
        <v>12519.18</v>
      </c>
      <c r="F305" t="s">
        <v>383</v>
      </c>
      <c r="G305">
        <v>2527</v>
      </c>
      <c r="H305">
        <v>1</v>
      </c>
      <c r="I305">
        <v>4353.62</v>
      </c>
      <c r="J305">
        <v>4353.62</v>
      </c>
      <c r="L305" t="s">
        <v>374</v>
      </c>
      <c r="M305">
        <v>2190</v>
      </c>
      <c r="N305">
        <v>1</v>
      </c>
      <c r="O305">
        <v>4</v>
      </c>
      <c r="P305">
        <v>582</v>
      </c>
      <c r="Q305">
        <v>344</v>
      </c>
      <c r="R305">
        <v>430</v>
      </c>
      <c r="S305">
        <v>2001.11</v>
      </c>
      <c r="U305" t="s">
        <v>374</v>
      </c>
      <c r="V305">
        <v>876</v>
      </c>
      <c r="W305">
        <v>1</v>
      </c>
      <c r="X305">
        <v>4</v>
      </c>
      <c r="Y305">
        <v>582</v>
      </c>
      <c r="Z305">
        <v>344</v>
      </c>
      <c r="AA305">
        <v>5.19</v>
      </c>
      <c r="AB305">
        <v>300</v>
      </c>
      <c r="AC305">
        <v>18026.21</v>
      </c>
      <c r="AE305" t="s">
        <v>383</v>
      </c>
      <c r="AF305">
        <v>2527</v>
      </c>
      <c r="AG305">
        <v>1</v>
      </c>
      <c r="AH305">
        <v>389.45</v>
      </c>
      <c r="AI305">
        <v>115.43</v>
      </c>
      <c r="AJ305">
        <v>-318.29000000000002</v>
      </c>
      <c r="AL305" t="s">
        <v>383</v>
      </c>
      <c r="AM305">
        <v>2397</v>
      </c>
      <c r="AN305">
        <v>1</v>
      </c>
      <c r="AO305">
        <v>0</v>
      </c>
      <c r="AP305" t="s">
        <v>317</v>
      </c>
      <c r="AQ305" t="s">
        <v>404</v>
      </c>
    </row>
    <row r="306" spans="1:43" x14ac:dyDescent="0.2">
      <c r="A306" t="s">
        <v>374</v>
      </c>
      <c r="B306">
        <v>2396</v>
      </c>
      <c r="C306">
        <v>1</v>
      </c>
      <c r="D306">
        <v>12547.36</v>
      </c>
      <c r="E306">
        <v>12547.36</v>
      </c>
      <c r="F306" t="s">
        <v>383</v>
      </c>
      <c r="G306">
        <v>2534</v>
      </c>
      <c r="H306">
        <v>1</v>
      </c>
      <c r="I306">
        <v>10351.049999999999</v>
      </c>
      <c r="J306">
        <v>10351.049999999999</v>
      </c>
      <c r="L306" t="s">
        <v>374</v>
      </c>
      <c r="M306">
        <v>2198</v>
      </c>
      <c r="N306">
        <v>1</v>
      </c>
      <c r="O306">
        <v>4</v>
      </c>
      <c r="P306">
        <v>582</v>
      </c>
      <c r="Q306">
        <v>344</v>
      </c>
      <c r="R306">
        <v>430</v>
      </c>
      <c r="S306">
        <v>74.22</v>
      </c>
      <c r="U306" t="s">
        <v>374</v>
      </c>
      <c r="V306">
        <v>879</v>
      </c>
      <c r="W306">
        <v>1</v>
      </c>
      <c r="X306">
        <v>4</v>
      </c>
      <c r="Y306">
        <v>582</v>
      </c>
      <c r="Z306">
        <v>344</v>
      </c>
      <c r="AA306">
        <v>5.05</v>
      </c>
      <c r="AB306">
        <v>300</v>
      </c>
      <c r="AC306">
        <v>17625.5</v>
      </c>
      <c r="AE306" t="s">
        <v>383</v>
      </c>
      <c r="AF306">
        <v>2534</v>
      </c>
      <c r="AG306">
        <v>1</v>
      </c>
      <c r="AH306">
        <v>5243.45</v>
      </c>
      <c r="AI306">
        <v>1462.42</v>
      </c>
      <c r="AJ306">
        <v>-3322.12</v>
      </c>
      <c r="AL306" t="s">
        <v>383</v>
      </c>
      <c r="AM306">
        <v>2448</v>
      </c>
      <c r="AN306">
        <v>1</v>
      </c>
      <c r="AO306">
        <v>0</v>
      </c>
      <c r="AP306" t="s">
        <v>318</v>
      </c>
      <c r="AQ306" t="s">
        <v>404</v>
      </c>
    </row>
    <row r="307" spans="1:43" x14ac:dyDescent="0.2">
      <c r="A307" t="s">
        <v>374</v>
      </c>
      <c r="B307">
        <v>2397</v>
      </c>
      <c r="C307">
        <v>1</v>
      </c>
      <c r="D307">
        <v>16520.11</v>
      </c>
      <c r="E307">
        <v>16520.11</v>
      </c>
      <c r="F307" t="s">
        <v>383</v>
      </c>
      <c r="G307">
        <v>2536</v>
      </c>
      <c r="H307">
        <v>1</v>
      </c>
      <c r="I307">
        <v>2886.25</v>
      </c>
      <c r="J307">
        <v>2886.25</v>
      </c>
      <c r="L307" t="s">
        <v>374</v>
      </c>
      <c r="M307">
        <v>2311</v>
      </c>
      <c r="N307">
        <v>1</v>
      </c>
      <c r="O307">
        <v>4</v>
      </c>
      <c r="P307">
        <v>582</v>
      </c>
      <c r="Q307">
        <v>344</v>
      </c>
      <c r="R307">
        <v>430</v>
      </c>
      <c r="S307">
        <v>92.58</v>
      </c>
      <c r="U307" t="s">
        <v>374</v>
      </c>
      <c r="V307">
        <v>881</v>
      </c>
      <c r="W307">
        <v>1</v>
      </c>
      <c r="X307">
        <v>4</v>
      </c>
      <c r="Y307">
        <v>582</v>
      </c>
      <c r="Z307">
        <v>344</v>
      </c>
      <c r="AA307">
        <v>5.19</v>
      </c>
      <c r="AB307">
        <v>300</v>
      </c>
      <c r="AC307">
        <v>9413.59</v>
      </c>
      <c r="AE307" t="s">
        <v>383</v>
      </c>
      <c r="AF307">
        <v>2536</v>
      </c>
      <c r="AG307">
        <v>1</v>
      </c>
      <c r="AH307">
        <v>-1968.54</v>
      </c>
      <c r="AI307">
        <v>6202.69</v>
      </c>
      <c r="AJ307">
        <v>-11549.57</v>
      </c>
      <c r="AL307" t="s">
        <v>383</v>
      </c>
      <c r="AM307">
        <v>2527</v>
      </c>
      <c r="AN307">
        <v>1</v>
      </c>
      <c r="AO307">
        <v>0</v>
      </c>
      <c r="AP307" t="s">
        <v>319</v>
      </c>
      <c r="AQ307" t="s">
        <v>404</v>
      </c>
    </row>
    <row r="308" spans="1:43" x14ac:dyDescent="0.2">
      <c r="A308" t="s">
        <v>374</v>
      </c>
      <c r="B308">
        <v>2448</v>
      </c>
      <c r="C308">
        <v>1</v>
      </c>
      <c r="D308">
        <v>8580.01</v>
      </c>
      <c r="E308">
        <v>8580.01</v>
      </c>
      <c r="F308" t="s">
        <v>383</v>
      </c>
      <c r="G308">
        <v>2580</v>
      </c>
      <c r="H308">
        <v>1</v>
      </c>
      <c r="I308">
        <v>12339.14</v>
      </c>
      <c r="J308">
        <v>12339.14</v>
      </c>
      <c r="L308" t="s">
        <v>374</v>
      </c>
      <c r="M308">
        <v>2358</v>
      </c>
      <c r="N308">
        <v>1</v>
      </c>
      <c r="O308">
        <v>4</v>
      </c>
      <c r="P308">
        <v>582</v>
      </c>
      <c r="Q308">
        <v>344</v>
      </c>
      <c r="R308">
        <v>430</v>
      </c>
      <c r="S308">
        <v>248.67</v>
      </c>
      <c r="U308" t="s">
        <v>374</v>
      </c>
      <c r="V308">
        <v>882</v>
      </c>
      <c r="W308">
        <v>1</v>
      </c>
      <c r="X308">
        <v>4</v>
      </c>
      <c r="Y308">
        <v>582</v>
      </c>
      <c r="Z308">
        <v>344</v>
      </c>
      <c r="AA308">
        <v>5.19</v>
      </c>
      <c r="AB308">
        <v>300</v>
      </c>
      <c r="AC308">
        <v>38888.01</v>
      </c>
      <c r="AE308" t="s">
        <v>383</v>
      </c>
      <c r="AF308">
        <v>2580</v>
      </c>
      <c r="AG308">
        <v>1</v>
      </c>
      <c r="AH308">
        <v>-19952.66</v>
      </c>
      <c r="AI308">
        <v>-20221.41</v>
      </c>
      <c r="AJ308">
        <v>-19286.34</v>
      </c>
      <c r="AL308" t="s">
        <v>383</v>
      </c>
      <c r="AM308">
        <v>2534</v>
      </c>
      <c r="AN308">
        <v>1</v>
      </c>
      <c r="AO308">
        <v>0</v>
      </c>
      <c r="AP308" t="s">
        <v>320</v>
      </c>
      <c r="AQ308" t="s">
        <v>404</v>
      </c>
    </row>
    <row r="309" spans="1:43" x14ac:dyDescent="0.2">
      <c r="A309" t="s">
        <v>374</v>
      </c>
      <c r="B309">
        <v>2527</v>
      </c>
      <c r="C309">
        <v>1</v>
      </c>
      <c r="D309">
        <v>4332.53</v>
      </c>
      <c r="E309">
        <v>4332.53</v>
      </c>
      <c r="F309" t="s">
        <v>383</v>
      </c>
      <c r="G309">
        <v>2609</v>
      </c>
      <c r="H309">
        <v>1</v>
      </c>
      <c r="I309">
        <v>6254.8</v>
      </c>
      <c r="J309">
        <v>6254.8</v>
      </c>
      <c r="L309" t="s">
        <v>374</v>
      </c>
      <c r="M309">
        <v>2365</v>
      </c>
      <c r="N309">
        <v>1</v>
      </c>
      <c r="O309">
        <v>4</v>
      </c>
      <c r="P309">
        <v>582</v>
      </c>
      <c r="Q309">
        <v>344</v>
      </c>
      <c r="R309">
        <v>430</v>
      </c>
      <c r="S309">
        <v>210.61</v>
      </c>
      <c r="U309" t="s">
        <v>374</v>
      </c>
      <c r="V309">
        <v>883</v>
      </c>
      <c r="W309">
        <v>1</v>
      </c>
      <c r="X309">
        <v>4</v>
      </c>
      <c r="Y309">
        <v>582</v>
      </c>
      <c r="Z309">
        <v>344</v>
      </c>
      <c r="AA309">
        <v>5.19</v>
      </c>
      <c r="AB309">
        <v>300</v>
      </c>
      <c r="AC309">
        <v>19234.91</v>
      </c>
      <c r="AE309" t="s">
        <v>383</v>
      </c>
      <c r="AF309">
        <v>2609</v>
      </c>
      <c r="AG309">
        <v>1</v>
      </c>
      <c r="AH309">
        <v>-0.34</v>
      </c>
      <c r="AI309">
        <v>-1117.6600000000001</v>
      </c>
      <c r="AJ309">
        <v>2089.79</v>
      </c>
      <c r="AL309" t="s">
        <v>383</v>
      </c>
      <c r="AM309">
        <v>2536</v>
      </c>
      <c r="AN309">
        <v>1</v>
      </c>
      <c r="AO309">
        <v>0</v>
      </c>
      <c r="AP309" t="s">
        <v>405</v>
      </c>
      <c r="AQ309" t="s">
        <v>404</v>
      </c>
    </row>
    <row r="310" spans="1:43" x14ac:dyDescent="0.2">
      <c r="A310" t="s">
        <v>374</v>
      </c>
      <c r="B310">
        <v>2534</v>
      </c>
      <c r="C310">
        <v>1</v>
      </c>
      <c r="D310">
        <v>10086.120000000001</v>
      </c>
      <c r="E310">
        <v>10086.120000000001</v>
      </c>
      <c r="F310" t="s">
        <v>383</v>
      </c>
      <c r="G310">
        <v>2683</v>
      </c>
      <c r="H310">
        <v>1</v>
      </c>
      <c r="I310">
        <v>5812.49</v>
      </c>
      <c r="J310">
        <v>5812.49</v>
      </c>
      <c r="L310" t="s">
        <v>374</v>
      </c>
      <c r="M310">
        <v>2397</v>
      </c>
      <c r="N310">
        <v>1</v>
      </c>
      <c r="O310">
        <v>4</v>
      </c>
      <c r="P310">
        <v>582</v>
      </c>
      <c r="Q310">
        <v>344</v>
      </c>
      <c r="R310">
        <v>430</v>
      </c>
      <c r="S310">
        <v>63.62</v>
      </c>
      <c r="U310" t="s">
        <v>374</v>
      </c>
      <c r="V310">
        <v>891</v>
      </c>
      <c r="W310">
        <v>1</v>
      </c>
      <c r="X310">
        <v>4</v>
      </c>
      <c r="Y310">
        <v>582</v>
      </c>
      <c r="Z310">
        <v>344</v>
      </c>
      <c r="AA310">
        <v>5.19</v>
      </c>
      <c r="AB310">
        <v>300</v>
      </c>
      <c r="AC310">
        <v>5959.21</v>
      </c>
      <c r="AE310" t="s">
        <v>383</v>
      </c>
      <c r="AF310">
        <v>2683</v>
      </c>
      <c r="AG310">
        <v>1</v>
      </c>
      <c r="AH310">
        <v>1260.06</v>
      </c>
      <c r="AI310">
        <v>0.64</v>
      </c>
      <c r="AJ310">
        <v>707.25</v>
      </c>
      <c r="AL310" t="s">
        <v>383</v>
      </c>
      <c r="AM310">
        <v>2580</v>
      </c>
      <c r="AN310">
        <v>1</v>
      </c>
      <c r="AO310">
        <v>0</v>
      </c>
      <c r="AP310" t="s">
        <v>321</v>
      </c>
      <c r="AQ310" t="s">
        <v>404</v>
      </c>
    </row>
    <row r="311" spans="1:43" x14ac:dyDescent="0.2">
      <c r="A311" t="s">
        <v>374</v>
      </c>
      <c r="B311">
        <v>2536</v>
      </c>
      <c r="C311">
        <v>1</v>
      </c>
      <c r="D311">
        <v>3928.98</v>
      </c>
      <c r="E311">
        <v>3928.98</v>
      </c>
      <c r="F311" t="s">
        <v>383</v>
      </c>
      <c r="G311">
        <v>2687</v>
      </c>
      <c r="H311">
        <v>1</v>
      </c>
      <c r="I311">
        <v>14907.2</v>
      </c>
      <c r="J311">
        <v>14907.2</v>
      </c>
      <c r="L311" t="s">
        <v>374</v>
      </c>
      <c r="M311">
        <v>2448</v>
      </c>
      <c r="N311">
        <v>1</v>
      </c>
      <c r="O311">
        <v>4</v>
      </c>
      <c r="P311">
        <v>582</v>
      </c>
      <c r="Q311">
        <v>344</v>
      </c>
      <c r="R311">
        <v>430</v>
      </c>
      <c r="S311">
        <v>551.5</v>
      </c>
      <c r="U311" t="s">
        <v>374</v>
      </c>
      <c r="V311">
        <v>911</v>
      </c>
      <c r="W311">
        <v>1</v>
      </c>
      <c r="X311">
        <v>4</v>
      </c>
      <c r="Y311">
        <v>582</v>
      </c>
      <c r="Z311">
        <v>344</v>
      </c>
      <c r="AA311">
        <v>5.19</v>
      </c>
      <c r="AB311">
        <v>300</v>
      </c>
      <c r="AC311">
        <v>54677.29</v>
      </c>
      <c r="AE311" t="s">
        <v>383</v>
      </c>
      <c r="AF311">
        <v>2687</v>
      </c>
      <c r="AG311">
        <v>1</v>
      </c>
      <c r="AH311">
        <v>0</v>
      </c>
      <c r="AI311">
        <v>2424.58</v>
      </c>
      <c r="AJ311">
        <v>1978.11</v>
      </c>
      <c r="AL311" t="s">
        <v>383</v>
      </c>
      <c r="AM311">
        <v>2609</v>
      </c>
      <c r="AN311">
        <v>1</v>
      </c>
      <c r="AO311">
        <v>0</v>
      </c>
      <c r="AP311" t="s">
        <v>322</v>
      </c>
      <c r="AQ311" t="s">
        <v>404</v>
      </c>
    </row>
    <row r="312" spans="1:43" x14ac:dyDescent="0.2">
      <c r="A312" t="s">
        <v>374</v>
      </c>
      <c r="B312">
        <v>2580</v>
      </c>
      <c r="C312">
        <v>1</v>
      </c>
      <c r="D312">
        <v>12564.01</v>
      </c>
      <c r="E312">
        <v>12564.01</v>
      </c>
      <c r="F312" t="s">
        <v>383</v>
      </c>
      <c r="G312">
        <v>2689</v>
      </c>
      <c r="H312">
        <v>1</v>
      </c>
      <c r="I312">
        <v>16311.97</v>
      </c>
      <c r="J312">
        <v>16311.97</v>
      </c>
      <c r="L312" t="s">
        <v>374</v>
      </c>
      <c r="M312">
        <v>2683</v>
      </c>
      <c r="N312">
        <v>1</v>
      </c>
      <c r="O312">
        <v>4</v>
      </c>
      <c r="P312">
        <v>582</v>
      </c>
      <c r="Q312">
        <v>344</v>
      </c>
      <c r="R312">
        <v>430</v>
      </c>
      <c r="S312">
        <v>308.2</v>
      </c>
      <c r="U312" t="s">
        <v>374</v>
      </c>
      <c r="V312">
        <v>912</v>
      </c>
      <c r="W312">
        <v>1</v>
      </c>
      <c r="X312">
        <v>4</v>
      </c>
      <c r="Y312">
        <v>582</v>
      </c>
      <c r="Z312">
        <v>344</v>
      </c>
      <c r="AA312">
        <v>5.19</v>
      </c>
      <c r="AB312">
        <v>300</v>
      </c>
      <c r="AC312">
        <v>25385.65</v>
      </c>
      <c r="AE312" t="s">
        <v>383</v>
      </c>
      <c r="AF312">
        <v>2689</v>
      </c>
      <c r="AG312">
        <v>1</v>
      </c>
      <c r="AH312">
        <v>3759.5</v>
      </c>
      <c r="AI312">
        <v>3366.53</v>
      </c>
      <c r="AJ312">
        <v>6489.45</v>
      </c>
      <c r="AL312" t="s">
        <v>383</v>
      </c>
      <c r="AM312">
        <v>2683</v>
      </c>
      <c r="AN312">
        <v>1</v>
      </c>
      <c r="AO312">
        <v>0</v>
      </c>
      <c r="AP312" t="s">
        <v>323</v>
      </c>
      <c r="AQ312" t="s">
        <v>404</v>
      </c>
    </row>
    <row r="313" spans="1:43" x14ac:dyDescent="0.2">
      <c r="A313" t="s">
        <v>374</v>
      </c>
      <c r="B313">
        <v>2609</v>
      </c>
      <c r="C313">
        <v>1</v>
      </c>
      <c r="D313">
        <v>7799.14</v>
      </c>
      <c r="E313">
        <v>7799.14</v>
      </c>
      <c r="F313" t="s">
        <v>383</v>
      </c>
      <c r="G313">
        <v>2711</v>
      </c>
      <c r="H313">
        <v>1</v>
      </c>
      <c r="I313">
        <v>12334.71</v>
      </c>
      <c r="J313">
        <v>12334.71</v>
      </c>
      <c r="L313" t="s">
        <v>374</v>
      </c>
      <c r="M313">
        <v>2687</v>
      </c>
      <c r="N313">
        <v>1</v>
      </c>
      <c r="O313">
        <v>4</v>
      </c>
      <c r="P313">
        <v>582</v>
      </c>
      <c r="Q313">
        <v>344</v>
      </c>
      <c r="R313">
        <v>430</v>
      </c>
      <c r="S313">
        <v>192.35</v>
      </c>
      <c r="U313" t="s">
        <v>374</v>
      </c>
      <c r="V313">
        <v>914</v>
      </c>
      <c r="W313">
        <v>1</v>
      </c>
      <c r="X313">
        <v>4</v>
      </c>
      <c r="Y313">
        <v>582</v>
      </c>
      <c r="Z313">
        <v>344</v>
      </c>
      <c r="AA313">
        <v>5.19</v>
      </c>
      <c r="AB313">
        <v>300</v>
      </c>
      <c r="AC313">
        <v>3595.78</v>
      </c>
      <c r="AE313" t="s">
        <v>383</v>
      </c>
      <c r="AF313">
        <v>2711</v>
      </c>
      <c r="AG313">
        <v>1</v>
      </c>
      <c r="AH313">
        <v>-1899.24</v>
      </c>
      <c r="AI313">
        <v>-96.99</v>
      </c>
      <c r="AJ313">
        <v>4165.38</v>
      </c>
      <c r="AL313" t="s">
        <v>383</v>
      </c>
      <c r="AM313">
        <v>2687</v>
      </c>
      <c r="AN313">
        <v>1</v>
      </c>
      <c r="AO313">
        <v>0</v>
      </c>
      <c r="AP313" t="s">
        <v>324</v>
      </c>
      <c r="AQ313" t="s">
        <v>404</v>
      </c>
    </row>
    <row r="314" spans="1:43" x14ac:dyDescent="0.2">
      <c r="A314" t="s">
        <v>374</v>
      </c>
      <c r="B314">
        <v>2683</v>
      </c>
      <c r="C314">
        <v>1</v>
      </c>
      <c r="D314">
        <v>7069.75</v>
      </c>
      <c r="E314">
        <v>7069.75</v>
      </c>
      <c r="F314" t="s">
        <v>383</v>
      </c>
      <c r="G314">
        <v>2752</v>
      </c>
      <c r="H314">
        <v>1</v>
      </c>
      <c r="I314">
        <v>24532.47</v>
      </c>
      <c r="J314">
        <v>24532.47</v>
      </c>
      <c r="L314" t="s">
        <v>374</v>
      </c>
      <c r="M314">
        <v>2689</v>
      </c>
      <c r="N314">
        <v>1</v>
      </c>
      <c r="O314">
        <v>4</v>
      </c>
      <c r="P314">
        <v>582</v>
      </c>
      <c r="Q314">
        <v>344</v>
      </c>
      <c r="R314">
        <v>430</v>
      </c>
      <c r="S314">
        <v>792.22</v>
      </c>
      <c r="U314" t="s">
        <v>374</v>
      </c>
      <c r="V314">
        <v>2071</v>
      </c>
      <c r="W314">
        <v>1</v>
      </c>
      <c r="X314">
        <v>4</v>
      </c>
      <c r="Y314">
        <v>582</v>
      </c>
      <c r="Z314">
        <v>344</v>
      </c>
      <c r="AA314">
        <v>5.19</v>
      </c>
      <c r="AB314">
        <v>300</v>
      </c>
      <c r="AC314">
        <v>9785.11</v>
      </c>
      <c r="AE314" t="s">
        <v>383</v>
      </c>
      <c r="AF314">
        <v>2752</v>
      </c>
      <c r="AG314">
        <v>1</v>
      </c>
      <c r="AH314">
        <v>6139.91</v>
      </c>
      <c r="AI314">
        <v>4963</v>
      </c>
      <c r="AJ314">
        <v>13424.04</v>
      </c>
      <c r="AL314" t="s">
        <v>383</v>
      </c>
      <c r="AM314">
        <v>2689</v>
      </c>
      <c r="AN314">
        <v>1</v>
      </c>
      <c r="AO314">
        <v>0</v>
      </c>
      <c r="AP314" t="s">
        <v>325</v>
      </c>
      <c r="AQ314" t="s">
        <v>404</v>
      </c>
    </row>
    <row r="315" spans="1:43" x14ac:dyDescent="0.2">
      <c r="A315" t="s">
        <v>374</v>
      </c>
      <c r="B315">
        <v>2687</v>
      </c>
      <c r="C315">
        <v>1</v>
      </c>
      <c r="D315">
        <v>12275.82</v>
      </c>
      <c r="E315">
        <v>12275.82</v>
      </c>
      <c r="F315" t="s">
        <v>383</v>
      </c>
      <c r="G315">
        <v>2753</v>
      </c>
      <c r="H315">
        <v>1</v>
      </c>
      <c r="I315">
        <v>19460.14</v>
      </c>
      <c r="J315">
        <v>19460.14</v>
      </c>
      <c r="L315" t="s">
        <v>374</v>
      </c>
      <c r="M315">
        <v>2711</v>
      </c>
      <c r="N315">
        <v>1</v>
      </c>
      <c r="O315">
        <v>4</v>
      </c>
      <c r="P315">
        <v>582</v>
      </c>
      <c r="Q315">
        <v>344</v>
      </c>
      <c r="R315">
        <v>430</v>
      </c>
      <c r="S315">
        <v>566.87</v>
      </c>
      <c r="U315" t="s">
        <v>374</v>
      </c>
      <c r="V315">
        <v>2125</v>
      </c>
      <c r="W315">
        <v>1</v>
      </c>
      <c r="X315">
        <v>4</v>
      </c>
      <c r="Y315">
        <v>582</v>
      </c>
      <c r="Z315">
        <v>344</v>
      </c>
      <c r="AA315">
        <v>5.19</v>
      </c>
      <c r="AB315">
        <v>300</v>
      </c>
      <c r="AC315">
        <v>16500.41</v>
      </c>
      <c r="AE315" t="s">
        <v>383</v>
      </c>
      <c r="AF315">
        <v>2753</v>
      </c>
      <c r="AG315">
        <v>1</v>
      </c>
      <c r="AH315">
        <v>0</v>
      </c>
      <c r="AI315">
        <v>-731.22</v>
      </c>
      <c r="AJ315">
        <v>-5837.95</v>
      </c>
      <c r="AL315" t="s">
        <v>383</v>
      </c>
      <c r="AM315">
        <v>2711</v>
      </c>
      <c r="AN315">
        <v>1</v>
      </c>
      <c r="AO315">
        <v>0</v>
      </c>
      <c r="AP315" t="s">
        <v>326</v>
      </c>
      <c r="AQ315" t="s">
        <v>404</v>
      </c>
    </row>
    <row r="316" spans="1:43" x14ac:dyDescent="0.2">
      <c r="A316" t="s">
        <v>374</v>
      </c>
      <c r="B316">
        <v>2689</v>
      </c>
      <c r="C316">
        <v>1</v>
      </c>
      <c r="D316">
        <v>14661.04</v>
      </c>
      <c r="E316">
        <v>14661.04</v>
      </c>
      <c r="F316" t="s">
        <v>383</v>
      </c>
      <c r="G316">
        <v>2754</v>
      </c>
      <c r="H316">
        <v>1</v>
      </c>
      <c r="I316">
        <v>6508.7</v>
      </c>
      <c r="J316">
        <v>6508.7</v>
      </c>
      <c r="L316" t="s">
        <v>374</v>
      </c>
      <c r="M316">
        <v>2754</v>
      </c>
      <c r="N316">
        <v>1</v>
      </c>
      <c r="O316">
        <v>4</v>
      </c>
      <c r="P316">
        <v>582</v>
      </c>
      <c r="Q316">
        <v>344</v>
      </c>
      <c r="R316">
        <v>430</v>
      </c>
      <c r="S316">
        <v>1292.3399999999999</v>
      </c>
      <c r="U316" t="s">
        <v>374</v>
      </c>
      <c r="V316">
        <v>2134</v>
      </c>
      <c r="W316">
        <v>1</v>
      </c>
      <c r="X316">
        <v>4</v>
      </c>
      <c r="Y316">
        <v>582</v>
      </c>
      <c r="Z316">
        <v>344</v>
      </c>
      <c r="AA316">
        <v>5.19</v>
      </c>
      <c r="AB316">
        <v>300</v>
      </c>
      <c r="AC316">
        <v>14109.1</v>
      </c>
      <c r="AE316" t="s">
        <v>383</v>
      </c>
      <c r="AF316">
        <v>2754</v>
      </c>
      <c r="AG316">
        <v>1</v>
      </c>
      <c r="AH316">
        <v>0</v>
      </c>
      <c r="AI316">
        <v>-8138.91</v>
      </c>
      <c r="AJ316">
        <v>-12733.15</v>
      </c>
      <c r="AL316" t="s">
        <v>383</v>
      </c>
      <c r="AM316">
        <v>2752</v>
      </c>
      <c r="AN316">
        <v>1</v>
      </c>
      <c r="AO316">
        <v>0</v>
      </c>
      <c r="AP316" t="s">
        <v>327</v>
      </c>
      <c r="AQ316" t="s">
        <v>404</v>
      </c>
    </row>
    <row r="317" spans="1:43" x14ac:dyDescent="0.2">
      <c r="A317" t="s">
        <v>374</v>
      </c>
      <c r="B317">
        <v>2711</v>
      </c>
      <c r="C317">
        <v>1</v>
      </c>
      <c r="D317">
        <v>12424.57</v>
      </c>
      <c r="E317">
        <v>12424.57</v>
      </c>
      <c r="F317" t="s">
        <v>383</v>
      </c>
      <c r="G317">
        <v>2759</v>
      </c>
      <c r="H317">
        <v>1</v>
      </c>
      <c r="I317">
        <v>5346.71</v>
      </c>
      <c r="J317">
        <v>5346.71</v>
      </c>
      <c r="L317" t="s">
        <v>374</v>
      </c>
      <c r="M317">
        <v>2853</v>
      </c>
      <c r="N317">
        <v>1</v>
      </c>
      <c r="O317">
        <v>4</v>
      </c>
      <c r="P317">
        <v>582</v>
      </c>
      <c r="Q317">
        <v>344</v>
      </c>
      <c r="R317">
        <v>430</v>
      </c>
      <c r="S317">
        <v>152.16</v>
      </c>
      <c r="U317" t="s">
        <v>374</v>
      </c>
      <c r="V317">
        <v>2135</v>
      </c>
      <c r="W317">
        <v>1</v>
      </c>
      <c r="X317">
        <v>4</v>
      </c>
      <c r="Y317">
        <v>582</v>
      </c>
      <c r="Z317">
        <v>344</v>
      </c>
      <c r="AA317">
        <v>5.19</v>
      </c>
      <c r="AB317">
        <v>300</v>
      </c>
      <c r="AC317">
        <v>14288.11</v>
      </c>
      <c r="AE317" t="s">
        <v>383</v>
      </c>
      <c r="AF317">
        <v>2759</v>
      </c>
      <c r="AG317">
        <v>1</v>
      </c>
      <c r="AH317">
        <v>-714.52</v>
      </c>
      <c r="AI317">
        <v>-228.33</v>
      </c>
      <c r="AJ317">
        <v>-89.11</v>
      </c>
      <c r="AL317" t="s">
        <v>383</v>
      </c>
      <c r="AM317">
        <v>2753</v>
      </c>
      <c r="AN317">
        <v>1</v>
      </c>
      <c r="AO317">
        <v>0</v>
      </c>
      <c r="AP317" t="s">
        <v>328</v>
      </c>
      <c r="AQ317" t="s">
        <v>404</v>
      </c>
    </row>
    <row r="318" spans="1:43" x14ac:dyDescent="0.2">
      <c r="A318" t="s">
        <v>374</v>
      </c>
      <c r="B318">
        <v>2752</v>
      </c>
      <c r="C318">
        <v>1</v>
      </c>
      <c r="D318">
        <v>23871.93</v>
      </c>
      <c r="E318">
        <v>23871.93</v>
      </c>
      <c r="F318" t="s">
        <v>383</v>
      </c>
      <c r="G318">
        <v>2805</v>
      </c>
      <c r="H318">
        <v>1</v>
      </c>
      <c r="I318">
        <v>10466.09</v>
      </c>
      <c r="J318">
        <v>10466.09</v>
      </c>
      <c r="L318" t="s">
        <v>374</v>
      </c>
      <c r="M318">
        <v>2859</v>
      </c>
      <c r="N318">
        <v>1</v>
      </c>
      <c r="O318">
        <v>4</v>
      </c>
      <c r="P318">
        <v>582</v>
      </c>
      <c r="Q318">
        <v>344</v>
      </c>
      <c r="R318">
        <v>430</v>
      </c>
      <c r="S318">
        <v>727.93</v>
      </c>
      <c r="U318" t="s">
        <v>374</v>
      </c>
      <c r="V318">
        <v>2142</v>
      </c>
      <c r="W318">
        <v>1</v>
      </c>
      <c r="X318">
        <v>4</v>
      </c>
      <c r="Y318">
        <v>582</v>
      </c>
      <c r="Z318">
        <v>344</v>
      </c>
      <c r="AA318">
        <v>5.19</v>
      </c>
      <c r="AB318">
        <v>300</v>
      </c>
      <c r="AC318">
        <v>27982.26</v>
      </c>
      <c r="AE318" t="s">
        <v>383</v>
      </c>
      <c r="AF318">
        <v>2805</v>
      </c>
      <c r="AG318">
        <v>1</v>
      </c>
      <c r="AH318">
        <v>6083.15</v>
      </c>
      <c r="AI318">
        <v>11838.77</v>
      </c>
      <c r="AJ318">
        <v>11279.34</v>
      </c>
      <c r="AL318" t="s">
        <v>383</v>
      </c>
      <c r="AM318">
        <v>2754</v>
      </c>
      <c r="AN318">
        <v>1</v>
      </c>
      <c r="AO318">
        <v>0</v>
      </c>
      <c r="AP318" t="s">
        <v>329</v>
      </c>
      <c r="AQ318" t="s">
        <v>404</v>
      </c>
    </row>
    <row r="319" spans="1:43" x14ac:dyDescent="0.2">
      <c r="A319" t="s">
        <v>374</v>
      </c>
      <c r="B319">
        <v>2753</v>
      </c>
      <c r="C319">
        <v>1</v>
      </c>
      <c r="D319">
        <v>22203.69</v>
      </c>
      <c r="E319">
        <v>22203.69</v>
      </c>
      <c r="F319" t="s">
        <v>383</v>
      </c>
      <c r="G319">
        <v>2835</v>
      </c>
      <c r="H319">
        <v>1</v>
      </c>
      <c r="I319">
        <v>6804.13</v>
      </c>
      <c r="J319">
        <v>6804.13</v>
      </c>
      <c r="L319" t="s">
        <v>374</v>
      </c>
      <c r="M319">
        <v>2884</v>
      </c>
      <c r="N319">
        <v>1</v>
      </c>
      <c r="O319">
        <v>4</v>
      </c>
      <c r="P319">
        <v>582</v>
      </c>
      <c r="Q319">
        <v>344</v>
      </c>
      <c r="R319">
        <v>430</v>
      </c>
      <c r="S319">
        <v>453.57</v>
      </c>
      <c r="U319" t="s">
        <v>374</v>
      </c>
      <c r="V319">
        <v>2143</v>
      </c>
      <c r="W319">
        <v>1</v>
      </c>
      <c r="X319">
        <v>4</v>
      </c>
      <c r="Y319">
        <v>582</v>
      </c>
      <c r="Z319">
        <v>344</v>
      </c>
      <c r="AA319">
        <v>5.19</v>
      </c>
      <c r="AB319">
        <v>300</v>
      </c>
      <c r="AC319">
        <v>10585.27</v>
      </c>
      <c r="AE319" t="s">
        <v>383</v>
      </c>
      <c r="AF319">
        <v>2835</v>
      </c>
      <c r="AG319">
        <v>1</v>
      </c>
      <c r="AH319">
        <v>-755.62</v>
      </c>
      <c r="AI319">
        <v>236.66</v>
      </c>
      <c r="AJ319">
        <v>-6071.29</v>
      </c>
      <c r="AL319" t="s">
        <v>383</v>
      </c>
      <c r="AM319">
        <v>2759</v>
      </c>
      <c r="AN319">
        <v>1</v>
      </c>
      <c r="AO319">
        <v>0</v>
      </c>
      <c r="AP319" t="s">
        <v>330</v>
      </c>
      <c r="AQ319" t="s">
        <v>404</v>
      </c>
    </row>
    <row r="320" spans="1:43" x14ac:dyDescent="0.2">
      <c r="A320" t="s">
        <v>374</v>
      </c>
      <c r="B320">
        <v>2754</v>
      </c>
      <c r="C320">
        <v>1</v>
      </c>
      <c r="D320">
        <v>5782.99</v>
      </c>
      <c r="E320">
        <v>5782.99</v>
      </c>
      <c r="F320" t="s">
        <v>383</v>
      </c>
      <c r="G320">
        <v>2853</v>
      </c>
      <c r="H320">
        <v>1</v>
      </c>
      <c r="I320">
        <v>11407.1</v>
      </c>
      <c r="J320">
        <v>11407.1</v>
      </c>
      <c r="L320" t="s">
        <v>374</v>
      </c>
      <c r="M320">
        <v>2888</v>
      </c>
      <c r="N320">
        <v>1</v>
      </c>
      <c r="O320">
        <v>4</v>
      </c>
      <c r="P320">
        <v>582</v>
      </c>
      <c r="Q320">
        <v>344</v>
      </c>
      <c r="R320">
        <v>430</v>
      </c>
      <c r="S320">
        <v>573.4</v>
      </c>
      <c r="U320" t="s">
        <v>374</v>
      </c>
      <c r="V320">
        <v>2144</v>
      </c>
      <c r="W320">
        <v>1</v>
      </c>
      <c r="X320">
        <v>4</v>
      </c>
      <c r="Y320">
        <v>582</v>
      </c>
      <c r="Z320">
        <v>344</v>
      </c>
      <c r="AA320">
        <v>5.19</v>
      </c>
      <c r="AB320">
        <v>300</v>
      </c>
      <c r="AC320">
        <v>28849.34</v>
      </c>
      <c r="AE320" t="s">
        <v>383</v>
      </c>
      <c r="AF320">
        <v>2853</v>
      </c>
      <c r="AG320">
        <v>1</v>
      </c>
      <c r="AH320">
        <v>-34444.11</v>
      </c>
      <c r="AI320">
        <v>-20751.09</v>
      </c>
      <c r="AJ320">
        <v>-17390.13</v>
      </c>
      <c r="AL320" t="s">
        <v>383</v>
      </c>
      <c r="AM320">
        <v>2805</v>
      </c>
      <c r="AN320">
        <v>1</v>
      </c>
      <c r="AO320">
        <v>0</v>
      </c>
      <c r="AP320" t="s">
        <v>331</v>
      </c>
      <c r="AQ320" t="s">
        <v>404</v>
      </c>
    </row>
    <row r="321" spans="1:43" x14ac:dyDescent="0.2">
      <c r="A321" t="s">
        <v>374</v>
      </c>
      <c r="B321">
        <v>2759</v>
      </c>
      <c r="C321">
        <v>1</v>
      </c>
      <c r="D321">
        <v>5287.05</v>
      </c>
      <c r="E321">
        <v>5287.05</v>
      </c>
      <c r="F321" t="s">
        <v>383</v>
      </c>
      <c r="G321">
        <v>2854</v>
      </c>
      <c r="H321">
        <v>1</v>
      </c>
      <c r="I321">
        <v>7376.81</v>
      </c>
      <c r="J321">
        <v>7376.81</v>
      </c>
      <c r="L321" t="s">
        <v>374</v>
      </c>
      <c r="M321">
        <v>2889</v>
      </c>
      <c r="N321">
        <v>1</v>
      </c>
      <c r="O321">
        <v>4</v>
      </c>
      <c r="P321">
        <v>582</v>
      </c>
      <c r="Q321">
        <v>344</v>
      </c>
      <c r="R321">
        <v>430</v>
      </c>
      <c r="S321">
        <v>1228.19</v>
      </c>
      <c r="U321" t="s">
        <v>374</v>
      </c>
      <c r="V321">
        <v>2149</v>
      </c>
      <c r="W321">
        <v>1</v>
      </c>
      <c r="X321">
        <v>4</v>
      </c>
      <c r="Y321">
        <v>582</v>
      </c>
      <c r="Z321">
        <v>344</v>
      </c>
      <c r="AA321">
        <v>5.19</v>
      </c>
      <c r="AB321">
        <v>300</v>
      </c>
      <c r="AC321">
        <v>16833.810000000001</v>
      </c>
      <c r="AE321" t="s">
        <v>383</v>
      </c>
      <c r="AF321">
        <v>2854</v>
      </c>
      <c r="AG321">
        <v>1</v>
      </c>
      <c r="AH321">
        <v>0</v>
      </c>
      <c r="AI321">
        <v>0</v>
      </c>
      <c r="AJ321">
        <v>0</v>
      </c>
      <c r="AL321" t="s">
        <v>383</v>
      </c>
      <c r="AM321">
        <v>2835</v>
      </c>
      <c r="AN321">
        <v>1</v>
      </c>
      <c r="AO321">
        <v>0</v>
      </c>
      <c r="AP321" t="s">
        <v>332</v>
      </c>
      <c r="AQ321" t="s">
        <v>404</v>
      </c>
    </row>
    <row r="322" spans="1:43" x14ac:dyDescent="0.2">
      <c r="A322" t="s">
        <v>374</v>
      </c>
      <c r="B322">
        <v>2805</v>
      </c>
      <c r="C322">
        <v>1</v>
      </c>
      <c r="D322">
        <v>10877.18</v>
      </c>
      <c r="E322">
        <v>10877.18</v>
      </c>
      <c r="F322" t="s">
        <v>383</v>
      </c>
      <c r="G322">
        <v>2856</v>
      </c>
      <c r="H322">
        <v>1</v>
      </c>
      <c r="I322">
        <v>3997.25</v>
      </c>
      <c r="J322">
        <v>3997.25</v>
      </c>
      <c r="L322" t="s">
        <v>374</v>
      </c>
      <c r="M322">
        <v>2890</v>
      </c>
      <c r="N322">
        <v>1</v>
      </c>
      <c r="O322">
        <v>4</v>
      </c>
      <c r="P322">
        <v>582</v>
      </c>
      <c r="Q322">
        <v>344</v>
      </c>
      <c r="R322">
        <v>430</v>
      </c>
      <c r="S322">
        <v>623.69000000000005</v>
      </c>
      <c r="U322" t="s">
        <v>374</v>
      </c>
      <c r="V322">
        <v>2154</v>
      </c>
      <c r="W322">
        <v>1</v>
      </c>
      <c r="X322">
        <v>4</v>
      </c>
      <c r="Y322">
        <v>582</v>
      </c>
      <c r="Z322">
        <v>344</v>
      </c>
      <c r="AA322">
        <v>5.19</v>
      </c>
      <c r="AB322">
        <v>300</v>
      </c>
      <c r="AC322">
        <v>17473.38</v>
      </c>
      <c r="AE322" t="s">
        <v>383</v>
      </c>
      <c r="AF322">
        <v>2856</v>
      </c>
      <c r="AG322">
        <v>1</v>
      </c>
      <c r="AH322">
        <v>62.75</v>
      </c>
      <c r="AI322">
        <v>252.36</v>
      </c>
      <c r="AJ322">
        <v>0</v>
      </c>
      <c r="AL322" t="s">
        <v>383</v>
      </c>
      <c r="AM322">
        <v>2853</v>
      </c>
      <c r="AN322">
        <v>1</v>
      </c>
      <c r="AO322">
        <v>0</v>
      </c>
      <c r="AP322" t="s">
        <v>333</v>
      </c>
      <c r="AQ322" t="s">
        <v>404</v>
      </c>
    </row>
    <row r="323" spans="1:43" x14ac:dyDescent="0.2">
      <c r="A323" t="s">
        <v>374</v>
      </c>
      <c r="B323">
        <v>2835</v>
      </c>
      <c r="C323">
        <v>1</v>
      </c>
      <c r="D323">
        <v>7164.36</v>
      </c>
      <c r="E323">
        <v>7164.36</v>
      </c>
      <c r="F323" t="s">
        <v>383</v>
      </c>
      <c r="G323">
        <v>2859</v>
      </c>
      <c r="H323">
        <v>1</v>
      </c>
      <c r="I323">
        <v>17951.47</v>
      </c>
      <c r="J323">
        <v>12177.36</v>
      </c>
      <c r="L323" t="s">
        <v>374</v>
      </c>
      <c r="M323">
        <v>2895</v>
      </c>
      <c r="N323">
        <v>1</v>
      </c>
      <c r="O323">
        <v>4</v>
      </c>
      <c r="P323">
        <v>582</v>
      </c>
      <c r="Q323">
        <v>344</v>
      </c>
      <c r="R323">
        <v>430</v>
      </c>
      <c r="S323">
        <v>1551.8</v>
      </c>
      <c r="U323" t="s">
        <v>374</v>
      </c>
      <c r="V323">
        <v>2155</v>
      </c>
      <c r="W323">
        <v>1</v>
      </c>
      <c r="X323">
        <v>4</v>
      </c>
      <c r="Y323">
        <v>582</v>
      </c>
      <c r="Z323">
        <v>344</v>
      </c>
      <c r="AA323">
        <v>5.19</v>
      </c>
      <c r="AB323">
        <v>300</v>
      </c>
      <c r="AC323">
        <v>22652.97</v>
      </c>
      <c r="AE323" t="s">
        <v>383</v>
      </c>
      <c r="AF323">
        <v>2859</v>
      </c>
      <c r="AG323">
        <v>1</v>
      </c>
      <c r="AH323">
        <v>17368.919999999998</v>
      </c>
      <c r="AI323">
        <v>28778.240000000002</v>
      </c>
      <c r="AJ323">
        <v>17246.97</v>
      </c>
      <c r="AL323" t="s">
        <v>383</v>
      </c>
      <c r="AM323">
        <v>2854</v>
      </c>
      <c r="AN323">
        <v>1</v>
      </c>
      <c r="AO323">
        <v>0</v>
      </c>
      <c r="AP323" t="s">
        <v>334</v>
      </c>
      <c r="AQ323" t="s">
        <v>404</v>
      </c>
    </row>
    <row r="324" spans="1:43" x14ac:dyDescent="0.2">
      <c r="A324" t="s">
        <v>374</v>
      </c>
      <c r="B324">
        <v>2853</v>
      </c>
      <c r="C324">
        <v>1</v>
      </c>
      <c r="D324">
        <v>11703.49</v>
      </c>
      <c r="E324">
        <v>11703.49</v>
      </c>
      <c r="F324" t="s">
        <v>383</v>
      </c>
      <c r="G324">
        <v>2860</v>
      </c>
      <c r="H324">
        <v>1</v>
      </c>
      <c r="I324">
        <v>19033.86</v>
      </c>
      <c r="J324">
        <v>19033.86</v>
      </c>
      <c r="L324" t="s">
        <v>374</v>
      </c>
      <c r="M324">
        <v>2899</v>
      </c>
      <c r="N324">
        <v>1</v>
      </c>
      <c r="O324">
        <v>4</v>
      </c>
      <c r="P324">
        <v>582</v>
      </c>
      <c r="Q324">
        <v>344</v>
      </c>
      <c r="R324">
        <v>430</v>
      </c>
      <c r="S324">
        <v>344.25</v>
      </c>
      <c r="U324" t="s">
        <v>374</v>
      </c>
      <c r="V324">
        <v>2159</v>
      </c>
      <c r="W324">
        <v>1</v>
      </c>
      <c r="X324">
        <v>4</v>
      </c>
      <c r="Y324">
        <v>582</v>
      </c>
      <c r="Z324">
        <v>344</v>
      </c>
      <c r="AA324">
        <v>5.19</v>
      </c>
      <c r="AB324">
        <v>300</v>
      </c>
      <c r="AC324">
        <v>7136.9</v>
      </c>
      <c r="AE324" t="s">
        <v>383</v>
      </c>
      <c r="AF324">
        <v>2860</v>
      </c>
      <c r="AG324">
        <v>1</v>
      </c>
      <c r="AH324">
        <v>2544.6999999999998</v>
      </c>
      <c r="AI324">
        <v>-4675.29</v>
      </c>
      <c r="AJ324">
        <v>-1895.39</v>
      </c>
      <c r="AL324" t="s">
        <v>383</v>
      </c>
      <c r="AM324">
        <v>2856</v>
      </c>
      <c r="AN324">
        <v>1</v>
      </c>
      <c r="AO324">
        <v>0</v>
      </c>
      <c r="AP324" t="s">
        <v>335</v>
      </c>
      <c r="AQ324" t="s">
        <v>404</v>
      </c>
    </row>
    <row r="325" spans="1:43" x14ac:dyDescent="0.2">
      <c r="A325" t="s">
        <v>374</v>
      </c>
      <c r="B325">
        <v>2854</v>
      </c>
      <c r="C325">
        <v>1</v>
      </c>
      <c r="D325">
        <v>6591.07</v>
      </c>
      <c r="E325">
        <v>6591.07</v>
      </c>
      <c r="F325" t="s">
        <v>383</v>
      </c>
      <c r="G325">
        <v>2884</v>
      </c>
      <c r="H325">
        <v>1</v>
      </c>
      <c r="I325">
        <v>6092.36</v>
      </c>
      <c r="J325">
        <v>6092.36</v>
      </c>
      <c r="L325" t="s">
        <v>374</v>
      </c>
      <c r="M325">
        <v>414</v>
      </c>
      <c r="N325">
        <v>1</v>
      </c>
      <c r="O325">
        <v>4</v>
      </c>
      <c r="P325">
        <v>582</v>
      </c>
      <c r="Q325">
        <v>321</v>
      </c>
      <c r="R325">
        <v>430</v>
      </c>
      <c r="S325">
        <v>677.86</v>
      </c>
      <c r="U325" t="s">
        <v>374</v>
      </c>
      <c r="V325">
        <v>2164</v>
      </c>
      <c r="W325">
        <v>1</v>
      </c>
      <c r="X325">
        <v>4</v>
      </c>
      <c r="Y325">
        <v>582</v>
      </c>
      <c r="Z325">
        <v>344</v>
      </c>
      <c r="AA325">
        <v>5.19</v>
      </c>
      <c r="AB325">
        <v>300</v>
      </c>
      <c r="AC325">
        <v>15340.37</v>
      </c>
      <c r="AE325" t="s">
        <v>383</v>
      </c>
      <c r="AF325">
        <v>2884</v>
      </c>
      <c r="AG325">
        <v>1</v>
      </c>
      <c r="AH325">
        <v>-80971.63</v>
      </c>
      <c r="AI325">
        <v>-91859.86</v>
      </c>
      <c r="AJ325">
        <v>-107460.65</v>
      </c>
      <c r="AL325" t="s">
        <v>383</v>
      </c>
      <c r="AM325">
        <v>2859</v>
      </c>
      <c r="AN325">
        <v>1</v>
      </c>
      <c r="AO325">
        <v>0</v>
      </c>
      <c r="AP325" t="s">
        <v>336</v>
      </c>
      <c r="AQ325" t="s">
        <v>404</v>
      </c>
    </row>
    <row r="326" spans="1:43" x14ac:dyDescent="0.2">
      <c r="A326" t="s">
        <v>374</v>
      </c>
      <c r="B326">
        <v>2856</v>
      </c>
      <c r="C326">
        <v>1</v>
      </c>
      <c r="D326">
        <v>4702.5</v>
      </c>
      <c r="E326">
        <v>4702.5</v>
      </c>
      <c r="F326" t="s">
        <v>383</v>
      </c>
      <c r="G326">
        <v>2886</v>
      </c>
      <c r="H326">
        <v>1</v>
      </c>
      <c r="I326">
        <v>5334.73</v>
      </c>
      <c r="J326">
        <v>5334.73</v>
      </c>
      <c r="L326" t="s">
        <v>374</v>
      </c>
      <c r="M326">
        <v>1</v>
      </c>
      <c r="N326">
        <v>3</v>
      </c>
      <c r="O326">
        <v>4</v>
      </c>
      <c r="P326">
        <v>582</v>
      </c>
      <c r="Q326">
        <v>0</v>
      </c>
      <c r="R326">
        <v>430</v>
      </c>
      <c r="S326">
        <v>1395.01</v>
      </c>
      <c r="U326" t="s">
        <v>374</v>
      </c>
      <c r="V326">
        <v>2167</v>
      </c>
      <c r="W326">
        <v>1</v>
      </c>
      <c r="X326">
        <v>4</v>
      </c>
      <c r="Y326">
        <v>582</v>
      </c>
      <c r="Z326">
        <v>344</v>
      </c>
      <c r="AA326">
        <v>5.19</v>
      </c>
      <c r="AB326">
        <v>300</v>
      </c>
      <c r="AC326">
        <v>7387.33</v>
      </c>
      <c r="AE326" t="s">
        <v>383</v>
      </c>
      <c r="AF326">
        <v>2886</v>
      </c>
      <c r="AG326">
        <v>1</v>
      </c>
      <c r="AH326">
        <v>-11.29</v>
      </c>
      <c r="AI326">
        <v>0</v>
      </c>
      <c r="AJ326">
        <v>-688.5</v>
      </c>
      <c r="AL326" t="s">
        <v>383</v>
      </c>
      <c r="AM326">
        <v>2860</v>
      </c>
      <c r="AN326">
        <v>1</v>
      </c>
      <c r="AO326">
        <v>0</v>
      </c>
      <c r="AP326" t="s">
        <v>337</v>
      </c>
      <c r="AQ326" t="s">
        <v>404</v>
      </c>
    </row>
    <row r="327" spans="1:43" x14ac:dyDescent="0.2">
      <c r="A327" t="s">
        <v>374</v>
      </c>
      <c r="B327">
        <v>2859</v>
      </c>
      <c r="C327">
        <v>1</v>
      </c>
      <c r="D327">
        <v>24513</v>
      </c>
      <c r="E327">
        <v>22983.65</v>
      </c>
      <c r="F327" t="s">
        <v>383</v>
      </c>
      <c r="G327">
        <v>2888</v>
      </c>
      <c r="H327">
        <v>1</v>
      </c>
      <c r="I327">
        <v>5187.26</v>
      </c>
      <c r="J327">
        <v>5187.26</v>
      </c>
      <c r="L327" t="s">
        <v>374</v>
      </c>
      <c r="M327">
        <v>256</v>
      </c>
      <c r="N327">
        <v>1</v>
      </c>
      <c r="O327">
        <v>4</v>
      </c>
      <c r="P327">
        <v>582</v>
      </c>
      <c r="Q327">
        <v>0</v>
      </c>
      <c r="R327">
        <v>430</v>
      </c>
      <c r="S327">
        <v>587.19000000000005</v>
      </c>
      <c r="U327" t="s">
        <v>374</v>
      </c>
      <c r="V327">
        <v>2168</v>
      </c>
      <c r="W327">
        <v>1</v>
      </c>
      <c r="X327">
        <v>4</v>
      </c>
      <c r="Y327">
        <v>582</v>
      </c>
      <c r="Z327">
        <v>344</v>
      </c>
      <c r="AA327">
        <v>5.19</v>
      </c>
      <c r="AB327">
        <v>300</v>
      </c>
      <c r="AC327">
        <v>10419.94</v>
      </c>
      <c r="AE327" t="s">
        <v>383</v>
      </c>
      <c r="AF327">
        <v>2888</v>
      </c>
      <c r="AG327">
        <v>1</v>
      </c>
      <c r="AH327">
        <v>0</v>
      </c>
      <c r="AI327">
        <v>0</v>
      </c>
      <c r="AJ327">
        <v>5401.41</v>
      </c>
      <c r="AL327" t="s">
        <v>383</v>
      </c>
      <c r="AM327">
        <v>2884</v>
      </c>
      <c r="AN327">
        <v>1</v>
      </c>
      <c r="AO327">
        <v>0</v>
      </c>
      <c r="AP327" t="s">
        <v>338</v>
      </c>
      <c r="AQ327" t="s">
        <v>404</v>
      </c>
    </row>
    <row r="328" spans="1:43" x14ac:dyDescent="0.2">
      <c r="A328" t="s">
        <v>374</v>
      </c>
      <c r="B328">
        <v>2860</v>
      </c>
      <c r="C328">
        <v>1</v>
      </c>
      <c r="D328">
        <v>18612.71</v>
      </c>
      <c r="E328">
        <v>18612.71</v>
      </c>
      <c r="F328" t="s">
        <v>383</v>
      </c>
      <c r="G328">
        <v>2889</v>
      </c>
      <c r="H328">
        <v>1</v>
      </c>
      <c r="I328">
        <v>8571.84</v>
      </c>
      <c r="J328">
        <v>8571.84</v>
      </c>
      <c r="L328" t="s">
        <v>374</v>
      </c>
      <c r="M328">
        <v>297</v>
      </c>
      <c r="N328">
        <v>1</v>
      </c>
      <c r="O328">
        <v>4</v>
      </c>
      <c r="P328">
        <v>582</v>
      </c>
      <c r="Q328">
        <v>0</v>
      </c>
      <c r="R328">
        <v>430</v>
      </c>
      <c r="S328">
        <v>69.260000000000005</v>
      </c>
      <c r="U328" t="s">
        <v>374</v>
      </c>
      <c r="V328">
        <v>2169</v>
      </c>
      <c r="W328">
        <v>1</v>
      </c>
      <c r="X328">
        <v>4</v>
      </c>
      <c r="Y328">
        <v>582</v>
      </c>
      <c r="Z328">
        <v>344</v>
      </c>
      <c r="AA328">
        <v>5.19</v>
      </c>
      <c r="AB328">
        <v>300</v>
      </c>
      <c r="AC328">
        <v>16917.37</v>
      </c>
      <c r="AE328" t="s">
        <v>383</v>
      </c>
      <c r="AF328">
        <v>2889</v>
      </c>
      <c r="AG328">
        <v>1</v>
      </c>
      <c r="AH328">
        <v>-39186.42</v>
      </c>
      <c r="AI328">
        <v>-10835.62</v>
      </c>
      <c r="AJ328">
        <v>-29442.799999999999</v>
      </c>
      <c r="AL328" t="s">
        <v>383</v>
      </c>
      <c r="AM328">
        <v>2886</v>
      </c>
      <c r="AN328">
        <v>1</v>
      </c>
      <c r="AO328">
        <v>0</v>
      </c>
      <c r="AP328" t="s">
        <v>407</v>
      </c>
      <c r="AQ328" t="s">
        <v>404</v>
      </c>
    </row>
    <row r="329" spans="1:43" x14ac:dyDescent="0.2">
      <c r="A329" t="s">
        <v>374</v>
      </c>
      <c r="B329">
        <v>2884</v>
      </c>
      <c r="C329">
        <v>1</v>
      </c>
      <c r="D329">
        <v>7970.22</v>
      </c>
      <c r="E329">
        <v>7970.22</v>
      </c>
      <c r="F329" t="s">
        <v>383</v>
      </c>
      <c r="G329">
        <v>2890</v>
      </c>
      <c r="H329">
        <v>1</v>
      </c>
      <c r="I329">
        <v>8387.3700000000008</v>
      </c>
      <c r="J329">
        <v>8055.09</v>
      </c>
      <c r="L329" t="s">
        <v>374</v>
      </c>
      <c r="M329">
        <v>362</v>
      </c>
      <c r="N329">
        <v>1</v>
      </c>
      <c r="O329">
        <v>4</v>
      </c>
      <c r="P329">
        <v>582</v>
      </c>
      <c r="Q329">
        <v>0</v>
      </c>
      <c r="R329">
        <v>430</v>
      </c>
      <c r="S329">
        <v>225.38</v>
      </c>
      <c r="U329" t="s">
        <v>374</v>
      </c>
      <c r="V329">
        <v>2170</v>
      </c>
      <c r="W329">
        <v>1</v>
      </c>
      <c r="X329">
        <v>4</v>
      </c>
      <c r="Y329">
        <v>582</v>
      </c>
      <c r="Z329">
        <v>344</v>
      </c>
      <c r="AA329">
        <v>5.05</v>
      </c>
      <c r="AB329">
        <v>300</v>
      </c>
      <c r="AC329">
        <v>23675.95</v>
      </c>
      <c r="AE329" t="s">
        <v>383</v>
      </c>
      <c r="AF329">
        <v>2890</v>
      </c>
      <c r="AG329">
        <v>1</v>
      </c>
      <c r="AH329">
        <v>2506.81</v>
      </c>
      <c r="AI329">
        <v>5453.36</v>
      </c>
      <c r="AJ329">
        <v>9141.14</v>
      </c>
      <c r="AL329" t="s">
        <v>383</v>
      </c>
      <c r="AM329">
        <v>2888</v>
      </c>
      <c r="AN329">
        <v>1</v>
      </c>
      <c r="AO329">
        <v>0</v>
      </c>
      <c r="AP329" t="s">
        <v>339</v>
      </c>
      <c r="AQ329" t="s">
        <v>404</v>
      </c>
    </row>
    <row r="330" spans="1:43" x14ac:dyDescent="0.2">
      <c r="A330" t="s">
        <v>374</v>
      </c>
      <c r="B330">
        <v>2886</v>
      </c>
      <c r="C330">
        <v>1</v>
      </c>
      <c r="D330">
        <v>3969.91</v>
      </c>
      <c r="E330">
        <v>3969.91</v>
      </c>
      <c r="F330" t="s">
        <v>383</v>
      </c>
      <c r="G330">
        <v>2895</v>
      </c>
      <c r="H330">
        <v>1</v>
      </c>
      <c r="I330">
        <v>14220.93</v>
      </c>
      <c r="J330">
        <v>14220.93</v>
      </c>
      <c r="L330" t="s">
        <v>374</v>
      </c>
      <c r="M330">
        <v>625</v>
      </c>
      <c r="N330">
        <v>1</v>
      </c>
      <c r="O330">
        <v>4</v>
      </c>
      <c r="P330">
        <v>582</v>
      </c>
      <c r="Q330">
        <v>599</v>
      </c>
      <c r="R330">
        <v>401</v>
      </c>
      <c r="S330">
        <v>2422.86</v>
      </c>
      <c r="U330" t="s">
        <v>374</v>
      </c>
      <c r="V330">
        <v>2171</v>
      </c>
      <c r="W330">
        <v>1</v>
      </c>
      <c r="X330">
        <v>4</v>
      </c>
      <c r="Y330">
        <v>582</v>
      </c>
      <c r="Z330">
        <v>344</v>
      </c>
      <c r="AA330">
        <v>5.19</v>
      </c>
      <c r="AB330">
        <v>300</v>
      </c>
      <c r="AC330">
        <v>2819.08</v>
      </c>
      <c r="AE330" t="s">
        <v>383</v>
      </c>
      <c r="AF330">
        <v>2895</v>
      </c>
      <c r="AG330">
        <v>1</v>
      </c>
      <c r="AH330">
        <v>2496.4299999999998</v>
      </c>
      <c r="AI330">
        <v>2995.36</v>
      </c>
      <c r="AJ330">
        <v>5096.3500000000004</v>
      </c>
      <c r="AL330" t="s">
        <v>383</v>
      </c>
      <c r="AM330">
        <v>2889</v>
      </c>
      <c r="AN330">
        <v>1</v>
      </c>
      <c r="AO330">
        <v>0</v>
      </c>
      <c r="AP330" t="s">
        <v>340</v>
      </c>
      <c r="AQ330" t="s">
        <v>404</v>
      </c>
    </row>
    <row r="331" spans="1:43" x14ac:dyDescent="0.2">
      <c r="A331" t="s">
        <v>374</v>
      </c>
      <c r="B331">
        <v>2887</v>
      </c>
      <c r="C331">
        <v>1</v>
      </c>
      <c r="D331">
        <v>4207.17</v>
      </c>
      <c r="E331">
        <v>1617.95</v>
      </c>
      <c r="F331" t="s">
        <v>383</v>
      </c>
      <c r="G331">
        <v>2897</v>
      </c>
      <c r="H331">
        <v>1</v>
      </c>
      <c r="I331">
        <v>15183.49</v>
      </c>
      <c r="J331">
        <v>15183.49</v>
      </c>
      <c r="L331" t="s">
        <v>374</v>
      </c>
      <c r="M331">
        <v>81</v>
      </c>
      <c r="N331">
        <v>1</v>
      </c>
      <c r="O331">
        <v>4</v>
      </c>
      <c r="P331">
        <v>581</v>
      </c>
      <c r="Q331">
        <v>344</v>
      </c>
      <c r="R331">
        <v>401</v>
      </c>
      <c r="S331">
        <v>266.60000000000002</v>
      </c>
      <c r="U331" t="s">
        <v>374</v>
      </c>
      <c r="V331">
        <v>2172</v>
      </c>
      <c r="W331">
        <v>1</v>
      </c>
      <c r="X331">
        <v>4</v>
      </c>
      <c r="Y331">
        <v>582</v>
      </c>
      <c r="Z331">
        <v>344</v>
      </c>
      <c r="AA331">
        <v>5.19</v>
      </c>
      <c r="AB331">
        <v>300</v>
      </c>
      <c r="AC331">
        <v>9288.58</v>
      </c>
      <c r="AE331" t="s">
        <v>383</v>
      </c>
      <c r="AF331">
        <v>2897</v>
      </c>
      <c r="AG331">
        <v>1</v>
      </c>
      <c r="AH331">
        <v>-5397.03</v>
      </c>
      <c r="AI331">
        <v>-8736.32</v>
      </c>
      <c r="AJ331">
        <v>-10197.34</v>
      </c>
      <c r="AL331" t="s">
        <v>383</v>
      </c>
      <c r="AM331">
        <v>2890</v>
      </c>
      <c r="AN331">
        <v>1</v>
      </c>
      <c r="AO331">
        <v>0</v>
      </c>
      <c r="AP331" t="s">
        <v>341</v>
      </c>
      <c r="AQ331" t="s">
        <v>404</v>
      </c>
    </row>
    <row r="332" spans="1:43" x14ac:dyDescent="0.2">
      <c r="A332" t="s">
        <v>374</v>
      </c>
      <c r="B332">
        <v>2888</v>
      </c>
      <c r="C332">
        <v>1</v>
      </c>
      <c r="D332">
        <v>5513.76</v>
      </c>
      <c r="E332">
        <v>5513.76</v>
      </c>
      <c r="F332" t="s">
        <v>383</v>
      </c>
      <c r="G332">
        <v>2898</v>
      </c>
      <c r="H332">
        <v>1</v>
      </c>
      <c r="I332">
        <v>7997.01</v>
      </c>
      <c r="J332">
        <v>7997.01</v>
      </c>
      <c r="L332" t="s">
        <v>374</v>
      </c>
      <c r="M332">
        <v>1</v>
      </c>
      <c r="N332">
        <v>3</v>
      </c>
      <c r="O332">
        <v>4</v>
      </c>
      <c r="P332">
        <v>582</v>
      </c>
      <c r="Q332">
        <v>344</v>
      </c>
      <c r="R332">
        <v>401</v>
      </c>
      <c r="S332">
        <v>9855.85</v>
      </c>
      <c r="U332" t="s">
        <v>374</v>
      </c>
      <c r="V332">
        <v>2174</v>
      </c>
      <c r="W332">
        <v>1</v>
      </c>
      <c r="X332">
        <v>4</v>
      </c>
      <c r="Y332">
        <v>582</v>
      </c>
      <c r="Z332">
        <v>344</v>
      </c>
      <c r="AA332">
        <v>5.19</v>
      </c>
      <c r="AB332">
        <v>300</v>
      </c>
      <c r="AC332">
        <v>17336.86</v>
      </c>
      <c r="AE332" t="s">
        <v>383</v>
      </c>
      <c r="AF332">
        <v>2898</v>
      </c>
      <c r="AG332">
        <v>1</v>
      </c>
      <c r="AH332">
        <v>-2504.29</v>
      </c>
      <c r="AI332">
        <v>-1942.73</v>
      </c>
      <c r="AJ332">
        <v>60.04</v>
      </c>
      <c r="AL332" t="s">
        <v>383</v>
      </c>
      <c r="AM332">
        <v>2895</v>
      </c>
      <c r="AN332">
        <v>1</v>
      </c>
      <c r="AO332">
        <v>0</v>
      </c>
      <c r="AP332" t="s">
        <v>342</v>
      </c>
      <c r="AQ332" t="s">
        <v>404</v>
      </c>
    </row>
    <row r="333" spans="1:43" x14ac:dyDescent="0.2">
      <c r="A333" t="s">
        <v>374</v>
      </c>
      <c r="B333">
        <v>2889</v>
      </c>
      <c r="C333">
        <v>1</v>
      </c>
      <c r="D333">
        <v>7586.16</v>
      </c>
      <c r="E333">
        <v>7586.16</v>
      </c>
      <c r="F333" t="s">
        <v>383</v>
      </c>
      <c r="G333">
        <v>2899</v>
      </c>
      <c r="H333">
        <v>1</v>
      </c>
      <c r="I333">
        <v>12758.59</v>
      </c>
      <c r="J333">
        <v>12758.59</v>
      </c>
      <c r="L333" t="s">
        <v>374</v>
      </c>
      <c r="M333">
        <v>2</v>
      </c>
      <c r="N333">
        <v>1</v>
      </c>
      <c r="O333">
        <v>4</v>
      </c>
      <c r="P333">
        <v>582</v>
      </c>
      <c r="Q333">
        <v>344</v>
      </c>
      <c r="R333">
        <v>401</v>
      </c>
      <c r="S333">
        <v>302.67</v>
      </c>
      <c r="U333" t="s">
        <v>374</v>
      </c>
      <c r="V333">
        <v>2176</v>
      </c>
      <c r="W333">
        <v>1</v>
      </c>
      <c r="X333">
        <v>4</v>
      </c>
      <c r="Y333">
        <v>582</v>
      </c>
      <c r="Z333">
        <v>344</v>
      </c>
      <c r="AA333">
        <v>5.19</v>
      </c>
      <c r="AB333">
        <v>300</v>
      </c>
      <c r="AC333">
        <v>6844.63</v>
      </c>
      <c r="AE333" t="s">
        <v>383</v>
      </c>
      <c r="AF333">
        <v>2899</v>
      </c>
      <c r="AG333">
        <v>1</v>
      </c>
      <c r="AH333">
        <v>13721.61</v>
      </c>
      <c r="AI333">
        <v>13048.46</v>
      </c>
      <c r="AJ333">
        <v>-2336.6</v>
      </c>
      <c r="AL333" t="s">
        <v>383</v>
      </c>
      <c r="AM333">
        <v>2897</v>
      </c>
      <c r="AN333">
        <v>1</v>
      </c>
      <c r="AO333">
        <v>0</v>
      </c>
      <c r="AP333" t="s">
        <v>343</v>
      </c>
      <c r="AQ333" t="s">
        <v>404</v>
      </c>
    </row>
    <row r="334" spans="1:43" x14ac:dyDescent="0.2">
      <c r="A334" t="s">
        <v>374</v>
      </c>
      <c r="B334">
        <v>2890</v>
      </c>
      <c r="C334">
        <v>1</v>
      </c>
      <c r="D334">
        <v>7613.36</v>
      </c>
      <c r="E334">
        <v>7320.7</v>
      </c>
      <c r="F334" t="s">
        <v>383</v>
      </c>
      <c r="G334">
        <v>2902</v>
      </c>
      <c r="H334">
        <v>1</v>
      </c>
      <c r="I334">
        <v>7604.25</v>
      </c>
      <c r="J334">
        <v>7604.25</v>
      </c>
      <c r="L334" t="s">
        <v>374</v>
      </c>
      <c r="M334">
        <v>4</v>
      </c>
      <c r="N334">
        <v>1</v>
      </c>
      <c r="O334">
        <v>4</v>
      </c>
      <c r="P334">
        <v>582</v>
      </c>
      <c r="Q334">
        <v>344</v>
      </c>
      <c r="R334">
        <v>401</v>
      </c>
      <c r="S334">
        <v>149.03</v>
      </c>
      <c r="U334" t="s">
        <v>374</v>
      </c>
      <c r="V334">
        <v>2180</v>
      </c>
      <c r="W334">
        <v>1</v>
      </c>
      <c r="X334">
        <v>4</v>
      </c>
      <c r="Y334">
        <v>582</v>
      </c>
      <c r="Z334">
        <v>344</v>
      </c>
      <c r="AA334">
        <v>5.19</v>
      </c>
      <c r="AB334">
        <v>300</v>
      </c>
      <c r="AC334">
        <v>8650.35</v>
      </c>
      <c r="AE334" t="s">
        <v>383</v>
      </c>
      <c r="AF334">
        <v>2902</v>
      </c>
      <c r="AG334">
        <v>1</v>
      </c>
      <c r="AH334">
        <v>0.69</v>
      </c>
      <c r="AI334">
        <v>1.45</v>
      </c>
      <c r="AJ334">
        <v>1.79</v>
      </c>
      <c r="AL334" t="s">
        <v>383</v>
      </c>
      <c r="AM334">
        <v>2898</v>
      </c>
      <c r="AN334">
        <v>1</v>
      </c>
      <c r="AO334">
        <v>0</v>
      </c>
      <c r="AP334" t="s">
        <v>344</v>
      </c>
      <c r="AQ334" t="s">
        <v>404</v>
      </c>
    </row>
    <row r="335" spans="1:43" x14ac:dyDescent="0.2">
      <c r="A335" t="s">
        <v>374</v>
      </c>
      <c r="B335">
        <v>2895</v>
      </c>
      <c r="C335">
        <v>1</v>
      </c>
      <c r="D335">
        <v>14354.68</v>
      </c>
      <c r="E335">
        <v>14354.68</v>
      </c>
      <c r="F335" t="s">
        <v>383</v>
      </c>
      <c r="G335">
        <v>2903</v>
      </c>
      <c r="H335">
        <v>1</v>
      </c>
      <c r="I335">
        <v>7031.94</v>
      </c>
      <c r="J335">
        <v>7031.94</v>
      </c>
      <c r="L335" t="s">
        <v>374</v>
      </c>
      <c r="M335">
        <v>6</v>
      </c>
      <c r="N335">
        <v>3</v>
      </c>
      <c r="O335">
        <v>4</v>
      </c>
      <c r="P335">
        <v>582</v>
      </c>
      <c r="Q335">
        <v>344</v>
      </c>
      <c r="R335">
        <v>401</v>
      </c>
      <c r="S335">
        <v>183.9</v>
      </c>
      <c r="U335" t="s">
        <v>374</v>
      </c>
      <c r="V335">
        <v>2184</v>
      </c>
      <c r="W335">
        <v>1</v>
      </c>
      <c r="X335">
        <v>4</v>
      </c>
      <c r="Y335">
        <v>582</v>
      </c>
      <c r="Z335">
        <v>344</v>
      </c>
      <c r="AA335">
        <v>5.19</v>
      </c>
      <c r="AB335">
        <v>300</v>
      </c>
      <c r="AC335">
        <v>14239.24</v>
      </c>
      <c r="AE335" t="s">
        <v>383</v>
      </c>
      <c r="AF335">
        <v>2903</v>
      </c>
      <c r="AG335">
        <v>1</v>
      </c>
      <c r="AH335">
        <v>-5742.44</v>
      </c>
      <c r="AI335">
        <v>-416.23</v>
      </c>
      <c r="AJ335">
        <v>-0.2</v>
      </c>
      <c r="AL335" t="s">
        <v>383</v>
      </c>
      <c r="AM335">
        <v>2899</v>
      </c>
      <c r="AN335">
        <v>1</v>
      </c>
      <c r="AO335">
        <v>0</v>
      </c>
      <c r="AP335" t="s">
        <v>345</v>
      </c>
      <c r="AQ335" t="s">
        <v>404</v>
      </c>
    </row>
    <row r="336" spans="1:43" x14ac:dyDescent="0.2">
      <c r="A336" t="s">
        <v>374</v>
      </c>
      <c r="B336">
        <v>2897</v>
      </c>
      <c r="C336">
        <v>1</v>
      </c>
      <c r="D336">
        <v>18152.54</v>
      </c>
      <c r="E336">
        <v>18152.54</v>
      </c>
      <c r="F336" t="s">
        <v>383</v>
      </c>
      <c r="G336">
        <v>2904</v>
      </c>
      <c r="H336">
        <v>1</v>
      </c>
      <c r="I336">
        <v>13119.87</v>
      </c>
      <c r="J336">
        <v>13119.87</v>
      </c>
      <c r="L336" t="s">
        <v>374</v>
      </c>
      <c r="M336">
        <v>11</v>
      </c>
      <c r="N336">
        <v>1</v>
      </c>
      <c r="O336">
        <v>4</v>
      </c>
      <c r="P336">
        <v>582</v>
      </c>
      <c r="Q336">
        <v>344</v>
      </c>
      <c r="R336">
        <v>401</v>
      </c>
      <c r="S336">
        <v>50152.6</v>
      </c>
      <c r="U336" t="s">
        <v>374</v>
      </c>
      <c r="V336">
        <v>2190</v>
      </c>
      <c r="W336">
        <v>1</v>
      </c>
      <c r="X336">
        <v>4</v>
      </c>
      <c r="Y336">
        <v>582</v>
      </c>
      <c r="Z336">
        <v>344</v>
      </c>
      <c r="AA336">
        <v>5.05</v>
      </c>
      <c r="AB336">
        <v>300</v>
      </c>
      <c r="AC336">
        <v>14240.22</v>
      </c>
      <c r="AE336" t="s">
        <v>383</v>
      </c>
      <c r="AF336">
        <v>2904</v>
      </c>
      <c r="AG336">
        <v>1</v>
      </c>
      <c r="AH336">
        <v>-21787.19</v>
      </c>
      <c r="AI336">
        <v>-41794.57</v>
      </c>
      <c r="AJ336">
        <v>-62928.95</v>
      </c>
      <c r="AL336" t="s">
        <v>383</v>
      </c>
      <c r="AM336">
        <v>2902</v>
      </c>
      <c r="AN336">
        <v>1</v>
      </c>
      <c r="AO336">
        <v>0</v>
      </c>
      <c r="AP336" t="s">
        <v>346</v>
      </c>
      <c r="AQ336" t="s">
        <v>404</v>
      </c>
    </row>
    <row r="337" spans="1:43" x14ac:dyDescent="0.2">
      <c r="A337" t="s">
        <v>374</v>
      </c>
      <c r="B337">
        <v>2898</v>
      </c>
      <c r="C337">
        <v>1</v>
      </c>
      <c r="D337">
        <v>8493.36</v>
      </c>
      <c r="E337">
        <v>8493.36</v>
      </c>
      <c r="F337" s="37"/>
      <c r="G337" s="37"/>
      <c r="H337" s="37"/>
      <c r="I337" s="40">
        <f>SUBTOTAL(109,I2:I336)</f>
        <v>10094999.999999989</v>
      </c>
      <c r="J337" s="40">
        <f>SUBTOTAL(109,J2:J336)</f>
        <v>10014781.129999988</v>
      </c>
      <c r="L337" t="s">
        <v>374</v>
      </c>
      <c r="M337">
        <v>12</v>
      </c>
      <c r="N337">
        <v>1</v>
      </c>
      <c r="O337">
        <v>4</v>
      </c>
      <c r="P337">
        <v>582</v>
      </c>
      <c r="Q337">
        <v>344</v>
      </c>
      <c r="R337">
        <v>401</v>
      </c>
      <c r="S337">
        <v>45.02</v>
      </c>
      <c r="U337" t="s">
        <v>374</v>
      </c>
      <c r="V337">
        <v>2198</v>
      </c>
      <c r="W337">
        <v>1</v>
      </c>
      <c r="X337">
        <v>4</v>
      </c>
      <c r="Y337">
        <v>582</v>
      </c>
      <c r="Z337">
        <v>344</v>
      </c>
      <c r="AA337">
        <v>5.19</v>
      </c>
      <c r="AB337">
        <v>300</v>
      </c>
      <c r="AC337">
        <v>7317.54</v>
      </c>
      <c r="AL337" t="s">
        <v>383</v>
      </c>
      <c r="AM337">
        <v>2903</v>
      </c>
      <c r="AN337">
        <v>1</v>
      </c>
      <c r="AO337">
        <v>0</v>
      </c>
      <c r="AP337" t="s">
        <v>412</v>
      </c>
      <c r="AQ337" t="s">
        <v>404</v>
      </c>
    </row>
    <row r="338" spans="1:43" x14ac:dyDescent="0.2">
      <c r="A338" t="s">
        <v>374</v>
      </c>
      <c r="B338">
        <v>2899</v>
      </c>
      <c r="C338">
        <v>1</v>
      </c>
      <c r="D338">
        <v>12908.02</v>
      </c>
      <c r="E338">
        <v>12908.02</v>
      </c>
      <c r="L338" t="s">
        <v>374</v>
      </c>
      <c r="M338">
        <v>13</v>
      </c>
      <c r="N338">
        <v>1</v>
      </c>
      <c r="O338">
        <v>4</v>
      </c>
      <c r="P338">
        <v>582</v>
      </c>
      <c r="Q338">
        <v>344</v>
      </c>
      <c r="R338">
        <v>401</v>
      </c>
      <c r="S338">
        <v>504.46</v>
      </c>
      <c r="U338" t="s">
        <v>374</v>
      </c>
      <c r="V338">
        <v>2215</v>
      </c>
      <c r="W338">
        <v>1</v>
      </c>
      <c r="X338">
        <v>4</v>
      </c>
      <c r="Y338">
        <v>582</v>
      </c>
      <c r="Z338">
        <v>344</v>
      </c>
      <c r="AA338">
        <v>5.19</v>
      </c>
      <c r="AB338">
        <v>300</v>
      </c>
      <c r="AC338">
        <v>5071.8599999999997</v>
      </c>
      <c r="AL338" t="s">
        <v>383</v>
      </c>
      <c r="AM338">
        <v>2904</v>
      </c>
      <c r="AN338">
        <v>1</v>
      </c>
      <c r="AO338">
        <v>0</v>
      </c>
      <c r="AP338" t="s">
        <v>413</v>
      </c>
      <c r="AQ338" t="s">
        <v>404</v>
      </c>
    </row>
    <row r="339" spans="1:43" x14ac:dyDescent="0.2">
      <c r="A339" t="s">
        <v>374</v>
      </c>
      <c r="B339">
        <v>2902</v>
      </c>
      <c r="C339">
        <v>1</v>
      </c>
      <c r="D339">
        <v>6309.34</v>
      </c>
      <c r="E339">
        <v>6309.34</v>
      </c>
      <c r="L339" t="s">
        <v>374</v>
      </c>
      <c r="M339">
        <v>16</v>
      </c>
      <c r="N339">
        <v>1</v>
      </c>
      <c r="O339">
        <v>4</v>
      </c>
      <c r="P339">
        <v>582</v>
      </c>
      <c r="Q339">
        <v>344</v>
      </c>
      <c r="R339">
        <v>401</v>
      </c>
      <c r="S339">
        <v>144.85</v>
      </c>
      <c r="U339" t="s">
        <v>374</v>
      </c>
      <c r="V339">
        <v>2310</v>
      </c>
      <c r="W339">
        <v>1</v>
      </c>
      <c r="X339">
        <v>4</v>
      </c>
      <c r="Y339">
        <v>582</v>
      </c>
      <c r="Z339">
        <v>344</v>
      </c>
      <c r="AA339">
        <v>5.19</v>
      </c>
      <c r="AB339">
        <v>300</v>
      </c>
      <c r="AC339">
        <v>18674.72</v>
      </c>
    </row>
    <row r="340" spans="1:43" x14ac:dyDescent="0.2">
      <c r="A340" s="37"/>
      <c r="B340" s="37"/>
      <c r="C340" s="37"/>
      <c r="D340" s="40">
        <f>SUBTOTAL(109,D2:D339)</f>
        <v>10094999.999999998</v>
      </c>
      <c r="E340" s="40">
        <f>SUBTOTAL(109,E2:E339)</f>
        <v>10028275.439999996</v>
      </c>
      <c r="L340" t="s">
        <v>374</v>
      </c>
      <c r="M340">
        <v>84</v>
      </c>
      <c r="N340">
        <v>1</v>
      </c>
      <c r="O340">
        <v>4</v>
      </c>
      <c r="P340">
        <v>582</v>
      </c>
      <c r="Q340">
        <v>344</v>
      </c>
      <c r="R340">
        <v>401</v>
      </c>
      <c r="S340">
        <v>585.16</v>
      </c>
      <c r="U340" t="s">
        <v>374</v>
      </c>
      <c r="V340">
        <v>2311</v>
      </c>
      <c r="W340">
        <v>1</v>
      </c>
      <c r="X340">
        <v>4</v>
      </c>
      <c r="Y340">
        <v>582</v>
      </c>
      <c r="Z340">
        <v>344</v>
      </c>
      <c r="AA340">
        <v>5.19</v>
      </c>
      <c r="AB340">
        <v>300</v>
      </c>
      <c r="AC340">
        <v>7570.83</v>
      </c>
    </row>
    <row r="341" spans="1:43" x14ac:dyDescent="0.2">
      <c r="L341" t="s">
        <v>374</v>
      </c>
      <c r="M341">
        <v>93</v>
      </c>
      <c r="N341">
        <v>1</v>
      </c>
      <c r="O341">
        <v>4</v>
      </c>
      <c r="P341">
        <v>582</v>
      </c>
      <c r="Q341">
        <v>344</v>
      </c>
      <c r="R341">
        <v>401</v>
      </c>
      <c r="S341">
        <v>796.07</v>
      </c>
      <c r="U341" t="s">
        <v>374</v>
      </c>
      <c r="V341">
        <v>2342</v>
      </c>
      <c r="W341">
        <v>1</v>
      </c>
      <c r="X341">
        <v>4</v>
      </c>
      <c r="Y341">
        <v>582</v>
      </c>
      <c r="Z341">
        <v>344</v>
      </c>
      <c r="AA341">
        <v>5.19</v>
      </c>
      <c r="AB341">
        <v>300</v>
      </c>
      <c r="AC341">
        <v>11385.5</v>
      </c>
    </row>
    <row r="342" spans="1:43" x14ac:dyDescent="0.2">
      <c r="D342" t="s">
        <v>372</v>
      </c>
      <c r="E342" t="s">
        <v>373</v>
      </c>
      <c r="L342" t="s">
        <v>374</v>
      </c>
      <c r="M342">
        <v>94</v>
      </c>
      <c r="N342">
        <v>1</v>
      </c>
      <c r="O342">
        <v>4</v>
      </c>
      <c r="P342">
        <v>582</v>
      </c>
      <c r="Q342">
        <v>344</v>
      </c>
      <c r="R342">
        <v>401</v>
      </c>
      <c r="S342">
        <v>1580.18</v>
      </c>
      <c r="U342" t="s">
        <v>374</v>
      </c>
      <c r="V342">
        <v>2358</v>
      </c>
      <c r="W342">
        <v>1</v>
      </c>
      <c r="X342">
        <v>4</v>
      </c>
      <c r="Y342">
        <v>582</v>
      </c>
      <c r="Z342">
        <v>344</v>
      </c>
      <c r="AA342">
        <v>5.19</v>
      </c>
      <c r="AB342">
        <v>300</v>
      </c>
      <c r="AC342">
        <v>3364.28</v>
      </c>
    </row>
    <row r="343" spans="1:43" x14ac:dyDescent="0.2">
      <c r="B343">
        <v>2903</v>
      </c>
      <c r="D343" s="8">
        <v>7139.46</v>
      </c>
      <c r="E343" s="36">
        <v>6433.3200000000006</v>
      </c>
      <c r="L343" t="s">
        <v>374</v>
      </c>
      <c r="M343">
        <v>95</v>
      </c>
      <c r="N343">
        <v>1</v>
      </c>
      <c r="O343">
        <v>4</v>
      </c>
      <c r="P343">
        <v>582</v>
      </c>
      <c r="Q343">
        <v>344</v>
      </c>
      <c r="R343">
        <v>401</v>
      </c>
      <c r="S343">
        <v>341.61</v>
      </c>
      <c r="U343" t="s">
        <v>374</v>
      </c>
      <c r="V343">
        <v>2364</v>
      </c>
      <c r="W343">
        <v>1</v>
      </c>
      <c r="X343">
        <v>4</v>
      </c>
      <c r="Y343">
        <v>582</v>
      </c>
      <c r="Z343">
        <v>344</v>
      </c>
      <c r="AA343">
        <v>5.05</v>
      </c>
      <c r="AB343">
        <v>300</v>
      </c>
      <c r="AC343">
        <v>9800.5499999999993</v>
      </c>
    </row>
    <row r="344" spans="1:43" x14ac:dyDescent="0.2">
      <c r="B344">
        <v>2904</v>
      </c>
      <c r="D344" s="8">
        <v>12044.06</v>
      </c>
      <c r="E344" s="36">
        <v>12044.06</v>
      </c>
      <c r="L344" t="s">
        <v>374</v>
      </c>
      <c r="M344">
        <v>110</v>
      </c>
      <c r="N344">
        <v>1</v>
      </c>
      <c r="O344">
        <v>4</v>
      </c>
      <c r="P344">
        <v>582</v>
      </c>
      <c r="Q344">
        <v>344</v>
      </c>
      <c r="R344">
        <v>401</v>
      </c>
      <c r="S344">
        <v>472.95</v>
      </c>
      <c r="U344" t="s">
        <v>374</v>
      </c>
      <c r="V344">
        <v>2365</v>
      </c>
      <c r="W344">
        <v>1</v>
      </c>
      <c r="X344">
        <v>4</v>
      </c>
      <c r="Y344">
        <v>582</v>
      </c>
      <c r="Z344">
        <v>344</v>
      </c>
      <c r="AA344">
        <v>5.19</v>
      </c>
      <c r="AB344">
        <v>300</v>
      </c>
      <c r="AC344">
        <v>12519.18</v>
      </c>
    </row>
    <row r="345" spans="1:43" x14ac:dyDescent="0.2">
      <c r="D345" t="s">
        <v>372</v>
      </c>
      <c r="I345" t="s">
        <v>373</v>
      </c>
      <c r="L345" t="s">
        <v>374</v>
      </c>
      <c r="M345">
        <v>112</v>
      </c>
      <c r="N345">
        <v>1</v>
      </c>
      <c r="O345">
        <v>4</v>
      </c>
      <c r="P345">
        <v>582</v>
      </c>
      <c r="Q345">
        <v>344</v>
      </c>
      <c r="R345">
        <v>401</v>
      </c>
      <c r="S345">
        <v>984.62</v>
      </c>
      <c r="U345" t="s">
        <v>374</v>
      </c>
      <c r="V345">
        <v>2396</v>
      </c>
      <c r="W345">
        <v>1</v>
      </c>
      <c r="X345">
        <v>4</v>
      </c>
      <c r="Y345">
        <v>582</v>
      </c>
      <c r="Z345">
        <v>344</v>
      </c>
      <c r="AA345">
        <v>5.19</v>
      </c>
      <c r="AB345">
        <v>300</v>
      </c>
      <c r="AC345">
        <v>12547.83</v>
      </c>
    </row>
    <row r="346" spans="1:43" x14ac:dyDescent="0.2">
      <c r="D346" s="35" t="s">
        <v>384</v>
      </c>
      <c r="E346" s="35" t="s">
        <v>385</v>
      </c>
      <c r="F346" s="35" t="s">
        <v>387</v>
      </c>
      <c r="H346" s="35" t="s">
        <v>386</v>
      </c>
      <c r="I346" s="35" t="s">
        <v>387</v>
      </c>
      <c r="J346" s="35" t="s">
        <v>385</v>
      </c>
      <c r="K346" s="35" t="s">
        <v>384</v>
      </c>
      <c r="L346" t="s">
        <v>374</v>
      </c>
      <c r="M346">
        <v>113</v>
      </c>
      <c r="N346">
        <v>1</v>
      </c>
      <c r="O346">
        <v>4</v>
      </c>
      <c r="P346">
        <v>582</v>
      </c>
      <c r="Q346">
        <v>344</v>
      </c>
      <c r="R346">
        <v>401</v>
      </c>
      <c r="S346">
        <v>2252.69</v>
      </c>
      <c r="U346" t="s">
        <v>374</v>
      </c>
      <c r="V346">
        <v>2397</v>
      </c>
      <c r="W346">
        <v>1</v>
      </c>
      <c r="X346">
        <v>4</v>
      </c>
      <c r="Y346">
        <v>582</v>
      </c>
      <c r="Z346">
        <v>344</v>
      </c>
      <c r="AA346">
        <v>5.19</v>
      </c>
      <c r="AB346">
        <v>300</v>
      </c>
      <c r="AC346">
        <v>-1769</v>
      </c>
    </row>
    <row r="347" spans="1:43" x14ac:dyDescent="0.2">
      <c r="B347">
        <v>2159</v>
      </c>
      <c r="D347" s="8">
        <v>8544.86</v>
      </c>
      <c r="E347" s="8">
        <v>7136.9</v>
      </c>
      <c r="F347" s="8">
        <f>+D347-E347</f>
        <v>1407.9600000000009</v>
      </c>
      <c r="H347" s="34">
        <f>+F347/$F$350</f>
        <v>0.33465726367130405</v>
      </c>
      <c r="I347" s="8">
        <f>+ROUND(H347*$I$350,2)</f>
        <v>541.46</v>
      </c>
      <c r="J347" s="8">
        <v>7136.9</v>
      </c>
      <c r="K347" s="36">
        <f>+I347+J347</f>
        <v>7678.36</v>
      </c>
      <c r="L347" t="s">
        <v>374</v>
      </c>
      <c r="M347">
        <v>138</v>
      </c>
      <c r="N347">
        <v>1</v>
      </c>
      <c r="O347">
        <v>4</v>
      </c>
      <c r="P347">
        <v>582</v>
      </c>
      <c r="Q347">
        <v>344</v>
      </c>
      <c r="R347">
        <v>401</v>
      </c>
      <c r="S347">
        <v>832.89</v>
      </c>
      <c r="U347" t="s">
        <v>374</v>
      </c>
      <c r="V347">
        <v>2448</v>
      </c>
      <c r="W347">
        <v>1</v>
      </c>
      <c r="X347">
        <v>4</v>
      </c>
      <c r="Y347">
        <v>582</v>
      </c>
      <c r="Z347">
        <v>344</v>
      </c>
      <c r="AA347">
        <v>5.19</v>
      </c>
      <c r="AB347">
        <v>300</v>
      </c>
      <c r="AC347">
        <v>8580.01</v>
      </c>
    </row>
    <row r="348" spans="1:43" x14ac:dyDescent="0.2">
      <c r="B348">
        <v>2365</v>
      </c>
      <c r="D348" s="8">
        <v>13053.42</v>
      </c>
      <c r="E348" s="8">
        <v>12519.18</v>
      </c>
      <c r="F348" s="8">
        <f>+D348-E348</f>
        <v>534.23999999999978</v>
      </c>
      <c r="H348" s="34">
        <f>+F348/$F$350</f>
        <v>0.12698322150043842</v>
      </c>
      <c r="I348" s="8">
        <f>+ROUND(H348*$I$350,2)</f>
        <v>205.45</v>
      </c>
      <c r="J348" s="8">
        <v>12519.18</v>
      </c>
      <c r="K348" s="36">
        <f>+I348+J348</f>
        <v>12724.630000000001</v>
      </c>
      <c r="L348" t="s">
        <v>374</v>
      </c>
      <c r="M348">
        <v>162</v>
      </c>
      <c r="N348">
        <v>1</v>
      </c>
      <c r="O348">
        <v>4</v>
      </c>
      <c r="P348">
        <v>582</v>
      </c>
      <c r="Q348">
        <v>344</v>
      </c>
      <c r="R348">
        <v>401</v>
      </c>
      <c r="S348">
        <v>889.04</v>
      </c>
      <c r="U348" t="s">
        <v>374</v>
      </c>
      <c r="V348">
        <v>2527</v>
      </c>
      <c r="W348">
        <v>1</v>
      </c>
      <c r="X348">
        <v>4</v>
      </c>
      <c r="Y348">
        <v>582</v>
      </c>
      <c r="Z348">
        <v>344</v>
      </c>
      <c r="AA348">
        <v>5.19</v>
      </c>
      <c r="AB348">
        <v>300</v>
      </c>
      <c r="AC348">
        <v>3396.54</v>
      </c>
    </row>
    <row r="349" spans="1:43" x14ac:dyDescent="0.2">
      <c r="B349">
        <v>2859</v>
      </c>
      <c r="D349" s="8">
        <v>26777.97</v>
      </c>
      <c r="E349" s="8">
        <v>24513</v>
      </c>
      <c r="F349" s="8">
        <f>+D349-E349</f>
        <v>2264.9700000000012</v>
      </c>
      <c r="H349" s="34">
        <f>+F349/$F$350</f>
        <v>0.5383595148282575</v>
      </c>
      <c r="I349" s="8">
        <f>+ROUND(H349*$I$350,2)</f>
        <v>871.04</v>
      </c>
      <c r="J349" s="8">
        <v>22983.65</v>
      </c>
      <c r="K349" s="36">
        <f>+I349+J349</f>
        <v>23854.690000000002</v>
      </c>
      <c r="L349" t="s">
        <v>374</v>
      </c>
      <c r="M349">
        <v>166</v>
      </c>
      <c r="N349">
        <v>1</v>
      </c>
      <c r="O349">
        <v>4</v>
      </c>
      <c r="P349">
        <v>582</v>
      </c>
      <c r="Q349">
        <v>344</v>
      </c>
      <c r="R349">
        <v>401</v>
      </c>
      <c r="S349">
        <v>37.81</v>
      </c>
      <c r="U349" t="s">
        <v>374</v>
      </c>
      <c r="V349">
        <v>2534</v>
      </c>
      <c r="W349">
        <v>1</v>
      </c>
      <c r="X349">
        <v>4</v>
      </c>
      <c r="Y349">
        <v>582</v>
      </c>
      <c r="Z349">
        <v>344</v>
      </c>
      <c r="AA349">
        <v>5.19</v>
      </c>
      <c r="AB349">
        <v>300</v>
      </c>
      <c r="AC349">
        <v>10086.120000000001</v>
      </c>
    </row>
    <row r="350" spans="1:43" x14ac:dyDescent="0.2">
      <c r="D350" s="8"/>
      <c r="E350" s="8"/>
      <c r="F350" s="8">
        <f>SUM(F347:F349)</f>
        <v>4207.1700000000019</v>
      </c>
      <c r="H350" s="34">
        <f>+F350/$F$350</f>
        <v>1</v>
      </c>
      <c r="I350" s="8">
        <v>1617.95</v>
      </c>
      <c r="J350" s="8">
        <f>SUM(J347:J349)</f>
        <v>42639.73</v>
      </c>
      <c r="K350" s="8">
        <f>SUM(K347:K349)</f>
        <v>44257.680000000008</v>
      </c>
      <c r="L350" t="s">
        <v>374</v>
      </c>
      <c r="M350">
        <v>181</v>
      </c>
      <c r="N350">
        <v>1</v>
      </c>
      <c r="O350">
        <v>4</v>
      </c>
      <c r="P350">
        <v>582</v>
      </c>
      <c r="Q350">
        <v>344</v>
      </c>
      <c r="R350">
        <v>401</v>
      </c>
      <c r="S350">
        <v>298.43</v>
      </c>
      <c r="U350" t="s">
        <v>374</v>
      </c>
      <c r="V350">
        <v>2536</v>
      </c>
      <c r="W350">
        <v>1</v>
      </c>
      <c r="X350">
        <v>4</v>
      </c>
      <c r="Y350">
        <v>582</v>
      </c>
      <c r="Z350">
        <v>344</v>
      </c>
      <c r="AA350">
        <v>5.19</v>
      </c>
      <c r="AB350">
        <v>300</v>
      </c>
      <c r="AC350">
        <v>360.99</v>
      </c>
    </row>
    <row r="351" spans="1:43" x14ac:dyDescent="0.2">
      <c r="L351" t="s">
        <v>374</v>
      </c>
      <c r="M351">
        <v>186</v>
      </c>
      <c r="N351">
        <v>1</v>
      </c>
      <c r="O351">
        <v>4</v>
      </c>
      <c r="P351">
        <v>582</v>
      </c>
      <c r="Q351">
        <v>344</v>
      </c>
      <c r="R351">
        <v>401</v>
      </c>
      <c r="S351">
        <v>74.63</v>
      </c>
      <c r="U351" t="s">
        <v>374</v>
      </c>
      <c r="V351">
        <v>2609</v>
      </c>
      <c r="W351">
        <v>1</v>
      </c>
      <c r="X351">
        <v>4</v>
      </c>
      <c r="Y351">
        <v>582</v>
      </c>
      <c r="Z351">
        <v>344</v>
      </c>
      <c r="AA351">
        <v>5.19</v>
      </c>
      <c r="AB351">
        <v>300</v>
      </c>
      <c r="AC351">
        <v>7799.14</v>
      </c>
    </row>
    <row r="352" spans="1:43" x14ac:dyDescent="0.2">
      <c r="J352" s="9">
        <f>+J350+I350</f>
        <v>44257.68</v>
      </c>
      <c r="L352" t="s">
        <v>374</v>
      </c>
      <c r="M352">
        <v>191</v>
      </c>
      <c r="N352">
        <v>1</v>
      </c>
      <c r="O352">
        <v>4</v>
      </c>
      <c r="P352">
        <v>582</v>
      </c>
      <c r="Q352">
        <v>344</v>
      </c>
      <c r="R352">
        <v>401</v>
      </c>
      <c r="S352">
        <v>1187.8900000000001</v>
      </c>
      <c r="U352" t="s">
        <v>374</v>
      </c>
      <c r="V352">
        <v>2689</v>
      </c>
      <c r="W352">
        <v>1</v>
      </c>
      <c r="X352">
        <v>4</v>
      </c>
      <c r="Y352">
        <v>582</v>
      </c>
      <c r="Z352">
        <v>344</v>
      </c>
      <c r="AA352">
        <v>5.19</v>
      </c>
      <c r="AB352">
        <v>300</v>
      </c>
      <c r="AC352">
        <v>14661.04</v>
      </c>
    </row>
    <row r="353" spans="12:29" x14ac:dyDescent="0.2">
      <c r="L353" t="s">
        <v>374</v>
      </c>
      <c r="M353">
        <v>192</v>
      </c>
      <c r="N353">
        <v>1</v>
      </c>
      <c r="O353">
        <v>4</v>
      </c>
      <c r="P353">
        <v>582</v>
      </c>
      <c r="Q353">
        <v>344</v>
      </c>
      <c r="R353">
        <v>401</v>
      </c>
      <c r="S353">
        <v>67.47</v>
      </c>
      <c r="U353" t="s">
        <v>374</v>
      </c>
      <c r="V353">
        <v>2711</v>
      </c>
      <c r="W353">
        <v>1</v>
      </c>
      <c r="X353">
        <v>4</v>
      </c>
      <c r="Y353">
        <v>582</v>
      </c>
      <c r="Z353">
        <v>344</v>
      </c>
      <c r="AA353">
        <v>5.19</v>
      </c>
      <c r="AB353">
        <v>300</v>
      </c>
      <c r="AC353">
        <v>12424.57</v>
      </c>
    </row>
    <row r="354" spans="12:29" x14ac:dyDescent="0.2">
      <c r="L354" t="s">
        <v>374</v>
      </c>
      <c r="M354">
        <v>194</v>
      </c>
      <c r="N354">
        <v>1</v>
      </c>
      <c r="O354">
        <v>4</v>
      </c>
      <c r="P354">
        <v>582</v>
      </c>
      <c r="Q354">
        <v>344</v>
      </c>
      <c r="R354">
        <v>401</v>
      </c>
      <c r="S354">
        <v>4000</v>
      </c>
      <c r="U354" t="s">
        <v>374</v>
      </c>
      <c r="V354">
        <v>2752</v>
      </c>
      <c r="W354">
        <v>1</v>
      </c>
      <c r="X354">
        <v>4</v>
      </c>
      <c r="Y354">
        <v>582</v>
      </c>
      <c r="Z354">
        <v>344</v>
      </c>
      <c r="AA354">
        <v>5.19</v>
      </c>
      <c r="AB354">
        <v>300</v>
      </c>
      <c r="AC354">
        <v>23872.57</v>
      </c>
    </row>
    <row r="355" spans="12:29" x14ac:dyDescent="0.2">
      <c r="L355" t="s">
        <v>374</v>
      </c>
      <c r="M355">
        <v>196</v>
      </c>
      <c r="N355">
        <v>1</v>
      </c>
      <c r="O355">
        <v>4</v>
      </c>
      <c r="P355">
        <v>582</v>
      </c>
      <c r="Q355">
        <v>344</v>
      </c>
      <c r="R355">
        <v>401</v>
      </c>
      <c r="S355">
        <v>196.02</v>
      </c>
      <c r="U355" t="s">
        <v>374</v>
      </c>
      <c r="V355">
        <v>2754</v>
      </c>
      <c r="W355">
        <v>1</v>
      </c>
      <c r="X355">
        <v>4</v>
      </c>
      <c r="Y355">
        <v>582</v>
      </c>
      <c r="Z355">
        <v>344</v>
      </c>
      <c r="AA355">
        <v>5.19</v>
      </c>
      <c r="AB355">
        <v>300</v>
      </c>
      <c r="AC355">
        <v>5782.99</v>
      </c>
    </row>
    <row r="356" spans="12:29" x14ac:dyDescent="0.2">
      <c r="L356" t="s">
        <v>374</v>
      </c>
      <c r="M356">
        <v>199</v>
      </c>
      <c r="N356">
        <v>1</v>
      </c>
      <c r="O356">
        <v>4</v>
      </c>
      <c r="P356">
        <v>582</v>
      </c>
      <c r="Q356">
        <v>344</v>
      </c>
      <c r="R356">
        <v>401</v>
      </c>
      <c r="S356">
        <v>582.91999999999996</v>
      </c>
      <c r="U356" t="s">
        <v>374</v>
      </c>
      <c r="V356">
        <v>2805</v>
      </c>
      <c r="W356">
        <v>1</v>
      </c>
      <c r="X356">
        <v>4</v>
      </c>
      <c r="Y356">
        <v>582</v>
      </c>
      <c r="Z356">
        <v>344</v>
      </c>
      <c r="AA356">
        <v>5.19</v>
      </c>
      <c r="AB356">
        <v>300</v>
      </c>
      <c r="AC356">
        <v>10877.39</v>
      </c>
    </row>
    <row r="357" spans="12:29" x14ac:dyDescent="0.2">
      <c r="L357" t="s">
        <v>374</v>
      </c>
      <c r="M357">
        <v>200</v>
      </c>
      <c r="N357">
        <v>1</v>
      </c>
      <c r="O357">
        <v>4</v>
      </c>
      <c r="P357">
        <v>582</v>
      </c>
      <c r="Q357">
        <v>344</v>
      </c>
      <c r="R357">
        <v>401</v>
      </c>
      <c r="S357">
        <v>1540.89</v>
      </c>
      <c r="U357" t="s">
        <v>374</v>
      </c>
      <c r="V357">
        <v>2853</v>
      </c>
      <c r="W357">
        <v>1</v>
      </c>
      <c r="X357">
        <v>4</v>
      </c>
      <c r="Y357">
        <v>582</v>
      </c>
      <c r="Z357">
        <v>344</v>
      </c>
      <c r="AA357">
        <v>5.19</v>
      </c>
      <c r="AB357">
        <v>300</v>
      </c>
      <c r="AC357">
        <v>11703.49</v>
      </c>
    </row>
    <row r="358" spans="12:29" x14ac:dyDescent="0.2">
      <c r="L358" t="s">
        <v>374</v>
      </c>
      <c r="M358">
        <v>204</v>
      </c>
      <c r="N358">
        <v>1</v>
      </c>
      <c r="O358">
        <v>4</v>
      </c>
      <c r="P358">
        <v>582</v>
      </c>
      <c r="Q358">
        <v>344</v>
      </c>
      <c r="R358">
        <v>401</v>
      </c>
      <c r="S358">
        <v>3848.7</v>
      </c>
      <c r="U358" t="s">
        <v>374</v>
      </c>
      <c r="V358">
        <v>2854</v>
      </c>
      <c r="W358">
        <v>1</v>
      </c>
      <c r="X358">
        <v>4</v>
      </c>
      <c r="Y358">
        <v>582</v>
      </c>
      <c r="Z358">
        <v>344</v>
      </c>
      <c r="AA358">
        <v>5.19</v>
      </c>
      <c r="AB358">
        <v>300</v>
      </c>
      <c r="AC358">
        <v>6591.07</v>
      </c>
    </row>
    <row r="359" spans="12:29" x14ac:dyDescent="0.2">
      <c r="L359" t="s">
        <v>374</v>
      </c>
      <c r="M359">
        <v>206</v>
      </c>
      <c r="N359">
        <v>1</v>
      </c>
      <c r="O359">
        <v>4</v>
      </c>
      <c r="P359">
        <v>582</v>
      </c>
      <c r="Q359">
        <v>344</v>
      </c>
      <c r="R359">
        <v>401</v>
      </c>
      <c r="S359">
        <v>1430</v>
      </c>
      <c r="U359" t="s">
        <v>374</v>
      </c>
      <c r="V359">
        <v>2856</v>
      </c>
      <c r="W359">
        <v>1</v>
      </c>
      <c r="X359">
        <v>4</v>
      </c>
      <c r="Y359">
        <v>582</v>
      </c>
      <c r="Z359">
        <v>344</v>
      </c>
      <c r="AA359">
        <v>5.19</v>
      </c>
      <c r="AB359">
        <v>300</v>
      </c>
      <c r="AC359">
        <v>4702.5</v>
      </c>
    </row>
    <row r="360" spans="12:29" x14ac:dyDescent="0.2">
      <c r="L360" t="s">
        <v>374</v>
      </c>
      <c r="M360">
        <v>207</v>
      </c>
      <c r="N360">
        <v>1</v>
      </c>
      <c r="O360">
        <v>4</v>
      </c>
      <c r="P360">
        <v>582</v>
      </c>
      <c r="Q360">
        <v>344</v>
      </c>
      <c r="R360">
        <v>401</v>
      </c>
      <c r="S360">
        <v>1848.85</v>
      </c>
      <c r="U360" t="s">
        <v>374</v>
      </c>
      <c r="V360">
        <v>2859</v>
      </c>
      <c r="W360">
        <v>1</v>
      </c>
      <c r="X360">
        <v>4</v>
      </c>
      <c r="Y360">
        <v>582</v>
      </c>
      <c r="Z360">
        <v>344</v>
      </c>
      <c r="AA360">
        <v>5.19</v>
      </c>
      <c r="AB360">
        <v>300</v>
      </c>
      <c r="AC360">
        <v>25533.23</v>
      </c>
    </row>
    <row r="361" spans="12:29" x14ac:dyDescent="0.2">
      <c r="L361" t="s">
        <v>374</v>
      </c>
      <c r="M361">
        <v>227</v>
      </c>
      <c r="N361">
        <v>1</v>
      </c>
      <c r="O361">
        <v>4</v>
      </c>
      <c r="P361">
        <v>582</v>
      </c>
      <c r="Q361">
        <v>344</v>
      </c>
      <c r="R361">
        <v>401</v>
      </c>
      <c r="S361">
        <v>1134.1500000000001</v>
      </c>
      <c r="U361" t="s">
        <v>374</v>
      </c>
      <c r="V361">
        <v>2884</v>
      </c>
      <c r="W361">
        <v>1</v>
      </c>
      <c r="X361">
        <v>4</v>
      </c>
      <c r="Y361">
        <v>582</v>
      </c>
      <c r="Z361">
        <v>344</v>
      </c>
      <c r="AA361">
        <v>5.19</v>
      </c>
      <c r="AB361">
        <v>300</v>
      </c>
      <c r="AC361">
        <v>7970.22</v>
      </c>
    </row>
    <row r="362" spans="12:29" x14ac:dyDescent="0.2">
      <c r="L362" t="s">
        <v>374</v>
      </c>
      <c r="M362">
        <v>229</v>
      </c>
      <c r="N362">
        <v>1</v>
      </c>
      <c r="O362">
        <v>4</v>
      </c>
      <c r="P362">
        <v>582</v>
      </c>
      <c r="Q362">
        <v>344</v>
      </c>
      <c r="R362">
        <v>401</v>
      </c>
      <c r="S362">
        <v>338.4</v>
      </c>
      <c r="U362" t="s">
        <v>374</v>
      </c>
      <c r="V362">
        <v>2887</v>
      </c>
      <c r="W362">
        <v>1</v>
      </c>
      <c r="X362">
        <v>4</v>
      </c>
      <c r="Y362">
        <v>582</v>
      </c>
      <c r="Z362">
        <v>344</v>
      </c>
      <c r="AA362">
        <v>5.19</v>
      </c>
      <c r="AB362">
        <v>300</v>
      </c>
      <c r="AC362">
        <v>1766.45</v>
      </c>
    </row>
    <row r="363" spans="12:29" x14ac:dyDescent="0.2">
      <c r="L363" t="s">
        <v>374</v>
      </c>
      <c r="M363">
        <v>238</v>
      </c>
      <c r="N363">
        <v>1</v>
      </c>
      <c r="O363">
        <v>4</v>
      </c>
      <c r="P363">
        <v>582</v>
      </c>
      <c r="Q363">
        <v>344</v>
      </c>
      <c r="R363">
        <v>401</v>
      </c>
      <c r="S363">
        <v>141.94999999999999</v>
      </c>
      <c r="U363" t="s">
        <v>374</v>
      </c>
      <c r="V363">
        <v>2888</v>
      </c>
      <c r="W363">
        <v>1</v>
      </c>
      <c r="X363">
        <v>4</v>
      </c>
      <c r="Y363">
        <v>582</v>
      </c>
      <c r="Z363">
        <v>344</v>
      </c>
      <c r="AA363">
        <v>5.19</v>
      </c>
      <c r="AB363">
        <v>300</v>
      </c>
      <c r="AC363">
        <v>5505.28</v>
      </c>
    </row>
    <row r="364" spans="12:29" x14ac:dyDescent="0.2">
      <c r="L364" t="s">
        <v>374</v>
      </c>
      <c r="M364">
        <v>256</v>
      </c>
      <c r="N364">
        <v>1</v>
      </c>
      <c r="O364">
        <v>4</v>
      </c>
      <c r="P364">
        <v>582</v>
      </c>
      <c r="Q364">
        <v>344</v>
      </c>
      <c r="R364">
        <v>401</v>
      </c>
      <c r="S364">
        <v>364.58</v>
      </c>
      <c r="U364" t="s">
        <v>374</v>
      </c>
      <c r="V364">
        <v>2889</v>
      </c>
      <c r="W364">
        <v>1</v>
      </c>
      <c r="X364">
        <v>4</v>
      </c>
      <c r="Y364">
        <v>582</v>
      </c>
      <c r="Z364">
        <v>344</v>
      </c>
      <c r="AA364">
        <v>5.19</v>
      </c>
      <c r="AB364">
        <v>300</v>
      </c>
      <c r="AC364">
        <v>7586.16</v>
      </c>
    </row>
    <row r="365" spans="12:29" x14ac:dyDescent="0.2">
      <c r="L365" t="s">
        <v>374</v>
      </c>
      <c r="M365">
        <v>264</v>
      </c>
      <c r="N365">
        <v>1</v>
      </c>
      <c r="O365">
        <v>4</v>
      </c>
      <c r="P365">
        <v>582</v>
      </c>
      <c r="Q365">
        <v>344</v>
      </c>
      <c r="R365">
        <v>401</v>
      </c>
      <c r="S365">
        <v>50.74</v>
      </c>
      <c r="U365" t="s">
        <v>374</v>
      </c>
      <c r="V365">
        <v>2890</v>
      </c>
      <c r="W365">
        <v>1</v>
      </c>
      <c r="X365">
        <v>4</v>
      </c>
      <c r="Y365">
        <v>582</v>
      </c>
      <c r="Z365">
        <v>344</v>
      </c>
      <c r="AA365">
        <v>5.19</v>
      </c>
      <c r="AB365">
        <v>300</v>
      </c>
      <c r="AC365">
        <v>7320.7</v>
      </c>
    </row>
    <row r="366" spans="12:29" x14ac:dyDescent="0.2">
      <c r="L366" t="s">
        <v>374</v>
      </c>
      <c r="M366">
        <v>271</v>
      </c>
      <c r="N366">
        <v>1</v>
      </c>
      <c r="O366">
        <v>4</v>
      </c>
      <c r="P366">
        <v>582</v>
      </c>
      <c r="Q366">
        <v>344</v>
      </c>
      <c r="R366">
        <v>401</v>
      </c>
      <c r="S366">
        <v>2405.69</v>
      </c>
      <c r="U366" t="s">
        <v>374</v>
      </c>
      <c r="V366">
        <v>2895</v>
      </c>
      <c r="W366">
        <v>1</v>
      </c>
      <c r="X366">
        <v>4</v>
      </c>
      <c r="Y366">
        <v>582</v>
      </c>
      <c r="Z366">
        <v>344</v>
      </c>
      <c r="AA366">
        <v>5.19</v>
      </c>
      <c r="AB366">
        <v>300</v>
      </c>
      <c r="AC366">
        <v>14354.68</v>
      </c>
    </row>
    <row r="367" spans="12:29" x14ac:dyDescent="0.2">
      <c r="L367" t="s">
        <v>374</v>
      </c>
      <c r="M367">
        <v>272</v>
      </c>
      <c r="N367">
        <v>1</v>
      </c>
      <c r="O367">
        <v>4</v>
      </c>
      <c r="P367">
        <v>582</v>
      </c>
      <c r="Q367">
        <v>344</v>
      </c>
      <c r="R367">
        <v>401</v>
      </c>
      <c r="S367">
        <v>1122.8900000000001</v>
      </c>
      <c r="U367" t="s">
        <v>374</v>
      </c>
      <c r="V367">
        <v>2897</v>
      </c>
      <c r="W367">
        <v>1</v>
      </c>
      <c r="X367">
        <v>4</v>
      </c>
      <c r="Y367">
        <v>582</v>
      </c>
      <c r="Z367">
        <v>344</v>
      </c>
      <c r="AA367">
        <v>5.05</v>
      </c>
      <c r="AB367">
        <v>300</v>
      </c>
      <c r="AC367">
        <v>18152.54</v>
      </c>
    </row>
    <row r="368" spans="12:29" x14ac:dyDescent="0.2">
      <c r="L368" t="s">
        <v>374</v>
      </c>
      <c r="M368">
        <v>273</v>
      </c>
      <c r="N368">
        <v>1</v>
      </c>
      <c r="O368">
        <v>4</v>
      </c>
      <c r="P368">
        <v>582</v>
      </c>
      <c r="Q368">
        <v>344</v>
      </c>
      <c r="R368">
        <v>401</v>
      </c>
      <c r="S368">
        <v>186.87</v>
      </c>
      <c r="U368" t="s">
        <v>374</v>
      </c>
      <c r="V368">
        <v>2898</v>
      </c>
      <c r="W368">
        <v>1</v>
      </c>
      <c r="X368">
        <v>4</v>
      </c>
      <c r="Y368">
        <v>582</v>
      </c>
      <c r="Z368">
        <v>344</v>
      </c>
      <c r="AA368">
        <v>5.19</v>
      </c>
      <c r="AB368">
        <v>300</v>
      </c>
      <c r="AC368">
        <v>8493.36</v>
      </c>
    </row>
    <row r="369" spans="12:29" x14ac:dyDescent="0.2">
      <c r="L369" t="s">
        <v>374</v>
      </c>
      <c r="M369">
        <v>276</v>
      </c>
      <c r="N369">
        <v>1</v>
      </c>
      <c r="O369">
        <v>4</v>
      </c>
      <c r="P369">
        <v>582</v>
      </c>
      <c r="Q369">
        <v>344</v>
      </c>
      <c r="R369">
        <v>401</v>
      </c>
      <c r="S369">
        <v>30</v>
      </c>
      <c r="U369" t="s">
        <v>374</v>
      </c>
      <c r="V369">
        <v>2899</v>
      </c>
      <c r="W369">
        <v>1</v>
      </c>
      <c r="X369">
        <v>4</v>
      </c>
      <c r="Y369">
        <v>582</v>
      </c>
      <c r="Z369">
        <v>344</v>
      </c>
      <c r="AA369">
        <v>5.19</v>
      </c>
      <c r="AB369">
        <v>300</v>
      </c>
      <c r="AC369">
        <v>12908.41</v>
      </c>
    </row>
    <row r="370" spans="12:29" x14ac:dyDescent="0.2">
      <c r="L370" t="s">
        <v>374</v>
      </c>
      <c r="M370">
        <v>277</v>
      </c>
      <c r="N370">
        <v>1</v>
      </c>
      <c r="O370">
        <v>4</v>
      </c>
      <c r="P370">
        <v>582</v>
      </c>
      <c r="Q370">
        <v>344</v>
      </c>
      <c r="R370">
        <v>401</v>
      </c>
      <c r="S370">
        <v>4158.3599999999997</v>
      </c>
      <c r="U370" t="s">
        <v>374</v>
      </c>
      <c r="V370">
        <v>2902</v>
      </c>
      <c r="W370">
        <v>1</v>
      </c>
      <c r="X370">
        <v>4</v>
      </c>
      <c r="Y370">
        <v>582</v>
      </c>
      <c r="Z370">
        <v>344</v>
      </c>
      <c r="AA370">
        <v>5.19</v>
      </c>
      <c r="AB370">
        <v>300</v>
      </c>
      <c r="AC370">
        <v>6309.34</v>
      </c>
    </row>
    <row r="371" spans="12:29" x14ac:dyDescent="0.2">
      <c r="L371" t="s">
        <v>374</v>
      </c>
      <c r="M371">
        <v>278</v>
      </c>
      <c r="N371">
        <v>1</v>
      </c>
      <c r="O371">
        <v>4</v>
      </c>
      <c r="P371">
        <v>582</v>
      </c>
      <c r="Q371">
        <v>344</v>
      </c>
      <c r="R371">
        <v>401</v>
      </c>
      <c r="S371">
        <v>983.31</v>
      </c>
      <c r="U371" t="s">
        <v>374</v>
      </c>
      <c r="V371">
        <v>2397</v>
      </c>
      <c r="W371">
        <v>1</v>
      </c>
      <c r="X371">
        <v>4</v>
      </c>
      <c r="Y371">
        <v>583</v>
      </c>
      <c r="Z371">
        <v>344</v>
      </c>
      <c r="AA371">
        <v>5.19</v>
      </c>
      <c r="AB371">
        <v>300</v>
      </c>
      <c r="AC371">
        <v>18289.52</v>
      </c>
    </row>
    <row r="372" spans="12:29" x14ac:dyDescent="0.2">
      <c r="L372" t="s">
        <v>374</v>
      </c>
      <c r="M372">
        <v>279</v>
      </c>
      <c r="N372">
        <v>1</v>
      </c>
      <c r="O372">
        <v>4</v>
      </c>
      <c r="P372">
        <v>582</v>
      </c>
      <c r="Q372">
        <v>344</v>
      </c>
      <c r="R372">
        <v>401</v>
      </c>
      <c r="S372">
        <v>749.23</v>
      </c>
      <c r="U372" t="s">
        <v>374</v>
      </c>
      <c r="V372">
        <v>81</v>
      </c>
      <c r="W372">
        <v>1</v>
      </c>
      <c r="X372">
        <v>4</v>
      </c>
      <c r="Y372">
        <v>590</v>
      </c>
      <c r="Z372">
        <v>344</v>
      </c>
      <c r="AA372">
        <v>5.19</v>
      </c>
      <c r="AB372">
        <v>300</v>
      </c>
      <c r="AC372">
        <v>2408.17</v>
      </c>
    </row>
    <row r="373" spans="12:29" x14ac:dyDescent="0.2">
      <c r="L373" t="s">
        <v>374</v>
      </c>
      <c r="M373">
        <v>281</v>
      </c>
      <c r="N373">
        <v>1</v>
      </c>
      <c r="O373">
        <v>4</v>
      </c>
      <c r="P373">
        <v>582</v>
      </c>
      <c r="Q373">
        <v>344</v>
      </c>
      <c r="R373">
        <v>401</v>
      </c>
      <c r="S373">
        <v>3037.28</v>
      </c>
      <c r="U373" t="s">
        <v>374</v>
      </c>
      <c r="V373">
        <v>85</v>
      </c>
      <c r="W373">
        <v>1</v>
      </c>
      <c r="X373">
        <v>4</v>
      </c>
      <c r="Y373">
        <v>590</v>
      </c>
      <c r="Z373">
        <v>344</v>
      </c>
      <c r="AA373">
        <v>5.19</v>
      </c>
      <c r="AB373">
        <v>300</v>
      </c>
      <c r="AC373">
        <v>5948.31</v>
      </c>
    </row>
    <row r="374" spans="12:29" x14ac:dyDescent="0.2">
      <c r="L374" t="s">
        <v>374</v>
      </c>
      <c r="M374">
        <v>283</v>
      </c>
      <c r="N374">
        <v>1</v>
      </c>
      <c r="O374">
        <v>4</v>
      </c>
      <c r="P374">
        <v>582</v>
      </c>
      <c r="Q374">
        <v>344</v>
      </c>
      <c r="R374">
        <v>401</v>
      </c>
      <c r="S374">
        <v>389.07</v>
      </c>
      <c r="U374" t="s">
        <v>374</v>
      </c>
      <c r="V374">
        <v>108</v>
      </c>
      <c r="W374">
        <v>1</v>
      </c>
      <c r="X374">
        <v>4</v>
      </c>
      <c r="Y374">
        <v>590</v>
      </c>
      <c r="Z374">
        <v>344</v>
      </c>
      <c r="AA374">
        <v>5.19</v>
      </c>
      <c r="AB374">
        <v>300</v>
      </c>
      <c r="AC374">
        <v>11690.33</v>
      </c>
    </row>
    <row r="375" spans="12:29" x14ac:dyDescent="0.2">
      <c r="L375" t="s">
        <v>374</v>
      </c>
      <c r="M375">
        <v>284</v>
      </c>
      <c r="N375">
        <v>1</v>
      </c>
      <c r="O375">
        <v>4</v>
      </c>
      <c r="P375">
        <v>582</v>
      </c>
      <c r="Q375">
        <v>344</v>
      </c>
      <c r="R375">
        <v>401</v>
      </c>
      <c r="S375">
        <v>864.88</v>
      </c>
      <c r="U375" t="s">
        <v>374</v>
      </c>
      <c r="V375">
        <v>197</v>
      </c>
      <c r="W375">
        <v>1</v>
      </c>
      <c r="X375">
        <v>4</v>
      </c>
      <c r="Y375">
        <v>590</v>
      </c>
      <c r="Z375">
        <v>344</v>
      </c>
      <c r="AA375">
        <v>5.19</v>
      </c>
      <c r="AB375">
        <v>300</v>
      </c>
      <c r="AC375">
        <v>72857.59</v>
      </c>
    </row>
    <row r="376" spans="12:29" x14ac:dyDescent="0.2">
      <c r="L376" t="s">
        <v>374</v>
      </c>
      <c r="M376">
        <v>286</v>
      </c>
      <c r="N376">
        <v>1</v>
      </c>
      <c r="O376">
        <v>4</v>
      </c>
      <c r="P376">
        <v>582</v>
      </c>
      <c r="Q376">
        <v>344</v>
      </c>
      <c r="R376">
        <v>401</v>
      </c>
      <c r="S376">
        <v>1852.38</v>
      </c>
      <c r="U376" t="s">
        <v>374</v>
      </c>
      <c r="V376">
        <v>203</v>
      </c>
      <c r="W376">
        <v>1</v>
      </c>
      <c r="X376">
        <v>4</v>
      </c>
      <c r="Y376">
        <v>590</v>
      </c>
      <c r="Z376">
        <v>344</v>
      </c>
      <c r="AA376">
        <v>5.19</v>
      </c>
      <c r="AB376">
        <v>300</v>
      </c>
      <c r="AC376">
        <v>6687.9</v>
      </c>
    </row>
    <row r="377" spans="12:29" x14ac:dyDescent="0.2">
      <c r="L377" t="s">
        <v>374</v>
      </c>
      <c r="M377">
        <v>297</v>
      </c>
      <c r="N377">
        <v>1</v>
      </c>
      <c r="O377">
        <v>4</v>
      </c>
      <c r="P377">
        <v>582</v>
      </c>
      <c r="Q377">
        <v>344</v>
      </c>
      <c r="R377">
        <v>401</v>
      </c>
      <c r="S377">
        <v>87.86</v>
      </c>
      <c r="U377" t="s">
        <v>374</v>
      </c>
      <c r="V377">
        <v>204</v>
      </c>
      <c r="W377">
        <v>1</v>
      </c>
      <c r="X377">
        <v>4</v>
      </c>
      <c r="Y377">
        <v>590</v>
      </c>
      <c r="Z377">
        <v>344</v>
      </c>
      <c r="AA377">
        <v>5.19</v>
      </c>
      <c r="AB377">
        <v>300</v>
      </c>
      <c r="AC377">
        <v>-15</v>
      </c>
    </row>
    <row r="378" spans="12:29" x14ac:dyDescent="0.2">
      <c r="L378" t="s">
        <v>374</v>
      </c>
      <c r="M378">
        <v>299</v>
      </c>
      <c r="N378">
        <v>1</v>
      </c>
      <c r="O378">
        <v>4</v>
      </c>
      <c r="P378">
        <v>582</v>
      </c>
      <c r="Q378">
        <v>344</v>
      </c>
      <c r="R378">
        <v>401</v>
      </c>
      <c r="S378">
        <v>1370.17</v>
      </c>
      <c r="U378" t="s">
        <v>374</v>
      </c>
      <c r="V378">
        <v>207</v>
      </c>
      <c r="W378">
        <v>1</v>
      </c>
      <c r="X378">
        <v>4</v>
      </c>
      <c r="Y378">
        <v>590</v>
      </c>
      <c r="Z378">
        <v>344</v>
      </c>
      <c r="AA378">
        <v>5.19</v>
      </c>
      <c r="AB378">
        <v>300</v>
      </c>
      <c r="AC378">
        <v>3050.57</v>
      </c>
    </row>
    <row r="379" spans="12:29" x14ac:dyDescent="0.2">
      <c r="L379" t="s">
        <v>374</v>
      </c>
      <c r="M379">
        <v>309</v>
      </c>
      <c r="N379">
        <v>1</v>
      </c>
      <c r="O379">
        <v>4</v>
      </c>
      <c r="P379">
        <v>582</v>
      </c>
      <c r="Q379">
        <v>344</v>
      </c>
      <c r="R379">
        <v>401</v>
      </c>
      <c r="S379">
        <v>233.88</v>
      </c>
      <c r="U379" t="s">
        <v>374</v>
      </c>
      <c r="V379">
        <v>279</v>
      </c>
      <c r="W379">
        <v>1</v>
      </c>
      <c r="X379">
        <v>4</v>
      </c>
      <c r="Y379">
        <v>590</v>
      </c>
      <c r="Z379">
        <v>344</v>
      </c>
      <c r="AA379">
        <v>5.0999999999999996</v>
      </c>
      <c r="AB379">
        <v>300</v>
      </c>
      <c r="AC379">
        <v>271293.51</v>
      </c>
    </row>
    <row r="380" spans="12:29" x14ac:dyDescent="0.2">
      <c r="L380" t="s">
        <v>374</v>
      </c>
      <c r="M380">
        <v>314</v>
      </c>
      <c r="N380">
        <v>1</v>
      </c>
      <c r="O380">
        <v>4</v>
      </c>
      <c r="P380">
        <v>582</v>
      </c>
      <c r="Q380">
        <v>344</v>
      </c>
      <c r="R380">
        <v>401</v>
      </c>
      <c r="S380">
        <v>401</v>
      </c>
      <c r="U380" t="s">
        <v>374</v>
      </c>
      <c r="V380">
        <v>283</v>
      </c>
      <c r="W380">
        <v>1</v>
      </c>
      <c r="X380">
        <v>4</v>
      </c>
      <c r="Y380">
        <v>590</v>
      </c>
      <c r="Z380">
        <v>344</v>
      </c>
      <c r="AA380">
        <v>5.19</v>
      </c>
      <c r="AB380">
        <v>300</v>
      </c>
      <c r="AC380">
        <v>5806.84</v>
      </c>
    </row>
    <row r="381" spans="12:29" x14ac:dyDescent="0.2">
      <c r="L381" t="s">
        <v>374</v>
      </c>
      <c r="M381">
        <v>317</v>
      </c>
      <c r="N381">
        <v>1</v>
      </c>
      <c r="O381">
        <v>4</v>
      </c>
      <c r="P381">
        <v>582</v>
      </c>
      <c r="Q381">
        <v>344</v>
      </c>
      <c r="R381">
        <v>401</v>
      </c>
      <c r="S381">
        <v>395.46</v>
      </c>
      <c r="U381" t="s">
        <v>374</v>
      </c>
      <c r="V381">
        <v>413</v>
      </c>
      <c r="W381">
        <v>1</v>
      </c>
      <c r="X381">
        <v>4</v>
      </c>
      <c r="Y381">
        <v>590</v>
      </c>
      <c r="Z381">
        <v>344</v>
      </c>
      <c r="AA381">
        <v>5.19</v>
      </c>
      <c r="AB381">
        <v>300</v>
      </c>
      <c r="AC381">
        <v>22565.16</v>
      </c>
    </row>
    <row r="382" spans="12:29" x14ac:dyDescent="0.2">
      <c r="L382" t="s">
        <v>374</v>
      </c>
      <c r="M382">
        <v>333</v>
      </c>
      <c r="N382">
        <v>1</v>
      </c>
      <c r="O382">
        <v>4</v>
      </c>
      <c r="P382">
        <v>582</v>
      </c>
      <c r="Q382">
        <v>344</v>
      </c>
      <c r="R382">
        <v>401</v>
      </c>
      <c r="S382">
        <v>501.05</v>
      </c>
      <c r="U382" t="s">
        <v>374</v>
      </c>
      <c r="V382">
        <v>424</v>
      </c>
      <c r="W382">
        <v>1</v>
      </c>
      <c r="X382">
        <v>4</v>
      </c>
      <c r="Y382">
        <v>590</v>
      </c>
      <c r="Z382">
        <v>344</v>
      </c>
      <c r="AA382">
        <v>5.19</v>
      </c>
      <c r="AB382">
        <v>300</v>
      </c>
      <c r="AC382">
        <v>144.56</v>
      </c>
    </row>
    <row r="383" spans="12:29" x14ac:dyDescent="0.2">
      <c r="L383" t="s">
        <v>374</v>
      </c>
      <c r="M383">
        <v>347</v>
      </c>
      <c r="N383">
        <v>1</v>
      </c>
      <c r="O383">
        <v>4</v>
      </c>
      <c r="P383">
        <v>582</v>
      </c>
      <c r="Q383">
        <v>344</v>
      </c>
      <c r="R383">
        <v>401</v>
      </c>
      <c r="S383">
        <v>363.37</v>
      </c>
      <c r="U383" t="s">
        <v>374</v>
      </c>
      <c r="V383">
        <v>458</v>
      </c>
      <c r="W383">
        <v>1</v>
      </c>
      <c r="X383">
        <v>4</v>
      </c>
      <c r="Y383">
        <v>590</v>
      </c>
      <c r="Z383">
        <v>344</v>
      </c>
      <c r="AA383">
        <v>5.19</v>
      </c>
      <c r="AB383">
        <v>300</v>
      </c>
      <c r="AC383">
        <v>-603</v>
      </c>
    </row>
    <row r="384" spans="12:29" x14ac:dyDescent="0.2">
      <c r="L384" t="s">
        <v>374</v>
      </c>
      <c r="M384">
        <v>361</v>
      </c>
      <c r="N384">
        <v>1</v>
      </c>
      <c r="O384">
        <v>4</v>
      </c>
      <c r="P384">
        <v>582</v>
      </c>
      <c r="Q384">
        <v>344</v>
      </c>
      <c r="R384">
        <v>401</v>
      </c>
      <c r="S384">
        <v>718.68</v>
      </c>
      <c r="U384" t="s">
        <v>374</v>
      </c>
      <c r="V384">
        <v>595</v>
      </c>
      <c r="W384">
        <v>1</v>
      </c>
      <c r="X384">
        <v>4</v>
      </c>
      <c r="Y384">
        <v>590</v>
      </c>
      <c r="Z384">
        <v>344</v>
      </c>
      <c r="AA384">
        <v>5.05</v>
      </c>
      <c r="AB384">
        <v>300</v>
      </c>
      <c r="AC384">
        <v>19257.669999999998</v>
      </c>
    </row>
    <row r="385" spans="12:29" x14ac:dyDescent="0.2">
      <c r="L385" t="s">
        <v>374</v>
      </c>
      <c r="M385">
        <v>362</v>
      </c>
      <c r="N385">
        <v>1</v>
      </c>
      <c r="O385">
        <v>4</v>
      </c>
      <c r="P385">
        <v>582</v>
      </c>
      <c r="Q385">
        <v>344</v>
      </c>
      <c r="R385">
        <v>401</v>
      </c>
      <c r="S385">
        <v>487.6</v>
      </c>
      <c r="U385" t="s">
        <v>374</v>
      </c>
      <c r="V385">
        <v>712</v>
      </c>
      <c r="W385">
        <v>1</v>
      </c>
      <c r="X385">
        <v>4</v>
      </c>
      <c r="Y385">
        <v>590</v>
      </c>
      <c r="Z385">
        <v>344</v>
      </c>
      <c r="AA385">
        <v>5.19</v>
      </c>
      <c r="AB385">
        <v>300</v>
      </c>
      <c r="AC385">
        <v>9655.34</v>
      </c>
    </row>
    <row r="386" spans="12:29" x14ac:dyDescent="0.2">
      <c r="L386" t="s">
        <v>374</v>
      </c>
      <c r="M386">
        <v>381</v>
      </c>
      <c r="N386">
        <v>1</v>
      </c>
      <c r="O386">
        <v>4</v>
      </c>
      <c r="P386">
        <v>582</v>
      </c>
      <c r="Q386">
        <v>344</v>
      </c>
      <c r="R386">
        <v>401</v>
      </c>
      <c r="S386">
        <v>322.33</v>
      </c>
      <c r="U386" t="s">
        <v>374</v>
      </c>
      <c r="V386">
        <v>716</v>
      </c>
      <c r="W386">
        <v>1</v>
      </c>
      <c r="X386">
        <v>4</v>
      </c>
      <c r="Y386">
        <v>590</v>
      </c>
      <c r="Z386">
        <v>344</v>
      </c>
      <c r="AA386">
        <v>5.19</v>
      </c>
      <c r="AB386">
        <v>300</v>
      </c>
      <c r="AC386">
        <v>15239.57</v>
      </c>
    </row>
    <row r="387" spans="12:29" x14ac:dyDescent="0.2">
      <c r="L387" t="s">
        <v>374</v>
      </c>
      <c r="M387">
        <v>394</v>
      </c>
      <c r="N387">
        <v>1</v>
      </c>
      <c r="O387">
        <v>4</v>
      </c>
      <c r="P387">
        <v>582</v>
      </c>
      <c r="Q387">
        <v>344</v>
      </c>
      <c r="R387">
        <v>401</v>
      </c>
      <c r="S387">
        <v>226</v>
      </c>
      <c r="U387" t="s">
        <v>374</v>
      </c>
      <c r="V387">
        <v>821</v>
      </c>
      <c r="W387">
        <v>1</v>
      </c>
      <c r="X387">
        <v>4</v>
      </c>
      <c r="Y387">
        <v>590</v>
      </c>
      <c r="Z387">
        <v>344</v>
      </c>
      <c r="AA387">
        <v>5.05</v>
      </c>
      <c r="AB387">
        <v>300</v>
      </c>
      <c r="AC387">
        <v>11211.71</v>
      </c>
    </row>
    <row r="388" spans="12:29" x14ac:dyDescent="0.2">
      <c r="L388" t="s">
        <v>374</v>
      </c>
      <c r="M388">
        <v>404</v>
      </c>
      <c r="N388">
        <v>1</v>
      </c>
      <c r="O388">
        <v>4</v>
      </c>
      <c r="P388">
        <v>582</v>
      </c>
      <c r="Q388">
        <v>344</v>
      </c>
      <c r="R388">
        <v>401</v>
      </c>
      <c r="S388">
        <v>3.37</v>
      </c>
      <c r="U388" t="s">
        <v>374</v>
      </c>
      <c r="V388">
        <v>2536</v>
      </c>
      <c r="W388">
        <v>1</v>
      </c>
      <c r="X388">
        <v>4</v>
      </c>
      <c r="Y388">
        <v>590</v>
      </c>
      <c r="Z388">
        <v>344</v>
      </c>
      <c r="AA388">
        <v>5.19</v>
      </c>
      <c r="AB388">
        <v>300</v>
      </c>
      <c r="AC388">
        <v>3567.99</v>
      </c>
    </row>
    <row r="389" spans="12:29" x14ac:dyDescent="0.2">
      <c r="L389" t="s">
        <v>374</v>
      </c>
      <c r="M389">
        <v>413</v>
      </c>
      <c r="N389">
        <v>1</v>
      </c>
      <c r="O389">
        <v>4</v>
      </c>
      <c r="P389">
        <v>582</v>
      </c>
      <c r="Q389">
        <v>344</v>
      </c>
      <c r="R389">
        <v>401</v>
      </c>
      <c r="S389">
        <v>753.77</v>
      </c>
      <c r="U389" t="s">
        <v>374</v>
      </c>
      <c r="V389">
        <v>2753</v>
      </c>
      <c r="W389">
        <v>1</v>
      </c>
      <c r="X389">
        <v>4</v>
      </c>
      <c r="Y389">
        <v>590</v>
      </c>
      <c r="Z389">
        <v>344</v>
      </c>
      <c r="AA389">
        <v>5.19</v>
      </c>
      <c r="AB389">
        <v>300</v>
      </c>
      <c r="AC389">
        <v>22203.69</v>
      </c>
    </row>
    <row r="390" spans="12:29" x14ac:dyDescent="0.2">
      <c r="L390" t="s">
        <v>374</v>
      </c>
      <c r="M390">
        <v>414</v>
      </c>
      <c r="N390">
        <v>1</v>
      </c>
      <c r="O390">
        <v>4</v>
      </c>
      <c r="P390">
        <v>582</v>
      </c>
      <c r="Q390">
        <v>344</v>
      </c>
      <c r="R390">
        <v>401</v>
      </c>
      <c r="S390">
        <v>25.81</v>
      </c>
      <c r="U390" t="s">
        <v>374</v>
      </c>
      <c r="V390">
        <v>811</v>
      </c>
      <c r="W390">
        <v>1</v>
      </c>
      <c r="X390">
        <v>4</v>
      </c>
      <c r="Y390">
        <v>581</v>
      </c>
      <c r="Z390">
        <v>344</v>
      </c>
      <c r="AA390">
        <v>5.19</v>
      </c>
      <c r="AB390">
        <v>211</v>
      </c>
      <c r="AC390">
        <v>7186.64</v>
      </c>
    </row>
    <row r="391" spans="12:29" x14ac:dyDescent="0.2">
      <c r="L391" t="s">
        <v>374</v>
      </c>
      <c r="M391">
        <v>423</v>
      </c>
      <c r="N391">
        <v>1</v>
      </c>
      <c r="O391">
        <v>4</v>
      </c>
      <c r="P391">
        <v>582</v>
      </c>
      <c r="Q391">
        <v>344</v>
      </c>
      <c r="R391">
        <v>401</v>
      </c>
      <c r="S391">
        <v>176.05</v>
      </c>
      <c r="U391" t="s">
        <v>374</v>
      </c>
      <c r="V391">
        <v>2899</v>
      </c>
      <c r="W391">
        <v>1</v>
      </c>
      <c r="X391">
        <v>4</v>
      </c>
      <c r="Y391">
        <v>581</v>
      </c>
      <c r="Z391">
        <v>344</v>
      </c>
      <c r="AA391">
        <v>5.19</v>
      </c>
      <c r="AB391">
        <v>211</v>
      </c>
      <c r="AC391">
        <v>9360</v>
      </c>
    </row>
    <row r="392" spans="12:29" x14ac:dyDescent="0.2">
      <c r="L392" t="s">
        <v>374</v>
      </c>
      <c r="M392">
        <v>424</v>
      </c>
      <c r="N392">
        <v>1</v>
      </c>
      <c r="O392">
        <v>4</v>
      </c>
      <c r="P392">
        <v>582</v>
      </c>
      <c r="Q392">
        <v>344</v>
      </c>
      <c r="R392">
        <v>401</v>
      </c>
      <c r="S392">
        <v>1460.4</v>
      </c>
      <c r="U392" t="s">
        <v>374</v>
      </c>
      <c r="V392">
        <v>99</v>
      </c>
      <c r="W392">
        <v>1</v>
      </c>
      <c r="X392">
        <v>4</v>
      </c>
      <c r="Y392">
        <v>582</v>
      </c>
      <c r="Z392">
        <v>799</v>
      </c>
      <c r="AA392">
        <v>5.19</v>
      </c>
      <c r="AB392">
        <v>99</v>
      </c>
      <c r="AC392">
        <v>6224.88</v>
      </c>
    </row>
    <row r="393" spans="12:29" x14ac:dyDescent="0.2">
      <c r="L393" t="s">
        <v>374</v>
      </c>
      <c r="M393">
        <v>465</v>
      </c>
      <c r="N393">
        <v>1</v>
      </c>
      <c r="O393">
        <v>4</v>
      </c>
      <c r="P393">
        <v>582</v>
      </c>
      <c r="Q393">
        <v>344</v>
      </c>
      <c r="R393">
        <v>401</v>
      </c>
      <c r="S393">
        <v>2043.49</v>
      </c>
      <c r="U393" t="s">
        <v>374</v>
      </c>
      <c r="V393">
        <v>139</v>
      </c>
      <c r="W393">
        <v>1</v>
      </c>
      <c r="X393">
        <v>4</v>
      </c>
      <c r="Y393">
        <v>582</v>
      </c>
      <c r="Z393">
        <v>799</v>
      </c>
      <c r="AA393">
        <v>5.19</v>
      </c>
      <c r="AB393">
        <v>99</v>
      </c>
      <c r="AC393">
        <v>35703</v>
      </c>
    </row>
    <row r="394" spans="12:29" x14ac:dyDescent="0.2">
      <c r="L394" t="s">
        <v>374</v>
      </c>
      <c r="M394">
        <v>466</v>
      </c>
      <c r="N394">
        <v>1</v>
      </c>
      <c r="O394">
        <v>4</v>
      </c>
      <c r="P394">
        <v>582</v>
      </c>
      <c r="Q394">
        <v>344</v>
      </c>
      <c r="R394">
        <v>401</v>
      </c>
      <c r="S394">
        <v>1418.81</v>
      </c>
      <c r="U394" t="s">
        <v>374</v>
      </c>
      <c r="V394">
        <v>2890</v>
      </c>
      <c r="W394">
        <v>1</v>
      </c>
      <c r="X394">
        <v>4</v>
      </c>
      <c r="Y394">
        <v>582</v>
      </c>
      <c r="Z394">
        <v>799</v>
      </c>
      <c r="AA394">
        <v>5.19</v>
      </c>
      <c r="AB394">
        <v>99</v>
      </c>
      <c r="AC394">
        <v>3730</v>
      </c>
    </row>
    <row r="395" spans="12:29" x14ac:dyDescent="0.2">
      <c r="L395" t="s">
        <v>374</v>
      </c>
      <c r="M395">
        <v>477</v>
      </c>
      <c r="N395">
        <v>1</v>
      </c>
      <c r="O395">
        <v>4</v>
      </c>
      <c r="P395">
        <v>582</v>
      </c>
      <c r="Q395">
        <v>344</v>
      </c>
      <c r="R395">
        <v>401</v>
      </c>
      <c r="S395">
        <v>1274.93</v>
      </c>
      <c r="U395" t="s">
        <v>374</v>
      </c>
      <c r="V395">
        <v>2683</v>
      </c>
      <c r="W395">
        <v>1</v>
      </c>
      <c r="X395">
        <v>4</v>
      </c>
      <c r="Y395">
        <v>0</v>
      </c>
      <c r="Z395">
        <v>344</v>
      </c>
      <c r="AA395">
        <v>5.19</v>
      </c>
      <c r="AB395">
        <v>99</v>
      </c>
      <c r="AC395">
        <v>5800</v>
      </c>
    </row>
    <row r="396" spans="12:29" x14ac:dyDescent="0.2">
      <c r="L396" t="s">
        <v>374</v>
      </c>
      <c r="M396">
        <v>480</v>
      </c>
      <c r="N396">
        <v>1</v>
      </c>
      <c r="O396">
        <v>4</v>
      </c>
      <c r="P396">
        <v>582</v>
      </c>
      <c r="Q396">
        <v>344</v>
      </c>
      <c r="R396">
        <v>401</v>
      </c>
      <c r="S396">
        <v>145.44999999999999</v>
      </c>
      <c r="U396" t="s">
        <v>374</v>
      </c>
      <c r="V396">
        <v>1</v>
      </c>
      <c r="W396">
        <v>3</v>
      </c>
      <c r="X396">
        <v>4</v>
      </c>
      <c r="Y396">
        <v>582</v>
      </c>
      <c r="Z396">
        <v>344</v>
      </c>
      <c r="AA396">
        <v>5.19</v>
      </c>
      <c r="AB396">
        <v>99</v>
      </c>
      <c r="AC396">
        <v>249000</v>
      </c>
    </row>
    <row r="397" spans="12:29" x14ac:dyDescent="0.2">
      <c r="L397" t="s">
        <v>374</v>
      </c>
      <c r="M397">
        <v>482</v>
      </c>
      <c r="N397">
        <v>1</v>
      </c>
      <c r="O397">
        <v>4</v>
      </c>
      <c r="P397">
        <v>582</v>
      </c>
      <c r="Q397">
        <v>344</v>
      </c>
      <c r="R397">
        <v>401</v>
      </c>
      <c r="S397">
        <v>43.6</v>
      </c>
      <c r="U397" t="s">
        <v>374</v>
      </c>
      <c r="V397">
        <v>6</v>
      </c>
      <c r="W397">
        <v>3</v>
      </c>
      <c r="X397">
        <v>4</v>
      </c>
      <c r="Y397">
        <v>582</v>
      </c>
      <c r="Z397">
        <v>344</v>
      </c>
      <c r="AA397">
        <v>5.19</v>
      </c>
      <c r="AB397">
        <v>99</v>
      </c>
      <c r="AC397">
        <v>2000</v>
      </c>
    </row>
    <row r="398" spans="12:29" x14ac:dyDescent="0.2">
      <c r="L398" t="s">
        <v>374</v>
      </c>
      <c r="M398">
        <v>492</v>
      </c>
      <c r="N398">
        <v>1</v>
      </c>
      <c r="O398">
        <v>4</v>
      </c>
      <c r="P398">
        <v>582</v>
      </c>
      <c r="Q398">
        <v>344</v>
      </c>
      <c r="R398">
        <v>401</v>
      </c>
      <c r="S398">
        <v>1278.3399999999999</v>
      </c>
      <c r="U398" t="s">
        <v>374</v>
      </c>
      <c r="V398">
        <v>88</v>
      </c>
      <c r="W398">
        <v>1</v>
      </c>
      <c r="X398">
        <v>4</v>
      </c>
      <c r="Y398">
        <v>582</v>
      </c>
      <c r="Z398">
        <v>344</v>
      </c>
      <c r="AA398">
        <v>5.19</v>
      </c>
      <c r="AB398">
        <v>99</v>
      </c>
      <c r="AC398">
        <v>15</v>
      </c>
    </row>
    <row r="399" spans="12:29" x14ac:dyDescent="0.2">
      <c r="L399" t="s">
        <v>374</v>
      </c>
      <c r="M399">
        <v>499</v>
      </c>
      <c r="N399">
        <v>1</v>
      </c>
      <c r="O399">
        <v>4</v>
      </c>
      <c r="P399">
        <v>582</v>
      </c>
      <c r="Q399">
        <v>344</v>
      </c>
      <c r="R399">
        <v>401</v>
      </c>
      <c r="S399">
        <v>1775.75</v>
      </c>
      <c r="U399" t="s">
        <v>374</v>
      </c>
      <c r="V399">
        <v>97</v>
      </c>
      <c r="W399">
        <v>1</v>
      </c>
      <c r="X399">
        <v>4</v>
      </c>
      <c r="Y399">
        <v>582</v>
      </c>
      <c r="Z399">
        <v>344</v>
      </c>
      <c r="AA399">
        <v>5.19</v>
      </c>
      <c r="AB399">
        <v>99</v>
      </c>
      <c r="AC399">
        <v>13300</v>
      </c>
    </row>
    <row r="400" spans="12:29" x14ac:dyDescent="0.2">
      <c r="L400" t="s">
        <v>374</v>
      </c>
      <c r="M400">
        <v>508</v>
      </c>
      <c r="N400">
        <v>1</v>
      </c>
      <c r="O400">
        <v>4</v>
      </c>
      <c r="P400">
        <v>582</v>
      </c>
      <c r="Q400">
        <v>344</v>
      </c>
      <c r="R400">
        <v>401</v>
      </c>
      <c r="S400">
        <v>2663.23</v>
      </c>
      <c r="U400" t="s">
        <v>374</v>
      </c>
      <c r="V400">
        <v>110</v>
      </c>
      <c r="W400">
        <v>1</v>
      </c>
      <c r="X400">
        <v>4</v>
      </c>
      <c r="Y400">
        <v>582</v>
      </c>
      <c r="Z400">
        <v>344</v>
      </c>
      <c r="AA400">
        <v>5.19</v>
      </c>
      <c r="AB400">
        <v>99</v>
      </c>
      <c r="AC400">
        <v>16245.36</v>
      </c>
    </row>
    <row r="401" spans="12:29" x14ac:dyDescent="0.2">
      <c r="L401" t="s">
        <v>374</v>
      </c>
      <c r="M401">
        <v>531</v>
      </c>
      <c r="N401">
        <v>1</v>
      </c>
      <c r="O401">
        <v>4</v>
      </c>
      <c r="P401">
        <v>582</v>
      </c>
      <c r="Q401">
        <v>344</v>
      </c>
      <c r="R401">
        <v>401</v>
      </c>
      <c r="S401">
        <v>4877.8100000000004</v>
      </c>
      <c r="U401" t="s">
        <v>374</v>
      </c>
      <c r="V401">
        <v>112</v>
      </c>
      <c r="W401">
        <v>1</v>
      </c>
      <c r="X401">
        <v>4</v>
      </c>
      <c r="Y401">
        <v>582</v>
      </c>
      <c r="Z401">
        <v>344</v>
      </c>
      <c r="AA401">
        <v>5.19</v>
      </c>
      <c r="AB401">
        <v>99</v>
      </c>
      <c r="AC401">
        <v>2050</v>
      </c>
    </row>
    <row r="402" spans="12:29" x14ac:dyDescent="0.2">
      <c r="L402" t="s">
        <v>374</v>
      </c>
      <c r="M402">
        <v>534</v>
      </c>
      <c r="N402">
        <v>1</v>
      </c>
      <c r="O402">
        <v>4</v>
      </c>
      <c r="P402">
        <v>582</v>
      </c>
      <c r="Q402">
        <v>344</v>
      </c>
      <c r="R402">
        <v>401</v>
      </c>
      <c r="S402">
        <v>103.25</v>
      </c>
      <c r="U402" t="s">
        <v>374</v>
      </c>
      <c r="V402">
        <v>138</v>
      </c>
      <c r="W402">
        <v>1</v>
      </c>
      <c r="X402">
        <v>4</v>
      </c>
      <c r="Y402">
        <v>582</v>
      </c>
      <c r="Z402">
        <v>344</v>
      </c>
      <c r="AA402">
        <v>5.05</v>
      </c>
      <c r="AB402">
        <v>99</v>
      </c>
      <c r="AC402">
        <v>59.3</v>
      </c>
    </row>
    <row r="403" spans="12:29" x14ac:dyDescent="0.2">
      <c r="L403" t="s">
        <v>374</v>
      </c>
      <c r="M403">
        <v>550</v>
      </c>
      <c r="N403">
        <v>1</v>
      </c>
      <c r="O403">
        <v>4</v>
      </c>
      <c r="P403">
        <v>582</v>
      </c>
      <c r="Q403">
        <v>344</v>
      </c>
      <c r="R403">
        <v>401</v>
      </c>
      <c r="S403">
        <v>291.45999999999998</v>
      </c>
      <c r="U403" t="s">
        <v>374</v>
      </c>
      <c r="V403">
        <v>196</v>
      </c>
      <c r="W403">
        <v>1</v>
      </c>
      <c r="X403">
        <v>4</v>
      </c>
      <c r="Y403">
        <v>582</v>
      </c>
      <c r="Z403">
        <v>344</v>
      </c>
      <c r="AA403">
        <v>5.19</v>
      </c>
      <c r="AB403">
        <v>99</v>
      </c>
      <c r="AC403">
        <v>22640</v>
      </c>
    </row>
    <row r="404" spans="12:29" x14ac:dyDescent="0.2">
      <c r="L404" t="s">
        <v>374</v>
      </c>
      <c r="M404">
        <v>564</v>
      </c>
      <c r="N404">
        <v>1</v>
      </c>
      <c r="O404">
        <v>4</v>
      </c>
      <c r="P404">
        <v>582</v>
      </c>
      <c r="Q404">
        <v>344</v>
      </c>
      <c r="R404">
        <v>401</v>
      </c>
      <c r="S404">
        <v>245</v>
      </c>
      <c r="U404" t="s">
        <v>374</v>
      </c>
      <c r="V404">
        <v>208</v>
      </c>
      <c r="W404">
        <v>1</v>
      </c>
      <c r="X404">
        <v>4</v>
      </c>
      <c r="Y404">
        <v>582</v>
      </c>
      <c r="Z404">
        <v>344</v>
      </c>
      <c r="AA404">
        <v>5.19</v>
      </c>
      <c r="AB404">
        <v>99</v>
      </c>
      <c r="AC404">
        <v>3402.1</v>
      </c>
    </row>
    <row r="405" spans="12:29" x14ac:dyDescent="0.2">
      <c r="L405" t="s">
        <v>374</v>
      </c>
      <c r="M405">
        <v>578</v>
      </c>
      <c r="N405">
        <v>1</v>
      </c>
      <c r="O405">
        <v>4</v>
      </c>
      <c r="P405">
        <v>582</v>
      </c>
      <c r="Q405">
        <v>344</v>
      </c>
      <c r="R405">
        <v>401</v>
      </c>
      <c r="S405">
        <v>3650.11</v>
      </c>
      <c r="U405" t="s">
        <v>374</v>
      </c>
      <c r="V405">
        <v>255</v>
      </c>
      <c r="W405">
        <v>1</v>
      </c>
      <c r="X405">
        <v>4</v>
      </c>
      <c r="Y405">
        <v>582</v>
      </c>
      <c r="Z405">
        <v>344</v>
      </c>
      <c r="AA405">
        <v>5.19</v>
      </c>
      <c r="AB405">
        <v>99</v>
      </c>
      <c r="AC405">
        <v>2600</v>
      </c>
    </row>
    <row r="406" spans="12:29" x14ac:dyDescent="0.2">
      <c r="L406" t="s">
        <v>374</v>
      </c>
      <c r="M406">
        <v>581</v>
      </c>
      <c r="N406">
        <v>1</v>
      </c>
      <c r="O406">
        <v>4</v>
      </c>
      <c r="P406">
        <v>582</v>
      </c>
      <c r="Q406">
        <v>344</v>
      </c>
      <c r="R406">
        <v>401</v>
      </c>
      <c r="S406">
        <v>35.15</v>
      </c>
      <c r="U406" t="s">
        <v>374</v>
      </c>
      <c r="V406">
        <v>271</v>
      </c>
      <c r="W406">
        <v>1</v>
      </c>
      <c r="X406">
        <v>4</v>
      </c>
      <c r="Y406">
        <v>582</v>
      </c>
      <c r="Z406">
        <v>344</v>
      </c>
      <c r="AA406">
        <v>5.19</v>
      </c>
      <c r="AB406">
        <v>99</v>
      </c>
      <c r="AC406">
        <v>183248.28</v>
      </c>
    </row>
    <row r="407" spans="12:29" x14ac:dyDescent="0.2">
      <c r="L407" t="s">
        <v>374</v>
      </c>
      <c r="M407">
        <v>595</v>
      </c>
      <c r="N407">
        <v>1</v>
      </c>
      <c r="O407">
        <v>4</v>
      </c>
      <c r="P407">
        <v>582</v>
      </c>
      <c r="Q407">
        <v>344</v>
      </c>
      <c r="R407">
        <v>401</v>
      </c>
      <c r="S407">
        <v>317.63</v>
      </c>
      <c r="U407" t="s">
        <v>374</v>
      </c>
      <c r="V407">
        <v>272</v>
      </c>
      <c r="W407">
        <v>1</v>
      </c>
      <c r="X407">
        <v>4</v>
      </c>
      <c r="Y407">
        <v>582</v>
      </c>
      <c r="Z407">
        <v>344</v>
      </c>
      <c r="AA407">
        <v>5.19</v>
      </c>
      <c r="AB407">
        <v>99</v>
      </c>
      <c r="AC407">
        <v>7037.5</v>
      </c>
    </row>
    <row r="408" spans="12:29" x14ac:dyDescent="0.2">
      <c r="L408" t="s">
        <v>374</v>
      </c>
      <c r="M408">
        <v>600</v>
      </c>
      <c r="N408">
        <v>1</v>
      </c>
      <c r="O408">
        <v>4</v>
      </c>
      <c r="P408">
        <v>582</v>
      </c>
      <c r="Q408">
        <v>344</v>
      </c>
      <c r="R408">
        <v>401</v>
      </c>
      <c r="S408">
        <v>489.2</v>
      </c>
      <c r="U408" t="s">
        <v>374</v>
      </c>
      <c r="V408">
        <v>299</v>
      </c>
      <c r="W408">
        <v>1</v>
      </c>
      <c r="X408">
        <v>4</v>
      </c>
      <c r="Y408">
        <v>582</v>
      </c>
      <c r="Z408">
        <v>344</v>
      </c>
      <c r="AA408">
        <v>5.19</v>
      </c>
      <c r="AB408">
        <v>99</v>
      </c>
      <c r="AC408">
        <v>138.38999999999999</v>
      </c>
    </row>
    <row r="409" spans="12:29" x14ac:dyDescent="0.2">
      <c r="L409" t="s">
        <v>374</v>
      </c>
      <c r="M409">
        <v>621</v>
      </c>
      <c r="N409">
        <v>1</v>
      </c>
      <c r="O409">
        <v>4</v>
      </c>
      <c r="P409">
        <v>582</v>
      </c>
      <c r="Q409">
        <v>344</v>
      </c>
      <c r="R409">
        <v>401</v>
      </c>
      <c r="S409">
        <v>429.64</v>
      </c>
      <c r="U409" t="s">
        <v>374</v>
      </c>
      <c r="V409">
        <v>314</v>
      </c>
      <c r="W409">
        <v>1</v>
      </c>
      <c r="X409">
        <v>4</v>
      </c>
      <c r="Y409">
        <v>582</v>
      </c>
      <c r="Z409">
        <v>344</v>
      </c>
      <c r="AA409">
        <v>5.19</v>
      </c>
      <c r="AB409">
        <v>99</v>
      </c>
      <c r="AC409">
        <v>2015</v>
      </c>
    </row>
    <row r="410" spans="12:29" x14ac:dyDescent="0.2">
      <c r="L410" t="s">
        <v>374</v>
      </c>
      <c r="M410">
        <v>622</v>
      </c>
      <c r="N410">
        <v>1</v>
      </c>
      <c r="O410">
        <v>4</v>
      </c>
      <c r="P410">
        <v>582</v>
      </c>
      <c r="Q410">
        <v>344</v>
      </c>
      <c r="R410">
        <v>401</v>
      </c>
      <c r="S410">
        <v>282.95</v>
      </c>
      <c r="U410" t="s">
        <v>374</v>
      </c>
      <c r="V410">
        <v>316</v>
      </c>
      <c r="W410">
        <v>1</v>
      </c>
      <c r="X410">
        <v>4</v>
      </c>
      <c r="Y410">
        <v>582</v>
      </c>
      <c r="Z410">
        <v>344</v>
      </c>
      <c r="AA410">
        <v>5.19</v>
      </c>
      <c r="AB410">
        <v>99</v>
      </c>
      <c r="AC410">
        <v>31500</v>
      </c>
    </row>
    <row r="411" spans="12:29" x14ac:dyDescent="0.2">
      <c r="L411" t="s">
        <v>374</v>
      </c>
      <c r="M411">
        <v>623</v>
      </c>
      <c r="N411">
        <v>1</v>
      </c>
      <c r="O411">
        <v>4</v>
      </c>
      <c r="P411">
        <v>582</v>
      </c>
      <c r="Q411">
        <v>344</v>
      </c>
      <c r="R411">
        <v>401</v>
      </c>
      <c r="S411">
        <v>202.09</v>
      </c>
      <c r="U411" t="s">
        <v>374</v>
      </c>
      <c r="V411">
        <v>317</v>
      </c>
      <c r="W411">
        <v>1</v>
      </c>
      <c r="X411">
        <v>4</v>
      </c>
      <c r="Y411">
        <v>582</v>
      </c>
      <c r="Z411">
        <v>344</v>
      </c>
      <c r="AA411">
        <v>5.19</v>
      </c>
      <c r="AB411">
        <v>99</v>
      </c>
      <c r="AC411">
        <v>108015.53</v>
      </c>
    </row>
    <row r="412" spans="12:29" x14ac:dyDescent="0.2">
      <c r="L412" t="s">
        <v>374</v>
      </c>
      <c r="M412">
        <v>625</v>
      </c>
      <c r="N412">
        <v>1</v>
      </c>
      <c r="O412">
        <v>4</v>
      </c>
      <c r="P412">
        <v>582</v>
      </c>
      <c r="Q412">
        <v>344</v>
      </c>
      <c r="R412">
        <v>401</v>
      </c>
      <c r="S412">
        <v>6352.27</v>
      </c>
      <c r="U412" t="s">
        <v>374</v>
      </c>
      <c r="V412">
        <v>347</v>
      </c>
      <c r="W412">
        <v>1</v>
      </c>
      <c r="X412">
        <v>4</v>
      </c>
      <c r="Y412">
        <v>582</v>
      </c>
      <c r="Z412">
        <v>344</v>
      </c>
      <c r="AA412">
        <v>5.19</v>
      </c>
      <c r="AB412">
        <v>99</v>
      </c>
      <c r="AC412">
        <v>135</v>
      </c>
    </row>
    <row r="413" spans="12:29" x14ac:dyDescent="0.2">
      <c r="L413" t="s">
        <v>374</v>
      </c>
      <c r="M413">
        <v>640</v>
      </c>
      <c r="N413">
        <v>1</v>
      </c>
      <c r="O413">
        <v>4</v>
      </c>
      <c r="P413">
        <v>582</v>
      </c>
      <c r="Q413">
        <v>344</v>
      </c>
      <c r="R413">
        <v>401</v>
      </c>
      <c r="S413">
        <v>418.7</v>
      </c>
      <c r="U413" t="s">
        <v>374</v>
      </c>
      <c r="V413">
        <v>394</v>
      </c>
      <c r="W413">
        <v>1</v>
      </c>
      <c r="X413">
        <v>4</v>
      </c>
      <c r="Y413">
        <v>582</v>
      </c>
      <c r="Z413">
        <v>344</v>
      </c>
      <c r="AA413">
        <v>5.19</v>
      </c>
      <c r="AB413">
        <v>99</v>
      </c>
      <c r="AC413">
        <v>4628</v>
      </c>
    </row>
    <row r="414" spans="12:29" x14ac:dyDescent="0.2">
      <c r="L414" t="s">
        <v>374</v>
      </c>
      <c r="M414">
        <v>659</v>
      </c>
      <c r="N414">
        <v>1</v>
      </c>
      <c r="O414">
        <v>4</v>
      </c>
      <c r="P414">
        <v>582</v>
      </c>
      <c r="Q414">
        <v>344</v>
      </c>
      <c r="R414">
        <v>401</v>
      </c>
      <c r="S414">
        <v>1126.52</v>
      </c>
      <c r="U414" t="s">
        <v>374</v>
      </c>
      <c r="V414">
        <v>424</v>
      </c>
      <c r="W414">
        <v>1</v>
      </c>
      <c r="X414">
        <v>4</v>
      </c>
      <c r="Y414">
        <v>582</v>
      </c>
      <c r="Z414">
        <v>344</v>
      </c>
      <c r="AA414">
        <v>5.19</v>
      </c>
      <c r="AB414">
        <v>99</v>
      </c>
      <c r="AC414">
        <v>3045.36</v>
      </c>
    </row>
    <row r="415" spans="12:29" x14ac:dyDescent="0.2">
      <c r="L415" t="s">
        <v>374</v>
      </c>
      <c r="M415">
        <v>690</v>
      </c>
      <c r="N415">
        <v>1</v>
      </c>
      <c r="O415">
        <v>4</v>
      </c>
      <c r="P415">
        <v>582</v>
      </c>
      <c r="Q415">
        <v>344</v>
      </c>
      <c r="R415">
        <v>401</v>
      </c>
      <c r="S415">
        <v>10</v>
      </c>
      <c r="U415" t="s">
        <v>374</v>
      </c>
      <c r="V415">
        <v>441</v>
      </c>
      <c r="W415">
        <v>1</v>
      </c>
      <c r="X415">
        <v>4</v>
      </c>
      <c r="Y415">
        <v>582</v>
      </c>
      <c r="Z415">
        <v>344</v>
      </c>
      <c r="AA415">
        <v>5.19</v>
      </c>
      <c r="AB415">
        <v>99</v>
      </c>
      <c r="AC415">
        <v>1468</v>
      </c>
    </row>
    <row r="416" spans="12:29" x14ac:dyDescent="0.2">
      <c r="L416" t="s">
        <v>374</v>
      </c>
      <c r="M416">
        <v>695</v>
      </c>
      <c r="N416">
        <v>1</v>
      </c>
      <c r="O416">
        <v>4</v>
      </c>
      <c r="P416">
        <v>582</v>
      </c>
      <c r="Q416">
        <v>344</v>
      </c>
      <c r="R416">
        <v>401</v>
      </c>
      <c r="S416">
        <v>60.09</v>
      </c>
      <c r="U416" t="s">
        <v>374</v>
      </c>
      <c r="V416">
        <v>458</v>
      </c>
      <c r="W416">
        <v>1</v>
      </c>
      <c r="X416">
        <v>4</v>
      </c>
      <c r="Y416">
        <v>582</v>
      </c>
      <c r="Z416">
        <v>344</v>
      </c>
      <c r="AA416">
        <v>5.19</v>
      </c>
      <c r="AB416">
        <v>99</v>
      </c>
      <c r="AC416">
        <v>8895.59</v>
      </c>
    </row>
    <row r="417" spans="12:29" x14ac:dyDescent="0.2">
      <c r="L417" t="s">
        <v>374</v>
      </c>
      <c r="M417">
        <v>696</v>
      </c>
      <c r="N417">
        <v>1</v>
      </c>
      <c r="O417">
        <v>4</v>
      </c>
      <c r="P417">
        <v>582</v>
      </c>
      <c r="Q417">
        <v>344</v>
      </c>
      <c r="R417">
        <v>401</v>
      </c>
      <c r="S417">
        <v>41.97</v>
      </c>
      <c r="U417" t="s">
        <v>374</v>
      </c>
      <c r="V417">
        <v>465</v>
      </c>
      <c r="W417">
        <v>1</v>
      </c>
      <c r="X417">
        <v>4</v>
      </c>
      <c r="Y417">
        <v>582</v>
      </c>
      <c r="Z417">
        <v>344</v>
      </c>
      <c r="AA417">
        <v>5.19</v>
      </c>
      <c r="AB417">
        <v>99</v>
      </c>
      <c r="AC417">
        <v>8352</v>
      </c>
    </row>
    <row r="418" spans="12:29" x14ac:dyDescent="0.2">
      <c r="L418" t="s">
        <v>374</v>
      </c>
      <c r="M418">
        <v>700</v>
      </c>
      <c r="N418">
        <v>1</v>
      </c>
      <c r="O418">
        <v>4</v>
      </c>
      <c r="P418">
        <v>582</v>
      </c>
      <c r="Q418">
        <v>344</v>
      </c>
      <c r="R418">
        <v>401</v>
      </c>
      <c r="S418">
        <v>6833.3</v>
      </c>
      <c r="U418" t="s">
        <v>374</v>
      </c>
      <c r="V418">
        <v>495</v>
      </c>
      <c r="W418">
        <v>1</v>
      </c>
      <c r="X418">
        <v>4</v>
      </c>
      <c r="Y418">
        <v>582</v>
      </c>
      <c r="Z418">
        <v>344</v>
      </c>
      <c r="AA418">
        <v>5.19</v>
      </c>
      <c r="AB418">
        <v>99</v>
      </c>
      <c r="AC418">
        <v>-251</v>
      </c>
    </row>
    <row r="419" spans="12:29" x14ac:dyDescent="0.2">
      <c r="L419" t="s">
        <v>374</v>
      </c>
      <c r="M419">
        <v>704</v>
      </c>
      <c r="N419">
        <v>1</v>
      </c>
      <c r="O419">
        <v>4</v>
      </c>
      <c r="P419">
        <v>582</v>
      </c>
      <c r="Q419">
        <v>344</v>
      </c>
      <c r="R419">
        <v>401</v>
      </c>
      <c r="S419">
        <v>8819.8799999999992</v>
      </c>
      <c r="U419" t="s">
        <v>374</v>
      </c>
      <c r="V419">
        <v>500</v>
      </c>
      <c r="W419">
        <v>1</v>
      </c>
      <c r="X419">
        <v>4</v>
      </c>
      <c r="Y419">
        <v>582</v>
      </c>
      <c r="Z419">
        <v>344</v>
      </c>
      <c r="AA419">
        <v>5.19</v>
      </c>
      <c r="AB419">
        <v>99</v>
      </c>
      <c r="AC419">
        <v>2030</v>
      </c>
    </row>
    <row r="420" spans="12:29" x14ac:dyDescent="0.2">
      <c r="L420" t="s">
        <v>374</v>
      </c>
      <c r="M420">
        <v>706</v>
      </c>
      <c r="N420">
        <v>1</v>
      </c>
      <c r="O420">
        <v>4</v>
      </c>
      <c r="P420">
        <v>582</v>
      </c>
      <c r="Q420">
        <v>344</v>
      </c>
      <c r="R420">
        <v>401</v>
      </c>
      <c r="S420">
        <v>54.36</v>
      </c>
      <c r="U420" t="s">
        <v>374</v>
      </c>
      <c r="V420">
        <v>508</v>
      </c>
      <c r="W420">
        <v>1</v>
      </c>
      <c r="X420">
        <v>4</v>
      </c>
      <c r="Y420">
        <v>582</v>
      </c>
      <c r="Z420">
        <v>344</v>
      </c>
      <c r="AA420">
        <v>5.19</v>
      </c>
      <c r="AB420">
        <v>99</v>
      </c>
      <c r="AC420">
        <v>93145.4</v>
      </c>
    </row>
    <row r="421" spans="12:29" x14ac:dyDescent="0.2">
      <c r="L421" t="s">
        <v>374</v>
      </c>
      <c r="M421">
        <v>709</v>
      </c>
      <c r="N421">
        <v>1</v>
      </c>
      <c r="O421">
        <v>4</v>
      </c>
      <c r="P421">
        <v>582</v>
      </c>
      <c r="Q421">
        <v>344</v>
      </c>
      <c r="R421">
        <v>401</v>
      </c>
      <c r="S421">
        <v>2311.33</v>
      </c>
      <c r="U421" t="s">
        <v>374</v>
      </c>
      <c r="V421">
        <v>544</v>
      </c>
      <c r="W421">
        <v>1</v>
      </c>
      <c r="X421">
        <v>4</v>
      </c>
      <c r="Y421">
        <v>582</v>
      </c>
      <c r="Z421">
        <v>344</v>
      </c>
      <c r="AA421">
        <v>5.19</v>
      </c>
      <c r="AB421">
        <v>99</v>
      </c>
      <c r="AC421">
        <v>1000</v>
      </c>
    </row>
    <row r="422" spans="12:29" x14ac:dyDescent="0.2">
      <c r="L422" t="s">
        <v>374</v>
      </c>
      <c r="M422">
        <v>717</v>
      </c>
      <c r="N422">
        <v>1</v>
      </c>
      <c r="O422">
        <v>4</v>
      </c>
      <c r="P422">
        <v>582</v>
      </c>
      <c r="Q422">
        <v>344</v>
      </c>
      <c r="R422">
        <v>401</v>
      </c>
      <c r="S422">
        <v>379.1</v>
      </c>
      <c r="U422" t="s">
        <v>374</v>
      </c>
      <c r="V422">
        <v>659</v>
      </c>
      <c r="W422">
        <v>1</v>
      </c>
      <c r="X422">
        <v>4</v>
      </c>
      <c r="Y422">
        <v>582</v>
      </c>
      <c r="Z422">
        <v>344</v>
      </c>
      <c r="AA422">
        <v>5.19</v>
      </c>
      <c r="AB422">
        <v>99</v>
      </c>
      <c r="AC422">
        <v>13500</v>
      </c>
    </row>
    <row r="423" spans="12:29" x14ac:dyDescent="0.2">
      <c r="L423" t="s">
        <v>374</v>
      </c>
      <c r="M423">
        <v>719</v>
      </c>
      <c r="N423">
        <v>1</v>
      </c>
      <c r="O423">
        <v>4</v>
      </c>
      <c r="P423">
        <v>582</v>
      </c>
      <c r="Q423">
        <v>344</v>
      </c>
      <c r="R423">
        <v>401</v>
      </c>
      <c r="S423">
        <v>674.53</v>
      </c>
      <c r="U423" t="s">
        <v>374</v>
      </c>
      <c r="V423">
        <v>671</v>
      </c>
      <c r="W423">
        <v>1</v>
      </c>
      <c r="X423">
        <v>4</v>
      </c>
      <c r="Y423">
        <v>582</v>
      </c>
      <c r="Z423">
        <v>344</v>
      </c>
      <c r="AA423">
        <v>5.19</v>
      </c>
      <c r="AB423">
        <v>99</v>
      </c>
      <c r="AC423">
        <v>4094.86</v>
      </c>
    </row>
    <row r="424" spans="12:29" x14ac:dyDescent="0.2">
      <c r="L424" t="s">
        <v>374</v>
      </c>
      <c r="M424">
        <v>720</v>
      </c>
      <c r="N424">
        <v>1</v>
      </c>
      <c r="O424">
        <v>4</v>
      </c>
      <c r="P424">
        <v>582</v>
      </c>
      <c r="Q424">
        <v>344</v>
      </c>
      <c r="R424">
        <v>401</v>
      </c>
      <c r="S424">
        <v>975</v>
      </c>
      <c r="U424" t="s">
        <v>374</v>
      </c>
      <c r="V424">
        <v>700</v>
      </c>
      <c r="W424">
        <v>1</v>
      </c>
      <c r="X424">
        <v>4</v>
      </c>
      <c r="Y424">
        <v>582</v>
      </c>
      <c r="Z424">
        <v>344</v>
      </c>
      <c r="AA424">
        <v>5.19</v>
      </c>
      <c r="AB424">
        <v>99</v>
      </c>
      <c r="AC424">
        <v>3924.49</v>
      </c>
    </row>
    <row r="425" spans="12:29" x14ac:dyDescent="0.2">
      <c r="L425" t="s">
        <v>374</v>
      </c>
      <c r="M425">
        <v>721</v>
      </c>
      <c r="N425">
        <v>1</v>
      </c>
      <c r="O425">
        <v>4</v>
      </c>
      <c r="P425">
        <v>582</v>
      </c>
      <c r="Q425">
        <v>344</v>
      </c>
      <c r="R425">
        <v>401</v>
      </c>
      <c r="S425">
        <v>2433.65</v>
      </c>
      <c r="U425" t="s">
        <v>374</v>
      </c>
      <c r="V425">
        <v>704</v>
      </c>
      <c r="W425">
        <v>1</v>
      </c>
      <c r="X425">
        <v>4</v>
      </c>
      <c r="Y425">
        <v>582</v>
      </c>
      <c r="Z425">
        <v>344</v>
      </c>
      <c r="AA425">
        <v>5.19</v>
      </c>
      <c r="AB425">
        <v>99</v>
      </c>
      <c r="AC425">
        <v>17555.32</v>
      </c>
    </row>
    <row r="426" spans="12:29" x14ac:dyDescent="0.2">
      <c r="L426" t="s">
        <v>374</v>
      </c>
      <c r="M426">
        <v>726</v>
      </c>
      <c r="N426">
        <v>1</v>
      </c>
      <c r="O426">
        <v>4</v>
      </c>
      <c r="P426">
        <v>582</v>
      </c>
      <c r="Q426">
        <v>344</v>
      </c>
      <c r="R426">
        <v>401</v>
      </c>
      <c r="S426">
        <v>226.08</v>
      </c>
      <c r="U426" t="s">
        <v>374</v>
      </c>
      <c r="V426">
        <v>709</v>
      </c>
      <c r="W426">
        <v>1</v>
      </c>
      <c r="X426">
        <v>4</v>
      </c>
      <c r="Y426">
        <v>582</v>
      </c>
      <c r="Z426">
        <v>344</v>
      </c>
      <c r="AA426">
        <v>5.19</v>
      </c>
      <c r="AB426">
        <v>99</v>
      </c>
      <c r="AC426">
        <v>75</v>
      </c>
    </row>
    <row r="427" spans="12:29" x14ac:dyDescent="0.2">
      <c r="L427" t="s">
        <v>374</v>
      </c>
      <c r="M427">
        <v>727</v>
      </c>
      <c r="N427">
        <v>1</v>
      </c>
      <c r="O427">
        <v>4</v>
      </c>
      <c r="P427">
        <v>582</v>
      </c>
      <c r="Q427">
        <v>344</v>
      </c>
      <c r="R427">
        <v>401</v>
      </c>
      <c r="S427">
        <v>362.38</v>
      </c>
      <c r="U427" t="s">
        <v>374</v>
      </c>
      <c r="V427">
        <v>739</v>
      </c>
      <c r="W427">
        <v>1</v>
      </c>
      <c r="X427">
        <v>4</v>
      </c>
      <c r="Y427">
        <v>582</v>
      </c>
      <c r="Z427">
        <v>344</v>
      </c>
      <c r="AA427">
        <v>5.19</v>
      </c>
      <c r="AB427">
        <v>99</v>
      </c>
      <c r="AC427">
        <v>4287</v>
      </c>
    </row>
    <row r="428" spans="12:29" x14ac:dyDescent="0.2">
      <c r="L428" t="s">
        <v>374</v>
      </c>
      <c r="M428">
        <v>728</v>
      </c>
      <c r="N428">
        <v>1</v>
      </c>
      <c r="O428">
        <v>4</v>
      </c>
      <c r="P428">
        <v>582</v>
      </c>
      <c r="Q428">
        <v>344</v>
      </c>
      <c r="R428">
        <v>401</v>
      </c>
      <c r="S428">
        <v>8787.4599999999991</v>
      </c>
      <c r="U428" t="s">
        <v>374</v>
      </c>
      <c r="V428">
        <v>742</v>
      </c>
      <c r="W428">
        <v>1</v>
      </c>
      <c r="X428">
        <v>4</v>
      </c>
      <c r="Y428">
        <v>582</v>
      </c>
      <c r="Z428">
        <v>344</v>
      </c>
      <c r="AA428">
        <v>5.19</v>
      </c>
      <c r="AB428">
        <v>99</v>
      </c>
      <c r="AC428">
        <v>-980</v>
      </c>
    </row>
    <row r="429" spans="12:29" x14ac:dyDescent="0.2">
      <c r="L429" t="s">
        <v>374</v>
      </c>
      <c r="M429">
        <v>739</v>
      </c>
      <c r="N429">
        <v>1</v>
      </c>
      <c r="O429">
        <v>4</v>
      </c>
      <c r="P429">
        <v>582</v>
      </c>
      <c r="Q429">
        <v>344</v>
      </c>
      <c r="R429">
        <v>401</v>
      </c>
      <c r="S429">
        <v>156.1</v>
      </c>
      <c r="U429" t="s">
        <v>374</v>
      </c>
      <c r="V429">
        <v>745</v>
      </c>
      <c r="W429">
        <v>1</v>
      </c>
      <c r="X429">
        <v>4</v>
      </c>
      <c r="Y429">
        <v>582</v>
      </c>
      <c r="Z429">
        <v>344</v>
      </c>
      <c r="AA429">
        <v>5.19</v>
      </c>
      <c r="AB429">
        <v>99</v>
      </c>
      <c r="AC429">
        <v>2250</v>
      </c>
    </row>
    <row r="430" spans="12:29" x14ac:dyDescent="0.2">
      <c r="L430" t="s">
        <v>374</v>
      </c>
      <c r="M430">
        <v>741</v>
      </c>
      <c r="N430">
        <v>1</v>
      </c>
      <c r="O430">
        <v>4</v>
      </c>
      <c r="P430">
        <v>582</v>
      </c>
      <c r="Q430">
        <v>344</v>
      </c>
      <c r="R430">
        <v>401</v>
      </c>
      <c r="S430">
        <v>23.73</v>
      </c>
      <c r="U430" t="s">
        <v>374</v>
      </c>
      <c r="V430">
        <v>761</v>
      </c>
      <c r="W430">
        <v>1</v>
      </c>
      <c r="X430">
        <v>4</v>
      </c>
      <c r="Y430">
        <v>582</v>
      </c>
      <c r="Z430">
        <v>344</v>
      </c>
      <c r="AA430">
        <v>5.19</v>
      </c>
      <c r="AB430">
        <v>99</v>
      </c>
      <c r="AC430">
        <v>1500</v>
      </c>
    </row>
    <row r="431" spans="12:29" x14ac:dyDescent="0.2">
      <c r="L431" t="s">
        <v>374</v>
      </c>
      <c r="M431">
        <v>742</v>
      </c>
      <c r="N431">
        <v>1</v>
      </c>
      <c r="O431">
        <v>4</v>
      </c>
      <c r="P431">
        <v>582</v>
      </c>
      <c r="Q431">
        <v>344</v>
      </c>
      <c r="R431">
        <v>401</v>
      </c>
      <c r="S431">
        <v>1194.52</v>
      </c>
      <c r="U431" t="s">
        <v>374</v>
      </c>
      <c r="V431">
        <v>837</v>
      </c>
      <c r="W431">
        <v>1</v>
      </c>
      <c r="X431">
        <v>4</v>
      </c>
      <c r="Y431">
        <v>582</v>
      </c>
      <c r="Z431">
        <v>344</v>
      </c>
      <c r="AA431">
        <v>5.19</v>
      </c>
      <c r="AB431">
        <v>99</v>
      </c>
      <c r="AC431">
        <v>182</v>
      </c>
    </row>
    <row r="432" spans="12:29" x14ac:dyDescent="0.2">
      <c r="L432" t="s">
        <v>374</v>
      </c>
      <c r="M432">
        <v>745</v>
      </c>
      <c r="N432">
        <v>1</v>
      </c>
      <c r="O432">
        <v>4</v>
      </c>
      <c r="P432">
        <v>582</v>
      </c>
      <c r="Q432">
        <v>344</v>
      </c>
      <c r="R432">
        <v>401</v>
      </c>
      <c r="S432">
        <v>3683</v>
      </c>
      <c r="U432" t="s">
        <v>374</v>
      </c>
      <c r="V432">
        <v>885</v>
      </c>
      <c r="W432">
        <v>1</v>
      </c>
      <c r="X432">
        <v>4</v>
      </c>
      <c r="Y432">
        <v>582</v>
      </c>
      <c r="Z432">
        <v>344</v>
      </c>
      <c r="AA432">
        <v>5.19</v>
      </c>
      <c r="AB432">
        <v>99</v>
      </c>
      <c r="AC432">
        <v>3801.2</v>
      </c>
    </row>
    <row r="433" spans="12:29" x14ac:dyDescent="0.2">
      <c r="L433" t="s">
        <v>374</v>
      </c>
      <c r="M433">
        <v>750</v>
      </c>
      <c r="N433">
        <v>1</v>
      </c>
      <c r="O433">
        <v>4</v>
      </c>
      <c r="P433">
        <v>582</v>
      </c>
      <c r="Q433">
        <v>344</v>
      </c>
      <c r="R433">
        <v>401</v>
      </c>
      <c r="S433">
        <v>2160.75</v>
      </c>
      <c r="U433" t="s">
        <v>374</v>
      </c>
      <c r="V433">
        <v>2071</v>
      </c>
      <c r="W433">
        <v>1</v>
      </c>
      <c r="X433">
        <v>4</v>
      </c>
      <c r="Y433">
        <v>582</v>
      </c>
      <c r="Z433">
        <v>344</v>
      </c>
      <c r="AA433">
        <v>5.19</v>
      </c>
      <c r="AB433">
        <v>99</v>
      </c>
      <c r="AC433">
        <v>86925.1</v>
      </c>
    </row>
    <row r="434" spans="12:29" x14ac:dyDescent="0.2">
      <c r="L434" t="s">
        <v>374</v>
      </c>
      <c r="M434">
        <v>761</v>
      </c>
      <c r="N434">
        <v>1</v>
      </c>
      <c r="O434">
        <v>4</v>
      </c>
      <c r="P434">
        <v>582</v>
      </c>
      <c r="Q434">
        <v>344</v>
      </c>
      <c r="R434">
        <v>401</v>
      </c>
      <c r="S434">
        <v>451.91</v>
      </c>
      <c r="U434" t="s">
        <v>374</v>
      </c>
      <c r="V434">
        <v>2134</v>
      </c>
      <c r="W434">
        <v>1</v>
      </c>
      <c r="X434">
        <v>4</v>
      </c>
      <c r="Y434">
        <v>582</v>
      </c>
      <c r="Z434">
        <v>344</v>
      </c>
      <c r="AA434">
        <v>5.19</v>
      </c>
      <c r="AB434">
        <v>99</v>
      </c>
      <c r="AC434">
        <v>560.5</v>
      </c>
    </row>
    <row r="435" spans="12:29" x14ac:dyDescent="0.2">
      <c r="L435" t="s">
        <v>374</v>
      </c>
      <c r="M435">
        <v>777</v>
      </c>
      <c r="N435">
        <v>1</v>
      </c>
      <c r="O435">
        <v>4</v>
      </c>
      <c r="P435">
        <v>582</v>
      </c>
      <c r="Q435">
        <v>344</v>
      </c>
      <c r="R435">
        <v>401</v>
      </c>
      <c r="S435">
        <v>30.99</v>
      </c>
      <c r="U435" t="s">
        <v>374</v>
      </c>
      <c r="V435">
        <v>2149</v>
      </c>
      <c r="W435">
        <v>1</v>
      </c>
      <c r="X435">
        <v>4</v>
      </c>
      <c r="Y435">
        <v>582</v>
      </c>
      <c r="Z435">
        <v>344</v>
      </c>
      <c r="AA435">
        <v>5.19</v>
      </c>
      <c r="AB435">
        <v>99</v>
      </c>
      <c r="AC435">
        <v>520</v>
      </c>
    </row>
    <row r="436" spans="12:29" x14ac:dyDescent="0.2">
      <c r="L436" t="s">
        <v>374</v>
      </c>
      <c r="M436">
        <v>803</v>
      </c>
      <c r="N436">
        <v>1</v>
      </c>
      <c r="O436">
        <v>4</v>
      </c>
      <c r="P436">
        <v>582</v>
      </c>
      <c r="Q436">
        <v>344</v>
      </c>
      <c r="R436">
        <v>401</v>
      </c>
      <c r="S436">
        <v>460.21</v>
      </c>
      <c r="U436" t="s">
        <v>374</v>
      </c>
      <c r="V436">
        <v>2159</v>
      </c>
      <c r="W436">
        <v>1</v>
      </c>
      <c r="X436">
        <v>4</v>
      </c>
      <c r="Y436">
        <v>582</v>
      </c>
      <c r="Z436">
        <v>344</v>
      </c>
      <c r="AA436">
        <v>5.19</v>
      </c>
      <c r="AB436">
        <v>99</v>
      </c>
      <c r="AC436">
        <v>5785.25</v>
      </c>
    </row>
    <row r="437" spans="12:29" x14ac:dyDescent="0.2">
      <c r="L437" t="s">
        <v>374</v>
      </c>
      <c r="M437">
        <v>813</v>
      </c>
      <c r="N437">
        <v>1</v>
      </c>
      <c r="O437">
        <v>4</v>
      </c>
      <c r="P437">
        <v>582</v>
      </c>
      <c r="Q437">
        <v>344</v>
      </c>
      <c r="R437">
        <v>401</v>
      </c>
      <c r="S437">
        <v>2406.0300000000002</v>
      </c>
      <c r="U437" t="s">
        <v>374</v>
      </c>
      <c r="V437">
        <v>2164</v>
      </c>
      <c r="W437">
        <v>1</v>
      </c>
      <c r="X437">
        <v>4</v>
      </c>
      <c r="Y437">
        <v>582</v>
      </c>
      <c r="Z437">
        <v>344</v>
      </c>
      <c r="AA437">
        <v>5.19</v>
      </c>
      <c r="AB437">
        <v>99</v>
      </c>
      <c r="AC437">
        <v>62316.5</v>
      </c>
    </row>
    <row r="438" spans="12:29" x14ac:dyDescent="0.2">
      <c r="L438" t="s">
        <v>374</v>
      </c>
      <c r="M438">
        <v>829</v>
      </c>
      <c r="N438">
        <v>1</v>
      </c>
      <c r="O438">
        <v>4</v>
      </c>
      <c r="P438">
        <v>582</v>
      </c>
      <c r="Q438">
        <v>344</v>
      </c>
      <c r="R438">
        <v>401</v>
      </c>
      <c r="S438">
        <v>11.57</v>
      </c>
      <c r="U438" t="s">
        <v>374</v>
      </c>
      <c r="V438">
        <v>2311</v>
      </c>
      <c r="W438">
        <v>1</v>
      </c>
      <c r="X438">
        <v>4</v>
      </c>
      <c r="Y438">
        <v>582</v>
      </c>
      <c r="Z438">
        <v>344</v>
      </c>
      <c r="AA438">
        <v>5.19</v>
      </c>
      <c r="AB438">
        <v>99</v>
      </c>
      <c r="AC438">
        <v>4000</v>
      </c>
    </row>
    <row r="439" spans="12:29" x14ac:dyDescent="0.2">
      <c r="L439" t="s">
        <v>374</v>
      </c>
      <c r="M439">
        <v>831</v>
      </c>
      <c r="N439">
        <v>1</v>
      </c>
      <c r="O439">
        <v>4</v>
      </c>
      <c r="P439">
        <v>582</v>
      </c>
      <c r="Q439">
        <v>344</v>
      </c>
      <c r="R439">
        <v>401</v>
      </c>
      <c r="S439">
        <v>4713.72</v>
      </c>
      <c r="U439" t="s">
        <v>374</v>
      </c>
      <c r="V439">
        <v>2364</v>
      </c>
      <c r="W439">
        <v>1</v>
      </c>
      <c r="X439">
        <v>4</v>
      </c>
      <c r="Y439">
        <v>582</v>
      </c>
      <c r="Z439">
        <v>344</v>
      </c>
      <c r="AA439">
        <v>5.05</v>
      </c>
      <c r="AB439">
        <v>99</v>
      </c>
      <c r="AC439">
        <v>279.8</v>
      </c>
    </row>
    <row r="440" spans="12:29" x14ac:dyDescent="0.2">
      <c r="L440" t="s">
        <v>374</v>
      </c>
      <c r="M440">
        <v>833</v>
      </c>
      <c r="N440">
        <v>1</v>
      </c>
      <c r="O440">
        <v>4</v>
      </c>
      <c r="P440">
        <v>582</v>
      </c>
      <c r="Q440">
        <v>344</v>
      </c>
      <c r="R440">
        <v>401</v>
      </c>
      <c r="S440">
        <v>1179.3900000000001</v>
      </c>
      <c r="U440" t="s">
        <v>374</v>
      </c>
      <c r="V440">
        <v>2365</v>
      </c>
      <c r="W440">
        <v>1</v>
      </c>
      <c r="X440">
        <v>4</v>
      </c>
      <c r="Y440">
        <v>582</v>
      </c>
      <c r="Z440">
        <v>344</v>
      </c>
      <c r="AA440">
        <v>5.19</v>
      </c>
      <c r="AB440">
        <v>99</v>
      </c>
      <c r="AC440">
        <v>62</v>
      </c>
    </row>
    <row r="441" spans="12:29" x14ac:dyDescent="0.2">
      <c r="L441" t="s">
        <v>374</v>
      </c>
      <c r="M441">
        <v>834</v>
      </c>
      <c r="N441">
        <v>1</v>
      </c>
      <c r="O441">
        <v>4</v>
      </c>
      <c r="P441">
        <v>582</v>
      </c>
      <c r="Q441">
        <v>344</v>
      </c>
      <c r="R441">
        <v>401</v>
      </c>
      <c r="S441">
        <v>598.42999999999995</v>
      </c>
      <c r="U441" t="s">
        <v>374</v>
      </c>
      <c r="V441">
        <v>2752</v>
      </c>
      <c r="W441">
        <v>1</v>
      </c>
      <c r="X441">
        <v>4</v>
      </c>
      <c r="Y441">
        <v>582</v>
      </c>
      <c r="Z441">
        <v>344</v>
      </c>
      <c r="AA441">
        <v>5.19</v>
      </c>
      <c r="AB441">
        <v>99</v>
      </c>
      <c r="AC441">
        <v>10500</v>
      </c>
    </row>
    <row r="442" spans="12:29" x14ac:dyDescent="0.2">
      <c r="L442" t="s">
        <v>374</v>
      </c>
      <c r="M442">
        <v>861</v>
      </c>
      <c r="N442">
        <v>1</v>
      </c>
      <c r="O442">
        <v>4</v>
      </c>
      <c r="P442">
        <v>582</v>
      </c>
      <c r="Q442">
        <v>344</v>
      </c>
      <c r="R442">
        <v>401</v>
      </c>
      <c r="S442">
        <v>84.08</v>
      </c>
      <c r="U442" t="s">
        <v>374</v>
      </c>
      <c r="V442">
        <v>2856</v>
      </c>
      <c r="W442">
        <v>1</v>
      </c>
      <c r="X442">
        <v>4</v>
      </c>
      <c r="Y442">
        <v>582</v>
      </c>
      <c r="Z442">
        <v>344</v>
      </c>
      <c r="AA442">
        <v>5.19</v>
      </c>
      <c r="AB442">
        <v>99</v>
      </c>
      <c r="AC442">
        <v>6140</v>
      </c>
    </row>
    <row r="443" spans="12:29" x14ac:dyDescent="0.2">
      <c r="L443" t="s">
        <v>374</v>
      </c>
      <c r="M443">
        <v>876</v>
      </c>
      <c r="N443">
        <v>1</v>
      </c>
      <c r="O443">
        <v>4</v>
      </c>
      <c r="P443">
        <v>582</v>
      </c>
      <c r="Q443">
        <v>344</v>
      </c>
      <c r="R443">
        <v>401</v>
      </c>
      <c r="S443">
        <v>386.19</v>
      </c>
      <c r="U443" t="s">
        <v>374</v>
      </c>
      <c r="V443">
        <v>2889</v>
      </c>
      <c r="W443">
        <v>1</v>
      </c>
      <c r="X443">
        <v>4</v>
      </c>
      <c r="Y443">
        <v>582</v>
      </c>
      <c r="Z443">
        <v>344</v>
      </c>
      <c r="AA443">
        <v>5.19</v>
      </c>
      <c r="AB443">
        <v>99</v>
      </c>
      <c r="AC443">
        <v>267.54000000000002</v>
      </c>
    </row>
    <row r="444" spans="12:29" x14ac:dyDescent="0.2">
      <c r="L444" t="s">
        <v>374</v>
      </c>
      <c r="M444">
        <v>879</v>
      </c>
      <c r="N444">
        <v>1</v>
      </c>
      <c r="O444">
        <v>4</v>
      </c>
      <c r="P444">
        <v>582</v>
      </c>
      <c r="Q444">
        <v>344</v>
      </c>
      <c r="R444">
        <v>401</v>
      </c>
      <c r="S444">
        <v>138.51</v>
      </c>
      <c r="U444" t="s">
        <v>374</v>
      </c>
      <c r="V444">
        <v>2895</v>
      </c>
      <c r="W444">
        <v>1</v>
      </c>
      <c r="X444">
        <v>4</v>
      </c>
      <c r="Y444">
        <v>582</v>
      </c>
      <c r="Z444">
        <v>344</v>
      </c>
      <c r="AA444">
        <v>5.19</v>
      </c>
      <c r="AB444">
        <v>99</v>
      </c>
      <c r="AC444">
        <v>14821.5</v>
      </c>
    </row>
    <row r="445" spans="12:29" x14ac:dyDescent="0.2">
      <c r="L445" t="s">
        <v>374</v>
      </c>
      <c r="M445">
        <v>882</v>
      </c>
      <c r="N445">
        <v>1</v>
      </c>
      <c r="O445">
        <v>4</v>
      </c>
      <c r="P445">
        <v>582</v>
      </c>
      <c r="Q445">
        <v>344</v>
      </c>
      <c r="R445">
        <v>401</v>
      </c>
      <c r="S445">
        <v>3029.52</v>
      </c>
      <c r="U445" t="s">
        <v>374</v>
      </c>
      <c r="V445">
        <v>207</v>
      </c>
      <c r="W445">
        <v>1</v>
      </c>
      <c r="X445">
        <v>4</v>
      </c>
      <c r="Y445">
        <v>590</v>
      </c>
      <c r="Z445">
        <v>344</v>
      </c>
      <c r="AA445">
        <v>5.19</v>
      </c>
      <c r="AB445">
        <v>99</v>
      </c>
      <c r="AC445">
        <v>3550</v>
      </c>
    </row>
    <row r="446" spans="12:29" x14ac:dyDescent="0.2">
      <c r="L446" t="s">
        <v>374</v>
      </c>
      <c r="M446">
        <v>883</v>
      </c>
      <c r="N446">
        <v>1</v>
      </c>
      <c r="O446">
        <v>4</v>
      </c>
      <c r="P446">
        <v>582</v>
      </c>
      <c r="Q446">
        <v>344</v>
      </c>
      <c r="R446">
        <v>401</v>
      </c>
      <c r="S446">
        <v>7474.31</v>
      </c>
      <c r="U446" t="s">
        <v>374</v>
      </c>
      <c r="V446">
        <v>1</v>
      </c>
      <c r="W446">
        <v>3</v>
      </c>
      <c r="X446">
        <v>4</v>
      </c>
      <c r="Y446">
        <v>582</v>
      </c>
      <c r="Z446">
        <v>0</v>
      </c>
      <c r="AA446">
        <v>5.19</v>
      </c>
      <c r="AB446">
        <v>99</v>
      </c>
      <c r="AC446">
        <v>63221.32</v>
      </c>
    </row>
    <row r="447" spans="12:29" x14ac:dyDescent="0.2">
      <c r="L447" t="s">
        <v>374</v>
      </c>
      <c r="M447">
        <v>911</v>
      </c>
      <c r="N447">
        <v>1</v>
      </c>
      <c r="O447">
        <v>4</v>
      </c>
      <c r="P447">
        <v>582</v>
      </c>
      <c r="Q447">
        <v>344</v>
      </c>
      <c r="R447">
        <v>401</v>
      </c>
      <c r="S447">
        <v>858.04</v>
      </c>
      <c r="U447" t="s">
        <v>374</v>
      </c>
      <c r="V447">
        <v>139</v>
      </c>
      <c r="W447">
        <v>1</v>
      </c>
      <c r="X447">
        <v>4</v>
      </c>
      <c r="Y447">
        <v>582</v>
      </c>
      <c r="Z447">
        <v>0</v>
      </c>
      <c r="AA447">
        <v>5.19</v>
      </c>
      <c r="AB447">
        <v>99</v>
      </c>
      <c r="AC447">
        <v>1913.52</v>
      </c>
    </row>
    <row r="448" spans="12:29" x14ac:dyDescent="0.2">
      <c r="L448" t="s">
        <v>374</v>
      </c>
      <c r="M448">
        <v>2071</v>
      </c>
      <c r="N448">
        <v>1</v>
      </c>
      <c r="O448">
        <v>4</v>
      </c>
      <c r="P448">
        <v>582</v>
      </c>
      <c r="Q448">
        <v>344</v>
      </c>
      <c r="R448">
        <v>401</v>
      </c>
      <c r="S448">
        <v>13476.51</v>
      </c>
      <c r="U448" t="s">
        <v>374</v>
      </c>
      <c r="V448">
        <v>256</v>
      </c>
      <c r="W448">
        <v>1</v>
      </c>
      <c r="X448">
        <v>4</v>
      </c>
      <c r="Y448">
        <v>582</v>
      </c>
      <c r="Z448">
        <v>0</v>
      </c>
      <c r="AA448">
        <v>5.19</v>
      </c>
      <c r="AB448">
        <v>99</v>
      </c>
      <c r="AC448">
        <v>18003</v>
      </c>
    </row>
    <row r="449" spans="12:29" x14ac:dyDescent="0.2">
      <c r="L449" t="s">
        <v>374</v>
      </c>
      <c r="M449">
        <v>2125</v>
      </c>
      <c r="N449">
        <v>1</v>
      </c>
      <c r="O449">
        <v>4</v>
      </c>
      <c r="P449">
        <v>582</v>
      </c>
      <c r="Q449">
        <v>344</v>
      </c>
      <c r="R449">
        <v>401</v>
      </c>
      <c r="S449">
        <v>698.7</v>
      </c>
      <c r="U449" t="s">
        <v>374</v>
      </c>
      <c r="V449">
        <v>297</v>
      </c>
      <c r="W449">
        <v>1</v>
      </c>
      <c r="X449">
        <v>4</v>
      </c>
      <c r="Y449">
        <v>582</v>
      </c>
      <c r="Z449">
        <v>0</v>
      </c>
      <c r="AA449">
        <v>5.19</v>
      </c>
      <c r="AB449">
        <v>99</v>
      </c>
      <c r="AC449">
        <v>75</v>
      </c>
    </row>
    <row r="450" spans="12:29" x14ac:dyDescent="0.2">
      <c r="L450" t="s">
        <v>374</v>
      </c>
      <c r="M450">
        <v>2143</v>
      </c>
      <c r="N450">
        <v>1</v>
      </c>
      <c r="O450">
        <v>4</v>
      </c>
      <c r="P450">
        <v>582</v>
      </c>
      <c r="Q450">
        <v>344</v>
      </c>
      <c r="R450">
        <v>401</v>
      </c>
      <c r="S450">
        <v>359.06</v>
      </c>
      <c r="U450" t="s">
        <v>374</v>
      </c>
      <c r="V450">
        <v>625</v>
      </c>
      <c r="W450">
        <v>1</v>
      </c>
      <c r="X450">
        <v>4</v>
      </c>
      <c r="Y450">
        <v>582</v>
      </c>
      <c r="Z450">
        <v>0</v>
      </c>
      <c r="AA450">
        <v>5.19</v>
      </c>
      <c r="AB450">
        <v>99</v>
      </c>
      <c r="AC450">
        <v>348120</v>
      </c>
    </row>
    <row r="451" spans="12:29" x14ac:dyDescent="0.2">
      <c r="L451" t="s">
        <v>374</v>
      </c>
      <c r="M451">
        <v>2144</v>
      </c>
      <c r="N451">
        <v>1</v>
      </c>
      <c r="O451">
        <v>4</v>
      </c>
      <c r="P451">
        <v>582</v>
      </c>
      <c r="Q451">
        <v>344</v>
      </c>
      <c r="R451">
        <v>401</v>
      </c>
      <c r="S451">
        <v>548.55999999999995</v>
      </c>
      <c r="U451" t="s">
        <v>374</v>
      </c>
      <c r="V451">
        <v>549</v>
      </c>
      <c r="W451">
        <v>1</v>
      </c>
      <c r="X451">
        <v>4</v>
      </c>
      <c r="Y451">
        <v>0</v>
      </c>
      <c r="Z451">
        <v>344</v>
      </c>
      <c r="AA451">
        <v>5.19</v>
      </c>
      <c r="AB451">
        <v>96</v>
      </c>
      <c r="AC451">
        <v>11558</v>
      </c>
    </row>
    <row r="452" spans="12:29" x14ac:dyDescent="0.2">
      <c r="L452" t="s">
        <v>374</v>
      </c>
      <c r="M452">
        <v>2149</v>
      </c>
      <c r="N452">
        <v>1</v>
      </c>
      <c r="O452">
        <v>4</v>
      </c>
      <c r="P452">
        <v>582</v>
      </c>
      <c r="Q452">
        <v>344</v>
      </c>
      <c r="R452">
        <v>401</v>
      </c>
      <c r="S452">
        <v>568.14</v>
      </c>
      <c r="U452" t="s">
        <v>374</v>
      </c>
      <c r="V452">
        <v>282</v>
      </c>
      <c r="W452">
        <v>1</v>
      </c>
      <c r="X452">
        <v>4</v>
      </c>
      <c r="Y452">
        <v>580</v>
      </c>
      <c r="Z452">
        <v>344</v>
      </c>
      <c r="AA452">
        <v>5.01</v>
      </c>
      <c r="AB452">
        <v>96</v>
      </c>
      <c r="AC452">
        <v>2800</v>
      </c>
    </row>
    <row r="453" spans="12:29" x14ac:dyDescent="0.2">
      <c r="L453" t="s">
        <v>374</v>
      </c>
      <c r="M453">
        <v>2155</v>
      </c>
      <c r="N453">
        <v>1</v>
      </c>
      <c r="O453">
        <v>4</v>
      </c>
      <c r="P453">
        <v>582</v>
      </c>
      <c r="Q453">
        <v>344</v>
      </c>
      <c r="R453">
        <v>401</v>
      </c>
      <c r="S453">
        <v>619.12</v>
      </c>
      <c r="U453" t="s">
        <v>374</v>
      </c>
      <c r="V453">
        <v>1</v>
      </c>
      <c r="W453">
        <v>1</v>
      </c>
      <c r="X453">
        <v>4</v>
      </c>
      <c r="Y453">
        <v>582</v>
      </c>
      <c r="Z453">
        <v>344</v>
      </c>
      <c r="AA453">
        <v>5.19</v>
      </c>
      <c r="AB453">
        <v>96</v>
      </c>
      <c r="AC453">
        <v>4255.13</v>
      </c>
    </row>
    <row r="454" spans="12:29" x14ac:dyDescent="0.2">
      <c r="L454" t="s">
        <v>374</v>
      </c>
      <c r="M454">
        <v>2159</v>
      </c>
      <c r="N454">
        <v>1</v>
      </c>
      <c r="O454">
        <v>4</v>
      </c>
      <c r="P454">
        <v>582</v>
      </c>
      <c r="Q454">
        <v>344</v>
      </c>
      <c r="R454">
        <v>401</v>
      </c>
      <c r="S454">
        <v>3193.45</v>
      </c>
      <c r="U454" t="s">
        <v>374</v>
      </c>
      <c r="V454">
        <v>11</v>
      </c>
      <c r="W454">
        <v>1</v>
      </c>
      <c r="X454">
        <v>4</v>
      </c>
      <c r="Y454">
        <v>582</v>
      </c>
      <c r="Z454">
        <v>344</v>
      </c>
      <c r="AA454">
        <v>5.19</v>
      </c>
      <c r="AB454">
        <v>96</v>
      </c>
      <c r="AC454">
        <v>10450</v>
      </c>
    </row>
    <row r="455" spans="12:29" x14ac:dyDescent="0.2">
      <c r="L455" t="s">
        <v>374</v>
      </c>
      <c r="M455">
        <v>2164</v>
      </c>
      <c r="N455">
        <v>1</v>
      </c>
      <c r="O455">
        <v>4</v>
      </c>
      <c r="P455">
        <v>582</v>
      </c>
      <c r="Q455">
        <v>344</v>
      </c>
      <c r="R455">
        <v>401</v>
      </c>
      <c r="S455">
        <v>36.56</v>
      </c>
      <c r="U455" t="s">
        <v>374</v>
      </c>
      <c r="V455">
        <v>23</v>
      </c>
      <c r="W455">
        <v>1</v>
      </c>
      <c r="X455">
        <v>4</v>
      </c>
      <c r="Y455">
        <v>582</v>
      </c>
      <c r="Z455">
        <v>344</v>
      </c>
      <c r="AA455">
        <v>5.05</v>
      </c>
      <c r="AB455">
        <v>96</v>
      </c>
      <c r="AC455">
        <v>2625</v>
      </c>
    </row>
    <row r="456" spans="12:29" x14ac:dyDescent="0.2">
      <c r="L456" t="s">
        <v>374</v>
      </c>
      <c r="M456">
        <v>2167</v>
      </c>
      <c r="N456">
        <v>1</v>
      </c>
      <c r="O456">
        <v>4</v>
      </c>
      <c r="P456">
        <v>582</v>
      </c>
      <c r="Q456">
        <v>344</v>
      </c>
      <c r="R456">
        <v>401</v>
      </c>
      <c r="S456">
        <v>552.74</v>
      </c>
      <c r="U456" t="s">
        <v>374</v>
      </c>
      <c r="V456">
        <v>77</v>
      </c>
      <c r="W456">
        <v>1</v>
      </c>
      <c r="X456">
        <v>4</v>
      </c>
      <c r="Y456">
        <v>582</v>
      </c>
      <c r="Z456">
        <v>344</v>
      </c>
      <c r="AA456">
        <v>5.19</v>
      </c>
      <c r="AB456">
        <v>96</v>
      </c>
      <c r="AC456">
        <v>10000</v>
      </c>
    </row>
    <row r="457" spans="12:29" x14ac:dyDescent="0.2">
      <c r="L457" t="s">
        <v>374</v>
      </c>
      <c r="M457">
        <v>2168</v>
      </c>
      <c r="N457">
        <v>1</v>
      </c>
      <c r="O457">
        <v>4</v>
      </c>
      <c r="P457">
        <v>582</v>
      </c>
      <c r="Q457">
        <v>344</v>
      </c>
      <c r="R457">
        <v>401</v>
      </c>
      <c r="S457">
        <v>500</v>
      </c>
      <c r="U457" t="s">
        <v>374</v>
      </c>
      <c r="V457">
        <v>88</v>
      </c>
      <c r="W457">
        <v>1</v>
      </c>
      <c r="X457">
        <v>4</v>
      </c>
      <c r="Y457">
        <v>582</v>
      </c>
      <c r="Z457">
        <v>344</v>
      </c>
      <c r="AA457">
        <v>5.19</v>
      </c>
      <c r="AB457">
        <v>96</v>
      </c>
      <c r="AC457">
        <v>12092.28</v>
      </c>
    </row>
    <row r="458" spans="12:29" x14ac:dyDescent="0.2">
      <c r="L458" t="s">
        <v>374</v>
      </c>
      <c r="M458">
        <v>2172</v>
      </c>
      <c r="N458">
        <v>1</v>
      </c>
      <c r="O458">
        <v>4</v>
      </c>
      <c r="P458">
        <v>582</v>
      </c>
      <c r="Q458">
        <v>344</v>
      </c>
      <c r="R458">
        <v>401</v>
      </c>
      <c r="S458">
        <v>5.98</v>
      </c>
      <c r="U458" t="s">
        <v>374</v>
      </c>
      <c r="V458">
        <v>91</v>
      </c>
      <c r="W458">
        <v>1</v>
      </c>
      <c r="X458">
        <v>4</v>
      </c>
      <c r="Y458">
        <v>582</v>
      </c>
      <c r="Z458">
        <v>344</v>
      </c>
      <c r="AA458">
        <v>5.19</v>
      </c>
      <c r="AB458">
        <v>96</v>
      </c>
      <c r="AC458">
        <v>10312.700000000001</v>
      </c>
    </row>
    <row r="459" spans="12:29" x14ac:dyDescent="0.2">
      <c r="L459" t="s">
        <v>374</v>
      </c>
      <c r="M459">
        <v>2180</v>
      </c>
      <c r="N459">
        <v>1</v>
      </c>
      <c r="O459">
        <v>4</v>
      </c>
      <c r="P459">
        <v>582</v>
      </c>
      <c r="Q459">
        <v>344</v>
      </c>
      <c r="R459">
        <v>401</v>
      </c>
      <c r="S459">
        <v>104.01</v>
      </c>
      <c r="U459" t="s">
        <v>374</v>
      </c>
      <c r="V459">
        <v>162</v>
      </c>
      <c r="W459">
        <v>1</v>
      </c>
      <c r="X459">
        <v>4</v>
      </c>
      <c r="Y459">
        <v>582</v>
      </c>
      <c r="Z459">
        <v>344</v>
      </c>
      <c r="AA459">
        <v>5.19</v>
      </c>
      <c r="AB459">
        <v>96</v>
      </c>
      <c r="AC459">
        <v>13560</v>
      </c>
    </row>
    <row r="460" spans="12:29" x14ac:dyDescent="0.2">
      <c r="L460" t="s">
        <v>374</v>
      </c>
      <c r="M460">
        <v>2198</v>
      </c>
      <c r="N460">
        <v>1</v>
      </c>
      <c r="O460">
        <v>4</v>
      </c>
      <c r="P460">
        <v>582</v>
      </c>
      <c r="Q460">
        <v>344</v>
      </c>
      <c r="R460">
        <v>401</v>
      </c>
      <c r="S460">
        <v>597.09</v>
      </c>
      <c r="U460" t="s">
        <v>374</v>
      </c>
      <c r="V460">
        <v>177</v>
      </c>
      <c r="W460">
        <v>1</v>
      </c>
      <c r="X460">
        <v>4</v>
      </c>
      <c r="Y460">
        <v>582</v>
      </c>
      <c r="Z460">
        <v>344</v>
      </c>
      <c r="AA460">
        <v>5.19</v>
      </c>
      <c r="AB460">
        <v>96</v>
      </c>
      <c r="AC460">
        <v>2000</v>
      </c>
    </row>
    <row r="461" spans="12:29" x14ac:dyDescent="0.2">
      <c r="L461" t="s">
        <v>374</v>
      </c>
      <c r="M461">
        <v>2365</v>
      </c>
      <c r="N461">
        <v>1</v>
      </c>
      <c r="O461">
        <v>4</v>
      </c>
      <c r="P461">
        <v>582</v>
      </c>
      <c r="Q461">
        <v>344</v>
      </c>
      <c r="R461">
        <v>401</v>
      </c>
      <c r="S461">
        <v>269.16000000000003</v>
      </c>
      <c r="U461" t="s">
        <v>374</v>
      </c>
      <c r="V461">
        <v>186</v>
      </c>
      <c r="W461">
        <v>1</v>
      </c>
      <c r="X461">
        <v>4</v>
      </c>
      <c r="Y461">
        <v>582</v>
      </c>
      <c r="Z461">
        <v>344</v>
      </c>
      <c r="AA461">
        <v>5.19</v>
      </c>
      <c r="AB461">
        <v>96</v>
      </c>
      <c r="AC461">
        <v>7510.43</v>
      </c>
    </row>
    <row r="462" spans="12:29" x14ac:dyDescent="0.2">
      <c r="L462" t="s">
        <v>374</v>
      </c>
      <c r="M462">
        <v>2397</v>
      </c>
      <c r="N462">
        <v>1</v>
      </c>
      <c r="O462">
        <v>4</v>
      </c>
      <c r="P462">
        <v>582</v>
      </c>
      <c r="Q462">
        <v>344</v>
      </c>
      <c r="R462">
        <v>401</v>
      </c>
      <c r="S462">
        <v>7.68</v>
      </c>
      <c r="U462" t="s">
        <v>374</v>
      </c>
      <c r="V462">
        <v>196</v>
      </c>
      <c r="W462">
        <v>1</v>
      </c>
      <c r="X462">
        <v>4</v>
      </c>
      <c r="Y462">
        <v>582</v>
      </c>
      <c r="Z462">
        <v>344</v>
      </c>
      <c r="AA462">
        <v>5.19</v>
      </c>
      <c r="AB462">
        <v>96</v>
      </c>
      <c r="AC462">
        <v>7000</v>
      </c>
    </row>
    <row r="463" spans="12:29" x14ac:dyDescent="0.2">
      <c r="L463" t="s">
        <v>374</v>
      </c>
      <c r="M463">
        <v>2448</v>
      </c>
      <c r="N463">
        <v>1</v>
      </c>
      <c r="O463">
        <v>4</v>
      </c>
      <c r="P463">
        <v>582</v>
      </c>
      <c r="Q463">
        <v>344</v>
      </c>
      <c r="R463">
        <v>401</v>
      </c>
      <c r="S463">
        <v>1207.4000000000001</v>
      </c>
      <c r="U463" t="s">
        <v>374</v>
      </c>
      <c r="V463">
        <v>255</v>
      </c>
      <c r="W463">
        <v>1</v>
      </c>
      <c r="X463">
        <v>4</v>
      </c>
      <c r="Y463">
        <v>582</v>
      </c>
      <c r="Z463">
        <v>344</v>
      </c>
      <c r="AA463">
        <v>5.19</v>
      </c>
      <c r="AB463">
        <v>96</v>
      </c>
      <c r="AC463">
        <v>675</v>
      </c>
    </row>
    <row r="464" spans="12:29" x14ac:dyDescent="0.2">
      <c r="L464" t="s">
        <v>374</v>
      </c>
      <c r="M464">
        <v>2683</v>
      </c>
      <c r="N464">
        <v>1</v>
      </c>
      <c r="O464">
        <v>4</v>
      </c>
      <c r="P464">
        <v>582</v>
      </c>
      <c r="Q464">
        <v>344</v>
      </c>
      <c r="R464">
        <v>401</v>
      </c>
      <c r="S464">
        <v>25</v>
      </c>
      <c r="U464" t="s">
        <v>374</v>
      </c>
      <c r="V464">
        <v>271</v>
      </c>
      <c r="W464">
        <v>1</v>
      </c>
      <c r="X464">
        <v>4</v>
      </c>
      <c r="Y464">
        <v>582</v>
      </c>
      <c r="Z464">
        <v>344</v>
      </c>
      <c r="AA464">
        <v>5.19</v>
      </c>
      <c r="AB464">
        <v>96</v>
      </c>
      <c r="AC464">
        <v>12500</v>
      </c>
    </row>
    <row r="465" spans="12:29" x14ac:dyDescent="0.2">
      <c r="L465" t="s">
        <v>374</v>
      </c>
      <c r="M465">
        <v>2689</v>
      </c>
      <c r="N465">
        <v>1</v>
      </c>
      <c r="O465">
        <v>4</v>
      </c>
      <c r="P465">
        <v>582</v>
      </c>
      <c r="Q465">
        <v>344</v>
      </c>
      <c r="R465">
        <v>401</v>
      </c>
      <c r="S465">
        <v>600.77</v>
      </c>
      <c r="U465" t="s">
        <v>374</v>
      </c>
      <c r="V465">
        <v>272</v>
      </c>
      <c r="W465">
        <v>1</v>
      </c>
      <c r="X465">
        <v>4</v>
      </c>
      <c r="Y465">
        <v>582</v>
      </c>
      <c r="Z465">
        <v>344</v>
      </c>
      <c r="AA465">
        <v>5.19</v>
      </c>
      <c r="AB465">
        <v>96</v>
      </c>
      <c r="AC465">
        <v>33000</v>
      </c>
    </row>
    <row r="466" spans="12:29" x14ac:dyDescent="0.2">
      <c r="L466" t="s">
        <v>374</v>
      </c>
      <c r="M466">
        <v>2711</v>
      </c>
      <c r="N466">
        <v>1</v>
      </c>
      <c r="O466">
        <v>4</v>
      </c>
      <c r="P466">
        <v>582</v>
      </c>
      <c r="Q466">
        <v>344</v>
      </c>
      <c r="R466">
        <v>401</v>
      </c>
      <c r="S466">
        <v>239.49</v>
      </c>
      <c r="U466" t="s">
        <v>374</v>
      </c>
      <c r="V466">
        <v>273</v>
      </c>
      <c r="W466">
        <v>1</v>
      </c>
      <c r="X466">
        <v>4</v>
      </c>
      <c r="Y466">
        <v>582</v>
      </c>
      <c r="Z466">
        <v>344</v>
      </c>
      <c r="AA466">
        <v>5.19</v>
      </c>
      <c r="AB466">
        <v>96</v>
      </c>
      <c r="AC466">
        <v>7500</v>
      </c>
    </row>
    <row r="467" spans="12:29" x14ac:dyDescent="0.2">
      <c r="L467" t="s">
        <v>374</v>
      </c>
      <c r="M467">
        <v>2752</v>
      </c>
      <c r="N467">
        <v>1</v>
      </c>
      <c r="O467">
        <v>4</v>
      </c>
      <c r="P467">
        <v>582</v>
      </c>
      <c r="Q467">
        <v>344</v>
      </c>
      <c r="R467">
        <v>401</v>
      </c>
      <c r="S467">
        <v>1090.3900000000001</v>
      </c>
      <c r="U467" t="s">
        <v>374</v>
      </c>
      <c r="V467">
        <v>277</v>
      </c>
      <c r="W467">
        <v>1</v>
      </c>
      <c r="X467">
        <v>4</v>
      </c>
      <c r="Y467">
        <v>582</v>
      </c>
      <c r="Z467">
        <v>344</v>
      </c>
      <c r="AA467">
        <v>5.19</v>
      </c>
      <c r="AB467">
        <v>96</v>
      </c>
      <c r="AC467">
        <v>10</v>
      </c>
    </row>
    <row r="468" spans="12:29" x14ac:dyDescent="0.2">
      <c r="L468" t="s">
        <v>374</v>
      </c>
      <c r="M468">
        <v>2805</v>
      </c>
      <c r="N468">
        <v>1</v>
      </c>
      <c r="O468">
        <v>4</v>
      </c>
      <c r="P468">
        <v>582</v>
      </c>
      <c r="Q468">
        <v>344</v>
      </c>
      <c r="R468">
        <v>401</v>
      </c>
      <c r="S468">
        <v>6564.02</v>
      </c>
      <c r="U468" t="s">
        <v>374</v>
      </c>
      <c r="V468">
        <v>284</v>
      </c>
      <c r="W468">
        <v>1</v>
      </c>
      <c r="X468">
        <v>4</v>
      </c>
      <c r="Y468">
        <v>582</v>
      </c>
      <c r="Z468">
        <v>344</v>
      </c>
      <c r="AA468">
        <v>5.01</v>
      </c>
      <c r="AB468">
        <v>96</v>
      </c>
      <c r="AC468">
        <v>3000</v>
      </c>
    </row>
    <row r="469" spans="12:29" x14ac:dyDescent="0.2">
      <c r="L469" t="s">
        <v>374</v>
      </c>
      <c r="M469">
        <v>2835</v>
      </c>
      <c r="N469">
        <v>1</v>
      </c>
      <c r="O469">
        <v>4</v>
      </c>
      <c r="P469">
        <v>582</v>
      </c>
      <c r="Q469">
        <v>344</v>
      </c>
      <c r="R469">
        <v>401</v>
      </c>
      <c r="S469">
        <v>375.7</v>
      </c>
      <c r="U469" t="s">
        <v>374</v>
      </c>
      <c r="V469">
        <v>299</v>
      </c>
      <c r="W469">
        <v>1</v>
      </c>
      <c r="X469">
        <v>4</v>
      </c>
      <c r="Y469">
        <v>582</v>
      </c>
      <c r="Z469">
        <v>344</v>
      </c>
      <c r="AA469">
        <v>5.19</v>
      </c>
      <c r="AB469">
        <v>96</v>
      </c>
      <c r="AC469">
        <v>2683.5</v>
      </c>
    </row>
    <row r="470" spans="12:29" x14ac:dyDescent="0.2">
      <c r="L470" t="s">
        <v>374</v>
      </c>
      <c r="M470">
        <v>2854</v>
      </c>
      <c r="N470">
        <v>1</v>
      </c>
      <c r="O470">
        <v>4</v>
      </c>
      <c r="P470">
        <v>582</v>
      </c>
      <c r="Q470">
        <v>344</v>
      </c>
      <c r="R470">
        <v>401</v>
      </c>
      <c r="S470">
        <v>595.16</v>
      </c>
      <c r="U470" t="s">
        <v>374</v>
      </c>
      <c r="V470">
        <v>345</v>
      </c>
      <c r="W470">
        <v>1</v>
      </c>
      <c r="X470">
        <v>4</v>
      </c>
      <c r="Y470">
        <v>582</v>
      </c>
      <c r="Z470">
        <v>344</v>
      </c>
      <c r="AA470">
        <v>5.19</v>
      </c>
      <c r="AB470">
        <v>96</v>
      </c>
      <c r="AC470">
        <v>2462.75</v>
      </c>
    </row>
    <row r="471" spans="12:29" x14ac:dyDescent="0.2">
      <c r="L471" t="s">
        <v>374</v>
      </c>
      <c r="M471">
        <v>2856</v>
      </c>
      <c r="N471">
        <v>1</v>
      </c>
      <c r="O471">
        <v>4</v>
      </c>
      <c r="P471">
        <v>582</v>
      </c>
      <c r="Q471">
        <v>344</v>
      </c>
      <c r="R471">
        <v>401</v>
      </c>
      <c r="S471">
        <v>5281.26</v>
      </c>
      <c r="U471" t="s">
        <v>374</v>
      </c>
      <c r="V471">
        <v>347</v>
      </c>
      <c r="W471">
        <v>1</v>
      </c>
      <c r="X471">
        <v>4</v>
      </c>
      <c r="Y471">
        <v>582</v>
      </c>
      <c r="Z471">
        <v>344</v>
      </c>
      <c r="AA471">
        <v>5.19</v>
      </c>
      <c r="AB471">
        <v>96</v>
      </c>
      <c r="AC471">
        <v>15025</v>
      </c>
    </row>
    <row r="472" spans="12:29" x14ac:dyDescent="0.2">
      <c r="L472" t="s">
        <v>374</v>
      </c>
      <c r="M472">
        <v>2859</v>
      </c>
      <c r="N472">
        <v>1</v>
      </c>
      <c r="O472">
        <v>4</v>
      </c>
      <c r="P472">
        <v>582</v>
      </c>
      <c r="Q472">
        <v>344</v>
      </c>
      <c r="R472">
        <v>401</v>
      </c>
      <c r="S472">
        <v>41.11</v>
      </c>
      <c r="U472" t="s">
        <v>374</v>
      </c>
      <c r="V472">
        <v>347</v>
      </c>
      <c r="W472">
        <v>1</v>
      </c>
      <c r="X472">
        <v>4</v>
      </c>
      <c r="Y472">
        <v>582</v>
      </c>
      <c r="Z472">
        <v>344</v>
      </c>
      <c r="AA472">
        <v>5.19</v>
      </c>
      <c r="AB472">
        <v>96</v>
      </c>
      <c r="AC472">
        <v>1186</v>
      </c>
    </row>
    <row r="473" spans="12:29" x14ac:dyDescent="0.2">
      <c r="L473" t="s">
        <v>374</v>
      </c>
      <c r="M473">
        <v>2860</v>
      </c>
      <c r="N473">
        <v>1</v>
      </c>
      <c r="O473">
        <v>4</v>
      </c>
      <c r="P473">
        <v>582</v>
      </c>
      <c r="Q473">
        <v>344</v>
      </c>
      <c r="R473">
        <v>401</v>
      </c>
      <c r="S473">
        <v>242.88</v>
      </c>
      <c r="U473" t="s">
        <v>374</v>
      </c>
      <c r="V473">
        <v>361</v>
      </c>
      <c r="W473">
        <v>1</v>
      </c>
      <c r="X473">
        <v>4</v>
      </c>
      <c r="Y473">
        <v>582</v>
      </c>
      <c r="Z473">
        <v>344</v>
      </c>
      <c r="AA473">
        <v>5.19</v>
      </c>
      <c r="AB473">
        <v>96</v>
      </c>
      <c r="AC473">
        <v>1000</v>
      </c>
    </row>
    <row r="474" spans="12:29" x14ac:dyDescent="0.2">
      <c r="L474" t="s">
        <v>374</v>
      </c>
      <c r="M474">
        <v>2889</v>
      </c>
      <c r="N474">
        <v>1</v>
      </c>
      <c r="O474">
        <v>4</v>
      </c>
      <c r="P474">
        <v>582</v>
      </c>
      <c r="Q474">
        <v>344</v>
      </c>
      <c r="R474">
        <v>401</v>
      </c>
      <c r="S474">
        <v>318.48</v>
      </c>
      <c r="U474" t="s">
        <v>374</v>
      </c>
      <c r="V474">
        <v>381</v>
      </c>
      <c r="W474">
        <v>1</v>
      </c>
      <c r="X474">
        <v>4</v>
      </c>
      <c r="Y474">
        <v>582</v>
      </c>
      <c r="Z474">
        <v>344</v>
      </c>
      <c r="AA474">
        <v>5.19</v>
      </c>
      <c r="AB474">
        <v>96</v>
      </c>
      <c r="AC474">
        <v>7699</v>
      </c>
    </row>
    <row r="475" spans="12:29" x14ac:dyDescent="0.2">
      <c r="L475" t="s">
        <v>374</v>
      </c>
      <c r="M475">
        <v>2897</v>
      </c>
      <c r="N475">
        <v>1</v>
      </c>
      <c r="O475">
        <v>4</v>
      </c>
      <c r="P475">
        <v>582</v>
      </c>
      <c r="Q475">
        <v>344</v>
      </c>
      <c r="R475">
        <v>401</v>
      </c>
      <c r="S475">
        <v>189</v>
      </c>
      <c r="U475" t="s">
        <v>374</v>
      </c>
      <c r="V475">
        <v>458</v>
      </c>
      <c r="W475">
        <v>1</v>
      </c>
      <c r="X475">
        <v>4</v>
      </c>
      <c r="Y475">
        <v>582</v>
      </c>
      <c r="Z475">
        <v>344</v>
      </c>
      <c r="AA475">
        <v>5.19</v>
      </c>
      <c r="AB475">
        <v>96</v>
      </c>
      <c r="AC475">
        <v>672</v>
      </c>
    </row>
    <row r="476" spans="12:29" x14ac:dyDescent="0.2">
      <c r="L476" t="s">
        <v>374</v>
      </c>
      <c r="M476">
        <v>139</v>
      </c>
      <c r="N476">
        <v>1</v>
      </c>
      <c r="O476">
        <v>4</v>
      </c>
      <c r="P476">
        <v>582</v>
      </c>
      <c r="Q476">
        <v>321</v>
      </c>
      <c r="R476">
        <v>401</v>
      </c>
      <c r="S476">
        <v>1317.6</v>
      </c>
      <c r="U476" t="s">
        <v>374</v>
      </c>
      <c r="V476">
        <v>465</v>
      </c>
      <c r="W476">
        <v>1</v>
      </c>
      <c r="X476">
        <v>4</v>
      </c>
      <c r="Y476">
        <v>582</v>
      </c>
      <c r="Z476">
        <v>344</v>
      </c>
      <c r="AA476">
        <v>5.19</v>
      </c>
      <c r="AB476">
        <v>96</v>
      </c>
      <c r="AC476">
        <v>704</v>
      </c>
    </row>
    <row r="477" spans="12:29" x14ac:dyDescent="0.2">
      <c r="L477" t="s">
        <v>374</v>
      </c>
      <c r="M477">
        <v>414</v>
      </c>
      <c r="N477">
        <v>1</v>
      </c>
      <c r="O477">
        <v>4</v>
      </c>
      <c r="P477">
        <v>582</v>
      </c>
      <c r="Q477">
        <v>321</v>
      </c>
      <c r="R477">
        <v>401</v>
      </c>
      <c r="S477">
        <v>1085.29</v>
      </c>
      <c r="U477" t="s">
        <v>374</v>
      </c>
      <c r="V477">
        <v>477</v>
      </c>
      <c r="W477">
        <v>1</v>
      </c>
      <c r="X477">
        <v>4</v>
      </c>
      <c r="Y477">
        <v>582</v>
      </c>
      <c r="Z477">
        <v>344</v>
      </c>
      <c r="AA477">
        <v>5.19</v>
      </c>
      <c r="AB477">
        <v>96</v>
      </c>
      <c r="AC477">
        <v>500</v>
      </c>
    </row>
    <row r="478" spans="12:29" x14ac:dyDescent="0.2">
      <c r="L478" t="s">
        <v>374</v>
      </c>
      <c r="M478">
        <v>831</v>
      </c>
      <c r="N478">
        <v>1</v>
      </c>
      <c r="O478">
        <v>4</v>
      </c>
      <c r="P478">
        <v>582</v>
      </c>
      <c r="Q478">
        <v>321</v>
      </c>
      <c r="R478">
        <v>401</v>
      </c>
      <c r="S478">
        <v>1641.44</v>
      </c>
      <c r="U478" t="s">
        <v>374</v>
      </c>
      <c r="V478">
        <v>542</v>
      </c>
      <c r="W478">
        <v>1</v>
      </c>
      <c r="X478">
        <v>4</v>
      </c>
      <c r="Y478">
        <v>582</v>
      </c>
      <c r="Z478">
        <v>344</v>
      </c>
      <c r="AA478">
        <v>5.19</v>
      </c>
      <c r="AB478">
        <v>96</v>
      </c>
      <c r="AC478">
        <v>6793.22</v>
      </c>
    </row>
    <row r="479" spans="12:29" x14ac:dyDescent="0.2">
      <c r="L479" t="s">
        <v>374</v>
      </c>
      <c r="M479">
        <v>2144</v>
      </c>
      <c r="N479">
        <v>1</v>
      </c>
      <c r="O479">
        <v>4</v>
      </c>
      <c r="P479">
        <v>582</v>
      </c>
      <c r="Q479">
        <v>321</v>
      </c>
      <c r="R479">
        <v>401</v>
      </c>
      <c r="S479">
        <v>65.64</v>
      </c>
      <c r="U479" t="s">
        <v>374</v>
      </c>
      <c r="V479">
        <v>545</v>
      </c>
      <c r="W479">
        <v>1</v>
      </c>
      <c r="X479">
        <v>4</v>
      </c>
      <c r="Y479">
        <v>582</v>
      </c>
      <c r="Z479">
        <v>344</v>
      </c>
      <c r="AA479">
        <v>5.19</v>
      </c>
      <c r="AB479">
        <v>96</v>
      </c>
      <c r="AC479">
        <v>5972.52</v>
      </c>
    </row>
    <row r="480" spans="12:29" x14ac:dyDescent="0.2">
      <c r="L480" t="s">
        <v>374</v>
      </c>
      <c r="M480">
        <v>1</v>
      </c>
      <c r="N480">
        <v>3</v>
      </c>
      <c r="O480">
        <v>4</v>
      </c>
      <c r="P480">
        <v>582</v>
      </c>
      <c r="Q480">
        <v>0</v>
      </c>
      <c r="R480">
        <v>401</v>
      </c>
      <c r="S480">
        <v>292.60000000000002</v>
      </c>
      <c r="U480" t="s">
        <v>374</v>
      </c>
      <c r="V480">
        <v>550</v>
      </c>
      <c r="W480">
        <v>1</v>
      </c>
      <c r="X480">
        <v>4</v>
      </c>
      <c r="Y480">
        <v>582</v>
      </c>
      <c r="Z480">
        <v>344</v>
      </c>
      <c r="AA480">
        <v>5.19</v>
      </c>
      <c r="AB480">
        <v>96</v>
      </c>
      <c r="AC480">
        <v>135</v>
      </c>
    </row>
    <row r="481" spans="12:29" x14ac:dyDescent="0.2">
      <c r="L481" t="s">
        <v>374</v>
      </c>
      <c r="M481">
        <v>345</v>
      </c>
      <c r="N481">
        <v>1</v>
      </c>
      <c r="O481">
        <v>4</v>
      </c>
      <c r="P481">
        <v>582</v>
      </c>
      <c r="Q481">
        <v>0</v>
      </c>
      <c r="R481">
        <v>401</v>
      </c>
      <c r="S481">
        <v>6200</v>
      </c>
      <c r="U481" t="s">
        <v>374</v>
      </c>
      <c r="V481">
        <v>623</v>
      </c>
      <c r="W481">
        <v>1</v>
      </c>
      <c r="X481">
        <v>4</v>
      </c>
      <c r="Y481">
        <v>582</v>
      </c>
      <c r="Z481">
        <v>344</v>
      </c>
      <c r="AA481">
        <v>5.19</v>
      </c>
      <c r="AB481">
        <v>96</v>
      </c>
      <c r="AC481">
        <v>2816.8</v>
      </c>
    </row>
    <row r="482" spans="12:29" x14ac:dyDescent="0.2">
      <c r="L482" t="s">
        <v>374</v>
      </c>
      <c r="M482">
        <v>621</v>
      </c>
      <c r="N482">
        <v>1</v>
      </c>
      <c r="O482">
        <v>4</v>
      </c>
      <c r="P482">
        <v>582</v>
      </c>
      <c r="Q482">
        <v>0</v>
      </c>
      <c r="R482">
        <v>401</v>
      </c>
      <c r="S482">
        <v>12.03</v>
      </c>
      <c r="U482" t="s">
        <v>374</v>
      </c>
      <c r="V482">
        <v>625</v>
      </c>
      <c r="W482">
        <v>1</v>
      </c>
      <c r="X482">
        <v>4</v>
      </c>
      <c r="Y482">
        <v>582</v>
      </c>
      <c r="Z482">
        <v>344</v>
      </c>
      <c r="AA482">
        <v>5.19</v>
      </c>
      <c r="AB482">
        <v>96</v>
      </c>
      <c r="AC482">
        <v>3000</v>
      </c>
    </row>
    <row r="483" spans="12:29" x14ac:dyDescent="0.2">
      <c r="L483" t="s">
        <v>374</v>
      </c>
      <c r="M483">
        <v>6</v>
      </c>
      <c r="N483">
        <v>3</v>
      </c>
      <c r="O483">
        <v>4</v>
      </c>
      <c r="P483">
        <v>582</v>
      </c>
      <c r="Q483">
        <v>344</v>
      </c>
      <c r="R483">
        <v>398</v>
      </c>
      <c r="S483">
        <v>3.55</v>
      </c>
      <c r="U483" t="s">
        <v>374</v>
      </c>
      <c r="V483">
        <v>627</v>
      </c>
      <c r="W483">
        <v>1</v>
      </c>
      <c r="X483">
        <v>4</v>
      </c>
      <c r="Y483">
        <v>582</v>
      </c>
      <c r="Z483">
        <v>344</v>
      </c>
      <c r="AA483">
        <v>5.19</v>
      </c>
      <c r="AB483">
        <v>96</v>
      </c>
      <c r="AC483">
        <v>277</v>
      </c>
    </row>
    <row r="484" spans="12:29" x14ac:dyDescent="0.2">
      <c r="L484" t="s">
        <v>374</v>
      </c>
      <c r="M484">
        <v>11</v>
      </c>
      <c r="N484">
        <v>1</v>
      </c>
      <c r="O484">
        <v>4</v>
      </c>
      <c r="P484">
        <v>582</v>
      </c>
      <c r="Q484">
        <v>344</v>
      </c>
      <c r="R484">
        <v>398</v>
      </c>
      <c r="S484">
        <v>45724.92</v>
      </c>
      <c r="U484" t="s">
        <v>374</v>
      </c>
      <c r="V484">
        <v>656</v>
      </c>
      <c r="W484">
        <v>1</v>
      </c>
      <c r="X484">
        <v>4</v>
      </c>
      <c r="Y484">
        <v>582</v>
      </c>
      <c r="Z484">
        <v>344</v>
      </c>
      <c r="AA484">
        <v>5.19</v>
      </c>
      <c r="AB484">
        <v>96</v>
      </c>
      <c r="AC484">
        <v>10000</v>
      </c>
    </row>
    <row r="485" spans="12:29" x14ac:dyDescent="0.2">
      <c r="L485" t="s">
        <v>374</v>
      </c>
      <c r="M485">
        <v>22</v>
      </c>
      <c r="N485">
        <v>1</v>
      </c>
      <c r="O485">
        <v>4</v>
      </c>
      <c r="P485">
        <v>582</v>
      </c>
      <c r="Q485">
        <v>344</v>
      </c>
      <c r="R485">
        <v>398</v>
      </c>
      <c r="S485">
        <v>6659.44</v>
      </c>
      <c r="U485" t="s">
        <v>374</v>
      </c>
      <c r="V485">
        <v>695</v>
      </c>
      <c r="W485">
        <v>1</v>
      </c>
      <c r="X485">
        <v>4</v>
      </c>
      <c r="Y485">
        <v>582</v>
      </c>
      <c r="Z485">
        <v>344</v>
      </c>
      <c r="AA485">
        <v>5.19</v>
      </c>
      <c r="AB485">
        <v>96</v>
      </c>
      <c r="AC485">
        <v>500</v>
      </c>
    </row>
    <row r="486" spans="12:29" x14ac:dyDescent="0.2">
      <c r="L486" t="s">
        <v>374</v>
      </c>
      <c r="M486">
        <v>91</v>
      </c>
      <c r="N486">
        <v>1</v>
      </c>
      <c r="O486">
        <v>4</v>
      </c>
      <c r="P486">
        <v>582</v>
      </c>
      <c r="Q486">
        <v>344</v>
      </c>
      <c r="R486">
        <v>398</v>
      </c>
      <c r="S486">
        <v>-2139</v>
      </c>
      <c r="U486" t="s">
        <v>374</v>
      </c>
      <c r="V486">
        <v>700</v>
      </c>
      <c r="W486">
        <v>1</v>
      </c>
      <c r="X486">
        <v>4</v>
      </c>
      <c r="Y486">
        <v>582</v>
      </c>
      <c r="Z486">
        <v>344</v>
      </c>
      <c r="AA486">
        <v>5.19</v>
      </c>
      <c r="AB486">
        <v>96</v>
      </c>
      <c r="AC486">
        <v>1600</v>
      </c>
    </row>
    <row r="487" spans="12:29" x14ac:dyDescent="0.2">
      <c r="L487" t="s">
        <v>374</v>
      </c>
      <c r="M487">
        <v>97</v>
      </c>
      <c r="N487">
        <v>1</v>
      </c>
      <c r="O487">
        <v>4</v>
      </c>
      <c r="P487">
        <v>582</v>
      </c>
      <c r="Q487">
        <v>344</v>
      </c>
      <c r="R487">
        <v>398</v>
      </c>
      <c r="S487">
        <v>10.25</v>
      </c>
      <c r="U487" t="s">
        <v>374</v>
      </c>
      <c r="V487">
        <v>704</v>
      </c>
      <c r="W487">
        <v>1</v>
      </c>
      <c r="X487">
        <v>4</v>
      </c>
      <c r="Y487">
        <v>582</v>
      </c>
      <c r="Z487">
        <v>344</v>
      </c>
      <c r="AA487">
        <v>5.19</v>
      </c>
      <c r="AB487">
        <v>96</v>
      </c>
      <c r="AC487">
        <v>400</v>
      </c>
    </row>
    <row r="488" spans="12:29" x14ac:dyDescent="0.2">
      <c r="L488" t="s">
        <v>374</v>
      </c>
      <c r="M488">
        <v>112</v>
      </c>
      <c r="N488">
        <v>1</v>
      </c>
      <c r="O488">
        <v>4</v>
      </c>
      <c r="P488">
        <v>582</v>
      </c>
      <c r="Q488">
        <v>344</v>
      </c>
      <c r="R488">
        <v>398</v>
      </c>
      <c r="S488">
        <v>-3950.1</v>
      </c>
      <c r="U488" t="s">
        <v>374</v>
      </c>
      <c r="V488">
        <v>719</v>
      </c>
      <c r="W488">
        <v>1</v>
      </c>
      <c r="X488">
        <v>4</v>
      </c>
      <c r="Y488">
        <v>582</v>
      </c>
      <c r="Z488">
        <v>344</v>
      </c>
      <c r="AA488">
        <v>5.19</v>
      </c>
      <c r="AB488">
        <v>96</v>
      </c>
      <c r="AC488">
        <v>5775</v>
      </c>
    </row>
    <row r="489" spans="12:29" x14ac:dyDescent="0.2">
      <c r="L489" t="s">
        <v>374</v>
      </c>
      <c r="M489">
        <v>115</v>
      </c>
      <c r="N489">
        <v>1</v>
      </c>
      <c r="O489">
        <v>4</v>
      </c>
      <c r="P489">
        <v>582</v>
      </c>
      <c r="Q489">
        <v>344</v>
      </c>
      <c r="R489">
        <v>398</v>
      </c>
      <c r="S489">
        <v>233.2</v>
      </c>
      <c r="U489" t="s">
        <v>374</v>
      </c>
      <c r="V489">
        <v>727</v>
      </c>
      <c r="W489">
        <v>1</v>
      </c>
      <c r="X489">
        <v>4</v>
      </c>
      <c r="Y489">
        <v>582</v>
      </c>
      <c r="Z489">
        <v>344</v>
      </c>
      <c r="AA489">
        <v>5.19</v>
      </c>
      <c r="AB489">
        <v>96</v>
      </c>
      <c r="AC489">
        <v>15</v>
      </c>
    </row>
    <row r="490" spans="12:29" x14ac:dyDescent="0.2">
      <c r="L490" t="s">
        <v>374</v>
      </c>
      <c r="M490">
        <v>129</v>
      </c>
      <c r="N490">
        <v>1</v>
      </c>
      <c r="O490">
        <v>4</v>
      </c>
      <c r="P490">
        <v>582</v>
      </c>
      <c r="Q490">
        <v>344</v>
      </c>
      <c r="R490">
        <v>398</v>
      </c>
      <c r="S490">
        <v>2000</v>
      </c>
      <c r="U490" t="s">
        <v>374</v>
      </c>
      <c r="V490">
        <v>756</v>
      </c>
      <c r="W490">
        <v>1</v>
      </c>
      <c r="X490">
        <v>4</v>
      </c>
      <c r="Y490">
        <v>582</v>
      </c>
      <c r="Z490">
        <v>344</v>
      </c>
      <c r="AA490">
        <v>5.19</v>
      </c>
      <c r="AB490">
        <v>96</v>
      </c>
      <c r="AC490">
        <v>4000</v>
      </c>
    </row>
    <row r="491" spans="12:29" x14ac:dyDescent="0.2">
      <c r="L491" t="s">
        <v>374</v>
      </c>
      <c r="M491">
        <v>138</v>
      </c>
      <c r="N491">
        <v>1</v>
      </c>
      <c r="O491">
        <v>4</v>
      </c>
      <c r="P491">
        <v>582</v>
      </c>
      <c r="Q491">
        <v>344</v>
      </c>
      <c r="R491">
        <v>398</v>
      </c>
      <c r="S491">
        <v>2971.07</v>
      </c>
      <c r="U491" t="s">
        <v>374</v>
      </c>
      <c r="V491">
        <v>885</v>
      </c>
      <c r="W491">
        <v>1</v>
      </c>
      <c r="X491">
        <v>4</v>
      </c>
      <c r="Y491">
        <v>582</v>
      </c>
      <c r="Z491">
        <v>344</v>
      </c>
      <c r="AA491">
        <v>5.19</v>
      </c>
      <c r="AB491">
        <v>96</v>
      </c>
      <c r="AC491">
        <v>15103.6</v>
      </c>
    </row>
    <row r="492" spans="12:29" x14ac:dyDescent="0.2">
      <c r="L492" t="s">
        <v>374</v>
      </c>
      <c r="M492">
        <v>146</v>
      </c>
      <c r="N492">
        <v>1</v>
      </c>
      <c r="O492">
        <v>4</v>
      </c>
      <c r="P492">
        <v>582</v>
      </c>
      <c r="Q492">
        <v>344</v>
      </c>
      <c r="R492">
        <v>398</v>
      </c>
      <c r="S492">
        <v>502.95</v>
      </c>
      <c r="U492" t="s">
        <v>374</v>
      </c>
      <c r="V492">
        <v>912</v>
      </c>
      <c r="W492">
        <v>1</v>
      </c>
      <c r="X492">
        <v>4</v>
      </c>
      <c r="Y492">
        <v>582</v>
      </c>
      <c r="Z492">
        <v>344</v>
      </c>
      <c r="AA492">
        <v>5.19</v>
      </c>
      <c r="AB492">
        <v>96</v>
      </c>
      <c r="AC492">
        <v>628.88</v>
      </c>
    </row>
    <row r="493" spans="12:29" x14ac:dyDescent="0.2">
      <c r="L493" t="s">
        <v>374</v>
      </c>
      <c r="M493">
        <v>162</v>
      </c>
      <c r="N493">
        <v>1</v>
      </c>
      <c r="O493">
        <v>4</v>
      </c>
      <c r="P493">
        <v>582</v>
      </c>
      <c r="Q493">
        <v>344</v>
      </c>
      <c r="R493">
        <v>398</v>
      </c>
      <c r="S493">
        <v>1893.76</v>
      </c>
      <c r="U493" t="s">
        <v>374</v>
      </c>
      <c r="V493">
        <v>2071</v>
      </c>
      <c r="W493">
        <v>1</v>
      </c>
      <c r="X493">
        <v>4</v>
      </c>
      <c r="Y493">
        <v>582</v>
      </c>
      <c r="Z493">
        <v>344</v>
      </c>
      <c r="AA493">
        <v>5.19</v>
      </c>
      <c r="AB493">
        <v>96</v>
      </c>
      <c r="AC493">
        <v>16110.2</v>
      </c>
    </row>
    <row r="494" spans="12:29" x14ac:dyDescent="0.2">
      <c r="L494" t="s">
        <v>374</v>
      </c>
      <c r="M494">
        <v>191</v>
      </c>
      <c r="N494">
        <v>1</v>
      </c>
      <c r="O494">
        <v>4</v>
      </c>
      <c r="P494">
        <v>582</v>
      </c>
      <c r="Q494">
        <v>344</v>
      </c>
      <c r="R494">
        <v>398</v>
      </c>
      <c r="S494">
        <v>15422.04</v>
      </c>
      <c r="U494" t="s">
        <v>374</v>
      </c>
      <c r="V494">
        <v>2134</v>
      </c>
      <c r="W494">
        <v>1</v>
      </c>
      <c r="X494">
        <v>4</v>
      </c>
      <c r="Y494">
        <v>582</v>
      </c>
      <c r="Z494">
        <v>344</v>
      </c>
      <c r="AA494">
        <v>5.19</v>
      </c>
      <c r="AB494">
        <v>96</v>
      </c>
      <c r="AC494">
        <v>200</v>
      </c>
    </row>
    <row r="495" spans="12:29" x14ac:dyDescent="0.2">
      <c r="L495" t="s">
        <v>374</v>
      </c>
      <c r="M495">
        <v>192</v>
      </c>
      <c r="N495">
        <v>1</v>
      </c>
      <c r="O495">
        <v>4</v>
      </c>
      <c r="P495">
        <v>582</v>
      </c>
      <c r="Q495">
        <v>344</v>
      </c>
      <c r="R495">
        <v>398</v>
      </c>
      <c r="S495">
        <v>381.84</v>
      </c>
      <c r="U495" t="s">
        <v>374</v>
      </c>
      <c r="V495">
        <v>2135</v>
      </c>
      <c r="W495">
        <v>1</v>
      </c>
      <c r="X495">
        <v>4</v>
      </c>
      <c r="Y495">
        <v>582</v>
      </c>
      <c r="Z495">
        <v>344</v>
      </c>
      <c r="AA495">
        <v>5.19</v>
      </c>
      <c r="AB495">
        <v>96</v>
      </c>
      <c r="AC495">
        <v>6250</v>
      </c>
    </row>
    <row r="496" spans="12:29" x14ac:dyDescent="0.2">
      <c r="L496" t="s">
        <v>374</v>
      </c>
      <c r="M496">
        <v>196</v>
      </c>
      <c r="N496">
        <v>1</v>
      </c>
      <c r="O496">
        <v>4</v>
      </c>
      <c r="P496">
        <v>582</v>
      </c>
      <c r="Q496">
        <v>344</v>
      </c>
      <c r="R496">
        <v>398</v>
      </c>
      <c r="S496">
        <v>485.51</v>
      </c>
      <c r="U496" t="s">
        <v>374</v>
      </c>
      <c r="V496">
        <v>2169</v>
      </c>
      <c r="W496">
        <v>1</v>
      </c>
      <c r="X496">
        <v>4</v>
      </c>
      <c r="Y496">
        <v>582</v>
      </c>
      <c r="Z496">
        <v>344</v>
      </c>
      <c r="AA496">
        <v>5.19</v>
      </c>
      <c r="AB496">
        <v>96</v>
      </c>
      <c r="AC496">
        <v>2660</v>
      </c>
    </row>
    <row r="497" spans="12:29" x14ac:dyDescent="0.2">
      <c r="L497" t="s">
        <v>374</v>
      </c>
      <c r="M497">
        <v>197</v>
      </c>
      <c r="N497">
        <v>1</v>
      </c>
      <c r="O497">
        <v>4</v>
      </c>
      <c r="P497">
        <v>582</v>
      </c>
      <c r="Q497">
        <v>344</v>
      </c>
      <c r="R497">
        <v>398</v>
      </c>
      <c r="S497">
        <v>2930</v>
      </c>
      <c r="U497" t="s">
        <v>374</v>
      </c>
      <c r="V497">
        <v>2311</v>
      </c>
      <c r="W497">
        <v>1</v>
      </c>
      <c r="X497">
        <v>4</v>
      </c>
      <c r="Y497">
        <v>582</v>
      </c>
      <c r="Z497">
        <v>344</v>
      </c>
      <c r="AA497">
        <v>5.19</v>
      </c>
      <c r="AB497">
        <v>96</v>
      </c>
      <c r="AC497">
        <v>5712</v>
      </c>
    </row>
    <row r="498" spans="12:29" x14ac:dyDescent="0.2">
      <c r="L498" t="s">
        <v>374</v>
      </c>
      <c r="M498">
        <v>241</v>
      </c>
      <c r="N498">
        <v>1</v>
      </c>
      <c r="O498">
        <v>4</v>
      </c>
      <c r="P498">
        <v>582</v>
      </c>
      <c r="Q498">
        <v>344</v>
      </c>
      <c r="R498">
        <v>398</v>
      </c>
      <c r="S498">
        <v>7042</v>
      </c>
      <c r="U498" t="s">
        <v>374</v>
      </c>
      <c r="V498">
        <v>2396</v>
      </c>
      <c r="W498">
        <v>1</v>
      </c>
      <c r="X498">
        <v>4</v>
      </c>
      <c r="Y498">
        <v>582</v>
      </c>
      <c r="Z498">
        <v>344</v>
      </c>
      <c r="AA498">
        <v>5.19</v>
      </c>
      <c r="AB498">
        <v>96</v>
      </c>
      <c r="AC498">
        <v>16568.09</v>
      </c>
    </row>
    <row r="499" spans="12:29" x14ac:dyDescent="0.2">
      <c r="L499" t="s">
        <v>374</v>
      </c>
      <c r="M499">
        <v>270</v>
      </c>
      <c r="N499">
        <v>1</v>
      </c>
      <c r="O499">
        <v>4</v>
      </c>
      <c r="P499">
        <v>582</v>
      </c>
      <c r="Q499">
        <v>344</v>
      </c>
      <c r="R499">
        <v>398</v>
      </c>
      <c r="S499">
        <v>126.66</v>
      </c>
      <c r="U499" t="s">
        <v>374</v>
      </c>
      <c r="V499">
        <v>2448</v>
      </c>
      <c r="W499">
        <v>1</v>
      </c>
      <c r="X499">
        <v>4</v>
      </c>
      <c r="Y499">
        <v>582</v>
      </c>
      <c r="Z499">
        <v>344</v>
      </c>
      <c r="AA499">
        <v>5.19</v>
      </c>
      <c r="AB499">
        <v>96</v>
      </c>
      <c r="AC499">
        <v>2000</v>
      </c>
    </row>
    <row r="500" spans="12:29" x14ac:dyDescent="0.2">
      <c r="L500" t="s">
        <v>374</v>
      </c>
      <c r="M500">
        <v>271</v>
      </c>
      <c r="N500">
        <v>1</v>
      </c>
      <c r="O500">
        <v>4</v>
      </c>
      <c r="P500">
        <v>582</v>
      </c>
      <c r="Q500">
        <v>344</v>
      </c>
      <c r="R500">
        <v>398</v>
      </c>
      <c r="S500">
        <v>12402.78</v>
      </c>
      <c r="U500" t="s">
        <v>374</v>
      </c>
      <c r="V500">
        <v>2534</v>
      </c>
      <c r="W500">
        <v>1</v>
      </c>
      <c r="X500">
        <v>4</v>
      </c>
      <c r="Y500">
        <v>582</v>
      </c>
      <c r="Z500">
        <v>344</v>
      </c>
      <c r="AA500">
        <v>5.19</v>
      </c>
      <c r="AB500">
        <v>96</v>
      </c>
      <c r="AC500">
        <v>1615.56</v>
      </c>
    </row>
    <row r="501" spans="12:29" x14ac:dyDescent="0.2">
      <c r="L501" t="s">
        <v>374</v>
      </c>
      <c r="M501">
        <v>272</v>
      </c>
      <c r="N501">
        <v>1</v>
      </c>
      <c r="O501">
        <v>4</v>
      </c>
      <c r="P501">
        <v>582</v>
      </c>
      <c r="Q501">
        <v>344</v>
      </c>
      <c r="R501">
        <v>398</v>
      </c>
      <c r="S501">
        <v>30782.35</v>
      </c>
      <c r="U501" t="s">
        <v>374</v>
      </c>
      <c r="V501">
        <v>2897</v>
      </c>
      <c r="W501">
        <v>1</v>
      </c>
      <c r="X501">
        <v>4</v>
      </c>
      <c r="Y501">
        <v>582</v>
      </c>
      <c r="Z501">
        <v>344</v>
      </c>
      <c r="AA501">
        <v>5.05</v>
      </c>
      <c r="AB501">
        <v>96</v>
      </c>
      <c r="AC501">
        <v>500</v>
      </c>
    </row>
    <row r="502" spans="12:29" x14ac:dyDescent="0.2">
      <c r="L502" t="s">
        <v>374</v>
      </c>
      <c r="M502">
        <v>273</v>
      </c>
      <c r="N502">
        <v>1</v>
      </c>
      <c r="O502">
        <v>4</v>
      </c>
      <c r="P502">
        <v>582</v>
      </c>
      <c r="Q502">
        <v>344</v>
      </c>
      <c r="R502">
        <v>398</v>
      </c>
      <c r="S502">
        <v>46.02</v>
      </c>
      <c r="U502" t="s">
        <v>374</v>
      </c>
      <c r="V502">
        <v>712</v>
      </c>
      <c r="W502">
        <v>1</v>
      </c>
      <c r="X502">
        <v>4</v>
      </c>
      <c r="Y502">
        <v>590</v>
      </c>
      <c r="Z502">
        <v>344</v>
      </c>
      <c r="AA502">
        <v>5.19</v>
      </c>
      <c r="AB502">
        <v>96</v>
      </c>
      <c r="AC502">
        <v>500</v>
      </c>
    </row>
    <row r="503" spans="12:29" x14ac:dyDescent="0.2">
      <c r="L503" t="s">
        <v>374</v>
      </c>
      <c r="M503">
        <v>276</v>
      </c>
      <c r="N503">
        <v>1</v>
      </c>
      <c r="O503">
        <v>4</v>
      </c>
      <c r="P503">
        <v>582</v>
      </c>
      <c r="Q503">
        <v>344</v>
      </c>
      <c r="R503">
        <v>398</v>
      </c>
      <c r="S503">
        <v>2318</v>
      </c>
      <c r="U503" t="s">
        <v>374</v>
      </c>
      <c r="V503">
        <v>11</v>
      </c>
      <c r="W503">
        <v>1</v>
      </c>
      <c r="X503">
        <v>4</v>
      </c>
      <c r="Y503">
        <v>582</v>
      </c>
      <c r="Z503">
        <v>0</v>
      </c>
      <c r="AA503">
        <v>5.19</v>
      </c>
      <c r="AB503">
        <v>96</v>
      </c>
      <c r="AC503">
        <v>405</v>
      </c>
    </row>
    <row r="504" spans="12:29" x14ac:dyDescent="0.2">
      <c r="L504" t="s">
        <v>374</v>
      </c>
      <c r="M504">
        <v>277</v>
      </c>
      <c r="N504">
        <v>1</v>
      </c>
      <c r="O504">
        <v>4</v>
      </c>
      <c r="P504">
        <v>582</v>
      </c>
      <c r="Q504">
        <v>344</v>
      </c>
      <c r="R504">
        <v>398</v>
      </c>
      <c r="S504">
        <v>673.66</v>
      </c>
      <c r="U504" t="s">
        <v>374</v>
      </c>
      <c r="V504">
        <v>829</v>
      </c>
      <c r="W504">
        <v>1</v>
      </c>
      <c r="X504">
        <v>4</v>
      </c>
      <c r="Y504">
        <v>582</v>
      </c>
      <c r="Z504">
        <v>344</v>
      </c>
      <c r="AA504">
        <v>5.19</v>
      </c>
      <c r="AB504">
        <v>93</v>
      </c>
      <c r="AC504">
        <v>3992.75</v>
      </c>
    </row>
    <row r="505" spans="12:29" x14ac:dyDescent="0.2">
      <c r="L505" t="s">
        <v>374</v>
      </c>
      <c r="M505">
        <v>279</v>
      </c>
      <c r="N505">
        <v>1</v>
      </c>
      <c r="O505">
        <v>4</v>
      </c>
      <c r="P505">
        <v>582</v>
      </c>
      <c r="Q505">
        <v>344</v>
      </c>
      <c r="R505">
        <v>398</v>
      </c>
      <c r="S505">
        <v>406.02</v>
      </c>
      <c r="U505" t="s">
        <v>374</v>
      </c>
      <c r="V505">
        <v>139</v>
      </c>
      <c r="W505">
        <v>1</v>
      </c>
      <c r="X505">
        <v>4</v>
      </c>
      <c r="Y505">
        <v>582</v>
      </c>
      <c r="Z505">
        <v>0</v>
      </c>
      <c r="AA505">
        <v>5.19</v>
      </c>
      <c r="AB505">
        <v>93</v>
      </c>
      <c r="AC505">
        <v>675</v>
      </c>
    </row>
    <row r="506" spans="12:29" x14ac:dyDescent="0.2">
      <c r="L506" t="s">
        <v>374</v>
      </c>
      <c r="M506">
        <v>281</v>
      </c>
      <c r="N506">
        <v>1</v>
      </c>
      <c r="O506">
        <v>4</v>
      </c>
      <c r="P506">
        <v>582</v>
      </c>
      <c r="Q506">
        <v>344</v>
      </c>
      <c r="R506">
        <v>398</v>
      </c>
      <c r="S506">
        <v>173177.51</v>
      </c>
      <c r="U506" t="s">
        <v>374</v>
      </c>
      <c r="V506">
        <v>138</v>
      </c>
      <c r="W506">
        <v>1</v>
      </c>
      <c r="X506">
        <v>4</v>
      </c>
      <c r="Y506">
        <v>582</v>
      </c>
      <c r="Z506">
        <v>344</v>
      </c>
      <c r="AA506">
        <v>5.05</v>
      </c>
      <c r="AB506">
        <v>92</v>
      </c>
      <c r="AC506">
        <v>189.14</v>
      </c>
    </row>
    <row r="507" spans="12:29" x14ac:dyDescent="0.2">
      <c r="L507" t="s">
        <v>374</v>
      </c>
      <c r="M507">
        <v>284</v>
      </c>
      <c r="N507">
        <v>1</v>
      </c>
      <c r="O507">
        <v>4</v>
      </c>
      <c r="P507">
        <v>582</v>
      </c>
      <c r="Q507">
        <v>344</v>
      </c>
      <c r="R507">
        <v>398</v>
      </c>
      <c r="S507">
        <v>13878.2</v>
      </c>
      <c r="U507" t="s">
        <v>374</v>
      </c>
      <c r="V507">
        <v>727</v>
      </c>
      <c r="W507">
        <v>1</v>
      </c>
      <c r="X507">
        <v>4</v>
      </c>
      <c r="Y507">
        <v>582</v>
      </c>
      <c r="Z507">
        <v>344</v>
      </c>
      <c r="AA507">
        <v>5.19</v>
      </c>
      <c r="AB507">
        <v>60</v>
      </c>
      <c r="AC507">
        <v>571</v>
      </c>
    </row>
    <row r="508" spans="12:29" x14ac:dyDescent="0.2">
      <c r="L508" t="s">
        <v>374</v>
      </c>
      <c r="M508">
        <v>286</v>
      </c>
      <c r="N508">
        <v>1</v>
      </c>
      <c r="O508">
        <v>4</v>
      </c>
      <c r="P508">
        <v>582</v>
      </c>
      <c r="Q508">
        <v>344</v>
      </c>
      <c r="R508">
        <v>398</v>
      </c>
      <c r="S508">
        <v>5000</v>
      </c>
      <c r="U508" t="s">
        <v>374</v>
      </c>
      <c r="V508">
        <v>2805</v>
      </c>
      <c r="W508">
        <v>1</v>
      </c>
      <c r="X508">
        <v>4</v>
      </c>
      <c r="Y508">
        <v>582</v>
      </c>
      <c r="Z508">
        <v>344</v>
      </c>
      <c r="AA508">
        <v>5.19</v>
      </c>
      <c r="AB508">
        <v>60</v>
      </c>
      <c r="AC508">
        <v>5999.32</v>
      </c>
    </row>
    <row r="509" spans="12:29" x14ac:dyDescent="0.2">
      <c r="L509" t="s">
        <v>374</v>
      </c>
      <c r="M509">
        <v>309</v>
      </c>
      <c r="N509">
        <v>1</v>
      </c>
      <c r="O509">
        <v>4</v>
      </c>
      <c r="P509">
        <v>582</v>
      </c>
      <c r="Q509">
        <v>344</v>
      </c>
      <c r="R509">
        <v>398</v>
      </c>
      <c r="S509">
        <v>-8856.77</v>
      </c>
      <c r="U509" t="s">
        <v>374</v>
      </c>
      <c r="V509">
        <v>547</v>
      </c>
      <c r="W509">
        <v>1</v>
      </c>
      <c r="X509">
        <v>4</v>
      </c>
      <c r="Y509">
        <v>582</v>
      </c>
      <c r="Z509">
        <v>737</v>
      </c>
      <c r="AA509">
        <v>5.19</v>
      </c>
      <c r="AB509">
        <v>50</v>
      </c>
      <c r="AC509">
        <v>2318</v>
      </c>
    </row>
    <row r="510" spans="12:29" x14ac:dyDescent="0.2">
      <c r="L510" t="s">
        <v>374</v>
      </c>
      <c r="M510">
        <v>330</v>
      </c>
      <c r="N510">
        <v>1</v>
      </c>
      <c r="O510">
        <v>4</v>
      </c>
      <c r="P510">
        <v>582</v>
      </c>
      <c r="Q510">
        <v>344</v>
      </c>
      <c r="R510">
        <v>398</v>
      </c>
      <c r="S510">
        <v>3825</v>
      </c>
      <c r="U510" t="s">
        <v>374</v>
      </c>
      <c r="V510">
        <v>16</v>
      </c>
      <c r="W510">
        <v>1</v>
      </c>
      <c r="X510">
        <v>4</v>
      </c>
      <c r="Y510">
        <v>0</v>
      </c>
      <c r="Z510">
        <v>344</v>
      </c>
      <c r="AA510">
        <v>5.19</v>
      </c>
      <c r="AB510">
        <v>50</v>
      </c>
      <c r="AC510">
        <v>12071</v>
      </c>
    </row>
    <row r="511" spans="12:29" x14ac:dyDescent="0.2">
      <c r="L511" t="s">
        <v>374</v>
      </c>
      <c r="M511">
        <v>381</v>
      </c>
      <c r="N511">
        <v>1</v>
      </c>
      <c r="O511">
        <v>4</v>
      </c>
      <c r="P511">
        <v>582</v>
      </c>
      <c r="Q511">
        <v>344</v>
      </c>
      <c r="R511">
        <v>398</v>
      </c>
      <c r="S511">
        <v>8325</v>
      </c>
      <c r="U511" t="s">
        <v>374</v>
      </c>
      <c r="V511">
        <v>278</v>
      </c>
      <c r="W511">
        <v>1</v>
      </c>
      <c r="X511">
        <v>4</v>
      </c>
      <c r="Y511">
        <v>0</v>
      </c>
      <c r="Z511">
        <v>344</v>
      </c>
      <c r="AA511">
        <v>5.19</v>
      </c>
      <c r="AB511">
        <v>50</v>
      </c>
      <c r="AC511">
        <v>104267.03</v>
      </c>
    </row>
    <row r="512" spans="12:29" x14ac:dyDescent="0.2">
      <c r="L512" t="s">
        <v>374</v>
      </c>
      <c r="M512">
        <v>394</v>
      </c>
      <c r="N512">
        <v>1</v>
      </c>
      <c r="O512">
        <v>4</v>
      </c>
      <c r="P512">
        <v>582</v>
      </c>
      <c r="Q512">
        <v>344</v>
      </c>
      <c r="R512">
        <v>398</v>
      </c>
      <c r="S512">
        <v>3332.56</v>
      </c>
      <c r="U512" t="s">
        <v>374</v>
      </c>
      <c r="V512">
        <v>413</v>
      </c>
      <c r="W512">
        <v>1</v>
      </c>
      <c r="X512">
        <v>4</v>
      </c>
      <c r="Y512">
        <v>0</v>
      </c>
      <c r="Z512">
        <v>344</v>
      </c>
      <c r="AA512">
        <v>5.19</v>
      </c>
      <c r="AB512">
        <v>50</v>
      </c>
      <c r="AC512">
        <v>23212.15</v>
      </c>
    </row>
    <row r="513" spans="12:29" x14ac:dyDescent="0.2">
      <c r="L513" t="s">
        <v>374</v>
      </c>
      <c r="M513">
        <v>622</v>
      </c>
      <c r="N513">
        <v>1</v>
      </c>
      <c r="O513">
        <v>4</v>
      </c>
      <c r="P513">
        <v>582</v>
      </c>
      <c r="Q513">
        <v>344</v>
      </c>
      <c r="R513">
        <v>398</v>
      </c>
      <c r="S513">
        <v>954.42</v>
      </c>
      <c r="U513" t="s">
        <v>374</v>
      </c>
      <c r="V513">
        <v>417</v>
      </c>
      <c r="W513">
        <v>1</v>
      </c>
      <c r="X513">
        <v>4</v>
      </c>
      <c r="Y513">
        <v>0</v>
      </c>
      <c r="Z513">
        <v>344</v>
      </c>
      <c r="AA513">
        <v>5.19</v>
      </c>
      <c r="AB513">
        <v>50</v>
      </c>
      <c r="AC513">
        <v>2574</v>
      </c>
    </row>
    <row r="514" spans="12:29" x14ac:dyDescent="0.2">
      <c r="L514" t="s">
        <v>374</v>
      </c>
      <c r="M514">
        <v>623</v>
      </c>
      <c r="N514">
        <v>1</v>
      </c>
      <c r="O514">
        <v>4</v>
      </c>
      <c r="P514">
        <v>582</v>
      </c>
      <c r="Q514">
        <v>344</v>
      </c>
      <c r="R514">
        <v>398</v>
      </c>
      <c r="S514">
        <v>-6163.75</v>
      </c>
      <c r="U514" t="s">
        <v>374</v>
      </c>
      <c r="V514">
        <v>473</v>
      </c>
      <c r="W514">
        <v>1</v>
      </c>
      <c r="X514">
        <v>4</v>
      </c>
      <c r="Y514">
        <v>0</v>
      </c>
      <c r="Z514">
        <v>344</v>
      </c>
      <c r="AA514">
        <v>5.19</v>
      </c>
      <c r="AB514">
        <v>50</v>
      </c>
      <c r="AC514">
        <v>8109.05</v>
      </c>
    </row>
    <row r="515" spans="12:29" x14ac:dyDescent="0.2">
      <c r="L515" t="s">
        <v>374</v>
      </c>
      <c r="M515">
        <v>656</v>
      </c>
      <c r="N515">
        <v>1</v>
      </c>
      <c r="O515">
        <v>4</v>
      </c>
      <c r="P515">
        <v>582</v>
      </c>
      <c r="Q515">
        <v>344</v>
      </c>
      <c r="R515">
        <v>398</v>
      </c>
      <c r="S515">
        <v>3.94</v>
      </c>
      <c r="U515" t="s">
        <v>374</v>
      </c>
      <c r="V515">
        <v>485</v>
      </c>
      <c r="W515">
        <v>1</v>
      </c>
      <c r="X515">
        <v>4</v>
      </c>
      <c r="Y515">
        <v>0</v>
      </c>
      <c r="Z515">
        <v>344</v>
      </c>
      <c r="AA515">
        <v>5.05</v>
      </c>
      <c r="AB515">
        <v>50</v>
      </c>
      <c r="AC515">
        <v>10345.200000000001</v>
      </c>
    </row>
    <row r="516" spans="12:29" x14ac:dyDescent="0.2">
      <c r="L516" t="s">
        <v>374</v>
      </c>
      <c r="M516">
        <v>709</v>
      </c>
      <c r="N516">
        <v>1</v>
      </c>
      <c r="O516">
        <v>4</v>
      </c>
      <c r="P516">
        <v>582</v>
      </c>
      <c r="Q516">
        <v>344</v>
      </c>
      <c r="R516">
        <v>398</v>
      </c>
      <c r="S516">
        <v>9270.81</v>
      </c>
      <c r="U516" t="s">
        <v>374</v>
      </c>
      <c r="V516">
        <v>578</v>
      </c>
      <c r="W516">
        <v>1</v>
      </c>
      <c r="X516">
        <v>4</v>
      </c>
      <c r="Y516">
        <v>0</v>
      </c>
      <c r="Z516">
        <v>344</v>
      </c>
      <c r="AA516">
        <v>5.19</v>
      </c>
      <c r="AB516">
        <v>50</v>
      </c>
      <c r="AC516">
        <v>530</v>
      </c>
    </row>
    <row r="517" spans="12:29" x14ac:dyDescent="0.2">
      <c r="L517" t="s">
        <v>374</v>
      </c>
      <c r="M517">
        <v>720</v>
      </c>
      <c r="N517">
        <v>1</v>
      </c>
      <c r="O517">
        <v>4</v>
      </c>
      <c r="P517">
        <v>582</v>
      </c>
      <c r="Q517">
        <v>344</v>
      </c>
      <c r="R517">
        <v>398</v>
      </c>
      <c r="S517">
        <v>446.57</v>
      </c>
      <c r="U517" t="s">
        <v>374</v>
      </c>
      <c r="V517">
        <v>630</v>
      </c>
      <c r="W517">
        <v>1</v>
      </c>
      <c r="X517">
        <v>4</v>
      </c>
      <c r="Y517">
        <v>0</v>
      </c>
      <c r="Z517">
        <v>344</v>
      </c>
      <c r="AA517">
        <v>5.19</v>
      </c>
      <c r="AB517">
        <v>50</v>
      </c>
      <c r="AC517">
        <v>2275</v>
      </c>
    </row>
    <row r="518" spans="12:29" x14ac:dyDescent="0.2">
      <c r="L518" t="s">
        <v>374</v>
      </c>
      <c r="M518">
        <v>727</v>
      </c>
      <c r="N518">
        <v>1</v>
      </c>
      <c r="O518">
        <v>4</v>
      </c>
      <c r="P518">
        <v>582</v>
      </c>
      <c r="Q518">
        <v>344</v>
      </c>
      <c r="R518">
        <v>398</v>
      </c>
      <c r="S518">
        <v>2000</v>
      </c>
      <c r="U518" t="s">
        <v>374</v>
      </c>
      <c r="V518">
        <v>720</v>
      </c>
      <c r="W518">
        <v>1</v>
      </c>
      <c r="X518">
        <v>4</v>
      </c>
      <c r="Y518">
        <v>0</v>
      </c>
      <c r="Z518">
        <v>344</v>
      </c>
      <c r="AA518">
        <v>5.19</v>
      </c>
      <c r="AB518">
        <v>50</v>
      </c>
      <c r="AC518">
        <v>26341</v>
      </c>
    </row>
    <row r="519" spans="12:29" x14ac:dyDescent="0.2">
      <c r="L519" t="s">
        <v>374</v>
      </c>
      <c r="M519">
        <v>742</v>
      </c>
      <c r="N519">
        <v>1</v>
      </c>
      <c r="O519">
        <v>4</v>
      </c>
      <c r="P519">
        <v>582</v>
      </c>
      <c r="Q519">
        <v>344</v>
      </c>
      <c r="R519">
        <v>398</v>
      </c>
      <c r="S519">
        <v>794.76</v>
      </c>
      <c r="U519" t="s">
        <v>374</v>
      </c>
      <c r="V519">
        <v>726</v>
      </c>
      <c r="W519">
        <v>1</v>
      </c>
      <c r="X519">
        <v>4</v>
      </c>
      <c r="Y519">
        <v>0</v>
      </c>
      <c r="Z519">
        <v>344</v>
      </c>
      <c r="AA519">
        <v>5.19</v>
      </c>
      <c r="AB519">
        <v>50</v>
      </c>
      <c r="AC519">
        <v>57022.67</v>
      </c>
    </row>
    <row r="520" spans="12:29" x14ac:dyDescent="0.2">
      <c r="L520" t="s">
        <v>374</v>
      </c>
      <c r="M520">
        <v>761</v>
      </c>
      <c r="N520">
        <v>1</v>
      </c>
      <c r="O520">
        <v>4</v>
      </c>
      <c r="P520">
        <v>582</v>
      </c>
      <c r="Q520">
        <v>344</v>
      </c>
      <c r="R520">
        <v>398</v>
      </c>
      <c r="S520">
        <v>383.25</v>
      </c>
      <c r="U520" t="s">
        <v>374</v>
      </c>
      <c r="V520">
        <v>2137</v>
      </c>
      <c r="W520">
        <v>1</v>
      </c>
      <c r="X520">
        <v>4</v>
      </c>
      <c r="Y520">
        <v>0</v>
      </c>
      <c r="Z520">
        <v>344</v>
      </c>
      <c r="AA520">
        <v>5.19</v>
      </c>
      <c r="AB520">
        <v>50</v>
      </c>
      <c r="AC520">
        <v>29407</v>
      </c>
    </row>
    <row r="521" spans="12:29" x14ac:dyDescent="0.2">
      <c r="L521" t="s">
        <v>374</v>
      </c>
      <c r="M521">
        <v>763</v>
      </c>
      <c r="N521">
        <v>1</v>
      </c>
      <c r="O521">
        <v>4</v>
      </c>
      <c r="P521">
        <v>582</v>
      </c>
      <c r="Q521">
        <v>344</v>
      </c>
      <c r="R521">
        <v>398</v>
      </c>
      <c r="S521">
        <v>5000</v>
      </c>
      <c r="U521" t="s">
        <v>374</v>
      </c>
      <c r="V521">
        <v>2835</v>
      </c>
      <c r="W521">
        <v>1</v>
      </c>
      <c r="X521">
        <v>4</v>
      </c>
      <c r="Y521">
        <v>0</v>
      </c>
      <c r="Z521">
        <v>344</v>
      </c>
      <c r="AA521">
        <v>5.19</v>
      </c>
      <c r="AB521">
        <v>50</v>
      </c>
      <c r="AC521">
        <v>37446</v>
      </c>
    </row>
    <row r="522" spans="12:29" x14ac:dyDescent="0.2">
      <c r="L522" t="s">
        <v>374</v>
      </c>
      <c r="M522">
        <v>832</v>
      </c>
      <c r="N522">
        <v>1</v>
      </c>
      <c r="O522">
        <v>4</v>
      </c>
      <c r="P522">
        <v>582</v>
      </c>
      <c r="Q522">
        <v>344</v>
      </c>
      <c r="R522">
        <v>398</v>
      </c>
      <c r="S522">
        <v>8062</v>
      </c>
      <c r="U522" t="s">
        <v>374</v>
      </c>
      <c r="V522">
        <v>6</v>
      </c>
      <c r="W522">
        <v>3</v>
      </c>
      <c r="X522">
        <v>4</v>
      </c>
      <c r="Y522">
        <v>582</v>
      </c>
      <c r="Z522">
        <v>344</v>
      </c>
      <c r="AA522">
        <v>5.19</v>
      </c>
      <c r="AB522">
        <v>50</v>
      </c>
      <c r="AC522">
        <v>6357</v>
      </c>
    </row>
    <row r="523" spans="12:29" x14ac:dyDescent="0.2">
      <c r="L523" t="s">
        <v>374</v>
      </c>
      <c r="M523">
        <v>834</v>
      </c>
      <c r="N523">
        <v>1</v>
      </c>
      <c r="O523">
        <v>4</v>
      </c>
      <c r="P523">
        <v>582</v>
      </c>
      <c r="Q523">
        <v>344</v>
      </c>
      <c r="R523">
        <v>398</v>
      </c>
      <c r="S523">
        <v>3898</v>
      </c>
      <c r="U523" t="s">
        <v>374</v>
      </c>
      <c r="V523">
        <v>12</v>
      </c>
      <c r="W523">
        <v>1</v>
      </c>
      <c r="X523">
        <v>4</v>
      </c>
      <c r="Y523">
        <v>582</v>
      </c>
      <c r="Z523">
        <v>344</v>
      </c>
      <c r="AA523">
        <v>5.0199999999999996</v>
      </c>
      <c r="AB523">
        <v>50</v>
      </c>
      <c r="AC523">
        <v>24263.5</v>
      </c>
    </row>
    <row r="524" spans="12:29" x14ac:dyDescent="0.2">
      <c r="L524" t="s">
        <v>374</v>
      </c>
      <c r="M524">
        <v>879</v>
      </c>
      <c r="N524">
        <v>1</v>
      </c>
      <c r="O524">
        <v>4</v>
      </c>
      <c r="P524">
        <v>582</v>
      </c>
      <c r="Q524">
        <v>344</v>
      </c>
      <c r="R524">
        <v>398</v>
      </c>
      <c r="S524">
        <v>4108</v>
      </c>
      <c r="U524" t="s">
        <v>374</v>
      </c>
      <c r="V524">
        <v>13</v>
      </c>
      <c r="W524">
        <v>1</v>
      </c>
      <c r="X524">
        <v>4</v>
      </c>
      <c r="Y524">
        <v>582</v>
      </c>
      <c r="Z524">
        <v>344</v>
      </c>
      <c r="AA524">
        <v>5.19</v>
      </c>
      <c r="AB524">
        <v>50</v>
      </c>
      <c r="AC524">
        <v>14158.07</v>
      </c>
    </row>
    <row r="525" spans="12:29" x14ac:dyDescent="0.2">
      <c r="L525" t="s">
        <v>374</v>
      </c>
      <c r="M525">
        <v>911</v>
      </c>
      <c r="N525">
        <v>1</v>
      </c>
      <c r="O525">
        <v>4</v>
      </c>
      <c r="P525">
        <v>582</v>
      </c>
      <c r="Q525">
        <v>344</v>
      </c>
      <c r="R525">
        <v>398</v>
      </c>
      <c r="S525">
        <v>35000</v>
      </c>
      <c r="U525" t="s">
        <v>374</v>
      </c>
      <c r="V525">
        <v>14</v>
      </c>
      <c r="W525">
        <v>1</v>
      </c>
      <c r="X525">
        <v>4</v>
      </c>
      <c r="Y525">
        <v>582</v>
      </c>
      <c r="Z525">
        <v>344</v>
      </c>
      <c r="AA525">
        <v>5.19</v>
      </c>
      <c r="AB525">
        <v>50</v>
      </c>
      <c r="AC525">
        <v>15894.5</v>
      </c>
    </row>
    <row r="526" spans="12:29" x14ac:dyDescent="0.2">
      <c r="L526" t="s">
        <v>374</v>
      </c>
      <c r="M526">
        <v>2144</v>
      </c>
      <c r="N526">
        <v>1</v>
      </c>
      <c r="O526">
        <v>4</v>
      </c>
      <c r="P526">
        <v>582</v>
      </c>
      <c r="Q526">
        <v>344</v>
      </c>
      <c r="R526">
        <v>398</v>
      </c>
      <c r="S526">
        <v>321.16000000000003</v>
      </c>
      <c r="U526" t="s">
        <v>374</v>
      </c>
      <c r="V526">
        <v>23</v>
      </c>
      <c r="W526">
        <v>1</v>
      </c>
      <c r="X526">
        <v>4</v>
      </c>
      <c r="Y526">
        <v>582</v>
      </c>
      <c r="Z526">
        <v>344</v>
      </c>
      <c r="AA526">
        <v>5.05</v>
      </c>
      <c r="AB526">
        <v>50</v>
      </c>
      <c r="AC526">
        <v>15047.3</v>
      </c>
    </row>
    <row r="527" spans="12:29" x14ac:dyDescent="0.2">
      <c r="L527" t="s">
        <v>374</v>
      </c>
      <c r="M527">
        <v>2149</v>
      </c>
      <c r="N527">
        <v>1</v>
      </c>
      <c r="O527">
        <v>4</v>
      </c>
      <c r="P527">
        <v>582</v>
      </c>
      <c r="Q527">
        <v>344</v>
      </c>
      <c r="R527">
        <v>398</v>
      </c>
      <c r="S527">
        <v>694</v>
      </c>
      <c r="U527" t="s">
        <v>374</v>
      </c>
      <c r="V527">
        <v>62</v>
      </c>
      <c r="W527">
        <v>1</v>
      </c>
      <c r="X527">
        <v>4</v>
      </c>
      <c r="Y527">
        <v>582</v>
      </c>
      <c r="Z527">
        <v>344</v>
      </c>
      <c r="AA527">
        <v>5.19</v>
      </c>
      <c r="AB527">
        <v>50</v>
      </c>
      <c r="AC527">
        <v>19202.330000000002</v>
      </c>
    </row>
    <row r="528" spans="12:29" x14ac:dyDescent="0.2">
      <c r="L528" t="s">
        <v>374</v>
      </c>
      <c r="M528">
        <v>2396</v>
      </c>
      <c r="N528">
        <v>1</v>
      </c>
      <c r="O528">
        <v>4</v>
      </c>
      <c r="P528">
        <v>582</v>
      </c>
      <c r="Q528">
        <v>344</v>
      </c>
      <c r="R528">
        <v>398</v>
      </c>
      <c r="S528">
        <v>1000</v>
      </c>
      <c r="U528" t="s">
        <v>374</v>
      </c>
      <c r="V528">
        <v>77</v>
      </c>
      <c r="W528">
        <v>1</v>
      </c>
      <c r="X528">
        <v>4</v>
      </c>
      <c r="Y528">
        <v>582</v>
      </c>
      <c r="Z528">
        <v>344</v>
      </c>
      <c r="AA528">
        <v>5.19</v>
      </c>
      <c r="AB528">
        <v>50</v>
      </c>
      <c r="AC528">
        <v>54289.5</v>
      </c>
    </row>
    <row r="529" spans="12:29" x14ac:dyDescent="0.2">
      <c r="L529" t="s">
        <v>374</v>
      </c>
      <c r="M529">
        <v>2859</v>
      </c>
      <c r="N529">
        <v>1</v>
      </c>
      <c r="O529">
        <v>4</v>
      </c>
      <c r="P529">
        <v>582</v>
      </c>
      <c r="Q529">
        <v>344</v>
      </c>
      <c r="R529">
        <v>398</v>
      </c>
      <c r="S529">
        <v>11093</v>
      </c>
      <c r="U529" t="s">
        <v>374</v>
      </c>
      <c r="V529">
        <v>84</v>
      </c>
      <c r="W529">
        <v>1</v>
      </c>
      <c r="X529">
        <v>4</v>
      </c>
      <c r="Y529">
        <v>582</v>
      </c>
      <c r="Z529">
        <v>344</v>
      </c>
      <c r="AA529">
        <v>5.19</v>
      </c>
      <c r="AB529">
        <v>50</v>
      </c>
      <c r="AC529">
        <v>14755</v>
      </c>
    </row>
    <row r="530" spans="12:29" x14ac:dyDescent="0.2">
      <c r="L530" t="s">
        <v>374</v>
      </c>
      <c r="M530">
        <v>2902</v>
      </c>
      <c r="N530">
        <v>1</v>
      </c>
      <c r="O530">
        <v>4</v>
      </c>
      <c r="P530">
        <v>582</v>
      </c>
      <c r="Q530">
        <v>344</v>
      </c>
      <c r="R530">
        <v>398</v>
      </c>
      <c r="S530">
        <v>2103</v>
      </c>
      <c r="U530" t="s">
        <v>374</v>
      </c>
      <c r="V530">
        <v>91</v>
      </c>
      <c r="W530">
        <v>1</v>
      </c>
      <c r="X530">
        <v>4</v>
      </c>
      <c r="Y530">
        <v>582</v>
      </c>
      <c r="Z530">
        <v>344</v>
      </c>
      <c r="AA530">
        <v>5.19</v>
      </c>
      <c r="AB530">
        <v>50</v>
      </c>
      <c r="AC530">
        <v>5516.5</v>
      </c>
    </row>
    <row r="531" spans="12:29" x14ac:dyDescent="0.2">
      <c r="L531" t="s">
        <v>374</v>
      </c>
      <c r="M531">
        <v>2902</v>
      </c>
      <c r="N531">
        <v>1</v>
      </c>
      <c r="O531">
        <v>4</v>
      </c>
      <c r="P531">
        <v>582</v>
      </c>
      <c r="Q531">
        <v>344</v>
      </c>
      <c r="R531">
        <v>398</v>
      </c>
      <c r="S531">
        <v>2103</v>
      </c>
      <c r="U531" t="s">
        <v>374</v>
      </c>
      <c r="V531">
        <v>93</v>
      </c>
      <c r="W531">
        <v>1</v>
      </c>
      <c r="X531">
        <v>4</v>
      </c>
      <c r="Y531">
        <v>582</v>
      </c>
      <c r="Z531">
        <v>344</v>
      </c>
      <c r="AA531">
        <v>5.19</v>
      </c>
      <c r="AB531">
        <v>50</v>
      </c>
      <c r="AC531">
        <v>12710.75</v>
      </c>
    </row>
    <row r="532" spans="12:29" x14ac:dyDescent="0.2">
      <c r="L532" t="s">
        <v>374</v>
      </c>
      <c r="M532">
        <v>2902</v>
      </c>
      <c r="N532">
        <v>1</v>
      </c>
      <c r="O532">
        <v>4</v>
      </c>
      <c r="P532">
        <v>582</v>
      </c>
      <c r="Q532">
        <v>344</v>
      </c>
      <c r="R532">
        <v>398</v>
      </c>
      <c r="S532">
        <v>2103</v>
      </c>
      <c r="U532" t="s">
        <v>374</v>
      </c>
      <c r="V532">
        <v>95</v>
      </c>
      <c r="W532">
        <v>1</v>
      </c>
      <c r="X532">
        <v>4</v>
      </c>
      <c r="Y532">
        <v>582</v>
      </c>
      <c r="Z532">
        <v>344</v>
      </c>
      <c r="AA532">
        <v>5.19</v>
      </c>
      <c r="AB532">
        <v>50</v>
      </c>
      <c r="AC532">
        <v>150</v>
      </c>
    </row>
    <row r="533" spans="12:29" x14ac:dyDescent="0.2">
      <c r="L533" t="s">
        <v>374</v>
      </c>
      <c r="M533">
        <v>139</v>
      </c>
      <c r="N533">
        <v>1</v>
      </c>
      <c r="O533">
        <v>4</v>
      </c>
      <c r="P533">
        <v>582</v>
      </c>
      <c r="Q533">
        <v>321</v>
      </c>
      <c r="R533">
        <v>398</v>
      </c>
      <c r="S533">
        <v>-8125</v>
      </c>
      <c r="U533" t="s">
        <v>374</v>
      </c>
      <c r="V533">
        <v>100</v>
      </c>
      <c r="W533">
        <v>1</v>
      </c>
      <c r="X533">
        <v>4</v>
      </c>
      <c r="Y533">
        <v>582</v>
      </c>
      <c r="Z533">
        <v>344</v>
      </c>
      <c r="AA533">
        <v>5.19</v>
      </c>
      <c r="AB533">
        <v>50</v>
      </c>
      <c r="AC533">
        <v>1578.95</v>
      </c>
    </row>
    <row r="534" spans="12:29" x14ac:dyDescent="0.2">
      <c r="L534" t="s">
        <v>374</v>
      </c>
      <c r="M534">
        <v>402</v>
      </c>
      <c r="N534">
        <v>1</v>
      </c>
      <c r="O534">
        <v>4</v>
      </c>
      <c r="P534">
        <v>582</v>
      </c>
      <c r="Q534">
        <v>344</v>
      </c>
      <c r="R534">
        <v>395</v>
      </c>
      <c r="S534">
        <v>-84.34</v>
      </c>
      <c r="U534" t="s">
        <v>374</v>
      </c>
      <c r="V534">
        <v>112</v>
      </c>
      <c r="W534">
        <v>1</v>
      </c>
      <c r="X534">
        <v>4</v>
      </c>
      <c r="Y534">
        <v>582</v>
      </c>
      <c r="Z534">
        <v>344</v>
      </c>
      <c r="AA534">
        <v>5.19</v>
      </c>
      <c r="AB534">
        <v>50</v>
      </c>
      <c r="AC534">
        <v>20245</v>
      </c>
    </row>
    <row r="535" spans="12:29" x14ac:dyDescent="0.2">
      <c r="L535" t="s">
        <v>374</v>
      </c>
      <c r="M535">
        <v>403</v>
      </c>
      <c r="N535">
        <v>1</v>
      </c>
      <c r="O535">
        <v>4</v>
      </c>
      <c r="P535">
        <v>582</v>
      </c>
      <c r="Q535">
        <v>344</v>
      </c>
      <c r="R535">
        <v>395</v>
      </c>
      <c r="S535">
        <v>84.34</v>
      </c>
      <c r="U535" t="s">
        <v>374</v>
      </c>
      <c r="V535">
        <v>113</v>
      </c>
      <c r="W535">
        <v>1</v>
      </c>
      <c r="X535">
        <v>4</v>
      </c>
      <c r="Y535">
        <v>582</v>
      </c>
      <c r="Z535">
        <v>344</v>
      </c>
      <c r="AA535">
        <v>5.19</v>
      </c>
      <c r="AB535">
        <v>50</v>
      </c>
      <c r="AC535">
        <v>6223</v>
      </c>
    </row>
    <row r="536" spans="12:29" x14ac:dyDescent="0.2">
      <c r="L536" t="s">
        <v>374</v>
      </c>
      <c r="M536">
        <v>513</v>
      </c>
      <c r="N536">
        <v>1</v>
      </c>
      <c r="O536">
        <v>4</v>
      </c>
      <c r="P536">
        <v>582</v>
      </c>
      <c r="Q536">
        <v>344</v>
      </c>
      <c r="R536">
        <v>395</v>
      </c>
      <c r="S536">
        <v>-13922.09</v>
      </c>
      <c r="U536" t="s">
        <v>374</v>
      </c>
      <c r="V536">
        <v>138</v>
      </c>
      <c r="W536">
        <v>1</v>
      </c>
      <c r="X536">
        <v>4</v>
      </c>
      <c r="Y536">
        <v>582</v>
      </c>
      <c r="Z536">
        <v>344</v>
      </c>
      <c r="AA536">
        <v>5.05</v>
      </c>
      <c r="AB536">
        <v>50</v>
      </c>
      <c r="AC536">
        <v>5701.17</v>
      </c>
    </row>
    <row r="537" spans="12:29" x14ac:dyDescent="0.2">
      <c r="L537" t="s">
        <v>374</v>
      </c>
      <c r="M537">
        <v>516</v>
      </c>
      <c r="N537">
        <v>1</v>
      </c>
      <c r="O537">
        <v>4</v>
      </c>
      <c r="P537">
        <v>582</v>
      </c>
      <c r="Q537">
        <v>344</v>
      </c>
      <c r="R537">
        <v>395</v>
      </c>
      <c r="S537">
        <v>1203.8399999999999</v>
      </c>
      <c r="U537" t="s">
        <v>374</v>
      </c>
      <c r="V537">
        <v>146</v>
      </c>
      <c r="W537">
        <v>1</v>
      </c>
      <c r="X537">
        <v>4</v>
      </c>
      <c r="Y537">
        <v>582</v>
      </c>
      <c r="Z537">
        <v>344</v>
      </c>
      <c r="AA537">
        <v>5.19</v>
      </c>
      <c r="AB537">
        <v>50</v>
      </c>
      <c r="AC537">
        <v>47858.2</v>
      </c>
    </row>
    <row r="538" spans="12:29" x14ac:dyDescent="0.2">
      <c r="L538" t="s">
        <v>374</v>
      </c>
      <c r="M538">
        <v>625</v>
      </c>
      <c r="N538">
        <v>1</v>
      </c>
      <c r="O538">
        <v>4</v>
      </c>
      <c r="P538">
        <v>582</v>
      </c>
      <c r="Q538">
        <v>599</v>
      </c>
      <c r="R538">
        <v>394</v>
      </c>
      <c r="S538">
        <v>1697.46</v>
      </c>
      <c r="U538" t="s">
        <v>374</v>
      </c>
      <c r="V538">
        <v>162</v>
      </c>
      <c r="W538">
        <v>1</v>
      </c>
      <c r="X538">
        <v>4</v>
      </c>
      <c r="Y538">
        <v>582</v>
      </c>
      <c r="Z538">
        <v>344</v>
      </c>
      <c r="AA538">
        <v>5.19</v>
      </c>
      <c r="AB538">
        <v>50</v>
      </c>
      <c r="AC538">
        <v>7175.72</v>
      </c>
    </row>
    <row r="539" spans="12:29" x14ac:dyDescent="0.2">
      <c r="L539" t="s">
        <v>374</v>
      </c>
      <c r="M539">
        <v>6</v>
      </c>
      <c r="N539">
        <v>3</v>
      </c>
      <c r="O539">
        <v>4</v>
      </c>
      <c r="P539">
        <v>582</v>
      </c>
      <c r="Q539">
        <v>344</v>
      </c>
      <c r="R539">
        <v>394</v>
      </c>
      <c r="S539">
        <v>94.83</v>
      </c>
      <c r="U539" t="s">
        <v>374</v>
      </c>
      <c r="V539">
        <v>177</v>
      </c>
      <c r="W539">
        <v>1</v>
      </c>
      <c r="X539">
        <v>4</v>
      </c>
      <c r="Y539">
        <v>582</v>
      </c>
      <c r="Z539">
        <v>344</v>
      </c>
      <c r="AA539">
        <v>5.19</v>
      </c>
      <c r="AB539">
        <v>50</v>
      </c>
      <c r="AC539">
        <v>2392</v>
      </c>
    </row>
    <row r="540" spans="12:29" x14ac:dyDescent="0.2">
      <c r="L540" t="s">
        <v>374</v>
      </c>
      <c r="M540">
        <v>62</v>
      </c>
      <c r="N540">
        <v>1</v>
      </c>
      <c r="O540">
        <v>4</v>
      </c>
      <c r="P540">
        <v>582</v>
      </c>
      <c r="Q540">
        <v>344</v>
      </c>
      <c r="R540">
        <v>394</v>
      </c>
      <c r="S540">
        <v>30633.56</v>
      </c>
      <c r="U540" t="s">
        <v>374</v>
      </c>
      <c r="V540">
        <v>197</v>
      </c>
      <c r="W540">
        <v>1</v>
      </c>
      <c r="X540">
        <v>4</v>
      </c>
      <c r="Y540">
        <v>582</v>
      </c>
      <c r="Z540">
        <v>344</v>
      </c>
      <c r="AA540">
        <v>5.19</v>
      </c>
      <c r="AB540">
        <v>50</v>
      </c>
      <c r="AC540">
        <v>6769</v>
      </c>
    </row>
    <row r="541" spans="12:29" x14ac:dyDescent="0.2">
      <c r="L541" t="s">
        <v>374</v>
      </c>
      <c r="M541">
        <v>93</v>
      </c>
      <c r="N541">
        <v>1</v>
      </c>
      <c r="O541">
        <v>4</v>
      </c>
      <c r="P541">
        <v>582</v>
      </c>
      <c r="Q541">
        <v>344</v>
      </c>
      <c r="R541">
        <v>394</v>
      </c>
      <c r="S541">
        <v>225</v>
      </c>
      <c r="U541" t="s">
        <v>374</v>
      </c>
      <c r="V541">
        <v>200</v>
      </c>
      <c r="W541">
        <v>1</v>
      </c>
      <c r="X541">
        <v>4</v>
      </c>
      <c r="Y541">
        <v>582</v>
      </c>
      <c r="Z541">
        <v>344</v>
      </c>
      <c r="AA541">
        <v>5.19</v>
      </c>
      <c r="AB541">
        <v>50</v>
      </c>
      <c r="AC541">
        <v>29642.5</v>
      </c>
    </row>
    <row r="542" spans="12:29" x14ac:dyDescent="0.2">
      <c r="L542" t="s">
        <v>374</v>
      </c>
      <c r="M542">
        <v>166</v>
      </c>
      <c r="N542">
        <v>1</v>
      </c>
      <c r="O542">
        <v>4</v>
      </c>
      <c r="P542">
        <v>582</v>
      </c>
      <c r="Q542">
        <v>344</v>
      </c>
      <c r="R542">
        <v>394</v>
      </c>
      <c r="S542">
        <v>800</v>
      </c>
      <c r="U542" t="s">
        <v>374</v>
      </c>
      <c r="V542">
        <v>204</v>
      </c>
      <c r="W542">
        <v>1</v>
      </c>
      <c r="X542">
        <v>4</v>
      </c>
      <c r="Y542">
        <v>582</v>
      </c>
      <c r="Z542">
        <v>344</v>
      </c>
      <c r="AA542">
        <v>5.19</v>
      </c>
      <c r="AB542">
        <v>50</v>
      </c>
      <c r="AC542">
        <v>85757.43</v>
      </c>
    </row>
    <row r="543" spans="12:29" x14ac:dyDescent="0.2">
      <c r="L543" t="s">
        <v>374</v>
      </c>
      <c r="M543">
        <v>196</v>
      </c>
      <c r="N543">
        <v>1</v>
      </c>
      <c r="O543">
        <v>4</v>
      </c>
      <c r="P543">
        <v>582</v>
      </c>
      <c r="Q543">
        <v>344</v>
      </c>
      <c r="R543">
        <v>394</v>
      </c>
      <c r="S543">
        <v>341</v>
      </c>
      <c r="U543" t="s">
        <v>374</v>
      </c>
      <c r="V543">
        <v>208</v>
      </c>
      <c r="W543">
        <v>1</v>
      </c>
      <c r="X543">
        <v>4</v>
      </c>
      <c r="Y543">
        <v>582</v>
      </c>
      <c r="Z543">
        <v>344</v>
      </c>
      <c r="AA543">
        <v>5.19</v>
      </c>
      <c r="AB543">
        <v>50</v>
      </c>
      <c r="AC543">
        <v>2425</v>
      </c>
    </row>
    <row r="544" spans="12:29" x14ac:dyDescent="0.2">
      <c r="L544" t="s">
        <v>374</v>
      </c>
      <c r="M544">
        <v>253</v>
      </c>
      <c r="N544">
        <v>1</v>
      </c>
      <c r="O544">
        <v>4</v>
      </c>
      <c r="P544">
        <v>582</v>
      </c>
      <c r="Q544">
        <v>344</v>
      </c>
      <c r="R544">
        <v>394</v>
      </c>
      <c r="S544">
        <v>14550</v>
      </c>
      <c r="U544" t="s">
        <v>374</v>
      </c>
      <c r="V544">
        <v>238</v>
      </c>
      <c r="W544">
        <v>1</v>
      </c>
      <c r="X544">
        <v>4</v>
      </c>
      <c r="Y544">
        <v>582</v>
      </c>
      <c r="Z544">
        <v>344</v>
      </c>
      <c r="AA544">
        <v>5.19</v>
      </c>
      <c r="AB544">
        <v>50</v>
      </c>
      <c r="AC544">
        <v>21410</v>
      </c>
    </row>
    <row r="545" spans="12:29" x14ac:dyDescent="0.2">
      <c r="L545" t="s">
        <v>374</v>
      </c>
      <c r="M545">
        <v>277</v>
      </c>
      <c r="N545">
        <v>1</v>
      </c>
      <c r="O545">
        <v>4</v>
      </c>
      <c r="P545">
        <v>582</v>
      </c>
      <c r="Q545">
        <v>344</v>
      </c>
      <c r="R545">
        <v>394</v>
      </c>
      <c r="S545">
        <v>5029</v>
      </c>
      <c r="U545" t="s">
        <v>374</v>
      </c>
      <c r="V545">
        <v>253</v>
      </c>
      <c r="W545">
        <v>1</v>
      </c>
      <c r="X545">
        <v>4</v>
      </c>
      <c r="Y545">
        <v>582</v>
      </c>
      <c r="Z545">
        <v>344</v>
      </c>
      <c r="AA545">
        <v>5.19</v>
      </c>
      <c r="AB545">
        <v>50</v>
      </c>
      <c r="AC545">
        <v>18210</v>
      </c>
    </row>
    <row r="546" spans="12:29" x14ac:dyDescent="0.2">
      <c r="L546" t="s">
        <v>374</v>
      </c>
      <c r="M546">
        <v>280</v>
      </c>
      <c r="N546">
        <v>1</v>
      </c>
      <c r="O546">
        <v>4</v>
      </c>
      <c r="P546">
        <v>582</v>
      </c>
      <c r="Q546">
        <v>344</v>
      </c>
      <c r="R546">
        <v>394</v>
      </c>
      <c r="S546">
        <v>68290.05</v>
      </c>
      <c r="U546" t="s">
        <v>374</v>
      </c>
      <c r="V546">
        <v>271</v>
      </c>
      <c r="W546">
        <v>1</v>
      </c>
      <c r="X546">
        <v>4</v>
      </c>
      <c r="Y546">
        <v>582</v>
      </c>
      <c r="Z546">
        <v>344</v>
      </c>
      <c r="AA546">
        <v>5.19</v>
      </c>
      <c r="AB546">
        <v>50</v>
      </c>
      <c r="AC546">
        <v>219875.5</v>
      </c>
    </row>
    <row r="547" spans="12:29" x14ac:dyDescent="0.2">
      <c r="L547" t="s">
        <v>374</v>
      </c>
      <c r="M547">
        <v>284</v>
      </c>
      <c r="N547">
        <v>1</v>
      </c>
      <c r="O547">
        <v>4</v>
      </c>
      <c r="P547">
        <v>582</v>
      </c>
      <c r="Q547">
        <v>344</v>
      </c>
      <c r="R547">
        <v>394</v>
      </c>
      <c r="S547">
        <v>16322.28</v>
      </c>
      <c r="U547" t="s">
        <v>374</v>
      </c>
      <c r="V547">
        <v>273</v>
      </c>
      <c r="W547">
        <v>1</v>
      </c>
      <c r="X547">
        <v>4</v>
      </c>
      <c r="Y547">
        <v>582</v>
      </c>
      <c r="Z547">
        <v>344</v>
      </c>
      <c r="AA547">
        <v>5.19</v>
      </c>
      <c r="AB547">
        <v>50</v>
      </c>
      <c r="AC547">
        <v>2017.61</v>
      </c>
    </row>
    <row r="548" spans="12:29" x14ac:dyDescent="0.2">
      <c r="L548" t="s">
        <v>374</v>
      </c>
      <c r="M548">
        <v>317</v>
      </c>
      <c r="N548">
        <v>1</v>
      </c>
      <c r="O548">
        <v>4</v>
      </c>
      <c r="P548">
        <v>582</v>
      </c>
      <c r="Q548">
        <v>344</v>
      </c>
      <c r="R548">
        <v>394</v>
      </c>
      <c r="S548">
        <v>494.75</v>
      </c>
      <c r="U548" t="s">
        <v>374</v>
      </c>
      <c r="V548">
        <v>277</v>
      </c>
      <c r="W548">
        <v>1</v>
      </c>
      <c r="X548">
        <v>4</v>
      </c>
      <c r="Y548">
        <v>582</v>
      </c>
      <c r="Z548">
        <v>344</v>
      </c>
      <c r="AA548">
        <v>5.19</v>
      </c>
      <c r="AB548">
        <v>50</v>
      </c>
      <c r="AC548">
        <v>304548.08</v>
      </c>
    </row>
    <row r="549" spans="12:29" x14ac:dyDescent="0.2">
      <c r="L549" t="s">
        <v>374</v>
      </c>
      <c r="M549">
        <v>319</v>
      </c>
      <c r="N549">
        <v>1</v>
      </c>
      <c r="O549">
        <v>4</v>
      </c>
      <c r="P549">
        <v>582</v>
      </c>
      <c r="Q549">
        <v>344</v>
      </c>
      <c r="R549">
        <v>394</v>
      </c>
      <c r="S549">
        <v>9287.35</v>
      </c>
      <c r="U549" t="s">
        <v>374</v>
      </c>
      <c r="V549">
        <v>286</v>
      </c>
      <c r="W549">
        <v>1</v>
      </c>
      <c r="X549">
        <v>4</v>
      </c>
      <c r="Y549">
        <v>582</v>
      </c>
      <c r="Z549">
        <v>344</v>
      </c>
      <c r="AA549">
        <v>5.19</v>
      </c>
      <c r="AB549">
        <v>50</v>
      </c>
      <c r="AC549">
        <v>23095.7</v>
      </c>
    </row>
    <row r="550" spans="12:29" x14ac:dyDescent="0.2">
      <c r="L550" t="s">
        <v>374</v>
      </c>
      <c r="M550">
        <v>363</v>
      </c>
      <c r="N550">
        <v>1</v>
      </c>
      <c r="O550">
        <v>4</v>
      </c>
      <c r="P550">
        <v>582</v>
      </c>
      <c r="Q550">
        <v>344</v>
      </c>
      <c r="R550">
        <v>394</v>
      </c>
      <c r="S550">
        <v>776.8</v>
      </c>
      <c r="U550" t="s">
        <v>374</v>
      </c>
      <c r="V550">
        <v>294</v>
      </c>
      <c r="W550">
        <v>1</v>
      </c>
      <c r="X550">
        <v>4</v>
      </c>
      <c r="Y550">
        <v>582</v>
      </c>
      <c r="Z550">
        <v>344</v>
      </c>
      <c r="AA550">
        <v>5.19</v>
      </c>
      <c r="AB550">
        <v>50</v>
      </c>
      <c r="AC550">
        <v>366</v>
      </c>
    </row>
    <row r="551" spans="12:29" x14ac:dyDescent="0.2">
      <c r="L551" t="s">
        <v>374</v>
      </c>
      <c r="M551">
        <v>477</v>
      </c>
      <c r="N551">
        <v>1</v>
      </c>
      <c r="O551">
        <v>4</v>
      </c>
      <c r="P551">
        <v>582</v>
      </c>
      <c r="Q551">
        <v>344</v>
      </c>
      <c r="R551">
        <v>394</v>
      </c>
      <c r="S551">
        <v>2000</v>
      </c>
      <c r="U551" t="s">
        <v>374</v>
      </c>
      <c r="V551">
        <v>297</v>
      </c>
      <c r="W551">
        <v>1</v>
      </c>
      <c r="X551">
        <v>4</v>
      </c>
      <c r="Y551">
        <v>582</v>
      </c>
      <c r="Z551">
        <v>344</v>
      </c>
      <c r="AA551">
        <v>5.19</v>
      </c>
      <c r="AB551">
        <v>50</v>
      </c>
      <c r="AC551">
        <v>134</v>
      </c>
    </row>
    <row r="552" spans="12:29" x14ac:dyDescent="0.2">
      <c r="L552" t="s">
        <v>374</v>
      </c>
      <c r="M552">
        <v>487</v>
      </c>
      <c r="N552">
        <v>1</v>
      </c>
      <c r="O552">
        <v>4</v>
      </c>
      <c r="P552">
        <v>582</v>
      </c>
      <c r="Q552">
        <v>344</v>
      </c>
      <c r="R552">
        <v>394</v>
      </c>
      <c r="S552">
        <v>4408.6400000000003</v>
      </c>
      <c r="U552" t="s">
        <v>374</v>
      </c>
      <c r="V552">
        <v>299</v>
      </c>
      <c r="W552">
        <v>1</v>
      </c>
      <c r="X552">
        <v>4</v>
      </c>
      <c r="Y552">
        <v>582</v>
      </c>
      <c r="Z552">
        <v>344</v>
      </c>
      <c r="AA552">
        <v>5.19</v>
      </c>
      <c r="AB552">
        <v>50</v>
      </c>
      <c r="AC552">
        <v>37905.57</v>
      </c>
    </row>
    <row r="553" spans="12:29" x14ac:dyDescent="0.2">
      <c r="L553" t="s">
        <v>374</v>
      </c>
      <c r="M553">
        <v>623</v>
      </c>
      <c r="N553">
        <v>1</v>
      </c>
      <c r="O553">
        <v>4</v>
      </c>
      <c r="P553">
        <v>582</v>
      </c>
      <c r="Q553">
        <v>344</v>
      </c>
      <c r="R553">
        <v>394</v>
      </c>
      <c r="S553">
        <v>360</v>
      </c>
      <c r="U553" t="s">
        <v>374</v>
      </c>
      <c r="V553">
        <v>300</v>
      </c>
      <c r="W553">
        <v>1</v>
      </c>
      <c r="X553">
        <v>4</v>
      </c>
      <c r="Y553">
        <v>582</v>
      </c>
      <c r="Z553">
        <v>344</v>
      </c>
      <c r="AA553">
        <v>5.19</v>
      </c>
      <c r="AB553">
        <v>50</v>
      </c>
      <c r="AC553">
        <v>13865.5</v>
      </c>
    </row>
    <row r="554" spans="12:29" x14ac:dyDescent="0.2">
      <c r="L554" t="s">
        <v>374</v>
      </c>
      <c r="M554">
        <v>625</v>
      </c>
      <c r="N554">
        <v>1</v>
      </c>
      <c r="O554">
        <v>4</v>
      </c>
      <c r="P554">
        <v>582</v>
      </c>
      <c r="Q554">
        <v>344</v>
      </c>
      <c r="R554">
        <v>394</v>
      </c>
      <c r="S554">
        <v>10000</v>
      </c>
      <c r="U554" t="s">
        <v>374</v>
      </c>
      <c r="V554">
        <v>308</v>
      </c>
      <c r="W554">
        <v>1</v>
      </c>
      <c r="X554">
        <v>4</v>
      </c>
      <c r="Y554">
        <v>582</v>
      </c>
      <c r="Z554">
        <v>344</v>
      </c>
      <c r="AA554">
        <v>5.19</v>
      </c>
      <c r="AB554">
        <v>50</v>
      </c>
      <c r="AC554">
        <v>2445</v>
      </c>
    </row>
    <row r="555" spans="12:29" x14ac:dyDescent="0.2">
      <c r="L555" t="s">
        <v>374</v>
      </c>
      <c r="M555">
        <v>761</v>
      </c>
      <c r="N555">
        <v>1</v>
      </c>
      <c r="O555">
        <v>4</v>
      </c>
      <c r="P555">
        <v>582</v>
      </c>
      <c r="Q555">
        <v>344</v>
      </c>
      <c r="R555">
        <v>394</v>
      </c>
      <c r="S555">
        <v>175.5</v>
      </c>
      <c r="U555" t="s">
        <v>374</v>
      </c>
      <c r="V555">
        <v>314</v>
      </c>
      <c r="W555">
        <v>1</v>
      </c>
      <c r="X555">
        <v>4</v>
      </c>
      <c r="Y555">
        <v>582</v>
      </c>
      <c r="Z555">
        <v>344</v>
      </c>
      <c r="AA555">
        <v>5.19</v>
      </c>
      <c r="AB555">
        <v>50</v>
      </c>
      <c r="AC555">
        <v>13457.5</v>
      </c>
    </row>
    <row r="556" spans="12:29" x14ac:dyDescent="0.2">
      <c r="L556" t="s">
        <v>374</v>
      </c>
      <c r="M556">
        <v>818</v>
      </c>
      <c r="N556">
        <v>1</v>
      </c>
      <c r="O556">
        <v>4</v>
      </c>
      <c r="P556">
        <v>582</v>
      </c>
      <c r="Q556">
        <v>344</v>
      </c>
      <c r="R556">
        <v>394</v>
      </c>
      <c r="S556">
        <v>5732.5</v>
      </c>
      <c r="U556" t="s">
        <v>374</v>
      </c>
      <c r="V556">
        <v>316</v>
      </c>
      <c r="W556">
        <v>1</v>
      </c>
      <c r="X556">
        <v>4</v>
      </c>
      <c r="Y556">
        <v>582</v>
      </c>
      <c r="Z556">
        <v>344</v>
      </c>
      <c r="AA556">
        <v>5.19</v>
      </c>
      <c r="AB556">
        <v>50</v>
      </c>
      <c r="AC556">
        <v>2657.77</v>
      </c>
    </row>
    <row r="557" spans="12:29" x14ac:dyDescent="0.2">
      <c r="L557" t="s">
        <v>374</v>
      </c>
      <c r="M557">
        <v>820</v>
      </c>
      <c r="N557">
        <v>1</v>
      </c>
      <c r="O557">
        <v>4</v>
      </c>
      <c r="P557">
        <v>582</v>
      </c>
      <c r="Q557">
        <v>344</v>
      </c>
      <c r="R557">
        <v>394</v>
      </c>
      <c r="S557">
        <v>8095.2</v>
      </c>
      <c r="U557" t="s">
        <v>374</v>
      </c>
      <c r="V557">
        <v>318</v>
      </c>
      <c r="W557">
        <v>1</v>
      </c>
      <c r="X557">
        <v>4</v>
      </c>
      <c r="Y557">
        <v>582</v>
      </c>
      <c r="Z557">
        <v>344</v>
      </c>
      <c r="AA557">
        <v>5.19</v>
      </c>
      <c r="AB557">
        <v>50</v>
      </c>
      <c r="AC557">
        <v>4354.28</v>
      </c>
    </row>
    <row r="558" spans="12:29" x14ac:dyDescent="0.2">
      <c r="L558" t="s">
        <v>374</v>
      </c>
      <c r="M558">
        <v>834</v>
      </c>
      <c r="N558">
        <v>1</v>
      </c>
      <c r="O558">
        <v>4</v>
      </c>
      <c r="P558">
        <v>582</v>
      </c>
      <c r="Q558">
        <v>344</v>
      </c>
      <c r="R558">
        <v>394</v>
      </c>
      <c r="S558">
        <v>369</v>
      </c>
      <c r="U558" t="s">
        <v>374</v>
      </c>
      <c r="V558">
        <v>347</v>
      </c>
      <c r="W558">
        <v>1</v>
      </c>
      <c r="X558">
        <v>4</v>
      </c>
      <c r="Y558">
        <v>582</v>
      </c>
      <c r="Z558">
        <v>344</v>
      </c>
      <c r="AA558">
        <v>5.19</v>
      </c>
      <c r="AB558">
        <v>50</v>
      </c>
      <c r="AC558">
        <v>25095.41</v>
      </c>
    </row>
    <row r="559" spans="12:29" x14ac:dyDescent="0.2">
      <c r="L559" t="s">
        <v>374</v>
      </c>
      <c r="M559">
        <v>858</v>
      </c>
      <c r="N559">
        <v>1</v>
      </c>
      <c r="O559">
        <v>4</v>
      </c>
      <c r="P559">
        <v>582</v>
      </c>
      <c r="Q559">
        <v>344</v>
      </c>
      <c r="R559">
        <v>394</v>
      </c>
      <c r="S559">
        <v>14809</v>
      </c>
      <c r="U559" t="s">
        <v>374</v>
      </c>
      <c r="V559">
        <v>402</v>
      </c>
      <c r="W559">
        <v>1</v>
      </c>
      <c r="X559">
        <v>4</v>
      </c>
      <c r="Y559">
        <v>582</v>
      </c>
      <c r="Z559">
        <v>344</v>
      </c>
      <c r="AA559">
        <v>5.19</v>
      </c>
      <c r="AB559">
        <v>50</v>
      </c>
      <c r="AC559">
        <v>9246.58</v>
      </c>
    </row>
    <row r="560" spans="12:29" x14ac:dyDescent="0.2">
      <c r="L560" t="s">
        <v>374</v>
      </c>
      <c r="M560">
        <v>861</v>
      </c>
      <c r="N560">
        <v>1</v>
      </c>
      <c r="O560">
        <v>4</v>
      </c>
      <c r="P560">
        <v>582</v>
      </c>
      <c r="Q560">
        <v>344</v>
      </c>
      <c r="R560">
        <v>394</v>
      </c>
      <c r="S560">
        <v>664</v>
      </c>
      <c r="U560" t="s">
        <v>374</v>
      </c>
      <c r="V560">
        <v>414</v>
      </c>
      <c r="W560">
        <v>1</v>
      </c>
      <c r="X560">
        <v>4</v>
      </c>
      <c r="Y560">
        <v>582</v>
      </c>
      <c r="Z560">
        <v>344</v>
      </c>
      <c r="AA560">
        <v>5.19</v>
      </c>
      <c r="AB560">
        <v>50</v>
      </c>
      <c r="AC560">
        <v>9165</v>
      </c>
    </row>
    <row r="561" spans="12:29" x14ac:dyDescent="0.2">
      <c r="L561" t="s">
        <v>374</v>
      </c>
      <c r="M561">
        <v>914</v>
      </c>
      <c r="N561">
        <v>1</v>
      </c>
      <c r="O561">
        <v>4</v>
      </c>
      <c r="P561">
        <v>582</v>
      </c>
      <c r="Q561">
        <v>344</v>
      </c>
      <c r="R561">
        <v>394</v>
      </c>
      <c r="S561">
        <v>16948.48</v>
      </c>
      <c r="U561" t="s">
        <v>374</v>
      </c>
      <c r="V561">
        <v>415</v>
      </c>
      <c r="W561">
        <v>1</v>
      </c>
      <c r="X561">
        <v>4</v>
      </c>
      <c r="Y561">
        <v>582</v>
      </c>
      <c r="Z561">
        <v>344</v>
      </c>
      <c r="AA561">
        <v>5.19</v>
      </c>
      <c r="AB561">
        <v>50</v>
      </c>
      <c r="AC561">
        <v>7602</v>
      </c>
    </row>
    <row r="562" spans="12:29" x14ac:dyDescent="0.2">
      <c r="L562" t="s">
        <v>374</v>
      </c>
      <c r="M562">
        <v>2149</v>
      </c>
      <c r="N562">
        <v>1</v>
      </c>
      <c r="O562">
        <v>4</v>
      </c>
      <c r="P562">
        <v>582</v>
      </c>
      <c r="Q562">
        <v>344</v>
      </c>
      <c r="R562">
        <v>394</v>
      </c>
      <c r="S562">
        <v>4509</v>
      </c>
      <c r="U562" t="s">
        <v>374</v>
      </c>
      <c r="V562">
        <v>423</v>
      </c>
      <c r="W562">
        <v>1</v>
      </c>
      <c r="X562">
        <v>4</v>
      </c>
      <c r="Y562">
        <v>582</v>
      </c>
      <c r="Z562">
        <v>344</v>
      </c>
      <c r="AA562">
        <v>5.19</v>
      </c>
      <c r="AB562">
        <v>50</v>
      </c>
      <c r="AC562">
        <v>5895.5</v>
      </c>
    </row>
    <row r="563" spans="12:29" x14ac:dyDescent="0.2">
      <c r="L563" t="s">
        <v>374</v>
      </c>
      <c r="M563">
        <v>2154</v>
      </c>
      <c r="N563">
        <v>1</v>
      </c>
      <c r="O563">
        <v>4</v>
      </c>
      <c r="P563">
        <v>582</v>
      </c>
      <c r="Q563">
        <v>344</v>
      </c>
      <c r="R563">
        <v>394</v>
      </c>
      <c r="S563">
        <v>367.5</v>
      </c>
      <c r="U563" t="s">
        <v>374</v>
      </c>
      <c r="V563">
        <v>441</v>
      </c>
      <c r="W563">
        <v>1</v>
      </c>
      <c r="X563">
        <v>4</v>
      </c>
      <c r="Y563">
        <v>582</v>
      </c>
      <c r="Z563">
        <v>344</v>
      </c>
      <c r="AA563">
        <v>5.19</v>
      </c>
      <c r="AB563">
        <v>50</v>
      </c>
      <c r="AC563">
        <v>2975</v>
      </c>
    </row>
    <row r="564" spans="12:29" x14ac:dyDescent="0.2">
      <c r="L564" t="s">
        <v>374</v>
      </c>
      <c r="M564">
        <v>2527</v>
      </c>
      <c r="N564">
        <v>1</v>
      </c>
      <c r="O564">
        <v>4</v>
      </c>
      <c r="P564">
        <v>582</v>
      </c>
      <c r="Q564">
        <v>344</v>
      </c>
      <c r="R564">
        <v>394</v>
      </c>
      <c r="S564">
        <v>4333</v>
      </c>
      <c r="U564" t="s">
        <v>374</v>
      </c>
      <c r="V564">
        <v>458</v>
      </c>
      <c r="W564">
        <v>1</v>
      </c>
      <c r="X564">
        <v>4</v>
      </c>
      <c r="Y564">
        <v>582</v>
      </c>
      <c r="Z564">
        <v>344</v>
      </c>
      <c r="AA564">
        <v>5.19</v>
      </c>
      <c r="AB564">
        <v>50</v>
      </c>
      <c r="AC564">
        <v>180</v>
      </c>
    </row>
    <row r="565" spans="12:29" x14ac:dyDescent="0.2">
      <c r="L565" t="s">
        <v>374</v>
      </c>
      <c r="M565">
        <v>2853</v>
      </c>
      <c r="N565">
        <v>1</v>
      </c>
      <c r="O565">
        <v>4</v>
      </c>
      <c r="P565">
        <v>582</v>
      </c>
      <c r="Q565">
        <v>344</v>
      </c>
      <c r="R565">
        <v>394</v>
      </c>
      <c r="S565">
        <v>8421.4</v>
      </c>
      <c r="U565" t="s">
        <v>374</v>
      </c>
      <c r="V565">
        <v>466</v>
      </c>
      <c r="W565">
        <v>1</v>
      </c>
      <c r="X565">
        <v>4</v>
      </c>
      <c r="Y565">
        <v>582</v>
      </c>
      <c r="Z565">
        <v>344</v>
      </c>
      <c r="AA565">
        <v>5.19</v>
      </c>
      <c r="AB565">
        <v>50</v>
      </c>
      <c r="AC565">
        <v>72585.5</v>
      </c>
    </row>
    <row r="566" spans="12:29" x14ac:dyDescent="0.2">
      <c r="L566" t="s">
        <v>374</v>
      </c>
      <c r="M566">
        <v>1</v>
      </c>
      <c r="N566">
        <v>3</v>
      </c>
      <c r="O566">
        <v>4</v>
      </c>
      <c r="P566">
        <v>582</v>
      </c>
      <c r="Q566">
        <v>0</v>
      </c>
      <c r="R566">
        <v>394</v>
      </c>
      <c r="S566">
        <v>631.72</v>
      </c>
      <c r="U566" t="s">
        <v>374</v>
      </c>
      <c r="V566">
        <v>477</v>
      </c>
      <c r="W566">
        <v>1</v>
      </c>
      <c r="X566">
        <v>4</v>
      </c>
      <c r="Y566">
        <v>582</v>
      </c>
      <c r="Z566">
        <v>344</v>
      </c>
      <c r="AA566">
        <v>5.19</v>
      </c>
      <c r="AB566">
        <v>50</v>
      </c>
      <c r="AC566">
        <v>40120</v>
      </c>
    </row>
    <row r="567" spans="12:29" x14ac:dyDescent="0.2">
      <c r="L567" t="s">
        <v>374</v>
      </c>
      <c r="M567">
        <v>6</v>
      </c>
      <c r="N567">
        <v>3</v>
      </c>
      <c r="O567">
        <v>4</v>
      </c>
      <c r="P567">
        <v>582</v>
      </c>
      <c r="Q567">
        <v>344</v>
      </c>
      <c r="R567">
        <v>391</v>
      </c>
      <c r="S567">
        <v>14675.15</v>
      </c>
      <c r="U567" t="s">
        <v>374</v>
      </c>
      <c r="V567">
        <v>482</v>
      </c>
      <c r="W567">
        <v>1</v>
      </c>
      <c r="X567">
        <v>4</v>
      </c>
      <c r="Y567">
        <v>582</v>
      </c>
      <c r="Z567">
        <v>344</v>
      </c>
      <c r="AA567">
        <v>5.19</v>
      </c>
      <c r="AB567">
        <v>50</v>
      </c>
      <c r="AC567">
        <v>15900</v>
      </c>
    </row>
    <row r="568" spans="12:29" x14ac:dyDescent="0.2">
      <c r="L568" t="s">
        <v>374</v>
      </c>
      <c r="M568">
        <v>199</v>
      </c>
      <c r="N568">
        <v>1</v>
      </c>
      <c r="O568">
        <v>4</v>
      </c>
      <c r="P568">
        <v>582</v>
      </c>
      <c r="Q568">
        <v>344</v>
      </c>
      <c r="R568">
        <v>391</v>
      </c>
      <c r="S568">
        <v>42421.440000000002</v>
      </c>
      <c r="U568" t="s">
        <v>374</v>
      </c>
      <c r="V568">
        <v>495</v>
      </c>
      <c r="W568">
        <v>1</v>
      </c>
      <c r="X568">
        <v>4</v>
      </c>
      <c r="Y568">
        <v>582</v>
      </c>
      <c r="Z568">
        <v>344</v>
      </c>
      <c r="AA568">
        <v>5.19</v>
      </c>
      <c r="AB568">
        <v>50</v>
      </c>
      <c r="AC568">
        <v>19240</v>
      </c>
    </row>
    <row r="569" spans="12:29" x14ac:dyDescent="0.2">
      <c r="L569" t="s">
        <v>374</v>
      </c>
      <c r="M569">
        <v>208</v>
      </c>
      <c r="N569">
        <v>1</v>
      </c>
      <c r="O569">
        <v>4</v>
      </c>
      <c r="P569">
        <v>582</v>
      </c>
      <c r="Q569">
        <v>344</v>
      </c>
      <c r="R569">
        <v>391</v>
      </c>
      <c r="S569">
        <v>15019.19</v>
      </c>
      <c r="U569" t="s">
        <v>374</v>
      </c>
      <c r="V569">
        <v>500</v>
      </c>
      <c r="W569">
        <v>1</v>
      </c>
      <c r="X569">
        <v>4</v>
      </c>
      <c r="Y569">
        <v>582</v>
      </c>
      <c r="Z569">
        <v>344</v>
      </c>
      <c r="AA569">
        <v>5.19</v>
      </c>
      <c r="AB569">
        <v>50</v>
      </c>
      <c r="AC569">
        <v>19795</v>
      </c>
    </row>
    <row r="570" spans="12:29" x14ac:dyDescent="0.2">
      <c r="L570" t="s">
        <v>374</v>
      </c>
      <c r="M570">
        <v>261</v>
      </c>
      <c r="N570">
        <v>1</v>
      </c>
      <c r="O570">
        <v>4</v>
      </c>
      <c r="P570">
        <v>582</v>
      </c>
      <c r="Q570">
        <v>344</v>
      </c>
      <c r="R570">
        <v>391</v>
      </c>
      <c r="S570">
        <v>6580.04</v>
      </c>
      <c r="U570" t="s">
        <v>374</v>
      </c>
      <c r="V570">
        <v>508</v>
      </c>
      <c r="W570">
        <v>1</v>
      </c>
      <c r="X570">
        <v>4</v>
      </c>
      <c r="Y570">
        <v>582</v>
      </c>
      <c r="Z570">
        <v>344</v>
      </c>
      <c r="AA570">
        <v>5.19</v>
      </c>
      <c r="AB570">
        <v>50</v>
      </c>
      <c r="AC570">
        <v>34449.5</v>
      </c>
    </row>
    <row r="571" spans="12:29" x14ac:dyDescent="0.2">
      <c r="L571" t="s">
        <v>374</v>
      </c>
      <c r="M571">
        <v>280</v>
      </c>
      <c r="N571">
        <v>1</v>
      </c>
      <c r="O571">
        <v>4</v>
      </c>
      <c r="P571">
        <v>582</v>
      </c>
      <c r="Q571">
        <v>344</v>
      </c>
      <c r="R571">
        <v>391</v>
      </c>
      <c r="S571">
        <v>30000</v>
      </c>
      <c r="U571" t="s">
        <v>374</v>
      </c>
      <c r="V571">
        <v>513</v>
      </c>
      <c r="W571">
        <v>1</v>
      </c>
      <c r="X571">
        <v>4</v>
      </c>
      <c r="Y571">
        <v>582</v>
      </c>
      <c r="Z571">
        <v>344</v>
      </c>
      <c r="AA571">
        <v>5.19</v>
      </c>
      <c r="AB571">
        <v>50</v>
      </c>
      <c r="AC571">
        <v>7440</v>
      </c>
    </row>
    <row r="572" spans="12:29" x14ac:dyDescent="0.2">
      <c r="L572" t="s">
        <v>374</v>
      </c>
      <c r="M572">
        <v>316</v>
      </c>
      <c r="N572">
        <v>1</v>
      </c>
      <c r="O572">
        <v>4</v>
      </c>
      <c r="P572">
        <v>582</v>
      </c>
      <c r="Q572">
        <v>344</v>
      </c>
      <c r="R572">
        <v>391</v>
      </c>
      <c r="S572">
        <v>19368.439999999999</v>
      </c>
      <c r="U572" t="s">
        <v>374</v>
      </c>
      <c r="V572">
        <v>533</v>
      </c>
      <c r="W572">
        <v>1</v>
      </c>
      <c r="X572">
        <v>4</v>
      </c>
      <c r="Y572">
        <v>582</v>
      </c>
      <c r="Z572">
        <v>344</v>
      </c>
      <c r="AA572">
        <v>5.19</v>
      </c>
      <c r="AB572">
        <v>50</v>
      </c>
      <c r="AC572">
        <v>23130</v>
      </c>
    </row>
    <row r="573" spans="12:29" x14ac:dyDescent="0.2">
      <c r="L573" t="s">
        <v>374</v>
      </c>
      <c r="M573">
        <v>318</v>
      </c>
      <c r="N573">
        <v>1</v>
      </c>
      <c r="O573">
        <v>4</v>
      </c>
      <c r="P573">
        <v>582</v>
      </c>
      <c r="Q573">
        <v>344</v>
      </c>
      <c r="R573">
        <v>391</v>
      </c>
      <c r="S573">
        <v>7357</v>
      </c>
      <c r="U573" t="s">
        <v>374</v>
      </c>
      <c r="V573">
        <v>534</v>
      </c>
      <c r="W573">
        <v>1</v>
      </c>
      <c r="X573">
        <v>4</v>
      </c>
      <c r="Y573">
        <v>582</v>
      </c>
      <c r="Z573">
        <v>344</v>
      </c>
      <c r="AA573">
        <v>5.19</v>
      </c>
      <c r="AB573">
        <v>50</v>
      </c>
      <c r="AC573">
        <v>19700</v>
      </c>
    </row>
    <row r="574" spans="12:29" x14ac:dyDescent="0.2">
      <c r="L574" t="s">
        <v>374</v>
      </c>
      <c r="M574">
        <v>371</v>
      </c>
      <c r="N574">
        <v>1</v>
      </c>
      <c r="O574">
        <v>4</v>
      </c>
      <c r="P574">
        <v>582</v>
      </c>
      <c r="Q574">
        <v>344</v>
      </c>
      <c r="R574">
        <v>391</v>
      </c>
      <c r="S574">
        <v>580.6</v>
      </c>
      <c r="U574" t="s">
        <v>374</v>
      </c>
      <c r="V574">
        <v>544</v>
      </c>
      <c r="W574">
        <v>1</v>
      </c>
      <c r="X574">
        <v>4</v>
      </c>
      <c r="Y574">
        <v>582</v>
      </c>
      <c r="Z574">
        <v>344</v>
      </c>
      <c r="AA574">
        <v>5.19</v>
      </c>
      <c r="AB574">
        <v>50</v>
      </c>
      <c r="AC574">
        <v>8444.64</v>
      </c>
    </row>
    <row r="575" spans="12:29" x14ac:dyDescent="0.2">
      <c r="L575" t="s">
        <v>374</v>
      </c>
      <c r="M575">
        <v>505</v>
      </c>
      <c r="N575">
        <v>1</v>
      </c>
      <c r="O575">
        <v>4</v>
      </c>
      <c r="P575">
        <v>582</v>
      </c>
      <c r="Q575">
        <v>344</v>
      </c>
      <c r="R575">
        <v>391</v>
      </c>
      <c r="S575">
        <v>4329.34</v>
      </c>
      <c r="U575" t="s">
        <v>374</v>
      </c>
      <c r="V575">
        <v>553</v>
      </c>
      <c r="W575">
        <v>1</v>
      </c>
      <c r="X575">
        <v>4</v>
      </c>
      <c r="Y575">
        <v>582</v>
      </c>
      <c r="Z575">
        <v>344</v>
      </c>
      <c r="AA575">
        <v>5.19</v>
      </c>
      <c r="AB575">
        <v>50</v>
      </c>
      <c r="AC575">
        <v>8404.84</v>
      </c>
    </row>
    <row r="576" spans="12:29" x14ac:dyDescent="0.2">
      <c r="L576" t="s">
        <v>374</v>
      </c>
      <c r="M576">
        <v>508</v>
      </c>
      <c r="N576">
        <v>1</v>
      </c>
      <c r="O576">
        <v>4</v>
      </c>
      <c r="P576">
        <v>582</v>
      </c>
      <c r="Q576">
        <v>344</v>
      </c>
      <c r="R576">
        <v>391</v>
      </c>
      <c r="S576">
        <v>518.08000000000004</v>
      </c>
      <c r="U576" t="s">
        <v>374</v>
      </c>
      <c r="V576">
        <v>564</v>
      </c>
      <c r="W576">
        <v>1</v>
      </c>
      <c r="X576">
        <v>4</v>
      </c>
      <c r="Y576">
        <v>582</v>
      </c>
      <c r="Z576">
        <v>344</v>
      </c>
      <c r="AA576">
        <v>5.19</v>
      </c>
      <c r="AB576">
        <v>50</v>
      </c>
      <c r="AC576">
        <v>60608</v>
      </c>
    </row>
    <row r="577" spans="12:29" x14ac:dyDescent="0.2">
      <c r="L577" t="s">
        <v>374</v>
      </c>
      <c r="M577">
        <v>561</v>
      </c>
      <c r="N577">
        <v>1</v>
      </c>
      <c r="O577">
        <v>4</v>
      </c>
      <c r="P577">
        <v>582</v>
      </c>
      <c r="Q577">
        <v>344</v>
      </c>
      <c r="R577">
        <v>391</v>
      </c>
      <c r="S577">
        <v>2223.6</v>
      </c>
      <c r="U577" t="s">
        <v>374</v>
      </c>
      <c r="V577">
        <v>593</v>
      </c>
      <c r="W577">
        <v>1</v>
      </c>
      <c r="X577">
        <v>4</v>
      </c>
      <c r="Y577">
        <v>582</v>
      </c>
      <c r="Z577">
        <v>344</v>
      </c>
      <c r="AA577">
        <v>5.05</v>
      </c>
      <c r="AB577">
        <v>50</v>
      </c>
      <c r="AC577">
        <v>11260.5</v>
      </c>
    </row>
    <row r="578" spans="12:29" x14ac:dyDescent="0.2">
      <c r="L578" t="s">
        <v>374</v>
      </c>
      <c r="M578">
        <v>704</v>
      </c>
      <c r="N578">
        <v>1</v>
      </c>
      <c r="O578">
        <v>4</v>
      </c>
      <c r="P578">
        <v>582</v>
      </c>
      <c r="Q578">
        <v>344</v>
      </c>
      <c r="R578">
        <v>391</v>
      </c>
      <c r="S578">
        <v>16552.689999999999</v>
      </c>
      <c r="U578" t="s">
        <v>374</v>
      </c>
      <c r="V578">
        <v>599</v>
      </c>
      <c r="W578">
        <v>1</v>
      </c>
      <c r="X578">
        <v>4</v>
      </c>
      <c r="Y578">
        <v>582</v>
      </c>
      <c r="Z578">
        <v>344</v>
      </c>
      <c r="AA578">
        <v>5.19</v>
      </c>
      <c r="AB578">
        <v>50</v>
      </c>
      <c r="AC578">
        <v>4025</v>
      </c>
    </row>
    <row r="579" spans="12:29" x14ac:dyDescent="0.2">
      <c r="L579" t="s">
        <v>374</v>
      </c>
      <c r="M579">
        <v>787</v>
      </c>
      <c r="N579">
        <v>1</v>
      </c>
      <c r="O579">
        <v>4</v>
      </c>
      <c r="P579">
        <v>582</v>
      </c>
      <c r="Q579">
        <v>344</v>
      </c>
      <c r="R579">
        <v>391</v>
      </c>
      <c r="S579">
        <v>7717.52</v>
      </c>
      <c r="U579" t="s">
        <v>374</v>
      </c>
      <c r="V579">
        <v>621</v>
      </c>
      <c r="W579">
        <v>1</v>
      </c>
      <c r="X579">
        <v>4</v>
      </c>
      <c r="Y579">
        <v>582</v>
      </c>
      <c r="Z579">
        <v>344</v>
      </c>
      <c r="AA579">
        <v>5.19</v>
      </c>
      <c r="AB579">
        <v>50</v>
      </c>
      <c r="AC579">
        <v>12857</v>
      </c>
    </row>
    <row r="580" spans="12:29" x14ac:dyDescent="0.2">
      <c r="L580" t="s">
        <v>374</v>
      </c>
      <c r="M580">
        <v>852</v>
      </c>
      <c r="N580">
        <v>1</v>
      </c>
      <c r="O580">
        <v>4</v>
      </c>
      <c r="P580">
        <v>582</v>
      </c>
      <c r="Q580">
        <v>344</v>
      </c>
      <c r="R580">
        <v>391</v>
      </c>
      <c r="S580">
        <v>2129.39</v>
      </c>
      <c r="U580" t="s">
        <v>374</v>
      </c>
      <c r="V580">
        <v>622</v>
      </c>
      <c r="W580">
        <v>1</v>
      </c>
      <c r="X580">
        <v>4</v>
      </c>
      <c r="Y580">
        <v>582</v>
      </c>
      <c r="Z580">
        <v>344</v>
      </c>
      <c r="AA580">
        <v>5.19</v>
      </c>
      <c r="AB580">
        <v>50</v>
      </c>
      <c r="AC580">
        <v>2679</v>
      </c>
    </row>
    <row r="581" spans="12:29" x14ac:dyDescent="0.2">
      <c r="L581" t="s">
        <v>374</v>
      </c>
      <c r="M581">
        <v>2172</v>
      </c>
      <c r="N581">
        <v>1</v>
      </c>
      <c r="O581">
        <v>4</v>
      </c>
      <c r="P581">
        <v>582</v>
      </c>
      <c r="Q581">
        <v>344</v>
      </c>
      <c r="R581">
        <v>391</v>
      </c>
      <c r="S581">
        <v>8000</v>
      </c>
      <c r="U581" t="s">
        <v>374</v>
      </c>
      <c r="V581">
        <v>623</v>
      </c>
      <c r="W581">
        <v>1</v>
      </c>
      <c r="X581">
        <v>4</v>
      </c>
      <c r="Y581">
        <v>582</v>
      </c>
      <c r="Z581">
        <v>344</v>
      </c>
      <c r="AA581">
        <v>5.19</v>
      </c>
      <c r="AB581">
        <v>50</v>
      </c>
      <c r="AC581">
        <v>1047.75</v>
      </c>
    </row>
    <row r="582" spans="12:29" x14ac:dyDescent="0.2">
      <c r="L582" t="s">
        <v>374</v>
      </c>
      <c r="M582">
        <v>146</v>
      </c>
      <c r="N582">
        <v>1</v>
      </c>
      <c r="O582">
        <v>4</v>
      </c>
      <c r="P582">
        <v>582</v>
      </c>
      <c r="Q582">
        <v>344</v>
      </c>
      <c r="R582">
        <v>390</v>
      </c>
      <c r="S582">
        <v>26622.89</v>
      </c>
      <c r="U582" t="s">
        <v>374</v>
      </c>
      <c r="V582">
        <v>624</v>
      </c>
      <c r="W582">
        <v>1</v>
      </c>
      <c r="X582">
        <v>4</v>
      </c>
      <c r="Y582">
        <v>582</v>
      </c>
      <c r="Z582">
        <v>344</v>
      </c>
      <c r="AA582">
        <v>5.19</v>
      </c>
      <c r="AB582">
        <v>50</v>
      </c>
      <c r="AC582">
        <v>557</v>
      </c>
    </row>
    <row r="583" spans="12:29" x14ac:dyDescent="0.2">
      <c r="L583" t="s">
        <v>374</v>
      </c>
      <c r="M583">
        <v>173</v>
      </c>
      <c r="N583">
        <v>1</v>
      </c>
      <c r="O583">
        <v>4</v>
      </c>
      <c r="P583">
        <v>582</v>
      </c>
      <c r="Q583">
        <v>344</v>
      </c>
      <c r="R583">
        <v>390</v>
      </c>
      <c r="S583">
        <v>5250</v>
      </c>
      <c r="U583" t="s">
        <v>374</v>
      </c>
      <c r="V583">
        <v>656</v>
      </c>
      <c r="W583">
        <v>1</v>
      </c>
      <c r="X583">
        <v>4</v>
      </c>
      <c r="Y583">
        <v>582</v>
      </c>
      <c r="Z583">
        <v>344</v>
      </c>
      <c r="AA583">
        <v>5.19</v>
      </c>
      <c r="AB583">
        <v>50</v>
      </c>
      <c r="AC583">
        <v>19058.7</v>
      </c>
    </row>
    <row r="584" spans="12:29" x14ac:dyDescent="0.2">
      <c r="L584" t="s">
        <v>374</v>
      </c>
      <c r="M584">
        <v>256</v>
      </c>
      <c r="N584">
        <v>1</v>
      </c>
      <c r="O584">
        <v>4</v>
      </c>
      <c r="P584">
        <v>582</v>
      </c>
      <c r="Q584">
        <v>344</v>
      </c>
      <c r="R584">
        <v>390</v>
      </c>
      <c r="S584">
        <v>9272</v>
      </c>
      <c r="U584" t="s">
        <v>374</v>
      </c>
      <c r="V584">
        <v>659</v>
      </c>
      <c r="W584">
        <v>1</v>
      </c>
      <c r="X584">
        <v>4</v>
      </c>
      <c r="Y584">
        <v>582</v>
      </c>
      <c r="Z584">
        <v>344</v>
      </c>
      <c r="AA584">
        <v>5.19</v>
      </c>
      <c r="AB584">
        <v>50</v>
      </c>
      <c r="AC584">
        <v>84372.95</v>
      </c>
    </row>
    <row r="585" spans="12:29" x14ac:dyDescent="0.2">
      <c r="L585" t="s">
        <v>374</v>
      </c>
      <c r="M585">
        <v>270</v>
      </c>
      <c r="N585">
        <v>1</v>
      </c>
      <c r="O585">
        <v>4</v>
      </c>
      <c r="P585">
        <v>582</v>
      </c>
      <c r="Q585">
        <v>344</v>
      </c>
      <c r="R585">
        <v>390</v>
      </c>
      <c r="S585">
        <v>37355.5</v>
      </c>
      <c r="U585" t="s">
        <v>374</v>
      </c>
      <c r="V585">
        <v>682</v>
      </c>
      <c r="W585">
        <v>1</v>
      </c>
      <c r="X585">
        <v>4</v>
      </c>
      <c r="Y585">
        <v>582</v>
      </c>
      <c r="Z585">
        <v>344</v>
      </c>
      <c r="AA585">
        <v>5.19</v>
      </c>
      <c r="AB585">
        <v>50</v>
      </c>
      <c r="AC585">
        <v>26155</v>
      </c>
    </row>
    <row r="586" spans="12:29" x14ac:dyDescent="0.2">
      <c r="L586" t="s">
        <v>374</v>
      </c>
      <c r="M586">
        <v>282</v>
      </c>
      <c r="N586">
        <v>1</v>
      </c>
      <c r="O586">
        <v>4</v>
      </c>
      <c r="P586">
        <v>582</v>
      </c>
      <c r="Q586">
        <v>344</v>
      </c>
      <c r="R586">
        <v>390</v>
      </c>
      <c r="S586">
        <v>7958.93</v>
      </c>
      <c r="U586" t="s">
        <v>374</v>
      </c>
      <c r="V586">
        <v>690</v>
      </c>
      <c r="W586">
        <v>1</v>
      </c>
      <c r="X586">
        <v>4</v>
      </c>
      <c r="Y586">
        <v>582</v>
      </c>
      <c r="Z586">
        <v>344</v>
      </c>
      <c r="AA586">
        <v>5.19</v>
      </c>
      <c r="AB586">
        <v>50</v>
      </c>
      <c r="AC586">
        <v>49953</v>
      </c>
    </row>
    <row r="587" spans="12:29" x14ac:dyDescent="0.2">
      <c r="L587" t="s">
        <v>374</v>
      </c>
      <c r="M587">
        <v>332</v>
      </c>
      <c r="N587">
        <v>1</v>
      </c>
      <c r="O587">
        <v>4</v>
      </c>
      <c r="P587">
        <v>582</v>
      </c>
      <c r="Q587">
        <v>344</v>
      </c>
      <c r="R587">
        <v>390</v>
      </c>
      <c r="S587">
        <v>17135</v>
      </c>
      <c r="U587" t="s">
        <v>374</v>
      </c>
      <c r="V587">
        <v>695</v>
      </c>
      <c r="W587">
        <v>1</v>
      </c>
      <c r="X587">
        <v>4</v>
      </c>
      <c r="Y587">
        <v>582</v>
      </c>
      <c r="Z587">
        <v>344</v>
      </c>
      <c r="AA587">
        <v>5.19</v>
      </c>
      <c r="AB587">
        <v>50</v>
      </c>
      <c r="AC587">
        <v>2691</v>
      </c>
    </row>
    <row r="588" spans="12:29" x14ac:dyDescent="0.2">
      <c r="L588" t="s">
        <v>374</v>
      </c>
      <c r="M588">
        <v>411</v>
      </c>
      <c r="N588">
        <v>1</v>
      </c>
      <c r="O588">
        <v>4</v>
      </c>
      <c r="P588">
        <v>582</v>
      </c>
      <c r="Q588">
        <v>344</v>
      </c>
      <c r="R588">
        <v>390</v>
      </c>
      <c r="S588">
        <v>4584.75</v>
      </c>
      <c r="U588" t="s">
        <v>374</v>
      </c>
      <c r="V588">
        <v>701</v>
      </c>
      <c r="W588">
        <v>1</v>
      </c>
      <c r="X588">
        <v>4</v>
      </c>
      <c r="Y588">
        <v>582</v>
      </c>
      <c r="Z588">
        <v>344</v>
      </c>
      <c r="AA588">
        <v>5.19</v>
      </c>
      <c r="AB588">
        <v>50</v>
      </c>
      <c r="AC588">
        <v>11133.5</v>
      </c>
    </row>
    <row r="589" spans="12:29" x14ac:dyDescent="0.2">
      <c r="L589" t="s">
        <v>374</v>
      </c>
      <c r="M589">
        <v>486</v>
      </c>
      <c r="N589">
        <v>1</v>
      </c>
      <c r="O589">
        <v>4</v>
      </c>
      <c r="P589">
        <v>582</v>
      </c>
      <c r="Q589">
        <v>344</v>
      </c>
      <c r="R589">
        <v>390</v>
      </c>
      <c r="S589">
        <v>3666.69</v>
      </c>
      <c r="U589" t="s">
        <v>374</v>
      </c>
      <c r="V589">
        <v>704</v>
      </c>
      <c r="W589">
        <v>1</v>
      </c>
      <c r="X589">
        <v>4</v>
      </c>
      <c r="Y589">
        <v>582</v>
      </c>
      <c r="Z589">
        <v>344</v>
      </c>
      <c r="AA589">
        <v>5.19</v>
      </c>
      <c r="AB589">
        <v>50</v>
      </c>
      <c r="AC589">
        <v>875</v>
      </c>
    </row>
    <row r="590" spans="12:29" x14ac:dyDescent="0.2">
      <c r="L590" t="s">
        <v>374</v>
      </c>
      <c r="M590">
        <v>542</v>
      </c>
      <c r="N590">
        <v>1</v>
      </c>
      <c r="O590">
        <v>4</v>
      </c>
      <c r="P590">
        <v>582</v>
      </c>
      <c r="Q590">
        <v>344</v>
      </c>
      <c r="R590">
        <v>390</v>
      </c>
      <c r="S590">
        <v>24203.97</v>
      </c>
      <c r="U590" t="s">
        <v>374</v>
      </c>
      <c r="V590">
        <v>706</v>
      </c>
      <c r="W590">
        <v>1</v>
      </c>
      <c r="X590">
        <v>4</v>
      </c>
      <c r="Y590">
        <v>582</v>
      </c>
      <c r="Z590">
        <v>344</v>
      </c>
      <c r="AA590">
        <v>5.19</v>
      </c>
      <c r="AB590">
        <v>50</v>
      </c>
      <c r="AC590">
        <v>18716.45</v>
      </c>
    </row>
    <row r="591" spans="12:29" x14ac:dyDescent="0.2">
      <c r="L591" t="s">
        <v>374</v>
      </c>
      <c r="M591">
        <v>786</v>
      </c>
      <c r="N591">
        <v>1</v>
      </c>
      <c r="O591">
        <v>4</v>
      </c>
      <c r="P591">
        <v>582</v>
      </c>
      <c r="Q591">
        <v>344</v>
      </c>
      <c r="R591">
        <v>390</v>
      </c>
      <c r="S591">
        <v>9727.5400000000009</v>
      </c>
      <c r="U591" t="s">
        <v>374</v>
      </c>
      <c r="V591">
        <v>709</v>
      </c>
      <c r="W591">
        <v>1</v>
      </c>
      <c r="X591">
        <v>4</v>
      </c>
      <c r="Y591">
        <v>582</v>
      </c>
      <c r="Z591">
        <v>344</v>
      </c>
      <c r="AA591">
        <v>5.19</v>
      </c>
      <c r="AB591">
        <v>50</v>
      </c>
      <c r="AC591">
        <v>30260</v>
      </c>
    </row>
    <row r="592" spans="12:29" x14ac:dyDescent="0.2">
      <c r="L592" t="s">
        <v>374</v>
      </c>
      <c r="M592">
        <v>840</v>
      </c>
      <c r="N592">
        <v>1</v>
      </c>
      <c r="O592">
        <v>4</v>
      </c>
      <c r="P592">
        <v>582</v>
      </c>
      <c r="Q592">
        <v>344</v>
      </c>
      <c r="R592">
        <v>390</v>
      </c>
      <c r="S592">
        <v>2152</v>
      </c>
      <c r="U592" t="s">
        <v>374</v>
      </c>
      <c r="V592">
        <v>726</v>
      </c>
      <c r="W592">
        <v>1</v>
      </c>
      <c r="X592">
        <v>4</v>
      </c>
      <c r="Y592">
        <v>582</v>
      </c>
      <c r="Z592">
        <v>344</v>
      </c>
      <c r="AA592">
        <v>5.19</v>
      </c>
      <c r="AB592">
        <v>50</v>
      </c>
      <c r="AC592">
        <v>525</v>
      </c>
    </row>
    <row r="593" spans="12:29" x14ac:dyDescent="0.2">
      <c r="L593" t="s">
        <v>374</v>
      </c>
      <c r="M593">
        <v>861</v>
      </c>
      <c r="N593">
        <v>1</v>
      </c>
      <c r="O593">
        <v>4</v>
      </c>
      <c r="P593">
        <v>582</v>
      </c>
      <c r="Q593">
        <v>344</v>
      </c>
      <c r="R593">
        <v>390</v>
      </c>
      <c r="S593">
        <v>3857</v>
      </c>
      <c r="U593" t="s">
        <v>374</v>
      </c>
      <c r="V593">
        <v>728</v>
      </c>
      <c r="W593">
        <v>1</v>
      </c>
      <c r="X593">
        <v>4</v>
      </c>
      <c r="Y593">
        <v>582</v>
      </c>
      <c r="Z593">
        <v>344</v>
      </c>
      <c r="AA593">
        <v>5.05</v>
      </c>
      <c r="AB593">
        <v>50</v>
      </c>
      <c r="AC593">
        <v>153728.38</v>
      </c>
    </row>
    <row r="594" spans="12:29" x14ac:dyDescent="0.2">
      <c r="L594" t="s">
        <v>374</v>
      </c>
      <c r="M594">
        <v>2170</v>
      </c>
      <c r="N594">
        <v>1</v>
      </c>
      <c r="O594">
        <v>4</v>
      </c>
      <c r="P594">
        <v>582</v>
      </c>
      <c r="Q594">
        <v>344</v>
      </c>
      <c r="R594">
        <v>390</v>
      </c>
      <c r="S594">
        <v>19489.59</v>
      </c>
      <c r="U594" t="s">
        <v>374</v>
      </c>
      <c r="V594">
        <v>740</v>
      </c>
      <c r="W594">
        <v>1</v>
      </c>
      <c r="X594">
        <v>4</v>
      </c>
      <c r="Y594">
        <v>582</v>
      </c>
      <c r="Z594">
        <v>344</v>
      </c>
      <c r="AA594">
        <v>5.19</v>
      </c>
      <c r="AB594">
        <v>50</v>
      </c>
      <c r="AC594">
        <v>80</v>
      </c>
    </row>
    <row r="595" spans="12:29" x14ac:dyDescent="0.2">
      <c r="L595" t="s">
        <v>374</v>
      </c>
      <c r="M595">
        <v>2687</v>
      </c>
      <c r="N595">
        <v>1</v>
      </c>
      <c r="O595">
        <v>4</v>
      </c>
      <c r="P595">
        <v>582</v>
      </c>
      <c r="Q595">
        <v>344</v>
      </c>
      <c r="R595">
        <v>390</v>
      </c>
      <c r="S595">
        <v>6257</v>
      </c>
      <c r="U595" t="s">
        <v>374</v>
      </c>
      <c r="V595">
        <v>741</v>
      </c>
      <c r="W595">
        <v>1</v>
      </c>
      <c r="X595">
        <v>4</v>
      </c>
      <c r="Y595">
        <v>582</v>
      </c>
      <c r="Z595">
        <v>344</v>
      </c>
      <c r="AA595">
        <v>5.19</v>
      </c>
      <c r="AB595">
        <v>50</v>
      </c>
      <c r="AC595">
        <v>16591.080000000002</v>
      </c>
    </row>
    <row r="596" spans="12:29" x14ac:dyDescent="0.2">
      <c r="L596" t="s">
        <v>374</v>
      </c>
      <c r="M596">
        <v>2753</v>
      </c>
      <c r="N596">
        <v>1</v>
      </c>
      <c r="O596">
        <v>4</v>
      </c>
      <c r="P596">
        <v>582</v>
      </c>
      <c r="Q596">
        <v>344</v>
      </c>
      <c r="R596">
        <v>390</v>
      </c>
      <c r="S596">
        <v>32230.42</v>
      </c>
      <c r="U596" t="s">
        <v>374</v>
      </c>
      <c r="V596">
        <v>750</v>
      </c>
      <c r="W596">
        <v>1</v>
      </c>
      <c r="X596">
        <v>4</v>
      </c>
      <c r="Y596">
        <v>582</v>
      </c>
      <c r="Z596">
        <v>344</v>
      </c>
      <c r="AA596">
        <v>5.19</v>
      </c>
      <c r="AB596">
        <v>50</v>
      </c>
      <c r="AC596">
        <v>27421.33</v>
      </c>
    </row>
    <row r="597" spans="12:29" x14ac:dyDescent="0.2">
      <c r="L597" t="s">
        <v>374</v>
      </c>
      <c r="M597">
        <v>2759</v>
      </c>
      <c r="N597">
        <v>1</v>
      </c>
      <c r="O597">
        <v>4</v>
      </c>
      <c r="P597">
        <v>582</v>
      </c>
      <c r="Q597">
        <v>344</v>
      </c>
      <c r="R597">
        <v>390</v>
      </c>
      <c r="S597">
        <v>5147.83</v>
      </c>
      <c r="U597" t="s">
        <v>374</v>
      </c>
      <c r="V597">
        <v>756</v>
      </c>
      <c r="W597">
        <v>1</v>
      </c>
      <c r="X597">
        <v>4</v>
      </c>
      <c r="Y597">
        <v>582</v>
      </c>
      <c r="Z597">
        <v>344</v>
      </c>
      <c r="AA597">
        <v>5.19</v>
      </c>
      <c r="AB597">
        <v>50</v>
      </c>
      <c r="AC597">
        <v>25409.5</v>
      </c>
    </row>
    <row r="598" spans="12:29" x14ac:dyDescent="0.2">
      <c r="L598" t="s">
        <v>374</v>
      </c>
      <c r="M598">
        <v>2805</v>
      </c>
      <c r="N598">
        <v>1</v>
      </c>
      <c r="O598">
        <v>4</v>
      </c>
      <c r="P598">
        <v>582</v>
      </c>
      <c r="Q598">
        <v>344</v>
      </c>
      <c r="R598">
        <v>390</v>
      </c>
      <c r="S598">
        <v>17801.96</v>
      </c>
      <c r="U598" t="s">
        <v>374</v>
      </c>
      <c r="V598">
        <v>771</v>
      </c>
      <c r="W598">
        <v>1</v>
      </c>
      <c r="X598">
        <v>4</v>
      </c>
      <c r="Y598">
        <v>582</v>
      </c>
      <c r="Z598">
        <v>344</v>
      </c>
      <c r="AA598">
        <v>5.19</v>
      </c>
      <c r="AB598">
        <v>50</v>
      </c>
      <c r="AC598">
        <v>5907.5</v>
      </c>
    </row>
    <row r="599" spans="12:29" x14ac:dyDescent="0.2">
      <c r="L599" t="s">
        <v>374</v>
      </c>
      <c r="M599">
        <v>1</v>
      </c>
      <c r="N599">
        <v>3</v>
      </c>
      <c r="O599">
        <v>4</v>
      </c>
      <c r="P599">
        <v>582</v>
      </c>
      <c r="Q599">
        <v>344</v>
      </c>
      <c r="R599">
        <v>370</v>
      </c>
      <c r="S599">
        <v>4540</v>
      </c>
      <c r="U599" t="s">
        <v>374</v>
      </c>
      <c r="V599">
        <v>777</v>
      </c>
      <c r="W599">
        <v>1</v>
      </c>
      <c r="X599">
        <v>4</v>
      </c>
      <c r="Y599">
        <v>582</v>
      </c>
      <c r="Z599">
        <v>344</v>
      </c>
      <c r="AA599">
        <v>5.19</v>
      </c>
      <c r="AB599">
        <v>50</v>
      </c>
      <c r="AC599">
        <v>-160</v>
      </c>
    </row>
    <row r="600" spans="12:29" x14ac:dyDescent="0.2">
      <c r="L600" t="s">
        <v>374</v>
      </c>
      <c r="M600">
        <v>11</v>
      </c>
      <c r="N600">
        <v>1</v>
      </c>
      <c r="O600">
        <v>4</v>
      </c>
      <c r="P600">
        <v>582</v>
      </c>
      <c r="Q600">
        <v>344</v>
      </c>
      <c r="R600">
        <v>370</v>
      </c>
      <c r="S600">
        <v>1748.02</v>
      </c>
      <c r="U600" t="s">
        <v>374</v>
      </c>
      <c r="V600">
        <v>803</v>
      </c>
      <c r="W600">
        <v>1</v>
      </c>
      <c r="X600">
        <v>4</v>
      </c>
      <c r="Y600">
        <v>582</v>
      </c>
      <c r="Z600">
        <v>344</v>
      </c>
      <c r="AA600">
        <v>5.19</v>
      </c>
      <c r="AB600">
        <v>50</v>
      </c>
      <c r="AC600">
        <v>12825.5</v>
      </c>
    </row>
    <row r="601" spans="12:29" x14ac:dyDescent="0.2">
      <c r="L601" t="s">
        <v>374</v>
      </c>
      <c r="M601">
        <v>94</v>
      </c>
      <c r="N601">
        <v>1</v>
      </c>
      <c r="O601">
        <v>4</v>
      </c>
      <c r="P601">
        <v>582</v>
      </c>
      <c r="Q601">
        <v>344</v>
      </c>
      <c r="R601">
        <v>370</v>
      </c>
      <c r="S601">
        <v>3368.64</v>
      </c>
      <c r="U601" t="s">
        <v>374</v>
      </c>
      <c r="V601">
        <v>811</v>
      </c>
      <c r="W601">
        <v>1</v>
      </c>
      <c r="X601">
        <v>4</v>
      </c>
      <c r="Y601">
        <v>582</v>
      </c>
      <c r="Z601">
        <v>344</v>
      </c>
      <c r="AA601">
        <v>5.19</v>
      </c>
      <c r="AB601">
        <v>50</v>
      </c>
      <c r="AC601">
        <v>13480.7</v>
      </c>
    </row>
    <row r="602" spans="12:29" x14ac:dyDescent="0.2">
      <c r="L602" t="s">
        <v>374</v>
      </c>
      <c r="M602">
        <v>152</v>
      </c>
      <c r="N602">
        <v>1</v>
      </c>
      <c r="O602">
        <v>4</v>
      </c>
      <c r="P602">
        <v>582</v>
      </c>
      <c r="Q602">
        <v>344</v>
      </c>
      <c r="R602">
        <v>370</v>
      </c>
      <c r="S602">
        <v>10000</v>
      </c>
      <c r="U602" t="s">
        <v>374</v>
      </c>
      <c r="V602">
        <v>831</v>
      </c>
      <c r="W602">
        <v>1</v>
      </c>
      <c r="X602">
        <v>4</v>
      </c>
      <c r="Y602">
        <v>582</v>
      </c>
      <c r="Z602">
        <v>344</v>
      </c>
      <c r="AA602">
        <v>5.19</v>
      </c>
      <c r="AB602">
        <v>50</v>
      </c>
      <c r="AC602">
        <v>30660</v>
      </c>
    </row>
    <row r="603" spans="12:29" x14ac:dyDescent="0.2">
      <c r="L603" t="s">
        <v>374</v>
      </c>
      <c r="M603">
        <v>186</v>
      </c>
      <c r="N603">
        <v>1</v>
      </c>
      <c r="O603">
        <v>4</v>
      </c>
      <c r="P603">
        <v>582</v>
      </c>
      <c r="Q603">
        <v>344</v>
      </c>
      <c r="R603">
        <v>370</v>
      </c>
      <c r="S603">
        <v>1000</v>
      </c>
      <c r="U603" t="s">
        <v>374</v>
      </c>
      <c r="V603">
        <v>834</v>
      </c>
      <c r="W603">
        <v>1</v>
      </c>
      <c r="X603">
        <v>4</v>
      </c>
      <c r="Y603">
        <v>582</v>
      </c>
      <c r="Z603">
        <v>344</v>
      </c>
      <c r="AA603">
        <v>5.19</v>
      </c>
      <c r="AB603">
        <v>50</v>
      </c>
      <c r="AC603">
        <v>5683.47</v>
      </c>
    </row>
    <row r="604" spans="12:29" x14ac:dyDescent="0.2">
      <c r="L604" t="s">
        <v>374</v>
      </c>
      <c r="M604">
        <v>241</v>
      </c>
      <c r="N604">
        <v>1</v>
      </c>
      <c r="O604">
        <v>4</v>
      </c>
      <c r="P604">
        <v>582</v>
      </c>
      <c r="Q604">
        <v>344</v>
      </c>
      <c r="R604">
        <v>370</v>
      </c>
      <c r="S604">
        <v>113.8</v>
      </c>
      <c r="U604" t="s">
        <v>374</v>
      </c>
      <c r="V604">
        <v>836</v>
      </c>
      <c r="W604">
        <v>1</v>
      </c>
      <c r="X604">
        <v>4</v>
      </c>
      <c r="Y604">
        <v>582</v>
      </c>
      <c r="Z604">
        <v>344</v>
      </c>
      <c r="AA604">
        <v>5.19</v>
      </c>
      <c r="AB604">
        <v>50</v>
      </c>
      <c r="AC604">
        <v>2215</v>
      </c>
    </row>
    <row r="605" spans="12:29" x14ac:dyDescent="0.2">
      <c r="L605" t="s">
        <v>374</v>
      </c>
      <c r="M605">
        <v>277</v>
      </c>
      <c r="N605">
        <v>1</v>
      </c>
      <c r="O605">
        <v>4</v>
      </c>
      <c r="P605">
        <v>582</v>
      </c>
      <c r="Q605">
        <v>344</v>
      </c>
      <c r="R605">
        <v>370</v>
      </c>
      <c r="S605">
        <v>216.79</v>
      </c>
      <c r="U605" t="s">
        <v>374</v>
      </c>
      <c r="V605">
        <v>837</v>
      </c>
      <c r="W605">
        <v>1</v>
      </c>
      <c r="X605">
        <v>4</v>
      </c>
      <c r="Y605">
        <v>582</v>
      </c>
      <c r="Z605">
        <v>344</v>
      </c>
      <c r="AA605">
        <v>5.19</v>
      </c>
      <c r="AB605">
        <v>50</v>
      </c>
      <c r="AC605">
        <v>8223.25</v>
      </c>
    </row>
    <row r="606" spans="12:29" x14ac:dyDescent="0.2">
      <c r="L606" t="s">
        <v>374</v>
      </c>
      <c r="M606">
        <v>281</v>
      </c>
      <c r="N606">
        <v>1</v>
      </c>
      <c r="O606">
        <v>4</v>
      </c>
      <c r="P606">
        <v>582</v>
      </c>
      <c r="Q606">
        <v>344</v>
      </c>
      <c r="R606">
        <v>370</v>
      </c>
      <c r="S606">
        <v>20</v>
      </c>
      <c r="U606" t="s">
        <v>374</v>
      </c>
      <c r="V606">
        <v>840</v>
      </c>
      <c r="W606">
        <v>1</v>
      </c>
      <c r="X606">
        <v>4</v>
      </c>
      <c r="Y606">
        <v>582</v>
      </c>
      <c r="Z606">
        <v>344</v>
      </c>
      <c r="AA606">
        <v>5.19</v>
      </c>
      <c r="AB606">
        <v>50</v>
      </c>
      <c r="AC606">
        <v>675</v>
      </c>
    </row>
    <row r="607" spans="12:29" x14ac:dyDescent="0.2">
      <c r="L607" t="s">
        <v>374</v>
      </c>
      <c r="M607">
        <v>300</v>
      </c>
      <c r="N607">
        <v>1</v>
      </c>
      <c r="O607">
        <v>4</v>
      </c>
      <c r="P607">
        <v>582</v>
      </c>
      <c r="Q607">
        <v>344</v>
      </c>
      <c r="R607">
        <v>370</v>
      </c>
      <c r="S607">
        <v>180</v>
      </c>
      <c r="U607" t="s">
        <v>374</v>
      </c>
      <c r="V607">
        <v>857</v>
      </c>
      <c r="W607">
        <v>1</v>
      </c>
      <c r="X607">
        <v>4</v>
      </c>
      <c r="Y607">
        <v>582</v>
      </c>
      <c r="Z607">
        <v>344</v>
      </c>
      <c r="AA607">
        <v>5.19</v>
      </c>
      <c r="AB607">
        <v>50</v>
      </c>
      <c r="AC607">
        <v>200</v>
      </c>
    </row>
    <row r="608" spans="12:29" x14ac:dyDescent="0.2">
      <c r="L608" t="s">
        <v>374</v>
      </c>
      <c r="M608">
        <v>316</v>
      </c>
      <c r="N608">
        <v>1</v>
      </c>
      <c r="O608">
        <v>4</v>
      </c>
      <c r="P608">
        <v>582</v>
      </c>
      <c r="Q608">
        <v>344</v>
      </c>
      <c r="R608">
        <v>370</v>
      </c>
      <c r="S608">
        <v>10000</v>
      </c>
      <c r="U608" t="s">
        <v>374</v>
      </c>
      <c r="V608">
        <v>861</v>
      </c>
      <c r="W608">
        <v>1</v>
      </c>
      <c r="X608">
        <v>4</v>
      </c>
      <c r="Y608">
        <v>582</v>
      </c>
      <c r="Z608">
        <v>344</v>
      </c>
      <c r="AA608">
        <v>5.19</v>
      </c>
      <c r="AB608">
        <v>50</v>
      </c>
      <c r="AC608">
        <v>1130</v>
      </c>
    </row>
    <row r="609" spans="12:29" x14ac:dyDescent="0.2">
      <c r="L609" t="s">
        <v>374</v>
      </c>
      <c r="M609">
        <v>578</v>
      </c>
      <c r="N609">
        <v>1</v>
      </c>
      <c r="O609">
        <v>4</v>
      </c>
      <c r="P609">
        <v>582</v>
      </c>
      <c r="Q609">
        <v>344</v>
      </c>
      <c r="R609">
        <v>370</v>
      </c>
      <c r="S609">
        <v>240</v>
      </c>
      <c r="U609" t="s">
        <v>374</v>
      </c>
      <c r="V609">
        <v>882</v>
      </c>
      <c r="W609">
        <v>1</v>
      </c>
      <c r="X609">
        <v>4</v>
      </c>
      <c r="Y609">
        <v>582</v>
      </c>
      <c r="Z609">
        <v>344</v>
      </c>
      <c r="AA609">
        <v>5.19</v>
      </c>
      <c r="AB609">
        <v>50</v>
      </c>
      <c r="AC609">
        <v>53912.5</v>
      </c>
    </row>
    <row r="610" spans="12:29" x14ac:dyDescent="0.2">
      <c r="L610" t="s">
        <v>374</v>
      </c>
      <c r="M610">
        <v>593</v>
      </c>
      <c r="N610">
        <v>1</v>
      </c>
      <c r="O610">
        <v>4</v>
      </c>
      <c r="P610">
        <v>582</v>
      </c>
      <c r="Q610">
        <v>344</v>
      </c>
      <c r="R610">
        <v>370</v>
      </c>
      <c r="S610">
        <v>1950</v>
      </c>
      <c r="U610" t="s">
        <v>374</v>
      </c>
      <c r="V610">
        <v>883</v>
      </c>
      <c r="W610">
        <v>1</v>
      </c>
      <c r="X610">
        <v>4</v>
      </c>
      <c r="Y610">
        <v>582</v>
      </c>
      <c r="Z610">
        <v>344</v>
      </c>
      <c r="AA610">
        <v>5.19</v>
      </c>
      <c r="AB610">
        <v>50</v>
      </c>
      <c r="AC610">
        <v>153694.15</v>
      </c>
    </row>
    <row r="611" spans="12:29" x14ac:dyDescent="0.2">
      <c r="L611" t="s">
        <v>374</v>
      </c>
      <c r="M611">
        <v>622</v>
      </c>
      <c r="N611">
        <v>1</v>
      </c>
      <c r="O611">
        <v>4</v>
      </c>
      <c r="P611">
        <v>582</v>
      </c>
      <c r="Q611">
        <v>344</v>
      </c>
      <c r="R611">
        <v>370</v>
      </c>
      <c r="S611">
        <v>70</v>
      </c>
      <c r="U611" t="s">
        <v>374</v>
      </c>
      <c r="V611">
        <v>885</v>
      </c>
      <c r="W611">
        <v>1</v>
      </c>
      <c r="X611">
        <v>4</v>
      </c>
      <c r="Y611">
        <v>582</v>
      </c>
      <c r="Z611">
        <v>344</v>
      </c>
      <c r="AA611">
        <v>5.19</v>
      </c>
      <c r="AB611">
        <v>50</v>
      </c>
      <c r="AC611">
        <v>234957.28</v>
      </c>
    </row>
    <row r="612" spans="12:29" x14ac:dyDescent="0.2">
      <c r="L612" t="s">
        <v>374</v>
      </c>
      <c r="M612">
        <v>627</v>
      </c>
      <c r="N612">
        <v>1</v>
      </c>
      <c r="O612">
        <v>4</v>
      </c>
      <c r="P612">
        <v>582</v>
      </c>
      <c r="Q612">
        <v>344</v>
      </c>
      <c r="R612">
        <v>370</v>
      </c>
      <c r="S612">
        <v>321.16000000000003</v>
      </c>
      <c r="U612" t="s">
        <v>374</v>
      </c>
      <c r="V612">
        <v>912</v>
      </c>
      <c r="W612">
        <v>1</v>
      </c>
      <c r="X612">
        <v>4</v>
      </c>
      <c r="Y612">
        <v>582</v>
      </c>
      <c r="Z612">
        <v>344</v>
      </c>
      <c r="AA612">
        <v>5.19</v>
      </c>
      <c r="AB612">
        <v>50</v>
      </c>
      <c r="AC612">
        <v>60797.33</v>
      </c>
    </row>
    <row r="613" spans="12:29" x14ac:dyDescent="0.2">
      <c r="L613" t="s">
        <v>374</v>
      </c>
      <c r="M613">
        <v>857</v>
      </c>
      <c r="N613">
        <v>1</v>
      </c>
      <c r="O613">
        <v>4</v>
      </c>
      <c r="P613">
        <v>582</v>
      </c>
      <c r="Q613">
        <v>344</v>
      </c>
      <c r="R613">
        <v>370</v>
      </c>
      <c r="S613">
        <v>5116</v>
      </c>
      <c r="U613" t="s">
        <v>374</v>
      </c>
      <c r="V613">
        <v>2125</v>
      </c>
      <c r="W613">
        <v>1</v>
      </c>
      <c r="X613">
        <v>4</v>
      </c>
      <c r="Y613">
        <v>582</v>
      </c>
      <c r="Z613">
        <v>344</v>
      </c>
      <c r="AA613">
        <v>5.19</v>
      </c>
      <c r="AB613">
        <v>50</v>
      </c>
      <c r="AC613">
        <v>57980</v>
      </c>
    </row>
    <row r="614" spans="12:29" x14ac:dyDescent="0.2">
      <c r="L614" t="s">
        <v>374</v>
      </c>
      <c r="M614">
        <v>2125</v>
      </c>
      <c r="N614">
        <v>1</v>
      </c>
      <c r="O614">
        <v>4</v>
      </c>
      <c r="P614">
        <v>582</v>
      </c>
      <c r="Q614">
        <v>344</v>
      </c>
      <c r="R614">
        <v>370</v>
      </c>
      <c r="S614">
        <v>1272</v>
      </c>
      <c r="U614" t="s">
        <v>374</v>
      </c>
      <c r="V614">
        <v>2142</v>
      </c>
      <c r="W614">
        <v>1</v>
      </c>
      <c r="X614">
        <v>4</v>
      </c>
      <c r="Y614">
        <v>582</v>
      </c>
      <c r="Z614">
        <v>344</v>
      </c>
      <c r="AA614">
        <v>5.19</v>
      </c>
      <c r="AB614">
        <v>50</v>
      </c>
      <c r="AC614">
        <v>18127.5</v>
      </c>
    </row>
    <row r="615" spans="12:29" x14ac:dyDescent="0.2">
      <c r="L615" t="s">
        <v>374</v>
      </c>
      <c r="M615">
        <v>625</v>
      </c>
      <c r="N615">
        <v>1</v>
      </c>
      <c r="O615">
        <v>4</v>
      </c>
      <c r="P615">
        <v>582</v>
      </c>
      <c r="Q615">
        <v>599</v>
      </c>
      <c r="R615">
        <v>368</v>
      </c>
      <c r="S615">
        <v>4102.75</v>
      </c>
      <c r="U615" t="s">
        <v>374</v>
      </c>
      <c r="V615">
        <v>2143</v>
      </c>
      <c r="W615">
        <v>1</v>
      </c>
      <c r="X615">
        <v>4</v>
      </c>
      <c r="Y615">
        <v>582</v>
      </c>
      <c r="Z615">
        <v>344</v>
      </c>
      <c r="AA615">
        <v>5.19</v>
      </c>
      <c r="AB615">
        <v>50</v>
      </c>
      <c r="AC615">
        <v>12251.4</v>
      </c>
    </row>
    <row r="616" spans="12:29" x14ac:dyDescent="0.2">
      <c r="L616" t="s">
        <v>374</v>
      </c>
      <c r="M616">
        <v>625</v>
      </c>
      <c r="N616">
        <v>1</v>
      </c>
      <c r="O616">
        <v>4</v>
      </c>
      <c r="P616">
        <v>582</v>
      </c>
      <c r="Q616">
        <v>599</v>
      </c>
      <c r="R616">
        <v>366</v>
      </c>
      <c r="S616">
        <v>2782.22</v>
      </c>
      <c r="U616" t="s">
        <v>374</v>
      </c>
      <c r="V616">
        <v>2144</v>
      </c>
      <c r="W616">
        <v>1</v>
      </c>
      <c r="X616">
        <v>4</v>
      </c>
      <c r="Y616">
        <v>582</v>
      </c>
      <c r="Z616">
        <v>344</v>
      </c>
      <c r="AA616">
        <v>5.19</v>
      </c>
      <c r="AB616">
        <v>50</v>
      </c>
      <c r="AC616">
        <v>3564.5</v>
      </c>
    </row>
    <row r="617" spans="12:29" x14ac:dyDescent="0.2">
      <c r="L617" t="s">
        <v>374</v>
      </c>
      <c r="M617">
        <v>1</v>
      </c>
      <c r="N617">
        <v>1</v>
      </c>
      <c r="O617">
        <v>4</v>
      </c>
      <c r="P617">
        <v>582</v>
      </c>
      <c r="Q617">
        <v>344</v>
      </c>
      <c r="R617">
        <v>366</v>
      </c>
      <c r="S617">
        <v>530</v>
      </c>
      <c r="U617" t="s">
        <v>374</v>
      </c>
      <c r="V617">
        <v>2155</v>
      </c>
      <c r="W617">
        <v>1</v>
      </c>
      <c r="X617">
        <v>4</v>
      </c>
      <c r="Y617">
        <v>582</v>
      </c>
      <c r="Z617">
        <v>344</v>
      </c>
      <c r="AA617">
        <v>5.19</v>
      </c>
      <c r="AB617">
        <v>50</v>
      </c>
      <c r="AC617">
        <v>34061.699999999997</v>
      </c>
    </row>
    <row r="618" spans="12:29" x14ac:dyDescent="0.2">
      <c r="L618" t="s">
        <v>374</v>
      </c>
      <c r="M618">
        <v>1</v>
      </c>
      <c r="N618">
        <v>3</v>
      </c>
      <c r="O618">
        <v>4</v>
      </c>
      <c r="P618">
        <v>582</v>
      </c>
      <c r="Q618">
        <v>344</v>
      </c>
      <c r="R618">
        <v>366</v>
      </c>
      <c r="S618">
        <v>4325.6899999999996</v>
      </c>
      <c r="U618" t="s">
        <v>374</v>
      </c>
      <c r="V618">
        <v>2159</v>
      </c>
      <c r="W618">
        <v>1</v>
      </c>
      <c r="X618">
        <v>4</v>
      </c>
      <c r="Y618">
        <v>582</v>
      </c>
      <c r="Z618">
        <v>344</v>
      </c>
      <c r="AA618">
        <v>5.19</v>
      </c>
      <c r="AB618">
        <v>50</v>
      </c>
      <c r="AC618">
        <v>17282.75</v>
      </c>
    </row>
    <row r="619" spans="12:29" x14ac:dyDescent="0.2">
      <c r="L619" t="s">
        <v>374</v>
      </c>
      <c r="M619">
        <v>4</v>
      </c>
      <c r="N619">
        <v>1</v>
      </c>
      <c r="O619">
        <v>4</v>
      </c>
      <c r="P619">
        <v>582</v>
      </c>
      <c r="Q619">
        <v>344</v>
      </c>
      <c r="R619">
        <v>366</v>
      </c>
      <c r="S619">
        <v>118.17</v>
      </c>
      <c r="U619" t="s">
        <v>374</v>
      </c>
      <c r="V619">
        <v>2167</v>
      </c>
      <c r="W619">
        <v>1</v>
      </c>
      <c r="X619">
        <v>4</v>
      </c>
      <c r="Y619">
        <v>582</v>
      </c>
      <c r="Z619">
        <v>344</v>
      </c>
      <c r="AA619">
        <v>5.19</v>
      </c>
      <c r="AB619">
        <v>50</v>
      </c>
      <c r="AC619">
        <v>25025.96</v>
      </c>
    </row>
    <row r="620" spans="12:29" x14ac:dyDescent="0.2">
      <c r="L620" t="s">
        <v>374</v>
      </c>
      <c r="M620">
        <v>6</v>
      </c>
      <c r="N620">
        <v>3</v>
      </c>
      <c r="O620">
        <v>4</v>
      </c>
      <c r="P620">
        <v>582</v>
      </c>
      <c r="Q620">
        <v>344</v>
      </c>
      <c r="R620">
        <v>366</v>
      </c>
      <c r="S620">
        <v>134.72</v>
      </c>
      <c r="U620" t="s">
        <v>374</v>
      </c>
      <c r="V620">
        <v>2176</v>
      </c>
      <c r="W620">
        <v>1</v>
      </c>
      <c r="X620">
        <v>4</v>
      </c>
      <c r="Y620">
        <v>582</v>
      </c>
      <c r="Z620">
        <v>344</v>
      </c>
      <c r="AA620">
        <v>5.19</v>
      </c>
      <c r="AB620">
        <v>50</v>
      </c>
      <c r="AC620">
        <v>12228.15</v>
      </c>
    </row>
    <row r="621" spans="12:29" x14ac:dyDescent="0.2">
      <c r="L621" t="s">
        <v>374</v>
      </c>
      <c r="M621">
        <v>11</v>
      </c>
      <c r="N621">
        <v>1</v>
      </c>
      <c r="O621">
        <v>4</v>
      </c>
      <c r="P621">
        <v>582</v>
      </c>
      <c r="Q621">
        <v>344</v>
      </c>
      <c r="R621">
        <v>366</v>
      </c>
      <c r="S621">
        <v>1716.22</v>
      </c>
      <c r="U621" t="s">
        <v>374</v>
      </c>
      <c r="V621">
        <v>2184</v>
      </c>
      <c r="W621">
        <v>1</v>
      </c>
      <c r="X621">
        <v>4</v>
      </c>
      <c r="Y621">
        <v>582</v>
      </c>
      <c r="Z621">
        <v>344</v>
      </c>
      <c r="AA621">
        <v>5.19</v>
      </c>
      <c r="AB621">
        <v>50</v>
      </c>
      <c r="AC621">
        <v>4215</v>
      </c>
    </row>
    <row r="622" spans="12:29" x14ac:dyDescent="0.2">
      <c r="L622" t="s">
        <v>374</v>
      </c>
      <c r="M622">
        <v>13</v>
      </c>
      <c r="N622">
        <v>1</v>
      </c>
      <c r="O622">
        <v>4</v>
      </c>
      <c r="P622">
        <v>582</v>
      </c>
      <c r="Q622">
        <v>344</v>
      </c>
      <c r="R622">
        <v>366</v>
      </c>
      <c r="S622">
        <v>246.27</v>
      </c>
      <c r="U622" t="s">
        <v>374</v>
      </c>
      <c r="V622">
        <v>2198</v>
      </c>
      <c r="W622">
        <v>1</v>
      </c>
      <c r="X622">
        <v>4</v>
      </c>
      <c r="Y622">
        <v>582</v>
      </c>
      <c r="Z622">
        <v>344</v>
      </c>
      <c r="AA622">
        <v>5.19</v>
      </c>
      <c r="AB622">
        <v>50</v>
      </c>
      <c r="AC622">
        <v>5575</v>
      </c>
    </row>
    <row r="623" spans="12:29" x14ac:dyDescent="0.2">
      <c r="L623" t="s">
        <v>374</v>
      </c>
      <c r="M623">
        <v>14</v>
      </c>
      <c r="N623">
        <v>1</v>
      </c>
      <c r="O623">
        <v>4</v>
      </c>
      <c r="P623">
        <v>582</v>
      </c>
      <c r="Q623">
        <v>344</v>
      </c>
      <c r="R623">
        <v>366</v>
      </c>
      <c r="S623">
        <v>80</v>
      </c>
      <c r="U623" t="s">
        <v>374</v>
      </c>
      <c r="V623">
        <v>2311</v>
      </c>
      <c r="W623">
        <v>1</v>
      </c>
      <c r="X623">
        <v>4</v>
      </c>
      <c r="Y623">
        <v>582</v>
      </c>
      <c r="Z623">
        <v>344</v>
      </c>
      <c r="AA623">
        <v>5.19</v>
      </c>
      <c r="AB623">
        <v>50</v>
      </c>
      <c r="AC623">
        <v>1230</v>
      </c>
    </row>
    <row r="624" spans="12:29" x14ac:dyDescent="0.2">
      <c r="L624" t="s">
        <v>374</v>
      </c>
      <c r="M624">
        <v>16</v>
      </c>
      <c r="N624">
        <v>1</v>
      </c>
      <c r="O624">
        <v>4</v>
      </c>
      <c r="P624">
        <v>582</v>
      </c>
      <c r="Q624">
        <v>344</v>
      </c>
      <c r="R624">
        <v>366</v>
      </c>
      <c r="S624">
        <v>280</v>
      </c>
      <c r="U624" t="s">
        <v>374</v>
      </c>
      <c r="V624">
        <v>2342</v>
      </c>
      <c r="W624">
        <v>1</v>
      </c>
      <c r="X624">
        <v>4</v>
      </c>
      <c r="Y624">
        <v>582</v>
      </c>
      <c r="Z624">
        <v>344</v>
      </c>
      <c r="AA624">
        <v>5.19</v>
      </c>
      <c r="AB624">
        <v>50</v>
      </c>
      <c r="AC624">
        <v>8419.5499999999993</v>
      </c>
    </row>
    <row r="625" spans="12:29" x14ac:dyDescent="0.2">
      <c r="L625" t="s">
        <v>374</v>
      </c>
      <c r="M625">
        <v>22</v>
      </c>
      <c r="N625">
        <v>1</v>
      </c>
      <c r="O625">
        <v>4</v>
      </c>
      <c r="P625">
        <v>582</v>
      </c>
      <c r="Q625">
        <v>344</v>
      </c>
      <c r="R625">
        <v>366</v>
      </c>
      <c r="S625">
        <v>314.18</v>
      </c>
      <c r="U625" t="s">
        <v>374</v>
      </c>
      <c r="V625">
        <v>2364</v>
      </c>
      <c r="W625">
        <v>1</v>
      </c>
      <c r="X625">
        <v>4</v>
      </c>
      <c r="Y625">
        <v>582</v>
      </c>
      <c r="Z625">
        <v>344</v>
      </c>
      <c r="AA625">
        <v>5.05</v>
      </c>
      <c r="AB625">
        <v>50</v>
      </c>
      <c r="AC625">
        <v>9981.7999999999993</v>
      </c>
    </row>
    <row r="626" spans="12:29" x14ac:dyDescent="0.2">
      <c r="L626" t="s">
        <v>374</v>
      </c>
      <c r="M626">
        <v>23</v>
      </c>
      <c r="N626">
        <v>1</v>
      </c>
      <c r="O626">
        <v>4</v>
      </c>
      <c r="P626">
        <v>582</v>
      </c>
      <c r="Q626">
        <v>344</v>
      </c>
      <c r="R626">
        <v>366</v>
      </c>
      <c r="S626">
        <v>307.33999999999997</v>
      </c>
      <c r="U626" t="s">
        <v>374</v>
      </c>
      <c r="V626">
        <v>2397</v>
      </c>
      <c r="W626">
        <v>1</v>
      </c>
      <c r="X626">
        <v>4</v>
      </c>
      <c r="Y626">
        <v>582</v>
      </c>
      <c r="Z626">
        <v>344</v>
      </c>
      <c r="AA626">
        <v>5.19</v>
      </c>
      <c r="AB626">
        <v>50</v>
      </c>
      <c r="AC626">
        <v>34571.5</v>
      </c>
    </row>
    <row r="627" spans="12:29" x14ac:dyDescent="0.2">
      <c r="L627" t="s">
        <v>374</v>
      </c>
      <c r="M627">
        <v>38</v>
      </c>
      <c r="N627">
        <v>1</v>
      </c>
      <c r="O627">
        <v>4</v>
      </c>
      <c r="P627">
        <v>582</v>
      </c>
      <c r="Q627">
        <v>344</v>
      </c>
      <c r="R627">
        <v>366</v>
      </c>
      <c r="S627">
        <v>122.55</v>
      </c>
      <c r="U627" t="s">
        <v>374</v>
      </c>
      <c r="V627">
        <v>2448</v>
      </c>
      <c r="W627">
        <v>1</v>
      </c>
      <c r="X627">
        <v>4</v>
      </c>
      <c r="Y627">
        <v>582</v>
      </c>
      <c r="Z627">
        <v>344</v>
      </c>
      <c r="AA627">
        <v>5.19</v>
      </c>
      <c r="AB627">
        <v>50</v>
      </c>
      <c r="AC627">
        <v>28530.5</v>
      </c>
    </row>
    <row r="628" spans="12:29" x14ac:dyDescent="0.2">
      <c r="L628" t="s">
        <v>374</v>
      </c>
      <c r="M628">
        <v>47</v>
      </c>
      <c r="N628">
        <v>1</v>
      </c>
      <c r="O628">
        <v>4</v>
      </c>
      <c r="P628">
        <v>582</v>
      </c>
      <c r="Q628">
        <v>344</v>
      </c>
      <c r="R628">
        <v>366</v>
      </c>
      <c r="S628">
        <v>90.09</v>
      </c>
      <c r="U628" t="s">
        <v>374</v>
      </c>
      <c r="V628">
        <v>2534</v>
      </c>
      <c r="W628">
        <v>1</v>
      </c>
      <c r="X628">
        <v>4</v>
      </c>
      <c r="Y628">
        <v>582</v>
      </c>
      <c r="Z628">
        <v>344</v>
      </c>
      <c r="AA628">
        <v>5.19</v>
      </c>
      <c r="AB628">
        <v>50</v>
      </c>
      <c r="AC628">
        <v>9863</v>
      </c>
    </row>
    <row r="629" spans="12:29" x14ac:dyDescent="0.2">
      <c r="L629" t="s">
        <v>374</v>
      </c>
      <c r="M629">
        <v>77</v>
      </c>
      <c r="N629">
        <v>1</v>
      </c>
      <c r="O629">
        <v>4</v>
      </c>
      <c r="P629">
        <v>582</v>
      </c>
      <c r="Q629">
        <v>344</v>
      </c>
      <c r="R629">
        <v>366</v>
      </c>
      <c r="S629">
        <v>1063.1500000000001</v>
      </c>
      <c r="U629" t="s">
        <v>374</v>
      </c>
      <c r="V629">
        <v>2536</v>
      </c>
      <c r="W629">
        <v>1</v>
      </c>
      <c r="X629">
        <v>4</v>
      </c>
      <c r="Y629">
        <v>582</v>
      </c>
      <c r="Z629">
        <v>344</v>
      </c>
      <c r="AA629">
        <v>5.19</v>
      </c>
      <c r="AB629">
        <v>50</v>
      </c>
      <c r="AC629">
        <v>-85</v>
      </c>
    </row>
    <row r="630" spans="12:29" x14ac:dyDescent="0.2">
      <c r="L630" t="s">
        <v>374</v>
      </c>
      <c r="M630">
        <v>88</v>
      </c>
      <c r="N630">
        <v>1</v>
      </c>
      <c r="O630">
        <v>4</v>
      </c>
      <c r="P630">
        <v>582</v>
      </c>
      <c r="Q630">
        <v>344</v>
      </c>
      <c r="R630">
        <v>366</v>
      </c>
      <c r="S630">
        <v>326.23</v>
      </c>
      <c r="U630" t="s">
        <v>374</v>
      </c>
      <c r="V630">
        <v>2752</v>
      </c>
      <c r="W630">
        <v>1</v>
      </c>
      <c r="X630">
        <v>4</v>
      </c>
      <c r="Y630">
        <v>582</v>
      </c>
      <c r="Z630">
        <v>344</v>
      </c>
      <c r="AA630">
        <v>5.19</v>
      </c>
      <c r="AB630">
        <v>50</v>
      </c>
      <c r="AC630">
        <v>37534.199999999997</v>
      </c>
    </row>
    <row r="631" spans="12:29" x14ac:dyDescent="0.2">
      <c r="L631" t="s">
        <v>374</v>
      </c>
      <c r="M631">
        <v>93</v>
      </c>
      <c r="N631">
        <v>1</v>
      </c>
      <c r="O631">
        <v>4</v>
      </c>
      <c r="P631">
        <v>582</v>
      </c>
      <c r="Q631">
        <v>344</v>
      </c>
      <c r="R631">
        <v>366</v>
      </c>
      <c r="S631">
        <v>1277.97</v>
      </c>
      <c r="U631" t="s">
        <v>374</v>
      </c>
      <c r="V631">
        <v>2805</v>
      </c>
      <c r="W631">
        <v>1</v>
      </c>
      <c r="X631">
        <v>4</v>
      </c>
      <c r="Y631">
        <v>582</v>
      </c>
      <c r="Z631">
        <v>344</v>
      </c>
      <c r="AA631">
        <v>5.19</v>
      </c>
      <c r="AB631">
        <v>50</v>
      </c>
      <c r="AC631">
        <v>30586.5</v>
      </c>
    </row>
    <row r="632" spans="12:29" x14ac:dyDescent="0.2">
      <c r="L632" t="s">
        <v>374</v>
      </c>
      <c r="M632">
        <v>94</v>
      </c>
      <c r="N632">
        <v>1</v>
      </c>
      <c r="O632">
        <v>4</v>
      </c>
      <c r="P632">
        <v>582</v>
      </c>
      <c r="Q632">
        <v>344</v>
      </c>
      <c r="R632">
        <v>366</v>
      </c>
      <c r="S632">
        <v>82</v>
      </c>
      <c r="U632" t="s">
        <v>374</v>
      </c>
      <c r="V632">
        <v>2853</v>
      </c>
      <c r="W632">
        <v>1</v>
      </c>
      <c r="X632">
        <v>4</v>
      </c>
      <c r="Y632">
        <v>582</v>
      </c>
      <c r="Z632">
        <v>344</v>
      </c>
      <c r="AA632">
        <v>5.19</v>
      </c>
      <c r="AB632">
        <v>50</v>
      </c>
      <c r="AC632">
        <v>59791.040000000001</v>
      </c>
    </row>
    <row r="633" spans="12:29" x14ac:dyDescent="0.2">
      <c r="L633" t="s">
        <v>374</v>
      </c>
      <c r="M633">
        <v>108</v>
      </c>
      <c r="N633">
        <v>1</v>
      </c>
      <c r="O633">
        <v>4</v>
      </c>
      <c r="P633">
        <v>582</v>
      </c>
      <c r="Q633">
        <v>344</v>
      </c>
      <c r="R633">
        <v>366</v>
      </c>
      <c r="S633">
        <v>323.2</v>
      </c>
      <c r="U633" t="s">
        <v>374</v>
      </c>
      <c r="V633">
        <v>2854</v>
      </c>
      <c r="W633">
        <v>1</v>
      </c>
      <c r="X633">
        <v>4</v>
      </c>
      <c r="Y633">
        <v>582</v>
      </c>
      <c r="Z633">
        <v>344</v>
      </c>
      <c r="AA633">
        <v>5.19</v>
      </c>
      <c r="AB633">
        <v>50</v>
      </c>
      <c r="AC633">
        <v>8651.5</v>
      </c>
    </row>
    <row r="634" spans="12:29" x14ac:dyDescent="0.2">
      <c r="L634" t="s">
        <v>374</v>
      </c>
      <c r="M634">
        <v>112</v>
      </c>
      <c r="N634">
        <v>1</v>
      </c>
      <c r="O634">
        <v>4</v>
      </c>
      <c r="P634">
        <v>582</v>
      </c>
      <c r="Q634">
        <v>344</v>
      </c>
      <c r="R634">
        <v>366</v>
      </c>
      <c r="S634">
        <v>100.95</v>
      </c>
      <c r="U634" t="s">
        <v>374</v>
      </c>
      <c r="V634">
        <v>2884</v>
      </c>
      <c r="W634">
        <v>1</v>
      </c>
      <c r="X634">
        <v>4</v>
      </c>
      <c r="Y634">
        <v>582</v>
      </c>
      <c r="Z634">
        <v>344</v>
      </c>
      <c r="AA634">
        <v>5.19</v>
      </c>
      <c r="AB634">
        <v>50</v>
      </c>
      <c r="AC634">
        <v>6595</v>
      </c>
    </row>
    <row r="635" spans="12:29" x14ac:dyDescent="0.2">
      <c r="L635" t="s">
        <v>374</v>
      </c>
      <c r="M635">
        <v>138</v>
      </c>
      <c r="N635">
        <v>1</v>
      </c>
      <c r="O635">
        <v>4</v>
      </c>
      <c r="P635">
        <v>582</v>
      </c>
      <c r="Q635">
        <v>344</v>
      </c>
      <c r="R635">
        <v>366</v>
      </c>
      <c r="S635">
        <v>206.02</v>
      </c>
      <c r="U635" t="s">
        <v>374</v>
      </c>
      <c r="V635">
        <v>2889</v>
      </c>
      <c r="W635">
        <v>1</v>
      </c>
      <c r="X635">
        <v>4</v>
      </c>
      <c r="Y635">
        <v>582</v>
      </c>
      <c r="Z635">
        <v>344</v>
      </c>
      <c r="AA635">
        <v>5.19</v>
      </c>
      <c r="AB635">
        <v>50</v>
      </c>
      <c r="AC635">
        <v>6948</v>
      </c>
    </row>
    <row r="636" spans="12:29" x14ac:dyDescent="0.2">
      <c r="L636" t="s">
        <v>374</v>
      </c>
      <c r="M636">
        <v>152</v>
      </c>
      <c r="N636">
        <v>1</v>
      </c>
      <c r="O636">
        <v>4</v>
      </c>
      <c r="P636">
        <v>582</v>
      </c>
      <c r="Q636">
        <v>344</v>
      </c>
      <c r="R636">
        <v>366</v>
      </c>
      <c r="S636">
        <v>178.09</v>
      </c>
      <c r="U636" t="s">
        <v>374</v>
      </c>
      <c r="V636">
        <v>2890</v>
      </c>
      <c r="W636">
        <v>1</v>
      </c>
      <c r="X636">
        <v>4</v>
      </c>
      <c r="Y636">
        <v>582</v>
      </c>
      <c r="Z636">
        <v>344</v>
      </c>
      <c r="AA636">
        <v>5.19</v>
      </c>
      <c r="AB636">
        <v>50</v>
      </c>
      <c r="AC636">
        <v>9609</v>
      </c>
    </row>
    <row r="637" spans="12:29" x14ac:dyDescent="0.2">
      <c r="L637" t="s">
        <v>374</v>
      </c>
      <c r="M637">
        <v>162</v>
      </c>
      <c r="N637">
        <v>1</v>
      </c>
      <c r="O637">
        <v>4</v>
      </c>
      <c r="P637">
        <v>582</v>
      </c>
      <c r="Q637">
        <v>344</v>
      </c>
      <c r="R637">
        <v>366</v>
      </c>
      <c r="S637">
        <v>42.7</v>
      </c>
      <c r="U637" t="s">
        <v>374</v>
      </c>
      <c r="V637">
        <v>2897</v>
      </c>
      <c r="W637">
        <v>1</v>
      </c>
      <c r="X637">
        <v>4</v>
      </c>
      <c r="Y637">
        <v>582</v>
      </c>
      <c r="Z637">
        <v>344</v>
      </c>
      <c r="AA637">
        <v>5.05</v>
      </c>
      <c r="AB637">
        <v>50</v>
      </c>
      <c r="AC637">
        <v>36400</v>
      </c>
    </row>
    <row r="638" spans="12:29" x14ac:dyDescent="0.2">
      <c r="L638" t="s">
        <v>374</v>
      </c>
      <c r="M638">
        <v>177</v>
      </c>
      <c r="N638">
        <v>1</v>
      </c>
      <c r="O638">
        <v>4</v>
      </c>
      <c r="P638">
        <v>582</v>
      </c>
      <c r="Q638">
        <v>344</v>
      </c>
      <c r="R638">
        <v>366</v>
      </c>
      <c r="S638">
        <v>131.80000000000001</v>
      </c>
      <c r="U638" t="s">
        <v>374</v>
      </c>
      <c r="V638">
        <v>2898</v>
      </c>
      <c r="W638">
        <v>1</v>
      </c>
      <c r="X638">
        <v>4</v>
      </c>
      <c r="Y638">
        <v>582</v>
      </c>
      <c r="Z638">
        <v>344</v>
      </c>
      <c r="AA638">
        <v>5.19</v>
      </c>
      <c r="AB638">
        <v>50</v>
      </c>
      <c r="AC638">
        <v>2556.5</v>
      </c>
    </row>
    <row r="639" spans="12:29" x14ac:dyDescent="0.2">
      <c r="L639" t="s">
        <v>374</v>
      </c>
      <c r="M639">
        <v>181</v>
      </c>
      <c r="N639">
        <v>1</v>
      </c>
      <c r="O639">
        <v>4</v>
      </c>
      <c r="P639">
        <v>582</v>
      </c>
      <c r="Q639">
        <v>344</v>
      </c>
      <c r="R639">
        <v>366</v>
      </c>
      <c r="S639">
        <v>1546.28</v>
      </c>
      <c r="U639" t="s">
        <v>374</v>
      </c>
      <c r="V639">
        <v>81</v>
      </c>
      <c r="W639">
        <v>1</v>
      </c>
      <c r="X639">
        <v>4</v>
      </c>
      <c r="Y639">
        <v>590</v>
      </c>
      <c r="Z639">
        <v>344</v>
      </c>
      <c r="AA639">
        <v>5.19</v>
      </c>
      <c r="AB639">
        <v>50</v>
      </c>
      <c r="AC639">
        <v>258</v>
      </c>
    </row>
    <row r="640" spans="12:29" x14ac:dyDescent="0.2">
      <c r="L640" t="s">
        <v>374</v>
      </c>
      <c r="M640">
        <v>191</v>
      </c>
      <c r="N640">
        <v>1</v>
      </c>
      <c r="O640">
        <v>4</v>
      </c>
      <c r="P640">
        <v>582</v>
      </c>
      <c r="Q640">
        <v>344</v>
      </c>
      <c r="R640">
        <v>366</v>
      </c>
      <c r="S640">
        <v>565.76</v>
      </c>
      <c r="U640" t="s">
        <v>374</v>
      </c>
      <c r="V640">
        <v>197</v>
      </c>
      <c r="W640">
        <v>1</v>
      </c>
      <c r="X640">
        <v>4</v>
      </c>
      <c r="Y640">
        <v>590</v>
      </c>
      <c r="Z640">
        <v>344</v>
      </c>
      <c r="AA640">
        <v>5.19</v>
      </c>
      <c r="AB640">
        <v>50</v>
      </c>
      <c r="AC640">
        <v>6580</v>
      </c>
    </row>
    <row r="641" spans="12:29" x14ac:dyDescent="0.2">
      <c r="L641" t="s">
        <v>374</v>
      </c>
      <c r="M641">
        <v>192</v>
      </c>
      <c r="N641">
        <v>1</v>
      </c>
      <c r="O641">
        <v>4</v>
      </c>
      <c r="P641">
        <v>582</v>
      </c>
      <c r="Q641">
        <v>344</v>
      </c>
      <c r="R641">
        <v>366</v>
      </c>
      <c r="S641">
        <v>527.73</v>
      </c>
      <c r="U641" t="s">
        <v>374</v>
      </c>
      <c r="V641">
        <v>207</v>
      </c>
      <c r="W641">
        <v>1</v>
      </c>
      <c r="X641">
        <v>4</v>
      </c>
      <c r="Y641">
        <v>590</v>
      </c>
      <c r="Z641">
        <v>344</v>
      </c>
      <c r="AA641">
        <v>5.19</v>
      </c>
      <c r="AB641">
        <v>50</v>
      </c>
      <c r="AC641">
        <v>3895</v>
      </c>
    </row>
    <row r="642" spans="12:29" x14ac:dyDescent="0.2">
      <c r="L642" t="s">
        <v>374</v>
      </c>
      <c r="M642">
        <v>200</v>
      </c>
      <c r="N642">
        <v>1</v>
      </c>
      <c r="O642">
        <v>4</v>
      </c>
      <c r="P642">
        <v>582</v>
      </c>
      <c r="Q642">
        <v>344</v>
      </c>
      <c r="R642">
        <v>366</v>
      </c>
      <c r="S642">
        <v>211.25</v>
      </c>
      <c r="U642" t="s">
        <v>374</v>
      </c>
      <c r="V642">
        <v>595</v>
      </c>
      <c r="W642">
        <v>1</v>
      </c>
      <c r="X642">
        <v>4</v>
      </c>
      <c r="Y642">
        <v>590</v>
      </c>
      <c r="Z642">
        <v>344</v>
      </c>
      <c r="AA642">
        <v>5.05</v>
      </c>
      <c r="AB642">
        <v>50</v>
      </c>
      <c r="AC642">
        <v>26859.5</v>
      </c>
    </row>
    <row r="643" spans="12:29" x14ac:dyDescent="0.2">
      <c r="L643" t="s">
        <v>374</v>
      </c>
      <c r="M643">
        <v>204</v>
      </c>
      <c r="N643">
        <v>1</v>
      </c>
      <c r="O643">
        <v>4</v>
      </c>
      <c r="P643">
        <v>582</v>
      </c>
      <c r="Q643">
        <v>344</v>
      </c>
      <c r="R643">
        <v>366</v>
      </c>
      <c r="S643">
        <v>22.5</v>
      </c>
      <c r="U643" t="s">
        <v>374</v>
      </c>
      <c r="V643">
        <v>712</v>
      </c>
      <c r="W643">
        <v>1</v>
      </c>
      <c r="X643">
        <v>4</v>
      </c>
      <c r="Y643">
        <v>590</v>
      </c>
      <c r="Z643">
        <v>344</v>
      </c>
      <c r="AA643">
        <v>5.19</v>
      </c>
      <c r="AB643">
        <v>50</v>
      </c>
      <c r="AC643">
        <v>2000</v>
      </c>
    </row>
    <row r="644" spans="12:29" x14ac:dyDescent="0.2">
      <c r="L644" t="s">
        <v>374</v>
      </c>
      <c r="M644">
        <v>241</v>
      </c>
      <c r="N644">
        <v>1</v>
      </c>
      <c r="O644">
        <v>4</v>
      </c>
      <c r="P644">
        <v>582</v>
      </c>
      <c r="Q644">
        <v>344</v>
      </c>
      <c r="R644">
        <v>366</v>
      </c>
      <c r="S644">
        <v>202.78</v>
      </c>
      <c r="U644" t="s">
        <v>374</v>
      </c>
      <c r="V644">
        <v>831</v>
      </c>
      <c r="W644">
        <v>1</v>
      </c>
      <c r="X644">
        <v>4</v>
      </c>
      <c r="Y644">
        <v>582</v>
      </c>
      <c r="Z644">
        <v>321</v>
      </c>
      <c r="AA644">
        <v>5.19</v>
      </c>
      <c r="AB644">
        <v>50</v>
      </c>
      <c r="AC644">
        <v>161441.06</v>
      </c>
    </row>
    <row r="645" spans="12:29" x14ac:dyDescent="0.2">
      <c r="L645" t="s">
        <v>374</v>
      </c>
      <c r="M645">
        <v>255</v>
      </c>
      <c r="N645">
        <v>1</v>
      </c>
      <c r="O645">
        <v>4</v>
      </c>
      <c r="P645">
        <v>582</v>
      </c>
      <c r="Q645">
        <v>344</v>
      </c>
      <c r="R645">
        <v>366</v>
      </c>
      <c r="S645">
        <v>230.72</v>
      </c>
      <c r="U645" t="s">
        <v>374</v>
      </c>
      <c r="V645">
        <v>11</v>
      </c>
      <c r="W645">
        <v>1</v>
      </c>
      <c r="X645">
        <v>4</v>
      </c>
      <c r="Y645">
        <v>582</v>
      </c>
      <c r="Z645">
        <v>0</v>
      </c>
      <c r="AA645">
        <v>5.19</v>
      </c>
      <c r="AB645">
        <v>50</v>
      </c>
      <c r="AC645">
        <v>702721.11</v>
      </c>
    </row>
    <row r="646" spans="12:29" x14ac:dyDescent="0.2">
      <c r="L646" t="s">
        <v>374</v>
      </c>
      <c r="M646">
        <v>256</v>
      </c>
      <c r="N646">
        <v>1</v>
      </c>
      <c r="O646">
        <v>4</v>
      </c>
      <c r="P646">
        <v>582</v>
      </c>
      <c r="Q646">
        <v>344</v>
      </c>
      <c r="R646">
        <v>366</v>
      </c>
      <c r="S646">
        <v>353.45</v>
      </c>
      <c r="U646" t="s">
        <v>374</v>
      </c>
      <c r="V646">
        <v>139</v>
      </c>
      <c r="W646">
        <v>1</v>
      </c>
      <c r="X646">
        <v>4</v>
      </c>
      <c r="Y646">
        <v>582</v>
      </c>
      <c r="Z646">
        <v>0</v>
      </c>
      <c r="AA646">
        <v>5.19</v>
      </c>
      <c r="AB646">
        <v>50</v>
      </c>
      <c r="AC646">
        <v>34520.699999999997</v>
      </c>
    </row>
    <row r="647" spans="12:29" x14ac:dyDescent="0.2">
      <c r="L647" t="s">
        <v>374</v>
      </c>
      <c r="M647">
        <v>270</v>
      </c>
      <c r="N647">
        <v>1</v>
      </c>
      <c r="O647">
        <v>4</v>
      </c>
      <c r="P647">
        <v>582</v>
      </c>
      <c r="Q647">
        <v>344</v>
      </c>
      <c r="R647">
        <v>366</v>
      </c>
      <c r="S647">
        <v>199</v>
      </c>
      <c r="U647" t="s">
        <v>374</v>
      </c>
      <c r="V647">
        <v>621</v>
      </c>
      <c r="W647">
        <v>1</v>
      </c>
      <c r="X647">
        <v>4</v>
      </c>
      <c r="Y647">
        <v>582</v>
      </c>
      <c r="Z647">
        <v>0</v>
      </c>
      <c r="AA647">
        <v>5.19</v>
      </c>
      <c r="AB647">
        <v>50</v>
      </c>
      <c r="AC647">
        <v>526</v>
      </c>
    </row>
    <row r="648" spans="12:29" x14ac:dyDescent="0.2">
      <c r="L648" t="s">
        <v>374</v>
      </c>
      <c r="M648">
        <v>271</v>
      </c>
      <c r="N648">
        <v>1</v>
      </c>
      <c r="O648">
        <v>4</v>
      </c>
      <c r="P648">
        <v>582</v>
      </c>
      <c r="Q648">
        <v>344</v>
      </c>
      <c r="R648">
        <v>366</v>
      </c>
      <c r="S648">
        <v>130.51</v>
      </c>
      <c r="U648" t="s">
        <v>374</v>
      </c>
      <c r="V648">
        <v>22</v>
      </c>
      <c r="W648">
        <v>1</v>
      </c>
      <c r="X648">
        <v>4</v>
      </c>
      <c r="Y648">
        <v>0</v>
      </c>
      <c r="Z648">
        <v>344</v>
      </c>
      <c r="AA648">
        <v>5.05</v>
      </c>
      <c r="AB648">
        <v>40</v>
      </c>
      <c r="AC648">
        <v>34358.69</v>
      </c>
    </row>
    <row r="649" spans="12:29" x14ac:dyDescent="0.2">
      <c r="L649" t="s">
        <v>374</v>
      </c>
      <c r="M649">
        <v>272</v>
      </c>
      <c r="N649">
        <v>1</v>
      </c>
      <c r="O649">
        <v>4</v>
      </c>
      <c r="P649">
        <v>582</v>
      </c>
      <c r="Q649">
        <v>344</v>
      </c>
      <c r="R649">
        <v>366</v>
      </c>
      <c r="S649">
        <v>436.96</v>
      </c>
      <c r="U649" t="s">
        <v>374</v>
      </c>
      <c r="V649">
        <v>152</v>
      </c>
      <c r="W649">
        <v>1</v>
      </c>
      <c r="X649">
        <v>4</v>
      </c>
      <c r="Y649">
        <v>0</v>
      </c>
      <c r="Z649">
        <v>344</v>
      </c>
      <c r="AA649">
        <v>5.19</v>
      </c>
      <c r="AB649">
        <v>40</v>
      </c>
      <c r="AC649">
        <v>15692</v>
      </c>
    </row>
    <row r="650" spans="12:29" x14ac:dyDescent="0.2">
      <c r="L650" t="s">
        <v>374</v>
      </c>
      <c r="M650">
        <v>277</v>
      </c>
      <c r="N650">
        <v>1</v>
      </c>
      <c r="O650">
        <v>4</v>
      </c>
      <c r="P650">
        <v>582</v>
      </c>
      <c r="Q650">
        <v>344</v>
      </c>
      <c r="R650">
        <v>366</v>
      </c>
      <c r="S650">
        <v>846.54</v>
      </c>
      <c r="U650" t="s">
        <v>374</v>
      </c>
      <c r="V650">
        <v>264</v>
      </c>
      <c r="W650">
        <v>1</v>
      </c>
      <c r="X650">
        <v>4</v>
      </c>
      <c r="Y650">
        <v>0</v>
      </c>
      <c r="Z650">
        <v>344</v>
      </c>
      <c r="AA650">
        <v>5.19</v>
      </c>
      <c r="AB650">
        <v>40</v>
      </c>
      <c r="AC650">
        <v>4464</v>
      </c>
    </row>
    <row r="651" spans="12:29" x14ac:dyDescent="0.2">
      <c r="L651" t="s">
        <v>374</v>
      </c>
      <c r="M651">
        <v>278</v>
      </c>
      <c r="N651">
        <v>1</v>
      </c>
      <c r="O651">
        <v>4</v>
      </c>
      <c r="P651">
        <v>582</v>
      </c>
      <c r="Q651">
        <v>344</v>
      </c>
      <c r="R651">
        <v>366</v>
      </c>
      <c r="S651">
        <v>141.72</v>
      </c>
      <c r="U651" t="s">
        <v>374</v>
      </c>
      <c r="V651">
        <v>332</v>
      </c>
      <c r="W651">
        <v>1</v>
      </c>
      <c r="X651">
        <v>4</v>
      </c>
      <c r="Y651">
        <v>0</v>
      </c>
      <c r="Z651">
        <v>344</v>
      </c>
      <c r="AA651">
        <v>5.19</v>
      </c>
      <c r="AB651">
        <v>40</v>
      </c>
      <c r="AC651">
        <v>9689.5</v>
      </c>
    </row>
    <row r="652" spans="12:29" x14ac:dyDescent="0.2">
      <c r="L652" t="s">
        <v>374</v>
      </c>
      <c r="M652">
        <v>279</v>
      </c>
      <c r="N652">
        <v>1</v>
      </c>
      <c r="O652">
        <v>4</v>
      </c>
      <c r="P652">
        <v>582</v>
      </c>
      <c r="Q652">
        <v>344</v>
      </c>
      <c r="R652">
        <v>366</v>
      </c>
      <c r="S652">
        <v>414.69</v>
      </c>
      <c r="U652" t="s">
        <v>374</v>
      </c>
      <c r="V652">
        <v>391</v>
      </c>
      <c r="W652">
        <v>1</v>
      </c>
      <c r="X652">
        <v>4</v>
      </c>
      <c r="Y652">
        <v>0</v>
      </c>
      <c r="Z652">
        <v>344</v>
      </c>
      <c r="AA652">
        <v>5.19</v>
      </c>
      <c r="AB652">
        <v>40</v>
      </c>
      <c r="AC652">
        <v>37217.5</v>
      </c>
    </row>
    <row r="653" spans="12:29" x14ac:dyDescent="0.2">
      <c r="L653" t="s">
        <v>374</v>
      </c>
      <c r="M653">
        <v>281</v>
      </c>
      <c r="N653">
        <v>1</v>
      </c>
      <c r="O653">
        <v>4</v>
      </c>
      <c r="P653">
        <v>582</v>
      </c>
      <c r="Q653">
        <v>344</v>
      </c>
      <c r="R653">
        <v>366</v>
      </c>
      <c r="S653">
        <v>2546.84</v>
      </c>
      <c r="U653" t="s">
        <v>374</v>
      </c>
      <c r="V653">
        <v>549</v>
      </c>
      <c r="W653">
        <v>1</v>
      </c>
      <c r="X653">
        <v>4</v>
      </c>
      <c r="Y653">
        <v>0</v>
      </c>
      <c r="Z653">
        <v>344</v>
      </c>
      <c r="AA653">
        <v>5.19</v>
      </c>
      <c r="AB653">
        <v>40</v>
      </c>
      <c r="AC653">
        <v>54217.07</v>
      </c>
    </row>
    <row r="654" spans="12:29" x14ac:dyDescent="0.2">
      <c r="L654" t="s">
        <v>374</v>
      </c>
      <c r="M654">
        <v>282</v>
      </c>
      <c r="N654">
        <v>1</v>
      </c>
      <c r="O654">
        <v>4</v>
      </c>
      <c r="P654">
        <v>582</v>
      </c>
      <c r="Q654">
        <v>344</v>
      </c>
      <c r="R654">
        <v>366</v>
      </c>
      <c r="S654">
        <v>927</v>
      </c>
      <c r="U654" t="s">
        <v>374</v>
      </c>
      <c r="V654">
        <v>721</v>
      </c>
      <c r="W654">
        <v>1</v>
      </c>
      <c r="X654">
        <v>4</v>
      </c>
      <c r="Y654">
        <v>0</v>
      </c>
      <c r="Z654">
        <v>344</v>
      </c>
      <c r="AA654">
        <v>5.0199999999999996</v>
      </c>
      <c r="AB654">
        <v>40</v>
      </c>
      <c r="AC654">
        <v>130119</v>
      </c>
    </row>
    <row r="655" spans="12:29" x14ac:dyDescent="0.2">
      <c r="L655" t="s">
        <v>374</v>
      </c>
      <c r="M655">
        <v>283</v>
      </c>
      <c r="N655">
        <v>1</v>
      </c>
      <c r="O655">
        <v>4</v>
      </c>
      <c r="P655">
        <v>582</v>
      </c>
      <c r="Q655">
        <v>344</v>
      </c>
      <c r="R655">
        <v>366</v>
      </c>
      <c r="S655">
        <v>99.75</v>
      </c>
      <c r="U655" t="s">
        <v>374</v>
      </c>
      <c r="V655">
        <v>821</v>
      </c>
      <c r="W655">
        <v>1</v>
      </c>
      <c r="X655">
        <v>4</v>
      </c>
      <c r="Y655">
        <v>0</v>
      </c>
      <c r="Z655">
        <v>344</v>
      </c>
      <c r="AA655">
        <v>5.05</v>
      </c>
      <c r="AB655">
        <v>40</v>
      </c>
      <c r="AC655">
        <v>7414.5</v>
      </c>
    </row>
    <row r="656" spans="12:29" x14ac:dyDescent="0.2">
      <c r="L656" t="s">
        <v>374</v>
      </c>
      <c r="M656">
        <v>284</v>
      </c>
      <c r="N656">
        <v>1</v>
      </c>
      <c r="O656">
        <v>4</v>
      </c>
      <c r="P656">
        <v>582</v>
      </c>
      <c r="Q656">
        <v>344</v>
      </c>
      <c r="R656">
        <v>366</v>
      </c>
      <c r="S656">
        <v>2437.02</v>
      </c>
      <c r="U656" t="s">
        <v>374</v>
      </c>
      <c r="V656">
        <v>833</v>
      </c>
      <c r="W656">
        <v>1</v>
      </c>
      <c r="X656">
        <v>4</v>
      </c>
      <c r="Y656">
        <v>0</v>
      </c>
      <c r="Z656">
        <v>344</v>
      </c>
      <c r="AA656">
        <v>5.19</v>
      </c>
      <c r="AB656">
        <v>40</v>
      </c>
      <c r="AC656">
        <v>256735.38</v>
      </c>
    </row>
    <row r="657" spans="12:29" x14ac:dyDescent="0.2">
      <c r="L657" t="s">
        <v>374</v>
      </c>
      <c r="M657">
        <v>286</v>
      </c>
      <c r="N657">
        <v>1</v>
      </c>
      <c r="O657">
        <v>4</v>
      </c>
      <c r="P657">
        <v>582</v>
      </c>
      <c r="Q657">
        <v>344</v>
      </c>
      <c r="R657">
        <v>366</v>
      </c>
      <c r="S657">
        <v>1474.08</v>
      </c>
      <c r="U657" t="s">
        <v>374</v>
      </c>
      <c r="V657">
        <v>2580</v>
      </c>
      <c r="W657">
        <v>1</v>
      </c>
      <c r="X657">
        <v>4</v>
      </c>
      <c r="Y657">
        <v>0</v>
      </c>
      <c r="Z657">
        <v>344</v>
      </c>
      <c r="AA657">
        <v>5.19</v>
      </c>
      <c r="AB657">
        <v>40</v>
      </c>
      <c r="AC657">
        <v>3696</v>
      </c>
    </row>
    <row r="658" spans="12:29" x14ac:dyDescent="0.2">
      <c r="L658" t="s">
        <v>374</v>
      </c>
      <c r="M658">
        <v>299</v>
      </c>
      <c r="N658">
        <v>1</v>
      </c>
      <c r="O658">
        <v>4</v>
      </c>
      <c r="P658">
        <v>582</v>
      </c>
      <c r="Q658">
        <v>344</v>
      </c>
      <c r="R658">
        <v>366</v>
      </c>
      <c r="S658">
        <v>517.78</v>
      </c>
      <c r="U658" t="s">
        <v>374</v>
      </c>
      <c r="V658">
        <v>1</v>
      </c>
      <c r="W658">
        <v>1</v>
      </c>
      <c r="X658">
        <v>4</v>
      </c>
      <c r="Y658">
        <v>582</v>
      </c>
      <c r="Z658">
        <v>344</v>
      </c>
      <c r="AA658">
        <v>5.19</v>
      </c>
      <c r="AB658">
        <v>40</v>
      </c>
      <c r="AC658">
        <v>24957.5</v>
      </c>
    </row>
    <row r="659" spans="12:29" x14ac:dyDescent="0.2">
      <c r="L659" t="s">
        <v>374</v>
      </c>
      <c r="M659">
        <v>306</v>
      </c>
      <c r="N659">
        <v>1</v>
      </c>
      <c r="O659">
        <v>4</v>
      </c>
      <c r="P659">
        <v>582</v>
      </c>
      <c r="Q659">
        <v>344</v>
      </c>
      <c r="R659">
        <v>366</v>
      </c>
      <c r="S659">
        <v>122.5</v>
      </c>
      <c r="U659" t="s">
        <v>374</v>
      </c>
      <c r="V659">
        <v>2</v>
      </c>
      <c r="W659">
        <v>1</v>
      </c>
      <c r="X659">
        <v>4</v>
      </c>
      <c r="Y659">
        <v>582</v>
      </c>
      <c r="Z659">
        <v>344</v>
      </c>
      <c r="AA659">
        <v>5.19</v>
      </c>
      <c r="AB659">
        <v>40</v>
      </c>
      <c r="AC659">
        <v>617</v>
      </c>
    </row>
    <row r="660" spans="12:29" x14ac:dyDescent="0.2">
      <c r="L660" t="s">
        <v>374</v>
      </c>
      <c r="M660">
        <v>314</v>
      </c>
      <c r="N660">
        <v>1</v>
      </c>
      <c r="O660">
        <v>4</v>
      </c>
      <c r="P660">
        <v>582</v>
      </c>
      <c r="Q660">
        <v>344</v>
      </c>
      <c r="R660">
        <v>366</v>
      </c>
      <c r="S660">
        <v>245</v>
      </c>
      <c r="U660" t="s">
        <v>374</v>
      </c>
      <c r="V660">
        <v>4</v>
      </c>
      <c r="W660">
        <v>1</v>
      </c>
      <c r="X660">
        <v>4</v>
      </c>
      <c r="Y660">
        <v>582</v>
      </c>
      <c r="Z660">
        <v>344</v>
      </c>
      <c r="AA660">
        <v>5.19</v>
      </c>
      <c r="AB660">
        <v>40</v>
      </c>
      <c r="AC660">
        <v>3960</v>
      </c>
    </row>
    <row r="661" spans="12:29" x14ac:dyDescent="0.2">
      <c r="L661" t="s">
        <v>374</v>
      </c>
      <c r="M661">
        <v>317</v>
      </c>
      <c r="N661">
        <v>1</v>
      </c>
      <c r="O661">
        <v>4</v>
      </c>
      <c r="P661">
        <v>582</v>
      </c>
      <c r="Q661">
        <v>344</v>
      </c>
      <c r="R661">
        <v>366</v>
      </c>
      <c r="S661">
        <v>732.88</v>
      </c>
      <c r="U661" t="s">
        <v>374</v>
      </c>
      <c r="V661">
        <v>47</v>
      </c>
      <c r="W661">
        <v>1</v>
      </c>
      <c r="X661">
        <v>4</v>
      </c>
      <c r="Y661">
        <v>582</v>
      </c>
      <c r="Z661">
        <v>344</v>
      </c>
      <c r="AA661">
        <v>5.19</v>
      </c>
      <c r="AB661">
        <v>40</v>
      </c>
      <c r="AC661">
        <v>42365.22</v>
      </c>
    </row>
    <row r="662" spans="12:29" x14ac:dyDescent="0.2">
      <c r="L662" t="s">
        <v>374</v>
      </c>
      <c r="M662">
        <v>318</v>
      </c>
      <c r="N662">
        <v>1</v>
      </c>
      <c r="O662">
        <v>4</v>
      </c>
      <c r="P662">
        <v>582</v>
      </c>
      <c r="Q662">
        <v>344</v>
      </c>
      <c r="R662">
        <v>366</v>
      </c>
      <c r="S662">
        <v>528.73</v>
      </c>
      <c r="U662" t="s">
        <v>374</v>
      </c>
      <c r="V662">
        <v>88</v>
      </c>
      <c r="W662">
        <v>1</v>
      </c>
      <c r="X662">
        <v>4</v>
      </c>
      <c r="Y662">
        <v>582</v>
      </c>
      <c r="Z662">
        <v>344</v>
      </c>
      <c r="AA662">
        <v>5.19</v>
      </c>
      <c r="AB662">
        <v>40</v>
      </c>
      <c r="AC662">
        <v>9485</v>
      </c>
    </row>
    <row r="663" spans="12:29" x14ac:dyDescent="0.2">
      <c r="L663" t="s">
        <v>374</v>
      </c>
      <c r="M663">
        <v>381</v>
      </c>
      <c r="N663">
        <v>1</v>
      </c>
      <c r="O663">
        <v>4</v>
      </c>
      <c r="P663">
        <v>582</v>
      </c>
      <c r="Q663">
        <v>344</v>
      </c>
      <c r="R663">
        <v>366</v>
      </c>
      <c r="S663">
        <v>192</v>
      </c>
      <c r="U663" t="s">
        <v>374</v>
      </c>
      <c r="V663">
        <v>94</v>
      </c>
      <c r="W663">
        <v>1</v>
      </c>
      <c r="X663">
        <v>4</v>
      </c>
      <c r="Y663">
        <v>582</v>
      </c>
      <c r="Z663">
        <v>344</v>
      </c>
      <c r="AA663">
        <v>5.19</v>
      </c>
      <c r="AB663">
        <v>40</v>
      </c>
      <c r="AC663">
        <v>12985.45</v>
      </c>
    </row>
    <row r="664" spans="12:29" x14ac:dyDescent="0.2">
      <c r="L664" t="s">
        <v>374</v>
      </c>
      <c r="M664">
        <v>394</v>
      </c>
      <c r="N664">
        <v>1</v>
      </c>
      <c r="O664">
        <v>4</v>
      </c>
      <c r="P664">
        <v>582</v>
      </c>
      <c r="Q664">
        <v>344</v>
      </c>
      <c r="R664">
        <v>366</v>
      </c>
      <c r="S664">
        <v>400</v>
      </c>
      <c r="U664" t="s">
        <v>374</v>
      </c>
      <c r="V664">
        <v>97</v>
      </c>
      <c r="W664">
        <v>1</v>
      </c>
      <c r="X664">
        <v>4</v>
      </c>
      <c r="Y664">
        <v>582</v>
      </c>
      <c r="Z664">
        <v>344</v>
      </c>
      <c r="AA664">
        <v>5.19</v>
      </c>
      <c r="AB664">
        <v>40</v>
      </c>
      <c r="AC664">
        <v>5047.5</v>
      </c>
    </row>
    <row r="665" spans="12:29" x14ac:dyDescent="0.2">
      <c r="L665" t="s">
        <v>374</v>
      </c>
      <c r="M665">
        <v>413</v>
      </c>
      <c r="N665">
        <v>1</v>
      </c>
      <c r="O665">
        <v>4</v>
      </c>
      <c r="P665">
        <v>582</v>
      </c>
      <c r="Q665">
        <v>344</v>
      </c>
      <c r="R665">
        <v>366</v>
      </c>
      <c r="S665">
        <v>91.52</v>
      </c>
      <c r="U665" t="s">
        <v>374</v>
      </c>
      <c r="V665">
        <v>99</v>
      </c>
      <c r="W665">
        <v>1</v>
      </c>
      <c r="X665">
        <v>4</v>
      </c>
      <c r="Y665">
        <v>582</v>
      </c>
      <c r="Z665">
        <v>344</v>
      </c>
      <c r="AA665">
        <v>5.19</v>
      </c>
      <c r="AB665">
        <v>40</v>
      </c>
      <c r="AC665">
        <v>21763.4</v>
      </c>
    </row>
    <row r="666" spans="12:29" x14ac:dyDescent="0.2">
      <c r="L666" t="s">
        <v>374</v>
      </c>
      <c r="M666">
        <v>423</v>
      </c>
      <c r="N666">
        <v>1</v>
      </c>
      <c r="O666">
        <v>4</v>
      </c>
      <c r="P666">
        <v>582</v>
      </c>
      <c r="Q666">
        <v>344</v>
      </c>
      <c r="R666">
        <v>366</v>
      </c>
      <c r="S666">
        <v>50</v>
      </c>
      <c r="U666" t="s">
        <v>374</v>
      </c>
      <c r="V666">
        <v>112</v>
      </c>
      <c r="W666">
        <v>1</v>
      </c>
      <c r="X666">
        <v>4</v>
      </c>
      <c r="Y666">
        <v>582</v>
      </c>
      <c r="Z666">
        <v>344</v>
      </c>
      <c r="AA666">
        <v>5.19</v>
      </c>
      <c r="AB666">
        <v>40</v>
      </c>
      <c r="AC666">
        <v>21634.55</v>
      </c>
    </row>
    <row r="667" spans="12:29" x14ac:dyDescent="0.2">
      <c r="L667" t="s">
        <v>374</v>
      </c>
      <c r="M667">
        <v>424</v>
      </c>
      <c r="N667">
        <v>1</v>
      </c>
      <c r="O667">
        <v>4</v>
      </c>
      <c r="P667">
        <v>582</v>
      </c>
      <c r="Q667">
        <v>344</v>
      </c>
      <c r="R667">
        <v>366</v>
      </c>
      <c r="S667">
        <v>784.5</v>
      </c>
      <c r="U667" t="s">
        <v>374</v>
      </c>
      <c r="V667">
        <v>116</v>
      </c>
      <c r="W667">
        <v>1</v>
      </c>
      <c r="X667">
        <v>4</v>
      </c>
      <c r="Y667">
        <v>582</v>
      </c>
      <c r="Z667">
        <v>344</v>
      </c>
      <c r="AA667">
        <v>5.19</v>
      </c>
      <c r="AB667">
        <v>40</v>
      </c>
      <c r="AC667">
        <v>25948.6</v>
      </c>
    </row>
    <row r="668" spans="12:29" x14ac:dyDescent="0.2">
      <c r="L668" t="s">
        <v>374</v>
      </c>
      <c r="M668">
        <v>465</v>
      </c>
      <c r="N668">
        <v>1</v>
      </c>
      <c r="O668">
        <v>4</v>
      </c>
      <c r="P668">
        <v>582</v>
      </c>
      <c r="Q668">
        <v>344</v>
      </c>
      <c r="R668">
        <v>366</v>
      </c>
      <c r="S668">
        <v>983.81</v>
      </c>
      <c r="U668" t="s">
        <v>374</v>
      </c>
      <c r="V668">
        <v>166</v>
      </c>
      <c r="W668">
        <v>1</v>
      </c>
      <c r="X668">
        <v>4</v>
      </c>
      <c r="Y668">
        <v>582</v>
      </c>
      <c r="Z668">
        <v>344</v>
      </c>
      <c r="AA668">
        <v>5.19</v>
      </c>
      <c r="AB668">
        <v>40</v>
      </c>
      <c r="AC668">
        <v>4400</v>
      </c>
    </row>
    <row r="669" spans="12:29" x14ac:dyDescent="0.2">
      <c r="L669" t="s">
        <v>374</v>
      </c>
      <c r="M669">
        <v>466</v>
      </c>
      <c r="N669">
        <v>1</v>
      </c>
      <c r="O669">
        <v>4</v>
      </c>
      <c r="P669">
        <v>582</v>
      </c>
      <c r="Q669">
        <v>344</v>
      </c>
      <c r="R669">
        <v>366</v>
      </c>
      <c r="S669">
        <v>455.92</v>
      </c>
      <c r="U669" t="s">
        <v>374</v>
      </c>
      <c r="V669">
        <v>181</v>
      </c>
      <c r="W669">
        <v>1</v>
      </c>
      <c r="X669">
        <v>4</v>
      </c>
      <c r="Y669">
        <v>582</v>
      </c>
      <c r="Z669">
        <v>344</v>
      </c>
      <c r="AA669">
        <v>5.19</v>
      </c>
      <c r="AB669">
        <v>40</v>
      </c>
      <c r="AC669">
        <v>132290.21</v>
      </c>
    </row>
    <row r="670" spans="12:29" x14ac:dyDescent="0.2">
      <c r="L670" t="s">
        <v>374</v>
      </c>
      <c r="M670">
        <v>477</v>
      </c>
      <c r="N670">
        <v>1</v>
      </c>
      <c r="O670">
        <v>4</v>
      </c>
      <c r="P670">
        <v>582</v>
      </c>
      <c r="Q670">
        <v>344</v>
      </c>
      <c r="R670">
        <v>366</v>
      </c>
      <c r="S670">
        <v>435.25</v>
      </c>
      <c r="U670" t="s">
        <v>374</v>
      </c>
      <c r="V670">
        <v>182</v>
      </c>
      <c r="W670">
        <v>1</v>
      </c>
      <c r="X670">
        <v>4</v>
      </c>
      <c r="Y670">
        <v>582</v>
      </c>
      <c r="Z670">
        <v>344</v>
      </c>
      <c r="AA670">
        <v>5.19</v>
      </c>
      <c r="AB670">
        <v>40</v>
      </c>
      <c r="AC670">
        <v>375</v>
      </c>
    </row>
    <row r="671" spans="12:29" x14ac:dyDescent="0.2">
      <c r="L671" t="s">
        <v>374</v>
      </c>
      <c r="M671">
        <v>492</v>
      </c>
      <c r="N671">
        <v>1</v>
      </c>
      <c r="O671">
        <v>4</v>
      </c>
      <c r="P671">
        <v>582</v>
      </c>
      <c r="Q671">
        <v>344</v>
      </c>
      <c r="R671">
        <v>366</v>
      </c>
      <c r="S671">
        <v>945.05</v>
      </c>
      <c r="U671" t="s">
        <v>374</v>
      </c>
      <c r="V671">
        <v>186</v>
      </c>
      <c r="W671">
        <v>1</v>
      </c>
      <c r="X671">
        <v>4</v>
      </c>
      <c r="Y671">
        <v>582</v>
      </c>
      <c r="Z671">
        <v>344</v>
      </c>
      <c r="AA671">
        <v>5.19</v>
      </c>
      <c r="AB671">
        <v>40</v>
      </c>
      <c r="AC671">
        <v>26045.5</v>
      </c>
    </row>
    <row r="672" spans="12:29" x14ac:dyDescent="0.2">
      <c r="L672" t="s">
        <v>374</v>
      </c>
      <c r="M672">
        <v>508</v>
      </c>
      <c r="N672">
        <v>1</v>
      </c>
      <c r="O672">
        <v>4</v>
      </c>
      <c r="P672">
        <v>582</v>
      </c>
      <c r="Q672">
        <v>344</v>
      </c>
      <c r="R672">
        <v>366</v>
      </c>
      <c r="S672">
        <v>46.62</v>
      </c>
      <c r="U672" t="s">
        <v>374</v>
      </c>
      <c r="V672">
        <v>192</v>
      </c>
      <c r="W672">
        <v>1</v>
      </c>
      <c r="X672">
        <v>4</v>
      </c>
      <c r="Y672">
        <v>582</v>
      </c>
      <c r="Z672">
        <v>344</v>
      </c>
      <c r="AA672">
        <v>5.05</v>
      </c>
      <c r="AB672">
        <v>40</v>
      </c>
      <c r="AC672">
        <v>720</v>
      </c>
    </row>
    <row r="673" spans="12:29" x14ac:dyDescent="0.2">
      <c r="L673" t="s">
        <v>374</v>
      </c>
      <c r="M673">
        <v>531</v>
      </c>
      <c r="N673">
        <v>1</v>
      </c>
      <c r="O673">
        <v>4</v>
      </c>
      <c r="P673">
        <v>582</v>
      </c>
      <c r="Q673">
        <v>344</v>
      </c>
      <c r="R673">
        <v>366</v>
      </c>
      <c r="S673">
        <v>120.65</v>
      </c>
      <c r="U673" t="s">
        <v>374</v>
      </c>
      <c r="V673">
        <v>196</v>
      </c>
      <c r="W673">
        <v>1</v>
      </c>
      <c r="X673">
        <v>4</v>
      </c>
      <c r="Y673">
        <v>582</v>
      </c>
      <c r="Z673">
        <v>344</v>
      </c>
      <c r="AA673">
        <v>5.19</v>
      </c>
      <c r="AB673">
        <v>40</v>
      </c>
      <c r="AC673">
        <v>140332.04</v>
      </c>
    </row>
    <row r="674" spans="12:29" x14ac:dyDescent="0.2">
      <c r="L674" t="s">
        <v>374</v>
      </c>
      <c r="M674">
        <v>542</v>
      </c>
      <c r="N674">
        <v>1</v>
      </c>
      <c r="O674">
        <v>4</v>
      </c>
      <c r="P674">
        <v>582</v>
      </c>
      <c r="Q674">
        <v>344</v>
      </c>
      <c r="R674">
        <v>366</v>
      </c>
      <c r="S674">
        <v>207.38</v>
      </c>
      <c r="U674" t="s">
        <v>374</v>
      </c>
      <c r="V674">
        <v>206</v>
      </c>
      <c r="W674">
        <v>1</v>
      </c>
      <c r="X674">
        <v>4</v>
      </c>
      <c r="Y674">
        <v>582</v>
      </c>
      <c r="Z674">
        <v>344</v>
      </c>
      <c r="AA674">
        <v>5.19</v>
      </c>
      <c r="AB674">
        <v>40</v>
      </c>
      <c r="AC674">
        <v>82107.520000000004</v>
      </c>
    </row>
    <row r="675" spans="12:29" x14ac:dyDescent="0.2">
      <c r="L675" t="s">
        <v>374</v>
      </c>
      <c r="M675">
        <v>544</v>
      </c>
      <c r="N675">
        <v>1</v>
      </c>
      <c r="O675">
        <v>4</v>
      </c>
      <c r="P675">
        <v>582</v>
      </c>
      <c r="Q675">
        <v>344</v>
      </c>
      <c r="R675">
        <v>366</v>
      </c>
      <c r="S675">
        <v>215.6</v>
      </c>
      <c r="U675" t="s">
        <v>374</v>
      </c>
      <c r="V675">
        <v>213</v>
      </c>
      <c r="W675">
        <v>1</v>
      </c>
      <c r="X675">
        <v>4</v>
      </c>
      <c r="Y675">
        <v>582</v>
      </c>
      <c r="Z675">
        <v>344</v>
      </c>
      <c r="AA675">
        <v>5.19</v>
      </c>
      <c r="AB675">
        <v>40</v>
      </c>
      <c r="AC675">
        <v>19625.900000000001</v>
      </c>
    </row>
    <row r="676" spans="12:29" x14ac:dyDescent="0.2">
      <c r="L676" t="s">
        <v>374</v>
      </c>
      <c r="M676">
        <v>545</v>
      </c>
      <c r="N676">
        <v>1</v>
      </c>
      <c r="O676">
        <v>4</v>
      </c>
      <c r="P676">
        <v>582</v>
      </c>
      <c r="Q676">
        <v>344</v>
      </c>
      <c r="R676">
        <v>366</v>
      </c>
      <c r="S676">
        <v>71.2</v>
      </c>
      <c r="U676" t="s">
        <v>374</v>
      </c>
      <c r="V676">
        <v>227</v>
      </c>
      <c r="W676">
        <v>1</v>
      </c>
      <c r="X676">
        <v>4</v>
      </c>
      <c r="Y676">
        <v>582</v>
      </c>
      <c r="Z676">
        <v>344</v>
      </c>
      <c r="AA676">
        <v>5.19</v>
      </c>
      <c r="AB676">
        <v>40</v>
      </c>
      <c r="AC676">
        <v>61990.400000000001</v>
      </c>
    </row>
    <row r="677" spans="12:29" x14ac:dyDescent="0.2">
      <c r="L677" t="s">
        <v>374</v>
      </c>
      <c r="M677">
        <v>564</v>
      </c>
      <c r="N677">
        <v>1</v>
      </c>
      <c r="O677">
        <v>4</v>
      </c>
      <c r="P677">
        <v>582</v>
      </c>
      <c r="Q677">
        <v>344</v>
      </c>
      <c r="R677">
        <v>366</v>
      </c>
      <c r="S677">
        <v>336.93</v>
      </c>
      <c r="U677" t="s">
        <v>374</v>
      </c>
      <c r="V677">
        <v>241</v>
      </c>
      <c r="W677">
        <v>1</v>
      </c>
      <c r="X677">
        <v>4</v>
      </c>
      <c r="Y677">
        <v>582</v>
      </c>
      <c r="Z677">
        <v>344</v>
      </c>
      <c r="AA677">
        <v>5.19</v>
      </c>
      <c r="AB677">
        <v>40</v>
      </c>
      <c r="AC677">
        <v>32852</v>
      </c>
    </row>
    <row r="678" spans="12:29" x14ac:dyDescent="0.2">
      <c r="L678" t="s">
        <v>374</v>
      </c>
      <c r="M678">
        <v>581</v>
      </c>
      <c r="N678">
        <v>1</v>
      </c>
      <c r="O678">
        <v>4</v>
      </c>
      <c r="P678">
        <v>582</v>
      </c>
      <c r="Q678">
        <v>344</v>
      </c>
      <c r="R678">
        <v>366</v>
      </c>
      <c r="S678">
        <v>49.5</v>
      </c>
      <c r="U678" t="s">
        <v>374</v>
      </c>
      <c r="V678">
        <v>255</v>
      </c>
      <c r="W678">
        <v>1</v>
      </c>
      <c r="X678">
        <v>4</v>
      </c>
      <c r="Y678">
        <v>582</v>
      </c>
      <c r="Z678">
        <v>344</v>
      </c>
      <c r="AA678">
        <v>5.19</v>
      </c>
      <c r="AB678">
        <v>40</v>
      </c>
      <c r="AC678">
        <v>30821.25</v>
      </c>
    </row>
    <row r="679" spans="12:29" x14ac:dyDescent="0.2">
      <c r="L679" t="s">
        <v>374</v>
      </c>
      <c r="M679">
        <v>601</v>
      </c>
      <c r="N679">
        <v>1</v>
      </c>
      <c r="O679">
        <v>4</v>
      </c>
      <c r="P679">
        <v>582</v>
      </c>
      <c r="Q679">
        <v>344</v>
      </c>
      <c r="R679">
        <v>366</v>
      </c>
      <c r="S679">
        <v>11.5</v>
      </c>
      <c r="U679" t="s">
        <v>374</v>
      </c>
      <c r="V679">
        <v>272</v>
      </c>
      <c r="W679">
        <v>1</v>
      </c>
      <c r="X679">
        <v>4</v>
      </c>
      <c r="Y679">
        <v>582</v>
      </c>
      <c r="Z679">
        <v>344</v>
      </c>
      <c r="AA679">
        <v>5.19</v>
      </c>
      <c r="AB679">
        <v>40</v>
      </c>
      <c r="AC679">
        <v>5184.9799999999996</v>
      </c>
    </row>
    <row r="680" spans="12:29" x14ac:dyDescent="0.2">
      <c r="L680" t="s">
        <v>374</v>
      </c>
      <c r="M680">
        <v>621</v>
      </c>
      <c r="N680">
        <v>1</v>
      </c>
      <c r="O680">
        <v>4</v>
      </c>
      <c r="P680">
        <v>582</v>
      </c>
      <c r="Q680">
        <v>344</v>
      </c>
      <c r="R680">
        <v>366</v>
      </c>
      <c r="S680">
        <v>321.27999999999997</v>
      </c>
      <c r="U680" t="s">
        <v>374</v>
      </c>
      <c r="V680">
        <v>279</v>
      </c>
      <c r="W680">
        <v>1</v>
      </c>
      <c r="X680">
        <v>4</v>
      </c>
      <c r="Y680">
        <v>582</v>
      </c>
      <c r="Z680">
        <v>344</v>
      </c>
      <c r="AA680">
        <v>5.0999999999999996</v>
      </c>
      <c r="AB680">
        <v>40</v>
      </c>
      <c r="AC680">
        <v>85020.55</v>
      </c>
    </row>
    <row r="681" spans="12:29" x14ac:dyDescent="0.2">
      <c r="L681" t="s">
        <v>374</v>
      </c>
      <c r="M681">
        <v>622</v>
      </c>
      <c r="N681">
        <v>1</v>
      </c>
      <c r="O681">
        <v>4</v>
      </c>
      <c r="P681">
        <v>582</v>
      </c>
      <c r="Q681">
        <v>344</v>
      </c>
      <c r="R681">
        <v>366</v>
      </c>
      <c r="S681">
        <v>1394.64</v>
      </c>
      <c r="U681" t="s">
        <v>374</v>
      </c>
      <c r="V681">
        <v>283</v>
      </c>
      <c r="W681">
        <v>1</v>
      </c>
      <c r="X681">
        <v>4</v>
      </c>
      <c r="Y681">
        <v>582</v>
      </c>
      <c r="Z681">
        <v>344</v>
      </c>
      <c r="AA681">
        <v>5.19</v>
      </c>
      <c r="AB681">
        <v>40</v>
      </c>
      <c r="AC681">
        <v>160</v>
      </c>
    </row>
    <row r="682" spans="12:29" x14ac:dyDescent="0.2">
      <c r="L682" t="s">
        <v>374</v>
      </c>
      <c r="M682">
        <v>624</v>
      </c>
      <c r="N682">
        <v>1</v>
      </c>
      <c r="O682">
        <v>4</v>
      </c>
      <c r="P682">
        <v>582</v>
      </c>
      <c r="Q682">
        <v>344</v>
      </c>
      <c r="R682">
        <v>366</v>
      </c>
      <c r="S682">
        <v>13.58</v>
      </c>
      <c r="U682" t="s">
        <v>374</v>
      </c>
      <c r="V682">
        <v>297</v>
      </c>
      <c r="W682">
        <v>1</v>
      </c>
      <c r="X682">
        <v>4</v>
      </c>
      <c r="Y682">
        <v>582</v>
      </c>
      <c r="Z682">
        <v>344</v>
      </c>
      <c r="AA682">
        <v>5.19</v>
      </c>
      <c r="AB682">
        <v>40</v>
      </c>
      <c r="AC682">
        <v>935</v>
      </c>
    </row>
    <row r="683" spans="12:29" x14ac:dyDescent="0.2">
      <c r="L683" t="s">
        <v>374</v>
      </c>
      <c r="M683">
        <v>625</v>
      </c>
      <c r="N683">
        <v>1</v>
      </c>
      <c r="O683">
        <v>4</v>
      </c>
      <c r="P683">
        <v>582</v>
      </c>
      <c r="Q683">
        <v>344</v>
      </c>
      <c r="R683">
        <v>366</v>
      </c>
      <c r="S683">
        <v>9548.98</v>
      </c>
      <c r="U683" t="s">
        <v>374</v>
      </c>
      <c r="V683">
        <v>309</v>
      </c>
      <c r="W683">
        <v>1</v>
      </c>
      <c r="X683">
        <v>4</v>
      </c>
      <c r="Y683">
        <v>582</v>
      </c>
      <c r="Z683">
        <v>344</v>
      </c>
      <c r="AA683">
        <v>5.19</v>
      </c>
      <c r="AB683">
        <v>40</v>
      </c>
      <c r="AC683">
        <v>30270.5</v>
      </c>
    </row>
    <row r="684" spans="12:29" x14ac:dyDescent="0.2">
      <c r="L684" t="s">
        <v>374</v>
      </c>
      <c r="M684">
        <v>640</v>
      </c>
      <c r="N684">
        <v>1</v>
      </c>
      <c r="O684">
        <v>4</v>
      </c>
      <c r="P684">
        <v>582</v>
      </c>
      <c r="Q684">
        <v>344</v>
      </c>
      <c r="R684">
        <v>366</v>
      </c>
      <c r="S684">
        <v>347</v>
      </c>
      <c r="U684" t="s">
        <v>374</v>
      </c>
      <c r="V684">
        <v>317</v>
      </c>
      <c r="W684">
        <v>1</v>
      </c>
      <c r="X684">
        <v>4</v>
      </c>
      <c r="Y684">
        <v>582</v>
      </c>
      <c r="Z684">
        <v>344</v>
      </c>
      <c r="AA684">
        <v>5.19</v>
      </c>
      <c r="AB684">
        <v>40</v>
      </c>
      <c r="AC684">
        <v>6720.64</v>
      </c>
    </row>
    <row r="685" spans="12:29" x14ac:dyDescent="0.2">
      <c r="L685" t="s">
        <v>374</v>
      </c>
      <c r="M685">
        <v>659</v>
      </c>
      <c r="N685">
        <v>1</v>
      </c>
      <c r="O685">
        <v>4</v>
      </c>
      <c r="P685">
        <v>582</v>
      </c>
      <c r="Q685">
        <v>344</v>
      </c>
      <c r="R685">
        <v>366</v>
      </c>
      <c r="S685">
        <v>1092.75</v>
      </c>
      <c r="U685" t="s">
        <v>374</v>
      </c>
      <c r="V685">
        <v>333</v>
      </c>
      <c r="W685">
        <v>1</v>
      </c>
      <c r="X685">
        <v>4</v>
      </c>
      <c r="Y685">
        <v>582</v>
      </c>
      <c r="Z685">
        <v>344</v>
      </c>
      <c r="AA685">
        <v>5.19</v>
      </c>
      <c r="AB685">
        <v>40</v>
      </c>
      <c r="AC685">
        <v>20920.5</v>
      </c>
    </row>
    <row r="686" spans="12:29" x14ac:dyDescent="0.2">
      <c r="L686" t="s">
        <v>374</v>
      </c>
      <c r="M686">
        <v>696</v>
      </c>
      <c r="N686">
        <v>1</v>
      </c>
      <c r="O686">
        <v>4</v>
      </c>
      <c r="P686">
        <v>582</v>
      </c>
      <c r="Q686">
        <v>344</v>
      </c>
      <c r="R686">
        <v>366</v>
      </c>
      <c r="S686">
        <v>65</v>
      </c>
      <c r="U686" t="s">
        <v>374</v>
      </c>
      <c r="V686">
        <v>345</v>
      </c>
      <c r="W686">
        <v>1</v>
      </c>
      <c r="X686">
        <v>4</v>
      </c>
      <c r="Y686">
        <v>582</v>
      </c>
      <c r="Z686">
        <v>344</v>
      </c>
      <c r="AA686">
        <v>5.19</v>
      </c>
      <c r="AB686">
        <v>40</v>
      </c>
      <c r="AC686">
        <v>20732.330000000002</v>
      </c>
    </row>
    <row r="687" spans="12:29" x14ac:dyDescent="0.2">
      <c r="L687" t="s">
        <v>374</v>
      </c>
      <c r="M687">
        <v>700</v>
      </c>
      <c r="N687">
        <v>1</v>
      </c>
      <c r="O687">
        <v>4</v>
      </c>
      <c r="P687">
        <v>582</v>
      </c>
      <c r="Q687">
        <v>344</v>
      </c>
      <c r="R687">
        <v>366</v>
      </c>
      <c r="S687">
        <v>876.42</v>
      </c>
      <c r="U687" t="s">
        <v>374</v>
      </c>
      <c r="V687">
        <v>347</v>
      </c>
      <c r="W687">
        <v>1</v>
      </c>
      <c r="X687">
        <v>4</v>
      </c>
      <c r="Y687">
        <v>582</v>
      </c>
      <c r="Z687">
        <v>344</v>
      </c>
      <c r="AA687">
        <v>5.19</v>
      </c>
      <c r="AB687">
        <v>40</v>
      </c>
      <c r="AC687">
        <v>16863.21</v>
      </c>
    </row>
    <row r="688" spans="12:29" x14ac:dyDescent="0.2">
      <c r="L688" t="s">
        <v>374</v>
      </c>
      <c r="M688">
        <v>709</v>
      </c>
      <c r="N688">
        <v>1</v>
      </c>
      <c r="O688">
        <v>4</v>
      </c>
      <c r="P688">
        <v>582</v>
      </c>
      <c r="Q688">
        <v>344</v>
      </c>
      <c r="R688">
        <v>366</v>
      </c>
      <c r="S688">
        <v>246.39</v>
      </c>
      <c r="U688" t="s">
        <v>374</v>
      </c>
      <c r="V688">
        <v>347</v>
      </c>
      <c r="W688">
        <v>1</v>
      </c>
      <c r="X688">
        <v>4</v>
      </c>
      <c r="Y688">
        <v>582</v>
      </c>
      <c r="Z688">
        <v>344</v>
      </c>
      <c r="AA688">
        <v>5.19</v>
      </c>
      <c r="AB688">
        <v>40</v>
      </c>
      <c r="AC688">
        <v>9553.6200000000008</v>
      </c>
    </row>
    <row r="689" spans="12:29" x14ac:dyDescent="0.2">
      <c r="L689" t="s">
        <v>374</v>
      </c>
      <c r="M689">
        <v>719</v>
      </c>
      <c r="N689">
        <v>1</v>
      </c>
      <c r="O689">
        <v>4</v>
      </c>
      <c r="P689">
        <v>582</v>
      </c>
      <c r="Q689">
        <v>344</v>
      </c>
      <c r="R689">
        <v>366</v>
      </c>
      <c r="S689">
        <v>538.15</v>
      </c>
      <c r="U689" t="s">
        <v>374</v>
      </c>
      <c r="V689">
        <v>361</v>
      </c>
      <c r="W689">
        <v>1</v>
      </c>
      <c r="X689">
        <v>4</v>
      </c>
      <c r="Y689">
        <v>582</v>
      </c>
      <c r="Z689">
        <v>344</v>
      </c>
      <c r="AA689">
        <v>5.19</v>
      </c>
      <c r="AB689">
        <v>40</v>
      </c>
      <c r="AC689">
        <v>50107.5</v>
      </c>
    </row>
    <row r="690" spans="12:29" x14ac:dyDescent="0.2">
      <c r="L690" t="s">
        <v>374</v>
      </c>
      <c r="M690">
        <v>720</v>
      </c>
      <c r="N690">
        <v>1</v>
      </c>
      <c r="O690">
        <v>4</v>
      </c>
      <c r="P690">
        <v>582</v>
      </c>
      <c r="Q690">
        <v>344</v>
      </c>
      <c r="R690">
        <v>366</v>
      </c>
      <c r="S690">
        <v>1262.69</v>
      </c>
      <c r="U690" t="s">
        <v>374</v>
      </c>
      <c r="V690">
        <v>390</v>
      </c>
      <c r="W690">
        <v>1</v>
      </c>
      <c r="X690">
        <v>4</v>
      </c>
      <c r="Y690">
        <v>582</v>
      </c>
      <c r="Z690">
        <v>344</v>
      </c>
      <c r="AA690">
        <v>5.19</v>
      </c>
      <c r="AB690">
        <v>40</v>
      </c>
      <c r="AC690">
        <v>6345</v>
      </c>
    </row>
    <row r="691" spans="12:29" x14ac:dyDescent="0.2">
      <c r="L691" t="s">
        <v>374</v>
      </c>
      <c r="M691">
        <v>721</v>
      </c>
      <c r="N691">
        <v>1</v>
      </c>
      <c r="O691">
        <v>4</v>
      </c>
      <c r="P691">
        <v>582</v>
      </c>
      <c r="Q691">
        <v>344</v>
      </c>
      <c r="R691">
        <v>366</v>
      </c>
      <c r="S691">
        <v>1167.7</v>
      </c>
      <c r="U691" t="s">
        <v>374</v>
      </c>
      <c r="V691">
        <v>392</v>
      </c>
      <c r="W691">
        <v>1</v>
      </c>
      <c r="X691">
        <v>4</v>
      </c>
      <c r="Y691">
        <v>582</v>
      </c>
      <c r="Z691">
        <v>344</v>
      </c>
      <c r="AA691">
        <v>5.19</v>
      </c>
      <c r="AB691">
        <v>40</v>
      </c>
      <c r="AC691">
        <v>32550.7</v>
      </c>
    </row>
    <row r="692" spans="12:29" x14ac:dyDescent="0.2">
      <c r="L692" t="s">
        <v>374</v>
      </c>
      <c r="M692">
        <v>728</v>
      </c>
      <c r="N692">
        <v>1</v>
      </c>
      <c r="O692">
        <v>4</v>
      </c>
      <c r="P692">
        <v>582</v>
      </c>
      <c r="Q692">
        <v>344</v>
      </c>
      <c r="R692">
        <v>366</v>
      </c>
      <c r="S692">
        <v>70.2</v>
      </c>
      <c r="U692" t="s">
        <v>374</v>
      </c>
      <c r="V692">
        <v>394</v>
      </c>
      <c r="W692">
        <v>1</v>
      </c>
      <c r="X692">
        <v>4</v>
      </c>
      <c r="Y692">
        <v>582</v>
      </c>
      <c r="Z692">
        <v>344</v>
      </c>
      <c r="AA692">
        <v>5.19</v>
      </c>
      <c r="AB692">
        <v>40</v>
      </c>
      <c r="AC692">
        <v>31825.19</v>
      </c>
    </row>
    <row r="693" spans="12:29" x14ac:dyDescent="0.2">
      <c r="L693" t="s">
        <v>374</v>
      </c>
      <c r="M693">
        <v>742</v>
      </c>
      <c r="N693">
        <v>1</v>
      </c>
      <c r="O693">
        <v>4</v>
      </c>
      <c r="P693">
        <v>582</v>
      </c>
      <c r="Q693">
        <v>344</v>
      </c>
      <c r="R693">
        <v>366</v>
      </c>
      <c r="S693">
        <v>643.33000000000004</v>
      </c>
      <c r="U693" t="s">
        <v>374</v>
      </c>
      <c r="V693">
        <v>404</v>
      </c>
      <c r="W693">
        <v>1</v>
      </c>
      <c r="X693">
        <v>4</v>
      </c>
      <c r="Y693">
        <v>582</v>
      </c>
      <c r="Z693">
        <v>344</v>
      </c>
      <c r="AA693">
        <v>5.19</v>
      </c>
      <c r="AB693">
        <v>40</v>
      </c>
      <c r="AC693">
        <v>3951.25</v>
      </c>
    </row>
    <row r="694" spans="12:29" x14ac:dyDescent="0.2">
      <c r="L694" t="s">
        <v>374</v>
      </c>
      <c r="M694">
        <v>750</v>
      </c>
      <c r="N694">
        <v>1</v>
      </c>
      <c r="O694">
        <v>4</v>
      </c>
      <c r="P694">
        <v>582</v>
      </c>
      <c r="Q694">
        <v>344</v>
      </c>
      <c r="R694">
        <v>366</v>
      </c>
      <c r="S694">
        <v>225.14</v>
      </c>
      <c r="U694" t="s">
        <v>374</v>
      </c>
      <c r="V694">
        <v>424</v>
      </c>
      <c r="W694">
        <v>1</v>
      </c>
      <c r="X694">
        <v>4</v>
      </c>
      <c r="Y694">
        <v>582</v>
      </c>
      <c r="Z694">
        <v>344</v>
      </c>
      <c r="AA694">
        <v>5.19</v>
      </c>
      <c r="AB694">
        <v>40</v>
      </c>
      <c r="AC694">
        <v>22778.25</v>
      </c>
    </row>
    <row r="695" spans="12:29" x14ac:dyDescent="0.2">
      <c r="L695" t="s">
        <v>374</v>
      </c>
      <c r="M695">
        <v>761</v>
      </c>
      <c r="N695">
        <v>1</v>
      </c>
      <c r="O695">
        <v>4</v>
      </c>
      <c r="P695">
        <v>582</v>
      </c>
      <c r="Q695">
        <v>344</v>
      </c>
      <c r="R695">
        <v>366</v>
      </c>
      <c r="S695">
        <v>213.42</v>
      </c>
      <c r="U695" t="s">
        <v>374</v>
      </c>
      <c r="V695">
        <v>458</v>
      </c>
      <c r="W695">
        <v>1</v>
      </c>
      <c r="X695">
        <v>4</v>
      </c>
      <c r="Y695">
        <v>582</v>
      </c>
      <c r="Z695">
        <v>344</v>
      </c>
      <c r="AA695">
        <v>5.19</v>
      </c>
      <c r="AB695">
        <v>40</v>
      </c>
      <c r="AC695">
        <v>7129</v>
      </c>
    </row>
    <row r="696" spans="12:29" x14ac:dyDescent="0.2">
      <c r="L696" t="s">
        <v>374</v>
      </c>
      <c r="M696">
        <v>769</v>
      </c>
      <c r="N696">
        <v>1</v>
      </c>
      <c r="O696">
        <v>4</v>
      </c>
      <c r="P696">
        <v>582</v>
      </c>
      <c r="Q696">
        <v>344</v>
      </c>
      <c r="R696">
        <v>366</v>
      </c>
      <c r="S696">
        <v>284.68</v>
      </c>
      <c r="U696" t="s">
        <v>374</v>
      </c>
      <c r="V696">
        <v>463</v>
      </c>
      <c r="W696">
        <v>1</v>
      </c>
      <c r="X696">
        <v>4</v>
      </c>
      <c r="Y696">
        <v>582</v>
      </c>
      <c r="Z696">
        <v>344</v>
      </c>
      <c r="AA696">
        <v>5.19</v>
      </c>
      <c r="AB696">
        <v>40</v>
      </c>
      <c r="AC696">
        <v>23810</v>
      </c>
    </row>
    <row r="697" spans="12:29" x14ac:dyDescent="0.2">
      <c r="L697" t="s">
        <v>374</v>
      </c>
      <c r="M697">
        <v>829</v>
      </c>
      <c r="N697">
        <v>1</v>
      </c>
      <c r="O697">
        <v>4</v>
      </c>
      <c r="P697">
        <v>582</v>
      </c>
      <c r="Q697">
        <v>344</v>
      </c>
      <c r="R697">
        <v>366</v>
      </c>
      <c r="S697">
        <v>18</v>
      </c>
      <c r="U697" t="s">
        <v>374</v>
      </c>
      <c r="V697">
        <v>465</v>
      </c>
      <c r="W697">
        <v>1</v>
      </c>
      <c r="X697">
        <v>4</v>
      </c>
      <c r="Y697">
        <v>582</v>
      </c>
      <c r="Z697">
        <v>344</v>
      </c>
      <c r="AA697">
        <v>5.19</v>
      </c>
      <c r="AB697">
        <v>40</v>
      </c>
      <c r="AC697">
        <v>37201.5</v>
      </c>
    </row>
    <row r="698" spans="12:29" x14ac:dyDescent="0.2">
      <c r="L698" t="s">
        <v>374</v>
      </c>
      <c r="M698">
        <v>833</v>
      </c>
      <c r="N698">
        <v>1</v>
      </c>
      <c r="O698">
        <v>4</v>
      </c>
      <c r="P698">
        <v>582</v>
      </c>
      <c r="Q698">
        <v>344</v>
      </c>
      <c r="R698">
        <v>366</v>
      </c>
      <c r="S698">
        <v>533.79999999999995</v>
      </c>
      <c r="U698" t="s">
        <v>374</v>
      </c>
      <c r="V698">
        <v>492</v>
      </c>
      <c r="W698">
        <v>1</v>
      </c>
      <c r="X698">
        <v>4</v>
      </c>
      <c r="Y698">
        <v>582</v>
      </c>
      <c r="Z698">
        <v>344</v>
      </c>
      <c r="AA698">
        <v>5.19</v>
      </c>
      <c r="AB698">
        <v>40</v>
      </c>
      <c r="AC698">
        <v>1670</v>
      </c>
    </row>
    <row r="699" spans="12:29" x14ac:dyDescent="0.2">
      <c r="L699" t="s">
        <v>374</v>
      </c>
      <c r="M699">
        <v>834</v>
      </c>
      <c r="N699">
        <v>1</v>
      </c>
      <c r="O699">
        <v>4</v>
      </c>
      <c r="P699">
        <v>582</v>
      </c>
      <c r="Q699">
        <v>344</v>
      </c>
      <c r="R699">
        <v>366</v>
      </c>
      <c r="S699">
        <v>360.12</v>
      </c>
      <c r="U699" t="s">
        <v>374</v>
      </c>
      <c r="V699">
        <v>495</v>
      </c>
      <c r="W699">
        <v>1</v>
      </c>
      <c r="X699">
        <v>4</v>
      </c>
      <c r="Y699">
        <v>582</v>
      </c>
      <c r="Z699">
        <v>344</v>
      </c>
      <c r="AA699">
        <v>5.19</v>
      </c>
      <c r="AB699">
        <v>40</v>
      </c>
      <c r="AC699">
        <v>1351</v>
      </c>
    </row>
    <row r="700" spans="12:29" x14ac:dyDescent="0.2">
      <c r="L700" t="s">
        <v>374</v>
      </c>
      <c r="M700">
        <v>837</v>
      </c>
      <c r="N700">
        <v>1</v>
      </c>
      <c r="O700">
        <v>4</v>
      </c>
      <c r="P700">
        <v>582</v>
      </c>
      <c r="Q700">
        <v>344</v>
      </c>
      <c r="R700">
        <v>366</v>
      </c>
      <c r="S700">
        <v>113.95</v>
      </c>
      <c r="U700" t="s">
        <v>374</v>
      </c>
      <c r="V700">
        <v>531</v>
      </c>
      <c r="W700">
        <v>1</v>
      </c>
      <c r="X700">
        <v>4</v>
      </c>
      <c r="Y700">
        <v>582</v>
      </c>
      <c r="Z700">
        <v>344</v>
      </c>
      <c r="AA700">
        <v>5.19</v>
      </c>
      <c r="AB700">
        <v>40</v>
      </c>
      <c r="AC700">
        <v>122802.3</v>
      </c>
    </row>
    <row r="701" spans="12:29" x14ac:dyDescent="0.2">
      <c r="L701" t="s">
        <v>374</v>
      </c>
      <c r="M701">
        <v>840</v>
      </c>
      <c r="N701">
        <v>1</v>
      </c>
      <c r="O701">
        <v>4</v>
      </c>
      <c r="P701">
        <v>582</v>
      </c>
      <c r="Q701">
        <v>344</v>
      </c>
      <c r="R701">
        <v>366</v>
      </c>
      <c r="S701">
        <v>314.95999999999998</v>
      </c>
      <c r="U701" t="s">
        <v>374</v>
      </c>
      <c r="V701">
        <v>542</v>
      </c>
      <c r="W701">
        <v>1</v>
      </c>
      <c r="X701">
        <v>4</v>
      </c>
      <c r="Y701">
        <v>582</v>
      </c>
      <c r="Z701">
        <v>344</v>
      </c>
      <c r="AA701">
        <v>5.19</v>
      </c>
      <c r="AB701">
        <v>40</v>
      </c>
      <c r="AC701">
        <v>7032.16</v>
      </c>
    </row>
    <row r="702" spans="12:29" x14ac:dyDescent="0.2">
      <c r="L702" t="s">
        <v>374</v>
      </c>
      <c r="M702">
        <v>861</v>
      </c>
      <c r="N702">
        <v>1</v>
      </c>
      <c r="O702">
        <v>4</v>
      </c>
      <c r="P702">
        <v>582</v>
      </c>
      <c r="Q702">
        <v>344</v>
      </c>
      <c r="R702">
        <v>366</v>
      </c>
      <c r="S702">
        <v>1023.02</v>
      </c>
      <c r="U702" t="s">
        <v>374</v>
      </c>
      <c r="V702">
        <v>545</v>
      </c>
      <c r="W702">
        <v>1</v>
      </c>
      <c r="X702">
        <v>4</v>
      </c>
      <c r="Y702">
        <v>582</v>
      </c>
      <c r="Z702">
        <v>344</v>
      </c>
      <c r="AA702">
        <v>5.19</v>
      </c>
      <c r="AB702">
        <v>40</v>
      </c>
      <c r="AC702">
        <v>5001.1499999999996</v>
      </c>
    </row>
    <row r="703" spans="12:29" x14ac:dyDescent="0.2">
      <c r="L703" t="s">
        <v>374</v>
      </c>
      <c r="M703">
        <v>879</v>
      </c>
      <c r="N703">
        <v>1</v>
      </c>
      <c r="O703">
        <v>4</v>
      </c>
      <c r="P703">
        <v>582</v>
      </c>
      <c r="Q703">
        <v>344</v>
      </c>
      <c r="R703">
        <v>366</v>
      </c>
      <c r="S703">
        <v>83.4</v>
      </c>
      <c r="U703" t="s">
        <v>374</v>
      </c>
      <c r="V703">
        <v>548</v>
      </c>
      <c r="W703">
        <v>1</v>
      </c>
      <c r="X703">
        <v>4</v>
      </c>
      <c r="Y703">
        <v>582</v>
      </c>
      <c r="Z703">
        <v>344</v>
      </c>
      <c r="AA703">
        <v>5.19</v>
      </c>
      <c r="AB703">
        <v>40</v>
      </c>
      <c r="AC703">
        <v>14410.41</v>
      </c>
    </row>
    <row r="704" spans="12:29" x14ac:dyDescent="0.2">
      <c r="L704" t="s">
        <v>374</v>
      </c>
      <c r="M704">
        <v>882</v>
      </c>
      <c r="N704">
        <v>1</v>
      </c>
      <c r="O704">
        <v>4</v>
      </c>
      <c r="P704">
        <v>582</v>
      </c>
      <c r="Q704">
        <v>344</v>
      </c>
      <c r="R704">
        <v>366</v>
      </c>
      <c r="S704">
        <v>186.85</v>
      </c>
      <c r="U704" t="s">
        <v>374</v>
      </c>
      <c r="V704">
        <v>550</v>
      </c>
      <c r="W704">
        <v>1</v>
      </c>
      <c r="X704">
        <v>4</v>
      </c>
      <c r="Y704">
        <v>582</v>
      </c>
      <c r="Z704">
        <v>344</v>
      </c>
      <c r="AA704">
        <v>5.19</v>
      </c>
      <c r="AB704">
        <v>40</v>
      </c>
      <c r="AC704">
        <v>36801.49</v>
      </c>
    </row>
    <row r="705" spans="12:29" x14ac:dyDescent="0.2">
      <c r="L705" t="s">
        <v>374</v>
      </c>
      <c r="M705">
        <v>883</v>
      </c>
      <c r="N705">
        <v>1</v>
      </c>
      <c r="O705">
        <v>4</v>
      </c>
      <c r="P705">
        <v>582</v>
      </c>
      <c r="Q705">
        <v>344</v>
      </c>
      <c r="R705">
        <v>366</v>
      </c>
      <c r="S705">
        <v>240</v>
      </c>
      <c r="U705" t="s">
        <v>374</v>
      </c>
      <c r="V705">
        <v>577</v>
      </c>
      <c r="W705">
        <v>1</v>
      </c>
      <c r="X705">
        <v>4</v>
      </c>
      <c r="Y705">
        <v>582</v>
      </c>
      <c r="Z705">
        <v>344</v>
      </c>
      <c r="AA705">
        <v>5.19</v>
      </c>
      <c r="AB705">
        <v>40</v>
      </c>
      <c r="AC705">
        <v>2267</v>
      </c>
    </row>
    <row r="706" spans="12:29" x14ac:dyDescent="0.2">
      <c r="L706" t="s">
        <v>374</v>
      </c>
      <c r="M706">
        <v>2071</v>
      </c>
      <c r="N706">
        <v>1</v>
      </c>
      <c r="O706">
        <v>4</v>
      </c>
      <c r="P706">
        <v>582</v>
      </c>
      <c r="Q706">
        <v>344</v>
      </c>
      <c r="R706">
        <v>366</v>
      </c>
      <c r="S706">
        <v>712.66</v>
      </c>
      <c r="U706" t="s">
        <v>374</v>
      </c>
      <c r="V706">
        <v>581</v>
      </c>
      <c r="W706">
        <v>1</v>
      </c>
      <c r="X706">
        <v>4</v>
      </c>
      <c r="Y706">
        <v>582</v>
      </c>
      <c r="Z706">
        <v>344</v>
      </c>
      <c r="AA706">
        <v>5.19</v>
      </c>
      <c r="AB706">
        <v>40</v>
      </c>
      <c r="AC706">
        <v>4158.5</v>
      </c>
    </row>
    <row r="707" spans="12:29" x14ac:dyDescent="0.2">
      <c r="L707" t="s">
        <v>374</v>
      </c>
      <c r="M707">
        <v>2137</v>
      </c>
      <c r="N707">
        <v>1</v>
      </c>
      <c r="O707">
        <v>4</v>
      </c>
      <c r="P707">
        <v>582</v>
      </c>
      <c r="Q707">
        <v>344</v>
      </c>
      <c r="R707">
        <v>366</v>
      </c>
      <c r="S707">
        <v>5008.17</v>
      </c>
      <c r="U707" t="s">
        <v>374</v>
      </c>
      <c r="V707">
        <v>600</v>
      </c>
      <c r="W707">
        <v>1</v>
      </c>
      <c r="X707">
        <v>4</v>
      </c>
      <c r="Y707">
        <v>582</v>
      </c>
      <c r="Z707">
        <v>344</v>
      </c>
      <c r="AA707">
        <v>5.19</v>
      </c>
      <c r="AB707">
        <v>40</v>
      </c>
      <c r="AC707">
        <v>13912.58</v>
      </c>
    </row>
    <row r="708" spans="12:29" x14ac:dyDescent="0.2">
      <c r="L708" t="s">
        <v>374</v>
      </c>
      <c r="M708">
        <v>2143</v>
      </c>
      <c r="N708">
        <v>1</v>
      </c>
      <c r="O708">
        <v>4</v>
      </c>
      <c r="P708">
        <v>582</v>
      </c>
      <c r="Q708">
        <v>344</v>
      </c>
      <c r="R708">
        <v>366</v>
      </c>
      <c r="S708">
        <v>37.44</v>
      </c>
      <c r="U708" t="s">
        <v>374</v>
      </c>
      <c r="V708">
        <v>601</v>
      </c>
      <c r="W708">
        <v>1</v>
      </c>
      <c r="X708">
        <v>4</v>
      </c>
      <c r="Y708">
        <v>582</v>
      </c>
      <c r="Z708">
        <v>344</v>
      </c>
      <c r="AA708">
        <v>5.19</v>
      </c>
      <c r="AB708">
        <v>40</v>
      </c>
      <c r="AC708">
        <v>4100.1400000000003</v>
      </c>
    </row>
    <row r="709" spans="12:29" x14ac:dyDescent="0.2">
      <c r="L709" t="s">
        <v>374</v>
      </c>
      <c r="M709">
        <v>2149</v>
      </c>
      <c r="N709">
        <v>1</v>
      </c>
      <c r="O709">
        <v>4</v>
      </c>
      <c r="P709">
        <v>582</v>
      </c>
      <c r="Q709">
        <v>344</v>
      </c>
      <c r="R709">
        <v>366</v>
      </c>
      <c r="S709">
        <v>36.450000000000003</v>
      </c>
      <c r="U709" t="s">
        <v>374</v>
      </c>
      <c r="V709">
        <v>640</v>
      </c>
      <c r="W709">
        <v>1</v>
      </c>
      <c r="X709">
        <v>4</v>
      </c>
      <c r="Y709">
        <v>582</v>
      </c>
      <c r="Z709">
        <v>344</v>
      </c>
      <c r="AA709">
        <v>5.19</v>
      </c>
      <c r="AB709">
        <v>40</v>
      </c>
      <c r="AC709">
        <v>10978.9</v>
      </c>
    </row>
    <row r="710" spans="12:29" x14ac:dyDescent="0.2">
      <c r="L710" t="s">
        <v>374</v>
      </c>
      <c r="M710">
        <v>2154</v>
      </c>
      <c r="N710">
        <v>1</v>
      </c>
      <c r="O710">
        <v>4</v>
      </c>
      <c r="P710">
        <v>582</v>
      </c>
      <c r="Q710">
        <v>344</v>
      </c>
      <c r="R710">
        <v>366</v>
      </c>
      <c r="S710">
        <v>521.22</v>
      </c>
      <c r="U710" t="s">
        <v>374</v>
      </c>
      <c r="V710">
        <v>671</v>
      </c>
      <c r="W710">
        <v>1</v>
      </c>
      <c r="X710">
        <v>4</v>
      </c>
      <c r="Y710">
        <v>582</v>
      </c>
      <c r="Z710">
        <v>344</v>
      </c>
      <c r="AA710">
        <v>5.19</v>
      </c>
      <c r="AB710">
        <v>40</v>
      </c>
      <c r="AC710">
        <v>-109.04</v>
      </c>
    </row>
    <row r="711" spans="12:29" x14ac:dyDescent="0.2">
      <c r="L711" t="s">
        <v>374</v>
      </c>
      <c r="M711">
        <v>2155</v>
      </c>
      <c r="N711">
        <v>1</v>
      </c>
      <c r="O711">
        <v>4</v>
      </c>
      <c r="P711">
        <v>582</v>
      </c>
      <c r="Q711">
        <v>344</v>
      </c>
      <c r="R711">
        <v>366</v>
      </c>
      <c r="S711">
        <v>750</v>
      </c>
      <c r="U711" t="s">
        <v>374</v>
      </c>
      <c r="V711">
        <v>696</v>
      </c>
      <c r="W711">
        <v>1</v>
      </c>
      <c r="X711">
        <v>4</v>
      </c>
      <c r="Y711">
        <v>582</v>
      </c>
      <c r="Z711">
        <v>344</v>
      </c>
      <c r="AA711">
        <v>5.19</v>
      </c>
      <c r="AB711">
        <v>40</v>
      </c>
      <c r="AC711">
        <v>85</v>
      </c>
    </row>
    <row r="712" spans="12:29" x14ac:dyDescent="0.2">
      <c r="L712" t="s">
        <v>374</v>
      </c>
      <c r="M712">
        <v>2164</v>
      </c>
      <c r="N712">
        <v>1</v>
      </c>
      <c r="O712">
        <v>4</v>
      </c>
      <c r="P712">
        <v>582</v>
      </c>
      <c r="Q712">
        <v>344</v>
      </c>
      <c r="R712">
        <v>366</v>
      </c>
      <c r="S712">
        <v>244</v>
      </c>
      <c r="U712" t="s">
        <v>374</v>
      </c>
      <c r="V712">
        <v>698</v>
      </c>
      <c r="W712">
        <v>1</v>
      </c>
      <c r="X712">
        <v>4</v>
      </c>
      <c r="Y712">
        <v>582</v>
      </c>
      <c r="Z712">
        <v>344</v>
      </c>
      <c r="AA712">
        <v>5.19</v>
      </c>
      <c r="AB712">
        <v>40</v>
      </c>
      <c r="AC712">
        <v>2349.5</v>
      </c>
    </row>
    <row r="713" spans="12:29" x14ac:dyDescent="0.2">
      <c r="L713" t="s">
        <v>374</v>
      </c>
      <c r="M713">
        <v>2165</v>
      </c>
      <c r="N713">
        <v>1</v>
      </c>
      <c r="O713">
        <v>4</v>
      </c>
      <c r="P713">
        <v>582</v>
      </c>
      <c r="Q713">
        <v>344</v>
      </c>
      <c r="R713">
        <v>366</v>
      </c>
      <c r="S713">
        <v>1310.8</v>
      </c>
      <c r="U713" t="s">
        <v>374</v>
      </c>
      <c r="V713">
        <v>700</v>
      </c>
      <c r="W713">
        <v>1</v>
      </c>
      <c r="X713">
        <v>4</v>
      </c>
      <c r="Y713">
        <v>582</v>
      </c>
      <c r="Z713">
        <v>344</v>
      </c>
      <c r="AA713">
        <v>5.19</v>
      </c>
      <c r="AB713">
        <v>40</v>
      </c>
      <c r="AC713">
        <v>87918.8</v>
      </c>
    </row>
    <row r="714" spans="12:29" x14ac:dyDescent="0.2">
      <c r="L714" t="s">
        <v>374</v>
      </c>
      <c r="M714">
        <v>2168</v>
      </c>
      <c r="N714">
        <v>1</v>
      </c>
      <c r="O714">
        <v>4</v>
      </c>
      <c r="P714">
        <v>582</v>
      </c>
      <c r="Q714">
        <v>344</v>
      </c>
      <c r="R714">
        <v>366</v>
      </c>
      <c r="S714">
        <v>100</v>
      </c>
      <c r="U714" t="s">
        <v>374</v>
      </c>
      <c r="V714">
        <v>717</v>
      </c>
      <c r="W714">
        <v>1</v>
      </c>
      <c r="X714">
        <v>4</v>
      </c>
      <c r="Y714">
        <v>582</v>
      </c>
      <c r="Z714">
        <v>344</v>
      </c>
      <c r="AA714">
        <v>5.19</v>
      </c>
      <c r="AB714">
        <v>40</v>
      </c>
      <c r="AC714">
        <v>10215.379999999999</v>
      </c>
    </row>
    <row r="715" spans="12:29" x14ac:dyDescent="0.2">
      <c r="L715" t="s">
        <v>374</v>
      </c>
      <c r="M715">
        <v>2169</v>
      </c>
      <c r="N715">
        <v>1</v>
      </c>
      <c r="O715">
        <v>4</v>
      </c>
      <c r="P715">
        <v>582</v>
      </c>
      <c r="Q715">
        <v>344</v>
      </c>
      <c r="R715">
        <v>366</v>
      </c>
      <c r="S715">
        <v>856.11</v>
      </c>
      <c r="U715" t="s">
        <v>374</v>
      </c>
      <c r="V715">
        <v>719</v>
      </c>
      <c r="W715">
        <v>1</v>
      </c>
      <c r="X715">
        <v>4</v>
      </c>
      <c r="Y715">
        <v>582</v>
      </c>
      <c r="Z715">
        <v>344</v>
      </c>
      <c r="AA715">
        <v>5.19</v>
      </c>
      <c r="AB715">
        <v>40</v>
      </c>
      <c r="AC715">
        <v>233473.5</v>
      </c>
    </row>
    <row r="716" spans="12:29" x14ac:dyDescent="0.2">
      <c r="L716" t="s">
        <v>374</v>
      </c>
      <c r="M716">
        <v>2171</v>
      </c>
      <c r="N716">
        <v>1</v>
      </c>
      <c r="O716">
        <v>4</v>
      </c>
      <c r="P716">
        <v>582</v>
      </c>
      <c r="Q716">
        <v>344</v>
      </c>
      <c r="R716">
        <v>366</v>
      </c>
      <c r="S716">
        <v>175</v>
      </c>
      <c r="U716" t="s">
        <v>374</v>
      </c>
      <c r="V716">
        <v>727</v>
      </c>
      <c r="W716">
        <v>1</v>
      </c>
      <c r="X716">
        <v>4</v>
      </c>
      <c r="Y716">
        <v>582</v>
      </c>
      <c r="Z716">
        <v>344</v>
      </c>
      <c r="AA716">
        <v>5.19</v>
      </c>
      <c r="AB716">
        <v>40</v>
      </c>
      <c r="AC716">
        <v>72861.63</v>
      </c>
    </row>
    <row r="717" spans="12:29" x14ac:dyDescent="0.2">
      <c r="L717" t="s">
        <v>374</v>
      </c>
      <c r="M717">
        <v>2184</v>
      </c>
      <c r="N717">
        <v>1</v>
      </c>
      <c r="O717">
        <v>4</v>
      </c>
      <c r="P717">
        <v>582</v>
      </c>
      <c r="Q717">
        <v>344</v>
      </c>
      <c r="R717">
        <v>366</v>
      </c>
      <c r="S717">
        <v>511.8</v>
      </c>
      <c r="U717" t="s">
        <v>374</v>
      </c>
      <c r="V717">
        <v>739</v>
      </c>
      <c r="W717">
        <v>1</v>
      </c>
      <c r="X717">
        <v>4</v>
      </c>
      <c r="Y717">
        <v>582</v>
      </c>
      <c r="Z717">
        <v>344</v>
      </c>
      <c r="AA717">
        <v>5.19</v>
      </c>
      <c r="AB717">
        <v>40</v>
      </c>
      <c r="AC717">
        <v>26353.5</v>
      </c>
    </row>
    <row r="718" spans="12:29" x14ac:dyDescent="0.2">
      <c r="L718" t="s">
        <v>374</v>
      </c>
      <c r="M718">
        <v>2365</v>
      </c>
      <c r="N718">
        <v>1</v>
      </c>
      <c r="O718">
        <v>4</v>
      </c>
      <c r="P718">
        <v>582</v>
      </c>
      <c r="Q718">
        <v>344</v>
      </c>
      <c r="R718">
        <v>366</v>
      </c>
      <c r="S718">
        <v>1394.44</v>
      </c>
      <c r="U718" t="s">
        <v>374</v>
      </c>
      <c r="V718">
        <v>740</v>
      </c>
      <c r="W718">
        <v>1</v>
      </c>
      <c r="X718">
        <v>4</v>
      </c>
      <c r="Y718">
        <v>582</v>
      </c>
      <c r="Z718">
        <v>344</v>
      </c>
      <c r="AA718">
        <v>5.19</v>
      </c>
      <c r="AB718">
        <v>40</v>
      </c>
      <c r="AC718">
        <v>7242.66</v>
      </c>
    </row>
    <row r="719" spans="12:29" x14ac:dyDescent="0.2">
      <c r="L719" t="s">
        <v>374</v>
      </c>
      <c r="M719">
        <v>2396</v>
      </c>
      <c r="N719">
        <v>1</v>
      </c>
      <c r="O719">
        <v>4</v>
      </c>
      <c r="P719">
        <v>582</v>
      </c>
      <c r="Q719">
        <v>344</v>
      </c>
      <c r="R719">
        <v>366</v>
      </c>
      <c r="S719">
        <v>206.51</v>
      </c>
      <c r="U719" t="s">
        <v>374</v>
      </c>
      <c r="V719">
        <v>742</v>
      </c>
      <c r="W719">
        <v>1</v>
      </c>
      <c r="X719">
        <v>4</v>
      </c>
      <c r="Y719">
        <v>582</v>
      </c>
      <c r="Z719">
        <v>344</v>
      </c>
      <c r="AA719">
        <v>5.19</v>
      </c>
      <c r="AB719">
        <v>40</v>
      </c>
      <c r="AC719">
        <v>257236.49</v>
      </c>
    </row>
    <row r="720" spans="12:29" x14ac:dyDescent="0.2">
      <c r="L720" t="s">
        <v>374</v>
      </c>
      <c r="M720">
        <v>2397</v>
      </c>
      <c r="N720">
        <v>1</v>
      </c>
      <c r="O720">
        <v>4</v>
      </c>
      <c r="P720">
        <v>582</v>
      </c>
      <c r="Q720">
        <v>344</v>
      </c>
      <c r="R720">
        <v>366</v>
      </c>
      <c r="S720">
        <v>60</v>
      </c>
      <c r="U720" t="s">
        <v>374</v>
      </c>
      <c r="V720">
        <v>745</v>
      </c>
      <c r="W720">
        <v>1</v>
      </c>
      <c r="X720">
        <v>4</v>
      </c>
      <c r="Y720">
        <v>582</v>
      </c>
      <c r="Z720">
        <v>344</v>
      </c>
      <c r="AA720">
        <v>5.19</v>
      </c>
      <c r="AB720">
        <v>40</v>
      </c>
      <c r="AC720">
        <v>67494.539999999994</v>
      </c>
    </row>
    <row r="721" spans="12:29" x14ac:dyDescent="0.2">
      <c r="L721" t="s">
        <v>374</v>
      </c>
      <c r="M721">
        <v>2448</v>
      </c>
      <c r="N721">
        <v>1</v>
      </c>
      <c r="O721">
        <v>4</v>
      </c>
      <c r="P721">
        <v>582</v>
      </c>
      <c r="Q721">
        <v>344</v>
      </c>
      <c r="R721">
        <v>366</v>
      </c>
      <c r="S721">
        <v>173.98</v>
      </c>
      <c r="U721" t="s">
        <v>374</v>
      </c>
      <c r="V721">
        <v>748</v>
      </c>
      <c r="W721">
        <v>1</v>
      </c>
      <c r="X721">
        <v>4</v>
      </c>
      <c r="Y721">
        <v>582</v>
      </c>
      <c r="Z721">
        <v>344</v>
      </c>
      <c r="AA721">
        <v>5.19</v>
      </c>
      <c r="AB721">
        <v>40</v>
      </c>
      <c r="AC721">
        <v>112977.25</v>
      </c>
    </row>
    <row r="722" spans="12:29" x14ac:dyDescent="0.2">
      <c r="L722" t="s">
        <v>374</v>
      </c>
      <c r="M722">
        <v>2711</v>
      </c>
      <c r="N722">
        <v>1</v>
      </c>
      <c r="O722">
        <v>4</v>
      </c>
      <c r="P722">
        <v>582</v>
      </c>
      <c r="Q722">
        <v>344</v>
      </c>
      <c r="R722">
        <v>366</v>
      </c>
      <c r="S722">
        <v>69.3</v>
      </c>
      <c r="U722" t="s">
        <v>374</v>
      </c>
      <c r="V722">
        <v>761</v>
      </c>
      <c r="W722">
        <v>1</v>
      </c>
      <c r="X722">
        <v>4</v>
      </c>
      <c r="Y722">
        <v>582</v>
      </c>
      <c r="Z722">
        <v>344</v>
      </c>
      <c r="AA722">
        <v>5.19</v>
      </c>
      <c r="AB722">
        <v>40</v>
      </c>
      <c r="AC722">
        <v>17237.5</v>
      </c>
    </row>
    <row r="723" spans="12:29" x14ac:dyDescent="0.2">
      <c r="L723" t="s">
        <v>374</v>
      </c>
      <c r="M723">
        <v>2752</v>
      </c>
      <c r="N723">
        <v>1</v>
      </c>
      <c r="O723">
        <v>4</v>
      </c>
      <c r="P723">
        <v>582</v>
      </c>
      <c r="Q723">
        <v>344</v>
      </c>
      <c r="R723">
        <v>366</v>
      </c>
      <c r="S723">
        <v>193.77</v>
      </c>
      <c r="U723" t="s">
        <v>374</v>
      </c>
      <c r="V723">
        <v>829</v>
      </c>
      <c r="W723">
        <v>1</v>
      </c>
      <c r="X723">
        <v>4</v>
      </c>
      <c r="Y723">
        <v>582</v>
      </c>
      <c r="Z723">
        <v>344</v>
      </c>
      <c r="AA723">
        <v>5.19</v>
      </c>
      <c r="AB723">
        <v>40</v>
      </c>
      <c r="AC723">
        <v>15867.12</v>
      </c>
    </row>
    <row r="724" spans="12:29" x14ac:dyDescent="0.2">
      <c r="L724" t="s">
        <v>374</v>
      </c>
      <c r="M724">
        <v>2754</v>
      </c>
      <c r="N724">
        <v>1</v>
      </c>
      <c r="O724">
        <v>4</v>
      </c>
      <c r="P724">
        <v>582</v>
      </c>
      <c r="Q724">
        <v>344</v>
      </c>
      <c r="R724">
        <v>366</v>
      </c>
      <c r="S724">
        <v>78.95</v>
      </c>
      <c r="U724" t="s">
        <v>374</v>
      </c>
      <c r="V724">
        <v>831</v>
      </c>
      <c r="W724">
        <v>1</v>
      </c>
      <c r="X724">
        <v>4</v>
      </c>
      <c r="Y724">
        <v>582</v>
      </c>
      <c r="Z724">
        <v>344</v>
      </c>
      <c r="AA724">
        <v>5.19</v>
      </c>
      <c r="AB724">
        <v>40</v>
      </c>
      <c r="AC724">
        <v>26462.25</v>
      </c>
    </row>
    <row r="725" spans="12:29" x14ac:dyDescent="0.2">
      <c r="L725" t="s">
        <v>374</v>
      </c>
      <c r="M725">
        <v>2856</v>
      </c>
      <c r="N725">
        <v>1</v>
      </c>
      <c r="O725">
        <v>4</v>
      </c>
      <c r="P725">
        <v>582</v>
      </c>
      <c r="Q725">
        <v>344</v>
      </c>
      <c r="R725">
        <v>366</v>
      </c>
      <c r="S725">
        <v>143.07</v>
      </c>
      <c r="U725" t="s">
        <v>374</v>
      </c>
      <c r="V725">
        <v>834</v>
      </c>
      <c r="W725">
        <v>1</v>
      </c>
      <c r="X725">
        <v>4</v>
      </c>
      <c r="Y725">
        <v>582</v>
      </c>
      <c r="Z725">
        <v>344</v>
      </c>
      <c r="AA725">
        <v>5.19</v>
      </c>
      <c r="AB725">
        <v>40</v>
      </c>
      <c r="AC725">
        <v>21755.77</v>
      </c>
    </row>
    <row r="726" spans="12:29" x14ac:dyDescent="0.2">
      <c r="L726" t="s">
        <v>374</v>
      </c>
      <c r="M726">
        <v>2860</v>
      </c>
      <c r="N726">
        <v>1</v>
      </c>
      <c r="O726">
        <v>4</v>
      </c>
      <c r="P726">
        <v>582</v>
      </c>
      <c r="Q726">
        <v>344</v>
      </c>
      <c r="R726">
        <v>366</v>
      </c>
      <c r="S726">
        <v>130</v>
      </c>
      <c r="U726" t="s">
        <v>374</v>
      </c>
      <c r="V726">
        <v>846</v>
      </c>
      <c r="W726">
        <v>1</v>
      </c>
      <c r="X726">
        <v>4</v>
      </c>
      <c r="Y726">
        <v>582</v>
      </c>
      <c r="Z726">
        <v>344</v>
      </c>
      <c r="AA726">
        <v>5.19</v>
      </c>
      <c r="AB726">
        <v>40</v>
      </c>
      <c r="AC726">
        <v>29293.43</v>
      </c>
    </row>
    <row r="727" spans="12:29" x14ac:dyDescent="0.2">
      <c r="L727" t="s">
        <v>374</v>
      </c>
      <c r="M727">
        <v>2889</v>
      </c>
      <c r="N727">
        <v>1</v>
      </c>
      <c r="O727">
        <v>4</v>
      </c>
      <c r="P727">
        <v>582</v>
      </c>
      <c r="Q727">
        <v>344</v>
      </c>
      <c r="R727">
        <v>366</v>
      </c>
      <c r="S727">
        <v>43.29</v>
      </c>
      <c r="U727" t="s">
        <v>374</v>
      </c>
      <c r="V727">
        <v>857</v>
      </c>
      <c r="W727">
        <v>1</v>
      </c>
      <c r="X727">
        <v>4</v>
      </c>
      <c r="Y727">
        <v>582</v>
      </c>
      <c r="Z727">
        <v>344</v>
      </c>
      <c r="AA727">
        <v>5.19</v>
      </c>
      <c r="AB727">
        <v>40</v>
      </c>
      <c r="AC727">
        <v>34085</v>
      </c>
    </row>
    <row r="728" spans="12:29" x14ac:dyDescent="0.2">
      <c r="L728" t="s">
        <v>374</v>
      </c>
      <c r="M728">
        <v>2897</v>
      </c>
      <c r="N728">
        <v>1</v>
      </c>
      <c r="O728">
        <v>4</v>
      </c>
      <c r="P728">
        <v>582</v>
      </c>
      <c r="Q728">
        <v>344</v>
      </c>
      <c r="R728">
        <v>366</v>
      </c>
      <c r="S728">
        <v>171</v>
      </c>
      <c r="U728" t="s">
        <v>374</v>
      </c>
      <c r="V728">
        <v>876</v>
      </c>
      <c r="W728">
        <v>1</v>
      </c>
      <c r="X728">
        <v>4</v>
      </c>
      <c r="Y728">
        <v>582</v>
      </c>
      <c r="Z728">
        <v>344</v>
      </c>
      <c r="AA728">
        <v>5.19</v>
      </c>
      <c r="AB728">
        <v>40</v>
      </c>
      <c r="AC728">
        <v>82851</v>
      </c>
    </row>
    <row r="729" spans="12:29" x14ac:dyDescent="0.2">
      <c r="L729" t="s">
        <v>374</v>
      </c>
      <c r="M729">
        <v>139</v>
      </c>
      <c r="N729">
        <v>1</v>
      </c>
      <c r="O729">
        <v>4</v>
      </c>
      <c r="P729">
        <v>582</v>
      </c>
      <c r="Q729">
        <v>321</v>
      </c>
      <c r="R729">
        <v>366</v>
      </c>
      <c r="S729">
        <v>117</v>
      </c>
      <c r="U729" t="s">
        <v>374</v>
      </c>
      <c r="V729">
        <v>877</v>
      </c>
      <c r="W729">
        <v>1</v>
      </c>
      <c r="X729">
        <v>4</v>
      </c>
      <c r="Y729">
        <v>582</v>
      </c>
      <c r="Z729">
        <v>344</v>
      </c>
      <c r="AA729">
        <v>5.19</v>
      </c>
      <c r="AB729">
        <v>40</v>
      </c>
      <c r="AC729">
        <v>141450.92000000001</v>
      </c>
    </row>
    <row r="730" spans="12:29" x14ac:dyDescent="0.2">
      <c r="L730" t="s">
        <v>374</v>
      </c>
      <c r="M730">
        <v>414</v>
      </c>
      <c r="N730">
        <v>1</v>
      </c>
      <c r="O730">
        <v>4</v>
      </c>
      <c r="P730">
        <v>582</v>
      </c>
      <c r="Q730">
        <v>321</v>
      </c>
      <c r="R730">
        <v>366</v>
      </c>
      <c r="S730">
        <v>523.30999999999995</v>
      </c>
      <c r="U730" t="s">
        <v>374</v>
      </c>
      <c r="V730">
        <v>891</v>
      </c>
      <c r="W730">
        <v>1</v>
      </c>
      <c r="X730">
        <v>4</v>
      </c>
      <c r="Y730">
        <v>582</v>
      </c>
      <c r="Z730">
        <v>344</v>
      </c>
      <c r="AA730">
        <v>5.19</v>
      </c>
      <c r="AB730">
        <v>40</v>
      </c>
      <c r="AC730">
        <v>18252.72</v>
      </c>
    </row>
    <row r="731" spans="12:29" x14ac:dyDescent="0.2">
      <c r="L731" t="s">
        <v>374</v>
      </c>
      <c r="M731">
        <v>625</v>
      </c>
      <c r="N731">
        <v>1</v>
      </c>
      <c r="O731">
        <v>4</v>
      </c>
      <c r="P731">
        <v>582</v>
      </c>
      <c r="Q731">
        <v>0</v>
      </c>
      <c r="R731">
        <v>366</v>
      </c>
      <c r="S731">
        <v>429.05</v>
      </c>
      <c r="U731" t="s">
        <v>374</v>
      </c>
      <c r="V731">
        <v>914</v>
      </c>
      <c r="W731">
        <v>1</v>
      </c>
      <c r="X731">
        <v>4</v>
      </c>
      <c r="Y731">
        <v>582</v>
      </c>
      <c r="Z731">
        <v>344</v>
      </c>
      <c r="AA731">
        <v>5.19</v>
      </c>
      <c r="AB731">
        <v>40</v>
      </c>
      <c r="AC731">
        <v>13295</v>
      </c>
    </row>
    <row r="732" spans="12:29" x14ac:dyDescent="0.2">
      <c r="L732" t="s">
        <v>374</v>
      </c>
      <c r="M732">
        <v>110</v>
      </c>
      <c r="N732">
        <v>1</v>
      </c>
      <c r="O732">
        <v>4</v>
      </c>
      <c r="P732">
        <v>582</v>
      </c>
      <c r="Q732">
        <v>733</v>
      </c>
      <c r="R732">
        <v>365</v>
      </c>
      <c r="S732">
        <v>196</v>
      </c>
      <c r="U732" t="s">
        <v>374</v>
      </c>
      <c r="V732">
        <v>2071</v>
      </c>
      <c r="W732">
        <v>1</v>
      </c>
      <c r="X732">
        <v>4</v>
      </c>
      <c r="Y732">
        <v>582</v>
      </c>
      <c r="Z732">
        <v>344</v>
      </c>
      <c r="AA732">
        <v>5.19</v>
      </c>
      <c r="AB732">
        <v>40</v>
      </c>
      <c r="AC732">
        <v>61294.5</v>
      </c>
    </row>
    <row r="733" spans="12:29" x14ac:dyDescent="0.2">
      <c r="L733" t="s">
        <v>374</v>
      </c>
      <c r="M733">
        <v>333</v>
      </c>
      <c r="N733">
        <v>1</v>
      </c>
      <c r="O733">
        <v>4</v>
      </c>
      <c r="P733">
        <v>582</v>
      </c>
      <c r="Q733">
        <v>733</v>
      </c>
      <c r="R733">
        <v>365</v>
      </c>
      <c r="S733">
        <v>527.66</v>
      </c>
      <c r="U733" t="s">
        <v>374</v>
      </c>
      <c r="V733">
        <v>2134</v>
      </c>
      <c r="W733">
        <v>1</v>
      </c>
      <c r="X733">
        <v>4</v>
      </c>
      <c r="Y733">
        <v>582</v>
      </c>
      <c r="Z733">
        <v>344</v>
      </c>
      <c r="AA733">
        <v>5.19</v>
      </c>
      <c r="AB733">
        <v>40</v>
      </c>
      <c r="AC733">
        <v>16096.75</v>
      </c>
    </row>
    <row r="734" spans="12:29" x14ac:dyDescent="0.2">
      <c r="L734" t="s">
        <v>374</v>
      </c>
      <c r="M734">
        <v>432</v>
      </c>
      <c r="N734">
        <v>1</v>
      </c>
      <c r="O734">
        <v>4</v>
      </c>
      <c r="P734">
        <v>582</v>
      </c>
      <c r="Q734">
        <v>733</v>
      </c>
      <c r="R734">
        <v>365</v>
      </c>
      <c r="S734">
        <v>1943.76</v>
      </c>
      <c r="U734" t="s">
        <v>374</v>
      </c>
      <c r="V734">
        <v>2135</v>
      </c>
      <c r="W734">
        <v>1</v>
      </c>
      <c r="X734">
        <v>4</v>
      </c>
      <c r="Y734">
        <v>582</v>
      </c>
      <c r="Z734">
        <v>344</v>
      </c>
      <c r="AA734">
        <v>5.19</v>
      </c>
      <c r="AB734">
        <v>40</v>
      </c>
      <c r="AC734">
        <v>35118</v>
      </c>
    </row>
    <row r="735" spans="12:29" x14ac:dyDescent="0.2">
      <c r="L735" t="s">
        <v>374</v>
      </c>
      <c r="M735">
        <v>2609</v>
      </c>
      <c r="N735">
        <v>1</v>
      </c>
      <c r="O735">
        <v>4</v>
      </c>
      <c r="P735">
        <v>582</v>
      </c>
      <c r="Q735">
        <v>733</v>
      </c>
      <c r="R735">
        <v>365</v>
      </c>
      <c r="S735">
        <v>56.88</v>
      </c>
      <c r="U735" t="s">
        <v>374</v>
      </c>
      <c r="V735">
        <v>2154</v>
      </c>
      <c r="W735">
        <v>1</v>
      </c>
      <c r="X735">
        <v>4</v>
      </c>
      <c r="Y735">
        <v>582</v>
      </c>
      <c r="Z735">
        <v>344</v>
      </c>
      <c r="AA735">
        <v>5.19</v>
      </c>
      <c r="AB735">
        <v>40</v>
      </c>
      <c r="AC735">
        <v>6450</v>
      </c>
    </row>
    <row r="736" spans="12:29" x14ac:dyDescent="0.2">
      <c r="L736" t="s">
        <v>374</v>
      </c>
      <c r="M736">
        <v>1</v>
      </c>
      <c r="N736">
        <v>1</v>
      </c>
      <c r="O736">
        <v>4</v>
      </c>
      <c r="P736">
        <v>582</v>
      </c>
      <c r="Q736">
        <v>344</v>
      </c>
      <c r="R736">
        <v>365</v>
      </c>
      <c r="S736">
        <v>63.95</v>
      </c>
      <c r="U736" t="s">
        <v>374</v>
      </c>
      <c r="V736">
        <v>2169</v>
      </c>
      <c r="W736">
        <v>1</v>
      </c>
      <c r="X736">
        <v>4</v>
      </c>
      <c r="Y736">
        <v>582</v>
      </c>
      <c r="Z736">
        <v>344</v>
      </c>
      <c r="AA736">
        <v>5.19</v>
      </c>
      <c r="AB736">
        <v>40</v>
      </c>
      <c r="AC736">
        <v>15668.7</v>
      </c>
    </row>
    <row r="737" spans="12:29" x14ac:dyDescent="0.2">
      <c r="L737" t="s">
        <v>374</v>
      </c>
      <c r="M737">
        <v>11</v>
      </c>
      <c r="N737">
        <v>1</v>
      </c>
      <c r="O737">
        <v>4</v>
      </c>
      <c r="P737">
        <v>582</v>
      </c>
      <c r="Q737">
        <v>344</v>
      </c>
      <c r="R737">
        <v>365</v>
      </c>
      <c r="S737">
        <v>7825.73</v>
      </c>
      <c r="U737" t="s">
        <v>374</v>
      </c>
      <c r="V737">
        <v>2171</v>
      </c>
      <c r="W737">
        <v>1</v>
      </c>
      <c r="X737">
        <v>4</v>
      </c>
      <c r="Y737">
        <v>582</v>
      </c>
      <c r="Z737">
        <v>344</v>
      </c>
      <c r="AA737">
        <v>5.19</v>
      </c>
      <c r="AB737">
        <v>40</v>
      </c>
      <c r="AC737">
        <v>1320</v>
      </c>
    </row>
    <row r="738" spans="12:29" x14ac:dyDescent="0.2">
      <c r="L738" t="s">
        <v>374</v>
      </c>
      <c r="M738">
        <v>15</v>
      </c>
      <c r="N738">
        <v>1</v>
      </c>
      <c r="O738">
        <v>4</v>
      </c>
      <c r="P738">
        <v>582</v>
      </c>
      <c r="Q738">
        <v>344</v>
      </c>
      <c r="R738">
        <v>365</v>
      </c>
      <c r="S738">
        <v>19001.099999999999</v>
      </c>
      <c r="U738" t="s">
        <v>374</v>
      </c>
      <c r="V738">
        <v>2174</v>
      </c>
      <c r="W738">
        <v>1</v>
      </c>
      <c r="X738">
        <v>4</v>
      </c>
      <c r="Y738">
        <v>582</v>
      </c>
      <c r="Z738">
        <v>344</v>
      </c>
      <c r="AA738">
        <v>5.19</v>
      </c>
      <c r="AB738">
        <v>40</v>
      </c>
      <c r="AC738">
        <v>10420</v>
      </c>
    </row>
    <row r="739" spans="12:29" x14ac:dyDescent="0.2">
      <c r="L739" t="s">
        <v>374</v>
      </c>
      <c r="M739">
        <v>100</v>
      </c>
      <c r="N739">
        <v>1</v>
      </c>
      <c r="O739">
        <v>4</v>
      </c>
      <c r="P739">
        <v>582</v>
      </c>
      <c r="Q739">
        <v>344</v>
      </c>
      <c r="R739">
        <v>365</v>
      </c>
      <c r="S739">
        <v>12.81</v>
      </c>
      <c r="U739" t="s">
        <v>374</v>
      </c>
      <c r="V739">
        <v>2190</v>
      </c>
      <c r="W739">
        <v>1</v>
      </c>
      <c r="X739">
        <v>4</v>
      </c>
      <c r="Y739">
        <v>582</v>
      </c>
      <c r="Z739">
        <v>344</v>
      </c>
      <c r="AA739">
        <v>5.05</v>
      </c>
      <c r="AB739">
        <v>40</v>
      </c>
      <c r="AC739">
        <v>10325</v>
      </c>
    </row>
    <row r="740" spans="12:29" x14ac:dyDescent="0.2">
      <c r="L740" t="s">
        <v>374</v>
      </c>
      <c r="M740">
        <v>113</v>
      </c>
      <c r="N740">
        <v>1</v>
      </c>
      <c r="O740">
        <v>4</v>
      </c>
      <c r="P740">
        <v>582</v>
      </c>
      <c r="Q740">
        <v>344</v>
      </c>
      <c r="R740">
        <v>365</v>
      </c>
      <c r="S740">
        <v>380</v>
      </c>
      <c r="U740" t="s">
        <v>374</v>
      </c>
      <c r="V740">
        <v>2198</v>
      </c>
      <c r="W740">
        <v>1</v>
      </c>
      <c r="X740">
        <v>4</v>
      </c>
      <c r="Y740">
        <v>582</v>
      </c>
      <c r="Z740">
        <v>344</v>
      </c>
      <c r="AA740">
        <v>5.19</v>
      </c>
      <c r="AB740">
        <v>40</v>
      </c>
      <c r="AC740">
        <v>31761.26</v>
      </c>
    </row>
    <row r="741" spans="12:29" x14ac:dyDescent="0.2">
      <c r="L741" t="s">
        <v>374</v>
      </c>
      <c r="M741">
        <v>166</v>
      </c>
      <c r="N741">
        <v>1</v>
      </c>
      <c r="O741">
        <v>4</v>
      </c>
      <c r="P741">
        <v>582</v>
      </c>
      <c r="Q741">
        <v>344</v>
      </c>
      <c r="R741">
        <v>365</v>
      </c>
      <c r="S741">
        <v>14.31</v>
      </c>
      <c r="U741" t="s">
        <v>374</v>
      </c>
      <c r="V741">
        <v>2215</v>
      </c>
      <c r="W741">
        <v>1</v>
      </c>
      <c r="X741">
        <v>4</v>
      </c>
      <c r="Y741">
        <v>582</v>
      </c>
      <c r="Z741">
        <v>344</v>
      </c>
      <c r="AA741">
        <v>5.19</v>
      </c>
      <c r="AB741">
        <v>40</v>
      </c>
      <c r="AC741">
        <v>4590</v>
      </c>
    </row>
    <row r="742" spans="12:29" x14ac:dyDescent="0.2">
      <c r="L742" t="s">
        <v>374</v>
      </c>
      <c r="M742">
        <v>177</v>
      </c>
      <c r="N742">
        <v>1</v>
      </c>
      <c r="O742">
        <v>4</v>
      </c>
      <c r="P742">
        <v>582</v>
      </c>
      <c r="Q742">
        <v>344</v>
      </c>
      <c r="R742">
        <v>365</v>
      </c>
      <c r="S742">
        <v>149.04</v>
      </c>
      <c r="U742" t="s">
        <v>374</v>
      </c>
      <c r="V742">
        <v>2310</v>
      </c>
      <c r="W742">
        <v>1</v>
      </c>
      <c r="X742">
        <v>4</v>
      </c>
      <c r="Y742">
        <v>582</v>
      </c>
      <c r="Z742">
        <v>344</v>
      </c>
      <c r="AA742">
        <v>5.19</v>
      </c>
      <c r="AB742">
        <v>40</v>
      </c>
      <c r="AC742">
        <v>20312.419999999998</v>
      </c>
    </row>
    <row r="743" spans="12:29" x14ac:dyDescent="0.2">
      <c r="L743" t="s">
        <v>374</v>
      </c>
      <c r="M743">
        <v>196</v>
      </c>
      <c r="N743">
        <v>1</v>
      </c>
      <c r="O743">
        <v>4</v>
      </c>
      <c r="P743">
        <v>582</v>
      </c>
      <c r="Q743">
        <v>344</v>
      </c>
      <c r="R743">
        <v>365</v>
      </c>
      <c r="S743">
        <v>1948.25</v>
      </c>
      <c r="U743" t="s">
        <v>374</v>
      </c>
      <c r="V743">
        <v>2365</v>
      </c>
      <c r="W743">
        <v>1</v>
      </c>
      <c r="X743">
        <v>4</v>
      </c>
      <c r="Y743">
        <v>582</v>
      </c>
      <c r="Z743">
        <v>344</v>
      </c>
      <c r="AA743">
        <v>5.19</v>
      </c>
      <c r="AB743">
        <v>40</v>
      </c>
      <c r="AC743">
        <v>20665.5</v>
      </c>
    </row>
    <row r="744" spans="12:29" x14ac:dyDescent="0.2">
      <c r="L744" t="s">
        <v>374</v>
      </c>
      <c r="M744">
        <v>206</v>
      </c>
      <c r="N744">
        <v>1</v>
      </c>
      <c r="O744">
        <v>4</v>
      </c>
      <c r="P744">
        <v>582</v>
      </c>
      <c r="Q744">
        <v>344</v>
      </c>
      <c r="R744">
        <v>365</v>
      </c>
      <c r="S744">
        <v>394</v>
      </c>
      <c r="U744" t="s">
        <v>374</v>
      </c>
      <c r="V744">
        <v>2396</v>
      </c>
      <c r="W744">
        <v>1</v>
      </c>
      <c r="X744">
        <v>4</v>
      </c>
      <c r="Y744">
        <v>582</v>
      </c>
      <c r="Z744">
        <v>344</v>
      </c>
      <c r="AA744">
        <v>5.19</v>
      </c>
      <c r="AB744">
        <v>40</v>
      </c>
      <c r="AC744">
        <v>58538.5</v>
      </c>
    </row>
    <row r="745" spans="12:29" x14ac:dyDescent="0.2">
      <c r="L745" t="s">
        <v>374</v>
      </c>
      <c r="M745">
        <v>271</v>
      </c>
      <c r="N745">
        <v>1</v>
      </c>
      <c r="O745">
        <v>4</v>
      </c>
      <c r="P745">
        <v>582</v>
      </c>
      <c r="Q745">
        <v>344</v>
      </c>
      <c r="R745">
        <v>365</v>
      </c>
      <c r="S745">
        <v>633.27</v>
      </c>
      <c r="U745" t="s">
        <v>374</v>
      </c>
      <c r="V745">
        <v>2534</v>
      </c>
      <c r="W745">
        <v>1</v>
      </c>
      <c r="X745">
        <v>4</v>
      </c>
      <c r="Y745">
        <v>582</v>
      </c>
      <c r="Z745">
        <v>344</v>
      </c>
      <c r="AA745">
        <v>5.19</v>
      </c>
      <c r="AB745">
        <v>40</v>
      </c>
      <c r="AC745">
        <v>4680</v>
      </c>
    </row>
    <row r="746" spans="12:29" x14ac:dyDescent="0.2">
      <c r="L746" t="s">
        <v>374</v>
      </c>
      <c r="M746">
        <v>272</v>
      </c>
      <c r="N746">
        <v>1</v>
      </c>
      <c r="O746">
        <v>4</v>
      </c>
      <c r="P746">
        <v>582</v>
      </c>
      <c r="Q746">
        <v>344</v>
      </c>
      <c r="R746">
        <v>365</v>
      </c>
      <c r="S746">
        <v>1185.3499999999999</v>
      </c>
      <c r="U746" t="s">
        <v>374</v>
      </c>
      <c r="V746">
        <v>2536</v>
      </c>
      <c r="W746">
        <v>1</v>
      </c>
      <c r="X746">
        <v>4</v>
      </c>
      <c r="Y746">
        <v>582</v>
      </c>
      <c r="Z746">
        <v>344</v>
      </c>
      <c r="AA746">
        <v>5.19</v>
      </c>
      <c r="AB746">
        <v>40</v>
      </c>
      <c r="AC746">
        <v>4110</v>
      </c>
    </row>
    <row r="747" spans="12:29" x14ac:dyDescent="0.2">
      <c r="L747" t="s">
        <v>374</v>
      </c>
      <c r="M747">
        <v>286</v>
      </c>
      <c r="N747">
        <v>1</v>
      </c>
      <c r="O747">
        <v>4</v>
      </c>
      <c r="P747">
        <v>582</v>
      </c>
      <c r="Q747">
        <v>344</v>
      </c>
      <c r="R747">
        <v>365</v>
      </c>
      <c r="S747">
        <v>3390.15</v>
      </c>
      <c r="U747" t="s">
        <v>374</v>
      </c>
      <c r="V747">
        <v>2609</v>
      </c>
      <c r="W747">
        <v>1</v>
      </c>
      <c r="X747">
        <v>4</v>
      </c>
      <c r="Y747">
        <v>582</v>
      </c>
      <c r="Z747">
        <v>344</v>
      </c>
      <c r="AA747">
        <v>5.19</v>
      </c>
      <c r="AB747">
        <v>40</v>
      </c>
      <c r="AC747">
        <v>3935</v>
      </c>
    </row>
    <row r="748" spans="12:29" x14ac:dyDescent="0.2">
      <c r="L748" t="s">
        <v>374</v>
      </c>
      <c r="M748">
        <v>318</v>
      </c>
      <c r="N748">
        <v>1</v>
      </c>
      <c r="O748">
        <v>4</v>
      </c>
      <c r="P748">
        <v>582</v>
      </c>
      <c r="Q748">
        <v>344</v>
      </c>
      <c r="R748">
        <v>365</v>
      </c>
      <c r="S748">
        <v>310.56</v>
      </c>
      <c r="U748" t="s">
        <v>374</v>
      </c>
      <c r="V748">
        <v>2689</v>
      </c>
      <c r="W748">
        <v>1</v>
      </c>
      <c r="X748">
        <v>4</v>
      </c>
      <c r="Y748">
        <v>582</v>
      </c>
      <c r="Z748">
        <v>344</v>
      </c>
      <c r="AA748">
        <v>5.19</v>
      </c>
      <c r="AB748">
        <v>40</v>
      </c>
      <c r="AC748">
        <v>5434</v>
      </c>
    </row>
    <row r="749" spans="12:29" x14ac:dyDescent="0.2">
      <c r="L749" t="s">
        <v>374</v>
      </c>
      <c r="M749">
        <v>417</v>
      </c>
      <c r="N749">
        <v>1</v>
      </c>
      <c r="O749">
        <v>4</v>
      </c>
      <c r="P749">
        <v>582</v>
      </c>
      <c r="Q749">
        <v>344</v>
      </c>
      <c r="R749">
        <v>365</v>
      </c>
      <c r="S749">
        <v>1516.75</v>
      </c>
      <c r="U749" t="s">
        <v>374</v>
      </c>
      <c r="V749">
        <v>2711</v>
      </c>
      <c r="W749">
        <v>1</v>
      </c>
      <c r="X749">
        <v>4</v>
      </c>
      <c r="Y749">
        <v>582</v>
      </c>
      <c r="Z749">
        <v>344</v>
      </c>
      <c r="AA749">
        <v>5.19</v>
      </c>
      <c r="AB749">
        <v>40</v>
      </c>
      <c r="AC749">
        <v>21895</v>
      </c>
    </row>
    <row r="750" spans="12:29" x14ac:dyDescent="0.2">
      <c r="L750" t="s">
        <v>374</v>
      </c>
      <c r="M750">
        <v>423</v>
      </c>
      <c r="N750">
        <v>1</v>
      </c>
      <c r="O750">
        <v>4</v>
      </c>
      <c r="P750">
        <v>582</v>
      </c>
      <c r="Q750">
        <v>344</v>
      </c>
      <c r="R750">
        <v>365</v>
      </c>
      <c r="S750">
        <v>-237.49</v>
      </c>
      <c r="U750" t="s">
        <v>374</v>
      </c>
      <c r="V750">
        <v>2754</v>
      </c>
      <c r="W750">
        <v>1</v>
      </c>
      <c r="X750">
        <v>4</v>
      </c>
      <c r="Y750">
        <v>582</v>
      </c>
      <c r="Z750">
        <v>344</v>
      </c>
      <c r="AA750">
        <v>5.19</v>
      </c>
      <c r="AB750">
        <v>40</v>
      </c>
      <c r="AC750">
        <v>25567.35</v>
      </c>
    </row>
    <row r="751" spans="12:29" x14ac:dyDescent="0.2">
      <c r="L751" t="s">
        <v>374</v>
      </c>
      <c r="M751">
        <v>441</v>
      </c>
      <c r="N751">
        <v>1</v>
      </c>
      <c r="O751">
        <v>4</v>
      </c>
      <c r="P751">
        <v>582</v>
      </c>
      <c r="Q751">
        <v>344</v>
      </c>
      <c r="R751">
        <v>365</v>
      </c>
      <c r="S751">
        <v>324.08999999999997</v>
      </c>
      <c r="U751" t="s">
        <v>374</v>
      </c>
      <c r="V751">
        <v>2856</v>
      </c>
      <c r="W751">
        <v>1</v>
      </c>
      <c r="X751">
        <v>4</v>
      </c>
      <c r="Y751">
        <v>582</v>
      </c>
      <c r="Z751">
        <v>344</v>
      </c>
      <c r="AA751">
        <v>5.19</v>
      </c>
      <c r="AB751">
        <v>40</v>
      </c>
      <c r="AC751">
        <v>8850</v>
      </c>
    </row>
    <row r="752" spans="12:29" x14ac:dyDescent="0.2">
      <c r="L752" t="s">
        <v>374</v>
      </c>
      <c r="M752">
        <v>466</v>
      </c>
      <c r="N752">
        <v>1</v>
      </c>
      <c r="O752">
        <v>4</v>
      </c>
      <c r="P752">
        <v>582</v>
      </c>
      <c r="Q752">
        <v>344</v>
      </c>
      <c r="R752">
        <v>365</v>
      </c>
      <c r="S752">
        <v>59.47</v>
      </c>
      <c r="U752" t="s">
        <v>374</v>
      </c>
      <c r="V752">
        <v>2859</v>
      </c>
      <c r="W752">
        <v>1</v>
      </c>
      <c r="X752">
        <v>4</v>
      </c>
      <c r="Y752">
        <v>582</v>
      </c>
      <c r="Z752">
        <v>344</v>
      </c>
      <c r="AA752">
        <v>5.19</v>
      </c>
      <c r="AB752">
        <v>40</v>
      </c>
      <c r="AC752">
        <v>30322.97</v>
      </c>
    </row>
    <row r="753" spans="12:29" x14ac:dyDescent="0.2">
      <c r="L753" t="s">
        <v>374</v>
      </c>
      <c r="M753">
        <v>482</v>
      </c>
      <c r="N753">
        <v>1</v>
      </c>
      <c r="O753">
        <v>4</v>
      </c>
      <c r="P753">
        <v>582</v>
      </c>
      <c r="Q753">
        <v>344</v>
      </c>
      <c r="R753">
        <v>365</v>
      </c>
      <c r="S753">
        <v>9.16</v>
      </c>
      <c r="U753" t="s">
        <v>374</v>
      </c>
      <c r="V753">
        <v>2888</v>
      </c>
      <c r="W753">
        <v>1</v>
      </c>
      <c r="X753">
        <v>4</v>
      </c>
      <c r="Y753">
        <v>582</v>
      </c>
      <c r="Z753">
        <v>344</v>
      </c>
      <c r="AA753">
        <v>5.19</v>
      </c>
      <c r="AB753">
        <v>40</v>
      </c>
      <c r="AC753">
        <v>12190</v>
      </c>
    </row>
    <row r="754" spans="12:29" x14ac:dyDescent="0.2">
      <c r="L754" t="s">
        <v>374</v>
      </c>
      <c r="M754">
        <v>485</v>
      </c>
      <c r="N754">
        <v>1</v>
      </c>
      <c r="O754">
        <v>4</v>
      </c>
      <c r="P754">
        <v>582</v>
      </c>
      <c r="Q754">
        <v>344</v>
      </c>
      <c r="R754">
        <v>365</v>
      </c>
      <c r="S754">
        <v>7001.25</v>
      </c>
      <c r="U754" t="s">
        <v>374</v>
      </c>
      <c r="V754">
        <v>2899</v>
      </c>
      <c r="W754">
        <v>1</v>
      </c>
      <c r="X754">
        <v>4</v>
      </c>
      <c r="Y754">
        <v>582</v>
      </c>
      <c r="Z754">
        <v>344</v>
      </c>
      <c r="AA754">
        <v>5.19</v>
      </c>
      <c r="AB754">
        <v>40</v>
      </c>
      <c r="AC754">
        <v>57655</v>
      </c>
    </row>
    <row r="755" spans="12:29" x14ac:dyDescent="0.2">
      <c r="L755" t="s">
        <v>374</v>
      </c>
      <c r="M755">
        <v>533</v>
      </c>
      <c r="N755">
        <v>1</v>
      </c>
      <c r="O755">
        <v>4</v>
      </c>
      <c r="P755">
        <v>582</v>
      </c>
      <c r="Q755">
        <v>344</v>
      </c>
      <c r="R755">
        <v>365</v>
      </c>
      <c r="S755">
        <v>5835.04</v>
      </c>
      <c r="U755" t="s">
        <v>374</v>
      </c>
      <c r="V755">
        <v>2753</v>
      </c>
      <c r="W755">
        <v>1</v>
      </c>
      <c r="X755">
        <v>4</v>
      </c>
      <c r="Y755">
        <v>590</v>
      </c>
      <c r="Z755">
        <v>344</v>
      </c>
      <c r="AA755">
        <v>5.19</v>
      </c>
      <c r="AB755">
        <v>40</v>
      </c>
      <c r="AC755">
        <v>4920</v>
      </c>
    </row>
    <row r="756" spans="12:29" x14ac:dyDescent="0.2">
      <c r="L756" t="s">
        <v>374</v>
      </c>
      <c r="M756">
        <v>564</v>
      </c>
      <c r="N756">
        <v>1</v>
      </c>
      <c r="O756">
        <v>4</v>
      </c>
      <c r="P756">
        <v>582</v>
      </c>
      <c r="Q756">
        <v>344</v>
      </c>
      <c r="R756">
        <v>365</v>
      </c>
      <c r="S756">
        <v>115.43</v>
      </c>
      <c r="U756" t="s">
        <v>374</v>
      </c>
      <c r="V756">
        <v>831</v>
      </c>
      <c r="W756">
        <v>1</v>
      </c>
      <c r="X756">
        <v>4</v>
      </c>
      <c r="Y756">
        <v>582</v>
      </c>
      <c r="Z756">
        <v>321</v>
      </c>
      <c r="AA756">
        <v>5.19</v>
      </c>
      <c r="AB756">
        <v>40</v>
      </c>
      <c r="AC756">
        <v>38674.5</v>
      </c>
    </row>
    <row r="757" spans="12:29" x14ac:dyDescent="0.2">
      <c r="L757" t="s">
        <v>374</v>
      </c>
      <c r="M757">
        <v>595</v>
      </c>
      <c r="N757">
        <v>1</v>
      </c>
      <c r="O757">
        <v>4</v>
      </c>
      <c r="P757">
        <v>582</v>
      </c>
      <c r="Q757">
        <v>344</v>
      </c>
      <c r="R757">
        <v>365</v>
      </c>
      <c r="S757">
        <v>15013.41</v>
      </c>
      <c r="U757" t="s">
        <v>374</v>
      </c>
      <c r="V757">
        <v>345</v>
      </c>
      <c r="W757">
        <v>1</v>
      </c>
      <c r="X757">
        <v>4</v>
      </c>
      <c r="Y757">
        <v>582</v>
      </c>
      <c r="Z757">
        <v>0</v>
      </c>
      <c r="AA757">
        <v>5.19</v>
      </c>
      <c r="AB757">
        <v>40</v>
      </c>
      <c r="AC757">
        <v>7255.88</v>
      </c>
    </row>
    <row r="758" spans="12:29" x14ac:dyDescent="0.2">
      <c r="L758" t="s">
        <v>374</v>
      </c>
      <c r="M758">
        <v>622</v>
      </c>
      <c r="N758">
        <v>1</v>
      </c>
      <c r="O758">
        <v>4</v>
      </c>
      <c r="P758">
        <v>582</v>
      </c>
      <c r="Q758">
        <v>344</v>
      </c>
      <c r="R758">
        <v>365</v>
      </c>
      <c r="S758">
        <v>2175</v>
      </c>
      <c r="U758" t="s">
        <v>374</v>
      </c>
      <c r="V758">
        <v>378</v>
      </c>
      <c r="W758">
        <v>1</v>
      </c>
      <c r="X758">
        <v>4</v>
      </c>
      <c r="Y758">
        <v>582</v>
      </c>
      <c r="Z758">
        <v>0</v>
      </c>
      <c r="AA758">
        <v>5.19</v>
      </c>
      <c r="AB758">
        <v>40</v>
      </c>
      <c r="AC758">
        <v>19917</v>
      </c>
    </row>
    <row r="759" spans="12:29" x14ac:dyDescent="0.2">
      <c r="L759" t="s">
        <v>374</v>
      </c>
      <c r="M759">
        <v>623</v>
      </c>
      <c r="N759">
        <v>1</v>
      </c>
      <c r="O759">
        <v>4</v>
      </c>
      <c r="P759">
        <v>582</v>
      </c>
      <c r="Q759">
        <v>344</v>
      </c>
      <c r="R759">
        <v>365</v>
      </c>
      <c r="S759">
        <v>2431</v>
      </c>
      <c r="U759" t="s">
        <v>374</v>
      </c>
      <c r="V759">
        <v>786</v>
      </c>
      <c r="W759">
        <v>1</v>
      </c>
      <c r="X759">
        <v>4</v>
      </c>
      <c r="Y759">
        <v>0</v>
      </c>
      <c r="Z759">
        <v>344</v>
      </c>
      <c r="AA759">
        <v>5.19</v>
      </c>
      <c r="AB759">
        <v>21</v>
      </c>
      <c r="AC759">
        <v>-39.950000000000003</v>
      </c>
    </row>
    <row r="760" spans="12:29" x14ac:dyDescent="0.2">
      <c r="L760" t="s">
        <v>374</v>
      </c>
      <c r="M760">
        <v>698</v>
      </c>
      <c r="N760">
        <v>1</v>
      </c>
      <c r="O760">
        <v>4</v>
      </c>
      <c r="P760">
        <v>582</v>
      </c>
      <c r="Q760">
        <v>344</v>
      </c>
      <c r="R760">
        <v>365</v>
      </c>
      <c r="S760">
        <v>99.2</v>
      </c>
      <c r="U760" t="s">
        <v>374</v>
      </c>
      <c r="V760">
        <v>6</v>
      </c>
      <c r="W760">
        <v>3</v>
      </c>
      <c r="X760">
        <v>4</v>
      </c>
      <c r="Y760">
        <v>582</v>
      </c>
      <c r="Z760">
        <v>344</v>
      </c>
      <c r="AA760">
        <v>5.19</v>
      </c>
      <c r="AB760">
        <v>21</v>
      </c>
      <c r="AC760">
        <v>32569.96</v>
      </c>
    </row>
    <row r="761" spans="12:29" x14ac:dyDescent="0.2">
      <c r="L761" t="s">
        <v>374</v>
      </c>
      <c r="M761">
        <v>700</v>
      </c>
      <c r="N761">
        <v>1</v>
      </c>
      <c r="O761">
        <v>4</v>
      </c>
      <c r="P761">
        <v>582</v>
      </c>
      <c r="Q761">
        <v>344</v>
      </c>
      <c r="R761">
        <v>365</v>
      </c>
      <c r="S761">
        <v>368.55</v>
      </c>
      <c r="U761" t="s">
        <v>374</v>
      </c>
      <c r="V761">
        <v>62</v>
      </c>
      <c r="W761">
        <v>1</v>
      </c>
      <c r="X761">
        <v>4</v>
      </c>
      <c r="Y761">
        <v>582</v>
      </c>
      <c r="Z761">
        <v>344</v>
      </c>
      <c r="AA761">
        <v>5.19</v>
      </c>
      <c r="AB761">
        <v>21</v>
      </c>
      <c r="AC761">
        <v>580.6</v>
      </c>
    </row>
    <row r="762" spans="12:29" x14ac:dyDescent="0.2">
      <c r="L762" t="s">
        <v>374</v>
      </c>
      <c r="M762">
        <v>706</v>
      </c>
      <c r="N762">
        <v>1</v>
      </c>
      <c r="O762">
        <v>4</v>
      </c>
      <c r="P762">
        <v>582</v>
      </c>
      <c r="Q762">
        <v>344</v>
      </c>
      <c r="R762">
        <v>365</v>
      </c>
      <c r="S762">
        <v>8555.2800000000007</v>
      </c>
      <c r="U762" t="s">
        <v>374</v>
      </c>
      <c r="V762">
        <v>138</v>
      </c>
      <c r="W762">
        <v>1</v>
      </c>
      <c r="X762">
        <v>4</v>
      </c>
      <c r="Y762">
        <v>582</v>
      </c>
      <c r="Z762">
        <v>344</v>
      </c>
      <c r="AA762">
        <v>5.05</v>
      </c>
      <c r="AB762">
        <v>21</v>
      </c>
      <c r="AC762">
        <v>1686.21</v>
      </c>
    </row>
    <row r="763" spans="12:29" x14ac:dyDescent="0.2">
      <c r="L763" t="s">
        <v>374</v>
      </c>
      <c r="M763">
        <v>709</v>
      </c>
      <c r="N763">
        <v>1</v>
      </c>
      <c r="O763">
        <v>4</v>
      </c>
      <c r="P763">
        <v>582</v>
      </c>
      <c r="Q763">
        <v>344</v>
      </c>
      <c r="R763">
        <v>365</v>
      </c>
      <c r="S763">
        <v>799.88</v>
      </c>
      <c r="U763" t="s">
        <v>374</v>
      </c>
      <c r="V763">
        <v>271</v>
      </c>
      <c r="W763">
        <v>1</v>
      </c>
      <c r="X763">
        <v>4</v>
      </c>
      <c r="Y763">
        <v>582</v>
      </c>
      <c r="Z763">
        <v>344</v>
      </c>
      <c r="AA763">
        <v>5.19</v>
      </c>
      <c r="AB763">
        <v>21</v>
      </c>
      <c r="AC763">
        <v>122073.05</v>
      </c>
    </row>
    <row r="764" spans="12:29" x14ac:dyDescent="0.2">
      <c r="L764" t="s">
        <v>374</v>
      </c>
      <c r="M764">
        <v>742</v>
      </c>
      <c r="N764">
        <v>1</v>
      </c>
      <c r="O764">
        <v>4</v>
      </c>
      <c r="P764">
        <v>582</v>
      </c>
      <c r="Q764">
        <v>344</v>
      </c>
      <c r="R764">
        <v>365</v>
      </c>
      <c r="S764">
        <v>27127.33</v>
      </c>
      <c r="U764" t="s">
        <v>374</v>
      </c>
      <c r="V764">
        <v>392</v>
      </c>
      <c r="W764">
        <v>1</v>
      </c>
      <c r="X764">
        <v>4</v>
      </c>
      <c r="Y764">
        <v>582</v>
      </c>
      <c r="Z764">
        <v>344</v>
      </c>
      <c r="AA764">
        <v>5.19</v>
      </c>
      <c r="AB764">
        <v>21</v>
      </c>
      <c r="AC764">
        <v>3302.75</v>
      </c>
    </row>
    <row r="765" spans="12:29" x14ac:dyDescent="0.2">
      <c r="L765" t="s">
        <v>374</v>
      </c>
      <c r="M765">
        <v>745</v>
      </c>
      <c r="N765">
        <v>1</v>
      </c>
      <c r="O765">
        <v>4</v>
      </c>
      <c r="P765">
        <v>582</v>
      </c>
      <c r="Q765">
        <v>344</v>
      </c>
      <c r="R765">
        <v>365</v>
      </c>
      <c r="S765">
        <v>42.53</v>
      </c>
      <c r="U765" t="s">
        <v>374</v>
      </c>
      <c r="V765">
        <v>465</v>
      </c>
      <c r="W765">
        <v>1</v>
      </c>
      <c r="X765">
        <v>4</v>
      </c>
      <c r="Y765">
        <v>582</v>
      </c>
      <c r="Z765">
        <v>344</v>
      </c>
      <c r="AA765">
        <v>5.19</v>
      </c>
      <c r="AB765">
        <v>21</v>
      </c>
      <c r="AC765">
        <v>3200</v>
      </c>
    </row>
    <row r="766" spans="12:29" x14ac:dyDescent="0.2">
      <c r="L766" t="s">
        <v>374</v>
      </c>
      <c r="M766">
        <v>756</v>
      </c>
      <c r="N766">
        <v>1</v>
      </c>
      <c r="O766">
        <v>4</v>
      </c>
      <c r="P766">
        <v>582</v>
      </c>
      <c r="Q766">
        <v>344</v>
      </c>
      <c r="R766">
        <v>365</v>
      </c>
      <c r="S766">
        <v>-11260.38</v>
      </c>
      <c r="U766" t="s">
        <v>374</v>
      </c>
      <c r="V766">
        <v>700</v>
      </c>
      <c r="W766">
        <v>1</v>
      </c>
      <c r="X766">
        <v>4</v>
      </c>
      <c r="Y766">
        <v>582</v>
      </c>
      <c r="Z766">
        <v>344</v>
      </c>
      <c r="AA766">
        <v>5.19</v>
      </c>
      <c r="AB766">
        <v>21</v>
      </c>
      <c r="AC766">
        <v>16552.689999999999</v>
      </c>
    </row>
    <row r="767" spans="12:29" x14ac:dyDescent="0.2">
      <c r="L767" t="s">
        <v>374</v>
      </c>
      <c r="M767">
        <v>821</v>
      </c>
      <c r="N767">
        <v>1</v>
      </c>
      <c r="O767">
        <v>4</v>
      </c>
      <c r="P767">
        <v>582</v>
      </c>
      <c r="Q767">
        <v>344</v>
      </c>
      <c r="R767">
        <v>365</v>
      </c>
      <c r="S767">
        <v>2.16</v>
      </c>
      <c r="U767" t="s">
        <v>374</v>
      </c>
      <c r="V767">
        <v>739</v>
      </c>
      <c r="W767">
        <v>1</v>
      </c>
      <c r="X767">
        <v>4</v>
      </c>
      <c r="Y767">
        <v>582</v>
      </c>
      <c r="Z767">
        <v>344</v>
      </c>
      <c r="AA767">
        <v>5.19</v>
      </c>
      <c r="AB767">
        <v>21</v>
      </c>
      <c r="AC767">
        <v>1256.8</v>
      </c>
    </row>
    <row r="768" spans="12:29" x14ac:dyDescent="0.2">
      <c r="L768" t="s">
        <v>374</v>
      </c>
      <c r="M768">
        <v>829</v>
      </c>
      <c r="N768">
        <v>1</v>
      </c>
      <c r="O768">
        <v>4</v>
      </c>
      <c r="P768">
        <v>582</v>
      </c>
      <c r="Q768">
        <v>344</v>
      </c>
      <c r="R768">
        <v>365</v>
      </c>
      <c r="S768">
        <v>1646.72</v>
      </c>
      <c r="U768" t="s">
        <v>374</v>
      </c>
      <c r="V768">
        <v>745</v>
      </c>
      <c r="W768">
        <v>1</v>
      </c>
      <c r="X768">
        <v>4</v>
      </c>
      <c r="Y768">
        <v>582</v>
      </c>
      <c r="Z768">
        <v>344</v>
      </c>
      <c r="AA768">
        <v>5.19</v>
      </c>
      <c r="AB768">
        <v>21</v>
      </c>
      <c r="AC768">
        <v>5000</v>
      </c>
    </row>
    <row r="769" spans="12:29" x14ac:dyDescent="0.2">
      <c r="L769" t="s">
        <v>374</v>
      </c>
      <c r="M769">
        <v>883</v>
      </c>
      <c r="N769">
        <v>1</v>
      </c>
      <c r="O769">
        <v>4</v>
      </c>
      <c r="P769">
        <v>582</v>
      </c>
      <c r="Q769">
        <v>344</v>
      </c>
      <c r="R769">
        <v>365</v>
      </c>
      <c r="S769">
        <v>23776.2</v>
      </c>
      <c r="U769" t="s">
        <v>374</v>
      </c>
      <c r="V769">
        <v>2169</v>
      </c>
      <c r="W769">
        <v>1</v>
      </c>
      <c r="X769">
        <v>4</v>
      </c>
      <c r="Y769">
        <v>582</v>
      </c>
      <c r="Z769">
        <v>344</v>
      </c>
      <c r="AA769">
        <v>5.19</v>
      </c>
      <c r="AB769">
        <v>21</v>
      </c>
      <c r="AC769">
        <v>9714.09</v>
      </c>
    </row>
    <row r="770" spans="12:29" x14ac:dyDescent="0.2">
      <c r="L770" t="s">
        <v>374</v>
      </c>
      <c r="M770">
        <v>911</v>
      </c>
      <c r="N770">
        <v>1</v>
      </c>
      <c r="O770">
        <v>4</v>
      </c>
      <c r="P770">
        <v>582</v>
      </c>
      <c r="Q770">
        <v>344</v>
      </c>
      <c r="R770">
        <v>365</v>
      </c>
      <c r="S770">
        <v>416.64</v>
      </c>
      <c r="U770" t="s">
        <v>374</v>
      </c>
      <c r="V770">
        <v>166</v>
      </c>
      <c r="W770">
        <v>1</v>
      </c>
      <c r="X770">
        <v>4</v>
      </c>
      <c r="Y770">
        <v>582</v>
      </c>
      <c r="Z770">
        <v>344</v>
      </c>
      <c r="AA770">
        <v>5.19</v>
      </c>
      <c r="AB770">
        <v>1</v>
      </c>
      <c r="AC770">
        <v>-3466</v>
      </c>
    </row>
    <row r="771" spans="12:29" x14ac:dyDescent="0.2">
      <c r="L771" t="s">
        <v>374</v>
      </c>
      <c r="M771">
        <v>914</v>
      </c>
      <c r="N771">
        <v>1</v>
      </c>
      <c r="O771">
        <v>4</v>
      </c>
      <c r="P771">
        <v>582</v>
      </c>
      <c r="Q771">
        <v>344</v>
      </c>
      <c r="R771">
        <v>365</v>
      </c>
      <c r="S771">
        <v>477.4</v>
      </c>
      <c r="U771" t="s">
        <v>374</v>
      </c>
      <c r="V771">
        <v>213</v>
      </c>
      <c r="W771">
        <v>1</v>
      </c>
      <c r="X771">
        <v>4</v>
      </c>
      <c r="Y771">
        <v>582</v>
      </c>
      <c r="Z771">
        <v>344</v>
      </c>
      <c r="AA771">
        <v>5.19</v>
      </c>
      <c r="AB771">
        <v>1</v>
      </c>
      <c r="AC771">
        <v>300</v>
      </c>
    </row>
    <row r="772" spans="12:29" x14ac:dyDescent="0.2">
      <c r="L772" t="s">
        <v>374</v>
      </c>
      <c r="M772">
        <v>2154</v>
      </c>
      <c r="N772">
        <v>1</v>
      </c>
      <c r="O772">
        <v>4</v>
      </c>
      <c r="P772">
        <v>582</v>
      </c>
      <c r="Q772">
        <v>344</v>
      </c>
      <c r="R772">
        <v>365</v>
      </c>
      <c r="S772">
        <v>105.84</v>
      </c>
      <c r="U772" t="s">
        <v>374</v>
      </c>
      <c r="V772">
        <v>271</v>
      </c>
      <c r="W772">
        <v>1</v>
      </c>
      <c r="X772">
        <v>4</v>
      </c>
      <c r="Y772">
        <v>582</v>
      </c>
      <c r="Z772">
        <v>344</v>
      </c>
      <c r="AA772">
        <v>5.19</v>
      </c>
      <c r="AB772">
        <v>1</v>
      </c>
      <c r="AC772">
        <v>54366</v>
      </c>
    </row>
    <row r="773" spans="12:29" x14ac:dyDescent="0.2">
      <c r="L773" t="s">
        <v>374</v>
      </c>
      <c r="M773">
        <v>2174</v>
      </c>
      <c r="N773">
        <v>1</v>
      </c>
      <c r="O773">
        <v>4</v>
      </c>
      <c r="P773">
        <v>582</v>
      </c>
      <c r="Q773">
        <v>344</v>
      </c>
      <c r="R773">
        <v>365</v>
      </c>
      <c r="S773">
        <v>1571.76</v>
      </c>
      <c r="U773" t="s">
        <v>374</v>
      </c>
      <c r="V773">
        <v>547</v>
      </c>
      <c r="W773">
        <v>1</v>
      </c>
      <c r="X773">
        <v>4</v>
      </c>
      <c r="Y773">
        <v>582</v>
      </c>
      <c r="Z773">
        <v>344</v>
      </c>
      <c r="AA773">
        <v>5.19</v>
      </c>
      <c r="AB773">
        <v>1</v>
      </c>
      <c r="AC773">
        <v>0.02</v>
      </c>
    </row>
    <row r="774" spans="12:29" x14ac:dyDescent="0.2">
      <c r="L774" t="s">
        <v>374</v>
      </c>
      <c r="M774">
        <v>2190</v>
      </c>
      <c r="N774">
        <v>1</v>
      </c>
      <c r="O774">
        <v>4</v>
      </c>
      <c r="P774">
        <v>582</v>
      </c>
      <c r="Q774">
        <v>344</v>
      </c>
      <c r="R774">
        <v>365</v>
      </c>
      <c r="S774">
        <v>10.7</v>
      </c>
      <c r="U774" t="s">
        <v>374</v>
      </c>
      <c r="V774">
        <v>625</v>
      </c>
      <c r="W774">
        <v>1</v>
      </c>
      <c r="X774">
        <v>4</v>
      </c>
      <c r="Y774">
        <v>582</v>
      </c>
      <c r="Z774">
        <v>321</v>
      </c>
      <c r="AA774">
        <v>5.19</v>
      </c>
      <c r="AB774">
        <v>1</v>
      </c>
      <c r="AC774">
        <v>40000</v>
      </c>
    </row>
    <row r="775" spans="12:29" x14ac:dyDescent="0.2">
      <c r="L775" t="s">
        <v>374</v>
      </c>
      <c r="M775">
        <v>2198</v>
      </c>
      <c r="N775">
        <v>1</v>
      </c>
      <c r="O775">
        <v>4</v>
      </c>
      <c r="P775">
        <v>582</v>
      </c>
      <c r="Q775">
        <v>344</v>
      </c>
      <c r="R775">
        <v>365</v>
      </c>
      <c r="S775">
        <v>1244.8800000000001</v>
      </c>
    </row>
    <row r="776" spans="12:29" x14ac:dyDescent="0.2">
      <c r="L776" t="s">
        <v>374</v>
      </c>
      <c r="M776">
        <v>2396</v>
      </c>
      <c r="N776">
        <v>1</v>
      </c>
      <c r="O776">
        <v>4</v>
      </c>
      <c r="P776">
        <v>582</v>
      </c>
      <c r="Q776">
        <v>344</v>
      </c>
      <c r="R776">
        <v>365</v>
      </c>
      <c r="S776">
        <v>7.41</v>
      </c>
    </row>
    <row r="777" spans="12:29" x14ac:dyDescent="0.2">
      <c r="L777" t="s">
        <v>374</v>
      </c>
      <c r="M777">
        <v>2397</v>
      </c>
      <c r="N777">
        <v>1</v>
      </c>
      <c r="O777">
        <v>4</v>
      </c>
      <c r="P777">
        <v>582</v>
      </c>
      <c r="Q777">
        <v>344</v>
      </c>
      <c r="R777">
        <v>365</v>
      </c>
      <c r="S777">
        <v>454.82</v>
      </c>
    </row>
    <row r="778" spans="12:29" x14ac:dyDescent="0.2">
      <c r="L778" t="s">
        <v>374</v>
      </c>
      <c r="M778">
        <v>2752</v>
      </c>
      <c r="N778">
        <v>1</v>
      </c>
      <c r="O778">
        <v>4</v>
      </c>
      <c r="P778">
        <v>582</v>
      </c>
      <c r="Q778">
        <v>344</v>
      </c>
      <c r="R778">
        <v>365</v>
      </c>
      <c r="S778">
        <v>225.25</v>
      </c>
    </row>
    <row r="779" spans="12:29" x14ac:dyDescent="0.2">
      <c r="L779" t="s">
        <v>374</v>
      </c>
      <c r="M779">
        <v>2805</v>
      </c>
      <c r="N779">
        <v>1</v>
      </c>
      <c r="O779">
        <v>4</v>
      </c>
      <c r="P779">
        <v>582</v>
      </c>
      <c r="Q779">
        <v>344</v>
      </c>
      <c r="R779">
        <v>365</v>
      </c>
      <c r="S779">
        <v>65.47</v>
      </c>
    </row>
    <row r="780" spans="12:29" x14ac:dyDescent="0.2">
      <c r="L780" t="s">
        <v>374</v>
      </c>
      <c r="M780">
        <v>2853</v>
      </c>
      <c r="N780">
        <v>1</v>
      </c>
      <c r="O780">
        <v>4</v>
      </c>
      <c r="P780">
        <v>582</v>
      </c>
      <c r="Q780">
        <v>344</v>
      </c>
      <c r="R780">
        <v>365</v>
      </c>
      <c r="S780">
        <v>575.65</v>
      </c>
    </row>
    <row r="781" spans="12:29" x14ac:dyDescent="0.2">
      <c r="L781" t="s">
        <v>374</v>
      </c>
      <c r="M781">
        <v>2859</v>
      </c>
      <c r="N781">
        <v>1</v>
      </c>
      <c r="O781">
        <v>4</v>
      </c>
      <c r="P781">
        <v>582</v>
      </c>
      <c r="Q781">
        <v>344</v>
      </c>
      <c r="R781">
        <v>365</v>
      </c>
      <c r="S781">
        <v>10000</v>
      </c>
    </row>
    <row r="782" spans="12:29" x14ac:dyDescent="0.2">
      <c r="L782" t="s">
        <v>374</v>
      </c>
      <c r="M782">
        <v>2860</v>
      </c>
      <c r="N782">
        <v>1</v>
      </c>
      <c r="O782">
        <v>4</v>
      </c>
      <c r="P782">
        <v>582</v>
      </c>
      <c r="Q782">
        <v>344</v>
      </c>
      <c r="R782">
        <v>365</v>
      </c>
      <c r="S782">
        <v>4019.62</v>
      </c>
    </row>
    <row r="783" spans="12:29" x14ac:dyDescent="0.2">
      <c r="L783" t="s">
        <v>374</v>
      </c>
      <c r="M783">
        <v>2888</v>
      </c>
      <c r="N783">
        <v>1</v>
      </c>
      <c r="O783">
        <v>4</v>
      </c>
      <c r="P783">
        <v>582</v>
      </c>
      <c r="Q783">
        <v>344</v>
      </c>
      <c r="R783">
        <v>365</v>
      </c>
      <c r="S783">
        <v>133.76</v>
      </c>
    </row>
    <row r="784" spans="12:29" x14ac:dyDescent="0.2">
      <c r="L784" t="s">
        <v>374</v>
      </c>
      <c r="M784">
        <v>2889</v>
      </c>
      <c r="N784">
        <v>1</v>
      </c>
      <c r="O784">
        <v>4</v>
      </c>
      <c r="P784">
        <v>582</v>
      </c>
      <c r="Q784">
        <v>344</v>
      </c>
      <c r="R784">
        <v>365</v>
      </c>
      <c r="S784">
        <v>2575.94</v>
      </c>
    </row>
    <row r="785" spans="12:19" x14ac:dyDescent="0.2">
      <c r="L785" t="s">
        <v>374</v>
      </c>
      <c r="M785">
        <v>2898</v>
      </c>
      <c r="N785">
        <v>1</v>
      </c>
      <c r="O785">
        <v>4</v>
      </c>
      <c r="P785">
        <v>582</v>
      </c>
      <c r="Q785">
        <v>344</v>
      </c>
      <c r="R785">
        <v>365</v>
      </c>
      <c r="S785">
        <v>2927.88</v>
      </c>
    </row>
    <row r="786" spans="12:19" x14ac:dyDescent="0.2">
      <c r="L786" t="s">
        <v>374</v>
      </c>
      <c r="M786">
        <v>831</v>
      </c>
      <c r="N786">
        <v>1</v>
      </c>
      <c r="O786">
        <v>4</v>
      </c>
      <c r="P786">
        <v>582</v>
      </c>
      <c r="Q786">
        <v>321</v>
      </c>
      <c r="R786">
        <v>365</v>
      </c>
      <c r="S786">
        <v>132.75</v>
      </c>
    </row>
    <row r="787" spans="12:19" x14ac:dyDescent="0.2">
      <c r="L787" t="s">
        <v>374</v>
      </c>
      <c r="M787">
        <v>108</v>
      </c>
      <c r="N787">
        <v>1</v>
      </c>
      <c r="O787">
        <v>4</v>
      </c>
      <c r="P787">
        <v>582</v>
      </c>
      <c r="Q787">
        <v>733</v>
      </c>
      <c r="R787">
        <v>360</v>
      </c>
      <c r="S787">
        <v>3090.97</v>
      </c>
    </row>
    <row r="788" spans="12:19" x14ac:dyDescent="0.2">
      <c r="L788" t="s">
        <v>374</v>
      </c>
      <c r="M788">
        <v>110</v>
      </c>
      <c r="N788">
        <v>1</v>
      </c>
      <c r="O788">
        <v>4</v>
      </c>
      <c r="P788">
        <v>582</v>
      </c>
      <c r="Q788">
        <v>733</v>
      </c>
      <c r="R788">
        <v>360</v>
      </c>
      <c r="S788">
        <v>419.34</v>
      </c>
    </row>
    <row r="789" spans="12:19" x14ac:dyDescent="0.2">
      <c r="L789" t="s">
        <v>374</v>
      </c>
      <c r="M789">
        <v>2071</v>
      </c>
      <c r="N789">
        <v>1</v>
      </c>
      <c r="O789">
        <v>4</v>
      </c>
      <c r="P789">
        <v>582</v>
      </c>
      <c r="Q789">
        <v>733</v>
      </c>
      <c r="R789">
        <v>360</v>
      </c>
      <c r="S789">
        <v>13711.25</v>
      </c>
    </row>
    <row r="790" spans="12:19" x14ac:dyDescent="0.2">
      <c r="L790" t="s">
        <v>374</v>
      </c>
      <c r="M790">
        <v>625</v>
      </c>
      <c r="N790">
        <v>1</v>
      </c>
      <c r="O790">
        <v>4</v>
      </c>
      <c r="P790">
        <v>582</v>
      </c>
      <c r="Q790">
        <v>599</v>
      </c>
      <c r="R790">
        <v>360</v>
      </c>
      <c r="S790">
        <v>1314.24</v>
      </c>
    </row>
    <row r="791" spans="12:19" x14ac:dyDescent="0.2">
      <c r="L791" t="s">
        <v>374</v>
      </c>
      <c r="M791">
        <v>463</v>
      </c>
      <c r="N791">
        <v>1</v>
      </c>
      <c r="O791">
        <v>4</v>
      </c>
      <c r="P791">
        <v>581</v>
      </c>
      <c r="Q791">
        <v>344</v>
      </c>
      <c r="R791">
        <v>360</v>
      </c>
      <c r="S791">
        <v>12917.2</v>
      </c>
    </row>
    <row r="792" spans="12:19" x14ac:dyDescent="0.2">
      <c r="L792" t="s">
        <v>374</v>
      </c>
      <c r="M792">
        <v>6</v>
      </c>
      <c r="N792">
        <v>3</v>
      </c>
      <c r="O792">
        <v>4</v>
      </c>
      <c r="P792">
        <v>582</v>
      </c>
      <c r="Q792">
        <v>344</v>
      </c>
      <c r="R792">
        <v>360</v>
      </c>
      <c r="S792">
        <v>182.74</v>
      </c>
    </row>
    <row r="793" spans="12:19" x14ac:dyDescent="0.2">
      <c r="L793" t="s">
        <v>374</v>
      </c>
      <c r="M793">
        <v>77</v>
      </c>
      <c r="N793">
        <v>1</v>
      </c>
      <c r="O793">
        <v>4</v>
      </c>
      <c r="P793">
        <v>582</v>
      </c>
      <c r="Q793">
        <v>344</v>
      </c>
      <c r="R793">
        <v>360</v>
      </c>
      <c r="S793">
        <v>37686</v>
      </c>
    </row>
    <row r="794" spans="12:19" x14ac:dyDescent="0.2">
      <c r="L794" t="s">
        <v>374</v>
      </c>
      <c r="M794">
        <v>84</v>
      </c>
      <c r="N794">
        <v>1</v>
      </c>
      <c r="O794">
        <v>4</v>
      </c>
      <c r="P794">
        <v>582</v>
      </c>
      <c r="Q794">
        <v>344</v>
      </c>
      <c r="R794">
        <v>360</v>
      </c>
      <c r="S794">
        <v>4937.88</v>
      </c>
    </row>
    <row r="795" spans="12:19" x14ac:dyDescent="0.2">
      <c r="L795" t="s">
        <v>374</v>
      </c>
      <c r="M795">
        <v>88</v>
      </c>
      <c r="N795">
        <v>1</v>
      </c>
      <c r="O795">
        <v>4</v>
      </c>
      <c r="P795">
        <v>582</v>
      </c>
      <c r="Q795">
        <v>344</v>
      </c>
      <c r="R795">
        <v>360</v>
      </c>
      <c r="S795">
        <v>6528.54</v>
      </c>
    </row>
    <row r="796" spans="12:19" x14ac:dyDescent="0.2">
      <c r="L796" t="s">
        <v>374</v>
      </c>
      <c r="M796">
        <v>94</v>
      </c>
      <c r="N796">
        <v>1</v>
      </c>
      <c r="O796">
        <v>4</v>
      </c>
      <c r="P796">
        <v>582</v>
      </c>
      <c r="Q796">
        <v>344</v>
      </c>
      <c r="R796">
        <v>360</v>
      </c>
      <c r="S796">
        <v>561.63</v>
      </c>
    </row>
    <row r="797" spans="12:19" x14ac:dyDescent="0.2">
      <c r="L797" t="s">
        <v>374</v>
      </c>
      <c r="M797">
        <v>110</v>
      </c>
      <c r="N797">
        <v>1</v>
      </c>
      <c r="O797">
        <v>4</v>
      </c>
      <c r="P797">
        <v>582</v>
      </c>
      <c r="Q797">
        <v>344</v>
      </c>
      <c r="R797">
        <v>360</v>
      </c>
      <c r="S797">
        <v>147.5</v>
      </c>
    </row>
    <row r="798" spans="12:19" x14ac:dyDescent="0.2">
      <c r="L798" t="s">
        <v>374</v>
      </c>
      <c r="M798">
        <v>112</v>
      </c>
      <c r="N798">
        <v>1</v>
      </c>
      <c r="O798">
        <v>4</v>
      </c>
      <c r="P798">
        <v>582</v>
      </c>
      <c r="Q798">
        <v>344</v>
      </c>
      <c r="R798">
        <v>360</v>
      </c>
      <c r="S798">
        <v>22742.34</v>
      </c>
    </row>
    <row r="799" spans="12:19" x14ac:dyDescent="0.2">
      <c r="L799" t="s">
        <v>374</v>
      </c>
      <c r="M799">
        <v>177</v>
      </c>
      <c r="N799">
        <v>1</v>
      </c>
      <c r="O799">
        <v>4</v>
      </c>
      <c r="P799">
        <v>582</v>
      </c>
      <c r="Q799">
        <v>344</v>
      </c>
      <c r="R799">
        <v>360</v>
      </c>
      <c r="S799">
        <v>455</v>
      </c>
    </row>
    <row r="800" spans="12:19" x14ac:dyDescent="0.2">
      <c r="L800" t="s">
        <v>374</v>
      </c>
      <c r="M800">
        <v>181</v>
      </c>
      <c r="N800">
        <v>1</v>
      </c>
      <c r="O800">
        <v>4</v>
      </c>
      <c r="P800">
        <v>582</v>
      </c>
      <c r="Q800">
        <v>344</v>
      </c>
      <c r="R800">
        <v>360</v>
      </c>
      <c r="S800">
        <v>12345</v>
      </c>
    </row>
    <row r="801" spans="12:19" x14ac:dyDescent="0.2">
      <c r="L801" t="s">
        <v>374</v>
      </c>
      <c r="M801">
        <v>196</v>
      </c>
      <c r="N801">
        <v>1</v>
      </c>
      <c r="O801">
        <v>4</v>
      </c>
      <c r="P801">
        <v>582</v>
      </c>
      <c r="Q801">
        <v>344</v>
      </c>
      <c r="R801">
        <v>360</v>
      </c>
      <c r="S801">
        <v>77663.66</v>
      </c>
    </row>
    <row r="802" spans="12:19" x14ac:dyDescent="0.2">
      <c r="L802" t="s">
        <v>374</v>
      </c>
      <c r="M802">
        <v>203</v>
      </c>
      <c r="N802">
        <v>1</v>
      </c>
      <c r="O802">
        <v>4</v>
      </c>
      <c r="P802">
        <v>582</v>
      </c>
      <c r="Q802">
        <v>344</v>
      </c>
      <c r="R802">
        <v>360</v>
      </c>
      <c r="S802">
        <v>2925</v>
      </c>
    </row>
    <row r="803" spans="12:19" x14ac:dyDescent="0.2">
      <c r="L803" t="s">
        <v>374</v>
      </c>
      <c r="M803">
        <v>238</v>
      </c>
      <c r="N803">
        <v>1</v>
      </c>
      <c r="O803">
        <v>4</v>
      </c>
      <c r="P803">
        <v>582</v>
      </c>
      <c r="Q803">
        <v>344</v>
      </c>
      <c r="R803">
        <v>360</v>
      </c>
      <c r="S803">
        <v>99.05</v>
      </c>
    </row>
    <row r="804" spans="12:19" x14ac:dyDescent="0.2">
      <c r="L804" t="s">
        <v>374</v>
      </c>
      <c r="M804">
        <v>241</v>
      </c>
      <c r="N804">
        <v>1</v>
      </c>
      <c r="O804">
        <v>4</v>
      </c>
      <c r="P804">
        <v>582</v>
      </c>
      <c r="Q804">
        <v>344</v>
      </c>
      <c r="R804">
        <v>360</v>
      </c>
      <c r="S804">
        <v>175</v>
      </c>
    </row>
    <row r="805" spans="12:19" x14ac:dyDescent="0.2">
      <c r="L805" t="s">
        <v>374</v>
      </c>
      <c r="M805">
        <v>271</v>
      </c>
      <c r="N805">
        <v>1</v>
      </c>
      <c r="O805">
        <v>4</v>
      </c>
      <c r="P805">
        <v>582</v>
      </c>
      <c r="Q805">
        <v>344</v>
      </c>
      <c r="R805">
        <v>360</v>
      </c>
      <c r="S805">
        <v>22649</v>
      </c>
    </row>
    <row r="806" spans="12:19" x14ac:dyDescent="0.2">
      <c r="L806" t="s">
        <v>374</v>
      </c>
      <c r="M806">
        <v>277</v>
      </c>
      <c r="N806">
        <v>1</v>
      </c>
      <c r="O806">
        <v>4</v>
      </c>
      <c r="P806">
        <v>582</v>
      </c>
      <c r="Q806">
        <v>344</v>
      </c>
      <c r="R806">
        <v>360</v>
      </c>
      <c r="S806">
        <v>1929.38</v>
      </c>
    </row>
    <row r="807" spans="12:19" x14ac:dyDescent="0.2">
      <c r="L807" t="s">
        <v>374</v>
      </c>
      <c r="M807">
        <v>279</v>
      </c>
      <c r="N807">
        <v>1</v>
      </c>
      <c r="O807">
        <v>4</v>
      </c>
      <c r="P807">
        <v>582</v>
      </c>
      <c r="Q807">
        <v>344</v>
      </c>
      <c r="R807">
        <v>360</v>
      </c>
      <c r="S807">
        <v>137217.68</v>
      </c>
    </row>
    <row r="808" spans="12:19" x14ac:dyDescent="0.2">
      <c r="L808" t="s">
        <v>374</v>
      </c>
      <c r="M808">
        <v>299</v>
      </c>
      <c r="N808">
        <v>1</v>
      </c>
      <c r="O808">
        <v>4</v>
      </c>
      <c r="P808">
        <v>582</v>
      </c>
      <c r="Q808">
        <v>344</v>
      </c>
      <c r="R808">
        <v>360</v>
      </c>
      <c r="S808">
        <v>1387.5</v>
      </c>
    </row>
    <row r="809" spans="12:19" x14ac:dyDescent="0.2">
      <c r="L809" t="s">
        <v>374</v>
      </c>
      <c r="M809">
        <v>300</v>
      </c>
      <c r="N809">
        <v>1</v>
      </c>
      <c r="O809">
        <v>4</v>
      </c>
      <c r="P809">
        <v>582</v>
      </c>
      <c r="Q809">
        <v>344</v>
      </c>
      <c r="R809">
        <v>360</v>
      </c>
      <c r="S809">
        <v>3786.04</v>
      </c>
    </row>
    <row r="810" spans="12:19" x14ac:dyDescent="0.2">
      <c r="L810" t="s">
        <v>374</v>
      </c>
      <c r="M810">
        <v>314</v>
      </c>
      <c r="N810">
        <v>1</v>
      </c>
      <c r="O810">
        <v>4</v>
      </c>
      <c r="P810">
        <v>582</v>
      </c>
      <c r="Q810">
        <v>344</v>
      </c>
      <c r="R810">
        <v>360</v>
      </c>
      <c r="S810">
        <v>274.60000000000002</v>
      </c>
    </row>
    <row r="811" spans="12:19" x14ac:dyDescent="0.2">
      <c r="L811" t="s">
        <v>374</v>
      </c>
      <c r="M811">
        <v>317</v>
      </c>
      <c r="N811">
        <v>1</v>
      </c>
      <c r="O811">
        <v>4</v>
      </c>
      <c r="P811">
        <v>582</v>
      </c>
      <c r="Q811">
        <v>344</v>
      </c>
      <c r="R811">
        <v>360</v>
      </c>
      <c r="S811">
        <v>5000</v>
      </c>
    </row>
    <row r="812" spans="12:19" x14ac:dyDescent="0.2">
      <c r="L812" t="s">
        <v>374</v>
      </c>
      <c r="M812">
        <v>345</v>
      </c>
      <c r="N812">
        <v>1</v>
      </c>
      <c r="O812">
        <v>4</v>
      </c>
      <c r="P812">
        <v>582</v>
      </c>
      <c r="Q812">
        <v>344</v>
      </c>
      <c r="R812">
        <v>360</v>
      </c>
      <c r="S812">
        <v>2998.65</v>
      </c>
    </row>
    <row r="813" spans="12:19" x14ac:dyDescent="0.2">
      <c r="L813" t="s">
        <v>374</v>
      </c>
      <c r="M813">
        <v>392</v>
      </c>
      <c r="N813">
        <v>1</v>
      </c>
      <c r="O813">
        <v>4</v>
      </c>
      <c r="P813">
        <v>582</v>
      </c>
      <c r="Q813">
        <v>344</v>
      </c>
      <c r="R813">
        <v>360</v>
      </c>
      <c r="S813">
        <v>5594.48</v>
      </c>
    </row>
    <row r="814" spans="12:19" x14ac:dyDescent="0.2">
      <c r="L814" t="s">
        <v>374</v>
      </c>
      <c r="M814">
        <v>417</v>
      </c>
      <c r="N814">
        <v>1</v>
      </c>
      <c r="O814">
        <v>4</v>
      </c>
      <c r="P814">
        <v>582</v>
      </c>
      <c r="Q814">
        <v>344</v>
      </c>
      <c r="R814">
        <v>360</v>
      </c>
      <c r="S814">
        <v>3900.21</v>
      </c>
    </row>
    <row r="815" spans="12:19" x14ac:dyDescent="0.2">
      <c r="L815" t="s">
        <v>374</v>
      </c>
      <c r="M815">
        <v>423</v>
      </c>
      <c r="N815">
        <v>1</v>
      </c>
      <c r="O815">
        <v>4</v>
      </c>
      <c r="P815">
        <v>582</v>
      </c>
      <c r="Q815">
        <v>344</v>
      </c>
      <c r="R815">
        <v>360</v>
      </c>
      <c r="S815">
        <v>4704.3</v>
      </c>
    </row>
    <row r="816" spans="12:19" x14ac:dyDescent="0.2">
      <c r="L816" t="s">
        <v>374</v>
      </c>
      <c r="M816">
        <v>424</v>
      </c>
      <c r="N816">
        <v>1</v>
      </c>
      <c r="O816">
        <v>4</v>
      </c>
      <c r="P816">
        <v>582</v>
      </c>
      <c r="Q816">
        <v>344</v>
      </c>
      <c r="R816">
        <v>360</v>
      </c>
      <c r="S816">
        <v>5812.9</v>
      </c>
    </row>
    <row r="817" spans="12:19" x14ac:dyDescent="0.2">
      <c r="L817" t="s">
        <v>374</v>
      </c>
      <c r="M817">
        <v>465</v>
      </c>
      <c r="N817">
        <v>1</v>
      </c>
      <c r="O817">
        <v>4</v>
      </c>
      <c r="P817">
        <v>582</v>
      </c>
      <c r="Q817">
        <v>344</v>
      </c>
      <c r="R817">
        <v>360</v>
      </c>
      <c r="S817">
        <v>148.36000000000001</v>
      </c>
    </row>
    <row r="818" spans="12:19" x14ac:dyDescent="0.2">
      <c r="L818" t="s">
        <v>374</v>
      </c>
      <c r="M818">
        <v>508</v>
      </c>
      <c r="N818">
        <v>1</v>
      </c>
      <c r="O818">
        <v>4</v>
      </c>
      <c r="P818">
        <v>582</v>
      </c>
      <c r="Q818">
        <v>344</v>
      </c>
      <c r="R818">
        <v>360</v>
      </c>
      <c r="S818">
        <v>19956.310000000001</v>
      </c>
    </row>
    <row r="819" spans="12:19" x14ac:dyDescent="0.2">
      <c r="L819" t="s">
        <v>374</v>
      </c>
      <c r="M819">
        <v>547</v>
      </c>
      <c r="N819">
        <v>1</v>
      </c>
      <c r="O819">
        <v>4</v>
      </c>
      <c r="P819">
        <v>582</v>
      </c>
      <c r="Q819">
        <v>344</v>
      </c>
      <c r="R819">
        <v>360</v>
      </c>
      <c r="S819">
        <v>6248.5</v>
      </c>
    </row>
    <row r="820" spans="12:19" x14ac:dyDescent="0.2">
      <c r="L820" t="s">
        <v>374</v>
      </c>
      <c r="M820">
        <v>623</v>
      </c>
      <c r="N820">
        <v>1</v>
      </c>
      <c r="O820">
        <v>4</v>
      </c>
      <c r="P820">
        <v>582</v>
      </c>
      <c r="Q820">
        <v>344</v>
      </c>
      <c r="R820">
        <v>360</v>
      </c>
      <c r="S820">
        <v>518.9</v>
      </c>
    </row>
    <row r="821" spans="12:19" x14ac:dyDescent="0.2">
      <c r="L821" t="s">
        <v>374</v>
      </c>
      <c r="M821">
        <v>625</v>
      </c>
      <c r="N821">
        <v>1</v>
      </c>
      <c r="O821">
        <v>4</v>
      </c>
      <c r="P821">
        <v>582</v>
      </c>
      <c r="Q821">
        <v>344</v>
      </c>
      <c r="R821">
        <v>360</v>
      </c>
      <c r="S821">
        <v>229.82</v>
      </c>
    </row>
    <row r="822" spans="12:19" x14ac:dyDescent="0.2">
      <c r="L822" t="s">
        <v>374</v>
      </c>
      <c r="M822">
        <v>656</v>
      </c>
      <c r="N822">
        <v>1</v>
      </c>
      <c r="O822">
        <v>4</v>
      </c>
      <c r="P822">
        <v>582</v>
      </c>
      <c r="Q822">
        <v>344</v>
      </c>
      <c r="R822">
        <v>360</v>
      </c>
      <c r="S822">
        <v>10000</v>
      </c>
    </row>
    <row r="823" spans="12:19" x14ac:dyDescent="0.2">
      <c r="L823" t="s">
        <v>374</v>
      </c>
      <c r="M823">
        <v>659</v>
      </c>
      <c r="N823">
        <v>1</v>
      </c>
      <c r="O823">
        <v>4</v>
      </c>
      <c r="P823">
        <v>582</v>
      </c>
      <c r="Q823">
        <v>344</v>
      </c>
      <c r="R823">
        <v>360</v>
      </c>
      <c r="S823">
        <v>1440</v>
      </c>
    </row>
    <row r="824" spans="12:19" x14ac:dyDescent="0.2">
      <c r="L824" t="s">
        <v>374</v>
      </c>
      <c r="M824">
        <v>719</v>
      </c>
      <c r="N824">
        <v>1</v>
      </c>
      <c r="O824">
        <v>4</v>
      </c>
      <c r="P824">
        <v>582</v>
      </c>
      <c r="Q824">
        <v>344</v>
      </c>
      <c r="R824">
        <v>360</v>
      </c>
      <c r="S824">
        <v>519</v>
      </c>
    </row>
    <row r="825" spans="12:19" x14ac:dyDescent="0.2">
      <c r="L825" t="s">
        <v>374</v>
      </c>
      <c r="M825">
        <v>720</v>
      </c>
      <c r="N825">
        <v>1</v>
      </c>
      <c r="O825">
        <v>4</v>
      </c>
      <c r="P825">
        <v>582</v>
      </c>
      <c r="Q825">
        <v>344</v>
      </c>
      <c r="R825">
        <v>360</v>
      </c>
      <c r="S825">
        <v>9890.6200000000008</v>
      </c>
    </row>
    <row r="826" spans="12:19" x14ac:dyDescent="0.2">
      <c r="L826" t="s">
        <v>374</v>
      </c>
      <c r="M826">
        <v>739</v>
      </c>
      <c r="N826">
        <v>1</v>
      </c>
      <c r="O826">
        <v>4</v>
      </c>
      <c r="P826">
        <v>582</v>
      </c>
      <c r="Q826">
        <v>344</v>
      </c>
      <c r="R826">
        <v>360</v>
      </c>
      <c r="S826">
        <v>760</v>
      </c>
    </row>
    <row r="827" spans="12:19" x14ac:dyDescent="0.2">
      <c r="L827" t="s">
        <v>374</v>
      </c>
      <c r="M827">
        <v>750</v>
      </c>
      <c r="N827">
        <v>1</v>
      </c>
      <c r="O827">
        <v>4</v>
      </c>
      <c r="P827">
        <v>582</v>
      </c>
      <c r="Q827">
        <v>344</v>
      </c>
      <c r="R827">
        <v>360</v>
      </c>
      <c r="S827">
        <v>180</v>
      </c>
    </row>
    <row r="828" spans="12:19" x14ac:dyDescent="0.2">
      <c r="L828" t="s">
        <v>374</v>
      </c>
      <c r="M828">
        <v>756</v>
      </c>
      <c r="N828">
        <v>1</v>
      </c>
      <c r="O828">
        <v>4</v>
      </c>
      <c r="P828">
        <v>582</v>
      </c>
      <c r="Q828">
        <v>344</v>
      </c>
      <c r="R828">
        <v>360</v>
      </c>
      <c r="S828">
        <v>14310</v>
      </c>
    </row>
    <row r="829" spans="12:19" x14ac:dyDescent="0.2">
      <c r="L829" t="s">
        <v>374</v>
      </c>
      <c r="M829">
        <v>761</v>
      </c>
      <c r="N829">
        <v>1</v>
      </c>
      <c r="O829">
        <v>4</v>
      </c>
      <c r="P829">
        <v>582</v>
      </c>
      <c r="Q829">
        <v>344</v>
      </c>
      <c r="R829">
        <v>360</v>
      </c>
      <c r="S829">
        <v>806.4</v>
      </c>
    </row>
    <row r="830" spans="12:19" x14ac:dyDescent="0.2">
      <c r="L830" t="s">
        <v>374</v>
      </c>
      <c r="M830">
        <v>803</v>
      </c>
      <c r="N830">
        <v>1</v>
      </c>
      <c r="O830">
        <v>4</v>
      </c>
      <c r="P830">
        <v>582</v>
      </c>
      <c r="Q830">
        <v>344</v>
      </c>
      <c r="R830">
        <v>360</v>
      </c>
      <c r="S830">
        <v>112.66</v>
      </c>
    </row>
    <row r="831" spans="12:19" x14ac:dyDescent="0.2">
      <c r="L831" t="s">
        <v>374</v>
      </c>
      <c r="M831">
        <v>833</v>
      </c>
      <c r="N831">
        <v>1</v>
      </c>
      <c r="O831">
        <v>4</v>
      </c>
      <c r="P831">
        <v>582</v>
      </c>
      <c r="Q831">
        <v>344</v>
      </c>
      <c r="R831">
        <v>360</v>
      </c>
      <c r="S831">
        <v>10043</v>
      </c>
    </row>
    <row r="832" spans="12:19" x14ac:dyDescent="0.2">
      <c r="L832" t="s">
        <v>374</v>
      </c>
      <c r="M832">
        <v>834</v>
      </c>
      <c r="N832">
        <v>1</v>
      </c>
      <c r="O832">
        <v>4</v>
      </c>
      <c r="P832">
        <v>582</v>
      </c>
      <c r="Q832">
        <v>344</v>
      </c>
      <c r="R832">
        <v>360</v>
      </c>
      <c r="S832">
        <v>1854.09</v>
      </c>
    </row>
    <row r="833" spans="12:19" x14ac:dyDescent="0.2">
      <c r="L833" t="s">
        <v>374</v>
      </c>
      <c r="M833">
        <v>876</v>
      </c>
      <c r="N833">
        <v>1</v>
      </c>
      <c r="O833">
        <v>4</v>
      </c>
      <c r="P833">
        <v>582</v>
      </c>
      <c r="Q833">
        <v>344</v>
      </c>
      <c r="R833">
        <v>360</v>
      </c>
      <c r="S833">
        <v>116.1</v>
      </c>
    </row>
    <row r="834" spans="12:19" x14ac:dyDescent="0.2">
      <c r="L834" t="s">
        <v>374</v>
      </c>
      <c r="M834">
        <v>885</v>
      </c>
      <c r="N834">
        <v>1</v>
      </c>
      <c r="O834">
        <v>4</v>
      </c>
      <c r="P834">
        <v>582</v>
      </c>
      <c r="Q834">
        <v>344</v>
      </c>
      <c r="R834">
        <v>360</v>
      </c>
      <c r="S834">
        <v>1190</v>
      </c>
    </row>
    <row r="835" spans="12:19" x14ac:dyDescent="0.2">
      <c r="L835" t="s">
        <v>374</v>
      </c>
      <c r="M835">
        <v>912</v>
      </c>
      <c r="N835">
        <v>1</v>
      </c>
      <c r="O835">
        <v>4</v>
      </c>
      <c r="P835">
        <v>582</v>
      </c>
      <c r="Q835">
        <v>344</v>
      </c>
      <c r="R835">
        <v>360</v>
      </c>
      <c r="S835">
        <v>585</v>
      </c>
    </row>
    <row r="836" spans="12:19" x14ac:dyDescent="0.2">
      <c r="L836" t="s">
        <v>374</v>
      </c>
      <c r="M836">
        <v>2149</v>
      </c>
      <c r="N836">
        <v>1</v>
      </c>
      <c r="O836">
        <v>4</v>
      </c>
      <c r="P836">
        <v>582</v>
      </c>
      <c r="Q836">
        <v>344</v>
      </c>
      <c r="R836">
        <v>360</v>
      </c>
      <c r="S836">
        <v>1244.5</v>
      </c>
    </row>
    <row r="837" spans="12:19" x14ac:dyDescent="0.2">
      <c r="L837" t="s">
        <v>374</v>
      </c>
      <c r="M837">
        <v>2164</v>
      </c>
      <c r="N837">
        <v>1</v>
      </c>
      <c r="O837">
        <v>4</v>
      </c>
      <c r="P837">
        <v>582</v>
      </c>
      <c r="Q837">
        <v>344</v>
      </c>
      <c r="R837">
        <v>360</v>
      </c>
      <c r="S837">
        <v>765</v>
      </c>
    </row>
    <row r="838" spans="12:19" x14ac:dyDescent="0.2">
      <c r="L838" t="s">
        <v>374</v>
      </c>
      <c r="M838">
        <v>2169</v>
      </c>
      <c r="N838">
        <v>1</v>
      </c>
      <c r="O838">
        <v>4</v>
      </c>
      <c r="P838">
        <v>582</v>
      </c>
      <c r="Q838">
        <v>344</v>
      </c>
      <c r="R838">
        <v>360</v>
      </c>
      <c r="S838">
        <v>53.22</v>
      </c>
    </row>
    <row r="839" spans="12:19" x14ac:dyDescent="0.2">
      <c r="L839" t="s">
        <v>374</v>
      </c>
      <c r="M839">
        <v>2190</v>
      </c>
      <c r="N839">
        <v>1</v>
      </c>
      <c r="O839">
        <v>4</v>
      </c>
      <c r="P839">
        <v>582</v>
      </c>
      <c r="Q839">
        <v>344</v>
      </c>
      <c r="R839">
        <v>360</v>
      </c>
      <c r="S839">
        <v>4362.6499999999996</v>
      </c>
    </row>
    <row r="840" spans="12:19" x14ac:dyDescent="0.2">
      <c r="L840" t="s">
        <v>374</v>
      </c>
      <c r="M840">
        <v>2752</v>
      </c>
      <c r="N840">
        <v>1</v>
      </c>
      <c r="O840">
        <v>4</v>
      </c>
      <c r="P840">
        <v>582</v>
      </c>
      <c r="Q840">
        <v>344</v>
      </c>
      <c r="R840">
        <v>360</v>
      </c>
      <c r="S840">
        <v>5528.9</v>
      </c>
    </row>
    <row r="841" spans="12:19" x14ac:dyDescent="0.2">
      <c r="L841" t="s">
        <v>374</v>
      </c>
      <c r="M841">
        <v>2754</v>
      </c>
      <c r="N841">
        <v>1</v>
      </c>
      <c r="O841">
        <v>4</v>
      </c>
      <c r="P841">
        <v>582</v>
      </c>
      <c r="Q841">
        <v>344</v>
      </c>
      <c r="R841">
        <v>360</v>
      </c>
      <c r="S841">
        <v>40.43</v>
      </c>
    </row>
    <row r="842" spans="12:19" x14ac:dyDescent="0.2">
      <c r="L842" t="s">
        <v>374</v>
      </c>
      <c r="M842">
        <v>2835</v>
      </c>
      <c r="N842">
        <v>1</v>
      </c>
      <c r="O842">
        <v>4</v>
      </c>
      <c r="P842">
        <v>582</v>
      </c>
      <c r="Q842">
        <v>344</v>
      </c>
      <c r="R842">
        <v>360</v>
      </c>
      <c r="S842">
        <v>4083.75</v>
      </c>
    </row>
    <row r="843" spans="12:19" x14ac:dyDescent="0.2">
      <c r="L843" t="s">
        <v>374</v>
      </c>
      <c r="M843">
        <v>1</v>
      </c>
      <c r="N843">
        <v>3</v>
      </c>
      <c r="O843">
        <v>4</v>
      </c>
      <c r="P843">
        <v>582</v>
      </c>
      <c r="Q843">
        <v>344</v>
      </c>
      <c r="R843">
        <v>350</v>
      </c>
      <c r="S843">
        <v>308.91000000000003</v>
      </c>
    </row>
    <row r="844" spans="12:19" x14ac:dyDescent="0.2">
      <c r="L844" t="s">
        <v>374</v>
      </c>
      <c r="M844">
        <v>11</v>
      </c>
      <c r="N844">
        <v>1</v>
      </c>
      <c r="O844">
        <v>4</v>
      </c>
      <c r="P844">
        <v>582</v>
      </c>
      <c r="Q844">
        <v>344</v>
      </c>
      <c r="R844">
        <v>350</v>
      </c>
      <c r="S844">
        <v>782.07</v>
      </c>
    </row>
    <row r="845" spans="12:19" x14ac:dyDescent="0.2">
      <c r="L845" t="s">
        <v>374</v>
      </c>
      <c r="M845">
        <v>191</v>
      </c>
      <c r="N845">
        <v>1</v>
      </c>
      <c r="O845">
        <v>4</v>
      </c>
      <c r="P845">
        <v>582</v>
      </c>
      <c r="Q845">
        <v>344</v>
      </c>
      <c r="R845">
        <v>350</v>
      </c>
      <c r="S845">
        <v>8333.35</v>
      </c>
    </row>
    <row r="846" spans="12:19" x14ac:dyDescent="0.2">
      <c r="L846" t="s">
        <v>374</v>
      </c>
      <c r="M846">
        <v>200</v>
      </c>
      <c r="N846">
        <v>1</v>
      </c>
      <c r="O846">
        <v>4</v>
      </c>
      <c r="P846">
        <v>582</v>
      </c>
      <c r="Q846">
        <v>344</v>
      </c>
      <c r="R846">
        <v>350</v>
      </c>
      <c r="S846">
        <v>5.52</v>
      </c>
    </row>
    <row r="847" spans="12:19" x14ac:dyDescent="0.2">
      <c r="L847" t="s">
        <v>374</v>
      </c>
      <c r="M847">
        <v>277</v>
      </c>
      <c r="N847">
        <v>1</v>
      </c>
      <c r="O847">
        <v>4</v>
      </c>
      <c r="P847">
        <v>582</v>
      </c>
      <c r="Q847">
        <v>344</v>
      </c>
      <c r="R847">
        <v>350</v>
      </c>
      <c r="S847">
        <v>1760.29</v>
      </c>
    </row>
    <row r="848" spans="12:19" x14ac:dyDescent="0.2">
      <c r="L848" t="s">
        <v>374</v>
      </c>
      <c r="M848">
        <v>281</v>
      </c>
      <c r="N848">
        <v>1</v>
      </c>
      <c r="O848">
        <v>4</v>
      </c>
      <c r="P848">
        <v>582</v>
      </c>
      <c r="Q848">
        <v>344</v>
      </c>
      <c r="R848">
        <v>350</v>
      </c>
      <c r="S848">
        <v>385.58</v>
      </c>
    </row>
    <row r="849" spans="12:19" x14ac:dyDescent="0.2">
      <c r="L849" t="s">
        <v>374</v>
      </c>
      <c r="M849">
        <v>300</v>
      </c>
      <c r="N849">
        <v>1</v>
      </c>
      <c r="O849">
        <v>4</v>
      </c>
      <c r="P849">
        <v>582</v>
      </c>
      <c r="Q849">
        <v>344</v>
      </c>
      <c r="R849">
        <v>350</v>
      </c>
      <c r="S849">
        <v>300</v>
      </c>
    </row>
    <row r="850" spans="12:19" x14ac:dyDescent="0.2">
      <c r="L850" t="s">
        <v>374</v>
      </c>
      <c r="M850">
        <v>625</v>
      </c>
      <c r="N850">
        <v>1</v>
      </c>
      <c r="O850">
        <v>4</v>
      </c>
      <c r="P850">
        <v>582</v>
      </c>
      <c r="Q850">
        <v>344</v>
      </c>
      <c r="R850">
        <v>350</v>
      </c>
      <c r="S850">
        <v>280</v>
      </c>
    </row>
    <row r="851" spans="12:19" x14ac:dyDescent="0.2">
      <c r="L851" t="s">
        <v>374</v>
      </c>
      <c r="M851">
        <v>742</v>
      </c>
      <c r="N851">
        <v>1</v>
      </c>
      <c r="O851">
        <v>4</v>
      </c>
      <c r="P851">
        <v>582</v>
      </c>
      <c r="Q851">
        <v>344</v>
      </c>
      <c r="R851">
        <v>350</v>
      </c>
      <c r="S851">
        <v>442.74</v>
      </c>
    </row>
    <row r="852" spans="12:19" x14ac:dyDescent="0.2">
      <c r="L852" t="s">
        <v>374</v>
      </c>
      <c r="M852">
        <v>911</v>
      </c>
      <c r="N852">
        <v>1</v>
      </c>
      <c r="O852">
        <v>4</v>
      </c>
      <c r="P852">
        <v>582</v>
      </c>
      <c r="Q852">
        <v>344</v>
      </c>
      <c r="R852">
        <v>350</v>
      </c>
      <c r="S852">
        <v>36.06</v>
      </c>
    </row>
    <row r="853" spans="12:19" x14ac:dyDescent="0.2">
      <c r="L853" t="s">
        <v>374</v>
      </c>
      <c r="M853">
        <v>11</v>
      </c>
      <c r="N853">
        <v>1</v>
      </c>
      <c r="O853">
        <v>4</v>
      </c>
      <c r="P853">
        <v>582</v>
      </c>
      <c r="Q853">
        <v>344</v>
      </c>
      <c r="R853">
        <v>330</v>
      </c>
      <c r="S853">
        <v>10381.66</v>
      </c>
    </row>
    <row r="854" spans="12:19" x14ac:dyDescent="0.2">
      <c r="L854" t="s">
        <v>374</v>
      </c>
      <c r="M854">
        <v>181</v>
      </c>
      <c r="N854">
        <v>1</v>
      </c>
      <c r="O854">
        <v>4</v>
      </c>
      <c r="P854">
        <v>582</v>
      </c>
      <c r="Q854">
        <v>344</v>
      </c>
      <c r="R854">
        <v>330</v>
      </c>
      <c r="S854">
        <v>3443.15</v>
      </c>
    </row>
    <row r="855" spans="12:19" x14ac:dyDescent="0.2">
      <c r="L855" t="s">
        <v>374</v>
      </c>
      <c r="M855">
        <v>227</v>
      </c>
      <c r="N855">
        <v>1</v>
      </c>
      <c r="O855">
        <v>4</v>
      </c>
      <c r="P855">
        <v>582</v>
      </c>
      <c r="Q855">
        <v>344</v>
      </c>
      <c r="R855">
        <v>330</v>
      </c>
      <c r="S855">
        <v>150.49</v>
      </c>
    </row>
    <row r="856" spans="12:19" x14ac:dyDescent="0.2">
      <c r="L856" t="s">
        <v>374</v>
      </c>
      <c r="M856">
        <v>277</v>
      </c>
      <c r="N856">
        <v>1</v>
      </c>
      <c r="O856">
        <v>4</v>
      </c>
      <c r="P856">
        <v>582</v>
      </c>
      <c r="Q856">
        <v>344</v>
      </c>
      <c r="R856">
        <v>330</v>
      </c>
      <c r="S856">
        <v>7369.8</v>
      </c>
    </row>
    <row r="857" spans="12:19" x14ac:dyDescent="0.2">
      <c r="L857" t="s">
        <v>374</v>
      </c>
      <c r="M857">
        <v>278</v>
      </c>
      <c r="N857">
        <v>1</v>
      </c>
      <c r="O857">
        <v>4</v>
      </c>
      <c r="P857">
        <v>582</v>
      </c>
      <c r="Q857">
        <v>344</v>
      </c>
      <c r="R857">
        <v>330</v>
      </c>
      <c r="S857">
        <v>7500</v>
      </c>
    </row>
    <row r="858" spans="12:19" x14ac:dyDescent="0.2">
      <c r="L858" t="s">
        <v>374</v>
      </c>
      <c r="M858">
        <v>345</v>
      </c>
      <c r="N858">
        <v>1</v>
      </c>
      <c r="O858">
        <v>4</v>
      </c>
      <c r="P858">
        <v>582</v>
      </c>
      <c r="Q858">
        <v>344</v>
      </c>
      <c r="R858">
        <v>330</v>
      </c>
      <c r="S858">
        <v>800</v>
      </c>
    </row>
    <row r="859" spans="12:19" x14ac:dyDescent="0.2">
      <c r="L859" t="s">
        <v>374</v>
      </c>
      <c r="M859">
        <v>533</v>
      </c>
      <c r="N859">
        <v>1</v>
      </c>
      <c r="O859">
        <v>4</v>
      </c>
      <c r="P859">
        <v>582</v>
      </c>
      <c r="Q859">
        <v>344</v>
      </c>
      <c r="R859">
        <v>330</v>
      </c>
      <c r="S859">
        <v>2523.7399999999998</v>
      </c>
    </row>
    <row r="860" spans="12:19" x14ac:dyDescent="0.2">
      <c r="L860" t="s">
        <v>374</v>
      </c>
      <c r="M860">
        <v>627</v>
      </c>
      <c r="N860">
        <v>1</v>
      </c>
      <c r="O860">
        <v>4</v>
      </c>
      <c r="P860">
        <v>582</v>
      </c>
      <c r="Q860">
        <v>344</v>
      </c>
      <c r="R860">
        <v>330</v>
      </c>
      <c r="S860">
        <v>100</v>
      </c>
    </row>
    <row r="861" spans="12:19" x14ac:dyDescent="0.2">
      <c r="L861" t="s">
        <v>374</v>
      </c>
      <c r="M861">
        <v>700</v>
      </c>
      <c r="N861">
        <v>1</v>
      </c>
      <c r="O861">
        <v>4</v>
      </c>
      <c r="P861">
        <v>582</v>
      </c>
      <c r="Q861">
        <v>344</v>
      </c>
      <c r="R861">
        <v>330</v>
      </c>
      <c r="S861">
        <v>10900.84</v>
      </c>
    </row>
    <row r="862" spans="12:19" x14ac:dyDescent="0.2">
      <c r="L862" t="s">
        <v>374</v>
      </c>
      <c r="M862">
        <v>721</v>
      </c>
      <c r="N862">
        <v>1</v>
      </c>
      <c r="O862">
        <v>4</v>
      </c>
      <c r="P862">
        <v>582</v>
      </c>
      <c r="Q862">
        <v>344</v>
      </c>
      <c r="R862">
        <v>330</v>
      </c>
      <c r="S862">
        <v>838.77</v>
      </c>
    </row>
    <row r="863" spans="12:19" x14ac:dyDescent="0.2">
      <c r="L863" t="s">
        <v>374</v>
      </c>
      <c r="M863">
        <v>768</v>
      </c>
      <c r="N863">
        <v>1</v>
      </c>
      <c r="O863">
        <v>4</v>
      </c>
      <c r="P863">
        <v>582</v>
      </c>
      <c r="Q863">
        <v>344</v>
      </c>
      <c r="R863">
        <v>330</v>
      </c>
      <c r="S863">
        <v>500</v>
      </c>
    </row>
    <row r="864" spans="12:19" x14ac:dyDescent="0.2">
      <c r="L864" t="s">
        <v>374</v>
      </c>
      <c r="M864">
        <v>775</v>
      </c>
      <c r="N864">
        <v>1</v>
      </c>
      <c r="O864">
        <v>4</v>
      </c>
      <c r="P864">
        <v>582</v>
      </c>
      <c r="Q864">
        <v>344</v>
      </c>
      <c r="R864">
        <v>330</v>
      </c>
      <c r="S864">
        <v>888.92</v>
      </c>
    </row>
    <row r="865" spans="12:19" x14ac:dyDescent="0.2">
      <c r="L865" t="s">
        <v>374</v>
      </c>
      <c r="M865">
        <v>831</v>
      </c>
      <c r="N865">
        <v>1</v>
      </c>
      <c r="O865">
        <v>4</v>
      </c>
      <c r="P865">
        <v>582</v>
      </c>
      <c r="Q865">
        <v>344</v>
      </c>
      <c r="R865">
        <v>330</v>
      </c>
      <c r="S865">
        <v>15000</v>
      </c>
    </row>
    <row r="866" spans="12:19" x14ac:dyDescent="0.2">
      <c r="L866" t="s">
        <v>374</v>
      </c>
      <c r="M866">
        <v>2144</v>
      </c>
      <c r="N866">
        <v>1</v>
      </c>
      <c r="O866">
        <v>4</v>
      </c>
      <c r="P866">
        <v>582</v>
      </c>
      <c r="Q866">
        <v>344</v>
      </c>
      <c r="R866">
        <v>330</v>
      </c>
      <c r="S866">
        <v>300</v>
      </c>
    </row>
    <row r="867" spans="12:19" x14ac:dyDescent="0.2">
      <c r="L867" t="s">
        <v>374</v>
      </c>
      <c r="M867">
        <v>2805</v>
      </c>
      <c r="N867">
        <v>1</v>
      </c>
      <c r="O867">
        <v>4</v>
      </c>
      <c r="P867">
        <v>582</v>
      </c>
      <c r="Q867">
        <v>344</v>
      </c>
      <c r="R867">
        <v>330</v>
      </c>
      <c r="S867">
        <v>3467.2</v>
      </c>
    </row>
    <row r="868" spans="12:19" x14ac:dyDescent="0.2">
      <c r="L868" t="s">
        <v>374</v>
      </c>
      <c r="M868">
        <v>831</v>
      </c>
      <c r="N868">
        <v>1</v>
      </c>
      <c r="O868">
        <v>4</v>
      </c>
      <c r="P868">
        <v>582</v>
      </c>
      <c r="Q868">
        <v>321</v>
      </c>
      <c r="R868">
        <v>330</v>
      </c>
      <c r="S868">
        <v>4000</v>
      </c>
    </row>
    <row r="869" spans="12:19" x14ac:dyDescent="0.2">
      <c r="L869" t="s">
        <v>374</v>
      </c>
      <c r="M869">
        <v>1</v>
      </c>
      <c r="N869">
        <v>3</v>
      </c>
      <c r="O869">
        <v>4</v>
      </c>
      <c r="P869">
        <v>582</v>
      </c>
      <c r="Q869">
        <v>344</v>
      </c>
      <c r="R869">
        <v>329</v>
      </c>
      <c r="S869">
        <v>1983.44</v>
      </c>
    </row>
    <row r="870" spans="12:19" x14ac:dyDescent="0.2">
      <c r="L870" t="s">
        <v>374</v>
      </c>
      <c r="M870">
        <v>6</v>
      </c>
      <c r="N870">
        <v>3</v>
      </c>
      <c r="O870">
        <v>4</v>
      </c>
      <c r="P870">
        <v>582</v>
      </c>
      <c r="Q870">
        <v>344</v>
      </c>
      <c r="R870">
        <v>329</v>
      </c>
      <c r="S870">
        <v>49.83</v>
      </c>
    </row>
    <row r="871" spans="12:19" x14ac:dyDescent="0.2">
      <c r="L871" t="s">
        <v>374</v>
      </c>
      <c r="M871">
        <v>11</v>
      </c>
      <c r="N871">
        <v>1</v>
      </c>
      <c r="O871">
        <v>4</v>
      </c>
      <c r="P871">
        <v>582</v>
      </c>
      <c r="Q871">
        <v>344</v>
      </c>
      <c r="R871">
        <v>329</v>
      </c>
      <c r="S871">
        <v>5970.86</v>
      </c>
    </row>
    <row r="872" spans="12:19" x14ac:dyDescent="0.2">
      <c r="L872" t="s">
        <v>374</v>
      </c>
      <c r="M872">
        <v>13</v>
      </c>
      <c r="N872">
        <v>1</v>
      </c>
      <c r="O872">
        <v>4</v>
      </c>
      <c r="P872">
        <v>582</v>
      </c>
      <c r="Q872">
        <v>344</v>
      </c>
      <c r="R872">
        <v>329</v>
      </c>
      <c r="S872">
        <v>351.5</v>
      </c>
    </row>
    <row r="873" spans="12:19" x14ac:dyDescent="0.2">
      <c r="L873" t="s">
        <v>374</v>
      </c>
      <c r="M873">
        <v>14</v>
      </c>
      <c r="N873">
        <v>1</v>
      </c>
      <c r="O873">
        <v>4</v>
      </c>
      <c r="P873">
        <v>582</v>
      </c>
      <c r="Q873">
        <v>344</v>
      </c>
      <c r="R873">
        <v>329</v>
      </c>
      <c r="S873">
        <v>21.9</v>
      </c>
    </row>
    <row r="874" spans="12:19" x14ac:dyDescent="0.2">
      <c r="L874" t="s">
        <v>374</v>
      </c>
      <c r="M874">
        <v>22</v>
      </c>
      <c r="N874">
        <v>1</v>
      </c>
      <c r="O874">
        <v>4</v>
      </c>
      <c r="P874">
        <v>582</v>
      </c>
      <c r="Q874">
        <v>344</v>
      </c>
      <c r="R874">
        <v>329</v>
      </c>
      <c r="S874">
        <v>47.89</v>
      </c>
    </row>
    <row r="875" spans="12:19" x14ac:dyDescent="0.2">
      <c r="L875" t="s">
        <v>374</v>
      </c>
      <c r="M875">
        <v>47</v>
      </c>
      <c r="N875">
        <v>1</v>
      </c>
      <c r="O875">
        <v>4</v>
      </c>
      <c r="P875">
        <v>582</v>
      </c>
      <c r="Q875">
        <v>344</v>
      </c>
      <c r="R875">
        <v>329</v>
      </c>
      <c r="S875">
        <v>268.99</v>
      </c>
    </row>
    <row r="876" spans="12:19" x14ac:dyDescent="0.2">
      <c r="L876" t="s">
        <v>374</v>
      </c>
      <c r="M876">
        <v>91</v>
      </c>
      <c r="N876">
        <v>1</v>
      </c>
      <c r="O876">
        <v>4</v>
      </c>
      <c r="P876">
        <v>582</v>
      </c>
      <c r="Q876">
        <v>344</v>
      </c>
      <c r="R876">
        <v>329</v>
      </c>
      <c r="S876">
        <v>50</v>
      </c>
    </row>
    <row r="877" spans="12:19" x14ac:dyDescent="0.2">
      <c r="L877" t="s">
        <v>374</v>
      </c>
      <c r="M877">
        <v>108</v>
      </c>
      <c r="N877">
        <v>1</v>
      </c>
      <c r="O877">
        <v>4</v>
      </c>
      <c r="P877">
        <v>582</v>
      </c>
      <c r="Q877">
        <v>344</v>
      </c>
      <c r="R877">
        <v>329</v>
      </c>
      <c r="S877">
        <v>168</v>
      </c>
    </row>
    <row r="878" spans="12:19" x14ac:dyDescent="0.2">
      <c r="L878" t="s">
        <v>374</v>
      </c>
      <c r="M878">
        <v>112</v>
      </c>
      <c r="N878">
        <v>1</v>
      </c>
      <c r="O878">
        <v>4</v>
      </c>
      <c r="P878">
        <v>582</v>
      </c>
      <c r="Q878">
        <v>344</v>
      </c>
      <c r="R878">
        <v>329</v>
      </c>
      <c r="S878">
        <v>754.57</v>
      </c>
    </row>
    <row r="879" spans="12:19" x14ac:dyDescent="0.2">
      <c r="L879" t="s">
        <v>374</v>
      </c>
      <c r="M879">
        <v>152</v>
      </c>
      <c r="N879">
        <v>1</v>
      </c>
      <c r="O879">
        <v>4</v>
      </c>
      <c r="P879">
        <v>582</v>
      </c>
      <c r="Q879">
        <v>344</v>
      </c>
      <c r="R879">
        <v>329</v>
      </c>
      <c r="S879">
        <v>475</v>
      </c>
    </row>
    <row r="880" spans="12:19" x14ac:dyDescent="0.2">
      <c r="L880" t="s">
        <v>374</v>
      </c>
      <c r="M880">
        <v>162</v>
      </c>
      <c r="N880">
        <v>1</v>
      </c>
      <c r="O880">
        <v>4</v>
      </c>
      <c r="P880">
        <v>582</v>
      </c>
      <c r="Q880">
        <v>344</v>
      </c>
      <c r="R880">
        <v>329</v>
      </c>
      <c r="S880">
        <v>88</v>
      </c>
    </row>
    <row r="881" spans="12:19" x14ac:dyDescent="0.2">
      <c r="L881" t="s">
        <v>374</v>
      </c>
      <c r="M881">
        <v>166</v>
      </c>
      <c r="N881">
        <v>1</v>
      </c>
      <c r="O881">
        <v>4</v>
      </c>
      <c r="P881">
        <v>582</v>
      </c>
      <c r="Q881">
        <v>344</v>
      </c>
      <c r="R881">
        <v>329</v>
      </c>
      <c r="S881">
        <v>29.22</v>
      </c>
    </row>
    <row r="882" spans="12:19" x14ac:dyDescent="0.2">
      <c r="L882" t="s">
        <v>374</v>
      </c>
      <c r="M882">
        <v>173</v>
      </c>
      <c r="N882">
        <v>1</v>
      </c>
      <c r="O882">
        <v>4</v>
      </c>
      <c r="P882">
        <v>582</v>
      </c>
      <c r="Q882">
        <v>344</v>
      </c>
      <c r="R882">
        <v>329</v>
      </c>
      <c r="S882">
        <v>31.05</v>
      </c>
    </row>
    <row r="883" spans="12:19" x14ac:dyDescent="0.2">
      <c r="L883" t="s">
        <v>374</v>
      </c>
      <c r="M883">
        <v>177</v>
      </c>
      <c r="N883">
        <v>1</v>
      </c>
      <c r="O883">
        <v>4</v>
      </c>
      <c r="P883">
        <v>582</v>
      </c>
      <c r="Q883">
        <v>344</v>
      </c>
      <c r="R883">
        <v>329</v>
      </c>
      <c r="S883">
        <v>116.14</v>
      </c>
    </row>
    <row r="884" spans="12:19" x14ac:dyDescent="0.2">
      <c r="L884" t="s">
        <v>374</v>
      </c>
      <c r="M884">
        <v>186</v>
      </c>
      <c r="N884">
        <v>1</v>
      </c>
      <c r="O884">
        <v>4</v>
      </c>
      <c r="P884">
        <v>582</v>
      </c>
      <c r="Q884">
        <v>344</v>
      </c>
      <c r="R884">
        <v>329</v>
      </c>
      <c r="S884">
        <v>260.82</v>
      </c>
    </row>
    <row r="885" spans="12:19" x14ac:dyDescent="0.2">
      <c r="L885" t="s">
        <v>374</v>
      </c>
      <c r="M885">
        <v>191</v>
      </c>
      <c r="N885">
        <v>1</v>
      </c>
      <c r="O885">
        <v>4</v>
      </c>
      <c r="P885">
        <v>582</v>
      </c>
      <c r="Q885">
        <v>344</v>
      </c>
      <c r="R885">
        <v>329</v>
      </c>
      <c r="S885">
        <v>132.37</v>
      </c>
    </row>
    <row r="886" spans="12:19" x14ac:dyDescent="0.2">
      <c r="L886" t="s">
        <v>374</v>
      </c>
      <c r="M886">
        <v>196</v>
      </c>
      <c r="N886">
        <v>1</v>
      </c>
      <c r="O886">
        <v>4</v>
      </c>
      <c r="P886">
        <v>582</v>
      </c>
      <c r="Q886">
        <v>344</v>
      </c>
      <c r="R886">
        <v>329</v>
      </c>
      <c r="S886">
        <v>1289.6199999999999</v>
      </c>
    </row>
    <row r="887" spans="12:19" x14ac:dyDescent="0.2">
      <c r="L887" t="s">
        <v>374</v>
      </c>
      <c r="M887">
        <v>197</v>
      </c>
      <c r="N887">
        <v>1</v>
      </c>
      <c r="O887">
        <v>4</v>
      </c>
      <c r="P887">
        <v>582</v>
      </c>
      <c r="Q887">
        <v>344</v>
      </c>
      <c r="R887">
        <v>329</v>
      </c>
      <c r="S887">
        <v>161</v>
      </c>
    </row>
    <row r="888" spans="12:19" x14ac:dyDescent="0.2">
      <c r="L888" t="s">
        <v>374</v>
      </c>
      <c r="M888">
        <v>199</v>
      </c>
      <c r="N888">
        <v>1</v>
      </c>
      <c r="O888">
        <v>4</v>
      </c>
      <c r="P888">
        <v>582</v>
      </c>
      <c r="Q888">
        <v>344</v>
      </c>
      <c r="R888">
        <v>329</v>
      </c>
      <c r="S888">
        <v>93.39</v>
      </c>
    </row>
    <row r="889" spans="12:19" x14ac:dyDescent="0.2">
      <c r="L889" t="s">
        <v>374</v>
      </c>
      <c r="M889">
        <v>206</v>
      </c>
      <c r="N889">
        <v>1</v>
      </c>
      <c r="O889">
        <v>4</v>
      </c>
      <c r="P889">
        <v>582</v>
      </c>
      <c r="Q889">
        <v>344</v>
      </c>
      <c r="R889">
        <v>329</v>
      </c>
      <c r="S889">
        <v>128.63999999999999</v>
      </c>
    </row>
    <row r="890" spans="12:19" x14ac:dyDescent="0.2">
      <c r="L890" t="s">
        <v>374</v>
      </c>
      <c r="M890">
        <v>241</v>
      </c>
      <c r="N890">
        <v>1</v>
      </c>
      <c r="O890">
        <v>4</v>
      </c>
      <c r="P890">
        <v>582</v>
      </c>
      <c r="Q890">
        <v>344</v>
      </c>
      <c r="R890">
        <v>329</v>
      </c>
      <c r="S890">
        <v>178.41</v>
      </c>
    </row>
    <row r="891" spans="12:19" x14ac:dyDescent="0.2">
      <c r="L891" t="s">
        <v>374</v>
      </c>
      <c r="M891">
        <v>253</v>
      </c>
      <c r="N891">
        <v>1</v>
      </c>
      <c r="O891">
        <v>4</v>
      </c>
      <c r="P891">
        <v>582</v>
      </c>
      <c r="Q891">
        <v>344</v>
      </c>
      <c r="R891">
        <v>329</v>
      </c>
      <c r="S891">
        <v>100</v>
      </c>
    </row>
    <row r="892" spans="12:19" x14ac:dyDescent="0.2">
      <c r="L892" t="s">
        <v>374</v>
      </c>
      <c r="M892">
        <v>270</v>
      </c>
      <c r="N892">
        <v>1</v>
      </c>
      <c r="O892">
        <v>4</v>
      </c>
      <c r="P892">
        <v>582</v>
      </c>
      <c r="Q892">
        <v>344</v>
      </c>
      <c r="R892">
        <v>329</v>
      </c>
      <c r="S892">
        <v>299.32</v>
      </c>
    </row>
    <row r="893" spans="12:19" x14ac:dyDescent="0.2">
      <c r="L893" t="s">
        <v>374</v>
      </c>
      <c r="M893">
        <v>271</v>
      </c>
      <c r="N893">
        <v>1</v>
      </c>
      <c r="O893">
        <v>4</v>
      </c>
      <c r="P893">
        <v>582</v>
      </c>
      <c r="Q893">
        <v>344</v>
      </c>
      <c r="R893">
        <v>329</v>
      </c>
      <c r="S893">
        <v>903.32</v>
      </c>
    </row>
    <row r="894" spans="12:19" x14ac:dyDescent="0.2">
      <c r="L894" t="s">
        <v>374</v>
      </c>
      <c r="M894">
        <v>277</v>
      </c>
      <c r="N894">
        <v>1</v>
      </c>
      <c r="O894">
        <v>4</v>
      </c>
      <c r="P894">
        <v>582</v>
      </c>
      <c r="Q894">
        <v>344</v>
      </c>
      <c r="R894">
        <v>329</v>
      </c>
      <c r="S894">
        <v>8.5299999999999994</v>
      </c>
    </row>
    <row r="895" spans="12:19" x14ac:dyDescent="0.2">
      <c r="L895" t="s">
        <v>374</v>
      </c>
      <c r="M895">
        <v>279</v>
      </c>
      <c r="N895">
        <v>1</v>
      </c>
      <c r="O895">
        <v>4</v>
      </c>
      <c r="P895">
        <v>582</v>
      </c>
      <c r="Q895">
        <v>344</v>
      </c>
      <c r="R895">
        <v>329</v>
      </c>
      <c r="S895">
        <v>88.87</v>
      </c>
    </row>
    <row r="896" spans="12:19" x14ac:dyDescent="0.2">
      <c r="L896" t="s">
        <v>374</v>
      </c>
      <c r="M896">
        <v>281</v>
      </c>
      <c r="N896">
        <v>1</v>
      </c>
      <c r="O896">
        <v>4</v>
      </c>
      <c r="P896">
        <v>582</v>
      </c>
      <c r="Q896">
        <v>344</v>
      </c>
      <c r="R896">
        <v>329</v>
      </c>
      <c r="S896">
        <v>1114.67</v>
      </c>
    </row>
    <row r="897" spans="12:19" x14ac:dyDescent="0.2">
      <c r="L897" t="s">
        <v>374</v>
      </c>
      <c r="M897">
        <v>284</v>
      </c>
      <c r="N897">
        <v>1</v>
      </c>
      <c r="O897">
        <v>4</v>
      </c>
      <c r="P897">
        <v>582</v>
      </c>
      <c r="Q897">
        <v>344</v>
      </c>
      <c r="R897">
        <v>329</v>
      </c>
      <c r="S897">
        <v>67.84</v>
      </c>
    </row>
    <row r="898" spans="12:19" x14ac:dyDescent="0.2">
      <c r="L898" t="s">
        <v>374</v>
      </c>
      <c r="M898">
        <v>299</v>
      </c>
      <c r="N898">
        <v>1</v>
      </c>
      <c r="O898">
        <v>4</v>
      </c>
      <c r="P898">
        <v>582</v>
      </c>
      <c r="Q898">
        <v>344</v>
      </c>
      <c r="R898">
        <v>329</v>
      </c>
      <c r="S898">
        <v>182.2</v>
      </c>
    </row>
    <row r="899" spans="12:19" x14ac:dyDescent="0.2">
      <c r="L899" t="s">
        <v>374</v>
      </c>
      <c r="M899">
        <v>361</v>
      </c>
      <c r="N899">
        <v>1</v>
      </c>
      <c r="O899">
        <v>4</v>
      </c>
      <c r="P899">
        <v>582</v>
      </c>
      <c r="Q899">
        <v>344</v>
      </c>
      <c r="R899">
        <v>329</v>
      </c>
      <c r="S899">
        <v>51.3</v>
      </c>
    </row>
    <row r="900" spans="12:19" x14ac:dyDescent="0.2">
      <c r="L900" t="s">
        <v>374</v>
      </c>
      <c r="M900">
        <v>394</v>
      </c>
      <c r="N900">
        <v>1</v>
      </c>
      <c r="O900">
        <v>4</v>
      </c>
      <c r="P900">
        <v>582</v>
      </c>
      <c r="Q900">
        <v>344</v>
      </c>
      <c r="R900">
        <v>329</v>
      </c>
      <c r="S900">
        <v>139.19999999999999</v>
      </c>
    </row>
    <row r="901" spans="12:19" x14ac:dyDescent="0.2">
      <c r="L901" t="s">
        <v>374</v>
      </c>
      <c r="M901">
        <v>417</v>
      </c>
      <c r="N901">
        <v>1</v>
      </c>
      <c r="O901">
        <v>4</v>
      </c>
      <c r="P901">
        <v>582</v>
      </c>
      <c r="Q901">
        <v>344</v>
      </c>
      <c r="R901">
        <v>329</v>
      </c>
      <c r="S901">
        <v>1.42</v>
      </c>
    </row>
    <row r="902" spans="12:19" x14ac:dyDescent="0.2">
      <c r="L902" t="s">
        <v>374</v>
      </c>
      <c r="M902">
        <v>465</v>
      </c>
      <c r="N902">
        <v>1</v>
      </c>
      <c r="O902">
        <v>4</v>
      </c>
      <c r="P902">
        <v>582</v>
      </c>
      <c r="Q902">
        <v>344</v>
      </c>
      <c r="R902">
        <v>329</v>
      </c>
      <c r="S902">
        <v>100.97</v>
      </c>
    </row>
    <row r="903" spans="12:19" x14ac:dyDescent="0.2">
      <c r="L903" t="s">
        <v>374</v>
      </c>
      <c r="M903">
        <v>466</v>
      </c>
      <c r="N903">
        <v>1</v>
      </c>
      <c r="O903">
        <v>4</v>
      </c>
      <c r="P903">
        <v>582</v>
      </c>
      <c r="Q903">
        <v>344</v>
      </c>
      <c r="R903">
        <v>329</v>
      </c>
      <c r="S903">
        <v>93</v>
      </c>
    </row>
    <row r="904" spans="12:19" x14ac:dyDescent="0.2">
      <c r="L904" t="s">
        <v>374</v>
      </c>
      <c r="M904">
        <v>477</v>
      </c>
      <c r="N904">
        <v>1</v>
      </c>
      <c r="O904">
        <v>4</v>
      </c>
      <c r="P904">
        <v>582</v>
      </c>
      <c r="Q904">
        <v>344</v>
      </c>
      <c r="R904">
        <v>329</v>
      </c>
      <c r="S904">
        <v>456.17</v>
      </c>
    </row>
    <row r="905" spans="12:19" x14ac:dyDescent="0.2">
      <c r="L905" t="s">
        <v>374</v>
      </c>
      <c r="M905">
        <v>482</v>
      </c>
      <c r="N905">
        <v>1</v>
      </c>
      <c r="O905">
        <v>4</v>
      </c>
      <c r="P905">
        <v>582</v>
      </c>
      <c r="Q905">
        <v>344</v>
      </c>
      <c r="R905">
        <v>329</v>
      </c>
      <c r="S905">
        <v>146.57</v>
      </c>
    </row>
    <row r="906" spans="12:19" x14ac:dyDescent="0.2">
      <c r="L906" t="s">
        <v>374</v>
      </c>
      <c r="M906">
        <v>485</v>
      </c>
      <c r="N906">
        <v>1</v>
      </c>
      <c r="O906">
        <v>4</v>
      </c>
      <c r="P906">
        <v>582</v>
      </c>
      <c r="Q906">
        <v>344</v>
      </c>
      <c r="R906">
        <v>329</v>
      </c>
      <c r="S906">
        <v>33.6</v>
      </c>
    </row>
    <row r="907" spans="12:19" x14ac:dyDescent="0.2">
      <c r="L907" t="s">
        <v>374</v>
      </c>
      <c r="M907">
        <v>508</v>
      </c>
      <c r="N907">
        <v>1</v>
      </c>
      <c r="O907">
        <v>4</v>
      </c>
      <c r="P907">
        <v>582</v>
      </c>
      <c r="Q907">
        <v>344</v>
      </c>
      <c r="R907">
        <v>329</v>
      </c>
      <c r="S907">
        <v>288.27999999999997</v>
      </c>
    </row>
    <row r="908" spans="12:19" x14ac:dyDescent="0.2">
      <c r="L908" t="s">
        <v>374</v>
      </c>
      <c r="M908">
        <v>511</v>
      </c>
      <c r="N908">
        <v>1</v>
      </c>
      <c r="O908">
        <v>4</v>
      </c>
      <c r="P908">
        <v>582</v>
      </c>
      <c r="Q908">
        <v>344</v>
      </c>
      <c r="R908">
        <v>329</v>
      </c>
      <c r="S908">
        <v>24.64</v>
      </c>
    </row>
    <row r="909" spans="12:19" x14ac:dyDescent="0.2">
      <c r="L909" t="s">
        <v>374</v>
      </c>
      <c r="M909">
        <v>531</v>
      </c>
      <c r="N909">
        <v>1</v>
      </c>
      <c r="O909">
        <v>4</v>
      </c>
      <c r="P909">
        <v>582</v>
      </c>
      <c r="Q909">
        <v>344</v>
      </c>
      <c r="R909">
        <v>329</v>
      </c>
      <c r="S909">
        <v>105.98</v>
      </c>
    </row>
    <row r="910" spans="12:19" x14ac:dyDescent="0.2">
      <c r="L910" t="s">
        <v>374</v>
      </c>
      <c r="M910">
        <v>545</v>
      </c>
      <c r="N910">
        <v>1</v>
      </c>
      <c r="O910">
        <v>4</v>
      </c>
      <c r="P910">
        <v>582</v>
      </c>
      <c r="Q910">
        <v>344</v>
      </c>
      <c r="R910">
        <v>329</v>
      </c>
      <c r="S910">
        <v>42</v>
      </c>
    </row>
    <row r="911" spans="12:19" x14ac:dyDescent="0.2">
      <c r="L911" t="s">
        <v>374</v>
      </c>
      <c r="M911">
        <v>564</v>
      </c>
      <c r="N911">
        <v>1</v>
      </c>
      <c r="O911">
        <v>4</v>
      </c>
      <c r="P911">
        <v>582</v>
      </c>
      <c r="Q911">
        <v>344</v>
      </c>
      <c r="R911">
        <v>329</v>
      </c>
      <c r="S911">
        <v>55.46</v>
      </c>
    </row>
    <row r="912" spans="12:19" x14ac:dyDescent="0.2">
      <c r="L912" t="s">
        <v>374</v>
      </c>
      <c r="M912">
        <v>595</v>
      </c>
      <c r="N912">
        <v>1</v>
      </c>
      <c r="O912">
        <v>4</v>
      </c>
      <c r="P912">
        <v>582</v>
      </c>
      <c r="Q912">
        <v>344</v>
      </c>
      <c r="R912">
        <v>329</v>
      </c>
      <c r="S912">
        <v>75.489999999999995</v>
      </c>
    </row>
    <row r="913" spans="12:19" x14ac:dyDescent="0.2">
      <c r="L913" t="s">
        <v>374</v>
      </c>
      <c r="M913">
        <v>622</v>
      </c>
      <c r="N913">
        <v>1</v>
      </c>
      <c r="O913">
        <v>4</v>
      </c>
      <c r="P913">
        <v>582</v>
      </c>
      <c r="Q913">
        <v>344</v>
      </c>
      <c r="R913">
        <v>329</v>
      </c>
      <c r="S913">
        <v>47.55</v>
      </c>
    </row>
    <row r="914" spans="12:19" x14ac:dyDescent="0.2">
      <c r="L914" t="s">
        <v>374</v>
      </c>
      <c r="M914">
        <v>623</v>
      </c>
      <c r="N914">
        <v>1</v>
      </c>
      <c r="O914">
        <v>4</v>
      </c>
      <c r="P914">
        <v>582</v>
      </c>
      <c r="Q914">
        <v>344</v>
      </c>
      <c r="R914">
        <v>329</v>
      </c>
      <c r="S914">
        <v>112.5</v>
      </c>
    </row>
    <row r="915" spans="12:19" x14ac:dyDescent="0.2">
      <c r="L915" t="s">
        <v>374</v>
      </c>
      <c r="M915">
        <v>625</v>
      </c>
      <c r="N915">
        <v>1</v>
      </c>
      <c r="O915">
        <v>4</v>
      </c>
      <c r="P915">
        <v>582</v>
      </c>
      <c r="Q915">
        <v>344</v>
      </c>
      <c r="R915">
        <v>329</v>
      </c>
      <c r="S915">
        <v>314</v>
      </c>
    </row>
    <row r="916" spans="12:19" x14ac:dyDescent="0.2">
      <c r="L916" t="s">
        <v>374</v>
      </c>
      <c r="M916">
        <v>627</v>
      </c>
      <c r="N916">
        <v>1</v>
      </c>
      <c r="O916">
        <v>4</v>
      </c>
      <c r="P916">
        <v>582</v>
      </c>
      <c r="Q916">
        <v>344</v>
      </c>
      <c r="R916">
        <v>329</v>
      </c>
      <c r="S916">
        <v>115</v>
      </c>
    </row>
    <row r="917" spans="12:19" x14ac:dyDescent="0.2">
      <c r="L917" t="s">
        <v>374</v>
      </c>
      <c r="M917">
        <v>640</v>
      </c>
      <c r="N917">
        <v>1</v>
      </c>
      <c r="O917">
        <v>4</v>
      </c>
      <c r="P917">
        <v>582</v>
      </c>
      <c r="Q917">
        <v>344</v>
      </c>
      <c r="R917">
        <v>329</v>
      </c>
      <c r="S917">
        <v>50</v>
      </c>
    </row>
    <row r="918" spans="12:19" x14ac:dyDescent="0.2">
      <c r="L918" t="s">
        <v>374</v>
      </c>
      <c r="M918">
        <v>656</v>
      </c>
      <c r="N918">
        <v>1</v>
      </c>
      <c r="O918">
        <v>4</v>
      </c>
      <c r="P918">
        <v>582</v>
      </c>
      <c r="Q918">
        <v>344</v>
      </c>
      <c r="R918">
        <v>329</v>
      </c>
      <c r="S918">
        <v>375.7</v>
      </c>
    </row>
    <row r="919" spans="12:19" x14ac:dyDescent="0.2">
      <c r="L919" t="s">
        <v>374</v>
      </c>
      <c r="M919">
        <v>659</v>
      </c>
      <c r="N919">
        <v>1</v>
      </c>
      <c r="O919">
        <v>4</v>
      </c>
      <c r="P919">
        <v>582</v>
      </c>
      <c r="Q919">
        <v>344</v>
      </c>
      <c r="R919">
        <v>329</v>
      </c>
      <c r="S919">
        <v>131.05000000000001</v>
      </c>
    </row>
    <row r="920" spans="12:19" x14ac:dyDescent="0.2">
      <c r="L920" t="s">
        <v>374</v>
      </c>
      <c r="M920">
        <v>696</v>
      </c>
      <c r="N920">
        <v>1</v>
      </c>
      <c r="O920">
        <v>4</v>
      </c>
      <c r="P920">
        <v>582</v>
      </c>
      <c r="Q920">
        <v>344</v>
      </c>
      <c r="R920">
        <v>329</v>
      </c>
      <c r="S920">
        <v>26.4</v>
      </c>
    </row>
    <row r="921" spans="12:19" x14ac:dyDescent="0.2">
      <c r="L921" t="s">
        <v>374</v>
      </c>
      <c r="M921">
        <v>700</v>
      </c>
      <c r="N921">
        <v>1</v>
      </c>
      <c r="O921">
        <v>4</v>
      </c>
      <c r="P921">
        <v>582</v>
      </c>
      <c r="Q921">
        <v>344</v>
      </c>
      <c r="R921">
        <v>329</v>
      </c>
      <c r="S921">
        <v>339</v>
      </c>
    </row>
    <row r="922" spans="12:19" x14ac:dyDescent="0.2">
      <c r="L922" t="s">
        <v>374</v>
      </c>
      <c r="M922">
        <v>704</v>
      </c>
      <c r="N922">
        <v>1</v>
      </c>
      <c r="O922">
        <v>4</v>
      </c>
      <c r="P922">
        <v>582</v>
      </c>
      <c r="Q922">
        <v>344</v>
      </c>
      <c r="R922">
        <v>329</v>
      </c>
      <c r="S922">
        <v>42</v>
      </c>
    </row>
    <row r="923" spans="12:19" x14ac:dyDescent="0.2">
      <c r="L923" t="s">
        <v>374</v>
      </c>
      <c r="M923">
        <v>709</v>
      </c>
      <c r="N923">
        <v>1</v>
      </c>
      <c r="O923">
        <v>4</v>
      </c>
      <c r="P923">
        <v>582</v>
      </c>
      <c r="Q923">
        <v>344</v>
      </c>
      <c r="R923">
        <v>329</v>
      </c>
      <c r="S923">
        <v>158.88</v>
      </c>
    </row>
    <row r="924" spans="12:19" x14ac:dyDescent="0.2">
      <c r="L924" t="s">
        <v>374</v>
      </c>
      <c r="M924">
        <v>717</v>
      </c>
      <c r="N924">
        <v>1</v>
      </c>
      <c r="O924">
        <v>4</v>
      </c>
      <c r="P924">
        <v>582</v>
      </c>
      <c r="Q924">
        <v>344</v>
      </c>
      <c r="R924">
        <v>329</v>
      </c>
      <c r="S924">
        <v>41.96</v>
      </c>
    </row>
    <row r="925" spans="12:19" x14ac:dyDescent="0.2">
      <c r="L925" t="s">
        <v>374</v>
      </c>
      <c r="M925">
        <v>719</v>
      </c>
      <c r="N925">
        <v>1</v>
      </c>
      <c r="O925">
        <v>4</v>
      </c>
      <c r="P925">
        <v>582</v>
      </c>
      <c r="Q925">
        <v>344</v>
      </c>
      <c r="R925">
        <v>329</v>
      </c>
      <c r="S925">
        <v>419.47</v>
      </c>
    </row>
    <row r="926" spans="12:19" x14ac:dyDescent="0.2">
      <c r="L926" t="s">
        <v>374</v>
      </c>
      <c r="M926">
        <v>721</v>
      </c>
      <c r="N926">
        <v>1</v>
      </c>
      <c r="O926">
        <v>4</v>
      </c>
      <c r="P926">
        <v>582</v>
      </c>
      <c r="Q926">
        <v>344</v>
      </c>
      <c r="R926">
        <v>329</v>
      </c>
      <c r="S926">
        <v>539.15</v>
      </c>
    </row>
    <row r="927" spans="12:19" x14ac:dyDescent="0.2">
      <c r="L927" t="s">
        <v>374</v>
      </c>
      <c r="M927">
        <v>727</v>
      </c>
      <c r="N927">
        <v>1</v>
      </c>
      <c r="O927">
        <v>4</v>
      </c>
      <c r="P927">
        <v>582</v>
      </c>
      <c r="Q927">
        <v>344</v>
      </c>
      <c r="R927">
        <v>329</v>
      </c>
      <c r="S927">
        <v>89.05</v>
      </c>
    </row>
    <row r="928" spans="12:19" x14ac:dyDescent="0.2">
      <c r="L928" t="s">
        <v>374</v>
      </c>
      <c r="M928">
        <v>728</v>
      </c>
      <c r="N928">
        <v>1</v>
      </c>
      <c r="O928">
        <v>4</v>
      </c>
      <c r="P928">
        <v>582</v>
      </c>
      <c r="Q928">
        <v>344</v>
      </c>
      <c r="R928">
        <v>329</v>
      </c>
      <c r="S928">
        <v>55.05</v>
      </c>
    </row>
    <row r="929" spans="12:19" x14ac:dyDescent="0.2">
      <c r="L929" t="s">
        <v>374</v>
      </c>
      <c r="M929">
        <v>740</v>
      </c>
      <c r="N929">
        <v>1</v>
      </c>
      <c r="O929">
        <v>4</v>
      </c>
      <c r="P929">
        <v>582</v>
      </c>
      <c r="Q929">
        <v>344</v>
      </c>
      <c r="R929">
        <v>329</v>
      </c>
      <c r="S929">
        <v>48.4</v>
      </c>
    </row>
    <row r="930" spans="12:19" x14ac:dyDescent="0.2">
      <c r="L930" t="s">
        <v>374</v>
      </c>
      <c r="M930">
        <v>741</v>
      </c>
      <c r="N930">
        <v>1</v>
      </c>
      <c r="O930">
        <v>4</v>
      </c>
      <c r="P930">
        <v>582</v>
      </c>
      <c r="Q930">
        <v>344</v>
      </c>
      <c r="R930">
        <v>329</v>
      </c>
      <c r="S930">
        <v>913.3</v>
      </c>
    </row>
    <row r="931" spans="12:19" x14ac:dyDescent="0.2">
      <c r="L931" t="s">
        <v>374</v>
      </c>
      <c r="M931">
        <v>742</v>
      </c>
      <c r="N931">
        <v>1</v>
      </c>
      <c r="O931">
        <v>4</v>
      </c>
      <c r="P931">
        <v>582</v>
      </c>
      <c r="Q931">
        <v>344</v>
      </c>
      <c r="R931">
        <v>329</v>
      </c>
      <c r="S931">
        <v>410.09</v>
      </c>
    </row>
    <row r="932" spans="12:19" x14ac:dyDescent="0.2">
      <c r="L932" t="s">
        <v>374</v>
      </c>
      <c r="M932">
        <v>745</v>
      </c>
      <c r="N932">
        <v>1</v>
      </c>
      <c r="O932">
        <v>4</v>
      </c>
      <c r="P932">
        <v>582</v>
      </c>
      <c r="Q932">
        <v>344</v>
      </c>
      <c r="R932">
        <v>329</v>
      </c>
      <c r="S932">
        <v>86.09</v>
      </c>
    </row>
    <row r="933" spans="12:19" x14ac:dyDescent="0.2">
      <c r="L933" t="s">
        <v>374</v>
      </c>
      <c r="M933">
        <v>761</v>
      </c>
      <c r="N933">
        <v>1</v>
      </c>
      <c r="O933">
        <v>4</v>
      </c>
      <c r="P933">
        <v>582</v>
      </c>
      <c r="Q933">
        <v>344</v>
      </c>
      <c r="R933">
        <v>329</v>
      </c>
      <c r="S933">
        <v>424.52</v>
      </c>
    </row>
    <row r="934" spans="12:19" x14ac:dyDescent="0.2">
      <c r="L934" t="s">
        <v>374</v>
      </c>
      <c r="M934">
        <v>775</v>
      </c>
      <c r="N934">
        <v>1</v>
      </c>
      <c r="O934">
        <v>4</v>
      </c>
      <c r="P934">
        <v>582</v>
      </c>
      <c r="Q934">
        <v>344</v>
      </c>
      <c r="R934">
        <v>329</v>
      </c>
      <c r="S934">
        <v>476.82</v>
      </c>
    </row>
    <row r="935" spans="12:19" x14ac:dyDescent="0.2">
      <c r="L935" t="s">
        <v>374</v>
      </c>
      <c r="M935">
        <v>777</v>
      </c>
      <c r="N935">
        <v>1</v>
      </c>
      <c r="O935">
        <v>4</v>
      </c>
      <c r="P935">
        <v>582</v>
      </c>
      <c r="Q935">
        <v>344</v>
      </c>
      <c r="R935">
        <v>329</v>
      </c>
      <c r="S935">
        <v>40</v>
      </c>
    </row>
    <row r="936" spans="12:19" x14ac:dyDescent="0.2">
      <c r="L936" t="s">
        <v>374</v>
      </c>
      <c r="M936">
        <v>821</v>
      </c>
      <c r="N936">
        <v>1</v>
      </c>
      <c r="O936">
        <v>4</v>
      </c>
      <c r="P936">
        <v>582</v>
      </c>
      <c r="Q936">
        <v>344</v>
      </c>
      <c r="R936">
        <v>329</v>
      </c>
      <c r="S936">
        <v>300</v>
      </c>
    </row>
    <row r="937" spans="12:19" x14ac:dyDescent="0.2">
      <c r="L937" t="s">
        <v>374</v>
      </c>
      <c r="M937">
        <v>829</v>
      </c>
      <c r="N937">
        <v>1</v>
      </c>
      <c r="O937">
        <v>4</v>
      </c>
      <c r="P937">
        <v>582</v>
      </c>
      <c r="Q937">
        <v>344</v>
      </c>
      <c r="R937">
        <v>329</v>
      </c>
      <c r="S937">
        <v>35.619999999999997</v>
      </c>
    </row>
    <row r="938" spans="12:19" x14ac:dyDescent="0.2">
      <c r="L938" t="s">
        <v>374</v>
      </c>
      <c r="M938">
        <v>832</v>
      </c>
      <c r="N938">
        <v>1</v>
      </c>
      <c r="O938">
        <v>4</v>
      </c>
      <c r="P938">
        <v>582</v>
      </c>
      <c r="Q938">
        <v>344</v>
      </c>
      <c r="R938">
        <v>329</v>
      </c>
      <c r="S938">
        <v>68.459999999999994</v>
      </c>
    </row>
    <row r="939" spans="12:19" x14ac:dyDescent="0.2">
      <c r="L939" t="s">
        <v>374</v>
      </c>
      <c r="M939">
        <v>833</v>
      </c>
      <c r="N939">
        <v>1</v>
      </c>
      <c r="O939">
        <v>4</v>
      </c>
      <c r="P939">
        <v>582</v>
      </c>
      <c r="Q939">
        <v>344</v>
      </c>
      <c r="R939">
        <v>329</v>
      </c>
      <c r="S939">
        <v>342.33</v>
      </c>
    </row>
    <row r="940" spans="12:19" x14ac:dyDescent="0.2">
      <c r="L940" t="s">
        <v>374</v>
      </c>
      <c r="M940">
        <v>834</v>
      </c>
      <c r="N940">
        <v>1</v>
      </c>
      <c r="O940">
        <v>4</v>
      </c>
      <c r="P940">
        <v>582</v>
      </c>
      <c r="Q940">
        <v>344</v>
      </c>
      <c r="R940">
        <v>329</v>
      </c>
      <c r="S940">
        <v>67.319999999999993</v>
      </c>
    </row>
    <row r="941" spans="12:19" x14ac:dyDescent="0.2">
      <c r="L941" t="s">
        <v>374</v>
      </c>
      <c r="M941">
        <v>861</v>
      </c>
      <c r="N941">
        <v>1</v>
      </c>
      <c r="O941">
        <v>4</v>
      </c>
      <c r="P941">
        <v>582</v>
      </c>
      <c r="Q941">
        <v>344</v>
      </c>
      <c r="R941">
        <v>329</v>
      </c>
      <c r="S941">
        <v>99.46</v>
      </c>
    </row>
    <row r="942" spans="12:19" x14ac:dyDescent="0.2">
      <c r="L942" t="s">
        <v>374</v>
      </c>
      <c r="M942">
        <v>883</v>
      </c>
      <c r="N942">
        <v>1</v>
      </c>
      <c r="O942">
        <v>4</v>
      </c>
      <c r="P942">
        <v>582</v>
      </c>
      <c r="Q942">
        <v>344</v>
      </c>
      <c r="R942">
        <v>329</v>
      </c>
      <c r="S942">
        <v>33.46</v>
      </c>
    </row>
    <row r="943" spans="12:19" x14ac:dyDescent="0.2">
      <c r="L943" t="s">
        <v>374</v>
      </c>
      <c r="M943">
        <v>885</v>
      </c>
      <c r="N943">
        <v>1</v>
      </c>
      <c r="O943">
        <v>4</v>
      </c>
      <c r="P943">
        <v>582</v>
      </c>
      <c r="Q943">
        <v>344</v>
      </c>
      <c r="R943">
        <v>329</v>
      </c>
      <c r="S943">
        <v>439.98</v>
      </c>
    </row>
    <row r="944" spans="12:19" x14ac:dyDescent="0.2">
      <c r="L944" t="s">
        <v>374</v>
      </c>
      <c r="M944">
        <v>911</v>
      </c>
      <c r="N944">
        <v>1</v>
      </c>
      <c r="O944">
        <v>4</v>
      </c>
      <c r="P944">
        <v>582</v>
      </c>
      <c r="Q944">
        <v>344</v>
      </c>
      <c r="R944">
        <v>329</v>
      </c>
      <c r="S944">
        <v>788.34</v>
      </c>
    </row>
    <row r="945" spans="12:19" x14ac:dyDescent="0.2">
      <c r="L945" t="s">
        <v>374</v>
      </c>
      <c r="M945">
        <v>2071</v>
      </c>
      <c r="N945">
        <v>1</v>
      </c>
      <c r="O945">
        <v>4</v>
      </c>
      <c r="P945">
        <v>582</v>
      </c>
      <c r="Q945">
        <v>344</v>
      </c>
      <c r="R945">
        <v>329</v>
      </c>
      <c r="S945">
        <v>140.15</v>
      </c>
    </row>
    <row r="946" spans="12:19" x14ac:dyDescent="0.2">
      <c r="L946" t="s">
        <v>374</v>
      </c>
      <c r="M946">
        <v>2135</v>
      </c>
      <c r="N946">
        <v>1</v>
      </c>
      <c r="O946">
        <v>4</v>
      </c>
      <c r="P946">
        <v>582</v>
      </c>
      <c r="Q946">
        <v>344</v>
      </c>
      <c r="R946">
        <v>329</v>
      </c>
      <c r="S946">
        <v>251.16</v>
      </c>
    </row>
    <row r="947" spans="12:19" x14ac:dyDescent="0.2">
      <c r="L947" t="s">
        <v>374</v>
      </c>
      <c r="M947">
        <v>2143</v>
      </c>
      <c r="N947">
        <v>1</v>
      </c>
      <c r="O947">
        <v>4</v>
      </c>
      <c r="P947">
        <v>582</v>
      </c>
      <c r="Q947">
        <v>344</v>
      </c>
      <c r="R947">
        <v>329</v>
      </c>
      <c r="S947">
        <v>157.36000000000001</v>
      </c>
    </row>
    <row r="948" spans="12:19" x14ac:dyDescent="0.2">
      <c r="L948" t="s">
        <v>374</v>
      </c>
      <c r="M948">
        <v>2144</v>
      </c>
      <c r="N948">
        <v>1</v>
      </c>
      <c r="O948">
        <v>4</v>
      </c>
      <c r="P948">
        <v>582</v>
      </c>
      <c r="Q948">
        <v>344</v>
      </c>
      <c r="R948">
        <v>329</v>
      </c>
      <c r="S948">
        <v>55.19</v>
      </c>
    </row>
    <row r="949" spans="12:19" x14ac:dyDescent="0.2">
      <c r="L949" t="s">
        <v>374</v>
      </c>
      <c r="M949">
        <v>2154</v>
      </c>
      <c r="N949">
        <v>1</v>
      </c>
      <c r="O949">
        <v>4</v>
      </c>
      <c r="P949">
        <v>582</v>
      </c>
      <c r="Q949">
        <v>344</v>
      </c>
      <c r="R949">
        <v>329</v>
      </c>
      <c r="S949">
        <v>92.41</v>
      </c>
    </row>
    <row r="950" spans="12:19" x14ac:dyDescent="0.2">
      <c r="L950" t="s">
        <v>374</v>
      </c>
      <c r="M950">
        <v>2168</v>
      </c>
      <c r="N950">
        <v>1</v>
      </c>
      <c r="O950">
        <v>4</v>
      </c>
      <c r="P950">
        <v>582</v>
      </c>
      <c r="Q950">
        <v>344</v>
      </c>
      <c r="R950">
        <v>329</v>
      </c>
      <c r="S950">
        <v>50</v>
      </c>
    </row>
    <row r="951" spans="12:19" x14ac:dyDescent="0.2">
      <c r="L951" t="s">
        <v>374</v>
      </c>
      <c r="M951">
        <v>2169</v>
      </c>
      <c r="N951">
        <v>1</v>
      </c>
      <c r="O951">
        <v>4</v>
      </c>
      <c r="P951">
        <v>582</v>
      </c>
      <c r="Q951">
        <v>344</v>
      </c>
      <c r="R951">
        <v>329</v>
      </c>
      <c r="S951">
        <v>404.02</v>
      </c>
    </row>
    <row r="952" spans="12:19" x14ac:dyDescent="0.2">
      <c r="L952" t="s">
        <v>374</v>
      </c>
      <c r="M952">
        <v>2172</v>
      </c>
      <c r="N952">
        <v>1</v>
      </c>
      <c r="O952">
        <v>4</v>
      </c>
      <c r="P952">
        <v>582</v>
      </c>
      <c r="Q952">
        <v>344</v>
      </c>
      <c r="R952">
        <v>329</v>
      </c>
      <c r="S952">
        <v>319.36</v>
      </c>
    </row>
    <row r="953" spans="12:19" x14ac:dyDescent="0.2">
      <c r="L953" t="s">
        <v>374</v>
      </c>
      <c r="M953">
        <v>2174</v>
      </c>
      <c r="N953">
        <v>1</v>
      </c>
      <c r="O953">
        <v>4</v>
      </c>
      <c r="P953">
        <v>582</v>
      </c>
      <c r="Q953">
        <v>344</v>
      </c>
      <c r="R953">
        <v>329</v>
      </c>
      <c r="S953">
        <v>21</v>
      </c>
    </row>
    <row r="954" spans="12:19" x14ac:dyDescent="0.2">
      <c r="L954" t="s">
        <v>374</v>
      </c>
      <c r="M954">
        <v>2396</v>
      </c>
      <c r="N954">
        <v>1</v>
      </c>
      <c r="O954">
        <v>4</v>
      </c>
      <c r="P954">
        <v>582</v>
      </c>
      <c r="Q954">
        <v>344</v>
      </c>
      <c r="R954">
        <v>329</v>
      </c>
      <c r="S954">
        <v>50</v>
      </c>
    </row>
    <row r="955" spans="12:19" x14ac:dyDescent="0.2">
      <c r="L955" t="s">
        <v>374</v>
      </c>
      <c r="M955">
        <v>2752</v>
      </c>
      <c r="N955">
        <v>1</v>
      </c>
      <c r="O955">
        <v>4</v>
      </c>
      <c r="P955">
        <v>582</v>
      </c>
      <c r="Q955">
        <v>344</v>
      </c>
      <c r="R955">
        <v>329</v>
      </c>
      <c r="S955">
        <v>184.66</v>
      </c>
    </row>
    <row r="956" spans="12:19" x14ac:dyDescent="0.2">
      <c r="L956" t="s">
        <v>374</v>
      </c>
      <c r="M956">
        <v>2859</v>
      </c>
      <c r="N956">
        <v>1</v>
      </c>
      <c r="O956">
        <v>4</v>
      </c>
      <c r="P956">
        <v>582</v>
      </c>
      <c r="Q956">
        <v>344</v>
      </c>
      <c r="R956">
        <v>329</v>
      </c>
      <c r="S956">
        <v>1.6</v>
      </c>
    </row>
    <row r="957" spans="12:19" x14ac:dyDescent="0.2">
      <c r="L957" t="s">
        <v>374</v>
      </c>
      <c r="M957">
        <v>2889</v>
      </c>
      <c r="N957">
        <v>1</v>
      </c>
      <c r="O957">
        <v>4</v>
      </c>
      <c r="P957">
        <v>582</v>
      </c>
      <c r="Q957">
        <v>344</v>
      </c>
      <c r="R957">
        <v>329</v>
      </c>
      <c r="S957">
        <v>14</v>
      </c>
    </row>
    <row r="958" spans="12:19" x14ac:dyDescent="0.2">
      <c r="L958" t="s">
        <v>374</v>
      </c>
      <c r="M958">
        <v>2890</v>
      </c>
      <c r="N958">
        <v>1</v>
      </c>
      <c r="O958">
        <v>4</v>
      </c>
      <c r="P958">
        <v>582</v>
      </c>
      <c r="Q958">
        <v>344</v>
      </c>
      <c r="R958">
        <v>329</v>
      </c>
      <c r="S958">
        <v>29.4</v>
      </c>
    </row>
    <row r="959" spans="12:19" x14ac:dyDescent="0.2">
      <c r="L959" t="s">
        <v>374</v>
      </c>
      <c r="M959">
        <v>831</v>
      </c>
      <c r="N959">
        <v>1</v>
      </c>
      <c r="O959">
        <v>4</v>
      </c>
      <c r="P959">
        <v>582</v>
      </c>
      <c r="Q959">
        <v>321</v>
      </c>
      <c r="R959">
        <v>329</v>
      </c>
      <c r="S959">
        <v>163.76</v>
      </c>
    </row>
    <row r="960" spans="12:19" x14ac:dyDescent="0.2">
      <c r="L960" t="s">
        <v>374</v>
      </c>
      <c r="M960">
        <v>625</v>
      </c>
      <c r="N960">
        <v>1</v>
      </c>
      <c r="O960">
        <v>4</v>
      </c>
      <c r="P960">
        <v>582</v>
      </c>
      <c r="Q960">
        <v>599</v>
      </c>
      <c r="R960">
        <v>320</v>
      </c>
      <c r="S960">
        <v>713.06</v>
      </c>
    </row>
    <row r="961" spans="12:19" x14ac:dyDescent="0.2">
      <c r="L961" t="s">
        <v>374</v>
      </c>
      <c r="M961">
        <v>1</v>
      </c>
      <c r="N961">
        <v>3</v>
      </c>
      <c r="O961">
        <v>4</v>
      </c>
      <c r="P961">
        <v>582</v>
      </c>
      <c r="Q961">
        <v>344</v>
      </c>
      <c r="R961">
        <v>320</v>
      </c>
      <c r="S961">
        <v>673.79</v>
      </c>
    </row>
    <row r="962" spans="12:19" x14ac:dyDescent="0.2">
      <c r="L962" t="s">
        <v>374</v>
      </c>
      <c r="M962">
        <v>11</v>
      </c>
      <c r="N962">
        <v>1</v>
      </c>
      <c r="O962">
        <v>4</v>
      </c>
      <c r="P962">
        <v>582</v>
      </c>
      <c r="Q962">
        <v>344</v>
      </c>
      <c r="R962">
        <v>320</v>
      </c>
      <c r="S962">
        <v>5842.56</v>
      </c>
    </row>
    <row r="963" spans="12:19" x14ac:dyDescent="0.2">
      <c r="L963" t="s">
        <v>374</v>
      </c>
      <c r="M963">
        <v>47</v>
      </c>
      <c r="N963">
        <v>1</v>
      </c>
      <c r="O963">
        <v>4</v>
      </c>
      <c r="P963">
        <v>582</v>
      </c>
      <c r="Q963">
        <v>344</v>
      </c>
      <c r="R963">
        <v>320</v>
      </c>
      <c r="S963">
        <v>250</v>
      </c>
    </row>
    <row r="964" spans="12:19" x14ac:dyDescent="0.2">
      <c r="L964" t="s">
        <v>374</v>
      </c>
      <c r="M964">
        <v>227</v>
      </c>
      <c r="N964">
        <v>1</v>
      </c>
      <c r="O964">
        <v>4</v>
      </c>
      <c r="P964">
        <v>582</v>
      </c>
      <c r="Q964">
        <v>344</v>
      </c>
      <c r="R964">
        <v>320</v>
      </c>
      <c r="S964">
        <v>433.66</v>
      </c>
    </row>
    <row r="965" spans="12:19" x14ac:dyDescent="0.2">
      <c r="L965" t="s">
        <v>374</v>
      </c>
      <c r="M965">
        <v>278</v>
      </c>
      <c r="N965">
        <v>1</v>
      </c>
      <c r="O965">
        <v>4</v>
      </c>
      <c r="P965">
        <v>582</v>
      </c>
      <c r="Q965">
        <v>344</v>
      </c>
      <c r="R965">
        <v>320</v>
      </c>
      <c r="S965">
        <v>825</v>
      </c>
    </row>
    <row r="966" spans="12:19" x14ac:dyDescent="0.2">
      <c r="L966" t="s">
        <v>374</v>
      </c>
      <c r="M966">
        <v>281</v>
      </c>
      <c r="N966">
        <v>1</v>
      </c>
      <c r="O966">
        <v>4</v>
      </c>
      <c r="P966">
        <v>582</v>
      </c>
      <c r="Q966">
        <v>344</v>
      </c>
      <c r="R966">
        <v>320</v>
      </c>
      <c r="S966">
        <v>12.45</v>
      </c>
    </row>
    <row r="967" spans="12:19" x14ac:dyDescent="0.2">
      <c r="L967" t="s">
        <v>374</v>
      </c>
      <c r="M967">
        <v>284</v>
      </c>
      <c r="N967">
        <v>1</v>
      </c>
      <c r="O967">
        <v>4</v>
      </c>
      <c r="P967">
        <v>582</v>
      </c>
      <c r="Q967">
        <v>344</v>
      </c>
      <c r="R967">
        <v>320</v>
      </c>
      <c r="S967">
        <v>280</v>
      </c>
    </row>
    <row r="968" spans="12:19" x14ac:dyDescent="0.2">
      <c r="L968" t="s">
        <v>374</v>
      </c>
      <c r="M968">
        <v>286</v>
      </c>
      <c r="N968">
        <v>1</v>
      </c>
      <c r="O968">
        <v>4</v>
      </c>
      <c r="P968">
        <v>582</v>
      </c>
      <c r="Q968">
        <v>344</v>
      </c>
      <c r="R968">
        <v>320</v>
      </c>
      <c r="S968">
        <v>68.010000000000005</v>
      </c>
    </row>
    <row r="969" spans="12:19" x14ac:dyDescent="0.2">
      <c r="L969" t="s">
        <v>374</v>
      </c>
      <c r="M969">
        <v>314</v>
      </c>
      <c r="N969">
        <v>1</v>
      </c>
      <c r="O969">
        <v>4</v>
      </c>
      <c r="P969">
        <v>582</v>
      </c>
      <c r="Q969">
        <v>344</v>
      </c>
      <c r="R969">
        <v>320</v>
      </c>
      <c r="S969">
        <v>125</v>
      </c>
    </row>
    <row r="970" spans="12:19" x14ac:dyDescent="0.2">
      <c r="L970" t="s">
        <v>374</v>
      </c>
      <c r="M970">
        <v>508</v>
      </c>
      <c r="N970">
        <v>1</v>
      </c>
      <c r="O970">
        <v>4</v>
      </c>
      <c r="P970">
        <v>582</v>
      </c>
      <c r="Q970">
        <v>344</v>
      </c>
      <c r="R970">
        <v>320</v>
      </c>
      <c r="S970">
        <v>433.93</v>
      </c>
    </row>
    <row r="971" spans="12:19" x14ac:dyDescent="0.2">
      <c r="L971" t="s">
        <v>374</v>
      </c>
      <c r="M971">
        <v>542</v>
      </c>
      <c r="N971">
        <v>1</v>
      </c>
      <c r="O971">
        <v>4</v>
      </c>
      <c r="P971">
        <v>582</v>
      </c>
      <c r="Q971">
        <v>344</v>
      </c>
      <c r="R971">
        <v>320</v>
      </c>
      <c r="S971">
        <v>212.87</v>
      </c>
    </row>
    <row r="972" spans="12:19" x14ac:dyDescent="0.2">
      <c r="L972" t="s">
        <v>374</v>
      </c>
      <c r="M972">
        <v>544</v>
      </c>
      <c r="N972">
        <v>1</v>
      </c>
      <c r="O972">
        <v>4</v>
      </c>
      <c r="P972">
        <v>582</v>
      </c>
      <c r="Q972">
        <v>344</v>
      </c>
      <c r="R972">
        <v>320</v>
      </c>
      <c r="S972">
        <v>217.12</v>
      </c>
    </row>
    <row r="973" spans="12:19" x14ac:dyDescent="0.2">
      <c r="L973" t="s">
        <v>374</v>
      </c>
      <c r="M973">
        <v>623</v>
      </c>
      <c r="N973">
        <v>1</v>
      </c>
      <c r="O973">
        <v>4</v>
      </c>
      <c r="P973">
        <v>582</v>
      </c>
      <c r="Q973">
        <v>344</v>
      </c>
      <c r="R973">
        <v>320</v>
      </c>
      <c r="S973">
        <v>228</v>
      </c>
    </row>
    <row r="974" spans="12:19" x14ac:dyDescent="0.2">
      <c r="L974" t="s">
        <v>374</v>
      </c>
      <c r="M974">
        <v>625</v>
      </c>
      <c r="N974">
        <v>1</v>
      </c>
      <c r="O974">
        <v>4</v>
      </c>
      <c r="P974">
        <v>582</v>
      </c>
      <c r="Q974">
        <v>344</v>
      </c>
      <c r="R974">
        <v>320</v>
      </c>
      <c r="S974">
        <v>1174.19</v>
      </c>
    </row>
    <row r="975" spans="12:19" x14ac:dyDescent="0.2">
      <c r="L975" t="s">
        <v>374</v>
      </c>
      <c r="M975">
        <v>627</v>
      </c>
      <c r="N975">
        <v>1</v>
      </c>
      <c r="O975">
        <v>4</v>
      </c>
      <c r="P975">
        <v>582</v>
      </c>
      <c r="Q975">
        <v>344</v>
      </c>
      <c r="R975">
        <v>320</v>
      </c>
      <c r="S975">
        <v>75</v>
      </c>
    </row>
    <row r="976" spans="12:19" x14ac:dyDescent="0.2">
      <c r="L976" t="s">
        <v>374</v>
      </c>
      <c r="M976">
        <v>700</v>
      </c>
      <c r="N976">
        <v>1</v>
      </c>
      <c r="O976">
        <v>4</v>
      </c>
      <c r="P976">
        <v>582</v>
      </c>
      <c r="Q976">
        <v>344</v>
      </c>
      <c r="R976">
        <v>320</v>
      </c>
      <c r="S976">
        <v>853.42</v>
      </c>
    </row>
    <row r="977" spans="12:19" x14ac:dyDescent="0.2">
      <c r="L977" t="s">
        <v>374</v>
      </c>
      <c r="M977">
        <v>717</v>
      </c>
      <c r="N977">
        <v>1</v>
      </c>
      <c r="O977">
        <v>4</v>
      </c>
      <c r="P977">
        <v>582</v>
      </c>
      <c r="Q977">
        <v>344</v>
      </c>
      <c r="R977">
        <v>320</v>
      </c>
      <c r="S977">
        <v>74.63</v>
      </c>
    </row>
    <row r="978" spans="12:19" x14ac:dyDescent="0.2">
      <c r="L978" t="s">
        <v>374</v>
      </c>
      <c r="M978">
        <v>861</v>
      </c>
      <c r="N978">
        <v>1</v>
      </c>
      <c r="O978">
        <v>4</v>
      </c>
      <c r="P978">
        <v>582</v>
      </c>
      <c r="Q978">
        <v>344</v>
      </c>
      <c r="R978">
        <v>320</v>
      </c>
      <c r="S978">
        <v>274.08999999999997</v>
      </c>
    </row>
    <row r="979" spans="12:19" x14ac:dyDescent="0.2">
      <c r="L979" t="s">
        <v>374</v>
      </c>
      <c r="M979">
        <v>881</v>
      </c>
      <c r="N979">
        <v>1</v>
      </c>
      <c r="O979">
        <v>4</v>
      </c>
      <c r="P979">
        <v>582</v>
      </c>
      <c r="Q979">
        <v>344</v>
      </c>
      <c r="R979">
        <v>320</v>
      </c>
      <c r="S979">
        <v>90.46</v>
      </c>
    </row>
    <row r="980" spans="12:19" x14ac:dyDescent="0.2">
      <c r="L980" t="s">
        <v>374</v>
      </c>
      <c r="M980">
        <v>885</v>
      </c>
      <c r="N980">
        <v>1</v>
      </c>
      <c r="O980">
        <v>4</v>
      </c>
      <c r="P980">
        <v>582</v>
      </c>
      <c r="Q980">
        <v>344</v>
      </c>
      <c r="R980">
        <v>320</v>
      </c>
      <c r="S980">
        <v>604.95000000000005</v>
      </c>
    </row>
    <row r="981" spans="12:19" x14ac:dyDescent="0.2">
      <c r="L981" t="s">
        <v>374</v>
      </c>
      <c r="M981">
        <v>2125</v>
      </c>
      <c r="N981">
        <v>1</v>
      </c>
      <c r="O981">
        <v>4</v>
      </c>
      <c r="P981">
        <v>582</v>
      </c>
      <c r="Q981">
        <v>344</v>
      </c>
      <c r="R981">
        <v>320</v>
      </c>
      <c r="S981">
        <v>48.52</v>
      </c>
    </row>
    <row r="982" spans="12:19" x14ac:dyDescent="0.2">
      <c r="L982" t="s">
        <v>374</v>
      </c>
      <c r="M982">
        <v>2144</v>
      </c>
      <c r="N982">
        <v>1</v>
      </c>
      <c r="O982">
        <v>4</v>
      </c>
      <c r="P982">
        <v>582</v>
      </c>
      <c r="Q982">
        <v>344</v>
      </c>
      <c r="R982">
        <v>320</v>
      </c>
      <c r="S982">
        <v>300</v>
      </c>
    </row>
    <row r="983" spans="12:19" x14ac:dyDescent="0.2">
      <c r="L983" t="s">
        <v>374</v>
      </c>
      <c r="M983">
        <v>2169</v>
      </c>
      <c r="N983">
        <v>1</v>
      </c>
      <c r="O983">
        <v>4</v>
      </c>
      <c r="P983">
        <v>582</v>
      </c>
      <c r="Q983">
        <v>344</v>
      </c>
      <c r="R983">
        <v>320</v>
      </c>
      <c r="S983">
        <v>59.19</v>
      </c>
    </row>
    <row r="984" spans="12:19" x14ac:dyDescent="0.2">
      <c r="L984" t="s">
        <v>374</v>
      </c>
      <c r="M984">
        <v>2184</v>
      </c>
      <c r="N984">
        <v>1</v>
      </c>
      <c r="O984">
        <v>4</v>
      </c>
      <c r="P984">
        <v>582</v>
      </c>
      <c r="Q984">
        <v>344</v>
      </c>
      <c r="R984">
        <v>320</v>
      </c>
      <c r="S984">
        <v>75</v>
      </c>
    </row>
    <row r="985" spans="12:19" x14ac:dyDescent="0.2">
      <c r="L985" t="s">
        <v>374</v>
      </c>
      <c r="M985">
        <v>2365</v>
      </c>
      <c r="N985">
        <v>1</v>
      </c>
      <c r="O985">
        <v>4</v>
      </c>
      <c r="P985">
        <v>582</v>
      </c>
      <c r="Q985">
        <v>344</v>
      </c>
      <c r="R985">
        <v>320</v>
      </c>
      <c r="S985">
        <v>87.49</v>
      </c>
    </row>
    <row r="986" spans="12:19" x14ac:dyDescent="0.2">
      <c r="L986" t="s">
        <v>374</v>
      </c>
      <c r="M986">
        <v>2397</v>
      </c>
      <c r="N986">
        <v>1</v>
      </c>
      <c r="O986">
        <v>4</v>
      </c>
      <c r="P986">
        <v>582</v>
      </c>
      <c r="Q986">
        <v>344</v>
      </c>
      <c r="R986">
        <v>320</v>
      </c>
      <c r="S986">
        <v>820.79</v>
      </c>
    </row>
    <row r="987" spans="12:19" x14ac:dyDescent="0.2">
      <c r="L987" t="s">
        <v>374</v>
      </c>
      <c r="M987">
        <v>2895</v>
      </c>
      <c r="N987">
        <v>1</v>
      </c>
      <c r="O987">
        <v>4</v>
      </c>
      <c r="P987">
        <v>582</v>
      </c>
      <c r="Q987">
        <v>344</v>
      </c>
      <c r="R987">
        <v>320</v>
      </c>
      <c r="S987">
        <v>240</v>
      </c>
    </row>
    <row r="988" spans="12:19" x14ac:dyDescent="0.2">
      <c r="L988" t="s">
        <v>374</v>
      </c>
      <c r="M988">
        <v>139</v>
      </c>
      <c r="N988">
        <v>1</v>
      </c>
      <c r="O988">
        <v>4</v>
      </c>
      <c r="P988">
        <v>582</v>
      </c>
      <c r="Q988">
        <v>321</v>
      </c>
      <c r="R988">
        <v>320</v>
      </c>
      <c r="S988">
        <v>16.32</v>
      </c>
    </row>
    <row r="989" spans="12:19" x14ac:dyDescent="0.2">
      <c r="L989" t="s">
        <v>374</v>
      </c>
      <c r="M989">
        <v>1</v>
      </c>
      <c r="N989">
        <v>3</v>
      </c>
      <c r="O989">
        <v>4</v>
      </c>
      <c r="P989">
        <v>582</v>
      </c>
      <c r="Q989">
        <v>599</v>
      </c>
      <c r="R989">
        <v>305</v>
      </c>
      <c r="S989">
        <v>74449.100000000006</v>
      </c>
    </row>
    <row r="990" spans="12:19" x14ac:dyDescent="0.2">
      <c r="L990" t="s">
        <v>374</v>
      </c>
      <c r="M990">
        <v>1</v>
      </c>
      <c r="N990">
        <v>3</v>
      </c>
      <c r="O990">
        <v>4</v>
      </c>
      <c r="P990">
        <v>582</v>
      </c>
      <c r="Q990">
        <v>344</v>
      </c>
      <c r="R990">
        <v>305</v>
      </c>
      <c r="S990">
        <v>267281.68</v>
      </c>
    </row>
    <row r="991" spans="12:19" x14ac:dyDescent="0.2">
      <c r="L991" t="s">
        <v>374</v>
      </c>
      <c r="M991">
        <v>6</v>
      </c>
      <c r="N991">
        <v>3</v>
      </c>
      <c r="O991">
        <v>4</v>
      </c>
      <c r="P991">
        <v>582</v>
      </c>
      <c r="Q991">
        <v>344</v>
      </c>
      <c r="R991">
        <v>305</v>
      </c>
      <c r="S991">
        <v>98.67</v>
      </c>
    </row>
    <row r="992" spans="12:19" x14ac:dyDescent="0.2">
      <c r="L992" t="s">
        <v>374</v>
      </c>
      <c r="M992">
        <v>11</v>
      </c>
      <c r="N992">
        <v>1</v>
      </c>
      <c r="O992">
        <v>4</v>
      </c>
      <c r="P992">
        <v>582</v>
      </c>
      <c r="Q992">
        <v>344</v>
      </c>
      <c r="R992">
        <v>305</v>
      </c>
      <c r="S992">
        <v>29494.14</v>
      </c>
    </row>
    <row r="993" spans="12:19" x14ac:dyDescent="0.2">
      <c r="L993" t="s">
        <v>374</v>
      </c>
      <c r="M993">
        <v>12</v>
      </c>
      <c r="N993">
        <v>1</v>
      </c>
      <c r="O993">
        <v>4</v>
      </c>
      <c r="P993">
        <v>582</v>
      </c>
      <c r="Q993">
        <v>344</v>
      </c>
      <c r="R993">
        <v>305</v>
      </c>
      <c r="S993">
        <v>80</v>
      </c>
    </row>
    <row r="994" spans="12:19" x14ac:dyDescent="0.2">
      <c r="L994" t="s">
        <v>374</v>
      </c>
      <c r="M994">
        <v>13</v>
      </c>
      <c r="N994">
        <v>1</v>
      </c>
      <c r="O994">
        <v>4</v>
      </c>
      <c r="P994">
        <v>582</v>
      </c>
      <c r="Q994">
        <v>344</v>
      </c>
      <c r="R994">
        <v>305</v>
      </c>
      <c r="S994">
        <v>1574.33</v>
      </c>
    </row>
    <row r="995" spans="12:19" x14ac:dyDescent="0.2">
      <c r="L995" t="s">
        <v>374</v>
      </c>
      <c r="M995">
        <v>15</v>
      </c>
      <c r="N995">
        <v>1</v>
      </c>
      <c r="O995">
        <v>4</v>
      </c>
      <c r="P995">
        <v>582</v>
      </c>
      <c r="Q995">
        <v>344</v>
      </c>
      <c r="R995">
        <v>305</v>
      </c>
      <c r="S995">
        <v>17240</v>
      </c>
    </row>
    <row r="996" spans="12:19" x14ac:dyDescent="0.2">
      <c r="L996" t="s">
        <v>374</v>
      </c>
      <c r="M996">
        <v>16</v>
      </c>
      <c r="N996">
        <v>1</v>
      </c>
      <c r="O996">
        <v>4</v>
      </c>
      <c r="P996">
        <v>582</v>
      </c>
      <c r="Q996">
        <v>344</v>
      </c>
      <c r="R996">
        <v>305</v>
      </c>
      <c r="S996">
        <v>3493.5</v>
      </c>
    </row>
    <row r="997" spans="12:19" x14ac:dyDescent="0.2">
      <c r="L997" s="8" t="s">
        <v>374</v>
      </c>
      <c r="M997" s="8">
        <v>31</v>
      </c>
      <c r="N997" s="8">
        <v>1</v>
      </c>
      <c r="O997" s="8">
        <v>4</v>
      </c>
      <c r="P997" s="8">
        <v>582</v>
      </c>
      <c r="Q997" s="8">
        <v>344</v>
      </c>
      <c r="R997" s="8">
        <v>305</v>
      </c>
      <c r="S997" s="8">
        <v>1830.87</v>
      </c>
    </row>
    <row r="998" spans="12:19" x14ac:dyDescent="0.2">
      <c r="L998" t="s">
        <v>374</v>
      </c>
      <c r="M998">
        <v>47</v>
      </c>
      <c r="N998">
        <v>1</v>
      </c>
      <c r="O998">
        <v>4</v>
      </c>
      <c r="P998">
        <v>582</v>
      </c>
      <c r="Q998">
        <v>344</v>
      </c>
      <c r="R998">
        <v>305</v>
      </c>
      <c r="S998">
        <v>770.45</v>
      </c>
    </row>
    <row r="999" spans="12:19" x14ac:dyDescent="0.2">
      <c r="L999" t="s">
        <v>374</v>
      </c>
      <c r="M999">
        <v>77</v>
      </c>
      <c r="N999">
        <v>1</v>
      </c>
      <c r="O999">
        <v>4</v>
      </c>
      <c r="P999">
        <v>582</v>
      </c>
      <c r="Q999">
        <v>344</v>
      </c>
      <c r="R999">
        <v>305</v>
      </c>
      <c r="S999">
        <v>150</v>
      </c>
    </row>
    <row r="1000" spans="12:19" x14ac:dyDescent="0.2">
      <c r="L1000" t="s">
        <v>374</v>
      </c>
      <c r="M1000">
        <v>84</v>
      </c>
      <c r="N1000">
        <v>1</v>
      </c>
      <c r="O1000">
        <v>4</v>
      </c>
      <c r="P1000">
        <v>582</v>
      </c>
      <c r="Q1000">
        <v>344</v>
      </c>
      <c r="R1000">
        <v>305</v>
      </c>
      <c r="S1000">
        <v>460</v>
      </c>
    </row>
    <row r="1001" spans="12:19" x14ac:dyDescent="0.2">
      <c r="L1001" t="s">
        <v>374</v>
      </c>
      <c r="M1001">
        <v>88</v>
      </c>
      <c r="N1001">
        <v>1</v>
      </c>
      <c r="O1001">
        <v>4</v>
      </c>
      <c r="P1001">
        <v>582</v>
      </c>
      <c r="Q1001">
        <v>344</v>
      </c>
      <c r="R1001">
        <v>305</v>
      </c>
      <c r="S1001">
        <v>90</v>
      </c>
    </row>
    <row r="1002" spans="12:19" x14ac:dyDescent="0.2">
      <c r="L1002" t="s">
        <v>374</v>
      </c>
      <c r="M1002">
        <v>108</v>
      </c>
      <c r="N1002">
        <v>1</v>
      </c>
      <c r="O1002">
        <v>4</v>
      </c>
      <c r="P1002">
        <v>582</v>
      </c>
      <c r="Q1002">
        <v>344</v>
      </c>
      <c r="R1002">
        <v>305</v>
      </c>
      <c r="S1002">
        <v>35</v>
      </c>
    </row>
    <row r="1003" spans="12:19" x14ac:dyDescent="0.2">
      <c r="L1003" t="s">
        <v>374</v>
      </c>
      <c r="M1003">
        <v>111</v>
      </c>
      <c r="N1003">
        <v>1</v>
      </c>
      <c r="O1003">
        <v>4</v>
      </c>
      <c r="P1003">
        <v>582</v>
      </c>
      <c r="Q1003">
        <v>344</v>
      </c>
      <c r="R1003">
        <v>305</v>
      </c>
      <c r="S1003">
        <v>2610</v>
      </c>
    </row>
    <row r="1004" spans="12:19" x14ac:dyDescent="0.2">
      <c r="L1004" t="s">
        <v>374</v>
      </c>
      <c r="M1004">
        <v>112</v>
      </c>
      <c r="N1004">
        <v>1</v>
      </c>
      <c r="O1004">
        <v>4</v>
      </c>
      <c r="P1004">
        <v>582</v>
      </c>
      <c r="Q1004">
        <v>344</v>
      </c>
      <c r="R1004">
        <v>305</v>
      </c>
      <c r="S1004">
        <v>1166.51</v>
      </c>
    </row>
    <row r="1005" spans="12:19" x14ac:dyDescent="0.2">
      <c r="L1005" t="s">
        <v>374</v>
      </c>
      <c r="M1005">
        <v>118</v>
      </c>
      <c r="N1005">
        <v>1</v>
      </c>
      <c r="O1005">
        <v>4</v>
      </c>
      <c r="P1005">
        <v>582</v>
      </c>
      <c r="Q1005">
        <v>344</v>
      </c>
      <c r="R1005">
        <v>305</v>
      </c>
      <c r="S1005">
        <v>8497</v>
      </c>
    </row>
    <row r="1006" spans="12:19" x14ac:dyDescent="0.2">
      <c r="L1006" t="s">
        <v>374</v>
      </c>
      <c r="M1006">
        <v>138</v>
      </c>
      <c r="N1006">
        <v>1</v>
      </c>
      <c r="O1006">
        <v>4</v>
      </c>
      <c r="P1006">
        <v>582</v>
      </c>
      <c r="Q1006">
        <v>344</v>
      </c>
      <c r="R1006">
        <v>305</v>
      </c>
      <c r="S1006">
        <v>90</v>
      </c>
    </row>
    <row r="1007" spans="12:19" x14ac:dyDescent="0.2">
      <c r="L1007" t="s">
        <v>374</v>
      </c>
      <c r="M1007">
        <v>152</v>
      </c>
      <c r="N1007">
        <v>1</v>
      </c>
      <c r="O1007">
        <v>4</v>
      </c>
      <c r="P1007">
        <v>582</v>
      </c>
      <c r="Q1007">
        <v>344</v>
      </c>
      <c r="R1007">
        <v>305</v>
      </c>
      <c r="S1007">
        <v>872.5</v>
      </c>
    </row>
    <row r="1008" spans="12:19" x14ac:dyDescent="0.2">
      <c r="L1008" t="s">
        <v>374</v>
      </c>
      <c r="M1008">
        <v>166</v>
      </c>
      <c r="N1008">
        <v>1</v>
      </c>
      <c r="O1008">
        <v>4</v>
      </c>
      <c r="P1008">
        <v>582</v>
      </c>
      <c r="Q1008">
        <v>344</v>
      </c>
      <c r="R1008">
        <v>305</v>
      </c>
      <c r="S1008">
        <v>100</v>
      </c>
    </row>
    <row r="1009" spans="12:19" x14ac:dyDescent="0.2">
      <c r="L1009" t="s">
        <v>374</v>
      </c>
      <c r="M1009">
        <v>177</v>
      </c>
      <c r="N1009">
        <v>1</v>
      </c>
      <c r="O1009">
        <v>4</v>
      </c>
      <c r="P1009">
        <v>582</v>
      </c>
      <c r="Q1009">
        <v>344</v>
      </c>
      <c r="R1009">
        <v>305</v>
      </c>
      <c r="S1009">
        <v>45</v>
      </c>
    </row>
    <row r="1010" spans="12:19" x14ac:dyDescent="0.2">
      <c r="L1010" t="s">
        <v>374</v>
      </c>
      <c r="M1010">
        <v>186</v>
      </c>
      <c r="N1010">
        <v>1</v>
      </c>
      <c r="O1010">
        <v>4</v>
      </c>
      <c r="P1010">
        <v>582</v>
      </c>
      <c r="Q1010">
        <v>344</v>
      </c>
      <c r="R1010">
        <v>305</v>
      </c>
      <c r="S1010">
        <v>278.19</v>
      </c>
    </row>
    <row r="1011" spans="12:19" x14ac:dyDescent="0.2">
      <c r="L1011" t="s">
        <v>374</v>
      </c>
      <c r="M1011">
        <v>191</v>
      </c>
      <c r="N1011">
        <v>1</v>
      </c>
      <c r="O1011">
        <v>4</v>
      </c>
      <c r="P1011">
        <v>582</v>
      </c>
      <c r="Q1011">
        <v>344</v>
      </c>
      <c r="R1011">
        <v>305</v>
      </c>
      <c r="S1011">
        <v>1516.96</v>
      </c>
    </row>
    <row r="1012" spans="12:19" x14ac:dyDescent="0.2">
      <c r="L1012" t="s">
        <v>374</v>
      </c>
      <c r="M1012">
        <v>192</v>
      </c>
      <c r="N1012">
        <v>1</v>
      </c>
      <c r="O1012">
        <v>4</v>
      </c>
      <c r="P1012">
        <v>582</v>
      </c>
      <c r="Q1012">
        <v>344</v>
      </c>
      <c r="R1012">
        <v>305</v>
      </c>
      <c r="S1012">
        <v>1402.88</v>
      </c>
    </row>
    <row r="1013" spans="12:19" x14ac:dyDescent="0.2">
      <c r="L1013" t="s">
        <v>374</v>
      </c>
      <c r="M1013">
        <v>194</v>
      </c>
      <c r="N1013">
        <v>1</v>
      </c>
      <c r="O1013">
        <v>4</v>
      </c>
      <c r="P1013">
        <v>582</v>
      </c>
      <c r="Q1013">
        <v>344</v>
      </c>
      <c r="R1013">
        <v>305</v>
      </c>
      <c r="S1013">
        <v>49500</v>
      </c>
    </row>
    <row r="1014" spans="12:19" x14ac:dyDescent="0.2">
      <c r="L1014" t="s">
        <v>374</v>
      </c>
      <c r="M1014">
        <v>196</v>
      </c>
      <c r="N1014">
        <v>1</v>
      </c>
      <c r="O1014">
        <v>4</v>
      </c>
      <c r="P1014">
        <v>582</v>
      </c>
      <c r="Q1014">
        <v>344</v>
      </c>
      <c r="R1014">
        <v>305</v>
      </c>
      <c r="S1014">
        <v>905</v>
      </c>
    </row>
    <row r="1015" spans="12:19" x14ac:dyDescent="0.2">
      <c r="L1015" t="s">
        <v>374</v>
      </c>
      <c r="M1015">
        <v>200</v>
      </c>
      <c r="N1015">
        <v>1</v>
      </c>
      <c r="O1015">
        <v>4</v>
      </c>
      <c r="P1015">
        <v>582</v>
      </c>
      <c r="Q1015">
        <v>344</v>
      </c>
      <c r="R1015">
        <v>305</v>
      </c>
      <c r="S1015">
        <v>1000</v>
      </c>
    </row>
    <row r="1016" spans="12:19" x14ac:dyDescent="0.2">
      <c r="L1016" t="s">
        <v>374</v>
      </c>
      <c r="M1016">
        <v>227</v>
      </c>
      <c r="N1016">
        <v>1</v>
      </c>
      <c r="O1016">
        <v>4</v>
      </c>
      <c r="P1016">
        <v>582</v>
      </c>
      <c r="Q1016">
        <v>344</v>
      </c>
      <c r="R1016">
        <v>305</v>
      </c>
      <c r="S1016">
        <v>720.49</v>
      </c>
    </row>
    <row r="1017" spans="12:19" x14ac:dyDescent="0.2">
      <c r="L1017" t="s">
        <v>374</v>
      </c>
      <c r="M1017">
        <v>241</v>
      </c>
      <c r="N1017">
        <v>1</v>
      </c>
      <c r="O1017">
        <v>4</v>
      </c>
      <c r="P1017">
        <v>582</v>
      </c>
      <c r="Q1017">
        <v>344</v>
      </c>
      <c r="R1017">
        <v>305</v>
      </c>
      <c r="S1017">
        <v>203.66</v>
      </c>
    </row>
    <row r="1018" spans="12:19" x14ac:dyDescent="0.2">
      <c r="L1018" t="s">
        <v>374</v>
      </c>
      <c r="M1018">
        <v>253</v>
      </c>
      <c r="N1018">
        <v>1</v>
      </c>
      <c r="O1018">
        <v>4</v>
      </c>
      <c r="P1018">
        <v>582</v>
      </c>
      <c r="Q1018">
        <v>344</v>
      </c>
      <c r="R1018">
        <v>305</v>
      </c>
      <c r="S1018">
        <v>24.7</v>
      </c>
    </row>
    <row r="1019" spans="12:19" x14ac:dyDescent="0.2">
      <c r="L1019" t="s">
        <v>374</v>
      </c>
      <c r="M1019">
        <v>271</v>
      </c>
      <c r="N1019">
        <v>1</v>
      </c>
      <c r="O1019">
        <v>4</v>
      </c>
      <c r="P1019">
        <v>582</v>
      </c>
      <c r="Q1019">
        <v>344</v>
      </c>
      <c r="R1019">
        <v>305</v>
      </c>
      <c r="S1019">
        <v>878</v>
      </c>
    </row>
    <row r="1020" spans="12:19" x14ac:dyDescent="0.2">
      <c r="L1020" t="s">
        <v>374</v>
      </c>
      <c r="M1020">
        <v>272</v>
      </c>
      <c r="N1020">
        <v>1</v>
      </c>
      <c r="O1020">
        <v>4</v>
      </c>
      <c r="P1020">
        <v>582</v>
      </c>
      <c r="Q1020">
        <v>344</v>
      </c>
      <c r="R1020">
        <v>305</v>
      </c>
      <c r="S1020">
        <v>538.13</v>
      </c>
    </row>
    <row r="1021" spans="12:19" x14ac:dyDescent="0.2">
      <c r="L1021" t="s">
        <v>374</v>
      </c>
      <c r="M1021">
        <v>273</v>
      </c>
      <c r="N1021">
        <v>1</v>
      </c>
      <c r="O1021">
        <v>4</v>
      </c>
      <c r="P1021">
        <v>582</v>
      </c>
      <c r="Q1021">
        <v>344</v>
      </c>
      <c r="R1021">
        <v>305</v>
      </c>
      <c r="S1021">
        <v>4770.12</v>
      </c>
    </row>
    <row r="1022" spans="12:19" x14ac:dyDescent="0.2">
      <c r="L1022" t="s">
        <v>374</v>
      </c>
      <c r="M1022">
        <v>276</v>
      </c>
      <c r="N1022">
        <v>1</v>
      </c>
      <c r="O1022">
        <v>4</v>
      </c>
      <c r="P1022">
        <v>582</v>
      </c>
      <c r="Q1022">
        <v>344</v>
      </c>
      <c r="R1022">
        <v>305</v>
      </c>
      <c r="S1022">
        <v>31746</v>
      </c>
    </row>
    <row r="1023" spans="12:19" x14ac:dyDescent="0.2">
      <c r="L1023" t="s">
        <v>374</v>
      </c>
      <c r="M1023">
        <v>277</v>
      </c>
      <c r="N1023">
        <v>1</v>
      </c>
      <c r="O1023">
        <v>4</v>
      </c>
      <c r="P1023">
        <v>582</v>
      </c>
      <c r="Q1023">
        <v>344</v>
      </c>
      <c r="R1023">
        <v>305</v>
      </c>
      <c r="S1023">
        <v>12782.47</v>
      </c>
    </row>
    <row r="1024" spans="12:19" x14ac:dyDescent="0.2">
      <c r="L1024" t="s">
        <v>374</v>
      </c>
      <c r="M1024">
        <v>278</v>
      </c>
      <c r="N1024">
        <v>1</v>
      </c>
      <c r="O1024">
        <v>4</v>
      </c>
      <c r="P1024">
        <v>582</v>
      </c>
      <c r="Q1024">
        <v>344</v>
      </c>
      <c r="R1024">
        <v>305</v>
      </c>
      <c r="S1024">
        <v>1000</v>
      </c>
    </row>
    <row r="1025" spans="12:19" x14ac:dyDescent="0.2">
      <c r="L1025" t="s">
        <v>374</v>
      </c>
      <c r="M1025">
        <v>281</v>
      </c>
      <c r="N1025">
        <v>1</v>
      </c>
      <c r="O1025">
        <v>4</v>
      </c>
      <c r="P1025">
        <v>582</v>
      </c>
      <c r="Q1025">
        <v>344</v>
      </c>
      <c r="R1025">
        <v>305</v>
      </c>
      <c r="S1025">
        <v>905.67</v>
      </c>
    </row>
    <row r="1026" spans="12:19" x14ac:dyDescent="0.2">
      <c r="L1026" t="s">
        <v>374</v>
      </c>
      <c r="M1026">
        <v>282</v>
      </c>
      <c r="N1026">
        <v>1</v>
      </c>
      <c r="O1026">
        <v>4</v>
      </c>
      <c r="P1026">
        <v>582</v>
      </c>
      <c r="Q1026">
        <v>344</v>
      </c>
      <c r="R1026">
        <v>305</v>
      </c>
      <c r="S1026">
        <v>335.28</v>
      </c>
    </row>
    <row r="1027" spans="12:19" x14ac:dyDescent="0.2">
      <c r="L1027" t="s">
        <v>374</v>
      </c>
      <c r="M1027">
        <v>283</v>
      </c>
      <c r="N1027">
        <v>1</v>
      </c>
      <c r="O1027">
        <v>4</v>
      </c>
      <c r="P1027">
        <v>582</v>
      </c>
      <c r="Q1027">
        <v>344</v>
      </c>
      <c r="R1027">
        <v>305</v>
      </c>
      <c r="S1027">
        <v>28.37</v>
      </c>
    </row>
    <row r="1028" spans="12:19" x14ac:dyDescent="0.2">
      <c r="L1028" t="s">
        <v>374</v>
      </c>
      <c r="M1028">
        <v>284</v>
      </c>
      <c r="N1028">
        <v>1</v>
      </c>
      <c r="O1028">
        <v>4</v>
      </c>
      <c r="P1028">
        <v>582</v>
      </c>
      <c r="Q1028">
        <v>344</v>
      </c>
      <c r="R1028">
        <v>305</v>
      </c>
      <c r="S1028">
        <v>34.83</v>
      </c>
    </row>
    <row r="1029" spans="12:19" x14ac:dyDescent="0.2">
      <c r="L1029" t="s">
        <v>374</v>
      </c>
      <c r="M1029">
        <v>299</v>
      </c>
      <c r="N1029">
        <v>1</v>
      </c>
      <c r="O1029">
        <v>4</v>
      </c>
      <c r="P1029">
        <v>582</v>
      </c>
      <c r="Q1029">
        <v>344</v>
      </c>
      <c r="R1029">
        <v>305</v>
      </c>
      <c r="S1029">
        <v>53.12</v>
      </c>
    </row>
    <row r="1030" spans="12:19" x14ac:dyDescent="0.2">
      <c r="L1030" t="s">
        <v>374</v>
      </c>
      <c r="M1030">
        <v>300</v>
      </c>
      <c r="N1030">
        <v>1</v>
      </c>
      <c r="O1030">
        <v>4</v>
      </c>
      <c r="P1030">
        <v>582</v>
      </c>
      <c r="Q1030">
        <v>344</v>
      </c>
      <c r="R1030">
        <v>305</v>
      </c>
      <c r="S1030">
        <v>140</v>
      </c>
    </row>
    <row r="1031" spans="12:19" x14ac:dyDescent="0.2">
      <c r="L1031" t="s">
        <v>374</v>
      </c>
      <c r="M1031">
        <v>309</v>
      </c>
      <c r="N1031">
        <v>1</v>
      </c>
      <c r="O1031">
        <v>4</v>
      </c>
      <c r="P1031">
        <v>582</v>
      </c>
      <c r="Q1031">
        <v>344</v>
      </c>
      <c r="R1031">
        <v>305</v>
      </c>
      <c r="S1031">
        <v>84.91</v>
      </c>
    </row>
    <row r="1032" spans="12:19" x14ac:dyDescent="0.2">
      <c r="L1032" t="s">
        <v>374</v>
      </c>
      <c r="M1032">
        <v>314</v>
      </c>
      <c r="N1032">
        <v>1</v>
      </c>
      <c r="O1032">
        <v>4</v>
      </c>
      <c r="P1032">
        <v>582</v>
      </c>
      <c r="Q1032">
        <v>344</v>
      </c>
      <c r="R1032">
        <v>305</v>
      </c>
      <c r="S1032">
        <v>358.9</v>
      </c>
    </row>
    <row r="1033" spans="12:19" x14ac:dyDescent="0.2">
      <c r="L1033" t="s">
        <v>374</v>
      </c>
      <c r="M1033">
        <v>316</v>
      </c>
      <c r="N1033">
        <v>1</v>
      </c>
      <c r="O1033">
        <v>4</v>
      </c>
      <c r="P1033">
        <v>582</v>
      </c>
      <c r="Q1033">
        <v>344</v>
      </c>
      <c r="R1033">
        <v>305</v>
      </c>
      <c r="S1033">
        <v>236.76</v>
      </c>
    </row>
    <row r="1034" spans="12:19" x14ac:dyDescent="0.2">
      <c r="L1034" t="s">
        <v>374</v>
      </c>
      <c r="M1034">
        <v>332</v>
      </c>
      <c r="N1034">
        <v>1</v>
      </c>
      <c r="O1034">
        <v>4</v>
      </c>
      <c r="P1034">
        <v>582</v>
      </c>
      <c r="Q1034">
        <v>344</v>
      </c>
      <c r="R1034">
        <v>305</v>
      </c>
      <c r="S1034">
        <v>148.80000000000001</v>
      </c>
    </row>
    <row r="1035" spans="12:19" x14ac:dyDescent="0.2">
      <c r="L1035" t="s">
        <v>374</v>
      </c>
      <c r="M1035">
        <v>345</v>
      </c>
      <c r="N1035">
        <v>1</v>
      </c>
      <c r="O1035">
        <v>4</v>
      </c>
      <c r="P1035">
        <v>582</v>
      </c>
      <c r="Q1035">
        <v>344</v>
      </c>
      <c r="R1035">
        <v>305</v>
      </c>
      <c r="S1035">
        <v>72</v>
      </c>
    </row>
    <row r="1036" spans="12:19" x14ac:dyDescent="0.2">
      <c r="L1036" t="s">
        <v>374</v>
      </c>
      <c r="M1036">
        <v>347</v>
      </c>
      <c r="N1036">
        <v>1</v>
      </c>
      <c r="O1036">
        <v>4</v>
      </c>
      <c r="P1036">
        <v>582</v>
      </c>
      <c r="Q1036">
        <v>344</v>
      </c>
      <c r="R1036">
        <v>305</v>
      </c>
      <c r="S1036">
        <v>250</v>
      </c>
    </row>
    <row r="1037" spans="12:19" x14ac:dyDescent="0.2">
      <c r="L1037" t="s">
        <v>374</v>
      </c>
      <c r="M1037">
        <v>361</v>
      </c>
      <c r="N1037">
        <v>1</v>
      </c>
      <c r="O1037">
        <v>4</v>
      </c>
      <c r="P1037">
        <v>582</v>
      </c>
      <c r="Q1037">
        <v>344</v>
      </c>
      <c r="R1037">
        <v>305</v>
      </c>
      <c r="S1037">
        <v>125</v>
      </c>
    </row>
    <row r="1038" spans="12:19" x14ac:dyDescent="0.2">
      <c r="L1038" t="s">
        <v>374</v>
      </c>
      <c r="M1038">
        <v>391</v>
      </c>
      <c r="N1038">
        <v>1</v>
      </c>
      <c r="O1038">
        <v>4</v>
      </c>
      <c r="P1038">
        <v>582</v>
      </c>
      <c r="Q1038">
        <v>344</v>
      </c>
      <c r="R1038">
        <v>305</v>
      </c>
      <c r="S1038">
        <v>292.5</v>
      </c>
    </row>
    <row r="1039" spans="12:19" x14ac:dyDescent="0.2">
      <c r="L1039" t="s">
        <v>374</v>
      </c>
      <c r="M1039">
        <v>392</v>
      </c>
      <c r="N1039">
        <v>1</v>
      </c>
      <c r="O1039">
        <v>4</v>
      </c>
      <c r="P1039">
        <v>582</v>
      </c>
      <c r="Q1039">
        <v>344</v>
      </c>
      <c r="R1039">
        <v>305</v>
      </c>
      <c r="S1039">
        <v>66.8</v>
      </c>
    </row>
    <row r="1040" spans="12:19" x14ac:dyDescent="0.2">
      <c r="L1040" t="s">
        <v>374</v>
      </c>
      <c r="M1040">
        <v>404</v>
      </c>
      <c r="N1040">
        <v>1</v>
      </c>
      <c r="O1040">
        <v>4</v>
      </c>
      <c r="P1040">
        <v>582</v>
      </c>
      <c r="Q1040">
        <v>344</v>
      </c>
      <c r="R1040">
        <v>305</v>
      </c>
      <c r="S1040">
        <v>540</v>
      </c>
    </row>
    <row r="1041" spans="12:19" x14ac:dyDescent="0.2">
      <c r="L1041" t="s">
        <v>374</v>
      </c>
      <c r="M1041">
        <v>413</v>
      </c>
      <c r="N1041">
        <v>1</v>
      </c>
      <c r="O1041">
        <v>4</v>
      </c>
      <c r="P1041">
        <v>582</v>
      </c>
      <c r="Q1041">
        <v>344</v>
      </c>
      <c r="R1041">
        <v>305</v>
      </c>
      <c r="S1041">
        <v>695</v>
      </c>
    </row>
    <row r="1042" spans="12:19" x14ac:dyDescent="0.2">
      <c r="L1042" t="s">
        <v>374</v>
      </c>
      <c r="M1042">
        <v>423</v>
      </c>
      <c r="N1042">
        <v>1</v>
      </c>
      <c r="O1042">
        <v>4</v>
      </c>
      <c r="P1042">
        <v>582</v>
      </c>
      <c r="Q1042">
        <v>344</v>
      </c>
      <c r="R1042">
        <v>305</v>
      </c>
      <c r="S1042">
        <v>462</v>
      </c>
    </row>
    <row r="1043" spans="12:19" x14ac:dyDescent="0.2">
      <c r="L1043" t="s">
        <v>374</v>
      </c>
      <c r="M1043">
        <v>465</v>
      </c>
      <c r="N1043">
        <v>1</v>
      </c>
      <c r="O1043">
        <v>4</v>
      </c>
      <c r="P1043">
        <v>582</v>
      </c>
      <c r="Q1043">
        <v>344</v>
      </c>
      <c r="R1043">
        <v>305</v>
      </c>
      <c r="S1043">
        <v>357.84</v>
      </c>
    </row>
    <row r="1044" spans="12:19" x14ac:dyDescent="0.2">
      <c r="L1044" t="s">
        <v>374</v>
      </c>
      <c r="M1044">
        <v>466</v>
      </c>
      <c r="N1044">
        <v>1</v>
      </c>
      <c r="O1044">
        <v>4</v>
      </c>
      <c r="P1044">
        <v>582</v>
      </c>
      <c r="Q1044">
        <v>344</v>
      </c>
      <c r="R1044">
        <v>305</v>
      </c>
      <c r="S1044">
        <v>126.4</v>
      </c>
    </row>
    <row r="1045" spans="12:19" x14ac:dyDescent="0.2">
      <c r="L1045" t="s">
        <v>374</v>
      </c>
      <c r="M1045">
        <v>473</v>
      </c>
      <c r="N1045">
        <v>1</v>
      </c>
      <c r="O1045">
        <v>4</v>
      </c>
      <c r="P1045">
        <v>582</v>
      </c>
      <c r="Q1045">
        <v>344</v>
      </c>
      <c r="R1045">
        <v>305</v>
      </c>
      <c r="S1045">
        <v>112.5</v>
      </c>
    </row>
    <row r="1046" spans="12:19" x14ac:dyDescent="0.2">
      <c r="L1046" t="s">
        <v>374</v>
      </c>
      <c r="M1046">
        <v>477</v>
      </c>
      <c r="N1046">
        <v>1</v>
      </c>
      <c r="O1046">
        <v>4</v>
      </c>
      <c r="P1046">
        <v>582</v>
      </c>
      <c r="Q1046">
        <v>344</v>
      </c>
      <c r="R1046">
        <v>305</v>
      </c>
      <c r="S1046">
        <v>180</v>
      </c>
    </row>
    <row r="1047" spans="12:19" x14ac:dyDescent="0.2">
      <c r="L1047" t="s">
        <v>374</v>
      </c>
      <c r="M1047">
        <v>482</v>
      </c>
      <c r="N1047">
        <v>1</v>
      </c>
      <c r="O1047">
        <v>4</v>
      </c>
      <c r="P1047">
        <v>582</v>
      </c>
      <c r="Q1047">
        <v>344</v>
      </c>
      <c r="R1047">
        <v>305</v>
      </c>
      <c r="S1047">
        <v>43.2</v>
      </c>
    </row>
    <row r="1048" spans="12:19" x14ac:dyDescent="0.2">
      <c r="L1048" t="s">
        <v>374</v>
      </c>
      <c r="M1048">
        <v>495</v>
      </c>
      <c r="N1048">
        <v>1</v>
      </c>
      <c r="O1048">
        <v>4</v>
      </c>
      <c r="P1048">
        <v>582</v>
      </c>
      <c r="Q1048">
        <v>344</v>
      </c>
      <c r="R1048">
        <v>305</v>
      </c>
      <c r="S1048">
        <v>49.13</v>
      </c>
    </row>
    <row r="1049" spans="12:19" x14ac:dyDescent="0.2">
      <c r="L1049" t="s">
        <v>374</v>
      </c>
      <c r="M1049">
        <v>508</v>
      </c>
      <c r="N1049">
        <v>1</v>
      </c>
      <c r="O1049">
        <v>4</v>
      </c>
      <c r="P1049">
        <v>582</v>
      </c>
      <c r="Q1049">
        <v>344</v>
      </c>
      <c r="R1049">
        <v>305</v>
      </c>
      <c r="S1049">
        <v>2367.87</v>
      </c>
    </row>
    <row r="1050" spans="12:19" x14ac:dyDescent="0.2">
      <c r="L1050" t="s">
        <v>374</v>
      </c>
      <c r="M1050">
        <v>533</v>
      </c>
      <c r="N1050">
        <v>1</v>
      </c>
      <c r="O1050">
        <v>4</v>
      </c>
      <c r="P1050">
        <v>582</v>
      </c>
      <c r="Q1050">
        <v>344</v>
      </c>
      <c r="R1050">
        <v>305</v>
      </c>
      <c r="S1050">
        <v>267.62</v>
      </c>
    </row>
    <row r="1051" spans="12:19" x14ac:dyDescent="0.2">
      <c r="L1051" t="s">
        <v>374</v>
      </c>
      <c r="M1051">
        <v>535</v>
      </c>
      <c r="N1051">
        <v>1</v>
      </c>
      <c r="O1051">
        <v>4</v>
      </c>
      <c r="P1051">
        <v>582</v>
      </c>
      <c r="Q1051">
        <v>344</v>
      </c>
      <c r="R1051">
        <v>305</v>
      </c>
      <c r="S1051">
        <v>197645.55</v>
      </c>
    </row>
    <row r="1052" spans="12:19" x14ac:dyDescent="0.2">
      <c r="L1052" t="s">
        <v>374</v>
      </c>
      <c r="M1052">
        <v>544</v>
      </c>
      <c r="N1052">
        <v>1</v>
      </c>
      <c r="O1052">
        <v>4</v>
      </c>
      <c r="P1052">
        <v>582</v>
      </c>
      <c r="Q1052">
        <v>344</v>
      </c>
      <c r="R1052">
        <v>305</v>
      </c>
      <c r="S1052">
        <v>31941.05</v>
      </c>
    </row>
    <row r="1053" spans="12:19" x14ac:dyDescent="0.2">
      <c r="L1053" t="s">
        <v>374</v>
      </c>
      <c r="M1053">
        <v>548</v>
      </c>
      <c r="N1053">
        <v>1</v>
      </c>
      <c r="O1053">
        <v>4</v>
      </c>
      <c r="P1053">
        <v>582</v>
      </c>
      <c r="Q1053">
        <v>344</v>
      </c>
      <c r="R1053">
        <v>305</v>
      </c>
      <c r="S1053">
        <v>16192</v>
      </c>
    </row>
    <row r="1054" spans="12:19" x14ac:dyDescent="0.2">
      <c r="L1054" t="s">
        <v>374</v>
      </c>
      <c r="M1054">
        <v>550</v>
      </c>
      <c r="N1054">
        <v>1</v>
      </c>
      <c r="O1054">
        <v>4</v>
      </c>
      <c r="P1054">
        <v>582</v>
      </c>
      <c r="Q1054">
        <v>344</v>
      </c>
      <c r="R1054">
        <v>305</v>
      </c>
      <c r="S1054">
        <v>1204.5999999999999</v>
      </c>
    </row>
    <row r="1055" spans="12:19" x14ac:dyDescent="0.2">
      <c r="L1055" t="s">
        <v>374</v>
      </c>
      <c r="M1055">
        <v>564</v>
      </c>
      <c r="N1055">
        <v>1</v>
      </c>
      <c r="O1055">
        <v>4</v>
      </c>
      <c r="P1055">
        <v>582</v>
      </c>
      <c r="Q1055">
        <v>344</v>
      </c>
      <c r="R1055">
        <v>305</v>
      </c>
      <c r="S1055">
        <v>100</v>
      </c>
    </row>
    <row r="1056" spans="12:19" x14ac:dyDescent="0.2">
      <c r="L1056" t="s">
        <v>374</v>
      </c>
      <c r="M1056">
        <v>621</v>
      </c>
      <c r="N1056">
        <v>1</v>
      </c>
      <c r="O1056">
        <v>4</v>
      </c>
      <c r="P1056">
        <v>582</v>
      </c>
      <c r="Q1056">
        <v>344</v>
      </c>
      <c r="R1056">
        <v>305</v>
      </c>
      <c r="S1056">
        <v>110</v>
      </c>
    </row>
    <row r="1057" spans="12:19" x14ac:dyDescent="0.2">
      <c r="L1057" t="s">
        <v>374</v>
      </c>
      <c r="M1057">
        <v>622</v>
      </c>
      <c r="N1057">
        <v>1</v>
      </c>
      <c r="O1057">
        <v>4</v>
      </c>
      <c r="P1057">
        <v>582</v>
      </c>
      <c r="Q1057">
        <v>344</v>
      </c>
      <c r="R1057">
        <v>305</v>
      </c>
      <c r="S1057">
        <v>23515.41</v>
      </c>
    </row>
    <row r="1058" spans="12:19" x14ac:dyDescent="0.2">
      <c r="L1058" t="s">
        <v>374</v>
      </c>
      <c r="M1058">
        <v>623</v>
      </c>
      <c r="N1058">
        <v>1</v>
      </c>
      <c r="O1058">
        <v>4</v>
      </c>
      <c r="P1058">
        <v>582</v>
      </c>
      <c r="Q1058">
        <v>344</v>
      </c>
      <c r="R1058">
        <v>305</v>
      </c>
      <c r="S1058">
        <v>275</v>
      </c>
    </row>
    <row r="1059" spans="12:19" x14ac:dyDescent="0.2">
      <c r="L1059" t="s">
        <v>374</v>
      </c>
      <c r="M1059">
        <v>625</v>
      </c>
      <c r="N1059">
        <v>1</v>
      </c>
      <c r="O1059">
        <v>4</v>
      </c>
      <c r="P1059">
        <v>582</v>
      </c>
      <c r="Q1059">
        <v>344</v>
      </c>
      <c r="R1059">
        <v>305</v>
      </c>
      <c r="S1059">
        <v>1582.05</v>
      </c>
    </row>
    <row r="1060" spans="12:19" x14ac:dyDescent="0.2">
      <c r="L1060" t="s">
        <v>374</v>
      </c>
      <c r="M1060">
        <v>640</v>
      </c>
      <c r="N1060">
        <v>1</v>
      </c>
      <c r="O1060">
        <v>4</v>
      </c>
      <c r="P1060">
        <v>582</v>
      </c>
      <c r="Q1060">
        <v>344</v>
      </c>
      <c r="R1060">
        <v>305</v>
      </c>
      <c r="S1060">
        <v>100</v>
      </c>
    </row>
    <row r="1061" spans="12:19" x14ac:dyDescent="0.2">
      <c r="L1061" t="s">
        <v>374</v>
      </c>
      <c r="M1061">
        <v>659</v>
      </c>
      <c r="N1061">
        <v>1</v>
      </c>
      <c r="O1061">
        <v>4</v>
      </c>
      <c r="P1061">
        <v>582</v>
      </c>
      <c r="Q1061">
        <v>344</v>
      </c>
      <c r="R1061">
        <v>305</v>
      </c>
      <c r="S1061">
        <v>1678</v>
      </c>
    </row>
    <row r="1062" spans="12:19" x14ac:dyDescent="0.2">
      <c r="L1062" t="s">
        <v>374</v>
      </c>
      <c r="M1062">
        <v>696</v>
      </c>
      <c r="N1062">
        <v>1</v>
      </c>
      <c r="O1062">
        <v>4</v>
      </c>
      <c r="P1062">
        <v>582</v>
      </c>
      <c r="Q1062">
        <v>344</v>
      </c>
      <c r="R1062">
        <v>305</v>
      </c>
      <c r="S1062">
        <v>60.8</v>
      </c>
    </row>
    <row r="1063" spans="12:19" x14ac:dyDescent="0.2">
      <c r="L1063" t="s">
        <v>374</v>
      </c>
      <c r="M1063">
        <v>698</v>
      </c>
      <c r="N1063">
        <v>1</v>
      </c>
      <c r="O1063">
        <v>4</v>
      </c>
      <c r="P1063">
        <v>582</v>
      </c>
      <c r="Q1063">
        <v>344</v>
      </c>
      <c r="R1063">
        <v>305</v>
      </c>
      <c r="S1063">
        <v>332.87</v>
      </c>
    </row>
    <row r="1064" spans="12:19" x14ac:dyDescent="0.2">
      <c r="L1064" t="s">
        <v>374</v>
      </c>
      <c r="M1064">
        <v>700</v>
      </c>
      <c r="N1064">
        <v>1</v>
      </c>
      <c r="O1064">
        <v>4</v>
      </c>
      <c r="P1064">
        <v>582</v>
      </c>
      <c r="Q1064">
        <v>344</v>
      </c>
      <c r="R1064">
        <v>305</v>
      </c>
      <c r="S1064">
        <v>1850.5</v>
      </c>
    </row>
    <row r="1065" spans="12:19" x14ac:dyDescent="0.2">
      <c r="L1065" t="s">
        <v>374</v>
      </c>
      <c r="M1065">
        <v>704</v>
      </c>
      <c r="N1065">
        <v>1</v>
      </c>
      <c r="O1065">
        <v>4</v>
      </c>
      <c r="P1065">
        <v>582</v>
      </c>
      <c r="Q1065">
        <v>344</v>
      </c>
      <c r="R1065">
        <v>305</v>
      </c>
      <c r="S1065">
        <v>84</v>
      </c>
    </row>
    <row r="1066" spans="12:19" x14ac:dyDescent="0.2">
      <c r="L1066" t="s">
        <v>374</v>
      </c>
      <c r="M1066">
        <v>706</v>
      </c>
      <c r="N1066">
        <v>1</v>
      </c>
      <c r="O1066">
        <v>4</v>
      </c>
      <c r="P1066">
        <v>582</v>
      </c>
      <c r="Q1066">
        <v>344</v>
      </c>
      <c r="R1066">
        <v>305</v>
      </c>
      <c r="S1066">
        <v>100</v>
      </c>
    </row>
    <row r="1067" spans="12:19" x14ac:dyDescent="0.2">
      <c r="L1067" t="s">
        <v>374</v>
      </c>
      <c r="M1067">
        <v>709</v>
      </c>
      <c r="N1067">
        <v>1</v>
      </c>
      <c r="O1067">
        <v>4</v>
      </c>
      <c r="P1067">
        <v>582</v>
      </c>
      <c r="Q1067">
        <v>344</v>
      </c>
      <c r="R1067">
        <v>305</v>
      </c>
      <c r="S1067">
        <v>924.78</v>
      </c>
    </row>
    <row r="1068" spans="12:19" x14ac:dyDescent="0.2">
      <c r="L1068" t="s">
        <v>374</v>
      </c>
      <c r="M1068">
        <v>719</v>
      </c>
      <c r="N1068">
        <v>1</v>
      </c>
      <c r="O1068">
        <v>4</v>
      </c>
      <c r="P1068">
        <v>582</v>
      </c>
      <c r="Q1068">
        <v>344</v>
      </c>
      <c r="R1068">
        <v>305</v>
      </c>
      <c r="S1068">
        <v>858.91</v>
      </c>
    </row>
    <row r="1069" spans="12:19" x14ac:dyDescent="0.2">
      <c r="L1069" t="s">
        <v>374</v>
      </c>
      <c r="M1069">
        <v>721</v>
      </c>
      <c r="N1069">
        <v>1</v>
      </c>
      <c r="O1069">
        <v>4</v>
      </c>
      <c r="P1069">
        <v>582</v>
      </c>
      <c r="Q1069">
        <v>344</v>
      </c>
      <c r="R1069">
        <v>305</v>
      </c>
      <c r="S1069">
        <v>2570.04</v>
      </c>
    </row>
    <row r="1070" spans="12:19" x14ac:dyDescent="0.2">
      <c r="L1070" t="s">
        <v>374</v>
      </c>
      <c r="M1070">
        <v>727</v>
      </c>
      <c r="N1070">
        <v>1</v>
      </c>
      <c r="O1070">
        <v>4</v>
      </c>
      <c r="P1070">
        <v>582</v>
      </c>
      <c r="Q1070">
        <v>344</v>
      </c>
      <c r="R1070">
        <v>305</v>
      </c>
      <c r="S1070">
        <v>1032.96</v>
      </c>
    </row>
    <row r="1071" spans="12:19" x14ac:dyDescent="0.2">
      <c r="L1071" t="s">
        <v>374</v>
      </c>
      <c r="M1071">
        <v>728</v>
      </c>
      <c r="N1071">
        <v>1</v>
      </c>
      <c r="O1071">
        <v>4</v>
      </c>
      <c r="P1071">
        <v>582</v>
      </c>
      <c r="Q1071">
        <v>344</v>
      </c>
      <c r="R1071">
        <v>305</v>
      </c>
      <c r="S1071">
        <v>1889.53</v>
      </c>
    </row>
    <row r="1072" spans="12:19" x14ac:dyDescent="0.2">
      <c r="L1072" t="s">
        <v>374</v>
      </c>
      <c r="M1072">
        <v>745</v>
      </c>
      <c r="N1072">
        <v>1</v>
      </c>
      <c r="O1072">
        <v>4</v>
      </c>
      <c r="P1072">
        <v>582</v>
      </c>
      <c r="Q1072">
        <v>344</v>
      </c>
      <c r="R1072">
        <v>305</v>
      </c>
      <c r="S1072">
        <v>761.62</v>
      </c>
    </row>
    <row r="1073" spans="12:19" x14ac:dyDescent="0.2">
      <c r="L1073" t="s">
        <v>374</v>
      </c>
      <c r="M1073">
        <v>750</v>
      </c>
      <c r="N1073">
        <v>1</v>
      </c>
      <c r="O1073">
        <v>4</v>
      </c>
      <c r="P1073">
        <v>582</v>
      </c>
      <c r="Q1073">
        <v>344</v>
      </c>
      <c r="R1073">
        <v>305</v>
      </c>
      <c r="S1073">
        <v>500</v>
      </c>
    </row>
    <row r="1074" spans="12:19" x14ac:dyDescent="0.2">
      <c r="L1074" t="s">
        <v>374</v>
      </c>
      <c r="M1074">
        <v>761</v>
      </c>
      <c r="N1074">
        <v>1</v>
      </c>
      <c r="O1074">
        <v>4</v>
      </c>
      <c r="P1074">
        <v>582</v>
      </c>
      <c r="Q1074">
        <v>344</v>
      </c>
      <c r="R1074">
        <v>305</v>
      </c>
      <c r="S1074">
        <v>295.26</v>
      </c>
    </row>
    <row r="1075" spans="12:19" x14ac:dyDescent="0.2">
      <c r="L1075" t="s">
        <v>374</v>
      </c>
      <c r="M1075">
        <v>775</v>
      </c>
      <c r="N1075">
        <v>1</v>
      </c>
      <c r="O1075">
        <v>4</v>
      </c>
      <c r="P1075">
        <v>582</v>
      </c>
      <c r="Q1075">
        <v>344</v>
      </c>
      <c r="R1075">
        <v>305</v>
      </c>
      <c r="S1075">
        <v>331.69</v>
      </c>
    </row>
    <row r="1076" spans="12:19" x14ac:dyDescent="0.2">
      <c r="L1076" t="s">
        <v>374</v>
      </c>
      <c r="M1076">
        <v>811</v>
      </c>
      <c r="N1076">
        <v>1</v>
      </c>
      <c r="O1076">
        <v>4</v>
      </c>
      <c r="P1076">
        <v>582</v>
      </c>
      <c r="Q1076">
        <v>344</v>
      </c>
      <c r="R1076">
        <v>305</v>
      </c>
      <c r="S1076">
        <v>93.5</v>
      </c>
    </row>
    <row r="1077" spans="12:19" x14ac:dyDescent="0.2">
      <c r="L1077" t="s">
        <v>374</v>
      </c>
      <c r="M1077">
        <v>832</v>
      </c>
      <c r="N1077">
        <v>1</v>
      </c>
      <c r="O1077">
        <v>4</v>
      </c>
      <c r="P1077">
        <v>582</v>
      </c>
      <c r="Q1077">
        <v>344</v>
      </c>
      <c r="R1077">
        <v>305</v>
      </c>
      <c r="S1077">
        <v>40</v>
      </c>
    </row>
    <row r="1078" spans="12:19" x14ac:dyDescent="0.2">
      <c r="L1078" t="s">
        <v>374</v>
      </c>
      <c r="M1078">
        <v>833</v>
      </c>
      <c r="N1078">
        <v>1</v>
      </c>
      <c r="O1078">
        <v>4</v>
      </c>
      <c r="P1078">
        <v>582</v>
      </c>
      <c r="Q1078">
        <v>344</v>
      </c>
      <c r="R1078">
        <v>305</v>
      </c>
      <c r="S1078">
        <v>4080.53</v>
      </c>
    </row>
    <row r="1079" spans="12:19" x14ac:dyDescent="0.2">
      <c r="L1079" t="s">
        <v>374</v>
      </c>
      <c r="M1079">
        <v>846</v>
      </c>
      <c r="N1079">
        <v>1</v>
      </c>
      <c r="O1079">
        <v>4</v>
      </c>
      <c r="P1079">
        <v>582</v>
      </c>
      <c r="Q1079">
        <v>344</v>
      </c>
      <c r="R1079">
        <v>305</v>
      </c>
      <c r="S1079">
        <v>24000</v>
      </c>
    </row>
    <row r="1080" spans="12:19" x14ac:dyDescent="0.2">
      <c r="L1080" t="s">
        <v>374</v>
      </c>
      <c r="M1080">
        <v>861</v>
      </c>
      <c r="N1080">
        <v>1</v>
      </c>
      <c r="O1080">
        <v>4</v>
      </c>
      <c r="P1080">
        <v>582</v>
      </c>
      <c r="Q1080">
        <v>344</v>
      </c>
      <c r="R1080">
        <v>305</v>
      </c>
      <c r="S1080">
        <v>88.36</v>
      </c>
    </row>
    <row r="1081" spans="12:19" x14ac:dyDescent="0.2">
      <c r="L1081" t="s">
        <v>374</v>
      </c>
      <c r="M1081">
        <v>876</v>
      </c>
      <c r="N1081">
        <v>1</v>
      </c>
      <c r="O1081">
        <v>4</v>
      </c>
      <c r="P1081">
        <v>582</v>
      </c>
      <c r="Q1081">
        <v>344</v>
      </c>
      <c r="R1081">
        <v>305</v>
      </c>
      <c r="S1081">
        <v>10</v>
      </c>
    </row>
    <row r="1082" spans="12:19" x14ac:dyDescent="0.2">
      <c r="L1082" t="s">
        <v>374</v>
      </c>
      <c r="M1082">
        <v>882</v>
      </c>
      <c r="N1082">
        <v>1</v>
      </c>
      <c r="O1082">
        <v>4</v>
      </c>
      <c r="P1082">
        <v>582</v>
      </c>
      <c r="Q1082">
        <v>344</v>
      </c>
      <c r="R1082">
        <v>305</v>
      </c>
      <c r="S1082">
        <v>7654</v>
      </c>
    </row>
    <row r="1083" spans="12:19" x14ac:dyDescent="0.2">
      <c r="L1083" t="s">
        <v>374</v>
      </c>
      <c r="M1083">
        <v>883</v>
      </c>
      <c r="N1083">
        <v>1</v>
      </c>
      <c r="O1083">
        <v>4</v>
      </c>
      <c r="P1083">
        <v>582</v>
      </c>
      <c r="Q1083">
        <v>344</v>
      </c>
      <c r="R1083">
        <v>305</v>
      </c>
      <c r="S1083">
        <v>395</v>
      </c>
    </row>
    <row r="1084" spans="12:19" x14ac:dyDescent="0.2">
      <c r="L1084" t="s">
        <v>374</v>
      </c>
      <c r="M1084">
        <v>885</v>
      </c>
      <c r="N1084">
        <v>1</v>
      </c>
      <c r="O1084">
        <v>4</v>
      </c>
      <c r="P1084">
        <v>582</v>
      </c>
      <c r="Q1084">
        <v>344</v>
      </c>
      <c r="R1084">
        <v>305</v>
      </c>
      <c r="S1084">
        <v>343.85</v>
      </c>
    </row>
    <row r="1085" spans="12:19" x14ac:dyDescent="0.2">
      <c r="L1085" t="s">
        <v>374</v>
      </c>
      <c r="M1085">
        <v>912</v>
      </c>
      <c r="N1085">
        <v>1</v>
      </c>
      <c r="O1085">
        <v>4</v>
      </c>
      <c r="P1085">
        <v>582</v>
      </c>
      <c r="Q1085">
        <v>344</v>
      </c>
      <c r="R1085">
        <v>305</v>
      </c>
      <c r="S1085">
        <v>46.5</v>
      </c>
    </row>
    <row r="1086" spans="12:19" x14ac:dyDescent="0.2">
      <c r="L1086" t="s">
        <v>374</v>
      </c>
      <c r="M1086">
        <v>2071</v>
      </c>
      <c r="N1086">
        <v>1</v>
      </c>
      <c r="O1086">
        <v>4</v>
      </c>
      <c r="P1086">
        <v>582</v>
      </c>
      <c r="Q1086">
        <v>344</v>
      </c>
      <c r="R1086">
        <v>305</v>
      </c>
      <c r="S1086">
        <v>431</v>
      </c>
    </row>
    <row r="1087" spans="12:19" x14ac:dyDescent="0.2">
      <c r="L1087" t="s">
        <v>374</v>
      </c>
      <c r="M1087">
        <v>2143</v>
      </c>
      <c r="N1087">
        <v>1</v>
      </c>
      <c r="O1087">
        <v>4</v>
      </c>
      <c r="P1087">
        <v>582</v>
      </c>
      <c r="Q1087">
        <v>344</v>
      </c>
      <c r="R1087">
        <v>305</v>
      </c>
      <c r="S1087">
        <v>309.2</v>
      </c>
    </row>
    <row r="1088" spans="12:19" x14ac:dyDescent="0.2">
      <c r="L1088" t="s">
        <v>374</v>
      </c>
      <c r="M1088">
        <v>2144</v>
      </c>
      <c r="N1088">
        <v>1</v>
      </c>
      <c r="O1088">
        <v>4</v>
      </c>
      <c r="P1088">
        <v>582</v>
      </c>
      <c r="Q1088">
        <v>344</v>
      </c>
      <c r="R1088">
        <v>305</v>
      </c>
      <c r="S1088">
        <v>380.36</v>
      </c>
    </row>
    <row r="1089" spans="12:19" x14ac:dyDescent="0.2">
      <c r="L1089" t="s">
        <v>374</v>
      </c>
      <c r="M1089">
        <v>2154</v>
      </c>
      <c r="N1089">
        <v>1</v>
      </c>
      <c r="O1089">
        <v>4</v>
      </c>
      <c r="P1089">
        <v>582</v>
      </c>
      <c r="Q1089">
        <v>344</v>
      </c>
      <c r="R1089">
        <v>305</v>
      </c>
      <c r="S1089">
        <v>90.12</v>
      </c>
    </row>
    <row r="1090" spans="12:19" x14ac:dyDescent="0.2">
      <c r="L1090" t="s">
        <v>374</v>
      </c>
      <c r="M1090">
        <v>2169</v>
      </c>
      <c r="N1090">
        <v>1</v>
      </c>
      <c r="O1090">
        <v>4</v>
      </c>
      <c r="P1090">
        <v>582</v>
      </c>
      <c r="Q1090">
        <v>344</v>
      </c>
      <c r="R1090">
        <v>305</v>
      </c>
      <c r="S1090">
        <v>57</v>
      </c>
    </row>
    <row r="1091" spans="12:19" x14ac:dyDescent="0.2">
      <c r="L1091" t="s">
        <v>374</v>
      </c>
      <c r="M1091">
        <v>2310</v>
      </c>
      <c r="N1091">
        <v>1</v>
      </c>
      <c r="O1091">
        <v>4</v>
      </c>
      <c r="P1091">
        <v>582</v>
      </c>
      <c r="Q1091">
        <v>344</v>
      </c>
      <c r="R1091">
        <v>305</v>
      </c>
      <c r="S1091">
        <v>5589.46</v>
      </c>
    </row>
    <row r="1092" spans="12:19" x14ac:dyDescent="0.2">
      <c r="L1092" t="s">
        <v>374</v>
      </c>
      <c r="M1092">
        <v>2396</v>
      </c>
      <c r="N1092">
        <v>1</v>
      </c>
      <c r="O1092">
        <v>4</v>
      </c>
      <c r="P1092">
        <v>582</v>
      </c>
      <c r="Q1092">
        <v>344</v>
      </c>
      <c r="R1092">
        <v>305</v>
      </c>
      <c r="S1092">
        <v>256.83</v>
      </c>
    </row>
    <row r="1093" spans="12:19" x14ac:dyDescent="0.2">
      <c r="L1093" t="s">
        <v>374</v>
      </c>
      <c r="M1093">
        <v>2397</v>
      </c>
      <c r="N1093">
        <v>1</v>
      </c>
      <c r="O1093">
        <v>4</v>
      </c>
      <c r="P1093">
        <v>582</v>
      </c>
      <c r="Q1093">
        <v>344</v>
      </c>
      <c r="R1093">
        <v>305</v>
      </c>
      <c r="S1093">
        <v>254.68</v>
      </c>
    </row>
    <row r="1094" spans="12:19" x14ac:dyDescent="0.2">
      <c r="L1094" t="s">
        <v>374</v>
      </c>
      <c r="M1094">
        <v>2609</v>
      </c>
      <c r="N1094">
        <v>1</v>
      </c>
      <c r="O1094">
        <v>4</v>
      </c>
      <c r="P1094">
        <v>582</v>
      </c>
      <c r="Q1094">
        <v>344</v>
      </c>
      <c r="R1094">
        <v>305</v>
      </c>
      <c r="S1094">
        <v>3741.52</v>
      </c>
    </row>
    <row r="1095" spans="12:19" x14ac:dyDescent="0.2">
      <c r="L1095" t="s">
        <v>374</v>
      </c>
      <c r="M1095">
        <v>2752</v>
      </c>
      <c r="N1095">
        <v>1</v>
      </c>
      <c r="O1095">
        <v>4</v>
      </c>
      <c r="P1095">
        <v>582</v>
      </c>
      <c r="Q1095">
        <v>344</v>
      </c>
      <c r="R1095">
        <v>305</v>
      </c>
      <c r="S1095">
        <v>6330</v>
      </c>
    </row>
    <row r="1096" spans="12:19" x14ac:dyDescent="0.2">
      <c r="L1096" t="s">
        <v>374</v>
      </c>
      <c r="M1096">
        <v>2754</v>
      </c>
      <c r="N1096">
        <v>1</v>
      </c>
      <c r="O1096">
        <v>4</v>
      </c>
      <c r="P1096">
        <v>582</v>
      </c>
      <c r="Q1096">
        <v>344</v>
      </c>
      <c r="R1096">
        <v>305</v>
      </c>
      <c r="S1096">
        <v>73.150000000000006</v>
      </c>
    </row>
    <row r="1097" spans="12:19" x14ac:dyDescent="0.2">
      <c r="L1097" t="s">
        <v>374</v>
      </c>
      <c r="M1097">
        <v>2853</v>
      </c>
      <c r="N1097">
        <v>1</v>
      </c>
      <c r="O1097">
        <v>4</v>
      </c>
      <c r="P1097">
        <v>582</v>
      </c>
      <c r="Q1097">
        <v>344</v>
      </c>
      <c r="R1097">
        <v>305</v>
      </c>
      <c r="S1097">
        <v>20.399999999999999</v>
      </c>
    </row>
    <row r="1098" spans="12:19" x14ac:dyDescent="0.2">
      <c r="L1098" t="s">
        <v>374</v>
      </c>
      <c r="M1098">
        <v>2856</v>
      </c>
      <c r="N1098">
        <v>1</v>
      </c>
      <c r="O1098">
        <v>4</v>
      </c>
      <c r="P1098">
        <v>582</v>
      </c>
      <c r="Q1098">
        <v>344</v>
      </c>
      <c r="R1098">
        <v>305</v>
      </c>
      <c r="S1098">
        <v>1505.15</v>
      </c>
    </row>
    <row r="1099" spans="12:19" x14ac:dyDescent="0.2">
      <c r="L1099" t="s">
        <v>374</v>
      </c>
      <c r="M1099">
        <v>2859</v>
      </c>
      <c r="N1099">
        <v>1</v>
      </c>
      <c r="O1099">
        <v>4</v>
      </c>
      <c r="P1099">
        <v>582</v>
      </c>
      <c r="Q1099">
        <v>344</v>
      </c>
      <c r="R1099">
        <v>305</v>
      </c>
      <c r="S1099">
        <v>324</v>
      </c>
    </row>
    <row r="1100" spans="12:19" x14ac:dyDescent="0.2">
      <c r="L1100" t="s">
        <v>374</v>
      </c>
      <c r="M1100">
        <v>2889</v>
      </c>
      <c r="N1100">
        <v>1</v>
      </c>
      <c r="O1100">
        <v>4</v>
      </c>
      <c r="P1100">
        <v>582</v>
      </c>
      <c r="Q1100">
        <v>344</v>
      </c>
      <c r="R1100">
        <v>305</v>
      </c>
      <c r="S1100">
        <v>25</v>
      </c>
    </row>
    <row r="1101" spans="12:19" x14ac:dyDescent="0.2">
      <c r="L1101" t="s">
        <v>374</v>
      </c>
      <c r="M1101">
        <v>2895</v>
      </c>
      <c r="N1101">
        <v>1</v>
      </c>
      <c r="O1101">
        <v>4</v>
      </c>
      <c r="P1101">
        <v>582</v>
      </c>
      <c r="Q1101">
        <v>344</v>
      </c>
      <c r="R1101">
        <v>305</v>
      </c>
      <c r="S1101">
        <v>513</v>
      </c>
    </row>
    <row r="1102" spans="12:19" x14ac:dyDescent="0.2">
      <c r="L1102" t="s">
        <v>374</v>
      </c>
      <c r="M1102">
        <v>831</v>
      </c>
      <c r="N1102">
        <v>1</v>
      </c>
      <c r="O1102">
        <v>4</v>
      </c>
      <c r="P1102">
        <v>582</v>
      </c>
      <c r="Q1102">
        <v>321</v>
      </c>
      <c r="R1102">
        <v>305</v>
      </c>
      <c r="S1102">
        <v>1181</v>
      </c>
    </row>
    <row r="1103" spans="12:19" x14ac:dyDescent="0.2">
      <c r="L1103" t="s">
        <v>374</v>
      </c>
      <c r="M1103">
        <v>1</v>
      </c>
      <c r="N1103">
        <v>3</v>
      </c>
      <c r="O1103">
        <v>4</v>
      </c>
      <c r="P1103">
        <v>582</v>
      </c>
      <c r="Q1103">
        <v>0</v>
      </c>
      <c r="R1103">
        <v>305</v>
      </c>
      <c r="S1103">
        <v>72080.5</v>
      </c>
    </row>
    <row r="1104" spans="12:19" x14ac:dyDescent="0.2">
      <c r="L1104" t="s">
        <v>374</v>
      </c>
      <c r="M1104">
        <v>548</v>
      </c>
      <c r="N1104">
        <v>1</v>
      </c>
      <c r="O1104">
        <v>4</v>
      </c>
      <c r="P1104">
        <v>582</v>
      </c>
      <c r="Q1104">
        <v>0</v>
      </c>
      <c r="R1104">
        <v>305</v>
      </c>
      <c r="S1104">
        <v>119.55</v>
      </c>
    </row>
    <row r="1105" spans="12:19" x14ac:dyDescent="0.2">
      <c r="L1105" t="s">
        <v>374</v>
      </c>
      <c r="M1105">
        <v>625</v>
      </c>
      <c r="N1105">
        <v>1</v>
      </c>
      <c r="O1105">
        <v>4</v>
      </c>
      <c r="P1105">
        <v>582</v>
      </c>
      <c r="Q1105">
        <v>599</v>
      </c>
      <c r="R1105">
        <v>304</v>
      </c>
      <c r="S1105">
        <v>49000</v>
      </c>
    </row>
    <row r="1106" spans="12:19" x14ac:dyDescent="0.2">
      <c r="L1106" t="s">
        <v>374</v>
      </c>
      <c r="M1106">
        <v>625</v>
      </c>
      <c r="N1106">
        <v>1</v>
      </c>
      <c r="O1106">
        <v>4</v>
      </c>
      <c r="P1106">
        <v>582</v>
      </c>
      <c r="Q1106">
        <v>599</v>
      </c>
      <c r="R1106">
        <v>303</v>
      </c>
      <c r="S1106">
        <v>69586.67</v>
      </c>
    </row>
    <row r="1107" spans="12:19" x14ac:dyDescent="0.2">
      <c r="L1107" t="s">
        <v>374</v>
      </c>
      <c r="M1107">
        <v>1</v>
      </c>
      <c r="N1107">
        <v>3</v>
      </c>
      <c r="O1107">
        <v>4</v>
      </c>
      <c r="P1107">
        <v>582</v>
      </c>
      <c r="Q1107">
        <v>344</v>
      </c>
      <c r="R1107">
        <v>299</v>
      </c>
      <c r="S1107">
        <v>1510.4</v>
      </c>
    </row>
    <row r="1108" spans="12:19" x14ac:dyDescent="0.2">
      <c r="L1108" t="s">
        <v>374</v>
      </c>
      <c r="M1108">
        <v>1</v>
      </c>
      <c r="N1108">
        <v>3</v>
      </c>
      <c r="O1108">
        <v>4</v>
      </c>
      <c r="P1108">
        <v>582</v>
      </c>
      <c r="Q1108">
        <v>344</v>
      </c>
      <c r="R1108">
        <v>299</v>
      </c>
      <c r="S1108">
        <v>3.9</v>
      </c>
    </row>
    <row r="1109" spans="12:19" x14ac:dyDescent="0.2">
      <c r="L1109" t="s">
        <v>374</v>
      </c>
      <c r="M1109">
        <v>11</v>
      </c>
      <c r="N1109">
        <v>1</v>
      </c>
      <c r="O1109">
        <v>4</v>
      </c>
      <c r="P1109">
        <v>582</v>
      </c>
      <c r="Q1109">
        <v>344</v>
      </c>
      <c r="R1109">
        <v>299</v>
      </c>
      <c r="S1109">
        <v>40040.22</v>
      </c>
    </row>
    <row r="1110" spans="12:19" x14ac:dyDescent="0.2">
      <c r="L1110" t="s">
        <v>374</v>
      </c>
      <c r="M1110">
        <v>300</v>
      </c>
      <c r="N1110">
        <v>1</v>
      </c>
      <c r="O1110">
        <v>4</v>
      </c>
      <c r="P1110">
        <v>582</v>
      </c>
      <c r="Q1110">
        <v>344</v>
      </c>
      <c r="R1110">
        <v>299</v>
      </c>
      <c r="S1110">
        <v>0.55000000000000004</v>
      </c>
    </row>
    <row r="1111" spans="12:19" x14ac:dyDescent="0.2">
      <c r="L1111" t="s">
        <v>374</v>
      </c>
      <c r="M1111">
        <v>391</v>
      </c>
      <c r="N1111">
        <v>1</v>
      </c>
      <c r="O1111">
        <v>4</v>
      </c>
      <c r="P1111">
        <v>582</v>
      </c>
      <c r="Q1111">
        <v>344</v>
      </c>
      <c r="R1111">
        <v>299</v>
      </c>
      <c r="S1111">
        <v>144.06</v>
      </c>
    </row>
    <row r="1112" spans="12:19" x14ac:dyDescent="0.2">
      <c r="L1112" t="s">
        <v>374</v>
      </c>
      <c r="M1112">
        <v>625</v>
      </c>
      <c r="N1112">
        <v>1</v>
      </c>
      <c r="O1112">
        <v>4</v>
      </c>
      <c r="P1112">
        <v>582</v>
      </c>
      <c r="Q1112">
        <v>344</v>
      </c>
      <c r="R1112">
        <v>299</v>
      </c>
      <c r="S1112">
        <v>1918.1</v>
      </c>
    </row>
    <row r="1113" spans="12:19" x14ac:dyDescent="0.2">
      <c r="L1113" t="s">
        <v>374</v>
      </c>
      <c r="M1113">
        <v>709</v>
      </c>
      <c r="N1113">
        <v>1</v>
      </c>
      <c r="O1113">
        <v>4</v>
      </c>
      <c r="P1113">
        <v>582</v>
      </c>
      <c r="Q1113">
        <v>344</v>
      </c>
      <c r="R1113">
        <v>299</v>
      </c>
      <c r="S1113">
        <v>4.21</v>
      </c>
    </row>
    <row r="1114" spans="12:19" x14ac:dyDescent="0.2">
      <c r="L1114" t="s">
        <v>374</v>
      </c>
      <c r="M1114">
        <v>831</v>
      </c>
      <c r="N1114">
        <v>1</v>
      </c>
      <c r="O1114">
        <v>4</v>
      </c>
      <c r="P1114">
        <v>582</v>
      </c>
      <c r="Q1114">
        <v>344</v>
      </c>
      <c r="R1114">
        <v>299</v>
      </c>
      <c r="S1114">
        <v>437.03</v>
      </c>
    </row>
    <row r="1115" spans="12:19" x14ac:dyDescent="0.2">
      <c r="L1115" t="s">
        <v>374</v>
      </c>
      <c r="M1115">
        <v>861</v>
      </c>
      <c r="N1115">
        <v>1</v>
      </c>
      <c r="O1115">
        <v>4</v>
      </c>
      <c r="P1115">
        <v>582</v>
      </c>
      <c r="Q1115">
        <v>344</v>
      </c>
      <c r="R1115">
        <v>299</v>
      </c>
      <c r="S1115">
        <v>1467.62</v>
      </c>
    </row>
    <row r="1116" spans="12:19" x14ac:dyDescent="0.2">
      <c r="L1116" t="s">
        <v>374</v>
      </c>
      <c r="M1116">
        <v>2125</v>
      </c>
      <c r="N1116">
        <v>1</v>
      </c>
      <c r="O1116">
        <v>4</v>
      </c>
      <c r="P1116">
        <v>582</v>
      </c>
      <c r="Q1116">
        <v>344</v>
      </c>
      <c r="R1116">
        <v>299</v>
      </c>
      <c r="S1116">
        <v>4.57</v>
      </c>
    </row>
    <row r="1117" spans="12:19" x14ac:dyDescent="0.2">
      <c r="L1117" t="s">
        <v>374</v>
      </c>
      <c r="M1117">
        <v>139</v>
      </c>
      <c r="N1117">
        <v>1</v>
      </c>
      <c r="O1117">
        <v>4</v>
      </c>
      <c r="P1117">
        <v>582</v>
      </c>
      <c r="Q1117">
        <v>321</v>
      </c>
      <c r="R1117">
        <v>299</v>
      </c>
      <c r="S1117">
        <v>296.05</v>
      </c>
    </row>
    <row r="1118" spans="12:19" x14ac:dyDescent="0.2">
      <c r="L1118" t="s">
        <v>374</v>
      </c>
      <c r="M1118">
        <v>831</v>
      </c>
      <c r="N1118">
        <v>1</v>
      </c>
      <c r="O1118">
        <v>4</v>
      </c>
      <c r="P1118">
        <v>582</v>
      </c>
      <c r="Q1118">
        <v>321</v>
      </c>
      <c r="R1118">
        <v>299</v>
      </c>
      <c r="S1118">
        <v>827.01</v>
      </c>
    </row>
    <row r="1119" spans="12:19" x14ac:dyDescent="0.2">
      <c r="L1119" t="s">
        <v>374</v>
      </c>
      <c r="M1119">
        <v>1</v>
      </c>
      <c r="N1119">
        <v>3</v>
      </c>
      <c r="O1119">
        <v>4</v>
      </c>
      <c r="P1119">
        <v>582</v>
      </c>
      <c r="Q1119">
        <v>344</v>
      </c>
      <c r="R1119">
        <v>295</v>
      </c>
      <c r="S1119">
        <v>19382.25</v>
      </c>
    </row>
    <row r="1120" spans="12:19" x14ac:dyDescent="0.2">
      <c r="L1120" t="s">
        <v>374</v>
      </c>
      <c r="M1120">
        <v>1</v>
      </c>
      <c r="N1120">
        <v>3</v>
      </c>
      <c r="O1120">
        <v>4</v>
      </c>
      <c r="P1120">
        <v>582</v>
      </c>
      <c r="Q1120">
        <v>344</v>
      </c>
      <c r="R1120">
        <v>295</v>
      </c>
      <c r="S1120">
        <v>127.75</v>
      </c>
    </row>
    <row r="1121" spans="12:19" x14ac:dyDescent="0.2">
      <c r="L1121" t="s">
        <v>374</v>
      </c>
      <c r="M1121">
        <v>1</v>
      </c>
      <c r="N1121">
        <v>3</v>
      </c>
      <c r="O1121">
        <v>4</v>
      </c>
      <c r="P1121">
        <v>582</v>
      </c>
      <c r="Q1121">
        <v>344</v>
      </c>
      <c r="R1121">
        <v>295</v>
      </c>
      <c r="S1121">
        <v>231.47</v>
      </c>
    </row>
    <row r="1122" spans="12:19" x14ac:dyDescent="0.2">
      <c r="L1122" t="s">
        <v>374</v>
      </c>
      <c r="M1122">
        <v>1</v>
      </c>
      <c r="N1122">
        <v>3</v>
      </c>
      <c r="O1122">
        <v>4</v>
      </c>
      <c r="P1122">
        <v>582</v>
      </c>
      <c r="Q1122">
        <v>344</v>
      </c>
      <c r="R1122">
        <v>295</v>
      </c>
      <c r="S1122">
        <v>216.3</v>
      </c>
    </row>
    <row r="1123" spans="12:19" x14ac:dyDescent="0.2">
      <c r="L1123" t="s">
        <v>374</v>
      </c>
      <c r="M1123">
        <v>1</v>
      </c>
      <c r="N1123">
        <v>3</v>
      </c>
      <c r="O1123">
        <v>4</v>
      </c>
      <c r="P1123">
        <v>582</v>
      </c>
      <c r="Q1123">
        <v>344</v>
      </c>
      <c r="R1123">
        <v>295</v>
      </c>
      <c r="S1123">
        <v>46.69</v>
      </c>
    </row>
    <row r="1124" spans="12:19" x14ac:dyDescent="0.2">
      <c r="L1124" t="s">
        <v>374</v>
      </c>
      <c r="M1124">
        <v>1</v>
      </c>
      <c r="N1124">
        <v>3</v>
      </c>
      <c r="O1124">
        <v>4</v>
      </c>
      <c r="P1124">
        <v>582</v>
      </c>
      <c r="Q1124">
        <v>344</v>
      </c>
      <c r="R1124">
        <v>295</v>
      </c>
      <c r="S1124">
        <v>206.3</v>
      </c>
    </row>
    <row r="1125" spans="12:19" x14ac:dyDescent="0.2">
      <c r="L1125" t="s">
        <v>374</v>
      </c>
      <c r="M1125">
        <v>1</v>
      </c>
      <c r="N1125">
        <v>3</v>
      </c>
      <c r="O1125">
        <v>4</v>
      </c>
      <c r="P1125">
        <v>582</v>
      </c>
      <c r="Q1125">
        <v>344</v>
      </c>
      <c r="R1125">
        <v>295</v>
      </c>
      <c r="S1125">
        <v>452.55</v>
      </c>
    </row>
    <row r="1126" spans="12:19" x14ac:dyDescent="0.2">
      <c r="L1126" t="s">
        <v>374</v>
      </c>
      <c r="M1126">
        <v>1</v>
      </c>
      <c r="N1126">
        <v>3</v>
      </c>
      <c r="O1126">
        <v>4</v>
      </c>
      <c r="P1126">
        <v>582</v>
      </c>
      <c r="Q1126">
        <v>344</v>
      </c>
      <c r="R1126">
        <v>295</v>
      </c>
      <c r="S1126">
        <v>492.64</v>
      </c>
    </row>
    <row r="1127" spans="12:19" x14ac:dyDescent="0.2">
      <c r="L1127" t="s">
        <v>374</v>
      </c>
      <c r="M1127">
        <v>1</v>
      </c>
      <c r="N1127">
        <v>3</v>
      </c>
      <c r="O1127">
        <v>4</v>
      </c>
      <c r="P1127">
        <v>582</v>
      </c>
      <c r="Q1127">
        <v>344</v>
      </c>
      <c r="R1127">
        <v>295</v>
      </c>
      <c r="S1127">
        <v>190.38</v>
      </c>
    </row>
    <row r="1128" spans="12:19" x14ac:dyDescent="0.2">
      <c r="L1128" t="s">
        <v>374</v>
      </c>
      <c r="M1128">
        <v>1</v>
      </c>
      <c r="N1128">
        <v>3</v>
      </c>
      <c r="O1128">
        <v>4</v>
      </c>
      <c r="P1128">
        <v>582</v>
      </c>
      <c r="Q1128">
        <v>344</v>
      </c>
      <c r="R1128">
        <v>295</v>
      </c>
      <c r="S1128">
        <v>262.98</v>
      </c>
    </row>
    <row r="1129" spans="12:19" x14ac:dyDescent="0.2">
      <c r="L1129" t="s">
        <v>374</v>
      </c>
      <c r="M1129">
        <v>13</v>
      </c>
      <c r="N1129">
        <v>1</v>
      </c>
      <c r="O1129">
        <v>4</v>
      </c>
      <c r="P1129">
        <v>582</v>
      </c>
      <c r="Q1129">
        <v>344</v>
      </c>
      <c r="R1129">
        <v>295</v>
      </c>
      <c r="S1129">
        <v>14406.23</v>
      </c>
    </row>
    <row r="1130" spans="12:19" x14ac:dyDescent="0.2">
      <c r="L1130" t="s">
        <v>374</v>
      </c>
      <c r="M1130">
        <v>22</v>
      </c>
      <c r="N1130">
        <v>1</v>
      </c>
      <c r="O1130">
        <v>4</v>
      </c>
      <c r="P1130">
        <v>582</v>
      </c>
      <c r="Q1130">
        <v>344</v>
      </c>
      <c r="R1130">
        <v>295</v>
      </c>
      <c r="S1130">
        <v>610.16</v>
      </c>
    </row>
    <row r="1131" spans="12:19" x14ac:dyDescent="0.2">
      <c r="L1131" t="s">
        <v>374</v>
      </c>
      <c r="M1131">
        <v>47</v>
      </c>
      <c r="N1131">
        <v>1</v>
      </c>
      <c r="O1131">
        <v>4</v>
      </c>
      <c r="P1131">
        <v>582</v>
      </c>
      <c r="Q1131">
        <v>344</v>
      </c>
      <c r="R1131">
        <v>295</v>
      </c>
      <c r="S1131">
        <v>573.48</v>
      </c>
    </row>
    <row r="1132" spans="12:19" x14ac:dyDescent="0.2">
      <c r="L1132" t="s">
        <v>374</v>
      </c>
      <c r="M1132">
        <v>77</v>
      </c>
      <c r="N1132">
        <v>1</v>
      </c>
      <c r="O1132">
        <v>4</v>
      </c>
      <c r="P1132">
        <v>582</v>
      </c>
      <c r="Q1132">
        <v>344</v>
      </c>
      <c r="R1132">
        <v>295</v>
      </c>
      <c r="S1132">
        <v>429.19</v>
      </c>
    </row>
    <row r="1133" spans="12:19" x14ac:dyDescent="0.2">
      <c r="L1133" t="s">
        <v>374</v>
      </c>
      <c r="M1133">
        <v>84</v>
      </c>
      <c r="N1133">
        <v>1</v>
      </c>
      <c r="O1133">
        <v>4</v>
      </c>
      <c r="P1133">
        <v>582</v>
      </c>
      <c r="Q1133">
        <v>344</v>
      </c>
      <c r="R1133">
        <v>295</v>
      </c>
      <c r="S1133">
        <v>81.61</v>
      </c>
    </row>
    <row r="1134" spans="12:19" x14ac:dyDescent="0.2">
      <c r="L1134" t="s">
        <v>374</v>
      </c>
      <c r="M1134">
        <v>97</v>
      </c>
      <c r="N1134">
        <v>1</v>
      </c>
      <c r="O1134">
        <v>4</v>
      </c>
      <c r="P1134">
        <v>582</v>
      </c>
      <c r="Q1134">
        <v>344</v>
      </c>
      <c r="R1134">
        <v>295</v>
      </c>
      <c r="S1134">
        <v>8.41</v>
      </c>
    </row>
    <row r="1135" spans="12:19" x14ac:dyDescent="0.2">
      <c r="L1135" t="s">
        <v>374</v>
      </c>
      <c r="M1135">
        <v>177</v>
      </c>
      <c r="N1135">
        <v>1</v>
      </c>
      <c r="O1135">
        <v>4</v>
      </c>
      <c r="P1135">
        <v>582</v>
      </c>
      <c r="Q1135">
        <v>344</v>
      </c>
      <c r="R1135">
        <v>295</v>
      </c>
      <c r="S1135">
        <v>148.13</v>
      </c>
    </row>
    <row r="1136" spans="12:19" x14ac:dyDescent="0.2">
      <c r="L1136" t="s">
        <v>374</v>
      </c>
      <c r="M1136">
        <v>181</v>
      </c>
      <c r="N1136">
        <v>1</v>
      </c>
      <c r="O1136">
        <v>4</v>
      </c>
      <c r="P1136">
        <v>582</v>
      </c>
      <c r="Q1136">
        <v>344</v>
      </c>
      <c r="R1136">
        <v>295</v>
      </c>
      <c r="S1136">
        <v>-49.87</v>
      </c>
    </row>
    <row r="1137" spans="12:19" x14ac:dyDescent="0.2">
      <c r="L1137" t="s">
        <v>374</v>
      </c>
      <c r="M1137">
        <v>207</v>
      </c>
      <c r="N1137">
        <v>1</v>
      </c>
      <c r="O1137">
        <v>4</v>
      </c>
      <c r="P1137">
        <v>582</v>
      </c>
      <c r="Q1137">
        <v>344</v>
      </c>
      <c r="R1137">
        <v>295</v>
      </c>
      <c r="S1137">
        <v>2574.77</v>
      </c>
    </row>
    <row r="1138" spans="12:19" x14ac:dyDescent="0.2">
      <c r="L1138" t="s">
        <v>374</v>
      </c>
      <c r="M1138">
        <v>278</v>
      </c>
      <c r="N1138">
        <v>1</v>
      </c>
      <c r="O1138">
        <v>4</v>
      </c>
      <c r="P1138">
        <v>582</v>
      </c>
      <c r="Q1138">
        <v>344</v>
      </c>
      <c r="R1138">
        <v>295</v>
      </c>
      <c r="S1138">
        <v>14841</v>
      </c>
    </row>
    <row r="1139" spans="12:19" x14ac:dyDescent="0.2">
      <c r="L1139" t="s">
        <v>374</v>
      </c>
      <c r="M1139">
        <v>300</v>
      </c>
      <c r="N1139">
        <v>1</v>
      </c>
      <c r="O1139">
        <v>4</v>
      </c>
      <c r="P1139">
        <v>582</v>
      </c>
      <c r="Q1139">
        <v>344</v>
      </c>
      <c r="R1139">
        <v>295</v>
      </c>
      <c r="S1139">
        <v>-94.93</v>
      </c>
    </row>
    <row r="1140" spans="12:19" x14ac:dyDescent="0.2">
      <c r="L1140" t="s">
        <v>374</v>
      </c>
      <c r="M1140">
        <v>306</v>
      </c>
      <c r="N1140">
        <v>1</v>
      </c>
      <c r="O1140">
        <v>4</v>
      </c>
      <c r="P1140">
        <v>582</v>
      </c>
      <c r="Q1140">
        <v>344</v>
      </c>
      <c r="R1140">
        <v>295</v>
      </c>
      <c r="S1140">
        <v>-887</v>
      </c>
    </row>
    <row r="1141" spans="12:19" x14ac:dyDescent="0.2">
      <c r="L1141" t="s">
        <v>374</v>
      </c>
      <c r="M1141">
        <v>318</v>
      </c>
      <c r="N1141">
        <v>1</v>
      </c>
      <c r="O1141">
        <v>4</v>
      </c>
      <c r="P1141">
        <v>582</v>
      </c>
      <c r="Q1141">
        <v>344</v>
      </c>
      <c r="R1141">
        <v>295</v>
      </c>
      <c r="S1141">
        <v>5002.4799999999996</v>
      </c>
    </row>
    <row r="1142" spans="12:19" x14ac:dyDescent="0.2">
      <c r="L1142" t="s">
        <v>374</v>
      </c>
      <c r="M1142">
        <v>347</v>
      </c>
      <c r="N1142">
        <v>1</v>
      </c>
      <c r="O1142">
        <v>4</v>
      </c>
      <c r="P1142">
        <v>582</v>
      </c>
      <c r="Q1142">
        <v>344</v>
      </c>
      <c r="R1142">
        <v>295</v>
      </c>
      <c r="S1142">
        <v>-1925.57</v>
      </c>
    </row>
    <row r="1143" spans="12:19" x14ac:dyDescent="0.2">
      <c r="L1143" t="s">
        <v>374</v>
      </c>
      <c r="M1143">
        <v>423</v>
      </c>
      <c r="N1143">
        <v>1</v>
      </c>
      <c r="O1143">
        <v>4</v>
      </c>
      <c r="P1143">
        <v>582</v>
      </c>
      <c r="Q1143">
        <v>344</v>
      </c>
      <c r="R1143">
        <v>295</v>
      </c>
      <c r="S1143">
        <v>2921</v>
      </c>
    </row>
    <row r="1144" spans="12:19" x14ac:dyDescent="0.2">
      <c r="L1144" t="s">
        <v>374</v>
      </c>
      <c r="M1144">
        <v>593</v>
      </c>
      <c r="N1144">
        <v>1</v>
      </c>
      <c r="O1144">
        <v>4</v>
      </c>
      <c r="P1144">
        <v>582</v>
      </c>
      <c r="Q1144">
        <v>344</v>
      </c>
      <c r="R1144">
        <v>295</v>
      </c>
      <c r="S1144">
        <v>788.86</v>
      </c>
    </row>
    <row r="1145" spans="12:19" x14ac:dyDescent="0.2">
      <c r="L1145" t="s">
        <v>374</v>
      </c>
      <c r="M1145">
        <v>777</v>
      </c>
      <c r="N1145">
        <v>1</v>
      </c>
      <c r="O1145">
        <v>4</v>
      </c>
      <c r="P1145">
        <v>582</v>
      </c>
      <c r="Q1145">
        <v>344</v>
      </c>
      <c r="R1145">
        <v>295</v>
      </c>
      <c r="S1145">
        <v>44</v>
      </c>
    </row>
    <row r="1146" spans="12:19" x14ac:dyDescent="0.2">
      <c r="L1146" t="s">
        <v>374</v>
      </c>
      <c r="M1146">
        <v>832</v>
      </c>
      <c r="N1146">
        <v>1</v>
      </c>
      <c r="O1146">
        <v>4</v>
      </c>
      <c r="P1146">
        <v>582</v>
      </c>
      <c r="Q1146">
        <v>344</v>
      </c>
      <c r="R1146">
        <v>295</v>
      </c>
      <c r="S1146">
        <v>92</v>
      </c>
    </row>
    <row r="1147" spans="12:19" x14ac:dyDescent="0.2">
      <c r="L1147" t="s">
        <v>374</v>
      </c>
      <c r="M1147">
        <v>861</v>
      </c>
      <c r="N1147">
        <v>1</v>
      </c>
      <c r="O1147">
        <v>4</v>
      </c>
      <c r="P1147">
        <v>582</v>
      </c>
      <c r="Q1147">
        <v>344</v>
      </c>
      <c r="R1147">
        <v>295</v>
      </c>
      <c r="S1147">
        <v>57.96</v>
      </c>
    </row>
    <row r="1148" spans="12:19" x14ac:dyDescent="0.2">
      <c r="L1148" t="s">
        <v>374</v>
      </c>
      <c r="M1148">
        <v>881</v>
      </c>
      <c r="N1148">
        <v>1</v>
      </c>
      <c r="O1148">
        <v>4</v>
      </c>
      <c r="P1148">
        <v>582</v>
      </c>
      <c r="Q1148">
        <v>344</v>
      </c>
      <c r="R1148">
        <v>295</v>
      </c>
      <c r="S1148">
        <v>2523.88</v>
      </c>
    </row>
    <row r="1149" spans="12:19" x14ac:dyDescent="0.2">
      <c r="L1149" t="s">
        <v>374</v>
      </c>
      <c r="M1149">
        <v>2135</v>
      </c>
      <c r="N1149">
        <v>1</v>
      </c>
      <c r="O1149">
        <v>4</v>
      </c>
      <c r="P1149">
        <v>582</v>
      </c>
      <c r="Q1149">
        <v>344</v>
      </c>
      <c r="R1149">
        <v>295</v>
      </c>
      <c r="S1149">
        <v>-9014.74</v>
      </c>
    </row>
    <row r="1150" spans="12:19" x14ac:dyDescent="0.2">
      <c r="L1150" t="s">
        <v>374</v>
      </c>
      <c r="M1150">
        <v>2310</v>
      </c>
      <c r="N1150">
        <v>1</v>
      </c>
      <c r="O1150">
        <v>4</v>
      </c>
      <c r="P1150">
        <v>582</v>
      </c>
      <c r="Q1150">
        <v>344</v>
      </c>
      <c r="R1150">
        <v>295</v>
      </c>
      <c r="S1150">
        <v>7339.2</v>
      </c>
    </row>
    <row r="1151" spans="12:19" x14ac:dyDescent="0.2">
      <c r="L1151" t="s">
        <v>374</v>
      </c>
      <c r="M1151">
        <v>2536</v>
      </c>
      <c r="N1151">
        <v>1</v>
      </c>
      <c r="O1151">
        <v>4</v>
      </c>
      <c r="P1151">
        <v>582</v>
      </c>
      <c r="Q1151">
        <v>344</v>
      </c>
      <c r="R1151">
        <v>295</v>
      </c>
      <c r="S1151">
        <v>2737.78</v>
      </c>
    </row>
    <row r="1152" spans="12:19" x14ac:dyDescent="0.2">
      <c r="L1152" t="s">
        <v>374</v>
      </c>
      <c r="M1152">
        <v>1</v>
      </c>
      <c r="N1152">
        <v>3</v>
      </c>
      <c r="O1152">
        <v>4</v>
      </c>
      <c r="P1152">
        <v>582</v>
      </c>
      <c r="Q1152">
        <v>0</v>
      </c>
      <c r="R1152">
        <v>295</v>
      </c>
      <c r="S1152">
        <v>1016.24</v>
      </c>
    </row>
    <row r="1153" spans="12:19" x14ac:dyDescent="0.2">
      <c r="L1153" t="s">
        <v>374</v>
      </c>
      <c r="M1153">
        <v>1</v>
      </c>
      <c r="N1153">
        <v>3</v>
      </c>
      <c r="O1153">
        <v>4</v>
      </c>
      <c r="P1153">
        <v>582</v>
      </c>
      <c r="Q1153">
        <v>344</v>
      </c>
      <c r="R1153">
        <v>291</v>
      </c>
      <c r="S1153">
        <v>2789.41</v>
      </c>
    </row>
    <row r="1154" spans="12:19" x14ac:dyDescent="0.2">
      <c r="L1154" t="s">
        <v>374</v>
      </c>
      <c r="M1154">
        <v>1</v>
      </c>
      <c r="N1154">
        <v>3</v>
      </c>
      <c r="O1154">
        <v>4</v>
      </c>
      <c r="P1154">
        <v>582</v>
      </c>
      <c r="Q1154">
        <v>344</v>
      </c>
      <c r="R1154">
        <v>291</v>
      </c>
      <c r="S1154">
        <v>43.85</v>
      </c>
    </row>
    <row r="1155" spans="12:19" x14ac:dyDescent="0.2">
      <c r="L1155" t="s">
        <v>374</v>
      </c>
      <c r="M1155">
        <v>1</v>
      </c>
      <c r="N1155">
        <v>3</v>
      </c>
      <c r="O1155">
        <v>4</v>
      </c>
      <c r="P1155">
        <v>582</v>
      </c>
      <c r="Q1155">
        <v>344</v>
      </c>
      <c r="R1155">
        <v>291</v>
      </c>
      <c r="S1155">
        <v>79.45</v>
      </c>
    </row>
    <row r="1156" spans="12:19" x14ac:dyDescent="0.2">
      <c r="L1156" t="s">
        <v>374</v>
      </c>
      <c r="M1156">
        <v>1</v>
      </c>
      <c r="N1156">
        <v>3</v>
      </c>
      <c r="O1156">
        <v>4</v>
      </c>
      <c r="P1156">
        <v>582</v>
      </c>
      <c r="Q1156">
        <v>344</v>
      </c>
      <c r="R1156">
        <v>291</v>
      </c>
      <c r="S1156">
        <v>74.239999999999995</v>
      </c>
    </row>
    <row r="1157" spans="12:19" x14ac:dyDescent="0.2">
      <c r="L1157" t="s">
        <v>374</v>
      </c>
      <c r="M1157">
        <v>1</v>
      </c>
      <c r="N1157">
        <v>3</v>
      </c>
      <c r="O1157">
        <v>4</v>
      </c>
      <c r="P1157">
        <v>582</v>
      </c>
      <c r="Q1157">
        <v>344</v>
      </c>
      <c r="R1157">
        <v>291</v>
      </c>
      <c r="S1157">
        <v>16.03</v>
      </c>
    </row>
    <row r="1158" spans="12:19" x14ac:dyDescent="0.2">
      <c r="L1158" t="s">
        <v>374</v>
      </c>
      <c r="M1158">
        <v>1</v>
      </c>
      <c r="N1158">
        <v>3</v>
      </c>
      <c r="O1158">
        <v>4</v>
      </c>
      <c r="P1158">
        <v>582</v>
      </c>
      <c r="Q1158">
        <v>344</v>
      </c>
      <c r="R1158">
        <v>291</v>
      </c>
      <c r="S1158">
        <v>70.81</v>
      </c>
    </row>
    <row r="1159" spans="12:19" x14ac:dyDescent="0.2">
      <c r="L1159" t="s">
        <v>374</v>
      </c>
      <c r="M1159">
        <v>1</v>
      </c>
      <c r="N1159">
        <v>3</v>
      </c>
      <c r="O1159">
        <v>4</v>
      </c>
      <c r="P1159">
        <v>582</v>
      </c>
      <c r="Q1159">
        <v>344</v>
      </c>
      <c r="R1159">
        <v>291</v>
      </c>
      <c r="S1159">
        <v>155.34</v>
      </c>
    </row>
    <row r="1160" spans="12:19" x14ac:dyDescent="0.2">
      <c r="L1160" t="s">
        <v>374</v>
      </c>
      <c r="M1160">
        <v>1</v>
      </c>
      <c r="N1160">
        <v>3</v>
      </c>
      <c r="O1160">
        <v>4</v>
      </c>
      <c r="P1160">
        <v>582</v>
      </c>
      <c r="Q1160">
        <v>344</v>
      </c>
      <c r="R1160">
        <v>291</v>
      </c>
      <c r="S1160">
        <v>169.09</v>
      </c>
    </row>
    <row r="1161" spans="12:19" x14ac:dyDescent="0.2">
      <c r="L1161" t="s">
        <v>374</v>
      </c>
      <c r="M1161">
        <v>1</v>
      </c>
      <c r="N1161">
        <v>3</v>
      </c>
      <c r="O1161">
        <v>4</v>
      </c>
      <c r="P1161">
        <v>582</v>
      </c>
      <c r="Q1161">
        <v>344</v>
      </c>
      <c r="R1161">
        <v>291</v>
      </c>
      <c r="S1161">
        <v>65.349999999999994</v>
      </c>
    </row>
    <row r="1162" spans="12:19" x14ac:dyDescent="0.2">
      <c r="L1162" t="s">
        <v>374</v>
      </c>
      <c r="M1162">
        <v>1</v>
      </c>
      <c r="N1162">
        <v>3</v>
      </c>
      <c r="O1162">
        <v>4</v>
      </c>
      <c r="P1162">
        <v>582</v>
      </c>
      <c r="Q1162">
        <v>344</v>
      </c>
      <c r="R1162">
        <v>291</v>
      </c>
      <c r="S1162">
        <v>90.27</v>
      </c>
    </row>
    <row r="1163" spans="12:19" x14ac:dyDescent="0.2">
      <c r="L1163" t="s">
        <v>374</v>
      </c>
      <c r="M1163">
        <v>256</v>
      </c>
      <c r="N1163">
        <v>1</v>
      </c>
      <c r="O1163">
        <v>4</v>
      </c>
      <c r="P1163">
        <v>582</v>
      </c>
      <c r="Q1163">
        <v>344</v>
      </c>
      <c r="R1163">
        <v>291</v>
      </c>
      <c r="S1163">
        <v>82.91</v>
      </c>
    </row>
    <row r="1164" spans="12:19" x14ac:dyDescent="0.2">
      <c r="L1164" t="s">
        <v>374</v>
      </c>
      <c r="M1164">
        <v>345</v>
      </c>
      <c r="N1164">
        <v>1</v>
      </c>
      <c r="O1164">
        <v>4</v>
      </c>
      <c r="P1164">
        <v>582</v>
      </c>
      <c r="Q1164">
        <v>344</v>
      </c>
      <c r="R1164">
        <v>291</v>
      </c>
      <c r="S1164">
        <v>3638</v>
      </c>
    </row>
    <row r="1165" spans="12:19" x14ac:dyDescent="0.2">
      <c r="L1165" t="s">
        <v>374</v>
      </c>
      <c r="M1165">
        <v>761</v>
      </c>
      <c r="N1165">
        <v>1</v>
      </c>
      <c r="O1165">
        <v>4</v>
      </c>
      <c r="P1165">
        <v>582</v>
      </c>
      <c r="Q1165">
        <v>344</v>
      </c>
      <c r="R1165">
        <v>291</v>
      </c>
      <c r="S1165">
        <v>307.31</v>
      </c>
    </row>
    <row r="1166" spans="12:19" x14ac:dyDescent="0.2">
      <c r="L1166" t="s">
        <v>374</v>
      </c>
      <c r="M1166">
        <v>256</v>
      </c>
      <c r="N1166">
        <v>1</v>
      </c>
      <c r="O1166">
        <v>4</v>
      </c>
      <c r="P1166">
        <v>582</v>
      </c>
      <c r="Q1166">
        <v>0</v>
      </c>
      <c r="R1166">
        <v>291</v>
      </c>
      <c r="S1166">
        <v>255.43</v>
      </c>
    </row>
    <row r="1167" spans="12:19" x14ac:dyDescent="0.2">
      <c r="L1167" t="s">
        <v>374</v>
      </c>
      <c r="M1167">
        <v>271</v>
      </c>
      <c r="N1167">
        <v>1</v>
      </c>
      <c r="O1167">
        <v>4</v>
      </c>
      <c r="P1167">
        <v>582</v>
      </c>
      <c r="Q1167">
        <v>344</v>
      </c>
      <c r="R1167">
        <v>290</v>
      </c>
      <c r="S1167">
        <v>89259.06</v>
      </c>
    </row>
    <row r="1168" spans="12:19" x14ac:dyDescent="0.2">
      <c r="L1168" t="s">
        <v>374</v>
      </c>
      <c r="M1168">
        <v>241</v>
      </c>
      <c r="N1168">
        <v>1</v>
      </c>
      <c r="O1168">
        <v>4</v>
      </c>
      <c r="P1168">
        <v>582</v>
      </c>
      <c r="Q1168">
        <v>0</v>
      </c>
      <c r="R1168">
        <v>290</v>
      </c>
      <c r="S1168">
        <v>3039.7</v>
      </c>
    </row>
    <row r="1169" spans="12:19" x14ac:dyDescent="0.2">
      <c r="L1169" t="s">
        <v>374</v>
      </c>
      <c r="M1169">
        <v>709</v>
      </c>
      <c r="N1169">
        <v>1</v>
      </c>
      <c r="O1169">
        <v>4</v>
      </c>
      <c r="P1169">
        <v>582</v>
      </c>
      <c r="Q1169">
        <v>344</v>
      </c>
      <c r="R1169">
        <v>280</v>
      </c>
      <c r="S1169">
        <v>226.23</v>
      </c>
    </row>
    <row r="1170" spans="12:19" x14ac:dyDescent="0.2">
      <c r="L1170" t="s">
        <v>374</v>
      </c>
      <c r="M1170">
        <v>719</v>
      </c>
      <c r="N1170">
        <v>1</v>
      </c>
      <c r="O1170">
        <v>4</v>
      </c>
      <c r="P1170">
        <v>582</v>
      </c>
      <c r="Q1170">
        <v>344</v>
      </c>
      <c r="R1170">
        <v>280</v>
      </c>
      <c r="S1170">
        <v>902.8</v>
      </c>
    </row>
    <row r="1171" spans="12:19" x14ac:dyDescent="0.2">
      <c r="L1171" t="s">
        <v>374</v>
      </c>
      <c r="M1171">
        <v>1</v>
      </c>
      <c r="N1171">
        <v>1</v>
      </c>
      <c r="O1171">
        <v>4</v>
      </c>
      <c r="P1171">
        <v>582</v>
      </c>
      <c r="Q1171">
        <v>344</v>
      </c>
      <c r="R1171">
        <v>270</v>
      </c>
      <c r="S1171">
        <v>224.96</v>
      </c>
    </row>
    <row r="1172" spans="12:19" x14ac:dyDescent="0.2">
      <c r="L1172" t="s">
        <v>374</v>
      </c>
      <c r="M1172">
        <v>4</v>
      </c>
      <c r="N1172">
        <v>1</v>
      </c>
      <c r="O1172">
        <v>4</v>
      </c>
      <c r="P1172">
        <v>582</v>
      </c>
      <c r="Q1172">
        <v>344</v>
      </c>
      <c r="R1172">
        <v>270</v>
      </c>
      <c r="S1172">
        <v>55.1</v>
      </c>
    </row>
    <row r="1173" spans="12:19" x14ac:dyDescent="0.2">
      <c r="L1173" t="s">
        <v>374</v>
      </c>
      <c r="M1173">
        <v>6</v>
      </c>
      <c r="N1173">
        <v>3</v>
      </c>
      <c r="O1173">
        <v>4</v>
      </c>
      <c r="P1173">
        <v>582</v>
      </c>
      <c r="Q1173">
        <v>344</v>
      </c>
      <c r="R1173">
        <v>270</v>
      </c>
      <c r="S1173">
        <v>291.58999999999997</v>
      </c>
    </row>
    <row r="1174" spans="12:19" x14ac:dyDescent="0.2">
      <c r="L1174" t="s">
        <v>374</v>
      </c>
      <c r="M1174">
        <v>14</v>
      </c>
      <c r="N1174">
        <v>1</v>
      </c>
      <c r="O1174">
        <v>4</v>
      </c>
      <c r="P1174">
        <v>582</v>
      </c>
      <c r="Q1174">
        <v>344</v>
      </c>
      <c r="R1174">
        <v>270</v>
      </c>
      <c r="S1174">
        <v>272.68</v>
      </c>
    </row>
    <row r="1175" spans="12:19" x14ac:dyDescent="0.2">
      <c r="L1175" t="s">
        <v>374</v>
      </c>
      <c r="M1175">
        <v>22</v>
      </c>
      <c r="N1175">
        <v>1</v>
      </c>
      <c r="O1175">
        <v>4</v>
      </c>
      <c r="P1175">
        <v>582</v>
      </c>
      <c r="Q1175">
        <v>344</v>
      </c>
      <c r="R1175">
        <v>270</v>
      </c>
      <c r="S1175">
        <v>238.19</v>
      </c>
    </row>
    <row r="1176" spans="12:19" x14ac:dyDescent="0.2">
      <c r="L1176" s="36" t="s">
        <v>374</v>
      </c>
      <c r="M1176" s="36">
        <v>31</v>
      </c>
      <c r="N1176" s="36">
        <v>1</v>
      </c>
      <c r="O1176" s="36">
        <v>4</v>
      </c>
      <c r="P1176" s="36">
        <v>582</v>
      </c>
      <c r="Q1176" s="36">
        <v>344</v>
      </c>
      <c r="R1176" s="36">
        <v>270</v>
      </c>
      <c r="S1176" s="36">
        <v>505</v>
      </c>
    </row>
    <row r="1177" spans="12:19" x14ac:dyDescent="0.2">
      <c r="L1177" t="s">
        <v>374</v>
      </c>
      <c r="M1177">
        <v>88</v>
      </c>
      <c r="N1177">
        <v>1</v>
      </c>
      <c r="O1177">
        <v>4</v>
      </c>
      <c r="P1177">
        <v>582</v>
      </c>
      <c r="Q1177">
        <v>344</v>
      </c>
      <c r="R1177">
        <v>270</v>
      </c>
      <c r="S1177">
        <v>212</v>
      </c>
    </row>
    <row r="1178" spans="12:19" x14ac:dyDescent="0.2">
      <c r="L1178" t="s">
        <v>374</v>
      </c>
      <c r="M1178">
        <v>91</v>
      </c>
      <c r="N1178">
        <v>1</v>
      </c>
      <c r="O1178">
        <v>4</v>
      </c>
      <c r="P1178">
        <v>582</v>
      </c>
      <c r="Q1178">
        <v>344</v>
      </c>
      <c r="R1178">
        <v>270</v>
      </c>
      <c r="S1178">
        <v>150</v>
      </c>
    </row>
    <row r="1179" spans="12:19" x14ac:dyDescent="0.2">
      <c r="L1179" t="s">
        <v>374</v>
      </c>
      <c r="M1179">
        <v>112</v>
      </c>
      <c r="N1179">
        <v>1</v>
      </c>
      <c r="O1179">
        <v>4</v>
      </c>
      <c r="P1179">
        <v>582</v>
      </c>
      <c r="Q1179">
        <v>344</v>
      </c>
      <c r="R1179">
        <v>270</v>
      </c>
      <c r="S1179">
        <v>88.07</v>
      </c>
    </row>
    <row r="1180" spans="12:19" x14ac:dyDescent="0.2">
      <c r="L1180" t="s">
        <v>374</v>
      </c>
      <c r="M1180">
        <v>118</v>
      </c>
      <c r="N1180">
        <v>1</v>
      </c>
      <c r="O1180">
        <v>4</v>
      </c>
      <c r="P1180">
        <v>582</v>
      </c>
      <c r="Q1180">
        <v>344</v>
      </c>
      <c r="R1180">
        <v>270</v>
      </c>
      <c r="S1180">
        <v>5</v>
      </c>
    </row>
    <row r="1181" spans="12:19" x14ac:dyDescent="0.2">
      <c r="L1181" t="s">
        <v>374</v>
      </c>
      <c r="M1181">
        <v>152</v>
      </c>
      <c r="N1181">
        <v>1</v>
      </c>
      <c r="O1181">
        <v>4</v>
      </c>
      <c r="P1181">
        <v>582</v>
      </c>
      <c r="Q1181">
        <v>344</v>
      </c>
      <c r="R1181">
        <v>270</v>
      </c>
      <c r="S1181">
        <v>394</v>
      </c>
    </row>
    <row r="1182" spans="12:19" x14ac:dyDescent="0.2">
      <c r="L1182" t="s">
        <v>374</v>
      </c>
      <c r="M1182">
        <v>181</v>
      </c>
      <c r="N1182">
        <v>1</v>
      </c>
      <c r="O1182">
        <v>4</v>
      </c>
      <c r="P1182">
        <v>582</v>
      </c>
      <c r="Q1182">
        <v>344</v>
      </c>
      <c r="R1182">
        <v>270</v>
      </c>
      <c r="S1182">
        <v>778.57</v>
      </c>
    </row>
    <row r="1183" spans="12:19" x14ac:dyDescent="0.2">
      <c r="L1183" t="s">
        <v>374</v>
      </c>
      <c r="M1183">
        <v>192</v>
      </c>
      <c r="N1183">
        <v>1</v>
      </c>
      <c r="O1183">
        <v>4</v>
      </c>
      <c r="P1183">
        <v>582</v>
      </c>
      <c r="Q1183">
        <v>344</v>
      </c>
      <c r="R1183">
        <v>270</v>
      </c>
      <c r="S1183">
        <v>163.72</v>
      </c>
    </row>
    <row r="1184" spans="12:19" x14ac:dyDescent="0.2">
      <c r="L1184" t="s">
        <v>374</v>
      </c>
      <c r="M1184">
        <v>196</v>
      </c>
      <c r="N1184">
        <v>1</v>
      </c>
      <c r="O1184">
        <v>4</v>
      </c>
      <c r="P1184">
        <v>582</v>
      </c>
      <c r="Q1184">
        <v>344</v>
      </c>
      <c r="R1184">
        <v>270</v>
      </c>
      <c r="S1184">
        <v>601.61</v>
      </c>
    </row>
    <row r="1185" spans="12:19" x14ac:dyDescent="0.2">
      <c r="L1185" t="s">
        <v>374</v>
      </c>
      <c r="M1185">
        <v>200</v>
      </c>
      <c r="N1185">
        <v>1</v>
      </c>
      <c r="O1185">
        <v>4</v>
      </c>
      <c r="P1185">
        <v>582</v>
      </c>
      <c r="Q1185">
        <v>344</v>
      </c>
      <c r="R1185">
        <v>270</v>
      </c>
      <c r="S1185">
        <v>222.72</v>
      </c>
    </row>
    <row r="1186" spans="12:19" x14ac:dyDescent="0.2">
      <c r="L1186" t="s">
        <v>374</v>
      </c>
      <c r="M1186">
        <v>204</v>
      </c>
      <c r="N1186">
        <v>1</v>
      </c>
      <c r="O1186">
        <v>4</v>
      </c>
      <c r="P1186">
        <v>582</v>
      </c>
      <c r="Q1186">
        <v>344</v>
      </c>
      <c r="R1186">
        <v>270</v>
      </c>
      <c r="S1186">
        <v>350</v>
      </c>
    </row>
    <row r="1187" spans="12:19" x14ac:dyDescent="0.2">
      <c r="L1187" t="s">
        <v>374</v>
      </c>
      <c r="M1187">
        <v>213</v>
      </c>
      <c r="N1187">
        <v>1</v>
      </c>
      <c r="O1187">
        <v>4</v>
      </c>
      <c r="P1187">
        <v>582</v>
      </c>
      <c r="Q1187">
        <v>344</v>
      </c>
      <c r="R1187">
        <v>270</v>
      </c>
      <c r="S1187">
        <v>25</v>
      </c>
    </row>
    <row r="1188" spans="12:19" x14ac:dyDescent="0.2">
      <c r="L1188" t="s">
        <v>374</v>
      </c>
      <c r="M1188">
        <v>241</v>
      </c>
      <c r="N1188">
        <v>1</v>
      </c>
      <c r="O1188">
        <v>4</v>
      </c>
      <c r="P1188">
        <v>582</v>
      </c>
      <c r="Q1188">
        <v>344</v>
      </c>
      <c r="R1188">
        <v>270</v>
      </c>
      <c r="S1188">
        <v>51.54</v>
      </c>
    </row>
    <row r="1189" spans="12:19" x14ac:dyDescent="0.2">
      <c r="L1189" t="s">
        <v>374</v>
      </c>
      <c r="M1189">
        <v>256</v>
      </c>
      <c r="N1189">
        <v>1</v>
      </c>
      <c r="O1189">
        <v>4</v>
      </c>
      <c r="P1189">
        <v>582</v>
      </c>
      <c r="Q1189">
        <v>344</v>
      </c>
      <c r="R1189">
        <v>270</v>
      </c>
      <c r="S1189">
        <v>963.45</v>
      </c>
    </row>
    <row r="1190" spans="12:19" x14ac:dyDescent="0.2">
      <c r="L1190" t="s">
        <v>374</v>
      </c>
      <c r="M1190">
        <v>273</v>
      </c>
      <c r="N1190">
        <v>1</v>
      </c>
      <c r="O1190">
        <v>4</v>
      </c>
      <c r="P1190">
        <v>582</v>
      </c>
      <c r="Q1190">
        <v>344</v>
      </c>
      <c r="R1190">
        <v>270</v>
      </c>
      <c r="S1190">
        <v>191.68</v>
      </c>
    </row>
    <row r="1191" spans="12:19" x14ac:dyDescent="0.2">
      <c r="L1191" t="s">
        <v>374</v>
      </c>
      <c r="M1191">
        <v>277</v>
      </c>
      <c r="N1191">
        <v>1</v>
      </c>
      <c r="O1191">
        <v>4</v>
      </c>
      <c r="P1191">
        <v>582</v>
      </c>
      <c r="Q1191">
        <v>344</v>
      </c>
      <c r="R1191">
        <v>270</v>
      </c>
      <c r="S1191">
        <v>1175.1199999999999</v>
      </c>
    </row>
    <row r="1192" spans="12:19" x14ac:dyDescent="0.2">
      <c r="L1192" t="s">
        <v>374</v>
      </c>
      <c r="M1192">
        <v>283</v>
      </c>
      <c r="N1192">
        <v>1</v>
      </c>
      <c r="O1192">
        <v>4</v>
      </c>
      <c r="P1192">
        <v>582</v>
      </c>
      <c r="Q1192">
        <v>344</v>
      </c>
      <c r="R1192">
        <v>270</v>
      </c>
      <c r="S1192">
        <v>734.67</v>
      </c>
    </row>
    <row r="1193" spans="12:19" x14ac:dyDescent="0.2">
      <c r="L1193" t="s">
        <v>374</v>
      </c>
      <c r="M1193">
        <v>284</v>
      </c>
      <c r="N1193">
        <v>1</v>
      </c>
      <c r="O1193">
        <v>4</v>
      </c>
      <c r="P1193">
        <v>582</v>
      </c>
      <c r="Q1193">
        <v>344</v>
      </c>
      <c r="R1193">
        <v>270</v>
      </c>
      <c r="S1193">
        <v>22.76</v>
      </c>
    </row>
    <row r="1194" spans="12:19" x14ac:dyDescent="0.2">
      <c r="L1194" t="s">
        <v>374</v>
      </c>
      <c r="M1194">
        <v>299</v>
      </c>
      <c r="N1194">
        <v>1</v>
      </c>
      <c r="O1194">
        <v>4</v>
      </c>
      <c r="P1194">
        <v>582</v>
      </c>
      <c r="Q1194">
        <v>344</v>
      </c>
      <c r="R1194">
        <v>270</v>
      </c>
      <c r="S1194">
        <v>180</v>
      </c>
    </row>
    <row r="1195" spans="12:19" x14ac:dyDescent="0.2">
      <c r="L1195" t="s">
        <v>374</v>
      </c>
      <c r="M1195">
        <v>300</v>
      </c>
      <c r="N1195">
        <v>1</v>
      </c>
      <c r="O1195">
        <v>4</v>
      </c>
      <c r="P1195">
        <v>582</v>
      </c>
      <c r="Q1195">
        <v>344</v>
      </c>
      <c r="R1195">
        <v>270</v>
      </c>
      <c r="S1195">
        <v>98.22</v>
      </c>
    </row>
    <row r="1196" spans="12:19" x14ac:dyDescent="0.2">
      <c r="L1196" t="s">
        <v>374</v>
      </c>
      <c r="M1196">
        <v>309</v>
      </c>
      <c r="N1196">
        <v>1</v>
      </c>
      <c r="O1196">
        <v>4</v>
      </c>
      <c r="P1196">
        <v>582</v>
      </c>
      <c r="Q1196">
        <v>344</v>
      </c>
      <c r="R1196">
        <v>270</v>
      </c>
      <c r="S1196">
        <v>361</v>
      </c>
    </row>
    <row r="1197" spans="12:19" x14ac:dyDescent="0.2">
      <c r="L1197" t="s">
        <v>374</v>
      </c>
      <c r="M1197">
        <v>314</v>
      </c>
      <c r="N1197">
        <v>1</v>
      </c>
      <c r="O1197">
        <v>4</v>
      </c>
      <c r="P1197">
        <v>582</v>
      </c>
      <c r="Q1197">
        <v>344</v>
      </c>
      <c r="R1197">
        <v>270</v>
      </c>
      <c r="S1197">
        <v>278.29000000000002</v>
      </c>
    </row>
    <row r="1198" spans="12:19" x14ac:dyDescent="0.2">
      <c r="L1198" t="s">
        <v>374</v>
      </c>
      <c r="M1198">
        <v>316</v>
      </c>
      <c r="N1198">
        <v>1</v>
      </c>
      <c r="O1198">
        <v>4</v>
      </c>
      <c r="P1198">
        <v>582</v>
      </c>
      <c r="Q1198">
        <v>344</v>
      </c>
      <c r="R1198">
        <v>270</v>
      </c>
      <c r="S1198">
        <v>479.81</v>
      </c>
    </row>
    <row r="1199" spans="12:19" x14ac:dyDescent="0.2">
      <c r="L1199" t="s">
        <v>374</v>
      </c>
      <c r="M1199">
        <v>317</v>
      </c>
      <c r="N1199">
        <v>1</v>
      </c>
      <c r="O1199">
        <v>4</v>
      </c>
      <c r="P1199">
        <v>582</v>
      </c>
      <c r="Q1199">
        <v>344</v>
      </c>
      <c r="R1199">
        <v>270</v>
      </c>
      <c r="S1199">
        <v>895.93</v>
      </c>
    </row>
    <row r="1200" spans="12:19" x14ac:dyDescent="0.2">
      <c r="L1200" t="s">
        <v>374</v>
      </c>
      <c r="M1200">
        <v>332</v>
      </c>
      <c r="N1200">
        <v>1</v>
      </c>
      <c r="O1200">
        <v>4</v>
      </c>
      <c r="P1200">
        <v>582</v>
      </c>
      <c r="Q1200">
        <v>344</v>
      </c>
      <c r="R1200">
        <v>270</v>
      </c>
      <c r="S1200">
        <v>141.81</v>
      </c>
    </row>
    <row r="1201" spans="12:19" x14ac:dyDescent="0.2">
      <c r="L1201" t="s">
        <v>374</v>
      </c>
      <c r="M1201">
        <v>333</v>
      </c>
      <c r="N1201">
        <v>1</v>
      </c>
      <c r="O1201">
        <v>4</v>
      </c>
      <c r="P1201">
        <v>582</v>
      </c>
      <c r="Q1201">
        <v>344</v>
      </c>
      <c r="R1201">
        <v>270</v>
      </c>
      <c r="S1201">
        <v>99.57</v>
      </c>
    </row>
    <row r="1202" spans="12:19" x14ac:dyDescent="0.2">
      <c r="L1202" t="s">
        <v>374</v>
      </c>
      <c r="M1202">
        <v>347</v>
      </c>
      <c r="N1202">
        <v>1</v>
      </c>
      <c r="O1202">
        <v>4</v>
      </c>
      <c r="P1202">
        <v>582</v>
      </c>
      <c r="Q1202">
        <v>344</v>
      </c>
      <c r="R1202">
        <v>270</v>
      </c>
      <c r="S1202">
        <v>537.23</v>
      </c>
    </row>
    <row r="1203" spans="12:19" x14ac:dyDescent="0.2">
      <c r="L1203" t="s">
        <v>374</v>
      </c>
      <c r="M1203">
        <v>361</v>
      </c>
      <c r="N1203">
        <v>1</v>
      </c>
      <c r="O1203">
        <v>4</v>
      </c>
      <c r="P1203">
        <v>582</v>
      </c>
      <c r="Q1203">
        <v>344</v>
      </c>
      <c r="R1203">
        <v>270</v>
      </c>
      <c r="S1203">
        <v>445.19</v>
      </c>
    </row>
    <row r="1204" spans="12:19" x14ac:dyDescent="0.2">
      <c r="L1204" t="s">
        <v>374</v>
      </c>
      <c r="M1204">
        <v>392</v>
      </c>
      <c r="N1204">
        <v>1</v>
      </c>
      <c r="O1204">
        <v>4</v>
      </c>
      <c r="P1204">
        <v>582</v>
      </c>
      <c r="Q1204">
        <v>344</v>
      </c>
      <c r="R1204">
        <v>270</v>
      </c>
      <c r="S1204">
        <v>110</v>
      </c>
    </row>
    <row r="1205" spans="12:19" x14ac:dyDescent="0.2">
      <c r="L1205" t="s">
        <v>374</v>
      </c>
      <c r="M1205">
        <v>394</v>
      </c>
      <c r="N1205">
        <v>1</v>
      </c>
      <c r="O1205">
        <v>4</v>
      </c>
      <c r="P1205">
        <v>582</v>
      </c>
      <c r="Q1205">
        <v>344</v>
      </c>
      <c r="R1205">
        <v>270</v>
      </c>
      <c r="S1205">
        <v>365.18</v>
      </c>
    </row>
    <row r="1206" spans="12:19" x14ac:dyDescent="0.2">
      <c r="L1206" t="s">
        <v>374</v>
      </c>
      <c r="M1206">
        <v>404</v>
      </c>
      <c r="N1206">
        <v>1</v>
      </c>
      <c r="O1206">
        <v>4</v>
      </c>
      <c r="P1206">
        <v>582</v>
      </c>
      <c r="Q1206">
        <v>344</v>
      </c>
      <c r="R1206">
        <v>270</v>
      </c>
      <c r="S1206">
        <v>178.07</v>
      </c>
    </row>
    <row r="1207" spans="12:19" x14ac:dyDescent="0.2">
      <c r="L1207" t="s">
        <v>374</v>
      </c>
      <c r="M1207">
        <v>413</v>
      </c>
      <c r="N1207">
        <v>1</v>
      </c>
      <c r="O1207">
        <v>4</v>
      </c>
      <c r="P1207">
        <v>582</v>
      </c>
      <c r="Q1207">
        <v>344</v>
      </c>
      <c r="R1207">
        <v>270</v>
      </c>
      <c r="S1207">
        <v>202.66</v>
      </c>
    </row>
    <row r="1208" spans="12:19" x14ac:dyDescent="0.2">
      <c r="L1208" t="s">
        <v>374</v>
      </c>
      <c r="M1208">
        <v>423</v>
      </c>
      <c r="N1208">
        <v>1</v>
      </c>
      <c r="O1208">
        <v>4</v>
      </c>
      <c r="P1208">
        <v>582</v>
      </c>
      <c r="Q1208">
        <v>344</v>
      </c>
      <c r="R1208">
        <v>270</v>
      </c>
      <c r="S1208">
        <v>103.51</v>
      </c>
    </row>
    <row r="1209" spans="12:19" x14ac:dyDescent="0.2">
      <c r="L1209" t="s">
        <v>374</v>
      </c>
      <c r="M1209">
        <v>466</v>
      </c>
      <c r="N1209">
        <v>1</v>
      </c>
      <c r="O1209">
        <v>4</v>
      </c>
      <c r="P1209">
        <v>582</v>
      </c>
      <c r="Q1209">
        <v>344</v>
      </c>
      <c r="R1209">
        <v>270</v>
      </c>
      <c r="S1209">
        <v>338.68</v>
      </c>
    </row>
    <row r="1210" spans="12:19" x14ac:dyDescent="0.2">
      <c r="L1210" t="s">
        <v>374</v>
      </c>
      <c r="M1210">
        <v>482</v>
      </c>
      <c r="N1210">
        <v>1</v>
      </c>
      <c r="O1210">
        <v>4</v>
      </c>
      <c r="P1210">
        <v>582</v>
      </c>
      <c r="Q1210">
        <v>344</v>
      </c>
      <c r="R1210">
        <v>270</v>
      </c>
      <c r="S1210">
        <v>331.01</v>
      </c>
    </row>
    <row r="1211" spans="12:19" x14ac:dyDescent="0.2">
      <c r="L1211" t="s">
        <v>374</v>
      </c>
      <c r="M1211">
        <v>518</v>
      </c>
      <c r="N1211">
        <v>1</v>
      </c>
      <c r="O1211">
        <v>4</v>
      </c>
      <c r="P1211">
        <v>582</v>
      </c>
      <c r="Q1211">
        <v>344</v>
      </c>
      <c r="R1211">
        <v>270</v>
      </c>
      <c r="S1211">
        <v>184.44</v>
      </c>
    </row>
    <row r="1212" spans="12:19" x14ac:dyDescent="0.2">
      <c r="L1212" t="s">
        <v>374</v>
      </c>
      <c r="M1212">
        <v>535</v>
      </c>
      <c r="N1212">
        <v>1</v>
      </c>
      <c r="O1212">
        <v>4</v>
      </c>
      <c r="P1212">
        <v>582</v>
      </c>
      <c r="Q1212">
        <v>344</v>
      </c>
      <c r="R1212">
        <v>270</v>
      </c>
      <c r="S1212">
        <v>79.989999999999995</v>
      </c>
    </row>
    <row r="1213" spans="12:19" x14ac:dyDescent="0.2">
      <c r="L1213" t="s">
        <v>374</v>
      </c>
      <c r="M1213">
        <v>577</v>
      </c>
      <c r="N1213">
        <v>1</v>
      </c>
      <c r="O1213">
        <v>4</v>
      </c>
      <c r="P1213">
        <v>582</v>
      </c>
      <c r="Q1213">
        <v>344</v>
      </c>
      <c r="R1213">
        <v>270</v>
      </c>
      <c r="S1213">
        <v>47.71</v>
      </c>
    </row>
    <row r="1214" spans="12:19" x14ac:dyDescent="0.2">
      <c r="L1214" t="s">
        <v>374</v>
      </c>
      <c r="M1214">
        <v>581</v>
      </c>
      <c r="N1214">
        <v>1</v>
      </c>
      <c r="O1214">
        <v>4</v>
      </c>
      <c r="P1214">
        <v>582</v>
      </c>
      <c r="Q1214">
        <v>344</v>
      </c>
      <c r="R1214">
        <v>270</v>
      </c>
      <c r="S1214">
        <v>63.64</v>
      </c>
    </row>
    <row r="1215" spans="12:19" x14ac:dyDescent="0.2">
      <c r="L1215" t="s">
        <v>374</v>
      </c>
      <c r="M1215">
        <v>593</v>
      </c>
      <c r="N1215">
        <v>1</v>
      </c>
      <c r="O1215">
        <v>4</v>
      </c>
      <c r="P1215">
        <v>582</v>
      </c>
      <c r="Q1215">
        <v>344</v>
      </c>
      <c r="R1215">
        <v>270</v>
      </c>
      <c r="S1215">
        <v>273.26</v>
      </c>
    </row>
    <row r="1216" spans="12:19" x14ac:dyDescent="0.2">
      <c r="L1216" t="s">
        <v>374</v>
      </c>
      <c r="M1216">
        <v>595</v>
      </c>
      <c r="N1216">
        <v>1</v>
      </c>
      <c r="O1216">
        <v>4</v>
      </c>
      <c r="P1216">
        <v>582</v>
      </c>
      <c r="Q1216">
        <v>344</v>
      </c>
      <c r="R1216">
        <v>270</v>
      </c>
      <c r="S1216">
        <v>366.62</v>
      </c>
    </row>
    <row r="1217" spans="12:19" x14ac:dyDescent="0.2">
      <c r="L1217" t="s">
        <v>374</v>
      </c>
      <c r="M1217">
        <v>621</v>
      </c>
      <c r="N1217">
        <v>1</v>
      </c>
      <c r="O1217">
        <v>4</v>
      </c>
      <c r="P1217">
        <v>582</v>
      </c>
      <c r="Q1217">
        <v>344</v>
      </c>
      <c r="R1217">
        <v>270</v>
      </c>
      <c r="S1217">
        <v>284.31</v>
      </c>
    </row>
    <row r="1218" spans="12:19" x14ac:dyDescent="0.2">
      <c r="L1218" t="s">
        <v>374</v>
      </c>
      <c r="M1218">
        <v>622</v>
      </c>
      <c r="N1218">
        <v>1</v>
      </c>
      <c r="O1218">
        <v>4</v>
      </c>
      <c r="P1218">
        <v>582</v>
      </c>
      <c r="Q1218">
        <v>344</v>
      </c>
      <c r="R1218">
        <v>270</v>
      </c>
      <c r="S1218">
        <v>886.22</v>
      </c>
    </row>
    <row r="1219" spans="12:19" x14ac:dyDescent="0.2">
      <c r="L1219" t="s">
        <v>374</v>
      </c>
      <c r="M1219">
        <v>623</v>
      </c>
      <c r="N1219">
        <v>1</v>
      </c>
      <c r="O1219">
        <v>4</v>
      </c>
      <c r="P1219">
        <v>582</v>
      </c>
      <c r="Q1219">
        <v>344</v>
      </c>
      <c r="R1219">
        <v>270</v>
      </c>
      <c r="S1219">
        <v>342.14</v>
      </c>
    </row>
    <row r="1220" spans="12:19" x14ac:dyDescent="0.2">
      <c r="L1220" t="s">
        <v>374</v>
      </c>
      <c r="M1220">
        <v>625</v>
      </c>
      <c r="N1220">
        <v>1</v>
      </c>
      <c r="O1220">
        <v>4</v>
      </c>
      <c r="P1220">
        <v>582</v>
      </c>
      <c r="Q1220">
        <v>344</v>
      </c>
      <c r="R1220">
        <v>270</v>
      </c>
      <c r="S1220">
        <v>343.5</v>
      </c>
    </row>
    <row r="1221" spans="12:19" x14ac:dyDescent="0.2">
      <c r="L1221" t="s">
        <v>374</v>
      </c>
      <c r="M1221">
        <v>656</v>
      </c>
      <c r="N1221">
        <v>1</v>
      </c>
      <c r="O1221">
        <v>4</v>
      </c>
      <c r="P1221">
        <v>582</v>
      </c>
      <c r="Q1221">
        <v>344</v>
      </c>
      <c r="R1221">
        <v>270</v>
      </c>
      <c r="S1221">
        <v>245.72</v>
      </c>
    </row>
    <row r="1222" spans="12:19" x14ac:dyDescent="0.2">
      <c r="L1222" t="s">
        <v>374</v>
      </c>
      <c r="M1222">
        <v>659</v>
      </c>
      <c r="N1222">
        <v>1</v>
      </c>
      <c r="O1222">
        <v>4</v>
      </c>
      <c r="P1222">
        <v>582</v>
      </c>
      <c r="Q1222">
        <v>344</v>
      </c>
      <c r="R1222">
        <v>270</v>
      </c>
      <c r="S1222">
        <v>651.5</v>
      </c>
    </row>
    <row r="1223" spans="12:19" x14ac:dyDescent="0.2">
      <c r="L1223" t="s">
        <v>374</v>
      </c>
      <c r="M1223">
        <v>700</v>
      </c>
      <c r="N1223">
        <v>1</v>
      </c>
      <c r="O1223">
        <v>4</v>
      </c>
      <c r="P1223">
        <v>582</v>
      </c>
      <c r="Q1223">
        <v>344</v>
      </c>
      <c r="R1223">
        <v>270</v>
      </c>
      <c r="S1223">
        <v>585.46</v>
      </c>
    </row>
    <row r="1224" spans="12:19" x14ac:dyDescent="0.2">
      <c r="L1224" t="s">
        <v>374</v>
      </c>
      <c r="M1224">
        <v>706</v>
      </c>
      <c r="N1224">
        <v>1</v>
      </c>
      <c r="O1224">
        <v>4</v>
      </c>
      <c r="P1224">
        <v>582</v>
      </c>
      <c r="Q1224">
        <v>344</v>
      </c>
      <c r="R1224">
        <v>270</v>
      </c>
      <c r="S1224">
        <v>158.19</v>
      </c>
    </row>
    <row r="1225" spans="12:19" x14ac:dyDescent="0.2">
      <c r="L1225" t="s">
        <v>374</v>
      </c>
      <c r="M1225">
        <v>709</v>
      </c>
      <c r="N1225">
        <v>1</v>
      </c>
      <c r="O1225">
        <v>4</v>
      </c>
      <c r="P1225">
        <v>582</v>
      </c>
      <c r="Q1225">
        <v>344</v>
      </c>
      <c r="R1225">
        <v>270</v>
      </c>
      <c r="S1225">
        <v>910.94</v>
      </c>
    </row>
    <row r="1226" spans="12:19" x14ac:dyDescent="0.2">
      <c r="L1226" t="s">
        <v>374</v>
      </c>
      <c r="M1226">
        <v>716</v>
      </c>
      <c r="N1226">
        <v>1</v>
      </c>
      <c r="O1226">
        <v>4</v>
      </c>
      <c r="P1226">
        <v>582</v>
      </c>
      <c r="Q1226">
        <v>344</v>
      </c>
      <c r="R1226">
        <v>270</v>
      </c>
      <c r="S1226">
        <v>21.26</v>
      </c>
    </row>
    <row r="1227" spans="12:19" x14ac:dyDescent="0.2">
      <c r="L1227" t="s">
        <v>374</v>
      </c>
      <c r="M1227">
        <v>717</v>
      </c>
      <c r="N1227">
        <v>1</v>
      </c>
      <c r="O1227">
        <v>4</v>
      </c>
      <c r="P1227">
        <v>582</v>
      </c>
      <c r="Q1227">
        <v>344</v>
      </c>
      <c r="R1227">
        <v>270</v>
      </c>
      <c r="S1227">
        <v>78.33</v>
      </c>
    </row>
    <row r="1228" spans="12:19" x14ac:dyDescent="0.2">
      <c r="L1228" t="s">
        <v>374</v>
      </c>
      <c r="M1228">
        <v>719</v>
      </c>
      <c r="N1228">
        <v>1</v>
      </c>
      <c r="O1228">
        <v>4</v>
      </c>
      <c r="P1228">
        <v>582</v>
      </c>
      <c r="Q1228">
        <v>344</v>
      </c>
      <c r="R1228">
        <v>270</v>
      </c>
      <c r="S1228">
        <v>1322.17</v>
      </c>
    </row>
    <row r="1229" spans="12:19" x14ac:dyDescent="0.2">
      <c r="L1229" t="s">
        <v>374</v>
      </c>
      <c r="M1229">
        <v>727</v>
      </c>
      <c r="N1229">
        <v>1</v>
      </c>
      <c r="O1229">
        <v>4</v>
      </c>
      <c r="P1229">
        <v>582</v>
      </c>
      <c r="Q1229">
        <v>344</v>
      </c>
      <c r="R1229">
        <v>270</v>
      </c>
      <c r="S1229">
        <v>222.5</v>
      </c>
    </row>
    <row r="1230" spans="12:19" x14ac:dyDescent="0.2">
      <c r="L1230" t="s">
        <v>374</v>
      </c>
      <c r="M1230">
        <v>728</v>
      </c>
      <c r="N1230">
        <v>1</v>
      </c>
      <c r="O1230">
        <v>4</v>
      </c>
      <c r="P1230">
        <v>582</v>
      </c>
      <c r="Q1230">
        <v>344</v>
      </c>
      <c r="R1230">
        <v>270</v>
      </c>
      <c r="S1230">
        <v>1295</v>
      </c>
    </row>
    <row r="1231" spans="12:19" x14ac:dyDescent="0.2">
      <c r="L1231" t="s">
        <v>374</v>
      </c>
      <c r="M1231">
        <v>739</v>
      </c>
      <c r="N1231">
        <v>1</v>
      </c>
      <c r="O1231">
        <v>4</v>
      </c>
      <c r="P1231">
        <v>582</v>
      </c>
      <c r="Q1231">
        <v>344</v>
      </c>
      <c r="R1231">
        <v>270</v>
      </c>
      <c r="S1231">
        <v>79.95</v>
      </c>
    </row>
    <row r="1232" spans="12:19" x14ac:dyDescent="0.2">
      <c r="L1232" t="s">
        <v>374</v>
      </c>
      <c r="M1232">
        <v>741</v>
      </c>
      <c r="N1232">
        <v>1</v>
      </c>
      <c r="O1232">
        <v>4</v>
      </c>
      <c r="P1232">
        <v>582</v>
      </c>
      <c r="Q1232">
        <v>344</v>
      </c>
      <c r="R1232">
        <v>270</v>
      </c>
      <c r="S1232">
        <v>154.69999999999999</v>
      </c>
    </row>
    <row r="1233" spans="12:19" x14ac:dyDescent="0.2">
      <c r="L1233" t="s">
        <v>374</v>
      </c>
      <c r="M1233">
        <v>742</v>
      </c>
      <c r="N1233">
        <v>1</v>
      </c>
      <c r="O1233">
        <v>4</v>
      </c>
      <c r="P1233">
        <v>582</v>
      </c>
      <c r="Q1233">
        <v>344</v>
      </c>
      <c r="R1233">
        <v>270</v>
      </c>
      <c r="S1233">
        <v>2500</v>
      </c>
    </row>
    <row r="1234" spans="12:19" x14ac:dyDescent="0.2">
      <c r="L1234" t="s">
        <v>374</v>
      </c>
      <c r="M1234">
        <v>743</v>
      </c>
      <c r="N1234">
        <v>1</v>
      </c>
      <c r="O1234">
        <v>4</v>
      </c>
      <c r="P1234">
        <v>582</v>
      </c>
      <c r="Q1234">
        <v>344</v>
      </c>
      <c r="R1234">
        <v>270</v>
      </c>
      <c r="S1234">
        <v>110</v>
      </c>
    </row>
    <row r="1235" spans="12:19" x14ac:dyDescent="0.2">
      <c r="L1235" t="s">
        <v>374</v>
      </c>
      <c r="M1235">
        <v>745</v>
      </c>
      <c r="N1235">
        <v>1</v>
      </c>
      <c r="O1235">
        <v>4</v>
      </c>
      <c r="P1235">
        <v>582</v>
      </c>
      <c r="Q1235">
        <v>344</v>
      </c>
      <c r="R1235">
        <v>270</v>
      </c>
      <c r="S1235">
        <v>246.38</v>
      </c>
    </row>
    <row r="1236" spans="12:19" x14ac:dyDescent="0.2">
      <c r="L1236" t="s">
        <v>374</v>
      </c>
      <c r="M1236">
        <v>748</v>
      </c>
      <c r="N1236">
        <v>1</v>
      </c>
      <c r="O1236">
        <v>4</v>
      </c>
      <c r="P1236">
        <v>582</v>
      </c>
      <c r="Q1236">
        <v>344</v>
      </c>
      <c r="R1236">
        <v>270</v>
      </c>
      <c r="S1236">
        <v>254.03</v>
      </c>
    </row>
    <row r="1237" spans="12:19" x14ac:dyDescent="0.2">
      <c r="L1237" t="s">
        <v>374</v>
      </c>
      <c r="M1237">
        <v>761</v>
      </c>
      <c r="N1237">
        <v>1</v>
      </c>
      <c r="O1237">
        <v>4</v>
      </c>
      <c r="P1237">
        <v>582</v>
      </c>
      <c r="Q1237">
        <v>344</v>
      </c>
      <c r="R1237">
        <v>270</v>
      </c>
      <c r="S1237">
        <v>496.48</v>
      </c>
    </row>
    <row r="1238" spans="12:19" x14ac:dyDescent="0.2">
      <c r="L1238" t="s">
        <v>374</v>
      </c>
      <c r="M1238">
        <v>829</v>
      </c>
      <c r="N1238">
        <v>1</v>
      </c>
      <c r="O1238">
        <v>4</v>
      </c>
      <c r="P1238">
        <v>582</v>
      </c>
      <c r="Q1238">
        <v>344</v>
      </c>
      <c r="R1238">
        <v>270</v>
      </c>
      <c r="S1238">
        <v>116.51</v>
      </c>
    </row>
    <row r="1239" spans="12:19" x14ac:dyDescent="0.2">
      <c r="L1239" t="s">
        <v>374</v>
      </c>
      <c r="M1239">
        <v>831</v>
      </c>
      <c r="N1239">
        <v>1</v>
      </c>
      <c r="O1239">
        <v>4</v>
      </c>
      <c r="P1239">
        <v>582</v>
      </c>
      <c r="Q1239">
        <v>344</v>
      </c>
      <c r="R1239">
        <v>270</v>
      </c>
      <c r="S1239">
        <v>3437.17</v>
      </c>
    </row>
    <row r="1240" spans="12:19" x14ac:dyDescent="0.2">
      <c r="L1240" t="s">
        <v>374</v>
      </c>
      <c r="M1240">
        <v>833</v>
      </c>
      <c r="N1240">
        <v>1</v>
      </c>
      <c r="O1240">
        <v>4</v>
      </c>
      <c r="P1240">
        <v>582</v>
      </c>
      <c r="Q1240">
        <v>344</v>
      </c>
      <c r="R1240">
        <v>270</v>
      </c>
      <c r="S1240">
        <v>1462.11</v>
      </c>
    </row>
    <row r="1241" spans="12:19" x14ac:dyDescent="0.2">
      <c r="L1241" t="s">
        <v>374</v>
      </c>
      <c r="M1241">
        <v>834</v>
      </c>
      <c r="N1241">
        <v>1</v>
      </c>
      <c r="O1241">
        <v>4</v>
      </c>
      <c r="P1241">
        <v>582</v>
      </c>
      <c r="Q1241">
        <v>344</v>
      </c>
      <c r="R1241">
        <v>270</v>
      </c>
      <c r="S1241">
        <v>758.79</v>
      </c>
    </row>
    <row r="1242" spans="12:19" x14ac:dyDescent="0.2">
      <c r="L1242" t="s">
        <v>374</v>
      </c>
      <c r="M1242">
        <v>876</v>
      </c>
      <c r="N1242">
        <v>1</v>
      </c>
      <c r="O1242">
        <v>4</v>
      </c>
      <c r="P1242">
        <v>582</v>
      </c>
      <c r="Q1242">
        <v>344</v>
      </c>
      <c r="R1242">
        <v>270</v>
      </c>
      <c r="S1242">
        <v>616</v>
      </c>
    </row>
    <row r="1243" spans="12:19" x14ac:dyDescent="0.2">
      <c r="L1243" t="s">
        <v>374</v>
      </c>
      <c r="M1243">
        <v>879</v>
      </c>
      <c r="N1243">
        <v>1</v>
      </c>
      <c r="O1243">
        <v>4</v>
      </c>
      <c r="P1243">
        <v>582</v>
      </c>
      <c r="Q1243">
        <v>344</v>
      </c>
      <c r="R1243">
        <v>270</v>
      </c>
      <c r="S1243">
        <v>57.53</v>
      </c>
    </row>
    <row r="1244" spans="12:19" x14ac:dyDescent="0.2">
      <c r="L1244" t="s">
        <v>374</v>
      </c>
      <c r="M1244">
        <v>882</v>
      </c>
      <c r="N1244">
        <v>1</v>
      </c>
      <c r="O1244">
        <v>4</v>
      </c>
      <c r="P1244">
        <v>582</v>
      </c>
      <c r="Q1244">
        <v>344</v>
      </c>
      <c r="R1244">
        <v>270</v>
      </c>
      <c r="S1244">
        <v>27.85</v>
      </c>
    </row>
    <row r="1245" spans="12:19" x14ac:dyDescent="0.2">
      <c r="L1245" t="s">
        <v>374</v>
      </c>
      <c r="M1245">
        <v>883</v>
      </c>
      <c r="N1245">
        <v>1</v>
      </c>
      <c r="O1245">
        <v>4</v>
      </c>
      <c r="P1245">
        <v>582</v>
      </c>
      <c r="Q1245">
        <v>344</v>
      </c>
      <c r="R1245">
        <v>270</v>
      </c>
      <c r="S1245">
        <v>708.66</v>
      </c>
    </row>
    <row r="1246" spans="12:19" x14ac:dyDescent="0.2">
      <c r="L1246" t="s">
        <v>374</v>
      </c>
      <c r="M1246">
        <v>885</v>
      </c>
      <c r="N1246">
        <v>1</v>
      </c>
      <c r="O1246">
        <v>4</v>
      </c>
      <c r="P1246">
        <v>582</v>
      </c>
      <c r="Q1246">
        <v>344</v>
      </c>
      <c r="R1246">
        <v>270</v>
      </c>
      <c r="S1246">
        <v>1080.81</v>
      </c>
    </row>
    <row r="1247" spans="12:19" x14ac:dyDescent="0.2">
      <c r="L1247" t="s">
        <v>374</v>
      </c>
      <c r="M1247">
        <v>891</v>
      </c>
      <c r="N1247">
        <v>1</v>
      </c>
      <c r="O1247">
        <v>4</v>
      </c>
      <c r="P1247">
        <v>582</v>
      </c>
      <c r="Q1247">
        <v>344</v>
      </c>
      <c r="R1247">
        <v>270</v>
      </c>
      <c r="S1247">
        <v>92.51</v>
      </c>
    </row>
    <row r="1248" spans="12:19" x14ac:dyDescent="0.2">
      <c r="L1248" t="s">
        <v>374</v>
      </c>
      <c r="M1248">
        <v>911</v>
      </c>
      <c r="N1248">
        <v>1</v>
      </c>
      <c r="O1248">
        <v>4</v>
      </c>
      <c r="P1248">
        <v>582</v>
      </c>
      <c r="Q1248">
        <v>344</v>
      </c>
      <c r="R1248">
        <v>270</v>
      </c>
      <c r="S1248">
        <v>76.760000000000005</v>
      </c>
    </row>
    <row r="1249" spans="12:19" x14ac:dyDescent="0.2">
      <c r="L1249" t="s">
        <v>374</v>
      </c>
      <c r="M1249">
        <v>912</v>
      </c>
      <c r="N1249">
        <v>1</v>
      </c>
      <c r="O1249">
        <v>4</v>
      </c>
      <c r="P1249">
        <v>582</v>
      </c>
      <c r="Q1249">
        <v>344</v>
      </c>
      <c r="R1249">
        <v>270</v>
      </c>
      <c r="S1249">
        <v>213.53</v>
      </c>
    </row>
    <row r="1250" spans="12:19" x14ac:dyDescent="0.2">
      <c r="L1250" t="s">
        <v>374</v>
      </c>
      <c r="M1250">
        <v>2071</v>
      </c>
      <c r="N1250">
        <v>1</v>
      </c>
      <c r="O1250">
        <v>4</v>
      </c>
      <c r="P1250">
        <v>582</v>
      </c>
      <c r="Q1250">
        <v>344</v>
      </c>
      <c r="R1250">
        <v>270</v>
      </c>
      <c r="S1250">
        <v>206.98</v>
      </c>
    </row>
    <row r="1251" spans="12:19" x14ac:dyDescent="0.2">
      <c r="L1251" t="s">
        <v>374</v>
      </c>
      <c r="M1251">
        <v>2125</v>
      </c>
      <c r="N1251">
        <v>1</v>
      </c>
      <c r="O1251">
        <v>4</v>
      </c>
      <c r="P1251">
        <v>582</v>
      </c>
      <c r="Q1251">
        <v>344</v>
      </c>
      <c r="R1251">
        <v>270</v>
      </c>
      <c r="S1251">
        <v>211</v>
      </c>
    </row>
    <row r="1252" spans="12:19" x14ac:dyDescent="0.2">
      <c r="L1252" t="s">
        <v>374</v>
      </c>
      <c r="M1252">
        <v>2134</v>
      </c>
      <c r="N1252">
        <v>1</v>
      </c>
      <c r="O1252">
        <v>4</v>
      </c>
      <c r="P1252">
        <v>582</v>
      </c>
      <c r="Q1252">
        <v>344</v>
      </c>
      <c r="R1252">
        <v>270</v>
      </c>
      <c r="S1252">
        <v>195.6</v>
      </c>
    </row>
    <row r="1253" spans="12:19" x14ac:dyDescent="0.2">
      <c r="L1253" t="s">
        <v>374</v>
      </c>
      <c r="M1253">
        <v>2143</v>
      </c>
      <c r="N1253">
        <v>1</v>
      </c>
      <c r="O1253">
        <v>4</v>
      </c>
      <c r="P1253">
        <v>582</v>
      </c>
      <c r="Q1253">
        <v>344</v>
      </c>
      <c r="R1253">
        <v>270</v>
      </c>
      <c r="S1253">
        <v>62.11</v>
      </c>
    </row>
    <row r="1254" spans="12:19" x14ac:dyDescent="0.2">
      <c r="L1254" t="s">
        <v>374</v>
      </c>
      <c r="M1254">
        <v>2144</v>
      </c>
      <c r="N1254">
        <v>1</v>
      </c>
      <c r="O1254">
        <v>4</v>
      </c>
      <c r="P1254">
        <v>582</v>
      </c>
      <c r="Q1254">
        <v>344</v>
      </c>
      <c r="R1254">
        <v>270</v>
      </c>
      <c r="S1254">
        <v>122.93</v>
      </c>
    </row>
    <row r="1255" spans="12:19" x14ac:dyDescent="0.2">
      <c r="L1255" t="s">
        <v>374</v>
      </c>
      <c r="M1255">
        <v>2149</v>
      </c>
      <c r="N1255">
        <v>1</v>
      </c>
      <c r="O1255">
        <v>4</v>
      </c>
      <c r="P1255">
        <v>582</v>
      </c>
      <c r="Q1255">
        <v>344</v>
      </c>
      <c r="R1255">
        <v>270</v>
      </c>
      <c r="S1255">
        <v>19</v>
      </c>
    </row>
    <row r="1256" spans="12:19" x14ac:dyDescent="0.2">
      <c r="L1256" t="s">
        <v>374</v>
      </c>
      <c r="M1256">
        <v>2154</v>
      </c>
      <c r="N1256">
        <v>1</v>
      </c>
      <c r="O1256">
        <v>4</v>
      </c>
      <c r="P1256">
        <v>582</v>
      </c>
      <c r="Q1256">
        <v>344</v>
      </c>
      <c r="R1256">
        <v>270</v>
      </c>
      <c r="S1256">
        <v>95.73</v>
      </c>
    </row>
    <row r="1257" spans="12:19" x14ac:dyDescent="0.2">
      <c r="L1257" t="s">
        <v>374</v>
      </c>
      <c r="M1257">
        <v>2155</v>
      </c>
      <c r="N1257">
        <v>1</v>
      </c>
      <c r="O1257">
        <v>4</v>
      </c>
      <c r="P1257">
        <v>582</v>
      </c>
      <c r="Q1257">
        <v>344</v>
      </c>
      <c r="R1257">
        <v>270</v>
      </c>
      <c r="S1257">
        <v>44</v>
      </c>
    </row>
    <row r="1258" spans="12:19" x14ac:dyDescent="0.2">
      <c r="L1258" t="s">
        <v>374</v>
      </c>
      <c r="M1258">
        <v>2165</v>
      </c>
      <c r="N1258">
        <v>1</v>
      </c>
      <c r="O1258">
        <v>4</v>
      </c>
      <c r="P1258">
        <v>582</v>
      </c>
      <c r="Q1258">
        <v>344</v>
      </c>
      <c r="R1258">
        <v>270</v>
      </c>
      <c r="S1258">
        <v>118.14</v>
      </c>
    </row>
    <row r="1259" spans="12:19" x14ac:dyDescent="0.2">
      <c r="L1259" t="s">
        <v>374</v>
      </c>
      <c r="M1259">
        <v>2169</v>
      </c>
      <c r="N1259">
        <v>1</v>
      </c>
      <c r="O1259">
        <v>4</v>
      </c>
      <c r="P1259">
        <v>582</v>
      </c>
      <c r="Q1259">
        <v>344</v>
      </c>
      <c r="R1259">
        <v>270</v>
      </c>
      <c r="S1259">
        <v>278.33</v>
      </c>
    </row>
    <row r="1260" spans="12:19" x14ac:dyDescent="0.2">
      <c r="L1260" t="s">
        <v>374</v>
      </c>
      <c r="M1260">
        <v>2170</v>
      </c>
      <c r="N1260">
        <v>1</v>
      </c>
      <c r="O1260">
        <v>4</v>
      </c>
      <c r="P1260">
        <v>582</v>
      </c>
      <c r="Q1260">
        <v>344</v>
      </c>
      <c r="R1260">
        <v>270</v>
      </c>
      <c r="S1260">
        <v>12.97</v>
      </c>
    </row>
    <row r="1261" spans="12:19" x14ac:dyDescent="0.2">
      <c r="L1261" t="s">
        <v>374</v>
      </c>
      <c r="M1261">
        <v>2184</v>
      </c>
      <c r="N1261">
        <v>1</v>
      </c>
      <c r="O1261">
        <v>4</v>
      </c>
      <c r="P1261">
        <v>582</v>
      </c>
      <c r="Q1261">
        <v>344</v>
      </c>
      <c r="R1261">
        <v>270</v>
      </c>
      <c r="S1261">
        <v>50</v>
      </c>
    </row>
    <row r="1262" spans="12:19" x14ac:dyDescent="0.2">
      <c r="L1262" t="s">
        <v>374</v>
      </c>
      <c r="M1262">
        <v>2397</v>
      </c>
      <c r="N1262">
        <v>1</v>
      </c>
      <c r="O1262">
        <v>4</v>
      </c>
      <c r="P1262">
        <v>582</v>
      </c>
      <c r="Q1262">
        <v>344</v>
      </c>
      <c r="R1262">
        <v>270</v>
      </c>
      <c r="S1262">
        <v>97.35</v>
      </c>
    </row>
    <row r="1263" spans="12:19" x14ac:dyDescent="0.2">
      <c r="L1263" t="s">
        <v>374</v>
      </c>
      <c r="M1263">
        <v>2580</v>
      </c>
      <c r="N1263">
        <v>1</v>
      </c>
      <c r="O1263">
        <v>4</v>
      </c>
      <c r="P1263">
        <v>582</v>
      </c>
      <c r="Q1263">
        <v>344</v>
      </c>
      <c r="R1263">
        <v>270</v>
      </c>
      <c r="S1263">
        <v>133.44</v>
      </c>
    </row>
    <row r="1264" spans="12:19" x14ac:dyDescent="0.2">
      <c r="L1264" t="s">
        <v>374</v>
      </c>
      <c r="M1264">
        <v>2687</v>
      </c>
      <c r="N1264">
        <v>1</v>
      </c>
      <c r="O1264">
        <v>4</v>
      </c>
      <c r="P1264">
        <v>582</v>
      </c>
      <c r="Q1264">
        <v>344</v>
      </c>
      <c r="R1264">
        <v>270</v>
      </c>
      <c r="S1264">
        <v>21</v>
      </c>
    </row>
    <row r="1265" spans="12:19" x14ac:dyDescent="0.2">
      <c r="L1265" t="s">
        <v>374</v>
      </c>
      <c r="M1265">
        <v>2689</v>
      </c>
      <c r="N1265">
        <v>1</v>
      </c>
      <c r="O1265">
        <v>4</v>
      </c>
      <c r="P1265">
        <v>582</v>
      </c>
      <c r="Q1265">
        <v>344</v>
      </c>
      <c r="R1265">
        <v>270</v>
      </c>
      <c r="S1265">
        <v>91.47</v>
      </c>
    </row>
    <row r="1266" spans="12:19" x14ac:dyDescent="0.2">
      <c r="L1266" t="s">
        <v>374</v>
      </c>
      <c r="M1266">
        <v>2752</v>
      </c>
      <c r="N1266">
        <v>1</v>
      </c>
      <c r="O1266">
        <v>4</v>
      </c>
      <c r="P1266">
        <v>582</v>
      </c>
      <c r="Q1266">
        <v>344</v>
      </c>
      <c r="R1266">
        <v>270</v>
      </c>
      <c r="S1266">
        <v>214</v>
      </c>
    </row>
    <row r="1267" spans="12:19" x14ac:dyDescent="0.2">
      <c r="L1267" t="s">
        <v>374</v>
      </c>
      <c r="M1267">
        <v>2835</v>
      </c>
      <c r="N1267">
        <v>1</v>
      </c>
      <c r="O1267">
        <v>4</v>
      </c>
      <c r="P1267">
        <v>582</v>
      </c>
      <c r="Q1267">
        <v>344</v>
      </c>
      <c r="R1267">
        <v>270</v>
      </c>
      <c r="S1267">
        <v>229.1</v>
      </c>
    </row>
    <row r="1268" spans="12:19" x14ac:dyDescent="0.2">
      <c r="L1268" t="s">
        <v>374</v>
      </c>
      <c r="M1268">
        <v>2859</v>
      </c>
      <c r="N1268">
        <v>1</v>
      </c>
      <c r="O1268">
        <v>4</v>
      </c>
      <c r="P1268">
        <v>582</v>
      </c>
      <c r="Q1268">
        <v>344</v>
      </c>
      <c r="R1268">
        <v>270</v>
      </c>
      <c r="S1268">
        <v>244.22</v>
      </c>
    </row>
    <row r="1269" spans="12:19" x14ac:dyDescent="0.2">
      <c r="L1269" t="s">
        <v>374</v>
      </c>
      <c r="M1269">
        <v>2889</v>
      </c>
      <c r="N1269">
        <v>1</v>
      </c>
      <c r="O1269">
        <v>4</v>
      </c>
      <c r="P1269">
        <v>582</v>
      </c>
      <c r="Q1269">
        <v>344</v>
      </c>
      <c r="R1269">
        <v>270</v>
      </c>
      <c r="S1269">
        <v>166.74</v>
      </c>
    </row>
    <row r="1270" spans="12:19" x14ac:dyDescent="0.2">
      <c r="L1270" t="s">
        <v>374</v>
      </c>
      <c r="M1270">
        <v>2895</v>
      </c>
      <c r="N1270">
        <v>1</v>
      </c>
      <c r="O1270">
        <v>4</v>
      </c>
      <c r="P1270">
        <v>582</v>
      </c>
      <c r="Q1270">
        <v>344</v>
      </c>
      <c r="R1270">
        <v>270</v>
      </c>
      <c r="S1270">
        <v>287</v>
      </c>
    </row>
    <row r="1271" spans="12:19" x14ac:dyDescent="0.2">
      <c r="L1271" t="s">
        <v>374</v>
      </c>
      <c r="M1271">
        <v>2897</v>
      </c>
      <c r="N1271">
        <v>1</v>
      </c>
      <c r="O1271">
        <v>4</v>
      </c>
      <c r="P1271">
        <v>582</v>
      </c>
      <c r="Q1271">
        <v>344</v>
      </c>
      <c r="R1271">
        <v>270</v>
      </c>
      <c r="S1271">
        <v>342.42</v>
      </c>
    </row>
    <row r="1272" spans="12:19" x14ac:dyDescent="0.2">
      <c r="L1272" t="s">
        <v>374</v>
      </c>
      <c r="M1272">
        <v>2898</v>
      </c>
      <c r="N1272">
        <v>1</v>
      </c>
      <c r="O1272">
        <v>4</v>
      </c>
      <c r="P1272">
        <v>582</v>
      </c>
      <c r="Q1272">
        <v>344</v>
      </c>
      <c r="R1272">
        <v>270</v>
      </c>
      <c r="S1272">
        <v>31.8</v>
      </c>
    </row>
    <row r="1273" spans="12:19" x14ac:dyDescent="0.2">
      <c r="L1273" t="s">
        <v>374</v>
      </c>
      <c r="M1273">
        <v>256</v>
      </c>
      <c r="N1273">
        <v>1</v>
      </c>
      <c r="O1273">
        <v>4</v>
      </c>
      <c r="P1273">
        <v>582</v>
      </c>
      <c r="Q1273">
        <v>0</v>
      </c>
      <c r="R1273">
        <v>270</v>
      </c>
      <c r="S1273">
        <v>1884.81</v>
      </c>
    </row>
    <row r="1274" spans="12:19" x14ac:dyDescent="0.2">
      <c r="L1274" t="s">
        <v>374</v>
      </c>
      <c r="M1274">
        <v>621</v>
      </c>
      <c r="N1274">
        <v>1</v>
      </c>
      <c r="O1274">
        <v>4</v>
      </c>
      <c r="P1274">
        <v>582</v>
      </c>
      <c r="Q1274">
        <v>0</v>
      </c>
      <c r="R1274">
        <v>270</v>
      </c>
      <c r="S1274">
        <v>35.9</v>
      </c>
    </row>
    <row r="1275" spans="12:19" x14ac:dyDescent="0.2">
      <c r="L1275" t="s">
        <v>374</v>
      </c>
      <c r="M1275">
        <v>271</v>
      </c>
      <c r="N1275">
        <v>1</v>
      </c>
      <c r="O1275">
        <v>4</v>
      </c>
      <c r="P1275">
        <v>582</v>
      </c>
      <c r="Q1275">
        <v>344</v>
      </c>
      <c r="R1275">
        <v>252</v>
      </c>
      <c r="S1275">
        <v>12197.15</v>
      </c>
    </row>
    <row r="1276" spans="12:19" x14ac:dyDescent="0.2">
      <c r="L1276" t="s">
        <v>374</v>
      </c>
      <c r="M1276">
        <v>15</v>
      </c>
      <c r="N1276">
        <v>1</v>
      </c>
      <c r="O1276">
        <v>4</v>
      </c>
      <c r="P1276">
        <v>582</v>
      </c>
      <c r="Q1276">
        <v>344</v>
      </c>
      <c r="R1276">
        <v>251</v>
      </c>
      <c r="S1276">
        <v>100</v>
      </c>
    </row>
    <row r="1277" spans="12:19" x14ac:dyDescent="0.2">
      <c r="L1277" t="s">
        <v>374</v>
      </c>
      <c r="M1277">
        <v>16</v>
      </c>
      <c r="N1277">
        <v>1</v>
      </c>
      <c r="O1277">
        <v>4</v>
      </c>
      <c r="P1277">
        <v>582</v>
      </c>
      <c r="Q1277">
        <v>344</v>
      </c>
      <c r="R1277">
        <v>251</v>
      </c>
      <c r="S1277">
        <v>570.03</v>
      </c>
    </row>
    <row r="1278" spans="12:19" x14ac:dyDescent="0.2">
      <c r="L1278" t="s">
        <v>374</v>
      </c>
      <c r="M1278">
        <v>22</v>
      </c>
      <c r="N1278">
        <v>1</v>
      </c>
      <c r="O1278">
        <v>4</v>
      </c>
      <c r="P1278">
        <v>582</v>
      </c>
      <c r="Q1278">
        <v>344</v>
      </c>
      <c r="R1278">
        <v>251</v>
      </c>
      <c r="S1278">
        <v>55.71</v>
      </c>
    </row>
    <row r="1279" spans="12:19" x14ac:dyDescent="0.2">
      <c r="L1279" t="s">
        <v>374</v>
      </c>
      <c r="M1279">
        <v>47</v>
      </c>
      <c r="N1279">
        <v>1</v>
      </c>
      <c r="O1279">
        <v>4</v>
      </c>
      <c r="P1279">
        <v>582</v>
      </c>
      <c r="Q1279">
        <v>344</v>
      </c>
      <c r="R1279">
        <v>251</v>
      </c>
      <c r="S1279">
        <v>4394.5200000000004</v>
      </c>
    </row>
    <row r="1280" spans="12:19" x14ac:dyDescent="0.2">
      <c r="L1280" t="s">
        <v>374</v>
      </c>
      <c r="M1280">
        <v>138</v>
      </c>
      <c r="N1280">
        <v>1</v>
      </c>
      <c r="O1280">
        <v>4</v>
      </c>
      <c r="P1280">
        <v>582</v>
      </c>
      <c r="Q1280">
        <v>344</v>
      </c>
      <c r="R1280">
        <v>251</v>
      </c>
      <c r="S1280">
        <v>300</v>
      </c>
    </row>
    <row r="1281" spans="12:19" x14ac:dyDescent="0.2">
      <c r="L1281" t="s">
        <v>374</v>
      </c>
      <c r="M1281">
        <v>182</v>
      </c>
      <c r="N1281">
        <v>1</v>
      </c>
      <c r="O1281">
        <v>4</v>
      </c>
      <c r="P1281">
        <v>582</v>
      </c>
      <c r="Q1281">
        <v>344</v>
      </c>
      <c r="R1281">
        <v>251</v>
      </c>
      <c r="S1281">
        <v>416.21</v>
      </c>
    </row>
    <row r="1282" spans="12:19" x14ac:dyDescent="0.2">
      <c r="L1282" t="s">
        <v>374</v>
      </c>
      <c r="M1282">
        <v>192</v>
      </c>
      <c r="N1282">
        <v>1</v>
      </c>
      <c r="O1282">
        <v>4</v>
      </c>
      <c r="P1282">
        <v>582</v>
      </c>
      <c r="Q1282">
        <v>344</v>
      </c>
      <c r="R1282">
        <v>251</v>
      </c>
      <c r="S1282">
        <v>150</v>
      </c>
    </row>
    <row r="1283" spans="12:19" x14ac:dyDescent="0.2">
      <c r="L1283" t="s">
        <v>374</v>
      </c>
      <c r="M1283">
        <v>229</v>
      </c>
      <c r="N1283">
        <v>1</v>
      </c>
      <c r="O1283">
        <v>4</v>
      </c>
      <c r="P1283">
        <v>582</v>
      </c>
      <c r="Q1283">
        <v>344</v>
      </c>
      <c r="R1283">
        <v>251</v>
      </c>
      <c r="S1283">
        <v>128.82</v>
      </c>
    </row>
    <row r="1284" spans="12:19" x14ac:dyDescent="0.2">
      <c r="L1284" t="s">
        <v>374</v>
      </c>
      <c r="M1284">
        <v>256</v>
      </c>
      <c r="N1284">
        <v>1</v>
      </c>
      <c r="O1284">
        <v>4</v>
      </c>
      <c r="P1284">
        <v>582</v>
      </c>
      <c r="Q1284">
        <v>344</v>
      </c>
      <c r="R1284">
        <v>251</v>
      </c>
      <c r="S1284">
        <v>13.8</v>
      </c>
    </row>
    <row r="1285" spans="12:19" x14ac:dyDescent="0.2">
      <c r="L1285" t="s">
        <v>374</v>
      </c>
      <c r="M1285">
        <v>270</v>
      </c>
      <c r="N1285">
        <v>1</v>
      </c>
      <c r="O1285">
        <v>4</v>
      </c>
      <c r="P1285">
        <v>582</v>
      </c>
      <c r="Q1285">
        <v>344</v>
      </c>
      <c r="R1285">
        <v>251</v>
      </c>
      <c r="S1285">
        <v>374.21</v>
      </c>
    </row>
    <row r="1286" spans="12:19" x14ac:dyDescent="0.2">
      <c r="L1286" t="s">
        <v>374</v>
      </c>
      <c r="M1286">
        <v>300</v>
      </c>
      <c r="N1286">
        <v>1</v>
      </c>
      <c r="O1286">
        <v>4</v>
      </c>
      <c r="P1286">
        <v>582</v>
      </c>
      <c r="Q1286">
        <v>344</v>
      </c>
      <c r="R1286">
        <v>251</v>
      </c>
      <c r="S1286">
        <v>219.74</v>
      </c>
    </row>
    <row r="1287" spans="12:19" x14ac:dyDescent="0.2">
      <c r="L1287" t="s">
        <v>374</v>
      </c>
      <c r="M1287">
        <v>347</v>
      </c>
      <c r="N1287">
        <v>1</v>
      </c>
      <c r="O1287">
        <v>4</v>
      </c>
      <c r="P1287">
        <v>582</v>
      </c>
      <c r="Q1287">
        <v>344</v>
      </c>
      <c r="R1287">
        <v>251</v>
      </c>
      <c r="S1287">
        <v>2474.59</v>
      </c>
    </row>
    <row r="1288" spans="12:19" x14ac:dyDescent="0.2">
      <c r="L1288" t="s">
        <v>374</v>
      </c>
      <c r="M1288">
        <v>423</v>
      </c>
      <c r="N1288">
        <v>1</v>
      </c>
      <c r="O1288">
        <v>4</v>
      </c>
      <c r="P1288">
        <v>582</v>
      </c>
      <c r="Q1288">
        <v>344</v>
      </c>
      <c r="R1288">
        <v>251</v>
      </c>
      <c r="S1288">
        <v>144.75</v>
      </c>
    </row>
    <row r="1289" spans="12:19" x14ac:dyDescent="0.2">
      <c r="L1289" t="s">
        <v>374</v>
      </c>
      <c r="M1289">
        <v>465</v>
      </c>
      <c r="N1289">
        <v>1</v>
      </c>
      <c r="O1289">
        <v>4</v>
      </c>
      <c r="P1289">
        <v>582</v>
      </c>
      <c r="Q1289">
        <v>344</v>
      </c>
      <c r="R1289">
        <v>251</v>
      </c>
      <c r="S1289">
        <v>854.13</v>
      </c>
    </row>
    <row r="1290" spans="12:19" x14ac:dyDescent="0.2">
      <c r="L1290" t="s">
        <v>374</v>
      </c>
      <c r="M1290">
        <v>480</v>
      </c>
      <c r="N1290">
        <v>1</v>
      </c>
      <c r="O1290">
        <v>4</v>
      </c>
      <c r="P1290">
        <v>582</v>
      </c>
      <c r="Q1290">
        <v>344</v>
      </c>
      <c r="R1290">
        <v>251</v>
      </c>
      <c r="S1290">
        <v>68.459999999999994</v>
      </c>
    </row>
    <row r="1291" spans="12:19" x14ac:dyDescent="0.2">
      <c r="L1291" t="s">
        <v>374</v>
      </c>
      <c r="M1291">
        <v>508</v>
      </c>
      <c r="N1291">
        <v>1</v>
      </c>
      <c r="O1291">
        <v>4</v>
      </c>
      <c r="P1291">
        <v>582</v>
      </c>
      <c r="Q1291">
        <v>344</v>
      </c>
      <c r="R1291">
        <v>251</v>
      </c>
      <c r="S1291">
        <v>132.32</v>
      </c>
    </row>
    <row r="1292" spans="12:19" x14ac:dyDescent="0.2">
      <c r="L1292" t="s">
        <v>374</v>
      </c>
      <c r="M1292">
        <v>577</v>
      </c>
      <c r="N1292">
        <v>1</v>
      </c>
      <c r="O1292">
        <v>4</v>
      </c>
      <c r="P1292">
        <v>582</v>
      </c>
      <c r="Q1292">
        <v>344</v>
      </c>
      <c r="R1292">
        <v>251</v>
      </c>
      <c r="S1292">
        <v>163.94</v>
      </c>
    </row>
    <row r="1293" spans="12:19" x14ac:dyDescent="0.2">
      <c r="L1293" t="s">
        <v>374</v>
      </c>
      <c r="M1293">
        <v>623</v>
      </c>
      <c r="N1293">
        <v>1</v>
      </c>
      <c r="O1293">
        <v>4</v>
      </c>
      <c r="P1293">
        <v>582</v>
      </c>
      <c r="Q1293">
        <v>344</v>
      </c>
      <c r="R1293">
        <v>251</v>
      </c>
      <c r="S1293">
        <v>784.39</v>
      </c>
    </row>
    <row r="1294" spans="12:19" x14ac:dyDescent="0.2">
      <c r="L1294" t="s">
        <v>374</v>
      </c>
      <c r="M1294">
        <v>624</v>
      </c>
      <c r="N1294">
        <v>1</v>
      </c>
      <c r="O1294">
        <v>4</v>
      </c>
      <c r="P1294">
        <v>582</v>
      </c>
      <c r="Q1294">
        <v>344</v>
      </c>
      <c r="R1294">
        <v>251</v>
      </c>
      <c r="S1294">
        <v>324.70999999999998</v>
      </c>
    </row>
    <row r="1295" spans="12:19" x14ac:dyDescent="0.2">
      <c r="L1295" t="s">
        <v>374</v>
      </c>
      <c r="M1295">
        <v>656</v>
      </c>
      <c r="N1295">
        <v>1</v>
      </c>
      <c r="O1295">
        <v>4</v>
      </c>
      <c r="P1295">
        <v>582</v>
      </c>
      <c r="Q1295">
        <v>344</v>
      </c>
      <c r="R1295">
        <v>251</v>
      </c>
      <c r="S1295">
        <v>292.8</v>
      </c>
    </row>
    <row r="1296" spans="12:19" x14ac:dyDescent="0.2">
      <c r="L1296" t="s">
        <v>374</v>
      </c>
      <c r="M1296">
        <v>659</v>
      </c>
      <c r="N1296">
        <v>1</v>
      </c>
      <c r="O1296">
        <v>4</v>
      </c>
      <c r="P1296">
        <v>582</v>
      </c>
      <c r="Q1296">
        <v>344</v>
      </c>
      <c r="R1296">
        <v>251</v>
      </c>
      <c r="S1296">
        <v>2537.83</v>
      </c>
    </row>
    <row r="1297" spans="12:19" x14ac:dyDescent="0.2">
      <c r="L1297" t="s">
        <v>374</v>
      </c>
      <c r="M1297">
        <v>777</v>
      </c>
      <c r="N1297">
        <v>1</v>
      </c>
      <c r="O1297">
        <v>4</v>
      </c>
      <c r="P1297">
        <v>582</v>
      </c>
      <c r="Q1297">
        <v>344</v>
      </c>
      <c r="R1297">
        <v>251</v>
      </c>
      <c r="S1297">
        <v>9.1199999999999992</v>
      </c>
    </row>
    <row r="1298" spans="12:19" x14ac:dyDescent="0.2">
      <c r="L1298" t="s">
        <v>374</v>
      </c>
      <c r="M1298">
        <v>820</v>
      </c>
      <c r="N1298">
        <v>1</v>
      </c>
      <c r="O1298">
        <v>4</v>
      </c>
      <c r="P1298">
        <v>582</v>
      </c>
      <c r="Q1298">
        <v>344</v>
      </c>
      <c r="R1298">
        <v>251</v>
      </c>
      <c r="S1298">
        <v>1009.97</v>
      </c>
    </row>
    <row r="1299" spans="12:19" x14ac:dyDescent="0.2">
      <c r="L1299" t="s">
        <v>374</v>
      </c>
      <c r="M1299">
        <v>885</v>
      </c>
      <c r="N1299">
        <v>1</v>
      </c>
      <c r="O1299">
        <v>4</v>
      </c>
      <c r="P1299">
        <v>582</v>
      </c>
      <c r="Q1299">
        <v>344</v>
      </c>
      <c r="R1299">
        <v>251</v>
      </c>
      <c r="S1299">
        <v>736.62</v>
      </c>
    </row>
    <row r="1300" spans="12:19" x14ac:dyDescent="0.2">
      <c r="L1300" t="s">
        <v>374</v>
      </c>
      <c r="M1300">
        <v>2125</v>
      </c>
      <c r="N1300">
        <v>1</v>
      </c>
      <c r="O1300">
        <v>4</v>
      </c>
      <c r="P1300">
        <v>582</v>
      </c>
      <c r="Q1300">
        <v>344</v>
      </c>
      <c r="R1300">
        <v>251</v>
      </c>
      <c r="S1300">
        <v>1580.37</v>
      </c>
    </row>
    <row r="1301" spans="12:19" x14ac:dyDescent="0.2">
      <c r="L1301" t="s">
        <v>374</v>
      </c>
      <c r="M1301">
        <v>2134</v>
      </c>
      <c r="N1301">
        <v>1</v>
      </c>
      <c r="O1301">
        <v>4</v>
      </c>
      <c r="P1301">
        <v>582</v>
      </c>
      <c r="Q1301">
        <v>344</v>
      </c>
      <c r="R1301">
        <v>251</v>
      </c>
      <c r="S1301">
        <v>1320</v>
      </c>
    </row>
    <row r="1302" spans="12:19" x14ac:dyDescent="0.2">
      <c r="L1302" t="s">
        <v>374</v>
      </c>
      <c r="M1302">
        <v>2135</v>
      </c>
      <c r="N1302">
        <v>1</v>
      </c>
      <c r="O1302">
        <v>4</v>
      </c>
      <c r="P1302">
        <v>582</v>
      </c>
      <c r="Q1302">
        <v>344</v>
      </c>
      <c r="R1302">
        <v>251</v>
      </c>
      <c r="S1302">
        <v>1292</v>
      </c>
    </row>
    <row r="1303" spans="12:19" x14ac:dyDescent="0.2">
      <c r="L1303" t="s">
        <v>374</v>
      </c>
      <c r="M1303">
        <v>625</v>
      </c>
      <c r="N1303">
        <v>1</v>
      </c>
      <c r="O1303">
        <v>4</v>
      </c>
      <c r="P1303">
        <v>582</v>
      </c>
      <c r="Q1303">
        <v>599</v>
      </c>
      <c r="R1303">
        <v>250</v>
      </c>
      <c r="S1303">
        <v>1205.4100000000001</v>
      </c>
    </row>
    <row r="1304" spans="12:19" x14ac:dyDescent="0.2">
      <c r="L1304" t="s">
        <v>374</v>
      </c>
      <c r="M1304">
        <v>1</v>
      </c>
      <c r="N1304">
        <v>1</v>
      </c>
      <c r="O1304">
        <v>4</v>
      </c>
      <c r="P1304">
        <v>582</v>
      </c>
      <c r="Q1304">
        <v>344</v>
      </c>
      <c r="R1304">
        <v>250</v>
      </c>
      <c r="S1304">
        <v>81.2</v>
      </c>
    </row>
    <row r="1305" spans="12:19" x14ac:dyDescent="0.2">
      <c r="L1305" t="s">
        <v>374</v>
      </c>
      <c r="M1305">
        <v>1</v>
      </c>
      <c r="N1305">
        <v>3</v>
      </c>
      <c r="O1305">
        <v>4</v>
      </c>
      <c r="P1305">
        <v>582</v>
      </c>
      <c r="Q1305">
        <v>344</v>
      </c>
      <c r="R1305">
        <v>250</v>
      </c>
      <c r="S1305">
        <v>5516.14</v>
      </c>
    </row>
    <row r="1306" spans="12:19" x14ac:dyDescent="0.2">
      <c r="L1306" t="s">
        <v>374</v>
      </c>
      <c r="M1306">
        <v>1</v>
      </c>
      <c r="N1306">
        <v>3</v>
      </c>
      <c r="O1306">
        <v>4</v>
      </c>
      <c r="P1306">
        <v>582</v>
      </c>
      <c r="Q1306">
        <v>344</v>
      </c>
      <c r="R1306">
        <v>250</v>
      </c>
      <c r="S1306">
        <v>63.67</v>
      </c>
    </row>
    <row r="1307" spans="12:19" x14ac:dyDescent="0.2">
      <c r="L1307" t="s">
        <v>374</v>
      </c>
      <c r="M1307">
        <v>1</v>
      </c>
      <c r="N1307">
        <v>3</v>
      </c>
      <c r="O1307">
        <v>4</v>
      </c>
      <c r="P1307">
        <v>582</v>
      </c>
      <c r="Q1307">
        <v>344</v>
      </c>
      <c r="R1307">
        <v>250</v>
      </c>
      <c r="S1307">
        <v>79.62</v>
      </c>
    </row>
    <row r="1308" spans="12:19" x14ac:dyDescent="0.2">
      <c r="L1308" t="s">
        <v>374</v>
      </c>
      <c r="M1308">
        <v>1</v>
      </c>
      <c r="N1308">
        <v>3</v>
      </c>
      <c r="O1308">
        <v>4</v>
      </c>
      <c r="P1308">
        <v>582</v>
      </c>
      <c r="Q1308">
        <v>344</v>
      </c>
      <c r="R1308">
        <v>250</v>
      </c>
      <c r="S1308">
        <v>63.69</v>
      </c>
    </row>
    <row r="1309" spans="12:19" x14ac:dyDescent="0.2">
      <c r="L1309" t="s">
        <v>374</v>
      </c>
      <c r="M1309">
        <v>1</v>
      </c>
      <c r="N1309">
        <v>3</v>
      </c>
      <c r="O1309">
        <v>4</v>
      </c>
      <c r="P1309">
        <v>582</v>
      </c>
      <c r="Q1309">
        <v>344</v>
      </c>
      <c r="R1309">
        <v>250</v>
      </c>
      <c r="S1309">
        <v>9.5399999999999991</v>
      </c>
    </row>
    <row r="1310" spans="12:19" x14ac:dyDescent="0.2">
      <c r="L1310" t="s">
        <v>374</v>
      </c>
      <c r="M1310">
        <v>1</v>
      </c>
      <c r="N1310">
        <v>3</v>
      </c>
      <c r="O1310">
        <v>4</v>
      </c>
      <c r="P1310">
        <v>582</v>
      </c>
      <c r="Q1310">
        <v>344</v>
      </c>
      <c r="R1310">
        <v>250</v>
      </c>
      <c r="S1310">
        <v>63.67</v>
      </c>
    </row>
    <row r="1311" spans="12:19" x14ac:dyDescent="0.2">
      <c r="L1311" t="s">
        <v>374</v>
      </c>
      <c r="M1311">
        <v>1</v>
      </c>
      <c r="N1311">
        <v>3</v>
      </c>
      <c r="O1311">
        <v>4</v>
      </c>
      <c r="P1311">
        <v>582</v>
      </c>
      <c r="Q1311">
        <v>344</v>
      </c>
      <c r="R1311">
        <v>250</v>
      </c>
      <c r="S1311">
        <v>127.34</v>
      </c>
    </row>
    <row r="1312" spans="12:19" x14ac:dyDescent="0.2">
      <c r="L1312" t="s">
        <v>374</v>
      </c>
      <c r="M1312">
        <v>1</v>
      </c>
      <c r="N1312">
        <v>3</v>
      </c>
      <c r="O1312">
        <v>4</v>
      </c>
      <c r="P1312">
        <v>582</v>
      </c>
      <c r="Q1312">
        <v>344</v>
      </c>
      <c r="R1312">
        <v>250</v>
      </c>
      <c r="S1312">
        <v>127.34</v>
      </c>
    </row>
    <row r="1313" spans="12:19" x14ac:dyDescent="0.2">
      <c r="L1313" t="s">
        <v>374</v>
      </c>
      <c r="M1313">
        <v>1</v>
      </c>
      <c r="N1313">
        <v>3</v>
      </c>
      <c r="O1313">
        <v>4</v>
      </c>
      <c r="P1313">
        <v>582</v>
      </c>
      <c r="Q1313">
        <v>344</v>
      </c>
      <c r="R1313">
        <v>250</v>
      </c>
      <c r="S1313">
        <v>104.84</v>
      </c>
    </row>
    <row r="1314" spans="12:19" x14ac:dyDescent="0.2">
      <c r="L1314" t="s">
        <v>374</v>
      </c>
      <c r="M1314">
        <v>6</v>
      </c>
      <c r="N1314">
        <v>3</v>
      </c>
      <c r="O1314">
        <v>4</v>
      </c>
      <c r="P1314">
        <v>582</v>
      </c>
      <c r="Q1314">
        <v>344</v>
      </c>
      <c r="R1314">
        <v>250</v>
      </c>
      <c r="S1314">
        <v>834.64</v>
      </c>
    </row>
    <row r="1315" spans="12:19" x14ac:dyDescent="0.2">
      <c r="L1315" t="s">
        <v>374</v>
      </c>
      <c r="M1315">
        <v>11</v>
      </c>
      <c r="N1315">
        <v>1</v>
      </c>
      <c r="O1315">
        <v>4</v>
      </c>
      <c r="P1315">
        <v>582</v>
      </c>
      <c r="Q1315">
        <v>344</v>
      </c>
      <c r="R1315">
        <v>250</v>
      </c>
      <c r="S1315">
        <v>4083.16</v>
      </c>
    </row>
    <row r="1316" spans="12:19" x14ac:dyDescent="0.2">
      <c r="L1316" t="s">
        <v>374</v>
      </c>
      <c r="M1316">
        <v>12</v>
      </c>
      <c r="N1316">
        <v>1</v>
      </c>
      <c r="O1316">
        <v>4</v>
      </c>
      <c r="P1316">
        <v>582</v>
      </c>
      <c r="Q1316">
        <v>344</v>
      </c>
      <c r="R1316">
        <v>250</v>
      </c>
      <c r="S1316">
        <v>23.98</v>
      </c>
    </row>
    <row r="1317" spans="12:19" x14ac:dyDescent="0.2">
      <c r="L1317" t="s">
        <v>374</v>
      </c>
      <c r="M1317">
        <v>14</v>
      </c>
      <c r="N1317">
        <v>1</v>
      </c>
      <c r="O1317">
        <v>4</v>
      </c>
      <c r="P1317">
        <v>582</v>
      </c>
      <c r="Q1317">
        <v>344</v>
      </c>
      <c r="R1317">
        <v>250</v>
      </c>
      <c r="S1317">
        <v>503.92</v>
      </c>
    </row>
    <row r="1318" spans="12:19" x14ac:dyDescent="0.2">
      <c r="L1318" t="s">
        <v>374</v>
      </c>
      <c r="M1318">
        <v>15</v>
      </c>
      <c r="N1318">
        <v>1</v>
      </c>
      <c r="O1318">
        <v>4</v>
      </c>
      <c r="P1318">
        <v>582</v>
      </c>
      <c r="Q1318">
        <v>344</v>
      </c>
      <c r="R1318">
        <v>250</v>
      </c>
      <c r="S1318">
        <v>100</v>
      </c>
    </row>
    <row r="1319" spans="12:19" x14ac:dyDescent="0.2">
      <c r="L1319" t="s">
        <v>374</v>
      </c>
      <c r="M1319">
        <v>16</v>
      </c>
      <c r="N1319">
        <v>1</v>
      </c>
      <c r="O1319">
        <v>4</v>
      </c>
      <c r="P1319">
        <v>582</v>
      </c>
      <c r="Q1319">
        <v>344</v>
      </c>
      <c r="R1319">
        <v>250</v>
      </c>
      <c r="S1319">
        <v>190.06</v>
      </c>
    </row>
    <row r="1320" spans="12:19" x14ac:dyDescent="0.2">
      <c r="L1320" t="s">
        <v>374</v>
      </c>
      <c r="M1320">
        <v>22</v>
      </c>
      <c r="N1320">
        <v>1</v>
      </c>
      <c r="O1320">
        <v>4</v>
      </c>
      <c r="P1320">
        <v>582</v>
      </c>
      <c r="Q1320">
        <v>344</v>
      </c>
      <c r="R1320">
        <v>250</v>
      </c>
      <c r="S1320">
        <v>28.5</v>
      </c>
    </row>
    <row r="1321" spans="12:19" x14ac:dyDescent="0.2">
      <c r="L1321" t="s">
        <v>374</v>
      </c>
      <c r="M1321">
        <v>23</v>
      </c>
      <c r="N1321">
        <v>1</v>
      </c>
      <c r="O1321">
        <v>4</v>
      </c>
      <c r="P1321">
        <v>582</v>
      </c>
      <c r="Q1321">
        <v>344</v>
      </c>
      <c r="R1321">
        <v>250</v>
      </c>
      <c r="S1321">
        <v>8.76</v>
      </c>
    </row>
    <row r="1322" spans="12:19" x14ac:dyDescent="0.2">
      <c r="L1322" s="36" t="s">
        <v>374</v>
      </c>
      <c r="M1322" s="36">
        <v>31</v>
      </c>
      <c r="N1322" s="36">
        <v>1</v>
      </c>
      <c r="O1322" s="36">
        <v>4</v>
      </c>
      <c r="P1322" s="36">
        <v>582</v>
      </c>
      <c r="Q1322" s="36">
        <v>344</v>
      </c>
      <c r="R1322" s="36">
        <v>250</v>
      </c>
      <c r="S1322" s="36">
        <v>1600.08</v>
      </c>
    </row>
    <row r="1323" spans="12:19" x14ac:dyDescent="0.2">
      <c r="L1323" t="s">
        <v>374</v>
      </c>
      <c r="M1323">
        <v>32</v>
      </c>
      <c r="N1323">
        <v>1</v>
      </c>
      <c r="O1323">
        <v>4</v>
      </c>
      <c r="P1323">
        <v>582</v>
      </c>
      <c r="Q1323">
        <v>344</v>
      </c>
      <c r="R1323">
        <v>250</v>
      </c>
      <c r="S1323">
        <v>148.08000000000001</v>
      </c>
    </row>
    <row r="1324" spans="12:19" x14ac:dyDescent="0.2">
      <c r="L1324" t="s">
        <v>374</v>
      </c>
      <c r="M1324">
        <v>38</v>
      </c>
      <c r="N1324">
        <v>1</v>
      </c>
      <c r="O1324">
        <v>4</v>
      </c>
      <c r="P1324">
        <v>582</v>
      </c>
      <c r="Q1324">
        <v>344</v>
      </c>
      <c r="R1324">
        <v>250</v>
      </c>
      <c r="S1324">
        <v>493</v>
      </c>
    </row>
    <row r="1325" spans="12:19" x14ac:dyDescent="0.2">
      <c r="L1325" t="s">
        <v>374</v>
      </c>
      <c r="M1325">
        <v>47</v>
      </c>
      <c r="N1325">
        <v>1</v>
      </c>
      <c r="O1325">
        <v>4</v>
      </c>
      <c r="P1325">
        <v>582</v>
      </c>
      <c r="Q1325">
        <v>344</v>
      </c>
      <c r="R1325">
        <v>250</v>
      </c>
      <c r="S1325">
        <v>942.62</v>
      </c>
    </row>
    <row r="1326" spans="12:19" x14ac:dyDescent="0.2">
      <c r="L1326" t="s">
        <v>374</v>
      </c>
      <c r="M1326">
        <v>51</v>
      </c>
      <c r="N1326">
        <v>1</v>
      </c>
      <c r="O1326">
        <v>4</v>
      </c>
      <c r="P1326">
        <v>582</v>
      </c>
      <c r="Q1326">
        <v>344</v>
      </c>
      <c r="R1326">
        <v>250</v>
      </c>
      <c r="S1326">
        <v>134.88</v>
      </c>
    </row>
    <row r="1327" spans="12:19" x14ac:dyDescent="0.2">
      <c r="L1327" t="s">
        <v>374</v>
      </c>
      <c r="M1327">
        <v>75</v>
      </c>
      <c r="N1327">
        <v>1</v>
      </c>
      <c r="O1327">
        <v>4</v>
      </c>
      <c r="P1327">
        <v>582</v>
      </c>
      <c r="Q1327">
        <v>344</v>
      </c>
      <c r="R1327">
        <v>250</v>
      </c>
      <c r="S1327">
        <v>2.85</v>
      </c>
    </row>
    <row r="1328" spans="12:19" x14ac:dyDescent="0.2">
      <c r="L1328" t="s">
        <v>374</v>
      </c>
      <c r="M1328">
        <v>77</v>
      </c>
      <c r="N1328">
        <v>1</v>
      </c>
      <c r="O1328">
        <v>4</v>
      </c>
      <c r="P1328">
        <v>582</v>
      </c>
      <c r="Q1328">
        <v>344</v>
      </c>
      <c r="R1328">
        <v>250</v>
      </c>
      <c r="S1328">
        <v>354.01</v>
      </c>
    </row>
    <row r="1329" spans="12:19" x14ac:dyDescent="0.2">
      <c r="L1329" t="s">
        <v>374</v>
      </c>
      <c r="M1329">
        <v>84</v>
      </c>
      <c r="N1329">
        <v>1</v>
      </c>
      <c r="O1329">
        <v>4</v>
      </c>
      <c r="P1329">
        <v>582</v>
      </c>
      <c r="Q1329">
        <v>344</v>
      </c>
      <c r="R1329">
        <v>250</v>
      </c>
      <c r="S1329">
        <v>11.94</v>
      </c>
    </row>
    <row r="1330" spans="12:19" x14ac:dyDescent="0.2">
      <c r="L1330" t="s">
        <v>374</v>
      </c>
      <c r="M1330">
        <v>85</v>
      </c>
      <c r="N1330">
        <v>1</v>
      </c>
      <c r="O1330">
        <v>4</v>
      </c>
      <c r="P1330">
        <v>582</v>
      </c>
      <c r="Q1330">
        <v>344</v>
      </c>
      <c r="R1330">
        <v>250</v>
      </c>
      <c r="S1330">
        <v>3.4</v>
      </c>
    </row>
    <row r="1331" spans="12:19" x14ac:dyDescent="0.2">
      <c r="L1331" t="s">
        <v>374</v>
      </c>
      <c r="M1331">
        <v>111</v>
      </c>
      <c r="N1331">
        <v>1</v>
      </c>
      <c r="O1331">
        <v>4</v>
      </c>
      <c r="P1331">
        <v>582</v>
      </c>
      <c r="Q1331">
        <v>344</v>
      </c>
      <c r="R1331">
        <v>250</v>
      </c>
      <c r="S1331">
        <v>202.79</v>
      </c>
    </row>
    <row r="1332" spans="12:19" x14ac:dyDescent="0.2">
      <c r="L1332" t="s">
        <v>374</v>
      </c>
      <c r="M1332">
        <v>112</v>
      </c>
      <c r="N1332">
        <v>1</v>
      </c>
      <c r="O1332">
        <v>4</v>
      </c>
      <c r="P1332">
        <v>582</v>
      </c>
      <c r="Q1332">
        <v>344</v>
      </c>
      <c r="R1332">
        <v>250</v>
      </c>
      <c r="S1332">
        <v>2106.0100000000002</v>
      </c>
    </row>
    <row r="1333" spans="12:19" x14ac:dyDescent="0.2">
      <c r="L1333" t="s">
        <v>374</v>
      </c>
      <c r="M1333">
        <v>115</v>
      </c>
      <c r="N1333">
        <v>1</v>
      </c>
      <c r="O1333">
        <v>4</v>
      </c>
      <c r="P1333">
        <v>582</v>
      </c>
      <c r="Q1333">
        <v>344</v>
      </c>
      <c r="R1333">
        <v>250</v>
      </c>
      <c r="S1333">
        <v>318.42</v>
      </c>
    </row>
    <row r="1334" spans="12:19" x14ac:dyDescent="0.2">
      <c r="L1334" t="s">
        <v>374</v>
      </c>
      <c r="M1334">
        <v>138</v>
      </c>
      <c r="N1334">
        <v>1</v>
      </c>
      <c r="O1334">
        <v>4</v>
      </c>
      <c r="P1334">
        <v>582</v>
      </c>
      <c r="Q1334">
        <v>344</v>
      </c>
      <c r="R1334">
        <v>250</v>
      </c>
      <c r="S1334">
        <v>240.02</v>
      </c>
    </row>
    <row r="1335" spans="12:19" x14ac:dyDescent="0.2">
      <c r="L1335" t="s">
        <v>374</v>
      </c>
      <c r="M1335">
        <v>152</v>
      </c>
      <c r="N1335">
        <v>1</v>
      </c>
      <c r="O1335">
        <v>4</v>
      </c>
      <c r="P1335">
        <v>582</v>
      </c>
      <c r="Q1335">
        <v>344</v>
      </c>
      <c r="R1335">
        <v>250</v>
      </c>
      <c r="S1335">
        <v>492.96</v>
      </c>
    </row>
    <row r="1336" spans="12:19" x14ac:dyDescent="0.2">
      <c r="L1336" t="s">
        <v>374</v>
      </c>
      <c r="M1336">
        <v>162</v>
      </c>
      <c r="N1336">
        <v>1</v>
      </c>
      <c r="O1336">
        <v>4</v>
      </c>
      <c r="P1336">
        <v>582</v>
      </c>
      <c r="Q1336">
        <v>344</v>
      </c>
      <c r="R1336">
        <v>250</v>
      </c>
      <c r="S1336">
        <v>376.13</v>
      </c>
    </row>
    <row r="1337" spans="12:19" x14ac:dyDescent="0.2">
      <c r="L1337" t="s">
        <v>374</v>
      </c>
      <c r="M1337">
        <v>181</v>
      </c>
      <c r="N1337">
        <v>1</v>
      </c>
      <c r="O1337">
        <v>4</v>
      </c>
      <c r="P1337">
        <v>582</v>
      </c>
      <c r="Q1337">
        <v>344</v>
      </c>
      <c r="R1337">
        <v>250</v>
      </c>
      <c r="S1337">
        <v>470.03</v>
      </c>
    </row>
    <row r="1338" spans="12:19" x14ac:dyDescent="0.2">
      <c r="L1338" t="s">
        <v>374</v>
      </c>
      <c r="M1338">
        <v>182</v>
      </c>
      <c r="N1338">
        <v>1</v>
      </c>
      <c r="O1338">
        <v>4</v>
      </c>
      <c r="P1338">
        <v>582</v>
      </c>
      <c r="Q1338">
        <v>344</v>
      </c>
      <c r="R1338">
        <v>250</v>
      </c>
      <c r="S1338">
        <v>222.07</v>
      </c>
    </row>
    <row r="1339" spans="12:19" x14ac:dyDescent="0.2">
      <c r="L1339" t="s">
        <v>374</v>
      </c>
      <c r="M1339">
        <v>191</v>
      </c>
      <c r="N1339">
        <v>1</v>
      </c>
      <c r="O1339">
        <v>4</v>
      </c>
      <c r="P1339">
        <v>582</v>
      </c>
      <c r="Q1339">
        <v>344</v>
      </c>
      <c r="R1339">
        <v>250</v>
      </c>
      <c r="S1339">
        <v>329.76</v>
      </c>
    </row>
    <row r="1340" spans="12:19" x14ac:dyDescent="0.2">
      <c r="L1340" t="s">
        <v>374</v>
      </c>
      <c r="M1340">
        <v>192</v>
      </c>
      <c r="N1340">
        <v>1</v>
      </c>
      <c r="O1340">
        <v>4</v>
      </c>
      <c r="P1340">
        <v>582</v>
      </c>
      <c r="Q1340">
        <v>344</v>
      </c>
      <c r="R1340">
        <v>250</v>
      </c>
      <c r="S1340">
        <v>379.39</v>
      </c>
    </row>
    <row r="1341" spans="12:19" x14ac:dyDescent="0.2">
      <c r="L1341" t="s">
        <v>374</v>
      </c>
      <c r="M1341">
        <v>194</v>
      </c>
      <c r="N1341">
        <v>1</v>
      </c>
      <c r="O1341">
        <v>4</v>
      </c>
      <c r="P1341">
        <v>582</v>
      </c>
      <c r="Q1341">
        <v>344</v>
      </c>
      <c r="R1341">
        <v>250</v>
      </c>
      <c r="S1341">
        <v>379.87</v>
      </c>
    </row>
    <row r="1342" spans="12:19" x14ac:dyDescent="0.2">
      <c r="L1342" t="s">
        <v>374</v>
      </c>
      <c r="M1342">
        <v>196</v>
      </c>
      <c r="N1342">
        <v>1</v>
      </c>
      <c r="O1342">
        <v>4</v>
      </c>
      <c r="P1342">
        <v>582</v>
      </c>
      <c r="Q1342">
        <v>344</v>
      </c>
      <c r="R1342">
        <v>250</v>
      </c>
      <c r="S1342">
        <v>1397.75</v>
      </c>
    </row>
    <row r="1343" spans="12:19" x14ac:dyDescent="0.2">
      <c r="L1343" t="s">
        <v>374</v>
      </c>
      <c r="M1343">
        <v>197</v>
      </c>
      <c r="N1343">
        <v>1</v>
      </c>
      <c r="O1343">
        <v>4</v>
      </c>
      <c r="P1343">
        <v>582</v>
      </c>
      <c r="Q1343">
        <v>344</v>
      </c>
      <c r="R1343">
        <v>250</v>
      </c>
      <c r="S1343">
        <v>562.32000000000005</v>
      </c>
    </row>
    <row r="1344" spans="12:19" x14ac:dyDescent="0.2">
      <c r="L1344" t="s">
        <v>374</v>
      </c>
      <c r="M1344">
        <v>200</v>
      </c>
      <c r="N1344">
        <v>1</v>
      </c>
      <c r="O1344">
        <v>4</v>
      </c>
      <c r="P1344">
        <v>582</v>
      </c>
      <c r="Q1344">
        <v>344</v>
      </c>
      <c r="R1344">
        <v>250</v>
      </c>
      <c r="S1344">
        <v>1339.48</v>
      </c>
    </row>
    <row r="1345" spans="12:19" x14ac:dyDescent="0.2">
      <c r="L1345" t="s">
        <v>374</v>
      </c>
      <c r="M1345">
        <v>204</v>
      </c>
      <c r="N1345">
        <v>1</v>
      </c>
      <c r="O1345">
        <v>4</v>
      </c>
      <c r="P1345">
        <v>582</v>
      </c>
      <c r="Q1345">
        <v>344</v>
      </c>
      <c r="R1345">
        <v>250</v>
      </c>
      <c r="S1345">
        <v>1263.19</v>
      </c>
    </row>
    <row r="1346" spans="12:19" x14ac:dyDescent="0.2">
      <c r="L1346" t="s">
        <v>374</v>
      </c>
      <c r="M1346">
        <v>239</v>
      </c>
      <c r="N1346">
        <v>1</v>
      </c>
      <c r="O1346">
        <v>4</v>
      </c>
      <c r="P1346">
        <v>582</v>
      </c>
      <c r="Q1346">
        <v>344</v>
      </c>
      <c r="R1346">
        <v>250</v>
      </c>
      <c r="S1346">
        <v>21.72</v>
      </c>
    </row>
    <row r="1347" spans="12:19" x14ac:dyDescent="0.2">
      <c r="L1347" t="s">
        <v>374</v>
      </c>
      <c r="M1347">
        <v>241</v>
      </c>
      <c r="N1347">
        <v>1</v>
      </c>
      <c r="O1347">
        <v>4</v>
      </c>
      <c r="P1347">
        <v>582</v>
      </c>
      <c r="Q1347">
        <v>344</v>
      </c>
      <c r="R1347">
        <v>250</v>
      </c>
      <c r="S1347">
        <v>453.35</v>
      </c>
    </row>
    <row r="1348" spans="12:19" x14ac:dyDescent="0.2">
      <c r="L1348" t="s">
        <v>374</v>
      </c>
      <c r="M1348">
        <v>255</v>
      </c>
      <c r="N1348">
        <v>1</v>
      </c>
      <c r="O1348">
        <v>4</v>
      </c>
      <c r="P1348">
        <v>582</v>
      </c>
      <c r="Q1348">
        <v>344</v>
      </c>
      <c r="R1348">
        <v>250</v>
      </c>
      <c r="S1348">
        <v>299.93</v>
      </c>
    </row>
    <row r="1349" spans="12:19" x14ac:dyDescent="0.2">
      <c r="L1349" t="s">
        <v>374</v>
      </c>
      <c r="M1349">
        <v>256</v>
      </c>
      <c r="N1349">
        <v>1</v>
      </c>
      <c r="O1349">
        <v>4</v>
      </c>
      <c r="P1349">
        <v>582</v>
      </c>
      <c r="Q1349">
        <v>344</v>
      </c>
      <c r="R1349">
        <v>250</v>
      </c>
      <c r="S1349">
        <v>139.91999999999999</v>
      </c>
    </row>
    <row r="1350" spans="12:19" x14ac:dyDescent="0.2">
      <c r="L1350" t="s">
        <v>374</v>
      </c>
      <c r="M1350">
        <v>271</v>
      </c>
      <c r="N1350">
        <v>1</v>
      </c>
      <c r="O1350">
        <v>4</v>
      </c>
      <c r="P1350">
        <v>582</v>
      </c>
      <c r="Q1350">
        <v>344</v>
      </c>
      <c r="R1350">
        <v>250</v>
      </c>
      <c r="S1350">
        <v>4186.97</v>
      </c>
    </row>
    <row r="1351" spans="12:19" x14ac:dyDescent="0.2">
      <c r="L1351" t="s">
        <v>374</v>
      </c>
      <c r="M1351">
        <v>272</v>
      </c>
      <c r="N1351">
        <v>1</v>
      </c>
      <c r="O1351">
        <v>4</v>
      </c>
      <c r="P1351">
        <v>582</v>
      </c>
      <c r="Q1351">
        <v>344</v>
      </c>
      <c r="R1351">
        <v>250</v>
      </c>
      <c r="S1351">
        <v>840.86</v>
      </c>
    </row>
    <row r="1352" spans="12:19" x14ac:dyDescent="0.2">
      <c r="L1352" t="s">
        <v>374</v>
      </c>
      <c r="M1352">
        <v>276</v>
      </c>
      <c r="N1352">
        <v>1</v>
      </c>
      <c r="O1352">
        <v>4</v>
      </c>
      <c r="P1352">
        <v>582</v>
      </c>
      <c r="Q1352">
        <v>344</v>
      </c>
      <c r="R1352">
        <v>250</v>
      </c>
      <c r="S1352">
        <v>23.8</v>
      </c>
    </row>
    <row r="1353" spans="12:19" x14ac:dyDescent="0.2">
      <c r="L1353" t="s">
        <v>374</v>
      </c>
      <c r="M1353">
        <v>277</v>
      </c>
      <c r="N1353">
        <v>1</v>
      </c>
      <c r="O1353">
        <v>4</v>
      </c>
      <c r="P1353">
        <v>582</v>
      </c>
      <c r="Q1353">
        <v>344</v>
      </c>
      <c r="R1353">
        <v>250</v>
      </c>
      <c r="S1353">
        <v>707.82</v>
      </c>
    </row>
    <row r="1354" spans="12:19" x14ac:dyDescent="0.2">
      <c r="L1354" t="s">
        <v>374</v>
      </c>
      <c r="M1354">
        <v>279</v>
      </c>
      <c r="N1354">
        <v>1</v>
      </c>
      <c r="O1354">
        <v>4</v>
      </c>
      <c r="P1354">
        <v>582</v>
      </c>
      <c r="Q1354">
        <v>344</v>
      </c>
      <c r="R1354">
        <v>250</v>
      </c>
      <c r="S1354">
        <v>2237.42</v>
      </c>
    </row>
    <row r="1355" spans="12:19" x14ac:dyDescent="0.2">
      <c r="L1355" t="s">
        <v>374</v>
      </c>
      <c r="M1355">
        <v>284</v>
      </c>
      <c r="N1355">
        <v>1</v>
      </c>
      <c r="O1355">
        <v>4</v>
      </c>
      <c r="P1355">
        <v>582</v>
      </c>
      <c r="Q1355">
        <v>344</v>
      </c>
      <c r="R1355">
        <v>250</v>
      </c>
      <c r="S1355">
        <v>117.08</v>
      </c>
    </row>
    <row r="1356" spans="12:19" x14ac:dyDescent="0.2">
      <c r="L1356" t="s">
        <v>374</v>
      </c>
      <c r="M1356">
        <v>286</v>
      </c>
      <c r="N1356">
        <v>1</v>
      </c>
      <c r="O1356">
        <v>4</v>
      </c>
      <c r="P1356">
        <v>582</v>
      </c>
      <c r="Q1356">
        <v>344</v>
      </c>
      <c r="R1356">
        <v>250</v>
      </c>
      <c r="S1356">
        <v>755.23</v>
      </c>
    </row>
    <row r="1357" spans="12:19" x14ac:dyDescent="0.2">
      <c r="L1357" t="s">
        <v>374</v>
      </c>
      <c r="M1357">
        <v>294</v>
      </c>
      <c r="N1357">
        <v>1</v>
      </c>
      <c r="O1357">
        <v>4</v>
      </c>
      <c r="P1357">
        <v>582</v>
      </c>
      <c r="Q1357">
        <v>344</v>
      </c>
      <c r="R1357">
        <v>250</v>
      </c>
      <c r="S1357">
        <v>36.369999999999997</v>
      </c>
    </row>
    <row r="1358" spans="12:19" x14ac:dyDescent="0.2">
      <c r="L1358" t="s">
        <v>374</v>
      </c>
      <c r="M1358">
        <v>299</v>
      </c>
      <c r="N1358">
        <v>1</v>
      </c>
      <c r="O1358">
        <v>4</v>
      </c>
      <c r="P1358">
        <v>582</v>
      </c>
      <c r="Q1358">
        <v>344</v>
      </c>
      <c r="R1358">
        <v>250</v>
      </c>
      <c r="S1358">
        <v>59.85</v>
      </c>
    </row>
    <row r="1359" spans="12:19" x14ac:dyDescent="0.2">
      <c r="L1359" t="s">
        <v>374</v>
      </c>
      <c r="M1359">
        <v>300</v>
      </c>
      <c r="N1359">
        <v>1</v>
      </c>
      <c r="O1359">
        <v>4</v>
      </c>
      <c r="P1359">
        <v>582</v>
      </c>
      <c r="Q1359">
        <v>344</v>
      </c>
      <c r="R1359">
        <v>250</v>
      </c>
      <c r="S1359">
        <v>248.77</v>
      </c>
    </row>
    <row r="1360" spans="12:19" x14ac:dyDescent="0.2">
      <c r="L1360" t="s">
        <v>374</v>
      </c>
      <c r="M1360">
        <v>309</v>
      </c>
      <c r="N1360">
        <v>1</v>
      </c>
      <c r="O1360">
        <v>4</v>
      </c>
      <c r="P1360">
        <v>582</v>
      </c>
      <c r="Q1360">
        <v>344</v>
      </c>
      <c r="R1360">
        <v>250</v>
      </c>
      <c r="S1360">
        <v>100.07</v>
      </c>
    </row>
    <row r="1361" spans="12:19" x14ac:dyDescent="0.2">
      <c r="L1361" t="s">
        <v>374</v>
      </c>
      <c r="M1361">
        <v>316</v>
      </c>
      <c r="N1361">
        <v>1</v>
      </c>
      <c r="O1361">
        <v>4</v>
      </c>
      <c r="P1361">
        <v>582</v>
      </c>
      <c r="Q1361">
        <v>344</v>
      </c>
      <c r="R1361">
        <v>250</v>
      </c>
      <c r="S1361">
        <v>162.04</v>
      </c>
    </row>
    <row r="1362" spans="12:19" x14ac:dyDescent="0.2">
      <c r="L1362" t="s">
        <v>374</v>
      </c>
      <c r="M1362">
        <v>347</v>
      </c>
      <c r="N1362">
        <v>1</v>
      </c>
      <c r="O1362">
        <v>4</v>
      </c>
      <c r="P1362">
        <v>582</v>
      </c>
      <c r="Q1362">
        <v>344</v>
      </c>
      <c r="R1362">
        <v>250</v>
      </c>
      <c r="S1362">
        <v>392.76</v>
      </c>
    </row>
    <row r="1363" spans="12:19" x14ac:dyDescent="0.2">
      <c r="L1363" t="s">
        <v>374</v>
      </c>
      <c r="M1363">
        <v>381</v>
      </c>
      <c r="N1363">
        <v>1</v>
      </c>
      <c r="O1363">
        <v>4</v>
      </c>
      <c r="P1363">
        <v>582</v>
      </c>
      <c r="Q1363">
        <v>344</v>
      </c>
      <c r="R1363">
        <v>250</v>
      </c>
      <c r="S1363">
        <v>54.78</v>
      </c>
    </row>
    <row r="1364" spans="12:19" x14ac:dyDescent="0.2">
      <c r="L1364" t="s">
        <v>374</v>
      </c>
      <c r="M1364">
        <v>391</v>
      </c>
      <c r="N1364">
        <v>1</v>
      </c>
      <c r="O1364">
        <v>4</v>
      </c>
      <c r="P1364">
        <v>582</v>
      </c>
      <c r="Q1364">
        <v>344</v>
      </c>
      <c r="R1364">
        <v>250</v>
      </c>
      <c r="S1364">
        <v>347.21</v>
      </c>
    </row>
    <row r="1365" spans="12:19" x14ac:dyDescent="0.2">
      <c r="L1365" t="s">
        <v>374</v>
      </c>
      <c r="M1365">
        <v>404</v>
      </c>
      <c r="N1365">
        <v>1</v>
      </c>
      <c r="O1365">
        <v>4</v>
      </c>
      <c r="P1365">
        <v>582</v>
      </c>
      <c r="Q1365">
        <v>344</v>
      </c>
      <c r="R1365">
        <v>250</v>
      </c>
      <c r="S1365">
        <v>238.18</v>
      </c>
    </row>
    <row r="1366" spans="12:19" x14ac:dyDescent="0.2">
      <c r="L1366" t="s">
        <v>374</v>
      </c>
      <c r="M1366">
        <v>413</v>
      </c>
      <c r="N1366">
        <v>1</v>
      </c>
      <c r="O1366">
        <v>4</v>
      </c>
      <c r="P1366">
        <v>582</v>
      </c>
      <c r="Q1366">
        <v>344</v>
      </c>
      <c r="R1366">
        <v>250</v>
      </c>
      <c r="S1366">
        <v>637.04</v>
      </c>
    </row>
    <row r="1367" spans="12:19" x14ac:dyDescent="0.2">
      <c r="L1367" t="s">
        <v>374</v>
      </c>
      <c r="M1367">
        <v>423</v>
      </c>
      <c r="N1367">
        <v>1</v>
      </c>
      <c r="O1367">
        <v>4</v>
      </c>
      <c r="P1367">
        <v>582</v>
      </c>
      <c r="Q1367">
        <v>344</v>
      </c>
      <c r="R1367">
        <v>250</v>
      </c>
      <c r="S1367">
        <v>62</v>
      </c>
    </row>
    <row r="1368" spans="12:19" x14ac:dyDescent="0.2">
      <c r="L1368" t="s">
        <v>374</v>
      </c>
      <c r="M1368">
        <v>424</v>
      </c>
      <c r="N1368">
        <v>1</v>
      </c>
      <c r="O1368">
        <v>4</v>
      </c>
      <c r="P1368">
        <v>582</v>
      </c>
      <c r="Q1368">
        <v>344</v>
      </c>
      <c r="R1368">
        <v>250</v>
      </c>
      <c r="S1368">
        <v>248.39</v>
      </c>
    </row>
    <row r="1369" spans="12:19" x14ac:dyDescent="0.2">
      <c r="L1369" t="s">
        <v>374</v>
      </c>
      <c r="M1369">
        <v>458</v>
      </c>
      <c r="N1369">
        <v>1</v>
      </c>
      <c r="O1369">
        <v>4</v>
      </c>
      <c r="P1369">
        <v>582</v>
      </c>
      <c r="Q1369">
        <v>344</v>
      </c>
      <c r="R1369">
        <v>250</v>
      </c>
      <c r="S1369">
        <v>464.05</v>
      </c>
    </row>
    <row r="1370" spans="12:19" x14ac:dyDescent="0.2">
      <c r="L1370" t="s">
        <v>374</v>
      </c>
      <c r="M1370">
        <v>466</v>
      </c>
      <c r="N1370">
        <v>1</v>
      </c>
      <c r="O1370">
        <v>4</v>
      </c>
      <c r="P1370">
        <v>582</v>
      </c>
      <c r="Q1370">
        <v>344</v>
      </c>
      <c r="R1370">
        <v>250</v>
      </c>
      <c r="S1370">
        <v>475</v>
      </c>
    </row>
    <row r="1371" spans="12:19" x14ac:dyDescent="0.2">
      <c r="L1371" t="s">
        <v>374</v>
      </c>
      <c r="M1371">
        <v>477</v>
      </c>
      <c r="N1371">
        <v>1</v>
      </c>
      <c r="O1371">
        <v>4</v>
      </c>
      <c r="P1371">
        <v>582</v>
      </c>
      <c r="Q1371">
        <v>344</v>
      </c>
      <c r="R1371">
        <v>250</v>
      </c>
      <c r="S1371">
        <v>115.55</v>
      </c>
    </row>
    <row r="1372" spans="12:19" x14ac:dyDescent="0.2">
      <c r="L1372" t="s">
        <v>374</v>
      </c>
      <c r="M1372">
        <v>480</v>
      </c>
      <c r="N1372">
        <v>1</v>
      </c>
      <c r="O1372">
        <v>4</v>
      </c>
      <c r="P1372">
        <v>582</v>
      </c>
      <c r="Q1372">
        <v>344</v>
      </c>
      <c r="R1372">
        <v>250</v>
      </c>
      <c r="S1372">
        <v>45.63</v>
      </c>
    </row>
    <row r="1373" spans="12:19" x14ac:dyDescent="0.2">
      <c r="L1373" t="s">
        <v>374</v>
      </c>
      <c r="M1373">
        <v>482</v>
      </c>
      <c r="N1373">
        <v>1</v>
      </c>
      <c r="O1373">
        <v>4</v>
      </c>
      <c r="P1373">
        <v>582</v>
      </c>
      <c r="Q1373">
        <v>344</v>
      </c>
      <c r="R1373">
        <v>250</v>
      </c>
      <c r="S1373">
        <v>602.85</v>
      </c>
    </row>
    <row r="1374" spans="12:19" x14ac:dyDescent="0.2">
      <c r="L1374" t="s">
        <v>374</v>
      </c>
      <c r="M1374">
        <v>492</v>
      </c>
      <c r="N1374">
        <v>1</v>
      </c>
      <c r="O1374">
        <v>4</v>
      </c>
      <c r="P1374">
        <v>582</v>
      </c>
      <c r="Q1374">
        <v>344</v>
      </c>
      <c r="R1374">
        <v>250</v>
      </c>
      <c r="S1374">
        <v>75</v>
      </c>
    </row>
    <row r="1375" spans="12:19" x14ac:dyDescent="0.2">
      <c r="L1375" t="s">
        <v>374</v>
      </c>
      <c r="M1375">
        <v>500</v>
      </c>
      <c r="N1375">
        <v>1</v>
      </c>
      <c r="O1375">
        <v>4</v>
      </c>
      <c r="P1375">
        <v>582</v>
      </c>
      <c r="Q1375">
        <v>344</v>
      </c>
      <c r="R1375">
        <v>250</v>
      </c>
      <c r="S1375">
        <v>195.63</v>
      </c>
    </row>
    <row r="1376" spans="12:19" x14ac:dyDescent="0.2">
      <c r="L1376" t="s">
        <v>374</v>
      </c>
      <c r="M1376">
        <v>518</v>
      </c>
      <c r="N1376">
        <v>1</v>
      </c>
      <c r="O1376">
        <v>4</v>
      </c>
      <c r="P1376">
        <v>582</v>
      </c>
      <c r="Q1376">
        <v>344</v>
      </c>
      <c r="R1376">
        <v>250</v>
      </c>
      <c r="S1376">
        <v>280.37</v>
      </c>
    </row>
    <row r="1377" spans="12:19" x14ac:dyDescent="0.2">
      <c r="L1377" t="s">
        <v>374</v>
      </c>
      <c r="M1377">
        <v>531</v>
      </c>
      <c r="N1377">
        <v>1</v>
      </c>
      <c r="O1377">
        <v>4</v>
      </c>
      <c r="P1377">
        <v>582</v>
      </c>
      <c r="Q1377">
        <v>344</v>
      </c>
      <c r="R1377">
        <v>250</v>
      </c>
      <c r="S1377">
        <v>360.01</v>
      </c>
    </row>
    <row r="1378" spans="12:19" x14ac:dyDescent="0.2">
      <c r="L1378" t="s">
        <v>374</v>
      </c>
      <c r="M1378">
        <v>533</v>
      </c>
      <c r="N1378">
        <v>1</v>
      </c>
      <c r="O1378">
        <v>4</v>
      </c>
      <c r="P1378">
        <v>582</v>
      </c>
      <c r="Q1378">
        <v>344</v>
      </c>
      <c r="R1378">
        <v>250</v>
      </c>
      <c r="S1378">
        <v>60</v>
      </c>
    </row>
    <row r="1379" spans="12:19" x14ac:dyDescent="0.2">
      <c r="L1379" t="s">
        <v>374</v>
      </c>
      <c r="M1379">
        <v>534</v>
      </c>
      <c r="N1379">
        <v>1</v>
      </c>
      <c r="O1379">
        <v>4</v>
      </c>
      <c r="P1379">
        <v>582</v>
      </c>
      <c r="Q1379">
        <v>344</v>
      </c>
      <c r="R1379">
        <v>250</v>
      </c>
      <c r="S1379">
        <v>558.14</v>
      </c>
    </row>
    <row r="1380" spans="12:19" x14ac:dyDescent="0.2">
      <c r="L1380" t="s">
        <v>374</v>
      </c>
      <c r="M1380">
        <v>535</v>
      </c>
      <c r="N1380">
        <v>1</v>
      </c>
      <c r="O1380">
        <v>4</v>
      </c>
      <c r="P1380">
        <v>582</v>
      </c>
      <c r="Q1380">
        <v>344</v>
      </c>
      <c r="R1380">
        <v>250</v>
      </c>
      <c r="S1380">
        <v>110.02</v>
      </c>
    </row>
    <row r="1381" spans="12:19" x14ac:dyDescent="0.2">
      <c r="L1381" t="s">
        <v>374</v>
      </c>
      <c r="M1381">
        <v>545</v>
      </c>
      <c r="N1381">
        <v>1</v>
      </c>
      <c r="O1381">
        <v>4</v>
      </c>
      <c r="P1381">
        <v>582</v>
      </c>
      <c r="Q1381">
        <v>344</v>
      </c>
      <c r="R1381">
        <v>250</v>
      </c>
      <c r="S1381">
        <v>42.27</v>
      </c>
    </row>
    <row r="1382" spans="12:19" x14ac:dyDescent="0.2">
      <c r="L1382" t="s">
        <v>374</v>
      </c>
      <c r="M1382">
        <v>578</v>
      </c>
      <c r="N1382">
        <v>1</v>
      </c>
      <c r="O1382">
        <v>4</v>
      </c>
      <c r="P1382">
        <v>582</v>
      </c>
      <c r="Q1382">
        <v>344</v>
      </c>
      <c r="R1382">
        <v>250</v>
      </c>
      <c r="S1382">
        <v>0.9</v>
      </c>
    </row>
    <row r="1383" spans="12:19" x14ac:dyDescent="0.2">
      <c r="L1383" t="s">
        <v>374</v>
      </c>
      <c r="M1383">
        <v>581</v>
      </c>
      <c r="N1383">
        <v>1</v>
      </c>
      <c r="O1383">
        <v>4</v>
      </c>
      <c r="P1383">
        <v>582</v>
      </c>
      <c r="Q1383">
        <v>344</v>
      </c>
      <c r="R1383">
        <v>250</v>
      </c>
      <c r="S1383">
        <v>42.75</v>
      </c>
    </row>
    <row r="1384" spans="12:19" x14ac:dyDescent="0.2">
      <c r="L1384" t="s">
        <v>374</v>
      </c>
      <c r="M1384">
        <v>600</v>
      </c>
      <c r="N1384">
        <v>1</v>
      </c>
      <c r="O1384">
        <v>4</v>
      </c>
      <c r="P1384">
        <v>582</v>
      </c>
      <c r="Q1384">
        <v>344</v>
      </c>
      <c r="R1384">
        <v>250</v>
      </c>
      <c r="S1384">
        <v>279.43</v>
      </c>
    </row>
    <row r="1385" spans="12:19" x14ac:dyDescent="0.2">
      <c r="L1385" t="s">
        <v>374</v>
      </c>
      <c r="M1385">
        <v>621</v>
      </c>
      <c r="N1385">
        <v>1</v>
      </c>
      <c r="O1385">
        <v>4</v>
      </c>
      <c r="P1385">
        <v>582</v>
      </c>
      <c r="Q1385">
        <v>344</v>
      </c>
      <c r="R1385">
        <v>250</v>
      </c>
      <c r="S1385">
        <v>916.74</v>
      </c>
    </row>
    <row r="1386" spans="12:19" x14ac:dyDescent="0.2">
      <c r="L1386" t="s">
        <v>374</v>
      </c>
      <c r="M1386">
        <v>622</v>
      </c>
      <c r="N1386">
        <v>1</v>
      </c>
      <c r="O1386">
        <v>4</v>
      </c>
      <c r="P1386">
        <v>582</v>
      </c>
      <c r="Q1386">
        <v>344</v>
      </c>
      <c r="R1386">
        <v>250</v>
      </c>
      <c r="S1386">
        <v>800.12</v>
      </c>
    </row>
    <row r="1387" spans="12:19" x14ac:dyDescent="0.2">
      <c r="L1387" t="s">
        <v>374</v>
      </c>
      <c r="M1387">
        <v>623</v>
      </c>
      <c r="N1387">
        <v>1</v>
      </c>
      <c r="O1387">
        <v>4</v>
      </c>
      <c r="P1387">
        <v>582</v>
      </c>
      <c r="Q1387">
        <v>344</v>
      </c>
      <c r="R1387">
        <v>250</v>
      </c>
      <c r="S1387">
        <v>135.13999999999999</v>
      </c>
    </row>
    <row r="1388" spans="12:19" x14ac:dyDescent="0.2">
      <c r="L1388" t="s">
        <v>374</v>
      </c>
      <c r="M1388">
        <v>624</v>
      </c>
      <c r="N1388">
        <v>1</v>
      </c>
      <c r="O1388">
        <v>4</v>
      </c>
      <c r="P1388">
        <v>582</v>
      </c>
      <c r="Q1388">
        <v>344</v>
      </c>
      <c r="R1388">
        <v>250</v>
      </c>
      <c r="S1388">
        <v>43.75</v>
      </c>
    </row>
    <row r="1389" spans="12:19" x14ac:dyDescent="0.2">
      <c r="L1389" t="s">
        <v>374</v>
      </c>
      <c r="M1389">
        <v>625</v>
      </c>
      <c r="N1389">
        <v>1</v>
      </c>
      <c r="O1389">
        <v>4</v>
      </c>
      <c r="P1389">
        <v>582</v>
      </c>
      <c r="Q1389">
        <v>344</v>
      </c>
      <c r="R1389">
        <v>250</v>
      </c>
      <c r="S1389">
        <v>2665.59</v>
      </c>
    </row>
    <row r="1390" spans="12:19" x14ac:dyDescent="0.2">
      <c r="L1390" t="s">
        <v>374</v>
      </c>
      <c r="M1390">
        <v>640</v>
      </c>
      <c r="N1390">
        <v>1</v>
      </c>
      <c r="O1390">
        <v>4</v>
      </c>
      <c r="P1390">
        <v>582</v>
      </c>
      <c r="Q1390">
        <v>344</v>
      </c>
      <c r="R1390">
        <v>250</v>
      </c>
      <c r="S1390">
        <v>368.73</v>
      </c>
    </row>
    <row r="1391" spans="12:19" x14ac:dyDescent="0.2">
      <c r="L1391" t="s">
        <v>374</v>
      </c>
      <c r="M1391">
        <v>656</v>
      </c>
      <c r="N1391">
        <v>1</v>
      </c>
      <c r="O1391">
        <v>4</v>
      </c>
      <c r="P1391">
        <v>582</v>
      </c>
      <c r="Q1391">
        <v>344</v>
      </c>
      <c r="R1391">
        <v>250</v>
      </c>
      <c r="S1391">
        <v>539.12</v>
      </c>
    </row>
    <row r="1392" spans="12:19" x14ac:dyDescent="0.2">
      <c r="L1392" t="s">
        <v>374</v>
      </c>
      <c r="M1392">
        <v>682</v>
      </c>
      <c r="N1392">
        <v>1</v>
      </c>
      <c r="O1392">
        <v>4</v>
      </c>
      <c r="P1392">
        <v>582</v>
      </c>
      <c r="Q1392">
        <v>344</v>
      </c>
      <c r="R1392">
        <v>250</v>
      </c>
      <c r="S1392">
        <v>851.49</v>
      </c>
    </row>
    <row r="1393" spans="12:19" x14ac:dyDescent="0.2">
      <c r="L1393" t="s">
        <v>374</v>
      </c>
      <c r="M1393">
        <v>709</v>
      </c>
      <c r="N1393">
        <v>1</v>
      </c>
      <c r="O1393">
        <v>4</v>
      </c>
      <c r="P1393">
        <v>582</v>
      </c>
      <c r="Q1393">
        <v>344</v>
      </c>
      <c r="R1393">
        <v>250</v>
      </c>
      <c r="S1393">
        <v>524.94000000000005</v>
      </c>
    </row>
    <row r="1394" spans="12:19" x14ac:dyDescent="0.2">
      <c r="L1394" t="s">
        <v>374</v>
      </c>
      <c r="M1394">
        <v>717</v>
      </c>
      <c r="N1394">
        <v>1</v>
      </c>
      <c r="O1394">
        <v>4</v>
      </c>
      <c r="P1394">
        <v>582</v>
      </c>
      <c r="Q1394">
        <v>344</v>
      </c>
      <c r="R1394">
        <v>250</v>
      </c>
      <c r="S1394">
        <v>375</v>
      </c>
    </row>
    <row r="1395" spans="12:19" x14ac:dyDescent="0.2">
      <c r="L1395" t="s">
        <v>374</v>
      </c>
      <c r="M1395">
        <v>719</v>
      </c>
      <c r="N1395">
        <v>1</v>
      </c>
      <c r="O1395">
        <v>4</v>
      </c>
      <c r="P1395">
        <v>582</v>
      </c>
      <c r="Q1395">
        <v>344</v>
      </c>
      <c r="R1395">
        <v>250</v>
      </c>
      <c r="S1395">
        <v>79.930000000000007</v>
      </c>
    </row>
    <row r="1396" spans="12:19" x14ac:dyDescent="0.2">
      <c r="L1396" t="s">
        <v>374</v>
      </c>
      <c r="M1396">
        <v>720</v>
      </c>
      <c r="N1396">
        <v>1</v>
      </c>
      <c r="O1396">
        <v>4</v>
      </c>
      <c r="P1396">
        <v>582</v>
      </c>
      <c r="Q1396">
        <v>344</v>
      </c>
      <c r="R1396">
        <v>250</v>
      </c>
      <c r="S1396">
        <v>1556.8</v>
      </c>
    </row>
    <row r="1397" spans="12:19" x14ac:dyDescent="0.2">
      <c r="L1397" t="s">
        <v>374</v>
      </c>
      <c r="M1397">
        <v>721</v>
      </c>
      <c r="N1397">
        <v>1</v>
      </c>
      <c r="O1397">
        <v>4</v>
      </c>
      <c r="P1397">
        <v>582</v>
      </c>
      <c r="Q1397">
        <v>344</v>
      </c>
      <c r="R1397">
        <v>250</v>
      </c>
      <c r="S1397">
        <v>599.94000000000005</v>
      </c>
    </row>
    <row r="1398" spans="12:19" x14ac:dyDescent="0.2">
      <c r="L1398" t="s">
        <v>374</v>
      </c>
      <c r="M1398">
        <v>726</v>
      </c>
      <c r="N1398">
        <v>1</v>
      </c>
      <c r="O1398">
        <v>4</v>
      </c>
      <c r="P1398">
        <v>582</v>
      </c>
      <c r="Q1398">
        <v>344</v>
      </c>
      <c r="R1398">
        <v>250</v>
      </c>
      <c r="S1398">
        <v>453.61</v>
      </c>
    </row>
    <row r="1399" spans="12:19" x14ac:dyDescent="0.2">
      <c r="L1399" t="s">
        <v>374</v>
      </c>
      <c r="M1399">
        <v>727</v>
      </c>
      <c r="N1399">
        <v>1</v>
      </c>
      <c r="O1399">
        <v>4</v>
      </c>
      <c r="P1399">
        <v>582</v>
      </c>
      <c r="Q1399">
        <v>344</v>
      </c>
      <c r="R1399">
        <v>250</v>
      </c>
      <c r="S1399">
        <v>2786.52</v>
      </c>
    </row>
    <row r="1400" spans="12:19" x14ac:dyDescent="0.2">
      <c r="L1400" t="s">
        <v>374</v>
      </c>
      <c r="M1400">
        <v>739</v>
      </c>
      <c r="N1400">
        <v>1</v>
      </c>
      <c r="O1400">
        <v>4</v>
      </c>
      <c r="P1400">
        <v>582</v>
      </c>
      <c r="Q1400">
        <v>344</v>
      </c>
      <c r="R1400">
        <v>250</v>
      </c>
      <c r="S1400">
        <v>75.09</v>
      </c>
    </row>
    <row r="1401" spans="12:19" x14ac:dyDescent="0.2">
      <c r="L1401" t="s">
        <v>374</v>
      </c>
      <c r="M1401">
        <v>740</v>
      </c>
      <c r="N1401">
        <v>1</v>
      </c>
      <c r="O1401">
        <v>4</v>
      </c>
      <c r="P1401">
        <v>582</v>
      </c>
      <c r="Q1401">
        <v>344</v>
      </c>
      <c r="R1401">
        <v>250</v>
      </c>
      <c r="S1401">
        <v>542.97</v>
      </c>
    </row>
    <row r="1402" spans="12:19" x14ac:dyDescent="0.2">
      <c r="L1402" t="s">
        <v>374</v>
      </c>
      <c r="M1402">
        <v>742</v>
      </c>
      <c r="N1402">
        <v>1</v>
      </c>
      <c r="O1402">
        <v>4</v>
      </c>
      <c r="P1402">
        <v>582</v>
      </c>
      <c r="Q1402">
        <v>344</v>
      </c>
      <c r="R1402">
        <v>250</v>
      </c>
      <c r="S1402">
        <v>5343.97</v>
      </c>
    </row>
    <row r="1403" spans="12:19" x14ac:dyDescent="0.2">
      <c r="L1403" t="s">
        <v>374</v>
      </c>
      <c r="M1403">
        <v>748</v>
      </c>
      <c r="N1403">
        <v>1</v>
      </c>
      <c r="O1403">
        <v>4</v>
      </c>
      <c r="P1403">
        <v>582</v>
      </c>
      <c r="Q1403">
        <v>344</v>
      </c>
      <c r="R1403">
        <v>250</v>
      </c>
      <c r="S1403">
        <v>2042.55</v>
      </c>
    </row>
    <row r="1404" spans="12:19" x14ac:dyDescent="0.2">
      <c r="L1404" t="s">
        <v>374</v>
      </c>
      <c r="M1404">
        <v>750</v>
      </c>
      <c r="N1404">
        <v>1</v>
      </c>
      <c r="O1404">
        <v>4</v>
      </c>
      <c r="P1404">
        <v>582</v>
      </c>
      <c r="Q1404">
        <v>344</v>
      </c>
      <c r="R1404">
        <v>250</v>
      </c>
      <c r="S1404">
        <v>60.74</v>
      </c>
    </row>
    <row r="1405" spans="12:19" x14ac:dyDescent="0.2">
      <c r="L1405" t="s">
        <v>374</v>
      </c>
      <c r="M1405">
        <v>756</v>
      </c>
      <c r="N1405">
        <v>1</v>
      </c>
      <c r="O1405">
        <v>4</v>
      </c>
      <c r="P1405">
        <v>582</v>
      </c>
      <c r="Q1405">
        <v>344</v>
      </c>
      <c r="R1405">
        <v>250</v>
      </c>
      <c r="S1405">
        <v>339.66</v>
      </c>
    </row>
    <row r="1406" spans="12:19" x14ac:dyDescent="0.2">
      <c r="L1406" t="s">
        <v>374</v>
      </c>
      <c r="M1406">
        <v>769</v>
      </c>
      <c r="N1406">
        <v>1</v>
      </c>
      <c r="O1406">
        <v>4</v>
      </c>
      <c r="P1406">
        <v>582</v>
      </c>
      <c r="Q1406">
        <v>344</v>
      </c>
      <c r="R1406">
        <v>250</v>
      </c>
      <c r="S1406">
        <v>73.819999999999993</v>
      </c>
    </row>
    <row r="1407" spans="12:19" x14ac:dyDescent="0.2">
      <c r="L1407" t="s">
        <v>374</v>
      </c>
      <c r="M1407">
        <v>833</v>
      </c>
      <c r="N1407">
        <v>1</v>
      </c>
      <c r="O1407">
        <v>4</v>
      </c>
      <c r="P1407">
        <v>582</v>
      </c>
      <c r="Q1407">
        <v>344</v>
      </c>
      <c r="R1407">
        <v>250</v>
      </c>
      <c r="S1407">
        <v>3536.87</v>
      </c>
    </row>
    <row r="1408" spans="12:19" x14ac:dyDescent="0.2">
      <c r="L1408" t="s">
        <v>374</v>
      </c>
      <c r="M1408">
        <v>834</v>
      </c>
      <c r="N1408">
        <v>1</v>
      </c>
      <c r="O1408">
        <v>4</v>
      </c>
      <c r="P1408">
        <v>582</v>
      </c>
      <c r="Q1408">
        <v>344</v>
      </c>
      <c r="R1408">
        <v>250</v>
      </c>
      <c r="S1408">
        <v>1019.32</v>
      </c>
    </row>
    <row r="1409" spans="12:19" x14ac:dyDescent="0.2">
      <c r="L1409" t="s">
        <v>374</v>
      </c>
      <c r="M1409">
        <v>836</v>
      </c>
      <c r="N1409">
        <v>1</v>
      </c>
      <c r="O1409">
        <v>4</v>
      </c>
      <c r="P1409">
        <v>582</v>
      </c>
      <c r="Q1409">
        <v>344</v>
      </c>
      <c r="R1409">
        <v>250</v>
      </c>
      <c r="S1409">
        <v>15.84</v>
      </c>
    </row>
    <row r="1410" spans="12:19" x14ac:dyDescent="0.2">
      <c r="L1410" t="s">
        <v>374</v>
      </c>
      <c r="M1410">
        <v>850</v>
      </c>
      <c r="N1410">
        <v>1</v>
      </c>
      <c r="O1410">
        <v>4</v>
      </c>
      <c r="P1410">
        <v>582</v>
      </c>
      <c r="Q1410">
        <v>344</v>
      </c>
      <c r="R1410">
        <v>250</v>
      </c>
      <c r="S1410">
        <v>4.55</v>
      </c>
    </row>
    <row r="1411" spans="12:19" x14ac:dyDescent="0.2">
      <c r="L1411" t="s">
        <v>374</v>
      </c>
      <c r="M1411">
        <v>857</v>
      </c>
      <c r="N1411">
        <v>1</v>
      </c>
      <c r="O1411">
        <v>4</v>
      </c>
      <c r="P1411">
        <v>582</v>
      </c>
      <c r="Q1411">
        <v>344</v>
      </c>
      <c r="R1411">
        <v>250</v>
      </c>
      <c r="S1411">
        <v>79.31</v>
      </c>
    </row>
    <row r="1412" spans="12:19" x14ac:dyDescent="0.2">
      <c r="L1412" t="s">
        <v>374</v>
      </c>
      <c r="M1412">
        <v>861</v>
      </c>
      <c r="N1412">
        <v>1</v>
      </c>
      <c r="O1412">
        <v>4</v>
      </c>
      <c r="P1412">
        <v>582</v>
      </c>
      <c r="Q1412">
        <v>344</v>
      </c>
      <c r="R1412">
        <v>250</v>
      </c>
      <c r="S1412">
        <v>17.52</v>
      </c>
    </row>
    <row r="1413" spans="12:19" x14ac:dyDescent="0.2">
      <c r="L1413" t="s">
        <v>374</v>
      </c>
      <c r="M1413">
        <v>876</v>
      </c>
      <c r="N1413">
        <v>1</v>
      </c>
      <c r="O1413">
        <v>4</v>
      </c>
      <c r="P1413">
        <v>582</v>
      </c>
      <c r="Q1413">
        <v>344</v>
      </c>
      <c r="R1413">
        <v>250</v>
      </c>
      <c r="S1413">
        <v>26.99</v>
      </c>
    </row>
    <row r="1414" spans="12:19" x14ac:dyDescent="0.2">
      <c r="L1414" t="s">
        <v>374</v>
      </c>
      <c r="M1414">
        <v>882</v>
      </c>
      <c r="N1414">
        <v>1</v>
      </c>
      <c r="O1414">
        <v>4</v>
      </c>
      <c r="P1414">
        <v>582</v>
      </c>
      <c r="Q1414">
        <v>344</v>
      </c>
      <c r="R1414">
        <v>250</v>
      </c>
      <c r="S1414">
        <v>99.96</v>
      </c>
    </row>
    <row r="1415" spans="12:19" x14ac:dyDescent="0.2">
      <c r="L1415" t="s">
        <v>374</v>
      </c>
      <c r="M1415">
        <v>885</v>
      </c>
      <c r="N1415">
        <v>1</v>
      </c>
      <c r="O1415">
        <v>4</v>
      </c>
      <c r="P1415">
        <v>582</v>
      </c>
      <c r="Q1415">
        <v>344</v>
      </c>
      <c r="R1415">
        <v>250</v>
      </c>
      <c r="S1415">
        <v>671.55</v>
      </c>
    </row>
    <row r="1416" spans="12:19" x14ac:dyDescent="0.2">
      <c r="L1416" t="s">
        <v>374</v>
      </c>
      <c r="M1416">
        <v>911</v>
      </c>
      <c r="N1416">
        <v>1</v>
      </c>
      <c r="O1416">
        <v>4</v>
      </c>
      <c r="P1416">
        <v>582</v>
      </c>
      <c r="Q1416">
        <v>344</v>
      </c>
      <c r="R1416">
        <v>250</v>
      </c>
      <c r="S1416">
        <v>89.99</v>
      </c>
    </row>
    <row r="1417" spans="12:19" x14ac:dyDescent="0.2">
      <c r="L1417" t="s">
        <v>374</v>
      </c>
      <c r="M1417">
        <v>2125</v>
      </c>
      <c r="N1417">
        <v>1</v>
      </c>
      <c r="O1417">
        <v>4</v>
      </c>
      <c r="P1417">
        <v>582</v>
      </c>
      <c r="Q1417">
        <v>344</v>
      </c>
      <c r="R1417">
        <v>250</v>
      </c>
      <c r="S1417">
        <v>96.25</v>
      </c>
    </row>
    <row r="1418" spans="12:19" x14ac:dyDescent="0.2">
      <c r="L1418" t="s">
        <v>374</v>
      </c>
      <c r="M1418">
        <v>2134</v>
      </c>
      <c r="N1418">
        <v>1</v>
      </c>
      <c r="O1418">
        <v>4</v>
      </c>
      <c r="P1418">
        <v>582</v>
      </c>
      <c r="Q1418">
        <v>344</v>
      </c>
      <c r="R1418">
        <v>250</v>
      </c>
      <c r="S1418">
        <v>274.95</v>
      </c>
    </row>
    <row r="1419" spans="12:19" x14ac:dyDescent="0.2">
      <c r="L1419" t="s">
        <v>374</v>
      </c>
      <c r="M1419">
        <v>2142</v>
      </c>
      <c r="N1419">
        <v>1</v>
      </c>
      <c r="O1419">
        <v>4</v>
      </c>
      <c r="P1419">
        <v>582</v>
      </c>
      <c r="Q1419">
        <v>344</v>
      </c>
      <c r="R1419">
        <v>250</v>
      </c>
      <c r="S1419">
        <v>500</v>
      </c>
    </row>
    <row r="1420" spans="12:19" x14ac:dyDescent="0.2">
      <c r="L1420" t="s">
        <v>374</v>
      </c>
      <c r="M1420">
        <v>2144</v>
      </c>
      <c r="N1420">
        <v>1</v>
      </c>
      <c r="O1420">
        <v>4</v>
      </c>
      <c r="P1420">
        <v>582</v>
      </c>
      <c r="Q1420">
        <v>344</v>
      </c>
      <c r="R1420">
        <v>250</v>
      </c>
      <c r="S1420">
        <v>60</v>
      </c>
    </row>
    <row r="1421" spans="12:19" x14ac:dyDescent="0.2">
      <c r="L1421" t="s">
        <v>374</v>
      </c>
      <c r="M1421">
        <v>2169</v>
      </c>
      <c r="N1421">
        <v>1</v>
      </c>
      <c r="O1421">
        <v>4</v>
      </c>
      <c r="P1421">
        <v>582</v>
      </c>
      <c r="Q1421">
        <v>344</v>
      </c>
      <c r="R1421">
        <v>250</v>
      </c>
      <c r="S1421">
        <v>690</v>
      </c>
    </row>
    <row r="1422" spans="12:19" x14ac:dyDescent="0.2">
      <c r="L1422" t="s">
        <v>374</v>
      </c>
      <c r="M1422">
        <v>2174</v>
      </c>
      <c r="N1422">
        <v>1</v>
      </c>
      <c r="O1422">
        <v>4</v>
      </c>
      <c r="P1422">
        <v>582</v>
      </c>
      <c r="Q1422">
        <v>344</v>
      </c>
      <c r="R1422">
        <v>250</v>
      </c>
      <c r="S1422">
        <v>98.5</v>
      </c>
    </row>
    <row r="1423" spans="12:19" x14ac:dyDescent="0.2">
      <c r="L1423" t="s">
        <v>374</v>
      </c>
      <c r="M1423">
        <v>2176</v>
      </c>
      <c r="N1423">
        <v>1</v>
      </c>
      <c r="O1423">
        <v>4</v>
      </c>
      <c r="P1423">
        <v>582</v>
      </c>
      <c r="Q1423">
        <v>344</v>
      </c>
      <c r="R1423">
        <v>250</v>
      </c>
      <c r="S1423">
        <v>16.21</v>
      </c>
    </row>
    <row r="1424" spans="12:19" x14ac:dyDescent="0.2">
      <c r="L1424" t="s">
        <v>374</v>
      </c>
      <c r="M1424">
        <v>2365</v>
      </c>
      <c r="N1424">
        <v>1</v>
      </c>
      <c r="O1424">
        <v>4</v>
      </c>
      <c r="P1424">
        <v>582</v>
      </c>
      <c r="Q1424">
        <v>344</v>
      </c>
      <c r="R1424">
        <v>250</v>
      </c>
      <c r="S1424">
        <v>35.340000000000003</v>
      </c>
    </row>
    <row r="1425" spans="12:19" x14ac:dyDescent="0.2">
      <c r="L1425" t="s">
        <v>374</v>
      </c>
      <c r="M1425">
        <v>2397</v>
      </c>
      <c r="N1425">
        <v>1</v>
      </c>
      <c r="O1425">
        <v>4</v>
      </c>
      <c r="P1425">
        <v>582</v>
      </c>
      <c r="Q1425">
        <v>344</v>
      </c>
      <c r="R1425">
        <v>250</v>
      </c>
      <c r="S1425">
        <v>45</v>
      </c>
    </row>
    <row r="1426" spans="12:19" x14ac:dyDescent="0.2">
      <c r="L1426" t="s">
        <v>374</v>
      </c>
      <c r="M1426">
        <v>2687</v>
      </c>
      <c r="N1426">
        <v>1</v>
      </c>
      <c r="O1426">
        <v>4</v>
      </c>
      <c r="P1426">
        <v>582</v>
      </c>
      <c r="Q1426">
        <v>344</v>
      </c>
      <c r="R1426">
        <v>250</v>
      </c>
      <c r="S1426">
        <v>74.52</v>
      </c>
    </row>
    <row r="1427" spans="12:19" x14ac:dyDescent="0.2">
      <c r="L1427" t="s">
        <v>374</v>
      </c>
      <c r="M1427">
        <v>2752</v>
      </c>
      <c r="N1427">
        <v>1</v>
      </c>
      <c r="O1427">
        <v>4</v>
      </c>
      <c r="P1427">
        <v>582</v>
      </c>
      <c r="Q1427">
        <v>344</v>
      </c>
      <c r="R1427">
        <v>250</v>
      </c>
      <c r="S1427">
        <v>84.04</v>
      </c>
    </row>
    <row r="1428" spans="12:19" x14ac:dyDescent="0.2">
      <c r="L1428" t="s">
        <v>374</v>
      </c>
      <c r="M1428">
        <v>2754</v>
      </c>
      <c r="N1428">
        <v>1</v>
      </c>
      <c r="O1428">
        <v>4</v>
      </c>
      <c r="P1428">
        <v>582</v>
      </c>
      <c r="Q1428">
        <v>344</v>
      </c>
      <c r="R1428">
        <v>250</v>
      </c>
      <c r="S1428">
        <v>213.92</v>
      </c>
    </row>
    <row r="1429" spans="12:19" x14ac:dyDescent="0.2">
      <c r="L1429" t="s">
        <v>374</v>
      </c>
      <c r="M1429">
        <v>2835</v>
      </c>
      <c r="N1429">
        <v>1</v>
      </c>
      <c r="O1429">
        <v>4</v>
      </c>
      <c r="P1429">
        <v>582</v>
      </c>
      <c r="Q1429">
        <v>344</v>
      </c>
      <c r="R1429">
        <v>250</v>
      </c>
      <c r="S1429">
        <v>837.8</v>
      </c>
    </row>
    <row r="1430" spans="12:19" x14ac:dyDescent="0.2">
      <c r="L1430" t="s">
        <v>374</v>
      </c>
      <c r="M1430">
        <v>2856</v>
      </c>
      <c r="N1430">
        <v>1</v>
      </c>
      <c r="O1430">
        <v>4</v>
      </c>
      <c r="P1430">
        <v>582</v>
      </c>
      <c r="Q1430">
        <v>344</v>
      </c>
      <c r="R1430">
        <v>250</v>
      </c>
      <c r="S1430">
        <v>1030</v>
      </c>
    </row>
    <row r="1431" spans="12:19" x14ac:dyDescent="0.2">
      <c r="L1431" t="s">
        <v>374</v>
      </c>
      <c r="M1431">
        <v>2899</v>
      </c>
      <c r="N1431">
        <v>1</v>
      </c>
      <c r="O1431">
        <v>4</v>
      </c>
      <c r="P1431">
        <v>582</v>
      </c>
      <c r="Q1431">
        <v>344</v>
      </c>
      <c r="R1431">
        <v>250</v>
      </c>
      <c r="S1431">
        <v>350.16</v>
      </c>
    </row>
    <row r="1432" spans="12:19" x14ac:dyDescent="0.2">
      <c r="L1432" t="s">
        <v>374</v>
      </c>
      <c r="M1432">
        <v>625</v>
      </c>
      <c r="N1432">
        <v>1</v>
      </c>
      <c r="O1432">
        <v>4</v>
      </c>
      <c r="P1432">
        <v>582</v>
      </c>
      <c r="Q1432">
        <v>0</v>
      </c>
      <c r="R1432">
        <v>250</v>
      </c>
      <c r="S1432">
        <v>541.35</v>
      </c>
    </row>
    <row r="1433" spans="12:19" x14ac:dyDescent="0.2">
      <c r="L1433" t="s">
        <v>374</v>
      </c>
      <c r="M1433">
        <v>1</v>
      </c>
      <c r="N1433">
        <v>3</v>
      </c>
      <c r="O1433">
        <v>4</v>
      </c>
      <c r="P1433">
        <v>582</v>
      </c>
      <c r="Q1433">
        <v>599</v>
      </c>
      <c r="R1433">
        <v>240</v>
      </c>
      <c r="S1433">
        <v>36.36</v>
      </c>
    </row>
    <row r="1434" spans="12:19" x14ac:dyDescent="0.2">
      <c r="L1434" t="s">
        <v>374</v>
      </c>
      <c r="M1434">
        <v>1</v>
      </c>
      <c r="N1434">
        <v>3</v>
      </c>
      <c r="O1434">
        <v>4</v>
      </c>
      <c r="P1434">
        <v>582</v>
      </c>
      <c r="Q1434">
        <v>344</v>
      </c>
      <c r="R1434">
        <v>240</v>
      </c>
      <c r="S1434">
        <v>1571.03</v>
      </c>
    </row>
    <row r="1435" spans="12:19" x14ac:dyDescent="0.2">
      <c r="L1435" t="s">
        <v>374</v>
      </c>
      <c r="M1435">
        <v>1</v>
      </c>
      <c r="N1435">
        <v>3</v>
      </c>
      <c r="O1435">
        <v>4</v>
      </c>
      <c r="P1435">
        <v>582</v>
      </c>
      <c r="Q1435">
        <v>344</v>
      </c>
      <c r="R1435">
        <v>240</v>
      </c>
      <c r="S1435">
        <v>10.28</v>
      </c>
    </row>
    <row r="1436" spans="12:19" x14ac:dyDescent="0.2">
      <c r="L1436" t="s">
        <v>374</v>
      </c>
      <c r="M1436">
        <v>1</v>
      </c>
      <c r="N1436">
        <v>3</v>
      </c>
      <c r="O1436">
        <v>4</v>
      </c>
      <c r="P1436">
        <v>582</v>
      </c>
      <c r="Q1436">
        <v>344</v>
      </c>
      <c r="R1436">
        <v>240</v>
      </c>
      <c r="S1436">
        <v>19.37</v>
      </c>
    </row>
    <row r="1437" spans="12:19" x14ac:dyDescent="0.2">
      <c r="L1437" t="s">
        <v>374</v>
      </c>
      <c r="M1437">
        <v>1</v>
      </c>
      <c r="N1437">
        <v>3</v>
      </c>
      <c r="O1437">
        <v>4</v>
      </c>
      <c r="P1437">
        <v>582</v>
      </c>
      <c r="Q1437">
        <v>344</v>
      </c>
      <c r="R1437">
        <v>240</v>
      </c>
      <c r="S1437">
        <v>19.45</v>
      </c>
    </row>
    <row r="1438" spans="12:19" x14ac:dyDescent="0.2">
      <c r="L1438" t="s">
        <v>374</v>
      </c>
      <c r="M1438">
        <v>1</v>
      </c>
      <c r="N1438">
        <v>3</v>
      </c>
      <c r="O1438">
        <v>4</v>
      </c>
      <c r="P1438">
        <v>582</v>
      </c>
      <c r="Q1438">
        <v>344</v>
      </c>
      <c r="R1438">
        <v>240</v>
      </c>
      <c r="S1438">
        <v>4.72</v>
      </c>
    </row>
    <row r="1439" spans="12:19" x14ac:dyDescent="0.2">
      <c r="L1439" t="s">
        <v>374</v>
      </c>
      <c r="M1439">
        <v>1</v>
      </c>
      <c r="N1439">
        <v>3</v>
      </c>
      <c r="O1439">
        <v>4</v>
      </c>
      <c r="P1439">
        <v>582</v>
      </c>
      <c r="Q1439">
        <v>344</v>
      </c>
      <c r="R1439">
        <v>240</v>
      </c>
      <c r="S1439">
        <v>17.04</v>
      </c>
    </row>
    <row r="1440" spans="12:19" x14ac:dyDescent="0.2">
      <c r="L1440" t="s">
        <v>374</v>
      </c>
      <c r="M1440">
        <v>1</v>
      </c>
      <c r="N1440">
        <v>3</v>
      </c>
      <c r="O1440">
        <v>4</v>
      </c>
      <c r="P1440">
        <v>582</v>
      </c>
      <c r="Q1440">
        <v>344</v>
      </c>
      <c r="R1440">
        <v>240</v>
      </c>
      <c r="S1440">
        <v>-0.26</v>
      </c>
    </row>
    <row r="1441" spans="12:19" x14ac:dyDescent="0.2">
      <c r="L1441" t="s">
        <v>374</v>
      </c>
      <c r="M1441">
        <v>1</v>
      </c>
      <c r="N1441">
        <v>3</v>
      </c>
      <c r="O1441">
        <v>4</v>
      </c>
      <c r="P1441">
        <v>582</v>
      </c>
      <c r="Q1441">
        <v>344</v>
      </c>
      <c r="R1441">
        <v>240</v>
      </c>
      <c r="S1441">
        <v>37.369999999999997</v>
      </c>
    </row>
    <row r="1442" spans="12:19" x14ac:dyDescent="0.2">
      <c r="L1442" t="s">
        <v>374</v>
      </c>
      <c r="M1442">
        <v>1</v>
      </c>
      <c r="N1442">
        <v>3</v>
      </c>
      <c r="O1442">
        <v>4</v>
      </c>
      <c r="P1442">
        <v>582</v>
      </c>
      <c r="Q1442">
        <v>344</v>
      </c>
      <c r="R1442">
        <v>240</v>
      </c>
      <c r="S1442">
        <v>38.19</v>
      </c>
    </row>
    <row r="1443" spans="12:19" x14ac:dyDescent="0.2">
      <c r="L1443" t="s">
        <v>374</v>
      </c>
      <c r="M1443">
        <v>1</v>
      </c>
      <c r="N1443">
        <v>3</v>
      </c>
      <c r="O1443">
        <v>4</v>
      </c>
      <c r="P1443">
        <v>582</v>
      </c>
      <c r="Q1443">
        <v>344</v>
      </c>
      <c r="R1443">
        <v>240</v>
      </c>
      <c r="S1443">
        <v>15.7</v>
      </c>
    </row>
    <row r="1444" spans="12:19" x14ac:dyDescent="0.2">
      <c r="L1444" t="s">
        <v>374</v>
      </c>
      <c r="M1444">
        <v>1</v>
      </c>
      <c r="N1444">
        <v>3</v>
      </c>
      <c r="O1444">
        <v>4</v>
      </c>
      <c r="P1444">
        <v>582</v>
      </c>
      <c r="Q1444">
        <v>344</v>
      </c>
      <c r="R1444">
        <v>240</v>
      </c>
      <c r="S1444">
        <v>25.98</v>
      </c>
    </row>
    <row r="1445" spans="12:19" x14ac:dyDescent="0.2">
      <c r="L1445" t="s">
        <v>374</v>
      </c>
      <c r="M1445">
        <v>4</v>
      </c>
      <c r="N1445">
        <v>1</v>
      </c>
      <c r="O1445">
        <v>4</v>
      </c>
      <c r="P1445">
        <v>582</v>
      </c>
      <c r="Q1445">
        <v>344</v>
      </c>
      <c r="R1445">
        <v>240</v>
      </c>
      <c r="S1445">
        <v>37.1</v>
      </c>
    </row>
    <row r="1446" spans="12:19" x14ac:dyDescent="0.2">
      <c r="L1446" t="s">
        <v>374</v>
      </c>
      <c r="M1446">
        <v>6</v>
      </c>
      <c r="N1446">
        <v>3</v>
      </c>
      <c r="O1446">
        <v>4</v>
      </c>
      <c r="P1446">
        <v>582</v>
      </c>
      <c r="Q1446">
        <v>344</v>
      </c>
      <c r="R1446">
        <v>240</v>
      </c>
      <c r="S1446">
        <v>227.27</v>
      </c>
    </row>
    <row r="1447" spans="12:19" x14ac:dyDescent="0.2">
      <c r="L1447" t="s">
        <v>374</v>
      </c>
      <c r="M1447">
        <v>12</v>
      </c>
      <c r="N1447">
        <v>1</v>
      </c>
      <c r="O1447">
        <v>4</v>
      </c>
      <c r="P1447">
        <v>582</v>
      </c>
      <c r="Q1447">
        <v>344</v>
      </c>
      <c r="R1447">
        <v>240</v>
      </c>
      <c r="S1447">
        <v>128.16</v>
      </c>
    </row>
    <row r="1448" spans="12:19" x14ac:dyDescent="0.2">
      <c r="L1448" t="s">
        <v>374</v>
      </c>
      <c r="M1448">
        <v>15</v>
      </c>
      <c r="N1448">
        <v>1</v>
      </c>
      <c r="O1448">
        <v>4</v>
      </c>
      <c r="P1448">
        <v>582</v>
      </c>
      <c r="Q1448">
        <v>344</v>
      </c>
      <c r="R1448">
        <v>240</v>
      </c>
      <c r="S1448">
        <v>30.59</v>
      </c>
    </row>
    <row r="1449" spans="12:19" x14ac:dyDescent="0.2">
      <c r="L1449" t="s">
        <v>374</v>
      </c>
      <c r="M1449">
        <v>16</v>
      </c>
      <c r="N1449">
        <v>1</v>
      </c>
      <c r="O1449">
        <v>4</v>
      </c>
      <c r="P1449">
        <v>582</v>
      </c>
      <c r="Q1449">
        <v>344</v>
      </c>
      <c r="R1449">
        <v>240</v>
      </c>
      <c r="S1449">
        <v>15.31</v>
      </c>
    </row>
    <row r="1450" spans="12:19" x14ac:dyDescent="0.2">
      <c r="L1450" t="s">
        <v>374</v>
      </c>
      <c r="M1450">
        <v>23</v>
      </c>
      <c r="N1450">
        <v>1</v>
      </c>
      <c r="O1450">
        <v>4</v>
      </c>
      <c r="P1450">
        <v>582</v>
      </c>
      <c r="Q1450">
        <v>344</v>
      </c>
      <c r="R1450">
        <v>240</v>
      </c>
      <c r="S1450">
        <v>2.4700000000000002</v>
      </c>
    </row>
    <row r="1451" spans="12:19" x14ac:dyDescent="0.2">
      <c r="L1451" t="s">
        <v>374</v>
      </c>
      <c r="M1451">
        <v>25</v>
      </c>
      <c r="N1451">
        <v>1</v>
      </c>
      <c r="O1451">
        <v>4</v>
      </c>
      <c r="P1451">
        <v>582</v>
      </c>
      <c r="Q1451">
        <v>344</v>
      </c>
      <c r="R1451">
        <v>240</v>
      </c>
      <c r="S1451">
        <v>9.1199999999999992</v>
      </c>
    </row>
    <row r="1452" spans="12:19" x14ac:dyDescent="0.2">
      <c r="L1452" t="s">
        <v>374</v>
      </c>
      <c r="M1452">
        <v>38</v>
      </c>
      <c r="N1452">
        <v>1</v>
      </c>
      <c r="O1452">
        <v>4</v>
      </c>
      <c r="P1452">
        <v>582</v>
      </c>
      <c r="Q1452">
        <v>344</v>
      </c>
      <c r="R1452">
        <v>240</v>
      </c>
      <c r="S1452">
        <v>97.91</v>
      </c>
    </row>
    <row r="1453" spans="12:19" x14ac:dyDescent="0.2">
      <c r="L1453" t="s">
        <v>374</v>
      </c>
      <c r="M1453">
        <v>47</v>
      </c>
      <c r="N1453">
        <v>1</v>
      </c>
      <c r="O1453">
        <v>4</v>
      </c>
      <c r="P1453">
        <v>582</v>
      </c>
      <c r="Q1453">
        <v>344</v>
      </c>
      <c r="R1453">
        <v>240</v>
      </c>
      <c r="S1453">
        <v>44.59</v>
      </c>
    </row>
    <row r="1454" spans="12:19" x14ac:dyDescent="0.2">
      <c r="L1454" t="s">
        <v>374</v>
      </c>
      <c r="M1454">
        <v>51</v>
      </c>
      <c r="N1454">
        <v>1</v>
      </c>
      <c r="O1454">
        <v>4</v>
      </c>
      <c r="P1454">
        <v>582</v>
      </c>
      <c r="Q1454">
        <v>344</v>
      </c>
      <c r="R1454">
        <v>240</v>
      </c>
      <c r="S1454">
        <v>70.760000000000005</v>
      </c>
    </row>
    <row r="1455" spans="12:19" x14ac:dyDescent="0.2">
      <c r="L1455" t="s">
        <v>374</v>
      </c>
      <c r="M1455">
        <v>75</v>
      </c>
      <c r="N1455">
        <v>1</v>
      </c>
      <c r="O1455">
        <v>4</v>
      </c>
      <c r="P1455">
        <v>582</v>
      </c>
      <c r="Q1455">
        <v>344</v>
      </c>
      <c r="R1455">
        <v>240</v>
      </c>
      <c r="S1455">
        <v>7.17</v>
      </c>
    </row>
    <row r="1456" spans="12:19" x14ac:dyDescent="0.2">
      <c r="L1456" t="s">
        <v>374</v>
      </c>
      <c r="M1456">
        <v>84</v>
      </c>
      <c r="N1456">
        <v>1</v>
      </c>
      <c r="O1456">
        <v>4</v>
      </c>
      <c r="P1456">
        <v>582</v>
      </c>
      <c r="Q1456">
        <v>344</v>
      </c>
      <c r="R1456">
        <v>240</v>
      </c>
      <c r="S1456">
        <v>47.22</v>
      </c>
    </row>
    <row r="1457" spans="12:19" x14ac:dyDescent="0.2">
      <c r="L1457" t="s">
        <v>374</v>
      </c>
      <c r="M1457">
        <v>97</v>
      </c>
      <c r="N1457">
        <v>1</v>
      </c>
      <c r="O1457">
        <v>4</v>
      </c>
      <c r="P1457">
        <v>582</v>
      </c>
      <c r="Q1457">
        <v>344</v>
      </c>
      <c r="R1457">
        <v>240</v>
      </c>
      <c r="S1457">
        <v>46.8</v>
      </c>
    </row>
    <row r="1458" spans="12:19" x14ac:dyDescent="0.2">
      <c r="L1458" t="s">
        <v>374</v>
      </c>
      <c r="M1458">
        <v>110</v>
      </c>
      <c r="N1458">
        <v>1</v>
      </c>
      <c r="O1458">
        <v>4</v>
      </c>
      <c r="P1458">
        <v>582</v>
      </c>
      <c r="Q1458">
        <v>344</v>
      </c>
      <c r="R1458">
        <v>240</v>
      </c>
      <c r="S1458">
        <v>15.78</v>
      </c>
    </row>
    <row r="1459" spans="12:19" x14ac:dyDescent="0.2">
      <c r="L1459" t="s">
        <v>374</v>
      </c>
      <c r="M1459">
        <v>111</v>
      </c>
      <c r="N1459">
        <v>1</v>
      </c>
      <c r="O1459">
        <v>4</v>
      </c>
      <c r="P1459">
        <v>582</v>
      </c>
      <c r="Q1459">
        <v>344</v>
      </c>
      <c r="R1459">
        <v>240</v>
      </c>
      <c r="S1459">
        <v>43.62</v>
      </c>
    </row>
    <row r="1460" spans="12:19" x14ac:dyDescent="0.2">
      <c r="L1460" t="s">
        <v>374</v>
      </c>
      <c r="M1460">
        <v>112</v>
      </c>
      <c r="N1460">
        <v>1</v>
      </c>
      <c r="O1460">
        <v>4</v>
      </c>
      <c r="P1460">
        <v>582</v>
      </c>
      <c r="Q1460">
        <v>344</v>
      </c>
      <c r="R1460">
        <v>240</v>
      </c>
      <c r="S1460">
        <v>20.43</v>
      </c>
    </row>
    <row r="1461" spans="12:19" x14ac:dyDescent="0.2">
      <c r="L1461" t="s">
        <v>374</v>
      </c>
      <c r="M1461">
        <v>139</v>
      </c>
      <c r="N1461">
        <v>1</v>
      </c>
      <c r="O1461">
        <v>4</v>
      </c>
      <c r="P1461">
        <v>582</v>
      </c>
      <c r="Q1461">
        <v>344</v>
      </c>
      <c r="R1461">
        <v>240</v>
      </c>
      <c r="S1461">
        <v>35.799999999999997</v>
      </c>
    </row>
    <row r="1462" spans="12:19" x14ac:dyDescent="0.2">
      <c r="L1462" t="s">
        <v>374</v>
      </c>
      <c r="M1462">
        <v>181</v>
      </c>
      <c r="N1462">
        <v>1</v>
      </c>
      <c r="O1462">
        <v>4</v>
      </c>
      <c r="P1462">
        <v>582</v>
      </c>
      <c r="Q1462">
        <v>344</v>
      </c>
      <c r="R1462">
        <v>240</v>
      </c>
      <c r="S1462">
        <v>179.31</v>
      </c>
    </row>
    <row r="1463" spans="12:19" x14ac:dyDescent="0.2">
      <c r="L1463" t="s">
        <v>374</v>
      </c>
      <c r="M1463">
        <v>182</v>
      </c>
      <c r="N1463">
        <v>1</v>
      </c>
      <c r="O1463">
        <v>4</v>
      </c>
      <c r="P1463">
        <v>582</v>
      </c>
      <c r="Q1463">
        <v>344</v>
      </c>
      <c r="R1463">
        <v>240</v>
      </c>
      <c r="S1463">
        <v>62.66</v>
      </c>
    </row>
    <row r="1464" spans="12:19" x14ac:dyDescent="0.2">
      <c r="L1464" t="s">
        <v>374</v>
      </c>
      <c r="M1464">
        <v>191</v>
      </c>
      <c r="N1464">
        <v>1</v>
      </c>
      <c r="O1464">
        <v>4</v>
      </c>
      <c r="P1464">
        <v>582</v>
      </c>
      <c r="Q1464">
        <v>344</v>
      </c>
      <c r="R1464">
        <v>240</v>
      </c>
      <c r="S1464">
        <v>323.17</v>
      </c>
    </row>
    <row r="1465" spans="12:19" x14ac:dyDescent="0.2">
      <c r="L1465" t="s">
        <v>374</v>
      </c>
      <c r="M1465">
        <v>192</v>
      </c>
      <c r="N1465">
        <v>1</v>
      </c>
      <c r="O1465">
        <v>4</v>
      </c>
      <c r="P1465">
        <v>582</v>
      </c>
      <c r="Q1465">
        <v>344</v>
      </c>
      <c r="R1465">
        <v>240</v>
      </c>
      <c r="S1465">
        <v>136.38999999999999</v>
      </c>
    </row>
    <row r="1466" spans="12:19" x14ac:dyDescent="0.2">
      <c r="L1466" t="s">
        <v>374</v>
      </c>
      <c r="M1466">
        <v>200</v>
      </c>
      <c r="N1466">
        <v>1</v>
      </c>
      <c r="O1466">
        <v>4</v>
      </c>
      <c r="P1466">
        <v>582</v>
      </c>
      <c r="Q1466">
        <v>344</v>
      </c>
      <c r="R1466">
        <v>240</v>
      </c>
      <c r="S1466">
        <v>360.81</v>
      </c>
    </row>
    <row r="1467" spans="12:19" x14ac:dyDescent="0.2">
      <c r="L1467" t="s">
        <v>374</v>
      </c>
      <c r="M1467">
        <v>204</v>
      </c>
      <c r="N1467">
        <v>1</v>
      </c>
      <c r="O1467">
        <v>4</v>
      </c>
      <c r="P1467">
        <v>582</v>
      </c>
      <c r="Q1467">
        <v>344</v>
      </c>
      <c r="R1467">
        <v>240</v>
      </c>
      <c r="S1467">
        <v>379.22</v>
      </c>
    </row>
    <row r="1468" spans="12:19" x14ac:dyDescent="0.2">
      <c r="L1468" t="s">
        <v>374</v>
      </c>
      <c r="M1468">
        <v>238</v>
      </c>
      <c r="N1468">
        <v>1</v>
      </c>
      <c r="O1468">
        <v>4</v>
      </c>
      <c r="P1468">
        <v>582</v>
      </c>
      <c r="Q1468">
        <v>344</v>
      </c>
      <c r="R1468">
        <v>240</v>
      </c>
      <c r="S1468">
        <v>0.09</v>
      </c>
    </row>
    <row r="1469" spans="12:19" x14ac:dyDescent="0.2">
      <c r="L1469" t="s">
        <v>374</v>
      </c>
      <c r="M1469">
        <v>255</v>
      </c>
      <c r="N1469">
        <v>1</v>
      </c>
      <c r="O1469">
        <v>4</v>
      </c>
      <c r="P1469">
        <v>582</v>
      </c>
      <c r="Q1469">
        <v>344</v>
      </c>
      <c r="R1469">
        <v>240</v>
      </c>
      <c r="S1469">
        <v>62.58</v>
      </c>
    </row>
    <row r="1470" spans="12:19" x14ac:dyDescent="0.2">
      <c r="L1470" t="s">
        <v>374</v>
      </c>
      <c r="M1470">
        <v>256</v>
      </c>
      <c r="N1470">
        <v>1</v>
      </c>
      <c r="O1470">
        <v>4</v>
      </c>
      <c r="P1470">
        <v>582</v>
      </c>
      <c r="Q1470">
        <v>344</v>
      </c>
      <c r="R1470">
        <v>240</v>
      </c>
      <c r="S1470">
        <v>27.13</v>
      </c>
    </row>
    <row r="1471" spans="12:19" x14ac:dyDescent="0.2">
      <c r="L1471" t="s">
        <v>374</v>
      </c>
      <c r="M1471">
        <v>270</v>
      </c>
      <c r="N1471">
        <v>1</v>
      </c>
      <c r="O1471">
        <v>4</v>
      </c>
      <c r="P1471">
        <v>582</v>
      </c>
      <c r="Q1471">
        <v>344</v>
      </c>
      <c r="R1471">
        <v>240</v>
      </c>
      <c r="S1471">
        <v>49.74</v>
      </c>
    </row>
    <row r="1472" spans="12:19" x14ac:dyDescent="0.2">
      <c r="L1472" t="s">
        <v>374</v>
      </c>
      <c r="M1472">
        <v>271</v>
      </c>
      <c r="N1472">
        <v>1</v>
      </c>
      <c r="O1472">
        <v>4</v>
      </c>
      <c r="P1472">
        <v>582</v>
      </c>
      <c r="Q1472">
        <v>344</v>
      </c>
      <c r="R1472">
        <v>240</v>
      </c>
      <c r="S1472">
        <v>1189.73</v>
      </c>
    </row>
    <row r="1473" spans="12:19" x14ac:dyDescent="0.2">
      <c r="L1473" t="s">
        <v>374</v>
      </c>
      <c r="M1473">
        <v>272</v>
      </c>
      <c r="N1473">
        <v>1</v>
      </c>
      <c r="O1473">
        <v>4</v>
      </c>
      <c r="P1473">
        <v>582</v>
      </c>
      <c r="Q1473">
        <v>344</v>
      </c>
      <c r="R1473">
        <v>240</v>
      </c>
      <c r="S1473">
        <v>764.16</v>
      </c>
    </row>
    <row r="1474" spans="12:19" x14ac:dyDescent="0.2">
      <c r="L1474" t="s">
        <v>374</v>
      </c>
      <c r="M1474">
        <v>276</v>
      </c>
      <c r="N1474">
        <v>1</v>
      </c>
      <c r="O1474">
        <v>4</v>
      </c>
      <c r="P1474">
        <v>582</v>
      </c>
      <c r="Q1474">
        <v>344</v>
      </c>
      <c r="R1474">
        <v>240</v>
      </c>
      <c r="S1474">
        <v>3.61</v>
      </c>
    </row>
    <row r="1475" spans="12:19" x14ac:dyDescent="0.2">
      <c r="L1475" t="s">
        <v>374</v>
      </c>
      <c r="M1475">
        <v>282</v>
      </c>
      <c r="N1475">
        <v>1</v>
      </c>
      <c r="O1475">
        <v>4</v>
      </c>
      <c r="P1475">
        <v>582</v>
      </c>
      <c r="Q1475">
        <v>344</v>
      </c>
      <c r="R1475">
        <v>240</v>
      </c>
      <c r="S1475">
        <v>4.9800000000000004</v>
      </c>
    </row>
    <row r="1476" spans="12:19" x14ac:dyDescent="0.2">
      <c r="L1476" t="s">
        <v>374</v>
      </c>
      <c r="M1476">
        <v>284</v>
      </c>
      <c r="N1476">
        <v>1</v>
      </c>
      <c r="O1476">
        <v>4</v>
      </c>
      <c r="P1476">
        <v>582</v>
      </c>
      <c r="Q1476">
        <v>344</v>
      </c>
      <c r="R1476">
        <v>240</v>
      </c>
      <c r="S1476">
        <v>77.680000000000007</v>
      </c>
    </row>
    <row r="1477" spans="12:19" x14ac:dyDescent="0.2">
      <c r="L1477" t="s">
        <v>374</v>
      </c>
      <c r="M1477">
        <v>294</v>
      </c>
      <c r="N1477">
        <v>1</v>
      </c>
      <c r="O1477">
        <v>4</v>
      </c>
      <c r="P1477">
        <v>582</v>
      </c>
      <c r="Q1477">
        <v>344</v>
      </c>
      <c r="R1477">
        <v>240</v>
      </c>
      <c r="S1477">
        <v>0.04</v>
      </c>
    </row>
    <row r="1478" spans="12:19" x14ac:dyDescent="0.2">
      <c r="L1478" t="s">
        <v>374</v>
      </c>
      <c r="M1478">
        <v>299</v>
      </c>
      <c r="N1478">
        <v>1</v>
      </c>
      <c r="O1478">
        <v>4</v>
      </c>
      <c r="P1478">
        <v>582</v>
      </c>
      <c r="Q1478">
        <v>344</v>
      </c>
      <c r="R1478">
        <v>240</v>
      </c>
      <c r="S1478">
        <v>97</v>
      </c>
    </row>
    <row r="1479" spans="12:19" x14ac:dyDescent="0.2">
      <c r="L1479" t="s">
        <v>374</v>
      </c>
      <c r="M1479">
        <v>300</v>
      </c>
      <c r="N1479">
        <v>1</v>
      </c>
      <c r="O1479">
        <v>4</v>
      </c>
      <c r="P1479">
        <v>582</v>
      </c>
      <c r="Q1479">
        <v>344</v>
      </c>
      <c r="R1479">
        <v>240</v>
      </c>
      <c r="S1479">
        <v>73.2</v>
      </c>
    </row>
    <row r="1480" spans="12:19" x14ac:dyDescent="0.2">
      <c r="L1480" t="s">
        <v>374</v>
      </c>
      <c r="M1480">
        <v>309</v>
      </c>
      <c r="N1480">
        <v>1</v>
      </c>
      <c r="O1480">
        <v>4</v>
      </c>
      <c r="P1480">
        <v>582</v>
      </c>
      <c r="Q1480">
        <v>344</v>
      </c>
      <c r="R1480">
        <v>240</v>
      </c>
      <c r="S1480">
        <v>175.09</v>
      </c>
    </row>
    <row r="1481" spans="12:19" x14ac:dyDescent="0.2">
      <c r="L1481" t="s">
        <v>374</v>
      </c>
      <c r="M1481">
        <v>332</v>
      </c>
      <c r="N1481">
        <v>1</v>
      </c>
      <c r="O1481">
        <v>4</v>
      </c>
      <c r="P1481">
        <v>582</v>
      </c>
      <c r="Q1481">
        <v>344</v>
      </c>
      <c r="R1481">
        <v>240</v>
      </c>
      <c r="S1481">
        <v>0.23</v>
      </c>
    </row>
    <row r="1482" spans="12:19" x14ac:dyDescent="0.2">
      <c r="L1482" t="s">
        <v>374</v>
      </c>
      <c r="M1482">
        <v>333</v>
      </c>
      <c r="N1482">
        <v>1</v>
      </c>
      <c r="O1482">
        <v>4</v>
      </c>
      <c r="P1482">
        <v>582</v>
      </c>
      <c r="Q1482">
        <v>344</v>
      </c>
      <c r="R1482">
        <v>240</v>
      </c>
      <c r="S1482">
        <v>142.08000000000001</v>
      </c>
    </row>
    <row r="1483" spans="12:19" x14ac:dyDescent="0.2">
      <c r="L1483" t="s">
        <v>374</v>
      </c>
      <c r="M1483">
        <v>381</v>
      </c>
      <c r="N1483">
        <v>1</v>
      </c>
      <c r="O1483">
        <v>4</v>
      </c>
      <c r="P1483">
        <v>582</v>
      </c>
      <c r="Q1483">
        <v>344</v>
      </c>
      <c r="R1483">
        <v>240</v>
      </c>
      <c r="S1483">
        <v>29.15</v>
      </c>
    </row>
    <row r="1484" spans="12:19" x14ac:dyDescent="0.2">
      <c r="L1484" t="s">
        <v>374</v>
      </c>
      <c r="M1484">
        <v>390</v>
      </c>
      <c r="N1484">
        <v>1</v>
      </c>
      <c r="O1484">
        <v>4</v>
      </c>
      <c r="P1484">
        <v>582</v>
      </c>
      <c r="Q1484">
        <v>344</v>
      </c>
      <c r="R1484">
        <v>240</v>
      </c>
      <c r="S1484">
        <v>36.78</v>
      </c>
    </row>
    <row r="1485" spans="12:19" x14ac:dyDescent="0.2">
      <c r="L1485" t="s">
        <v>374</v>
      </c>
      <c r="M1485">
        <v>391</v>
      </c>
      <c r="N1485">
        <v>1</v>
      </c>
      <c r="O1485">
        <v>4</v>
      </c>
      <c r="P1485">
        <v>582</v>
      </c>
      <c r="Q1485">
        <v>344</v>
      </c>
      <c r="R1485">
        <v>240</v>
      </c>
      <c r="S1485">
        <v>162.47999999999999</v>
      </c>
    </row>
    <row r="1486" spans="12:19" x14ac:dyDescent="0.2">
      <c r="L1486" t="s">
        <v>374</v>
      </c>
      <c r="M1486">
        <v>394</v>
      </c>
      <c r="N1486">
        <v>1</v>
      </c>
      <c r="O1486">
        <v>4</v>
      </c>
      <c r="P1486">
        <v>582</v>
      </c>
      <c r="Q1486">
        <v>344</v>
      </c>
      <c r="R1486">
        <v>240</v>
      </c>
      <c r="S1486">
        <v>15.68</v>
      </c>
    </row>
    <row r="1487" spans="12:19" x14ac:dyDescent="0.2">
      <c r="L1487" t="s">
        <v>374</v>
      </c>
      <c r="M1487">
        <v>404</v>
      </c>
      <c r="N1487">
        <v>1</v>
      </c>
      <c r="O1487">
        <v>4</v>
      </c>
      <c r="P1487">
        <v>582</v>
      </c>
      <c r="Q1487">
        <v>344</v>
      </c>
      <c r="R1487">
        <v>240</v>
      </c>
      <c r="S1487">
        <v>103.07</v>
      </c>
    </row>
    <row r="1488" spans="12:19" x14ac:dyDescent="0.2">
      <c r="L1488" t="s">
        <v>374</v>
      </c>
      <c r="M1488">
        <v>423</v>
      </c>
      <c r="N1488">
        <v>1</v>
      </c>
      <c r="O1488">
        <v>4</v>
      </c>
      <c r="P1488">
        <v>582</v>
      </c>
      <c r="Q1488">
        <v>344</v>
      </c>
      <c r="R1488">
        <v>240</v>
      </c>
      <c r="S1488">
        <v>8.6300000000000008</v>
      </c>
    </row>
    <row r="1489" spans="12:19" x14ac:dyDescent="0.2">
      <c r="L1489" t="s">
        <v>374</v>
      </c>
      <c r="M1489">
        <v>424</v>
      </c>
      <c r="N1489">
        <v>1</v>
      </c>
      <c r="O1489">
        <v>4</v>
      </c>
      <c r="P1489">
        <v>582</v>
      </c>
      <c r="Q1489">
        <v>344</v>
      </c>
      <c r="R1489">
        <v>240</v>
      </c>
      <c r="S1489">
        <v>55.23</v>
      </c>
    </row>
    <row r="1490" spans="12:19" x14ac:dyDescent="0.2">
      <c r="L1490" t="s">
        <v>374</v>
      </c>
      <c r="M1490">
        <v>466</v>
      </c>
      <c r="N1490">
        <v>1</v>
      </c>
      <c r="O1490">
        <v>4</v>
      </c>
      <c r="P1490">
        <v>582</v>
      </c>
      <c r="Q1490">
        <v>344</v>
      </c>
      <c r="R1490">
        <v>240</v>
      </c>
      <c r="S1490">
        <v>56.91</v>
      </c>
    </row>
    <row r="1491" spans="12:19" x14ac:dyDescent="0.2">
      <c r="L1491" t="s">
        <v>374</v>
      </c>
      <c r="M1491">
        <v>477</v>
      </c>
      <c r="N1491">
        <v>1</v>
      </c>
      <c r="O1491">
        <v>4</v>
      </c>
      <c r="P1491">
        <v>582</v>
      </c>
      <c r="Q1491">
        <v>344</v>
      </c>
      <c r="R1491">
        <v>240</v>
      </c>
      <c r="S1491">
        <v>33.9</v>
      </c>
    </row>
    <row r="1492" spans="12:19" x14ac:dyDescent="0.2">
      <c r="L1492" t="s">
        <v>374</v>
      </c>
      <c r="M1492">
        <v>480</v>
      </c>
      <c r="N1492">
        <v>1</v>
      </c>
      <c r="O1492">
        <v>4</v>
      </c>
      <c r="P1492">
        <v>582</v>
      </c>
      <c r="Q1492">
        <v>344</v>
      </c>
      <c r="R1492">
        <v>240</v>
      </c>
      <c r="S1492">
        <v>16.86</v>
      </c>
    </row>
    <row r="1493" spans="12:19" x14ac:dyDescent="0.2">
      <c r="L1493" t="s">
        <v>374</v>
      </c>
      <c r="M1493">
        <v>492</v>
      </c>
      <c r="N1493">
        <v>1</v>
      </c>
      <c r="O1493">
        <v>4</v>
      </c>
      <c r="P1493">
        <v>582</v>
      </c>
      <c r="Q1493">
        <v>344</v>
      </c>
      <c r="R1493">
        <v>240</v>
      </c>
      <c r="S1493">
        <v>17.940000000000001</v>
      </c>
    </row>
    <row r="1494" spans="12:19" x14ac:dyDescent="0.2">
      <c r="L1494" t="s">
        <v>374</v>
      </c>
      <c r="M1494">
        <v>495</v>
      </c>
      <c r="N1494">
        <v>1</v>
      </c>
      <c r="O1494">
        <v>4</v>
      </c>
      <c r="P1494">
        <v>582</v>
      </c>
      <c r="Q1494">
        <v>344</v>
      </c>
      <c r="R1494">
        <v>240</v>
      </c>
      <c r="S1494">
        <v>39.57</v>
      </c>
    </row>
    <row r="1495" spans="12:19" x14ac:dyDescent="0.2">
      <c r="L1495" t="s">
        <v>374</v>
      </c>
      <c r="M1495">
        <v>518</v>
      </c>
      <c r="N1495">
        <v>1</v>
      </c>
      <c r="O1495">
        <v>4</v>
      </c>
      <c r="P1495">
        <v>582</v>
      </c>
      <c r="Q1495">
        <v>344</v>
      </c>
      <c r="R1495">
        <v>240</v>
      </c>
      <c r="S1495">
        <v>60.77</v>
      </c>
    </row>
    <row r="1496" spans="12:19" x14ac:dyDescent="0.2">
      <c r="L1496" t="s">
        <v>374</v>
      </c>
      <c r="M1496">
        <v>531</v>
      </c>
      <c r="N1496">
        <v>1</v>
      </c>
      <c r="O1496">
        <v>4</v>
      </c>
      <c r="P1496">
        <v>582</v>
      </c>
      <c r="Q1496">
        <v>344</v>
      </c>
      <c r="R1496">
        <v>240</v>
      </c>
      <c r="S1496">
        <v>47.76</v>
      </c>
    </row>
    <row r="1497" spans="12:19" x14ac:dyDescent="0.2">
      <c r="L1497" t="s">
        <v>374</v>
      </c>
      <c r="M1497">
        <v>533</v>
      </c>
      <c r="N1497">
        <v>1</v>
      </c>
      <c r="O1497">
        <v>4</v>
      </c>
      <c r="P1497">
        <v>582</v>
      </c>
      <c r="Q1497">
        <v>344</v>
      </c>
      <c r="R1497">
        <v>240</v>
      </c>
      <c r="S1497">
        <v>14.16</v>
      </c>
    </row>
    <row r="1498" spans="12:19" x14ac:dyDescent="0.2">
      <c r="L1498" t="s">
        <v>374</v>
      </c>
      <c r="M1498">
        <v>534</v>
      </c>
      <c r="N1498">
        <v>1</v>
      </c>
      <c r="O1498">
        <v>4</v>
      </c>
      <c r="P1498">
        <v>582</v>
      </c>
      <c r="Q1498">
        <v>344</v>
      </c>
      <c r="R1498">
        <v>240</v>
      </c>
      <c r="S1498">
        <v>41.02</v>
      </c>
    </row>
    <row r="1499" spans="12:19" x14ac:dyDescent="0.2">
      <c r="L1499" t="s">
        <v>374</v>
      </c>
      <c r="M1499">
        <v>564</v>
      </c>
      <c r="N1499">
        <v>1</v>
      </c>
      <c r="O1499">
        <v>4</v>
      </c>
      <c r="P1499">
        <v>582</v>
      </c>
      <c r="Q1499">
        <v>344</v>
      </c>
      <c r="R1499">
        <v>240</v>
      </c>
      <c r="S1499">
        <v>262.99</v>
      </c>
    </row>
    <row r="1500" spans="12:19" x14ac:dyDescent="0.2">
      <c r="L1500" t="s">
        <v>374</v>
      </c>
      <c r="M1500">
        <v>581</v>
      </c>
      <c r="N1500">
        <v>1</v>
      </c>
      <c r="O1500">
        <v>4</v>
      </c>
      <c r="P1500">
        <v>582</v>
      </c>
      <c r="Q1500">
        <v>344</v>
      </c>
      <c r="R1500">
        <v>240</v>
      </c>
      <c r="S1500">
        <v>25</v>
      </c>
    </row>
    <row r="1501" spans="12:19" x14ac:dyDescent="0.2">
      <c r="L1501" t="s">
        <v>374</v>
      </c>
      <c r="M1501">
        <v>600</v>
      </c>
      <c r="N1501">
        <v>1</v>
      </c>
      <c r="O1501">
        <v>4</v>
      </c>
      <c r="P1501">
        <v>582</v>
      </c>
      <c r="Q1501">
        <v>344</v>
      </c>
      <c r="R1501">
        <v>240</v>
      </c>
      <c r="S1501">
        <v>42.17</v>
      </c>
    </row>
    <row r="1502" spans="12:19" x14ac:dyDescent="0.2">
      <c r="L1502" t="s">
        <v>374</v>
      </c>
      <c r="M1502">
        <v>621</v>
      </c>
      <c r="N1502">
        <v>1</v>
      </c>
      <c r="O1502">
        <v>4</v>
      </c>
      <c r="P1502">
        <v>582</v>
      </c>
      <c r="Q1502">
        <v>344</v>
      </c>
      <c r="R1502">
        <v>240</v>
      </c>
      <c r="S1502">
        <v>145.97</v>
      </c>
    </row>
    <row r="1503" spans="12:19" x14ac:dyDescent="0.2">
      <c r="L1503" t="s">
        <v>374</v>
      </c>
      <c r="M1503">
        <v>623</v>
      </c>
      <c r="N1503">
        <v>1</v>
      </c>
      <c r="O1503">
        <v>4</v>
      </c>
      <c r="P1503">
        <v>582</v>
      </c>
      <c r="Q1503">
        <v>344</v>
      </c>
      <c r="R1503">
        <v>240</v>
      </c>
      <c r="S1503">
        <v>151.19999999999999</v>
      </c>
    </row>
    <row r="1504" spans="12:19" x14ac:dyDescent="0.2">
      <c r="L1504" t="s">
        <v>374</v>
      </c>
      <c r="M1504">
        <v>656</v>
      </c>
      <c r="N1504">
        <v>1</v>
      </c>
      <c r="O1504">
        <v>4</v>
      </c>
      <c r="P1504">
        <v>582</v>
      </c>
      <c r="Q1504">
        <v>344</v>
      </c>
      <c r="R1504">
        <v>240</v>
      </c>
      <c r="S1504">
        <v>216.72</v>
      </c>
    </row>
    <row r="1505" spans="12:19" x14ac:dyDescent="0.2">
      <c r="L1505" t="s">
        <v>374</v>
      </c>
      <c r="M1505">
        <v>659</v>
      </c>
      <c r="N1505">
        <v>1</v>
      </c>
      <c r="O1505">
        <v>4</v>
      </c>
      <c r="P1505">
        <v>582</v>
      </c>
      <c r="Q1505">
        <v>344</v>
      </c>
      <c r="R1505">
        <v>240</v>
      </c>
      <c r="S1505">
        <v>303.74</v>
      </c>
    </row>
    <row r="1506" spans="12:19" x14ac:dyDescent="0.2">
      <c r="L1506" t="s">
        <v>374</v>
      </c>
      <c r="M1506">
        <v>709</v>
      </c>
      <c r="N1506">
        <v>1</v>
      </c>
      <c r="O1506">
        <v>4</v>
      </c>
      <c r="P1506">
        <v>582</v>
      </c>
      <c r="Q1506">
        <v>344</v>
      </c>
      <c r="R1506">
        <v>240</v>
      </c>
      <c r="S1506">
        <v>547.99</v>
      </c>
    </row>
    <row r="1507" spans="12:19" x14ac:dyDescent="0.2">
      <c r="L1507" t="s">
        <v>374</v>
      </c>
      <c r="M1507">
        <v>717</v>
      </c>
      <c r="N1507">
        <v>1</v>
      </c>
      <c r="O1507">
        <v>4</v>
      </c>
      <c r="P1507">
        <v>582</v>
      </c>
      <c r="Q1507">
        <v>344</v>
      </c>
      <c r="R1507">
        <v>240</v>
      </c>
      <c r="S1507">
        <v>191.62</v>
      </c>
    </row>
    <row r="1508" spans="12:19" x14ac:dyDescent="0.2">
      <c r="L1508" t="s">
        <v>374</v>
      </c>
      <c r="M1508">
        <v>719</v>
      </c>
      <c r="N1508">
        <v>1</v>
      </c>
      <c r="O1508">
        <v>4</v>
      </c>
      <c r="P1508">
        <v>582</v>
      </c>
      <c r="Q1508">
        <v>344</v>
      </c>
      <c r="R1508">
        <v>240</v>
      </c>
      <c r="S1508">
        <v>412.56</v>
      </c>
    </row>
    <row r="1509" spans="12:19" x14ac:dyDescent="0.2">
      <c r="L1509" t="s">
        <v>374</v>
      </c>
      <c r="M1509">
        <v>721</v>
      </c>
      <c r="N1509">
        <v>1</v>
      </c>
      <c r="O1509">
        <v>4</v>
      </c>
      <c r="P1509">
        <v>582</v>
      </c>
      <c r="Q1509">
        <v>344</v>
      </c>
      <c r="R1509">
        <v>240</v>
      </c>
      <c r="S1509">
        <v>91.49</v>
      </c>
    </row>
    <row r="1510" spans="12:19" x14ac:dyDescent="0.2">
      <c r="L1510" t="s">
        <v>374</v>
      </c>
      <c r="M1510">
        <v>727</v>
      </c>
      <c r="N1510">
        <v>1</v>
      </c>
      <c r="O1510">
        <v>4</v>
      </c>
      <c r="P1510">
        <v>582</v>
      </c>
      <c r="Q1510">
        <v>344</v>
      </c>
      <c r="R1510">
        <v>240</v>
      </c>
      <c r="S1510">
        <v>73.38</v>
      </c>
    </row>
    <row r="1511" spans="12:19" x14ac:dyDescent="0.2">
      <c r="L1511" t="s">
        <v>374</v>
      </c>
      <c r="M1511">
        <v>728</v>
      </c>
      <c r="N1511">
        <v>1</v>
      </c>
      <c r="O1511">
        <v>4</v>
      </c>
      <c r="P1511">
        <v>582</v>
      </c>
      <c r="Q1511">
        <v>344</v>
      </c>
      <c r="R1511">
        <v>240</v>
      </c>
      <c r="S1511">
        <v>663.52</v>
      </c>
    </row>
    <row r="1512" spans="12:19" x14ac:dyDescent="0.2">
      <c r="L1512" t="s">
        <v>374</v>
      </c>
      <c r="M1512">
        <v>739</v>
      </c>
      <c r="N1512">
        <v>1</v>
      </c>
      <c r="O1512">
        <v>4</v>
      </c>
      <c r="P1512">
        <v>582</v>
      </c>
      <c r="Q1512">
        <v>344</v>
      </c>
      <c r="R1512">
        <v>240</v>
      </c>
      <c r="S1512">
        <v>36.21</v>
      </c>
    </row>
    <row r="1513" spans="12:19" x14ac:dyDescent="0.2">
      <c r="L1513" t="s">
        <v>374</v>
      </c>
      <c r="M1513">
        <v>741</v>
      </c>
      <c r="N1513">
        <v>1</v>
      </c>
      <c r="O1513">
        <v>4</v>
      </c>
      <c r="P1513">
        <v>582</v>
      </c>
      <c r="Q1513">
        <v>344</v>
      </c>
      <c r="R1513">
        <v>240</v>
      </c>
      <c r="S1513">
        <v>106.55</v>
      </c>
    </row>
    <row r="1514" spans="12:19" x14ac:dyDescent="0.2">
      <c r="L1514" t="s">
        <v>374</v>
      </c>
      <c r="M1514">
        <v>745</v>
      </c>
      <c r="N1514">
        <v>1</v>
      </c>
      <c r="O1514">
        <v>4</v>
      </c>
      <c r="P1514">
        <v>582</v>
      </c>
      <c r="Q1514">
        <v>344</v>
      </c>
      <c r="R1514">
        <v>240</v>
      </c>
      <c r="S1514">
        <v>152.1</v>
      </c>
    </row>
    <row r="1515" spans="12:19" x14ac:dyDescent="0.2">
      <c r="L1515" t="s">
        <v>374</v>
      </c>
      <c r="M1515">
        <v>756</v>
      </c>
      <c r="N1515">
        <v>1</v>
      </c>
      <c r="O1515">
        <v>4</v>
      </c>
      <c r="P1515">
        <v>582</v>
      </c>
      <c r="Q1515">
        <v>344</v>
      </c>
      <c r="R1515">
        <v>240</v>
      </c>
      <c r="S1515">
        <v>56.08</v>
      </c>
    </row>
    <row r="1516" spans="12:19" x14ac:dyDescent="0.2">
      <c r="L1516" t="s">
        <v>374</v>
      </c>
      <c r="M1516">
        <v>761</v>
      </c>
      <c r="N1516">
        <v>1</v>
      </c>
      <c r="O1516">
        <v>4</v>
      </c>
      <c r="P1516">
        <v>582</v>
      </c>
      <c r="Q1516">
        <v>344</v>
      </c>
      <c r="R1516">
        <v>240</v>
      </c>
      <c r="S1516">
        <v>138.06</v>
      </c>
    </row>
    <row r="1517" spans="12:19" x14ac:dyDescent="0.2">
      <c r="L1517" t="s">
        <v>374</v>
      </c>
      <c r="M1517">
        <v>777</v>
      </c>
      <c r="N1517">
        <v>1</v>
      </c>
      <c r="O1517">
        <v>4</v>
      </c>
      <c r="P1517">
        <v>582</v>
      </c>
      <c r="Q1517">
        <v>344</v>
      </c>
      <c r="R1517">
        <v>240</v>
      </c>
      <c r="S1517">
        <v>16.62</v>
      </c>
    </row>
    <row r="1518" spans="12:19" x14ac:dyDescent="0.2">
      <c r="L1518" t="s">
        <v>374</v>
      </c>
      <c r="M1518">
        <v>811</v>
      </c>
      <c r="N1518">
        <v>1</v>
      </c>
      <c r="O1518">
        <v>4</v>
      </c>
      <c r="P1518">
        <v>582</v>
      </c>
      <c r="Q1518">
        <v>344</v>
      </c>
      <c r="R1518">
        <v>240</v>
      </c>
      <c r="S1518">
        <v>66.52</v>
      </c>
    </row>
    <row r="1519" spans="12:19" x14ac:dyDescent="0.2">
      <c r="L1519" t="s">
        <v>374</v>
      </c>
      <c r="M1519">
        <v>813</v>
      </c>
      <c r="N1519">
        <v>1</v>
      </c>
      <c r="O1519">
        <v>4</v>
      </c>
      <c r="P1519">
        <v>582</v>
      </c>
      <c r="Q1519">
        <v>344</v>
      </c>
      <c r="R1519">
        <v>240</v>
      </c>
      <c r="S1519">
        <v>36.47</v>
      </c>
    </row>
    <row r="1520" spans="12:19" x14ac:dyDescent="0.2">
      <c r="L1520" t="s">
        <v>374</v>
      </c>
      <c r="M1520">
        <v>820</v>
      </c>
      <c r="N1520">
        <v>1</v>
      </c>
      <c r="O1520">
        <v>4</v>
      </c>
      <c r="P1520">
        <v>582</v>
      </c>
      <c r="Q1520">
        <v>344</v>
      </c>
      <c r="R1520">
        <v>240</v>
      </c>
      <c r="S1520">
        <v>38.880000000000003</v>
      </c>
    </row>
    <row r="1521" spans="12:19" x14ac:dyDescent="0.2">
      <c r="L1521" t="s">
        <v>374</v>
      </c>
      <c r="M1521">
        <v>829</v>
      </c>
      <c r="N1521">
        <v>1</v>
      </c>
      <c r="O1521">
        <v>4</v>
      </c>
      <c r="P1521">
        <v>582</v>
      </c>
      <c r="Q1521">
        <v>344</v>
      </c>
      <c r="R1521">
        <v>240</v>
      </c>
      <c r="S1521">
        <v>70.290000000000006</v>
      </c>
    </row>
    <row r="1522" spans="12:19" x14ac:dyDescent="0.2">
      <c r="L1522" t="s">
        <v>374</v>
      </c>
      <c r="M1522">
        <v>831</v>
      </c>
      <c r="N1522">
        <v>1</v>
      </c>
      <c r="O1522">
        <v>4</v>
      </c>
      <c r="P1522">
        <v>582</v>
      </c>
      <c r="Q1522">
        <v>344</v>
      </c>
      <c r="R1522">
        <v>240</v>
      </c>
      <c r="S1522">
        <v>10.09</v>
      </c>
    </row>
    <row r="1523" spans="12:19" x14ac:dyDescent="0.2">
      <c r="L1523" t="s">
        <v>374</v>
      </c>
      <c r="M1523">
        <v>832</v>
      </c>
      <c r="N1523">
        <v>1</v>
      </c>
      <c r="O1523">
        <v>4</v>
      </c>
      <c r="P1523">
        <v>582</v>
      </c>
      <c r="Q1523">
        <v>344</v>
      </c>
      <c r="R1523">
        <v>240</v>
      </c>
      <c r="S1523">
        <v>4.72</v>
      </c>
    </row>
    <row r="1524" spans="12:19" x14ac:dyDescent="0.2">
      <c r="L1524" t="s">
        <v>374</v>
      </c>
      <c r="M1524">
        <v>834</v>
      </c>
      <c r="N1524">
        <v>1</v>
      </c>
      <c r="O1524">
        <v>4</v>
      </c>
      <c r="P1524">
        <v>582</v>
      </c>
      <c r="Q1524">
        <v>344</v>
      </c>
      <c r="R1524">
        <v>240</v>
      </c>
      <c r="S1524">
        <v>96.62</v>
      </c>
    </row>
    <row r="1525" spans="12:19" x14ac:dyDescent="0.2">
      <c r="L1525" t="s">
        <v>374</v>
      </c>
      <c r="M1525">
        <v>837</v>
      </c>
      <c r="N1525">
        <v>1</v>
      </c>
      <c r="O1525">
        <v>4</v>
      </c>
      <c r="P1525">
        <v>582</v>
      </c>
      <c r="Q1525">
        <v>344</v>
      </c>
      <c r="R1525">
        <v>240</v>
      </c>
      <c r="S1525">
        <v>109.68</v>
      </c>
    </row>
    <row r="1526" spans="12:19" x14ac:dyDescent="0.2">
      <c r="L1526" t="s">
        <v>374</v>
      </c>
      <c r="M1526">
        <v>840</v>
      </c>
      <c r="N1526">
        <v>1</v>
      </c>
      <c r="O1526">
        <v>4</v>
      </c>
      <c r="P1526">
        <v>582</v>
      </c>
      <c r="Q1526">
        <v>344</v>
      </c>
      <c r="R1526">
        <v>240</v>
      </c>
      <c r="S1526">
        <v>21.22</v>
      </c>
    </row>
    <row r="1527" spans="12:19" x14ac:dyDescent="0.2">
      <c r="L1527" t="s">
        <v>374</v>
      </c>
      <c r="M1527">
        <v>846</v>
      </c>
      <c r="N1527">
        <v>1</v>
      </c>
      <c r="O1527">
        <v>4</v>
      </c>
      <c r="P1527">
        <v>582</v>
      </c>
      <c r="Q1527">
        <v>344</v>
      </c>
      <c r="R1527">
        <v>240</v>
      </c>
      <c r="S1527">
        <v>7.64</v>
      </c>
    </row>
    <row r="1528" spans="12:19" x14ac:dyDescent="0.2">
      <c r="L1528" t="s">
        <v>374</v>
      </c>
      <c r="M1528">
        <v>850</v>
      </c>
      <c r="N1528">
        <v>1</v>
      </c>
      <c r="O1528">
        <v>4</v>
      </c>
      <c r="P1528">
        <v>582</v>
      </c>
      <c r="Q1528">
        <v>344</v>
      </c>
      <c r="R1528">
        <v>240</v>
      </c>
      <c r="S1528">
        <v>3.21</v>
      </c>
    </row>
    <row r="1529" spans="12:19" x14ac:dyDescent="0.2">
      <c r="L1529" t="s">
        <v>374</v>
      </c>
      <c r="M1529">
        <v>861</v>
      </c>
      <c r="N1529">
        <v>1</v>
      </c>
      <c r="O1529">
        <v>4</v>
      </c>
      <c r="P1529">
        <v>582</v>
      </c>
      <c r="Q1529">
        <v>344</v>
      </c>
      <c r="R1529">
        <v>240</v>
      </c>
      <c r="S1529">
        <v>102.24</v>
      </c>
    </row>
    <row r="1530" spans="12:19" x14ac:dyDescent="0.2">
      <c r="L1530" t="s">
        <v>374</v>
      </c>
      <c r="M1530">
        <v>876</v>
      </c>
      <c r="N1530">
        <v>1</v>
      </c>
      <c r="O1530">
        <v>4</v>
      </c>
      <c r="P1530">
        <v>582</v>
      </c>
      <c r="Q1530">
        <v>344</v>
      </c>
      <c r="R1530">
        <v>240</v>
      </c>
      <c r="S1530">
        <v>223.72</v>
      </c>
    </row>
    <row r="1531" spans="12:19" x14ac:dyDescent="0.2">
      <c r="L1531" t="s">
        <v>374</v>
      </c>
      <c r="M1531">
        <v>877</v>
      </c>
      <c r="N1531">
        <v>1</v>
      </c>
      <c r="O1531">
        <v>4</v>
      </c>
      <c r="P1531">
        <v>582</v>
      </c>
      <c r="Q1531">
        <v>344</v>
      </c>
      <c r="R1531">
        <v>240</v>
      </c>
      <c r="S1531">
        <v>261.5</v>
      </c>
    </row>
    <row r="1532" spans="12:19" x14ac:dyDescent="0.2">
      <c r="L1532" t="s">
        <v>374</v>
      </c>
      <c r="M1532">
        <v>882</v>
      </c>
      <c r="N1532">
        <v>1</v>
      </c>
      <c r="O1532">
        <v>4</v>
      </c>
      <c r="P1532">
        <v>582</v>
      </c>
      <c r="Q1532">
        <v>344</v>
      </c>
      <c r="R1532">
        <v>240</v>
      </c>
      <c r="S1532">
        <v>16.98</v>
      </c>
    </row>
    <row r="1533" spans="12:19" x14ac:dyDescent="0.2">
      <c r="L1533" t="s">
        <v>374</v>
      </c>
      <c r="M1533">
        <v>885</v>
      </c>
      <c r="N1533">
        <v>1</v>
      </c>
      <c r="O1533">
        <v>4</v>
      </c>
      <c r="P1533">
        <v>582</v>
      </c>
      <c r="Q1533">
        <v>344</v>
      </c>
      <c r="R1533">
        <v>240</v>
      </c>
      <c r="S1533">
        <v>435.93</v>
      </c>
    </row>
    <row r="1534" spans="12:19" x14ac:dyDescent="0.2">
      <c r="L1534" t="s">
        <v>374</v>
      </c>
      <c r="M1534">
        <v>911</v>
      </c>
      <c r="N1534">
        <v>1</v>
      </c>
      <c r="O1534">
        <v>4</v>
      </c>
      <c r="P1534">
        <v>582</v>
      </c>
      <c r="Q1534">
        <v>344</v>
      </c>
      <c r="R1534">
        <v>240</v>
      </c>
      <c r="S1534">
        <v>19.21</v>
      </c>
    </row>
    <row r="1535" spans="12:19" x14ac:dyDescent="0.2">
      <c r="L1535" t="s">
        <v>374</v>
      </c>
      <c r="M1535">
        <v>2125</v>
      </c>
      <c r="N1535">
        <v>1</v>
      </c>
      <c r="O1535">
        <v>4</v>
      </c>
      <c r="P1535">
        <v>582</v>
      </c>
      <c r="Q1535">
        <v>344</v>
      </c>
      <c r="R1535">
        <v>240</v>
      </c>
      <c r="S1535">
        <v>548.53</v>
      </c>
    </row>
    <row r="1536" spans="12:19" x14ac:dyDescent="0.2">
      <c r="L1536" t="s">
        <v>374</v>
      </c>
      <c r="M1536">
        <v>2134</v>
      </c>
      <c r="N1536">
        <v>1</v>
      </c>
      <c r="O1536">
        <v>4</v>
      </c>
      <c r="P1536">
        <v>582</v>
      </c>
      <c r="Q1536">
        <v>344</v>
      </c>
      <c r="R1536">
        <v>240</v>
      </c>
      <c r="S1536">
        <v>104.16</v>
      </c>
    </row>
    <row r="1537" spans="12:19" x14ac:dyDescent="0.2">
      <c r="L1537" t="s">
        <v>374</v>
      </c>
      <c r="M1537">
        <v>2135</v>
      </c>
      <c r="N1537">
        <v>1</v>
      </c>
      <c r="O1537">
        <v>4</v>
      </c>
      <c r="P1537">
        <v>582</v>
      </c>
      <c r="Q1537">
        <v>344</v>
      </c>
      <c r="R1537">
        <v>240</v>
      </c>
      <c r="S1537">
        <v>39.67</v>
      </c>
    </row>
    <row r="1538" spans="12:19" x14ac:dyDescent="0.2">
      <c r="L1538" t="s">
        <v>374</v>
      </c>
      <c r="M1538">
        <v>2144</v>
      </c>
      <c r="N1538">
        <v>1</v>
      </c>
      <c r="O1538">
        <v>4</v>
      </c>
      <c r="P1538">
        <v>582</v>
      </c>
      <c r="Q1538">
        <v>344</v>
      </c>
      <c r="R1538">
        <v>240</v>
      </c>
      <c r="S1538">
        <v>48.08</v>
      </c>
    </row>
    <row r="1539" spans="12:19" x14ac:dyDescent="0.2">
      <c r="L1539" t="s">
        <v>374</v>
      </c>
      <c r="M1539">
        <v>2159</v>
      </c>
      <c r="N1539">
        <v>1</v>
      </c>
      <c r="O1539">
        <v>4</v>
      </c>
      <c r="P1539">
        <v>582</v>
      </c>
      <c r="Q1539">
        <v>344</v>
      </c>
      <c r="R1539">
        <v>240</v>
      </c>
      <c r="S1539">
        <v>62.76</v>
      </c>
    </row>
    <row r="1540" spans="12:19" x14ac:dyDescent="0.2">
      <c r="L1540" t="s">
        <v>374</v>
      </c>
      <c r="M1540">
        <v>2365</v>
      </c>
      <c r="N1540">
        <v>1</v>
      </c>
      <c r="O1540">
        <v>4</v>
      </c>
      <c r="P1540">
        <v>582</v>
      </c>
      <c r="Q1540">
        <v>344</v>
      </c>
      <c r="R1540">
        <v>240</v>
      </c>
      <c r="S1540">
        <v>8.73</v>
      </c>
    </row>
    <row r="1541" spans="12:19" x14ac:dyDescent="0.2">
      <c r="L1541" t="s">
        <v>374</v>
      </c>
      <c r="M1541">
        <v>2396</v>
      </c>
      <c r="N1541">
        <v>1</v>
      </c>
      <c r="O1541">
        <v>4</v>
      </c>
      <c r="P1541">
        <v>582</v>
      </c>
      <c r="Q1541">
        <v>344</v>
      </c>
      <c r="R1541">
        <v>240</v>
      </c>
      <c r="S1541">
        <v>200.51</v>
      </c>
    </row>
    <row r="1542" spans="12:19" x14ac:dyDescent="0.2">
      <c r="L1542" t="s">
        <v>374</v>
      </c>
      <c r="M1542">
        <v>2397</v>
      </c>
      <c r="N1542">
        <v>1</v>
      </c>
      <c r="O1542">
        <v>4</v>
      </c>
      <c r="P1542">
        <v>582</v>
      </c>
      <c r="Q1542">
        <v>344</v>
      </c>
      <c r="R1542">
        <v>240</v>
      </c>
      <c r="S1542">
        <v>32.68</v>
      </c>
    </row>
    <row r="1543" spans="12:19" x14ac:dyDescent="0.2">
      <c r="L1543" t="s">
        <v>374</v>
      </c>
      <c r="M1543">
        <v>2536</v>
      </c>
      <c r="N1543">
        <v>1</v>
      </c>
      <c r="O1543">
        <v>4</v>
      </c>
      <c r="P1543">
        <v>582</v>
      </c>
      <c r="Q1543">
        <v>344</v>
      </c>
      <c r="R1543">
        <v>240</v>
      </c>
      <c r="S1543">
        <v>9.86</v>
      </c>
    </row>
    <row r="1544" spans="12:19" x14ac:dyDescent="0.2">
      <c r="L1544" t="s">
        <v>374</v>
      </c>
      <c r="M1544">
        <v>2609</v>
      </c>
      <c r="N1544">
        <v>1</v>
      </c>
      <c r="O1544">
        <v>4</v>
      </c>
      <c r="P1544">
        <v>582</v>
      </c>
      <c r="Q1544">
        <v>344</v>
      </c>
      <c r="R1544">
        <v>240</v>
      </c>
      <c r="S1544">
        <v>27.2</v>
      </c>
    </row>
    <row r="1545" spans="12:19" x14ac:dyDescent="0.2">
      <c r="L1545" t="s">
        <v>374</v>
      </c>
      <c r="M1545">
        <v>2752</v>
      </c>
      <c r="N1545">
        <v>1</v>
      </c>
      <c r="O1545">
        <v>4</v>
      </c>
      <c r="P1545">
        <v>582</v>
      </c>
      <c r="Q1545">
        <v>344</v>
      </c>
      <c r="R1545">
        <v>240</v>
      </c>
      <c r="S1545">
        <v>15.6</v>
      </c>
    </row>
    <row r="1546" spans="12:19" x14ac:dyDescent="0.2">
      <c r="L1546" t="s">
        <v>374</v>
      </c>
      <c r="M1546">
        <v>2890</v>
      </c>
      <c r="N1546">
        <v>1</v>
      </c>
      <c r="O1546">
        <v>4</v>
      </c>
      <c r="P1546">
        <v>582</v>
      </c>
      <c r="Q1546">
        <v>344</v>
      </c>
      <c r="R1546">
        <v>240</v>
      </c>
      <c r="S1546">
        <v>66.7</v>
      </c>
    </row>
    <row r="1547" spans="12:19" x14ac:dyDescent="0.2">
      <c r="L1547" t="s">
        <v>374</v>
      </c>
      <c r="M1547">
        <v>2899</v>
      </c>
      <c r="N1547">
        <v>1</v>
      </c>
      <c r="O1547">
        <v>4</v>
      </c>
      <c r="P1547">
        <v>582</v>
      </c>
      <c r="Q1547">
        <v>344</v>
      </c>
      <c r="R1547">
        <v>240</v>
      </c>
      <c r="S1547">
        <v>212.33</v>
      </c>
    </row>
    <row r="1548" spans="12:19" x14ac:dyDescent="0.2">
      <c r="L1548" t="s">
        <v>374</v>
      </c>
      <c r="M1548">
        <v>139</v>
      </c>
      <c r="N1548">
        <v>1</v>
      </c>
      <c r="O1548">
        <v>4</v>
      </c>
      <c r="P1548">
        <v>582</v>
      </c>
      <c r="Q1548">
        <v>321</v>
      </c>
      <c r="R1548">
        <v>240</v>
      </c>
      <c r="S1548">
        <v>125.69</v>
      </c>
    </row>
    <row r="1549" spans="12:19" x14ac:dyDescent="0.2">
      <c r="L1549" t="s">
        <v>374</v>
      </c>
      <c r="M1549">
        <v>831</v>
      </c>
      <c r="N1549">
        <v>1</v>
      </c>
      <c r="O1549">
        <v>4</v>
      </c>
      <c r="P1549">
        <v>582</v>
      </c>
      <c r="Q1549">
        <v>321</v>
      </c>
      <c r="R1549">
        <v>240</v>
      </c>
      <c r="S1549">
        <v>241.12</v>
      </c>
    </row>
    <row r="1550" spans="12:19" x14ac:dyDescent="0.2">
      <c r="L1550" t="s">
        <v>374</v>
      </c>
      <c r="M1550">
        <v>256</v>
      </c>
      <c r="N1550">
        <v>1</v>
      </c>
      <c r="O1550">
        <v>4</v>
      </c>
      <c r="P1550">
        <v>582</v>
      </c>
      <c r="Q1550">
        <v>0</v>
      </c>
      <c r="R1550">
        <v>240</v>
      </c>
      <c r="S1550">
        <v>25.25</v>
      </c>
    </row>
    <row r="1551" spans="12:19" x14ac:dyDescent="0.2">
      <c r="L1551" t="s">
        <v>374</v>
      </c>
      <c r="M1551">
        <v>1</v>
      </c>
      <c r="N1551">
        <v>3</v>
      </c>
      <c r="O1551">
        <v>4</v>
      </c>
      <c r="P1551">
        <v>582</v>
      </c>
      <c r="Q1551">
        <v>599</v>
      </c>
      <c r="R1551">
        <v>235</v>
      </c>
      <c r="S1551">
        <v>73.19</v>
      </c>
    </row>
    <row r="1552" spans="12:19" x14ac:dyDescent="0.2">
      <c r="L1552" t="s">
        <v>374</v>
      </c>
      <c r="M1552">
        <v>1</v>
      </c>
      <c r="N1552">
        <v>3</v>
      </c>
      <c r="O1552">
        <v>4</v>
      </c>
      <c r="P1552">
        <v>582</v>
      </c>
      <c r="Q1552">
        <v>344</v>
      </c>
      <c r="R1552">
        <v>235</v>
      </c>
      <c r="S1552">
        <v>3048.67</v>
      </c>
    </row>
    <row r="1553" spans="12:19" x14ac:dyDescent="0.2">
      <c r="L1553" t="s">
        <v>374</v>
      </c>
      <c r="M1553">
        <v>1</v>
      </c>
      <c r="N1553">
        <v>3</v>
      </c>
      <c r="O1553">
        <v>4</v>
      </c>
      <c r="P1553">
        <v>582</v>
      </c>
      <c r="Q1553">
        <v>344</v>
      </c>
      <c r="R1553">
        <v>235</v>
      </c>
      <c r="S1553">
        <v>55.77</v>
      </c>
    </row>
    <row r="1554" spans="12:19" x14ac:dyDescent="0.2">
      <c r="L1554" t="s">
        <v>374</v>
      </c>
      <c r="M1554">
        <v>1</v>
      </c>
      <c r="N1554">
        <v>3</v>
      </c>
      <c r="O1554">
        <v>4</v>
      </c>
      <c r="P1554">
        <v>582</v>
      </c>
      <c r="Q1554">
        <v>344</v>
      </c>
      <c r="R1554">
        <v>235</v>
      </c>
      <c r="S1554">
        <v>69.739999999999995</v>
      </c>
    </row>
    <row r="1555" spans="12:19" x14ac:dyDescent="0.2">
      <c r="L1555" t="s">
        <v>374</v>
      </c>
      <c r="M1555">
        <v>1</v>
      </c>
      <c r="N1555">
        <v>3</v>
      </c>
      <c r="O1555">
        <v>4</v>
      </c>
      <c r="P1555">
        <v>582</v>
      </c>
      <c r="Q1555">
        <v>344</v>
      </c>
      <c r="R1555">
        <v>235</v>
      </c>
      <c r="S1555">
        <v>25.81</v>
      </c>
    </row>
    <row r="1556" spans="12:19" x14ac:dyDescent="0.2">
      <c r="L1556" t="s">
        <v>374</v>
      </c>
      <c r="M1556">
        <v>1</v>
      </c>
      <c r="N1556">
        <v>3</v>
      </c>
      <c r="O1556">
        <v>4</v>
      </c>
      <c r="P1556">
        <v>582</v>
      </c>
      <c r="Q1556">
        <v>344</v>
      </c>
      <c r="R1556">
        <v>235</v>
      </c>
      <c r="S1556">
        <v>7.1</v>
      </c>
    </row>
    <row r="1557" spans="12:19" x14ac:dyDescent="0.2">
      <c r="L1557" t="s">
        <v>374</v>
      </c>
      <c r="M1557">
        <v>1</v>
      </c>
      <c r="N1557">
        <v>3</v>
      </c>
      <c r="O1557">
        <v>4</v>
      </c>
      <c r="P1557">
        <v>582</v>
      </c>
      <c r="Q1557">
        <v>344</v>
      </c>
      <c r="R1557">
        <v>235</v>
      </c>
      <c r="S1557">
        <v>25.81</v>
      </c>
    </row>
    <row r="1558" spans="12:19" x14ac:dyDescent="0.2">
      <c r="L1558" t="s">
        <v>374</v>
      </c>
      <c r="M1558">
        <v>1</v>
      </c>
      <c r="N1558">
        <v>3</v>
      </c>
      <c r="O1558">
        <v>4</v>
      </c>
      <c r="P1558">
        <v>582</v>
      </c>
      <c r="Q1558">
        <v>344</v>
      </c>
      <c r="R1558">
        <v>235</v>
      </c>
      <c r="S1558">
        <v>71.44</v>
      </c>
    </row>
    <row r="1559" spans="12:19" x14ac:dyDescent="0.2">
      <c r="L1559" t="s">
        <v>374</v>
      </c>
      <c r="M1559">
        <v>1</v>
      </c>
      <c r="N1559">
        <v>3</v>
      </c>
      <c r="O1559">
        <v>4</v>
      </c>
      <c r="P1559">
        <v>582</v>
      </c>
      <c r="Q1559">
        <v>344</v>
      </c>
      <c r="R1559">
        <v>235</v>
      </c>
      <c r="S1559">
        <v>51.42</v>
      </c>
    </row>
    <row r="1560" spans="12:19" x14ac:dyDescent="0.2">
      <c r="L1560" t="s">
        <v>374</v>
      </c>
      <c r="M1560">
        <v>1</v>
      </c>
      <c r="N1560">
        <v>3</v>
      </c>
      <c r="O1560">
        <v>4</v>
      </c>
      <c r="P1560">
        <v>582</v>
      </c>
      <c r="Q1560">
        <v>344</v>
      </c>
      <c r="R1560">
        <v>235</v>
      </c>
      <c r="S1560">
        <v>55.77</v>
      </c>
    </row>
    <row r="1561" spans="12:19" x14ac:dyDescent="0.2">
      <c r="L1561" t="s">
        <v>374</v>
      </c>
      <c r="M1561">
        <v>1</v>
      </c>
      <c r="N1561">
        <v>3</v>
      </c>
      <c r="O1561">
        <v>4</v>
      </c>
      <c r="P1561">
        <v>582</v>
      </c>
      <c r="Q1561">
        <v>344</v>
      </c>
      <c r="R1561">
        <v>235</v>
      </c>
      <c r="S1561">
        <v>66.78</v>
      </c>
    </row>
    <row r="1562" spans="12:19" x14ac:dyDescent="0.2">
      <c r="L1562" t="s">
        <v>374</v>
      </c>
      <c r="M1562">
        <v>4</v>
      </c>
      <c r="N1562">
        <v>1</v>
      </c>
      <c r="O1562">
        <v>4</v>
      </c>
      <c r="P1562">
        <v>582</v>
      </c>
      <c r="Q1562">
        <v>344</v>
      </c>
      <c r="R1562">
        <v>235</v>
      </c>
      <c r="S1562">
        <v>14.88</v>
      </c>
    </row>
    <row r="1563" spans="12:19" x14ac:dyDescent="0.2">
      <c r="L1563" t="s">
        <v>374</v>
      </c>
      <c r="M1563">
        <v>6</v>
      </c>
      <c r="N1563">
        <v>3</v>
      </c>
      <c r="O1563">
        <v>4</v>
      </c>
      <c r="P1563">
        <v>582</v>
      </c>
      <c r="Q1563">
        <v>344</v>
      </c>
      <c r="R1563">
        <v>235</v>
      </c>
      <c r="S1563">
        <v>176.45</v>
      </c>
    </row>
    <row r="1564" spans="12:19" x14ac:dyDescent="0.2">
      <c r="L1564" t="s">
        <v>374</v>
      </c>
      <c r="M1564">
        <v>12</v>
      </c>
      <c r="N1564">
        <v>1</v>
      </c>
      <c r="O1564">
        <v>4</v>
      </c>
      <c r="P1564">
        <v>582</v>
      </c>
      <c r="Q1564">
        <v>344</v>
      </c>
      <c r="R1564">
        <v>235</v>
      </c>
      <c r="S1564">
        <v>793</v>
      </c>
    </row>
    <row r="1565" spans="12:19" x14ac:dyDescent="0.2">
      <c r="L1565" t="s">
        <v>374</v>
      </c>
      <c r="M1565">
        <v>15</v>
      </c>
      <c r="N1565">
        <v>1</v>
      </c>
      <c r="O1565">
        <v>4</v>
      </c>
      <c r="P1565">
        <v>582</v>
      </c>
      <c r="Q1565">
        <v>344</v>
      </c>
      <c r="R1565">
        <v>235</v>
      </c>
      <c r="S1565">
        <v>178.77</v>
      </c>
    </row>
    <row r="1566" spans="12:19" x14ac:dyDescent="0.2">
      <c r="L1566" t="s">
        <v>374</v>
      </c>
      <c r="M1566">
        <v>16</v>
      </c>
      <c r="N1566">
        <v>1</v>
      </c>
      <c r="O1566">
        <v>4</v>
      </c>
      <c r="P1566">
        <v>582</v>
      </c>
      <c r="Q1566">
        <v>344</v>
      </c>
      <c r="R1566">
        <v>235</v>
      </c>
      <c r="S1566">
        <v>211.12</v>
      </c>
    </row>
    <row r="1567" spans="12:19" x14ac:dyDescent="0.2">
      <c r="L1567" t="s">
        <v>374</v>
      </c>
      <c r="M1567">
        <v>25</v>
      </c>
      <c r="N1567">
        <v>1</v>
      </c>
      <c r="O1567">
        <v>4</v>
      </c>
      <c r="P1567">
        <v>582</v>
      </c>
      <c r="Q1567">
        <v>344</v>
      </c>
      <c r="R1567">
        <v>235</v>
      </c>
      <c r="S1567">
        <v>2.64</v>
      </c>
    </row>
    <row r="1568" spans="12:19" x14ac:dyDescent="0.2">
      <c r="L1568" s="36" t="s">
        <v>374</v>
      </c>
      <c r="M1568" s="36">
        <v>31</v>
      </c>
      <c r="N1568" s="36">
        <v>1</v>
      </c>
      <c r="O1568" s="36">
        <v>4</v>
      </c>
      <c r="P1568" s="36">
        <v>582</v>
      </c>
      <c r="Q1568" s="36">
        <v>344</v>
      </c>
      <c r="R1568" s="36">
        <v>235</v>
      </c>
      <c r="S1568" s="36">
        <v>1188</v>
      </c>
    </row>
    <row r="1569" spans="12:19" x14ac:dyDescent="0.2">
      <c r="L1569" t="s">
        <v>374</v>
      </c>
      <c r="M1569">
        <v>38</v>
      </c>
      <c r="N1569">
        <v>1</v>
      </c>
      <c r="O1569">
        <v>4</v>
      </c>
      <c r="P1569">
        <v>582</v>
      </c>
      <c r="Q1569">
        <v>344</v>
      </c>
      <c r="R1569">
        <v>235</v>
      </c>
      <c r="S1569">
        <v>276.64</v>
      </c>
    </row>
    <row r="1570" spans="12:19" x14ac:dyDescent="0.2">
      <c r="L1570" t="s">
        <v>374</v>
      </c>
      <c r="M1570">
        <v>51</v>
      </c>
      <c r="N1570">
        <v>1</v>
      </c>
      <c r="O1570">
        <v>4</v>
      </c>
      <c r="P1570">
        <v>582</v>
      </c>
      <c r="Q1570">
        <v>344</v>
      </c>
      <c r="R1570">
        <v>235</v>
      </c>
      <c r="S1570">
        <v>160.79</v>
      </c>
    </row>
    <row r="1571" spans="12:19" x14ac:dyDescent="0.2">
      <c r="L1571" t="s">
        <v>374</v>
      </c>
      <c r="M1571">
        <v>97</v>
      </c>
      <c r="N1571">
        <v>1</v>
      </c>
      <c r="O1571">
        <v>4</v>
      </c>
      <c r="P1571">
        <v>582</v>
      </c>
      <c r="Q1571">
        <v>344</v>
      </c>
      <c r="R1571">
        <v>235</v>
      </c>
      <c r="S1571">
        <v>125.76</v>
      </c>
    </row>
    <row r="1572" spans="12:19" x14ac:dyDescent="0.2">
      <c r="L1572" t="s">
        <v>374</v>
      </c>
      <c r="M1572">
        <v>110</v>
      </c>
      <c r="N1572">
        <v>1</v>
      </c>
      <c r="O1572">
        <v>4</v>
      </c>
      <c r="P1572">
        <v>582</v>
      </c>
      <c r="Q1572">
        <v>344</v>
      </c>
      <c r="R1572">
        <v>235</v>
      </c>
      <c r="S1572">
        <v>1275.69</v>
      </c>
    </row>
    <row r="1573" spans="12:19" x14ac:dyDescent="0.2">
      <c r="L1573" t="s">
        <v>374</v>
      </c>
      <c r="M1573">
        <v>111</v>
      </c>
      <c r="N1573">
        <v>1</v>
      </c>
      <c r="O1573">
        <v>4</v>
      </c>
      <c r="P1573">
        <v>582</v>
      </c>
      <c r="Q1573">
        <v>344</v>
      </c>
      <c r="R1573">
        <v>235</v>
      </c>
      <c r="S1573">
        <v>259.08</v>
      </c>
    </row>
    <row r="1574" spans="12:19" x14ac:dyDescent="0.2">
      <c r="L1574" t="s">
        <v>374</v>
      </c>
      <c r="M1574">
        <v>112</v>
      </c>
      <c r="N1574">
        <v>1</v>
      </c>
      <c r="O1574">
        <v>4</v>
      </c>
      <c r="P1574">
        <v>582</v>
      </c>
      <c r="Q1574">
        <v>344</v>
      </c>
      <c r="R1574">
        <v>235</v>
      </c>
      <c r="S1574">
        <v>121.44</v>
      </c>
    </row>
    <row r="1575" spans="12:19" x14ac:dyDescent="0.2">
      <c r="L1575" t="s">
        <v>374</v>
      </c>
      <c r="M1575">
        <v>116</v>
      </c>
      <c r="N1575">
        <v>1</v>
      </c>
      <c r="O1575">
        <v>4</v>
      </c>
      <c r="P1575">
        <v>582</v>
      </c>
      <c r="Q1575">
        <v>344</v>
      </c>
      <c r="R1575">
        <v>235</v>
      </c>
      <c r="S1575">
        <v>179.49</v>
      </c>
    </row>
    <row r="1576" spans="12:19" x14ac:dyDescent="0.2">
      <c r="L1576" t="s">
        <v>374</v>
      </c>
      <c r="M1576">
        <v>138</v>
      </c>
      <c r="N1576">
        <v>1</v>
      </c>
      <c r="O1576">
        <v>4</v>
      </c>
      <c r="P1576">
        <v>582</v>
      </c>
      <c r="Q1576">
        <v>344</v>
      </c>
      <c r="R1576">
        <v>235</v>
      </c>
      <c r="S1576">
        <v>105.22</v>
      </c>
    </row>
    <row r="1577" spans="12:19" x14ac:dyDescent="0.2">
      <c r="L1577" t="s">
        <v>374</v>
      </c>
      <c r="M1577">
        <v>191</v>
      </c>
      <c r="N1577">
        <v>1</v>
      </c>
      <c r="O1577">
        <v>4</v>
      </c>
      <c r="P1577">
        <v>582</v>
      </c>
      <c r="Q1577">
        <v>344</v>
      </c>
      <c r="R1577">
        <v>235</v>
      </c>
      <c r="S1577">
        <v>469.49</v>
      </c>
    </row>
    <row r="1578" spans="12:19" x14ac:dyDescent="0.2">
      <c r="L1578" t="s">
        <v>374</v>
      </c>
      <c r="M1578">
        <v>192</v>
      </c>
      <c r="N1578">
        <v>1</v>
      </c>
      <c r="O1578">
        <v>4</v>
      </c>
      <c r="P1578">
        <v>582</v>
      </c>
      <c r="Q1578">
        <v>344</v>
      </c>
      <c r="R1578">
        <v>235</v>
      </c>
      <c r="S1578">
        <v>346.17</v>
      </c>
    </row>
    <row r="1579" spans="12:19" x14ac:dyDescent="0.2">
      <c r="L1579" t="s">
        <v>374</v>
      </c>
      <c r="M1579">
        <v>196</v>
      </c>
      <c r="N1579">
        <v>1</v>
      </c>
      <c r="O1579">
        <v>4</v>
      </c>
      <c r="P1579">
        <v>582</v>
      </c>
      <c r="Q1579">
        <v>344</v>
      </c>
      <c r="R1579">
        <v>235</v>
      </c>
      <c r="S1579">
        <v>1750.28</v>
      </c>
    </row>
    <row r="1580" spans="12:19" x14ac:dyDescent="0.2">
      <c r="L1580" t="s">
        <v>374</v>
      </c>
      <c r="M1580">
        <v>200</v>
      </c>
      <c r="N1580">
        <v>1</v>
      </c>
      <c r="O1580">
        <v>4</v>
      </c>
      <c r="P1580">
        <v>582</v>
      </c>
      <c r="Q1580">
        <v>344</v>
      </c>
      <c r="R1580">
        <v>235</v>
      </c>
      <c r="S1580">
        <v>994.14</v>
      </c>
    </row>
    <row r="1581" spans="12:19" x14ac:dyDescent="0.2">
      <c r="L1581" t="s">
        <v>374</v>
      </c>
      <c r="M1581">
        <v>206</v>
      </c>
      <c r="N1581">
        <v>1</v>
      </c>
      <c r="O1581">
        <v>4</v>
      </c>
      <c r="P1581">
        <v>582</v>
      </c>
      <c r="Q1581">
        <v>344</v>
      </c>
      <c r="R1581">
        <v>235</v>
      </c>
      <c r="S1581">
        <v>338.49</v>
      </c>
    </row>
    <row r="1582" spans="12:19" x14ac:dyDescent="0.2">
      <c r="L1582" t="s">
        <v>374</v>
      </c>
      <c r="M1582">
        <v>239</v>
      </c>
      <c r="N1582">
        <v>1</v>
      </c>
      <c r="O1582">
        <v>4</v>
      </c>
      <c r="P1582">
        <v>582</v>
      </c>
      <c r="Q1582">
        <v>344</v>
      </c>
      <c r="R1582">
        <v>235</v>
      </c>
      <c r="S1582">
        <v>43.45</v>
      </c>
    </row>
    <row r="1583" spans="12:19" x14ac:dyDescent="0.2">
      <c r="L1583" t="s">
        <v>374</v>
      </c>
      <c r="M1583">
        <v>256</v>
      </c>
      <c r="N1583">
        <v>1</v>
      </c>
      <c r="O1583">
        <v>4</v>
      </c>
      <c r="P1583">
        <v>582</v>
      </c>
      <c r="Q1583">
        <v>344</v>
      </c>
      <c r="R1583">
        <v>235</v>
      </c>
      <c r="S1583">
        <v>64.08</v>
      </c>
    </row>
    <row r="1584" spans="12:19" x14ac:dyDescent="0.2">
      <c r="L1584" t="s">
        <v>374</v>
      </c>
      <c r="M1584">
        <v>270</v>
      </c>
      <c r="N1584">
        <v>1</v>
      </c>
      <c r="O1584">
        <v>4</v>
      </c>
      <c r="P1584">
        <v>582</v>
      </c>
      <c r="Q1584">
        <v>344</v>
      </c>
      <c r="R1584">
        <v>235</v>
      </c>
      <c r="S1584">
        <v>142.05000000000001</v>
      </c>
    </row>
    <row r="1585" spans="12:19" x14ac:dyDescent="0.2">
      <c r="L1585" t="s">
        <v>374</v>
      </c>
      <c r="M1585">
        <v>271</v>
      </c>
      <c r="N1585">
        <v>1</v>
      </c>
      <c r="O1585">
        <v>4</v>
      </c>
      <c r="P1585">
        <v>582</v>
      </c>
      <c r="Q1585">
        <v>344</v>
      </c>
      <c r="R1585">
        <v>235</v>
      </c>
      <c r="S1585">
        <v>6095.55</v>
      </c>
    </row>
    <row r="1586" spans="12:19" x14ac:dyDescent="0.2">
      <c r="L1586" t="s">
        <v>374</v>
      </c>
      <c r="M1586">
        <v>272</v>
      </c>
      <c r="N1586">
        <v>1</v>
      </c>
      <c r="O1586">
        <v>4</v>
      </c>
      <c r="P1586">
        <v>582</v>
      </c>
      <c r="Q1586">
        <v>344</v>
      </c>
      <c r="R1586">
        <v>235</v>
      </c>
      <c r="S1586">
        <v>4113.04</v>
      </c>
    </row>
    <row r="1587" spans="12:19" x14ac:dyDescent="0.2">
      <c r="L1587" t="s">
        <v>374</v>
      </c>
      <c r="M1587">
        <v>276</v>
      </c>
      <c r="N1587">
        <v>1</v>
      </c>
      <c r="O1587">
        <v>4</v>
      </c>
      <c r="P1587">
        <v>582</v>
      </c>
      <c r="Q1587">
        <v>344</v>
      </c>
      <c r="R1587">
        <v>235</v>
      </c>
      <c r="S1587">
        <v>22.8</v>
      </c>
    </row>
    <row r="1588" spans="12:19" x14ac:dyDescent="0.2">
      <c r="L1588" t="s">
        <v>374</v>
      </c>
      <c r="M1588">
        <v>282</v>
      </c>
      <c r="N1588">
        <v>1</v>
      </c>
      <c r="O1588">
        <v>4</v>
      </c>
      <c r="P1588">
        <v>582</v>
      </c>
      <c r="Q1588">
        <v>344</v>
      </c>
      <c r="R1588">
        <v>235</v>
      </c>
      <c r="S1588">
        <v>37.53</v>
      </c>
    </row>
    <row r="1589" spans="12:19" x14ac:dyDescent="0.2">
      <c r="L1589" t="s">
        <v>374</v>
      </c>
      <c r="M1589">
        <v>284</v>
      </c>
      <c r="N1589">
        <v>1</v>
      </c>
      <c r="O1589">
        <v>4</v>
      </c>
      <c r="P1589">
        <v>582</v>
      </c>
      <c r="Q1589">
        <v>344</v>
      </c>
      <c r="R1589">
        <v>235</v>
      </c>
      <c r="S1589">
        <v>206.79</v>
      </c>
    </row>
    <row r="1590" spans="12:19" x14ac:dyDescent="0.2">
      <c r="L1590" t="s">
        <v>374</v>
      </c>
      <c r="M1590">
        <v>294</v>
      </c>
      <c r="N1590">
        <v>1</v>
      </c>
      <c r="O1590">
        <v>4</v>
      </c>
      <c r="P1590">
        <v>582</v>
      </c>
      <c r="Q1590">
        <v>344</v>
      </c>
      <c r="R1590">
        <v>235</v>
      </c>
      <c r="S1590">
        <v>16.61</v>
      </c>
    </row>
    <row r="1591" spans="12:19" x14ac:dyDescent="0.2">
      <c r="L1591" t="s">
        <v>374</v>
      </c>
      <c r="M1591">
        <v>299</v>
      </c>
      <c r="N1591">
        <v>1</v>
      </c>
      <c r="O1591">
        <v>4</v>
      </c>
      <c r="P1591">
        <v>582</v>
      </c>
      <c r="Q1591">
        <v>344</v>
      </c>
      <c r="R1591">
        <v>235</v>
      </c>
      <c r="S1591">
        <v>46.16</v>
      </c>
    </row>
    <row r="1592" spans="12:19" x14ac:dyDescent="0.2">
      <c r="L1592" t="s">
        <v>374</v>
      </c>
      <c r="M1592">
        <v>332</v>
      </c>
      <c r="N1592">
        <v>1</v>
      </c>
      <c r="O1592">
        <v>4</v>
      </c>
      <c r="P1592">
        <v>582</v>
      </c>
      <c r="Q1592">
        <v>344</v>
      </c>
      <c r="R1592">
        <v>235</v>
      </c>
      <c r="S1592">
        <v>1.24</v>
      </c>
    </row>
    <row r="1593" spans="12:19" x14ac:dyDescent="0.2">
      <c r="L1593" t="s">
        <v>374</v>
      </c>
      <c r="M1593">
        <v>347</v>
      </c>
      <c r="N1593">
        <v>1</v>
      </c>
      <c r="O1593">
        <v>4</v>
      </c>
      <c r="P1593">
        <v>582</v>
      </c>
      <c r="Q1593">
        <v>344</v>
      </c>
      <c r="R1593">
        <v>235</v>
      </c>
      <c r="S1593">
        <v>351.53</v>
      </c>
    </row>
    <row r="1594" spans="12:19" x14ac:dyDescent="0.2">
      <c r="L1594" t="s">
        <v>374</v>
      </c>
      <c r="M1594">
        <v>361</v>
      </c>
      <c r="N1594">
        <v>1</v>
      </c>
      <c r="O1594">
        <v>4</v>
      </c>
      <c r="P1594">
        <v>582</v>
      </c>
      <c r="Q1594">
        <v>344</v>
      </c>
      <c r="R1594">
        <v>235</v>
      </c>
      <c r="S1594">
        <v>655.39</v>
      </c>
    </row>
    <row r="1595" spans="12:19" x14ac:dyDescent="0.2">
      <c r="L1595" t="s">
        <v>374</v>
      </c>
      <c r="M1595">
        <v>413</v>
      </c>
      <c r="N1595">
        <v>1</v>
      </c>
      <c r="O1595">
        <v>4</v>
      </c>
      <c r="P1595">
        <v>582</v>
      </c>
      <c r="Q1595">
        <v>344</v>
      </c>
      <c r="R1595">
        <v>235</v>
      </c>
      <c r="S1595">
        <v>193.96</v>
      </c>
    </row>
    <row r="1596" spans="12:19" x14ac:dyDescent="0.2">
      <c r="L1596" t="s">
        <v>374</v>
      </c>
      <c r="M1596">
        <v>423</v>
      </c>
      <c r="N1596">
        <v>1</v>
      </c>
      <c r="O1596">
        <v>4</v>
      </c>
      <c r="P1596">
        <v>582</v>
      </c>
      <c r="Q1596">
        <v>344</v>
      </c>
      <c r="R1596">
        <v>235</v>
      </c>
      <c r="S1596">
        <v>20.149999999999999</v>
      </c>
    </row>
    <row r="1597" spans="12:19" x14ac:dyDescent="0.2">
      <c r="L1597" t="s">
        <v>374</v>
      </c>
      <c r="M1597">
        <v>424</v>
      </c>
      <c r="N1597">
        <v>1</v>
      </c>
      <c r="O1597">
        <v>4</v>
      </c>
      <c r="P1597">
        <v>582</v>
      </c>
      <c r="Q1597">
        <v>344</v>
      </c>
      <c r="R1597">
        <v>235</v>
      </c>
      <c r="S1597">
        <v>302.95</v>
      </c>
    </row>
    <row r="1598" spans="12:19" x14ac:dyDescent="0.2">
      <c r="L1598" t="s">
        <v>374</v>
      </c>
      <c r="M1598">
        <v>466</v>
      </c>
      <c r="N1598">
        <v>1</v>
      </c>
      <c r="O1598">
        <v>4</v>
      </c>
      <c r="P1598">
        <v>582</v>
      </c>
      <c r="Q1598">
        <v>344</v>
      </c>
      <c r="R1598">
        <v>235</v>
      </c>
      <c r="S1598">
        <v>124.78</v>
      </c>
    </row>
    <row r="1599" spans="12:19" x14ac:dyDescent="0.2">
      <c r="L1599" t="s">
        <v>374</v>
      </c>
      <c r="M1599">
        <v>492</v>
      </c>
      <c r="N1599">
        <v>1</v>
      </c>
      <c r="O1599">
        <v>4</v>
      </c>
      <c r="P1599">
        <v>582</v>
      </c>
      <c r="Q1599">
        <v>344</v>
      </c>
      <c r="R1599">
        <v>235</v>
      </c>
      <c r="S1599">
        <v>20.54</v>
      </c>
    </row>
    <row r="1600" spans="12:19" x14ac:dyDescent="0.2">
      <c r="L1600" t="s">
        <v>374</v>
      </c>
      <c r="M1600">
        <v>507</v>
      </c>
      <c r="N1600">
        <v>1</v>
      </c>
      <c r="O1600">
        <v>4</v>
      </c>
      <c r="P1600">
        <v>582</v>
      </c>
      <c r="Q1600">
        <v>344</v>
      </c>
      <c r="R1600">
        <v>235</v>
      </c>
      <c r="S1600">
        <v>23.57</v>
      </c>
    </row>
    <row r="1601" spans="12:19" x14ac:dyDescent="0.2">
      <c r="L1601" t="s">
        <v>374</v>
      </c>
      <c r="M1601">
        <v>508</v>
      </c>
      <c r="N1601">
        <v>1</v>
      </c>
      <c r="O1601">
        <v>4</v>
      </c>
      <c r="P1601">
        <v>582</v>
      </c>
      <c r="Q1601">
        <v>344</v>
      </c>
      <c r="R1601">
        <v>235</v>
      </c>
      <c r="S1601">
        <v>168.78</v>
      </c>
    </row>
    <row r="1602" spans="12:19" x14ac:dyDescent="0.2">
      <c r="L1602" t="s">
        <v>374</v>
      </c>
      <c r="M1602">
        <v>531</v>
      </c>
      <c r="N1602">
        <v>1</v>
      </c>
      <c r="O1602">
        <v>4</v>
      </c>
      <c r="P1602">
        <v>582</v>
      </c>
      <c r="Q1602">
        <v>344</v>
      </c>
      <c r="R1602">
        <v>235</v>
      </c>
      <c r="S1602">
        <v>154.80000000000001</v>
      </c>
    </row>
    <row r="1603" spans="12:19" x14ac:dyDescent="0.2">
      <c r="L1603" t="s">
        <v>374</v>
      </c>
      <c r="M1603">
        <v>534</v>
      </c>
      <c r="N1603">
        <v>1</v>
      </c>
      <c r="O1603">
        <v>4</v>
      </c>
      <c r="P1603">
        <v>582</v>
      </c>
      <c r="Q1603">
        <v>344</v>
      </c>
      <c r="R1603">
        <v>235</v>
      </c>
      <c r="S1603">
        <v>264.24</v>
      </c>
    </row>
    <row r="1604" spans="12:19" x14ac:dyDescent="0.2">
      <c r="L1604" t="s">
        <v>374</v>
      </c>
      <c r="M1604">
        <v>592</v>
      </c>
      <c r="N1604">
        <v>1</v>
      </c>
      <c r="O1604">
        <v>4</v>
      </c>
      <c r="P1604">
        <v>582</v>
      </c>
      <c r="Q1604">
        <v>344</v>
      </c>
      <c r="R1604">
        <v>235</v>
      </c>
      <c r="S1604">
        <v>190.19</v>
      </c>
    </row>
    <row r="1605" spans="12:19" x14ac:dyDescent="0.2">
      <c r="L1605" t="s">
        <v>374</v>
      </c>
      <c r="M1605">
        <v>621</v>
      </c>
      <c r="N1605">
        <v>1</v>
      </c>
      <c r="O1605">
        <v>4</v>
      </c>
      <c r="P1605">
        <v>582</v>
      </c>
      <c r="Q1605">
        <v>344</v>
      </c>
      <c r="R1605">
        <v>235</v>
      </c>
      <c r="S1605">
        <v>567.6</v>
      </c>
    </row>
    <row r="1606" spans="12:19" x14ac:dyDescent="0.2">
      <c r="L1606" t="s">
        <v>374</v>
      </c>
      <c r="M1606">
        <v>623</v>
      </c>
      <c r="N1606">
        <v>1</v>
      </c>
      <c r="O1606">
        <v>4</v>
      </c>
      <c r="P1606">
        <v>582</v>
      </c>
      <c r="Q1606">
        <v>344</v>
      </c>
      <c r="R1606">
        <v>235</v>
      </c>
      <c r="S1606">
        <v>124.13</v>
      </c>
    </row>
    <row r="1607" spans="12:19" x14ac:dyDescent="0.2">
      <c r="L1607" t="s">
        <v>374</v>
      </c>
      <c r="M1607">
        <v>659</v>
      </c>
      <c r="N1607">
        <v>1</v>
      </c>
      <c r="O1607">
        <v>4</v>
      </c>
      <c r="P1607">
        <v>582</v>
      </c>
      <c r="Q1607">
        <v>344</v>
      </c>
      <c r="R1607">
        <v>235</v>
      </c>
      <c r="S1607">
        <v>2120.2399999999998</v>
      </c>
    </row>
    <row r="1608" spans="12:19" x14ac:dyDescent="0.2">
      <c r="L1608" t="s">
        <v>374</v>
      </c>
      <c r="M1608">
        <v>709</v>
      </c>
      <c r="N1608">
        <v>1</v>
      </c>
      <c r="O1608">
        <v>4</v>
      </c>
      <c r="P1608">
        <v>582</v>
      </c>
      <c r="Q1608">
        <v>344</v>
      </c>
      <c r="R1608">
        <v>235</v>
      </c>
      <c r="S1608">
        <v>1389.77</v>
      </c>
    </row>
    <row r="1609" spans="12:19" x14ac:dyDescent="0.2">
      <c r="L1609" t="s">
        <v>374</v>
      </c>
      <c r="M1609">
        <v>719</v>
      </c>
      <c r="N1609">
        <v>1</v>
      </c>
      <c r="O1609">
        <v>4</v>
      </c>
      <c r="P1609">
        <v>582</v>
      </c>
      <c r="Q1609">
        <v>344</v>
      </c>
      <c r="R1609">
        <v>235</v>
      </c>
      <c r="S1609">
        <v>807.6</v>
      </c>
    </row>
    <row r="1610" spans="12:19" x14ac:dyDescent="0.2">
      <c r="L1610" t="s">
        <v>374</v>
      </c>
      <c r="M1610">
        <v>721</v>
      </c>
      <c r="N1610">
        <v>1</v>
      </c>
      <c r="O1610">
        <v>4</v>
      </c>
      <c r="P1610">
        <v>582</v>
      </c>
      <c r="Q1610">
        <v>344</v>
      </c>
      <c r="R1610">
        <v>235</v>
      </c>
      <c r="S1610">
        <v>748.59</v>
      </c>
    </row>
    <row r="1611" spans="12:19" x14ac:dyDescent="0.2">
      <c r="L1611" t="s">
        <v>374</v>
      </c>
      <c r="M1611">
        <v>727</v>
      </c>
      <c r="N1611">
        <v>1</v>
      </c>
      <c r="O1611">
        <v>4</v>
      </c>
      <c r="P1611">
        <v>582</v>
      </c>
      <c r="Q1611">
        <v>344</v>
      </c>
      <c r="R1611">
        <v>235</v>
      </c>
      <c r="S1611">
        <v>298.01</v>
      </c>
    </row>
    <row r="1612" spans="12:19" x14ac:dyDescent="0.2">
      <c r="L1612" t="s">
        <v>374</v>
      </c>
      <c r="M1612">
        <v>739</v>
      </c>
      <c r="N1612">
        <v>1</v>
      </c>
      <c r="O1612">
        <v>4</v>
      </c>
      <c r="P1612">
        <v>582</v>
      </c>
      <c r="Q1612">
        <v>344</v>
      </c>
      <c r="R1612">
        <v>235</v>
      </c>
      <c r="S1612">
        <v>67.819999999999993</v>
      </c>
    </row>
    <row r="1613" spans="12:19" x14ac:dyDescent="0.2">
      <c r="L1613" t="s">
        <v>374</v>
      </c>
      <c r="M1613">
        <v>740</v>
      </c>
      <c r="N1613">
        <v>1</v>
      </c>
      <c r="O1613">
        <v>4</v>
      </c>
      <c r="P1613">
        <v>582</v>
      </c>
      <c r="Q1613">
        <v>344</v>
      </c>
      <c r="R1613">
        <v>235</v>
      </c>
      <c r="S1613">
        <v>87.11</v>
      </c>
    </row>
    <row r="1614" spans="12:19" x14ac:dyDescent="0.2">
      <c r="L1614" t="s">
        <v>374</v>
      </c>
      <c r="M1614">
        <v>742</v>
      </c>
      <c r="N1614">
        <v>1</v>
      </c>
      <c r="O1614">
        <v>4</v>
      </c>
      <c r="P1614">
        <v>582</v>
      </c>
      <c r="Q1614">
        <v>344</v>
      </c>
      <c r="R1614">
        <v>235</v>
      </c>
      <c r="S1614">
        <v>2125.44</v>
      </c>
    </row>
    <row r="1615" spans="12:19" x14ac:dyDescent="0.2">
      <c r="L1615" t="s">
        <v>374</v>
      </c>
      <c r="M1615">
        <v>761</v>
      </c>
      <c r="N1615">
        <v>1</v>
      </c>
      <c r="O1615">
        <v>4</v>
      </c>
      <c r="P1615">
        <v>582</v>
      </c>
      <c r="Q1615">
        <v>344</v>
      </c>
      <c r="R1615">
        <v>235</v>
      </c>
      <c r="S1615">
        <v>704.81</v>
      </c>
    </row>
    <row r="1616" spans="12:19" x14ac:dyDescent="0.2">
      <c r="L1616" t="s">
        <v>374</v>
      </c>
      <c r="M1616">
        <v>777</v>
      </c>
      <c r="N1616">
        <v>1</v>
      </c>
      <c r="O1616">
        <v>4</v>
      </c>
      <c r="P1616">
        <v>582</v>
      </c>
      <c r="Q1616">
        <v>344</v>
      </c>
      <c r="R1616">
        <v>235</v>
      </c>
      <c r="S1616">
        <v>97.78</v>
      </c>
    </row>
    <row r="1617" spans="12:19" x14ac:dyDescent="0.2">
      <c r="L1617" t="s">
        <v>374</v>
      </c>
      <c r="M1617">
        <v>811</v>
      </c>
      <c r="N1617">
        <v>1</v>
      </c>
      <c r="O1617">
        <v>4</v>
      </c>
      <c r="P1617">
        <v>582</v>
      </c>
      <c r="Q1617">
        <v>344</v>
      </c>
      <c r="R1617">
        <v>235</v>
      </c>
      <c r="S1617">
        <v>385.55</v>
      </c>
    </row>
    <row r="1618" spans="12:19" x14ac:dyDescent="0.2">
      <c r="L1618" t="s">
        <v>374</v>
      </c>
      <c r="M1618">
        <v>833</v>
      </c>
      <c r="N1618">
        <v>1</v>
      </c>
      <c r="O1618">
        <v>4</v>
      </c>
      <c r="P1618">
        <v>582</v>
      </c>
      <c r="Q1618">
        <v>344</v>
      </c>
      <c r="R1618">
        <v>235</v>
      </c>
      <c r="S1618">
        <v>1832.47</v>
      </c>
    </row>
    <row r="1619" spans="12:19" x14ac:dyDescent="0.2">
      <c r="L1619" t="s">
        <v>374</v>
      </c>
      <c r="M1619">
        <v>834</v>
      </c>
      <c r="N1619">
        <v>1</v>
      </c>
      <c r="O1619">
        <v>4</v>
      </c>
      <c r="P1619">
        <v>582</v>
      </c>
      <c r="Q1619">
        <v>344</v>
      </c>
      <c r="R1619">
        <v>235</v>
      </c>
      <c r="S1619">
        <v>354.41</v>
      </c>
    </row>
    <row r="1620" spans="12:19" x14ac:dyDescent="0.2">
      <c r="L1620" t="s">
        <v>374</v>
      </c>
      <c r="M1620">
        <v>861</v>
      </c>
      <c r="N1620">
        <v>1</v>
      </c>
      <c r="O1620">
        <v>4</v>
      </c>
      <c r="P1620">
        <v>582</v>
      </c>
      <c r="Q1620">
        <v>344</v>
      </c>
      <c r="R1620">
        <v>235</v>
      </c>
      <c r="S1620">
        <v>321.58999999999997</v>
      </c>
    </row>
    <row r="1621" spans="12:19" x14ac:dyDescent="0.2">
      <c r="L1621" t="s">
        <v>374</v>
      </c>
      <c r="M1621">
        <v>876</v>
      </c>
      <c r="N1621">
        <v>1</v>
      </c>
      <c r="O1621">
        <v>4</v>
      </c>
      <c r="P1621">
        <v>582</v>
      </c>
      <c r="Q1621">
        <v>344</v>
      </c>
      <c r="R1621">
        <v>235</v>
      </c>
      <c r="S1621">
        <v>163.94</v>
      </c>
    </row>
    <row r="1622" spans="12:19" x14ac:dyDescent="0.2">
      <c r="L1622" t="s">
        <v>374</v>
      </c>
      <c r="M1622">
        <v>877</v>
      </c>
      <c r="N1622">
        <v>1</v>
      </c>
      <c r="O1622">
        <v>4</v>
      </c>
      <c r="P1622">
        <v>582</v>
      </c>
      <c r="Q1622">
        <v>344</v>
      </c>
      <c r="R1622">
        <v>235</v>
      </c>
      <c r="S1622">
        <v>1147.3699999999999</v>
      </c>
    </row>
    <row r="1623" spans="12:19" x14ac:dyDescent="0.2">
      <c r="L1623" t="s">
        <v>374</v>
      </c>
      <c r="M1623">
        <v>882</v>
      </c>
      <c r="N1623">
        <v>1</v>
      </c>
      <c r="O1623">
        <v>4</v>
      </c>
      <c r="P1623">
        <v>582</v>
      </c>
      <c r="Q1623">
        <v>344</v>
      </c>
      <c r="R1623">
        <v>235</v>
      </c>
      <c r="S1623">
        <v>61.2</v>
      </c>
    </row>
    <row r="1624" spans="12:19" x14ac:dyDescent="0.2">
      <c r="L1624" t="s">
        <v>374</v>
      </c>
      <c r="M1624">
        <v>883</v>
      </c>
      <c r="N1624">
        <v>1</v>
      </c>
      <c r="O1624">
        <v>4</v>
      </c>
      <c r="P1624">
        <v>582</v>
      </c>
      <c r="Q1624">
        <v>344</v>
      </c>
      <c r="R1624">
        <v>235</v>
      </c>
      <c r="S1624">
        <v>76.37</v>
      </c>
    </row>
    <row r="1625" spans="12:19" x14ac:dyDescent="0.2">
      <c r="L1625" t="s">
        <v>374</v>
      </c>
      <c r="M1625">
        <v>885</v>
      </c>
      <c r="N1625">
        <v>1</v>
      </c>
      <c r="O1625">
        <v>4</v>
      </c>
      <c r="P1625">
        <v>582</v>
      </c>
      <c r="Q1625">
        <v>344</v>
      </c>
      <c r="R1625">
        <v>235</v>
      </c>
      <c r="S1625">
        <v>803.93</v>
      </c>
    </row>
    <row r="1626" spans="12:19" x14ac:dyDescent="0.2">
      <c r="L1626" t="s">
        <v>374</v>
      </c>
      <c r="M1626">
        <v>911</v>
      </c>
      <c r="N1626">
        <v>1</v>
      </c>
      <c r="O1626">
        <v>4</v>
      </c>
      <c r="P1626">
        <v>582</v>
      </c>
      <c r="Q1626">
        <v>344</v>
      </c>
      <c r="R1626">
        <v>235</v>
      </c>
      <c r="S1626">
        <v>14.28</v>
      </c>
    </row>
    <row r="1627" spans="12:19" x14ac:dyDescent="0.2">
      <c r="L1627" t="s">
        <v>374</v>
      </c>
      <c r="M1627">
        <v>2142</v>
      </c>
      <c r="N1627">
        <v>1</v>
      </c>
      <c r="O1627">
        <v>4</v>
      </c>
      <c r="P1627">
        <v>582</v>
      </c>
      <c r="Q1627">
        <v>344</v>
      </c>
      <c r="R1627">
        <v>235</v>
      </c>
      <c r="S1627">
        <v>476.32</v>
      </c>
    </row>
    <row r="1628" spans="12:19" x14ac:dyDescent="0.2">
      <c r="L1628" t="s">
        <v>374</v>
      </c>
      <c r="M1628">
        <v>2144</v>
      </c>
      <c r="N1628">
        <v>1</v>
      </c>
      <c r="O1628">
        <v>4</v>
      </c>
      <c r="P1628">
        <v>582</v>
      </c>
      <c r="Q1628">
        <v>344</v>
      </c>
      <c r="R1628">
        <v>235</v>
      </c>
      <c r="S1628">
        <v>74.94</v>
      </c>
    </row>
    <row r="1629" spans="12:19" x14ac:dyDescent="0.2">
      <c r="L1629" t="s">
        <v>374</v>
      </c>
      <c r="M1629">
        <v>2835</v>
      </c>
      <c r="N1629">
        <v>1</v>
      </c>
      <c r="O1629">
        <v>4</v>
      </c>
      <c r="P1629">
        <v>582</v>
      </c>
      <c r="Q1629">
        <v>344</v>
      </c>
      <c r="R1629">
        <v>235</v>
      </c>
      <c r="S1629">
        <v>422.68</v>
      </c>
    </row>
    <row r="1630" spans="12:19" x14ac:dyDescent="0.2">
      <c r="L1630" t="s">
        <v>374</v>
      </c>
      <c r="M1630">
        <v>2899</v>
      </c>
      <c r="N1630">
        <v>1</v>
      </c>
      <c r="O1630">
        <v>4</v>
      </c>
      <c r="P1630">
        <v>582</v>
      </c>
      <c r="Q1630">
        <v>344</v>
      </c>
      <c r="R1630">
        <v>235</v>
      </c>
      <c r="S1630">
        <v>941.49</v>
      </c>
    </row>
    <row r="1631" spans="12:19" x14ac:dyDescent="0.2">
      <c r="L1631" t="s">
        <v>374</v>
      </c>
      <c r="M1631">
        <v>256</v>
      </c>
      <c r="N1631">
        <v>1</v>
      </c>
      <c r="O1631">
        <v>4</v>
      </c>
      <c r="P1631">
        <v>582</v>
      </c>
      <c r="Q1631">
        <v>0</v>
      </c>
      <c r="R1631">
        <v>235</v>
      </c>
      <c r="S1631">
        <v>37.92</v>
      </c>
    </row>
    <row r="1632" spans="12:19" x14ac:dyDescent="0.2">
      <c r="L1632" t="s">
        <v>374</v>
      </c>
      <c r="M1632">
        <v>99</v>
      </c>
      <c r="N1632">
        <v>1</v>
      </c>
      <c r="O1632">
        <v>4</v>
      </c>
      <c r="P1632">
        <v>582</v>
      </c>
      <c r="Q1632">
        <v>799</v>
      </c>
      <c r="R1632">
        <v>230</v>
      </c>
      <c r="S1632">
        <v>3.89</v>
      </c>
    </row>
    <row r="1633" spans="12:19" x14ac:dyDescent="0.2">
      <c r="L1633" t="s">
        <v>374</v>
      </c>
      <c r="M1633">
        <v>1</v>
      </c>
      <c r="N1633">
        <v>3</v>
      </c>
      <c r="O1633">
        <v>4</v>
      </c>
      <c r="P1633">
        <v>582</v>
      </c>
      <c r="Q1633">
        <v>599</v>
      </c>
      <c r="R1633">
        <v>230</v>
      </c>
      <c r="S1633">
        <v>29.48</v>
      </c>
    </row>
    <row r="1634" spans="12:19" x14ac:dyDescent="0.2">
      <c r="L1634" t="s">
        <v>374</v>
      </c>
      <c r="M1634">
        <v>1</v>
      </c>
      <c r="N1634">
        <v>3</v>
      </c>
      <c r="O1634">
        <v>4</v>
      </c>
      <c r="P1634">
        <v>582</v>
      </c>
      <c r="Q1634">
        <v>599</v>
      </c>
      <c r="R1634">
        <v>230</v>
      </c>
      <c r="S1634">
        <v>1.29</v>
      </c>
    </row>
    <row r="1635" spans="12:19" x14ac:dyDescent="0.2">
      <c r="L1635" t="s">
        <v>374</v>
      </c>
      <c r="M1635">
        <v>1</v>
      </c>
      <c r="N1635">
        <v>1</v>
      </c>
      <c r="O1635">
        <v>4</v>
      </c>
      <c r="P1635">
        <v>582</v>
      </c>
      <c r="Q1635">
        <v>344</v>
      </c>
      <c r="R1635">
        <v>230</v>
      </c>
      <c r="S1635">
        <v>134.41</v>
      </c>
    </row>
    <row r="1636" spans="12:19" x14ac:dyDescent="0.2">
      <c r="L1636" t="s">
        <v>374</v>
      </c>
      <c r="M1636">
        <v>1</v>
      </c>
      <c r="N1636">
        <v>3</v>
      </c>
      <c r="O1636">
        <v>4</v>
      </c>
      <c r="P1636">
        <v>582</v>
      </c>
      <c r="Q1636">
        <v>344</v>
      </c>
      <c r="R1636">
        <v>230</v>
      </c>
      <c r="S1636">
        <v>843.91</v>
      </c>
    </row>
    <row r="1637" spans="12:19" x14ac:dyDescent="0.2">
      <c r="L1637" t="s">
        <v>374</v>
      </c>
      <c r="M1637">
        <v>1</v>
      </c>
      <c r="N1637">
        <v>3</v>
      </c>
      <c r="O1637">
        <v>4</v>
      </c>
      <c r="P1637">
        <v>582</v>
      </c>
      <c r="Q1637">
        <v>344</v>
      </c>
      <c r="R1637">
        <v>230</v>
      </c>
      <c r="S1637">
        <v>7.55</v>
      </c>
    </row>
    <row r="1638" spans="12:19" x14ac:dyDescent="0.2">
      <c r="L1638" t="s">
        <v>374</v>
      </c>
      <c r="M1638">
        <v>1</v>
      </c>
      <c r="N1638">
        <v>3</v>
      </c>
      <c r="O1638">
        <v>4</v>
      </c>
      <c r="P1638">
        <v>582</v>
      </c>
      <c r="Q1638">
        <v>344</v>
      </c>
      <c r="R1638">
        <v>230</v>
      </c>
      <c r="S1638">
        <v>9.68</v>
      </c>
    </row>
    <row r="1639" spans="12:19" x14ac:dyDescent="0.2">
      <c r="L1639" t="s">
        <v>374</v>
      </c>
      <c r="M1639">
        <v>1</v>
      </c>
      <c r="N1639">
        <v>3</v>
      </c>
      <c r="O1639">
        <v>4</v>
      </c>
      <c r="P1639">
        <v>582</v>
      </c>
      <c r="Q1639">
        <v>344</v>
      </c>
      <c r="R1639">
        <v>230</v>
      </c>
      <c r="S1639">
        <v>8.44</v>
      </c>
    </row>
    <row r="1640" spans="12:19" x14ac:dyDescent="0.2">
      <c r="L1640" t="s">
        <v>374</v>
      </c>
      <c r="M1640">
        <v>1</v>
      </c>
      <c r="N1640">
        <v>3</v>
      </c>
      <c r="O1640">
        <v>4</v>
      </c>
      <c r="P1640">
        <v>582</v>
      </c>
      <c r="Q1640">
        <v>344</v>
      </c>
      <c r="R1640">
        <v>230</v>
      </c>
      <c r="S1640">
        <v>1.95</v>
      </c>
    </row>
    <row r="1641" spans="12:19" x14ac:dyDescent="0.2">
      <c r="L1641" t="s">
        <v>374</v>
      </c>
      <c r="M1641">
        <v>1</v>
      </c>
      <c r="N1641">
        <v>3</v>
      </c>
      <c r="O1641">
        <v>4</v>
      </c>
      <c r="P1641">
        <v>582</v>
      </c>
      <c r="Q1641">
        <v>344</v>
      </c>
      <c r="R1641">
        <v>230</v>
      </c>
      <c r="S1641">
        <v>7.81</v>
      </c>
    </row>
    <row r="1642" spans="12:19" x14ac:dyDescent="0.2">
      <c r="L1642" t="s">
        <v>374</v>
      </c>
      <c r="M1642">
        <v>1</v>
      </c>
      <c r="N1642">
        <v>3</v>
      </c>
      <c r="O1642">
        <v>4</v>
      </c>
      <c r="P1642">
        <v>582</v>
      </c>
      <c r="Q1642">
        <v>344</v>
      </c>
      <c r="R1642">
        <v>230</v>
      </c>
      <c r="S1642">
        <v>-0.17</v>
      </c>
    </row>
    <row r="1643" spans="12:19" x14ac:dyDescent="0.2">
      <c r="L1643" t="s">
        <v>374</v>
      </c>
      <c r="M1643">
        <v>1</v>
      </c>
      <c r="N1643">
        <v>3</v>
      </c>
      <c r="O1643">
        <v>4</v>
      </c>
      <c r="P1643">
        <v>582</v>
      </c>
      <c r="Q1643">
        <v>344</v>
      </c>
      <c r="R1643">
        <v>230</v>
      </c>
      <c r="S1643">
        <v>15.36</v>
      </c>
    </row>
    <row r="1644" spans="12:19" x14ac:dyDescent="0.2">
      <c r="L1644" t="s">
        <v>374</v>
      </c>
      <c r="M1644">
        <v>1</v>
      </c>
      <c r="N1644">
        <v>3</v>
      </c>
      <c r="O1644">
        <v>4</v>
      </c>
      <c r="P1644">
        <v>582</v>
      </c>
      <c r="Q1644">
        <v>344</v>
      </c>
      <c r="R1644">
        <v>230</v>
      </c>
      <c r="S1644">
        <v>15.36</v>
      </c>
    </row>
    <row r="1645" spans="12:19" x14ac:dyDescent="0.2">
      <c r="L1645" t="s">
        <v>374</v>
      </c>
      <c r="M1645">
        <v>1</v>
      </c>
      <c r="N1645">
        <v>3</v>
      </c>
      <c r="O1645">
        <v>4</v>
      </c>
      <c r="P1645">
        <v>582</v>
      </c>
      <c r="Q1645">
        <v>344</v>
      </c>
      <c r="R1645">
        <v>230</v>
      </c>
      <c r="S1645">
        <v>7.81</v>
      </c>
    </row>
    <row r="1646" spans="12:19" x14ac:dyDescent="0.2">
      <c r="L1646" t="s">
        <v>374</v>
      </c>
      <c r="M1646">
        <v>1</v>
      </c>
      <c r="N1646">
        <v>3</v>
      </c>
      <c r="O1646">
        <v>4</v>
      </c>
      <c r="P1646">
        <v>582</v>
      </c>
      <c r="Q1646">
        <v>344</v>
      </c>
      <c r="R1646">
        <v>230</v>
      </c>
      <c r="S1646">
        <v>11.19</v>
      </c>
    </row>
    <row r="1647" spans="12:19" x14ac:dyDescent="0.2">
      <c r="L1647" t="s">
        <v>374</v>
      </c>
      <c r="M1647">
        <v>6</v>
      </c>
      <c r="N1647">
        <v>3</v>
      </c>
      <c r="O1647">
        <v>4</v>
      </c>
      <c r="P1647">
        <v>582</v>
      </c>
      <c r="Q1647">
        <v>344</v>
      </c>
      <c r="R1647">
        <v>230</v>
      </c>
      <c r="S1647">
        <v>70.98</v>
      </c>
    </row>
    <row r="1648" spans="12:19" x14ac:dyDescent="0.2">
      <c r="L1648" t="s">
        <v>374</v>
      </c>
      <c r="M1648">
        <v>12</v>
      </c>
      <c r="N1648">
        <v>1</v>
      </c>
      <c r="O1648">
        <v>4</v>
      </c>
      <c r="P1648">
        <v>582</v>
      </c>
      <c r="Q1648">
        <v>344</v>
      </c>
      <c r="R1648">
        <v>230</v>
      </c>
      <c r="S1648">
        <v>74.72</v>
      </c>
    </row>
    <row r="1649" spans="12:19" x14ac:dyDescent="0.2">
      <c r="L1649" t="s">
        <v>374</v>
      </c>
      <c r="M1649">
        <v>15</v>
      </c>
      <c r="N1649">
        <v>1</v>
      </c>
      <c r="O1649">
        <v>4</v>
      </c>
      <c r="P1649">
        <v>582</v>
      </c>
      <c r="Q1649">
        <v>344</v>
      </c>
      <c r="R1649">
        <v>230</v>
      </c>
      <c r="S1649">
        <v>42.35</v>
      </c>
    </row>
    <row r="1650" spans="12:19" x14ac:dyDescent="0.2">
      <c r="L1650" t="s">
        <v>374</v>
      </c>
      <c r="M1650">
        <v>16</v>
      </c>
      <c r="N1650">
        <v>1</v>
      </c>
      <c r="O1650">
        <v>4</v>
      </c>
      <c r="P1650">
        <v>582</v>
      </c>
      <c r="Q1650">
        <v>344</v>
      </c>
      <c r="R1650">
        <v>230</v>
      </c>
      <c r="S1650">
        <v>30.42</v>
      </c>
    </row>
    <row r="1651" spans="12:19" x14ac:dyDescent="0.2">
      <c r="L1651" t="s">
        <v>374</v>
      </c>
      <c r="M1651">
        <v>22</v>
      </c>
      <c r="N1651">
        <v>1</v>
      </c>
      <c r="O1651">
        <v>4</v>
      </c>
      <c r="P1651">
        <v>582</v>
      </c>
      <c r="Q1651">
        <v>344</v>
      </c>
      <c r="R1651">
        <v>230</v>
      </c>
      <c r="S1651">
        <v>12.08</v>
      </c>
    </row>
    <row r="1652" spans="12:19" x14ac:dyDescent="0.2">
      <c r="L1652" t="s">
        <v>374</v>
      </c>
      <c r="M1652">
        <v>23</v>
      </c>
      <c r="N1652">
        <v>1</v>
      </c>
      <c r="O1652">
        <v>4</v>
      </c>
      <c r="P1652">
        <v>582</v>
      </c>
      <c r="Q1652">
        <v>344</v>
      </c>
      <c r="R1652">
        <v>230</v>
      </c>
      <c r="S1652">
        <v>5.22</v>
      </c>
    </row>
    <row r="1653" spans="12:19" x14ac:dyDescent="0.2">
      <c r="L1653" t="s">
        <v>374</v>
      </c>
      <c r="M1653">
        <v>25</v>
      </c>
      <c r="N1653">
        <v>1</v>
      </c>
      <c r="O1653">
        <v>4</v>
      </c>
      <c r="P1653">
        <v>582</v>
      </c>
      <c r="Q1653">
        <v>344</v>
      </c>
      <c r="R1653">
        <v>230</v>
      </c>
      <c r="S1653">
        <v>6</v>
      </c>
    </row>
    <row r="1654" spans="12:19" x14ac:dyDescent="0.2">
      <c r="L1654" t="s">
        <v>374</v>
      </c>
      <c r="M1654">
        <v>38</v>
      </c>
      <c r="N1654">
        <v>1</v>
      </c>
      <c r="O1654">
        <v>4</v>
      </c>
      <c r="P1654">
        <v>582</v>
      </c>
      <c r="Q1654">
        <v>344</v>
      </c>
      <c r="R1654">
        <v>230</v>
      </c>
      <c r="S1654">
        <v>162.37</v>
      </c>
    </row>
    <row r="1655" spans="12:19" x14ac:dyDescent="0.2">
      <c r="L1655" t="s">
        <v>374</v>
      </c>
      <c r="M1655">
        <v>47</v>
      </c>
      <c r="N1655">
        <v>1</v>
      </c>
      <c r="O1655">
        <v>4</v>
      </c>
      <c r="P1655">
        <v>582</v>
      </c>
      <c r="Q1655">
        <v>344</v>
      </c>
      <c r="R1655">
        <v>230</v>
      </c>
      <c r="S1655">
        <v>32.450000000000003</v>
      </c>
    </row>
    <row r="1656" spans="12:19" x14ac:dyDescent="0.2">
      <c r="L1656" t="s">
        <v>374</v>
      </c>
      <c r="M1656">
        <v>51</v>
      </c>
      <c r="N1656">
        <v>1</v>
      </c>
      <c r="O1656">
        <v>4</v>
      </c>
      <c r="P1656">
        <v>582</v>
      </c>
      <c r="Q1656">
        <v>344</v>
      </c>
      <c r="R1656">
        <v>230</v>
      </c>
      <c r="S1656">
        <v>52.64</v>
      </c>
    </row>
    <row r="1657" spans="12:19" x14ac:dyDescent="0.2">
      <c r="L1657" t="s">
        <v>374</v>
      </c>
      <c r="M1657">
        <v>84</v>
      </c>
      <c r="N1657">
        <v>1</v>
      </c>
      <c r="O1657">
        <v>4</v>
      </c>
      <c r="P1657">
        <v>582</v>
      </c>
      <c r="Q1657">
        <v>344</v>
      </c>
      <c r="R1657">
        <v>230</v>
      </c>
      <c r="S1657">
        <v>2.95</v>
      </c>
    </row>
    <row r="1658" spans="12:19" x14ac:dyDescent="0.2">
      <c r="L1658" t="s">
        <v>374</v>
      </c>
      <c r="M1658">
        <v>85</v>
      </c>
      <c r="N1658">
        <v>1</v>
      </c>
      <c r="O1658">
        <v>4</v>
      </c>
      <c r="P1658">
        <v>582</v>
      </c>
      <c r="Q1658">
        <v>344</v>
      </c>
      <c r="R1658">
        <v>230</v>
      </c>
      <c r="S1658">
        <v>0.28000000000000003</v>
      </c>
    </row>
    <row r="1659" spans="12:19" x14ac:dyDescent="0.2">
      <c r="L1659" t="s">
        <v>374</v>
      </c>
      <c r="M1659">
        <v>95</v>
      </c>
      <c r="N1659">
        <v>1</v>
      </c>
      <c r="O1659">
        <v>4</v>
      </c>
      <c r="P1659">
        <v>582</v>
      </c>
      <c r="Q1659">
        <v>344</v>
      </c>
      <c r="R1659">
        <v>230</v>
      </c>
      <c r="S1659">
        <v>76.959999999999994</v>
      </c>
    </row>
    <row r="1660" spans="12:19" x14ac:dyDescent="0.2">
      <c r="L1660" t="s">
        <v>374</v>
      </c>
      <c r="M1660">
        <v>97</v>
      </c>
      <c r="N1660">
        <v>1</v>
      </c>
      <c r="O1660">
        <v>4</v>
      </c>
      <c r="P1660">
        <v>582</v>
      </c>
      <c r="Q1660">
        <v>344</v>
      </c>
      <c r="R1660">
        <v>230</v>
      </c>
      <c r="S1660">
        <v>80.19</v>
      </c>
    </row>
    <row r="1661" spans="12:19" x14ac:dyDescent="0.2">
      <c r="L1661" t="s">
        <v>374</v>
      </c>
      <c r="M1661">
        <v>99</v>
      </c>
      <c r="N1661">
        <v>1</v>
      </c>
      <c r="O1661">
        <v>4</v>
      </c>
      <c r="P1661">
        <v>582</v>
      </c>
      <c r="Q1661">
        <v>344</v>
      </c>
      <c r="R1661">
        <v>230</v>
      </c>
      <c r="S1661">
        <v>11.77</v>
      </c>
    </row>
    <row r="1662" spans="12:19" x14ac:dyDescent="0.2">
      <c r="L1662" t="s">
        <v>374</v>
      </c>
      <c r="M1662">
        <v>110</v>
      </c>
      <c r="N1662">
        <v>1</v>
      </c>
      <c r="O1662">
        <v>4</v>
      </c>
      <c r="P1662">
        <v>582</v>
      </c>
      <c r="Q1662">
        <v>344</v>
      </c>
      <c r="R1662">
        <v>230</v>
      </c>
      <c r="S1662">
        <v>10.65</v>
      </c>
    </row>
    <row r="1663" spans="12:19" x14ac:dyDescent="0.2">
      <c r="L1663" t="s">
        <v>374</v>
      </c>
      <c r="M1663">
        <v>111</v>
      </c>
      <c r="N1663">
        <v>1</v>
      </c>
      <c r="O1663">
        <v>4</v>
      </c>
      <c r="P1663">
        <v>582</v>
      </c>
      <c r="Q1663">
        <v>344</v>
      </c>
      <c r="R1663">
        <v>230</v>
      </c>
      <c r="S1663">
        <v>51.6</v>
      </c>
    </row>
    <row r="1664" spans="12:19" x14ac:dyDescent="0.2">
      <c r="L1664" t="s">
        <v>374</v>
      </c>
      <c r="M1664">
        <v>112</v>
      </c>
      <c r="N1664">
        <v>1</v>
      </c>
      <c r="O1664">
        <v>4</v>
      </c>
      <c r="P1664">
        <v>582</v>
      </c>
      <c r="Q1664">
        <v>344</v>
      </c>
      <c r="R1664">
        <v>230</v>
      </c>
      <c r="S1664">
        <v>53.2</v>
      </c>
    </row>
    <row r="1665" spans="12:19" x14ac:dyDescent="0.2">
      <c r="L1665" t="s">
        <v>374</v>
      </c>
      <c r="M1665">
        <v>138</v>
      </c>
      <c r="N1665">
        <v>1</v>
      </c>
      <c r="O1665">
        <v>4</v>
      </c>
      <c r="P1665">
        <v>582</v>
      </c>
      <c r="Q1665">
        <v>344</v>
      </c>
      <c r="R1665">
        <v>230</v>
      </c>
      <c r="S1665">
        <v>31.15</v>
      </c>
    </row>
    <row r="1666" spans="12:19" x14ac:dyDescent="0.2">
      <c r="L1666" t="s">
        <v>374</v>
      </c>
      <c r="M1666">
        <v>152</v>
      </c>
      <c r="N1666">
        <v>1</v>
      </c>
      <c r="O1666">
        <v>4</v>
      </c>
      <c r="P1666">
        <v>582</v>
      </c>
      <c r="Q1666">
        <v>344</v>
      </c>
      <c r="R1666">
        <v>230</v>
      </c>
      <c r="S1666">
        <v>47.88</v>
      </c>
    </row>
    <row r="1667" spans="12:19" x14ac:dyDescent="0.2">
      <c r="L1667" t="s">
        <v>374</v>
      </c>
      <c r="M1667">
        <v>177</v>
      </c>
      <c r="N1667">
        <v>1</v>
      </c>
      <c r="O1667">
        <v>4</v>
      </c>
      <c r="P1667">
        <v>582</v>
      </c>
      <c r="Q1667">
        <v>344</v>
      </c>
      <c r="R1667">
        <v>230</v>
      </c>
      <c r="S1667">
        <v>6.36</v>
      </c>
    </row>
    <row r="1668" spans="12:19" x14ac:dyDescent="0.2">
      <c r="L1668" t="s">
        <v>374</v>
      </c>
      <c r="M1668">
        <v>181</v>
      </c>
      <c r="N1668">
        <v>1</v>
      </c>
      <c r="O1668">
        <v>4</v>
      </c>
      <c r="P1668">
        <v>582</v>
      </c>
      <c r="Q1668">
        <v>344</v>
      </c>
      <c r="R1668">
        <v>230</v>
      </c>
      <c r="S1668">
        <v>206.92</v>
      </c>
    </row>
    <row r="1669" spans="12:19" x14ac:dyDescent="0.2">
      <c r="L1669" t="s">
        <v>374</v>
      </c>
      <c r="M1669">
        <v>182</v>
      </c>
      <c r="N1669">
        <v>1</v>
      </c>
      <c r="O1669">
        <v>4</v>
      </c>
      <c r="P1669">
        <v>582</v>
      </c>
      <c r="Q1669">
        <v>344</v>
      </c>
      <c r="R1669">
        <v>230</v>
      </c>
      <c r="S1669">
        <v>43.4</v>
      </c>
    </row>
    <row r="1670" spans="12:19" x14ac:dyDescent="0.2">
      <c r="L1670" t="s">
        <v>374</v>
      </c>
      <c r="M1670">
        <v>191</v>
      </c>
      <c r="N1670">
        <v>1</v>
      </c>
      <c r="O1670">
        <v>4</v>
      </c>
      <c r="P1670">
        <v>582</v>
      </c>
      <c r="Q1670">
        <v>344</v>
      </c>
      <c r="R1670">
        <v>230</v>
      </c>
      <c r="S1670">
        <v>81.16</v>
      </c>
    </row>
    <row r="1671" spans="12:19" x14ac:dyDescent="0.2">
      <c r="L1671" t="s">
        <v>374</v>
      </c>
      <c r="M1671">
        <v>192</v>
      </c>
      <c r="N1671">
        <v>1</v>
      </c>
      <c r="O1671">
        <v>4</v>
      </c>
      <c r="P1671">
        <v>582</v>
      </c>
      <c r="Q1671">
        <v>344</v>
      </c>
      <c r="R1671">
        <v>230</v>
      </c>
      <c r="S1671">
        <v>114.83</v>
      </c>
    </row>
    <row r="1672" spans="12:19" x14ac:dyDescent="0.2">
      <c r="L1672" t="s">
        <v>374</v>
      </c>
      <c r="M1672">
        <v>196</v>
      </c>
      <c r="N1672">
        <v>1</v>
      </c>
      <c r="O1672">
        <v>4</v>
      </c>
      <c r="P1672">
        <v>582</v>
      </c>
      <c r="Q1672">
        <v>344</v>
      </c>
      <c r="R1672">
        <v>230</v>
      </c>
      <c r="S1672">
        <v>128.49</v>
      </c>
    </row>
    <row r="1673" spans="12:19" x14ac:dyDescent="0.2">
      <c r="L1673" t="s">
        <v>374</v>
      </c>
      <c r="M1673">
        <v>200</v>
      </c>
      <c r="N1673">
        <v>1</v>
      </c>
      <c r="O1673">
        <v>4</v>
      </c>
      <c r="P1673">
        <v>582</v>
      </c>
      <c r="Q1673">
        <v>344</v>
      </c>
      <c r="R1673">
        <v>230</v>
      </c>
      <c r="S1673">
        <v>142.15</v>
      </c>
    </row>
    <row r="1674" spans="12:19" x14ac:dyDescent="0.2">
      <c r="L1674" t="s">
        <v>374</v>
      </c>
      <c r="M1674">
        <v>206</v>
      </c>
      <c r="N1674">
        <v>1</v>
      </c>
      <c r="O1674">
        <v>4</v>
      </c>
      <c r="P1674">
        <v>582</v>
      </c>
      <c r="Q1674">
        <v>344</v>
      </c>
      <c r="R1674">
        <v>230</v>
      </c>
      <c r="S1674">
        <v>63.79</v>
      </c>
    </row>
    <row r="1675" spans="12:19" x14ac:dyDescent="0.2">
      <c r="L1675" t="s">
        <v>374</v>
      </c>
      <c r="M1675">
        <v>253</v>
      </c>
      <c r="N1675">
        <v>1</v>
      </c>
      <c r="O1675">
        <v>4</v>
      </c>
      <c r="P1675">
        <v>582</v>
      </c>
      <c r="Q1675">
        <v>344</v>
      </c>
      <c r="R1675">
        <v>230</v>
      </c>
      <c r="S1675">
        <v>11.17</v>
      </c>
    </row>
    <row r="1676" spans="12:19" x14ac:dyDescent="0.2">
      <c r="L1676" t="s">
        <v>374</v>
      </c>
      <c r="M1676">
        <v>255</v>
      </c>
      <c r="N1676">
        <v>1</v>
      </c>
      <c r="O1676">
        <v>4</v>
      </c>
      <c r="P1676">
        <v>582</v>
      </c>
      <c r="Q1676">
        <v>344</v>
      </c>
      <c r="R1676">
        <v>230</v>
      </c>
      <c r="S1676">
        <v>81.99</v>
      </c>
    </row>
    <row r="1677" spans="12:19" x14ac:dyDescent="0.2">
      <c r="L1677" t="s">
        <v>374</v>
      </c>
      <c r="M1677">
        <v>256</v>
      </c>
      <c r="N1677">
        <v>1</v>
      </c>
      <c r="O1677">
        <v>4</v>
      </c>
      <c r="P1677">
        <v>582</v>
      </c>
      <c r="Q1677">
        <v>344</v>
      </c>
      <c r="R1677">
        <v>230</v>
      </c>
      <c r="S1677">
        <v>34.380000000000003</v>
      </c>
    </row>
    <row r="1678" spans="12:19" x14ac:dyDescent="0.2">
      <c r="L1678" t="s">
        <v>374</v>
      </c>
      <c r="M1678">
        <v>270</v>
      </c>
      <c r="N1678">
        <v>1</v>
      </c>
      <c r="O1678">
        <v>4</v>
      </c>
      <c r="P1678">
        <v>582</v>
      </c>
      <c r="Q1678">
        <v>344</v>
      </c>
      <c r="R1678">
        <v>230</v>
      </c>
      <c r="S1678">
        <v>68.430000000000007</v>
      </c>
    </row>
    <row r="1679" spans="12:19" x14ac:dyDescent="0.2">
      <c r="L1679" t="s">
        <v>374</v>
      </c>
      <c r="M1679">
        <v>271</v>
      </c>
      <c r="N1679">
        <v>1</v>
      </c>
      <c r="O1679">
        <v>4</v>
      </c>
      <c r="P1679">
        <v>582</v>
      </c>
      <c r="Q1679">
        <v>344</v>
      </c>
      <c r="R1679">
        <v>230</v>
      </c>
      <c r="S1679">
        <v>1039.95</v>
      </c>
    </row>
    <row r="1680" spans="12:19" x14ac:dyDescent="0.2">
      <c r="L1680" t="s">
        <v>374</v>
      </c>
      <c r="M1680">
        <v>272</v>
      </c>
      <c r="N1680">
        <v>1</v>
      </c>
      <c r="O1680">
        <v>4</v>
      </c>
      <c r="P1680">
        <v>582</v>
      </c>
      <c r="Q1680">
        <v>344</v>
      </c>
      <c r="R1680">
        <v>230</v>
      </c>
      <c r="S1680">
        <v>619.14</v>
      </c>
    </row>
    <row r="1681" spans="12:19" x14ac:dyDescent="0.2">
      <c r="L1681" t="s">
        <v>374</v>
      </c>
      <c r="M1681">
        <v>276</v>
      </c>
      <c r="N1681">
        <v>1</v>
      </c>
      <c r="O1681">
        <v>4</v>
      </c>
      <c r="P1681">
        <v>582</v>
      </c>
      <c r="Q1681">
        <v>344</v>
      </c>
      <c r="R1681">
        <v>230</v>
      </c>
      <c r="S1681">
        <v>1.89</v>
      </c>
    </row>
    <row r="1682" spans="12:19" x14ac:dyDescent="0.2">
      <c r="L1682" t="s">
        <v>374</v>
      </c>
      <c r="M1682">
        <v>282</v>
      </c>
      <c r="N1682">
        <v>1</v>
      </c>
      <c r="O1682">
        <v>4</v>
      </c>
      <c r="P1682">
        <v>582</v>
      </c>
      <c r="Q1682">
        <v>344</v>
      </c>
      <c r="R1682">
        <v>230</v>
      </c>
      <c r="S1682">
        <v>5.94</v>
      </c>
    </row>
    <row r="1683" spans="12:19" x14ac:dyDescent="0.2">
      <c r="L1683" t="s">
        <v>374</v>
      </c>
      <c r="M1683">
        <v>284</v>
      </c>
      <c r="N1683">
        <v>1</v>
      </c>
      <c r="O1683">
        <v>4</v>
      </c>
      <c r="P1683">
        <v>582</v>
      </c>
      <c r="Q1683">
        <v>344</v>
      </c>
      <c r="R1683">
        <v>230</v>
      </c>
      <c r="S1683">
        <v>29.09</v>
      </c>
    </row>
    <row r="1684" spans="12:19" x14ac:dyDescent="0.2">
      <c r="L1684" t="s">
        <v>374</v>
      </c>
      <c r="M1684">
        <v>294</v>
      </c>
      <c r="N1684">
        <v>1</v>
      </c>
      <c r="O1684">
        <v>4</v>
      </c>
      <c r="P1684">
        <v>582</v>
      </c>
      <c r="Q1684">
        <v>344</v>
      </c>
      <c r="R1684">
        <v>230</v>
      </c>
      <c r="S1684">
        <v>2.29</v>
      </c>
    </row>
    <row r="1685" spans="12:19" x14ac:dyDescent="0.2">
      <c r="L1685" t="s">
        <v>374</v>
      </c>
      <c r="M1685">
        <v>299</v>
      </c>
      <c r="N1685">
        <v>1</v>
      </c>
      <c r="O1685">
        <v>4</v>
      </c>
      <c r="P1685">
        <v>582</v>
      </c>
      <c r="Q1685">
        <v>344</v>
      </c>
      <c r="R1685">
        <v>230</v>
      </c>
      <c r="S1685">
        <v>99.61</v>
      </c>
    </row>
    <row r="1686" spans="12:19" x14ac:dyDescent="0.2">
      <c r="L1686" t="s">
        <v>374</v>
      </c>
      <c r="M1686">
        <v>300</v>
      </c>
      <c r="N1686">
        <v>1</v>
      </c>
      <c r="O1686">
        <v>4</v>
      </c>
      <c r="P1686">
        <v>582</v>
      </c>
      <c r="Q1686">
        <v>344</v>
      </c>
      <c r="R1686">
        <v>230</v>
      </c>
      <c r="S1686">
        <v>110.72</v>
      </c>
    </row>
    <row r="1687" spans="12:19" x14ac:dyDescent="0.2">
      <c r="L1687" t="s">
        <v>374</v>
      </c>
      <c r="M1687">
        <v>309</v>
      </c>
      <c r="N1687">
        <v>1</v>
      </c>
      <c r="O1687">
        <v>4</v>
      </c>
      <c r="P1687">
        <v>582</v>
      </c>
      <c r="Q1687">
        <v>344</v>
      </c>
      <c r="R1687">
        <v>230</v>
      </c>
      <c r="S1687">
        <v>189.39</v>
      </c>
    </row>
    <row r="1688" spans="12:19" x14ac:dyDescent="0.2">
      <c r="L1688" t="s">
        <v>374</v>
      </c>
      <c r="M1688">
        <v>317</v>
      </c>
      <c r="N1688">
        <v>1</v>
      </c>
      <c r="O1688">
        <v>4</v>
      </c>
      <c r="P1688">
        <v>582</v>
      </c>
      <c r="Q1688">
        <v>344</v>
      </c>
      <c r="R1688">
        <v>230</v>
      </c>
      <c r="S1688">
        <v>6.32</v>
      </c>
    </row>
    <row r="1689" spans="12:19" x14ac:dyDescent="0.2">
      <c r="L1689" t="s">
        <v>374</v>
      </c>
      <c r="M1689">
        <v>332</v>
      </c>
      <c r="N1689">
        <v>1</v>
      </c>
      <c r="O1689">
        <v>4</v>
      </c>
      <c r="P1689">
        <v>582</v>
      </c>
      <c r="Q1689">
        <v>344</v>
      </c>
      <c r="R1689">
        <v>230</v>
      </c>
      <c r="S1689">
        <v>0.03</v>
      </c>
    </row>
    <row r="1690" spans="12:19" x14ac:dyDescent="0.2">
      <c r="L1690" t="s">
        <v>374</v>
      </c>
      <c r="M1690">
        <v>333</v>
      </c>
      <c r="N1690">
        <v>1</v>
      </c>
      <c r="O1690">
        <v>4</v>
      </c>
      <c r="P1690">
        <v>582</v>
      </c>
      <c r="Q1690">
        <v>344</v>
      </c>
      <c r="R1690">
        <v>230</v>
      </c>
      <c r="S1690">
        <v>32.51</v>
      </c>
    </row>
    <row r="1691" spans="12:19" x14ac:dyDescent="0.2">
      <c r="L1691" t="s">
        <v>374</v>
      </c>
      <c r="M1691">
        <v>347</v>
      </c>
      <c r="N1691">
        <v>1</v>
      </c>
      <c r="O1691">
        <v>4</v>
      </c>
      <c r="P1691">
        <v>582</v>
      </c>
      <c r="Q1691">
        <v>344</v>
      </c>
      <c r="R1691">
        <v>230</v>
      </c>
      <c r="S1691">
        <v>56.1</v>
      </c>
    </row>
    <row r="1692" spans="12:19" x14ac:dyDescent="0.2">
      <c r="L1692" t="s">
        <v>374</v>
      </c>
      <c r="M1692">
        <v>361</v>
      </c>
      <c r="N1692">
        <v>1</v>
      </c>
      <c r="O1692">
        <v>4</v>
      </c>
      <c r="P1692">
        <v>582</v>
      </c>
      <c r="Q1692">
        <v>344</v>
      </c>
      <c r="R1692">
        <v>230</v>
      </c>
      <c r="S1692">
        <v>118.24</v>
      </c>
    </row>
    <row r="1693" spans="12:19" x14ac:dyDescent="0.2">
      <c r="L1693" t="s">
        <v>374</v>
      </c>
      <c r="M1693">
        <v>362</v>
      </c>
      <c r="N1693">
        <v>1</v>
      </c>
      <c r="O1693">
        <v>4</v>
      </c>
      <c r="P1693">
        <v>582</v>
      </c>
      <c r="Q1693">
        <v>344</v>
      </c>
      <c r="R1693">
        <v>230</v>
      </c>
      <c r="S1693">
        <v>69.12</v>
      </c>
    </row>
    <row r="1694" spans="12:19" x14ac:dyDescent="0.2">
      <c r="L1694" t="s">
        <v>374</v>
      </c>
      <c r="M1694">
        <v>363</v>
      </c>
      <c r="N1694">
        <v>1</v>
      </c>
      <c r="O1694">
        <v>4</v>
      </c>
      <c r="P1694">
        <v>582</v>
      </c>
      <c r="Q1694">
        <v>344</v>
      </c>
      <c r="R1694">
        <v>230</v>
      </c>
      <c r="S1694">
        <v>47.63</v>
      </c>
    </row>
    <row r="1695" spans="12:19" x14ac:dyDescent="0.2">
      <c r="L1695" t="s">
        <v>374</v>
      </c>
      <c r="M1695">
        <v>381</v>
      </c>
      <c r="N1695">
        <v>1</v>
      </c>
      <c r="O1695">
        <v>4</v>
      </c>
      <c r="P1695">
        <v>582</v>
      </c>
      <c r="Q1695">
        <v>344</v>
      </c>
      <c r="R1695">
        <v>230</v>
      </c>
      <c r="S1695">
        <v>38.4</v>
      </c>
    </row>
    <row r="1696" spans="12:19" x14ac:dyDescent="0.2">
      <c r="L1696" t="s">
        <v>374</v>
      </c>
      <c r="M1696">
        <v>390</v>
      </c>
      <c r="N1696">
        <v>1</v>
      </c>
      <c r="O1696">
        <v>4</v>
      </c>
      <c r="P1696">
        <v>582</v>
      </c>
      <c r="Q1696">
        <v>344</v>
      </c>
      <c r="R1696">
        <v>230</v>
      </c>
      <c r="S1696">
        <v>28.33</v>
      </c>
    </row>
    <row r="1697" spans="12:19" x14ac:dyDescent="0.2">
      <c r="L1697" t="s">
        <v>374</v>
      </c>
      <c r="M1697">
        <v>394</v>
      </c>
      <c r="N1697">
        <v>1</v>
      </c>
      <c r="O1697">
        <v>4</v>
      </c>
      <c r="P1697">
        <v>582</v>
      </c>
      <c r="Q1697">
        <v>344</v>
      </c>
      <c r="R1697">
        <v>230</v>
      </c>
      <c r="S1697">
        <v>10.4</v>
      </c>
    </row>
    <row r="1698" spans="12:19" x14ac:dyDescent="0.2">
      <c r="L1698" t="s">
        <v>374</v>
      </c>
      <c r="M1698">
        <v>404</v>
      </c>
      <c r="N1698">
        <v>1</v>
      </c>
      <c r="O1698">
        <v>4</v>
      </c>
      <c r="P1698">
        <v>582</v>
      </c>
      <c r="Q1698">
        <v>344</v>
      </c>
      <c r="R1698">
        <v>230</v>
      </c>
      <c r="S1698">
        <v>24.44</v>
      </c>
    </row>
    <row r="1699" spans="12:19" x14ac:dyDescent="0.2">
      <c r="L1699" t="s">
        <v>374</v>
      </c>
      <c r="M1699">
        <v>423</v>
      </c>
      <c r="N1699">
        <v>1</v>
      </c>
      <c r="O1699">
        <v>4</v>
      </c>
      <c r="P1699">
        <v>582</v>
      </c>
      <c r="Q1699">
        <v>344</v>
      </c>
      <c r="R1699">
        <v>230</v>
      </c>
      <c r="S1699">
        <v>10.08</v>
      </c>
    </row>
    <row r="1700" spans="12:19" x14ac:dyDescent="0.2">
      <c r="L1700" t="s">
        <v>374</v>
      </c>
      <c r="M1700">
        <v>424</v>
      </c>
      <c r="N1700">
        <v>1</v>
      </c>
      <c r="O1700">
        <v>4</v>
      </c>
      <c r="P1700">
        <v>582</v>
      </c>
      <c r="Q1700">
        <v>344</v>
      </c>
      <c r="R1700">
        <v>230</v>
      </c>
      <c r="S1700">
        <v>74.569999999999993</v>
      </c>
    </row>
    <row r="1701" spans="12:19" x14ac:dyDescent="0.2">
      <c r="L1701" t="s">
        <v>374</v>
      </c>
      <c r="M1701">
        <v>466</v>
      </c>
      <c r="N1701">
        <v>1</v>
      </c>
      <c r="O1701">
        <v>4</v>
      </c>
      <c r="P1701">
        <v>582</v>
      </c>
      <c r="Q1701">
        <v>344</v>
      </c>
      <c r="R1701">
        <v>230</v>
      </c>
      <c r="S1701">
        <v>30.24</v>
      </c>
    </row>
    <row r="1702" spans="12:19" x14ac:dyDescent="0.2">
      <c r="L1702" t="s">
        <v>374</v>
      </c>
      <c r="M1702">
        <v>477</v>
      </c>
      <c r="N1702">
        <v>1</v>
      </c>
      <c r="O1702">
        <v>4</v>
      </c>
      <c r="P1702">
        <v>582</v>
      </c>
      <c r="Q1702">
        <v>344</v>
      </c>
      <c r="R1702">
        <v>230</v>
      </c>
      <c r="S1702">
        <v>12.14</v>
      </c>
    </row>
    <row r="1703" spans="12:19" x14ac:dyDescent="0.2">
      <c r="L1703" t="s">
        <v>374</v>
      </c>
      <c r="M1703">
        <v>480</v>
      </c>
      <c r="N1703">
        <v>1</v>
      </c>
      <c r="O1703">
        <v>4</v>
      </c>
      <c r="P1703">
        <v>582</v>
      </c>
      <c r="Q1703">
        <v>344</v>
      </c>
      <c r="R1703">
        <v>230</v>
      </c>
      <c r="S1703">
        <v>60.03</v>
      </c>
    </row>
    <row r="1704" spans="12:19" x14ac:dyDescent="0.2">
      <c r="L1704" t="s">
        <v>374</v>
      </c>
      <c r="M1704">
        <v>492</v>
      </c>
      <c r="N1704">
        <v>1</v>
      </c>
      <c r="O1704">
        <v>4</v>
      </c>
      <c r="P1704">
        <v>582</v>
      </c>
      <c r="Q1704">
        <v>344</v>
      </c>
      <c r="R1704">
        <v>230</v>
      </c>
      <c r="S1704">
        <v>32.76</v>
      </c>
    </row>
    <row r="1705" spans="12:19" x14ac:dyDescent="0.2">
      <c r="L1705" t="s">
        <v>374</v>
      </c>
      <c r="M1705">
        <v>495</v>
      </c>
      <c r="N1705">
        <v>1</v>
      </c>
      <c r="O1705">
        <v>4</v>
      </c>
      <c r="P1705">
        <v>582</v>
      </c>
      <c r="Q1705">
        <v>344</v>
      </c>
      <c r="R1705">
        <v>230</v>
      </c>
      <c r="S1705">
        <v>46.64</v>
      </c>
    </row>
    <row r="1706" spans="12:19" x14ac:dyDescent="0.2">
      <c r="L1706" t="s">
        <v>374</v>
      </c>
      <c r="M1706">
        <v>507</v>
      </c>
      <c r="N1706">
        <v>1</v>
      </c>
      <c r="O1706">
        <v>4</v>
      </c>
      <c r="P1706">
        <v>582</v>
      </c>
      <c r="Q1706">
        <v>344</v>
      </c>
      <c r="R1706">
        <v>230</v>
      </c>
      <c r="S1706">
        <v>1.1399999999999999</v>
      </c>
    </row>
    <row r="1707" spans="12:19" x14ac:dyDescent="0.2">
      <c r="L1707" t="s">
        <v>374</v>
      </c>
      <c r="M1707">
        <v>508</v>
      </c>
      <c r="N1707">
        <v>1</v>
      </c>
      <c r="O1707">
        <v>4</v>
      </c>
      <c r="P1707">
        <v>582</v>
      </c>
      <c r="Q1707">
        <v>344</v>
      </c>
      <c r="R1707">
        <v>230</v>
      </c>
      <c r="S1707">
        <v>32.15</v>
      </c>
    </row>
    <row r="1708" spans="12:19" x14ac:dyDescent="0.2">
      <c r="L1708" t="s">
        <v>374</v>
      </c>
      <c r="M1708">
        <v>518</v>
      </c>
      <c r="N1708">
        <v>1</v>
      </c>
      <c r="O1708">
        <v>4</v>
      </c>
      <c r="P1708">
        <v>582</v>
      </c>
      <c r="Q1708">
        <v>344</v>
      </c>
      <c r="R1708">
        <v>230</v>
      </c>
      <c r="S1708">
        <v>25.55</v>
      </c>
    </row>
    <row r="1709" spans="12:19" x14ac:dyDescent="0.2">
      <c r="L1709" t="s">
        <v>374</v>
      </c>
      <c r="M1709">
        <v>531</v>
      </c>
      <c r="N1709">
        <v>1</v>
      </c>
      <c r="O1709">
        <v>4</v>
      </c>
      <c r="P1709">
        <v>582</v>
      </c>
      <c r="Q1709">
        <v>344</v>
      </c>
      <c r="R1709">
        <v>230</v>
      </c>
      <c r="S1709">
        <v>16.559999999999999</v>
      </c>
    </row>
    <row r="1710" spans="12:19" x14ac:dyDescent="0.2">
      <c r="L1710" t="s">
        <v>374</v>
      </c>
      <c r="M1710">
        <v>533</v>
      </c>
      <c r="N1710">
        <v>1</v>
      </c>
      <c r="O1710">
        <v>4</v>
      </c>
      <c r="P1710">
        <v>582</v>
      </c>
      <c r="Q1710">
        <v>344</v>
      </c>
      <c r="R1710">
        <v>230</v>
      </c>
      <c r="S1710">
        <v>22.41</v>
      </c>
    </row>
    <row r="1711" spans="12:19" x14ac:dyDescent="0.2">
      <c r="L1711" t="s">
        <v>374</v>
      </c>
      <c r="M1711">
        <v>534</v>
      </c>
      <c r="N1711">
        <v>1</v>
      </c>
      <c r="O1711">
        <v>4</v>
      </c>
      <c r="P1711">
        <v>582</v>
      </c>
      <c r="Q1711">
        <v>344</v>
      </c>
      <c r="R1711">
        <v>230</v>
      </c>
      <c r="S1711">
        <v>36.97</v>
      </c>
    </row>
    <row r="1712" spans="12:19" x14ac:dyDescent="0.2">
      <c r="L1712" t="s">
        <v>374</v>
      </c>
      <c r="M1712">
        <v>549</v>
      </c>
      <c r="N1712">
        <v>1</v>
      </c>
      <c r="O1712">
        <v>4</v>
      </c>
      <c r="P1712">
        <v>582</v>
      </c>
      <c r="Q1712">
        <v>344</v>
      </c>
      <c r="R1712">
        <v>230</v>
      </c>
      <c r="S1712">
        <v>102</v>
      </c>
    </row>
    <row r="1713" spans="12:19" x14ac:dyDescent="0.2">
      <c r="L1713" t="s">
        <v>374</v>
      </c>
      <c r="M1713">
        <v>550</v>
      </c>
      <c r="N1713">
        <v>1</v>
      </c>
      <c r="O1713">
        <v>4</v>
      </c>
      <c r="P1713">
        <v>582</v>
      </c>
      <c r="Q1713">
        <v>344</v>
      </c>
      <c r="R1713">
        <v>230</v>
      </c>
      <c r="S1713">
        <v>100.44</v>
      </c>
    </row>
    <row r="1714" spans="12:19" x14ac:dyDescent="0.2">
      <c r="L1714" t="s">
        <v>374</v>
      </c>
      <c r="M1714">
        <v>564</v>
      </c>
      <c r="N1714">
        <v>1</v>
      </c>
      <c r="O1714">
        <v>4</v>
      </c>
      <c r="P1714">
        <v>582</v>
      </c>
      <c r="Q1714">
        <v>344</v>
      </c>
      <c r="R1714">
        <v>230</v>
      </c>
      <c r="S1714">
        <v>161.68</v>
      </c>
    </row>
    <row r="1715" spans="12:19" x14ac:dyDescent="0.2">
      <c r="L1715" t="s">
        <v>374</v>
      </c>
      <c r="M1715">
        <v>577</v>
      </c>
      <c r="N1715">
        <v>1</v>
      </c>
      <c r="O1715">
        <v>4</v>
      </c>
      <c r="P1715">
        <v>582</v>
      </c>
      <c r="Q1715">
        <v>344</v>
      </c>
      <c r="R1715">
        <v>230</v>
      </c>
      <c r="S1715">
        <v>27.26</v>
      </c>
    </row>
    <row r="1716" spans="12:19" x14ac:dyDescent="0.2">
      <c r="L1716" t="s">
        <v>374</v>
      </c>
      <c r="M1716">
        <v>581</v>
      </c>
      <c r="N1716">
        <v>1</v>
      </c>
      <c r="O1716">
        <v>4</v>
      </c>
      <c r="P1716">
        <v>582</v>
      </c>
      <c r="Q1716">
        <v>344</v>
      </c>
      <c r="R1716">
        <v>230</v>
      </c>
      <c r="S1716">
        <v>3.42</v>
      </c>
    </row>
    <row r="1717" spans="12:19" x14ac:dyDescent="0.2">
      <c r="L1717" t="s">
        <v>374</v>
      </c>
      <c r="M1717">
        <v>600</v>
      </c>
      <c r="N1717">
        <v>1</v>
      </c>
      <c r="O1717">
        <v>4</v>
      </c>
      <c r="P1717">
        <v>582</v>
      </c>
      <c r="Q1717">
        <v>344</v>
      </c>
      <c r="R1717">
        <v>230</v>
      </c>
      <c r="S1717">
        <v>28.28</v>
      </c>
    </row>
    <row r="1718" spans="12:19" x14ac:dyDescent="0.2">
      <c r="L1718" t="s">
        <v>374</v>
      </c>
      <c r="M1718">
        <v>621</v>
      </c>
      <c r="N1718">
        <v>1</v>
      </c>
      <c r="O1718">
        <v>4</v>
      </c>
      <c r="P1718">
        <v>582</v>
      </c>
      <c r="Q1718">
        <v>344</v>
      </c>
      <c r="R1718">
        <v>230</v>
      </c>
      <c r="S1718">
        <v>210.28</v>
      </c>
    </row>
    <row r="1719" spans="12:19" x14ac:dyDescent="0.2">
      <c r="L1719" t="s">
        <v>374</v>
      </c>
      <c r="M1719">
        <v>623</v>
      </c>
      <c r="N1719">
        <v>1</v>
      </c>
      <c r="O1719">
        <v>4</v>
      </c>
      <c r="P1719">
        <v>582</v>
      </c>
      <c r="Q1719">
        <v>344</v>
      </c>
      <c r="R1719">
        <v>230</v>
      </c>
      <c r="S1719">
        <v>155.82</v>
      </c>
    </row>
    <row r="1720" spans="12:19" x14ac:dyDescent="0.2">
      <c r="L1720" t="s">
        <v>374</v>
      </c>
      <c r="M1720">
        <v>627</v>
      </c>
      <c r="N1720">
        <v>1</v>
      </c>
      <c r="O1720">
        <v>4</v>
      </c>
      <c r="P1720">
        <v>582</v>
      </c>
      <c r="Q1720">
        <v>344</v>
      </c>
      <c r="R1720">
        <v>230</v>
      </c>
      <c r="S1720">
        <v>1.8</v>
      </c>
    </row>
    <row r="1721" spans="12:19" x14ac:dyDescent="0.2">
      <c r="L1721" t="s">
        <v>374</v>
      </c>
      <c r="M1721">
        <v>628</v>
      </c>
      <c r="N1721">
        <v>1</v>
      </c>
      <c r="O1721">
        <v>4</v>
      </c>
      <c r="P1721">
        <v>582</v>
      </c>
      <c r="Q1721">
        <v>344</v>
      </c>
      <c r="R1721">
        <v>230</v>
      </c>
      <c r="S1721">
        <v>5.16</v>
      </c>
    </row>
    <row r="1722" spans="12:19" x14ac:dyDescent="0.2">
      <c r="L1722" t="s">
        <v>374</v>
      </c>
      <c r="M1722">
        <v>656</v>
      </c>
      <c r="N1722">
        <v>1</v>
      </c>
      <c r="O1722">
        <v>4</v>
      </c>
      <c r="P1722">
        <v>582</v>
      </c>
      <c r="Q1722">
        <v>344</v>
      </c>
      <c r="R1722">
        <v>230</v>
      </c>
      <c r="S1722">
        <v>121.38</v>
      </c>
    </row>
    <row r="1723" spans="12:19" x14ac:dyDescent="0.2">
      <c r="L1723" t="s">
        <v>374</v>
      </c>
      <c r="M1723">
        <v>659</v>
      </c>
      <c r="N1723">
        <v>1</v>
      </c>
      <c r="O1723">
        <v>4</v>
      </c>
      <c r="P1723">
        <v>582</v>
      </c>
      <c r="Q1723">
        <v>344</v>
      </c>
      <c r="R1723">
        <v>230</v>
      </c>
      <c r="S1723">
        <v>180.5</v>
      </c>
    </row>
    <row r="1724" spans="12:19" x14ac:dyDescent="0.2">
      <c r="L1724" t="s">
        <v>374</v>
      </c>
      <c r="M1724">
        <v>701</v>
      </c>
      <c r="N1724">
        <v>1</v>
      </c>
      <c r="O1724">
        <v>4</v>
      </c>
      <c r="P1724">
        <v>582</v>
      </c>
      <c r="Q1724">
        <v>344</v>
      </c>
      <c r="R1724">
        <v>230</v>
      </c>
      <c r="S1724">
        <v>98.4</v>
      </c>
    </row>
    <row r="1725" spans="12:19" x14ac:dyDescent="0.2">
      <c r="L1725" t="s">
        <v>374</v>
      </c>
      <c r="M1725">
        <v>709</v>
      </c>
      <c r="N1725">
        <v>1</v>
      </c>
      <c r="O1725">
        <v>4</v>
      </c>
      <c r="P1725">
        <v>582</v>
      </c>
      <c r="Q1725">
        <v>344</v>
      </c>
      <c r="R1725">
        <v>230</v>
      </c>
      <c r="S1725">
        <v>237.36</v>
      </c>
    </row>
    <row r="1726" spans="12:19" x14ac:dyDescent="0.2">
      <c r="L1726" t="s">
        <v>374</v>
      </c>
      <c r="M1726">
        <v>717</v>
      </c>
      <c r="N1726">
        <v>1</v>
      </c>
      <c r="O1726">
        <v>4</v>
      </c>
      <c r="P1726">
        <v>582</v>
      </c>
      <c r="Q1726">
        <v>344</v>
      </c>
      <c r="R1726">
        <v>230</v>
      </c>
      <c r="S1726">
        <v>19.2</v>
      </c>
    </row>
    <row r="1727" spans="12:19" x14ac:dyDescent="0.2">
      <c r="L1727" t="s">
        <v>374</v>
      </c>
      <c r="M1727">
        <v>719</v>
      </c>
      <c r="N1727">
        <v>1</v>
      </c>
      <c r="O1727">
        <v>4</v>
      </c>
      <c r="P1727">
        <v>582</v>
      </c>
      <c r="Q1727">
        <v>344</v>
      </c>
      <c r="R1727">
        <v>230</v>
      </c>
      <c r="S1727">
        <v>202.08</v>
      </c>
    </row>
    <row r="1728" spans="12:19" x14ac:dyDescent="0.2">
      <c r="L1728" t="s">
        <v>374</v>
      </c>
      <c r="M1728">
        <v>721</v>
      </c>
      <c r="N1728">
        <v>1</v>
      </c>
      <c r="O1728">
        <v>4</v>
      </c>
      <c r="P1728">
        <v>582</v>
      </c>
      <c r="Q1728">
        <v>344</v>
      </c>
      <c r="R1728">
        <v>230</v>
      </c>
      <c r="S1728">
        <v>423.15</v>
      </c>
    </row>
    <row r="1729" spans="12:19" x14ac:dyDescent="0.2">
      <c r="L1729" t="s">
        <v>374</v>
      </c>
      <c r="M1729">
        <v>727</v>
      </c>
      <c r="N1729">
        <v>1</v>
      </c>
      <c r="O1729">
        <v>4</v>
      </c>
      <c r="P1729">
        <v>582</v>
      </c>
      <c r="Q1729">
        <v>344</v>
      </c>
      <c r="R1729">
        <v>230</v>
      </c>
      <c r="S1729">
        <v>284.29000000000002</v>
      </c>
    </row>
    <row r="1730" spans="12:19" x14ac:dyDescent="0.2">
      <c r="L1730" t="s">
        <v>374</v>
      </c>
      <c r="M1730">
        <v>739</v>
      </c>
      <c r="N1730">
        <v>1</v>
      </c>
      <c r="O1730">
        <v>4</v>
      </c>
      <c r="P1730">
        <v>582</v>
      </c>
      <c r="Q1730">
        <v>344</v>
      </c>
      <c r="R1730">
        <v>230</v>
      </c>
      <c r="S1730">
        <v>14.16</v>
      </c>
    </row>
    <row r="1731" spans="12:19" x14ac:dyDescent="0.2">
      <c r="L1731" t="s">
        <v>374</v>
      </c>
      <c r="M1731">
        <v>740</v>
      </c>
      <c r="N1731">
        <v>1</v>
      </c>
      <c r="O1731">
        <v>4</v>
      </c>
      <c r="P1731">
        <v>582</v>
      </c>
      <c r="Q1731">
        <v>344</v>
      </c>
      <c r="R1731">
        <v>230</v>
      </c>
      <c r="S1731">
        <v>30.71</v>
      </c>
    </row>
    <row r="1732" spans="12:19" x14ac:dyDescent="0.2">
      <c r="L1732" t="s">
        <v>374</v>
      </c>
      <c r="M1732">
        <v>741</v>
      </c>
      <c r="N1732">
        <v>1</v>
      </c>
      <c r="O1732">
        <v>4</v>
      </c>
      <c r="P1732">
        <v>582</v>
      </c>
      <c r="Q1732">
        <v>344</v>
      </c>
      <c r="R1732">
        <v>230</v>
      </c>
      <c r="S1732">
        <v>125.33</v>
      </c>
    </row>
    <row r="1733" spans="12:19" x14ac:dyDescent="0.2">
      <c r="L1733" t="s">
        <v>374</v>
      </c>
      <c r="M1733">
        <v>742</v>
      </c>
      <c r="N1733">
        <v>1</v>
      </c>
      <c r="O1733">
        <v>4</v>
      </c>
      <c r="P1733">
        <v>582</v>
      </c>
      <c r="Q1733">
        <v>344</v>
      </c>
      <c r="R1733">
        <v>230</v>
      </c>
      <c r="S1733">
        <v>289.07</v>
      </c>
    </row>
    <row r="1734" spans="12:19" x14ac:dyDescent="0.2">
      <c r="L1734" t="s">
        <v>374</v>
      </c>
      <c r="M1734">
        <v>745</v>
      </c>
      <c r="N1734">
        <v>1</v>
      </c>
      <c r="O1734">
        <v>4</v>
      </c>
      <c r="P1734">
        <v>582</v>
      </c>
      <c r="Q1734">
        <v>344</v>
      </c>
      <c r="R1734">
        <v>230</v>
      </c>
      <c r="S1734">
        <v>75.92</v>
      </c>
    </row>
    <row r="1735" spans="12:19" x14ac:dyDescent="0.2">
      <c r="L1735" t="s">
        <v>374</v>
      </c>
      <c r="M1735">
        <v>756</v>
      </c>
      <c r="N1735">
        <v>1</v>
      </c>
      <c r="O1735">
        <v>4</v>
      </c>
      <c r="P1735">
        <v>582</v>
      </c>
      <c r="Q1735">
        <v>344</v>
      </c>
      <c r="R1735">
        <v>230</v>
      </c>
      <c r="S1735">
        <v>34.409999999999997</v>
      </c>
    </row>
    <row r="1736" spans="12:19" x14ac:dyDescent="0.2">
      <c r="L1736" t="s">
        <v>374</v>
      </c>
      <c r="M1736">
        <v>761</v>
      </c>
      <c r="N1736">
        <v>1</v>
      </c>
      <c r="O1736">
        <v>4</v>
      </c>
      <c r="P1736">
        <v>582</v>
      </c>
      <c r="Q1736">
        <v>344</v>
      </c>
      <c r="R1736">
        <v>230</v>
      </c>
      <c r="S1736">
        <v>142.58000000000001</v>
      </c>
    </row>
    <row r="1737" spans="12:19" x14ac:dyDescent="0.2">
      <c r="L1737" t="s">
        <v>374</v>
      </c>
      <c r="M1737">
        <v>777</v>
      </c>
      <c r="N1737">
        <v>1</v>
      </c>
      <c r="O1737">
        <v>4</v>
      </c>
      <c r="P1737">
        <v>582</v>
      </c>
      <c r="Q1737">
        <v>344</v>
      </c>
      <c r="R1737">
        <v>230</v>
      </c>
      <c r="S1737">
        <v>9.57</v>
      </c>
    </row>
    <row r="1738" spans="12:19" x14ac:dyDescent="0.2">
      <c r="L1738" t="s">
        <v>374</v>
      </c>
      <c r="M1738">
        <v>811</v>
      </c>
      <c r="N1738">
        <v>1</v>
      </c>
      <c r="O1738">
        <v>4</v>
      </c>
      <c r="P1738">
        <v>582</v>
      </c>
      <c r="Q1738">
        <v>344</v>
      </c>
      <c r="R1738">
        <v>230</v>
      </c>
      <c r="S1738">
        <v>54.33</v>
      </c>
    </row>
    <row r="1739" spans="12:19" x14ac:dyDescent="0.2">
      <c r="L1739" t="s">
        <v>374</v>
      </c>
      <c r="M1739">
        <v>813</v>
      </c>
      <c r="N1739">
        <v>1</v>
      </c>
      <c r="O1739">
        <v>4</v>
      </c>
      <c r="P1739">
        <v>582</v>
      </c>
      <c r="Q1739">
        <v>344</v>
      </c>
      <c r="R1739">
        <v>230</v>
      </c>
      <c r="S1739">
        <v>37.090000000000003</v>
      </c>
    </row>
    <row r="1740" spans="12:19" x14ac:dyDescent="0.2">
      <c r="L1740" t="s">
        <v>374</v>
      </c>
      <c r="M1740">
        <v>832</v>
      </c>
      <c r="N1740">
        <v>1</v>
      </c>
      <c r="O1740">
        <v>4</v>
      </c>
      <c r="P1740">
        <v>582</v>
      </c>
      <c r="Q1740">
        <v>344</v>
      </c>
      <c r="R1740">
        <v>230</v>
      </c>
      <c r="S1740">
        <v>3.26</v>
      </c>
    </row>
    <row r="1741" spans="12:19" x14ac:dyDescent="0.2">
      <c r="L1741" t="s">
        <v>374</v>
      </c>
      <c r="M1741">
        <v>833</v>
      </c>
      <c r="N1741">
        <v>1</v>
      </c>
      <c r="O1741">
        <v>4</v>
      </c>
      <c r="P1741">
        <v>582</v>
      </c>
      <c r="Q1741">
        <v>344</v>
      </c>
      <c r="R1741">
        <v>230</v>
      </c>
      <c r="S1741">
        <v>214.51</v>
      </c>
    </row>
    <row r="1742" spans="12:19" x14ac:dyDescent="0.2">
      <c r="L1742" t="s">
        <v>374</v>
      </c>
      <c r="M1742">
        <v>834</v>
      </c>
      <c r="N1742">
        <v>1</v>
      </c>
      <c r="O1742">
        <v>4</v>
      </c>
      <c r="P1742">
        <v>582</v>
      </c>
      <c r="Q1742">
        <v>344</v>
      </c>
      <c r="R1742">
        <v>230</v>
      </c>
      <c r="S1742">
        <v>219.91</v>
      </c>
    </row>
    <row r="1743" spans="12:19" x14ac:dyDescent="0.2">
      <c r="L1743" t="s">
        <v>374</v>
      </c>
      <c r="M1743">
        <v>836</v>
      </c>
      <c r="N1743">
        <v>1</v>
      </c>
      <c r="O1743">
        <v>4</v>
      </c>
      <c r="P1743">
        <v>582</v>
      </c>
      <c r="Q1743">
        <v>344</v>
      </c>
      <c r="R1743">
        <v>230</v>
      </c>
      <c r="S1743">
        <v>0.48</v>
      </c>
    </row>
    <row r="1744" spans="12:19" x14ac:dyDescent="0.2">
      <c r="L1744" t="s">
        <v>374</v>
      </c>
      <c r="M1744">
        <v>837</v>
      </c>
      <c r="N1744">
        <v>1</v>
      </c>
      <c r="O1744">
        <v>4</v>
      </c>
      <c r="P1744">
        <v>582</v>
      </c>
      <c r="Q1744">
        <v>344</v>
      </c>
      <c r="R1744">
        <v>230</v>
      </c>
      <c r="S1744">
        <v>47.28</v>
      </c>
    </row>
    <row r="1745" spans="12:19" x14ac:dyDescent="0.2">
      <c r="L1745" t="s">
        <v>374</v>
      </c>
      <c r="M1745">
        <v>846</v>
      </c>
      <c r="N1745">
        <v>1</v>
      </c>
      <c r="O1745">
        <v>4</v>
      </c>
      <c r="P1745">
        <v>582</v>
      </c>
      <c r="Q1745">
        <v>344</v>
      </c>
      <c r="R1745">
        <v>230</v>
      </c>
      <c r="S1745">
        <v>5.4</v>
      </c>
    </row>
    <row r="1746" spans="12:19" x14ac:dyDescent="0.2">
      <c r="L1746" t="s">
        <v>374</v>
      </c>
      <c r="M1746">
        <v>850</v>
      </c>
      <c r="N1746">
        <v>1</v>
      </c>
      <c r="O1746">
        <v>4</v>
      </c>
      <c r="P1746">
        <v>582</v>
      </c>
      <c r="Q1746">
        <v>344</v>
      </c>
      <c r="R1746">
        <v>230</v>
      </c>
      <c r="S1746">
        <v>3.22</v>
      </c>
    </row>
    <row r="1747" spans="12:19" x14ac:dyDescent="0.2">
      <c r="L1747" t="s">
        <v>374</v>
      </c>
      <c r="M1747">
        <v>861</v>
      </c>
      <c r="N1747">
        <v>1</v>
      </c>
      <c r="O1747">
        <v>4</v>
      </c>
      <c r="P1747">
        <v>582</v>
      </c>
      <c r="Q1747">
        <v>344</v>
      </c>
      <c r="R1747">
        <v>230</v>
      </c>
      <c r="S1747">
        <v>92.63</v>
      </c>
    </row>
    <row r="1748" spans="12:19" x14ac:dyDescent="0.2">
      <c r="L1748" t="s">
        <v>374</v>
      </c>
      <c r="M1748">
        <v>876</v>
      </c>
      <c r="N1748">
        <v>1</v>
      </c>
      <c r="O1748">
        <v>4</v>
      </c>
      <c r="P1748">
        <v>582</v>
      </c>
      <c r="Q1748">
        <v>344</v>
      </c>
      <c r="R1748">
        <v>230</v>
      </c>
      <c r="S1748">
        <v>112.53</v>
      </c>
    </row>
    <row r="1749" spans="12:19" x14ac:dyDescent="0.2">
      <c r="L1749" t="s">
        <v>374</v>
      </c>
      <c r="M1749">
        <v>877</v>
      </c>
      <c r="N1749">
        <v>1</v>
      </c>
      <c r="O1749">
        <v>4</v>
      </c>
      <c r="P1749">
        <v>582</v>
      </c>
      <c r="Q1749">
        <v>344</v>
      </c>
      <c r="R1749">
        <v>230</v>
      </c>
      <c r="S1749">
        <v>451.63</v>
      </c>
    </row>
    <row r="1750" spans="12:19" x14ac:dyDescent="0.2">
      <c r="L1750" t="s">
        <v>374</v>
      </c>
      <c r="M1750">
        <v>882</v>
      </c>
      <c r="N1750">
        <v>1</v>
      </c>
      <c r="O1750">
        <v>4</v>
      </c>
      <c r="P1750">
        <v>582</v>
      </c>
      <c r="Q1750">
        <v>344</v>
      </c>
      <c r="R1750">
        <v>230</v>
      </c>
      <c r="S1750">
        <v>10.199999999999999</v>
      </c>
    </row>
    <row r="1751" spans="12:19" x14ac:dyDescent="0.2">
      <c r="L1751" t="s">
        <v>374</v>
      </c>
      <c r="M1751">
        <v>885</v>
      </c>
      <c r="N1751">
        <v>1</v>
      </c>
      <c r="O1751">
        <v>4</v>
      </c>
      <c r="P1751">
        <v>582</v>
      </c>
      <c r="Q1751">
        <v>344</v>
      </c>
      <c r="R1751">
        <v>230</v>
      </c>
      <c r="S1751">
        <v>169</v>
      </c>
    </row>
    <row r="1752" spans="12:19" x14ac:dyDescent="0.2">
      <c r="L1752" t="s">
        <v>374</v>
      </c>
      <c r="M1752">
        <v>911</v>
      </c>
      <c r="N1752">
        <v>1</v>
      </c>
      <c r="O1752">
        <v>4</v>
      </c>
      <c r="P1752">
        <v>582</v>
      </c>
      <c r="Q1752">
        <v>344</v>
      </c>
      <c r="R1752">
        <v>230</v>
      </c>
      <c r="S1752">
        <v>19.059999999999999</v>
      </c>
    </row>
    <row r="1753" spans="12:19" x14ac:dyDescent="0.2">
      <c r="L1753" t="s">
        <v>374</v>
      </c>
      <c r="M1753">
        <v>2125</v>
      </c>
      <c r="N1753">
        <v>1</v>
      </c>
      <c r="O1753">
        <v>4</v>
      </c>
      <c r="P1753">
        <v>582</v>
      </c>
      <c r="Q1753">
        <v>344</v>
      </c>
      <c r="R1753">
        <v>230</v>
      </c>
      <c r="S1753">
        <v>5.69</v>
      </c>
    </row>
    <row r="1754" spans="12:19" x14ac:dyDescent="0.2">
      <c r="L1754" t="s">
        <v>374</v>
      </c>
      <c r="M1754">
        <v>2134</v>
      </c>
      <c r="N1754">
        <v>1</v>
      </c>
      <c r="O1754">
        <v>4</v>
      </c>
      <c r="P1754">
        <v>582</v>
      </c>
      <c r="Q1754">
        <v>344</v>
      </c>
      <c r="R1754">
        <v>230</v>
      </c>
      <c r="S1754">
        <v>48.42</v>
      </c>
    </row>
    <row r="1755" spans="12:19" x14ac:dyDescent="0.2">
      <c r="L1755" t="s">
        <v>374</v>
      </c>
      <c r="M1755">
        <v>2135</v>
      </c>
      <c r="N1755">
        <v>1</v>
      </c>
      <c r="O1755">
        <v>4</v>
      </c>
      <c r="P1755">
        <v>582</v>
      </c>
      <c r="Q1755">
        <v>344</v>
      </c>
      <c r="R1755">
        <v>230</v>
      </c>
      <c r="S1755">
        <v>17.149999999999999</v>
      </c>
    </row>
    <row r="1756" spans="12:19" x14ac:dyDescent="0.2">
      <c r="L1756" t="s">
        <v>374</v>
      </c>
      <c r="M1756">
        <v>2142</v>
      </c>
      <c r="N1756">
        <v>1</v>
      </c>
      <c r="O1756">
        <v>4</v>
      </c>
      <c r="P1756">
        <v>582</v>
      </c>
      <c r="Q1756">
        <v>344</v>
      </c>
      <c r="R1756">
        <v>230</v>
      </c>
      <c r="S1756">
        <v>108.7</v>
      </c>
    </row>
    <row r="1757" spans="12:19" x14ac:dyDescent="0.2">
      <c r="L1757" t="s">
        <v>374</v>
      </c>
      <c r="M1757">
        <v>2144</v>
      </c>
      <c r="N1757">
        <v>1</v>
      </c>
      <c r="O1757">
        <v>4</v>
      </c>
      <c r="P1757">
        <v>582</v>
      </c>
      <c r="Q1757">
        <v>344</v>
      </c>
      <c r="R1757">
        <v>230</v>
      </c>
      <c r="S1757">
        <v>59.65</v>
      </c>
    </row>
    <row r="1758" spans="12:19" x14ac:dyDescent="0.2">
      <c r="L1758" t="s">
        <v>374</v>
      </c>
      <c r="M1758">
        <v>2159</v>
      </c>
      <c r="N1758">
        <v>1</v>
      </c>
      <c r="O1758">
        <v>4</v>
      </c>
      <c r="P1758">
        <v>582</v>
      </c>
      <c r="Q1758">
        <v>344</v>
      </c>
      <c r="R1758">
        <v>230</v>
      </c>
      <c r="S1758">
        <v>10.199999999999999</v>
      </c>
    </row>
    <row r="1759" spans="12:19" x14ac:dyDescent="0.2">
      <c r="L1759" t="s">
        <v>374</v>
      </c>
      <c r="M1759">
        <v>2168</v>
      </c>
      <c r="N1759">
        <v>1</v>
      </c>
      <c r="O1759">
        <v>4</v>
      </c>
      <c r="P1759">
        <v>582</v>
      </c>
      <c r="Q1759">
        <v>344</v>
      </c>
      <c r="R1759">
        <v>230</v>
      </c>
      <c r="S1759">
        <v>38.36</v>
      </c>
    </row>
    <row r="1760" spans="12:19" x14ac:dyDescent="0.2">
      <c r="L1760" t="s">
        <v>374</v>
      </c>
      <c r="M1760">
        <v>2169</v>
      </c>
      <c r="N1760">
        <v>1</v>
      </c>
      <c r="O1760">
        <v>4</v>
      </c>
      <c r="P1760">
        <v>582</v>
      </c>
      <c r="Q1760">
        <v>344</v>
      </c>
      <c r="R1760">
        <v>230</v>
      </c>
      <c r="S1760">
        <v>117.7</v>
      </c>
    </row>
    <row r="1761" spans="12:19" x14ac:dyDescent="0.2">
      <c r="L1761" t="s">
        <v>374</v>
      </c>
      <c r="M1761">
        <v>2174</v>
      </c>
      <c r="N1761">
        <v>1</v>
      </c>
      <c r="O1761">
        <v>4</v>
      </c>
      <c r="P1761">
        <v>582</v>
      </c>
      <c r="Q1761">
        <v>344</v>
      </c>
      <c r="R1761">
        <v>230</v>
      </c>
      <c r="S1761">
        <v>34.46</v>
      </c>
    </row>
    <row r="1762" spans="12:19" x14ac:dyDescent="0.2">
      <c r="L1762" t="s">
        <v>374</v>
      </c>
      <c r="M1762">
        <v>2365</v>
      </c>
      <c r="N1762">
        <v>1</v>
      </c>
      <c r="O1762">
        <v>4</v>
      </c>
      <c r="P1762">
        <v>582</v>
      </c>
      <c r="Q1762">
        <v>344</v>
      </c>
      <c r="R1762">
        <v>230</v>
      </c>
      <c r="S1762">
        <v>2.8</v>
      </c>
    </row>
    <row r="1763" spans="12:19" x14ac:dyDescent="0.2">
      <c r="L1763" t="s">
        <v>374</v>
      </c>
      <c r="M1763">
        <v>2396</v>
      </c>
      <c r="N1763">
        <v>1</v>
      </c>
      <c r="O1763">
        <v>4</v>
      </c>
      <c r="P1763">
        <v>582</v>
      </c>
      <c r="Q1763">
        <v>344</v>
      </c>
      <c r="R1763">
        <v>230</v>
      </c>
      <c r="S1763">
        <v>70.95</v>
      </c>
    </row>
    <row r="1764" spans="12:19" x14ac:dyDescent="0.2">
      <c r="L1764" t="s">
        <v>374</v>
      </c>
      <c r="M1764">
        <v>2397</v>
      </c>
      <c r="N1764">
        <v>1</v>
      </c>
      <c r="O1764">
        <v>4</v>
      </c>
      <c r="P1764">
        <v>582</v>
      </c>
      <c r="Q1764">
        <v>344</v>
      </c>
      <c r="R1764">
        <v>230</v>
      </c>
      <c r="S1764">
        <v>7.9</v>
      </c>
    </row>
    <row r="1765" spans="12:19" x14ac:dyDescent="0.2">
      <c r="L1765" t="s">
        <v>374</v>
      </c>
      <c r="M1765">
        <v>2536</v>
      </c>
      <c r="N1765">
        <v>1</v>
      </c>
      <c r="O1765">
        <v>4</v>
      </c>
      <c r="P1765">
        <v>582</v>
      </c>
      <c r="Q1765">
        <v>344</v>
      </c>
      <c r="R1765">
        <v>230</v>
      </c>
      <c r="S1765">
        <v>11.96</v>
      </c>
    </row>
    <row r="1766" spans="12:19" x14ac:dyDescent="0.2">
      <c r="L1766" t="s">
        <v>374</v>
      </c>
      <c r="M1766">
        <v>2609</v>
      </c>
      <c r="N1766">
        <v>1</v>
      </c>
      <c r="O1766">
        <v>4</v>
      </c>
      <c r="P1766">
        <v>582</v>
      </c>
      <c r="Q1766">
        <v>344</v>
      </c>
      <c r="R1766">
        <v>230</v>
      </c>
      <c r="S1766">
        <v>22</v>
      </c>
    </row>
    <row r="1767" spans="12:19" x14ac:dyDescent="0.2">
      <c r="L1767" t="s">
        <v>374</v>
      </c>
      <c r="M1767">
        <v>2687</v>
      </c>
      <c r="N1767">
        <v>1</v>
      </c>
      <c r="O1767">
        <v>4</v>
      </c>
      <c r="P1767">
        <v>582</v>
      </c>
      <c r="Q1767">
        <v>344</v>
      </c>
      <c r="R1767">
        <v>230</v>
      </c>
      <c r="S1767">
        <v>971.88</v>
      </c>
    </row>
    <row r="1768" spans="12:19" x14ac:dyDescent="0.2">
      <c r="L1768" t="s">
        <v>374</v>
      </c>
      <c r="M1768">
        <v>2711</v>
      </c>
      <c r="N1768">
        <v>1</v>
      </c>
      <c r="O1768">
        <v>4</v>
      </c>
      <c r="P1768">
        <v>582</v>
      </c>
      <c r="Q1768">
        <v>344</v>
      </c>
      <c r="R1768">
        <v>230</v>
      </c>
      <c r="S1768">
        <v>71.400000000000006</v>
      </c>
    </row>
    <row r="1769" spans="12:19" x14ac:dyDescent="0.2">
      <c r="L1769" t="s">
        <v>374</v>
      </c>
      <c r="M1769">
        <v>2752</v>
      </c>
      <c r="N1769">
        <v>1</v>
      </c>
      <c r="O1769">
        <v>4</v>
      </c>
      <c r="P1769">
        <v>582</v>
      </c>
      <c r="Q1769">
        <v>344</v>
      </c>
      <c r="R1769">
        <v>230</v>
      </c>
      <c r="S1769">
        <v>5.07</v>
      </c>
    </row>
    <row r="1770" spans="12:19" x14ac:dyDescent="0.2">
      <c r="L1770" t="s">
        <v>374</v>
      </c>
      <c r="M1770">
        <v>2805</v>
      </c>
      <c r="N1770">
        <v>1</v>
      </c>
      <c r="O1770">
        <v>4</v>
      </c>
      <c r="P1770">
        <v>582</v>
      </c>
      <c r="Q1770">
        <v>344</v>
      </c>
      <c r="R1770">
        <v>230</v>
      </c>
      <c r="S1770">
        <v>1.64</v>
      </c>
    </row>
    <row r="1771" spans="12:19" x14ac:dyDescent="0.2">
      <c r="L1771" t="s">
        <v>374</v>
      </c>
      <c r="M1771">
        <v>2854</v>
      </c>
      <c r="N1771">
        <v>1</v>
      </c>
      <c r="O1771">
        <v>4</v>
      </c>
      <c r="P1771">
        <v>582</v>
      </c>
      <c r="Q1771">
        <v>344</v>
      </c>
      <c r="R1771">
        <v>230</v>
      </c>
      <c r="S1771">
        <v>37.82</v>
      </c>
    </row>
    <row r="1772" spans="12:19" x14ac:dyDescent="0.2">
      <c r="L1772" t="s">
        <v>374</v>
      </c>
      <c r="M1772">
        <v>2884</v>
      </c>
      <c r="N1772">
        <v>1</v>
      </c>
      <c r="O1772">
        <v>4</v>
      </c>
      <c r="P1772">
        <v>582</v>
      </c>
      <c r="Q1772">
        <v>344</v>
      </c>
      <c r="R1772">
        <v>230</v>
      </c>
      <c r="S1772">
        <v>52.25</v>
      </c>
    </row>
    <row r="1773" spans="12:19" x14ac:dyDescent="0.2">
      <c r="L1773" t="s">
        <v>374</v>
      </c>
      <c r="M1773">
        <v>2889</v>
      </c>
      <c r="N1773">
        <v>1</v>
      </c>
      <c r="O1773">
        <v>4</v>
      </c>
      <c r="P1773">
        <v>582</v>
      </c>
      <c r="Q1773">
        <v>344</v>
      </c>
      <c r="R1773">
        <v>230</v>
      </c>
      <c r="S1773">
        <v>1.26</v>
      </c>
    </row>
    <row r="1774" spans="12:19" x14ac:dyDescent="0.2">
      <c r="L1774" t="s">
        <v>374</v>
      </c>
      <c r="M1774">
        <v>2890</v>
      </c>
      <c r="N1774">
        <v>1</v>
      </c>
      <c r="O1774">
        <v>4</v>
      </c>
      <c r="P1774">
        <v>582</v>
      </c>
      <c r="Q1774">
        <v>344</v>
      </c>
      <c r="R1774">
        <v>230</v>
      </c>
      <c r="S1774">
        <v>5.48</v>
      </c>
    </row>
    <row r="1775" spans="12:19" x14ac:dyDescent="0.2">
      <c r="L1775" t="s">
        <v>374</v>
      </c>
      <c r="M1775">
        <v>2899</v>
      </c>
      <c r="N1775">
        <v>1</v>
      </c>
      <c r="O1775">
        <v>4</v>
      </c>
      <c r="P1775">
        <v>582</v>
      </c>
      <c r="Q1775">
        <v>344</v>
      </c>
      <c r="R1775">
        <v>230</v>
      </c>
      <c r="S1775">
        <v>146.69999999999999</v>
      </c>
    </row>
    <row r="1776" spans="12:19" x14ac:dyDescent="0.2">
      <c r="L1776" t="s">
        <v>374</v>
      </c>
      <c r="M1776">
        <v>831</v>
      </c>
      <c r="N1776">
        <v>1</v>
      </c>
      <c r="O1776">
        <v>4</v>
      </c>
      <c r="P1776">
        <v>582</v>
      </c>
      <c r="Q1776">
        <v>321</v>
      </c>
      <c r="R1776">
        <v>230</v>
      </c>
      <c r="S1776">
        <v>279.62</v>
      </c>
    </row>
    <row r="1777" spans="12:19" x14ac:dyDescent="0.2">
      <c r="L1777" t="s">
        <v>374</v>
      </c>
      <c r="M1777">
        <v>256</v>
      </c>
      <c r="N1777">
        <v>1</v>
      </c>
      <c r="O1777">
        <v>4</v>
      </c>
      <c r="P1777">
        <v>582</v>
      </c>
      <c r="Q1777">
        <v>0</v>
      </c>
      <c r="R1777">
        <v>230</v>
      </c>
      <c r="S1777">
        <v>15.11</v>
      </c>
    </row>
    <row r="1778" spans="12:19" x14ac:dyDescent="0.2">
      <c r="L1778" t="s">
        <v>374</v>
      </c>
      <c r="M1778">
        <v>625</v>
      </c>
      <c r="N1778">
        <v>1</v>
      </c>
      <c r="O1778">
        <v>4</v>
      </c>
      <c r="P1778">
        <v>582</v>
      </c>
      <c r="Q1778">
        <v>599</v>
      </c>
      <c r="R1778">
        <v>220</v>
      </c>
      <c r="S1778">
        <v>113209.24</v>
      </c>
    </row>
    <row r="1779" spans="12:19" x14ac:dyDescent="0.2">
      <c r="L1779" t="s">
        <v>374</v>
      </c>
      <c r="M1779">
        <v>81</v>
      </c>
      <c r="N1779">
        <v>1</v>
      </c>
      <c r="O1779">
        <v>4</v>
      </c>
      <c r="P1779">
        <v>581</v>
      </c>
      <c r="Q1779">
        <v>344</v>
      </c>
      <c r="R1779">
        <v>220</v>
      </c>
      <c r="S1779">
        <v>638.94000000000005</v>
      </c>
    </row>
    <row r="1780" spans="12:19" x14ac:dyDescent="0.2">
      <c r="L1780" t="s">
        <v>374</v>
      </c>
      <c r="M1780">
        <v>1</v>
      </c>
      <c r="N1780">
        <v>1</v>
      </c>
      <c r="O1780">
        <v>4</v>
      </c>
      <c r="P1780">
        <v>582</v>
      </c>
      <c r="Q1780">
        <v>344</v>
      </c>
      <c r="R1780">
        <v>220</v>
      </c>
      <c r="S1780">
        <v>1529</v>
      </c>
    </row>
    <row r="1781" spans="12:19" x14ac:dyDescent="0.2">
      <c r="L1781" t="s">
        <v>374</v>
      </c>
      <c r="M1781">
        <v>1</v>
      </c>
      <c r="N1781">
        <v>3</v>
      </c>
      <c r="O1781">
        <v>4</v>
      </c>
      <c r="P1781">
        <v>582</v>
      </c>
      <c r="Q1781">
        <v>344</v>
      </c>
      <c r="R1781">
        <v>220</v>
      </c>
      <c r="S1781">
        <v>54800.82</v>
      </c>
    </row>
    <row r="1782" spans="12:19" x14ac:dyDescent="0.2">
      <c r="L1782" t="s">
        <v>374</v>
      </c>
      <c r="M1782">
        <v>1</v>
      </c>
      <c r="N1782">
        <v>3</v>
      </c>
      <c r="O1782">
        <v>4</v>
      </c>
      <c r="P1782">
        <v>582</v>
      </c>
      <c r="Q1782">
        <v>344</v>
      </c>
      <c r="R1782">
        <v>220</v>
      </c>
      <c r="S1782">
        <v>899.9</v>
      </c>
    </row>
    <row r="1783" spans="12:19" x14ac:dyDescent="0.2">
      <c r="L1783" t="s">
        <v>374</v>
      </c>
      <c r="M1783">
        <v>1</v>
      </c>
      <c r="N1783">
        <v>3</v>
      </c>
      <c r="O1783">
        <v>4</v>
      </c>
      <c r="P1783">
        <v>582</v>
      </c>
      <c r="Q1783">
        <v>344</v>
      </c>
      <c r="R1783">
        <v>220</v>
      </c>
      <c r="S1783">
        <v>853.99</v>
      </c>
    </row>
    <row r="1784" spans="12:19" x14ac:dyDescent="0.2">
      <c r="L1784" t="s">
        <v>374</v>
      </c>
      <c r="M1784">
        <v>1</v>
      </c>
      <c r="N1784">
        <v>3</v>
      </c>
      <c r="O1784">
        <v>4</v>
      </c>
      <c r="P1784">
        <v>582</v>
      </c>
      <c r="Q1784">
        <v>344</v>
      </c>
      <c r="R1784">
        <v>220</v>
      </c>
      <c r="S1784">
        <v>575.04</v>
      </c>
    </row>
    <row r="1785" spans="12:19" x14ac:dyDescent="0.2">
      <c r="L1785" t="s">
        <v>374</v>
      </c>
      <c r="M1785">
        <v>1</v>
      </c>
      <c r="N1785">
        <v>3</v>
      </c>
      <c r="O1785">
        <v>4</v>
      </c>
      <c r="P1785">
        <v>582</v>
      </c>
      <c r="Q1785">
        <v>344</v>
      </c>
      <c r="R1785">
        <v>220</v>
      </c>
      <c r="S1785">
        <v>130.06</v>
      </c>
    </row>
    <row r="1786" spans="12:19" x14ac:dyDescent="0.2">
      <c r="L1786" t="s">
        <v>374</v>
      </c>
      <c r="M1786">
        <v>1</v>
      </c>
      <c r="N1786">
        <v>3</v>
      </c>
      <c r="O1786">
        <v>4</v>
      </c>
      <c r="P1786">
        <v>582</v>
      </c>
      <c r="Q1786">
        <v>344</v>
      </c>
      <c r="R1786">
        <v>220</v>
      </c>
      <c r="S1786">
        <v>899.91</v>
      </c>
    </row>
    <row r="1787" spans="12:19" x14ac:dyDescent="0.2">
      <c r="L1787" t="s">
        <v>374</v>
      </c>
      <c r="M1787">
        <v>1</v>
      </c>
      <c r="N1787">
        <v>3</v>
      </c>
      <c r="O1787">
        <v>4</v>
      </c>
      <c r="P1787">
        <v>582</v>
      </c>
      <c r="Q1787">
        <v>344</v>
      </c>
      <c r="R1787">
        <v>220</v>
      </c>
      <c r="S1787">
        <v>1366.46</v>
      </c>
    </row>
    <row r="1788" spans="12:19" x14ac:dyDescent="0.2">
      <c r="L1788" t="s">
        <v>374</v>
      </c>
      <c r="M1788">
        <v>1</v>
      </c>
      <c r="N1788">
        <v>3</v>
      </c>
      <c r="O1788">
        <v>4</v>
      </c>
      <c r="P1788">
        <v>582</v>
      </c>
      <c r="Q1788">
        <v>344</v>
      </c>
      <c r="R1788">
        <v>220</v>
      </c>
      <c r="S1788">
        <v>1149.81</v>
      </c>
    </row>
    <row r="1789" spans="12:19" x14ac:dyDescent="0.2">
      <c r="L1789" t="s">
        <v>374</v>
      </c>
      <c r="M1789">
        <v>1</v>
      </c>
      <c r="N1789">
        <v>3</v>
      </c>
      <c r="O1789">
        <v>4</v>
      </c>
      <c r="P1789">
        <v>582</v>
      </c>
      <c r="Q1789">
        <v>344</v>
      </c>
      <c r="R1789">
        <v>220</v>
      </c>
      <c r="S1789">
        <v>899.91</v>
      </c>
    </row>
    <row r="1790" spans="12:19" x14ac:dyDescent="0.2">
      <c r="L1790" t="s">
        <v>374</v>
      </c>
      <c r="M1790">
        <v>1</v>
      </c>
      <c r="N1790">
        <v>3</v>
      </c>
      <c r="O1790">
        <v>4</v>
      </c>
      <c r="P1790">
        <v>582</v>
      </c>
      <c r="Q1790">
        <v>344</v>
      </c>
      <c r="R1790">
        <v>220</v>
      </c>
      <c r="S1790">
        <v>293</v>
      </c>
    </row>
    <row r="1791" spans="12:19" x14ac:dyDescent="0.2">
      <c r="L1791" t="s">
        <v>374</v>
      </c>
      <c r="M1791">
        <v>4</v>
      </c>
      <c r="N1791">
        <v>1</v>
      </c>
      <c r="O1791">
        <v>4</v>
      </c>
      <c r="P1791">
        <v>582</v>
      </c>
      <c r="Q1791">
        <v>344</v>
      </c>
      <c r="R1791">
        <v>220</v>
      </c>
      <c r="S1791">
        <v>1406.13</v>
      </c>
    </row>
    <row r="1792" spans="12:19" x14ac:dyDescent="0.2">
      <c r="L1792" t="s">
        <v>374</v>
      </c>
      <c r="M1792">
        <v>6</v>
      </c>
      <c r="N1792">
        <v>3</v>
      </c>
      <c r="O1792">
        <v>4</v>
      </c>
      <c r="P1792">
        <v>582</v>
      </c>
      <c r="Q1792">
        <v>344</v>
      </c>
      <c r="R1792">
        <v>220</v>
      </c>
      <c r="S1792">
        <v>6375.42</v>
      </c>
    </row>
    <row r="1793" spans="12:19" x14ac:dyDescent="0.2">
      <c r="L1793" t="s">
        <v>374</v>
      </c>
      <c r="M1793">
        <v>14</v>
      </c>
      <c r="N1793">
        <v>1</v>
      </c>
      <c r="O1793">
        <v>4</v>
      </c>
      <c r="P1793">
        <v>582</v>
      </c>
      <c r="Q1793">
        <v>344</v>
      </c>
      <c r="R1793">
        <v>220</v>
      </c>
      <c r="S1793">
        <v>7236.6</v>
      </c>
    </row>
    <row r="1794" spans="12:19" x14ac:dyDescent="0.2">
      <c r="L1794" t="s">
        <v>374</v>
      </c>
      <c r="M1794">
        <v>15</v>
      </c>
      <c r="N1794">
        <v>1</v>
      </c>
      <c r="O1794">
        <v>4</v>
      </c>
      <c r="P1794">
        <v>582</v>
      </c>
      <c r="Q1794">
        <v>344</v>
      </c>
      <c r="R1794">
        <v>220</v>
      </c>
      <c r="S1794">
        <v>1961.73</v>
      </c>
    </row>
    <row r="1795" spans="12:19" x14ac:dyDescent="0.2">
      <c r="L1795" t="s">
        <v>374</v>
      </c>
      <c r="M1795">
        <v>16</v>
      </c>
      <c r="N1795">
        <v>1</v>
      </c>
      <c r="O1795">
        <v>4</v>
      </c>
      <c r="P1795">
        <v>582</v>
      </c>
      <c r="Q1795">
        <v>344</v>
      </c>
      <c r="R1795">
        <v>220</v>
      </c>
      <c r="S1795">
        <v>2230.96</v>
      </c>
    </row>
    <row r="1796" spans="12:19" x14ac:dyDescent="0.2">
      <c r="L1796" t="s">
        <v>374</v>
      </c>
      <c r="M1796">
        <v>22</v>
      </c>
      <c r="N1796">
        <v>1</v>
      </c>
      <c r="O1796">
        <v>4</v>
      </c>
      <c r="P1796">
        <v>582</v>
      </c>
      <c r="Q1796">
        <v>344</v>
      </c>
      <c r="R1796">
        <v>220</v>
      </c>
      <c r="S1796">
        <v>1222.75</v>
      </c>
    </row>
    <row r="1797" spans="12:19" x14ac:dyDescent="0.2">
      <c r="L1797" t="s">
        <v>374</v>
      </c>
      <c r="M1797">
        <v>25</v>
      </c>
      <c r="N1797">
        <v>1</v>
      </c>
      <c r="O1797">
        <v>4</v>
      </c>
      <c r="P1797">
        <v>582</v>
      </c>
      <c r="Q1797">
        <v>344</v>
      </c>
      <c r="R1797">
        <v>220</v>
      </c>
      <c r="S1797">
        <v>189.64</v>
      </c>
    </row>
    <row r="1798" spans="12:19" x14ac:dyDescent="0.2">
      <c r="L1798" s="35" t="s">
        <v>374</v>
      </c>
      <c r="M1798" s="35">
        <v>31</v>
      </c>
      <c r="N1798" s="35">
        <v>1</v>
      </c>
      <c r="O1798" s="35">
        <v>4</v>
      </c>
      <c r="P1798" s="35">
        <v>582</v>
      </c>
      <c r="Q1798" s="35">
        <v>344</v>
      </c>
      <c r="R1798" s="35">
        <v>220</v>
      </c>
      <c r="S1798" s="35">
        <v>6387.12</v>
      </c>
    </row>
    <row r="1799" spans="12:19" x14ac:dyDescent="0.2">
      <c r="L1799" t="s">
        <v>374</v>
      </c>
      <c r="M1799">
        <v>36</v>
      </c>
      <c r="N1799">
        <v>1</v>
      </c>
      <c r="O1799">
        <v>4</v>
      </c>
      <c r="P1799">
        <v>582</v>
      </c>
      <c r="Q1799">
        <v>344</v>
      </c>
      <c r="R1799">
        <v>220</v>
      </c>
      <c r="S1799">
        <v>317.23</v>
      </c>
    </row>
    <row r="1800" spans="12:19" x14ac:dyDescent="0.2">
      <c r="L1800" t="s">
        <v>374</v>
      </c>
      <c r="M1800">
        <v>38</v>
      </c>
      <c r="N1800">
        <v>1</v>
      </c>
      <c r="O1800">
        <v>4</v>
      </c>
      <c r="P1800">
        <v>582</v>
      </c>
      <c r="Q1800">
        <v>344</v>
      </c>
      <c r="R1800">
        <v>220</v>
      </c>
      <c r="S1800">
        <v>6290</v>
      </c>
    </row>
    <row r="1801" spans="12:19" x14ac:dyDescent="0.2">
      <c r="L1801" t="s">
        <v>374</v>
      </c>
      <c r="M1801">
        <v>47</v>
      </c>
      <c r="N1801">
        <v>1</v>
      </c>
      <c r="O1801">
        <v>4</v>
      </c>
      <c r="P1801">
        <v>582</v>
      </c>
      <c r="Q1801">
        <v>344</v>
      </c>
      <c r="R1801">
        <v>220</v>
      </c>
      <c r="S1801">
        <v>1000</v>
      </c>
    </row>
    <row r="1802" spans="12:19" x14ac:dyDescent="0.2">
      <c r="L1802" t="s">
        <v>374</v>
      </c>
      <c r="M1802">
        <v>51</v>
      </c>
      <c r="N1802">
        <v>1</v>
      </c>
      <c r="O1802">
        <v>4</v>
      </c>
      <c r="P1802">
        <v>582</v>
      </c>
      <c r="Q1802">
        <v>344</v>
      </c>
      <c r="R1802">
        <v>220</v>
      </c>
      <c r="S1802">
        <v>3036.3</v>
      </c>
    </row>
    <row r="1803" spans="12:19" x14ac:dyDescent="0.2">
      <c r="L1803" t="s">
        <v>374</v>
      </c>
      <c r="M1803">
        <v>75</v>
      </c>
      <c r="N1803">
        <v>1</v>
      </c>
      <c r="O1803">
        <v>4</v>
      </c>
      <c r="P1803">
        <v>582</v>
      </c>
      <c r="Q1803">
        <v>344</v>
      </c>
      <c r="R1803">
        <v>220</v>
      </c>
      <c r="S1803">
        <v>84.99</v>
      </c>
    </row>
    <row r="1804" spans="12:19" x14ac:dyDescent="0.2">
      <c r="L1804" t="s">
        <v>374</v>
      </c>
      <c r="M1804">
        <v>85</v>
      </c>
      <c r="N1804">
        <v>1</v>
      </c>
      <c r="O1804">
        <v>4</v>
      </c>
      <c r="P1804">
        <v>582</v>
      </c>
      <c r="Q1804">
        <v>344</v>
      </c>
      <c r="R1804">
        <v>220</v>
      </c>
      <c r="S1804">
        <v>64.16</v>
      </c>
    </row>
    <row r="1805" spans="12:19" x14ac:dyDescent="0.2">
      <c r="L1805" t="s">
        <v>374</v>
      </c>
      <c r="M1805">
        <v>108</v>
      </c>
      <c r="N1805">
        <v>1</v>
      </c>
      <c r="O1805">
        <v>4</v>
      </c>
      <c r="P1805">
        <v>582</v>
      </c>
      <c r="Q1805">
        <v>344</v>
      </c>
      <c r="R1805">
        <v>220</v>
      </c>
      <c r="S1805">
        <v>359.75</v>
      </c>
    </row>
    <row r="1806" spans="12:19" x14ac:dyDescent="0.2">
      <c r="L1806" t="s">
        <v>374</v>
      </c>
      <c r="M1806">
        <v>110</v>
      </c>
      <c r="N1806">
        <v>1</v>
      </c>
      <c r="O1806">
        <v>4</v>
      </c>
      <c r="P1806">
        <v>582</v>
      </c>
      <c r="Q1806">
        <v>344</v>
      </c>
      <c r="R1806">
        <v>220</v>
      </c>
      <c r="S1806">
        <v>854.73</v>
      </c>
    </row>
    <row r="1807" spans="12:19" x14ac:dyDescent="0.2">
      <c r="L1807" t="s">
        <v>374</v>
      </c>
      <c r="M1807">
        <v>111</v>
      </c>
      <c r="N1807">
        <v>1</v>
      </c>
      <c r="O1807">
        <v>4</v>
      </c>
      <c r="P1807">
        <v>582</v>
      </c>
      <c r="Q1807">
        <v>344</v>
      </c>
      <c r="R1807">
        <v>220</v>
      </c>
      <c r="S1807">
        <v>1628.95</v>
      </c>
    </row>
    <row r="1808" spans="12:19" x14ac:dyDescent="0.2">
      <c r="L1808" t="s">
        <v>374</v>
      </c>
      <c r="M1808">
        <v>112</v>
      </c>
      <c r="N1808">
        <v>1</v>
      </c>
      <c r="O1808">
        <v>4</v>
      </c>
      <c r="P1808">
        <v>582</v>
      </c>
      <c r="Q1808">
        <v>344</v>
      </c>
      <c r="R1808">
        <v>220</v>
      </c>
      <c r="S1808">
        <v>9485.36</v>
      </c>
    </row>
    <row r="1809" spans="12:19" x14ac:dyDescent="0.2">
      <c r="L1809" t="s">
        <v>374</v>
      </c>
      <c r="M1809">
        <v>115</v>
      </c>
      <c r="N1809">
        <v>1</v>
      </c>
      <c r="O1809">
        <v>4</v>
      </c>
      <c r="P1809">
        <v>582</v>
      </c>
      <c r="Q1809">
        <v>344</v>
      </c>
      <c r="R1809">
        <v>220</v>
      </c>
      <c r="S1809">
        <v>6032.56</v>
      </c>
    </row>
    <row r="1810" spans="12:19" x14ac:dyDescent="0.2">
      <c r="L1810" t="s">
        <v>374</v>
      </c>
      <c r="M1810">
        <v>116</v>
      </c>
      <c r="N1810">
        <v>1</v>
      </c>
      <c r="O1810">
        <v>4</v>
      </c>
      <c r="P1810">
        <v>582</v>
      </c>
      <c r="Q1810">
        <v>344</v>
      </c>
      <c r="R1810">
        <v>220</v>
      </c>
      <c r="S1810">
        <v>3140.97</v>
      </c>
    </row>
    <row r="1811" spans="12:19" x14ac:dyDescent="0.2">
      <c r="L1811" t="s">
        <v>374</v>
      </c>
      <c r="M1811">
        <v>138</v>
      </c>
      <c r="N1811">
        <v>1</v>
      </c>
      <c r="O1811">
        <v>4</v>
      </c>
      <c r="P1811">
        <v>582</v>
      </c>
      <c r="Q1811">
        <v>344</v>
      </c>
      <c r="R1811">
        <v>220</v>
      </c>
      <c r="S1811">
        <v>2514.1999999999998</v>
      </c>
    </row>
    <row r="1812" spans="12:19" x14ac:dyDescent="0.2">
      <c r="L1812" t="s">
        <v>374</v>
      </c>
      <c r="M1812">
        <v>139</v>
      </c>
      <c r="N1812">
        <v>1</v>
      </c>
      <c r="O1812">
        <v>4</v>
      </c>
      <c r="P1812">
        <v>582</v>
      </c>
      <c r="Q1812">
        <v>344</v>
      </c>
      <c r="R1812">
        <v>220</v>
      </c>
      <c r="S1812">
        <v>3721.2</v>
      </c>
    </row>
    <row r="1813" spans="12:19" x14ac:dyDescent="0.2">
      <c r="L1813" t="s">
        <v>374</v>
      </c>
      <c r="M1813">
        <v>152</v>
      </c>
      <c r="N1813">
        <v>1</v>
      </c>
      <c r="O1813">
        <v>4</v>
      </c>
      <c r="P1813">
        <v>582</v>
      </c>
      <c r="Q1813">
        <v>344</v>
      </c>
      <c r="R1813">
        <v>220</v>
      </c>
      <c r="S1813">
        <v>390</v>
      </c>
    </row>
    <row r="1814" spans="12:19" x14ac:dyDescent="0.2">
      <c r="L1814" t="s">
        <v>374</v>
      </c>
      <c r="M1814">
        <v>181</v>
      </c>
      <c r="N1814">
        <v>1</v>
      </c>
      <c r="O1814">
        <v>4</v>
      </c>
      <c r="P1814">
        <v>582</v>
      </c>
      <c r="Q1814">
        <v>344</v>
      </c>
      <c r="R1814">
        <v>220</v>
      </c>
      <c r="S1814">
        <v>6727.2</v>
      </c>
    </row>
    <row r="1815" spans="12:19" x14ac:dyDescent="0.2">
      <c r="L1815" t="s">
        <v>374</v>
      </c>
      <c r="M1815">
        <v>182</v>
      </c>
      <c r="N1815">
        <v>1</v>
      </c>
      <c r="O1815">
        <v>4</v>
      </c>
      <c r="P1815">
        <v>582</v>
      </c>
      <c r="Q1815">
        <v>344</v>
      </c>
      <c r="R1815">
        <v>220</v>
      </c>
      <c r="S1815">
        <v>1789.07</v>
      </c>
    </row>
    <row r="1816" spans="12:19" x14ac:dyDescent="0.2">
      <c r="L1816" t="s">
        <v>374</v>
      </c>
      <c r="M1816">
        <v>186</v>
      </c>
      <c r="N1816">
        <v>1</v>
      </c>
      <c r="O1816">
        <v>4</v>
      </c>
      <c r="P1816">
        <v>582</v>
      </c>
      <c r="Q1816">
        <v>344</v>
      </c>
      <c r="R1816">
        <v>220</v>
      </c>
      <c r="S1816">
        <v>273.83999999999997</v>
      </c>
    </row>
    <row r="1817" spans="12:19" x14ac:dyDescent="0.2">
      <c r="L1817" t="s">
        <v>374</v>
      </c>
      <c r="M1817">
        <v>191</v>
      </c>
      <c r="N1817">
        <v>1</v>
      </c>
      <c r="O1817">
        <v>4</v>
      </c>
      <c r="P1817">
        <v>582</v>
      </c>
      <c r="Q1817">
        <v>344</v>
      </c>
      <c r="R1817">
        <v>220</v>
      </c>
      <c r="S1817">
        <v>7956.71</v>
      </c>
    </row>
    <row r="1818" spans="12:19" x14ac:dyDescent="0.2">
      <c r="L1818" t="s">
        <v>374</v>
      </c>
      <c r="M1818">
        <v>192</v>
      </c>
      <c r="N1818">
        <v>1</v>
      </c>
      <c r="O1818">
        <v>4</v>
      </c>
      <c r="P1818">
        <v>582</v>
      </c>
      <c r="Q1818">
        <v>344</v>
      </c>
      <c r="R1818">
        <v>220</v>
      </c>
      <c r="S1818">
        <v>4784.3</v>
      </c>
    </row>
    <row r="1819" spans="12:19" x14ac:dyDescent="0.2">
      <c r="L1819" t="s">
        <v>374</v>
      </c>
      <c r="M1819">
        <v>194</v>
      </c>
      <c r="N1819">
        <v>1</v>
      </c>
      <c r="O1819">
        <v>4</v>
      </c>
      <c r="P1819">
        <v>582</v>
      </c>
      <c r="Q1819">
        <v>344</v>
      </c>
      <c r="R1819">
        <v>220</v>
      </c>
      <c r="S1819">
        <v>1307.1600000000001</v>
      </c>
    </row>
    <row r="1820" spans="12:19" x14ac:dyDescent="0.2">
      <c r="L1820" t="s">
        <v>374</v>
      </c>
      <c r="M1820">
        <v>196</v>
      </c>
      <c r="N1820">
        <v>1</v>
      </c>
      <c r="O1820">
        <v>4</v>
      </c>
      <c r="P1820">
        <v>582</v>
      </c>
      <c r="Q1820">
        <v>344</v>
      </c>
      <c r="R1820">
        <v>220</v>
      </c>
      <c r="S1820">
        <v>22154.21</v>
      </c>
    </row>
    <row r="1821" spans="12:19" x14ac:dyDescent="0.2">
      <c r="L1821" t="s">
        <v>374</v>
      </c>
      <c r="M1821">
        <v>197</v>
      </c>
      <c r="N1821">
        <v>1</v>
      </c>
      <c r="O1821">
        <v>4</v>
      </c>
      <c r="P1821">
        <v>582</v>
      </c>
      <c r="Q1821">
        <v>344</v>
      </c>
      <c r="R1821">
        <v>220</v>
      </c>
      <c r="S1821">
        <v>18035.71</v>
      </c>
    </row>
    <row r="1822" spans="12:19" x14ac:dyDescent="0.2">
      <c r="L1822" t="s">
        <v>374</v>
      </c>
      <c r="M1822">
        <v>200</v>
      </c>
      <c r="N1822">
        <v>1</v>
      </c>
      <c r="O1822">
        <v>4</v>
      </c>
      <c r="P1822">
        <v>582</v>
      </c>
      <c r="Q1822">
        <v>344</v>
      </c>
      <c r="R1822">
        <v>220</v>
      </c>
      <c r="S1822">
        <v>4938.82</v>
      </c>
    </row>
    <row r="1823" spans="12:19" x14ac:dyDescent="0.2">
      <c r="L1823" t="s">
        <v>374</v>
      </c>
      <c r="M1823">
        <v>203</v>
      </c>
      <c r="N1823">
        <v>1</v>
      </c>
      <c r="O1823">
        <v>4</v>
      </c>
      <c r="P1823">
        <v>582</v>
      </c>
      <c r="Q1823">
        <v>344</v>
      </c>
      <c r="R1823">
        <v>220</v>
      </c>
      <c r="S1823">
        <v>675.75</v>
      </c>
    </row>
    <row r="1824" spans="12:19" x14ac:dyDescent="0.2">
      <c r="L1824" t="s">
        <v>374</v>
      </c>
      <c r="M1824">
        <v>204</v>
      </c>
      <c r="N1824">
        <v>1</v>
      </c>
      <c r="O1824">
        <v>4</v>
      </c>
      <c r="P1824">
        <v>582</v>
      </c>
      <c r="Q1824">
        <v>344</v>
      </c>
      <c r="R1824">
        <v>220</v>
      </c>
      <c r="S1824">
        <v>2.54</v>
      </c>
    </row>
    <row r="1825" spans="12:19" x14ac:dyDescent="0.2">
      <c r="L1825" t="s">
        <v>374</v>
      </c>
      <c r="M1825">
        <v>206</v>
      </c>
      <c r="N1825">
        <v>1</v>
      </c>
      <c r="O1825">
        <v>4</v>
      </c>
      <c r="P1825">
        <v>582</v>
      </c>
      <c r="Q1825">
        <v>344</v>
      </c>
      <c r="R1825">
        <v>220</v>
      </c>
      <c r="S1825">
        <v>3865.29</v>
      </c>
    </row>
    <row r="1826" spans="12:19" x14ac:dyDescent="0.2">
      <c r="L1826" t="s">
        <v>374</v>
      </c>
      <c r="M1826">
        <v>239</v>
      </c>
      <c r="N1826">
        <v>1</v>
      </c>
      <c r="O1826">
        <v>4</v>
      </c>
      <c r="P1826">
        <v>582</v>
      </c>
      <c r="Q1826">
        <v>344</v>
      </c>
      <c r="R1826">
        <v>220</v>
      </c>
      <c r="S1826">
        <v>911.25</v>
      </c>
    </row>
    <row r="1827" spans="12:19" x14ac:dyDescent="0.2">
      <c r="L1827" t="s">
        <v>374</v>
      </c>
      <c r="M1827">
        <v>241</v>
      </c>
      <c r="N1827">
        <v>1</v>
      </c>
      <c r="O1827">
        <v>4</v>
      </c>
      <c r="P1827">
        <v>582</v>
      </c>
      <c r="Q1827">
        <v>344</v>
      </c>
      <c r="R1827">
        <v>220</v>
      </c>
      <c r="S1827">
        <v>1879.08</v>
      </c>
    </row>
    <row r="1828" spans="12:19" x14ac:dyDescent="0.2">
      <c r="L1828" t="s">
        <v>374</v>
      </c>
      <c r="M1828">
        <v>252</v>
      </c>
      <c r="N1828">
        <v>1</v>
      </c>
      <c r="O1828">
        <v>4</v>
      </c>
      <c r="P1828">
        <v>582</v>
      </c>
      <c r="Q1828">
        <v>344</v>
      </c>
      <c r="R1828">
        <v>220</v>
      </c>
      <c r="S1828">
        <v>8.73</v>
      </c>
    </row>
    <row r="1829" spans="12:19" x14ac:dyDescent="0.2">
      <c r="L1829" t="s">
        <v>374</v>
      </c>
      <c r="M1829">
        <v>253</v>
      </c>
      <c r="N1829">
        <v>1</v>
      </c>
      <c r="O1829">
        <v>4</v>
      </c>
      <c r="P1829">
        <v>582</v>
      </c>
      <c r="Q1829">
        <v>344</v>
      </c>
      <c r="R1829">
        <v>220</v>
      </c>
      <c r="S1829">
        <v>555.44000000000005</v>
      </c>
    </row>
    <row r="1830" spans="12:19" x14ac:dyDescent="0.2">
      <c r="L1830" t="s">
        <v>374</v>
      </c>
      <c r="M1830">
        <v>255</v>
      </c>
      <c r="N1830">
        <v>1</v>
      </c>
      <c r="O1830">
        <v>4</v>
      </c>
      <c r="P1830">
        <v>582</v>
      </c>
      <c r="Q1830">
        <v>344</v>
      </c>
      <c r="R1830">
        <v>220</v>
      </c>
      <c r="S1830">
        <v>4713.43</v>
      </c>
    </row>
    <row r="1831" spans="12:19" x14ac:dyDescent="0.2">
      <c r="L1831" t="s">
        <v>374</v>
      </c>
      <c r="M1831">
        <v>256</v>
      </c>
      <c r="N1831">
        <v>1</v>
      </c>
      <c r="O1831">
        <v>4</v>
      </c>
      <c r="P1831">
        <v>582</v>
      </c>
      <c r="Q1831">
        <v>344</v>
      </c>
      <c r="R1831">
        <v>220</v>
      </c>
      <c r="S1831">
        <v>418.32</v>
      </c>
    </row>
    <row r="1832" spans="12:19" x14ac:dyDescent="0.2">
      <c r="L1832" t="s">
        <v>374</v>
      </c>
      <c r="M1832">
        <v>270</v>
      </c>
      <c r="N1832">
        <v>1</v>
      </c>
      <c r="O1832">
        <v>4</v>
      </c>
      <c r="P1832">
        <v>582</v>
      </c>
      <c r="Q1832">
        <v>344</v>
      </c>
      <c r="R1832">
        <v>220</v>
      </c>
      <c r="S1832">
        <v>2209.4699999999998</v>
      </c>
    </row>
    <row r="1833" spans="12:19" x14ac:dyDescent="0.2">
      <c r="L1833" t="s">
        <v>374</v>
      </c>
      <c r="M1833">
        <v>271</v>
      </c>
      <c r="N1833">
        <v>1</v>
      </c>
      <c r="O1833">
        <v>4</v>
      </c>
      <c r="P1833">
        <v>582</v>
      </c>
      <c r="Q1833">
        <v>344</v>
      </c>
      <c r="R1833">
        <v>220</v>
      </c>
      <c r="S1833">
        <v>112290.89</v>
      </c>
    </row>
    <row r="1834" spans="12:19" x14ac:dyDescent="0.2">
      <c r="L1834" t="s">
        <v>374</v>
      </c>
      <c r="M1834">
        <v>272</v>
      </c>
      <c r="N1834">
        <v>1</v>
      </c>
      <c r="O1834">
        <v>4</v>
      </c>
      <c r="P1834">
        <v>582</v>
      </c>
      <c r="Q1834">
        <v>344</v>
      </c>
      <c r="R1834">
        <v>220</v>
      </c>
      <c r="S1834">
        <v>19673.919999999998</v>
      </c>
    </row>
    <row r="1835" spans="12:19" x14ac:dyDescent="0.2">
      <c r="L1835" t="s">
        <v>374</v>
      </c>
      <c r="M1835">
        <v>276</v>
      </c>
      <c r="N1835">
        <v>1</v>
      </c>
      <c r="O1835">
        <v>4</v>
      </c>
      <c r="P1835">
        <v>582</v>
      </c>
      <c r="Q1835">
        <v>344</v>
      </c>
      <c r="R1835">
        <v>220</v>
      </c>
      <c r="S1835">
        <v>319.77</v>
      </c>
    </row>
    <row r="1836" spans="12:19" x14ac:dyDescent="0.2">
      <c r="L1836" t="s">
        <v>374</v>
      </c>
      <c r="M1836">
        <v>277</v>
      </c>
      <c r="N1836">
        <v>1</v>
      </c>
      <c r="O1836">
        <v>4</v>
      </c>
      <c r="P1836">
        <v>582</v>
      </c>
      <c r="Q1836">
        <v>344</v>
      </c>
      <c r="R1836">
        <v>220</v>
      </c>
      <c r="S1836">
        <v>10501.58</v>
      </c>
    </row>
    <row r="1837" spans="12:19" x14ac:dyDescent="0.2">
      <c r="L1837" t="s">
        <v>374</v>
      </c>
      <c r="M1837">
        <v>279</v>
      </c>
      <c r="N1837">
        <v>1</v>
      </c>
      <c r="O1837">
        <v>4</v>
      </c>
      <c r="P1837">
        <v>582</v>
      </c>
      <c r="Q1837">
        <v>344</v>
      </c>
      <c r="R1837">
        <v>220</v>
      </c>
      <c r="S1837">
        <v>19669.439999999999</v>
      </c>
    </row>
    <row r="1838" spans="12:19" x14ac:dyDescent="0.2">
      <c r="L1838" t="s">
        <v>374</v>
      </c>
      <c r="M1838">
        <v>282</v>
      </c>
      <c r="N1838">
        <v>1</v>
      </c>
      <c r="O1838">
        <v>4</v>
      </c>
      <c r="P1838">
        <v>582</v>
      </c>
      <c r="Q1838">
        <v>344</v>
      </c>
      <c r="R1838">
        <v>220</v>
      </c>
      <c r="S1838">
        <v>704.66</v>
      </c>
    </row>
    <row r="1839" spans="12:19" x14ac:dyDescent="0.2">
      <c r="L1839" t="s">
        <v>374</v>
      </c>
      <c r="M1839">
        <v>283</v>
      </c>
      <c r="N1839">
        <v>1</v>
      </c>
      <c r="O1839">
        <v>4</v>
      </c>
      <c r="P1839">
        <v>582</v>
      </c>
      <c r="Q1839">
        <v>344</v>
      </c>
      <c r="R1839">
        <v>220</v>
      </c>
      <c r="S1839">
        <v>15110.9</v>
      </c>
    </row>
    <row r="1840" spans="12:19" x14ac:dyDescent="0.2">
      <c r="L1840" t="s">
        <v>374</v>
      </c>
      <c r="M1840">
        <v>284</v>
      </c>
      <c r="N1840">
        <v>1</v>
      </c>
      <c r="O1840">
        <v>4</v>
      </c>
      <c r="P1840">
        <v>582</v>
      </c>
      <c r="Q1840">
        <v>344</v>
      </c>
      <c r="R1840">
        <v>220</v>
      </c>
      <c r="S1840">
        <v>4512.13</v>
      </c>
    </row>
    <row r="1841" spans="12:19" x14ac:dyDescent="0.2">
      <c r="L1841" t="s">
        <v>374</v>
      </c>
      <c r="M1841">
        <v>286</v>
      </c>
      <c r="N1841">
        <v>1</v>
      </c>
      <c r="O1841">
        <v>4</v>
      </c>
      <c r="P1841">
        <v>582</v>
      </c>
      <c r="Q1841">
        <v>344</v>
      </c>
      <c r="R1841">
        <v>220</v>
      </c>
      <c r="S1841">
        <v>1963.19</v>
      </c>
    </row>
    <row r="1842" spans="12:19" x14ac:dyDescent="0.2">
      <c r="L1842" t="s">
        <v>374</v>
      </c>
      <c r="M1842">
        <v>299</v>
      </c>
      <c r="N1842">
        <v>1</v>
      </c>
      <c r="O1842">
        <v>4</v>
      </c>
      <c r="P1842">
        <v>582</v>
      </c>
      <c r="Q1842">
        <v>344</v>
      </c>
      <c r="R1842">
        <v>220</v>
      </c>
      <c r="S1842">
        <v>406.86</v>
      </c>
    </row>
    <row r="1843" spans="12:19" x14ac:dyDescent="0.2">
      <c r="L1843" t="s">
        <v>374</v>
      </c>
      <c r="M1843">
        <v>309</v>
      </c>
      <c r="N1843">
        <v>1</v>
      </c>
      <c r="O1843">
        <v>4</v>
      </c>
      <c r="P1843">
        <v>582</v>
      </c>
      <c r="Q1843">
        <v>344</v>
      </c>
      <c r="R1843">
        <v>220</v>
      </c>
      <c r="S1843">
        <v>8313.52</v>
      </c>
    </row>
    <row r="1844" spans="12:19" x14ac:dyDescent="0.2">
      <c r="L1844" t="s">
        <v>374</v>
      </c>
      <c r="M1844">
        <v>318</v>
      </c>
      <c r="N1844">
        <v>1</v>
      </c>
      <c r="O1844">
        <v>4</v>
      </c>
      <c r="P1844">
        <v>582</v>
      </c>
      <c r="Q1844">
        <v>344</v>
      </c>
      <c r="R1844">
        <v>220</v>
      </c>
      <c r="S1844">
        <v>7122</v>
      </c>
    </row>
    <row r="1845" spans="12:19" x14ac:dyDescent="0.2">
      <c r="L1845" t="s">
        <v>374</v>
      </c>
      <c r="M1845">
        <v>332</v>
      </c>
      <c r="N1845">
        <v>1</v>
      </c>
      <c r="O1845">
        <v>4</v>
      </c>
      <c r="P1845">
        <v>582</v>
      </c>
      <c r="Q1845">
        <v>344</v>
      </c>
      <c r="R1845">
        <v>220</v>
      </c>
      <c r="S1845">
        <v>14.78</v>
      </c>
    </row>
    <row r="1846" spans="12:19" x14ac:dyDescent="0.2">
      <c r="L1846" t="s">
        <v>374</v>
      </c>
      <c r="M1846">
        <v>345</v>
      </c>
      <c r="N1846">
        <v>1</v>
      </c>
      <c r="O1846">
        <v>4</v>
      </c>
      <c r="P1846">
        <v>582</v>
      </c>
      <c r="Q1846">
        <v>344</v>
      </c>
      <c r="R1846">
        <v>220</v>
      </c>
      <c r="S1846">
        <v>1200</v>
      </c>
    </row>
    <row r="1847" spans="12:19" x14ac:dyDescent="0.2">
      <c r="L1847" t="s">
        <v>374</v>
      </c>
      <c r="M1847">
        <v>347</v>
      </c>
      <c r="N1847">
        <v>1</v>
      </c>
      <c r="O1847">
        <v>4</v>
      </c>
      <c r="P1847">
        <v>582</v>
      </c>
      <c r="Q1847">
        <v>344</v>
      </c>
      <c r="R1847">
        <v>220</v>
      </c>
      <c r="S1847">
        <v>9927.25</v>
      </c>
    </row>
    <row r="1848" spans="12:19" x14ac:dyDescent="0.2">
      <c r="L1848" t="s">
        <v>374</v>
      </c>
      <c r="M1848">
        <v>361</v>
      </c>
      <c r="N1848">
        <v>1</v>
      </c>
      <c r="O1848">
        <v>4</v>
      </c>
      <c r="P1848">
        <v>582</v>
      </c>
      <c r="Q1848">
        <v>344</v>
      </c>
      <c r="R1848">
        <v>220</v>
      </c>
      <c r="S1848">
        <v>10327.969999999999</v>
      </c>
    </row>
    <row r="1849" spans="12:19" x14ac:dyDescent="0.2">
      <c r="L1849" t="s">
        <v>374</v>
      </c>
      <c r="M1849">
        <v>362</v>
      </c>
      <c r="N1849">
        <v>1</v>
      </c>
      <c r="O1849">
        <v>4</v>
      </c>
      <c r="P1849">
        <v>582</v>
      </c>
      <c r="Q1849">
        <v>344</v>
      </c>
      <c r="R1849">
        <v>220</v>
      </c>
      <c r="S1849">
        <v>10260</v>
      </c>
    </row>
    <row r="1850" spans="12:19" x14ac:dyDescent="0.2">
      <c r="L1850" t="s">
        <v>374</v>
      </c>
      <c r="M1850">
        <v>363</v>
      </c>
      <c r="N1850">
        <v>1</v>
      </c>
      <c r="O1850">
        <v>4</v>
      </c>
      <c r="P1850">
        <v>582</v>
      </c>
      <c r="Q1850">
        <v>344</v>
      </c>
      <c r="R1850">
        <v>220</v>
      </c>
      <c r="S1850">
        <v>3850</v>
      </c>
    </row>
    <row r="1851" spans="12:19" x14ac:dyDescent="0.2">
      <c r="L1851" t="s">
        <v>374</v>
      </c>
      <c r="M1851">
        <v>381</v>
      </c>
      <c r="N1851">
        <v>1</v>
      </c>
      <c r="O1851">
        <v>4</v>
      </c>
      <c r="P1851">
        <v>582</v>
      </c>
      <c r="Q1851">
        <v>344</v>
      </c>
      <c r="R1851">
        <v>220</v>
      </c>
      <c r="S1851">
        <v>501.74</v>
      </c>
    </row>
    <row r="1852" spans="12:19" x14ac:dyDescent="0.2">
      <c r="L1852" t="s">
        <v>374</v>
      </c>
      <c r="M1852">
        <v>390</v>
      </c>
      <c r="N1852">
        <v>1</v>
      </c>
      <c r="O1852">
        <v>4</v>
      </c>
      <c r="P1852">
        <v>582</v>
      </c>
      <c r="Q1852">
        <v>344</v>
      </c>
      <c r="R1852">
        <v>220</v>
      </c>
      <c r="S1852">
        <v>2380.64</v>
      </c>
    </row>
    <row r="1853" spans="12:19" x14ac:dyDescent="0.2">
      <c r="L1853" t="s">
        <v>374</v>
      </c>
      <c r="M1853">
        <v>402</v>
      </c>
      <c r="N1853">
        <v>1</v>
      </c>
      <c r="O1853">
        <v>4</v>
      </c>
      <c r="P1853">
        <v>582</v>
      </c>
      <c r="Q1853">
        <v>344</v>
      </c>
      <c r="R1853">
        <v>220</v>
      </c>
      <c r="S1853">
        <v>1085.0999999999999</v>
      </c>
    </row>
    <row r="1854" spans="12:19" x14ac:dyDescent="0.2">
      <c r="L1854" t="s">
        <v>374</v>
      </c>
      <c r="M1854">
        <v>404</v>
      </c>
      <c r="N1854">
        <v>1</v>
      </c>
      <c r="O1854">
        <v>4</v>
      </c>
      <c r="P1854">
        <v>582</v>
      </c>
      <c r="Q1854">
        <v>344</v>
      </c>
      <c r="R1854">
        <v>220</v>
      </c>
      <c r="S1854">
        <v>3854.22</v>
      </c>
    </row>
    <row r="1855" spans="12:19" x14ac:dyDescent="0.2">
      <c r="L1855" t="s">
        <v>374</v>
      </c>
      <c r="M1855">
        <v>423</v>
      </c>
      <c r="N1855">
        <v>1</v>
      </c>
      <c r="O1855">
        <v>4</v>
      </c>
      <c r="P1855">
        <v>582</v>
      </c>
      <c r="Q1855">
        <v>344</v>
      </c>
      <c r="R1855">
        <v>220</v>
      </c>
      <c r="S1855">
        <v>550.47</v>
      </c>
    </row>
    <row r="1856" spans="12:19" x14ac:dyDescent="0.2">
      <c r="L1856" t="s">
        <v>374</v>
      </c>
      <c r="M1856">
        <v>424</v>
      </c>
      <c r="N1856">
        <v>1</v>
      </c>
      <c r="O1856">
        <v>4</v>
      </c>
      <c r="P1856">
        <v>582</v>
      </c>
      <c r="Q1856">
        <v>344</v>
      </c>
      <c r="R1856">
        <v>220</v>
      </c>
      <c r="S1856">
        <v>4243.22</v>
      </c>
    </row>
    <row r="1857" spans="12:19" x14ac:dyDescent="0.2">
      <c r="L1857" t="s">
        <v>374</v>
      </c>
      <c r="M1857">
        <v>435</v>
      </c>
      <c r="N1857">
        <v>1</v>
      </c>
      <c r="O1857">
        <v>4</v>
      </c>
      <c r="P1857">
        <v>582</v>
      </c>
      <c r="Q1857">
        <v>344</v>
      </c>
      <c r="R1857">
        <v>220</v>
      </c>
      <c r="S1857">
        <v>2694.97</v>
      </c>
    </row>
    <row r="1858" spans="12:19" x14ac:dyDescent="0.2">
      <c r="L1858" t="s">
        <v>374</v>
      </c>
      <c r="M1858">
        <v>458</v>
      </c>
      <c r="N1858">
        <v>1</v>
      </c>
      <c r="O1858">
        <v>4</v>
      </c>
      <c r="P1858">
        <v>582</v>
      </c>
      <c r="Q1858">
        <v>344</v>
      </c>
      <c r="R1858">
        <v>220</v>
      </c>
      <c r="S1858">
        <v>2636.95</v>
      </c>
    </row>
    <row r="1859" spans="12:19" x14ac:dyDescent="0.2">
      <c r="L1859" t="s">
        <v>374</v>
      </c>
      <c r="M1859">
        <v>465</v>
      </c>
      <c r="N1859">
        <v>1</v>
      </c>
      <c r="O1859">
        <v>4</v>
      </c>
      <c r="P1859">
        <v>582</v>
      </c>
      <c r="Q1859">
        <v>344</v>
      </c>
      <c r="R1859">
        <v>220</v>
      </c>
      <c r="S1859">
        <v>3576.68</v>
      </c>
    </row>
    <row r="1860" spans="12:19" x14ac:dyDescent="0.2">
      <c r="L1860" t="s">
        <v>374</v>
      </c>
      <c r="M1860">
        <v>466</v>
      </c>
      <c r="N1860">
        <v>1</v>
      </c>
      <c r="O1860">
        <v>4</v>
      </c>
      <c r="P1860">
        <v>582</v>
      </c>
      <c r="Q1860">
        <v>344</v>
      </c>
      <c r="R1860">
        <v>220</v>
      </c>
      <c r="S1860">
        <v>745.2</v>
      </c>
    </row>
    <row r="1861" spans="12:19" x14ac:dyDescent="0.2">
      <c r="L1861" t="s">
        <v>374</v>
      </c>
      <c r="M1861">
        <v>477</v>
      </c>
      <c r="N1861">
        <v>1</v>
      </c>
      <c r="O1861">
        <v>4</v>
      </c>
      <c r="P1861">
        <v>582</v>
      </c>
      <c r="Q1861">
        <v>344</v>
      </c>
      <c r="R1861">
        <v>220</v>
      </c>
      <c r="S1861">
        <v>424.23</v>
      </c>
    </row>
    <row r="1862" spans="12:19" x14ac:dyDescent="0.2">
      <c r="L1862" t="s">
        <v>374</v>
      </c>
      <c r="M1862">
        <v>480</v>
      </c>
      <c r="N1862">
        <v>1</v>
      </c>
      <c r="O1862">
        <v>4</v>
      </c>
      <c r="P1862">
        <v>582</v>
      </c>
      <c r="Q1862">
        <v>344</v>
      </c>
      <c r="R1862">
        <v>220</v>
      </c>
      <c r="S1862">
        <v>2145.35</v>
      </c>
    </row>
    <row r="1863" spans="12:19" x14ac:dyDescent="0.2">
      <c r="L1863" t="s">
        <v>374</v>
      </c>
      <c r="M1863">
        <v>492</v>
      </c>
      <c r="N1863">
        <v>1</v>
      </c>
      <c r="O1863">
        <v>4</v>
      </c>
      <c r="P1863">
        <v>582</v>
      </c>
      <c r="Q1863">
        <v>344</v>
      </c>
      <c r="R1863">
        <v>220</v>
      </c>
      <c r="S1863">
        <v>3559.15</v>
      </c>
    </row>
    <row r="1864" spans="12:19" x14ac:dyDescent="0.2">
      <c r="L1864" t="s">
        <v>374</v>
      </c>
      <c r="M1864">
        <v>495</v>
      </c>
      <c r="N1864">
        <v>1</v>
      </c>
      <c r="O1864">
        <v>4</v>
      </c>
      <c r="P1864">
        <v>582</v>
      </c>
      <c r="Q1864">
        <v>344</v>
      </c>
      <c r="R1864">
        <v>220</v>
      </c>
      <c r="S1864">
        <v>1804.85</v>
      </c>
    </row>
    <row r="1865" spans="12:19" x14ac:dyDescent="0.2">
      <c r="L1865" t="s">
        <v>374</v>
      </c>
      <c r="M1865">
        <v>500</v>
      </c>
      <c r="N1865">
        <v>1</v>
      </c>
      <c r="O1865">
        <v>4</v>
      </c>
      <c r="P1865">
        <v>582</v>
      </c>
      <c r="Q1865">
        <v>344</v>
      </c>
      <c r="R1865">
        <v>220</v>
      </c>
      <c r="S1865">
        <v>634.21</v>
      </c>
    </row>
    <row r="1866" spans="12:19" x14ac:dyDescent="0.2">
      <c r="L1866" t="s">
        <v>374</v>
      </c>
      <c r="M1866">
        <v>507</v>
      </c>
      <c r="N1866">
        <v>1</v>
      </c>
      <c r="O1866">
        <v>4</v>
      </c>
      <c r="P1866">
        <v>582</v>
      </c>
      <c r="Q1866">
        <v>344</v>
      </c>
      <c r="R1866">
        <v>220</v>
      </c>
      <c r="S1866">
        <v>539.89</v>
      </c>
    </row>
    <row r="1867" spans="12:19" x14ac:dyDescent="0.2">
      <c r="L1867" t="s">
        <v>374</v>
      </c>
      <c r="M1867">
        <v>508</v>
      </c>
      <c r="N1867">
        <v>1</v>
      </c>
      <c r="O1867">
        <v>4</v>
      </c>
      <c r="P1867">
        <v>582</v>
      </c>
      <c r="Q1867">
        <v>344</v>
      </c>
      <c r="R1867">
        <v>220</v>
      </c>
      <c r="S1867">
        <v>1273.74</v>
      </c>
    </row>
    <row r="1868" spans="12:19" x14ac:dyDescent="0.2">
      <c r="L1868" t="s">
        <v>374</v>
      </c>
      <c r="M1868">
        <v>518</v>
      </c>
      <c r="N1868">
        <v>1</v>
      </c>
      <c r="O1868">
        <v>4</v>
      </c>
      <c r="P1868">
        <v>582</v>
      </c>
      <c r="Q1868">
        <v>344</v>
      </c>
      <c r="R1868">
        <v>220</v>
      </c>
      <c r="S1868">
        <v>392.92</v>
      </c>
    </row>
    <row r="1869" spans="12:19" x14ac:dyDescent="0.2">
      <c r="L1869" t="s">
        <v>374</v>
      </c>
      <c r="M1869">
        <v>531</v>
      </c>
      <c r="N1869">
        <v>1</v>
      </c>
      <c r="O1869">
        <v>4</v>
      </c>
      <c r="P1869">
        <v>582</v>
      </c>
      <c r="Q1869">
        <v>344</v>
      </c>
      <c r="R1869">
        <v>220</v>
      </c>
      <c r="S1869">
        <v>2592</v>
      </c>
    </row>
    <row r="1870" spans="12:19" x14ac:dyDescent="0.2">
      <c r="L1870" t="s">
        <v>374</v>
      </c>
      <c r="M1870">
        <v>533</v>
      </c>
      <c r="N1870">
        <v>1</v>
      </c>
      <c r="O1870">
        <v>4</v>
      </c>
      <c r="P1870">
        <v>582</v>
      </c>
      <c r="Q1870">
        <v>344</v>
      </c>
      <c r="R1870">
        <v>220</v>
      </c>
      <c r="S1870">
        <v>467.63</v>
      </c>
    </row>
    <row r="1871" spans="12:19" x14ac:dyDescent="0.2">
      <c r="L1871" t="s">
        <v>374</v>
      </c>
      <c r="M1871">
        <v>534</v>
      </c>
      <c r="N1871">
        <v>1</v>
      </c>
      <c r="O1871">
        <v>4</v>
      </c>
      <c r="P1871">
        <v>582</v>
      </c>
      <c r="Q1871">
        <v>344</v>
      </c>
      <c r="R1871">
        <v>220</v>
      </c>
      <c r="S1871">
        <v>4147.21</v>
      </c>
    </row>
    <row r="1872" spans="12:19" x14ac:dyDescent="0.2">
      <c r="L1872" t="s">
        <v>374</v>
      </c>
      <c r="M1872">
        <v>549</v>
      </c>
      <c r="N1872">
        <v>1</v>
      </c>
      <c r="O1872">
        <v>4</v>
      </c>
      <c r="P1872">
        <v>582</v>
      </c>
      <c r="Q1872">
        <v>344</v>
      </c>
      <c r="R1872">
        <v>220</v>
      </c>
      <c r="S1872">
        <v>3000</v>
      </c>
    </row>
    <row r="1873" spans="12:19" x14ac:dyDescent="0.2">
      <c r="L1873" t="s">
        <v>374</v>
      </c>
      <c r="M1873">
        <v>550</v>
      </c>
      <c r="N1873">
        <v>1</v>
      </c>
      <c r="O1873">
        <v>4</v>
      </c>
      <c r="P1873">
        <v>582</v>
      </c>
      <c r="Q1873">
        <v>344</v>
      </c>
      <c r="R1873">
        <v>220</v>
      </c>
      <c r="S1873">
        <v>4030.64</v>
      </c>
    </row>
    <row r="1874" spans="12:19" x14ac:dyDescent="0.2">
      <c r="L1874" t="s">
        <v>374</v>
      </c>
      <c r="M1874">
        <v>564</v>
      </c>
      <c r="N1874">
        <v>1</v>
      </c>
      <c r="O1874">
        <v>4</v>
      </c>
      <c r="P1874">
        <v>582</v>
      </c>
      <c r="Q1874">
        <v>344</v>
      </c>
      <c r="R1874">
        <v>220</v>
      </c>
      <c r="S1874">
        <v>3050.5</v>
      </c>
    </row>
    <row r="1875" spans="12:19" x14ac:dyDescent="0.2">
      <c r="L1875" t="s">
        <v>374</v>
      </c>
      <c r="M1875">
        <v>577</v>
      </c>
      <c r="N1875">
        <v>1</v>
      </c>
      <c r="O1875">
        <v>4</v>
      </c>
      <c r="P1875">
        <v>582</v>
      </c>
      <c r="Q1875">
        <v>344</v>
      </c>
      <c r="R1875">
        <v>220</v>
      </c>
      <c r="S1875">
        <v>6.69</v>
      </c>
    </row>
    <row r="1876" spans="12:19" x14ac:dyDescent="0.2">
      <c r="L1876" t="s">
        <v>374</v>
      </c>
      <c r="M1876">
        <v>581</v>
      </c>
      <c r="N1876">
        <v>1</v>
      </c>
      <c r="O1876">
        <v>4</v>
      </c>
      <c r="P1876">
        <v>582</v>
      </c>
      <c r="Q1876">
        <v>344</v>
      </c>
      <c r="R1876">
        <v>220</v>
      </c>
      <c r="S1876">
        <v>439.35</v>
      </c>
    </row>
    <row r="1877" spans="12:19" x14ac:dyDescent="0.2">
      <c r="L1877" t="s">
        <v>374</v>
      </c>
      <c r="M1877">
        <v>592</v>
      </c>
      <c r="N1877">
        <v>1</v>
      </c>
      <c r="O1877">
        <v>4</v>
      </c>
      <c r="P1877">
        <v>582</v>
      </c>
      <c r="Q1877">
        <v>344</v>
      </c>
      <c r="R1877">
        <v>220</v>
      </c>
      <c r="S1877">
        <v>710.13</v>
      </c>
    </row>
    <row r="1878" spans="12:19" x14ac:dyDescent="0.2">
      <c r="L1878" t="s">
        <v>374</v>
      </c>
      <c r="M1878">
        <v>600</v>
      </c>
      <c r="N1878">
        <v>1</v>
      </c>
      <c r="O1878">
        <v>4</v>
      </c>
      <c r="P1878">
        <v>582</v>
      </c>
      <c r="Q1878">
        <v>344</v>
      </c>
      <c r="R1878">
        <v>220</v>
      </c>
      <c r="S1878">
        <v>4302.49</v>
      </c>
    </row>
    <row r="1879" spans="12:19" x14ac:dyDescent="0.2">
      <c r="L1879" t="s">
        <v>374</v>
      </c>
      <c r="M1879">
        <v>621</v>
      </c>
      <c r="N1879">
        <v>1</v>
      </c>
      <c r="O1879">
        <v>4</v>
      </c>
      <c r="P1879">
        <v>582</v>
      </c>
      <c r="Q1879">
        <v>344</v>
      </c>
      <c r="R1879">
        <v>220</v>
      </c>
      <c r="S1879">
        <v>8606.2900000000009</v>
      </c>
    </row>
    <row r="1880" spans="12:19" x14ac:dyDescent="0.2">
      <c r="L1880" t="s">
        <v>374</v>
      </c>
      <c r="M1880">
        <v>622</v>
      </c>
      <c r="N1880">
        <v>1</v>
      </c>
      <c r="O1880">
        <v>4</v>
      </c>
      <c r="P1880">
        <v>582</v>
      </c>
      <c r="Q1880">
        <v>344</v>
      </c>
      <c r="R1880">
        <v>220</v>
      </c>
      <c r="S1880">
        <v>7048.43</v>
      </c>
    </row>
    <row r="1881" spans="12:19" x14ac:dyDescent="0.2">
      <c r="L1881" t="s">
        <v>374</v>
      </c>
      <c r="M1881">
        <v>623</v>
      </c>
      <c r="N1881">
        <v>1</v>
      </c>
      <c r="O1881">
        <v>4</v>
      </c>
      <c r="P1881">
        <v>582</v>
      </c>
      <c r="Q1881">
        <v>344</v>
      </c>
      <c r="R1881">
        <v>220</v>
      </c>
      <c r="S1881">
        <v>2152.04</v>
      </c>
    </row>
    <row r="1882" spans="12:19" x14ac:dyDescent="0.2">
      <c r="L1882" t="s">
        <v>374</v>
      </c>
      <c r="M1882">
        <v>624</v>
      </c>
      <c r="N1882">
        <v>1</v>
      </c>
      <c r="O1882">
        <v>4</v>
      </c>
      <c r="P1882">
        <v>582</v>
      </c>
      <c r="Q1882">
        <v>344</v>
      </c>
      <c r="R1882">
        <v>220</v>
      </c>
      <c r="S1882">
        <v>6359.6</v>
      </c>
    </row>
    <row r="1883" spans="12:19" x14ac:dyDescent="0.2">
      <c r="L1883" t="s">
        <v>374</v>
      </c>
      <c r="M1883">
        <v>625</v>
      </c>
      <c r="N1883">
        <v>1</v>
      </c>
      <c r="O1883">
        <v>4</v>
      </c>
      <c r="P1883">
        <v>582</v>
      </c>
      <c r="Q1883">
        <v>344</v>
      </c>
      <c r="R1883">
        <v>220</v>
      </c>
      <c r="S1883">
        <v>63029.599999999999</v>
      </c>
    </row>
    <row r="1884" spans="12:19" x14ac:dyDescent="0.2">
      <c r="L1884" t="s">
        <v>374</v>
      </c>
      <c r="M1884">
        <v>627</v>
      </c>
      <c r="N1884">
        <v>1</v>
      </c>
      <c r="O1884">
        <v>4</v>
      </c>
      <c r="P1884">
        <v>582</v>
      </c>
      <c r="Q1884">
        <v>344</v>
      </c>
      <c r="R1884">
        <v>220</v>
      </c>
      <c r="S1884">
        <v>237.05</v>
      </c>
    </row>
    <row r="1885" spans="12:19" x14ac:dyDescent="0.2">
      <c r="L1885" t="s">
        <v>374</v>
      </c>
      <c r="M1885">
        <v>640</v>
      </c>
      <c r="N1885">
        <v>1</v>
      </c>
      <c r="O1885">
        <v>4</v>
      </c>
      <c r="P1885">
        <v>582</v>
      </c>
      <c r="Q1885">
        <v>344</v>
      </c>
      <c r="R1885">
        <v>220</v>
      </c>
      <c r="S1885">
        <v>72.959999999999994</v>
      </c>
    </row>
    <row r="1886" spans="12:19" x14ac:dyDescent="0.2">
      <c r="L1886" t="s">
        <v>374</v>
      </c>
      <c r="M1886">
        <v>656</v>
      </c>
      <c r="N1886">
        <v>1</v>
      </c>
      <c r="O1886">
        <v>4</v>
      </c>
      <c r="P1886">
        <v>582</v>
      </c>
      <c r="Q1886">
        <v>344</v>
      </c>
      <c r="R1886">
        <v>220</v>
      </c>
      <c r="S1886">
        <v>14488.97</v>
      </c>
    </row>
    <row r="1887" spans="12:19" x14ac:dyDescent="0.2">
      <c r="L1887" t="s">
        <v>374</v>
      </c>
      <c r="M1887">
        <v>659</v>
      </c>
      <c r="N1887">
        <v>1</v>
      </c>
      <c r="O1887">
        <v>4</v>
      </c>
      <c r="P1887">
        <v>582</v>
      </c>
      <c r="Q1887">
        <v>344</v>
      </c>
      <c r="R1887">
        <v>220</v>
      </c>
      <c r="S1887">
        <v>16841.59</v>
      </c>
    </row>
    <row r="1888" spans="12:19" x14ac:dyDescent="0.2">
      <c r="L1888" t="s">
        <v>374</v>
      </c>
      <c r="M1888">
        <v>682</v>
      </c>
      <c r="N1888">
        <v>1</v>
      </c>
      <c r="O1888">
        <v>4</v>
      </c>
      <c r="P1888">
        <v>582</v>
      </c>
      <c r="Q1888">
        <v>344</v>
      </c>
      <c r="R1888">
        <v>220</v>
      </c>
      <c r="S1888">
        <v>3253.59</v>
      </c>
    </row>
    <row r="1889" spans="12:19" x14ac:dyDescent="0.2">
      <c r="L1889" t="s">
        <v>374</v>
      </c>
      <c r="M1889">
        <v>690</v>
      </c>
      <c r="N1889">
        <v>1</v>
      </c>
      <c r="O1889">
        <v>4</v>
      </c>
      <c r="P1889">
        <v>582</v>
      </c>
      <c r="Q1889">
        <v>344</v>
      </c>
      <c r="R1889">
        <v>220</v>
      </c>
      <c r="S1889">
        <v>5910.41</v>
      </c>
    </row>
    <row r="1890" spans="12:19" x14ac:dyDescent="0.2">
      <c r="L1890" t="s">
        <v>374</v>
      </c>
      <c r="M1890">
        <v>709</v>
      </c>
      <c r="N1890">
        <v>1</v>
      </c>
      <c r="O1890">
        <v>4</v>
      </c>
      <c r="P1890">
        <v>582</v>
      </c>
      <c r="Q1890">
        <v>344</v>
      </c>
      <c r="R1890">
        <v>220</v>
      </c>
      <c r="S1890">
        <v>34402.07</v>
      </c>
    </row>
    <row r="1891" spans="12:19" x14ac:dyDescent="0.2">
      <c r="L1891" t="s">
        <v>374</v>
      </c>
      <c r="M1891">
        <v>712</v>
      </c>
      <c r="N1891">
        <v>1</v>
      </c>
      <c r="O1891">
        <v>4</v>
      </c>
      <c r="P1891">
        <v>582</v>
      </c>
      <c r="Q1891">
        <v>344</v>
      </c>
      <c r="R1891">
        <v>220</v>
      </c>
      <c r="S1891">
        <v>711</v>
      </c>
    </row>
    <row r="1892" spans="12:19" x14ac:dyDescent="0.2">
      <c r="L1892" t="s">
        <v>374</v>
      </c>
      <c r="M1892">
        <v>719</v>
      </c>
      <c r="N1892">
        <v>1</v>
      </c>
      <c r="O1892">
        <v>4</v>
      </c>
      <c r="P1892">
        <v>582</v>
      </c>
      <c r="Q1892">
        <v>344</v>
      </c>
      <c r="R1892">
        <v>220</v>
      </c>
      <c r="S1892">
        <v>11562.28</v>
      </c>
    </row>
    <row r="1893" spans="12:19" x14ac:dyDescent="0.2">
      <c r="L1893" t="s">
        <v>374</v>
      </c>
      <c r="M1893">
        <v>720</v>
      </c>
      <c r="N1893">
        <v>1</v>
      </c>
      <c r="O1893">
        <v>4</v>
      </c>
      <c r="P1893">
        <v>582</v>
      </c>
      <c r="Q1893">
        <v>344</v>
      </c>
      <c r="R1893">
        <v>220</v>
      </c>
      <c r="S1893">
        <v>3928.04</v>
      </c>
    </row>
    <row r="1894" spans="12:19" x14ac:dyDescent="0.2">
      <c r="L1894" t="s">
        <v>374</v>
      </c>
      <c r="M1894">
        <v>721</v>
      </c>
      <c r="N1894">
        <v>1</v>
      </c>
      <c r="O1894">
        <v>4</v>
      </c>
      <c r="P1894">
        <v>582</v>
      </c>
      <c r="Q1894">
        <v>344</v>
      </c>
      <c r="R1894">
        <v>220</v>
      </c>
      <c r="S1894">
        <v>22354</v>
      </c>
    </row>
    <row r="1895" spans="12:19" x14ac:dyDescent="0.2">
      <c r="L1895" t="s">
        <v>374</v>
      </c>
      <c r="M1895">
        <v>726</v>
      </c>
      <c r="N1895">
        <v>1</v>
      </c>
      <c r="O1895">
        <v>4</v>
      </c>
      <c r="P1895">
        <v>582</v>
      </c>
      <c r="Q1895">
        <v>344</v>
      </c>
      <c r="R1895">
        <v>220</v>
      </c>
      <c r="S1895">
        <v>2859.11</v>
      </c>
    </row>
    <row r="1896" spans="12:19" x14ac:dyDescent="0.2">
      <c r="L1896" t="s">
        <v>374</v>
      </c>
      <c r="M1896">
        <v>727</v>
      </c>
      <c r="N1896">
        <v>1</v>
      </c>
      <c r="O1896">
        <v>4</v>
      </c>
      <c r="P1896">
        <v>582</v>
      </c>
      <c r="Q1896">
        <v>344</v>
      </c>
      <c r="R1896">
        <v>220</v>
      </c>
      <c r="S1896">
        <v>781.71</v>
      </c>
    </row>
    <row r="1897" spans="12:19" x14ac:dyDescent="0.2">
      <c r="L1897" t="s">
        <v>374</v>
      </c>
      <c r="M1897">
        <v>739</v>
      </c>
      <c r="N1897">
        <v>1</v>
      </c>
      <c r="O1897">
        <v>4</v>
      </c>
      <c r="P1897">
        <v>582</v>
      </c>
      <c r="Q1897">
        <v>344</v>
      </c>
      <c r="R1897">
        <v>220</v>
      </c>
      <c r="S1897">
        <v>1053.83</v>
      </c>
    </row>
    <row r="1898" spans="12:19" x14ac:dyDescent="0.2">
      <c r="L1898" t="s">
        <v>374</v>
      </c>
      <c r="M1898">
        <v>740</v>
      </c>
      <c r="N1898">
        <v>1</v>
      </c>
      <c r="O1898">
        <v>4</v>
      </c>
      <c r="P1898">
        <v>582</v>
      </c>
      <c r="Q1898">
        <v>344</v>
      </c>
      <c r="R1898">
        <v>220</v>
      </c>
      <c r="S1898">
        <v>353.36</v>
      </c>
    </row>
    <row r="1899" spans="12:19" x14ac:dyDescent="0.2">
      <c r="L1899" t="s">
        <v>374</v>
      </c>
      <c r="M1899">
        <v>742</v>
      </c>
      <c r="N1899">
        <v>1</v>
      </c>
      <c r="O1899">
        <v>4</v>
      </c>
      <c r="P1899">
        <v>582</v>
      </c>
      <c r="Q1899">
        <v>344</v>
      </c>
      <c r="R1899">
        <v>220</v>
      </c>
      <c r="S1899">
        <v>21576.89</v>
      </c>
    </row>
    <row r="1900" spans="12:19" x14ac:dyDescent="0.2">
      <c r="L1900" t="s">
        <v>374</v>
      </c>
      <c r="M1900">
        <v>748</v>
      </c>
      <c r="N1900">
        <v>1</v>
      </c>
      <c r="O1900">
        <v>4</v>
      </c>
      <c r="P1900">
        <v>582</v>
      </c>
      <c r="Q1900">
        <v>344</v>
      </c>
      <c r="R1900">
        <v>220</v>
      </c>
      <c r="S1900">
        <v>11794.53</v>
      </c>
    </row>
    <row r="1901" spans="12:19" x14ac:dyDescent="0.2">
      <c r="L1901" t="s">
        <v>374</v>
      </c>
      <c r="M1901">
        <v>750</v>
      </c>
      <c r="N1901">
        <v>1</v>
      </c>
      <c r="O1901">
        <v>4</v>
      </c>
      <c r="P1901">
        <v>582</v>
      </c>
      <c r="Q1901">
        <v>344</v>
      </c>
      <c r="R1901">
        <v>220</v>
      </c>
      <c r="S1901">
        <v>36.35</v>
      </c>
    </row>
    <row r="1902" spans="12:19" x14ac:dyDescent="0.2">
      <c r="L1902" t="s">
        <v>374</v>
      </c>
      <c r="M1902">
        <v>756</v>
      </c>
      <c r="N1902">
        <v>1</v>
      </c>
      <c r="O1902">
        <v>4</v>
      </c>
      <c r="P1902">
        <v>582</v>
      </c>
      <c r="Q1902">
        <v>344</v>
      </c>
      <c r="R1902">
        <v>220</v>
      </c>
      <c r="S1902">
        <v>2593.12</v>
      </c>
    </row>
    <row r="1903" spans="12:19" x14ac:dyDescent="0.2">
      <c r="L1903" t="s">
        <v>374</v>
      </c>
      <c r="M1903">
        <v>761</v>
      </c>
      <c r="N1903">
        <v>1</v>
      </c>
      <c r="O1903">
        <v>4</v>
      </c>
      <c r="P1903">
        <v>582</v>
      </c>
      <c r="Q1903">
        <v>344</v>
      </c>
      <c r="R1903">
        <v>220</v>
      </c>
      <c r="S1903">
        <v>4269.87</v>
      </c>
    </row>
    <row r="1904" spans="12:19" x14ac:dyDescent="0.2">
      <c r="L1904" t="s">
        <v>374</v>
      </c>
      <c r="M1904">
        <v>768</v>
      </c>
      <c r="N1904">
        <v>1</v>
      </c>
      <c r="O1904">
        <v>4</v>
      </c>
      <c r="P1904">
        <v>582</v>
      </c>
      <c r="Q1904">
        <v>344</v>
      </c>
      <c r="R1904">
        <v>220</v>
      </c>
      <c r="S1904">
        <v>199.69</v>
      </c>
    </row>
    <row r="1905" spans="12:19" x14ac:dyDescent="0.2">
      <c r="L1905" t="s">
        <v>374</v>
      </c>
      <c r="M1905">
        <v>769</v>
      </c>
      <c r="N1905">
        <v>1</v>
      </c>
      <c r="O1905">
        <v>4</v>
      </c>
      <c r="P1905">
        <v>582</v>
      </c>
      <c r="Q1905">
        <v>344</v>
      </c>
      <c r="R1905">
        <v>220</v>
      </c>
      <c r="S1905">
        <v>529.20000000000005</v>
      </c>
    </row>
    <row r="1906" spans="12:19" x14ac:dyDescent="0.2">
      <c r="L1906" t="s">
        <v>374</v>
      </c>
      <c r="M1906">
        <v>771</v>
      </c>
      <c r="N1906">
        <v>1</v>
      </c>
      <c r="O1906">
        <v>4</v>
      </c>
      <c r="P1906">
        <v>582</v>
      </c>
      <c r="Q1906">
        <v>344</v>
      </c>
      <c r="R1906">
        <v>220</v>
      </c>
      <c r="S1906">
        <v>1414.95</v>
      </c>
    </row>
    <row r="1907" spans="12:19" x14ac:dyDescent="0.2">
      <c r="L1907" t="s">
        <v>374</v>
      </c>
      <c r="M1907">
        <v>777</v>
      </c>
      <c r="N1907">
        <v>1</v>
      </c>
      <c r="O1907">
        <v>4</v>
      </c>
      <c r="P1907">
        <v>582</v>
      </c>
      <c r="Q1907">
        <v>344</v>
      </c>
      <c r="R1907">
        <v>220</v>
      </c>
      <c r="S1907">
        <v>1397.28</v>
      </c>
    </row>
    <row r="1908" spans="12:19" x14ac:dyDescent="0.2">
      <c r="L1908" t="s">
        <v>374</v>
      </c>
      <c r="M1908">
        <v>803</v>
      </c>
      <c r="N1908">
        <v>1</v>
      </c>
      <c r="O1908">
        <v>4</v>
      </c>
      <c r="P1908">
        <v>582</v>
      </c>
      <c r="Q1908">
        <v>344</v>
      </c>
      <c r="R1908">
        <v>220</v>
      </c>
      <c r="S1908">
        <v>1541.56</v>
      </c>
    </row>
    <row r="1909" spans="12:19" x14ac:dyDescent="0.2">
      <c r="L1909" t="s">
        <v>374</v>
      </c>
      <c r="M1909">
        <v>811</v>
      </c>
      <c r="N1909">
        <v>1</v>
      </c>
      <c r="O1909">
        <v>4</v>
      </c>
      <c r="P1909">
        <v>582</v>
      </c>
      <c r="Q1909">
        <v>344</v>
      </c>
      <c r="R1909">
        <v>220</v>
      </c>
      <c r="S1909">
        <v>9794.2900000000009</v>
      </c>
    </row>
    <row r="1910" spans="12:19" x14ac:dyDescent="0.2">
      <c r="L1910" t="s">
        <v>374</v>
      </c>
      <c r="M1910">
        <v>820</v>
      </c>
      <c r="N1910">
        <v>1</v>
      </c>
      <c r="O1910">
        <v>4</v>
      </c>
      <c r="P1910">
        <v>582</v>
      </c>
      <c r="Q1910">
        <v>344</v>
      </c>
      <c r="R1910">
        <v>220</v>
      </c>
      <c r="S1910">
        <v>21.6</v>
      </c>
    </row>
    <row r="1911" spans="12:19" x14ac:dyDescent="0.2">
      <c r="L1911" t="s">
        <v>374</v>
      </c>
      <c r="M1911">
        <v>832</v>
      </c>
      <c r="N1911">
        <v>1</v>
      </c>
      <c r="O1911">
        <v>4</v>
      </c>
      <c r="P1911">
        <v>582</v>
      </c>
      <c r="Q1911">
        <v>344</v>
      </c>
      <c r="R1911">
        <v>220</v>
      </c>
      <c r="S1911">
        <v>132.69</v>
      </c>
    </row>
    <row r="1912" spans="12:19" x14ac:dyDescent="0.2">
      <c r="L1912" t="s">
        <v>374</v>
      </c>
      <c r="M1912">
        <v>833</v>
      </c>
      <c r="N1912">
        <v>1</v>
      </c>
      <c r="O1912">
        <v>4</v>
      </c>
      <c r="P1912">
        <v>582</v>
      </c>
      <c r="Q1912">
        <v>344</v>
      </c>
      <c r="R1912">
        <v>220</v>
      </c>
      <c r="S1912">
        <v>35783.440000000002</v>
      </c>
    </row>
    <row r="1913" spans="12:19" x14ac:dyDescent="0.2">
      <c r="L1913" t="s">
        <v>374</v>
      </c>
      <c r="M1913">
        <v>834</v>
      </c>
      <c r="N1913">
        <v>1</v>
      </c>
      <c r="O1913">
        <v>4</v>
      </c>
      <c r="P1913">
        <v>582</v>
      </c>
      <c r="Q1913">
        <v>344</v>
      </c>
      <c r="R1913">
        <v>220</v>
      </c>
      <c r="S1913">
        <v>4751.46</v>
      </c>
    </row>
    <row r="1914" spans="12:19" x14ac:dyDescent="0.2">
      <c r="L1914" t="s">
        <v>374</v>
      </c>
      <c r="M1914">
        <v>836</v>
      </c>
      <c r="N1914">
        <v>1</v>
      </c>
      <c r="O1914">
        <v>4</v>
      </c>
      <c r="P1914">
        <v>582</v>
      </c>
      <c r="Q1914">
        <v>344</v>
      </c>
      <c r="R1914">
        <v>220</v>
      </c>
      <c r="S1914">
        <v>96.96</v>
      </c>
    </row>
    <row r="1915" spans="12:19" x14ac:dyDescent="0.2">
      <c r="L1915" t="s">
        <v>374</v>
      </c>
      <c r="M1915">
        <v>846</v>
      </c>
      <c r="N1915">
        <v>1</v>
      </c>
      <c r="O1915">
        <v>4</v>
      </c>
      <c r="P1915">
        <v>582</v>
      </c>
      <c r="Q1915">
        <v>344</v>
      </c>
      <c r="R1915">
        <v>220</v>
      </c>
      <c r="S1915">
        <v>1390.43</v>
      </c>
    </row>
    <row r="1916" spans="12:19" x14ac:dyDescent="0.2">
      <c r="L1916" t="s">
        <v>374</v>
      </c>
      <c r="M1916">
        <v>861</v>
      </c>
      <c r="N1916">
        <v>1</v>
      </c>
      <c r="O1916">
        <v>4</v>
      </c>
      <c r="P1916">
        <v>582</v>
      </c>
      <c r="Q1916">
        <v>344</v>
      </c>
      <c r="R1916">
        <v>220</v>
      </c>
      <c r="S1916">
        <v>4118.79</v>
      </c>
    </row>
    <row r="1917" spans="12:19" x14ac:dyDescent="0.2">
      <c r="L1917" t="s">
        <v>374</v>
      </c>
      <c r="M1917">
        <v>876</v>
      </c>
      <c r="N1917">
        <v>1</v>
      </c>
      <c r="O1917">
        <v>4</v>
      </c>
      <c r="P1917">
        <v>582</v>
      </c>
      <c r="Q1917">
        <v>344</v>
      </c>
      <c r="R1917">
        <v>220</v>
      </c>
      <c r="S1917">
        <v>3608.32</v>
      </c>
    </row>
    <row r="1918" spans="12:19" x14ac:dyDescent="0.2">
      <c r="L1918" t="s">
        <v>374</v>
      </c>
      <c r="M1918">
        <v>877</v>
      </c>
      <c r="N1918">
        <v>1</v>
      </c>
      <c r="O1918">
        <v>4</v>
      </c>
      <c r="P1918">
        <v>582</v>
      </c>
      <c r="Q1918">
        <v>344</v>
      </c>
      <c r="R1918">
        <v>220</v>
      </c>
      <c r="S1918">
        <v>8544.73</v>
      </c>
    </row>
    <row r="1919" spans="12:19" x14ac:dyDescent="0.2">
      <c r="L1919" t="s">
        <v>374</v>
      </c>
      <c r="M1919">
        <v>879</v>
      </c>
      <c r="N1919">
        <v>1</v>
      </c>
      <c r="O1919">
        <v>4</v>
      </c>
      <c r="P1919">
        <v>582</v>
      </c>
      <c r="Q1919">
        <v>344</v>
      </c>
      <c r="R1919">
        <v>220</v>
      </c>
      <c r="S1919">
        <v>1582</v>
      </c>
    </row>
    <row r="1920" spans="12:19" x14ac:dyDescent="0.2">
      <c r="L1920" t="s">
        <v>374</v>
      </c>
      <c r="M1920">
        <v>882</v>
      </c>
      <c r="N1920">
        <v>1</v>
      </c>
      <c r="O1920">
        <v>4</v>
      </c>
      <c r="P1920">
        <v>582</v>
      </c>
      <c r="Q1920">
        <v>344</v>
      </c>
      <c r="R1920">
        <v>220</v>
      </c>
      <c r="S1920">
        <v>732.75</v>
      </c>
    </row>
    <row r="1921" spans="12:19" x14ac:dyDescent="0.2">
      <c r="L1921" t="s">
        <v>374</v>
      </c>
      <c r="M1921">
        <v>885</v>
      </c>
      <c r="N1921">
        <v>1</v>
      </c>
      <c r="O1921">
        <v>4</v>
      </c>
      <c r="P1921">
        <v>582</v>
      </c>
      <c r="Q1921">
        <v>344</v>
      </c>
      <c r="R1921">
        <v>220</v>
      </c>
      <c r="S1921">
        <v>13341.03</v>
      </c>
    </row>
    <row r="1922" spans="12:19" x14ac:dyDescent="0.2">
      <c r="L1922" t="s">
        <v>374</v>
      </c>
      <c r="M1922">
        <v>891</v>
      </c>
      <c r="N1922">
        <v>1</v>
      </c>
      <c r="O1922">
        <v>4</v>
      </c>
      <c r="P1922">
        <v>582</v>
      </c>
      <c r="Q1922">
        <v>344</v>
      </c>
      <c r="R1922">
        <v>220</v>
      </c>
      <c r="S1922">
        <v>35.68</v>
      </c>
    </row>
    <row r="1923" spans="12:19" x14ac:dyDescent="0.2">
      <c r="L1923" t="s">
        <v>374</v>
      </c>
      <c r="M1923">
        <v>911</v>
      </c>
      <c r="N1923">
        <v>1</v>
      </c>
      <c r="O1923">
        <v>4</v>
      </c>
      <c r="P1923">
        <v>582</v>
      </c>
      <c r="Q1923">
        <v>344</v>
      </c>
      <c r="R1923">
        <v>220</v>
      </c>
      <c r="S1923">
        <v>220.23</v>
      </c>
    </row>
    <row r="1924" spans="12:19" x14ac:dyDescent="0.2">
      <c r="L1924" t="s">
        <v>374</v>
      </c>
      <c r="M1924">
        <v>2125</v>
      </c>
      <c r="N1924">
        <v>1</v>
      </c>
      <c r="O1924">
        <v>4</v>
      </c>
      <c r="P1924">
        <v>582</v>
      </c>
      <c r="Q1924">
        <v>344</v>
      </c>
      <c r="R1924">
        <v>220</v>
      </c>
      <c r="S1924">
        <v>496.99</v>
      </c>
    </row>
    <row r="1925" spans="12:19" x14ac:dyDescent="0.2">
      <c r="L1925" t="s">
        <v>374</v>
      </c>
      <c r="M1925">
        <v>2134</v>
      </c>
      <c r="N1925">
        <v>1</v>
      </c>
      <c r="O1925">
        <v>4</v>
      </c>
      <c r="P1925">
        <v>582</v>
      </c>
      <c r="Q1925">
        <v>344</v>
      </c>
      <c r="R1925">
        <v>220</v>
      </c>
      <c r="S1925">
        <v>4567.2</v>
      </c>
    </row>
    <row r="1926" spans="12:19" x14ac:dyDescent="0.2">
      <c r="L1926" t="s">
        <v>374</v>
      </c>
      <c r="M1926">
        <v>2142</v>
      </c>
      <c r="N1926">
        <v>1</v>
      </c>
      <c r="O1926">
        <v>4</v>
      </c>
      <c r="P1926">
        <v>582</v>
      </c>
      <c r="Q1926">
        <v>344</v>
      </c>
      <c r="R1926">
        <v>220</v>
      </c>
      <c r="S1926">
        <v>8728.84</v>
      </c>
    </row>
    <row r="1927" spans="12:19" x14ac:dyDescent="0.2">
      <c r="L1927" t="s">
        <v>374</v>
      </c>
      <c r="M1927">
        <v>2144</v>
      </c>
      <c r="N1927">
        <v>1</v>
      </c>
      <c r="O1927">
        <v>4</v>
      </c>
      <c r="P1927">
        <v>582</v>
      </c>
      <c r="Q1927">
        <v>344</v>
      </c>
      <c r="R1927">
        <v>220</v>
      </c>
      <c r="S1927">
        <v>958.07</v>
      </c>
    </row>
    <row r="1928" spans="12:19" x14ac:dyDescent="0.2">
      <c r="L1928" t="s">
        <v>374</v>
      </c>
      <c r="M1928">
        <v>2159</v>
      </c>
      <c r="N1928">
        <v>1</v>
      </c>
      <c r="O1928">
        <v>4</v>
      </c>
      <c r="P1928">
        <v>582</v>
      </c>
      <c r="Q1928">
        <v>344</v>
      </c>
      <c r="R1928">
        <v>220</v>
      </c>
      <c r="S1928">
        <v>26.71</v>
      </c>
    </row>
    <row r="1929" spans="12:19" x14ac:dyDescent="0.2">
      <c r="L1929" t="s">
        <v>374</v>
      </c>
      <c r="M1929">
        <v>2168</v>
      </c>
      <c r="N1929">
        <v>1</v>
      </c>
      <c r="O1929">
        <v>4</v>
      </c>
      <c r="P1929">
        <v>582</v>
      </c>
      <c r="Q1929">
        <v>344</v>
      </c>
      <c r="R1929">
        <v>220</v>
      </c>
      <c r="S1929">
        <v>60.32</v>
      </c>
    </row>
    <row r="1930" spans="12:19" x14ac:dyDescent="0.2">
      <c r="L1930" t="s">
        <v>374</v>
      </c>
      <c r="M1930">
        <v>2171</v>
      </c>
      <c r="N1930">
        <v>1</v>
      </c>
      <c r="O1930">
        <v>4</v>
      </c>
      <c r="P1930">
        <v>582</v>
      </c>
      <c r="Q1930">
        <v>344</v>
      </c>
      <c r="R1930">
        <v>220</v>
      </c>
      <c r="S1930">
        <v>4026.58</v>
      </c>
    </row>
    <row r="1931" spans="12:19" x14ac:dyDescent="0.2">
      <c r="L1931" t="s">
        <v>374</v>
      </c>
      <c r="M1931">
        <v>2174</v>
      </c>
      <c r="N1931">
        <v>1</v>
      </c>
      <c r="O1931">
        <v>4</v>
      </c>
      <c r="P1931">
        <v>582</v>
      </c>
      <c r="Q1931">
        <v>344</v>
      </c>
      <c r="R1931">
        <v>220</v>
      </c>
      <c r="S1931">
        <v>694.96</v>
      </c>
    </row>
    <row r="1932" spans="12:19" x14ac:dyDescent="0.2">
      <c r="L1932" t="s">
        <v>374</v>
      </c>
      <c r="M1932">
        <v>2364</v>
      </c>
      <c r="N1932">
        <v>1</v>
      </c>
      <c r="O1932">
        <v>4</v>
      </c>
      <c r="P1932">
        <v>582</v>
      </c>
      <c r="Q1932">
        <v>344</v>
      </c>
      <c r="R1932">
        <v>220</v>
      </c>
      <c r="S1932">
        <v>828.24</v>
      </c>
    </row>
    <row r="1933" spans="12:19" x14ac:dyDescent="0.2">
      <c r="L1933" t="s">
        <v>374</v>
      </c>
      <c r="M1933">
        <v>2365</v>
      </c>
      <c r="N1933">
        <v>1</v>
      </c>
      <c r="O1933">
        <v>4</v>
      </c>
      <c r="P1933">
        <v>582</v>
      </c>
      <c r="Q1933">
        <v>344</v>
      </c>
      <c r="R1933">
        <v>220</v>
      </c>
      <c r="S1933">
        <v>335.9</v>
      </c>
    </row>
    <row r="1934" spans="12:19" x14ac:dyDescent="0.2">
      <c r="L1934" t="s">
        <v>374</v>
      </c>
      <c r="M1934">
        <v>2396</v>
      </c>
      <c r="N1934">
        <v>1</v>
      </c>
      <c r="O1934">
        <v>4</v>
      </c>
      <c r="P1934">
        <v>582</v>
      </c>
      <c r="Q1934">
        <v>344</v>
      </c>
      <c r="R1934">
        <v>220</v>
      </c>
      <c r="S1934">
        <v>445.31</v>
      </c>
    </row>
    <row r="1935" spans="12:19" x14ac:dyDescent="0.2">
      <c r="L1935" t="s">
        <v>374</v>
      </c>
      <c r="M1935">
        <v>2397</v>
      </c>
      <c r="N1935">
        <v>1</v>
      </c>
      <c r="O1935">
        <v>4</v>
      </c>
      <c r="P1935">
        <v>582</v>
      </c>
      <c r="Q1935">
        <v>344</v>
      </c>
      <c r="R1935">
        <v>220</v>
      </c>
      <c r="S1935">
        <v>1159.93</v>
      </c>
    </row>
    <row r="1936" spans="12:19" x14ac:dyDescent="0.2">
      <c r="L1936" t="s">
        <v>374</v>
      </c>
      <c r="M1936">
        <v>2448</v>
      </c>
      <c r="N1936">
        <v>1</v>
      </c>
      <c r="O1936">
        <v>4</v>
      </c>
      <c r="P1936">
        <v>582</v>
      </c>
      <c r="Q1936">
        <v>344</v>
      </c>
      <c r="R1936">
        <v>220</v>
      </c>
      <c r="S1936">
        <v>1130.4000000000001</v>
      </c>
    </row>
    <row r="1937" spans="12:19" x14ac:dyDescent="0.2">
      <c r="L1937" t="s">
        <v>374</v>
      </c>
      <c r="M1937">
        <v>2689</v>
      </c>
      <c r="N1937">
        <v>1</v>
      </c>
      <c r="O1937">
        <v>4</v>
      </c>
      <c r="P1937">
        <v>582</v>
      </c>
      <c r="Q1937">
        <v>344</v>
      </c>
      <c r="R1937">
        <v>220</v>
      </c>
      <c r="S1937">
        <v>6.07</v>
      </c>
    </row>
    <row r="1938" spans="12:19" x14ac:dyDescent="0.2">
      <c r="L1938" t="s">
        <v>374</v>
      </c>
      <c r="M1938">
        <v>2711</v>
      </c>
      <c r="N1938">
        <v>1</v>
      </c>
      <c r="O1938">
        <v>4</v>
      </c>
      <c r="P1938">
        <v>582</v>
      </c>
      <c r="Q1938">
        <v>344</v>
      </c>
      <c r="R1938">
        <v>220</v>
      </c>
      <c r="S1938">
        <v>1500</v>
      </c>
    </row>
    <row r="1939" spans="12:19" x14ac:dyDescent="0.2">
      <c r="L1939" t="s">
        <v>374</v>
      </c>
      <c r="M1939">
        <v>2752</v>
      </c>
      <c r="N1939">
        <v>1</v>
      </c>
      <c r="O1939">
        <v>4</v>
      </c>
      <c r="P1939">
        <v>582</v>
      </c>
      <c r="Q1939">
        <v>344</v>
      </c>
      <c r="R1939">
        <v>220</v>
      </c>
      <c r="S1939">
        <v>462.48</v>
      </c>
    </row>
    <row r="1940" spans="12:19" x14ac:dyDescent="0.2">
      <c r="L1940" t="s">
        <v>374</v>
      </c>
      <c r="M1940">
        <v>2754</v>
      </c>
      <c r="N1940">
        <v>1</v>
      </c>
      <c r="O1940">
        <v>4</v>
      </c>
      <c r="P1940">
        <v>582</v>
      </c>
      <c r="Q1940">
        <v>344</v>
      </c>
      <c r="R1940">
        <v>220</v>
      </c>
      <c r="S1940">
        <v>4238.1499999999996</v>
      </c>
    </row>
    <row r="1941" spans="12:19" x14ac:dyDescent="0.2">
      <c r="L1941" t="s">
        <v>374</v>
      </c>
      <c r="M1941">
        <v>2835</v>
      </c>
      <c r="N1941">
        <v>1</v>
      </c>
      <c r="O1941">
        <v>4</v>
      </c>
      <c r="P1941">
        <v>582</v>
      </c>
      <c r="Q1941">
        <v>344</v>
      </c>
      <c r="R1941">
        <v>220</v>
      </c>
      <c r="S1941">
        <v>5238.93</v>
      </c>
    </row>
    <row r="1942" spans="12:19" x14ac:dyDescent="0.2">
      <c r="L1942" t="s">
        <v>374</v>
      </c>
      <c r="M1942">
        <v>2854</v>
      </c>
      <c r="N1942">
        <v>1</v>
      </c>
      <c r="O1942">
        <v>4</v>
      </c>
      <c r="P1942">
        <v>582</v>
      </c>
      <c r="Q1942">
        <v>344</v>
      </c>
      <c r="R1942">
        <v>220</v>
      </c>
      <c r="S1942">
        <v>8480.2999999999993</v>
      </c>
    </row>
    <row r="1943" spans="12:19" x14ac:dyDescent="0.2">
      <c r="L1943" t="s">
        <v>374</v>
      </c>
      <c r="M1943">
        <v>2859</v>
      </c>
      <c r="N1943">
        <v>1</v>
      </c>
      <c r="O1943">
        <v>4</v>
      </c>
      <c r="P1943">
        <v>582</v>
      </c>
      <c r="Q1943">
        <v>344</v>
      </c>
      <c r="R1943">
        <v>220</v>
      </c>
      <c r="S1943">
        <v>841</v>
      </c>
    </row>
    <row r="1944" spans="12:19" x14ac:dyDescent="0.2">
      <c r="L1944" t="s">
        <v>374</v>
      </c>
      <c r="M1944">
        <v>2899</v>
      </c>
      <c r="N1944">
        <v>1</v>
      </c>
      <c r="O1944">
        <v>4</v>
      </c>
      <c r="P1944">
        <v>582</v>
      </c>
      <c r="Q1944">
        <v>344</v>
      </c>
      <c r="R1944">
        <v>220</v>
      </c>
      <c r="S1944">
        <v>9466.33</v>
      </c>
    </row>
    <row r="1945" spans="12:19" x14ac:dyDescent="0.2">
      <c r="L1945" t="s">
        <v>374</v>
      </c>
      <c r="M1945">
        <v>139</v>
      </c>
      <c r="N1945">
        <v>1</v>
      </c>
      <c r="O1945">
        <v>4</v>
      </c>
      <c r="P1945">
        <v>582</v>
      </c>
      <c r="Q1945">
        <v>321</v>
      </c>
      <c r="R1945">
        <v>220</v>
      </c>
      <c r="S1945">
        <v>8710.75</v>
      </c>
    </row>
    <row r="1946" spans="12:19" x14ac:dyDescent="0.2">
      <c r="L1946" t="s">
        <v>374</v>
      </c>
      <c r="M1946">
        <v>256</v>
      </c>
      <c r="N1946">
        <v>1</v>
      </c>
      <c r="O1946">
        <v>4</v>
      </c>
      <c r="P1946">
        <v>582</v>
      </c>
      <c r="Q1946">
        <v>0</v>
      </c>
      <c r="R1946">
        <v>220</v>
      </c>
      <c r="S1946">
        <v>1288.8</v>
      </c>
    </row>
    <row r="1947" spans="12:19" x14ac:dyDescent="0.2">
      <c r="L1947" t="s">
        <v>374</v>
      </c>
      <c r="M1947">
        <v>621</v>
      </c>
      <c r="N1947">
        <v>1</v>
      </c>
      <c r="O1947">
        <v>4</v>
      </c>
      <c r="P1947">
        <v>582</v>
      </c>
      <c r="Q1947">
        <v>0</v>
      </c>
      <c r="R1947">
        <v>220</v>
      </c>
      <c r="S1947">
        <v>56.37</v>
      </c>
    </row>
    <row r="1948" spans="12:19" x14ac:dyDescent="0.2">
      <c r="L1948" t="s">
        <v>374</v>
      </c>
      <c r="M1948">
        <v>625</v>
      </c>
      <c r="N1948">
        <v>1</v>
      </c>
      <c r="O1948">
        <v>4</v>
      </c>
      <c r="P1948">
        <v>582</v>
      </c>
      <c r="Q1948">
        <v>0</v>
      </c>
      <c r="R1948">
        <v>220</v>
      </c>
      <c r="S1948">
        <v>32340.400000000001</v>
      </c>
    </row>
    <row r="1949" spans="12:19" x14ac:dyDescent="0.2">
      <c r="L1949" t="s">
        <v>374</v>
      </c>
      <c r="M1949">
        <v>99</v>
      </c>
      <c r="N1949">
        <v>1</v>
      </c>
      <c r="O1949">
        <v>4</v>
      </c>
      <c r="P1949">
        <v>582</v>
      </c>
      <c r="Q1949">
        <v>799</v>
      </c>
      <c r="R1949">
        <v>218</v>
      </c>
      <c r="S1949">
        <v>325.23</v>
      </c>
    </row>
    <row r="1950" spans="12:19" x14ac:dyDescent="0.2">
      <c r="L1950" t="s">
        <v>374</v>
      </c>
      <c r="M1950">
        <v>1</v>
      </c>
      <c r="N1950">
        <v>3</v>
      </c>
      <c r="O1950">
        <v>4</v>
      </c>
      <c r="P1950">
        <v>582</v>
      </c>
      <c r="Q1950">
        <v>599</v>
      </c>
      <c r="R1950">
        <v>218</v>
      </c>
      <c r="S1950">
        <v>984.96</v>
      </c>
    </row>
    <row r="1951" spans="12:19" x14ac:dyDescent="0.2">
      <c r="L1951" t="s">
        <v>374</v>
      </c>
      <c r="M1951">
        <v>1</v>
      </c>
      <c r="N1951">
        <v>3</v>
      </c>
      <c r="O1951">
        <v>4</v>
      </c>
      <c r="P1951">
        <v>582</v>
      </c>
      <c r="Q1951">
        <v>599</v>
      </c>
      <c r="R1951">
        <v>218</v>
      </c>
      <c r="S1951">
        <v>-25.82</v>
      </c>
    </row>
    <row r="1952" spans="12:19" x14ac:dyDescent="0.2">
      <c r="L1952" t="s">
        <v>374</v>
      </c>
      <c r="M1952">
        <v>625</v>
      </c>
      <c r="N1952">
        <v>1</v>
      </c>
      <c r="O1952">
        <v>4</v>
      </c>
      <c r="P1952">
        <v>582</v>
      </c>
      <c r="Q1952">
        <v>599</v>
      </c>
      <c r="R1952">
        <v>218</v>
      </c>
      <c r="S1952">
        <v>37951.68</v>
      </c>
    </row>
    <row r="1953" spans="12:19" x14ac:dyDescent="0.2">
      <c r="L1953" t="s">
        <v>374</v>
      </c>
      <c r="M1953">
        <v>81</v>
      </c>
      <c r="N1953">
        <v>1</v>
      </c>
      <c r="O1953">
        <v>4</v>
      </c>
      <c r="P1953">
        <v>581</v>
      </c>
      <c r="Q1953">
        <v>344</v>
      </c>
      <c r="R1953">
        <v>218</v>
      </c>
      <c r="S1953">
        <v>142.12</v>
      </c>
    </row>
    <row r="1954" spans="12:19" x14ac:dyDescent="0.2">
      <c r="L1954" t="s">
        <v>374</v>
      </c>
      <c r="M1954">
        <v>463</v>
      </c>
      <c r="N1954">
        <v>1</v>
      </c>
      <c r="O1954">
        <v>4</v>
      </c>
      <c r="P1954">
        <v>581</v>
      </c>
      <c r="Q1954">
        <v>344</v>
      </c>
      <c r="R1954">
        <v>218</v>
      </c>
      <c r="S1954">
        <v>1712.91</v>
      </c>
    </row>
    <row r="1955" spans="12:19" x14ac:dyDescent="0.2">
      <c r="L1955" t="s">
        <v>374</v>
      </c>
      <c r="M1955">
        <v>1</v>
      </c>
      <c r="N1955">
        <v>1</v>
      </c>
      <c r="O1955">
        <v>4</v>
      </c>
      <c r="P1955">
        <v>582</v>
      </c>
      <c r="Q1955">
        <v>344</v>
      </c>
      <c r="R1955">
        <v>218</v>
      </c>
      <c r="S1955">
        <v>1612.79</v>
      </c>
    </row>
    <row r="1956" spans="12:19" x14ac:dyDescent="0.2">
      <c r="L1956" t="s">
        <v>374</v>
      </c>
      <c r="M1956">
        <v>1</v>
      </c>
      <c r="N1956">
        <v>3</v>
      </c>
      <c r="O1956">
        <v>4</v>
      </c>
      <c r="P1956">
        <v>582</v>
      </c>
      <c r="Q1956">
        <v>344</v>
      </c>
      <c r="R1956">
        <v>218</v>
      </c>
      <c r="S1956">
        <v>38530.93</v>
      </c>
    </row>
    <row r="1957" spans="12:19" x14ac:dyDescent="0.2">
      <c r="L1957" t="s">
        <v>374</v>
      </c>
      <c r="M1957">
        <v>1</v>
      </c>
      <c r="N1957">
        <v>3</v>
      </c>
      <c r="O1957">
        <v>4</v>
      </c>
      <c r="P1957">
        <v>582</v>
      </c>
      <c r="Q1957">
        <v>344</v>
      </c>
      <c r="R1957">
        <v>218</v>
      </c>
      <c r="S1957">
        <v>441.88</v>
      </c>
    </row>
    <row r="1958" spans="12:19" x14ac:dyDescent="0.2">
      <c r="L1958" t="s">
        <v>374</v>
      </c>
      <c r="M1958">
        <v>1</v>
      </c>
      <c r="N1958">
        <v>3</v>
      </c>
      <c r="O1958">
        <v>4</v>
      </c>
      <c r="P1958">
        <v>582</v>
      </c>
      <c r="Q1958">
        <v>344</v>
      </c>
      <c r="R1958">
        <v>218</v>
      </c>
      <c r="S1958">
        <v>721.39</v>
      </c>
    </row>
    <row r="1959" spans="12:19" x14ac:dyDescent="0.2">
      <c r="L1959" t="s">
        <v>374</v>
      </c>
      <c r="M1959">
        <v>1</v>
      </c>
      <c r="N1959">
        <v>3</v>
      </c>
      <c r="O1959">
        <v>4</v>
      </c>
      <c r="P1959">
        <v>582</v>
      </c>
      <c r="Q1959">
        <v>344</v>
      </c>
      <c r="R1959">
        <v>218</v>
      </c>
      <c r="S1959">
        <v>805.53</v>
      </c>
    </row>
    <row r="1960" spans="12:19" x14ac:dyDescent="0.2">
      <c r="L1960" t="s">
        <v>374</v>
      </c>
      <c r="M1960">
        <v>1</v>
      </c>
      <c r="N1960">
        <v>3</v>
      </c>
      <c r="O1960">
        <v>4</v>
      </c>
      <c r="P1960">
        <v>582</v>
      </c>
      <c r="Q1960">
        <v>344</v>
      </c>
      <c r="R1960">
        <v>218</v>
      </c>
      <c r="S1960">
        <v>280.99</v>
      </c>
    </row>
    <row r="1961" spans="12:19" x14ac:dyDescent="0.2">
      <c r="L1961" t="s">
        <v>374</v>
      </c>
      <c r="M1961">
        <v>1</v>
      </c>
      <c r="N1961">
        <v>3</v>
      </c>
      <c r="O1961">
        <v>4</v>
      </c>
      <c r="P1961">
        <v>582</v>
      </c>
      <c r="Q1961">
        <v>344</v>
      </c>
      <c r="R1961">
        <v>218</v>
      </c>
      <c r="S1961">
        <v>644.9</v>
      </c>
    </row>
    <row r="1962" spans="12:19" x14ac:dyDescent="0.2">
      <c r="L1962" t="s">
        <v>374</v>
      </c>
      <c r="M1962">
        <v>1</v>
      </c>
      <c r="N1962">
        <v>3</v>
      </c>
      <c r="O1962">
        <v>4</v>
      </c>
      <c r="P1962">
        <v>582</v>
      </c>
      <c r="Q1962">
        <v>344</v>
      </c>
      <c r="R1962">
        <v>218</v>
      </c>
      <c r="S1962">
        <v>1371.15</v>
      </c>
    </row>
    <row r="1963" spans="12:19" x14ac:dyDescent="0.2">
      <c r="L1963" t="s">
        <v>374</v>
      </c>
      <c r="M1963">
        <v>1</v>
      </c>
      <c r="N1963">
        <v>3</v>
      </c>
      <c r="O1963">
        <v>4</v>
      </c>
      <c r="P1963">
        <v>582</v>
      </c>
      <c r="Q1963">
        <v>344</v>
      </c>
      <c r="R1963">
        <v>218</v>
      </c>
      <c r="S1963">
        <v>1583.19</v>
      </c>
    </row>
    <row r="1964" spans="12:19" x14ac:dyDescent="0.2">
      <c r="L1964" t="s">
        <v>374</v>
      </c>
      <c r="M1964">
        <v>1</v>
      </c>
      <c r="N1964">
        <v>3</v>
      </c>
      <c r="O1964">
        <v>4</v>
      </c>
      <c r="P1964">
        <v>582</v>
      </c>
      <c r="Q1964">
        <v>344</v>
      </c>
      <c r="R1964">
        <v>218</v>
      </c>
      <c r="S1964">
        <v>-21.87</v>
      </c>
    </row>
    <row r="1965" spans="12:19" x14ac:dyDescent="0.2">
      <c r="L1965" t="s">
        <v>374</v>
      </c>
      <c r="M1965">
        <v>1</v>
      </c>
      <c r="N1965">
        <v>3</v>
      </c>
      <c r="O1965">
        <v>4</v>
      </c>
      <c r="P1965">
        <v>582</v>
      </c>
      <c r="Q1965">
        <v>344</v>
      </c>
      <c r="R1965">
        <v>218</v>
      </c>
      <c r="S1965">
        <v>556.13</v>
      </c>
    </row>
    <row r="1966" spans="12:19" x14ac:dyDescent="0.2">
      <c r="L1966" t="s">
        <v>374</v>
      </c>
      <c r="M1966">
        <v>1</v>
      </c>
      <c r="N1966">
        <v>3</v>
      </c>
      <c r="O1966">
        <v>4</v>
      </c>
      <c r="P1966">
        <v>582</v>
      </c>
      <c r="Q1966">
        <v>344</v>
      </c>
      <c r="R1966">
        <v>218</v>
      </c>
      <c r="S1966">
        <v>-40.26</v>
      </c>
    </row>
    <row r="1967" spans="12:19" x14ac:dyDescent="0.2">
      <c r="L1967" t="s">
        <v>374</v>
      </c>
      <c r="M1967">
        <v>1</v>
      </c>
      <c r="N1967">
        <v>3</v>
      </c>
      <c r="O1967">
        <v>4</v>
      </c>
      <c r="P1967">
        <v>582</v>
      </c>
      <c r="Q1967">
        <v>344</v>
      </c>
      <c r="R1967">
        <v>218</v>
      </c>
      <c r="S1967">
        <v>862.71</v>
      </c>
    </row>
    <row r="1968" spans="12:19" x14ac:dyDescent="0.2">
      <c r="L1968" t="s">
        <v>374</v>
      </c>
      <c r="M1968">
        <v>1</v>
      </c>
      <c r="N1968">
        <v>3</v>
      </c>
      <c r="O1968">
        <v>4</v>
      </c>
      <c r="P1968">
        <v>582</v>
      </c>
      <c r="Q1968">
        <v>344</v>
      </c>
      <c r="R1968">
        <v>218</v>
      </c>
      <c r="S1968">
        <v>-49.48</v>
      </c>
    </row>
    <row r="1969" spans="12:19" x14ac:dyDescent="0.2">
      <c r="L1969" t="s">
        <v>374</v>
      </c>
      <c r="M1969">
        <v>1</v>
      </c>
      <c r="N1969">
        <v>3</v>
      </c>
      <c r="O1969">
        <v>4</v>
      </c>
      <c r="P1969">
        <v>582</v>
      </c>
      <c r="Q1969">
        <v>344</v>
      </c>
      <c r="R1969">
        <v>218</v>
      </c>
      <c r="S1969">
        <v>-21.87</v>
      </c>
    </row>
    <row r="1970" spans="12:19" x14ac:dyDescent="0.2">
      <c r="L1970" t="s">
        <v>374</v>
      </c>
      <c r="M1970">
        <v>2</v>
      </c>
      <c r="N1970">
        <v>1</v>
      </c>
      <c r="O1970">
        <v>4</v>
      </c>
      <c r="P1970">
        <v>582</v>
      </c>
      <c r="Q1970">
        <v>344</v>
      </c>
      <c r="R1970">
        <v>218</v>
      </c>
      <c r="S1970">
        <v>195.08</v>
      </c>
    </row>
    <row r="1971" spans="12:19" x14ac:dyDescent="0.2">
      <c r="L1971" t="s">
        <v>374</v>
      </c>
      <c r="M1971">
        <v>4</v>
      </c>
      <c r="N1971">
        <v>1</v>
      </c>
      <c r="O1971">
        <v>4</v>
      </c>
      <c r="P1971">
        <v>582</v>
      </c>
      <c r="Q1971">
        <v>344</v>
      </c>
      <c r="R1971">
        <v>218</v>
      </c>
      <c r="S1971">
        <v>637.79</v>
      </c>
    </row>
    <row r="1972" spans="12:19" x14ac:dyDescent="0.2">
      <c r="L1972" t="s">
        <v>374</v>
      </c>
      <c r="M1972">
        <v>6</v>
      </c>
      <c r="N1972">
        <v>3</v>
      </c>
      <c r="O1972">
        <v>4</v>
      </c>
      <c r="P1972">
        <v>582</v>
      </c>
      <c r="Q1972">
        <v>344</v>
      </c>
      <c r="R1972">
        <v>218</v>
      </c>
      <c r="S1972">
        <v>14.73</v>
      </c>
    </row>
    <row r="1973" spans="12:19" x14ac:dyDescent="0.2">
      <c r="L1973" t="s">
        <v>374</v>
      </c>
      <c r="M1973">
        <v>11</v>
      </c>
      <c r="N1973">
        <v>1</v>
      </c>
      <c r="O1973">
        <v>4</v>
      </c>
      <c r="P1973">
        <v>582</v>
      </c>
      <c r="Q1973">
        <v>344</v>
      </c>
      <c r="R1973">
        <v>218</v>
      </c>
      <c r="S1973">
        <v>4151.99</v>
      </c>
    </row>
    <row r="1974" spans="12:19" x14ac:dyDescent="0.2">
      <c r="L1974" t="s">
        <v>374</v>
      </c>
      <c r="M1974">
        <v>12</v>
      </c>
      <c r="N1974">
        <v>1</v>
      </c>
      <c r="O1974">
        <v>4</v>
      </c>
      <c r="P1974">
        <v>582</v>
      </c>
      <c r="Q1974">
        <v>344</v>
      </c>
      <c r="R1974">
        <v>218</v>
      </c>
      <c r="S1974">
        <v>2332.27</v>
      </c>
    </row>
    <row r="1975" spans="12:19" x14ac:dyDescent="0.2">
      <c r="L1975" t="s">
        <v>374</v>
      </c>
      <c r="M1975">
        <v>14</v>
      </c>
      <c r="N1975">
        <v>1</v>
      </c>
      <c r="O1975">
        <v>4</v>
      </c>
      <c r="P1975">
        <v>582</v>
      </c>
      <c r="Q1975">
        <v>344</v>
      </c>
      <c r="R1975">
        <v>218</v>
      </c>
      <c r="S1975">
        <v>854.58</v>
      </c>
    </row>
    <row r="1976" spans="12:19" x14ac:dyDescent="0.2">
      <c r="L1976" t="s">
        <v>374</v>
      </c>
      <c r="M1976">
        <v>15</v>
      </c>
      <c r="N1976">
        <v>1</v>
      </c>
      <c r="O1976">
        <v>4</v>
      </c>
      <c r="P1976">
        <v>582</v>
      </c>
      <c r="Q1976">
        <v>344</v>
      </c>
      <c r="R1976">
        <v>218</v>
      </c>
      <c r="S1976">
        <v>236.91</v>
      </c>
    </row>
    <row r="1977" spans="12:19" x14ac:dyDescent="0.2">
      <c r="L1977" t="s">
        <v>374</v>
      </c>
      <c r="M1977">
        <v>16</v>
      </c>
      <c r="N1977">
        <v>1</v>
      </c>
      <c r="O1977">
        <v>4</v>
      </c>
      <c r="P1977">
        <v>582</v>
      </c>
      <c r="Q1977">
        <v>344</v>
      </c>
      <c r="R1977">
        <v>218</v>
      </c>
      <c r="S1977">
        <v>1547.98</v>
      </c>
    </row>
    <row r="1978" spans="12:19" x14ac:dyDescent="0.2">
      <c r="L1978" t="s">
        <v>374</v>
      </c>
      <c r="M1978">
        <v>22</v>
      </c>
      <c r="N1978">
        <v>1</v>
      </c>
      <c r="O1978">
        <v>4</v>
      </c>
      <c r="P1978">
        <v>582</v>
      </c>
      <c r="Q1978">
        <v>344</v>
      </c>
      <c r="R1978">
        <v>218</v>
      </c>
      <c r="S1978">
        <v>2097.12</v>
      </c>
    </row>
    <row r="1979" spans="12:19" x14ac:dyDescent="0.2">
      <c r="L1979" t="s">
        <v>374</v>
      </c>
      <c r="M1979">
        <v>23</v>
      </c>
      <c r="N1979">
        <v>1</v>
      </c>
      <c r="O1979">
        <v>4</v>
      </c>
      <c r="P1979">
        <v>582</v>
      </c>
      <c r="Q1979">
        <v>344</v>
      </c>
      <c r="R1979">
        <v>218</v>
      </c>
      <c r="S1979">
        <v>818.64</v>
      </c>
    </row>
    <row r="1980" spans="12:19" x14ac:dyDescent="0.2">
      <c r="L1980" t="s">
        <v>374</v>
      </c>
      <c r="M1980">
        <v>25</v>
      </c>
      <c r="N1980">
        <v>1</v>
      </c>
      <c r="O1980">
        <v>4</v>
      </c>
      <c r="P1980">
        <v>582</v>
      </c>
      <c r="Q1980">
        <v>344</v>
      </c>
      <c r="R1980">
        <v>218</v>
      </c>
      <c r="S1980">
        <v>90</v>
      </c>
    </row>
    <row r="1981" spans="12:19" x14ac:dyDescent="0.2">
      <c r="L1981" t="s">
        <v>374</v>
      </c>
      <c r="M1981">
        <v>31</v>
      </c>
      <c r="N1981">
        <v>1</v>
      </c>
      <c r="O1981">
        <v>4</v>
      </c>
      <c r="P1981">
        <v>582</v>
      </c>
      <c r="Q1981">
        <v>344</v>
      </c>
      <c r="R1981">
        <v>218</v>
      </c>
      <c r="S1981">
        <v>2565.12</v>
      </c>
    </row>
    <row r="1982" spans="12:19" x14ac:dyDescent="0.2">
      <c r="L1982" t="s">
        <v>374</v>
      </c>
      <c r="M1982">
        <v>32</v>
      </c>
      <c r="N1982">
        <v>1</v>
      </c>
      <c r="O1982">
        <v>4</v>
      </c>
      <c r="P1982">
        <v>582</v>
      </c>
      <c r="Q1982">
        <v>344</v>
      </c>
      <c r="R1982">
        <v>218</v>
      </c>
      <c r="S1982">
        <v>299.27999999999997</v>
      </c>
    </row>
    <row r="1983" spans="12:19" x14ac:dyDescent="0.2">
      <c r="L1983" t="s">
        <v>374</v>
      </c>
      <c r="M1983">
        <v>36</v>
      </c>
      <c r="N1983">
        <v>1</v>
      </c>
      <c r="O1983">
        <v>4</v>
      </c>
      <c r="P1983">
        <v>582</v>
      </c>
      <c r="Q1983">
        <v>344</v>
      </c>
      <c r="R1983">
        <v>218</v>
      </c>
      <c r="S1983">
        <v>214.56</v>
      </c>
    </row>
    <row r="1984" spans="12:19" x14ac:dyDescent="0.2">
      <c r="L1984" t="s">
        <v>374</v>
      </c>
      <c r="M1984">
        <v>38</v>
      </c>
      <c r="N1984">
        <v>1</v>
      </c>
      <c r="O1984">
        <v>4</v>
      </c>
      <c r="P1984">
        <v>582</v>
      </c>
      <c r="Q1984">
        <v>344</v>
      </c>
      <c r="R1984">
        <v>218</v>
      </c>
      <c r="S1984">
        <v>900.96</v>
      </c>
    </row>
    <row r="1985" spans="12:19" x14ac:dyDescent="0.2">
      <c r="L1985" t="s">
        <v>374</v>
      </c>
      <c r="M1985">
        <v>47</v>
      </c>
      <c r="N1985">
        <v>1</v>
      </c>
      <c r="O1985">
        <v>4</v>
      </c>
      <c r="P1985">
        <v>582</v>
      </c>
      <c r="Q1985">
        <v>344</v>
      </c>
      <c r="R1985">
        <v>218</v>
      </c>
      <c r="S1985">
        <v>3331.95</v>
      </c>
    </row>
    <row r="1986" spans="12:19" x14ac:dyDescent="0.2">
      <c r="L1986" t="s">
        <v>374</v>
      </c>
      <c r="M1986">
        <v>51</v>
      </c>
      <c r="N1986">
        <v>1</v>
      </c>
      <c r="O1986">
        <v>4</v>
      </c>
      <c r="P1986">
        <v>582</v>
      </c>
      <c r="Q1986">
        <v>344</v>
      </c>
      <c r="R1986">
        <v>218</v>
      </c>
      <c r="S1986">
        <v>905.84</v>
      </c>
    </row>
    <row r="1987" spans="12:19" x14ac:dyDescent="0.2">
      <c r="L1987" t="s">
        <v>374</v>
      </c>
      <c r="M1987">
        <v>75</v>
      </c>
      <c r="N1987">
        <v>1</v>
      </c>
      <c r="O1987">
        <v>4</v>
      </c>
      <c r="P1987">
        <v>582</v>
      </c>
      <c r="Q1987">
        <v>344</v>
      </c>
      <c r="R1987">
        <v>218</v>
      </c>
      <c r="S1987">
        <v>191.42</v>
      </c>
    </row>
    <row r="1988" spans="12:19" x14ac:dyDescent="0.2">
      <c r="L1988" t="s">
        <v>374</v>
      </c>
      <c r="M1988">
        <v>77</v>
      </c>
      <c r="N1988">
        <v>1</v>
      </c>
      <c r="O1988">
        <v>4</v>
      </c>
      <c r="P1988">
        <v>582</v>
      </c>
      <c r="Q1988">
        <v>344</v>
      </c>
      <c r="R1988">
        <v>218</v>
      </c>
      <c r="S1988">
        <v>2048.4899999999998</v>
      </c>
    </row>
    <row r="1989" spans="12:19" x14ac:dyDescent="0.2">
      <c r="L1989" t="s">
        <v>374</v>
      </c>
      <c r="M1989">
        <v>84</v>
      </c>
      <c r="N1989">
        <v>1</v>
      </c>
      <c r="O1989">
        <v>4</v>
      </c>
      <c r="P1989">
        <v>582</v>
      </c>
      <c r="Q1989">
        <v>344</v>
      </c>
      <c r="R1989">
        <v>218</v>
      </c>
      <c r="S1989">
        <v>1330.79</v>
      </c>
    </row>
    <row r="1990" spans="12:19" x14ac:dyDescent="0.2">
      <c r="L1990" t="s">
        <v>374</v>
      </c>
      <c r="M1990">
        <v>85</v>
      </c>
      <c r="N1990">
        <v>1</v>
      </c>
      <c r="O1990">
        <v>4</v>
      </c>
      <c r="P1990">
        <v>582</v>
      </c>
      <c r="Q1990">
        <v>344</v>
      </c>
      <c r="R1990">
        <v>218</v>
      </c>
      <c r="S1990">
        <v>20.79</v>
      </c>
    </row>
    <row r="1991" spans="12:19" x14ac:dyDescent="0.2">
      <c r="L1991" t="s">
        <v>374</v>
      </c>
      <c r="M1991">
        <v>88</v>
      </c>
      <c r="N1991">
        <v>1</v>
      </c>
      <c r="O1991">
        <v>4</v>
      </c>
      <c r="P1991">
        <v>582</v>
      </c>
      <c r="Q1991">
        <v>344</v>
      </c>
      <c r="R1991">
        <v>218</v>
      </c>
      <c r="S1991">
        <v>1163.77</v>
      </c>
    </row>
    <row r="1992" spans="12:19" x14ac:dyDescent="0.2">
      <c r="L1992" t="s">
        <v>374</v>
      </c>
      <c r="M1992">
        <v>91</v>
      </c>
      <c r="N1992">
        <v>1</v>
      </c>
      <c r="O1992">
        <v>4</v>
      </c>
      <c r="P1992">
        <v>582</v>
      </c>
      <c r="Q1992">
        <v>344</v>
      </c>
      <c r="R1992">
        <v>218</v>
      </c>
      <c r="S1992">
        <v>789.28</v>
      </c>
    </row>
    <row r="1993" spans="12:19" x14ac:dyDescent="0.2">
      <c r="L1993" t="s">
        <v>374</v>
      </c>
      <c r="M1993">
        <v>93</v>
      </c>
      <c r="N1993">
        <v>1</v>
      </c>
      <c r="O1993">
        <v>4</v>
      </c>
      <c r="P1993">
        <v>582</v>
      </c>
      <c r="Q1993">
        <v>344</v>
      </c>
      <c r="R1993">
        <v>218</v>
      </c>
      <c r="S1993">
        <v>1102.56</v>
      </c>
    </row>
    <row r="1994" spans="12:19" x14ac:dyDescent="0.2">
      <c r="L1994" t="s">
        <v>374</v>
      </c>
      <c r="M1994">
        <v>94</v>
      </c>
      <c r="N1994">
        <v>1</v>
      </c>
      <c r="O1994">
        <v>4</v>
      </c>
      <c r="P1994">
        <v>582</v>
      </c>
      <c r="Q1994">
        <v>344</v>
      </c>
      <c r="R1994">
        <v>218</v>
      </c>
      <c r="S1994">
        <v>349.21</v>
      </c>
    </row>
    <row r="1995" spans="12:19" x14ac:dyDescent="0.2">
      <c r="L1995" t="s">
        <v>374</v>
      </c>
      <c r="M1995">
        <v>95</v>
      </c>
      <c r="N1995">
        <v>1</v>
      </c>
      <c r="O1995">
        <v>4</v>
      </c>
      <c r="P1995">
        <v>582</v>
      </c>
      <c r="Q1995">
        <v>344</v>
      </c>
      <c r="R1995">
        <v>218</v>
      </c>
      <c r="S1995">
        <v>745.18</v>
      </c>
    </row>
    <row r="1996" spans="12:19" x14ac:dyDescent="0.2">
      <c r="L1996" t="s">
        <v>374</v>
      </c>
      <c r="M1996">
        <v>97</v>
      </c>
      <c r="N1996">
        <v>1</v>
      </c>
      <c r="O1996">
        <v>4</v>
      </c>
      <c r="P1996">
        <v>582</v>
      </c>
      <c r="Q1996">
        <v>344</v>
      </c>
      <c r="R1996">
        <v>218</v>
      </c>
      <c r="S1996">
        <v>832.77</v>
      </c>
    </row>
    <row r="1997" spans="12:19" x14ac:dyDescent="0.2">
      <c r="L1997" t="s">
        <v>374</v>
      </c>
      <c r="M1997">
        <v>99</v>
      </c>
      <c r="N1997">
        <v>1</v>
      </c>
      <c r="O1997">
        <v>4</v>
      </c>
      <c r="P1997">
        <v>582</v>
      </c>
      <c r="Q1997">
        <v>344</v>
      </c>
      <c r="R1997">
        <v>218</v>
      </c>
      <c r="S1997">
        <v>1042.93</v>
      </c>
    </row>
    <row r="1998" spans="12:19" x14ac:dyDescent="0.2">
      <c r="L1998" t="s">
        <v>374</v>
      </c>
      <c r="M1998">
        <v>100</v>
      </c>
      <c r="N1998">
        <v>1</v>
      </c>
      <c r="O1998">
        <v>4</v>
      </c>
      <c r="P1998">
        <v>582</v>
      </c>
      <c r="Q1998">
        <v>344</v>
      </c>
      <c r="R1998">
        <v>218</v>
      </c>
      <c r="S1998">
        <v>172.08</v>
      </c>
    </row>
    <row r="1999" spans="12:19" x14ac:dyDescent="0.2">
      <c r="L1999" t="s">
        <v>374</v>
      </c>
      <c r="M1999">
        <v>108</v>
      </c>
      <c r="N1999">
        <v>1</v>
      </c>
      <c r="O1999">
        <v>4</v>
      </c>
      <c r="P1999">
        <v>582</v>
      </c>
      <c r="Q1999">
        <v>344</v>
      </c>
      <c r="R1999">
        <v>218</v>
      </c>
      <c r="S1999">
        <v>156.26</v>
      </c>
    </row>
    <row r="2000" spans="12:19" x14ac:dyDescent="0.2">
      <c r="L2000" t="s">
        <v>374</v>
      </c>
      <c r="M2000">
        <v>110</v>
      </c>
      <c r="N2000">
        <v>1</v>
      </c>
      <c r="O2000">
        <v>4</v>
      </c>
      <c r="P2000">
        <v>582</v>
      </c>
      <c r="Q2000">
        <v>344</v>
      </c>
      <c r="R2000">
        <v>218</v>
      </c>
      <c r="S2000">
        <v>999.72</v>
      </c>
    </row>
    <row r="2001" spans="12:19" x14ac:dyDescent="0.2">
      <c r="L2001" t="s">
        <v>374</v>
      </c>
      <c r="M2001">
        <v>111</v>
      </c>
      <c r="N2001">
        <v>1</v>
      </c>
      <c r="O2001">
        <v>4</v>
      </c>
      <c r="P2001">
        <v>582</v>
      </c>
      <c r="Q2001">
        <v>344</v>
      </c>
      <c r="R2001">
        <v>218</v>
      </c>
      <c r="S2001">
        <v>718.85</v>
      </c>
    </row>
    <row r="2002" spans="12:19" x14ac:dyDescent="0.2">
      <c r="L2002" t="s">
        <v>374</v>
      </c>
      <c r="M2002">
        <v>112</v>
      </c>
      <c r="N2002">
        <v>1</v>
      </c>
      <c r="O2002">
        <v>4</v>
      </c>
      <c r="P2002">
        <v>582</v>
      </c>
      <c r="Q2002">
        <v>344</v>
      </c>
      <c r="R2002">
        <v>218</v>
      </c>
      <c r="S2002">
        <v>2245.15</v>
      </c>
    </row>
    <row r="2003" spans="12:19" x14ac:dyDescent="0.2">
      <c r="L2003" t="s">
        <v>374</v>
      </c>
      <c r="M2003">
        <v>113</v>
      </c>
      <c r="N2003">
        <v>1</v>
      </c>
      <c r="O2003">
        <v>4</v>
      </c>
      <c r="P2003">
        <v>582</v>
      </c>
      <c r="Q2003">
        <v>344</v>
      </c>
      <c r="R2003">
        <v>218</v>
      </c>
      <c r="S2003">
        <v>619.78</v>
      </c>
    </row>
    <row r="2004" spans="12:19" x14ac:dyDescent="0.2">
      <c r="L2004" t="s">
        <v>374</v>
      </c>
      <c r="M2004">
        <v>115</v>
      </c>
      <c r="N2004">
        <v>1</v>
      </c>
      <c r="O2004">
        <v>4</v>
      </c>
      <c r="P2004">
        <v>582</v>
      </c>
      <c r="Q2004">
        <v>344</v>
      </c>
      <c r="R2004">
        <v>218</v>
      </c>
      <c r="S2004">
        <v>1740.45</v>
      </c>
    </row>
    <row r="2005" spans="12:19" x14ac:dyDescent="0.2">
      <c r="L2005" t="s">
        <v>374</v>
      </c>
      <c r="M2005">
        <v>116</v>
      </c>
      <c r="N2005">
        <v>1</v>
      </c>
      <c r="O2005">
        <v>4</v>
      </c>
      <c r="P2005">
        <v>582</v>
      </c>
      <c r="Q2005">
        <v>344</v>
      </c>
      <c r="R2005">
        <v>218</v>
      </c>
      <c r="S2005">
        <v>1351.54</v>
      </c>
    </row>
    <row r="2006" spans="12:19" x14ac:dyDescent="0.2">
      <c r="L2006" t="s">
        <v>374</v>
      </c>
      <c r="M2006">
        <v>118</v>
      </c>
      <c r="N2006">
        <v>1</v>
      </c>
      <c r="O2006">
        <v>4</v>
      </c>
      <c r="P2006">
        <v>582</v>
      </c>
      <c r="Q2006">
        <v>344</v>
      </c>
      <c r="R2006">
        <v>218</v>
      </c>
      <c r="S2006">
        <v>40.700000000000003</v>
      </c>
    </row>
    <row r="2007" spans="12:19" x14ac:dyDescent="0.2">
      <c r="L2007" t="s">
        <v>374</v>
      </c>
      <c r="M2007">
        <v>138</v>
      </c>
      <c r="N2007">
        <v>1</v>
      </c>
      <c r="O2007">
        <v>4</v>
      </c>
      <c r="P2007">
        <v>582</v>
      </c>
      <c r="Q2007">
        <v>344</v>
      </c>
      <c r="R2007">
        <v>218</v>
      </c>
      <c r="S2007">
        <v>1433.54</v>
      </c>
    </row>
    <row r="2008" spans="12:19" x14ac:dyDescent="0.2">
      <c r="L2008" t="s">
        <v>374</v>
      </c>
      <c r="M2008">
        <v>139</v>
      </c>
      <c r="N2008">
        <v>1</v>
      </c>
      <c r="O2008">
        <v>4</v>
      </c>
      <c r="P2008">
        <v>582</v>
      </c>
      <c r="Q2008">
        <v>344</v>
      </c>
      <c r="R2008">
        <v>218</v>
      </c>
      <c r="S2008">
        <v>21.17</v>
      </c>
    </row>
    <row r="2009" spans="12:19" x14ac:dyDescent="0.2">
      <c r="L2009" t="s">
        <v>374</v>
      </c>
      <c r="M2009">
        <v>146</v>
      </c>
      <c r="N2009">
        <v>1</v>
      </c>
      <c r="O2009">
        <v>4</v>
      </c>
      <c r="P2009">
        <v>582</v>
      </c>
      <c r="Q2009">
        <v>344</v>
      </c>
      <c r="R2009">
        <v>218</v>
      </c>
      <c r="S2009">
        <v>4.95</v>
      </c>
    </row>
    <row r="2010" spans="12:19" x14ac:dyDescent="0.2">
      <c r="L2010" t="s">
        <v>374</v>
      </c>
      <c r="M2010">
        <v>150</v>
      </c>
      <c r="N2010">
        <v>1</v>
      </c>
      <c r="O2010">
        <v>4</v>
      </c>
      <c r="P2010">
        <v>582</v>
      </c>
      <c r="Q2010">
        <v>344</v>
      </c>
      <c r="R2010">
        <v>218</v>
      </c>
      <c r="S2010">
        <v>287.12</v>
      </c>
    </row>
    <row r="2011" spans="12:19" x14ac:dyDescent="0.2">
      <c r="L2011" t="s">
        <v>374</v>
      </c>
      <c r="M2011">
        <v>152</v>
      </c>
      <c r="N2011">
        <v>1</v>
      </c>
      <c r="O2011">
        <v>4</v>
      </c>
      <c r="P2011">
        <v>582</v>
      </c>
      <c r="Q2011">
        <v>344</v>
      </c>
      <c r="R2011">
        <v>218</v>
      </c>
      <c r="S2011">
        <v>2462.58</v>
      </c>
    </row>
    <row r="2012" spans="12:19" x14ac:dyDescent="0.2">
      <c r="L2012" t="s">
        <v>374</v>
      </c>
      <c r="M2012">
        <v>162</v>
      </c>
      <c r="N2012">
        <v>1</v>
      </c>
      <c r="O2012">
        <v>4</v>
      </c>
      <c r="P2012">
        <v>582</v>
      </c>
      <c r="Q2012">
        <v>344</v>
      </c>
      <c r="R2012">
        <v>218</v>
      </c>
      <c r="S2012">
        <v>1359.21</v>
      </c>
    </row>
    <row r="2013" spans="12:19" x14ac:dyDescent="0.2">
      <c r="L2013" t="s">
        <v>374</v>
      </c>
      <c r="M2013">
        <v>166</v>
      </c>
      <c r="N2013">
        <v>1</v>
      </c>
      <c r="O2013">
        <v>4</v>
      </c>
      <c r="P2013">
        <v>582</v>
      </c>
      <c r="Q2013">
        <v>344</v>
      </c>
      <c r="R2013">
        <v>218</v>
      </c>
      <c r="S2013">
        <v>39.44</v>
      </c>
    </row>
    <row r="2014" spans="12:19" x14ac:dyDescent="0.2">
      <c r="L2014" t="s">
        <v>374</v>
      </c>
      <c r="M2014">
        <v>173</v>
      </c>
      <c r="N2014">
        <v>1</v>
      </c>
      <c r="O2014">
        <v>4</v>
      </c>
      <c r="P2014">
        <v>582</v>
      </c>
      <c r="Q2014">
        <v>344</v>
      </c>
      <c r="R2014">
        <v>218</v>
      </c>
      <c r="S2014">
        <v>115.35</v>
      </c>
    </row>
    <row r="2015" spans="12:19" x14ac:dyDescent="0.2">
      <c r="L2015" t="s">
        <v>374</v>
      </c>
      <c r="M2015">
        <v>177</v>
      </c>
      <c r="N2015">
        <v>1</v>
      </c>
      <c r="O2015">
        <v>4</v>
      </c>
      <c r="P2015">
        <v>582</v>
      </c>
      <c r="Q2015">
        <v>344</v>
      </c>
      <c r="R2015">
        <v>218</v>
      </c>
      <c r="S2015">
        <v>640.42999999999995</v>
      </c>
    </row>
    <row r="2016" spans="12:19" x14ac:dyDescent="0.2">
      <c r="L2016" t="s">
        <v>374</v>
      </c>
      <c r="M2016">
        <v>181</v>
      </c>
      <c r="N2016">
        <v>1</v>
      </c>
      <c r="O2016">
        <v>4</v>
      </c>
      <c r="P2016">
        <v>582</v>
      </c>
      <c r="Q2016">
        <v>344</v>
      </c>
      <c r="R2016">
        <v>218</v>
      </c>
      <c r="S2016">
        <v>7081.5</v>
      </c>
    </row>
    <row r="2017" spans="12:19" x14ac:dyDescent="0.2">
      <c r="L2017" t="s">
        <v>374</v>
      </c>
      <c r="M2017">
        <v>182</v>
      </c>
      <c r="N2017">
        <v>1</v>
      </c>
      <c r="O2017">
        <v>4</v>
      </c>
      <c r="P2017">
        <v>582</v>
      </c>
      <c r="Q2017">
        <v>344</v>
      </c>
      <c r="R2017">
        <v>218</v>
      </c>
      <c r="S2017">
        <v>729.71</v>
      </c>
    </row>
    <row r="2018" spans="12:19" x14ac:dyDescent="0.2">
      <c r="L2018" t="s">
        <v>374</v>
      </c>
      <c r="M2018">
        <v>186</v>
      </c>
      <c r="N2018">
        <v>1</v>
      </c>
      <c r="O2018">
        <v>4</v>
      </c>
      <c r="P2018">
        <v>582</v>
      </c>
      <c r="Q2018">
        <v>344</v>
      </c>
      <c r="R2018">
        <v>218</v>
      </c>
      <c r="S2018">
        <v>2235.96</v>
      </c>
    </row>
    <row r="2019" spans="12:19" x14ac:dyDescent="0.2">
      <c r="L2019" t="s">
        <v>374</v>
      </c>
      <c r="M2019">
        <v>191</v>
      </c>
      <c r="N2019">
        <v>1</v>
      </c>
      <c r="O2019">
        <v>4</v>
      </c>
      <c r="P2019">
        <v>582</v>
      </c>
      <c r="Q2019">
        <v>344</v>
      </c>
      <c r="R2019">
        <v>218</v>
      </c>
      <c r="S2019">
        <v>2614.75</v>
      </c>
    </row>
    <row r="2020" spans="12:19" x14ac:dyDescent="0.2">
      <c r="L2020" t="s">
        <v>374</v>
      </c>
      <c r="M2020">
        <v>192</v>
      </c>
      <c r="N2020">
        <v>1</v>
      </c>
      <c r="O2020">
        <v>4</v>
      </c>
      <c r="P2020">
        <v>582</v>
      </c>
      <c r="Q2020">
        <v>344</v>
      </c>
      <c r="R2020">
        <v>218</v>
      </c>
      <c r="S2020">
        <v>2005.15</v>
      </c>
    </row>
    <row r="2021" spans="12:19" x14ac:dyDescent="0.2">
      <c r="L2021" t="s">
        <v>374</v>
      </c>
      <c r="M2021">
        <v>194</v>
      </c>
      <c r="N2021">
        <v>1</v>
      </c>
      <c r="O2021">
        <v>4</v>
      </c>
      <c r="P2021">
        <v>582</v>
      </c>
      <c r="Q2021">
        <v>344</v>
      </c>
      <c r="R2021">
        <v>218</v>
      </c>
      <c r="S2021">
        <v>86.45</v>
      </c>
    </row>
    <row r="2022" spans="12:19" x14ac:dyDescent="0.2">
      <c r="L2022" t="s">
        <v>374</v>
      </c>
      <c r="M2022">
        <v>195</v>
      </c>
      <c r="N2022">
        <v>1</v>
      </c>
      <c r="O2022">
        <v>4</v>
      </c>
      <c r="P2022">
        <v>582</v>
      </c>
      <c r="Q2022">
        <v>344</v>
      </c>
      <c r="R2022">
        <v>218</v>
      </c>
      <c r="S2022">
        <v>7.79</v>
      </c>
    </row>
    <row r="2023" spans="12:19" x14ac:dyDescent="0.2">
      <c r="L2023" t="s">
        <v>374</v>
      </c>
      <c r="M2023">
        <v>196</v>
      </c>
      <c r="N2023">
        <v>1</v>
      </c>
      <c r="O2023">
        <v>4</v>
      </c>
      <c r="P2023">
        <v>582</v>
      </c>
      <c r="Q2023">
        <v>344</v>
      </c>
      <c r="R2023">
        <v>218</v>
      </c>
      <c r="S2023">
        <v>9141.48</v>
      </c>
    </row>
    <row r="2024" spans="12:19" x14ac:dyDescent="0.2">
      <c r="L2024" t="s">
        <v>374</v>
      </c>
      <c r="M2024">
        <v>197</v>
      </c>
      <c r="N2024">
        <v>1</v>
      </c>
      <c r="O2024">
        <v>4</v>
      </c>
      <c r="P2024">
        <v>582</v>
      </c>
      <c r="Q2024">
        <v>344</v>
      </c>
      <c r="R2024">
        <v>218</v>
      </c>
      <c r="S2024">
        <v>2659.21</v>
      </c>
    </row>
    <row r="2025" spans="12:19" x14ac:dyDescent="0.2">
      <c r="L2025" t="s">
        <v>374</v>
      </c>
      <c r="M2025">
        <v>200</v>
      </c>
      <c r="N2025">
        <v>1</v>
      </c>
      <c r="O2025">
        <v>4</v>
      </c>
      <c r="P2025">
        <v>582</v>
      </c>
      <c r="Q2025">
        <v>344</v>
      </c>
      <c r="R2025">
        <v>218</v>
      </c>
      <c r="S2025">
        <v>2650.42</v>
      </c>
    </row>
    <row r="2026" spans="12:19" x14ac:dyDescent="0.2">
      <c r="L2026" t="s">
        <v>374</v>
      </c>
      <c r="M2026">
        <v>203</v>
      </c>
      <c r="N2026">
        <v>1</v>
      </c>
      <c r="O2026">
        <v>4</v>
      </c>
      <c r="P2026">
        <v>582</v>
      </c>
      <c r="Q2026">
        <v>344</v>
      </c>
      <c r="R2026">
        <v>218</v>
      </c>
      <c r="S2026">
        <v>358.37</v>
      </c>
    </row>
    <row r="2027" spans="12:19" x14ac:dyDescent="0.2">
      <c r="L2027" t="s">
        <v>374</v>
      </c>
      <c r="M2027">
        <v>204</v>
      </c>
      <c r="N2027">
        <v>1</v>
      </c>
      <c r="O2027">
        <v>4</v>
      </c>
      <c r="P2027">
        <v>582</v>
      </c>
      <c r="Q2027">
        <v>344</v>
      </c>
      <c r="R2027">
        <v>218</v>
      </c>
      <c r="S2027">
        <v>1742.04</v>
      </c>
    </row>
    <row r="2028" spans="12:19" x14ac:dyDescent="0.2">
      <c r="L2028" t="s">
        <v>374</v>
      </c>
      <c r="M2028">
        <v>206</v>
      </c>
      <c r="N2028">
        <v>1</v>
      </c>
      <c r="O2028">
        <v>4</v>
      </c>
      <c r="P2028">
        <v>582</v>
      </c>
      <c r="Q2028">
        <v>344</v>
      </c>
      <c r="R2028">
        <v>218</v>
      </c>
      <c r="S2028">
        <v>3725.79</v>
      </c>
    </row>
    <row r="2029" spans="12:19" x14ac:dyDescent="0.2">
      <c r="L2029" t="s">
        <v>374</v>
      </c>
      <c r="M2029">
        <v>213</v>
      </c>
      <c r="N2029">
        <v>1</v>
      </c>
      <c r="O2029">
        <v>4</v>
      </c>
      <c r="P2029">
        <v>582</v>
      </c>
      <c r="Q2029">
        <v>344</v>
      </c>
      <c r="R2029">
        <v>218</v>
      </c>
      <c r="S2029">
        <v>1869.19</v>
      </c>
    </row>
    <row r="2030" spans="12:19" x14ac:dyDescent="0.2">
      <c r="L2030" t="s">
        <v>374</v>
      </c>
      <c r="M2030">
        <v>227</v>
      </c>
      <c r="N2030">
        <v>1</v>
      </c>
      <c r="O2030">
        <v>4</v>
      </c>
      <c r="P2030">
        <v>582</v>
      </c>
      <c r="Q2030">
        <v>344</v>
      </c>
      <c r="R2030">
        <v>218</v>
      </c>
      <c r="S2030">
        <v>806.17</v>
      </c>
    </row>
    <row r="2031" spans="12:19" x14ac:dyDescent="0.2">
      <c r="L2031" t="s">
        <v>374</v>
      </c>
      <c r="M2031">
        <v>238</v>
      </c>
      <c r="N2031">
        <v>1</v>
      </c>
      <c r="O2031">
        <v>4</v>
      </c>
      <c r="P2031">
        <v>582</v>
      </c>
      <c r="Q2031">
        <v>344</v>
      </c>
      <c r="R2031">
        <v>218</v>
      </c>
      <c r="S2031">
        <v>1023.34</v>
      </c>
    </row>
    <row r="2032" spans="12:19" x14ac:dyDescent="0.2">
      <c r="L2032" t="s">
        <v>374</v>
      </c>
      <c r="M2032">
        <v>239</v>
      </c>
      <c r="N2032">
        <v>1</v>
      </c>
      <c r="O2032">
        <v>4</v>
      </c>
      <c r="P2032">
        <v>582</v>
      </c>
      <c r="Q2032">
        <v>344</v>
      </c>
      <c r="R2032">
        <v>218</v>
      </c>
      <c r="S2032">
        <v>192.5</v>
      </c>
    </row>
    <row r="2033" spans="12:19" x14ac:dyDescent="0.2">
      <c r="L2033" t="s">
        <v>374</v>
      </c>
      <c r="M2033">
        <v>241</v>
      </c>
      <c r="N2033">
        <v>1</v>
      </c>
      <c r="O2033">
        <v>4</v>
      </c>
      <c r="P2033">
        <v>582</v>
      </c>
      <c r="Q2033">
        <v>344</v>
      </c>
      <c r="R2033">
        <v>218</v>
      </c>
      <c r="S2033">
        <v>2405.25</v>
      </c>
    </row>
    <row r="2034" spans="12:19" x14ac:dyDescent="0.2">
      <c r="L2034" t="s">
        <v>374</v>
      </c>
      <c r="M2034">
        <v>242</v>
      </c>
      <c r="N2034">
        <v>1</v>
      </c>
      <c r="O2034">
        <v>4</v>
      </c>
      <c r="P2034">
        <v>582</v>
      </c>
      <c r="Q2034">
        <v>344</v>
      </c>
      <c r="R2034">
        <v>218</v>
      </c>
      <c r="S2034">
        <v>693</v>
      </c>
    </row>
    <row r="2035" spans="12:19" x14ac:dyDescent="0.2">
      <c r="L2035" t="s">
        <v>374</v>
      </c>
      <c r="M2035">
        <v>252</v>
      </c>
      <c r="N2035">
        <v>1</v>
      </c>
      <c r="O2035">
        <v>4</v>
      </c>
      <c r="P2035">
        <v>582</v>
      </c>
      <c r="Q2035">
        <v>344</v>
      </c>
      <c r="R2035">
        <v>218</v>
      </c>
      <c r="S2035">
        <v>212.1</v>
      </c>
    </row>
    <row r="2036" spans="12:19" x14ac:dyDescent="0.2">
      <c r="L2036" t="s">
        <v>374</v>
      </c>
      <c r="M2036">
        <v>255</v>
      </c>
      <c r="N2036">
        <v>1</v>
      </c>
      <c r="O2036">
        <v>4</v>
      </c>
      <c r="P2036">
        <v>582</v>
      </c>
      <c r="Q2036">
        <v>344</v>
      </c>
      <c r="R2036">
        <v>218</v>
      </c>
      <c r="S2036">
        <v>1452.88</v>
      </c>
    </row>
    <row r="2037" spans="12:19" x14ac:dyDescent="0.2">
      <c r="L2037" t="s">
        <v>374</v>
      </c>
      <c r="M2037">
        <v>256</v>
      </c>
      <c r="N2037">
        <v>1</v>
      </c>
      <c r="O2037">
        <v>4</v>
      </c>
      <c r="P2037">
        <v>582</v>
      </c>
      <c r="Q2037">
        <v>344</v>
      </c>
      <c r="R2037">
        <v>218</v>
      </c>
      <c r="S2037">
        <v>263.52999999999997</v>
      </c>
    </row>
    <row r="2038" spans="12:19" x14ac:dyDescent="0.2">
      <c r="L2038" t="s">
        <v>374</v>
      </c>
      <c r="M2038">
        <v>264</v>
      </c>
      <c r="N2038">
        <v>1</v>
      </c>
      <c r="O2038">
        <v>4</v>
      </c>
      <c r="P2038">
        <v>582</v>
      </c>
      <c r="Q2038">
        <v>344</v>
      </c>
      <c r="R2038">
        <v>218</v>
      </c>
      <c r="S2038">
        <v>316.92</v>
      </c>
    </row>
    <row r="2039" spans="12:19" x14ac:dyDescent="0.2">
      <c r="L2039" t="s">
        <v>374</v>
      </c>
      <c r="M2039">
        <v>270</v>
      </c>
      <c r="N2039">
        <v>1</v>
      </c>
      <c r="O2039">
        <v>4</v>
      </c>
      <c r="P2039">
        <v>582</v>
      </c>
      <c r="Q2039">
        <v>344</v>
      </c>
      <c r="R2039">
        <v>218</v>
      </c>
      <c r="S2039">
        <v>622.64</v>
      </c>
    </row>
    <row r="2040" spans="12:19" x14ac:dyDescent="0.2">
      <c r="L2040" t="s">
        <v>374</v>
      </c>
      <c r="M2040">
        <v>271</v>
      </c>
      <c r="N2040">
        <v>1</v>
      </c>
      <c r="O2040">
        <v>4</v>
      </c>
      <c r="P2040">
        <v>582</v>
      </c>
      <c r="Q2040">
        <v>344</v>
      </c>
      <c r="R2040">
        <v>218</v>
      </c>
      <c r="S2040">
        <v>14921.5</v>
      </c>
    </row>
    <row r="2041" spans="12:19" x14ac:dyDescent="0.2">
      <c r="L2041" t="s">
        <v>374</v>
      </c>
      <c r="M2041">
        <v>272</v>
      </c>
      <c r="N2041">
        <v>1</v>
      </c>
      <c r="O2041">
        <v>4</v>
      </c>
      <c r="P2041">
        <v>582</v>
      </c>
      <c r="Q2041">
        <v>344</v>
      </c>
      <c r="R2041">
        <v>218</v>
      </c>
      <c r="S2041">
        <v>6669.89</v>
      </c>
    </row>
    <row r="2042" spans="12:19" x14ac:dyDescent="0.2">
      <c r="L2042" t="s">
        <v>374</v>
      </c>
      <c r="M2042">
        <v>273</v>
      </c>
      <c r="N2042">
        <v>1</v>
      </c>
      <c r="O2042">
        <v>4</v>
      </c>
      <c r="P2042">
        <v>582</v>
      </c>
      <c r="Q2042">
        <v>344</v>
      </c>
      <c r="R2042">
        <v>218</v>
      </c>
      <c r="S2042">
        <v>1557.72</v>
      </c>
    </row>
    <row r="2043" spans="12:19" x14ac:dyDescent="0.2">
      <c r="L2043" t="s">
        <v>374</v>
      </c>
      <c r="M2043">
        <v>276</v>
      </c>
      <c r="N2043">
        <v>1</v>
      </c>
      <c r="O2043">
        <v>4</v>
      </c>
      <c r="P2043">
        <v>582</v>
      </c>
      <c r="Q2043">
        <v>344</v>
      </c>
      <c r="R2043">
        <v>218</v>
      </c>
      <c r="S2043">
        <v>755.44</v>
      </c>
    </row>
    <row r="2044" spans="12:19" x14ac:dyDescent="0.2">
      <c r="L2044" t="s">
        <v>374</v>
      </c>
      <c r="M2044">
        <v>277</v>
      </c>
      <c r="N2044">
        <v>1</v>
      </c>
      <c r="O2044">
        <v>4</v>
      </c>
      <c r="P2044">
        <v>582</v>
      </c>
      <c r="Q2044">
        <v>344</v>
      </c>
      <c r="R2044">
        <v>218</v>
      </c>
      <c r="S2044">
        <v>1577.38</v>
      </c>
    </row>
    <row r="2045" spans="12:19" x14ac:dyDescent="0.2">
      <c r="L2045" t="s">
        <v>374</v>
      </c>
      <c r="M2045">
        <v>279</v>
      </c>
      <c r="N2045">
        <v>1</v>
      </c>
      <c r="O2045">
        <v>4</v>
      </c>
      <c r="P2045">
        <v>582</v>
      </c>
      <c r="Q2045">
        <v>344</v>
      </c>
      <c r="R2045">
        <v>218</v>
      </c>
      <c r="S2045">
        <v>6690.44</v>
      </c>
    </row>
    <row r="2046" spans="12:19" x14ac:dyDescent="0.2">
      <c r="L2046" t="s">
        <v>374</v>
      </c>
      <c r="M2046">
        <v>282</v>
      </c>
      <c r="N2046">
        <v>1</v>
      </c>
      <c r="O2046">
        <v>4</v>
      </c>
      <c r="P2046">
        <v>582</v>
      </c>
      <c r="Q2046">
        <v>344</v>
      </c>
      <c r="R2046">
        <v>218</v>
      </c>
      <c r="S2046">
        <v>14.85</v>
      </c>
    </row>
    <row r="2047" spans="12:19" x14ac:dyDescent="0.2">
      <c r="L2047" t="s">
        <v>374</v>
      </c>
      <c r="M2047">
        <v>283</v>
      </c>
      <c r="N2047">
        <v>1</v>
      </c>
      <c r="O2047">
        <v>4</v>
      </c>
      <c r="P2047">
        <v>582</v>
      </c>
      <c r="Q2047">
        <v>344</v>
      </c>
      <c r="R2047">
        <v>218</v>
      </c>
      <c r="S2047">
        <v>990.4</v>
      </c>
    </row>
    <row r="2048" spans="12:19" x14ac:dyDescent="0.2">
      <c r="L2048" t="s">
        <v>374</v>
      </c>
      <c r="M2048">
        <v>284</v>
      </c>
      <c r="N2048">
        <v>1</v>
      </c>
      <c r="O2048">
        <v>4</v>
      </c>
      <c r="P2048">
        <v>582</v>
      </c>
      <c r="Q2048">
        <v>344</v>
      </c>
      <c r="R2048">
        <v>218</v>
      </c>
      <c r="S2048">
        <v>1255.3499999999999</v>
      </c>
    </row>
    <row r="2049" spans="12:19" x14ac:dyDescent="0.2">
      <c r="L2049" t="s">
        <v>374</v>
      </c>
      <c r="M2049">
        <v>286</v>
      </c>
      <c r="N2049">
        <v>1</v>
      </c>
      <c r="O2049">
        <v>4</v>
      </c>
      <c r="P2049">
        <v>582</v>
      </c>
      <c r="Q2049">
        <v>344</v>
      </c>
      <c r="R2049">
        <v>218</v>
      </c>
      <c r="S2049">
        <v>1572.61</v>
      </c>
    </row>
    <row r="2050" spans="12:19" x14ac:dyDescent="0.2">
      <c r="L2050" t="s">
        <v>374</v>
      </c>
      <c r="M2050">
        <v>294</v>
      </c>
      <c r="N2050">
        <v>1</v>
      </c>
      <c r="O2050">
        <v>4</v>
      </c>
      <c r="P2050">
        <v>582</v>
      </c>
      <c r="Q2050">
        <v>344</v>
      </c>
      <c r="R2050">
        <v>218</v>
      </c>
      <c r="S2050">
        <v>292.08</v>
      </c>
    </row>
    <row r="2051" spans="12:19" x14ac:dyDescent="0.2">
      <c r="L2051" t="s">
        <v>374</v>
      </c>
      <c r="M2051">
        <v>297</v>
      </c>
      <c r="N2051">
        <v>1</v>
      </c>
      <c r="O2051">
        <v>4</v>
      </c>
      <c r="P2051">
        <v>582</v>
      </c>
      <c r="Q2051">
        <v>344</v>
      </c>
      <c r="R2051">
        <v>218</v>
      </c>
      <c r="S2051">
        <v>71.5</v>
      </c>
    </row>
    <row r="2052" spans="12:19" x14ac:dyDescent="0.2">
      <c r="L2052" t="s">
        <v>374</v>
      </c>
      <c r="M2052">
        <v>299</v>
      </c>
      <c r="N2052">
        <v>1</v>
      </c>
      <c r="O2052">
        <v>4</v>
      </c>
      <c r="P2052">
        <v>582</v>
      </c>
      <c r="Q2052">
        <v>344</v>
      </c>
      <c r="R2052">
        <v>218</v>
      </c>
      <c r="S2052">
        <v>1785.55</v>
      </c>
    </row>
    <row r="2053" spans="12:19" x14ac:dyDescent="0.2">
      <c r="L2053" t="s">
        <v>374</v>
      </c>
      <c r="M2053">
        <v>300</v>
      </c>
      <c r="N2053">
        <v>1</v>
      </c>
      <c r="O2053">
        <v>4</v>
      </c>
      <c r="P2053">
        <v>582</v>
      </c>
      <c r="Q2053">
        <v>344</v>
      </c>
      <c r="R2053">
        <v>218</v>
      </c>
      <c r="S2053">
        <v>736.56</v>
      </c>
    </row>
    <row r="2054" spans="12:19" x14ac:dyDescent="0.2">
      <c r="L2054" t="s">
        <v>374</v>
      </c>
      <c r="M2054">
        <v>306</v>
      </c>
      <c r="N2054">
        <v>1</v>
      </c>
      <c r="O2054">
        <v>4</v>
      </c>
      <c r="P2054">
        <v>582</v>
      </c>
      <c r="Q2054">
        <v>344</v>
      </c>
      <c r="R2054">
        <v>218</v>
      </c>
      <c r="S2054">
        <v>499.13</v>
      </c>
    </row>
    <row r="2055" spans="12:19" x14ac:dyDescent="0.2">
      <c r="L2055" t="s">
        <v>374</v>
      </c>
      <c r="M2055">
        <v>308</v>
      </c>
      <c r="N2055">
        <v>1</v>
      </c>
      <c r="O2055">
        <v>4</v>
      </c>
      <c r="P2055">
        <v>582</v>
      </c>
      <c r="Q2055">
        <v>344</v>
      </c>
      <c r="R2055">
        <v>218</v>
      </c>
      <c r="S2055">
        <v>460.5</v>
      </c>
    </row>
    <row r="2056" spans="12:19" x14ac:dyDescent="0.2">
      <c r="L2056" t="s">
        <v>374</v>
      </c>
      <c r="M2056">
        <v>309</v>
      </c>
      <c r="N2056">
        <v>1</v>
      </c>
      <c r="O2056">
        <v>4</v>
      </c>
      <c r="P2056">
        <v>582</v>
      </c>
      <c r="Q2056">
        <v>344</v>
      </c>
      <c r="R2056">
        <v>218</v>
      </c>
      <c r="S2056">
        <v>1249.3699999999999</v>
      </c>
    </row>
    <row r="2057" spans="12:19" x14ac:dyDescent="0.2">
      <c r="L2057" t="s">
        <v>374</v>
      </c>
      <c r="M2057">
        <v>314</v>
      </c>
      <c r="N2057">
        <v>1</v>
      </c>
      <c r="O2057">
        <v>4</v>
      </c>
      <c r="P2057">
        <v>582</v>
      </c>
      <c r="Q2057">
        <v>344</v>
      </c>
      <c r="R2057">
        <v>218</v>
      </c>
      <c r="S2057">
        <v>1063.8399999999999</v>
      </c>
    </row>
    <row r="2058" spans="12:19" x14ac:dyDescent="0.2">
      <c r="L2058" t="s">
        <v>374</v>
      </c>
      <c r="M2058">
        <v>316</v>
      </c>
      <c r="N2058">
        <v>1</v>
      </c>
      <c r="O2058">
        <v>4</v>
      </c>
      <c r="P2058">
        <v>582</v>
      </c>
      <c r="Q2058">
        <v>344</v>
      </c>
      <c r="R2058">
        <v>218</v>
      </c>
      <c r="S2058">
        <v>1383.36</v>
      </c>
    </row>
    <row r="2059" spans="12:19" x14ac:dyDescent="0.2">
      <c r="L2059" t="s">
        <v>374</v>
      </c>
      <c r="M2059">
        <v>317</v>
      </c>
      <c r="N2059">
        <v>1</v>
      </c>
      <c r="O2059">
        <v>4</v>
      </c>
      <c r="P2059">
        <v>582</v>
      </c>
      <c r="Q2059">
        <v>344</v>
      </c>
      <c r="R2059">
        <v>218</v>
      </c>
      <c r="S2059">
        <v>2064.3000000000002</v>
      </c>
    </row>
    <row r="2060" spans="12:19" x14ac:dyDescent="0.2">
      <c r="L2060" t="s">
        <v>374</v>
      </c>
      <c r="M2060">
        <v>332</v>
      </c>
      <c r="N2060">
        <v>1</v>
      </c>
      <c r="O2060">
        <v>4</v>
      </c>
      <c r="P2060">
        <v>582</v>
      </c>
      <c r="Q2060">
        <v>344</v>
      </c>
      <c r="R2060">
        <v>218</v>
      </c>
      <c r="S2060">
        <v>592.28</v>
      </c>
    </row>
    <row r="2061" spans="12:19" x14ac:dyDescent="0.2">
      <c r="L2061" t="s">
        <v>374</v>
      </c>
      <c r="M2061">
        <v>333</v>
      </c>
      <c r="N2061">
        <v>1</v>
      </c>
      <c r="O2061">
        <v>4</v>
      </c>
      <c r="P2061">
        <v>582</v>
      </c>
      <c r="Q2061">
        <v>344</v>
      </c>
      <c r="R2061">
        <v>218</v>
      </c>
      <c r="S2061">
        <v>1208.1400000000001</v>
      </c>
    </row>
    <row r="2062" spans="12:19" x14ac:dyDescent="0.2">
      <c r="L2062" t="s">
        <v>374</v>
      </c>
      <c r="M2062">
        <v>345</v>
      </c>
      <c r="N2062">
        <v>1</v>
      </c>
      <c r="O2062">
        <v>4</v>
      </c>
      <c r="P2062">
        <v>582</v>
      </c>
      <c r="Q2062">
        <v>344</v>
      </c>
      <c r="R2062">
        <v>218</v>
      </c>
      <c r="S2062">
        <v>1005</v>
      </c>
    </row>
    <row r="2063" spans="12:19" x14ac:dyDescent="0.2">
      <c r="L2063" t="s">
        <v>374</v>
      </c>
      <c r="M2063">
        <v>347</v>
      </c>
      <c r="N2063">
        <v>1</v>
      </c>
      <c r="O2063">
        <v>4</v>
      </c>
      <c r="P2063">
        <v>582</v>
      </c>
      <c r="Q2063">
        <v>344</v>
      </c>
      <c r="R2063">
        <v>218</v>
      </c>
      <c r="S2063">
        <v>3231.36</v>
      </c>
    </row>
    <row r="2064" spans="12:19" x14ac:dyDescent="0.2">
      <c r="L2064" t="s">
        <v>374</v>
      </c>
      <c r="M2064">
        <v>356</v>
      </c>
      <c r="N2064">
        <v>1</v>
      </c>
      <c r="O2064">
        <v>4</v>
      </c>
      <c r="P2064">
        <v>582</v>
      </c>
      <c r="Q2064">
        <v>344</v>
      </c>
      <c r="R2064">
        <v>218</v>
      </c>
      <c r="S2064">
        <v>187</v>
      </c>
    </row>
    <row r="2065" spans="12:19" x14ac:dyDescent="0.2">
      <c r="L2065" t="s">
        <v>374</v>
      </c>
      <c r="M2065">
        <v>361</v>
      </c>
      <c r="N2065">
        <v>1</v>
      </c>
      <c r="O2065">
        <v>4</v>
      </c>
      <c r="P2065">
        <v>582</v>
      </c>
      <c r="Q2065">
        <v>344</v>
      </c>
      <c r="R2065">
        <v>218</v>
      </c>
      <c r="S2065">
        <v>1683.11</v>
      </c>
    </row>
    <row r="2066" spans="12:19" x14ac:dyDescent="0.2">
      <c r="L2066" t="s">
        <v>374</v>
      </c>
      <c r="M2066">
        <v>362</v>
      </c>
      <c r="N2066">
        <v>1</v>
      </c>
      <c r="O2066">
        <v>4</v>
      </c>
      <c r="P2066">
        <v>582</v>
      </c>
      <c r="Q2066">
        <v>344</v>
      </c>
      <c r="R2066">
        <v>218</v>
      </c>
      <c r="S2066">
        <v>1798.37</v>
      </c>
    </row>
    <row r="2067" spans="12:19" x14ac:dyDescent="0.2">
      <c r="L2067" t="s">
        <v>374</v>
      </c>
      <c r="M2067">
        <v>378</v>
      </c>
      <c r="N2067">
        <v>1</v>
      </c>
      <c r="O2067">
        <v>4</v>
      </c>
      <c r="P2067">
        <v>582</v>
      </c>
      <c r="Q2067">
        <v>344</v>
      </c>
      <c r="R2067">
        <v>218</v>
      </c>
      <c r="S2067">
        <v>161.47999999999999</v>
      </c>
    </row>
    <row r="2068" spans="12:19" x14ac:dyDescent="0.2">
      <c r="L2068" t="s">
        <v>374</v>
      </c>
      <c r="M2068">
        <v>381</v>
      </c>
      <c r="N2068">
        <v>1</v>
      </c>
      <c r="O2068">
        <v>4</v>
      </c>
      <c r="P2068">
        <v>582</v>
      </c>
      <c r="Q2068">
        <v>344</v>
      </c>
      <c r="R2068">
        <v>218</v>
      </c>
      <c r="S2068">
        <v>360.75</v>
      </c>
    </row>
    <row r="2069" spans="12:19" x14ac:dyDescent="0.2">
      <c r="L2069" t="s">
        <v>374</v>
      </c>
      <c r="M2069">
        <v>390</v>
      </c>
      <c r="N2069">
        <v>1</v>
      </c>
      <c r="O2069">
        <v>4</v>
      </c>
      <c r="P2069">
        <v>582</v>
      </c>
      <c r="Q2069">
        <v>344</v>
      </c>
      <c r="R2069">
        <v>218</v>
      </c>
      <c r="S2069">
        <v>580.64</v>
      </c>
    </row>
    <row r="2070" spans="12:19" x14ac:dyDescent="0.2">
      <c r="L2070" t="s">
        <v>374</v>
      </c>
      <c r="M2070">
        <v>391</v>
      </c>
      <c r="N2070">
        <v>1</v>
      </c>
      <c r="O2070">
        <v>4</v>
      </c>
      <c r="P2070">
        <v>582</v>
      </c>
      <c r="Q2070">
        <v>344</v>
      </c>
      <c r="R2070">
        <v>218</v>
      </c>
      <c r="S2070">
        <v>1840.74</v>
      </c>
    </row>
    <row r="2071" spans="12:19" x14ac:dyDescent="0.2">
      <c r="L2071" t="s">
        <v>374</v>
      </c>
      <c r="M2071">
        <v>392</v>
      </c>
      <c r="N2071">
        <v>1</v>
      </c>
      <c r="O2071">
        <v>4</v>
      </c>
      <c r="P2071">
        <v>582</v>
      </c>
      <c r="Q2071">
        <v>344</v>
      </c>
      <c r="R2071">
        <v>218</v>
      </c>
      <c r="S2071">
        <v>979.73</v>
      </c>
    </row>
    <row r="2072" spans="12:19" x14ac:dyDescent="0.2">
      <c r="L2072" t="s">
        <v>374</v>
      </c>
      <c r="M2072">
        <v>394</v>
      </c>
      <c r="N2072">
        <v>1</v>
      </c>
      <c r="O2072">
        <v>4</v>
      </c>
      <c r="P2072">
        <v>582</v>
      </c>
      <c r="Q2072">
        <v>344</v>
      </c>
      <c r="R2072">
        <v>218</v>
      </c>
      <c r="S2072">
        <v>1838.44</v>
      </c>
    </row>
    <row r="2073" spans="12:19" x14ac:dyDescent="0.2">
      <c r="L2073" t="s">
        <v>374</v>
      </c>
      <c r="M2073">
        <v>402</v>
      </c>
      <c r="N2073">
        <v>1</v>
      </c>
      <c r="O2073">
        <v>4</v>
      </c>
      <c r="P2073">
        <v>582</v>
      </c>
      <c r="Q2073">
        <v>344</v>
      </c>
      <c r="R2073">
        <v>218</v>
      </c>
      <c r="S2073">
        <v>403.41</v>
      </c>
    </row>
    <row r="2074" spans="12:19" x14ac:dyDescent="0.2">
      <c r="L2074" t="s">
        <v>374</v>
      </c>
      <c r="M2074">
        <v>404</v>
      </c>
      <c r="N2074">
        <v>1</v>
      </c>
      <c r="O2074">
        <v>4</v>
      </c>
      <c r="P2074">
        <v>582</v>
      </c>
      <c r="Q2074">
        <v>344</v>
      </c>
      <c r="R2074">
        <v>218</v>
      </c>
      <c r="S2074">
        <v>632.29</v>
      </c>
    </row>
    <row r="2075" spans="12:19" x14ac:dyDescent="0.2">
      <c r="L2075" t="s">
        <v>374</v>
      </c>
      <c r="M2075">
        <v>413</v>
      </c>
      <c r="N2075">
        <v>1</v>
      </c>
      <c r="O2075">
        <v>4</v>
      </c>
      <c r="P2075">
        <v>582</v>
      </c>
      <c r="Q2075">
        <v>344</v>
      </c>
      <c r="R2075">
        <v>218</v>
      </c>
      <c r="S2075">
        <v>1548.02</v>
      </c>
    </row>
    <row r="2076" spans="12:19" x14ac:dyDescent="0.2">
      <c r="L2076" t="s">
        <v>374</v>
      </c>
      <c r="M2076">
        <v>414</v>
      </c>
      <c r="N2076">
        <v>1</v>
      </c>
      <c r="O2076">
        <v>4</v>
      </c>
      <c r="P2076">
        <v>582</v>
      </c>
      <c r="Q2076">
        <v>344</v>
      </c>
      <c r="R2076">
        <v>218</v>
      </c>
      <c r="S2076">
        <v>880</v>
      </c>
    </row>
    <row r="2077" spans="12:19" x14ac:dyDescent="0.2">
      <c r="L2077" t="s">
        <v>374</v>
      </c>
      <c r="M2077">
        <v>415</v>
      </c>
      <c r="N2077">
        <v>1</v>
      </c>
      <c r="O2077">
        <v>4</v>
      </c>
      <c r="P2077">
        <v>582</v>
      </c>
      <c r="Q2077">
        <v>344</v>
      </c>
      <c r="R2077">
        <v>218</v>
      </c>
      <c r="S2077">
        <v>564</v>
      </c>
    </row>
    <row r="2078" spans="12:19" x14ac:dyDescent="0.2">
      <c r="L2078" t="s">
        <v>374</v>
      </c>
      <c r="M2078">
        <v>417</v>
      </c>
      <c r="N2078">
        <v>1</v>
      </c>
      <c r="O2078">
        <v>4</v>
      </c>
      <c r="P2078">
        <v>582</v>
      </c>
      <c r="Q2078">
        <v>344</v>
      </c>
      <c r="R2078">
        <v>218</v>
      </c>
      <c r="S2078">
        <v>885.56</v>
      </c>
    </row>
    <row r="2079" spans="12:19" x14ac:dyDescent="0.2">
      <c r="L2079" t="s">
        <v>374</v>
      </c>
      <c r="M2079">
        <v>423</v>
      </c>
      <c r="N2079">
        <v>1</v>
      </c>
      <c r="O2079">
        <v>4</v>
      </c>
      <c r="P2079">
        <v>582</v>
      </c>
      <c r="Q2079">
        <v>344</v>
      </c>
      <c r="R2079">
        <v>218</v>
      </c>
      <c r="S2079">
        <v>1033.1400000000001</v>
      </c>
    </row>
    <row r="2080" spans="12:19" x14ac:dyDescent="0.2">
      <c r="L2080" t="s">
        <v>374</v>
      </c>
      <c r="M2080">
        <v>424</v>
      </c>
      <c r="N2080">
        <v>1</v>
      </c>
      <c r="O2080">
        <v>4</v>
      </c>
      <c r="P2080">
        <v>582</v>
      </c>
      <c r="Q2080">
        <v>344</v>
      </c>
      <c r="R2080">
        <v>218</v>
      </c>
      <c r="S2080">
        <v>707.74</v>
      </c>
    </row>
    <row r="2081" spans="12:19" x14ac:dyDescent="0.2">
      <c r="L2081" t="s">
        <v>374</v>
      </c>
      <c r="M2081">
        <v>432</v>
      </c>
      <c r="N2081">
        <v>1</v>
      </c>
      <c r="O2081">
        <v>4</v>
      </c>
      <c r="P2081">
        <v>582</v>
      </c>
      <c r="Q2081">
        <v>344</v>
      </c>
      <c r="R2081">
        <v>218</v>
      </c>
      <c r="S2081">
        <v>523.77</v>
      </c>
    </row>
    <row r="2082" spans="12:19" x14ac:dyDescent="0.2">
      <c r="L2082" t="s">
        <v>374</v>
      </c>
      <c r="M2082">
        <v>441</v>
      </c>
      <c r="N2082">
        <v>1</v>
      </c>
      <c r="O2082">
        <v>4</v>
      </c>
      <c r="P2082">
        <v>582</v>
      </c>
      <c r="Q2082">
        <v>344</v>
      </c>
      <c r="R2082">
        <v>218</v>
      </c>
      <c r="S2082">
        <v>1011.61</v>
      </c>
    </row>
    <row r="2083" spans="12:19" x14ac:dyDescent="0.2">
      <c r="L2083" t="s">
        <v>374</v>
      </c>
      <c r="M2083">
        <v>458</v>
      </c>
      <c r="N2083">
        <v>1</v>
      </c>
      <c r="O2083">
        <v>4</v>
      </c>
      <c r="P2083">
        <v>582</v>
      </c>
      <c r="Q2083">
        <v>344</v>
      </c>
      <c r="R2083">
        <v>218</v>
      </c>
      <c r="S2083">
        <v>946.55</v>
      </c>
    </row>
    <row r="2084" spans="12:19" x14ac:dyDescent="0.2">
      <c r="L2084" t="s">
        <v>374</v>
      </c>
      <c r="M2084">
        <v>465</v>
      </c>
      <c r="N2084">
        <v>1</v>
      </c>
      <c r="O2084">
        <v>4</v>
      </c>
      <c r="P2084">
        <v>582</v>
      </c>
      <c r="Q2084">
        <v>344</v>
      </c>
      <c r="R2084">
        <v>218</v>
      </c>
      <c r="S2084">
        <v>2020.33</v>
      </c>
    </row>
    <row r="2085" spans="12:19" x14ac:dyDescent="0.2">
      <c r="L2085" t="s">
        <v>374</v>
      </c>
      <c r="M2085">
        <v>466</v>
      </c>
      <c r="N2085">
        <v>1</v>
      </c>
      <c r="O2085">
        <v>4</v>
      </c>
      <c r="P2085">
        <v>582</v>
      </c>
      <c r="Q2085">
        <v>344</v>
      </c>
      <c r="R2085">
        <v>218</v>
      </c>
      <c r="S2085">
        <v>3344.64</v>
      </c>
    </row>
    <row r="2086" spans="12:19" x14ac:dyDescent="0.2">
      <c r="L2086" t="s">
        <v>374</v>
      </c>
      <c r="M2086">
        <v>473</v>
      </c>
      <c r="N2086">
        <v>1</v>
      </c>
      <c r="O2086">
        <v>4</v>
      </c>
      <c r="P2086">
        <v>582</v>
      </c>
      <c r="Q2086">
        <v>344</v>
      </c>
      <c r="R2086">
        <v>218</v>
      </c>
      <c r="S2086">
        <v>531.29999999999995</v>
      </c>
    </row>
    <row r="2087" spans="12:19" x14ac:dyDescent="0.2">
      <c r="L2087" t="s">
        <v>374</v>
      </c>
      <c r="M2087">
        <v>477</v>
      </c>
      <c r="N2087">
        <v>1</v>
      </c>
      <c r="O2087">
        <v>4</v>
      </c>
      <c r="P2087">
        <v>582</v>
      </c>
      <c r="Q2087">
        <v>344</v>
      </c>
      <c r="R2087">
        <v>218</v>
      </c>
      <c r="S2087">
        <v>1018.94</v>
      </c>
    </row>
    <row r="2088" spans="12:19" x14ac:dyDescent="0.2">
      <c r="L2088" t="s">
        <v>374</v>
      </c>
      <c r="M2088">
        <v>480</v>
      </c>
      <c r="N2088">
        <v>1</v>
      </c>
      <c r="O2088">
        <v>4</v>
      </c>
      <c r="P2088">
        <v>582</v>
      </c>
      <c r="Q2088">
        <v>344</v>
      </c>
      <c r="R2088">
        <v>218</v>
      </c>
      <c r="S2088">
        <v>730.7</v>
      </c>
    </row>
    <row r="2089" spans="12:19" x14ac:dyDescent="0.2">
      <c r="L2089" t="s">
        <v>374</v>
      </c>
      <c r="M2089">
        <v>482</v>
      </c>
      <c r="N2089">
        <v>1</v>
      </c>
      <c r="O2089">
        <v>4</v>
      </c>
      <c r="P2089">
        <v>582</v>
      </c>
      <c r="Q2089">
        <v>344</v>
      </c>
      <c r="R2089">
        <v>218</v>
      </c>
      <c r="S2089">
        <v>1397.31</v>
      </c>
    </row>
    <row r="2090" spans="12:19" x14ac:dyDescent="0.2">
      <c r="L2090" t="s">
        <v>374</v>
      </c>
      <c r="M2090">
        <v>485</v>
      </c>
      <c r="N2090">
        <v>1</v>
      </c>
      <c r="O2090">
        <v>4</v>
      </c>
      <c r="P2090">
        <v>582</v>
      </c>
      <c r="Q2090">
        <v>344</v>
      </c>
      <c r="R2090">
        <v>218</v>
      </c>
      <c r="S2090">
        <v>57.42</v>
      </c>
    </row>
    <row r="2091" spans="12:19" x14ac:dyDescent="0.2">
      <c r="L2091" t="s">
        <v>374</v>
      </c>
      <c r="M2091">
        <v>486</v>
      </c>
      <c r="N2091">
        <v>1</v>
      </c>
      <c r="O2091">
        <v>4</v>
      </c>
      <c r="P2091">
        <v>582</v>
      </c>
      <c r="Q2091">
        <v>344</v>
      </c>
      <c r="R2091">
        <v>218</v>
      </c>
      <c r="S2091">
        <v>25.75</v>
      </c>
    </row>
    <row r="2092" spans="12:19" x14ac:dyDescent="0.2">
      <c r="L2092" t="s">
        <v>374</v>
      </c>
      <c r="M2092">
        <v>492</v>
      </c>
      <c r="N2092">
        <v>1</v>
      </c>
      <c r="O2092">
        <v>4</v>
      </c>
      <c r="P2092">
        <v>582</v>
      </c>
      <c r="Q2092">
        <v>344</v>
      </c>
      <c r="R2092">
        <v>218</v>
      </c>
      <c r="S2092">
        <v>1936.98</v>
      </c>
    </row>
    <row r="2093" spans="12:19" x14ac:dyDescent="0.2">
      <c r="L2093" t="s">
        <v>374</v>
      </c>
      <c r="M2093">
        <v>495</v>
      </c>
      <c r="N2093">
        <v>1</v>
      </c>
      <c r="O2093">
        <v>4</v>
      </c>
      <c r="P2093">
        <v>582</v>
      </c>
      <c r="Q2093">
        <v>344</v>
      </c>
      <c r="R2093">
        <v>218</v>
      </c>
      <c r="S2093">
        <v>768.53</v>
      </c>
    </row>
    <row r="2094" spans="12:19" x14ac:dyDescent="0.2">
      <c r="L2094" t="s">
        <v>374</v>
      </c>
      <c r="M2094">
        <v>499</v>
      </c>
      <c r="N2094">
        <v>1</v>
      </c>
      <c r="O2094">
        <v>4</v>
      </c>
      <c r="P2094">
        <v>582</v>
      </c>
      <c r="Q2094">
        <v>344</v>
      </c>
      <c r="R2094">
        <v>218</v>
      </c>
      <c r="S2094">
        <v>51.83</v>
      </c>
    </row>
    <row r="2095" spans="12:19" x14ac:dyDescent="0.2">
      <c r="L2095" t="s">
        <v>374</v>
      </c>
      <c r="M2095">
        <v>500</v>
      </c>
      <c r="N2095">
        <v>1</v>
      </c>
      <c r="O2095">
        <v>4</v>
      </c>
      <c r="P2095">
        <v>582</v>
      </c>
      <c r="Q2095">
        <v>344</v>
      </c>
      <c r="R2095">
        <v>218</v>
      </c>
      <c r="S2095">
        <v>717.09</v>
      </c>
    </row>
    <row r="2096" spans="12:19" x14ac:dyDescent="0.2">
      <c r="L2096" t="s">
        <v>374</v>
      </c>
      <c r="M2096">
        <v>507</v>
      </c>
      <c r="N2096">
        <v>1</v>
      </c>
      <c r="O2096">
        <v>4</v>
      </c>
      <c r="P2096">
        <v>582</v>
      </c>
      <c r="Q2096">
        <v>344</v>
      </c>
      <c r="R2096">
        <v>218</v>
      </c>
      <c r="S2096">
        <v>157.4</v>
      </c>
    </row>
    <row r="2097" spans="12:19" x14ac:dyDescent="0.2">
      <c r="L2097" t="s">
        <v>374</v>
      </c>
      <c r="M2097">
        <v>508</v>
      </c>
      <c r="N2097">
        <v>1</v>
      </c>
      <c r="O2097">
        <v>4</v>
      </c>
      <c r="P2097">
        <v>582</v>
      </c>
      <c r="Q2097">
        <v>344</v>
      </c>
      <c r="R2097">
        <v>218</v>
      </c>
      <c r="S2097">
        <v>4823.67</v>
      </c>
    </row>
    <row r="2098" spans="12:19" x14ac:dyDescent="0.2">
      <c r="L2098" t="s">
        <v>374</v>
      </c>
      <c r="M2098">
        <v>513</v>
      </c>
      <c r="N2098">
        <v>1</v>
      </c>
      <c r="O2098">
        <v>4</v>
      </c>
      <c r="P2098">
        <v>582</v>
      </c>
      <c r="Q2098">
        <v>344</v>
      </c>
      <c r="R2098">
        <v>218</v>
      </c>
      <c r="S2098">
        <v>1177</v>
      </c>
    </row>
    <row r="2099" spans="12:19" x14ac:dyDescent="0.2">
      <c r="L2099" t="s">
        <v>374</v>
      </c>
      <c r="M2099">
        <v>518</v>
      </c>
      <c r="N2099">
        <v>1</v>
      </c>
      <c r="O2099">
        <v>4</v>
      </c>
      <c r="P2099">
        <v>582</v>
      </c>
      <c r="Q2099">
        <v>344</v>
      </c>
      <c r="R2099">
        <v>218</v>
      </c>
      <c r="S2099">
        <v>1755.06</v>
      </c>
    </row>
    <row r="2100" spans="12:19" x14ac:dyDescent="0.2">
      <c r="L2100" t="s">
        <v>374</v>
      </c>
      <c r="M2100">
        <v>531</v>
      </c>
      <c r="N2100">
        <v>1</v>
      </c>
      <c r="O2100">
        <v>4</v>
      </c>
      <c r="P2100">
        <v>582</v>
      </c>
      <c r="Q2100">
        <v>344</v>
      </c>
      <c r="R2100">
        <v>218</v>
      </c>
      <c r="S2100">
        <v>4791.79</v>
      </c>
    </row>
    <row r="2101" spans="12:19" x14ac:dyDescent="0.2">
      <c r="L2101" t="s">
        <v>374</v>
      </c>
      <c r="M2101">
        <v>533</v>
      </c>
      <c r="N2101">
        <v>1</v>
      </c>
      <c r="O2101">
        <v>4</v>
      </c>
      <c r="P2101">
        <v>582</v>
      </c>
      <c r="Q2101">
        <v>344</v>
      </c>
      <c r="R2101">
        <v>218</v>
      </c>
      <c r="S2101">
        <v>838.31</v>
      </c>
    </row>
    <row r="2102" spans="12:19" x14ac:dyDescent="0.2">
      <c r="L2102" t="s">
        <v>374</v>
      </c>
      <c r="M2102">
        <v>534</v>
      </c>
      <c r="N2102">
        <v>1</v>
      </c>
      <c r="O2102">
        <v>4</v>
      </c>
      <c r="P2102">
        <v>582</v>
      </c>
      <c r="Q2102">
        <v>344</v>
      </c>
      <c r="R2102">
        <v>218</v>
      </c>
      <c r="S2102">
        <v>1344.25</v>
      </c>
    </row>
    <row r="2103" spans="12:19" x14ac:dyDescent="0.2">
      <c r="L2103" t="s">
        <v>374</v>
      </c>
      <c r="M2103">
        <v>535</v>
      </c>
      <c r="N2103">
        <v>1</v>
      </c>
      <c r="O2103">
        <v>4</v>
      </c>
      <c r="P2103">
        <v>582</v>
      </c>
      <c r="Q2103">
        <v>344</v>
      </c>
      <c r="R2103">
        <v>218</v>
      </c>
      <c r="S2103">
        <v>488.83</v>
      </c>
    </row>
    <row r="2104" spans="12:19" x14ac:dyDescent="0.2">
      <c r="L2104" t="s">
        <v>374</v>
      </c>
      <c r="M2104">
        <v>545</v>
      </c>
      <c r="N2104">
        <v>1</v>
      </c>
      <c r="O2104">
        <v>4</v>
      </c>
      <c r="P2104">
        <v>582</v>
      </c>
      <c r="Q2104">
        <v>344</v>
      </c>
      <c r="R2104">
        <v>218</v>
      </c>
      <c r="S2104">
        <v>781.1</v>
      </c>
    </row>
    <row r="2105" spans="12:19" x14ac:dyDescent="0.2">
      <c r="L2105" t="s">
        <v>374</v>
      </c>
      <c r="M2105">
        <v>547</v>
      </c>
      <c r="N2105">
        <v>1</v>
      </c>
      <c r="O2105">
        <v>4</v>
      </c>
      <c r="P2105">
        <v>582</v>
      </c>
      <c r="Q2105">
        <v>344</v>
      </c>
      <c r="R2105">
        <v>218</v>
      </c>
      <c r="S2105">
        <v>772.49</v>
      </c>
    </row>
    <row r="2106" spans="12:19" x14ac:dyDescent="0.2">
      <c r="L2106" t="s">
        <v>374</v>
      </c>
      <c r="M2106">
        <v>549</v>
      </c>
      <c r="N2106">
        <v>1</v>
      </c>
      <c r="O2106">
        <v>4</v>
      </c>
      <c r="P2106">
        <v>582</v>
      </c>
      <c r="Q2106">
        <v>344</v>
      </c>
      <c r="R2106">
        <v>218</v>
      </c>
      <c r="S2106">
        <v>7321.09</v>
      </c>
    </row>
    <row r="2107" spans="12:19" x14ac:dyDescent="0.2">
      <c r="L2107" t="s">
        <v>374</v>
      </c>
      <c r="M2107">
        <v>550</v>
      </c>
      <c r="N2107">
        <v>1</v>
      </c>
      <c r="O2107">
        <v>4</v>
      </c>
      <c r="P2107">
        <v>582</v>
      </c>
      <c r="Q2107">
        <v>344</v>
      </c>
      <c r="R2107">
        <v>218</v>
      </c>
      <c r="S2107">
        <v>4.95</v>
      </c>
    </row>
    <row r="2108" spans="12:19" x14ac:dyDescent="0.2">
      <c r="L2108" t="s">
        <v>374</v>
      </c>
      <c r="M2108">
        <v>553</v>
      </c>
      <c r="N2108">
        <v>1</v>
      </c>
      <c r="O2108">
        <v>4</v>
      </c>
      <c r="P2108">
        <v>582</v>
      </c>
      <c r="Q2108">
        <v>344</v>
      </c>
      <c r="R2108">
        <v>218</v>
      </c>
      <c r="S2108">
        <v>607.59</v>
      </c>
    </row>
    <row r="2109" spans="12:19" x14ac:dyDescent="0.2">
      <c r="L2109" t="s">
        <v>374</v>
      </c>
      <c r="M2109">
        <v>564</v>
      </c>
      <c r="N2109">
        <v>1</v>
      </c>
      <c r="O2109">
        <v>4</v>
      </c>
      <c r="P2109">
        <v>582</v>
      </c>
      <c r="Q2109">
        <v>344</v>
      </c>
      <c r="R2109">
        <v>218</v>
      </c>
      <c r="S2109">
        <v>3025.12</v>
      </c>
    </row>
    <row r="2110" spans="12:19" x14ac:dyDescent="0.2">
      <c r="L2110" t="s">
        <v>374</v>
      </c>
      <c r="M2110">
        <v>577</v>
      </c>
      <c r="N2110">
        <v>1</v>
      </c>
      <c r="O2110">
        <v>4</v>
      </c>
      <c r="P2110">
        <v>582</v>
      </c>
      <c r="Q2110">
        <v>344</v>
      </c>
      <c r="R2110">
        <v>218</v>
      </c>
      <c r="S2110">
        <v>312.06</v>
      </c>
    </row>
    <row r="2111" spans="12:19" x14ac:dyDescent="0.2">
      <c r="L2111" t="s">
        <v>374</v>
      </c>
      <c r="M2111">
        <v>578</v>
      </c>
      <c r="N2111">
        <v>1</v>
      </c>
      <c r="O2111">
        <v>4</v>
      </c>
      <c r="P2111">
        <v>582</v>
      </c>
      <c r="Q2111">
        <v>344</v>
      </c>
      <c r="R2111">
        <v>218</v>
      </c>
      <c r="S2111">
        <v>237.89</v>
      </c>
    </row>
    <row r="2112" spans="12:19" x14ac:dyDescent="0.2">
      <c r="L2112" t="s">
        <v>374</v>
      </c>
      <c r="M2112">
        <v>592</v>
      </c>
      <c r="N2112">
        <v>1</v>
      </c>
      <c r="O2112">
        <v>4</v>
      </c>
      <c r="P2112">
        <v>582</v>
      </c>
      <c r="Q2112">
        <v>344</v>
      </c>
      <c r="R2112">
        <v>218</v>
      </c>
      <c r="S2112">
        <v>638.48</v>
      </c>
    </row>
    <row r="2113" spans="12:19" x14ac:dyDescent="0.2">
      <c r="L2113" t="s">
        <v>374</v>
      </c>
      <c r="M2113">
        <v>593</v>
      </c>
      <c r="N2113">
        <v>1</v>
      </c>
      <c r="O2113">
        <v>4</v>
      </c>
      <c r="P2113">
        <v>582</v>
      </c>
      <c r="Q2113">
        <v>344</v>
      </c>
      <c r="R2113">
        <v>218</v>
      </c>
      <c r="S2113">
        <v>1726.5</v>
      </c>
    </row>
    <row r="2114" spans="12:19" x14ac:dyDescent="0.2">
      <c r="L2114" t="s">
        <v>374</v>
      </c>
      <c r="M2114">
        <v>595</v>
      </c>
      <c r="N2114">
        <v>1</v>
      </c>
      <c r="O2114">
        <v>4</v>
      </c>
      <c r="P2114">
        <v>582</v>
      </c>
      <c r="Q2114">
        <v>344</v>
      </c>
      <c r="R2114">
        <v>218</v>
      </c>
      <c r="S2114">
        <v>1001.91</v>
      </c>
    </row>
    <row r="2115" spans="12:19" x14ac:dyDescent="0.2">
      <c r="L2115" t="s">
        <v>374</v>
      </c>
      <c r="M2115">
        <v>599</v>
      </c>
      <c r="N2115">
        <v>1</v>
      </c>
      <c r="O2115">
        <v>4</v>
      </c>
      <c r="P2115">
        <v>582</v>
      </c>
      <c r="Q2115">
        <v>344</v>
      </c>
      <c r="R2115">
        <v>218</v>
      </c>
      <c r="S2115">
        <v>363.01</v>
      </c>
    </row>
    <row r="2116" spans="12:19" x14ac:dyDescent="0.2">
      <c r="L2116" t="s">
        <v>374</v>
      </c>
      <c r="M2116">
        <v>600</v>
      </c>
      <c r="N2116">
        <v>1</v>
      </c>
      <c r="O2116">
        <v>4</v>
      </c>
      <c r="P2116">
        <v>582</v>
      </c>
      <c r="Q2116">
        <v>344</v>
      </c>
      <c r="R2116">
        <v>218</v>
      </c>
      <c r="S2116">
        <v>1449.6</v>
      </c>
    </row>
    <row r="2117" spans="12:19" x14ac:dyDescent="0.2">
      <c r="L2117" t="s">
        <v>374</v>
      </c>
      <c r="M2117">
        <v>601</v>
      </c>
      <c r="N2117">
        <v>1</v>
      </c>
      <c r="O2117">
        <v>4</v>
      </c>
      <c r="P2117">
        <v>582</v>
      </c>
      <c r="Q2117">
        <v>344</v>
      </c>
      <c r="R2117">
        <v>218</v>
      </c>
      <c r="S2117">
        <v>725.67</v>
      </c>
    </row>
    <row r="2118" spans="12:19" x14ac:dyDescent="0.2">
      <c r="L2118" t="s">
        <v>374</v>
      </c>
      <c r="M2118">
        <v>621</v>
      </c>
      <c r="N2118">
        <v>1</v>
      </c>
      <c r="O2118">
        <v>4</v>
      </c>
      <c r="P2118">
        <v>582</v>
      </c>
      <c r="Q2118">
        <v>344</v>
      </c>
      <c r="R2118">
        <v>218</v>
      </c>
      <c r="S2118">
        <v>3460.28</v>
      </c>
    </row>
    <row r="2119" spans="12:19" x14ac:dyDescent="0.2">
      <c r="L2119" t="s">
        <v>374</v>
      </c>
      <c r="M2119">
        <v>622</v>
      </c>
      <c r="N2119">
        <v>1</v>
      </c>
      <c r="O2119">
        <v>4</v>
      </c>
      <c r="P2119">
        <v>582</v>
      </c>
      <c r="Q2119">
        <v>344</v>
      </c>
      <c r="R2119">
        <v>218</v>
      </c>
      <c r="S2119">
        <v>3270.76</v>
      </c>
    </row>
    <row r="2120" spans="12:19" x14ac:dyDescent="0.2">
      <c r="L2120" t="s">
        <v>374</v>
      </c>
      <c r="M2120">
        <v>623</v>
      </c>
      <c r="N2120">
        <v>1</v>
      </c>
      <c r="O2120">
        <v>4</v>
      </c>
      <c r="P2120">
        <v>582</v>
      </c>
      <c r="Q2120">
        <v>344</v>
      </c>
      <c r="R2120">
        <v>218</v>
      </c>
      <c r="S2120">
        <v>2677.82</v>
      </c>
    </row>
    <row r="2121" spans="12:19" x14ac:dyDescent="0.2">
      <c r="L2121" t="s">
        <v>374</v>
      </c>
      <c r="M2121">
        <v>624</v>
      </c>
      <c r="N2121">
        <v>1</v>
      </c>
      <c r="O2121">
        <v>4</v>
      </c>
      <c r="P2121">
        <v>582</v>
      </c>
      <c r="Q2121">
        <v>344</v>
      </c>
      <c r="R2121">
        <v>218</v>
      </c>
      <c r="S2121">
        <v>614.04999999999995</v>
      </c>
    </row>
    <row r="2122" spans="12:19" x14ac:dyDescent="0.2">
      <c r="L2122" t="s">
        <v>374</v>
      </c>
      <c r="M2122">
        <v>625</v>
      </c>
      <c r="N2122">
        <v>1</v>
      </c>
      <c r="O2122">
        <v>4</v>
      </c>
      <c r="P2122">
        <v>582</v>
      </c>
      <c r="Q2122">
        <v>344</v>
      </c>
      <c r="R2122">
        <v>218</v>
      </c>
      <c r="S2122">
        <v>9754.9500000000007</v>
      </c>
    </row>
    <row r="2123" spans="12:19" x14ac:dyDescent="0.2">
      <c r="L2123" t="s">
        <v>374</v>
      </c>
      <c r="M2123">
        <v>627</v>
      </c>
      <c r="N2123">
        <v>1</v>
      </c>
      <c r="O2123">
        <v>4</v>
      </c>
      <c r="P2123">
        <v>582</v>
      </c>
      <c r="Q2123">
        <v>344</v>
      </c>
      <c r="R2123">
        <v>218</v>
      </c>
      <c r="S2123">
        <v>131.58000000000001</v>
      </c>
    </row>
    <row r="2124" spans="12:19" x14ac:dyDescent="0.2">
      <c r="L2124" t="s">
        <v>374</v>
      </c>
      <c r="M2124">
        <v>628</v>
      </c>
      <c r="N2124">
        <v>1</v>
      </c>
      <c r="O2124">
        <v>4</v>
      </c>
      <c r="P2124">
        <v>582</v>
      </c>
      <c r="Q2124">
        <v>344</v>
      </c>
      <c r="R2124">
        <v>218</v>
      </c>
      <c r="S2124">
        <v>180.55</v>
      </c>
    </row>
    <row r="2125" spans="12:19" x14ac:dyDescent="0.2">
      <c r="L2125" t="s">
        <v>374</v>
      </c>
      <c r="M2125">
        <v>630</v>
      </c>
      <c r="N2125">
        <v>1</v>
      </c>
      <c r="O2125">
        <v>4</v>
      </c>
      <c r="P2125">
        <v>582</v>
      </c>
      <c r="Q2125">
        <v>344</v>
      </c>
      <c r="R2125">
        <v>218</v>
      </c>
      <c r="S2125">
        <v>339.75</v>
      </c>
    </row>
    <row r="2126" spans="12:19" x14ac:dyDescent="0.2">
      <c r="L2126" t="s">
        <v>374</v>
      </c>
      <c r="M2126">
        <v>635</v>
      </c>
      <c r="N2126">
        <v>1</v>
      </c>
      <c r="O2126">
        <v>4</v>
      </c>
      <c r="P2126">
        <v>582</v>
      </c>
      <c r="Q2126">
        <v>344</v>
      </c>
      <c r="R2126">
        <v>218</v>
      </c>
      <c r="S2126">
        <v>20.32</v>
      </c>
    </row>
    <row r="2127" spans="12:19" x14ac:dyDescent="0.2">
      <c r="L2127" t="s">
        <v>374</v>
      </c>
      <c r="M2127">
        <v>640</v>
      </c>
      <c r="N2127">
        <v>1</v>
      </c>
      <c r="O2127">
        <v>4</v>
      </c>
      <c r="P2127">
        <v>582</v>
      </c>
      <c r="Q2127">
        <v>344</v>
      </c>
      <c r="R2127">
        <v>218</v>
      </c>
      <c r="S2127">
        <v>848.78</v>
      </c>
    </row>
    <row r="2128" spans="12:19" x14ac:dyDescent="0.2">
      <c r="L2128" t="s">
        <v>374</v>
      </c>
      <c r="M2128">
        <v>656</v>
      </c>
      <c r="N2128">
        <v>1</v>
      </c>
      <c r="O2128">
        <v>4</v>
      </c>
      <c r="P2128">
        <v>582</v>
      </c>
      <c r="Q2128">
        <v>344</v>
      </c>
      <c r="R2128">
        <v>218</v>
      </c>
      <c r="S2128">
        <v>2889.46</v>
      </c>
    </row>
    <row r="2129" spans="12:19" x14ac:dyDescent="0.2">
      <c r="L2129" t="s">
        <v>374</v>
      </c>
      <c r="M2129">
        <v>659</v>
      </c>
      <c r="N2129">
        <v>1</v>
      </c>
      <c r="O2129">
        <v>4</v>
      </c>
      <c r="P2129">
        <v>582</v>
      </c>
      <c r="Q2129">
        <v>344</v>
      </c>
      <c r="R2129">
        <v>218</v>
      </c>
      <c r="S2129">
        <v>5901.05</v>
      </c>
    </row>
    <row r="2130" spans="12:19" x14ac:dyDescent="0.2">
      <c r="L2130" t="s">
        <v>374</v>
      </c>
      <c r="M2130">
        <v>671</v>
      </c>
      <c r="N2130">
        <v>1</v>
      </c>
      <c r="O2130">
        <v>4</v>
      </c>
      <c r="P2130">
        <v>582</v>
      </c>
      <c r="Q2130">
        <v>344</v>
      </c>
      <c r="R2130">
        <v>218</v>
      </c>
      <c r="S2130">
        <v>57.9</v>
      </c>
    </row>
    <row r="2131" spans="12:19" x14ac:dyDescent="0.2">
      <c r="L2131" t="s">
        <v>374</v>
      </c>
      <c r="M2131">
        <v>682</v>
      </c>
      <c r="N2131">
        <v>1</v>
      </c>
      <c r="O2131">
        <v>4</v>
      </c>
      <c r="P2131">
        <v>582</v>
      </c>
      <c r="Q2131">
        <v>344</v>
      </c>
      <c r="R2131">
        <v>218</v>
      </c>
      <c r="S2131">
        <v>1229.78</v>
      </c>
    </row>
    <row r="2132" spans="12:19" x14ac:dyDescent="0.2">
      <c r="L2132" t="s">
        <v>374</v>
      </c>
      <c r="M2132">
        <v>690</v>
      </c>
      <c r="N2132">
        <v>1</v>
      </c>
      <c r="O2132">
        <v>4</v>
      </c>
      <c r="P2132">
        <v>582</v>
      </c>
      <c r="Q2132">
        <v>344</v>
      </c>
      <c r="R2132">
        <v>218</v>
      </c>
      <c r="S2132">
        <v>709.68</v>
      </c>
    </row>
    <row r="2133" spans="12:19" x14ac:dyDescent="0.2">
      <c r="L2133" t="s">
        <v>374</v>
      </c>
      <c r="M2133">
        <v>695</v>
      </c>
      <c r="N2133">
        <v>1</v>
      </c>
      <c r="O2133">
        <v>4</v>
      </c>
      <c r="P2133">
        <v>582</v>
      </c>
      <c r="Q2133">
        <v>344</v>
      </c>
      <c r="R2133">
        <v>218</v>
      </c>
      <c r="S2133">
        <v>396.74</v>
      </c>
    </row>
    <row r="2134" spans="12:19" x14ac:dyDescent="0.2">
      <c r="L2134" t="s">
        <v>374</v>
      </c>
      <c r="M2134">
        <v>696</v>
      </c>
      <c r="N2134">
        <v>1</v>
      </c>
      <c r="O2134">
        <v>4</v>
      </c>
      <c r="P2134">
        <v>582</v>
      </c>
      <c r="Q2134">
        <v>344</v>
      </c>
      <c r="R2134">
        <v>218</v>
      </c>
      <c r="S2134">
        <v>256.5</v>
      </c>
    </row>
    <row r="2135" spans="12:19" x14ac:dyDescent="0.2">
      <c r="L2135" t="s">
        <v>374</v>
      </c>
      <c r="M2135">
        <v>698</v>
      </c>
      <c r="N2135">
        <v>1</v>
      </c>
      <c r="O2135">
        <v>4</v>
      </c>
      <c r="P2135">
        <v>582</v>
      </c>
      <c r="Q2135">
        <v>344</v>
      </c>
      <c r="R2135">
        <v>218</v>
      </c>
      <c r="S2135">
        <v>260</v>
      </c>
    </row>
    <row r="2136" spans="12:19" x14ac:dyDescent="0.2">
      <c r="L2136" t="s">
        <v>374</v>
      </c>
      <c r="M2136">
        <v>700</v>
      </c>
      <c r="N2136">
        <v>1</v>
      </c>
      <c r="O2136">
        <v>4</v>
      </c>
      <c r="P2136">
        <v>582</v>
      </c>
      <c r="Q2136">
        <v>344</v>
      </c>
      <c r="R2136">
        <v>218</v>
      </c>
      <c r="S2136">
        <v>2891.08</v>
      </c>
    </row>
    <row r="2137" spans="12:19" x14ac:dyDescent="0.2">
      <c r="L2137" t="s">
        <v>374</v>
      </c>
      <c r="M2137">
        <v>701</v>
      </c>
      <c r="N2137">
        <v>1</v>
      </c>
      <c r="O2137">
        <v>4</v>
      </c>
      <c r="P2137">
        <v>582</v>
      </c>
      <c r="Q2137">
        <v>344</v>
      </c>
      <c r="R2137">
        <v>218</v>
      </c>
      <c r="S2137">
        <v>1577.94</v>
      </c>
    </row>
    <row r="2138" spans="12:19" x14ac:dyDescent="0.2">
      <c r="L2138" t="s">
        <v>374</v>
      </c>
      <c r="M2138">
        <v>704</v>
      </c>
      <c r="N2138">
        <v>1</v>
      </c>
      <c r="O2138">
        <v>4</v>
      </c>
      <c r="P2138">
        <v>582</v>
      </c>
      <c r="Q2138">
        <v>344</v>
      </c>
      <c r="R2138">
        <v>218</v>
      </c>
      <c r="S2138">
        <v>508.48</v>
      </c>
    </row>
    <row r="2139" spans="12:19" x14ac:dyDescent="0.2">
      <c r="L2139" t="s">
        <v>374</v>
      </c>
      <c r="M2139">
        <v>706</v>
      </c>
      <c r="N2139">
        <v>1</v>
      </c>
      <c r="O2139">
        <v>4</v>
      </c>
      <c r="P2139">
        <v>582</v>
      </c>
      <c r="Q2139">
        <v>344</v>
      </c>
      <c r="R2139">
        <v>218</v>
      </c>
      <c r="S2139">
        <v>1223.8499999999999</v>
      </c>
    </row>
    <row r="2140" spans="12:19" x14ac:dyDescent="0.2">
      <c r="L2140" t="s">
        <v>374</v>
      </c>
      <c r="M2140">
        <v>707</v>
      </c>
      <c r="N2140">
        <v>1</v>
      </c>
      <c r="O2140">
        <v>4</v>
      </c>
      <c r="P2140">
        <v>582</v>
      </c>
      <c r="Q2140">
        <v>344</v>
      </c>
      <c r="R2140">
        <v>218</v>
      </c>
      <c r="S2140">
        <v>86.63</v>
      </c>
    </row>
    <row r="2141" spans="12:19" x14ac:dyDescent="0.2">
      <c r="L2141" t="s">
        <v>374</v>
      </c>
      <c r="M2141">
        <v>709</v>
      </c>
      <c r="N2141">
        <v>1</v>
      </c>
      <c r="O2141">
        <v>4</v>
      </c>
      <c r="P2141">
        <v>582</v>
      </c>
      <c r="Q2141">
        <v>344</v>
      </c>
      <c r="R2141">
        <v>218</v>
      </c>
      <c r="S2141">
        <v>3620.08</v>
      </c>
    </row>
    <row r="2142" spans="12:19" x14ac:dyDescent="0.2">
      <c r="L2142" t="s">
        <v>374</v>
      </c>
      <c r="M2142">
        <v>712</v>
      </c>
      <c r="N2142">
        <v>1</v>
      </c>
      <c r="O2142">
        <v>4</v>
      </c>
      <c r="P2142">
        <v>582</v>
      </c>
      <c r="Q2142">
        <v>344</v>
      </c>
      <c r="R2142">
        <v>218</v>
      </c>
      <c r="S2142">
        <v>388.68</v>
      </c>
    </row>
    <row r="2143" spans="12:19" x14ac:dyDescent="0.2">
      <c r="L2143" t="s">
        <v>374</v>
      </c>
      <c r="M2143">
        <v>716</v>
      </c>
      <c r="N2143">
        <v>1</v>
      </c>
      <c r="O2143">
        <v>4</v>
      </c>
      <c r="P2143">
        <v>582</v>
      </c>
      <c r="Q2143">
        <v>344</v>
      </c>
      <c r="R2143">
        <v>218</v>
      </c>
      <c r="S2143">
        <v>323.93</v>
      </c>
    </row>
    <row r="2144" spans="12:19" x14ac:dyDescent="0.2">
      <c r="L2144" t="s">
        <v>374</v>
      </c>
      <c r="M2144">
        <v>717</v>
      </c>
      <c r="N2144">
        <v>1</v>
      </c>
      <c r="O2144">
        <v>4</v>
      </c>
      <c r="P2144">
        <v>582</v>
      </c>
      <c r="Q2144">
        <v>344</v>
      </c>
      <c r="R2144">
        <v>218</v>
      </c>
      <c r="S2144">
        <v>1646.19</v>
      </c>
    </row>
    <row r="2145" spans="12:19" x14ac:dyDescent="0.2">
      <c r="L2145" t="s">
        <v>374</v>
      </c>
      <c r="M2145">
        <v>719</v>
      </c>
      <c r="N2145">
        <v>1</v>
      </c>
      <c r="O2145">
        <v>4</v>
      </c>
      <c r="P2145">
        <v>582</v>
      </c>
      <c r="Q2145">
        <v>344</v>
      </c>
      <c r="R2145">
        <v>218</v>
      </c>
      <c r="S2145">
        <v>8015.21</v>
      </c>
    </row>
    <row r="2146" spans="12:19" x14ac:dyDescent="0.2">
      <c r="L2146" t="s">
        <v>374</v>
      </c>
      <c r="M2146">
        <v>720</v>
      </c>
      <c r="N2146">
        <v>1</v>
      </c>
      <c r="O2146">
        <v>4</v>
      </c>
      <c r="P2146">
        <v>582</v>
      </c>
      <c r="Q2146">
        <v>344</v>
      </c>
      <c r="R2146">
        <v>218</v>
      </c>
      <c r="S2146">
        <v>2990.13</v>
      </c>
    </row>
    <row r="2147" spans="12:19" x14ac:dyDescent="0.2">
      <c r="L2147" t="s">
        <v>374</v>
      </c>
      <c r="M2147">
        <v>721</v>
      </c>
      <c r="N2147">
        <v>1</v>
      </c>
      <c r="O2147">
        <v>4</v>
      </c>
      <c r="P2147">
        <v>582</v>
      </c>
      <c r="Q2147">
        <v>344</v>
      </c>
      <c r="R2147">
        <v>218</v>
      </c>
      <c r="S2147">
        <v>3419.32</v>
      </c>
    </row>
    <row r="2148" spans="12:19" x14ac:dyDescent="0.2">
      <c r="L2148" t="s">
        <v>374</v>
      </c>
      <c r="M2148">
        <v>726</v>
      </c>
      <c r="N2148">
        <v>1</v>
      </c>
      <c r="O2148">
        <v>4</v>
      </c>
      <c r="P2148">
        <v>582</v>
      </c>
      <c r="Q2148">
        <v>344</v>
      </c>
      <c r="R2148">
        <v>218</v>
      </c>
      <c r="S2148">
        <v>3847.32</v>
      </c>
    </row>
    <row r="2149" spans="12:19" x14ac:dyDescent="0.2">
      <c r="L2149" t="s">
        <v>374</v>
      </c>
      <c r="M2149">
        <v>727</v>
      </c>
      <c r="N2149">
        <v>1</v>
      </c>
      <c r="O2149">
        <v>4</v>
      </c>
      <c r="P2149">
        <v>582</v>
      </c>
      <c r="Q2149">
        <v>344</v>
      </c>
      <c r="R2149">
        <v>218</v>
      </c>
      <c r="S2149">
        <v>509.58</v>
      </c>
    </row>
    <row r="2150" spans="12:19" x14ac:dyDescent="0.2">
      <c r="L2150" t="s">
        <v>374</v>
      </c>
      <c r="M2150">
        <v>728</v>
      </c>
      <c r="N2150">
        <v>1</v>
      </c>
      <c r="O2150">
        <v>4</v>
      </c>
      <c r="P2150">
        <v>582</v>
      </c>
      <c r="Q2150">
        <v>344</v>
      </c>
      <c r="R2150">
        <v>218</v>
      </c>
      <c r="S2150">
        <v>1417.07</v>
      </c>
    </row>
    <row r="2151" spans="12:19" x14ac:dyDescent="0.2">
      <c r="L2151" t="s">
        <v>374</v>
      </c>
      <c r="M2151">
        <v>738</v>
      </c>
      <c r="N2151">
        <v>1</v>
      </c>
      <c r="O2151">
        <v>4</v>
      </c>
      <c r="P2151">
        <v>582</v>
      </c>
      <c r="Q2151">
        <v>344</v>
      </c>
      <c r="R2151">
        <v>218</v>
      </c>
      <c r="S2151">
        <v>51.65</v>
      </c>
    </row>
    <row r="2152" spans="12:19" x14ac:dyDescent="0.2">
      <c r="L2152" t="s">
        <v>374</v>
      </c>
      <c r="M2152">
        <v>739</v>
      </c>
      <c r="N2152">
        <v>1</v>
      </c>
      <c r="O2152">
        <v>4</v>
      </c>
      <c r="P2152">
        <v>582</v>
      </c>
      <c r="Q2152">
        <v>344</v>
      </c>
      <c r="R2152">
        <v>218</v>
      </c>
      <c r="S2152">
        <v>1130.25</v>
      </c>
    </row>
    <row r="2153" spans="12:19" x14ac:dyDescent="0.2">
      <c r="L2153" t="s">
        <v>374</v>
      </c>
      <c r="M2153">
        <v>740</v>
      </c>
      <c r="N2153">
        <v>1</v>
      </c>
      <c r="O2153">
        <v>4</v>
      </c>
      <c r="P2153">
        <v>582</v>
      </c>
      <c r="Q2153">
        <v>344</v>
      </c>
      <c r="R2153">
        <v>218</v>
      </c>
      <c r="S2153">
        <v>1236.77</v>
      </c>
    </row>
    <row r="2154" spans="12:19" x14ac:dyDescent="0.2">
      <c r="L2154" t="s">
        <v>374</v>
      </c>
      <c r="M2154">
        <v>741</v>
      </c>
      <c r="N2154">
        <v>1</v>
      </c>
      <c r="O2154">
        <v>4</v>
      </c>
      <c r="P2154">
        <v>582</v>
      </c>
      <c r="Q2154">
        <v>344</v>
      </c>
      <c r="R2154">
        <v>218</v>
      </c>
      <c r="S2154">
        <v>983.66</v>
      </c>
    </row>
    <row r="2155" spans="12:19" x14ac:dyDescent="0.2">
      <c r="L2155" t="s">
        <v>374</v>
      </c>
      <c r="M2155">
        <v>742</v>
      </c>
      <c r="N2155">
        <v>1</v>
      </c>
      <c r="O2155">
        <v>4</v>
      </c>
      <c r="P2155">
        <v>582</v>
      </c>
      <c r="Q2155">
        <v>344</v>
      </c>
      <c r="R2155">
        <v>218</v>
      </c>
      <c r="S2155">
        <v>9483.4699999999993</v>
      </c>
    </row>
    <row r="2156" spans="12:19" x14ac:dyDescent="0.2">
      <c r="L2156" t="s">
        <v>374</v>
      </c>
      <c r="M2156">
        <v>743</v>
      </c>
      <c r="N2156">
        <v>1</v>
      </c>
      <c r="O2156">
        <v>4</v>
      </c>
      <c r="P2156">
        <v>582</v>
      </c>
      <c r="Q2156">
        <v>344</v>
      </c>
      <c r="R2156">
        <v>218</v>
      </c>
      <c r="S2156">
        <v>810.68</v>
      </c>
    </row>
    <row r="2157" spans="12:19" x14ac:dyDescent="0.2">
      <c r="L2157" t="s">
        <v>374</v>
      </c>
      <c r="M2157">
        <v>745</v>
      </c>
      <c r="N2157">
        <v>1</v>
      </c>
      <c r="O2157">
        <v>4</v>
      </c>
      <c r="P2157">
        <v>582</v>
      </c>
      <c r="Q2157">
        <v>344</v>
      </c>
      <c r="R2157">
        <v>218</v>
      </c>
      <c r="S2157">
        <v>2687.56</v>
      </c>
    </row>
    <row r="2158" spans="12:19" x14ac:dyDescent="0.2">
      <c r="L2158" t="s">
        <v>374</v>
      </c>
      <c r="M2158">
        <v>748</v>
      </c>
      <c r="N2158">
        <v>1</v>
      </c>
      <c r="O2158">
        <v>4</v>
      </c>
      <c r="P2158">
        <v>582</v>
      </c>
      <c r="Q2158">
        <v>344</v>
      </c>
      <c r="R2158">
        <v>218</v>
      </c>
      <c r="S2158">
        <v>5235.9799999999996</v>
      </c>
    </row>
    <row r="2159" spans="12:19" x14ac:dyDescent="0.2">
      <c r="L2159" t="s">
        <v>374</v>
      </c>
      <c r="M2159">
        <v>750</v>
      </c>
      <c r="N2159">
        <v>1</v>
      </c>
      <c r="O2159">
        <v>4</v>
      </c>
      <c r="P2159">
        <v>582</v>
      </c>
      <c r="Q2159">
        <v>344</v>
      </c>
      <c r="R2159">
        <v>218</v>
      </c>
      <c r="S2159">
        <v>1494.68</v>
      </c>
    </row>
    <row r="2160" spans="12:19" x14ac:dyDescent="0.2">
      <c r="L2160" t="s">
        <v>374</v>
      </c>
      <c r="M2160">
        <v>756</v>
      </c>
      <c r="N2160">
        <v>1</v>
      </c>
      <c r="O2160">
        <v>4</v>
      </c>
      <c r="P2160">
        <v>582</v>
      </c>
      <c r="Q2160">
        <v>344</v>
      </c>
      <c r="R2160">
        <v>218</v>
      </c>
      <c r="S2160">
        <v>837.71</v>
      </c>
    </row>
    <row r="2161" spans="12:19" x14ac:dyDescent="0.2">
      <c r="L2161" t="s">
        <v>374</v>
      </c>
      <c r="M2161">
        <v>761</v>
      </c>
      <c r="N2161">
        <v>1</v>
      </c>
      <c r="O2161">
        <v>4</v>
      </c>
      <c r="P2161">
        <v>582</v>
      </c>
      <c r="Q2161">
        <v>344</v>
      </c>
      <c r="R2161">
        <v>218</v>
      </c>
      <c r="S2161">
        <v>2599.67</v>
      </c>
    </row>
    <row r="2162" spans="12:19" x14ac:dyDescent="0.2">
      <c r="L2162" t="s">
        <v>374</v>
      </c>
      <c r="M2162">
        <v>768</v>
      </c>
      <c r="N2162">
        <v>1</v>
      </c>
      <c r="O2162">
        <v>4</v>
      </c>
      <c r="P2162">
        <v>582</v>
      </c>
      <c r="Q2162">
        <v>344</v>
      </c>
      <c r="R2162">
        <v>218</v>
      </c>
      <c r="S2162">
        <v>92.07</v>
      </c>
    </row>
    <row r="2163" spans="12:19" x14ac:dyDescent="0.2">
      <c r="L2163" t="s">
        <v>374</v>
      </c>
      <c r="M2163">
        <v>769</v>
      </c>
      <c r="N2163">
        <v>1</v>
      </c>
      <c r="O2163">
        <v>4</v>
      </c>
      <c r="P2163">
        <v>582</v>
      </c>
      <c r="Q2163">
        <v>344</v>
      </c>
      <c r="R2163">
        <v>218</v>
      </c>
      <c r="S2163">
        <v>249.59</v>
      </c>
    </row>
    <row r="2164" spans="12:19" x14ac:dyDescent="0.2">
      <c r="L2164" t="s">
        <v>374</v>
      </c>
      <c r="M2164">
        <v>771</v>
      </c>
      <c r="N2164">
        <v>1</v>
      </c>
      <c r="O2164">
        <v>4</v>
      </c>
      <c r="P2164">
        <v>582</v>
      </c>
      <c r="Q2164">
        <v>344</v>
      </c>
      <c r="R2164">
        <v>218</v>
      </c>
      <c r="S2164">
        <v>322.75</v>
      </c>
    </row>
    <row r="2165" spans="12:19" x14ac:dyDescent="0.2">
      <c r="L2165" t="s">
        <v>374</v>
      </c>
      <c r="M2165">
        <v>775</v>
      </c>
      <c r="N2165">
        <v>1</v>
      </c>
      <c r="O2165">
        <v>4</v>
      </c>
      <c r="P2165">
        <v>582</v>
      </c>
      <c r="Q2165">
        <v>344</v>
      </c>
      <c r="R2165">
        <v>218</v>
      </c>
      <c r="S2165">
        <v>242.49</v>
      </c>
    </row>
    <row r="2166" spans="12:19" x14ac:dyDescent="0.2">
      <c r="L2166" t="s">
        <v>374</v>
      </c>
      <c r="M2166">
        <v>777</v>
      </c>
      <c r="N2166">
        <v>1</v>
      </c>
      <c r="O2166">
        <v>4</v>
      </c>
      <c r="P2166">
        <v>582</v>
      </c>
      <c r="Q2166">
        <v>344</v>
      </c>
      <c r="R2166">
        <v>218</v>
      </c>
      <c r="S2166">
        <v>488.76</v>
      </c>
    </row>
    <row r="2167" spans="12:19" x14ac:dyDescent="0.2">
      <c r="L2167" t="s">
        <v>374</v>
      </c>
      <c r="M2167">
        <v>803</v>
      </c>
      <c r="N2167">
        <v>1</v>
      </c>
      <c r="O2167">
        <v>4</v>
      </c>
      <c r="P2167">
        <v>582</v>
      </c>
      <c r="Q2167">
        <v>344</v>
      </c>
      <c r="R2167">
        <v>218</v>
      </c>
      <c r="S2167">
        <v>436.37</v>
      </c>
    </row>
    <row r="2168" spans="12:19" x14ac:dyDescent="0.2">
      <c r="L2168" t="s">
        <v>374</v>
      </c>
      <c r="M2168">
        <v>811</v>
      </c>
      <c r="N2168">
        <v>1</v>
      </c>
      <c r="O2168">
        <v>4</v>
      </c>
      <c r="P2168">
        <v>582</v>
      </c>
      <c r="Q2168">
        <v>344</v>
      </c>
      <c r="R2168">
        <v>218</v>
      </c>
      <c r="S2168">
        <v>734.16</v>
      </c>
    </row>
    <row r="2169" spans="12:19" x14ac:dyDescent="0.2">
      <c r="L2169" t="s">
        <v>374</v>
      </c>
      <c r="M2169">
        <v>813</v>
      </c>
      <c r="N2169">
        <v>1</v>
      </c>
      <c r="O2169">
        <v>4</v>
      </c>
      <c r="P2169">
        <v>582</v>
      </c>
      <c r="Q2169">
        <v>344</v>
      </c>
      <c r="R2169">
        <v>218</v>
      </c>
      <c r="S2169">
        <v>253.21</v>
      </c>
    </row>
    <row r="2170" spans="12:19" x14ac:dyDescent="0.2">
      <c r="L2170" t="s">
        <v>374</v>
      </c>
      <c r="M2170">
        <v>818</v>
      </c>
      <c r="N2170">
        <v>1</v>
      </c>
      <c r="O2170">
        <v>4</v>
      </c>
      <c r="P2170">
        <v>582</v>
      </c>
      <c r="Q2170">
        <v>344</v>
      </c>
      <c r="R2170">
        <v>218</v>
      </c>
      <c r="S2170">
        <v>7.86</v>
      </c>
    </row>
    <row r="2171" spans="12:19" x14ac:dyDescent="0.2">
      <c r="L2171" t="s">
        <v>374</v>
      </c>
      <c r="M2171">
        <v>820</v>
      </c>
      <c r="N2171">
        <v>1</v>
      </c>
      <c r="O2171">
        <v>4</v>
      </c>
      <c r="P2171">
        <v>582</v>
      </c>
      <c r="Q2171">
        <v>344</v>
      </c>
      <c r="R2171">
        <v>218</v>
      </c>
      <c r="S2171">
        <v>51.36</v>
      </c>
    </row>
    <row r="2172" spans="12:19" x14ac:dyDescent="0.2">
      <c r="L2172" t="s">
        <v>374</v>
      </c>
      <c r="M2172">
        <v>821</v>
      </c>
      <c r="N2172">
        <v>1</v>
      </c>
      <c r="O2172">
        <v>4</v>
      </c>
      <c r="P2172">
        <v>582</v>
      </c>
      <c r="Q2172">
        <v>344</v>
      </c>
      <c r="R2172">
        <v>218</v>
      </c>
      <c r="S2172">
        <v>639.27</v>
      </c>
    </row>
    <row r="2173" spans="12:19" x14ac:dyDescent="0.2">
      <c r="L2173" t="s">
        <v>374</v>
      </c>
      <c r="M2173">
        <v>829</v>
      </c>
      <c r="N2173">
        <v>1</v>
      </c>
      <c r="O2173">
        <v>4</v>
      </c>
      <c r="P2173">
        <v>582</v>
      </c>
      <c r="Q2173">
        <v>344</v>
      </c>
      <c r="R2173">
        <v>218</v>
      </c>
      <c r="S2173">
        <v>1649.1</v>
      </c>
    </row>
    <row r="2174" spans="12:19" x14ac:dyDescent="0.2">
      <c r="L2174" t="s">
        <v>374</v>
      </c>
      <c r="M2174">
        <v>831</v>
      </c>
      <c r="N2174">
        <v>1</v>
      </c>
      <c r="O2174">
        <v>4</v>
      </c>
      <c r="P2174">
        <v>582</v>
      </c>
      <c r="Q2174">
        <v>344</v>
      </c>
      <c r="R2174">
        <v>218</v>
      </c>
      <c r="S2174">
        <v>4189.12</v>
      </c>
    </row>
    <row r="2175" spans="12:19" x14ac:dyDescent="0.2">
      <c r="L2175" t="s">
        <v>374</v>
      </c>
      <c r="M2175">
        <v>832</v>
      </c>
      <c r="N2175">
        <v>1</v>
      </c>
      <c r="O2175">
        <v>4</v>
      </c>
      <c r="P2175">
        <v>582</v>
      </c>
      <c r="Q2175">
        <v>344</v>
      </c>
      <c r="R2175">
        <v>218</v>
      </c>
      <c r="S2175">
        <v>323.81</v>
      </c>
    </row>
    <row r="2176" spans="12:19" x14ac:dyDescent="0.2">
      <c r="L2176" t="s">
        <v>374</v>
      </c>
      <c r="M2176">
        <v>833</v>
      </c>
      <c r="N2176">
        <v>1</v>
      </c>
      <c r="O2176">
        <v>4</v>
      </c>
      <c r="P2176">
        <v>582</v>
      </c>
      <c r="Q2176">
        <v>344</v>
      </c>
      <c r="R2176">
        <v>218</v>
      </c>
      <c r="S2176">
        <v>14406.75</v>
      </c>
    </row>
    <row r="2177" spans="12:19" x14ac:dyDescent="0.2">
      <c r="L2177" t="s">
        <v>374</v>
      </c>
      <c r="M2177">
        <v>834</v>
      </c>
      <c r="N2177">
        <v>1</v>
      </c>
      <c r="O2177">
        <v>4</v>
      </c>
      <c r="P2177">
        <v>582</v>
      </c>
      <c r="Q2177">
        <v>344</v>
      </c>
      <c r="R2177">
        <v>218</v>
      </c>
      <c r="S2177">
        <v>4382.3999999999996</v>
      </c>
    </row>
    <row r="2178" spans="12:19" x14ac:dyDescent="0.2">
      <c r="L2178" t="s">
        <v>374</v>
      </c>
      <c r="M2178">
        <v>836</v>
      </c>
      <c r="N2178">
        <v>1</v>
      </c>
      <c r="O2178">
        <v>4</v>
      </c>
      <c r="P2178">
        <v>582</v>
      </c>
      <c r="Q2178">
        <v>344</v>
      </c>
      <c r="R2178">
        <v>218</v>
      </c>
      <c r="S2178">
        <v>66.010000000000005</v>
      </c>
    </row>
    <row r="2179" spans="12:19" x14ac:dyDescent="0.2">
      <c r="L2179" t="s">
        <v>374</v>
      </c>
      <c r="M2179">
        <v>837</v>
      </c>
      <c r="N2179">
        <v>1</v>
      </c>
      <c r="O2179">
        <v>4</v>
      </c>
      <c r="P2179">
        <v>582</v>
      </c>
      <c r="Q2179">
        <v>344</v>
      </c>
      <c r="R2179">
        <v>218</v>
      </c>
      <c r="S2179">
        <v>1222.72</v>
      </c>
    </row>
    <row r="2180" spans="12:19" x14ac:dyDescent="0.2">
      <c r="L2180" t="s">
        <v>374</v>
      </c>
      <c r="M2180">
        <v>840</v>
      </c>
      <c r="N2180">
        <v>1</v>
      </c>
      <c r="O2180">
        <v>4</v>
      </c>
      <c r="P2180">
        <v>582</v>
      </c>
      <c r="Q2180">
        <v>344</v>
      </c>
      <c r="R2180">
        <v>218</v>
      </c>
      <c r="S2180">
        <v>363.32</v>
      </c>
    </row>
    <row r="2181" spans="12:19" x14ac:dyDescent="0.2">
      <c r="L2181" t="s">
        <v>374</v>
      </c>
      <c r="M2181">
        <v>846</v>
      </c>
      <c r="N2181">
        <v>1</v>
      </c>
      <c r="O2181">
        <v>4</v>
      </c>
      <c r="P2181">
        <v>582</v>
      </c>
      <c r="Q2181">
        <v>344</v>
      </c>
      <c r="R2181">
        <v>218</v>
      </c>
      <c r="S2181">
        <v>312.61</v>
      </c>
    </row>
    <row r="2182" spans="12:19" x14ac:dyDescent="0.2">
      <c r="L2182" t="s">
        <v>374</v>
      </c>
      <c r="M2182">
        <v>850</v>
      </c>
      <c r="N2182">
        <v>1</v>
      </c>
      <c r="O2182">
        <v>4</v>
      </c>
      <c r="P2182">
        <v>582</v>
      </c>
      <c r="Q2182">
        <v>344</v>
      </c>
      <c r="R2182">
        <v>218</v>
      </c>
      <c r="S2182">
        <v>200.94</v>
      </c>
    </row>
    <row r="2183" spans="12:19" x14ac:dyDescent="0.2">
      <c r="L2183" t="s">
        <v>374</v>
      </c>
      <c r="M2183">
        <v>857</v>
      </c>
      <c r="N2183">
        <v>1</v>
      </c>
      <c r="O2183">
        <v>4</v>
      </c>
      <c r="P2183">
        <v>582</v>
      </c>
      <c r="Q2183">
        <v>344</v>
      </c>
      <c r="R2183">
        <v>218</v>
      </c>
      <c r="S2183">
        <v>2690.8</v>
      </c>
    </row>
    <row r="2184" spans="12:19" x14ac:dyDescent="0.2">
      <c r="L2184" t="s">
        <v>374</v>
      </c>
      <c r="M2184">
        <v>861</v>
      </c>
      <c r="N2184">
        <v>1</v>
      </c>
      <c r="O2184">
        <v>4</v>
      </c>
      <c r="P2184">
        <v>582</v>
      </c>
      <c r="Q2184">
        <v>344</v>
      </c>
      <c r="R2184">
        <v>218</v>
      </c>
      <c r="S2184">
        <v>746.41</v>
      </c>
    </row>
    <row r="2185" spans="12:19" x14ac:dyDescent="0.2">
      <c r="L2185" t="s">
        <v>374</v>
      </c>
      <c r="M2185">
        <v>876</v>
      </c>
      <c r="N2185">
        <v>1</v>
      </c>
      <c r="O2185">
        <v>4</v>
      </c>
      <c r="P2185">
        <v>582</v>
      </c>
      <c r="Q2185">
        <v>344</v>
      </c>
      <c r="R2185">
        <v>218</v>
      </c>
      <c r="S2185">
        <v>2543.16</v>
      </c>
    </row>
    <row r="2186" spans="12:19" x14ac:dyDescent="0.2">
      <c r="L2186" t="s">
        <v>374</v>
      </c>
      <c r="M2186">
        <v>877</v>
      </c>
      <c r="N2186">
        <v>1</v>
      </c>
      <c r="O2186">
        <v>4</v>
      </c>
      <c r="P2186">
        <v>582</v>
      </c>
      <c r="Q2186">
        <v>344</v>
      </c>
      <c r="R2186">
        <v>218</v>
      </c>
      <c r="S2186">
        <v>6044.49</v>
      </c>
    </row>
    <row r="2187" spans="12:19" x14ac:dyDescent="0.2">
      <c r="L2187" t="s">
        <v>374</v>
      </c>
      <c r="M2187">
        <v>879</v>
      </c>
      <c r="N2187">
        <v>1</v>
      </c>
      <c r="O2187">
        <v>4</v>
      </c>
      <c r="P2187">
        <v>582</v>
      </c>
      <c r="Q2187">
        <v>344</v>
      </c>
      <c r="R2187">
        <v>218</v>
      </c>
      <c r="S2187">
        <v>457.87</v>
      </c>
    </row>
    <row r="2188" spans="12:19" x14ac:dyDescent="0.2">
      <c r="L2188" t="s">
        <v>374</v>
      </c>
      <c r="M2188">
        <v>882</v>
      </c>
      <c r="N2188">
        <v>1</v>
      </c>
      <c r="O2188">
        <v>4</v>
      </c>
      <c r="P2188">
        <v>582</v>
      </c>
      <c r="Q2188">
        <v>344</v>
      </c>
      <c r="R2188">
        <v>218</v>
      </c>
      <c r="S2188">
        <v>2740.75</v>
      </c>
    </row>
    <row r="2189" spans="12:19" x14ac:dyDescent="0.2">
      <c r="L2189" t="s">
        <v>374</v>
      </c>
      <c r="M2189">
        <v>883</v>
      </c>
      <c r="N2189">
        <v>1</v>
      </c>
      <c r="O2189">
        <v>4</v>
      </c>
      <c r="P2189">
        <v>582</v>
      </c>
      <c r="Q2189">
        <v>344</v>
      </c>
      <c r="R2189">
        <v>218</v>
      </c>
      <c r="S2189">
        <v>3638.45</v>
      </c>
    </row>
    <row r="2190" spans="12:19" x14ac:dyDescent="0.2">
      <c r="L2190" t="s">
        <v>374</v>
      </c>
      <c r="M2190">
        <v>885</v>
      </c>
      <c r="N2190">
        <v>1</v>
      </c>
      <c r="O2190">
        <v>4</v>
      </c>
      <c r="P2190">
        <v>582</v>
      </c>
      <c r="Q2190">
        <v>344</v>
      </c>
      <c r="R2190">
        <v>218</v>
      </c>
      <c r="S2190">
        <v>7097.86</v>
      </c>
    </row>
    <row r="2191" spans="12:19" x14ac:dyDescent="0.2">
      <c r="L2191" t="s">
        <v>374</v>
      </c>
      <c r="M2191">
        <v>891</v>
      </c>
      <c r="N2191">
        <v>1</v>
      </c>
      <c r="O2191">
        <v>4</v>
      </c>
      <c r="P2191">
        <v>582</v>
      </c>
      <c r="Q2191">
        <v>344</v>
      </c>
      <c r="R2191">
        <v>218</v>
      </c>
      <c r="S2191">
        <v>1283.03</v>
      </c>
    </row>
    <row r="2192" spans="12:19" x14ac:dyDescent="0.2">
      <c r="L2192" t="s">
        <v>374</v>
      </c>
      <c r="M2192">
        <v>911</v>
      </c>
      <c r="N2192">
        <v>1</v>
      </c>
      <c r="O2192">
        <v>4</v>
      </c>
      <c r="P2192">
        <v>582</v>
      </c>
      <c r="Q2192">
        <v>344</v>
      </c>
      <c r="R2192">
        <v>218</v>
      </c>
      <c r="S2192">
        <v>345.35</v>
      </c>
    </row>
    <row r="2193" spans="12:19" x14ac:dyDescent="0.2">
      <c r="L2193" t="s">
        <v>374</v>
      </c>
      <c r="M2193">
        <v>912</v>
      </c>
      <c r="N2193">
        <v>1</v>
      </c>
      <c r="O2193">
        <v>4</v>
      </c>
      <c r="P2193">
        <v>582</v>
      </c>
      <c r="Q2193">
        <v>344</v>
      </c>
      <c r="R2193">
        <v>218</v>
      </c>
      <c r="S2193">
        <v>2768.8</v>
      </c>
    </row>
    <row r="2194" spans="12:19" x14ac:dyDescent="0.2">
      <c r="L2194" t="s">
        <v>374</v>
      </c>
      <c r="M2194">
        <v>2071</v>
      </c>
      <c r="N2194">
        <v>1</v>
      </c>
      <c r="O2194">
        <v>4</v>
      </c>
      <c r="P2194">
        <v>582</v>
      </c>
      <c r="Q2194">
        <v>344</v>
      </c>
      <c r="R2194">
        <v>218</v>
      </c>
      <c r="S2194">
        <v>3346.49</v>
      </c>
    </row>
    <row r="2195" spans="12:19" x14ac:dyDescent="0.2">
      <c r="L2195" t="s">
        <v>374</v>
      </c>
      <c r="M2195">
        <v>2125</v>
      </c>
      <c r="N2195">
        <v>1</v>
      </c>
      <c r="O2195">
        <v>4</v>
      </c>
      <c r="P2195">
        <v>582</v>
      </c>
      <c r="Q2195">
        <v>344</v>
      </c>
      <c r="R2195">
        <v>218</v>
      </c>
      <c r="S2195">
        <v>1939.12</v>
      </c>
    </row>
    <row r="2196" spans="12:19" x14ac:dyDescent="0.2">
      <c r="L2196" t="s">
        <v>374</v>
      </c>
      <c r="M2196">
        <v>2134</v>
      </c>
      <c r="N2196">
        <v>1</v>
      </c>
      <c r="O2196">
        <v>4</v>
      </c>
      <c r="P2196">
        <v>582</v>
      </c>
      <c r="Q2196">
        <v>344</v>
      </c>
      <c r="R2196">
        <v>218</v>
      </c>
      <c r="S2196">
        <v>1272.72</v>
      </c>
    </row>
    <row r="2197" spans="12:19" x14ac:dyDescent="0.2">
      <c r="L2197" t="s">
        <v>374</v>
      </c>
      <c r="M2197">
        <v>2135</v>
      </c>
      <c r="N2197">
        <v>1</v>
      </c>
      <c r="O2197">
        <v>4</v>
      </c>
      <c r="P2197">
        <v>582</v>
      </c>
      <c r="Q2197">
        <v>344</v>
      </c>
      <c r="R2197">
        <v>218</v>
      </c>
      <c r="S2197">
        <v>2633.05</v>
      </c>
    </row>
    <row r="2198" spans="12:19" x14ac:dyDescent="0.2">
      <c r="L2198" t="s">
        <v>374</v>
      </c>
      <c r="M2198">
        <v>2137</v>
      </c>
      <c r="N2198">
        <v>1</v>
      </c>
      <c r="O2198">
        <v>4</v>
      </c>
      <c r="P2198">
        <v>582</v>
      </c>
      <c r="Q2198">
        <v>344</v>
      </c>
      <c r="R2198">
        <v>218</v>
      </c>
      <c r="S2198">
        <v>1172.83</v>
      </c>
    </row>
    <row r="2199" spans="12:19" x14ac:dyDescent="0.2">
      <c r="L2199" t="s">
        <v>374</v>
      </c>
      <c r="M2199">
        <v>2142</v>
      </c>
      <c r="N2199">
        <v>1</v>
      </c>
      <c r="O2199">
        <v>4</v>
      </c>
      <c r="P2199">
        <v>582</v>
      </c>
      <c r="Q2199">
        <v>344</v>
      </c>
      <c r="R2199">
        <v>218</v>
      </c>
      <c r="S2199">
        <v>3362.15</v>
      </c>
    </row>
    <row r="2200" spans="12:19" x14ac:dyDescent="0.2">
      <c r="L2200" t="s">
        <v>374</v>
      </c>
      <c r="M2200">
        <v>2143</v>
      </c>
      <c r="N2200">
        <v>1</v>
      </c>
      <c r="O2200">
        <v>4</v>
      </c>
      <c r="P2200">
        <v>582</v>
      </c>
      <c r="Q2200">
        <v>344</v>
      </c>
      <c r="R2200">
        <v>218</v>
      </c>
      <c r="S2200">
        <v>1070.31</v>
      </c>
    </row>
    <row r="2201" spans="12:19" x14ac:dyDescent="0.2">
      <c r="L2201" t="s">
        <v>374</v>
      </c>
      <c r="M2201">
        <v>2144</v>
      </c>
      <c r="N2201">
        <v>1</v>
      </c>
      <c r="O2201">
        <v>4</v>
      </c>
      <c r="P2201">
        <v>582</v>
      </c>
      <c r="Q2201">
        <v>344</v>
      </c>
      <c r="R2201">
        <v>218</v>
      </c>
      <c r="S2201">
        <v>816.91</v>
      </c>
    </row>
    <row r="2202" spans="12:19" x14ac:dyDescent="0.2">
      <c r="L2202" t="s">
        <v>374</v>
      </c>
      <c r="M2202">
        <v>2149</v>
      </c>
      <c r="N2202">
        <v>1</v>
      </c>
      <c r="O2202">
        <v>4</v>
      </c>
      <c r="P2202">
        <v>582</v>
      </c>
      <c r="Q2202">
        <v>344</v>
      </c>
      <c r="R2202">
        <v>218</v>
      </c>
      <c r="S2202">
        <v>339.96</v>
      </c>
    </row>
    <row r="2203" spans="12:19" x14ac:dyDescent="0.2">
      <c r="L2203" t="s">
        <v>374</v>
      </c>
      <c r="M2203">
        <v>2154</v>
      </c>
      <c r="N2203">
        <v>1</v>
      </c>
      <c r="O2203">
        <v>4</v>
      </c>
      <c r="P2203">
        <v>582</v>
      </c>
      <c r="Q2203">
        <v>344</v>
      </c>
      <c r="R2203">
        <v>218</v>
      </c>
      <c r="S2203">
        <v>527.79</v>
      </c>
    </row>
    <row r="2204" spans="12:19" x14ac:dyDescent="0.2">
      <c r="L2204" t="s">
        <v>374</v>
      </c>
      <c r="M2204">
        <v>2155</v>
      </c>
      <c r="N2204">
        <v>1</v>
      </c>
      <c r="O2204">
        <v>4</v>
      </c>
      <c r="P2204">
        <v>582</v>
      </c>
      <c r="Q2204">
        <v>344</v>
      </c>
      <c r="R2204">
        <v>218</v>
      </c>
      <c r="S2204">
        <v>2480.59</v>
      </c>
    </row>
    <row r="2205" spans="12:19" x14ac:dyDescent="0.2">
      <c r="L2205" t="s">
        <v>374</v>
      </c>
      <c r="M2205">
        <v>2159</v>
      </c>
      <c r="N2205">
        <v>1</v>
      </c>
      <c r="O2205">
        <v>4</v>
      </c>
      <c r="P2205">
        <v>582</v>
      </c>
      <c r="Q2205">
        <v>344</v>
      </c>
      <c r="R2205">
        <v>218</v>
      </c>
      <c r="S2205">
        <v>1059.29</v>
      </c>
    </row>
    <row r="2206" spans="12:19" x14ac:dyDescent="0.2">
      <c r="L2206" t="s">
        <v>374</v>
      </c>
      <c r="M2206">
        <v>2164</v>
      </c>
      <c r="N2206">
        <v>1</v>
      </c>
      <c r="O2206">
        <v>4</v>
      </c>
      <c r="P2206">
        <v>582</v>
      </c>
      <c r="Q2206">
        <v>344</v>
      </c>
      <c r="R2206">
        <v>218</v>
      </c>
      <c r="S2206">
        <v>1562.38</v>
      </c>
    </row>
    <row r="2207" spans="12:19" x14ac:dyDescent="0.2">
      <c r="L2207" t="s">
        <v>374</v>
      </c>
      <c r="M2207">
        <v>2165</v>
      </c>
      <c r="N2207">
        <v>1</v>
      </c>
      <c r="O2207">
        <v>4</v>
      </c>
      <c r="P2207">
        <v>582</v>
      </c>
      <c r="Q2207">
        <v>344</v>
      </c>
      <c r="R2207">
        <v>218</v>
      </c>
      <c r="S2207">
        <v>1950.94</v>
      </c>
    </row>
    <row r="2208" spans="12:19" x14ac:dyDescent="0.2">
      <c r="L2208" t="s">
        <v>374</v>
      </c>
      <c r="M2208">
        <v>2167</v>
      </c>
      <c r="N2208">
        <v>1</v>
      </c>
      <c r="O2208">
        <v>4</v>
      </c>
      <c r="P2208">
        <v>582</v>
      </c>
      <c r="Q2208">
        <v>344</v>
      </c>
      <c r="R2208">
        <v>218</v>
      </c>
      <c r="S2208">
        <v>924.56</v>
      </c>
    </row>
    <row r="2209" spans="12:19" x14ac:dyDescent="0.2">
      <c r="L2209" t="s">
        <v>374</v>
      </c>
      <c r="M2209">
        <v>2168</v>
      </c>
      <c r="N2209">
        <v>1</v>
      </c>
      <c r="O2209">
        <v>4</v>
      </c>
      <c r="P2209">
        <v>582</v>
      </c>
      <c r="Q2209">
        <v>344</v>
      </c>
      <c r="R2209">
        <v>218</v>
      </c>
      <c r="S2209">
        <v>562.04999999999995</v>
      </c>
    </row>
    <row r="2210" spans="12:19" x14ac:dyDescent="0.2">
      <c r="L2210" t="s">
        <v>374</v>
      </c>
      <c r="M2210">
        <v>2169</v>
      </c>
      <c r="N2210">
        <v>1</v>
      </c>
      <c r="O2210">
        <v>4</v>
      </c>
      <c r="P2210">
        <v>582</v>
      </c>
      <c r="Q2210">
        <v>344</v>
      </c>
      <c r="R2210">
        <v>218</v>
      </c>
      <c r="S2210">
        <v>1802.53</v>
      </c>
    </row>
    <row r="2211" spans="12:19" x14ac:dyDescent="0.2">
      <c r="L2211" t="s">
        <v>374</v>
      </c>
      <c r="M2211">
        <v>2170</v>
      </c>
      <c r="N2211">
        <v>1</v>
      </c>
      <c r="O2211">
        <v>4</v>
      </c>
      <c r="P2211">
        <v>582</v>
      </c>
      <c r="Q2211">
        <v>344</v>
      </c>
      <c r="R2211">
        <v>218</v>
      </c>
      <c r="S2211">
        <v>193.8</v>
      </c>
    </row>
    <row r="2212" spans="12:19" x14ac:dyDescent="0.2">
      <c r="L2212" t="s">
        <v>374</v>
      </c>
      <c r="M2212">
        <v>2171</v>
      </c>
      <c r="N2212">
        <v>1</v>
      </c>
      <c r="O2212">
        <v>4</v>
      </c>
      <c r="P2212">
        <v>582</v>
      </c>
      <c r="Q2212">
        <v>344</v>
      </c>
      <c r="R2212">
        <v>218</v>
      </c>
      <c r="S2212">
        <v>1218.71</v>
      </c>
    </row>
    <row r="2213" spans="12:19" x14ac:dyDescent="0.2">
      <c r="L2213" t="s">
        <v>374</v>
      </c>
      <c r="M2213">
        <v>2174</v>
      </c>
      <c r="N2213">
        <v>1</v>
      </c>
      <c r="O2213">
        <v>4</v>
      </c>
      <c r="P2213">
        <v>582</v>
      </c>
      <c r="Q2213">
        <v>344</v>
      </c>
      <c r="R2213">
        <v>218</v>
      </c>
      <c r="S2213">
        <v>884.96</v>
      </c>
    </row>
    <row r="2214" spans="12:19" x14ac:dyDescent="0.2">
      <c r="L2214" t="s">
        <v>374</v>
      </c>
      <c r="M2214">
        <v>2176</v>
      </c>
      <c r="N2214">
        <v>1</v>
      </c>
      <c r="O2214">
        <v>4</v>
      </c>
      <c r="P2214">
        <v>582</v>
      </c>
      <c r="Q2214">
        <v>344</v>
      </c>
      <c r="R2214">
        <v>218</v>
      </c>
      <c r="S2214">
        <v>44</v>
      </c>
    </row>
    <row r="2215" spans="12:19" x14ac:dyDescent="0.2">
      <c r="L2215" t="s">
        <v>374</v>
      </c>
      <c r="M2215">
        <v>2180</v>
      </c>
      <c r="N2215">
        <v>1</v>
      </c>
      <c r="O2215">
        <v>4</v>
      </c>
      <c r="P2215">
        <v>582</v>
      </c>
      <c r="Q2215">
        <v>344</v>
      </c>
      <c r="R2215">
        <v>218</v>
      </c>
      <c r="S2215">
        <v>414.08</v>
      </c>
    </row>
    <row r="2216" spans="12:19" x14ac:dyDescent="0.2">
      <c r="L2216" t="s">
        <v>374</v>
      </c>
      <c r="M2216">
        <v>2184</v>
      </c>
      <c r="N2216">
        <v>1</v>
      </c>
      <c r="O2216">
        <v>4</v>
      </c>
      <c r="P2216">
        <v>582</v>
      </c>
      <c r="Q2216">
        <v>344</v>
      </c>
      <c r="R2216">
        <v>218</v>
      </c>
      <c r="S2216">
        <v>573.96</v>
      </c>
    </row>
    <row r="2217" spans="12:19" x14ac:dyDescent="0.2">
      <c r="L2217" t="s">
        <v>374</v>
      </c>
      <c r="M2217">
        <v>2190</v>
      </c>
      <c r="N2217">
        <v>1</v>
      </c>
      <c r="O2217">
        <v>4</v>
      </c>
      <c r="P2217">
        <v>582</v>
      </c>
      <c r="Q2217">
        <v>344</v>
      </c>
      <c r="R2217">
        <v>218</v>
      </c>
      <c r="S2217">
        <v>957.35</v>
      </c>
    </row>
    <row r="2218" spans="12:19" x14ac:dyDescent="0.2">
      <c r="L2218" t="s">
        <v>374</v>
      </c>
      <c r="M2218">
        <v>2198</v>
      </c>
      <c r="N2218">
        <v>1</v>
      </c>
      <c r="O2218">
        <v>4</v>
      </c>
      <c r="P2218">
        <v>582</v>
      </c>
      <c r="Q2218">
        <v>344</v>
      </c>
      <c r="R2218">
        <v>218</v>
      </c>
      <c r="S2218">
        <v>1084.2</v>
      </c>
    </row>
    <row r="2219" spans="12:19" x14ac:dyDescent="0.2">
      <c r="L2219" t="s">
        <v>374</v>
      </c>
      <c r="M2219">
        <v>2310</v>
      </c>
      <c r="N2219">
        <v>1</v>
      </c>
      <c r="O2219">
        <v>4</v>
      </c>
      <c r="P2219">
        <v>582</v>
      </c>
      <c r="Q2219">
        <v>344</v>
      </c>
      <c r="R2219">
        <v>218</v>
      </c>
      <c r="S2219">
        <v>716.47</v>
      </c>
    </row>
    <row r="2220" spans="12:19" x14ac:dyDescent="0.2">
      <c r="L2220" t="s">
        <v>374</v>
      </c>
      <c r="M2220">
        <v>2311</v>
      </c>
      <c r="N2220">
        <v>1</v>
      </c>
      <c r="O2220">
        <v>4</v>
      </c>
      <c r="P2220">
        <v>582</v>
      </c>
      <c r="Q2220">
        <v>344</v>
      </c>
      <c r="R2220">
        <v>218</v>
      </c>
      <c r="S2220">
        <v>873.43</v>
      </c>
    </row>
    <row r="2221" spans="12:19" x14ac:dyDescent="0.2">
      <c r="L2221" t="s">
        <v>374</v>
      </c>
      <c r="M2221">
        <v>2342</v>
      </c>
      <c r="N2221">
        <v>1</v>
      </c>
      <c r="O2221">
        <v>4</v>
      </c>
      <c r="P2221">
        <v>582</v>
      </c>
      <c r="Q2221">
        <v>344</v>
      </c>
      <c r="R2221">
        <v>218</v>
      </c>
      <c r="S2221">
        <v>959.22</v>
      </c>
    </row>
    <row r="2222" spans="12:19" x14ac:dyDescent="0.2">
      <c r="L2222" t="s">
        <v>374</v>
      </c>
      <c r="M2222">
        <v>2364</v>
      </c>
      <c r="N2222">
        <v>1</v>
      </c>
      <c r="O2222">
        <v>4</v>
      </c>
      <c r="P2222">
        <v>582</v>
      </c>
      <c r="Q2222">
        <v>344</v>
      </c>
      <c r="R2222">
        <v>218</v>
      </c>
      <c r="S2222">
        <v>315.36</v>
      </c>
    </row>
    <row r="2223" spans="12:19" x14ac:dyDescent="0.2">
      <c r="L2223" t="s">
        <v>374</v>
      </c>
      <c r="M2223">
        <v>2365</v>
      </c>
      <c r="N2223">
        <v>1</v>
      </c>
      <c r="O2223">
        <v>4</v>
      </c>
      <c r="P2223">
        <v>582</v>
      </c>
      <c r="Q2223">
        <v>344</v>
      </c>
      <c r="R2223">
        <v>218</v>
      </c>
      <c r="S2223">
        <v>1185.06</v>
      </c>
    </row>
    <row r="2224" spans="12:19" x14ac:dyDescent="0.2">
      <c r="L2224" t="s">
        <v>374</v>
      </c>
      <c r="M2224">
        <v>2396</v>
      </c>
      <c r="N2224">
        <v>1</v>
      </c>
      <c r="O2224">
        <v>4</v>
      </c>
      <c r="P2224">
        <v>582</v>
      </c>
      <c r="Q2224">
        <v>344</v>
      </c>
      <c r="R2224">
        <v>218</v>
      </c>
      <c r="S2224">
        <v>2917.83</v>
      </c>
    </row>
    <row r="2225" spans="12:19" x14ac:dyDescent="0.2">
      <c r="L2225" t="s">
        <v>374</v>
      </c>
      <c r="M2225">
        <v>2397</v>
      </c>
      <c r="N2225">
        <v>1</v>
      </c>
      <c r="O2225">
        <v>4</v>
      </c>
      <c r="P2225">
        <v>582</v>
      </c>
      <c r="Q2225">
        <v>344</v>
      </c>
      <c r="R2225">
        <v>218</v>
      </c>
      <c r="S2225">
        <v>1352.26</v>
      </c>
    </row>
    <row r="2226" spans="12:19" x14ac:dyDescent="0.2">
      <c r="L2226" t="s">
        <v>374</v>
      </c>
      <c r="M2226">
        <v>2448</v>
      </c>
      <c r="N2226">
        <v>1</v>
      </c>
      <c r="O2226">
        <v>4</v>
      </c>
      <c r="P2226">
        <v>582</v>
      </c>
      <c r="Q2226">
        <v>344</v>
      </c>
      <c r="R2226">
        <v>218</v>
      </c>
      <c r="S2226">
        <v>263.42</v>
      </c>
    </row>
    <row r="2227" spans="12:19" x14ac:dyDescent="0.2">
      <c r="L2227" t="s">
        <v>374</v>
      </c>
      <c r="M2227">
        <v>2534</v>
      </c>
      <c r="N2227">
        <v>1</v>
      </c>
      <c r="O2227">
        <v>4</v>
      </c>
      <c r="P2227">
        <v>582</v>
      </c>
      <c r="Q2227">
        <v>344</v>
      </c>
      <c r="R2227">
        <v>218</v>
      </c>
      <c r="S2227">
        <v>1052.8</v>
      </c>
    </row>
    <row r="2228" spans="12:19" x14ac:dyDescent="0.2">
      <c r="L2228" t="s">
        <v>374</v>
      </c>
      <c r="M2228">
        <v>2580</v>
      </c>
      <c r="N2228">
        <v>1</v>
      </c>
      <c r="O2228">
        <v>4</v>
      </c>
      <c r="P2228">
        <v>582</v>
      </c>
      <c r="Q2228">
        <v>344</v>
      </c>
      <c r="R2228">
        <v>218</v>
      </c>
      <c r="S2228">
        <v>504.22</v>
      </c>
    </row>
    <row r="2229" spans="12:19" x14ac:dyDescent="0.2">
      <c r="L2229" t="s">
        <v>374</v>
      </c>
      <c r="M2229">
        <v>2689</v>
      </c>
      <c r="N2229">
        <v>1</v>
      </c>
      <c r="O2229">
        <v>4</v>
      </c>
      <c r="P2229">
        <v>582</v>
      </c>
      <c r="Q2229">
        <v>344</v>
      </c>
      <c r="R2229">
        <v>218</v>
      </c>
      <c r="S2229">
        <v>525.21</v>
      </c>
    </row>
    <row r="2230" spans="12:19" x14ac:dyDescent="0.2">
      <c r="L2230" t="s">
        <v>374</v>
      </c>
      <c r="M2230">
        <v>2711</v>
      </c>
      <c r="N2230">
        <v>1</v>
      </c>
      <c r="O2230">
        <v>4</v>
      </c>
      <c r="P2230">
        <v>582</v>
      </c>
      <c r="Q2230">
        <v>344</v>
      </c>
      <c r="R2230">
        <v>218</v>
      </c>
      <c r="S2230">
        <v>939.07</v>
      </c>
    </row>
    <row r="2231" spans="12:19" x14ac:dyDescent="0.2">
      <c r="L2231" t="s">
        <v>374</v>
      </c>
      <c r="M2231">
        <v>2752</v>
      </c>
      <c r="N2231">
        <v>1</v>
      </c>
      <c r="O2231">
        <v>4</v>
      </c>
      <c r="P2231">
        <v>582</v>
      </c>
      <c r="Q2231">
        <v>344</v>
      </c>
      <c r="R2231">
        <v>218</v>
      </c>
      <c r="S2231">
        <v>1343.9</v>
      </c>
    </row>
    <row r="2232" spans="12:19" x14ac:dyDescent="0.2">
      <c r="L2232" t="s">
        <v>374</v>
      </c>
      <c r="M2232">
        <v>2754</v>
      </c>
      <c r="N2232">
        <v>1</v>
      </c>
      <c r="O2232">
        <v>4</v>
      </c>
      <c r="P2232">
        <v>582</v>
      </c>
      <c r="Q2232">
        <v>344</v>
      </c>
      <c r="R2232">
        <v>218</v>
      </c>
      <c r="S2232">
        <v>926.44</v>
      </c>
    </row>
    <row r="2233" spans="12:19" x14ac:dyDescent="0.2">
      <c r="L2233" t="s">
        <v>374</v>
      </c>
      <c r="M2233">
        <v>2805</v>
      </c>
      <c r="N2233">
        <v>1</v>
      </c>
      <c r="O2233">
        <v>4</v>
      </c>
      <c r="P2233">
        <v>582</v>
      </c>
      <c r="Q2233">
        <v>344</v>
      </c>
      <c r="R2233">
        <v>218</v>
      </c>
      <c r="S2233">
        <v>6.35</v>
      </c>
    </row>
    <row r="2234" spans="12:19" x14ac:dyDescent="0.2">
      <c r="L2234" t="s">
        <v>374</v>
      </c>
      <c r="M2234">
        <v>2835</v>
      </c>
      <c r="N2234">
        <v>1</v>
      </c>
      <c r="O2234">
        <v>4</v>
      </c>
      <c r="P2234">
        <v>582</v>
      </c>
      <c r="Q2234">
        <v>344</v>
      </c>
      <c r="R2234">
        <v>218</v>
      </c>
      <c r="S2234">
        <v>1941.84</v>
      </c>
    </row>
    <row r="2235" spans="12:19" x14ac:dyDescent="0.2">
      <c r="L2235" t="s">
        <v>374</v>
      </c>
      <c r="M2235">
        <v>2853</v>
      </c>
      <c r="N2235">
        <v>1</v>
      </c>
      <c r="O2235">
        <v>4</v>
      </c>
      <c r="P2235">
        <v>582</v>
      </c>
      <c r="Q2235">
        <v>344</v>
      </c>
      <c r="R2235">
        <v>218</v>
      </c>
      <c r="S2235">
        <v>1320.91</v>
      </c>
    </row>
    <row r="2236" spans="12:19" x14ac:dyDescent="0.2">
      <c r="L2236" t="s">
        <v>374</v>
      </c>
      <c r="M2236">
        <v>2854</v>
      </c>
      <c r="N2236">
        <v>1</v>
      </c>
      <c r="O2236">
        <v>4</v>
      </c>
      <c r="P2236">
        <v>582</v>
      </c>
      <c r="Q2236">
        <v>344</v>
      </c>
      <c r="R2236">
        <v>218</v>
      </c>
      <c r="S2236">
        <v>1086.93</v>
      </c>
    </row>
    <row r="2237" spans="12:19" x14ac:dyDescent="0.2">
      <c r="L2237" t="s">
        <v>374</v>
      </c>
      <c r="M2237">
        <v>2856</v>
      </c>
      <c r="N2237">
        <v>1</v>
      </c>
      <c r="O2237">
        <v>4</v>
      </c>
      <c r="P2237">
        <v>582</v>
      </c>
      <c r="Q2237">
        <v>344</v>
      </c>
      <c r="R2237">
        <v>218</v>
      </c>
      <c r="S2237">
        <v>1496.2</v>
      </c>
    </row>
    <row r="2238" spans="12:19" x14ac:dyDescent="0.2">
      <c r="L2238" t="s">
        <v>374</v>
      </c>
      <c r="M2238">
        <v>2859</v>
      </c>
      <c r="N2238">
        <v>1</v>
      </c>
      <c r="O2238">
        <v>4</v>
      </c>
      <c r="P2238">
        <v>582</v>
      </c>
      <c r="Q2238">
        <v>344</v>
      </c>
      <c r="R2238">
        <v>218</v>
      </c>
      <c r="S2238">
        <v>1588.82</v>
      </c>
    </row>
    <row r="2239" spans="12:19" x14ac:dyDescent="0.2">
      <c r="L2239" t="s">
        <v>374</v>
      </c>
      <c r="M2239">
        <v>2860</v>
      </c>
      <c r="N2239">
        <v>1</v>
      </c>
      <c r="O2239">
        <v>4</v>
      </c>
      <c r="P2239">
        <v>582</v>
      </c>
      <c r="Q2239">
        <v>344</v>
      </c>
      <c r="R2239">
        <v>218</v>
      </c>
      <c r="S2239">
        <v>417.87</v>
      </c>
    </row>
    <row r="2240" spans="12:19" x14ac:dyDescent="0.2">
      <c r="L2240" t="s">
        <v>374</v>
      </c>
      <c r="M2240">
        <v>2886</v>
      </c>
      <c r="N2240">
        <v>1</v>
      </c>
      <c r="O2240">
        <v>4</v>
      </c>
      <c r="P2240">
        <v>582</v>
      </c>
      <c r="Q2240">
        <v>344</v>
      </c>
      <c r="R2240">
        <v>218</v>
      </c>
      <c r="S2240">
        <v>48.57</v>
      </c>
    </row>
    <row r="2241" spans="12:19" x14ac:dyDescent="0.2">
      <c r="L2241" t="s">
        <v>374</v>
      </c>
      <c r="M2241">
        <v>2887</v>
      </c>
      <c r="N2241">
        <v>1</v>
      </c>
      <c r="O2241">
        <v>4</v>
      </c>
      <c r="P2241">
        <v>582</v>
      </c>
      <c r="Q2241">
        <v>344</v>
      </c>
      <c r="R2241">
        <v>218</v>
      </c>
      <c r="S2241">
        <v>304.70999999999998</v>
      </c>
    </row>
    <row r="2242" spans="12:19" x14ac:dyDescent="0.2">
      <c r="L2242" t="s">
        <v>374</v>
      </c>
      <c r="M2242">
        <v>2888</v>
      </c>
      <c r="N2242">
        <v>1</v>
      </c>
      <c r="O2242">
        <v>4</v>
      </c>
      <c r="P2242">
        <v>582</v>
      </c>
      <c r="Q2242">
        <v>344</v>
      </c>
      <c r="R2242">
        <v>218</v>
      </c>
      <c r="S2242">
        <v>512.89</v>
      </c>
    </row>
    <row r="2243" spans="12:19" x14ac:dyDescent="0.2">
      <c r="L2243" t="s">
        <v>374</v>
      </c>
      <c r="M2243">
        <v>2889</v>
      </c>
      <c r="N2243">
        <v>1</v>
      </c>
      <c r="O2243">
        <v>4</v>
      </c>
      <c r="P2243">
        <v>582</v>
      </c>
      <c r="Q2243">
        <v>344</v>
      </c>
      <c r="R2243">
        <v>218</v>
      </c>
      <c r="S2243">
        <v>1018.39</v>
      </c>
    </row>
    <row r="2244" spans="12:19" x14ac:dyDescent="0.2">
      <c r="L2244" t="s">
        <v>374</v>
      </c>
      <c r="M2244">
        <v>2890</v>
      </c>
      <c r="N2244">
        <v>1</v>
      </c>
      <c r="O2244">
        <v>4</v>
      </c>
      <c r="P2244">
        <v>582</v>
      </c>
      <c r="Q2244">
        <v>344</v>
      </c>
      <c r="R2244">
        <v>218</v>
      </c>
      <c r="S2244">
        <v>485.88</v>
      </c>
    </row>
    <row r="2245" spans="12:19" x14ac:dyDescent="0.2">
      <c r="L2245" t="s">
        <v>374</v>
      </c>
      <c r="M2245">
        <v>2895</v>
      </c>
      <c r="N2245">
        <v>1</v>
      </c>
      <c r="O2245">
        <v>4</v>
      </c>
      <c r="P2245">
        <v>582</v>
      </c>
      <c r="Q2245">
        <v>344</v>
      </c>
      <c r="R2245">
        <v>218</v>
      </c>
      <c r="S2245">
        <v>1231.3699999999999</v>
      </c>
    </row>
    <row r="2246" spans="12:19" x14ac:dyDescent="0.2">
      <c r="L2246" t="s">
        <v>374</v>
      </c>
      <c r="M2246">
        <v>2897</v>
      </c>
      <c r="N2246">
        <v>1</v>
      </c>
      <c r="O2246">
        <v>4</v>
      </c>
      <c r="P2246">
        <v>582</v>
      </c>
      <c r="Q2246">
        <v>344</v>
      </c>
      <c r="R2246">
        <v>218</v>
      </c>
      <c r="S2246">
        <v>2059.59</v>
      </c>
    </row>
    <row r="2247" spans="12:19" x14ac:dyDescent="0.2">
      <c r="L2247" t="s">
        <v>374</v>
      </c>
      <c r="M2247">
        <v>2899</v>
      </c>
      <c r="N2247">
        <v>1</v>
      </c>
      <c r="O2247">
        <v>4</v>
      </c>
      <c r="P2247">
        <v>582</v>
      </c>
      <c r="Q2247">
        <v>344</v>
      </c>
      <c r="R2247">
        <v>218</v>
      </c>
      <c r="S2247">
        <v>3116.41</v>
      </c>
    </row>
    <row r="2248" spans="12:19" x14ac:dyDescent="0.2">
      <c r="L2248" t="s">
        <v>374</v>
      </c>
      <c r="M2248">
        <v>139</v>
      </c>
      <c r="N2248">
        <v>1</v>
      </c>
      <c r="O2248">
        <v>4</v>
      </c>
      <c r="P2248">
        <v>582</v>
      </c>
      <c r="Q2248">
        <v>321</v>
      </c>
      <c r="R2248">
        <v>218</v>
      </c>
      <c r="S2248">
        <v>1856.44</v>
      </c>
    </row>
    <row r="2249" spans="12:19" x14ac:dyDescent="0.2">
      <c r="L2249" t="s">
        <v>374</v>
      </c>
      <c r="M2249">
        <v>404</v>
      </c>
      <c r="N2249">
        <v>1</v>
      </c>
      <c r="O2249">
        <v>4</v>
      </c>
      <c r="P2249">
        <v>582</v>
      </c>
      <c r="Q2249">
        <v>321</v>
      </c>
      <c r="R2249">
        <v>218</v>
      </c>
      <c r="S2249">
        <v>533.5</v>
      </c>
    </row>
    <row r="2250" spans="12:19" x14ac:dyDescent="0.2">
      <c r="L2250" t="s">
        <v>374</v>
      </c>
      <c r="M2250">
        <v>414</v>
      </c>
      <c r="N2250">
        <v>1</v>
      </c>
      <c r="O2250">
        <v>4</v>
      </c>
      <c r="P2250">
        <v>582</v>
      </c>
      <c r="Q2250">
        <v>321</v>
      </c>
      <c r="R2250">
        <v>218</v>
      </c>
      <c r="S2250">
        <v>1557.87</v>
      </c>
    </row>
    <row r="2251" spans="12:19" x14ac:dyDescent="0.2">
      <c r="L2251" t="s">
        <v>374</v>
      </c>
      <c r="M2251">
        <v>831</v>
      </c>
      <c r="N2251">
        <v>1</v>
      </c>
      <c r="O2251">
        <v>4</v>
      </c>
      <c r="P2251">
        <v>582</v>
      </c>
      <c r="Q2251">
        <v>321</v>
      </c>
      <c r="R2251">
        <v>218</v>
      </c>
      <c r="S2251">
        <v>3759.34</v>
      </c>
    </row>
    <row r="2252" spans="12:19" x14ac:dyDescent="0.2">
      <c r="L2252" t="s">
        <v>374</v>
      </c>
      <c r="M2252">
        <v>256</v>
      </c>
      <c r="N2252">
        <v>1</v>
      </c>
      <c r="O2252">
        <v>4</v>
      </c>
      <c r="P2252">
        <v>582</v>
      </c>
      <c r="Q2252">
        <v>0</v>
      </c>
      <c r="R2252">
        <v>218</v>
      </c>
      <c r="S2252">
        <v>220.56</v>
      </c>
    </row>
    <row r="2253" spans="12:19" x14ac:dyDescent="0.2">
      <c r="L2253" t="s">
        <v>374</v>
      </c>
      <c r="M2253">
        <v>297</v>
      </c>
      <c r="N2253">
        <v>1</v>
      </c>
      <c r="O2253">
        <v>4</v>
      </c>
      <c r="P2253">
        <v>582</v>
      </c>
      <c r="Q2253">
        <v>0</v>
      </c>
      <c r="R2253">
        <v>218</v>
      </c>
      <c r="S2253">
        <v>21.78</v>
      </c>
    </row>
    <row r="2254" spans="12:19" x14ac:dyDescent="0.2">
      <c r="L2254" t="s">
        <v>374</v>
      </c>
      <c r="M2254">
        <v>378</v>
      </c>
      <c r="N2254">
        <v>1</v>
      </c>
      <c r="O2254">
        <v>4</v>
      </c>
      <c r="P2254">
        <v>582</v>
      </c>
      <c r="Q2254">
        <v>0</v>
      </c>
      <c r="R2254">
        <v>218</v>
      </c>
      <c r="S2254">
        <v>248.57</v>
      </c>
    </row>
    <row r="2255" spans="12:19" x14ac:dyDescent="0.2">
      <c r="L2255" t="s">
        <v>374</v>
      </c>
      <c r="M2255">
        <v>621</v>
      </c>
      <c r="N2255">
        <v>1</v>
      </c>
      <c r="O2255">
        <v>4</v>
      </c>
      <c r="P2255">
        <v>582</v>
      </c>
      <c r="Q2255">
        <v>0</v>
      </c>
      <c r="R2255">
        <v>218</v>
      </c>
      <c r="S2255">
        <v>151.43</v>
      </c>
    </row>
    <row r="2256" spans="12:19" x14ac:dyDescent="0.2">
      <c r="L2256" t="s">
        <v>374</v>
      </c>
      <c r="M2256">
        <v>625</v>
      </c>
      <c r="N2256">
        <v>1</v>
      </c>
      <c r="O2256">
        <v>4</v>
      </c>
      <c r="P2256">
        <v>582</v>
      </c>
      <c r="Q2256">
        <v>0</v>
      </c>
      <c r="R2256">
        <v>218</v>
      </c>
      <c r="S2256">
        <v>20733.310000000001</v>
      </c>
    </row>
    <row r="2257" spans="12:19" x14ac:dyDescent="0.2">
      <c r="L2257" t="s">
        <v>374</v>
      </c>
      <c r="M2257">
        <v>1</v>
      </c>
      <c r="N2257">
        <v>3</v>
      </c>
      <c r="O2257">
        <v>4</v>
      </c>
      <c r="P2257">
        <v>582</v>
      </c>
      <c r="Q2257">
        <v>599</v>
      </c>
      <c r="R2257">
        <v>214</v>
      </c>
      <c r="S2257">
        <v>1179.48</v>
      </c>
    </row>
    <row r="2258" spans="12:19" x14ac:dyDescent="0.2">
      <c r="L2258" t="s">
        <v>374</v>
      </c>
      <c r="M2258">
        <v>625</v>
      </c>
      <c r="N2258">
        <v>1</v>
      </c>
      <c r="O2258">
        <v>4</v>
      </c>
      <c r="P2258">
        <v>582</v>
      </c>
      <c r="Q2258">
        <v>599</v>
      </c>
      <c r="R2258">
        <v>214</v>
      </c>
      <c r="S2258">
        <v>15984.66</v>
      </c>
    </row>
    <row r="2259" spans="12:19" x14ac:dyDescent="0.2">
      <c r="L2259" t="s">
        <v>374</v>
      </c>
      <c r="M2259">
        <v>463</v>
      </c>
      <c r="N2259">
        <v>1</v>
      </c>
      <c r="O2259">
        <v>4</v>
      </c>
      <c r="P2259">
        <v>581</v>
      </c>
      <c r="Q2259">
        <v>344</v>
      </c>
      <c r="R2259">
        <v>214</v>
      </c>
      <c r="S2259">
        <v>512.82000000000005</v>
      </c>
    </row>
    <row r="2260" spans="12:19" x14ac:dyDescent="0.2">
      <c r="L2260" t="s">
        <v>374</v>
      </c>
      <c r="M2260">
        <v>1</v>
      </c>
      <c r="N2260">
        <v>1</v>
      </c>
      <c r="O2260">
        <v>4</v>
      </c>
      <c r="P2260">
        <v>582</v>
      </c>
      <c r="Q2260">
        <v>344</v>
      </c>
      <c r="R2260">
        <v>214</v>
      </c>
      <c r="S2260">
        <v>287.83</v>
      </c>
    </row>
    <row r="2261" spans="12:19" x14ac:dyDescent="0.2">
      <c r="L2261" t="s">
        <v>374</v>
      </c>
      <c r="M2261">
        <v>1</v>
      </c>
      <c r="N2261">
        <v>3</v>
      </c>
      <c r="O2261">
        <v>4</v>
      </c>
      <c r="P2261">
        <v>582</v>
      </c>
      <c r="Q2261">
        <v>344</v>
      </c>
      <c r="R2261">
        <v>214</v>
      </c>
      <c r="S2261">
        <v>16768.64</v>
      </c>
    </row>
    <row r="2262" spans="12:19" x14ac:dyDescent="0.2">
      <c r="L2262" t="s">
        <v>374</v>
      </c>
      <c r="M2262">
        <v>2</v>
      </c>
      <c r="N2262">
        <v>1</v>
      </c>
      <c r="O2262">
        <v>4</v>
      </c>
      <c r="P2262">
        <v>582</v>
      </c>
      <c r="Q2262">
        <v>344</v>
      </c>
      <c r="R2262">
        <v>214</v>
      </c>
      <c r="S2262">
        <v>61.51</v>
      </c>
    </row>
    <row r="2263" spans="12:19" x14ac:dyDescent="0.2">
      <c r="L2263" t="s">
        <v>374</v>
      </c>
      <c r="M2263">
        <v>4</v>
      </c>
      <c r="N2263">
        <v>1</v>
      </c>
      <c r="O2263">
        <v>4</v>
      </c>
      <c r="P2263">
        <v>582</v>
      </c>
      <c r="Q2263">
        <v>344</v>
      </c>
      <c r="R2263">
        <v>214</v>
      </c>
      <c r="S2263">
        <v>314.42</v>
      </c>
    </row>
    <row r="2264" spans="12:19" x14ac:dyDescent="0.2">
      <c r="L2264" t="s">
        <v>374</v>
      </c>
      <c r="M2264">
        <v>6</v>
      </c>
      <c r="N2264">
        <v>3</v>
      </c>
      <c r="O2264">
        <v>4</v>
      </c>
      <c r="P2264">
        <v>582</v>
      </c>
      <c r="Q2264">
        <v>344</v>
      </c>
      <c r="R2264">
        <v>214</v>
      </c>
      <c r="S2264">
        <v>2916.48</v>
      </c>
    </row>
    <row r="2265" spans="12:19" x14ac:dyDescent="0.2">
      <c r="L2265" t="s">
        <v>374</v>
      </c>
      <c r="M2265">
        <v>11</v>
      </c>
      <c r="N2265">
        <v>1</v>
      </c>
      <c r="O2265">
        <v>4</v>
      </c>
      <c r="P2265">
        <v>582</v>
      </c>
      <c r="Q2265">
        <v>344</v>
      </c>
      <c r="R2265">
        <v>214</v>
      </c>
      <c r="S2265">
        <v>48259.92</v>
      </c>
    </row>
    <row r="2266" spans="12:19" x14ac:dyDescent="0.2">
      <c r="L2266" t="s">
        <v>374</v>
      </c>
      <c r="M2266">
        <v>12</v>
      </c>
      <c r="N2266">
        <v>1</v>
      </c>
      <c r="O2266">
        <v>4</v>
      </c>
      <c r="P2266">
        <v>582</v>
      </c>
      <c r="Q2266">
        <v>344</v>
      </c>
      <c r="R2266">
        <v>214</v>
      </c>
      <c r="S2266">
        <v>948.35</v>
      </c>
    </row>
    <row r="2267" spans="12:19" x14ac:dyDescent="0.2">
      <c r="L2267" t="s">
        <v>374</v>
      </c>
      <c r="M2267">
        <v>14</v>
      </c>
      <c r="N2267">
        <v>1</v>
      </c>
      <c r="O2267">
        <v>4</v>
      </c>
      <c r="P2267">
        <v>582</v>
      </c>
      <c r="Q2267">
        <v>344</v>
      </c>
      <c r="R2267">
        <v>214</v>
      </c>
      <c r="S2267">
        <v>1476.6</v>
      </c>
    </row>
    <row r="2268" spans="12:19" x14ac:dyDescent="0.2">
      <c r="L2268" t="s">
        <v>374</v>
      </c>
      <c r="M2268">
        <v>15</v>
      </c>
      <c r="N2268">
        <v>1</v>
      </c>
      <c r="O2268">
        <v>4</v>
      </c>
      <c r="P2268">
        <v>582</v>
      </c>
      <c r="Q2268">
        <v>344</v>
      </c>
      <c r="R2268">
        <v>214</v>
      </c>
      <c r="S2268">
        <v>897.78</v>
      </c>
    </row>
    <row r="2269" spans="12:19" x14ac:dyDescent="0.2">
      <c r="L2269" t="s">
        <v>374</v>
      </c>
      <c r="M2269">
        <v>16</v>
      </c>
      <c r="N2269">
        <v>1</v>
      </c>
      <c r="O2269">
        <v>4</v>
      </c>
      <c r="P2269">
        <v>582</v>
      </c>
      <c r="Q2269">
        <v>344</v>
      </c>
      <c r="R2269">
        <v>214</v>
      </c>
      <c r="S2269">
        <v>1970.23</v>
      </c>
    </row>
    <row r="2270" spans="12:19" x14ac:dyDescent="0.2">
      <c r="L2270" t="s">
        <v>374</v>
      </c>
      <c r="M2270">
        <v>22</v>
      </c>
      <c r="N2270">
        <v>1</v>
      </c>
      <c r="O2270">
        <v>4</v>
      </c>
      <c r="P2270">
        <v>582</v>
      </c>
      <c r="Q2270">
        <v>344</v>
      </c>
      <c r="R2270">
        <v>214</v>
      </c>
      <c r="S2270">
        <v>952.82</v>
      </c>
    </row>
    <row r="2271" spans="12:19" x14ac:dyDescent="0.2">
      <c r="L2271" t="s">
        <v>374</v>
      </c>
      <c r="M2271">
        <v>23</v>
      </c>
      <c r="N2271">
        <v>1</v>
      </c>
      <c r="O2271">
        <v>4</v>
      </c>
      <c r="P2271">
        <v>582</v>
      </c>
      <c r="Q2271">
        <v>344</v>
      </c>
      <c r="R2271">
        <v>214</v>
      </c>
      <c r="S2271">
        <v>540.11</v>
      </c>
    </row>
    <row r="2272" spans="12:19" x14ac:dyDescent="0.2">
      <c r="L2272" t="s">
        <v>374</v>
      </c>
      <c r="M2272">
        <v>31</v>
      </c>
      <c r="N2272">
        <v>1</v>
      </c>
      <c r="O2272">
        <v>4</v>
      </c>
      <c r="P2272">
        <v>582</v>
      </c>
      <c r="Q2272">
        <v>344</v>
      </c>
      <c r="R2272">
        <v>214</v>
      </c>
      <c r="S2272">
        <v>244</v>
      </c>
    </row>
    <row r="2273" spans="12:19" x14ac:dyDescent="0.2">
      <c r="L2273" t="s">
        <v>374</v>
      </c>
      <c r="M2273">
        <v>38</v>
      </c>
      <c r="N2273">
        <v>1</v>
      </c>
      <c r="O2273">
        <v>4</v>
      </c>
      <c r="P2273">
        <v>582</v>
      </c>
      <c r="Q2273">
        <v>344</v>
      </c>
      <c r="R2273">
        <v>214</v>
      </c>
      <c r="S2273">
        <v>596.77</v>
      </c>
    </row>
    <row r="2274" spans="12:19" x14ac:dyDescent="0.2">
      <c r="L2274" t="s">
        <v>374</v>
      </c>
      <c r="M2274">
        <v>47</v>
      </c>
      <c r="N2274">
        <v>1</v>
      </c>
      <c r="O2274">
        <v>4</v>
      </c>
      <c r="P2274">
        <v>582</v>
      </c>
      <c r="Q2274">
        <v>344</v>
      </c>
      <c r="R2274">
        <v>214</v>
      </c>
      <c r="S2274">
        <v>1287.8</v>
      </c>
    </row>
    <row r="2275" spans="12:19" x14ac:dyDescent="0.2">
      <c r="L2275" t="s">
        <v>374</v>
      </c>
      <c r="M2275">
        <v>62</v>
      </c>
      <c r="N2275">
        <v>1</v>
      </c>
      <c r="O2275">
        <v>4</v>
      </c>
      <c r="P2275">
        <v>582</v>
      </c>
      <c r="Q2275">
        <v>344</v>
      </c>
      <c r="R2275">
        <v>214</v>
      </c>
      <c r="S2275">
        <v>7.9</v>
      </c>
    </row>
    <row r="2276" spans="12:19" x14ac:dyDescent="0.2">
      <c r="L2276" t="s">
        <v>374</v>
      </c>
      <c r="M2276">
        <v>75</v>
      </c>
      <c r="N2276">
        <v>1</v>
      </c>
      <c r="O2276">
        <v>4</v>
      </c>
      <c r="P2276">
        <v>582</v>
      </c>
      <c r="Q2276">
        <v>344</v>
      </c>
      <c r="R2276">
        <v>214</v>
      </c>
      <c r="S2276">
        <v>11.06</v>
      </c>
    </row>
    <row r="2277" spans="12:19" x14ac:dyDescent="0.2">
      <c r="L2277" t="s">
        <v>374</v>
      </c>
      <c r="M2277">
        <v>77</v>
      </c>
      <c r="N2277">
        <v>1</v>
      </c>
      <c r="O2277">
        <v>4</v>
      </c>
      <c r="P2277">
        <v>582</v>
      </c>
      <c r="Q2277">
        <v>344</v>
      </c>
      <c r="R2277">
        <v>214</v>
      </c>
      <c r="S2277">
        <v>3181.15</v>
      </c>
    </row>
    <row r="2278" spans="12:19" x14ac:dyDescent="0.2">
      <c r="L2278" t="s">
        <v>374</v>
      </c>
      <c r="M2278">
        <v>84</v>
      </c>
      <c r="N2278">
        <v>1</v>
      </c>
      <c r="O2278">
        <v>4</v>
      </c>
      <c r="P2278">
        <v>582</v>
      </c>
      <c r="Q2278">
        <v>344</v>
      </c>
      <c r="R2278">
        <v>214</v>
      </c>
      <c r="S2278">
        <v>581.73</v>
      </c>
    </row>
    <row r="2279" spans="12:19" x14ac:dyDescent="0.2">
      <c r="L2279" t="s">
        <v>374</v>
      </c>
      <c r="M2279">
        <v>88</v>
      </c>
      <c r="N2279">
        <v>1</v>
      </c>
      <c r="O2279">
        <v>4</v>
      </c>
      <c r="P2279">
        <v>582</v>
      </c>
      <c r="Q2279">
        <v>344</v>
      </c>
      <c r="R2279">
        <v>214</v>
      </c>
      <c r="S2279">
        <v>891.15</v>
      </c>
    </row>
    <row r="2280" spans="12:19" x14ac:dyDescent="0.2">
      <c r="L2280" t="s">
        <v>374</v>
      </c>
      <c r="M2280">
        <v>91</v>
      </c>
      <c r="N2280">
        <v>1</v>
      </c>
      <c r="O2280">
        <v>4</v>
      </c>
      <c r="P2280">
        <v>582</v>
      </c>
      <c r="Q2280">
        <v>344</v>
      </c>
      <c r="R2280">
        <v>214</v>
      </c>
      <c r="S2280">
        <v>470.8</v>
      </c>
    </row>
    <row r="2281" spans="12:19" x14ac:dyDescent="0.2">
      <c r="L2281" t="s">
        <v>374</v>
      </c>
      <c r="M2281">
        <v>93</v>
      </c>
      <c r="N2281">
        <v>1</v>
      </c>
      <c r="O2281">
        <v>4</v>
      </c>
      <c r="P2281">
        <v>582</v>
      </c>
      <c r="Q2281">
        <v>344</v>
      </c>
      <c r="R2281">
        <v>214</v>
      </c>
      <c r="S2281">
        <v>468.54</v>
      </c>
    </row>
    <row r="2282" spans="12:19" x14ac:dyDescent="0.2">
      <c r="L2282" t="s">
        <v>374</v>
      </c>
      <c r="M2282">
        <v>94</v>
      </c>
      <c r="N2282">
        <v>1</v>
      </c>
      <c r="O2282">
        <v>4</v>
      </c>
      <c r="P2282">
        <v>582</v>
      </c>
      <c r="Q2282">
        <v>344</v>
      </c>
      <c r="R2282">
        <v>214</v>
      </c>
      <c r="S2282">
        <v>1831.39</v>
      </c>
    </row>
    <row r="2283" spans="12:19" x14ac:dyDescent="0.2">
      <c r="L2283" t="s">
        <v>374</v>
      </c>
      <c r="M2283">
        <v>95</v>
      </c>
      <c r="N2283">
        <v>1</v>
      </c>
      <c r="O2283">
        <v>4</v>
      </c>
      <c r="P2283">
        <v>582</v>
      </c>
      <c r="Q2283">
        <v>344</v>
      </c>
      <c r="R2283">
        <v>214</v>
      </c>
      <c r="S2283">
        <v>479.18</v>
      </c>
    </row>
    <row r="2284" spans="12:19" x14ac:dyDescent="0.2">
      <c r="L2284" t="s">
        <v>374</v>
      </c>
      <c r="M2284">
        <v>97</v>
      </c>
      <c r="N2284">
        <v>1</v>
      </c>
      <c r="O2284">
        <v>4</v>
      </c>
      <c r="P2284">
        <v>582</v>
      </c>
      <c r="Q2284">
        <v>344</v>
      </c>
      <c r="R2284">
        <v>214</v>
      </c>
      <c r="S2284">
        <v>336.85</v>
      </c>
    </row>
    <row r="2285" spans="12:19" x14ac:dyDescent="0.2">
      <c r="L2285" t="s">
        <v>374</v>
      </c>
      <c r="M2285">
        <v>99</v>
      </c>
      <c r="N2285">
        <v>1</v>
      </c>
      <c r="O2285">
        <v>4</v>
      </c>
      <c r="P2285">
        <v>582</v>
      </c>
      <c r="Q2285">
        <v>344</v>
      </c>
      <c r="R2285">
        <v>214</v>
      </c>
      <c r="S2285">
        <v>590.17999999999995</v>
      </c>
    </row>
    <row r="2286" spans="12:19" x14ac:dyDescent="0.2">
      <c r="L2286" t="s">
        <v>374</v>
      </c>
      <c r="M2286">
        <v>100</v>
      </c>
      <c r="N2286">
        <v>1</v>
      </c>
      <c r="O2286">
        <v>4</v>
      </c>
      <c r="P2286">
        <v>582</v>
      </c>
      <c r="Q2286">
        <v>344</v>
      </c>
      <c r="R2286">
        <v>214</v>
      </c>
      <c r="S2286">
        <v>81.75</v>
      </c>
    </row>
    <row r="2287" spans="12:19" x14ac:dyDescent="0.2">
      <c r="L2287" t="s">
        <v>374</v>
      </c>
      <c r="M2287">
        <v>108</v>
      </c>
      <c r="N2287">
        <v>1</v>
      </c>
      <c r="O2287">
        <v>4</v>
      </c>
      <c r="P2287">
        <v>582</v>
      </c>
      <c r="Q2287">
        <v>344</v>
      </c>
      <c r="R2287">
        <v>214</v>
      </c>
      <c r="S2287">
        <v>15.63</v>
      </c>
    </row>
    <row r="2288" spans="12:19" x14ac:dyDescent="0.2">
      <c r="L2288" t="s">
        <v>374</v>
      </c>
      <c r="M2288">
        <v>110</v>
      </c>
      <c r="N2288">
        <v>1</v>
      </c>
      <c r="O2288">
        <v>4</v>
      </c>
      <c r="P2288">
        <v>582</v>
      </c>
      <c r="Q2288">
        <v>344</v>
      </c>
      <c r="R2288">
        <v>214</v>
      </c>
      <c r="S2288">
        <v>754.34</v>
      </c>
    </row>
    <row r="2289" spans="12:19" x14ac:dyDescent="0.2">
      <c r="L2289" t="s">
        <v>374</v>
      </c>
      <c r="M2289">
        <v>112</v>
      </c>
      <c r="N2289">
        <v>1</v>
      </c>
      <c r="O2289">
        <v>4</v>
      </c>
      <c r="P2289">
        <v>582</v>
      </c>
      <c r="Q2289">
        <v>344</v>
      </c>
      <c r="R2289">
        <v>214</v>
      </c>
      <c r="S2289">
        <v>2297.94</v>
      </c>
    </row>
    <row r="2290" spans="12:19" x14ac:dyDescent="0.2">
      <c r="L2290" t="s">
        <v>374</v>
      </c>
      <c r="M2290">
        <v>116</v>
      </c>
      <c r="N2290">
        <v>1</v>
      </c>
      <c r="O2290">
        <v>4</v>
      </c>
      <c r="P2290">
        <v>582</v>
      </c>
      <c r="Q2290">
        <v>344</v>
      </c>
      <c r="R2290">
        <v>214</v>
      </c>
      <c r="S2290">
        <v>123.5</v>
      </c>
    </row>
    <row r="2291" spans="12:19" x14ac:dyDescent="0.2">
      <c r="L2291" t="s">
        <v>374</v>
      </c>
      <c r="M2291">
        <v>138</v>
      </c>
      <c r="N2291">
        <v>1</v>
      </c>
      <c r="O2291">
        <v>4</v>
      </c>
      <c r="P2291">
        <v>582</v>
      </c>
      <c r="Q2291">
        <v>344</v>
      </c>
      <c r="R2291">
        <v>214</v>
      </c>
      <c r="S2291">
        <v>524.23</v>
      </c>
    </row>
    <row r="2292" spans="12:19" x14ac:dyDescent="0.2">
      <c r="L2292" t="s">
        <v>374</v>
      </c>
      <c r="M2292">
        <v>139</v>
      </c>
      <c r="N2292">
        <v>1</v>
      </c>
      <c r="O2292">
        <v>4</v>
      </c>
      <c r="P2292">
        <v>582</v>
      </c>
      <c r="Q2292">
        <v>344</v>
      </c>
      <c r="R2292">
        <v>214</v>
      </c>
      <c r="S2292">
        <v>1079.93</v>
      </c>
    </row>
    <row r="2293" spans="12:19" x14ac:dyDescent="0.2">
      <c r="L2293" t="s">
        <v>374</v>
      </c>
      <c r="M2293">
        <v>146</v>
      </c>
      <c r="N2293">
        <v>1</v>
      </c>
      <c r="O2293">
        <v>4</v>
      </c>
      <c r="P2293">
        <v>582</v>
      </c>
      <c r="Q2293">
        <v>344</v>
      </c>
      <c r="R2293">
        <v>214</v>
      </c>
      <c r="S2293">
        <v>930.81</v>
      </c>
    </row>
    <row r="2294" spans="12:19" x14ac:dyDescent="0.2">
      <c r="L2294" t="s">
        <v>374</v>
      </c>
      <c r="M2294">
        <v>152</v>
      </c>
      <c r="N2294">
        <v>1</v>
      </c>
      <c r="O2294">
        <v>4</v>
      </c>
      <c r="P2294">
        <v>582</v>
      </c>
      <c r="Q2294">
        <v>344</v>
      </c>
      <c r="R2294">
        <v>214</v>
      </c>
      <c r="S2294">
        <v>452.89</v>
      </c>
    </row>
    <row r="2295" spans="12:19" x14ac:dyDescent="0.2">
      <c r="L2295" t="s">
        <v>374</v>
      </c>
      <c r="M2295">
        <v>162</v>
      </c>
      <c r="N2295">
        <v>1</v>
      </c>
      <c r="O2295">
        <v>4</v>
      </c>
      <c r="P2295">
        <v>582</v>
      </c>
      <c r="Q2295">
        <v>344</v>
      </c>
      <c r="R2295">
        <v>214</v>
      </c>
      <c r="S2295">
        <v>509.78</v>
      </c>
    </row>
    <row r="2296" spans="12:19" x14ac:dyDescent="0.2">
      <c r="L2296" t="s">
        <v>374</v>
      </c>
      <c r="M2296">
        <v>166</v>
      </c>
      <c r="N2296">
        <v>1</v>
      </c>
      <c r="O2296">
        <v>4</v>
      </c>
      <c r="P2296">
        <v>582</v>
      </c>
      <c r="Q2296">
        <v>344</v>
      </c>
      <c r="R2296">
        <v>214</v>
      </c>
      <c r="S2296">
        <v>240.32</v>
      </c>
    </row>
    <row r="2297" spans="12:19" x14ac:dyDescent="0.2">
      <c r="L2297" t="s">
        <v>374</v>
      </c>
      <c r="M2297">
        <v>177</v>
      </c>
      <c r="N2297">
        <v>1</v>
      </c>
      <c r="O2297">
        <v>4</v>
      </c>
      <c r="P2297">
        <v>582</v>
      </c>
      <c r="Q2297">
        <v>344</v>
      </c>
      <c r="R2297">
        <v>214</v>
      </c>
      <c r="S2297">
        <v>136.44</v>
      </c>
    </row>
    <row r="2298" spans="12:19" x14ac:dyDescent="0.2">
      <c r="L2298" t="s">
        <v>374</v>
      </c>
      <c r="M2298">
        <v>181</v>
      </c>
      <c r="N2298">
        <v>1</v>
      </c>
      <c r="O2298">
        <v>4</v>
      </c>
      <c r="P2298">
        <v>582</v>
      </c>
      <c r="Q2298">
        <v>344</v>
      </c>
      <c r="R2298">
        <v>214</v>
      </c>
      <c r="S2298">
        <v>3390.39</v>
      </c>
    </row>
    <row r="2299" spans="12:19" x14ac:dyDescent="0.2">
      <c r="L2299" t="s">
        <v>374</v>
      </c>
      <c r="M2299">
        <v>186</v>
      </c>
      <c r="N2299">
        <v>1</v>
      </c>
      <c r="O2299">
        <v>4</v>
      </c>
      <c r="P2299">
        <v>582</v>
      </c>
      <c r="Q2299">
        <v>344</v>
      </c>
      <c r="R2299">
        <v>214</v>
      </c>
      <c r="S2299">
        <v>743.17</v>
      </c>
    </row>
    <row r="2300" spans="12:19" x14ac:dyDescent="0.2">
      <c r="L2300" t="s">
        <v>374</v>
      </c>
      <c r="M2300">
        <v>191</v>
      </c>
      <c r="N2300">
        <v>1</v>
      </c>
      <c r="O2300">
        <v>4</v>
      </c>
      <c r="P2300">
        <v>582</v>
      </c>
      <c r="Q2300">
        <v>344</v>
      </c>
      <c r="R2300">
        <v>214</v>
      </c>
      <c r="S2300">
        <v>1276.02</v>
      </c>
    </row>
    <row r="2301" spans="12:19" x14ac:dyDescent="0.2">
      <c r="L2301" t="s">
        <v>374</v>
      </c>
      <c r="M2301">
        <v>192</v>
      </c>
      <c r="N2301">
        <v>1</v>
      </c>
      <c r="O2301">
        <v>4</v>
      </c>
      <c r="P2301">
        <v>582</v>
      </c>
      <c r="Q2301">
        <v>344</v>
      </c>
      <c r="R2301">
        <v>214</v>
      </c>
      <c r="S2301">
        <v>367.59</v>
      </c>
    </row>
    <row r="2302" spans="12:19" x14ac:dyDescent="0.2">
      <c r="L2302" t="s">
        <v>374</v>
      </c>
      <c r="M2302">
        <v>194</v>
      </c>
      <c r="N2302">
        <v>1</v>
      </c>
      <c r="O2302">
        <v>4</v>
      </c>
      <c r="P2302">
        <v>582</v>
      </c>
      <c r="Q2302">
        <v>344</v>
      </c>
      <c r="R2302">
        <v>214</v>
      </c>
      <c r="S2302">
        <v>1224.8800000000001</v>
      </c>
    </row>
    <row r="2303" spans="12:19" x14ac:dyDescent="0.2">
      <c r="L2303" t="s">
        <v>374</v>
      </c>
      <c r="M2303">
        <v>196</v>
      </c>
      <c r="N2303">
        <v>1</v>
      </c>
      <c r="O2303">
        <v>4</v>
      </c>
      <c r="P2303">
        <v>582</v>
      </c>
      <c r="Q2303">
        <v>344</v>
      </c>
      <c r="R2303">
        <v>214</v>
      </c>
      <c r="S2303">
        <v>6393.67</v>
      </c>
    </row>
    <row r="2304" spans="12:19" x14ac:dyDescent="0.2">
      <c r="L2304" t="s">
        <v>374</v>
      </c>
      <c r="M2304">
        <v>197</v>
      </c>
      <c r="N2304">
        <v>1</v>
      </c>
      <c r="O2304">
        <v>4</v>
      </c>
      <c r="P2304">
        <v>582</v>
      </c>
      <c r="Q2304">
        <v>344</v>
      </c>
      <c r="R2304">
        <v>214</v>
      </c>
      <c r="S2304">
        <v>390.06</v>
      </c>
    </row>
    <row r="2305" spans="12:19" x14ac:dyDescent="0.2">
      <c r="L2305" t="s">
        <v>374</v>
      </c>
      <c r="M2305">
        <v>200</v>
      </c>
      <c r="N2305">
        <v>1</v>
      </c>
      <c r="O2305">
        <v>4</v>
      </c>
      <c r="P2305">
        <v>582</v>
      </c>
      <c r="Q2305">
        <v>344</v>
      </c>
      <c r="R2305">
        <v>214</v>
      </c>
      <c r="S2305">
        <v>744.98</v>
      </c>
    </row>
    <row r="2306" spans="12:19" x14ac:dyDescent="0.2">
      <c r="L2306" t="s">
        <v>374</v>
      </c>
      <c r="M2306">
        <v>203</v>
      </c>
      <c r="N2306">
        <v>1</v>
      </c>
      <c r="O2306">
        <v>4</v>
      </c>
      <c r="P2306">
        <v>582</v>
      </c>
      <c r="Q2306">
        <v>344</v>
      </c>
      <c r="R2306">
        <v>214</v>
      </c>
      <c r="S2306">
        <v>44.07</v>
      </c>
    </row>
    <row r="2307" spans="12:19" x14ac:dyDescent="0.2">
      <c r="L2307" t="s">
        <v>374</v>
      </c>
      <c r="M2307">
        <v>204</v>
      </c>
      <c r="N2307">
        <v>1</v>
      </c>
      <c r="O2307">
        <v>4</v>
      </c>
      <c r="P2307">
        <v>582</v>
      </c>
      <c r="Q2307">
        <v>344</v>
      </c>
      <c r="R2307">
        <v>214</v>
      </c>
      <c r="S2307">
        <v>1956.66</v>
      </c>
    </row>
    <row r="2308" spans="12:19" x14ac:dyDescent="0.2">
      <c r="L2308" t="s">
        <v>374</v>
      </c>
      <c r="M2308">
        <v>206</v>
      </c>
      <c r="N2308">
        <v>1</v>
      </c>
      <c r="O2308">
        <v>4</v>
      </c>
      <c r="P2308">
        <v>582</v>
      </c>
      <c r="Q2308">
        <v>344</v>
      </c>
      <c r="R2308">
        <v>214</v>
      </c>
      <c r="S2308">
        <v>1878.16</v>
      </c>
    </row>
    <row r="2309" spans="12:19" x14ac:dyDescent="0.2">
      <c r="L2309" t="s">
        <v>374</v>
      </c>
      <c r="M2309">
        <v>213</v>
      </c>
      <c r="N2309">
        <v>1</v>
      </c>
      <c r="O2309">
        <v>4</v>
      </c>
      <c r="P2309">
        <v>582</v>
      </c>
      <c r="Q2309">
        <v>344</v>
      </c>
      <c r="R2309">
        <v>214</v>
      </c>
      <c r="S2309">
        <v>156.34</v>
      </c>
    </row>
    <row r="2310" spans="12:19" x14ac:dyDescent="0.2">
      <c r="L2310" t="s">
        <v>374</v>
      </c>
      <c r="M2310">
        <v>227</v>
      </c>
      <c r="N2310">
        <v>1</v>
      </c>
      <c r="O2310">
        <v>4</v>
      </c>
      <c r="P2310">
        <v>582</v>
      </c>
      <c r="Q2310">
        <v>344</v>
      </c>
      <c r="R2310">
        <v>214</v>
      </c>
      <c r="S2310">
        <v>3051.58</v>
      </c>
    </row>
    <row r="2311" spans="12:19" x14ac:dyDescent="0.2">
      <c r="L2311" t="s">
        <v>374</v>
      </c>
      <c r="M2311">
        <v>229</v>
      </c>
      <c r="N2311">
        <v>1</v>
      </c>
      <c r="O2311">
        <v>4</v>
      </c>
      <c r="P2311">
        <v>582</v>
      </c>
      <c r="Q2311">
        <v>344</v>
      </c>
      <c r="R2311">
        <v>214</v>
      </c>
      <c r="S2311">
        <v>242.25</v>
      </c>
    </row>
    <row r="2312" spans="12:19" x14ac:dyDescent="0.2">
      <c r="L2312" t="s">
        <v>374</v>
      </c>
      <c r="M2312">
        <v>238</v>
      </c>
      <c r="N2312">
        <v>1</v>
      </c>
      <c r="O2312">
        <v>4</v>
      </c>
      <c r="P2312">
        <v>582</v>
      </c>
      <c r="Q2312">
        <v>344</v>
      </c>
      <c r="R2312">
        <v>214</v>
      </c>
      <c r="S2312">
        <v>1.25</v>
      </c>
    </row>
    <row r="2313" spans="12:19" x14ac:dyDescent="0.2">
      <c r="L2313" t="s">
        <v>374</v>
      </c>
      <c r="M2313">
        <v>239</v>
      </c>
      <c r="N2313">
        <v>1</v>
      </c>
      <c r="O2313">
        <v>4</v>
      </c>
      <c r="P2313">
        <v>582</v>
      </c>
      <c r="Q2313">
        <v>344</v>
      </c>
      <c r="R2313">
        <v>214</v>
      </c>
      <c r="S2313">
        <v>67.5</v>
      </c>
    </row>
    <row r="2314" spans="12:19" x14ac:dyDescent="0.2">
      <c r="L2314" t="s">
        <v>374</v>
      </c>
      <c r="M2314">
        <v>241</v>
      </c>
      <c r="N2314">
        <v>1</v>
      </c>
      <c r="O2314">
        <v>4</v>
      </c>
      <c r="P2314">
        <v>582</v>
      </c>
      <c r="Q2314">
        <v>344</v>
      </c>
      <c r="R2314">
        <v>214</v>
      </c>
      <c r="S2314">
        <v>1095.19</v>
      </c>
    </row>
    <row r="2315" spans="12:19" x14ac:dyDescent="0.2">
      <c r="L2315" t="s">
        <v>374</v>
      </c>
      <c r="M2315">
        <v>252</v>
      </c>
      <c r="N2315">
        <v>1</v>
      </c>
      <c r="O2315">
        <v>4</v>
      </c>
      <c r="P2315">
        <v>582</v>
      </c>
      <c r="Q2315">
        <v>344</v>
      </c>
      <c r="R2315">
        <v>214</v>
      </c>
      <c r="S2315">
        <v>323.67</v>
      </c>
    </row>
    <row r="2316" spans="12:19" x14ac:dyDescent="0.2">
      <c r="L2316" t="s">
        <v>374</v>
      </c>
      <c r="M2316">
        <v>253</v>
      </c>
      <c r="N2316">
        <v>1</v>
      </c>
      <c r="O2316">
        <v>4</v>
      </c>
      <c r="P2316">
        <v>582</v>
      </c>
      <c r="Q2316">
        <v>344</v>
      </c>
      <c r="R2316">
        <v>214</v>
      </c>
      <c r="S2316">
        <v>438.06</v>
      </c>
    </row>
    <row r="2317" spans="12:19" x14ac:dyDescent="0.2">
      <c r="L2317" t="s">
        <v>374</v>
      </c>
      <c r="M2317">
        <v>255</v>
      </c>
      <c r="N2317">
        <v>1</v>
      </c>
      <c r="O2317">
        <v>4</v>
      </c>
      <c r="P2317">
        <v>582</v>
      </c>
      <c r="Q2317">
        <v>344</v>
      </c>
      <c r="R2317">
        <v>214</v>
      </c>
      <c r="S2317">
        <v>389.06</v>
      </c>
    </row>
    <row r="2318" spans="12:19" x14ac:dyDescent="0.2">
      <c r="L2318" t="s">
        <v>374</v>
      </c>
      <c r="M2318">
        <v>256</v>
      </c>
      <c r="N2318">
        <v>1</v>
      </c>
      <c r="O2318">
        <v>4</v>
      </c>
      <c r="P2318">
        <v>582</v>
      </c>
      <c r="Q2318">
        <v>344</v>
      </c>
      <c r="R2318">
        <v>214</v>
      </c>
      <c r="S2318">
        <v>428.52</v>
      </c>
    </row>
    <row r="2319" spans="12:19" x14ac:dyDescent="0.2">
      <c r="L2319" t="s">
        <v>374</v>
      </c>
      <c r="M2319">
        <v>270</v>
      </c>
      <c r="N2319">
        <v>1</v>
      </c>
      <c r="O2319">
        <v>4</v>
      </c>
      <c r="P2319">
        <v>582</v>
      </c>
      <c r="Q2319">
        <v>344</v>
      </c>
      <c r="R2319">
        <v>214</v>
      </c>
      <c r="S2319">
        <v>737.89</v>
      </c>
    </row>
    <row r="2320" spans="12:19" x14ac:dyDescent="0.2">
      <c r="L2320" t="s">
        <v>374</v>
      </c>
      <c r="M2320">
        <v>271</v>
      </c>
      <c r="N2320">
        <v>1</v>
      </c>
      <c r="O2320">
        <v>4</v>
      </c>
      <c r="P2320">
        <v>582</v>
      </c>
      <c r="Q2320">
        <v>344</v>
      </c>
      <c r="R2320">
        <v>214</v>
      </c>
      <c r="S2320">
        <v>12324.58</v>
      </c>
    </row>
    <row r="2321" spans="12:19" x14ac:dyDescent="0.2">
      <c r="L2321" t="s">
        <v>374</v>
      </c>
      <c r="M2321">
        <v>272</v>
      </c>
      <c r="N2321">
        <v>1</v>
      </c>
      <c r="O2321">
        <v>4</v>
      </c>
      <c r="P2321">
        <v>582</v>
      </c>
      <c r="Q2321">
        <v>344</v>
      </c>
      <c r="R2321">
        <v>214</v>
      </c>
      <c r="S2321">
        <v>6105.8</v>
      </c>
    </row>
    <row r="2322" spans="12:19" x14ac:dyDescent="0.2">
      <c r="L2322" t="s">
        <v>374</v>
      </c>
      <c r="M2322">
        <v>273</v>
      </c>
      <c r="N2322">
        <v>1</v>
      </c>
      <c r="O2322">
        <v>4</v>
      </c>
      <c r="P2322">
        <v>582</v>
      </c>
      <c r="Q2322">
        <v>344</v>
      </c>
      <c r="R2322">
        <v>214</v>
      </c>
      <c r="S2322">
        <v>1105.54</v>
      </c>
    </row>
    <row r="2323" spans="12:19" x14ac:dyDescent="0.2">
      <c r="L2323" t="s">
        <v>374</v>
      </c>
      <c r="M2323">
        <v>276</v>
      </c>
      <c r="N2323">
        <v>1</v>
      </c>
      <c r="O2323">
        <v>4</v>
      </c>
      <c r="P2323">
        <v>582</v>
      </c>
      <c r="Q2323">
        <v>344</v>
      </c>
      <c r="R2323">
        <v>214</v>
      </c>
      <c r="S2323">
        <v>97.97</v>
      </c>
    </row>
    <row r="2324" spans="12:19" x14ac:dyDescent="0.2">
      <c r="L2324" t="s">
        <v>374</v>
      </c>
      <c r="M2324">
        <v>277</v>
      </c>
      <c r="N2324">
        <v>1</v>
      </c>
      <c r="O2324">
        <v>4</v>
      </c>
      <c r="P2324">
        <v>582</v>
      </c>
      <c r="Q2324">
        <v>344</v>
      </c>
      <c r="R2324">
        <v>214</v>
      </c>
      <c r="S2324">
        <v>13124.89</v>
      </c>
    </row>
    <row r="2325" spans="12:19" x14ac:dyDescent="0.2">
      <c r="L2325" t="s">
        <v>374</v>
      </c>
      <c r="M2325">
        <v>279</v>
      </c>
      <c r="N2325">
        <v>1</v>
      </c>
      <c r="O2325">
        <v>4</v>
      </c>
      <c r="P2325">
        <v>582</v>
      </c>
      <c r="Q2325">
        <v>344</v>
      </c>
      <c r="R2325">
        <v>214</v>
      </c>
      <c r="S2325">
        <v>2248.86</v>
      </c>
    </row>
    <row r="2326" spans="12:19" x14ac:dyDescent="0.2">
      <c r="L2326" t="s">
        <v>374</v>
      </c>
      <c r="M2326">
        <v>282</v>
      </c>
      <c r="N2326">
        <v>1</v>
      </c>
      <c r="O2326">
        <v>4</v>
      </c>
      <c r="P2326">
        <v>582</v>
      </c>
      <c r="Q2326">
        <v>344</v>
      </c>
      <c r="R2326">
        <v>214</v>
      </c>
      <c r="S2326">
        <v>127.61</v>
      </c>
    </row>
    <row r="2327" spans="12:19" x14ac:dyDescent="0.2">
      <c r="L2327" t="s">
        <v>374</v>
      </c>
      <c r="M2327">
        <v>283</v>
      </c>
      <c r="N2327">
        <v>1</v>
      </c>
      <c r="O2327">
        <v>4</v>
      </c>
      <c r="P2327">
        <v>582</v>
      </c>
      <c r="Q2327">
        <v>344</v>
      </c>
      <c r="R2327">
        <v>214</v>
      </c>
      <c r="S2327">
        <v>1463.21</v>
      </c>
    </row>
    <row r="2328" spans="12:19" x14ac:dyDescent="0.2">
      <c r="L2328" t="s">
        <v>374</v>
      </c>
      <c r="M2328">
        <v>286</v>
      </c>
      <c r="N2328">
        <v>1</v>
      </c>
      <c r="O2328">
        <v>4</v>
      </c>
      <c r="P2328">
        <v>582</v>
      </c>
      <c r="Q2328">
        <v>344</v>
      </c>
      <c r="R2328">
        <v>214</v>
      </c>
      <c r="S2328">
        <v>1353.9</v>
      </c>
    </row>
    <row r="2329" spans="12:19" x14ac:dyDescent="0.2">
      <c r="L2329" t="s">
        <v>374</v>
      </c>
      <c r="M2329">
        <v>294</v>
      </c>
      <c r="N2329">
        <v>1</v>
      </c>
      <c r="O2329">
        <v>4</v>
      </c>
      <c r="P2329">
        <v>582</v>
      </c>
      <c r="Q2329">
        <v>344</v>
      </c>
      <c r="R2329">
        <v>214</v>
      </c>
      <c r="S2329">
        <v>77.56</v>
      </c>
    </row>
    <row r="2330" spans="12:19" x14ac:dyDescent="0.2">
      <c r="L2330" t="s">
        <v>374</v>
      </c>
      <c r="M2330">
        <v>297</v>
      </c>
      <c r="N2330">
        <v>1</v>
      </c>
      <c r="O2330">
        <v>4</v>
      </c>
      <c r="P2330">
        <v>582</v>
      </c>
      <c r="Q2330">
        <v>344</v>
      </c>
      <c r="R2330">
        <v>214</v>
      </c>
      <c r="S2330">
        <v>4.3899999999999997</v>
      </c>
    </row>
    <row r="2331" spans="12:19" x14ac:dyDescent="0.2">
      <c r="L2331" t="s">
        <v>374</v>
      </c>
      <c r="M2331">
        <v>299</v>
      </c>
      <c r="N2331">
        <v>1</v>
      </c>
      <c r="O2331">
        <v>4</v>
      </c>
      <c r="P2331">
        <v>582</v>
      </c>
      <c r="Q2331">
        <v>344</v>
      </c>
      <c r="R2331">
        <v>214</v>
      </c>
      <c r="S2331">
        <v>289.24</v>
      </c>
    </row>
    <row r="2332" spans="12:19" x14ac:dyDescent="0.2">
      <c r="L2332" t="s">
        <v>374</v>
      </c>
      <c r="M2332">
        <v>300</v>
      </c>
      <c r="N2332">
        <v>1</v>
      </c>
      <c r="O2332">
        <v>4</v>
      </c>
      <c r="P2332">
        <v>582</v>
      </c>
      <c r="Q2332">
        <v>344</v>
      </c>
      <c r="R2332">
        <v>214</v>
      </c>
      <c r="S2332">
        <v>287.07</v>
      </c>
    </row>
    <row r="2333" spans="12:19" x14ac:dyDescent="0.2">
      <c r="L2333" t="s">
        <v>374</v>
      </c>
      <c r="M2333">
        <v>306</v>
      </c>
      <c r="N2333">
        <v>1</v>
      </c>
      <c r="O2333">
        <v>4</v>
      </c>
      <c r="P2333">
        <v>582</v>
      </c>
      <c r="Q2333">
        <v>344</v>
      </c>
      <c r="R2333">
        <v>214</v>
      </c>
      <c r="S2333">
        <v>293.52</v>
      </c>
    </row>
    <row r="2334" spans="12:19" x14ac:dyDescent="0.2">
      <c r="L2334" t="s">
        <v>374</v>
      </c>
      <c r="M2334">
        <v>308</v>
      </c>
      <c r="N2334">
        <v>1</v>
      </c>
      <c r="O2334">
        <v>4</v>
      </c>
      <c r="P2334">
        <v>582</v>
      </c>
      <c r="Q2334">
        <v>344</v>
      </c>
      <c r="R2334">
        <v>214</v>
      </c>
      <c r="S2334">
        <v>1.02</v>
      </c>
    </row>
    <row r="2335" spans="12:19" x14ac:dyDescent="0.2">
      <c r="L2335" t="s">
        <v>374</v>
      </c>
      <c r="M2335">
        <v>309</v>
      </c>
      <c r="N2335">
        <v>1</v>
      </c>
      <c r="O2335">
        <v>4</v>
      </c>
      <c r="P2335">
        <v>582</v>
      </c>
      <c r="Q2335">
        <v>344</v>
      </c>
      <c r="R2335">
        <v>214</v>
      </c>
      <c r="S2335">
        <v>1702.3</v>
      </c>
    </row>
    <row r="2336" spans="12:19" x14ac:dyDescent="0.2">
      <c r="L2336" t="s">
        <v>374</v>
      </c>
      <c r="M2336">
        <v>314</v>
      </c>
      <c r="N2336">
        <v>1</v>
      </c>
      <c r="O2336">
        <v>4</v>
      </c>
      <c r="P2336">
        <v>582</v>
      </c>
      <c r="Q2336">
        <v>344</v>
      </c>
      <c r="R2336">
        <v>214</v>
      </c>
      <c r="S2336">
        <v>681.99</v>
      </c>
    </row>
    <row r="2337" spans="12:19" x14ac:dyDescent="0.2">
      <c r="L2337" t="s">
        <v>374</v>
      </c>
      <c r="M2337">
        <v>316</v>
      </c>
      <c r="N2337">
        <v>1</v>
      </c>
      <c r="O2337">
        <v>4</v>
      </c>
      <c r="P2337">
        <v>582</v>
      </c>
      <c r="Q2337">
        <v>344</v>
      </c>
      <c r="R2337">
        <v>214</v>
      </c>
      <c r="S2337">
        <v>135.6</v>
      </c>
    </row>
    <row r="2338" spans="12:19" x14ac:dyDescent="0.2">
      <c r="L2338" t="s">
        <v>374</v>
      </c>
      <c r="M2338">
        <v>317</v>
      </c>
      <c r="N2338">
        <v>1</v>
      </c>
      <c r="O2338">
        <v>4</v>
      </c>
      <c r="P2338">
        <v>582</v>
      </c>
      <c r="Q2338">
        <v>344</v>
      </c>
      <c r="R2338">
        <v>214</v>
      </c>
      <c r="S2338">
        <v>4212.3100000000004</v>
      </c>
    </row>
    <row r="2339" spans="12:19" x14ac:dyDescent="0.2">
      <c r="L2339" t="s">
        <v>374</v>
      </c>
      <c r="M2339">
        <v>332</v>
      </c>
      <c r="N2339">
        <v>1</v>
      </c>
      <c r="O2339">
        <v>4</v>
      </c>
      <c r="P2339">
        <v>582</v>
      </c>
      <c r="Q2339">
        <v>344</v>
      </c>
      <c r="R2339">
        <v>214</v>
      </c>
      <c r="S2339">
        <v>266.7</v>
      </c>
    </row>
    <row r="2340" spans="12:19" x14ac:dyDescent="0.2">
      <c r="L2340" t="s">
        <v>374</v>
      </c>
      <c r="M2340">
        <v>333</v>
      </c>
      <c r="N2340">
        <v>1</v>
      </c>
      <c r="O2340">
        <v>4</v>
      </c>
      <c r="P2340">
        <v>582</v>
      </c>
      <c r="Q2340">
        <v>344</v>
      </c>
      <c r="R2340">
        <v>214</v>
      </c>
      <c r="S2340">
        <v>442.91</v>
      </c>
    </row>
    <row r="2341" spans="12:19" x14ac:dyDescent="0.2">
      <c r="L2341" t="s">
        <v>374</v>
      </c>
      <c r="M2341">
        <v>345</v>
      </c>
      <c r="N2341">
        <v>1</v>
      </c>
      <c r="O2341">
        <v>4</v>
      </c>
      <c r="P2341">
        <v>582</v>
      </c>
      <c r="Q2341">
        <v>344</v>
      </c>
      <c r="R2341">
        <v>214</v>
      </c>
      <c r="S2341">
        <v>233.07</v>
      </c>
    </row>
    <row r="2342" spans="12:19" x14ac:dyDescent="0.2">
      <c r="L2342" t="s">
        <v>374</v>
      </c>
      <c r="M2342">
        <v>347</v>
      </c>
      <c r="N2342">
        <v>1</v>
      </c>
      <c r="O2342">
        <v>4</v>
      </c>
      <c r="P2342">
        <v>582</v>
      </c>
      <c r="Q2342">
        <v>344</v>
      </c>
      <c r="R2342">
        <v>214</v>
      </c>
      <c r="S2342">
        <v>1500.33</v>
      </c>
    </row>
    <row r="2343" spans="12:19" x14ac:dyDescent="0.2">
      <c r="L2343" t="s">
        <v>374</v>
      </c>
      <c r="M2343">
        <v>356</v>
      </c>
      <c r="N2343">
        <v>1</v>
      </c>
      <c r="O2343">
        <v>4</v>
      </c>
      <c r="P2343">
        <v>582</v>
      </c>
      <c r="Q2343">
        <v>344</v>
      </c>
      <c r="R2343">
        <v>214</v>
      </c>
      <c r="S2343">
        <v>84.35</v>
      </c>
    </row>
    <row r="2344" spans="12:19" x14ac:dyDescent="0.2">
      <c r="L2344" t="s">
        <v>374</v>
      </c>
      <c r="M2344">
        <v>361</v>
      </c>
      <c r="N2344">
        <v>1</v>
      </c>
      <c r="O2344">
        <v>4</v>
      </c>
      <c r="P2344">
        <v>582</v>
      </c>
      <c r="Q2344">
        <v>344</v>
      </c>
      <c r="R2344">
        <v>214</v>
      </c>
      <c r="S2344">
        <v>702.21</v>
      </c>
    </row>
    <row r="2345" spans="12:19" x14ac:dyDescent="0.2">
      <c r="L2345" t="s">
        <v>374</v>
      </c>
      <c r="M2345">
        <v>362</v>
      </c>
      <c r="N2345">
        <v>1</v>
      </c>
      <c r="O2345">
        <v>4</v>
      </c>
      <c r="P2345">
        <v>582</v>
      </c>
      <c r="Q2345">
        <v>344</v>
      </c>
      <c r="R2345">
        <v>214</v>
      </c>
      <c r="S2345">
        <v>728.06</v>
      </c>
    </row>
    <row r="2346" spans="12:19" x14ac:dyDescent="0.2">
      <c r="L2346" t="s">
        <v>374</v>
      </c>
      <c r="M2346">
        <v>363</v>
      </c>
      <c r="N2346">
        <v>1</v>
      </c>
      <c r="O2346">
        <v>4</v>
      </c>
      <c r="P2346">
        <v>582</v>
      </c>
      <c r="Q2346">
        <v>344</v>
      </c>
      <c r="R2346">
        <v>214</v>
      </c>
      <c r="S2346">
        <v>812.01</v>
      </c>
    </row>
    <row r="2347" spans="12:19" x14ac:dyDescent="0.2">
      <c r="L2347" t="s">
        <v>374</v>
      </c>
      <c r="M2347">
        <v>378</v>
      </c>
      <c r="N2347">
        <v>1</v>
      </c>
      <c r="O2347">
        <v>4</v>
      </c>
      <c r="P2347">
        <v>582</v>
      </c>
      <c r="Q2347">
        <v>344</v>
      </c>
      <c r="R2347">
        <v>214</v>
      </c>
      <c r="S2347">
        <v>47.54</v>
      </c>
    </row>
    <row r="2348" spans="12:19" x14ac:dyDescent="0.2">
      <c r="L2348" t="s">
        <v>374</v>
      </c>
      <c r="M2348">
        <v>381</v>
      </c>
      <c r="N2348">
        <v>1</v>
      </c>
      <c r="O2348">
        <v>4</v>
      </c>
      <c r="P2348">
        <v>582</v>
      </c>
      <c r="Q2348">
        <v>344</v>
      </c>
      <c r="R2348">
        <v>214</v>
      </c>
      <c r="S2348">
        <v>134.44</v>
      </c>
    </row>
    <row r="2349" spans="12:19" x14ac:dyDescent="0.2">
      <c r="L2349" t="s">
        <v>374</v>
      </c>
      <c r="M2349">
        <v>390</v>
      </c>
      <c r="N2349">
        <v>1</v>
      </c>
      <c r="O2349">
        <v>4</v>
      </c>
      <c r="P2349">
        <v>582</v>
      </c>
      <c r="Q2349">
        <v>344</v>
      </c>
      <c r="R2349">
        <v>214</v>
      </c>
      <c r="S2349">
        <v>1.63</v>
      </c>
    </row>
    <row r="2350" spans="12:19" x14ac:dyDescent="0.2">
      <c r="L2350" t="s">
        <v>374</v>
      </c>
      <c r="M2350">
        <v>391</v>
      </c>
      <c r="N2350">
        <v>1</v>
      </c>
      <c r="O2350">
        <v>4</v>
      </c>
      <c r="P2350">
        <v>582</v>
      </c>
      <c r="Q2350">
        <v>344</v>
      </c>
      <c r="R2350">
        <v>214</v>
      </c>
      <c r="S2350">
        <v>597.63</v>
      </c>
    </row>
    <row r="2351" spans="12:19" x14ac:dyDescent="0.2">
      <c r="L2351" t="s">
        <v>374</v>
      </c>
      <c r="M2351">
        <v>392</v>
      </c>
      <c r="N2351">
        <v>1</v>
      </c>
      <c r="O2351">
        <v>4</v>
      </c>
      <c r="P2351">
        <v>582</v>
      </c>
      <c r="Q2351">
        <v>344</v>
      </c>
      <c r="R2351">
        <v>214</v>
      </c>
      <c r="S2351">
        <v>725.18</v>
      </c>
    </row>
    <row r="2352" spans="12:19" x14ac:dyDescent="0.2">
      <c r="L2352" t="s">
        <v>374</v>
      </c>
      <c r="M2352">
        <v>394</v>
      </c>
      <c r="N2352">
        <v>1</v>
      </c>
      <c r="O2352">
        <v>4</v>
      </c>
      <c r="P2352">
        <v>582</v>
      </c>
      <c r="Q2352">
        <v>344</v>
      </c>
      <c r="R2352">
        <v>214</v>
      </c>
      <c r="S2352">
        <v>602.03</v>
      </c>
    </row>
    <row r="2353" spans="12:19" x14ac:dyDescent="0.2">
      <c r="L2353" t="s">
        <v>374</v>
      </c>
      <c r="M2353">
        <v>413</v>
      </c>
      <c r="N2353">
        <v>1</v>
      </c>
      <c r="O2353">
        <v>4</v>
      </c>
      <c r="P2353">
        <v>582</v>
      </c>
      <c r="Q2353">
        <v>344</v>
      </c>
      <c r="R2353">
        <v>214</v>
      </c>
      <c r="S2353">
        <v>756.71</v>
      </c>
    </row>
    <row r="2354" spans="12:19" x14ac:dyDescent="0.2">
      <c r="L2354" t="s">
        <v>374</v>
      </c>
      <c r="M2354">
        <v>417</v>
      </c>
      <c r="N2354">
        <v>1</v>
      </c>
      <c r="O2354">
        <v>4</v>
      </c>
      <c r="P2354">
        <v>582</v>
      </c>
      <c r="Q2354">
        <v>344</v>
      </c>
      <c r="R2354">
        <v>214</v>
      </c>
      <c r="S2354">
        <v>379.79</v>
      </c>
    </row>
    <row r="2355" spans="12:19" x14ac:dyDescent="0.2">
      <c r="L2355" t="s">
        <v>374</v>
      </c>
      <c r="M2355">
        <v>423</v>
      </c>
      <c r="N2355">
        <v>1</v>
      </c>
      <c r="O2355">
        <v>4</v>
      </c>
      <c r="P2355">
        <v>582</v>
      </c>
      <c r="Q2355">
        <v>344</v>
      </c>
      <c r="R2355">
        <v>214</v>
      </c>
      <c r="S2355">
        <v>381.56</v>
      </c>
    </row>
    <row r="2356" spans="12:19" x14ac:dyDescent="0.2">
      <c r="L2356" t="s">
        <v>374</v>
      </c>
      <c r="M2356">
        <v>424</v>
      </c>
      <c r="N2356">
        <v>1</v>
      </c>
      <c r="O2356">
        <v>4</v>
      </c>
      <c r="P2356">
        <v>582</v>
      </c>
      <c r="Q2356">
        <v>344</v>
      </c>
      <c r="R2356">
        <v>214</v>
      </c>
      <c r="S2356">
        <v>298.99</v>
      </c>
    </row>
    <row r="2357" spans="12:19" x14ac:dyDescent="0.2">
      <c r="L2357" t="s">
        <v>374</v>
      </c>
      <c r="M2357">
        <v>432</v>
      </c>
      <c r="N2357">
        <v>1</v>
      </c>
      <c r="O2357">
        <v>4</v>
      </c>
      <c r="P2357">
        <v>582</v>
      </c>
      <c r="Q2357">
        <v>344</v>
      </c>
      <c r="R2357">
        <v>214</v>
      </c>
      <c r="S2357">
        <v>32.950000000000003</v>
      </c>
    </row>
    <row r="2358" spans="12:19" x14ac:dyDescent="0.2">
      <c r="L2358" t="s">
        <v>374</v>
      </c>
      <c r="M2358">
        <v>435</v>
      </c>
      <c r="N2358">
        <v>1</v>
      </c>
      <c r="O2358">
        <v>4</v>
      </c>
      <c r="P2358">
        <v>582</v>
      </c>
      <c r="Q2358">
        <v>344</v>
      </c>
      <c r="R2358">
        <v>214</v>
      </c>
      <c r="S2358">
        <v>417.04</v>
      </c>
    </row>
    <row r="2359" spans="12:19" x14ac:dyDescent="0.2">
      <c r="L2359" t="s">
        <v>374</v>
      </c>
      <c r="M2359">
        <v>441</v>
      </c>
      <c r="N2359">
        <v>1</v>
      </c>
      <c r="O2359">
        <v>4</v>
      </c>
      <c r="P2359">
        <v>582</v>
      </c>
      <c r="Q2359">
        <v>344</v>
      </c>
      <c r="R2359">
        <v>214</v>
      </c>
      <c r="S2359">
        <v>700.12</v>
      </c>
    </row>
    <row r="2360" spans="12:19" x14ac:dyDescent="0.2">
      <c r="L2360" t="s">
        <v>374</v>
      </c>
      <c r="M2360">
        <v>458</v>
      </c>
      <c r="N2360">
        <v>1</v>
      </c>
      <c r="O2360">
        <v>4</v>
      </c>
      <c r="P2360">
        <v>582</v>
      </c>
      <c r="Q2360">
        <v>344</v>
      </c>
      <c r="R2360">
        <v>214</v>
      </c>
      <c r="S2360">
        <v>250.04</v>
      </c>
    </row>
    <row r="2361" spans="12:19" x14ac:dyDescent="0.2">
      <c r="L2361" t="s">
        <v>374</v>
      </c>
      <c r="M2361">
        <v>465</v>
      </c>
      <c r="N2361">
        <v>1</v>
      </c>
      <c r="O2361">
        <v>4</v>
      </c>
      <c r="P2361">
        <v>582</v>
      </c>
      <c r="Q2361">
        <v>344</v>
      </c>
      <c r="R2361">
        <v>214</v>
      </c>
      <c r="S2361">
        <v>908.43</v>
      </c>
    </row>
    <row r="2362" spans="12:19" x14ac:dyDescent="0.2">
      <c r="L2362" t="s">
        <v>374</v>
      </c>
      <c r="M2362">
        <v>466</v>
      </c>
      <c r="N2362">
        <v>1</v>
      </c>
      <c r="O2362">
        <v>4</v>
      </c>
      <c r="P2362">
        <v>582</v>
      </c>
      <c r="Q2362">
        <v>344</v>
      </c>
      <c r="R2362">
        <v>214</v>
      </c>
      <c r="S2362">
        <v>2001.57</v>
      </c>
    </row>
    <row r="2363" spans="12:19" x14ac:dyDescent="0.2">
      <c r="L2363" t="s">
        <v>374</v>
      </c>
      <c r="M2363">
        <v>473</v>
      </c>
      <c r="N2363">
        <v>1</v>
      </c>
      <c r="O2363">
        <v>4</v>
      </c>
      <c r="P2363">
        <v>582</v>
      </c>
      <c r="Q2363">
        <v>344</v>
      </c>
      <c r="R2363">
        <v>214</v>
      </c>
      <c r="S2363">
        <v>262.39999999999998</v>
      </c>
    </row>
    <row r="2364" spans="12:19" x14ac:dyDescent="0.2">
      <c r="L2364" t="s">
        <v>374</v>
      </c>
      <c r="M2364">
        <v>477</v>
      </c>
      <c r="N2364">
        <v>1</v>
      </c>
      <c r="O2364">
        <v>4</v>
      </c>
      <c r="P2364">
        <v>582</v>
      </c>
      <c r="Q2364">
        <v>344</v>
      </c>
      <c r="R2364">
        <v>214</v>
      </c>
      <c r="S2364">
        <v>2002.77</v>
      </c>
    </row>
    <row r="2365" spans="12:19" x14ac:dyDescent="0.2">
      <c r="L2365" t="s">
        <v>374</v>
      </c>
      <c r="M2365">
        <v>482</v>
      </c>
      <c r="N2365">
        <v>1</v>
      </c>
      <c r="O2365">
        <v>4</v>
      </c>
      <c r="P2365">
        <v>582</v>
      </c>
      <c r="Q2365">
        <v>344</v>
      </c>
      <c r="R2365">
        <v>214</v>
      </c>
      <c r="S2365">
        <v>222.71</v>
      </c>
    </row>
    <row r="2366" spans="12:19" x14ac:dyDescent="0.2">
      <c r="L2366" t="s">
        <v>374</v>
      </c>
      <c r="M2366">
        <v>485</v>
      </c>
      <c r="N2366">
        <v>1</v>
      </c>
      <c r="O2366">
        <v>4</v>
      </c>
      <c r="P2366">
        <v>582</v>
      </c>
      <c r="Q2366">
        <v>344</v>
      </c>
      <c r="R2366">
        <v>214</v>
      </c>
      <c r="S2366">
        <v>610.61</v>
      </c>
    </row>
    <row r="2367" spans="12:19" x14ac:dyDescent="0.2">
      <c r="L2367" t="s">
        <v>374</v>
      </c>
      <c r="M2367">
        <v>486</v>
      </c>
      <c r="N2367">
        <v>1</v>
      </c>
      <c r="O2367">
        <v>4</v>
      </c>
      <c r="P2367">
        <v>582</v>
      </c>
      <c r="Q2367">
        <v>344</v>
      </c>
      <c r="R2367">
        <v>214</v>
      </c>
      <c r="S2367">
        <v>20.86</v>
      </c>
    </row>
    <row r="2368" spans="12:19" x14ac:dyDescent="0.2">
      <c r="L2368" t="s">
        <v>374</v>
      </c>
      <c r="M2368">
        <v>492</v>
      </c>
      <c r="N2368">
        <v>1</v>
      </c>
      <c r="O2368">
        <v>4</v>
      </c>
      <c r="P2368">
        <v>582</v>
      </c>
      <c r="Q2368">
        <v>344</v>
      </c>
      <c r="R2368">
        <v>214</v>
      </c>
      <c r="S2368">
        <v>1232.6300000000001</v>
      </c>
    </row>
    <row r="2369" spans="12:19" x14ac:dyDescent="0.2">
      <c r="L2369" t="s">
        <v>374</v>
      </c>
      <c r="M2369">
        <v>495</v>
      </c>
      <c r="N2369">
        <v>1</v>
      </c>
      <c r="O2369">
        <v>4</v>
      </c>
      <c r="P2369">
        <v>582</v>
      </c>
      <c r="Q2369">
        <v>344</v>
      </c>
      <c r="R2369">
        <v>214</v>
      </c>
      <c r="S2369">
        <v>752.43</v>
      </c>
    </row>
    <row r="2370" spans="12:19" x14ac:dyDescent="0.2">
      <c r="L2370" t="s">
        <v>374</v>
      </c>
      <c r="M2370">
        <v>499</v>
      </c>
      <c r="N2370">
        <v>1</v>
      </c>
      <c r="O2370">
        <v>4</v>
      </c>
      <c r="P2370">
        <v>582</v>
      </c>
      <c r="Q2370">
        <v>344</v>
      </c>
      <c r="R2370">
        <v>214</v>
      </c>
      <c r="S2370">
        <v>73.7</v>
      </c>
    </row>
    <row r="2371" spans="12:19" x14ac:dyDescent="0.2">
      <c r="L2371" t="s">
        <v>374</v>
      </c>
      <c r="M2371">
        <v>500</v>
      </c>
      <c r="N2371">
        <v>1</v>
      </c>
      <c r="O2371">
        <v>4</v>
      </c>
      <c r="P2371">
        <v>582</v>
      </c>
      <c r="Q2371">
        <v>344</v>
      </c>
      <c r="R2371">
        <v>214</v>
      </c>
      <c r="S2371">
        <v>442.38</v>
      </c>
    </row>
    <row r="2372" spans="12:19" x14ac:dyDescent="0.2">
      <c r="L2372" t="s">
        <v>374</v>
      </c>
      <c r="M2372">
        <v>508</v>
      </c>
      <c r="N2372">
        <v>1</v>
      </c>
      <c r="O2372">
        <v>4</v>
      </c>
      <c r="P2372">
        <v>582</v>
      </c>
      <c r="Q2372">
        <v>344</v>
      </c>
      <c r="R2372">
        <v>214</v>
      </c>
      <c r="S2372">
        <v>1247.95</v>
      </c>
    </row>
    <row r="2373" spans="12:19" x14ac:dyDescent="0.2">
      <c r="L2373" t="s">
        <v>374</v>
      </c>
      <c r="M2373">
        <v>513</v>
      </c>
      <c r="N2373">
        <v>1</v>
      </c>
      <c r="O2373">
        <v>4</v>
      </c>
      <c r="P2373">
        <v>582</v>
      </c>
      <c r="Q2373">
        <v>344</v>
      </c>
      <c r="R2373">
        <v>214</v>
      </c>
      <c r="S2373">
        <v>197.9</v>
      </c>
    </row>
    <row r="2374" spans="12:19" x14ac:dyDescent="0.2">
      <c r="L2374" t="s">
        <v>374</v>
      </c>
      <c r="M2374">
        <v>518</v>
      </c>
      <c r="N2374">
        <v>1</v>
      </c>
      <c r="O2374">
        <v>4</v>
      </c>
      <c r="P2374">
        <v>582</v>
      </c>
      <c r="Q2374">
        <v>344</v>
      </c>
      <c r="R2374">
        <v>214</v>
      </c>
      <c r="S2374">
        <v>220.81</v>
      </c>
    </row>
    <row r="2375" spans="12:19" x14ac:dyDescent="0.2">
      <c r="L2375" t="s">
        <v>374</v>
      </c>
      <c r="M2375">
        <v>531</v>
      </c>
      <c r="N2375">
        <v>1</v>
      </c>
      <c r="O2375">
        <v>4</v>
      </c>
      <c r="P2375">
        <v>582</v>
      </c>
      <c r="Q2375">
        <v>344</v>
      </c>
      <c r="R2375">
        <v>214</v>
      </c>
      <c r="S2375">
        <v>1456.28</v>
      </c>
    </row>
    <row r="2376" spans="12:19" x14ac:dyDescent="0.2">
      <c r="L2376" t="s">
        <v>374</v>
      </c>
      <c r="M2376">
        <v>533</v>
      </c>
      <c r="N2376">
        <v>1</v>
      </c>
      <c r="O2376">
        <v>4</v>
      </c>
      <c r="P2376">
        <v>582</v>
      </c>
      <c r="Q2376">
        <v>344</v>
      </c>
      <c r="R2376">
        <v>214</v>
      </c>
      <c r="S2376">
        <v>5.19</v>
      </c>
    </row>
    <row r="2377" spans="12:19" x14ac:dyDescent="0.2">
      <c r="L2377" t="s">
        <v>374</v>
      </c>
      <c r="M2377">
        <v>534</v>
      </c>
      <c r="N2377">
        <v>1</v>
      </c>
      <c r="O2377">
        <v>4</v>
      </c>
      <c r="P2377">
        <v>582</v>
      </c>
      <c r="Q2377">
        <v>344</v>
      </c>
      <c r="R2377">
        <v>214</v>
      </c>
      <c r="S2377">
        <v>535.51</v>
      </c>
    </row>
    <row r="2378" spans="12:19" x14ac:dyDescent="0.2">
      <c r="L2378" t="s">
        <v>374</v>
      </c>
      <c r="M2378">
        <v>542</v>
      </c>
      <c r="N2378">
        <v>1</v>
      </c>
      <c r="O2378">
        <v>4</v>
      </c>
      <c r="P2378">
        <v>582</v>
      </c>
      <c r="Q2378">
        <v>344</v>
      </c>
      <c r="R2378">
        <v>214</v>
      </c>
      <c r="S2378">
        <v>317.95999999999998</v>
      </c>
    </row>
    <row r="2379" spans="12:19" x14ac:dyDescent="0.2">
      <c r="L2379" t="s">
        <v>374</v>
      </c>
      <c r="M2379">
        <v>544</v>
      </c>
      <c r="N2379">
        <v>1</v>
      </c>
      <c r="O2379">
        <v>4</v>
      </c>
      <c r="P2379">
        <v>582</v>
      </c>
      <c r="Q2379">
        <v>344</v>
      </c>
      <c r="R2379">
        <v>214</v>
      </c>
      <c r="S2379">
        <v>367.32</v>
      </c>
    </row>
    <row r="2380" spans="12:19" x14ac:dyDescent="0.2">
      <c r="L2380" t="s">
        <v>374</v>
      </c>
      <c r="M2380">
        <v>545</v>
      </c>
      <c r="N2380">
        <v>1</v>
      </c>
      <c r="O2380">
        <v>4</v>
      </c>
      <c r="P2380">
        <v>582</v>
      </c>
      <c r="Q2380">
        <v>344</v>
      </c>
      <c r="R2380">
        <v>214</v>
      </c>
      <c r="S2380">
        <v>307.75</v>
      </c>
    </row>
    <row r="2381" spans="12:19" x14ac:dyDescent="0.2">
      <c r="L2381" t="s">
        <v>374</v>
      </c>
      <c r="M2381">
        <v>550</v>
      </c>
      <c r="N2381">
        <v>1</v>
      </c>
      <c r="O2381">
        <v>4</v>
      </c>
      <c r="P2381">
        <v>582</v>
      </c>
      <c r="Q2381">
        <v>344</v>
      </c>
      <c r="R2381">
        <v>214</v>
      </c>
      <c r="S2381">
        <v>1618.57</v>
      </c>
    </row>
    <row r="2382" spans="12:19" x14ac:dyDescent="0.2">
      <c r="L2382" t="s">
        <v>374</v>
      </c>
      <c r="M2382">
        <v>553</v>
      </c>
      <c r="N2382">
        <v>1</v>
      </c>
      <c r="O2382">
        <v>4</v>
      </c>
      <c r="P2382">
        <v>582</v>
      </c>
      <c r="Q2382">
        <v>344</v>
      </c>
      <c r="R2382">
        <v>214</v>
      </c>
      <c r="S2382">
        <v>362.12</v>
      </c>
    </row>
    <row r="2383" spans="12:19" x14ac:dyDescent="0.2">
      <c r="L2383" t="s">
        <v>374</v>
      </c>
      <c r="M2383">
        <v>561</v>
      </c>
      <c r="N2383">
        <v>1</v>
      </c>
      <c r="O2383">
        <v>4</v>
      </c>
      <c r="P2383">
        <v>582</v>
      </c>
      <c r="Q2383">
        <v>344</v>
      </c>
      <c r="R2383">
        <v>214</v>
      </c>
      <c r="S2383">
        <v>1.86</v>
      </c>
    </row>
    <row r="2384" spans="12:19" x14ac:dyDescent="0.2">
      <c r="L2384" t="s">
        <v>374</v>
      </c>
      <c r="M2384">
        <v>564</v>
      </c>
      <c r="N2384">
        <v>1</v>
      </c>
      <c r="O2384">
        <v>4</v>
      </c>
      <c r="P2384">
        <v>582</v>
      </c>
      <c r="Q2384">
        <v>344</v>
      </c>
      <c r="R2384">
        <v>214</v>
      </c>
      <c r="S2384">
        <v>1964.99</v>
      </c>
    </row>
    <row r="2385" spans="12:19" x14ac:dyDescent="0.2">
      <c r="L2385" t="s">
        <v>374</v>
      </c>
      <c r="M2385">
        <v>577</v>
      </c>
      <c r="N2385">
        <v>1</v>
      </c>
      <c r="O2385">
        <v>4</v>
      </c>
      <c r="P2385">
        <v>582</v>
      </c>
      <c r="Q2385">
        <v>344</v>
      </c>
      <c r="R2385">
        <v>214</v>
      </c>
      <c r="S2385">
        <v>272.23</v>
      </c>
    </row>
    <row r="2386" spans="12:19" x14ac:dyDescent="0.2">
      <c r="L2386" t="s">
        <v>374</v>
      </c>
      <c r="M2386">
        <v>578</v>
      </c>
      <c r="N2386">
        <v>1</v>
      </c>
      <c r="O2386">
        <v>4</v>
      </c>
      <c r="P2386">
        <v>582</v>
      </c>
      <c r="Q2386">
        <v>344</v>
      </c>
      <c r="R2386">
        <v>214</v>
      </c>
      <c r="S2386">
        <v>261.08999999999997</v>
      </c>
    </row>
    <row r="2387" spans="12:19" x14ac:dyDescent="0.2">
      <c r="L2387" t="s">
        <v>374</v>
      </c>
      <c r="M2387">
        <v>581</v>
      </c>
      <c r="N2387">
        <v>1</v>
      </c>
      <c r="O2387">
        <v>4</v>
      </c>
      <c r="P2387">
        <v>582</v>
      </c>
      <c r="Q2387">
        <v>344</v>
      </c>
      <c r="R2387">
        <v>214</v>
      </c>
      <c r="S2387">
        <v>636.25</v>
      </c>
    </row>
    <row r="2388" spans="12:19" x14ac:dyDescent="0.2">
      <c r="L2388" t="s">
        <v>374</v>
      </c>
      <c r="M2388">
        <v>593</v>
      </c>
      <c r="N2388">
        <v>1</v>
      </c>
      <c r="O2388">
        <v>4</v>
      </c>
      <c r="P2388">
        <v>582</v>
      </c>
      <c r="Q2388">
        <v>344</v>
      </c>
      <c r="R2388">
        <v>214</v>
      </c>
      <c r="S2388">
        <v>20.239999999999998</v>
      </c>
    </row>
    <row r="2389" spans="12:19" x14ac:dyDescent="0.2">
      <c r="L2389" t="s">
        <v>374</v>
      </c>
      <c r="M2389">
        <v>595</v>
      </c>
      <c r="N2389">
        <v>1</v>
      </c>
      <c r="O2389">
        <v>4</v>
      </c>
      <c r="P2389">
        <v>582</v>
      </c>
      <c r="Q2389">
        <v>344</v>
      </c>
      <c r="R2389">
        <v>214</v>
      </c>
      <c r="S2389">
        <v>925.89</v>
      </c>
    </row>
    <row r="2390" spans="12:19" x14ac:dyDescent="0.2">
      <c r="L2390" t="s">
        <v>374</v>
      </c>
      <c r="M2390">
        <v>600</v>
      </c>
      <c r="N2390">
        <v>1</v>
      </c>
      <c r="O2390">
        <v>4</v>
      </c>
      <c r="P2390">
        <v>582</v>
      </c>
      <c r="Q2390">
        <v>344</v>
      </c>
      <c r="R2390">
        <v>214</v>
      </c>
      <c r="S2390">
        <v>41.13</v>
      </c>
    </row>
    <row r="2391" spans="12:19" x14ac:dyDescent="0.2">
      <c r="L2391" t="s">
        <v>374</v>
      </c>
      <c r="M2391">
        <v>601</v>
      </c>
      <c r="N2391">
        <v>1</v>
      </c>
      <c r="O2391">
        <v>4</v>
      </c>
      <c r="P2391">
        <v>582</v>
      </c>
      <c r="Q2391">
        <v>344</v>
      </c>
      <c r="R2391">
        <v>214</v>
      </c>
      <c r="S2391">
        <v>375.28</v>
      </c>
    </row>
    <row r="2392" spans="12:19" x14ac:dyDescent="0.2">
      <c r="L2392" t="s">
        <v>374</v>
      </c>
      <c r="M2392">
        <v>621</v>
      </c>
      <c r="N2392">
        <v>1</v>
      </c>
      <c r="O2392">
        <v>4</v>
      </c>
      <c r="P2392">
        <v>582</v>
      </c>
      <c r="Q2392">
        <v>344</v>
      </c>
      <c r="R2392">
        <v>214</v>
      </c>
      <c r="S2392">
        <v>690.16</v>
      </c>
    </row>
    <row r="2393" spans="12:19" x14ac:dyDescent="0.2">
      <c r="L2393" t="s">
        <v>374</v>
      </c>
      <c r="M2393">
        <v>622</v>
      </c>
      <c r="N2393">
        <v>1</v>
      </c>
      <c r="O2393">
        <v>4</v>
      </c>
      <c r="P2393">
        <v>582</v>
      </c>
      <c r="Q2393">
        <v>344</v>
      </c>
      <c r="R2393">
        <v>214</v>
      </c>
      <c r="S2393">
        <v>2892.1</v>
      </c>
    </row>
    <row r="2394" spans="12:19" x14ac:dyDescent="0.2">
      <c r="L2394" t="s">
        <v>374</v>
      </c>
      <c r="M2394">
        <v>623</v>
      </c>
      <c r="N2394">
        <v>1</v>
      </c>
      <c r="O2394">
        <v>4</v>
      </c>
      <c r="P2394">
        <v>582</v>
      </c>
      <c r="Q2394">
        <v>344</v>
      </c>
      <c r="R2394">
        <v>214</v>
      </c>
      <c r="S2394">
        <v>604.07000000000005</v>
      </c>
    </row>
    <row r="2395" spans="12:19" x14ac:dyDescent="0.2">
      <c r="L2395" t="s">
        <v>374</v>
      </c>
      <c r="M2395">
        <v>624</v>
      </c>
      <c r="N2395">
        <v>1</v>
      </c>
      <c r="O2395">
        <v>4</v>
      </c>
      <c r="P2395">
        <v>582</v>
      </c>
      <c r="Q2395">
        <v>344</v>
      </c>
      <c r="R2395">
        <v>214</v>
      </c>
      <c r="S2395">
        <v>1989.36</v>
      </c>
    </row>
    <row r="2396" spans="12:19" x14ac:dyDescent="0.2">
      <c r="L2396" t="s">
        <v>374</v>
      </c>
      <c r="M2396">
        <v>625</v>
      </c>
      <c r="N2396">
        <v>1</v>
      </c>
      <c r="O2396">
        <v>4</v>
      </c>
      <c r="P2396">
        <v>582</v>
      </c>
      <c r="Q2396">
        <v>344</v>
      </c>
      <c r="R2396">
        <v>214</v>
      </c>
      <c r="S2396">
        <v>20937.53</v>
      </c>
    </row>
    <row r="2397" spans="12:19" x14ac:dyDescent="0.2">
      <c r="L2397" t="s">
        <v>374</v>
      </c>
      <c r="M2397">
        <v>630</v>
      </c>
      <c r="N2397">
        <v>1</v>
      </c>
      <c r="O2397">
        <v>4</v>
      </c>
      <c r="P2397">
        <v>582</v>
      </c>
      <c r="Q2397">
        <v>344</v>
      </c>
      <c r="R2397">
        <v>214</v>
      </c>
      <c r="S2397">
        <v>96.23</v>
      </c>
    </row>
    <row r="2398" spans="12:19" x14ac:dyDescent="0.2">
      <c r="L2398" t="s">
        <v>374</v>
      </c>
      <c r="M2398">
        <v>640</v>
      </c>
      <c r="N2398">
        <v>1</v>
      </c>
      <c r="O2398">
        <v>4</v>
      </c>
      <c r="P2398">
        <v>582</v>
      </c>
      <c r="Q2398">
        <v>344</v>
      </c>
      <c r="R2398">
        <v>214</v>
      </c>
      <c r="S2398">
        <v>2.15</v>
      </c>
    </row>
    <row r="2399" spans="12:19" x14ac:dyDescent="0.2">
      <c r="L2399" t="s">
        <v>374</v>
      </c>
      <c r="M2399">
        <v>656</v>
      </c>
      <c r="N2399">
        <v>1</v>
      </c>
      <c r="O2399">
        <v>4</v>
      </c>
      <c r="P2399">
        <v>582</v>
      </c>
      <c r="Q2399">
        <v>344</v>
      </c>
      <c r="R2399">
        <v>214</v>
      </c>
      <c r="S2399">
        <v>702.26</v>
      </c>
    </row>
    <row r="2400" spans="12:19" x14ac:dyDescent="0.2">
      <c r="L2400" t="s">
        <v>374</v>
      </c>
      <c r="M2400">
        <v>659</v>
      </c>
      <c r="N2400">
        <v>1</v>
      </c>
      <c r="O2400">
        <v>4</v>
      </c>
      <c r="P2400">
        <v>582</v>
      </c>
      <c r="Q2400">
        <v>344</v>
      </c>
      <c r="R2400">
        <v>214</v>
      </c>
      <c r="S2400">
        <v>1026.5</v>
      </c>
    </row>
    <row r="2401" spans="12:19" x14ac:dyDescent="0.2">
      <c r="L2401" t="s">
        <v>374</v>
      </c>
      <c r="M2401">
        <v>671</v>
      </c>
      <c r="N2401">
        <v>1</v>
      </c>
      <c r="O2401">
        <v>4</v>
      </c>
      <c r="P2401">
        <v>582</v>
      </c>
      <c r="Q2401">
        <v>344</v>
      </c>
      <c r="R2401">
        <v>214</v>
      </c>
      <c r="S2401">
        <v>63.82</v>
      </c>
    </row>
    <row r="2402" spans="12:19" x14ac:dyDescent="0.2">
      <c r="L2402" t="s">
        <v>374</v>
      </c>
      <c r="M2402">
        <v>676</v>
      </c>
      <c r="N2402">
        <v>1</v>
      </c>
      <c r="O2402">
        <v>4</v>
      </c>
      <c r="P2402">
        <v>582</v>
      </c>
      <c r="Q2402">
        <v>344</v>
      </c>
      <c r="R2402">
        <v>214</v>
      </c>
      <c r="S2402">
        <v>699.99</v>
      </c>
    </row>
    <row r="2403" spans="12:19" x14ac:dyDescent="0.2">
      <c r="L2403" t="s">
        <v>374</v>
      </c>
      <c r="M2403">
        <v>682</v>
      </c>
      <c r="N2403">
        <v>1</v>
      </c>
      <c r="O2403">
        <v>4</v>
      </c>
      <c r="P2403">
        <v>582</v>
      </c>
      <c r="Q2403">
        <v>344</v>
      </c>
      <c r="R2403">
        <v>214</v>
      </c>
      <c r="S2403">
        <v>1250.94</v>
      </c>
    </row>
    <row r="2404" spans="12:19" x14ac:dyDescent="0.2">
      <c r="L2404" t="s">
        <v>374</v>
      </c>
      <c r="M2404">
        <v>690</v>
      </c>
      <c r="N2404">
        <v>1</v>
      </c>
      <c r="O2404">
        <v>4</v>
      </c>
      <c r="P2404">
        <v>582</v>
      </c>
      <c r="Q2404">
        <v>344</v>
      </c>
      <c r="R2404">
        <v>214</v>
      </c>
      <c r="S2404">
        <v>2690.76</v>
      </c>
    </row>
    <row r="2405" spans="12:19" x14ac:dyDescent="0.2">
      <c r="L2405" t="s">
        <v>374</v>
      </c>
      <c r="M2405">
        <v>698</v>
      </c>
      <c r="N2405">
        <v>1</v>
      </c>
      <c r="O2405">
        <v>4</v>
      </c>
      <c r="P2405">
        <v>582</v>
      </c>
      <c r="Q2405">
        <v>344</v>
      </c>
      <c r="R2405">
        <v>214</v>
      </c>
      <c r="S2405">
        <v>95.15</v>
      </c>
    </row>
    <row r="2406" spans="12:19" x14ac:dyDescent="0.2">
      <c r="L2406" t="s">
        <v>374</v>
      </c>
      <c r="M2406">
        <v>700</v>
      </c>
      <c r="N2406">
        <v>1</v>
      </c>
      <c r="O2406">
        <v>4</v>
      </c>
      <c r="P2406">
        <v>582</v>
      </c>
      <c r="Q2406">
        <v>344</v>
      </c>
      <c r="R2406">
        <v>214</v>
      </c>
      <c r="S2406">
        <v>2619.2199999999998</v>
      </c>
    </row>
    <row r="2407" spans="12:19" x14ac:dyDescent="0.2">
      <c r="L2407" t="s">
        <v>374</v>
      </c>
      <c r="M2407">
        <v>701</v>
      </c>
      <c r="N2407">
        <v>1</v>
      </c>
      <c r="O2407">
        <v>4</v>
      </c>
      <c r="P2407">
        <v>582</v>
      </c>
      <c r="Q2407">
        <v>344</v>
      </c>
      <c r="R2407">
        <v>214</v>
      </c>
      <c r="S2407">
        <v>357.55</v>
      </c>
    </row>
    <row r="2408" spans="12:19" x14ac:dyDescent="0.2">
      <c r="L2408" t="s">
        <v>374</v>
      </c>
      <c r="M2408">
        <v>704</v>
      </c>
      <c r="N2408">
        <v>1</v>
      </c>
      <c r="O2408">
        <v>4</v>
      </c>
      <c r="P2408">
        <v>582</v>
      </c>
      <c r="Q2408">
        <v>344</v>
      </c>
      <c r="R2408">
        <v>214</v>
      </c>
      <c r="S2408">
        <v>28.23</v>
      </c>
    </row>
    <row r="2409" spans="12:19" x14ac:dyDescent="0.2">
      <c r="L2409" t="s">
        <v>374</v>
      </c>
      <c r="M2409">
        <v>706</v>
      </c>
      <c r="N2409">
        <v>1</v>
      </c>
      <c r="O2409">
        <v>4</v>
      </c>
      <c r="P2409">
        <v>582</v>
      </c>
      <c r="Q2409">
        <v>344</v>
      </c>
      <c r="R2409">
        <v>214</v>
      </c>
      <c r="S2409">
        <v>225.93</v>
      </c>
    </row>
    <row r="2410" spans="12:19" x14ac:dyDescent="0.2">
      <c r="L2410" t="s">
        <v>374</v>
      </c>
      <c r="M2410">
        <v>709</v>
      </c>
      <c r="N2410">
        <v>1</v>
      </c>
      <c r="O2410">
        <v>4</v>
      </c>
      <c r="P2410">
        <v>582</v>
      </c>
      <c r="Q2410">
        <v>344</v>
      </c>
      <c r="R2410">
        <v>214</v>
      </c>
      <c r="S2410">
        <v>2322.9</v>
      </c>
    </row>
    <row r="2411" spans="12:19" x14ac:dyDescent="0.2">
      <c r="L2411" t="s">
        <v>374</v>
      </c>
      <c r="M2411">
        <v>712</v>
      </c>
      <c r="N2411">
        <v>1</v>
      </c>
      <c r="O2411">
        <v>4</v>
      </c>
      <c r="P2411">
        <v>582</v>
      </c>
      <c r="Q2411">
        <v>344</v>
      </c>
      <c r="R2411">
        <v>214</v>
      </c>
      <c r="S2411">
        <v>194.07</v>
      </c>
    </row>
    <row r="2412" spans="12:19" x14ac:dyDescent="0.2">
      <c r="L2412" t="s">
        <v>374</v>
      </c>
      <c r="M2412">
        <v>716</v>
      </c>
      <c r="N2412">
        <v>1</v>
      </c>
      <c r="O2412">
        <v>4</v>
      </c>
      <c r="P2412">
        <v>582</v>
      </c>
      <c r="Q2412">
        <v>344</v>
      </c>
      <c r="R2412">
        <v>214</v>
      </c>
      <c r="S2412">
        <v>223.07</v>
      </c>
    </row>
    <row r="2413" spans="12:19" x14ac:dyDescent="0.2">
      <c r="L2413" t="s">
        <v>374</v>
      </c>
      <c r="M2413">
        <v>717</v>
      </c>
      <c r="N2413">
        <v>1</v>
      </c>
      <c r="O2413">
        <v>4</v>
      </c>
      <c r="P2413">
        <v>582</v>
      </c>
      <c r="Q2413">
        <v>344</v>
      </c>
      <c r="R2413">
        <v>214</v>
      </c>
      <c r="S2413">
        <v>593.83000000000004</v>
      </c>
    </row>
    <row r="2414" spans="12:19" x14ac:dyDescent="0.2">
      <c r="L2414" t="s">
        <v>374</v>
      </c>
      <c r="M2414">
        <v>719</v>
      </c>
      <c r="N2414">
        <v>1</v>
      </c>
      <c r="O2414">
        <v>4</v>
      </c>
      <c r="P2414">
        <v>582</v>
      </c>
      <c r="Q2414">
        <v>344</v>
      </c>
      <c r="R2414">
        <v>214</v>
      </c>
      <c r="S2414">
        <v>5432.36</v>
      </c>
    </row>
    <row r="2415" spans="12:19" x14ac:dyDescent="0.2">
      <c r="L2415" t="s">
        <v>374</v>
      </c>
      <c r="M2415">
        <v>720</v>
      </c>
      <c r="N2415">
        <v>1</v>
      </c>
      <c r="O2415">
        <v>4</v>
      </c>
      <c r="P2415">
        <v>582</v>
      </c>
      <c r="Q2415">
        <v>344</v>
      </c>
      <c r="R2415">
        <v>214</v>
      </c>
      <c r="S2415">
        <v>1628.23</v>
      </c>
    </row>
    <row r="2416" spans="12:19" x14ac:dyDescent="0.2">
      <c r="L2416" t="s">
        <v>374</v>
      </c>
      <c r="M2416">
        <v>721</v>
      </c>
      <c r="N2416">
        <v>1</v>
      </c>
      <c r="O2416">
        <v>4</v>
      </c>
      <c r="P2416">
        <v>582</v>
      </c>
      <c r="Q2416">
        <v>344</v>
      </c>
      <c r="R2416">
        <v>214</v>
      </c>
      <c r="S2416">
        <v>1583.25</v>
      </c>
    </row>
    <row r="2417" spans="12:19" x14ac:dyDescent="0.2">
      <c r="L2417" t="s">
        <v>374</v>
      </c>
      <c r="M2417">
        <v>726</v>
      </c>
      <c r="N2417">
        <v>1</v>
      </c>
      <c r="O2417">
        <v>4</v>
      </c>
      <c r="P2417">
        <v>582</v>
      </c>
      <c r="Q2417">
        <v>344</v>
      </c>
      <c r="R2417">
        <v>214</v>
      </c>
      <c r="S2417">
        <v>336.13</v>
      </c>
    </row>
    <row r="2418" spans="12:19" x14ac:dyDescent="0.2">
      <c r="L2418" t="s">
        <v>374</v>
      </c>
      <c r="M2418">
        <v>727</v>
      </c>
      <c r="N2418">
        <v>1</v>
      </c>
      <c r="O2418">
        <v>4</v>
      </c>
      <c r="P2418">
        <v>582</v>
      </c>
      <c r="Q2418">
        <v>344</v>
      </c>
      <c r="R2418">
        <v>214</v>
      </c>
      <c r="S2418">
        <v>5088.41</v>
      </c>
    </row>
    <row r="2419" spans="12:19" x14ac:dyDescent="0.2">
      <c r="L2419" t="s">
        <v>374</v>
      </c>
      <c r="M2419">
        <v>728</v>
      </c>
      <c r="N2419">
        <v>1</v>
      </c>
      <c r="O2419">
        <v>4</v>
      </c>
      <c r="P2419">
        <v>582</v>
      </c>
      <c r="Q2419">
        <v>344</v>
      </c>
      <c r="R2419">
        <v>214</v>
      </c>
      <c r="S2419">
        <v>14242.05</v>
      </c>
    </row>
    <row r="2420" spans="12:19" x14ac:dyDescent="0.2">
      <c r="L2420" t="s">
        <v>374</v>
      </c>
      <c r="M2420">
        <v>738</v>
      </c>
      <c r="N2420">
        <v>1</v>
      </c>
      <c r="O2420">
        <v>4</v>
      </c>
      <c r="P2420">
        <v>582</v>
      </c>
      <c r="Q2420">
        <v>344</v>
      </c>
      <c r="R2420">
        <v>214</v>
      </c>
      <c r="S2420">
        <v>479.87</v>
      </c>
    </row>
    <row r="2421" spans="12:19" x14ac:dyDescent="0.2">
      <c r="L2421" t="s">
        <v>374</v>
      </c>
      <c r="M2421">
        <v>739</v>
      </c>
      <c r="N2421">
        <v>1</v>
      </c>
      <c r="O2421">
        <v>4</v>
      </c>
      <c r="P2421">
        <v>582</v>
      </c>
      <c r="Q2421">
        <v>344</v>
      </c>
      <c r="R2421">
        <v>214</v>
      </c>
      <c r="S2421">
        <v>308.41000000000003</v>
      </c>
    </row>
    <row r="2422" spans="12:19" x14ac:dyDescent="0.2">
      <c r="L2422" t="s">
        <v>374</v>
      </c>
      <c r="M2422">
        <v>741</v>
      </c>
      <c r="N2422">
        <v>1</v>
      </c>
      <c r="O2422">
        <v>4</v>
      </c>
      <c r="P2422">
        <v>582</v>
      </c>
      <c r="Q2422">
        <v>344</v>
      </c>
      <c r="R2422">
        <v>214</v>
      </c>
      <c r="S2422">
        <v>396.43</v>
      </c>
    </row>
    <row r="2423" spans="12:19" x14ac:dyDescent="0.2">
      <c r="L2423" t="s">
        <v>374</v>
      </c>
      <c r="M2423">
        <v>742</v>
      </c>
      <c r="N2423">
        <v>1</v>
      </c>
      <c r="O2423">
        <v>4</v>
      </c>
      <c r="P2423">
        <v>582</v>
      </c>
      <c r="Q2423">
        <v>344</v>
      </c>
      <c r="R2423">
        <v>214</v>
      </c>
      <c r="S2423">
        <v>6616.04</v>
      </c>
    </row>
    <row r="2424" spans="12:19" x14ac:dyDescent="0.2">
      <c r="L2424" t="s">
        <v>374</v>
      </c>
      <c r="M2424">
        <v>745</v>
      </c>
      <c r="N2424">
        <v>1</v>
      </c>
      <c r="O2424">
        <v>4</v>
      </c>
      <c r="P2424">
        <v>582</v>
      </c>
      <c r="Q2424">
        <v>344</v>
      </c>
      <c r="R2424">
        <v>214</v>
      </c>
      <c r="S2424">
        <v>884.05</v>
      </c>
    </row>
    <row r="2425" spans="12:19" x14ac:dyDescent="0.2">
      <c r="L2425" t="s">
        <v>374</v>
      </c>
      <c r="M2425">
        <v>748</v>
      </c>
      <c r="N2425">
        <v>1</v>
      </c>
      <c r="O2425">
        <v>4</v>
      </c>
      <c r="P2425">
        <v>582</v>
      </c>
      <c r="Q2425">
        <v>344</v>
      </c>
      <c r="R2425">
        <v>214</v>
      </c>
      <c r="S2425">
        <v>2538.64</v>
      </c>
    </row>
    <row r="2426" spans="12:19" x14ac:dyDescent="0.2">
      <c r="L2426" t="s">
        <v>374</v>
      </c>
      <c r="M2426">
        <v>750</v>
      </c>
      <c r="N2426">
        <v>1</v>
      </c>
      <c r="O2426">
        <v>4</v>
      </c>
      <c r="P2426">
        <v>582</v>
      </c>
      <c r="Q2426">
        <v>344</v>
      </c>
      <c r="R2426">
        <v>214</v>
      </c>
      <c r="S2426">
        <v>594.57000000000005</v>
      </c>
    </row>
    <row r="2427" spans="12:19" x14ac:dyDescent="0.2">
      <c r="L2427" t="s">
        <v>374</v>
      </c>
      <c r="M2427">
        <v>756</v>
      </c>
      <c r="N2427">
        <v>1</v>
      </c>
      <c r="O2427">
        <v>4</v>
      </c>
      <c r="P2427">
        <v>582</v>
      </c>
      <c r="Q2427">
        <v>344</v>
      </c>
      <c r="R2427">
        <v>214</v>
      </c>
      <c r="S2427">
        <v>510.14</v>
      </c>
    </row>
    <row r="2428" spans="12:19" x14ac:dyDescent="0.2">
      <c r="L2428" t="s">
        <v>374</v>
      </c>
      <c r="M2428">
        <v>761</v>
      </c>
      <c r="N2428">
        <v>1</v>
      </c>
      <c r="O2428">
        <v>4</v>
      </c>
      <c r="P2428">
        <v>582</v>
      </c>
      <c r="Q2428">
        <v>344</v>
      </c>
      <c r="R2428">
        <v>214</v>
      </c>
      <c r="S2428">
        <v>1081.3699999999999</v>
      </c>
    </row>
    <row r="2429" spans="12:19" x14ac:dyDescent="0.2">
      <c r="L2429" t="s">
        <v>374</v>
      </c>
      <c r="M2429">
        <v>768</v>
      </c>
      <c r="N2429">
        <v>1</v>
      </c>
      <c r="O2429">
        <v>4</v>
      </c>
      <c r="P2429">
        <v>582</v>
      </c>
      <c r="Q2429">
        <v>344</v>
      </c>
      <c r="R2429">
        <v>214</v>
      </c>
      <c r="S2429">
        <v>20.36</v>
      </c>
    </row>
    <row r="2430" spans="12:19" x14ac:dyDescent="0.2">
      <c r="L2430" t="s">
        <v>374</v>
      </c>
      <c r="M2430">
        <v>769</v>
      </c>
      <c r="N2430">
        <v>1</v>
      </c>
      <c r="O2430">
        <v>4</v>
      </c>
      <c r="P2430">
        <v>582</v>
      </c>
      <c r="Q2430">
        <v>344</v>
      </c>
      <c r="R2430">
        <v>214</v>
      </c>
      <c r="S2430">
        <v>306.54000000000002</v>
      </c>
    </row>
    <row r="2431" spans="12:19" x14ac:dyDescent="0.2">
      <c r="L2431" t="s">
        <v>374</v>
      </c>
      <c r="M2431">
        <v>775</v>
      </c>
      <c r="N2431">
        <v>1</v>
      </c>
      <c r="O2431">
        <v>4</v>
      </c>
      <c r="P2431">
        <v>582</v>
      </c>
      <c r="Q2431">
        <v>344</v>
      </c>
      <c r="R2431">
        <v>214</v>
      </c>
      <c r="S2431">
        <v>219.67</v>
      </c>
    </row>
    <row r="2432" spans="12:19" x14ac:dyDescent="0.2">
      <c r="L2432" t="s">
        <v>374</v>
      </c>
      <c r="M2432">
        <v>777</v>
      </c>
      <c r="N2432">
        <v>1</v>
      </c>
      <c r="O2432">
        <v>4</v>
      </c>
      <c r="P2432">
        <v>582</v>
      </c>
      <c r="Q2432">
        <v>344</v>
      </c>
      <c r="R2432">
        <v>214</v>
      </c>
      <c r="S2432">
        <v>54.42</v>
      </c>
    </row>
    <row r="2433" spans="12:19" x14ac:dyDescent="0.2">
      <c r="L2433" t="s">
        <v>374</v>
      </c>
      <c r="M2433">
        <v>803</v>
      </c>
      <c r="N2433">
        <v>1</v>
      </c>
      <c r="O2433">
        <v>4</v>
      </c>
      <c r="P2433">
        <v>582</v>
      </c>
      <c r="Q2433">
        <v>344</v>
      </c>
      <c r="R2433">
        <v>214</v>
      </c>
      <c r="S2433">
        <v>328.4</v>
      </c>
    </row>
    <row r="2434" spans="12:19" x14ac:dyDescent="0.2">
      <c r="L2434" t="s">
        <v>374</v>
      </c>
      <c r="M2434">
        <v>811</v>
      </c>
      <c r="N2434">
        <v>1</v>
      </c>
      <c r="O2434">
        <v>4</v>
      </c>
      <c r="P2434">
        <v>582</v>
      </c>
      <c r="Q2434">
        <v>344</v>
      </c>
      <c r="R2434">
        <v>214</v>
      </c>
      <c r="S2434">
        <v>551.91</v>
      </c>
    </row>
    <row r="2435" spans="12:19" x14ac:dyDescent="0.2">
      <c r="L2435" t="s">
        <v>374</v>
      </c>
      <c r="M2435">
        <v>813</v>
      </c>
      <c r="N2435">
        <v>1</v>
      </c>
      <c r="O2435">
        <v>4</v>
      </c>
      <c r="P2435">
        <v>582</v>
      </c>
      <c r="Q2435">
        <v>344</v>
      </c>
      <c r="R2435">
        <v>214</v>
      </c>
      <c r="S2435">
        <v>573.27</v>
      </c>
    </row>
    <row r="2436" spans="12:19" x14ac:dyDescent="0.2">
      <c r="L2436" t="s">
        <v>374</v>
      </c>
      <c r="M2436">
        <v>820</v>
      </c>
      <c r="N2436">
        <v>1</v>
      </c>
      <c r="O2436">
        <v>4</v>
      </c>
      <c r="P2436">
        <v>582</v>
      </c>
      <c r="Q2436">
        <v>344</v>
      </c>
      <c r="R2436">
        <v>214</v>
      </c>
      <c r="S2436">
        <v>493.33</v>
      </c>
    </row>
    <row r="2437" spans="12:19" x14ac:dyDescent="0.2">
      <c r="L2437" t="s">
        <v>374</v>
      </c>
      <c r="M2437">
        <v>821</v>
      </c>
      <c r="N2437">
        <v>1</v>
      </c>
      <c r="O2437">
        <v>4</v>
      </c>
      <c r="P2437">
        <v>582</v>
      </c>
      <c r="Q2437">
        <v>344</v>
      </c>
      <c r="R2437">
        <v>214</v>
      </c>
      <c r="S2437">
        <v>77.95</v>
      </c>
    </row>
    <row r="2438" spans="12:19" x14ac:dyDescent="0.2">
      <c r="L2438" t="s">
        <v>374</v>
      </c>
      <c r="M2438">
        <v>829</v>
      </c>
      <c r="N2438">
        <v>1</v>
      </c>
      <c r="O2438">
        <v>4</v>
      </c>
      <c r="P2438">
        <v>582</v>
      </c>
      <c r="Q2438">
        <v>344</v>
      </c>
      <c r="R2438">
        <v>214</v>
      </c>
      <c r="S2438">
        <v>605.15</v>
      </c>
    </row>
    <row r="2439" spans="12:19" x14ac:dyDescent="0.2">
      <c r="L2439" t="s">
        <v>374</v>
      </c>
      <c r="M2439">
        <v>831</v>
      </c>
      <c r="N2439">
        <v>1</v>
      </c>
      <c r="O2439">
        <v>4</v>
      </c>
      <c r="P2439">
        <v>582</v>
      </c>
      <c r="Q2439">
        <v>344</v>
      </c>
      <c r="R2439">
        <v>214</v>
      </c>
      <c r="S2439">
        <v>1302.5999999999999</v>
      </c>
    </row>
    <row r="2440" spans="12:19" x14ac:dyDescent="0.2">
      <c r="L2440" t="s">
        <v>374</v>
      </c>
      <c r="M2440">
        <v>833</v>
      </c>
      <c r="N2440">
        <v>1</v>
      </c>
      <c r="O2440">
        <v>4</v>
      </c>
      <c r="P2440">
        <v>582</v>
      </c>
      <c r="Q2440">
        <v>344</v>
      </c>
      <c r="R2440">
        <v>214</v>
      </c>
      <c r="S2440">
        <v>4620.54</v>
      </c>
    </row>
    <row r="2441" spans="12:19" x14ac:dyDescent="0.2">
      <c r="L2441" t="s">
        <v>374</v>
      </c>
      <c r="M2441">
        <v>834</v>
      </c>
      <c r="N2441">
        <v>1</v>
      </c>
      <c r="O2441">
        <v>4</v>
      </c>
      <c r="P2441">
        <v>582</v>
      </c>
      <c r="Q2441">
        <v>344</v>
      </c>
      <c r="R2441">
        <v>214</v>
      </c>
      <c r="S2441">
        <v>1405.59</v>
      </c>
    </row>
    <row r="2442" spans="12:19" x14ac:dyDescent="0.2">
      <c r="L2442" t="s">
        <v>374</v>
      </c>
      <c r="M2442">
        <v>836</v>
      </c>
      <c r="N2442">
        <v>1</v>
      </c>
      <c r="O2442">
        <v>4</v>
      </c>
      <c r="P2442">
        <v>582</v>
      </c>
      <c r="Q2442">
        <v>344</v>
      </c>
      <c r="R2442">
        <v>214</v>
      </c>
      <c r="S2442">
        <v>252.5</v>
      </c>
    </row>
    <row r="2443" spans="12:19" x14ac:dyDescent="0.2">
      <c r="L2443" t="s">
        <v>374</v>
      </c>
      <c r="M2443">
        <v>837</v>
      </c>
      <c r="N2443">
        <v>1</v>
      </c>
      <c r="O2443">
        <v>4</v>
      </c>
      <c r="P2443">
        <v>582</v>
      </c>
      <c r="Q2443">
        <v>344</v>
      </c>
      <c r="R2443">
        <v>214</v>
      </c>
      <c r="S2443">
        <v>1.95</v>
      </c>
    </row>
    <row r="2444" spans="12:19" x14ac:dyDescent="0.2">
      <c r="L2444" t="s">
        <v>374</v>
      </c>
      <c r="M2444">
        <v>846</v>
      </c>
      <c r="N2444">
        <v>1</v>
      </c>
      <c r="O2444">
        <v>4</v>
      </c>
      <c r="P2444">
        <v>582</v>
      </c>
      <c r="Q2444">
        <v>344</v>
      </c>
      <c r="R2444">
        <v>214</v>
      </c>
      <c r="S2444">
        <v>755.83</v>
      </c>
    </row>
    <row r="2445" spans="12:19" x14ac:dyDescent="0.2">
      <c r="L2445" t="s">
        <v>374</v>
      </c>
      <c r="M2445">
        <v>857</v>
      </c>
      <c r="N2445">
        <v>1</v>
      </c>
      <c r="O2445">
        <v>4</v>
      </c>
      <c r="P2445">
        <v>582</v>
      </c>
      <c r="Q2445">
        <v>344</v>
      </c>
      <c r="R2445">
        <v>214</v>
      </c>
      <c r="S2445">
        <v>244.09</v>
      </c>
    </row>
    <row r="2446" spans="12:19" x14ac:dyDescent="0.2">
      <c r="L2446" t="s">
        <v>374</v>
      </c>
      <c r="M2446">
        <v>861</v>
      </c>
      <c r="N2446">
        <v>1</v>
      </c>
      <c r="O2446">
        <v>4</v>
      </c>
      <c r="P2446">
        <v>582</v>
      </c>
      <c r="Q2446">
        <v>344</v>
      </c>
      <c r="R2446">
        <v>214</v>
      </c>
      <c r="S2446">
        <v>1254.67</v>
      </c>
    </row>
    <row r="2447" spans="12:19" x14ac:dyDescent="0.2">
      <c r="L2447" t="s">
        <v>374</v>
      </c>
      <c r="M2447">
        <v>876</v>
      </c>
      <c r="N2447">
        <v>1</v>
      </c>
      <c r="O2447">
        <v>4</v>
      </c>
      <c r="P2447">
        <v>582</v>
      </c>
      <c r="Q2447">
        <v>344</v>
      </c>
      <c r="R2447">
        <v>214</v>
      </c>
      <c r="S2447">
        <v>2045.6</v>
      </c>
    </row>
    <row r="2448" spans="12:19" x14ac:dyDescent="0.2">
      <c r="L2448" t="s">
        <v>374</v>
      </c>
      <c r="M2448">
        <v>877</v>
      </c>
      <c r="N2448">
        <v>1</v>
      </c>
      <c r="O2448">
        <v>4</v>
      </c>
      <c r="P2448">
        <v>582</v>
      </c>
      <c r="Q2448">
        <v>344</v>
      </c>
      <c r="R2448">
        <v>214</v>
      </c>
      <c r="S2448">
        <v>2845.77</v>
      </c>
    </row>
    <row r="2449" spans="12:19" x14ac:dyDescent="0.2">
      <c r="L2449" t="s">
        <v>374</v>
      </c>
      <c r="M2449">
        <v>879</v>
      </c>
      <c r="N2449">
        <v>1</v>
      </c>
      <c r="O2449">
        <v>4</v>
      </c>
      <c r="P2449">
        <v>582</v>
      </c>
      <c r="Q2449">
        <v>344</v>
      </c>
      <c r="R2449">
        <v>214</v>
      </c>
      <c r="S2449">
        <v>10.56</v>
      </c>
    </row>
    <row r="2450" spans="12:19" x14ac:dyDescent="0.2">
      <c r="L2450" t="s">
        <v>374</v>
      </c>
      <c r="M2450">
        <v>882</v>
      </c>
      <c r="N2450">
        <v>1</v>
      </c>
      <c r="O2450">
        <v>4</v>
      </c>
      <c r="P2450">
        <v>582</v>
      </c>
      <c r="Q2450">
        <v>344</v>
      </c>
      <c r="R2450">
        <v>214</v>
      </c>
      <c r="S2450">
        <v>1091.1300000000001</v>
      </c>
    </row>
    <row r="2451" spans="12:19" x14ac:dyDescent="0.2">
      <c r="L2451" t="s">
        <v>374</v>
      </c>
      <c r="M2451">
        <v>883</v>
      </c>
      <c r="N2451">
        <v>1</v>
      </c>
      <c r="O2451">
        <v>4</v>
      </c>
      <c r="P2451">
        <v>582</v>
      </c>
      <c r="Q2451">
        <v>344</v>
      </c>
      <c r="R2451">
        <v>214</v>
      </c>
      <c r="S2451">
        <v>2401.0700000000002</v>
      </c>
    </row>
    <row r="2452" spans="12:19" x14ac:dyDescent="0.2">
      <c r="L2452" t="s">
        <v>374</v>
      </c>
      <c r="M2452">
        <v>885</v>
      </c>
      <c r="N2452">
        <v>1</v>
      </c>
      <c r="O2452">
        <v>4</v>
      </c>
      <c r="P2452">
        <v>582</v>
      </c>
      <c r="Q2452">
        <v>344</v>
      </c>
      <c r="R2452">
        <v>214</v>
      </c>
      <c r="S2452">
        <v>4562.83</v>
      </c>
    </row>
    <row r="2453" spans="12:19" x14ac:dyDescent="0.2">
      <c r="L2453" t="s">
        <v>374</v>
      </c>
      <c r="M2453">
        <v>911</v>
      </c>
      <c r="N2453">
        <v>1</v>
      </c>
      <c r="O2453">
        <v>4</v>
      </c>
      <c r="P2453">
        <v>582</v>
      </c>
      <c r="Q2453">
        <v>344</v>
      </c>
      <c r="R2453">
        <v>214</v>
      </c>
      <c r="S2453">
        <v>268.12</v>
      </c>
    </row>
    <row r="2454" spans="12:19" x14ac:dyDescent="0.2">
      <c r="L2454" t="s">
        <v>374</v>
      </c>
      <c r="M2454">
        <v>912</v>
      </c>
      <c r="N2454">
        <v>1</v>
      </c>
      <c r="O2454">
        <v>4</v>
      </c>
      <c r="P2454">
        <v>582</v>
      </c>
      <c r="Q2454">
        <v>344</v>
      </c>
      <c r="R2454">
        <v>214</v>
      </c>
      <c r="S2454">
        <v>462.61</v>
      </c>
    </row>
    <row r="2455" spans="12:19" x14ac:dyDescent="0.2">
      <c r="L2455" t="s">
        <v>374</v>
      </c>
      <c r="M2455">
        <v>914</v>
      </c>
      <c r="N2455">
        <v>1</v>
      </c>
      <c r="O2455">
        <v>4</v>
      </c>
      <c r="P2455">
        <v>582</v>
      </c>
      <c r="Q2455">
        <v>344</v>
      </c>
      <c r="R2455">
        <v>214</v>
      </c>
      <c r="S2455">
        <v>35.08</v>
      </c>
    </row>
    <row r="2456" spans="12:19" x14ac:dyDescent="0.2">
      <c r="L2456" t="s">
        <v>374</v>
      </c>
      <c r="M2456">
        <v>2071</v>
      </c>
      <c r="N2456">
        <v>1</v>
      </c>
      <c r="O2456">
        <v>4</v>
      </c>
      <c r="P2456">
        <v>582</v>
      </c>
      <c r="Q2456">
        <v>344</v>
      </c>
      <c r="R2456">
        <v>214</v>
      </c>
      <c r="S2456">
        <v>1921.33</v>
      </c>
    </row>
    <row r="2457" spans="12:19" x14ac:dyDescent="0.2">
      <c r="L2457" t="s">
        <v>374</v>
      </c>
      <c r="M2457">
        <v>2125</v>
      </c>
      <c r="N2457">
        <v>1</v>
      </c>
      <c r="O2457">
        <v>4</v>
      </c>
      <c r="P2457">
        <v>582</v>
      </c>
      <c r="Q2457">
        <v>344</v>
      </c>
      <c r="R2457">
        <v>214</v>
      </c>
      <c r="S2457">
        <v>1369.86</v>
      </c>
    </row>
    <row r="2458" spans="12:19" x14ac:dyDescent="0.2">
      <c r="L2458" t="s">
        <v>374</v>
      </c>
      <c r="M2458">
        <v>2135</v>
      </c>
      <c r="N2458">
        <v>1</v>
      </c>
      <c r="O2458">
        <v>4</v>
      </c>
      <c r="P2458">
        <v>582</v>
      </c>
      <c r="Q2458">
        <v>344</v>
      </c>
      <c r="R2458">
        <v>214</v>
      </c>
      <c r="S2458">
        <v>671.15</v>
      </c>
    </row>
    <row r="2459" spans="12:19" x14ac:dyDescent="0.2">
      <c r="L2459" t="s">
        <v>374</v>
      </c>
      <c r="M2459">
        <v>2137</v>
      </c>
      <c r="N2459">
        <v>1</v>
      </c>
      <c r="O2459">
        <v>4</v>
      </c>
      <c r="P2459">
        <v>582</v>
      </c>
      <c r="Q2459">
        <v>344</v>
      </c>
      <c r="R2459">
        <v>214</v>
      </c>
      <c r="S2459">
        <v>440.53</v>
      </c>
    </row>
    <row r="2460" spans="12:19" x14ac:dyDescent="0.2">
      <c r="L2460" t="s">
        <v>374</v>
      </c>
      <c r="M2460">
        <v>2142</v>
      </c>
      <c r="N2460">
        <v>1</v>
      </c>
      <c r="O2460">
        <v>4</v>
      </c>
      <c r="P2460">
        <v>582</v>
      </c>
      <c r="Q2460">
        <v>344</v>
      </c>
      <c r="R2460">
        <v>214</v>
      </c>
      <c r="S2460">
        <v>399.67</v>
      </c>
    </row>
    <row r="2461" spans="12:19" x14ac:dyDescent="0.2">
      <c r="L2461" t="s">
        <v>374</v>
      </c>
      <c r="M2461">
        <v>2143</v>
      </c>
      <c r="N2461">
        <v>1</v>
      </c>
      <c r="O2461">
        <v>4</v>
      </c>
      <c r="P2461">
        <v>582</v>
      </c>
      <c r="Q2461">
        <v>344</v>
      </c>
      <c r="R2461">
        <v>214</v>
      </c>
      <c r="S2461">
        <v>365.9</v>
      </c>
    </row>
    <row r="2462" spans="12:19" x14ac:dyDescent="0.2">
      <c r="L2462" t="s">
        <v>374</v>
      </c>
      <c r="M2462">
        <v>2144</v>
      </c>
      <c r="N2462">
        <v>1</v>
      </c>
      <c r="O2462">
        <v>4</v>
      </c>
      <c r="P2462">
        <v>582</v>
      </c>
      <c r="Q2462">
        <v>344</v>
      </c>
      <c r="R2462">
        <v>214</v>
      </c>
      <c r="S2462">
        <v>663.46</v>
      </c>
    </row>
    <row r="2463" spans="12:19" x14ac:dyDescent="0.2">
      <c r="L2463" t="s">
        <v>374</v>
      </c>
      <c r="M2463">
        <v>2154</v>
      </c>
      <c r="N2463">
        <v>1</v>
      </c>
      <c r="O2463">
        <v>4</v>
      </c>
      <c r="P2463">
        <v>582</v>
      </c>
      <c r="Q2463">
        <v>344</v>
      </c>
      <c r="R2463">
        <v>214</v>
      </c>
      <c r="S2463">
        <v>313.92</v>
      </c>
    </row>
    <row r="2464" spans="12:19" x14ac:dyDescent="0.2">
      <c r="L2464" t="s">
        <v>374</v>
      </c>
      <c r="M2464">
        <v>2155</v>
      </c>
      <c r="N2464">
        <v>1</v>
      </c>
      <c r="O2464">
        <v>4</v>
      </c>
      <c r="P2464">
        <v>582</v>
      </c>
      <c r="Q2464">
        <v>344</v>
      </c>
      <c r="R2464">
        <v>214</v>
      </c>
      <c r="S2464">
        <v>900.6</v>
      </c>
    </row>
    <row r="2465" spans="12:19" x14ac:dyDescent="0.2">
      <c r="L2465" t="s">
        <v>374</v>
      </c>
      <c r="M2465">
        <v>2159</v>
      </c>
      <c r="N2465">
        <v>1</v>
      </c>
      <c r="O2465">
        <v>4</v>
      </c>
      <c r="P2465">
        <v>582</v>
      </c>
      <c r="Q2465">
        <v>344</v>
      </c>
      <c r="R2465">
        <v>214</v>
      </c>
      <c r="S2465">
        <v>67.040000000000006</v>
      </c>
    </row>
    <row r="2466" spans="12:19" x14ac:dyDescent="0.2">
      <c r="L2466" t="s">
        <v>374</v>
      </c>
      <c r="M2466">
        <v>2164</v>
      </c>
      <c r="N2466">
        <v>1</v>
      </c>
      <c r="O2466">
        <v>4</v>
      </c>
      <c r="P2466">
        <v>582</v>
      </c>
      <c r="Q2466">
        <v>344</v>
      </c>
      <c r="R2466">
        <v>214</v>
      </c>
      <c r="S2466">
        <v>1215.75</v>
      </c>
    </row>
    <row r="2467" spans="12:19" x14ac:dyDescent="0.2">
      <c r="L2467" t="s">
        <v>374</v>
      </c>
      <c r="M2467">
        <v>2165</v>
      </c>
      <c r="N2467">
        <v>1</v>
      </c>
      <c r="O2467">
        <v>4</v>
      </c>
      <c r="P2467">
        <v>582</v>
      </c>
      <c r="Q2467">
        <v>344</v>
      </c>
      <c r="R2467">
        <v>214</v>
      </c>
      <c r="S2467">
        <v>291.25</v>
      </c>
    </row>
    <row r="2468" spans="12:19" x14ac:dyDescent="0.2">
      <c r="L2468" t="s">
        <v>374</v>
      </c>
      <c r="M2468">
        <v>2167</v>
      </c>
      <c r="N2468">
        <v>1</v>
      </c>
      <c r="O2468">
        <v>4</v>
      </c>
      <c r="P2468">
        <v>582</v>
      </c>
      <c r="Q2468">
        <v>344</v>
      </c>
      <c r="R2468">
        <v>214</v>
      </c>
      <c r="S2468">
        <v>240.07</v>
      </c>
    </row>
    <row r="2469" spans="12:19" x14ac:dyDescent="0.2">
      <c r="L2469" t="s">
        <v>374</v>
      </c>
      <c r="M2469">
        <v>2168</v>
      </c>
      <c r="N2469">
        <v>1</v>
      </c>
      <c r="O2469">
        <v>4</v>
      </c>
      <c r="P2469">
        <v>582</v>
      </c>
      <c r="Q2469">
        <v>344</v>
      </c>
      <c r="R2469">
        <v>214</v>
      </c>
      <c r="S2469">
        <v>212.29</v>
      </c>
    </row>
    <row r="2470" spans="12:19" x14ac:dyDescent="0.2">
      <c r="L2470" t="s">
        <v>374</v>
      </c>
      <c r="M2470">
        <v>2169</v>
      </c>
      <c r="N2470">
        <v>1</v>
      </c>
      <c r="O2470">
        <v>4</v>
      </c>
      <c r="P2470">
        <v>582</v>
      </c>
      <c r="Q2470">
        <v>344</v>
      </c>
      <c r="R2470">
        <v>214</v>
      </c>
      <c r="S2470">
        <v>930.53</v>
      </c>
    </row>
    <row r="2471" spans="12:19" x14ac:dyDescent="0.2">
      <c r="L2471" t="s">
        <v>374</v>
      </c>
      <c r="M2471">
        <v>2171</v>
      </c>
      <c r="N2471">
        <v>1</v>
      </c>
      <c r="O2471">
        <v>4</v>
      </c>
      <c r="P2471">
        <v>582</v>
      </c>
      <c r="Q2471">
        <v>344</v>
      </c>
      <c r="R2471">
        <v>214</v>
      </c>
      <c r="S2471">
        <v>0.87</v>
      </c>
    </row>
    <row r="2472" spans="12:19" x14ac:dyDescent="0.2">
      <c r="L2472" t="s">
        <v>374</v>
      </c>
      <c r="M2472">
        <v>2174</v>
      </c>
      <c r="N2472">
        <v>1</v>
      </c>
      <c r="O2472">
        <v>4</v>
      </c>
      <c r="P2472">
        <v>582</v>
      </c>
      <c r="Q2472">
        <v>344</v>
      </c>
      <c r="R2472">
        <v>214</v>
      </c>
      <c r="S2472">
        <v>287.82</v>
      </c>
    </row>
    <row r="2473" spans="12:19" x14ac:dyDescent="0.2">
      <c r="L2473" t="s">
        <v>374</v>
      </c>
      <c r="M2473">
        <v>2184</v>
      </c>
      <c r="N2473">
        <v>1</v>
      </c>
      <c r="O2473">
        <v>4</v>
      </c>
      <c r="P2473">
        <v>582</v>
      </c>
      <c r="Q2473">
        <v>344</v>
      </c>
      <c r="R2473">
        <v>214</v>
      </c>
      <c r="S2473">
        <v>171.27</v>
      </c>
    </row>
    <row r="2474" spans="12:19" x14ac:dyDescent="0.2">
      <c r="L2474" t="s">
        <v>374</v>
      </c>
      <c r="M2474">
        <v>2190</v>
      </c>
      <c r="N2474">
        <v>1</v>
      </c>
      <c r="O2474">
        <v>4</v>
      </c>
      <c r="P2474">
        <v>582</v>
      </c>
      <c r="Q2474">
        <v>344</v>
      </c>
      <c r="R2474">
        <v>214</v>
      </c>
      <c r="S2474">
        <v>323.52999999999997</v>
      </c>
    </row>
    <row r="2475" spans="12:19" x14ac:dyDescent="0.2">
      <c r="L2475" t="s">
        <v>374</v>
      </c>
      <c r="M2475">
        <v>2198</v>
      </c>
      <c r="N2475">
        <v>1</v>
      </c>
      <c r="O2475">
        <v>4</v>
      </c>
      <c r="P2475">
        <v>582</v>
      </c>
      <c r="Q2475">
        <v>344</v>
      </c>
      <c r="R2475">
        <v>214</v>
      </c>
      <c r="S2475">
        <v>892.29</v>
      </c>
    </row>
    <row r="2476" spans="12:19" x14ac:dyDescent="0.2">
      <c r="L2476" t="s">
        <v>374</v>
      </c>
      <c r="M2476">
        <v>2215</v>
      </c>
      <c r="N2476">
        <v>1</v>
      </c>
      <c r="O2476">
        <v>4</v>
      </c>
      <c r="P2476">
        <v>582</v>
      </c>
      <c r="Q2476">
        <v>344</v>
      </c>
      <c r="R2476">
        <v>214</v>
      </c>
      <c r="S2476">
        <v>29.64</v>
      </c>
    </row>
    <row r="2477" spans="12:19" x14ac:dyDescent="0.2">
      <c r="L2477" t="s">
        <v>374</v>
      </c>
      <c r="M2477">
        <v>2310</v>
      </c>
      <c r="N2477">
        <v>1</v>
      </c>
      <c r="O2477">
        <v>4</v>
      </c>
      <c r="P2477">
        <v>582</v>
      </c>
      <c r="Q2477">
        <v>344</v>
      </c>
      <c r="R2477">
        <v>214</v>
      </c>
      <c r="S2477">
        <v>834.92</v>
      </c>
    </row>
    <row r="2478" spans="12:19" x14ac:dyDescent="0.2">
      <c r="L2478" t="s">
        <v>374</v>
      </c>
      <c r="M2478">
        <v>2358</v>
      </c>
      <c r="N2478">
        <v>1</v>
      </c>
      <c r="O2478">
        <v>4</v>
      </c>
      <c r="P2478">
        <v>582</v>
      </c>
      <c r="Q2478">
        <v>344</v>
      </c>
      <c r="R2478">
        <v>214</v>
      </c>
      <c r="S2478">
        <v>332.35</v>
      </c>
    </row>
    <row r="2479" spans="12:19" x14ac:dyDescent="0.2">
      <c r="L2479" t="s">
        <v>374</v>
      </c>
      <c r="M2479">
        <v>2365</v>
      </c>
      <c r="N2479">
        <v>1</v>
      </c>
      <c r="O2479">
        <v>4</v>
      </c>
      <c r="P2479">
        <v>582</v>
      </c>
      <c r="Q2479">
        <v>344</v>
      </c>
      <c r="R2479">
        <v>214</v>
      </c>
      <c r="S2479">
        <v>392.4</v>
      </c>
    </row>
    <row r="2480" spans="12:19" x14ac:dyDescent="0.2">
      <c r="L2480" t="s">
        <v>374</v>
      </c>
      <c r="M2480">
        <v>2396</v>
      </c>
      <c r="N2480">
        <v>1</v>
      </c>
      <c r="O2480">
        <v>4</v>
      </c>
      <c r="P2480">
        <v>582</v>
      </c>
      <c r="Q2480">
        <v>344</v>
      </c>
      <c r="R2480">
        <v>214</v>
      </c>
      <c r="S2480">
        <v>1027.96</v>
      </c>
    </row>
    <row r="2481" spans="12:19" x14ac:dyDescent="0.2">
      <c r="L2481" t="s">
        <v>374</v>
      </c>
      <c r="M2481">
        <v>2397</v>
      </c>
      <c r="N2481">
        <v>1</v>
      </c>
      <c r="O2481">
        <v>4</v>
      </c>
      <c r="P2481">
        <v>582</v>
      </c>
      <c r="Q2481">
        <v>344</v>
      </c>
      <c r="R2481">
        <v>214</v>
      </c>
      <c r="S2481">
        <v>693.46</v>
      </c>
    </row>
    <row r="2482" spans="12:19" x14ac:dyDescent="0.2">
      <c r="L2482" t="s">
        <v>374</v>
      </c>
      <c r="M2482">
        <v>2448</v>
      </c>
      <c r="N2482">
        <v>1</v>
      </c>
      <c r="O2482">
        <v>4</v>
      </c>
      <c r="P2482">
        <v>582</v>
      </c>
      <c r="Q2482">
        <v>344</v>
      </c>
      <c r="R2482">
        <v>214</v>
      </c>
      <c r="S2482">
        <v>3276.91</v>
      </c>
    </row>
    <row r="2483" spans="12:19" x14ac:dyDescent="0.2">
      <c r="L2483" t="s">
        <v>374</v>
      </c>
      <c r="M2483">
        <v>2534</v>
      </c>
      <c r="N2483">
        <v>1</v>
      </c>
      <c r="O2483">
        <v>4</v>
      </c>
      <c r="P2483">
        <v>582</v>
      </c>
      <c r="Q2483">
        <v>344</v>
      </c>
      <c r="R2483">
        <v>214</v>
      </c>
      <c r="S2483">
        <v>547.07000000000005</v>
      </c>
    </row>
    <row r="2484" spans="12:19" x14ac:dyDescent="0.2">
      <c r="L2484" t="s">
        <v>374</v>
      </c>
      <c r="M2484">
        <v>2536</v>
      </c>
      <c r="N2484">
        <v>1</v>
      </c>
      <c r="O2484">
        <v>4</v>
      </c>
      <c r="P2484">
        <v>582</v>
      </c>
      <c r="Q2484">
        <v>344</v>
      </c>
      <c r="R2484">
        <v>214</v>
      </c>
      <c r="S2484">
        <v>168.33</v>
      </c>
    </row>
    <row r="2485" spans="12:19" x14ac:dyDescent="0.2">
      <c r="L2485" t="s">
        <v>374</v>
      </c>
      <c r="M2485">
        <v>2580</v>
      </c>
      <c r="N2485">
        <v>1</v>
      </c>
      <c r="O2485">
        <v>4</v>
      </c>
      <c r="P2485">
        <v>582</v>
      </c>
      <c r="Q2485">
        <v>344</v>
      </c>
      <c r="R2485">
        <v>214</v>
      </c>
      <c r="S2485">
        <v>273.48</v>
      </c>
    </row>
    <row r="2486" spans="12:19" x14ac:dyDescent="0.2">
      <c r="L2486" t="s">
        <v>374</v>
      </c>
      <c r="M2486">
        <v>2609</v>
      </c>
      <c r="N2486">
        <v>1</v>
      </c>
      <c r="O2486">
        <v>4</v>
      </c>
      <c r="P2486">
        <v>582</v>
      </c>
      <c r="Q2486">
        <v>344</v>
      </c>
      <c r="R2486">
        <v>214</v>
      </c>
      <c r="S2486">
        <v>275.91000000000003</v>
      </c>
    </row>
    <row r="2487" spans="12:19" x14ac:dyDescent="0.2">
      <c r="L2487" t="s">
        <v>374</v>
      </c>
      <c r="M2487">
        <v>2683</v>
      </c>
      <c r="N2487">
        <v>1</v>
      </c>
      <c r="O2487">
        <v>4</v>
      </c>
      <c r="P2487">
        <v>582</v>
      </c>
      <c r="Q2487">
        <v>344</v>
      </c>
      <c r="R2487">
        <v>214</v>
      </c>
      <c r="S2487">
        <v>1368.05</v>
      </c>
    </row>
    <row r="2488" spans="12:19" x14ac:dyDescent="0.2">
      <c r="L2488" t="s">
        <v>374</v>
      </c>
      <c r="M2488">
        <v>2687</v>
      </c>
      <c r="N2488">
        <v>1</v>
      </c>
      <c r="O2488">
        <v>4</v>
      </c>
      <c r="P2488">
        <v>582</v>
      </c>
      <c r="Q2488">
        <v>344</v>
      </c>
      <c r="R2488">
        <v>214</v>
      </c>
      <c r="S2488">
        <v>268.67</v>
      </c>
    </row>
    <row r="2489" spans="12:19" x14ac:dyDescent="0.2">
      <c r="L2489" t="s">
        <v>374</v>
      </c>
      <c r="M2489">
        <v>2689</v>
      </c>
      <c r="N2489">
        <v>1</v>
      </c>
      <c r="O2489">
        <v>4</v>
      </c>
      <c r="P2489">
        <v>582</v>
      </c>
      <c r="Q2489">
        <v>344</v>
      </c>
      <c r="R2489">
        <v>214</v>
      </c>
      <c r="S2489">
        <v>287.08</v>
      </c>
    </row>
    <row r="2490" spans="12:19" x14ac:dyDescent="0.2">
      <c r="L2490" t="s">
        <v>374</v>
      </c>
      <c r="M2490">
        <v>2711</v>
      </c>
      <c r="N2490">
        <v>1</v>
      </c>
      <c r="O2490">
        <v>4</v>
      </c>
      <c r="P2490">
        <v>582</v>
      </c>
      <c r="Q2490">
        <v>344</v>
      </c>
      <c r="R2490">
        <v>214</v>
      </c>
      <c r="S2490">
        <v>463.66</v>
      </c>
    </row>
    <row r="2491" spans="12:19" x14ac:dyDescent="0.2">
      <c r="L2491" t="s">
        <v>374</v>
      </c>
      <c r="M2491">
        <v>2752</v>
      </c>
      <c r="N2491">
        <v>1</v>
      </c>
      <c r="O2491">
        <v>4</v>
      </c>
      <c r="P2491">
        <v>582</v>
      </c>
      <c r="Q2491">
        <v>344</v>
      </c>
      <c r="R2491">
        <v>214</v>
      </c>
      <c r="S2491">
        <v>1190.31</v>
      </c>
    </row>
    <row r="2492" spans="12:19" x14ac:dyDescent="0.2">
      <c r="L2492" t="s">
        <v>374</v>
      </c>
      <c r="M2492">
        <v>2754</v>
      </c>
      <c r="N2492">
        <v>1</v>
      </c>
      <c r="O2492">
        <v>4</v>
      </c>
      <c r="P2492">
        <v>582</v>
      </c>
      <c r="Q2492">
        <v>344</v>
      </c>
      <c r="R2492">
        <v>214</v>
      </c>
      <c r="S2492">
        <v>627.45000000000005</v>
      </c>
    </row>
    <row r="2493" spans="12:19" x14ac:dyDescent="0.2">
      <c r="L2493" t="s">
        <v>374</v>
      </c>
      <c r="M2493">
        <v>2805</v>
      </c>
      <c r="N2493">
        <v>1</v>
      </c>
      <c r="O2493">
        <v>4</v>
      </c>
      <c r="P2493">
        <v>582</v>
      </c>
      <c r="Q2493">
        <v>344</v>
      </c>
      <c r="R2493">
        <v>214</v>
      </c>
      <c r="S2493">
        <v>324.83999999999997</v>
      </c>
    </row>
    <row r="2494" spans="12:19" x14ac:dyDescent="0.2">
      <c r="L2494" t="s">
        <v>374</v>
      </c>
      <c r="M2494">
        <v>2853</v>
      </c>
      <c r="N2494">
        <v>1</v>
      </c>
      <c r="O2494">
        <v>4</v>
      </c>
      <c r="P2494">
        <v>582</v>
      </c>
      <c r="Q2494">
        <v>344</v>
      </c>
      <c r="R2494">
        <v>214</v>
      </c>
      <c r="S2494">
        <v>1772.87</v>
      </c>
    </row>
    <row r="2495" spans="12:19" x14ac:dyDescent="0.2">
      <c r="L2495" t="s">
        <v>374</v>
      </c>
      <c r="M2495">
        <v>2854</v>
      </c>
      <c r="N2495">
        <v>1</v>
      </c>
      <c r="O2495">
        <v>4</v>
      </c>
      <c r="P2495">
        <v>582</v>
      </c>
      <c r="Q2495">
        <v>344</v>
      </c>
      <c r="R2495">
        <v>214</v>
      </c>
      <c r="S2495">
        <v>508.56</v>
      </c>
    </row>
    <row r="2496" spans="12:19" x14ac:dyDescent="0.2">
      <c r="L2496" t="s">
        <v>374</v>
      </c>
      <c r="M2496">
        <v>2859</v>
      </c>
      <c r="N2496">
        <v>1</v>
      </c>
      <c r="O2496">
        <v>4</v>
      </c>
      <c r="P2496">
        <v>582</v>
      </c>
      <c r="Q2496">
        <v>344</v>
      </c>
      <c r="R2496">
        <v>214</v>
      </c>
      <c r="S2496">
        <v>524.13</v>
      </c>
    </row>
    <row r="2497" spans="12:19" x14ac:dyDescent="0.2">
      <c r="L2497" t="s">
        <v>374</v>
      </c>
      <c r="M2497">
        <v>2860</v>
      </c>
      <c r="N2497">
        <v>1</v>
      </c>
      <c r="O2497">
        <v>4</v>
      </c>
      <c r="P2497">
        <v>582</v>
      </c>
      <c r="Q2497">
        <v>344</v>
      </c>
      <c r="R2497">
        <v>214</v>
      </c>
      <c r="S2497">
        <v>24.43</v>
      </c>
    </row>
    <row r="2498" spans="12:19" x14ac:dyDescent="0.2">
      <c r="L2498" t="s">
        <v>374</v>
      </c>
      <c r="M2498">
        <v>2884</v>
      </c>
      <c r="N2498">
        <v>1</v>
      </c>
      <c r="O2498">
        <v>4</v>
      </c>
      <c r="P2498">
        <v>582</v>
      </c>
      <c r="Q2498">
        <v>344</v>
      </c>
      <c r="R2498">
        <v>214</v>
      </c>
      <c r="S2498">
        <v>1483.07</v>
      </c>
    </row>
    <row r="2499" spans="12:19" x14ac:dyDescent="0.2">
      <c r="L2499" t="s">
        <v>374</v>
      </c>
      <c r="M2499">
        <v>2888</v>
      </c>
      <c r="N2499">
        <v>1</v>
      </c>
      <c r="O2499">
        <v>4</v>
      </c>
      <c r="P2499">
        <v>582</v>
      </c>
      <c r="Q2499">
        <v>344</v>
      </c>
      <c r="R2499">
        <v>214</v>
      </c>
      <c r="S2499">
        <v>587.91999999999996</v>
      </c>
    </row>
    <row r="2500" spans="12:19" x14ac:dyDescent="0.2">
      <c r="L2500" t="s">
        <v>374</v>
      </c>
      <c r="M2500">
        <v>2889</v>
      </c>
      <c r="N2500">
        <v>1</v>
      </c>
      <c r="O2500">
        <v>4</v>
      </c>
      <c r="P2500">
        <v>582</v>
      </c>
      <c r="Q2500">
        <v>344</v>
      </c>
      <c r="R2500">
        <v>214</v>
      </c>
      <c r="S2500">
        <v>409.4</v>
      </c>
    </row>
    <row r="2501" spans="12:19" x14ac:dyDescent="0.2">
      <c r="L2501" t="s">
        <v>374</v>
      </c>
      <c r="M2501">
        <v>2890</v>
      </c>
      <c r="N2501">
        <v>1</v>
      </c>
      <c r="O2501">
        <v>4</v>
      </c>
      <c r="P2501">
        <v>582</v>
      </c>
      <c r="Q2501">
        <v>344</v>
      </c>
      <c r="R2501">
        <v>214</v>
      </c>
      <c r="S2501">
        <v>364.04</v>
      </c>
    </row>
    <row r="2502" spans="12:19" x14ac:dyDescent="0.2">
      <c r="L2502" t="s">
        <v>374</v>
      </c>
      <c r="M2502">
        <v>2897</v>
      </c>
      <c r="N2502">
        <v>1</v>
      </c>
      <c r="O2502">
        <v>4</v>
      </c>
      <c r="P2502">
        <v>582</v>
      </c>
      <c r="Q2502">
        <v>344</v>
      </c>
      <c r="R2502">
        <v>214</v>
      </c>
      <c r="S2502">
        <v>417.42</v>
      </c>
    </row>
    <row r="2503" spans="12:19" x14ac:dyDescent="0.2">
      <c r="L2503" t="s">
        <v>374</v>
      </c>
      <c r="M2503">
        <v>2898</v>
      </c>
      <c r="N2503">
        <v>1</v>
      </c>
      <c r="O2503">
        <v>4</v>
      </c>
      <c r="P2503">
        <v>582</v>
      </c>
      <c r="Q2503">
        <v>344</v>
      </c>
      <c r="R2503">
        <v>214</v>
      </c>
      <c r="S2503">
        <v>296.89</v>
      </c>
    </row>
    <row r="2504" spans="12:19" x14ac:dyDescent="0.2">
      <c r="L2504" t="s">
        <v>374</v>
      </c>
      <c r="M2504">
        <v>2899</v>
      </c>
      <c r="N2504">
        <v>1</v>
      </c>
      <c r="O2504">
        <v>4</v>
      </c>
      <c r="P2504">
        <v>582</v>
      </c>
      <c r="Q2504">
        <v>344</v>
      </c>
      <c r="R2504">
        <v>214</v>
      </c>
      <c r="S2504">
        <v>1188.19</v>
      </c>
    </row>
    <row r="2505" spans="12:19" x14ac:dyDescent="0.2">
      <c r="L2505" t="s">
        <v>374</v>
      </c>
      <c r="M2505">
        <v>139</v>
      </c>
      <c r="N2505">
        <v>1</v>
      </c>
      <c r="O2505">
        <v>4</v>
      </c>
      <c r="P2505">
        <v>582</v>
      </c>
      <c r="Q2505">
        <v>321</v>
      </c>
      <c r="R2505">
        <v>214</v>
      </c>
      <c r="S2505">
        <v>1317.03</v>
      </c>
    </row>
    <row r="2506" spans="12:19" x14ac:dyDescent="0.2">
      <c r="L2506" t="s">
        <v>374</v>
      </c>
      <c r="M2506">
        <v>414</v>
      </c>
      <c r="N2506">
        <v>1</v>
      </c>
      <c r="O2506">
        <v>4</v>
      </c>
      <c r="P2506">
        <v>582</v>
      </c>
      <c r="Q2506">
        <v>321</v>
      </c>
      <c r="R2506">
        <v>214</v>
      </c>
      <c r="S2506">
        <v>379.39</v>
      </c>
    </row>
    <row r="2507" spans="12:19" x14ac:dyDescent="0.2">
      <c r="L2507" t="s">
        <v>374</v>
      </c>
      <c r="M2507">
        <v>831</v>
      </c>
      <c r="N2507">
        <v>1</v>
      </c>
      <c r="O2507">
        <v>4</v>
      </c>
      <c r="P2507">
        <v>582</v>
      </c>
      <c r="Q2507">
        <v>321</v>
      </c>
      <c r="R2507">
        <v>214</v>
      </c>
      <c r="S2507">
        <v>6104.3</v>
      </c>
    </row>
    <row r="2508" spans="12:19" x14ac:dyDescent="0.2">
      <c r="L2508" t="s">
        <v>374</v>
      </c>
      <c r="M2508">
        <v>256</v>
      </c>
      <c r="N2508">
        <v>1</v>
      </c>
      <c r="O2508">
        <v>4</v>
      </c>
      <c r="P2508">
        <v>582</v>
      </c>
      <c r="Q2508">
        <v>0</v>
      </c>
      <c r="R2508">
        <v>214</v>
      </c>
      <c r="S2508">
        <v>476.03</v>
      </c>
    </row>
    <row r="2509" spans="12:19" x14ac:dyDescent="0.2">
      <c r="L2509" t="s">
        <v>374</v>
      </c>
      <c r="M2509">
        <v>297</v>
      </c>
      <c r="N2509">
        <v>1</v>
      </c>
      <c r="O2509">
        <v>4</v>
      </c>
      <c r="P2509">
        <v>582</v>
      </c>
      <c r="Q2509">
        <v>0</v>
      </c>
      <c r="R2509">
        <v>214</v>
      </c>
      <c r="S2509">
        <v>19.53</v>
      </c>
    </row>
    <row r="2510" spans="12:19" x14ac:dyDescent="0.2">
      <c r="L2510" t="s">
        <v>374</v>
      </c>
      <c r="M2510">
        <v>345</v>
      </c>
      <c r="N2510">
        <v>1</v>
      </c>
      <c r="O2510">
        <v>4</v>
      </c>
      <c r="P2510">
        <v>582</v>
      </c>
      <c r="Q2510">
        <v>0</v>
      </c>
      <c r="R2510">
        <v>214</v>
      </c>
      <c r="S2510">
        <v>469</v>
      </c>
    </row>
    <row r="2511" spans="12:19" x14ac:dyDescent="0.2">
      <c r="L2511" t="s">
        <v>374</v>
      </c>
      <c r="M2511">
        <v>378</v>
      </c>
      <c r="N2511">
        <v>1</v>
      </c>
      <c r="O2511">
        <v>4</v>
      </c>
      <c r="P2511">
        <v>582</v>
      </c>
      <c r="Q2511">
        <v>0</v>
      </c>
      <c r="R2511">
        <v>214</v>
      </c>
      <c r="S2511">
        <v>1061.03</v>
      </c>
    </row>
    <row r="2512" spans="12:19" x14ac:dyDescent="0.2">
      <c r="L2512" t="s">
        <v>374</v>
      </c>
      <c r="M2512">
        <v>621</v>
      </c>
      <c r="N2512">
        <v>1</v>
      </c>
      <c r="O2512">
        <v>4</v>
      </c>
      <c r="P2512">
        <v>582</v>
      </c>
      <c r="Q2512">
        <v>0</v>
      </c>
      <c r="R2512">
        <v>214</v>
      </c>
      <c r="S2512">
        <v>417.14</v>
      </c>
    </row>
    <row r="2513" spans="12:19" x14ac:dyDescent="0.2">
      <c r="L2513" t="s">
        <v>374</v>
      </c>
      <c r="M2513">
        <v>99</v>
      </c>
      <c r="N2513">
        <v>1</v>
      </c>
      <c r="O2513">
        <v>4</v>
      </c>
      <c r="P2513">
        <v>582</v>
      </c>
      <c r="Q2513">
        <v>799</v>
      </c>
      <c r="R2513">
        <v>210</v>
      </c>
      <c r="S2513">
        <v>452.35</v>
      </c>
    </row>
    <row r="2514" spans="12:19" x14ac:dyDescent="0.2">
      <c r="L2514" t="s">
        <v>374</v>
      </c>
      <c r="M2514">
        <v>1</v>
      </c>
      <c r="N2514">
        <v>3</v>
      </c>
      <c r="O2514">
        <v>4</v>
      </c>
      <c r="P2514">
        <v>582</v>
      </c>
      <c r="Q2514">
        <v>599</v>
      </c>
      <c r="R2514">
        <v>210</v>
      </c>
      <c r="S2514">
        <v>581.72</v>
      </c>
    </row>
    <row r="2515" spans="12:19" x14ac:dyDescent="0.2">
      <c r="L2515" t="s">
        <v>374</v>
      </c>
      <c r="M2515">
        <v>1</v>
      </c>
      <c r="N2515">
        <v>3</v>
      </c>
      <c r="O2515">
        <v>4</v>
      </c>
      <c r="P2515">
        <v>582</v>
      </c>
      <c r="Q2515">
        <v>599</v>
      </c>
      <c r="R2515">
        <v>210</v>
      </c>
      <c r="S2515">
        <v>-86.44</v>
      </c>
    </row>
    <row r="2516" spans="12:19" x14ac:dyDescent="0.2">
      <c r="L2516" t="s">
        <v>374</v>
      </c>
      <c r="M2516">
        <v>625</v>
      </c>
      <c r="N2516">
        <v>1</v>
      </c>
      <c r="O2516">
        <v>4</v>
      </c>
      <c r="P2516">
        <v>582</v>
      </c>
      <c r="Q2516">
        <v>599</v>
      </c>
      <c r="R2516">
        <v>210</v>
      </c>
      <c r="S2516">
        <v>52153.29</v>
      </c>
    </row>
    <row r="2517" spans="12:19" x14ac:dyDescent="0.2">
      <c r="L2517" t="s">
        <v>374</v>
      </c>
      <c r="M2517">
        <v>81</v>
      </c>
      <c r="N2517">
        <v>1</v>
      </c>
      <c r="O2517">
        <v>4</v>
      </c>
      <c r="P2517">
        <v>581</v>
      </c>
      <c r="Q2517">
        <v>344</v>
      </c>
      <c r="R2517">
        <v>210</v>
      </c>
      <c r="S2517">
        <v>210.8</v>
      </c>
    </row>
    <row r="2518" spans="12:19" x14ac:dyDescent="0.2">
      <c r="L2518" t="s">
        <v>374</v>
      </c>
      <c r="M2518">
        <v>463</v>
      </c>
      <c r="N2518">
        <v>1</v>
      </c>
      <c r="O2518">
        <v>4</v>
      </c>
      <c r="P2518">
        <v>581</v>
      </c>
      <c r="Q2518">
        <v>344</v>
      </c>
      <c r="R2518">
        <v>210</v>
      </c>
      <c r="S2518">
        <v>2970.51</v>
      </c>
    </row>
    <row r="2519" spans="12:19" x14ac:dyDescent="0.2">
      <c r="L2519" t="s">
        <v>374</v>
      </c>
      <c r="M2519">
        <v>1</v>
      </c>
      <c r="N2519">
        <v>1</v>
      </c>
      <c r="O2519">
        <v>4</v>
      </c>
      <c r="P2519">
        <v>582</v>
      </c>
      <c r="Q2519">
        <v>344</v>
      </c>
      <c r="R2519">
        <v>210</v>
      </c>
      <c r="S2519">
        <v>2603.44</v>
      </c>
    </row>
    <row r="2520" spans="12:19" x14ac:dyDescent="0.2">
      <c r="L2520" t="s">
        <v>374</v>
      </c>
      <c r="M2520">
        <v>1</v>
      </c>
      <c r="N2520">
        <v>3</v>
      </c>
      <c r="O2520">
        <v>4</v>
      </c>
      <c r="P2520">
        <v>582</v>
      </c>
      <c r="Q2520">
        <v>344</v>
      </c>
      <c r="R2520">
        <v>210</v>
      </c>
      <c r="S2520">
        <v>49005.47</v>
      </c>
    </row>
    <row r="2521" spans="12:19" x14ac:dyDescent="0.2">
      <c r="L2521" t="s">
        <v>374</v>
      </c>
      <c r="M2521">
        <v>1</v>
      </c>
      <c r="N2521">
        <v>3</v>
      </c>
      <c r="O2521">
        <v>4</v>
      </c>
      <c r="P2521">
        <v>582</v>
      </c>
      <c r="Q2521">
        <v>344</v>
      </c>
      <c r="R2521">
        <v>210</v>
      </c>
      <c r="S2521">
        <v>268.55</v>
      </c>
    </row>
    <row r="2522" spans="12:19" x14ac:dyDescent="0.2">
      <c r="L2522" t="s">
        <v>374</v>
      </c>
      <c r="M2522">
        <v>1</v>
      </c>
      <c r="N2522">
        <v>3</v>
      </c>
      <c r="O2522">
        <v>4</v>
      </c>
      <c r="P2522">
        <v>582</v>
      </c>
      <c r="Q2522">
        <v>344</v>
      </c>
      <c r="R2522">
        <v>210</v>
      </c>
      <c r="S2522">
        <v>500.85</v>
      </c>
    </row>
    <row r="2523" spans="12:19" x14ac:dyDescent="0.2">
      <c r="L2523" t="s">
        <v>374</v>
      </c>
      <c r="M2523">
        <v>1</v>
      </c>
      <c r="N2523">
        <v>3</v>
      </c>
      <c r="O2523">
        <v>4</v>
      </c>
      <c r="P2523">
        <v>582</v>
      </c>
      <c r="Q2523">
        <v>344</v>
      </c>
      <c r="R2523">
        <v>210</v>
      </c>
      <c r="S2523">
        <v>679.12</v>
      </c>
    </row>
    <row r="2524" spans="12:19" x14ac:dyDescent="0.2">
      <c r="L2524" t="s">
        <v>374</v>
      </c>
      <c r="M2524">
        <v>1</v>
      </c>
      <c r="N2524">
        <v>3</v>
      </c>
      <c r="O2524">
        <v>4</v>
      </c>
      <c r="P2524">
        <v>582</v>
      </c>
      <c r="Q2524">
        <v>344</v>
      </c>
      <c r="R2524">
        <v>210</v>
      </c>
      <c r="S2524">
        <v>123.17</v>
      </c>
    </row>
    <row r="2525" spans="12:19" x14ac:dyDescent="0.2">
      <c r="L2525" t="s">
        <v>374</v>
      </c>
      <c r="M2525">
        <v>1</v>
      </c>
      <c r="N2525">
        <v>3</v>
      </c>
      <c r="O2525">
        <v>4</v>
      </c>
      <c r="P2525">
        <v>582</v>
      </c>
      <c r="Q2525">
        <v>344</v>
      </c>
      <c r="R2525">
        <v>210</v>
      </c>
      <c r="S2525">
        <v>443.17</v>
      </c>
    </row>
    <row r="2526" spans="12:19" x14ac:dyDescent="0.2">
      <c r="L2526" t="s">
        <v>374</v>
      </c>
      <c r="M2526">
        <v>1</v>
      </c>
      <c r="N2526">
        <v>3</v>
      </c>
      <c r="O2526">
        <v>4</v>
      </c>
      <c r="P2526">
        <v>582</v>
      </c>
      <c r="Q2526">
        <v>344</v>
      </c>
      <c r="R2526">
        <v>210</v>
      </c>
      <c r="S2526">
        <v>884.47</v>
      </c>
    </row>
    <row r="2527" spans="12:19" x14ac:dyDescent="0.2">
      <c r="L2527" t="s">
        <v>374</v>
      </c>
      <c r="M2527">
        <v>1</v>
      </c>
      <c r="N2527">
        <v>3</v>
      </c>
      <c r="O2527">
        <v>4</v>
      </c>
      <c r="P2527">
        <v>582</v>
      </c>
      <c r="Q2527">
        <v>344</v>
      </c>
      <c r="R2527">
        <v>210</v>
      </c>
      <c r="S2527">
        <v>1318.61</v>
      </c>
    </row>
    <row r="2528" spans="12:19" x14ac:dyDescent="0.2">
      <c r="L2528" t="s">
        <v>374</v>
      </c>
      <c r="M2528">
        <v>1</v>
      </c>
      <c r="N2528">
        <v>3</v>
      </c>
      <c r="O2528">
        <v>4</v>
      </c>
      <c r="P2528">
        <v>582</v>
      </c>
      <c r="Q2528">
        <v>344</v>
      </c>
      <c r="R2528">
        <v>210</v>
      </c>
      <c r="S2528">
        <v>-73.23</v>
      </c>
    </row>
    <row r="2529" spans="12:19" x14ac:dyDescent="0.2">
      <c r="L2529" t="s">
        <v>374</v>
      </c>
      <c r="M2529">
        <v>1</v>
      </c>
      <c r="N2529">
        <v>3</v>
      </c>
      <c r="O2529">
        <v>4</v>
      </c>
      <c r="P2529">
        <v>582</v>
      </c>
      <c r="Q2529">
        <v>344</v>
      </c>
      <c r="R2529">
        <v>210</v>
      </c>
      <c r="S2529">
        <v>362.61</v>
      </c>
    </row>
    <row r="2530" spans="12:19" x14ac:dyDescent="0.2">
      <c r="L2530" t="s">
        <v>374</v>
      </c>
      <c r="M2530">
        <v>1</v>
      </c>
      <c r="N2530">
        <v>3</v>
      </c>
      <c r="O2530">
        <v>4</v>
      </c>
      <c r="P2530">
        <v>582</v>
      </c>
      <c r="Q2530">
        <v>344</v>
      </c>
      <c r="R2530">
        <v>210</v>
      </c>
      <c r="S2530">
        <v>-126.94</v>
      </c>
    </row>
    <row r="2531" spans="12:19" x14ac:dyDescent="0.2">
      <c r="L2531" t="s">
        <v>374</v>
      </c>
      <c r="M2531">
        <v>1</v>
      </c>
      <c r="N2531">
        <v>3</v>
      </c>
      <c r="O2531">
        <v>4</v>
      </c>
      <c r="P2531">
        <v>582</v>
      </c>
      <c r="Q2531">
        <v>344</v>
      </c>
      <c r="R2531">
        <v>210</v>
      </c>
      <c r="S2531">
        <v>605.22</v>
      </c>
    </row>
    <row r="2532" spans="12:19" x14ac:dyDescent="0.2">
      <c r="L2532" t="s">
        <v>374</v>
      </c>
      <c r="M2532">
        <v>1</v>
      </c>
      <c r="N2532">
        <v>3</v>
      </c>
      <c r="O2532">
        <v>4</v>
      </c>
      <c r="P2532">
        <v>582</v>
      </c>
      <c r="Q2532">
        <v>344</v>
      </c>
      <c r="R2532">
        <v>210</v>
      </c>
      <c r="S2532">
        <v>-165.66</v>
      </c>
    </row>
    <row r="2533" spans="12:19" x14ac:dyDescent="0.2">
      <c r="L2533" t="s">
        <v>374</v>
      </c>
      <c r="M2533">
        <v>1</v>
      </c>
      <c r="N2533">
        <v>3</v>
      </c>
      <c r="O2533">
        <v>4</v>
      </c>
      <c r="P2533">
        <v>582</v>
      </c>
      <c r="Q2533">
        <v>344</v>
      </c>
      <c r="R2533">
        <v>210</v>
      </c>
      <c r="S2533">
        <v>-73.23</v>
      </c>
    </row>
    <row r="2534" spans="12:19" x14ac:dyDescent="0.2">
      <c r="L2534" t="s">
        <v>374</v>
      </c>
      <c r="M2534">
        <v>2</v>
      </c>
      <c r="N2534">
        <v>1</v>
      </c>
      <c r="O2534">
        <v>4</v>
      </c>
      <c r="P2534">
        <v>582</v>
      </c>
      <c r="Q2534">
        <v>344</v>
      </c>
      <c r="R2534">
        <v>210</v>
      </c>
      <c r="S2534">
        <v>332.89</v>
      </c>
    </row>
    <row r="2535" spans="12:19" x14ac:dyDescent="0.2">
      <c r="L2535" t="s">
        <v>374</v>
      </c>
      <c r="M2535">
        <v>4</v>
      </c>
      <c r="N2535">
        <v>1</v>
      </c>
      <c r="O2535">
        <v>4</v>
      </c>
      <c r="P2535">
        <v>582</v>
      </c>
      <c r="Q2535">
        <v>344</v>
      </c>
      <c r="R2535">
        <v>210</v>
      </c>
      <c r="S2535">
        <v>1142.25</v>
      </c>
    </row>
    <row r="2536" spans="12:19" x14ac:dyDescent="0.2">
      <c r="L2536" t="s">
        <v>374</v>
      </c>
      <c r="M2536">
        <v>6</v>
      </c>
      <c r="N2536">
        <v>3</v>
      </c>
      <c r="O2536">
        <v>4</v>
      </c>
      <c r="P2536">
        <v>582</v>
      </c>
      <c r="Q2536">
        <v>344</v>
      </c>
      <c r="R2536">
        <v>210</v>
      </c>
      <c r="S2536">
        <v>3312.53</v>
      </c>
    </row>
    <row r="2537" spans="12:19" x14ac:dyDescent="0.2">
      <c r="L2537" t="s">
        <v>374</v>
      </c>
      <c r="M2537">
        <v>11</v>
      </c>
      <c r="N2537">
        <v>1</v>
      </c>
      <c r="O2537">
        <v>4</v>
      </c>
      <c r="P2537">
        <v>582</v>
      </c>
      <c r="Q2537">
        <v>344</v>
      </c>
      <c r="R2537">
        <v>210</v>
      </c>
      <c r="S2537">
        <v>61941.46</v>
      </c>
    </row>
    <row r="2538" spans="12:19" x14ac:dyDescent="0.2">
      <c r="L2538" t="s">
        <v>374</v>
      </c>
      <c r="M2538">
        <v>12</v>
      </c>
      <c r="N2538">
        <v>1</v>
      </c>
      <c r="O2538">
        <v>4</v>
      </c>
      <c r="P2538">
        <v>582</v>
      </c>
      <c r="Q2538">
        <v>344</v>
      </c>
      <c r="R2538">
        <v>210</v>
      </c>
      <c r="S2538">
        <v>4342.84</v>
      </c>
    </row>
    <row r="2539" spans="12:19" x14ac:dyDescent="0.2">
      <c r="L2539" t="s">
        <v>374</v>
      </c>
      <c r="M2539">
        <v>14</v>
      </c>
      <c r="N2539">
        <v>1</v>
      </c>
      <c r="O2539">
        <v>4</v>
      </c>
      <c r="P2539">
        <v>582</v>
      </c>
      <c r="Q2539">
        <v>344</v>
      </c>
      <c r="R2539">
        <v>210</v>
      </c>
      <c r="S2539">
        <v>2944.14</v>
      </c>
    </row>
    <row r="2540" spans="12:19" x14ac:dyDescent="0.2">
      <c r="L2540" t="s">
        <v>374</v>
      </c>
      <c r="M2540">
        <v>15</v>
      </c>
      <c r="N2540">
        <v>1</v>
      </c>
      <c r="O2540">
        <v>4</v>
      </c>
      <c r="P2540">
        <v>582</v>
      </c>
      <c r="Q2540">
        <v>344</v>
      </c>
      <c r="R2540">
        <v>210</v>
      </c>
      <c r="S2540">
        <v>1255.3800000000001</v>
      </c>
    </row>
    <row r="2541" spans="12:19" x14ac:dyDescent="0.2">
      <c r="L2541" t="s">
        <v>374</v>
      </c>
      <c r="M2541">
        <v>16</v>
      </c>
      <c r="N2541">
        <v>1</v>
      </c>
      <c r="O2541">
        <v>4</v>
      </c>
      <c r="P2541">
        <v>582</v>
      </c>
      <c r="Q2541">
        <v>344</v>
      </c>
      <c r="R2541">
        <v>210</v>
      </c>
      <c r="S2541">
        <v>4330.24</v>
      </c>
    </row>
    <row r="2542" spans="12:19" x14ac:dyDescent="0.2">
      <c r="L2542" t="s">
        <v>374</v>
      </c>
      <c r="M2542">
        <v>22</v>
      </c>
      <c r="N2542">
        <v>1</v>
      </c>
      <c r="O2542">
        <v>4</v>
      </c>
      <c r="P2542">
        <v>582</v>
      </c>
      <c r="Q2542">
        <v>344</v>
      </c>
      <c r="R2542">
        <v>210</v>
      </c>
      <c r="S2542">
        <v>3966.01</v>
      </c>
    </row>
    <row r="2543" spans="12:19" x14ac:dyDescent="0.2">
      <c r="L2543" t="s">
        <v>374</v>
      </c>
      <c r="M2543">
        <v>23</v>
      </c>
      <c r="N2543">
        <v>1</v>
      </c>
      <c r="O2543">
        <v>4</v>
      </c>
      <c r="P2543">
        <v>582</v>
      </c>
      <c r="Q2543">
        <v>344</v>
      </c>
      <c r="R2543">
        <v>210</v>
      </c>
      <c r="S2543">
        <v>1750.52</v>
      </c>
    </row>
    <row r="2544" spans="12:19" x14ac:dyDescent="0.2">
      <c r="L2544" t="s">
        <v>374</v>
      </c>
      <c r="M2544">
        <v>25</v>
      </c>
      <c r="N2544">
        <v>1</v>
      </c>
      <c r="O2544">
        <v>4</v>
      </c>
      <c r="P2544">
        <v>582</v>
      </c>
      <c r="Q2544">
        <v>344</v>
      </c>
      <c r="R2544">
        <v>210</v>
      </c>
      <c r="S2544">
        <v>125.28</v>
      </c>
    </row>
    <row r="2545" spans="12:19" x14ac:dyDescent="0.2">
      <c r="L2545" t="s">
        <v>374</v>
      </c>
      <c r="M2545">
        <v>31</v>
      </c>
      <c r="N2545">
        <v>1</v>
      </c>
      <c r="O2545">
        <v>4</v>
      </c>
      <c r="P2545">
        <v>582</v>
      </c>
      <c r="Q2545">
        <v>344</v>
      </c>
      <c r="R2545">
        <v>210</v>
      </c>
      <c r="S2545">
        <v>3097.18</v>
      </c>
    </row>
    <row r="2546" spans="12:19" x14ac:dyDescent="0.2">
      <c r="L2546" t="s">
        <v>374</v>
      </c>
      <c r="M2546">
        <v>32</v>
      </c>
      <c r="N2546">
        <v>1</v>
      </c>
      <c r="O2546">
        <v>4</v>
      </c>
      <c r="P2546">
        <v>582</v>
      </c>
      <c r="Q2546">
        <v>344</v>
      </c>
      <c r="R2546">
        <v>210</v>
      </c>
      <c r="S2546">
        <v>496.82</v>
      </c>
    </row>
    <row r="2547" spans="12:19" x14ac:dyDescent="0.2">
      <c r="L2547" t="s">
        <v>374</v>
      </c>
      <c r="M2547">
        <v>36</v>
      </c>
      <c r="N2547">
        <v>1</v>
      </c>
      <c r="O2547">
        <v>4</v>
      </c>
      <c r="P2547">
        <v>582</v>
      </c>
      <c r="Q2547">
        <v>344</v>
      </c>
      <c r="R2547">
        <v>210</v>
      </c>
      <c r="S2547">
        <v>298.56</v>
      </c>
    </row>
    <row r="2548" spans="12:19" x14ac:dyDescent="0.2">
      <c r="L2548" t="s">
        <v>374</v>
      </c>
      <c r="M2548">
        <v>38</v>
      </c>
      <c r="N2548">
        <v>1</v>
      </c>
      <c r="O2548">
        <v>4</v>
      </c>
      <c r="P2548">
        <v>582</v>
      </c>
      <c r="Q2548">
        <v>344</v>
      </c>
      <c r="R2548">
        <v>210</v>
      </c>
      <c r="S2548">
        <v>1940.9</v>
      </c>
    </row>
    <row r="2549" spans="12:19" x14ac:dyDescent="0.2">
      <c r="L2549" t="s">
        <v>374</v>
      </c>
      <c r="M2549">
        <v>47</v>
      </c>
      <c r="N2549">
        <v>1</v>
      </c>
      <c r="O2549">
        <v>4</v>
      </c>
      <c r="P2549">
        <v>582</v>
      </c>
      <c r="Q2549">
        <v>344</v>
      </c>
      <c r="R2549">
        <v>210</v>
      </c>
      <c r="S2549">
        <v>5936.57</v>
      </c>
    </row>
    <row r="2550" spans="12:19" x14ac:dyDescent="0.2">
      <c r="L2550" t="s">
        <v>374</v>
      </c>
      <c r="M2550">
        <v>51</v>
      </c>
      <c r="N2550">
        <v>1</v>
      </c>
      <c r="O2550">
        <v>4</v>
      </c>
      <c r="P2550">
        <v>582</v>
      </c>
      <c r="Q2550">
        <v>344</v>
      </c>
      <c r="R2550">
        <v>210</v>
      </c>
      <c r="S2550">
        <v>1216.03</v>
      </c>
    </row>
    <row r="2551" spans="12:19" x14ac:dyDescent="0.2">
      <c r="L2551" t="s">
        <v>374</v>
      </c>
      <c r="M2551">
        <v>62</v>
      </c>
      <c r="N2551">
        <v>1</v>
      </c>
      <c r="O2551">
        <v>4</v>
      </c>
      <c r="P2551">
        <v>582</v>
      </c>
      <c r="Q2551">
        <v>344</v>
      </c>
      <c r="R2551">
        <v>210</v>
      </c>
      <c r="S2551">
        <v>9.1199999999999992</v>
      </c>
    </row>
    <row r="2552" spans="12:19" x14ac:dyDescent="0.2">
      <c r="L2552" t="s">
        <v>374</v>
      </c>
      <c r="M2552">
        <v>75</v>
      </c>
      <c r="N2552">
        <v>1</v>
      </c>
      <c r="O2552">
        <v>4</v>
      </c>
      <c r="P2552">
        <v>582</v>
      </c>
      <c r="Q2552">
        <v>344</v>
      </c>
      <c r="R2552">
        <v>210</v>
      </c>
      <c r="S2552">
        <v>299.18</v>
      </c>
    </row>
    <row r="2553" spans="12:19" x14ac:dyDescent="0.2">
      <c r="L2553" t="s">
        <v>374</v>
      </c>
      <c r="M2553">
        <v>77</v>
      </c>
      <c r="N2553">
        <v>1</v>
      </c>
      <c r="O2553">
        <v>4</v>
      </c>
      <c r="P2553">
        <v>582</v>
      </c>
      <c r="Q2553">
        <v>344</v>
      </c>
      <c r="R2553">
        <v>210</v>
      </c>
      <c r="S2553">
        <v>6566.61</v>
      </c>
    </row>
    <row r="2554" spans="12:19" x14ac:dyDescent="0.2">
      <c r="L2554" t="s">
        <v>374</v>
      </c>
      <c r="M2554">
        <v>84</v>
      </c>
      <c r="N2554">
        <v>1</v>
      </c>
      <c r="O2554">
        <v>4</v>
      </c>
      <c r="P2554">
        <v>582</v>
      </c>
      <c r="Q2554">
        <v>344</v>
      </c>
      <c r="R2554">
        <v>210</v>
      </c>
      <c r="S2554">
        <v>2520.1999999999998</v>
      </c>
    </row>
    <row r="2555" spans="12:19" x14ac:dyDescent="0.2">
      <c r="L2555" t="s">
        <v>374</v>
      </c>
      <c r="M2555">
        <v>85</v>
      </c>
      <c r="N2555">
        <v>1</v>
      </c>
      <c r="O2555">
        <v>4</v>
      </c>
      <c r="P2555">
        <v>582</v>
      </c>
      <c r="Q2555">
        <v>344</v>
      </c>
      <c r="R2555">
        <v>210</v>
      </c>
      <c r="S2555">
        <v>316.60000000000002</v>
      </c>
    </row>
    <row r="2556" spans="12:19" x14ac:dyDescent="0.2">
      <c r="L2556" t="s">
        <v>374</v>
      </c>
      <c r="M2556">
        <v>88</v>
      </c>
      <c r="N2556">
        <v>1</v>
      </c>
      <c r="O2556">
        <v>4</v>
      </c>
      <c r="P2556">
        <v>582</v>
      </c>
      <c r="Q2556">
        <v>344</v>
      </c>
      <c r="R2556">
        <v>210</v>
      </c>
      <c r="S2556">
        <v>2644.13</v>
      </c>
    </row>
    <row r="2557" spans="12:19" x14ac:dyDescent="0.2">
      <c r="L2557" t="s">
        <v>374</v>
      </c>
      <c r="M2557">
        <v>91</v>
      </c>
      <c r="N2557">
        <v>1</v>
      </c>
      <c r="O2557">
        <v>4</v>
      </c>
      <c r="P2557">
        <v>582</v>
      </c>
      <c r="Q2557">
        <v>344</v>
      </c>
      <c r="R2557">
        <v>210</v>
      </c>
      <c r="S2557">
        <v>1650.73</v>
      </c>
    </row>
    <row r="2558" spans="12:19" x14ac:dyDescent="0.2">
      <c r="L2558" t="s">
        <v>374</v>
      </c>
      <c r="M2558">
        <v>93</v>
      </c>
      <c r="N2558">
        <v>1</v>
      </c>
      <c r="O2558">
        <v>4</v>
      </c>
      <c r="P2558">
        <v>582</v>
      </c>
      <c r="Q2558">
        <v>344</v>
      </c>
      <c r="R2558">
        <v>210</v>
      </c>
      <c r="S2558">
        <v>2093.5700000000002</v>
      </c>
    </row>
    <row r="2559" spans="12:19" x14ac:dyDescent="0.2">
      <c r="L2559" t="s">
        <v>374</v>
      </c>
      <c r="M2559">
        <v>94</v>
      </c>
      <c r="N2559">
        <v>1</v>
      </c>
      <c r="O2559">
        <v>4</v>
      </c>
      <c r="P2559">
        <v>582</v>
      </c>
      <c r="Q2559">
        <v>344</v>
      </c>
      <c r="R2559">
        <v>210</v>
      </c>
      <c r="S2559">
        <v>2590.4</v>
      </c>
    </row>
    <row r="2560" spans="12:19" x14ac:dyDescent="0.2">
      <c r="L2560" t="s">
        <v>374</v>
      </c>
      <c r="M2560">
        <v>95</v>
      </c>
      <c r="N2560">
        <v>1</v>
      </c>
      <c r="O2560">
        <v>4</v>
      </c>
      <c r="P2560">
        <v>582</v>
      </c>
      <c r="Q2560">
        <v>344</v>
      </c>
      <c r="R2560">
        <v>210</v>
      </c>
      <c r="S2560">
        <v>1587.03</v>
      </c>
    </row>
    <row r="2561" spans="12:19" x14ac:dyDescent="0.2">
      <c r="L2561" t="s">
        <v>374</v>
      </c>
      <c r="M2561">
        <v>97</v>
      </c>
      <c r="N2561">
        <v>1</v>
      </c>
      <c r="O2561">
        <v>4</v>
      </c>
      <c r="P2561">
        <v>582</v>
      </c>
      <c r="Q2561">
        <v>344</v>
      </c>
      <c r="R2561">
        <v>210</v>
      </c>
      <c r="S2561">
        <v>1527.3</v>
      </c>
    </row>
    <row r="2562" spans="12:19" x14ac:dyDescent="0.2">
      <c r="L2562" t="s">
        <v>374</v>
      </c>
      <c r="M2562">
        <v>99</v>
      </c>
      <c r="N2562">
        <v>1</v>
      </c>
      <c r="O2562">
        <v>4</v>
      </c>
      <c r="P2562">
        <v>582</v>
      </c>
      <c r="Q2562">
        <v>344</v>
      </c>
      <c r="R2562">
        <v>210</v>
      </c>
      <c r="S2562">
        <v>2133.67</v>
      </c>
    </row>
    <row r="2563" spans="12:19" x14ac:dyDescent="0.2">
      <c r="L2563" t="s">
        <v>374</v>
      </c>
      <c r="M2563">
        <v>100</v>
      </c>
      <c r="N2563">
        <v>1</v>
      </c>
      <c r="O2563">
        <v>4</v>
      </c>
      <c r="P2563">
        <v>582</v>
      </c>
      <c r="Q2563">
        <v>344</v>
      </c>
      <c r="R2563">
        <v>210</v>
      </c>
      <c r="S2563">
        <v>313.19</v>
      </c>
    </row>
    <row r="2564" spans="12:19" x14ac:dyDescent="0.2">
      <c r="L2564" t="s">
        <v>374</v>
      </c>
      <c r="M2564">
        <v>108</v>
      </c>
      <c r="N2564">
        <v>1</v>
      </c>
      <c r="O2564">
        <v>4</v>
      </c>
      <c r="P2564">
        <v>582</v>
      </c>
      <c r="Q2564">
        <v>344</v>
      </c>
      <c r="R2564">
        <v>210</v>
      </c>
      <c r="S2564">
        <v>226.6</v>
      </c>
    </row>
    <row r="2565" spans="12:19" x14ac:dyDescent="0.2">
      <c r="L2565" t="s">
        <v>374</v>
      </c>
      <c r="M2565">
        <v>110</v>
      </c>
      <c r="N2565">
        <v>1</v>
      </c>
      <c r="O2565">
        <v>4</v>
      </c>
      <c r="P2565">
        <v>582</v>
      </c>
      <c r="Q2565">
        <v>344</v>
      </c>
      <c r="R2565">
        <v>210</v>
      </c>
      <c r="S2565">
        <v>2202.8000000000002</v>
      </c>
    </row>
    <row r="2566" spans="12:19" x14ac:dyDescent="0.2">
      <c r="L2566" t="s">
        <v>374</v>
      </c>
      <c r="M2566">
        <v>111</v>
      </c>
      <c r="N2566">
        <v>1</v>
      </c>
      <c r="O2566">
        <v>4</v>
      </c>
      <c r="P2566">
        <v>582</v>
      </c>
      <c r="Q2566">
        <v>344</v>
      </c>
      <c r="R2566">
        <v>210</v>
      </c>
      <c r="S2566">
        <v>772.93</v>
      </c>
    </row>
    <row r="2567" spans="12:19" x14ac:dyDescent="0.2">
      <c r="L2567" t="s">
        <v>374</v>
      </c>
      <c r="M2567">
        <v>112</v>
      </c>
      <c r="N2567">
        <v>1</v>
      </c>
      <c r="O2567">
        <v>4</v>
      </c>
      <c r="P2567">
        <v>582</v>
      </c>
      <c r="Q2567">
        <v>344</v>
      </c>
      <c r="R2567">
        <v>210</v>
      </c>
      <c r="S2567">
        <v>5942.95</v>
      </c>
    </row>
    <row r="2568" spans="12:19" x14ac:dyDescent="0.2">
      <c r="L2568" t="s">
        <v>374</v>
      </c>
      <c r="M2568">
        <v>113</v>
      </c>
      <c r="N2568">
        <v>1</v>
      </c>
      <c r="O2568">
        <v>4</v>
      </c>
      <c r="P2568">
        <v>582</v>
      </c>
      <c r="Q2568">
        <v>344</v>
      </c>
      <c r="R2568">
        <v>210</v>
      </c>
      <c r="S2568">
        <v>752.72</v>
      </c>
    </row>
    <row r="2569" spans="12:19" x14ac:dyDescent="0.2">
      <c r="L2569" t="s">
        <v>374</v>
      </c>
      <c r="M2569">
        <v>115</v>
      </c>
      <c r="N2569">
        <v>1</v>
      </c>
      <c r="O2569">
        <v>4</v>
      </c>
      <c r="P2569">
        <v>582</v>
      </c>
      <c r="Q2569">
        <v>344</v>
      </c>
      <c r="R2569">
        <v>210</v>
      </c>
      <c r="S2569">
        <v>2013.34</v>
      </c>
    </row>
    <row r="2570" spans="12:19" x14ac:dyDescent="0.2">
      <c r="L2570" t="s">
        <v>374</v>
      </c>
      <c r="M2570">
        <v>116</v>
      </c>
      <c r="N2570">
        <v>1</v>
      </c>
      <c r="O2570">
        <v>4</v>
      </c>
      <c r="P2570">
        <v>582</v>
      </c>
      <c r="Q2570">
        <v>344</v>
      </c>
      <c r="R2570">
        <v>210</v>
      </c>
      <c r="S2570">
        <v>1986.8</v>
      </c>
    </row>
    <row r="2571" spans="12:19" x14ac:dyDescent="0.2">
      <c r="L2571" t="s">
        <v>374</v>
      </c>
      <c r="M2571">
        <v>118</v>
      </c>
      <c r="N2571">
        <v>1</v>
      </c>
      <c r="O2571">
        <v>4</v>
      </c>
      <c r="P2571">
        <v>582</v>
      </c>
      <c r="Q2571">
        <v>344</v>
      </c>
      <c r="R2571">
        <v>210</v>
      </c>
      <c r="S2571">
        <v>56.61</v>
      </c>
    </row>
    <row r="2572" spans="12:19" x14ac:dyDescent="0.2">
      <c r="L2572" t="s">
        <v>374</v>
      </c>
      <c r="M2572">
        <v>138</v>
      </c>
      <c r="N2572">
        <v>1</v>
      </c>
      <c r="O2572">
        <v>4</v>
      </c>
      <c r="P2572">
        <v>582</v>
      </c>
      <c r="Q2572">
        <v>344</v>
      </c>
      <c r="R2572">
        <v>210</v>
      </c>
      <c r="S2572">
        <v>2482.6799999999998</v>
      </c>
    </row>
    <row r="2573" spans="12:19" x14ac:dyDescent="0.2">
      <c r="L2573" t="s">
        <v>374</v>
      </c>
      <c r="M2573">
        <v>139</v>
      </c>
      <c r="N2573">
        <v>1</v>
      </c>
      <c r="O2573">
        <v>4</v>
      </c>
      <c r="P2573">
        <v>582</v>
      </c>
      <c r="Q2573">
        <v>344</v>
      </c>
      <c r="R2573">
        <v>210</v>
      </c>
      <c r="S2573">
        <v>1104.3</v>
      </c>
    </row>
    <row r="2574" spans="12:19" x14ac:dyDescent="0.2">
      <c r="L2574" t="s">
        <v>374</v>
      </c>
      <c r="M2574">
        <v>146</v>
      </c>
      <c r="N2574">
        <v>1</v>
      </c>
      <c r="O2574">
        <v>4</v>
      </c>
      <c r="P2574">
        <v>582</v>
      </c>
      <c r="Q2574">
        <v>344</v>
      </c>
      <c r="R2574">
        <v>210</v>
      </c>
      <c r="S2574">
        <v>1088.96</v>
      </c>
    </row>
    <row r="2575" spans="12:19" x14ac:dyDescent="0.2">
      <c r="L2575" t="s">
        <v>374</v>
      </c>
      <c r="M2575">
        <v>150</v>
      </c>
      <c r="N2575">
        <v>1</v>
      </c>
      <c r="O2575">
        <v>4</v>
      </c>
      <c r="P2575">
        <v>582</v>
      </c>
      <c r="Q2575">
        <v>344</v>
      </c>
      <c r="R2575">
        <v>210</v>
      </c>
      <c r="S2575">
        <v>394.29</v>
      </c>
    </row>
    <row r="2576" spans="12:19" x14ac:dyDescent="0.2">
      <c r="L2576" t="s">
        <v>374</v>
      </c>
      <c r="M2576">
        <v>152</v>
      </c>
      <c r="N2576">
        <v>1</v>
      </c>
      <c r="O2576">
        <v>4</v>
      </c>
      <c r="P2576">
        <v>582</v>
      </c>
      <c r="Q2576">
        <v>344</v>
      </c>
      <c r="R2576">
        <v>210</v>
      </c>
      <c r="S2576">
        <v>3892.3</v>
      </c>
    </row>
    <row r="2577" spans="12:19" x14ac:dyDescent="0.2">
      <c r="L2577" t="s">
        <v>374</v>
      </c>
      <c r="M2577">
        <v>162</v>
      </c>
      <c r="N2577">
        <v>1</v>
      </c>
      <c r="O2577">
        <v>4</v>
      </c>
      <c r="P2577">
        <v>582</v>
      </c>
      <c r="Q2577">
        <v>344</v>
      </c>
      <c r="R2577">
        <v>210</v>
      </c>
      <c r="S2577">
        <v>2519.61</v>
      </c>
    </row>
    <row r="2578" spans="12:19" x14ac:dyDescent="0.2">
      <c r="L2578" t="s">
        <v>374</v>
      </c>
      <c r="M2578">
        <v>166</v>
      </c>
      <c r="N2578">
        <v>1</v>
      </c>
      <c r="O2578">
        <v>4</v>
      </c>
      <c r="P2578">
        <v>582</v>
      </c>
      <c r="Q2578">
        <v>344</v>
      </c>
      <c r="R2578">
        <v>210</v>
      </c>
      <c r="S2578">
        <v>459.99</v>
      </c>
    </row>
    <row r="2579" spans="12:19" x14ac:dyDescent="0.2">
      <c r="L2579" t="s">
        <v>374</v>
      </c>
      <c r="M2579">
        <v>173</v>
      </c>
      <c r="N2579">
        <v>1</v>
      </c>
      <c r="O2579">
        <v>4</v>
      </c>
      <c r="P2579">
        <v>582</v>
      </c>
      <c r="Q2579">
        <v>344</v>
      </c>
      <c r="R2579">
        <v>210</v>
      </c>
      <c r="S2579">
        <v>204.45</v>
      </c>
    </row>
    <row r="2580" spans="12:19" x14ac:dyDescent="0.2">
      <c r="L2580" t="s">
        <v>374</v>
      </c>
      <c r="M2580">
        <v>177</v>
      </c>
      <c r="N2580">
        <v>1</v>
      </c>
      <c r="O2580">
        <v>4</v>
      </c>
      <c r="P2580">
        <v>582</v>
      </c>
      <c r="Q2580">
        <v>344</v>
      </c>
      <c r="R2580">
        <v>210</v>
      </c>
      <c r="S2580">
        <v>1048.0999999999999</v>
      </c>
    </row>
    <row r="2581" spans="12:19" x14ac:dyDescent="0.2">
      <c r="L2581" t="s">
        <v>374</v>
      </c>
      <c r="M2581">
        <v>181</v>
      </c>
      <c r="N2581">
        <v>1</v>
      </c>
      <c r="O2581">
        <v>4</v>
      </c>
      <c r="P2581">
        <v>582</v>
      </c>
      <c r="Q2581">
        <v>344</v>
      </c>
      <c r="R2581">
        <v>210</v>
      </c>
      <c r="S2581">
        <v>13770.54</v>
      </c>
    </row>
    <row r="2582" spans="12:19" x14ac:dyDescent="0.2">
      <c r="L2582" t="s">
        <v>374</v>
      </c>
      <c r="M2582">
        <v>182</v>
      </c>
      <c r="N2582">
        <v>1</v>
      </c>
      <c r="O2582">
        <v>4</v>
      </c>
      <c r="P2582">
        <v>582</v>
      </c>
      <c r="Q2582">
        <v>344</v>
      </c>
      <c r="R2582">
        <v>210</v>
      </c>
      <c r="S2582">
        <v>989.25</v>
      </c>
    </row>
    <row r="2583" spans="12:19" x14ac:dyDescent="0.2">
      <c r="L2583" t="s">
        <v>374</v>
      </c>
      <c r="M2583">
        <v>186</v>
      </c>
      <c r="N2583">
        <v>1</v>
      </c>
      <c r="O2583">
        <v>4</v>
      </c>
      <c r="P2583">
        <v>582</v>
      </c>
      <c r="Q2583">
        <v>344</v>
      </c>
      <c r="R2583">
        <v>210</v>
      </c>
      <c r="S2583">
        <v>4078.74</v>
      </c>
    </row>
    <row r="2584" spans="12:19" x14ac:dyDescent="0.2">
      <c r="L2584" t="s">
        <v>374</v>
      </c>
      <c r="M2584">
        <v>191</v>
      </c>
      <c r="N2584">
        <v>1</v>
      </c>
      <c r="O2584">
        <v>4</v>
      </c>
      <c r="P2584">
        <v>582</v>
      </c>
      <c r="Q2584">
        <v>344</v>
      </c>
      <c r="R2584">
        <v>210</v>
      </c>
      <c r="S2584">
        <v>5020.38</v>
      </c>
    </row>
    <row r="2585" spans="12:19" x14ac:dyDescent="0.2">
      <c r="L2585" t="s">
        <v>374</v>
      </c>
      <c r="M2585">
        <v>192</v>
      </c>
      <c r="N2585">
        <v>1</v>
      </c>
      <c r="O2585">
        <v>4</v>
      </c>
      <c r="P2585">
        <v>582</v>
      </c>
      <c r="Q2585">
        <v>344</v>
      </c>
      <c r="R2585">
        <v>210</v>
      </c>
      <c r="S2585">
        <v>3068.38</v>
      </c>
    </row>
    <row r="2586" spans="12:19" x14ac:dyDescent="0.2">
      <c r="L2586" t="s">
        <v>374</v>
      </c>
      <c r="M2586">
        <v>194</v>
      </c>
      <c r="N2586">
        <v>1</v>
      </c>
      <c r="O2586">
        <v>4</v>
      </c>
      <c r="P2586">
        <v>582</v>
      </c>
      <c r="Q2586">
        <v>344</v>
      </c>
      <c r="R2586">
        <v>210</v>
      </c>
      <c r="S2586">
        <v>1519.97</v>
      </c>
    </row>
    <row r="2587" spans="12:19" x14ac:dyDescent="0.2">
      <c r="L2587" t="s">
        <v>374</v>
      </c>
      <c r="M2587">
        <v>195</v>
      </c>
      <c r="N2587">
        <v>1</v>
      </c>
      <c r="O2587">
        <v>4</v>
      </c>
      <c r="P2587">
        <v>582</v>
      </c>
      <c r="Q2587">
        <v>344</v>
      </c>
      <c r="R2587">
        <v>210</v>
      </c>
      <c r="S2587">
        <v>10.83</v>
      </c>
    </row>
    <row r="2588" spans="12:19" x14ac:dyDescent="0.2">
      <c r="L2588" t="s">
        <v>374</v>
      </c>
      <c r="M2588">
        <v>196</v>
      </c>
      <c r="N2588">
        <v>1</v>
      </c>
      <c r="O2588">
        <v>4</v>
      </c>
      <c r="P2588">
        <v>582</v>
      </c>
      <c r="Q2588">
        <v>344</v>
      </c>
      <c r="R2588">
        <v>210</v>
      </c>
      <c r="S2588">
        <v>19830.09</v>
      </c>
    </row>
    <row r="2589" spans="12:19" x14ac:dyDescent="0.2">
      <c r="L2589" t="s">
        <v>374</v>
      </c>
      <c r="M2589">
        <v>197</v>
      </c>
      <c r="N2589">
        <v>1</v>
      </c>
      <c r="O2589">
        <v>4</v>
      </c>
      <c r="P2589">
        <v>582</v>
      </c>
      <c r="Q2589">
        <v>344</v>
      </c>
      <c r="R2589">
        <v>210</v>
      </c>
      <c r="S2589">
        <v>3939.33</v>
      </c>
    </row>
    <row r="2590" spans="12:19" x14ac:dyDescent="0.2">
      <c r="L2590" t="s">
        <v>374</v>
      </c>
      <c r="M2590">
        <v>200</v>
      </c>
      <c r="N2590">
        <v>1</v>
      </c>
      <c r="O2590">
        <v>4</v>
      </c>
      <c r="P2590">
        <v>582</v>
      </c>
      <c r="Q2590">
        <v>344</v>
      </c>
      <c r="R2590">
        <v>210</v>
      </c>
      <c r="S2590">
        <v>4563.1000000000004</v>
      </c>
    </row>
    <row r="2591" spans="12:19" x14ac:dyDescent="0.2">
      <c r="L2591" t="s">
        <v>374</v>
      </c>
      <c r="M2591">
        <v>203</v>
      </c>
      <c r="N2591">
        <v>1</v>
      </c>
      <c r="O2591">
        <v>4</v>
      </c>
      <c r="P2591">
        <v>582</v>
      </c>
      <c r="Q2591">
        <v>344</v>
      </c>
      <c r="R2591">
        <v>210</v>
      </c>
      <c r="S2591">
        <v>610.85</v>
      </c>
    </row>
    <row r="2592" spans="12:19" x14ac:dyDescent="0.2">
      <c r="L2592" t="s">
        <v>374</v>
      </c>
      <c r="M2592">
        <v>204</v>
      </c>
      <c r="N2592">
        <v>1</v>
      </c>
      <c r="O2592">
        <v>4</v>
      </c>
      <c r="P2592">
        <v>582</v>
      </c>
      <c r="Q2592">
        <v>344</v>
      </c>
      <c r="R2592">
        <v>210</v>
      </c>
      <c r="S2592">
        <v>4926.2299999999996</v>
      </c>
    </row>
    <row r="2593" spans="12:19" x14ac:dyDescent="0.2">
      <c r="L2593" t="s">
        <v>374</v>
      </c>
      <c r="M2593">
        <v>206</v>
      </c>
      <c r="N2593">
        <v>1</v>
      </c>
      <c r="O2593">
        <v>4</v>
      </c>
      <c r="P2593">
        <v>582</v>
      </c>
      <c r="Q2593">
        <v>344</v>
      </c>
      <c r="R2593">
        <v>210</v>
      </c>
      <c r="S2593">
        <v>7117.94</v>
      </c>
    </row>
    <row r="2594" spans="12:19" x14ac:dyDescent="0.2">
      <c r="L2594" t="s">
        <v>374</v>
      </c>
      <c r="M2594">
        <v>213</v>
      </c>
      <c r="N2594">
        <v>1</v>
      </c>
      <c r="O2594">
        <v>4</v>
      </c>
      <c r="P2594">
        <v>582</v>
      </c>
      <c r="Q2594">
        <v>344</v>
      </c>
      <c r="R2594">
        <v>210</v>
      </c>
      <c r="S2594">
        <v>2815.23</v>
      </c>
    </row>
    <row r="2595" spans="12:19" x14ac:dyDescent="0.2">
      <c r="L2595" t="s">
        <v>374</v>
      </c>
      <c r="M2595">
        <v>227</v>
      </c>
      <c r="N2595">
        <v>1</v>
      </c>
      <c r="O2595">
        <v>4</v>
      </c>
      <c r="P2595">
        <v>582</v>
      </c>
      <c r="Q2595">
        <v>344</v>
      </c>
      <c r="R2595">
        <v>210</v>
      </c>
      <c r="S2595">
        <v>4693.46</v>
      </c>
    </row>
    <row r="2596" spans="12:19" x14ac:dyDescent="0.2">
      <c r="L2596" t="s">
        <v>374</v>
      </c>
      <c r="M2596">
        <v>229</v>
      </c>
      <c r="N2596">
        <v>1</v>
      </c>
      <c r="O2596">
        <v>4</v>
      </c>
      <c r="P2596">
        <v>582</v>
      </c>
      <c r="Q2596">
        <v>344</v>
      </c>
      <c r="R2596">
        <v>210</v>
      </c>
      <c r="S2596">
        <v>332.03</v>
      </c>
    </row>
    <row r="2597" spans="12:19" x14ac:dyDescent="0.2">
      <c r="L2597" t="s">
        <v>374</v>
      </c>
      <c r="M2597">
        <v>238</v>
      </c>
      <c r="N2597">
        <v>1</v>
      </c>
      <c r="O2597">
        <v>4</v>
      </c>
      <c r="P2597">
        <v>582</v>
      </c>
      <c r="Q2597">
        <v>344</v>
      </c>
      <c r="R2597">
        <v>210</v>
      </c>
      <c r="S2597">
        <v>1424.81</v>
      </c>
    </row>
    <row r="2598" spans="12:19" x14ac:dyDescent="0.2">
      <c r="L2598" t="s">
        <v>374</v>
      </c>
      <c r="M2598">
        <v>239</v>
      </c>
      <c r="N2598">
        <v>1</v>
      </c>
      <c r="O2598">
        <v>4</v>
      </c>
      <c r="P2598">
        <v>582</v>
      </c>
      <c r="Q2598">
        <v>344</v>
      </c>
      <c r="R2598">
        <v>210</v>
      </c>
      <c r="S2598">
        <v>283.27</v>
      </c>
    </row>
    <row r="2599" spans="12:19" x14ac:dyDescent="0.2">
      <c r="L2599" t="s">
        <v>374</v>
      </c>
      <c r="M2599">
        <v>241</v>
      </c>
      <c r="N2599">
        <v>1</v>
      </c>
      <c r="O2599">
        <v>4</v>
      </c>
      <c r="P2599">
        <v>582</v>
      </c>
      <c r="Q2599">
        <v>344</v>
      </c>
      <c r="R2599">
        <v>210</v>
      </c>
      <c r="S2599">
        <v>4444.5</v>
      </c>
    </row>
    <row r="2600" spans="12:19" x14ac:dyDescent="0.2">
      <c r="L2600" t="s">
        <v>374</v>
      </c>
      <c r="M2600">
        <v>242</v>
      </c>
      <c r="N2600">
        <v>1</v>
      </c>
      <c r="O2600">
        <v>4</v>
      </c>
      <c r="P2600">
        <v>582</v>
      </c>
      <c r="Q2600">
        <v>344</v>
      </c>
      <c r="R2600">
        <v>210</v>
      </c>
      <c r="S2600">
        <v>963.96</v>
      </c>
    </row>
    <row r="2601" spans="12:19" x14ac:dyDescent="0.2">
      <c r="L2601" t="s">
        <v>374</v>
      </c>
      <c r="M2601">
        <v>252</v>
      </c>
      <c r="N2601">
        <v>1</v>
      </c>
      <c r="O2601">
        <v>4</v>
      </c>
      <c r="P2601">
        <v>582</v>
      </c>
      <c r="Q2601">
        <v>344</v>
      </c>
      <c r="R2601">
        <v>210</v>
      </c>
      <c r="S2601">
        <v>670.44</v>
      </c>
    </row>
    <row r="2602" spans="12:19" x14ac:dyDescent="0.2">
      <c r="L2602" t="s">
        <v>374</v>
      </c>
      <c r="M2602">
        <v>253</v>
      </c>
      <c r="N2602">
        <v>1</v>
      </c>
      <c r="O2602">
        <v>4</v>
      </c>
      <c r="P2602">
        <v>582</v>
      </c>
      <c r="Q2602">
        <v>344</v>
      </c>
      <c r="R2602">
        <v>210</v>
      </c>
      <c r="S2602">
        <v>512.33000000000004</v>
      </c>
    </row>
    <row r="2603" spans="12:19" x14ac:dyDescent="0.2">
      <c r="L2603" t="s">
        <v>374</v>
      </c>
      <c r="M2603">
        <v>255</v>
      </c>
      <c r="N2603">
        <v>1</v>
      </c>
      <c r="O2603">
        <v>4</v>
      </c>
      <c r="P2603">
        <v>582</v>
      </c>
      <c r="Q2603">
        <v>344</v>
      </c>
      <c r="R2603">
        <v>210</v>
      </c>
      <c r="S2603">
        <v>2216.46</v>
      </c>
    </row>
    <row r="2604" spans="12:19" x14ac:dyDescent="0.2">
      <c r="L2604" t="s">
        <v>374</v>
      </c>
      <c r="M2604">
        <v>256</v>
      </c>
      <c r="N2604">
        <v>1</v>
      </c>
      <c r="O2604">
        <v>4</v>
      </c>
      <c r="P2604">
        <v>582</v>
      </c>
      <c r="Q2604">
        <v>344</v>
      </c>
      <c r="R2604">
        <v>210</v>
      </c>
      <c r="S2604">
        <v>858.63</v>
      </c>
    </row>
    <row r="2605" spans="12:19" x14ac:dyDescent="0.2">
      <c r="L2605" t="s">
        <v>374</v>
      </c>
      <c r="M2605">
        <v>264</v>
      </c>
      <c r="N2605">
        <v>1</v>
      </c>
      <c r="O2605">
        <v>4</v>
      </c>
      <c r="P2605">
        <v>582</v>
      </c>
      <c r="Q2605">
        <v>344</v>
      </c>
      <c r="R2605">
        <v>210</v>
      </c>
      <c r="S2605">
        <v>395.59</v>
      </c>
    </row>
    <row r="2606" spans="12:19" x14ac:dyDescent="0.2">
      <c r="L2606" t="s">
        <v>374</v>
      </c>
      <c r="M2606">
        <v>270</v>
      </c>
      <c r="N2606">
        <v>1</v>
      </c>
      <c r="O2606">
        <v>4</v>
      </c>
      <c r="P2606">
        <v>582</v>
      </c>
      <c r="Q2606">
        <v>344</v>
      </c>
      <c r="R2606">
        <v>210</v>
      </c>
      <c r="S2606">
        <v>1691.11</v>
      </c>
    </row>
    <row r="2607" spans="12:19" x14ac:dyDescent="0.2">
      <c r="L2607" t="s">
        <v>374</v>
      </c>
      <c r="M2607">
        <v>271</v>
      </c>
      <c r="N2607">
        <v>1</v>
      </c>
      <c r="O2607">
        <v>4</v>
      </c>
      <c r="P2607">
        <v>582</v>
      </c>
      <c r="Q2607">
        <v>344</v>
      </c>
      <c r="R2607">
        <v>210</v>
      </c>
      <c r="S2607">
        <v>33200.49</v>
      </c>
    </row>
    <row r="2608" spans="12:19" x14ac:dyDescent="0.2">
      <c r="L2608" t="s">
        <v>374</v>
      </c>
      <c r="M2608">
        <v>272</v>
      </c>
      <c r="N2608">
        <v>1</v>
      </c>
      <c r="O2608">
        <v>4</v>
      </c>
      <c r="P2608">
        <v>582</v>
      </c>
      <c r="Q2608">
        <v>344</v>
      </c>
      <c r="R2608">
        <v>210</v>
      </c>
      <c r="S2608">
        <v>16615.919999999998</v>
      </c>
    </row>
    <row r="2609" spans="12:19" x14ac:dyDescent="0.2">
      <c r="L2609" t="s">
        <v>374</v>
      </c>
      <c r="M2609">
        <v>273</v>
      </c>
      <c r="N2609">
        <v>1</v>
      </c>
      <c r="O2609">
        <v>4</v>
      </c>
      <c r="P2609">
        <v>582</v>
      </c>
      <c r="Q2609">
        <v>344</v>
      </c>
      <c r="R2609">
        <v>210</v>
      </c>
      <c r="S2609">
        <v>3656.7</v>
      </c>
    </row>
    <row r="2610" spans="12:19" x14ac:dyDescent="0.2">
      <c r="L2610" t="s">
        <v>374</v>
      </c>
      <c r="M2610">
        <v>276</v>
      </c>
      <c r="N2610">
        <v>1</v>
      </c>
      <c r="O2610">
        <v>4</v>
      </c>
      <c r="P2610">
        <v>582</v>
      </c>
      <c r="Q2610">
        <v>344</v>
      </c>
      <c r="R2610">
        <v>210</v>
      </c>
      <c r="S2610">
        <v>967.43</v>
      </c>
    </row>
    <row r="2611" spans="12:19" x14ac:dyDescent="0.2">
      <c r="L2611" t="s">
        <v>374</v>
      </c>
      <c r="M2611">
        <v>277</v>
      </c>
      <c r="N2611">
        <v>1</v>
      </c>
      <c r="O2611">
        <v>4</v>
      </c>
      <c r="P2611">
        <v>582</v>
      </c>
      <c r="Q2611">
        <v>344</v>
      </c>
      <c r="R2611">
        <v>210</v>
      </c>
      <c r="S2611">
        <v>16566.75</v>
      </c>
    </row>
    <row r="2612" spans="12:19" x14ac:dyDescent="0.2">
      <c r="L2612" t="s">
        <v>374</v>
      </c>
      <c r="M2612">
        <v>279</v>
      </c>
      <c r="N2612">
        <v>1</v>
      </c>
      <c r="O2612">
        <v>4</v>
      </c>
      <c r="P2612">
        <v>582</v>
      </c>
      <c r="Q2612">
        <v>344</v>
      </c>
      <c r="R2612">
        <v>210</v>
      </c>
      <c r="S2612">
        <v>11997.33</v>
      </c>
    </row>
    <row r="2613" spans="12:19" x14ac:dyDescent="0.2">
      <c r="L2613" t="s">
        <v>374</v>
      </c>
      <c r="M2613">
        <v>282</v>
      </c>
      <c r="N2613">
        <v>1</v>
      </c>
      <c r="O2613">
        <v>4</v>
      </c>
      <c r="P2613">
        <v>582</v>
      </c>
      <c r="Q2613">
        <v>344</v>
      </c>
      <c r="R2613">
        <v>210</v>
      </c>
      <c r="S2613">
        <v>157.44</v>
      </c>
    </row>
    <row r="2614" spans="12:19" x14ac:dyDescent="0.2">
      <c r="L2614" t="s">
        <v>374</v>
      </c>
      <c r="M2614">
        <v>283</v>
      </c>
      <c r="N2614">
        <v>1</v>
      </c>
      <c r="O2614">
        <v>4</v>
      </c>
      <c r="P2614">
        <v>582</v>
      </c>
      <c r="Q2614">
        <v>344</v>
      </c>
      <c r="R2614">
        <v>210</v>
      </c>
      <c r="S2614">
        <v>2356.7199999999998</v>
      </c>
    </row>
    <row r="2615" spans="12:19" x14ac:dyDescent="0.2">
      <c r="L2615" t="s">
        <v>374</v>
      </c>
      <c r="M2615">
        <v>284</v>
      </c>
      <c r="N2615">
        <v>1</v>
      </c>
      <c r="O2615">
        <v>4</v>
      </c>
      <c r="P2615">
        <v>582</v>
      </c>
      <c r="Q2615">
        <v>344</v>
      </c>
      <c r="R2615">
        <v>210</v>
      </c>
      <c r="S2615">
        <v>1616.26</v>
      </c>
    </row>
    <row r="2616" spans="12:19" x14ac:dyDescent="0.2">
      <c r="L2616" t="s">
        <v>374</v>
      </c>
      <c r="M2616">
        <v>286</v>
      </c>
      <c r="N2616">
        <v>1</v>
      </c>
      <c r="O2616">
        <v>4</v>
      </c>
      <c r="P2616">
        <v>582</v>
      </c>
      <c r="Q2616">
        <v>344</v>
      </c>
      <c r="R2616">
        <v>210</v>
      </c>
      <c r="S2616">
        <v>4190.07</v>
      </c>
    </row>
    <row r="2617" spans="12:19" x14ac:dyDescent="0.2">
      <c r="L2617" t="s">
        <v>374</v>
      </c>
      <c r="M2617">
        <v>294</v>
      </c>
      <c r="N2617">
        <v>1</v>
      </c>
      <c r="O2617">
        <v>4</v>
      </c>
      <c r="P2617">
        <v>582</v>
      </c>
      <c r="Q2617">
        <v>344</v>
      </c>
      <c r="R2617">
        <v>210</v>
      </c>
      <c r="S2617">
        <v>513.12</v>
      </c>
    </row>
    <row r="2618" spans="12:19" x14ac:dyDescent="0.2">
      <c r="L2618" t="s">
        <v>374</v>
      </c>
      <c r="M2618">
        <v>297</v>
      </c>
      <c r="N2618">
        <v>1</v>
      </c>
      <c r="O2618">
        <v>4</v>
      </c>
      <c r="P2618">
        <v>582</v>
      </c>
      <c r="Q2618">
        <v>344</v>
      </c>
      <c r="R2618">
        <v>210</v>
      </c>
      <c r="S2618">
        <v>277.61</v>
      </c>
    </row>
    <row r="2619" spans="12:19" x14ac:dyDescent="0.2">
      <c r="L2619" t="s">
        <v>374</v>
      </c>
      <c r="M2619">
        <v>299</v>
      </c>
      <c r="N2619">
        <v>1</v>
      </c>
      <c r="O2619">
        <v>4</v>
      </c>
      <c r="P2619">
        <v>582</v>
      </c>
      <c r="Q2619">
        <v>344</v>
      </c>
      <c r="R2619">
        <v>210</v>
      </c>
      <c r="S2619">
        <v>2811.51</v>
      </c>
    </row>
    <row r="2620" spans="12:19" x14ac:dyDescent="0.2">
      <c r="L2620" t="s">
        <v>374</v>
      </c>
      <c r="M2620">
        <v>300</v>
      </c>
      <c r="N2620">
        <v>1</v>
      </c>
      <c r="O2620">
        <v>4</v>
      </c>
      <c r="P2620">
        <v>582</v>
      </c>
      <c r="Q2620">
        <v>344</v>
      </c>
      <c r="R2620">
        <v>210</v>
      </c>
      <c r="S2620">
        <v>1354.2</v>
      </c>
    </row>
    <row r="2621" spans="12:19" x14ac:dyDescent="0.2">
      <c r="L2621" t="s">
        <v>374</v>
      </c>
      <c r="M2621">
        <v>306</v>
      </c>
      <c r="N2621">
        <v>1</v>
      </c>
      <c r="O2621">
        <v>4</v>
      </c>
      <c r="P2621">
        <v>582</v>
      </c>
      <c r="Q2621">
        <v>344</v>
      </c>
      <c r="R2621">
        <v>210</v>
      </c>
      <c r="S2621">
        <v>1032.5899999999999</v>
      </c>
    </row>
    <row r="2622" spans="12:19" x14ac:dyDescent="0.2">
      <c r="L2622" t="s">
        <v>374</v>
      </c>
      <c r="M2622">
        <v>308</v>
      </c>
      <c r="N2622">
        <v>1</v>
      </c>
      <c r="O2622">
        <v>4</v>
      </c>
      <c r="P2622">
        <v>582</v>
      </c>
      <c r="Q2622">
        <v>344</v>
      </c>
      <c r="R2622">
        <v>210</v>
      </c>
      <c r="S2622">
        <v>644.03</v>
      </c>
    </row>
    <row r="2623" spans="12:19" x14ac:dyDescent="0.2">
      <c r="L2623" t="s">
        <v>374</v>
      </c>
      <c r="M2623">
        <v>309</v>
      </c>
      <c r="N2623">
        <v>1</v>
      </c>
      <c r="O2623">
        <v>4</v>
      </c>
      <c r="P2623">
        <v>582</v>
      </c>
      <c r="Q2623">
        <v>344</v>
      </c>
      <c r="R2623">
        <v>210</v>
      </c>
      <c r="S2623">
        <v>3707.38</v>
      </c>
    </row>
    <row r="2624" spans="12:19" x14ac:dyDescent="0.2">
      <c r="L2624" t="s">
        <v>374</v>
      </c>
      <c r="M2624">
        <v>314</v>
      </c>
      <c r="N2624">
        <v>1</v>
      </c>
      <c r="O2624">
        <v>4</v>
      </c>
      <c r="P2624">
        <v>582</v>
      </c>
      <c r="Q2624">
        <v>344</v>
      </c>
      <c r="R2624">
        <v>210</v>
      </c>
      <c r="S2624">
        <v>2265.15</v>
      </c>
    </row>
    <row r="2625" spans="12:19" x14ac:dyDescent="0.2">
      <c r="L2625" t="s">
        <v>374</v>
      </c>
      <c r="M2625">
        <v>316</v>
      </c>
      <c r="N2625">
        <v>1</v>
      </c>
      <c r="O2625">
        <v>4</v>
      </c>
      <c r="P2625">
        <v>582</v>
      </c>
      <c r="Q2625">
        <v>344</v>
      </c>
      <c r="R2625">
        <v>210</v>
      </c>
      <c r="S2625">
        <v>2080.21</v>
      </c>
    </row>
    <row r="2626" spans="12:19" x14ac:dyDescent="0.2">
      <c r="L2626" t="s">
        <v>374</v>
      </c>
      <c r="M2626">
        <v>317</v>
      </c>
      <c r="N2626">
        <v>1</v>
      </c>
      <c r="O2626">
        <v>4</v>
      </c>
      <c r="P2626">
        <v>582</v>
      </c>
      <c r="Q2626">
        <v>344</v>
      </c>
      <c r="R2626">
        <v>210</v>
      </c>
      <c r="S2626">
        <v>7748.74</v>
      </c>
    </row>
    <row r="2627" spans="12:19" x14ac:dyDescent="0.2">
      <c r="L2627" t="s">
        <v>374</v>
      </c>
      <c r="M2627">
        <v>332</v>
      </c>
      <c r="N2627">
        <v>1</v>
      </c>
      <c r="O2627">
        <v>4</v>
      </c>
      <c r="P2627">
        <v>582</v>
      </c>
      <c r="Q2627">
        <v>344</v>
      </c>
      <c r="R2627">
        <v>210</v>
      </c>
      <c r="S2627">
        <v>1065.98</v>
      </c>
    </row>
    <row r="2628" spans="12:19" x14ac:dyDescent="0.2">
      <c r="L2628" t="s">
        <v>374</v>
      </c>
      <c r="M2628">
        <v>333</v>
      </c>
      <c r="N2628">
        <v>1</v>
      </c>
      <c r="O2628">
        <v>4</v>
      </c>
      <c r="P2628">
        <v>582</v>
      </c>
      <c r="Q2628">
        <v>344</v>
      </c>
      <c r="R2628">
        <v>210</v>
      </c>
      <c r="S2628">
        <v>1857.81</v>
      </c>
    </row>
    <row r="2629" spans="12:19" x14ac:dyDescent="0.2">
      <c r="L2629" t="s">
        <v>374</v>
      </c>
      <c r="M2629">
        <v>345</v>
      </c>
      <c r="N2629">
        <v>1</v>
      </c>
      <c r="O2629">
        <v>4</v>
      </c>
      <c r="P2629">
        <v>582</v>
      </c>
      <c r="Q2629">
        <v>344</v>
      </c>
      <c r="R2629">
        <v>210</v>
      </c>
      <c r="S2629">
        <v>2010</v>
      </c>
    </row>
    <row r="2630" spans="12:19" x14ac:dyDescent="0.2">
      <c r="L2630" t="s">
        <v>374</v>
      </c>
      <c r="M2630">
        <v>347</v>
      </c>
      <c r="N2630">
        <v>1</v>
      </c>
      <c r="O2630">
        <v>4</v>
      </c>
      <c r="P2630">
        <v>582</v>
      </c>
      <c r="Q2630">
        <v>344</v>
      </c>
      <c r="R2630">
        <v>210</v>
      </c>
      <c r="S2630">
        <v>5996.2</v>
      </c>
    </row>
    <row r="2631" spans="12:19" x14ac:dyDescent="0.2">
      <c r="L2631" t="s">
        <v>374</v>
      </c>
      <c r="M2631">
        <v>356</v>
      </c>
      <c r="N2631">
        <v>1</v>
      </c>
      <c r="O2631">
        <v>4</v>
      </c>
      <c r="P2631">
        <v>582</v>
      </c>
      <c r="Q2631">
        <v>344</v>
      </c>
      <c r="R2631">
        <v>210</v>
      </c>
      <c r="S2631">
        <v>357.15</v>
      </c>
    </row>
    <row r="2632" spans="12:19" x14ac:dyDescent="0.2">
      <c r="L2632" t="s">
        <v>374</v>
      </c>
      <c r="M2632">
        <v>361</v>
      </c>
      <c r="N2632">
        <v>1</v>
      </c>
      <c r="O2632">
        <v>4</v>
      </c>
      <c r="P2632">
        <v>582</v>
      </c>
      <c r="Q2632">
        <v>344</v>
      </c>
      <c r="R2632">
        <v>210</v>
      </c>
      <c r="S2632">
        <v>3053.19</v>
      </c>
    </row>
    <row r="2633" spans="12:19" x14ac:dyDescent="0.2">
      <c r="L2633" t="s">
        <v>374</v>
      </c>
      <c r="M2633">
        <v>362</v>
      </c>
      <c r="N2633">
        <v>1</v>
      </c>
      <c r="O2633">
        <v>4</v>
      </c>
      <c r="P2633">
        <v>582</v>
      </c>
      <c r="Q2633">
        <v>344</v>
      </c>
      <c r="R2633">
        <v>210</v>
      </c>
      <c r="S2633">
        <v>3361.98</v>
      </c>
    </row>
    <row r="2634" spans="12:19" x14ac:dyDescent="0.2">
      <c r="L2634" t="s">
        <v>374</v>
      </c>
      <c r="M2634">
        <v>363</v>
      </c>
      <c r="N2634">
        <v>1</v>
      </c>
      <c r="O2634">
        <v>4</v>
      </c>
      <c r="P2634">
        <v>582</v>
      </c>
      <c r="Q2634">
        <v>344</v>
      </c>
      <c r="R2634">
        <v>210</v>
      </c>
      <c r="S2634">
        <v>974.38</v>
      </c>
    </row>
    <row r="2635" spans="12:19" x14ac:dyDescent="0.2">
      <c r="L2635" t="s">
        <v>374</v>
      </c>
      <c r="M2635">
        <v>378</v>
      </c>
      <c r="N2635">
        <v>1</v>
      </c>
      <c r="O2635">
        <v>4</v>
      </c>
      <c r="P2635">
        <v>582</v>
      </c>
      <c r="Q2635">
        <v>344</v>
      </c>
      <c r="R2635">
        <v>210</v>
      </c>
      <c r="S2635">
        <v>285.27</v>
      </c>
    </row>
    <row r="2636" spans="12:19" x14ac:dyDescent="0.2">
      <c r="L2636" t="s">
        <v>374</v>
      </c>
      <c r="M2636">
        <v>381</v>
      </c>
      <c r="N2636">
        <v>1</v>
      </c>
      <c r="O2636">
        <v>4</v>
      </c>
      <c r="P2636">
        <v>582</v>
      </c>
      <c r="Q2636">
        <v>344</v>
      </c>
      <c r="R2636">
        <v>210</v>
      </c>
      <c r="S2636">
        <v>673.88</v>
      </c>
    </row>
    <row r="2637" spans="12:19" x14ac:dyDescent="0.2">
      <c r="L2637" t="s">
        <v>374</v>
      </c>
      <c r="M2637">
        <v>390</v>
      </c>
      <c r="N2637">
        <v>1</v>
      </c>
      <c r="O2637">
        <v>4</v>
      </c>
      <c r="P2637">
        <v>582</v>
      </c>
      <c r="Q2637">
        <v>344</v>
      </c>
      <c r="R2637">
        <v>210</v>
      </c>
      <c r="S2637">
        <v>638.64</v>
      </c>
    </row>
    <row r="2638" spans="12:19" x14ac:dyDescent="0.2">
      <c r="L2638" t="s">
        <v>374</v>
      </c>
      <c r="M2638">
        <v>391</v>
      </c>
      <c r="N2638">
        <v>1</v>
      </c>
      <c r="O2638">
        <v>4</v>
      </c>
      <c r="P2638">
        <v>582</v>
      </c>
      <c r="Q2638">
        <v>344</v>
      </c>
      <c r="R2638">
        <v>210</v>
      </c>
      <c r="S2638">
        <v>3246.28</v>
      </c>
    </row>
    <row r="2639" spans="12:19" x14ac:dyDescent="0.2">
      <c r="L2639" t="s">
        <v>374</v>
      </c>
      <c r="M2639">
        <v>392</v>
      </c>
      <c r="N2639">
        <v>1</v>
      </c>
      <c r="O2639">
        <v>4</v>
      </c>
      <c r="P2639">
        <v>582</v>
      </c>
      <c r="Q2639">
        <v>344</v>
      </c>
      <c r="R2639">
        <v>210</v>
      </c>
      <c r="S2639">
        <v>2251.98</v>
      </c>
    </row>
    <row r="2640" spans="12:19" x14ac:dyDescent="0.2">
      <c r="L2640" t="s">
        <v>374</v>
      </c>
      <c r="M2640">
        <v>394</v>
      </c>
      <c r="N2640">
        <v>1</v>
      </c>
      <c r="O2640">
        <v>4</v>
      </c>
      <c r="P2640">
        <v>582</v>
      </c>
      <c r="Q2640">
        <v>344</v>
      </c>
      <c r="R2640">
        <v>210</v>
      </c>
      <c r="S2640">
        <v>3038.04</v>
      </c>
    </row>
    <row r="2641" spans="12:19" x14ac:dyDescent="0.2">
      <c r="L2641" t="s">
        <v>374</v>
      </c>
      <c r="M2641">
        <v>402</v>
      </c>
      <c r="N2641">
        <v>1</v>
      </c>
      <c r="O2641">
        <v>4</v>
      </c>
      <c r="P2641">
        <v>582</v>
      </c>
      <c r="Q2641">
        <v>344</v>
      </c>
      <c r="R2641">
        <v>210</v>
      </c>
      <c r="S2641">
        <v>563.27</v>
      </c>
    </row>
    <row r="2642" spans="12:19" x14ac:dyDescent="0.2">
      <c r="L2642" t="s">
        <v>374</v>
      </c>
      <c r="M2642">
        <v>404</v>
      </c>
      <c r="N2642">
        <v>1</v>
      </c>
      <c r="O2642">
        <v>4</v>
      </c>
      <c r="P2642">
        <v>582</v>
      </c>
      <c r="Q2642">
        <v>344</v>
      </c>
      <c r="R2642">
        <v>210</v>
      </c>
      <c r="S2642">
        <v>37.04</v>
      </c>
    </row>
    <row r="2643" spans="12:19" x14ac:dyDescent="0.2">
      <c r="L2643" t="s">
        <v>374</v>
      </c>
      <c r="M2643">
        <v>413</v>
      </c>
      <c r="N2643">
        <v>1</v>
      </c>
      <c r="O2643">
        <v>4</v>
      </c>
      <c r="P2643">
        <v>582</v>
      </c>
      <c r="Q2643">
        <v>344</v>
      </c>
      <c r="R2643">
        <v>210</v>
      </c>
      <c r="S2643">
        <v>2748.79</v>
      </c>
    </row>
    <row r="2644" spans="12:19" x14ac:dyDescent="0.2">
      <c r="L2644" t="s">
        <v>374</v>
      </c>
      <c r="M2644">
        <v>414</v>
      </c>
      <c r="N2644">
        <v>1</v>
      </c>
      <c r="O2644">
        <v>4</v>
      </c>
      <c r="P2644">
        <v>582</v>
      </c>
      <c r="Q2644">
        <v>344</v>
      </c>
      <c r="R2644">
        <v>210</v>
      </c>
      <c r="S2644">
        <v>309</v>
      </c>
    </row>
    <row r="2645" spans="12:19" x14ac:dyDescent="0.2">
      <c r="L2645" t="s">
        <v>374</v>
      </c>
      <c r="M2645">
        <v>415</v>
      </c>
      <c r="N2645">
        <v>1</v>
      </c>
      <c r="O2645">
        <v>4</v>
      </c>
      <c r="P2645">
        <v>582</v>
      </c>
      <c r="Q2645">
        <v>344</v>
      </c>
      <c r="R2645">
        <v>210</v>
      </c>
      <c r="S2645">
        <v>785</v>
      </c>
    </row>
    <row r="2646" spans="12:19" x14ac:dyDescent="0.2">
      <c r="L2646" t="s">
        <v>374</v>
      </c>
      <c r="M2646">
        <v>417</v>
      </c>
      <c r="N2646">
        <v>1</v>
      </c>
      <c r="O2646">
        <v>4</v>
      </c>
      <c r="P2646">
        <v>582</v>
      </c>
      <c r="Q2646">
        <v>344</v>
      </c>
      <c r="R2646">
        <v>210</v>
      </c>
      <c r="S2646">
        <v>1575.77</v>
      </c>
    </row>
    <row r="2647" spans="12:19" x14ac:dyDescent="0.2">
      <c r="L2647" t="s">
        <v>374</v>
      </c>
      <c r="M2647">
        <v>423</v>
      </c>
      <c r="N2647">
        <v>1</v>
      </c>
      <c r="O2647">
        <v>4</v>
      </c>
      <c r="P2647">
        <v>582</v>
      </c>
      <c r="Q2647">
        <v>344</v>
      </c>
      <c r="R2647">
        <v>210</v>
      </c>
      <c r="S2647">
        <v>1880.7</v>
      </c>
    </row>
    <row r="2648" spans="12:19" x14ac:dyDescent="0.2">
      <c r="L2648" t="s">
        <v>374</v>
      </c>
      <c r="M2648">
        <v>424</v>
      </c>
      <c r="N2648">
        <v>1</v>
      </c>
      <c r="O2648">
        <v>4</v>
      </c>
      <c r="P2648">
        <v>582</v>
      </c>
      <c r="Q2648">
        <v>344</v>
      </c>
      <c r="R2648">
        <v>210</v>
      </c>
      <c r="S2648">
        <v>1193.27</v>
      </c>
    </row>
    <row r="2649" spans="12:19" x14ac:dyDescent="0.2">
      <c r="L2649" t="s">
        <v>374</v>
      </c>
      <c r="M2649">
        <v>432</v>
      </c>
      <c r="N2649">
        <v>1</v>
      </c>
      <c r="O2649">
        <v>4</v>
      </c>
      <c r="P2649">
        <v>582</v>
      </c>
      <c r="Q2649">
        <v>344</v>
      </c>
      <c r="R2649">
        <v>210</v>
      </c>
      <c r="S2649">
        <v>765.99</v>
      </c>
    </row>
    <row r="2650" spans="12:19" x14ac:dyDescent="0.2">
      <c r="L2650" t="s">
        <v>374</v>
      </c>
      <c r="M2650">
        <v>435</v>
      </c>
      <c r="N2650">
        <v>1</v>
      </c>
      <c r="O2650">
        <v>4</v>
      </c>
      <c r="P2650">
        <v>582</v>
      </c>
      <c r="Q2650">
        <v>344</v>
      </c>
      <c r="R2650">
        <v>210</v>
      </c>
      <c r="S2650">
        <v>478.65</v>
      </c>
    </row>
    <row r="2651" spans="12:19" x14ac:dyDescent="0.2">
      <c r="L2651" t="s">
        <v>374</v>
      </c>
      <c r="M2651">
        <v>441</v>
      </c>
      <c r="N2651">
        <v>1</v>
      </c>
      <c r="O2651">
        <v>4</v>
      </c>
      <c r="P2651">
        <v>582</v>
      </c>
      <c r="Q2651">
        <v>344</v>
      </c>
      <c r="R2651">
        <v>210</v>
      </c>
      <c r="S2651">
        <v>2245.02</v>
      </c>
    </row>
    <row r="2652" spans="12:19" x14ac:dyDescent="0.2">
      <c r="L2652" t="s">
        <v>374</v>
      </c>
      <c r="M2652">
        <v>458</v>
      </c>
      <c r="N2652">
        <v>1</v>
      </c>
      <c r="O2652">
        <v>4</v>
      </c>
      <c r="P2652">
        <v>582</v>
      </c>
      <c r="Q2652">
        <v>344</v>
      </c>
      <c r="R2652">
        <v>210</v>
      </c>
      <c r="S2652">
        <v>1036.23</v>
      </c>
    </row>
    <row r="2653" spans="12:19" x14ac:dyDescent="0.2">
      <c r="L2653" t="s">
        <v>374</v>
      </c>
      <c r="M2653">
        <v>465</v>
      </c>
      <c r="N2653">
        <v>1</v>
      </c>
      <c r="O2653">
        <v>4</v>
      </c>
      <c r="P2653">
        <v>582</v>
      </c>
      <c r="Q2653">
        <v>344</v>
      </c>
      <c r="R2653">
        <v>210</v>
      </c>
      <c r="S2653">
        <v>3640.79</v>
      </c>
    </row>
    <row r="2654" spans="12:19" x14ac:dyDescent="0.2">
      <c r="L2654" t="s">
        <v>374</v>
      </c>
      <c r="M2654">
        <v>466</v>
      </c>
      <c r="N2654">
        <v>1</v>
      </c>
      <c r="O2654">
        <v>4</v>
      </c>
      <c r="P2654">
        <v>582</v>
      </c>
      <c r="Q2654">
        <v>344</v>
      </c>
      <c r="R2654">
        <v>210</v>
      </c>
      <c r="S2654">
        <v>6854.29</v>
      </c>
    </row>
    <row r="2655" spans="12:19" x14ac:dyDescent="0.2">
      <c r="L2655" t="s">
        <v>374</v>
      </c>
      <c r="M2655">
        <v>473</v>
      </c>
      <c r="N2655">
        <v>1</v>
      </c>
      <c r="O2655">
        <v>4</v>
      </c>
      <c r="P2655">
        <v>582</v>
      </c>
      <c r="Q2655">
        <v>344</v>
      </c>
      <c r="R2655">
        <v>210</v>
      </c>
      <c r="S2655">
        <v>1041.27</v>
      </c>
    </row>
    <row r="2656" spans="12:19" x14ac:dyDescent="0.2">
      <c r="L2656" t="s">
        <v>374</v>
      </c>
      <c r="M2656">
        <v>477</v>
      </c>
      <c r="N2656">
        <v>1</v>
      </c>
      <c r="O2656">
        <v>4</v>
      </c>
      <c r="P2656">
        <v>582</v>
      </c>
      <c r="Q2656">
        <v>344</v>
      </c>
      <c r="R2656">
        <v>210</v>
      </c>
      <c r="S2656">
        <v>3481.08</v>
      </c>
    </row>
    <row r="2657" spans="12:19" x14ac:dyDescent="0.2">
      <c r="L2657" t="s">
        <v>374</v>
      </c>
      <c r="M2657">
        <v>480</v>
      </c>
      <c r="N2657">
        <v>1</v>
      </c>
      <c r="O2657">
        <v>4</v>
      </c>
      <c r="P2657">
        <v>582</v>
      </c>
      <c r="Q2657">
        <v>344</v>
      </c>
      <c r="R2657">
        <v>210</v>
      </c>
      <c r="S2657">
        <v>877.35</v>
      </c>
    </row>
    <row r="2658" spans="12:19" x14ac:dyDescent="0.2">
      <c r="L2658" t="s">
        <v>374</v>
      </c>
      <c r="M2658">
        <v>482</v>
      </c>
      <c r="N2658">
        <v>1</v>
      </c>
      <c r="O2658">
        <v>4</v>
      </c>
      <c r="P2658">
        <v>582</v>
      </c>
      <c r="Q2658">
        <v>344</v>
      </c>
      <c r="R2658">
        <v>210</v>
      </c>
      <c r="S2658">
        <v>2231.4499999999998</v>
      </c>
    </row>
    <row r="2659" spans="12:19" x14ac:dyDescent="0.2">
      <c r="L2659" t="s">
        <v>374</v>
      </c>
      <c r="M2659">
        <v>485</v>
      </c>
      <c r="N2659">
        <v>1</v>
      </c>
      <c r="O2659">
        <v>4</v>
      </c>
      <c r="P2659">
        <v>582</v>
      </c>
      <c r="Q2659">
        <v>344</v>
      </c>
      <c r="R2659">
        <v>210</v>
      </c>
      <c r="S2659">
        <v>899.8</v>
      </c>
    </row>
    <row r="2660" spans="12:19" x14ac:dyDescent="0.2">
      <c r="L2660" t="s">
        <v>374</v>
      </c>
      <c r="M2660">
        <v>486</v>
      </c>
      <c r="N2660">
        <v>1</v>
      </c>
      <c r="O2660">
        <v>4</v>
      </c>
      <c r="P2660">
        <v>582</v>
      </c>
      <c r="Q2660">
        <v>344</v>
      </c>
      <c r="R2660">
        <v>210</v>
      </c>
      <c r="S2660">
        <v>60.01</v>
      </c>
    </row>
    <row r="2661" spans="12:19" x14ac:dyDescent="0.2">
      <c r="L2661" t="s">
        <v>374</v>
      </c>
      <c r="M2661">
        <v>492</v>
      </c>
      <c r="N2661">
        <v>1</v>
      </c>
      <c r="O2661">
        <v>4</v>
      </c>
      <c r="P2661">
        <v>582</v>
      </c>
      <c r="Q2661">
        <v>344</v>
      </c>
      <c r="R2661">
        <v>210</v>
      </c>
      <c r="S2661">
        <v>4042.37</v>
      </c>
    </row>
    <row r="2662" spans="12:19" x14ac:dyDescent="0.2">
      <c r="L2662" t="s">
        <v>374</v>
      </c>
      <c r="M2662">
        <v>495</v>
      </c>
      <c r="N2662">
        <v>1</v>
      </c>
      <c r="O2662">
        <v>4</v>
      </c>
      <c r="P2662">
        <v>582</v>
      </c>
      <c r="Q2662">
        <v>344</v>
      </c>
      <c r="R2662">
        <v>210</v>
      </c>
      <c r="S2662">
        <v>1922.05</v>
      </c>
    </row>
    <row r="2663" spans="12:19" x14ac:dyDescent="0.2">
      <c r="L2663" t="s">
        <v>374</v>
      </c>
      <c r="M2663">
        <v>499</v>
      </c>
      <c r="N2663">
        <v>1</v>
      </c>
      <c r="O2663">
        <v>4</v>
      </c>
      <c r="P2663">
        <v>582</v>
      </c>
      <c r="Q2663">
        <v>344</v>
      </c>
      <c r="R2663">
        <v>210</v>
      </c>
      <c r="S2663">
        <v>156.46</v>
      </c>
    </row>
    <row r="2664" spans="12:19" x14ac:dyDescent="0.2">
      <c r="L2664" t="s">
        <v>374</v>
      </c>
      <c r="M2664">
        <v>500</v>
      </c>
      <c r="N2664">
        <v>1</v>
      </c>
      <c r="O2664">
        <v>4</v>
      </c>
      <c r="P2664">
        <v>582</v>
      </c>
      <c r="Q2664">
        <v>344</v>
      </c>
      <c r="R2664">
        <v>210</v>
      </c>
      <c r="S2664">
        <v>1475.7</v>
      </c>
    </row>
    <row r="2665" spans="12:19" x14ac:dyDescent="0.2">
      <c r="L2665" t="s">
        <v>374</v>
      </c>
      <c r="M2665">
        <v>507</v>
      </c>
      <c r="N2665">
        <v>1</v>
      </c>
      <c r="O2665">
        <v>4</v>
      </c>
      <c r="P2665">
        <v>582</v>
      </c>
      <c r="Q2665">
        <v>344</v>
      </c>
      <c r="R2665">
        <v>210</v>
      </c>
      <c r="S2665">
        <v>218.25</v>
      </c>
    </row>
    <row r="2666" spans="12:19" x14ac:dyDescent="0.2">
      <c r="L2666" t="s">
        <v>374</v>
      </c>
      <c r="M2666">
        <v>508</v>
      </c>
      <c r="N2666">
        <v>1</v>
      </c>
      <c r="O2666">
        <v>4</v>
      </c>
      <c r="P2666">
        <v>582</v>
      </c>
      <c r="Q2666">
        <v>344</v>
      </c>
      <c r="R2666">
        <v>210</v>
      </c>
      <c r="S2666">
        <v>7352.09</v>
      </c>
    </row>
    <row r="2667" spans="12:19" x14ac:dyDescent="0.2">
      <c r="L2667" t="s">
        <v>374</v>
      </c>
      <c r="M2667">
        <v>513</v>
      </c>
      <c r="N2667">
        <v>1</v>
      </c>
      <c r="O2667">
        <v>4</v>
      </c>
      <c r="P2667">
        <v>582</v>
      </c>
      <c r="Q2667">
        <v>344</v>
      </c>
      <c r="R2667">
        <v>210</v>
      </c>
      <c r="S2667">
        <v>1864.3</v>
      </c>
    </row>
    <row r="2668" spans="12:19" x14ac:dyDescent="0.2">
      <c r="L2668" t="s">
        <v>374</v>
      </c>
      <c r="M2668">
        <v>518</v>
      </c>
      <c r="N2668">
        <v>1</v>
      </c>
      <c r="O2668">
        <v>4</v>
      </c>
      <c r="P2668">
        <v>582</v>
      </c>
      <c r="Q2668">
        <v>344</v>
      </c>
      <c r="R2668">
        <v>210</v>
      </c>
      <c r="S2668">
        <v>2705.05</v>
      </c>
    </row>
    <row r="2669" spans="12:19" x14ac:dyDescent="0.2">
      <c r="L2669" t="s">
        <v>374</v>
      </c>
      <c r="M2669">
        <v>531</v>
      </c>
      <c r="N2669">
        <v>1</v>
      </c>
      <c r="O2669">
        <v>4</v>
      </c>
      <c r="P2669">
        <v>582</v>
      </c>
      <c r="Q2669">
        <v>344</v>
      </c>
      <c r="R2669">
        <v>210</v>
      </c>
      <c r="S2669">
        <v>8385.85</v>
      </c>
    </row>
    <row r="2670" spans="12:19" x14ac:dyDescent="0.2">
      <c r="L2670" t="s">
        <v>374</v>
      </c>
      <c r="M2670">
        <v>533</v>
      </c>
      <c r="N2670">
        <v>1</v>
      </c>
      <c r="O2670">
        <v>4</v>
      </c>
      <c r="P2670">
        <v>582</v>
      </c>
      <c r="Q2670">
        <v>344</v>
      </c>
      <c r="R2670">
        <v>210</v>
      </c>
      <c r="S2670">
        <v>1450.48</v>
      </c>
    </row>
    <row r="2671" spans="12:19" x14ac:dyDescent="0.2">
      <c r="L2671" t="s">
        <v>374</v>
      </c>
      <c r="M2671">
        <v>534</v>
      </c>
      <c r="N2671">
        <v>1</v>
      </c>
      <c r="O2671">
        <v>4</v>
      </c>
      <c r="P2671">
        <v>582</v>
      </c>
      <c r="Q2671">
        <v>344</v>
      </c>
      <c r="R2671">
        <v>210</v>
      </c>
      <c r="S2671">
        <v>2435.6799999999998</v>
      </c>
    </row>
    <row r="2672" spans="12:19" x14ac:dyDescent="0.2">
      <c r="L2672" t="s">
        <v>374</v>
      </c>
      <c r="M2672">
        <v>535</v>
      </c>
      <c r="N2672">
        <v>1</v>
      </c>
      <c r="O2672">
        <v>4</v>
      </c>
      <c r="P2672">
        <v>582</v>
      </c>
      <c r="Q2672">
        <v>344</v>
      </c>
      <c r="R2672">
        <v>210</v>
      </c>
      <c r="S2672">
        <v>679.85</v>
      </c>
    </row>
    <row r="2673" spans="12:19" x14ac:dyDescent="0.2">
      <c r="L2673" t="s">
        <v>374</v>
      </c>
      <c r="M2673">
        <v>542</v>
      </c>
      <c r="N2673">
        <v>1</v>
      </c>
      <c r="O2673">
        <v>4</v>
      </c>
      <c r="P2673">
        <v>582</v>
      </c>
      <c r="Q2673">
        <v>344</v>
      </c>
      <c r="R2673">
        <v>210</v>
      </c>
      <c r="S2673">
        <v>449.1</v>
      </c>
    </row>
    <row r="2674" spans="12:19" x14ac:dyDescent="0.2">
      <c r="L2674" t="s">
        <v>374</v>
      </c>
      <c r="M2674">
        <v>544</v>
      </c>
      <c r="N2674">
        <v>1</v>
      </c>
      <c r="O2674">
        <v>4</v>
      </c>
      <c r="P2674">
        <v>582</v>
      </c>
      <c r="Q2674">
        <v>344</v>
      </c>
      <c r="R2674">
        <v>210</v>
      </c>
      <c r="S2674">
        <v>436.53</v>
      </c>
    </row>
    <row r="2675" spans="12:19" x14ac:dyDescent="0.2">
      <c r="L2675" t="s">
        <v>374</v>
      </c>
      <c r="M2675">
        <v>545</v>
      </c>
      <c r="N2675">
        <v>1</v>
      </c>
      <c r="O2675">
        <v>4</v>
      </c>
      <c r="P2675">
        <v>582</v>
      </c>
      <c r="Q2675">
        <v>344</v>
      </c>
      <c r="R2675">
        <v>210</v>
      </c>
      <c r="S2675">
        <v>1439.69</v>
      </c>
    </row>
    <row r="2676" spans="12:19" x14ac:dyDescent="0.2">
      <c r="L2676" t="s">
        <v>374</v>
      </c>
      <c r="M2676">
        <v>547</v>
      </c>
      <c r="N2676">
        <v>1</v>
      </c>
      <c r="O2676">
        <v>4</v>
      </c>
      <c r="P2676">
        <v>582</v>
      </c>
      <c r="Q2676">
        <v>344</v>
      </c>
      <c r="R2676">
        <v>210</v>
      </c>
      <c r="S2676">
        <v>1074.46</v>
      </c>
    </row>
    <row r="2677" spans="12:19" x14ac:dyDescent="0.2">
      <c r="L2677" t="s">
        <v>374</v>
      </c>
      <c r="M2677">
        <v>549</v>
      </c>
      <c r="N2677">
        <v>1</v>
      </c>
      <c r="O2677">
        <v>4</v>
      </c>
      <c r="P2677">
        <v>582</v>
      </c>
      <c r="Q2677">
        <v>344</v>
      </c>
      <c r="R2677">
        <v>210</v>
      </c>
      <c r="S2677">
        <v>10088.15</v>
      </c>
    </row>
    <row r="2678" spans="12:19" x14ac:dyDescent="0.2">
      <c r="L2678" t="s">
        <v>374</v>
      </c>
      <c r="M2678">
        <v>550</v>
      </c>
      <c r="N2678">
        <v>1</v>
      </c>
      <c r="O2678">
        <v>4</v>
      </c>
      <c r="P2678">
        <v>582</v>
      </c>
      <c r="Q2678">
        <v>344</v>
      </c>
      <c r="R2678">
        <v>210</v>
      </c>
      <c r="S2678">
        <v>1887.22</v>
      </c>
    </row>
    <row r="2679" spans="12:19" x14ac:dyDescent="0.2">
      <c r="L2679" t="s">
        <v>374</v>
      </c>
      <c r="M2679">
        <v>553</v>
      </c>
      <c r="N2679">
        <v>1</v>
      </c>
      <c r="O2679">
        <v>4</v>
      </c>
      <c r="P2679">
        <v>582</v>
      </c>
      <c r="Q2679">
        <v>344</v>
      </c>
      <c r="R2679">
        <v>210</v>
      </c>
      <c r="S2679">
        <v>1260.33</v>
      </c>
    </row>
    <row r="2680" spans="12:19" x14ac:dyDescent="0.2">
      <c r="L2680" t="s">
        <v>374</v>
      </c>
      <c r="M2680">
        <v>561</v>
      </c>
      <c r="N2680">
        <v>1</v>
      </c>
      <c r="O2680">
        <v>4</v>
      </c>
      <c r="P2680">
        <v>582</v>
      </c>
      <c r="Q2680">
        <v>344</v>
      </c>
      <c r="R2680">
        <v>210</v>
      </c>
      <c r="S2680">
        <v>2.2000000000000002</v>
      </c>
    </row>
    <row r="2681" spans="12:19" x14ac:dyDescent="0.2">
      <c r="L2681" t="s">
        <v>374</v>
      </c>
      <c r="M2681">
        <v>564</v>
      </c>
      <c r="N2681">
        <v>1</v>
      </c>
      <c r="O2681">
        <v>4</v>
      </c>
      <c r="P2681">
        <v>582</v>
      </c>
      <c r="Q2681">
        <v>344</v>
      </c>
      <c r="R2681">
        <v>210</v>
      </c>
      <c r="S2681">
        <v>6578.49</v>
      </c>
    </row>
    <row r="2682" spans="12:19" x14ac:dyDescent="0.2">
      <c r="L2682" t="s">
        <v>374</v>
      </c>
      <c r="M2682">
        <v>577</v>
      </c>
      <c r="N2682">
        <v>1</v>
      </c>
      <c r="O2682">
        <v>4</v>
      </c>
      <c r="P2682">
        <v>582</v>
      </c>
      <c r="Q2682">
        <v>344</v>
      </c>
      <c r="R2682">
        <v>210</v>
      </c>
      <c r="S2682">
        <v>735.07</v>
      </c>
    </row>
    <row r="2683" spans="12:19" x14ac:dyDescent="0.2">
      <c r="L2683" t="s">
        <v>374</v>
      </c>
      <c r="M2683">
        <v>578</v>
      </c>
      <c r="N2683">
        <v>1</v>
      </c>
      <c r="O2683">
        <v>4</v>
      </c>
      <c r="P2683">
        <v>582</v>
      </c>
      <c r="Q2683">
        <v>344</v>
      </c>
      <c r="R2683">
        <v>210</v>
      </c>
      <c r="S2683">
        <v>665.92</v>
      </c>
    </row>
    <row r="2684" spans="12:19" x14ac:dyDescent="0.2">
      <c r="L2684" t="s">
        <v>374</v>
      </c>
      <c r="M2684">
        <v>581</v>
      </c>
      <c r="N2684">
        <v>1</v>
      </c>
      <c r="O2684">
        <v>4</v>
      </c>
      <c r="P2684">
        <v>582</v>
      </c>
      <c r="Q2684">
        <v>344</v>
      </c>
      <c r="R2684">
        <v>210</v>
      </c>
      <c r="S2684">
        <v>698.01</v>
      </c>
    </row>
    <row r="2685" spans="12:19" x14ac:dyDescent="0.2">
      <c r="L2685" t="s">
        <v>374</v>
      </c>
      <c r="M2685">
        <v>592</v>
      </c>
      <c r="N2685">
        <v>1</v>
      </c>
      <c r="O2685">
        <v>4</v>
      </c>
      <c r="P2685">
        <v>582</v>
      </c>
      <c r="Q2685">
        <v>344</v>
      </c>
      <c r="R2685">
        <v>210</v>
      </c>
      <c r="S2685">
        <v>701.6</v>
      </c>
    </row>
    <row r="2686" spans="12:19" x14ac:dyDescent="0.2">
      <c r="L2686" t="s">
        <v>374</v>
      </c>
      <c r="M2686">
        <v>593</v>
      </c>
      <c r="N2686">
        <v>1</v>
      </c>
      <c r="O2686">
        <v>4</v>
      </c>
      <c r="P2686">
        <v>582</v>
      </c>
      <c r="Q2686">
        <v>344</v>
      </c>
      <c r="R2686">
        <v>210</v>
      </c>
      <c r="S2686">
        <v>2424.35</v>
      </c>
    </row>
    <row r="2687" spans="12:19" x14ac:dyDescent="0.2">
      <c r="L2687" t="s">
        <v>374</v>
      </c>
      <c r="M2687">
        <v>595</v>
      </c>
      <c r="N2687">
        <v>1</v>
      </c>
      <c r="O2687">
        <v>4</v>
      </c>
      <c r="P2687">
        <v>582</v>
      </c>
      <c r="Q2687">
        <v>344</v>
      </c>
      <c r="R2687">
        <v>210</v>
      </c>
      <c r="S2687">
        <v>2459.02</v>
      </c>
    </row>
    <row r="2688" spans="12:19" x14ac:dyDescent="0.2">
      <c r="L2688" t="s">
        <v>374</v>
      </c>
      <c r="M2688">
        <v>599</v>
      </c>
      <c r="N2688">
        <v>1</v>
      </c>
      <c r="O2688">
        <v>4</v>
      </c>
      <c r="P2688">
        <v>582</v>
      </c>
      <c r="Q2688">
        <v>344</v>
      </c>
      <c r="R2688">
        <v>210</v>
      </c>
      <c r="S2688">
        <v>422.76</v>
      </c>
    </row>
    <row r="2689" spans="12:19" x14ac:dyDescent="0.2">
      <c r="L2689" t="s">
        <v>374</v>
      </c>
      <c r="M2689">
        <v>600</v>
      </c>
      <c r="N2689">
        <v>1</v>
      </c>
      <c r="O2689">
        <v>4</v>
      </c>
      <c r="P2689">
        <v>582</v>
      </c>
      <c r="Q2689">
        <v>344</v>
      </c>
      <c r="R2689">
        <v>210</v>
      </c>
      <c r="S2689">
        <v>1954.27</v>
      </c>
    </row>
    <row r="2690" spans="12:19" x14ac:dyDescent="0.2">
      <c r="L2690" t="s">
        <v>374</v>
      </c>
      <c r="M2690">
        <v>601</v>
      </c>
      <c r="N2690">
        <v>1</v>
      </c>
      <c r="O2690">
        <v>4</v>
      </c>
      <c r="P2690">
        <v>582</v>
      </c>
      <c r="Q2690">
        <v>344</v>
      </c>
      <c r="R2690">
        <v>210</v>
      </c>
      <c r="S2690">
        <v>1449.2</v>
      </c>
    </row>
    <row r="2691" spans="12:19" x14ac:dyDescent="0.2">
      <c r="L2691" t="s">
        <v>374</v>
      </c>
      <c r="M2691">
        <v>621</v>
      </c>
      <c r="N2691">
        <v>1</v>
      </c>
      <c r="O2691">
        <v>4</v>
      </c>
      <c r="P2691">
        <v>582</v>
      </c>
      <c r="Q2691">
        <v>344</v>
      </c>
      <c r="R2691">
        <v>210</v>
      </c>
      <c r="S2691">
        <v>5908.22</v>
      </c>
    </row>
    <row r="2692" spans="12:19" x14ac:dyDescent="0.2">
      <c r="L2692" t="s">
        <v>374</v>
      </c>
      <c r="M2692">
        <v>622</v>
      </c>
      <c r="N2692">
        <v>1</v>
      </c>
      <c r="O2692">
        <v>4</v>
      </c>
      <c r="P2692">
        <v>582</v>
      </c>
      <c r="Q2692">
        <v>344</v>
      </c>
      <c r="R2692">
        <v>210</v>
      </c>
      <c r="S2692">
        <v>7871.94</v>
      </c>
    </row>
    <row r="2693" spans="12:19" x14ac:dyDescent="0.2">
      <c r="L2693" t="s">
        <v>374</v>
      </c>
      <c r="M2693">
        <v>623</v>
      </c>
      <c r="N2693">
        <v>1</v>
      </c>
      <c r="O2693">
        <v>4</v>
      </c>
      <c r="P2693">
        <v>582</v>
      </c>
      <c r="Q2693">
        <v>344</v>
      </c>
      <c r="R2693">
        <v>210</v>
      </c>
      <c r="S2693">
        <v>4403.2</v>
      </c>
    </row>
    <row r="2694" spans="12:19" x14ac:dyDescent="0.2">
      <c r="L2694" t="s">
        <v>374</v>
      </c>
      <c r="M2694">
        <v>624</v>
      </c>
      <c r="N2694">
        <v>1</v>
      </c>
      <c r="O2694">
        <v>4</v>
      </c>
      <c r="P2694">
        <v>582</v>
      </c>
      <c r="Q2694">
        <v>344</v>
      </c>
      <c r="R2694">
        <v>210</v>
      </c>
      <c r="S2694">
        <v>3124.01</v>
      </c>
    </row>
    <row r="2695" spans="12:19" x14ac:dyDescent="0.2">
      <c r="L2695" t="s">
        <v>374</v>
      </c>
      <c r="M2695">
        <v>625</v>
      </c>
      <c r="N2695">
        <v>1</v>
      </c>
      <c r="O2695">
        <v>4</v>
      </c>
      <c r="P2695">
        <v>582</v>
      </c>
      <c r="Q2695">
        <v>344</v>
      </c>
      <c r="R2695">
        <v>210</v>
      </c>
      <c r="S2695">
        <v>33317.47</v>
      </c>
    </row>
    <row r="2696" spans="12:19" x14ac:dyDescent="0.2">
      <c r="L2696" t="s">
        <v>374</v>
      </c>
      <c r="M2696">
        <v>627</v>
      </c>
      <c r="N2696">
        <v>1</v>
      </c>
      <c r="O2696">
        <v>4</v>
      </c>
      <c r="P2696">
        <v>582</v>
      </c>
      <c r="Q2696">
        <v>344</v>
      </c>
      <c r="R2696">
        <v>210</v>
      </c>
      <c r="S2696">
        <v>145.99</v>
      </c>
    </row>
    <row r="2697" spans="12:19" x14ac:dyDescent="0.2">
      <c r="L2697" t="s">
        <v>374</v>
      </c>
      <c r="M2697">
        <v>628</v>
      </c>
      <c r="N2697">
        <v>1</v>
      </c>
      <c r="O2697">
        <v>4</v>
      </c>
      <c r="P2697">
        <v>582</v>
      </c>
      <c r="Q2697">
        <v>344</v>
      </c>
      <c r="R2697">
        <v>210</v>
      </c>
      <c r="S2697">
        <v>251.22</v>
      </c>
    </row>
    <row r="2698" spans="12:19" x14ac:dyDescent="0.2">
      <c r="L2698" t="s">
        <v>374</v>
      </c>
      <c r="M2698">
        <v>630</v>
      </c>
      <c r="N2698">
        <v>1</v>
      </c>
      <c r="O2698">
        <v>4</v>
      </c>
      <c r="P2698">
        <v>582</v>
      </c>
      <c r="Q2698">
        <v>344</v>
      </c>
      <c r="R2698">
        <v>210</v>
      </c>
      <c r="S2698">
        <v>641.76</v>
      </c>
    </row>
    <row r="2699" spans="12:19" x14ac:dyDescent="0.2">
      <c r="L2699" t="s">
        <v>374</v>
      </c>
      <c r="M2699">
        <v>635</v>
      </c>
      <c r="N2699">
        <v>1</v>
      </c>
      <c r="O2699">
        <v>4</v>
      </c>
      <c r="P2699">
        <v>582</v>
      </c>
      <c r="Q2699">
        <v>344</v>
      </c>
      <c r="R2699">
        <v>210</v>
      </c>
      <c r="S2699">
        <v>62.55</v>
      </c>
    </row>
    <row r="2700" spans="12:19" x14ac:dyDescent="0.2">
      <c r="L2700" t="s">
        <v>374</v>
      </c>
      <c r="M2700">
        <v>640</v>
      </c>
      <c r="N2700">
        <v>1</v>
      </c>
      <c r="O2700">
        <v>4</v>
      </c>
      <c r="P2700">
        <v>582</v>
      </c>
      <c r="Q2700">
        <v>344</v>
      </c>
      <c r="R2700">
        <v>210</v>
      </c>
      <c r="S2700">
        <v>1182.97</v>
      </c>
    </row>
    <row r="2701" spans="12:19" x14ac:dyDescent="0.2">
      <c r="L2701" t="s">
        <v>374</v>
      </c>
      <c r="M2701">
        <v>656</v>
      </c>
      <c r="N2701">
        <v>1</v>
      </c>
      <c r="O2701">
        <v>4</v>
      </c>
      <c r="P2701">
        <v>582</v>
      </c>
      <c r="Q2701">
        <v>344</v>
      </c>
      <c r="R2701">
        <v>210</v>
      </c>
      <c r="S2701">
        <v>4608.41</v>
      </c>
    </row>
    <row r="2702" spans="12:19" x14ac:dyDescent="0.2">
      <c r="L2702" t="s">
        <v>374</v>
      </c>
      <c r="M2702">
        <v>659</v>
      </c>
      <c r="N2702">
        <v>1</v>
      </c>
      <c r="O2702">
        <v>4</v>
      </c>
      <c r="P2702">
        <v>582</v>
      </c>
      <c r="Q2702">
        <v>344</v>
      </c>
      <c r="R2702">
        <v>210</v>
      </c>
      <c r="S2702">
        <v>8870.7099999999991</v>
      </c>
    </row>
    <row r="2703" spans="12:19" x14ac:dyDescent="0.2">
      <c r="L2703" t="s">
        <v>374</v>
      </c>
      <c r="M2703">
        <v>671</v>
      </c>
      <c r="N2703">
        <v>1</v>
      </c>
      <c r="O2703">
        <v>4</v>
      </c>
      <c r="P2703">
        <v>582</v>
      </c>
      <c r="Q2703">
        <v>344</v>
      </c>
      <c r="R2703">
        <v>210</v>
      </c>
      <c r="S2703">
        <v>124.26</v>
      </c>
    </row>
    <row r="2704" spans="12:19" x14ac:dyDescent="0.2">
      <c r="L2704" t="s">
        <v>374</v>
      </c>
      <c r="M2704">
        <v>676</v>
      </c>
      <c r="N2704">
        <v>1</v>
      </c>
      <c r="O2704">
        <v>4</v>
      </c>
      <c r="P2704">
        <v>582</v>
      </c>
      <c r="Q2704">
        <v>344</v>
      </c>
      <c r="R2704">
        <v>210</v>
      </c>
      <c r="S2704">
        <v>805.65</v>
      </c>
    </row>
    <row r="2705" spans="12:19" x14ac:dyDescent="0.2">
      <c r="L2705" t="s">
        <v>374</v>
      </c>
      <c r="M2705">
        <v>682</v>
      </c>
      <c r="N2705">
        <v>1</v>
      </c>
      <c r="O2705">
        <v>4</v>
      </c>
      <c r="P2705">
        <v>582</v>
      </c>
      <c r="Q2705">
        <v>344</v>
      </c>
      <c r="R2705">
        <v>210</v>
      </c>
      <c r="S2705">
        <v>2949.37</v>
      </c>
    </row>
    <row r="2706" spans="12:19" x14ac:dyDescent="0.2">
      <c r="L2706" t="s">
        <v>374</v>
      </c>
      <c r="M2706">
        <v>690</v>
      </c>
      <c r="N2706">
        <v>1</v>
      </c>
      <c r="O2706">
        <v>4</v>
      </c>
      <c r="P2706">
        <v>582</v>
      </c>
      <c r="Q2706">
        <v>344</v>
      </c>
      <c r="R2706">
        <v>210</v>
      </c>
      <c r="S2706">
        <v>4101.8999999999996</v>
      </c>
    </row>
    <row r="2707" spans="12:19" x14ac:dyDescent="0.2">
      <c r="L2707" t="s">
        <v>374</v>
      </c>
      <c r="M2707">
        <v>695</v>
      </c>
      <c r="N2707">
        <v>1</v>
      </c>
      <c r="O2707">
        <v>4</v>
      </c>
      <c r="P2707">
        <v>582</v>
      </c>
      <c r="Q2707">
        <v>344</v>
      </c>
      <c r="R2707">
        <v>210</v>
      </c>
      <c r="S2707">
        <v>741.72</v>
      </c>
    </row>
    <row r="2708" spans="12:19" x14ac:dyDescent="0.2">
      <c r="L2708" t="s">
        <v>374</v>
      </c>
      <c r="M2708">
        <v>696</v>
      </c>
      <c r="N2708">
        <v>1</v>
      </c>
      <c r="O2708">
        <v>4</v>
      </c>
      <c r="P2708">
        <v>582</v>
      </c>
      <c r="Q2708">
        <v>344</v>
      </c>
      <c r="R2708">
        <v>210</v>
      </c>
      <c r="S2708">
        <v>356.88</v>
      </c>
    </row>
    <row r="2709" spans="12:19" x14ac:dyDescent="0.2">
      <c r="L2709" t="s">
        <v>374</v>
      </c>
      <c r="M2709">
        <v>698</v>
      </c>
      <c r="N2709">
        <v>1</v>
      </c>
      <c r="O2709">
        <v>4</v>
      </c>
      <c r="P2709">
        <v>582</v>
      </c>
      <c r="Q2709">
        <v>344</v>
      </c>
      <c r="R2709">
        <v>210</v>
      </c>
      <c r="S2709">
        <v>470.63</v>
      </c>
    </row>
    <row r="2710" spans="12:19" x14ac:dyDescent="0.2">
      <c r="L2710" t="s">
        <v>374</v>
      </c>
      <c r="M2710">
        <v>700</v>
      </c>
      <c r="N2710">
        <v>1</v>
      </c>
      <c r="O2710">
        <v>4</v>
      </c>
      <c r="P2710">
        <v>582</v>
      </c>
      <c r="Q2710">
        <v>344</v>
      </c>
      <c r="R2710">
        <v>210</v>
      </c>
      <c r="S2710">
        <v>7342.07</v>
      </c>
    </row>
    <row r="2711" spans="12:19" x14ac:dyDescent="0.2">
      <c r="L2711" t="s">
        <v>374</v>
      </c>
      <c r="M2711">
        <v>701</v>
      </c>
      <c r="N2711">
        <v>1</v>
      </c>
      <c r="O2711">
        <v>4</v>
      </c>
      <c r="P2711">
        <v>582</v>
      </c>
      <c r="Q2711">
        <v>344</v>
      </c>
      <c r="R2711">
        <v>210</v>
      </c>
      <c r="S2711">
        <v>2842.58</v>
      </c>
    </row>
    <row r="2712" spans="12:19" x14ac:dyDescent="0.2">
      <c r="L2712" t="s">
        <v>374</v>
      </c>
      <c r="M2712">
        <v>704</v>
      </c>
      <c r="N2712">
        <v>1</v>
      </c>
      <c r="O2712">
        <v>4</v>
      </c>
      <c r="P2712">
        <v>582</v>
      </c>
      <c r="Q2712">
        <v>344</v>
      </c>
      <c r="R2712">
        <v>210</v>
      </c>
      <c r="S2712">
        <v>777.6</v>
      </c>
    </row>
    <row r="2713" spans="12:19" x14ac:dyDescent="0.2">
      <c r="L2713" t="s">
        <v>374</v>
      </c>
      <c r="M2713">
        <v>706</v>
      </c>
      <c r="N2713">
        <v>1</v>
      </c>
      <c r="O2713">
        <v>4</v>
      </c>
      <c r="P2713">
        <v>582</v>
      </c>
      <c r="Q2713">
        <v>344</v>
      </c>
      <c r="R2713">
        <v>210</v>
      </c>
      <c r="S2713">
        <v>2160.9699999999998</v>
      </c>
    </row>
    <row r="2714" spans="12:19" x14ac:dyDescent="0.2">
      <c r="L2714" t="s">
        <v>374</v>
      </c>
      <c r="M2714">
        <v>707</v>
      </c>
      <c r="N2714">
        <v>1</v>
      </c>
      <c r="O2714">
        <v>4</v>
      </c>
      <c r="P2714">
        <v>582</v>
      </c>
      <c r="Q2714">
        <v>344</v>
      </c>
      <c r="R2714">
        <v>210</v>
      </c>
      <c r="S2714">
        <v>120.49</v>
      </c>
    </row>
    <row r="2715" spans="12:19" x14ac:dyDescent="0.2">
      <c r="L2715" t="s">
        <v>374</v>
      </c>
      <c r="M2715">
        <v>709</v>
      </c>
      <c r="N2715">
        <v>1</v>
      </c>
      <c r="O2715">
        <v>4</v>
      </c>
      <c r="P2715">
        <v>582</v>
      </c>
      <c r="Q2715">
        <v>344</v>
      </c>
      <c r="R2715">
        <v>210</v>
      </c>
      <c r="S2715">
        <v>8985.68</v>
      </c>
    </row>
    <row r="2716" spans="12:19" x14ac:dyDescent="0.2">
      <c r="L2716" t="s">
        <v>374</v>
      </c>
      <c r="M2716">
        <v>712</v>
      </c>
      <c r="N2716">
        <v>1</v>
      </c>
      <c r="O2716">
        <v>4</v>
      </c>
      <c r="P2716">
        <v>582</v>
      </c>
      <c r="Q2716">
        <v>344</v>
      </c>
      <c r="R2716">
        <v>210</v>
      </c>
      <c r="S2716">
        <v>787.98</v>
      </c>
    </row>
    <row r="2717" spans="12:19" x14ac:dyDescent="0.2">
      <c r="L2717" t="s">
        <v>374</v>
      </c>
      <c r="M2717">
        <v>716</v>
      </c>
      <c r="N2717">
        <v>1</v>
      </c>
      <c r="O2717">
        <v>4</v>
      </c>
      <c r="P2717">
        <v>582</v>
      </c>
      <c r="Q2717">
        <v>344</v>
      </c>
      <c r="R2717">
        <v>210</v>
      </c>
      <c r="S2717">
        <v>706.95</v>
      </c>
    </row>
    <row r="2718" spans="12:19" x14ac:dyDescent="0.2">
      <c r="L2718" t="s">
        <v>374</v>
      </c>
      <c r="M2718">
        <v>717</v>
      </c>
      <c r="N2718">
        <v>1</v>
      </c>
      <c r="O2718">
        <v>4</v>
      </c>
      <c r="P2718">
        <v>582</v>
      </c>
      <c r="Q2718">
        <v>344</v>
      </c>
      <c r="R2718">
        <v>210</v>
      </c>
      <c r="S2718">
        <v>2926.63</v>
      </c>
    </row>
    <row r="2719" spans="12:19" x14ac:dyDescent="0.2">
      <c r="L2719" t="s">
        <v>374</v>
      </c>
      <c r="M2719">
        <v>719</v>
      </c>
      <c r="N2719">
        <v>1</v>
      </c>
      <c r="O2719">
        <v>4</v>
      </c>
      <c r="P2719">
        <v>582</v>
      </c>
      <c r="Q2719">
        <v>344</v>
      </c>
      <c r="R2719">
        <v>210</v>
      </c>
      <c r="S2719">
        <v>17672.79</v>
      </c>
    </row>
    <row r="2720" spans="12:19" x14ac:dyDescent="0.2">
      <c r="L2720" t="s">
        <v>374</v>
      </c>
      <c r="M2720">
        <v>720</v>
      </c>
      <c r="N2720">
        <v>1</v>
      </c>
      <c r="O2720">
        <v>4</v>
      </c>
      <c r="P2720">
        <v>582</v>
      </c>
      <c r="Q2720">
        <v>344</v>
      </c>
      <c r="R2720">
        <v>210</v>
      </c>
      <c r="S2720">
        <v>6023.97</v>
      </c>
    </row>
    <row r="2721" spans="12:19" x14ac:dyDescent="0.2">
      <c r="L2721" t="s">
        <v>374</v>
      </c>
      <c r="M2721">
        <v>721</v>
      </c>
      <c r="N2721">
        <v>1</v>
      </c>
      <c r="O2721">
        <v>4</v>
      </c>
      <c r="P2721">
        <v>582</v>
      </c>
      <c r="Q2721">
        <v>344</v>
      </c>
      <c r="R2721">
        <v>210</v>
      </c>
      <c r="S2721">
        <v>5876.2</v>
      </c>
    </row>
    <row r="2722" spans="12:19" x14ac:dyDescent="0.2">
      <c r="L2722" t="s">
        <v>374</v>
      </c>
      <c r="M2722">
        <v>726</v>
      </c>
      <c r="N2722">
        <v>1</v>
      </c>
      <c r="O2722">
        <v>4</v>
      </c>
      <c r="P2722">
        <v>582</v>
      </c>
      <c r="Q2722">
        <v>344</v>
      </c>
      <c r="R2722">
        <v>210</v>
      </c>
      <c r="S2722">
        <v>5658.72</v>
      </c>
    </row>
    <row r="2723" spans="12:19" x14ac:dyDescent="0.2">
      <c r="L2723" t="s">
        <v>374</v>
      </c>
      <c r="M2723">
        <v>727</v>
      </c>
      <c r="N2723">
        <v>1</v>
      </c>
      <c r="O2723">
        <v>4</v>
      </c>
      <c r="P2723">
        <v>582</v>
      </c>
      <c r="Q2723">
        <v>344</v>
      </c>
      <c r="R2723">
        <v>210</v>
      </c>
      <c r="S2723">
        <v>6761.74</v>
      </c>
    </row>
    <row r="2724" spans="12:19" x14ac:dyDescent="0.2">
      <c r="L2724" t="s">
        <v>374</v>
      </c>
      <c r="M2724">
        <v>728</v>
      </c>
      <c r="N2724">
        <v>1</v>
      </c>
      <c r="O2724">
        <v>4</v>
      </c>
      <c r="P2724">
        <v>582</v>
      </c>
      <c r="Q2724">
        <v>344</v>
      </c>
      <c r="R2724">
        <v>210</v>
      </c>
      <c r="S2724">
        <v>16152.57</v>
      </c>
    </row>
    <row r="2725" spans="12:19" x14ac:dyDescent="0.2">
      <c r="L2725" t="s">
        <v>374</v>
      </c>
      <c r="M2725">
        <v>738</v>
      </c>
      <c r="N2725">
        <v>1</v>
      </c>
      <c r="O2725">
        <v>4</v>
      </c>
      <c r="P2725">
        <v>582</v>
      </c>
      <c r="Q2725">
        <v>344</v>
      </c>
      <c r="R2725">
        <v>210</v>
      </c>
      <c r="S2725">
        <v>621.5</v>
      </c>
    </row>
    <row r="2726" spans="12:19" x14ac:dyDescent="0.2">
      <c r="L2726" t="s">
        <v>374</v>
      </c>
      <c r="M2726">
        <v>739</v>
      </c>
      <c r="N2726">
        <v>1</v>
      </c>
      <c r="O2726">
        <v>4</v>
      </c>
      <c r="P2726">
        <v>582</v>
      </c>
      <c r="Q2726">
        <v>344</v>
      </c>
      <c r="R2726">
        <v>210</v>
      </c>
      <c r="S2726">
        <v>1896.19</v>
      </c>
    </row>
    <row r="2727" spans="12:19" x14ac:dyDescent="0.2">
      <c r="L2727" t="s">
        <v>374</v>
      </c>
      <c r="M2727">
        <v>740</v>
      </c>
      <c r="N2727">
        <v>1</v>
      </c>
      <c r="O2727">
        <v>4</v>
      </c>
      <c r="P2727">
        <v>582</v>
      </c>
      <c r="Q2727">
        <v>344</v>
      </c>
      <c r="R2727">
        <v>210</v>
      </c>
      <c r="S2727">
        <v>1706.44</v>
      </c>
    </row>
    <row r="2728" spans="12:19" x14ac:dyDescent="0.2">
      <c r="L2728" t="s">
        <v>374</v>
      </c>
      <c r="M2728">
        <v>741</v>
      </c>
      <c r="N2728">
        <v>1</v>
      </c>
      <c r="O2728">
        <v>4</v>
      </c>
      <c r="P2728">
        <v>582</v>
      </c>
      <c r="Q2728">
        <v>344</v>
      </c>
      <c r="R2728">
        <v>210</v>
      </c>
      <c r="S2728">
        <v>1824.95</v>
      </c>
    </row>
    <row r="2729" spans="12:19" x14ac:dyDescent="0.2">
      <c r="L2729" t="s">
        <v>374</v>
      </c>
      <c r="M2729">
        <v>742</v>
      </c>
      <c r="N2729">
        <v>1</v>
      </c>
      <c r="O2729">
        <v>4</v>
      </c>
      <c r="P2729">
        <v>582</v>
      </c>
      <c r="Q2729">
        <v>344</v>
      </c>
      <c r="R2729">
        <v>210</v>
      </c>
      <c r="S2729">
        <v>20644.509999999998</v>
      </c>
    </row>
    <row r="2730" spans="12:19" x14ac:dyDescent="0.2">
      <c r="L2730" t="s">
        <v>374</v>
      </c>
      <c r="M2730">
        <v>743</v>
      </c>
      <c r="N2730">
        <v>1</v>
      </c>
      <c r="O2730">
        <v>4</v>
      </c>
      <c r="P2730">
        <v>582</v>
      </c>
      <c r="Q2730">
        <v>344</v>
      </c>
      <c r="R2730">
        <v>210</v>
      </c>
      <c r="S2730">
        <v>1127.3599999999999</v>
      </c>
    </row>
    <row r="2731" spans="12:19" x14ac:dyDescent="0.2">
      <c r="L2731" t="s">
        <v>374</v>
      </c>
      <c r="M2731">
        <v>745</v>
      </c>
      <c r="N2731">
        <v>1</v>
      </c>
      <c r="O2731">
        <v>4</v>
      </c>
      <c r="P2731">
        <v>582</v>
      </c>
      <c r="Q2731">
        <v>344</v>
      </c>
      <c r="R2731">
        <v>210</v>
      </c>
      <c r="S2731">
        <v>4653.97</v>
      </c>
    </row>
    <row r="2732" spans="12:19" x14ac:dyDescent="0.2">
      <c r="L2732" t="s">
        <v>374</v>
      </c>
      <c r="M2732">
        <v>748</v>
      </c>
      <c r="N2732">
        <v>1</v>
      </c>
      <c r="O2732">
        <v>4</v>
      </c>
      <c r="P2732">
        <v>582</v>
      </c>
      <c r="Q2732">
        <v>344</v>
      </c>
      <c r="R2732">
        <v>210</v>
      </c>
      <c r="S2732">
        <v>9859.01</v>
      </c>
    </row>
    <row r="2733" spans="12:19" x14ac:dyDescent="0.2">
      <c r="L2733" t="s">
        <v>374</v>
      </c>
      <c r="M2733">
        <v>750</v>
      </c>
      <c r="N2733">
        <v>1</v>
      </c>
      <c r="O2733">
        <v>4</v>
      </c>
      <c r="P2733">
        <v>582</v>
      </c>
      <c r="Q2733">
        <v>344</v>
      </c>
      <c r="R2733">
        <v>210</v>
      </c>
      <c r="S2733">
        <v>2760.9</v>
      </c>
    </row>
    <row r="2734" spans="12:19" x14ac:dyDescent="0.2">
      <c r="L2734" t="s">
        <v>374</v>
      </c>
      <c r="M2734">
        <v>756</v>
      </c>
      <c r="N2734">
        <v>1</v>
      </c>
      <c r="O2734">
        <v>4</v>
      </c>
      <c r="P2734">
        <v>582</v>
      </c>
      <c r="Q2734">
        <v>344</v>
      </c>
      <c r="R2734">
        <v>210</v>
      </c>
      <c r="S2734">
        <v>1708.55</v>
      </c>
    </row>
    <row r="2735" spans="12:19" x14ac:dyDescent="0.2">
      <c r="L2735" t="s">
        <v>374</v>
      </c>
      <c r="M2735">
        <v>761</v>
      </c>
      <c r="N2735">
        <v>1</v>
      </c>
      <c r="O2735">
        <v>4</v>
      </c>
      <c r="P2735">
        <v>582</v>
      </c>
      <c r="Q2735">
        <v>344</v>
      </c>
      <c r="R2735">
        <v>210</v>
      </c>
      <c r="S2735">
        <v>4828.16</v>
      </c>
    </row>
    <row r="2736" spans="12:19" x14ac:dyDescent="0.2">
      <c r="L2736" t="s">
        <v>374</v>
      </c>
      <c r="M2736">
        <v>768</v>
      </c>
      <c r="N2736">
        <v>1</v>
      </c>
      <c r="O2736">
        <v>4</v>
      </c>
      <c r="P2736">
        <v>582</v>
      </c>
      <c r="Q2736">
        <v>344</v>
      </c>
      <c r="R2736">
        <v>210</v>
      </c>
      <c r="S2736">
        <v>143.47</v>
      </c>
    </row>
    <row r="2737" spans="12:19" x14ac:dyDescent="0.2">
      <c r="L2737" t="s">
        <v>374</v>
      </c>
      <c r="M2737">
        <v>769</v>
      </c>
      <c r="N2737">
        <v>1</v>
      </c>
      <c r="O2737">
        <v>4</v>
      </c>
      <c r="P2737">
        <v>582</v>
      </c>
      <c r="Q2737">
        <v>344</v>
      </c>
      <c r="R2737">
        <v>210</v>
      </c>
      <c r="S2737">
        <v>695.14</v>
      </c>
    </row>
    <row r="2738" spans="12:19" x14ac:dyDescent="0.2">
      <c r="L2738" t="s">
        <v>374</v>
      </c>
      <c r="M2738">
        <v>771</v>
      </c>
      <c r="N2738">
        <v>1</v>
      </c>
      <c r="O2738">
        <v>4</v>
      </c>
      <c r="P2738">
        <v>582</v>
      </c>
      <c r="Q2738">
        <v>344</v>
      </c>
      <c r="R2738">
        <v>210</v>
      </c>
      <c r="S2738">
        <v>445.02</v>
      </c>
    </row>
    <row r="2739" spans="12:19" x14ac:dyDescent="0.2">
      <c r="L2739" t="s">
        <v>374</v>
      </c>
      <c r="M2739">
        <v>775</v>
      </c>
      <c r="N2739">
        <v>1</v>
      </c>
      <c r="O2739">
        <v>4</v>
      </c>
      <c r="P2739">
        <v>582</v>
      </c>
      <c r="Q2739">
        <v>344</v>
      </c>
      <c r="R2739">
        <v>210</v>
      </c>
      <c r="S2739">
        <v>586.25</v>
      </c>
    </row>
    <row r="2740" spans="12:19" x14ac:dyDescent="0.2">
      <c r="L2740" t="s">
        <v>374</v>
      </c>
      <c r="M2740">
        <v>777</v>
      </c>
      <c r="N2740">
        <v>1</v>
      </c>
      <c r="O2740">
        <v>4</v>
      </c>
      <c r="P2740">
        <v>582</v>
      </c>
      <c r="Q2740">
        <v>344</v>
      </c>
      <c r="R2740">
        <v>210</v>
      </c>
      <c r="S2740">
        <v>738.25</v>
      </c>
    </row>
    <row r="2741" spans="12:19" x14ac:dyDescent="0.2">
      <c r="L2741" t="s">
        <v>374</v>
      </c>
      <c r="M2741">
        <v>803</v>
      </c>
      <c r="N2741">
        <v>1</v>
      </c>
      <c r="O2741">
        <v>4</v>
      </c>
      <c r="P2741">
        <v>582</v>
      </c>
      <c r="Q2741">
        <v>344</v>
      </c>
      <c r="R2741">
        <v>210</v>
      </c>
      <c r="S2741">
        <v>974.45</v>
      </c>
    </row>
    <row r="2742" spans="12:19" x14ac:dyDescent="0.2">
      <c r="L2742" t="s">
        <v>374</v>
      </c>
      <c r="M2742">
        <v>811</v>
      </c>
      <c r="N2742">
        <v>1</v>
      </c>
      <c r="O2742">
        <v>4</v>
      </c>
      <c r="P2742">
        <v>582</v>
      </c>
      <c r="Q2742">
        <v>344</v>
      </c>
      <c r="R2742">
        <v>210</v>
      </c>
      <c r="S2742">
        <v>1476.2</v>
      </c>
    </row>
    <row r="2743" spans="12:19" x14ac:dyDescent="0.2">
      <c r="L2743" t="s">
        <v>374</v>
      </c>
      <c r="M2743">
        <v>813</v>
      </c>
      <c r="N2743">
        <v>1</v>
      </c>
      <c r="O2743">
        <v>4</v>
      </c>
      <c r="P2743">
        <v>582</v>
      </c>
      <c r="Q2743">
        <v>344</v>
      </c>
      <c r="R2743">
        <v>210</v>
      </c>
      <c r="S2743">
        <v>1010.63</v>
      </c>
    </row>
    <row r="2744" spans="12:19" x14ac:dyDescent="0.2">
      <c r="L2744" t="s">
        <v>374</v>
      </c>
      <c r="M2744">
        <v>818</v>
      </c>
      <c r="N2744">
        <v>1</v>
      </c>
      <c r="O2744">
        <v>4</v>
      </c>
      <c r="P2744">
        <v>582</v>
      </c>
      <c r="Q2744">
        <v>344</v>
      </c>
      <c r="R2744">
        <v>210</v>
      </c>
      <c r="S2744">
        <v>10.94</v>
      </c>
    </row>
    <row r="2745" spans="12:19" x14ac:dyDescent="0.2">
      <c r="L2745" t="s">
        <v>374</v>
      </c>
      <c r="M2745">
        <v>820</v>
      </c>
      <c r="N2745">
        <v>1</v>
      </c>
      <c r="O2745">
        <v>4</v>
      </c>
      <c r="P2745">
        <v>582</v>
      </c>
      <c r="Q2745">
        <v>344</v>
      </c>
      <c r="R2745">
        <v>210</v>
      </c>
      <c r="S2745">
        <v>639.46</v>
      </c>
    </row>
    <row r="2746" spans="12:19" x14ac:dyDescent="0.2">
      <c r="L2746" t="s">
        <v>374</v>
      </c>
      <c r="M2746">
        <v>821</v>
      </c>
      <c r="N2746">
        <v>1</v>
      </c>
      <c r="O2746">
        <v>4</v>
      </c>
      <c r="P2746">
        <v>582</v>
      </c>
      <c r="Q2746">
        <v>344</v>
      </c>
      <c r="R2746">
        <v>210</v>
      </c>
      <c r="S2746">
        <v>1249.9100000000001</v>
      </c>
    </row>
    <row r="2747" spans="12:19" x14ac:dyDescent="0.2">
      <c r="L2747" t="s">
        <v>374</v>
      </c>
      <c r="M2747">
        <v>829</v>
      </c>
      <c r="N2747">
        <v>1</v>
      </c>
      <c r="O2747">
        <v>4</v>
      </c>
      <c r="P2747">
        <v>582</v>
      </c>
      <c r="Q2747">
        <v>344</v>
      </c>
      <c r="R2747">
        <v>210</v>
      </c>
      <c r="S2747">
        <v>3253.83</v>
      </c>
    </row>
    <row r="2748" spans="12:19" x14ac:dyDescent="0.2">
      <c r="L2748" t="s">
        <v>374</v>
      </c>
      <c r="M2748">
        <v>831</v>
      </c>
      <c r="N2748">
        <v>1</v>
      </c>
      <c r="O2748">
        <v>4</v>
      </c>
      <c r="P2748">
        <v>582</v>
      </c>
      <c r="Q2748">
        <v>344</v>
      </c>
      <c r="R2748">
        <v>210</v>
      </c>
      <c r="S2748">
        <v>7193.78</v>
      </c>
    </row>
    <row r="2749" spans="12:19" x14ac:dyDescent="0.2">
      <c r="L2749" t="s">
        <v>374</v>
      </c>
      <c r="M2749">
        <v>832</v>
      </c>
      <c r="N2749">
        <v>1</v>
      </c>
      <c r="O2749">
        <v>4</v>
      </c>
      <c r="P2749">
        <v>582</v>
      </c>
      <c r="Q2749">
        <v>344</v>
      </c>
      <c r="R2749">
        <v>210</v>
      </c>
      <c r="S2749">
        <v>449.77</v>
      </c>
    </row>
    <row r="2750" spans="12:19" x14ac:dyDescent="0.2">
      <c r="L2750" t="s">
        <v>374</v>
      </c>
      <c r="M2750">
        <v>833</v>
      </c>
      <c r="N2750">
        <v>1</v>
      </c>
      <c r="O2750">
        <v>4</v>
      </c>
      <c r="P2750">
        <v>582</v>
      </c>
      <c r="Q2750">
        <v>344</v>
      </c>
      <c r="R2750">
        <v>210</v>
      </c>
      <c r="S2750">
        <v>24949.279999999999</v>
      </c>
    </row>
    <row r="2751" spans="12:19" x14ac:dyDescent="0.2">
      <c r="L2751" t="s">
        <v>374</v>
      </c>
      <c r="M2751">
        <v>834</v>
      </c>
      <c r="N2751">
        <v>1</v>
      </c>
      <c r="O2751">
        <v>4</v>
      </c>
      <c r="P2751">
        <v>582</v>
      </c>
      <c r="Q2751">
        <v>344</v>
      </c>
      <c r="R2751">
        <v>210</v>
      </c>
      <c r="S2751">
        <v>7727.54</v>
      </c>
    </row>
    <row r="2752" spans="12:19" x14ac:dyDescent="0.2">
      <c r="L2752" t="s">
        <v>374</v>
      </c>
      <c r="M2752">
        <v>836</v>
      </c>
      <c r="N2752">
        <v>1</v>
      </c>
      <c r="O2752">
        <v>4</v>
      </c>
      <c r="P2752">
        <v>582</v>
      </c>
      <c r="Q2752">
        <v>344</v>
      </c>
      <c r="R2752">
        <v>210</v>
      </c>
      <c r="S2752">
        <v>352.35</v>
      </c>
    </row>
    <row r="2753" spans="12:19" x14ac:dyDescent="0.2">
      <c r="L2753" t="s">
        <v>374</v>
      </c>
      <c r="M2753">
        <v>837</v>
      </c>
      <c r="N2753">
        <v>1</v>
      </c>
      <c r="O2753">
        <v>4</v>
      </c>
      <c r="P2753">
        <v>582</v>
      </c>
      <c r="Q2753">
        <v>344</v>
      </c>
      <c r="R2753">
        <v>210</v>
      </c>
      <c r="S2753">
        <v>1703.08</v>
      </c>
    </row>
    <row r="2754" spans="12:19" x14ac:dyDescent="0.2">
      <c r="L2754" t="s">
        <v>374</v>
      </c>
      <c r="M2754">
        <v>840</v>
      </c>
      <c r="N2754">
        <v>1</v>
      </c>
      <c r="O2754">
        <v>4</v>
      </c>
      <c r="P2754">
        <v>582</v>
      </c>
      <c r="Q2754">
        <v>344</v>
      </c>
      <c r="R2754">
        <v>210</v>
      </c>
      <c r="S2754">
        <v>505.29</v>
      </c>
    </row>
    <row r="2755" spans="12:19" x14ac:dyDescent="0.2">
      <c r="L2755" t="s">
        <v>374</v>
      </c>
      <c r="M2755">
        <v>846</v>
      </c>
      <c r="N2755">
        <v>1</v>
      </c>
      <c r="O2755">
        <v>4</v>
      </c>
      <c r="P2755">
        <v>582</v>
      </c>
      <c r="Q2755">
        <v>344</v>
      </c>
      <c r="R2755">
        <v>210</v>
      </c>
      <c r="S2755">
        <v>1288.07</v>
      </c>
    </row>
    <row r="2756" spans="12:19" x14ac:dyDescent="0.2">
      <c r="L2756" t="s">
        <v>374</v>
      </c>
      <c r="M2756">
        <v>850</v>
      </c>
      <c r="N2756">
        <v>1</v>
      </c>
      <c r="O2756">
        <v>4</v>
      </c>
      <c r="P2756">
        <v>582</v>
      </c>
      <c r="Q2756">
        <v>344</v>
      </c>
      <c r="R2756">
        <v>210</v>
      </c>
      <c r="S2756">
        <v>278.58</v>
      </c>
    </row>
    <row r="2757" spans="12:19" x14ac:dyDescent="0.2">
      <c r="L2757" t="s">
        <v>374</v>
      </c>
      <c r="M2757">
        <v>857</v>
      </c>
      <c r="N2757">
        <v>1</v>
      </c>
      <c r="O2757">
        <v>4</v>
      </c>
      <c r="P2757">
        <v>582</v>
      </c>
      <c r="Q2757">
        <v>344</v>
      </c>
      <c r="R2757">
        <v>210</v>
      </c>
      <c r="S2757">
        <v>5048.8599999999997</v>
      </c>
    </row>
    <row r="2758" spans="12:19" x14ac:dyDescent="0.2">
      <c r="L2758" t="s">
        <v>374</v>
      </c>
      <c r="M2758">
        <v>861</v>
      </c>
      <c r="N2758">
        <v>1</v>
      </c>
      <c r="O2758">
        <v>4</v>
      </c>
      <c r="P2758">
        <v>582</v>
      </c>
      <c r="Q2758">
        <v>344</v>
      </c>
      <c r="R2758">
        <v>210</v>
      </c>
      <c r="S2758">
        <v>2225.2800000000002</v>
      </c>
    </row>
    <row r="2759" spans="12:19" x14ac:dyDescent="0.2">
      <c r="L2759" t="s">
        <v>374</v>
      </c>
      <c r="M2759">
        <v>876</v>
      </c>
      <c r="N2759">
        <v>1</v>
      </c>
      <c r="O2759">
        <v>4</v>
      </c>
      <c r="P2759">
        <v>582</v>
      </c>
      <c r="Q2759">
        <v>344</v>
      </c>
      <c r="R2759">
        <v>210</v>
      </c>
      <c r="S2759">
        <v>5902.33</v>
      </c>
    </row>
    <row r="2760" spans="12:19" x14ac:dyDescent="0.2">
      <c r="L2760" t="s">
        <v>374</v>
      </c>
      <c r="M2760">
        <v>877</v>
      </c>
      <c r="N2760">
        <v>1</v>
      </c>
      <c r="O2760">
        <v>4</v>
      </c>
      <c r="P2760">
        <v>582</v>
      </c>
      <c r="Q2760">
        <v>344</v>
      </c>
      <c r="R2760">
        <v>210</v>
      </c>
      <c r="S2760">
        <v>11634.34</v>
      </c>
    </row>
    <row r="2761" spans="12:19" x14ac:dyDescent="0.2">
      <c r="L2761" t="s">
        <v>374</v>
      </c>
      <c r="M2761">
        <v>879</v>
      </c>
      <c r="N2761">
        <v>1</v>
      </c>
      <c r="O2761">
        <v>4</v>
      </c>
      <c r="P2761">
        <v>582</v>
      </c>
      <c r="Q2761">
        <v>344</v>
      </c>
      <c r="R2761">
        <v>210</v>
      </c>
      <c r="S2761">
        <v>648.34</v>
      </c>
    </row>
    <row r="2762" spans="12:19" x14ac:dyDescent="0.2">
      <c r="L2762" t="s">
        <v>374</v>
      </c>
      <c r="M2762">
        <v>882</v>
      </c>
      <c r="N2762">
        <v>1</v>
      </c>
      <c r="O2762">
        <v>4</v>
      </c>
      <c r="P2762">
        <v>582</v>
      </c>
      <c r="Q2762">
        <v>344</v>
      </c>
      <c r="R2762">
        <v>210</v>
      </c>
      <c r="S2762">
        <v>5127.51</v>
      </c>
    </row>
    <row r="2763" spans="12:19" x14ac:dyDescent="0.2">
      <c r="L2763" t="s">
        <v>374</v>
      </c>
      <c r="M2763">
        <v>883</v>
      </c>
      <c r="N2763">
        <v>1</v>
      </c>
      <c r="O2763">
        <v>4</v>
      </c>
      <c r="P2763">
        <v>582</v>
      </c>
      <c r="Q2763">
        <v>344</v>
      </c>
      <c r="R2763">
        <v>210</v>
      </c>
      <c r="S2763">
        <v>7886.2</v>
      </c>
    </row>
    <row r="2764" spans="12:19" x14ac:dyDescent="0.2">
      <c r="L2764" t="s">
        <v>374</v>
      </c>
      <c r="M2764">
        <v>885</v>
      </c>
      <c r="N2764">
        <v>1</v>
      </c>
      <c r="O2764">
        <v>4</v>
      </c>
      <c r="P2764">
        <v>582</v>
      </c>
      <c r="Q2764">
        <v>344</v>
      </c>
      <c r="R2764">
        <v>210</v>
      </c>
      <c r="S2764">
        <v>14811.89</v>
      </c>
    </row>
    <row r="2765" spans="12:19" x14ac:dyDescent="0.2">
      <c r="L2765" t="s">
        <v>374</v>
      </c>
      <c r="M2765">
        <v>891</v>
      </c>
      <c r="N2765">
        <v>1</v>
      </c>
      <c r="O2765">
        <v>4</v>
      </c>
      <c r="P2765">
        <v>582</v>
      </c>
      <c r="Q2765">
        <v>344</v>
      </c>
      <c r="R2765">
        <v>210</v>
      </c>
      <c r="S2765">
        <v>1706.27</v>
      </c>
    </row>
    <row r="2766" spans="12:19" x14ac:dyDescent="0.2">
      <c r="L2766" t="s">
        <v>374</v>
      </c>
      <c r="M2766">
        <v>911</v>
      </c>
      <c r="N2766">
        <v>1</v>
      </c>
      <c r="O2766">
        <v>4</v>
      </c>
      <c r="P2766">
        <v>582</v>
      </c>
      <c r="Q2766">
        <v>344</v>
      </c>
      <c r="R2766">
        <v>210</v>
      </c>
      <c r="S2766">
        <v>761.35</v>
      </c>
    </row>
    <row r="2767" spans="12:19" x14ac:dyDescent="0.2">
      <c r="L2767" t="s">
        <v>374</v>
      </c>
      <c r="M2767">
        <v>912</v>
      </c>
      <c r="N2767">
        <v>1</v>
      </c>
      <c r="O2767">
        <v>4</v>
      </c>
      <c r="P2767">
        <v>582</v>
      </c>
      <c r="Q2767">
        <v>344</v>
      </c>
      <c r="R2767">
        <v>210</v>
      </c>
      <c r="S2767">
        <v>4414.8999999999996</v>
      </c>
    </row>
    <row r="2768" spans="12:19" x14ac:dyDescent="0.2">
      <c r="L2768" t="s">
        <v>374</v>
      </c>
      <c r="M2768">
        <v>914</v>
      </c>
      <c r="N2768">
        <v>1</v>
      </c>
      <c r="O2768">
        <v>4</v>
      </c>
      <c r="P2768">
        <v>582</v>
      </c>
      <c r="Q2768">
        <v>344</v>
      </c>
      <c r="R2768">
        <v>210</v>
      </c>
      <c r="S2768">
        <v>193.86</v>
      </c>
    </row>
    <row r="2769" spans="12:19" x14ac:dyDescent="0.2">
      <c r="L2769" t="s">
        <v>374</v>
      </c>
      <c r="M2769">
        <v>2071</v>
      </c>
      <c r="N2769">
        <v>1</v>
      </c>
      <c r="O2769">
        <v>4</v>
      </c>
      <c r="P2769">
        <v>582</v>
      </c>
      <c r="Q2769">
        <v>344</v>
      </c>
      <c r="R2769">
        <v>210</v>
      </c>
      <c r="S2769">
        <v>6905</v>
      </c>
    </row>
    <row r="2770" spans="12:19" x14ac:dyDescent="0.2">
      <c r="L2770" t="s">
        <v>374</v>
      </c>
      <c r="M2770">
        <v>2125</v>
      </c>
      <c r="N2770">
        <v>1</v>
      </c>
      <c r="O2770">
        <v>4</v>
      </c>
      <c r="P2770">
        <v>582</v>
      </c>
      <c r="Q2770">
        <v>344</v>
      </c>
      <c r="R2770">
        <v>210</v>
      </c>
      <c r="S2770">
        <v>4275.71</v>
      </c>
    </row>
    <row r="2771" spans="12:19" x14ac:dyDescent="0.2">
      <c r="L2771" t="s">
        <v>374</v>
      </c>
      <c r="M2771">
        <v>2134</v>
      </c>
      <c r="N2771">
        <v>1</v>
      </c>
      <c r="O2771">
        <v>4</v>
      </c>
      <c r="P2771">
        <v>582</v>
      </c>
      <c r="Q2771">
        <v>344</v>
      </c>
      <c r="R2771">
        <v>210</v>
      </c>
      <c r="S2771">
        <v>1318.39</v>
      </c>
    </row>
    <row r="2772" spans="12:19" x14ac:dyDescent="0.2">
      <c r="L2772" t="s">
        <v>374</v>
      </c>
      <c r="M2772">
        <v>2135</v>
      </c>
      <c r="N2772">
        <v>1</v>
      </c>
      <c r="O2772">
        <v>4</v>
      </c>
      <c r="P2772">
        <v>582</v>
      </c>
      <c r="Q2772">
        <v>344</v>
      </c>
      <c r="R2772">
        <v>210</v>
      </c>
      <c r="S2772">
        <v>4361.72</v>
      </c>
    </row>
    <row r="2773" spans="12:19" x14ac:dyDescent="0.2">
      <c r="L2773" t="s">
        <v>374</v>
      </c>
      <c r="M2773">
        <v>2137</v>
      </c>
      <c r="N2773">
        <v>1</v>
      </c>
      <c r="O2773">
        <v>4</v>
      </c>
      <c r="P2773">
        <v>582</v>
      </c>
      <c r="Q2773">
        <v>344</v>
      </c>
      <c r="R2773">
        <v>210</v>
      </c>
      <c r="S2773">
        <v>2091</v>
      </c>
    </row>
    <row r="2774" spans="12:19" x14ac:dyDescent="0.2">
      <c r="L2774" t="s">
        <v>374</v>
      </c>
      <c r="M2774">
        <v>2142</v>
      </c>
      <c r="N2774">
        <v>1</v>
      </c>
      <c r="O2774">
        <v>4</v>
      </c>
      <c r="P2774">
        <v>582</v>
      </c>
      <c r="Q2774">
        <v>344</v>
      </c>
      <c r="R2774">
        <v>210</v>
      </c>
      <c r="S2774">
        <v>5903.91</v>
      </c>
    </row>
    <row r="2775" spans="12:19" x14ac:dyDescent="0.2">
      <c r="L2775" t="s">
        <v>374</v>
      </c>
      <c r="M2775">
        <v>2143</v>
      </c>
      <c r="N2775">
        <v>1</v>
      </c>
      <c r="O2775">
        <v>4</v>
      </c>
      <c r="P2775">
        <v>582</v>
      </c>
      <c r="Q2775">
        <v>344</v>
      </c>
      <c r="R2775">
        <v>210</v>
      </c>
      <c r="S2775">
        <v>1944.82</v>
      </c>
    </row>
    <row r="2776" spans="12:19" x14ac:dyDescent="0.2">
      <c r="L2776" t="s">
        <v>374</v>
      </c>
      <c r="M2776">
        <v>2144</v>
      </c>
      <c r="N2776">
        <v>1</v>
      </c>
      <c r="O2776">
        <v>4</v>
      </c>
      <c r="P2776">
        <v>582</v>
      </c>
      <c r="Q2776">
        <v>344</v>
      </c>
      <c r="R2776">
        <v>210</v>
      </c>
      <c r="S2776">
        <v>1888.88</v>
      </c>
    </row>
    <row r="2777" spans="12:19" x14ac:dyDescent="0.2">
      <c r="L2777" t="s">
        <v>374</v>
      </c>
      <c r="M2777">
        <v>2149</v>
      </c>
      <c r="N2777">
        <v>1</v>
      </c>
      <c r="O2777">
        <v>4</v>
      </c>
      <c r="P2777">
        <v>582</v>
      </c>
      <c r="Q2777">
        <v>344</v>
      </c>
      <c r="R2777">
        <v>210</v>
      </c>
      <c r="S2777">
        <v>532.57000000000005</v>
      </c>
    </row>
    <row r="2778" spans="12:19" x14ac:dyDescent="0.2">
      <c r="L2778" t="s">
        <v>374</v>
      </c>
      <c r="M2778">
        <v>2154</v>
      </c>
      <c r="N2778">
        <v>1</v>
      </c>
      <c r="O2778">
        <v>4</v>
      </c>
      <c r="P2778">
        <v>582</v>
      </c>
      <c r="Q2778">
        <v>344</v>
      </c>
      <c r="R2778">
        <v>210</v>
      </c>
      <c r="S2778">
        <v>1109.51</v>
      </c>
    </row>
    <row r="2779" spans="12:19" x14ac:dyDescent="0.2">
      <c r="L2779" t="s">
        <v>374</v>
      </c>
      <c r="M2779">
        <v>2155</v>
      </c>
      <c r="N2779">
        <v>1</v>
      </c>
      <c r="O2779">
        <v>4</v>
      </c>
      <c r="P2779">
        <v>582</v>
      </c>
      <c r="Q2779">
        <v>344</v>
      </c>
      <c r="R2779">
        <v>210</v>
      </c>
      <c r="S2779">
        <v>4483.6400000000003</v>
      </c>
    </row>
    <row r="2780" spans="12:19" x14ac:dyDescent="0.2">
      <c r="L2780" t="s">
        <v>374</v>
      </c>
      <c r="M2780">
        <v>2159</v>
      </c>
      <c r="N2780">
        <v>1</v>
      </c>
      <c r="O2780">
        <v>4</v>
      </c>
      <c r="P2780">
        <v>582</v>
      </c>
      <c r="Q2780">
        <v>344</v>
      </c>
      <c r="R2780">
        <v>210</v>
      </c>
      <c r="S2780">
        <v>1794.54</v>
      </c>
    </row>
    <row r="2781" spans="12:19" x14ac:dyDescent="0.2">
      <c r="L2781" t="s">
        <v>374</v>
      </c>
      <c r="M2781">
        <v>2164</v>
      </c>
      <c r="N2781">
        <v>1</v>
      </c>
      <c r="O2781">
        <v>4</v>
      </c>
      <c r="P2781">
        <v>582</v>
      </c>
      <c r="Q2781">
        <v>344</v>
      </c>
      <c r="R2781">
        <v>210</v>
      </c>
      <c r="S2781">
        <v>3526.31</v>
      </c>
    </row>
    <row r="2782" spans="12:19" x14ac:dyDescent="0.2">
      <c r="L2782" t="s">
        <v>374</v>
      </c>
      <c r="M2782">
        <v>2165</v>
      </c>
      <c r="N2782">
        <v>1</v>
      </c>
      <c r="O2782">
        <v>4</v>
      </c>
      <c r="P2782">
        <v>582</v>
      </c>
      <c r="Q2782">
        <v>344</v>
      </c>
      <c r="R2782">
        <v>210</v>
      </c>
      <c r="S2782">
        <v>3071.96</v>
      </c>
    </row>
    <row r="2783" spans="12:19" x14ac:dyDescent="0.2">
      <c r="L2783" t="s">
        <v>374</v>
      </c>
      <c r="M2783">
        <v>2167</v>
      </c>
      <c r="N2783">
        <v>1</v>
      </c>
      <c r="O2783">
        <v>4</v>
      </c>
      <c r="P2783">
        <v>582</v>
      </c>
      <c r="Q2783">
        <v>344</v>
      </c>
      <c r="R2783">
        <v>210</v>
      </c>
      <c r="S2783">
        <v>1426.36</v>
      </c>
    </row>
    <row r="2784" spans="12:19" x14ac:dyDescent="0.2">
      <c r="L2784" t="s">
        <v>374</v>
      </c>
      <c r="M2784">
        <v>2168</v>
      </c>
      <c r="N2784">
        <v>1</v>
      </c>
      <c r="O2784">
        <v>4</v>
      </c>
      <c r="P2784">
        <v>582</v>
      </c>
      <c r="Q2784">
        <v>344</v>
      </c>
      <c r="R2784">
        <v>210</v>
      </c>
      <c r="S2784">
        <v>996.42</v>
      </c>
    </row>
    <row r="2785" spans="12:19" x14ac:dyDescent="0.2">
      <c r="L2785" t="s">
        <v>374</v>
      </c>
      <c r="M2785">
        <v>2169</v>
      </c>
      <c r="N2785">
        <v>1</v>
      </c>
      <c r="O2785">
        <v>4</v>
      </c>
      <c r="P2785">
        <v>582</v>
      </c>
      <c r="Q2785">
        <v>344</v>
      </c>
      <c r="R2785">
        <v>210</v>
      </c>
      <c r="S2785">
        <v>3542.41</v>
      </c>
    </row>
    <row r="2786" spans="12:19" x14ac:dyDescent="0.2">
      <c r="L2786" t="s">
        <v>374</v>
      </c>
      <c r="M2786">
        <v>2170</v>
      </c>
      <c r="N2786">
        <v>1</v>
      </c>
      <c r="O2786">
        <v>4</v>
      </c>
      <c r="P2786">
        <v>582</v>
      </c>
      <c r="Q2786">
        <v>344</v>
      </c>
      <c r="R2786">
        <v>210</v>
      </c>
      <c r="S2786">
        <v>269.56</v>
      </c>
    </row>
    <row r="2787" spans="12:19" x14ac:dyDescent="0.2">
      <c r="L2787" t="s">
        <v>374</v>
      </c>
      <c r="M2787">
        <v>2171</v>
      </c>
      <c r="N2787">
        <v>1</v>
      </c>
      <c r="O2787">
        <v>4</v>
      </c>
      <c r="P2787">
        <v>582</v>
      </c>
      <c r="Q2787">
        <v>344</v>
      </c>
      <c r="R2787">
        <v>210</v>
      </c>
      <c r="S2787">
        <v>1695.51</v>
      </c>
    </row>
    <row r="2788" spans="12:19" x14ac:dyDescent="0.2">
      <c r="L2788" t="s">
        <v>374</v>
      </c>
      <c r="M2788">
        <v>2174</v>
      </c>
      <c r="N2788">
        <v>1</v>
      </c>
      <c r="O2788">
        <v>4</v>
      </c>
      <c r="P2788">
        <v>582</v>
      </c>
      <c r="Q2788">
        <v>344</v>
      </c>
      <c r="R2788">
        <v>210</v>
      </c>
      <c r="S2788">
        <v>1441.78</v>
      </c>
    </row>
    <row r="2789" spans="12:19" x14ac:dyDescent="0.2">
      <c r="L2789" t="s">
        <v>374</v>
      </c>
      <c r="M2789">
        <v>2176</v>
      </c>
      <c r="N2789">
        <v>1</v>
      </c>
      <c r="O2789">
        <v>4</v>
      </c>
      <c r="P2789">
        <v>582</v>
      </c>
      <c r="Q2789">
        <v>344</v>
      </c>
      <c r="R2789">
        <v>210</v>
      </c>
      <c r="S2789">
        <v>58.72</v>
      </c>
    </row>
    <row r="2790" spans="12:19" x14ac:dyDescent="0.2">
      <c r="L2790" t="s">
        <v>374</v>
      </c>
      <c r="M2790">
        <v>2180</v>
      </c>
      <c r="N2790">
        <v>1</v>
      </c>
      <c r="O2790">
        <v>4</v>
      </c>
      <c r="P2790">
        <v>582</v>
      </c>
      <c r="Q2790">
        <v>344</v>
      </c>
      <c r="R2790">
        <v>210</v>
      </c>
      <c r="S2790">
        <v>575.94000000000005</v>
      </c>
    </row>
    <row r="2791" spans="12:19" x14ac:dyDescent="0.2">
      <c r="L2791" t="s">
        <v>374</v>
      </c>
      <c r="M2791">
        <v>2184</v>
      </c>
      <c r="N2791">
        <v>1</v>
      </c>
      <c r="O2791">
        <v>4</v>
      </c>
      <c r="P2791">
        <v>582</v>
      </c>
      <c r="Q2791">
        <v>344</v>
      </c>
      <c r="R2791">
        <v>210</v>
      </c>
      <c r="S2791">
        <v>1076.8</v>
      </c>
    </row>
    <row r="2792" spans="12:19" x14ac:dyDescent="0.2">
      <c r="L2792" t="s">
        <v>374</v>
      </c>
      <c r="M2792">
        <v>2190</v>
      </c>
      <c r="N2792">
        <v>1</v>
      </c>
      <c r="O2792">
        <v>4</v>
      </c>
      <c r="P2792">
        <v>582</v>
      </c>
      <c r="Q2792">
        <v>344</v>
      </c>
      <c r="R2792">
        <v>210</v>
      </c>
      <c r="S2792">
        <v>1687.72</v>
      </c>
    </row>
    <row r="2793" spans="12:19" x14ac:dyDescent="0.2">
      <c r="L2793" t="s">
        <v>374</v>
      </c>
      <c r="M2793">
        <v>2198</v>
      </c>
      <c r="N2793">
        <v>1</v>
      </c>
      <c r="O2793">
        <v>4</v>
      </c>
      <c r="P2793">
        <v>582</v>
      </c>
      <c r="Q2793">
        <v>344</v>
      </c>
      <c r="R2793">
        <v>210</v>
      </c>
      <c r="S2793">
        <v>2563.6</v>
      </c>
    </row>
    <row r="2794" spans="12:19" x14ac:dyDescent="0.2">
      <c r="L2794" t="s">
        <v>374</v>
      </c>
      <c r="M2794">
        <v>2215</v>
      </c>
      <c r="N2794">
        <v>1</v>
      </c>
      <c r="O2794">
        <v>4</v>
      </c>
      <c r="P2794">
        <v>582</v>
      </c>
      <c r="Q2794">
        <v>344</v>
      </c>
      <c r="R2794">
        <v>210</v>
      </c>
      <c r="S2794">
        <v>34.72</v>
      </c>
    </row>
    <row r="2795" spans="12:19" x14ac:dyDescent="0.2">
      <c r="L2795" t="s">
        <v>374</v>
      </c>
      <c r="M2795">
        <v>2310</v>
      </c>
      <c r="N2795">
        <v>1</v>
      </c>
      <c r="O2795">
        <v>4</v>
      </c>
      <c r="P2795">
        <v>582</v>
      </c>
      <c r="Q2795">
        <v>344</v>
      </c>
      <c r="R2795">
        <v>210</v>
      </c>
      <c r="S2795">
        <v>1998.71</v>
      </c>
    </row>
    <row r="2796" spans="12:19" x14ac:dyDescent="0.2">
      <c r="L2796" t="s">
        <v>374</v>
      </c>
      <c r="M2796">
        <v>2311</v>
      </c>
      <c r="N2796">
        <v>1</v>
      </c>
      <c r="O2796">
        <v>4</v>
      </c>
      <c r="P2796">
        <v>582</v>
      </c>
      <c r="Q2796">
        <v>344</v>
      </c>
      <c r="R2796">
        <v>210</v>
      </c>
      <c r="S2796">
        <v>1213.74</v>
      </c>
    </row>
    <row r="2797" spans="12:19" x14ac:dyDescent="0.2">
      <c r="L2797" t="s">
        <v>374</v>
      </c>
      <c r="M2797">
        <v>2342</v>
      </c>
      <c r="N2797">
        <v>1</v>
      </c>
      <c r="O2797">
        <v>4</v>
      </c>
      <c r="P2797">
        <v>582</v>
      </c>
      <c r="Q2797">
        <v>344</v>
      </c>
      <c r="R2797">
        <v>210</v>
      </c>
      <c r="S2797">
        <v>1344.4</v>
      </c>
    </row>
    <row r="2798" spans="12:19" x14ac:dyDescent="0.2">
      <c r="L2798" t="s">
        <v>374</v>
      </c>
      <c r="M2798">
        <v>2358</v>
      </c>
      <c r="N2798">
        <v>1</v>
      </c>
      <c r="O2798">
        <v>4</v>
      </c>
      <c r="P2798">
        <v>582</v>
      </c>
      <c r="Q2798">
        <v>344</v>
      </c>
      <c r="R2798">
        <v>210</v>
      </c>
      <c r="S2798">
        <v>419.47</v>
      </c>
    </row>
    <row r="2799" spans="12:19" x14ac:dyDescent="0.2">
      <c r="L2799" t="s">
        <v>374</v>
      </c>
      <c r="M2799">
        <v>2364</v>
      </c>
      <c r="N2799">
        <v>1</v>
      </c>
      <c r="O2799">
        <v>4</v>
      </c>
      <c r="P2799">
        <v>582</v>
      </c>
      <c r="Q2799">
        <v>344</v>
      </c>
      <c r="R2799">
        <v>210</v>
      </c>
      <c r="S2799">
        <v>393.11</v>
      </c>
    </row>
    <row r="2800" spans="12:19" x14ac:dyDescent="0.2">
      <c r="L2800" t="s">
        <v>374</v>
      </c>
      <c r="M2800">
        <v>2365</v>
      </c>
      <c r="N2800">
        <v>1</v>
      </c>
      <c r="O2800">
        <v>4</v>
      </c>
      <c r="P2800">
        <v>582</v>
      </c>
      <c r="Q2800">
        <v>344</v>
      </c>
      <c r="R2800">
        <v>210</v>
      </c>
      <c r="S2800">
        <v>2029.5</v>
      </c>
    </row>
    <row r="2801" spans="12:19" x14ac:dyDescent="0.2">
      <c r="L2801" t="s">
        <v>374</v>
      </c>
      <c r="M2801">
        <v>2396</v>
      </c>
      <c r="N2801">
        <v>1</v>
      </c>
      <c r="O2801">
        <v>4</v>
      </c>
      <c r="P2801">
        <v>582</v>
      </c>
      <c r="Q2801">
        <v>344</v>
      </c>
      <c r="R2801">
        <v>210</v>
      </c>
      <c r="S2801">
        <v>5073.6400000000003</v>
      </c>
    </row>
    <row r="2802" spans="12:19" x14ac:dyDescent="0.2">
      <c r="L2802" t="s">
        <v>374</v>
      </c>
      <c r="M2802">
        <v>2397</v>
      </c>
      <c r="N2802">
        <v>1</v>
      </c>
      <c r="O2802">
        <v>4</v>
      </c>
      <c r="P2802">
        <v>582</v>
      </c>
      <c r="Q2802">
        <v>344</v>
      </c>
      <c r="R2802">
        <v>210</v>
      </c>
      <c r="S2802">
        <v>2620.4299999999998</v>
      </c>
    </row>
    <row r="2803" spans="12:19" x14ac:dyDescent="0.2">
      <c r="L2803" t="s">
        <v>374</v>
      </c>
      <c r="M2803">
        <v>2448</v>
      </c>
      <c r="N2803">
        <v>1</v>
      </c>
      <c r="O2803">
        <v>4</v>
      </c>
      <c r="P2803">
        <v>582</v>
      </c>
      <c r="Q2803">
        <v>344</v>
      </c>
      <c r="R2803">
        <v>210</v>
      </c>
      <c r="S2803">
        <v>4098.33</v>
      </c>
    </row>
    <row r="2804" spans="12:19" x14ac:dyDescent="0.2">
      <c r="L2804" t="s">
        <v>374</v>
      </c>
      <c r="M2804">
        <v>2534</v>
      </c>
      <c r="N2804">
        <v>1</v>
      </c>
      <c r="O2804">
        <v>4</v>
      </c>
      <c r="P2804">
        <v>582</v>
      </c>
      <c r="Q2804">
        <v>344</v>
      </c>
      <c r="R2804">
        <v>210</v>
      </c>
      <c r="S2804">
        <v>2091.37</v>
      </c>
    </row>
    <row r="2805" spans="12:19" x14ac:dyDescent="0.2">
      <c r="L2805" t="s">
        <v>374</v>
      </c>
      <c r="M2805">
        <v>2536</v>
      </c>
      <c r="N2805">
        <v>1</v>
      </c>
      <c r="O2805">
        <v>4</v>
      </c>
      <c r="P2805">
        <v>582</v>
      </c>
      <c r="Q2805">
        <v>344</v>
      </c>
      <c r="R2805">
        <v>210</v>
      </c>
      <c r="S2805">
        <v>192.72</v>
      </c>
    </row>
    <row r="2806" spans="12:19" x14ac:dyDescent="0.2">
      <c r="L2806" t="s">
        <v>374</v>
      </c>
      <c r="M2806">
        <v>2580</v>
      </c>
      <c r="N2806">
        <v>1</v>
      </c>
      <c r="O2806">
        <v>4</v>
      </c>
      <c r="P2806">
        <v>582</v>
      </c>
      <c r="Q2806">
        <v>344</v>
      </c>
      <c r="R2806">
        <v>210</v>
      </c>
      <c r="S2806">
        <v>1024.31</v>
      </c>
    </row>
    <row r="2807" spans="12:19" x14ac:dyDescent="0.2">
      <c r="L2807" t="s">
        <v>374</v>
      </c>
      <c r="M2807">
        <v>2609</v>
      </c>
      <c r="N2807">
        <v>1</v>
      </c>
      <c r="O2807">
        <v>4</v>
      </c>
      <c r="P2807">
        <v>582</v>
      </c>
      <c r="Q2807">
        <v>344</v>
      </c>
      <c r="R2807">
        <v>210</v>
      </c>
      <c r="S2807">
        <v>316.94</v>
      </c>
    </row>
    <row r="2808" spans="12:19" x14ac:dyDescent="0.2">
      <c r="L2808" t="s">
        <v>374</v>
      </c>
      <c r="M2808">
        <v>2683</v>
      </c>
      <c r="N2808">
        <v>1</v>
      </c>
      <c r="O2808">
        <v>4</v>
      </c>
      <c r="P2808">
        <v>582</v>
      </c>
      <c r="Q2808">
        <v>344</v>
      </c>
      <c r="R2808">
        <v>210</v>
      </c>
      <c r="S2808">
        <v>1580.39</v>
      </c>
    </row>
    <row r="2809" spans="12:19" x14ac:dyDescent="0.2">
      <c r="L2809" t="s">
        <v>374</v>
      </c>
      <c r="M2809">
        <v>2687</v>
      </c>
      <c r="N2809">
        <v>1</v>
      </c>
      <c r="O2809">
        <v>4</v>
      </c>
      <c r="P2809">
        <v>582</v>
      </c>
      <c r="Q2809">
        <v>344</v>
      </c>
      <c r="R2809">
        <v>210</v>
      </c>
      <c r="S2809">
        <v>221.04</v>
      </c>
    </row>
    <row r="2810" spans="12:19" x14ac:dyDescent="0.2">
      <c r="L2810" t="s">
        <v>374</v>
      </c>
      <c r="M2810">
        <v>2689</v>
      </c>
      <c r="N2810">
        <v>1</v>
      </c>
      <c r="O2810">
        <v>4</v>
      </c>
      <c r="P2810">
        <v>582</v>
      </c>
      <c r="Q2810">
        <v>344</v>
      </c>
      <c r="R2810">
        <v>210</v>
      </c>
      <c r="S2810">
        <v>811.94</v>
      </c>
    </row>
    <row r="2811" spans="12:19" x14ac:dyDescent="0.2">
      <c r="L2811" t="s">
        <v>374</v>
      </c>
      <c r="M2811">
        <v>2711</v>
      </c>
      <c r="N2811">
        <v>1</v>
      </c>
      <c r="O2811">
        <v>4</v>
      </c>
      <c r="P2811">
        <v>582</v>
      </c>
      <c r="Q2811">
        <v>344</v>
      </c>
      <c r="R2811">
        <v>210</v>
      </c>
      <c r="S2811">
        <v>1862.37</v>
      </c>
    </row>
    <row r="2812" spans="12:19" x14ac:dyDescent="0.2">
      <c r="L2812" t="s">
        <v>374</v>
      </c>
      <c r="M2812">
        <v>2752</v>
      </c>
      <c r="N2812">
        <v>1</v>
      </c>
      <c r="O2812">
        <v>4</v>
      </c>
      <c r="P2812">
        <v>582</v>
      </c>
      <c r="Q2812">
        <v>344</v>
      </c>
      <c r="R2812">
        <v>210</v>
      </c>
      <c r="S2812">
        <v>3233.07</v>
      </c>
    </row>
    <row r="2813" spans="12:19" x14ac:dyDescent="0.2">
      <c r="L2813" t="s">
        <v>374</v>
      </c>
      <c r="M2813">
        <v>2754</v>
      </c>
      <c r="N2813">
        <v>1</v>
      </c>
      <c r="O2813">
        <v>4</v>
      </c>
      <c r="P2813">
        <v>582</v>
      </c>
      <c r="Q2813">
        <v>344</v>
      </c>
      <c r="R2813">
        <v>210</v>
      </c>
      <c r="S2813">
        <v>2022.57</v>
      </c>
    </row>
    <row r="2814" spans="12:19" x14ac:dyDescent="0.2">
      <c r="L2814" t="s">
        <v>374</v>
      </c>
      <c r="M2814">
        <v>2805</v>
      </c>
      <c r="N2814">
        <v>1</v>
      </c>
      <c r="O2814">
        <v>4</v>
      </c>
      <c r="P2814">
        <v>582</v>
      </c>
      <c r="Q2814">
        <v>344</v>
      </c>
      <c r="R2814">
        <v>210</v>
      </c>
      <c r="S2814">
        <v>380.65</v>
      </c>
    </row>
    <row r="2815" spans="12:19" x14ac:dyDescent="0.2">
      <c r="L2815" t="s">
        <v>374</v>
      </c>
      <c r="M2815">
        <v>2835</v>
      </c>
      <c r="N2815">
        <v>1</v>
      </c>
      <c r="O2815">
        <v>4</v>
      </c>
      <c r="P2815">
        <v>582</v>
      </c>
      <c r="Q2815">
        <v>344</v>
      </c>
      <c r="R2815">
        <v>210</v>
      </c>
      <c r="S2815">
        <v>1921.59</v>
      </c>
    </row>
    <row r="2816" spans="12:19" x14ac:dyDescent="0.2">
      <c r="L2816" t="s">
        <v>374</v>
      </c>
      <c r="M2816">
        <v>2853</v>
      </c>
      <c r="N2816">
        <v>1</v>
      </c>
      <c r="O2816">
        <v>4</v>
      </c>
      <c r="P2816">
        <v>582</v>
      </c>
      <c r="Q2816">
        <v>344</v>
      </c>
      <c r="R2816">
        <v>210</v>
      </c>
      <c r="S2816">
        <v>3970.33</v>
      </c>
    </row>
    <row r="2817" spans="12:19" x14ac:dyDescent="0.2">
      <c r="L2817" t="s">
        <v>374</v>
      </c>
      <c r="M2817">
        <v>2854</v>
      </c>
      <c r="N2817">
        <v>1</v>
      </c>
      <c r="O2817">
        <v>4</v>
      </c>
      <c r="P2817">
        <v>582</v>
      </c>
      <c r="Q2817">
        <v>344</v>
      </c>
      <c r="R2817">
        <v>210</v>
      </c>
      <c r="S2817">
        <v>1692.99</v>
      </c>
    </row>
    <row r="2818" spans="12:19" x14ac:dyDescent="0.2">
      <c r="L2818" t="s">
        <v>374</v>
      </c>
      <c r="M2818">
        <v>2856</v>
      </c>
      <c r="N2818">
        <v>1</v>
      </c>
      <c r="O2818">
        <v>4</v>
      </c>
      <c r="P2818">
        <v>582</v>
      </c>
      <c r="Q2818">
        <v>344</v>
      </c>
      <c r="R2818">
        <v>210</v>
      </c>
      <c r="S2818">
        <v>2060.3200000000002</v>
      </c>
    </row>
    <row r="2819" spans="12:19" x14ac:dyDescent="0.2">
      <c r="L2819" t="s">
        <v>374</v>
      </c>
      <c r="M2819">
        <v>2859</v>
      </c>
      <c r="N2819">
        <v>1</v>
      </c>
      <c r="O2819">
        <v>4</v>
      </c>
      <c r="P2819">
        <v>582</v>
      </c>
      <c r="Q2819">
        <v>344</v>
      </c>
      <c r="R2819">
        <v>210</v>
      </c>
      <c r="S2819">
        <v>2811.49</v>
      </c>
    </row>
    <row r="2820" spans="12:19" x14ac:dyDescent="0.2">
      <c r="L2820" t="s">
        <v>374</v>
      </c>
      <c r="M2820">
        <v>2860</v>
      </c>
      <c r="N2820">
        <v>1</v>
      </c>
      <c r="O2820">
        <v>4</v>
      </c>
      <c r="P2820">
        <v>582</v>
      </c>
      <c r="Q2820">
        <v>344</v>
      </c>
      <c r="R2820">
        <v>210</v>
      </c>
      <c r="S2820">
        <v>364.39</v>
      </c>
    </row>
    <row r="2821" spans="12:19" x14ac:dyDescent="0.2">
      <c r="L2821" t="s">
        <v>374</v>
      </c>
      <c r="M2821">
        <v>2884</v>
      </c>
      <c r="N2821">
        <v>1</v>
      </c>
      <c r="O2821">
        <v>4</v>
      </c>
      <c r="P2821">
        <v>582</v>
      </c>
      <c r="Q2821">
        <v>344</v>
      </c>
      <c r="R2821">
        <v>210</v>
      </c>
      <c r="S2821">
        <v>2002.36</v>
      </c>
    </row>
    <row r="2822" spans="12:19" x14ac:dyDescent="0.2">
      <c r="L2822" t="s">
        <v>374</v>
      </c>
      <c r="M2822">
        <v>2886</v>
      </c>
      <c r="N2822">
        <v>1</v>
      </c>
      <c r="O2822">
        <v>4</v>
      </c>
      <c r="P2822">
        <v>582</v>
      </c>
      <c r="Q2822">
        <v>344</v>
      </c>
      <c r="R2822">
        <v>210</v>
      </c>
      <c r="S2822">
        <v>325.13</v>
      </c>
    </row>
    <row r="2823" spans="12:19" x14ac:dyDescent="0.2">
      <c r="L2823" t="s">
        <v>374</v>
      </c>
      <c r="M2823">
        <v>2887</v>
      </c>
      <c r="N2823">
        <v>1</v>
      </c>
      <c r="O2823">
        <v>4</v>
      </c>
      <c r="P2823">
        <v>582</v>
      </c>
      <c r="Q2823">
        <v>344</v>
      </c>
      <c r="R2823">
        <v>210</v>
      </c>
      <c r="S2823">
        <v>423.82</v>
      </c>
    </row>
    <row r="2824" spans="12:19" x14ac:dyDescent="0.2">
      <c r="L2824" t="s">
        <v>374</v>
      </c>
      <c r="M2824">
        <v>2888</v>
      </c>
      <c r="N2824">
        <v>1</v>
      </c>
      <c r="O2824">
        <v>4</v>
      </c>
      <c r="P2824">
        <v>582</v>
      </c>
      <c r="Q2824">
        <v>344</v>
      </c>
      <c r="R2824">
        <v>210</v>
      </c>
      <c r="S2824">
        <v>1400.34</v>
      </c>
    </row>
    <row r="2825" spans="12:19" x14ac:dyDescent="0.2">
      <c r="L2825" t="s">
        <v>374</v>
      </c>
      <c r="M2825">
        <v>2889</v>
      </c>
      <c r="N2825">
        <v>1</v>
      </c>
      <c r="O2825">
        <v>4</v>
      </c>
      <c r="P2825">
        <v>582</v>
      </c>
      <c r="Q2825">
        <v>344</v>
      </c>
      <c r="R2825">
        <v>210</v>
      </c>
      <c r="S2825">
        <v>1896.14</v>
      </c>
    </row>
    <row r="2826" spans="12:19" x14ac:dyDescent="0.2">
      <c r="L2826" t="s">
        <v>374</v>
      </c>
      <c r="M2826">
        <v>2890</v>
      </c>
      <c r="N2826">
        <v>1</v>
      </c>
      <c r="O2826">
        <v>4</v>
      </c>
      <c r="P2826">
        <v>582</v>
      </c>
      <c r="Q2826">
        <v>344</v>
      </c>
      <c r="R2826">
        <v>210</v>
      </c>
      <c r="S2826">
        <v>1094.1199999999999</v>
      </c>
    </row>
    <row r="2827" spans="12:19" x14ac:dyDescent="0.2">
      <c r="L2827" t="s">
        <v>374</v>
      </c>
      <c r="M2827">
        <v>2895</v>
      </c>
      <c r="N2827">
        <v>1</v>
      </c>
      <c r="O2827">
        <v>4</v>
      </c>
      <c r="P2827">
        <v>582</v>
      </c>
      <c r="Q2827">
        <v>344</v>
      </c>
      <c r="R2827">
        <v>210</v>
      </c>
      <c r="S2827">
        <v>1613.67</v>
      </c>
    </row>
    <row r="2828" spans="12:19" x14ac:dyDescent="0.2">
      <c r="L2828" t="s">
        <v>374</v>
      </c>
      <c r="M2828">
        <v>2897</v>
      </c>
      <c r="N2828">
        <v>1</v>
      </c>
      <c r="O2828">
        <v>4</v>
      </c>
      <c r="P2828">
        <v>582</v>
      </c>
      <c r="Q2828">
        <v>344</v>
      </c>
      <c r="R2828">
        <v>210</v>
      </c>
      <c r="S2828">
        <v>3788.83</v>
      </c>
    </row>
    <row r="2829" spans="12:19" x14ac:dyDescent="0.2">
      <c r="L2829" t="s">
        <v>374</v>
      </c>
      <c r="M2829">
        <v>2898</v>
      </c>
      <c r="N2829">
        <v>1</v>
      </c>
      <c r="O2829">
        <v>4</v>
      </c>
      <c r="P2829">
        <v>582</v>
      </c>
      <c r="Q2829">
        <v>344</v>
      </c>
      <c r="R2829">
        <v>210</v>
      </c>
      <c r="S2829">
        <v>340.45</v>
      </c>
    </row>
    <row r="2830" spans="12:19" x14ac:dyDescent="0.2">
      <c r="L2830" t="s">
        <v>374</v>
      </c>
      <c r="M2830">
        <v>2899</v>
      </c>
      <c r="N2830">
        <v>1</v>
      </c>
      <c r="O2830">
        <v>4</v>
      </c>
      <c r="P2830">
        <v>582</v>
      </c>
      <c r="Q2830">
        <v>344</v>
      </c>
      <c r="R2830">
        <v>210</v>
      </c>
      <c r="S2830">
        <v>5020.13</v>
      </c>
    </row>
    <row r="2831" spans="12:19" x14ac:dyDescent="0.2">
      <c r="L2831" t="s">
        <v>374</v>
      </c>
      <c r="M2831">
        <v>139</v>
      </c>
      <c r="N2831">
        <v>1</v>
      </c>
      <c r="O2831">
        <v>4</v>
      </c>
      <c r="P2831">
        <v>582</v>
      </c>
      <c r="Q2831">
        <v>321</v>
      </c>
      <c r="R2831">
        <v>210</v>
      </c>
      <c r="S2831">
        <v>3811.6</v>
      </c>
    </row>
    <row r="2832" spans="12:19" x14ac:dyDescent="0.2">
      <c r="L2832" t="s">
        <v>374</v>
      </c>
      <c r="M2832">
        <v>404</v>
      </c>
      <c r="N2832">
        <v>1</v>
      </c>
      <c r="O2832">
        <v>4</v>
      </c>
      <c r="P2832">
        <v>582</v>
      </c>
      <c r="Q2832">
        <v>321</v>
      </c>
      <c r="R2832">
        <v>210</v>
      </c>
      <c r="S2832">
        <v>742.05</v>
      </c>
    </row>
    <row r="2833" spans="12:19" x14ac:dyDescent="0.2">
      <c r="L2833" t="s">
        <v>374</v>
      </c>
      <c r="M2833">
        <v>414</v>
      </c>
      <c r="N2833">
        <v>1</v>
      </c>
      <c r="O2833">
        <v>4</v>
      </c>
      <c r="P2833">
        <v>582</v>
      </c>
      <c r="Q2833">
        <v>321</v>
      </c>
      <c r="R2833">
        <v>210</v>
      </c>
      <c r="S2833">
        <v>1812.82</v>
      </c>
    </row>
    <row r="2834" spans="12:19" x14ac:dyDescent="0.2">
      <c r="L2834" t="s">
        <v>374</v>
      </c>
      <c r="M2834">
        <v>831</v>
      </c>
      <c r="N2834">
        <v>1</v>
      </c>
      <c r="O2834">
        <v>4</v>
      </c>
      <c r="P2834">
        <v>582</v>
      </c>
      <c r="Q2834">
        <v>321</v>
      </c>
      <c r="R2834">
        <v>210</v>
      </c>
      <c r="S2834">
        <v>12071.29</v>
      </c>
    </row>
    <row r="2835" spans="12:19" x14ac:dyDescent="0.2">
      <c r="L2835" t="s">
        <v>374</v>
      </c>
      <c r="M2835">
        <v>256</v>
      </c>
      <c r="N2835">
        <v>1</v>
      </c>
      <c r="O2835">
        <v>4</v>
      </c>
      <c r="P2835">
        <v>582</v>
      </c>
      <c r="Q2835">
        <v>0</v>
      </c>
      <c r="R2835">
        <v>210</v>
      </c>
      <c r="S2835">
        <v>806.68</v>
      </c>
    </row>
    <row r="2836" spans="12:19" x14ac:dyDescent="0.2">
      <c r="L2836" t="s">
        <v>374</v>
      </c>
      <c r="M2836">
        <v>297</v>
      </c>
      <c r="N2836">
        <v>1</v>
      </c>
      <c r="O2836">
        <v>4</v>
      </c>
      <c r="P2836">
        <v>582</v>
      </c>
      <c r="Q2836">
        <v>0</v>
      </c>
      <c r="R2836">
        <v>210</v>
      </c>
      <c r="S2836">
        <v>53.28</v>
      </c>
    </row>
    <row r="2837" spans="12:19" x14ac:dyDescent="0.2">
      <c r="L2837" t="s">
        <v>374</v>
      </c>
      <c r="M2837">
        <v>345</v>
      </c>
      <c r="N2837">
        <v>1</v>
      </c>
      <c r="O2837">
        <v>4</v>
      </c>
      <c r="P2837">
        <v>582</v>
      </c>
      <c r="Q2837">
        <v>0</v>
      </c>
      <c r="R2837">
        <v>210</v>
      </c>
      <c r="S2837">
        <v>574</v>
      </c>
    </row>
    <row r="2838" spans="12:19" x14ac:dyDescent="0.2">
      <c r="L2838" t="s">
        <v>374</v>
      </c>
      <c r="M2838">
        <v>378</v>
      </c>
      <c r="N2838">
        <v>1</v>
      </c>
      <c r="O2838">
        <v>4</v>
      </c>
      <c r="P2838">
        <v>582</v>
      </c>
      <c r="Q2838">
        <v>0</v>
      </c>
      <c r="R2838">
        <v>210</v>
      </c>
      <c r="S2838">
        <v>1582.53</v>
      </c>
    </row>
    <row r="2839" spans="12:19" x14ac:dyDescent="0.2">
      <c r="L2839" t="s">
        <v>374</v>
      </c>
      <c r="M2839">
        <v>621</v>
      </c>
      <c r="N2839">
        <v>1</v>
      </c>
      <c r="O2839">
        <v>4</v>
      </c>
      <c r="P2839">
        <v>582</v>
      </c>
      <c r="Q2839">
        <v>0</v>
      </c>
      <c r="R2839">
        <v>210</v>
      </c>
      <c r="S2839">
        <v>761.56</v>
      </c>
    </row>
    <row r="2840" spans="12:19" x14ac:dyDescent="0.2">
      <c r="L2840" t="s">
        <v>374</v>
      </c>
      <c r="M2840">
        <v>625</v>
      </c>
      <c r="N2840">
        <v>1</v>
      </c>
      <c r="O2840">
        <v>4</v>
      </c>
      <c r="P2840">
        <v>582</v>
      </c>
      <c r="Q2840">
        <v>0</v>
      </c>
      <c r="R2840">
        <v>210</v>
      </c>
      <c r="S2840">
        <v>18684.97</v>
      </c>
    </row>
    <row r="2841" spans="12:19" x14ac:dyDescent="0.2">
      <c r="L2841" t="s">
        <v>374</v>
      </c>
      <c r="M2841">
        <v>11</v>
      </c>
      <c r="N2841">
        <v>1</v>
      </c>
      <c r="O2841">
        <v>4</v>
      </c>
      <c r="P2841">
        <v>582</v>
      </c>
      <c r="Q2841">
        <v>344</v>
      </c>
      <c r="R2841">
        <v>199</v>
      </c>
      <c r="S2841">
        <v>705.29</v>
      </c>
    </row>
    <row r="2842" spans="12:19" x14ac:dyDescent="0.2">
      <c r="L2842" t="s">
        <v>374</v>
      </c>
      <c r="M2842">
        <v>112</v>
      </c>
      <c r="N2842">
        <v>1</v>
      </c>
      <c r="O2842">
        <v>4</v>
      </c>
      <c r="P2842">
        <v>582</v>
      </c>
      <c r="Q2842">
        <v>344</v>
      </c>
      <c r="R2842">
        <v>199</v>
      </c>
      <c r="S2842">
        <v>872.92</v>
      </c>
    </row>
    <row r="2843" spans="12:19" x14ac:dyDescent="0.2">
      <c r="L2843" t="s">
        <v>374</v>
      </c>
      <c r="M2843">
        <v>186</v>
      </c>
      <c r="N2843">
        <v>1</v>
      </c>
      <c r="O2843">
        <v>4</v>
      </c>
      <c r="P2843">
        <v>582</v>
      </c>
      <c r="Q2843">
        <v>344</v>
      </c>
      <c r="R2843">
        <v>199</v>
      </c>
      <c r="S2843">
        <v>1142.28</v>
      </c>
    </row>
    <row r="2844" spans="12:19" x14ac:dyDescent="0.2">
      <c r="L2844" t="s">
        <v>374</v>
      </c>
      <c r="M2844">
        <v>272</v>
      </c>
      <c r="N2844">
        <v>1</v>
      </c>
      <c r="O2844">
        <v>4</v>
      </c>
      <c r="P2844">
        <v>582</v>
      </c>
      <c r="Q2844">
        <v>344</v>
      </c>
      <c r="R2844">
        <v>199</v>
      </c>
      <c r="S2844">
        <v>2204.84</v>
      </c>
    </row>
    <row r="2845" spans="12:19" x14ac:dyDescent="0.2">
      <c r="L2845" t="s">
        <v>374</v>
      </c>
      <c r="M2845">
        <v>361</v>
      </c>
      <c r="N2845">
        <v>1</v>
      </c>
      <c r="O2845">
        <v>4</v>
      </c>
      <c r="P2845">
        <v>582</v>
      </c>
      <c r="Q2845">
        <v>344</v>
      </c>
      <c r="R2845">
        <v>199</v>
      </c>
      <c r="S2845">
        <v>328</v>
      </c>
    </row>
    <row r="2846" spans="12:19" x14ac:dyDescent="0.2">
      <c r="L2846" t="s">
        <v>374</v>
      </c>
      <c r="M2846">
        <v>381</v>
      </c>
      <c r="N2846">
        <v>1</v>
      </c>
      <c r="O2846">
        <v>4</v>
      </c>
      <c r="P2846">
        <v>582</v>
      </c>
      <c r="Q2846">
        <v>344</v>
      </c>
      <c r="R2846">
        <v>199</v>
      </c>
      <c r="S2846">
        <v>200</v>
      </c>
    </row>
    <row r="2847" spans="12:19" x14ac:dyDescent="0.2">
      <c r="L2847" t="s">
        <v>374</v>
      </c>
      <c r="M2847">
        <v>719</v>
      </c>
      <c r="N2847">
        <v>1</v>
      </c>
      <c r="O2847">
        <v>4</v>
      </c>
      <c r="P2847">
        <v>582</v>
      </c>
      <c r="Q2847">
        <v>344</v>
      </c>
      <c r="R2847">
        <v>199</v>
      </c>
      <c r="S2847">
        <v>8680.77</v>
      </c>
    </row>
    <row r="2848" spans="12:19" x14ac:dyDescent="0.2">
      <c r="L2848" t="s">
        <v>374</v>
      </c>
      <c r="M2848">
        <v>1</v>
      </c>
      <c r="N2848">
        <v>1</v>
      </c>
      <c r="O2848">
        <v>4</v>
      </c>
      <c r="P2848">
        <v>582</v>
      </c>
      <c r="Q2848">
        <v>344</v>
      </c>
      <c r="R2848">
        <v>195</v>
      </c>
      <c r="S2848">
        <v>-572</v>
      </c>
    </row>
    <row r="2849" spans="12:19" x14ac:dyDescent="0.2">
      <c r="L2849" t="s">
        <v>374</v>
      </c>
      <c r="M2849">
        <v>22</v>
      </c>
      <c r="N2849">
        <v>1</v>
      </c>
      <c r="O2849">
        <v>4</v>
      </c>
      <c r="P2849">
        <v>582</v>
      </c>
      <c r="Q2849">
        <v>344</v>
      </c>
      <c r="R2849">
        <v>195</v>
      </c>
      <c r="S2849">
        <v>1589.18</v>
      </c>
    </row>
    <row r="2850" spans="12:19" x14ac:dyDescent="0.2">
      <c r="L2850" t="s">
        <v>374</v>
      </c>
      <c r="M2850">
        <v>38</v>
      </c>
      <c r="N2850">
        <v>1</v>
      </c>
      <c r="O2850">
        <v>4</v>
      </c>
      <c r="P2850">
        <v>582</v>
      </c>
      <c r="Q2850">
        <v>344</v>
      </c>
      <c r="R2850">
        <v>195</v>
      </c>
      <c r="S2850">
        <v>-229.18</v>
      </c>
    </row>
    <row r="2851" spans="12:19" x14ac:dyDescent="0.2">
      <c r="L2851" t="s">
        <v>374</v>
      </c>
      <c r="M2851">
        <v>97</v>
      </c>
      <c r="N2851">
        <v>1</v>
      </c>
      <c r="O2851">
        <v>4</v>
      </c>
      <c r="P2851">
        <v>582</v>
      </c>
      <c r="Q2851">
        <v>344</v>
      </c>
      <c r="R2851">
        <v>195</v>
      </c>
      <c r="S2851">
        <v>26.51</v>
      </c>
    </row>
    <row r="2852" spans="12:19" x14ac:dyDescent="0.2">
      <c r="L2852" t="s">
        <v>374</v>
      </c>
      <c r="M2852">
        <v>99</v>
      </c>
      <c r="N2852">
        <v>1</v>
      </c>
      <c r="O2852">
        <v>4</v>
      </c>
      <c r="P2852">
        <v>582</v>
      </c>
      <c r="Q2852">
        <v>344</v>
      </c>
      <c r="R2852">
        <v>195</v>
      </c>
      <c r="S2852">
        <v>400</v>
      </c>
    </row>
    <row r="2853" spans="12:19" x14ac:dyDescent="0.2">
      <c r="L2853" t="s">
        <v>374</v>
      </c>
      <c r="M2853">
        <v>111</v>
      </c>
      <c r="N2853">
        <v>1</v>
      </c>
      <c r="O2853">
        <v>4</v>
      </c>
      <c r="P2853">
        <v>582</v>
      </c>
      <c r="Q2853">
        <v>344</v>
      </c>
      <c r="R2853">
        <v>195</v>
      </c>
      <c r="S2853">
        <v>-1110</v>
      </c>
    </row>
    <row r="2854" spans="12:19" x14ac:dyDescent="0.2">
      <c r="L2854" t="s">
        <v>374</v>
      </c>
      <c r="M2854">
        <v>271</v>
      </c>
      <c r="N2854">
        <v>1</v>
      </c>
      <c r="O2854">
        <v>4</v>
      </c>
      <c r="P2854">
        <v>582</v>
      </c>
      <c r="Q2854">
        <v>344</v>
      </c>
      <c r="R2854">
        <v>195</v>
      </c>
      <c r="S2854">
        <v>27600</v>
      </c>
    </row>
    <row r="2855" spans="12:19" x14ac:dyDescent="0.2">
      <c r="L2855" t="s">
        <v>374</v>
      </c>
      <c r="M2855">
        <v>300</v>
      </c>
      <c r="N2855">
        <v>1</v>
      </c>
      <c r="O2855">
        <v>4</v>
      </c>
      <c r="P2855">
        <v>582</v>
      </c>
      <c r="Q2855">
        <v>344</v>
      </c>
      <c r="R2855">
        <v>195</v>
      </c>
      <c r="S2855">
        <v>-699.42</v>
      </c>
    </row>
    <row r="2856" spans="12:19" x14ac:dyDescent="0.2">
      <c r="L2856" t="s">
        <v>374</v>
      </c>
      <c r="M2856">
        <v>306</v>
      </c>
      <c r="N2856">
        <v>1</v>
      </c>
      <c r="O2856">
        <v>4</v>
      </c>
      <c r="P2856">
        <v>582</v>
      </c>
      <c r="Q2856">
        <v>344</v>
      </c>
      <c r="R2856">
        <v>195</v>
      </c>
      <c r="S2856">
        <v>-9232</v>
      </c>
    </row>
    <row r="2857" spans="12:19" x14ac:dyDescent="0.2">
      <c r="L2857" t="s">
        <v>374</v>
      </c>
      <c r="M2857">
        <v>318</v>
      </c>
      <c r="N2857">
        <v>1</v>
      </c>
      <c r="O2857">
        <v>4</v>
      </c>
      <c r="P2857">
        <v>582</v>
      </c>
      <c r="Q2857">
        <v>344</v>
      </c>
      <c r="R2857">
        <v>195</v>
      </c>
      <c r="S2857">
        <v>-1488.22</v>
      </c>
    </row>
    <row r="2858" spans="12:19" x14ac:dyDescent="0.2">
      <c r="L2858" t="s">
        <v>374</v>
      </c>
      <c r="M2858">
        <v>347</v>
      </c>
      <c r="N2858">
        <v>1</v>
      </c>
      <c r="O2858">
        <v>4</v>
      </c>
      <c r="P2858">
        <v>582</v>
      </c>
      <c r="Q2858">
        <v>344</v>
      </c>
      <c r="R2858">
        <v>195</v>
      </c>
      <c r="S2858">
        <v>-13943.29</v>
      </c>
    </row>
    <row r="2859" spans="12:19" x14ac:dyDescent="0.2">
      <c r="L2859" t="s">
        <v>374</v>
      </c>
      <c r="M2859">
        <v>423</v>
      </c>
      <c r="N2859">
        <v>1</v>
      </c>
      <c r="O2859">
        <v>4</v>
      </c>
      <c r="P2859">
        <v>582</v>
      </c>
      <c r="Q2859">
        <v>344</v>
      </c>
      <c r="R2859">
        <v>195</v>
      </c>
      <c r="S2859">
        <v>8854</v>
      </c>
    </row>
    <row r="2860" spans="12:19" x14ac:dyDescent="0.2">
      <c r="L2860" t="s">
        <v>374</v>
      </c>
      <c r="M2860">
        <v>484</v>
      </c>
      <c r="N2860">
        <v>1</v>
      </c>
      <c r="O2860">
        <v>4</v>
      </c>
      <c r="P2860">
        <v>582</v>
      </c>
      <c r="Q2860">
        <v>344</v>
      </c>
      <c r="R2860">
        <v>195</v>
      </c>
      <c r="S2860">
        <v>13188.51</v>
      </c>
    </row>
    <row r="2861" spans="12:19" x14ac:dyDescent="0.2">
      <c r="L2861" t="s">
        <v>374</v>
      </c>
      <c r="M2861">
        <v>593</v>
      </c>
      <c r="N2861">
        <v>1</v>
      </c>
      <c r="O2861">
        <v>4</v>
      </c>
      <c r="P2861">
        <v>582</v>
      </c>
      <c r="Q2861">
        <v>344</v>
      </c>
      <c r="R2861">
        <v>195</v>
      </c>
      <c r="S2861">
        <v>3345.14</v>
      </c>
    </row>
    <row r="2862" spans="12:19" x14ac:dyDescent="0.2">
      <c r="L2862" t="s">
        <v>374</v>
      </c>
      <c r="M2862">
        <v>832</v>
      </c>
      <c r="N2862">
        <v>1</v>
      </c>
      <c r="O2862">
        <v>4</v>
      </c>
      <c r="P2862">
        <v>582</v>
      </c>
      <c r="Q2862">
        <v>344</v>
      </c>
      <c r="R2862">
        <v>195</v>
      </c>
      <c r="S2862">
        <v>700</v>
      </c>
    </row>
    <row r="2863" spans="12:19" x14ac:dyDescent="0.2">
      <c r="L2863" t="s">
        <v>374</v>
      </c>
      <c r="M2863">
        <v>846</v>
      </c>
      <c r="N2863">
        <v>1</v>
      </c>
      <c r="O2863">
        <v>4</v>
      </c>
      <c r="P2863">
        <v>582</v>
      </c>
      <c r="Q2863">
        <v>344</v>
      </c>
      <c r="R2863">
        <v>195</v>
      </c>
      <c r="S2863">
        <v>-7377.79</v>
      </c>
    </row>
    <row r="2864" spans="12:19" x14ac:dyDescent="0.2">
      <c r="L2864" t="s">
        <v>374</v>
      </c>
      <c r="M2864">
        <v>861</v>
      </c>
      <c r="N2864">
        <v>1</v>
      </c>
      <c r="O2864">
        <v>4</v>
      </c>
      <c r="P2864">
        <v>582</v>
      </c>
      <c r="Q2864">
        <v>344</v>
      </c>
      <c r="R2864">
        <v>195</v>
      </c>
      <c r="S2864">
        <v>414</v>
      </c>
    </row>
    <row r="2865" spans="12:19" x14ac:dyDescent="0.2">
      <c r="L2865" t="s">
        <v>374</v>
      </c>
      <c r="M2865">
        <v>881</v>
      </c>
      <c r="N2865">
        <v>1</v>
      </c>
      <c r="O2865">
        <v>4</v>
      </c>
      <c r="P2865">
        <v>582</v>
      </c>
      <c r="Q2865">
        <v>344</v>
      </c>
      <c r="R2865">
        <v>195</v>
      </c>
      <c r="S2865">
        <v>6799.25</v>
      </c>
    </row>
    <row r="2866" spans="12:19" x14ac:dyDescent="0.2">
      <c r="L2866" t="s">
        <v>374</v>
      </c>
      <c r="M2866">
        <v>2135</v>
      </c>
      <c r="N2866">
        <v>1</v>
      </c>
      <c r="O2866">
        <v>4</v>
      </c>
      <c r="P2866">
        <v>582</v>
      </c>
      <c r="Q2866">
        <v>344</v>
      </c>
      <c r="R2866">
        <v>195</v>
      </c>
      <c r="S2866">
        <v>-1229.76</v>
      </c>
    </row>
    <row r="2867" spans="12:19" x14ac:dyDescent="0.2">
      <c r="L2867" t="s">
        <v>374</v>
      </c>
      <c r="M2867">
        <v>2310</v>
      </c>
      <c r="N2867">
        <v>1</v>
      </c>
      <c r="O2867">
        <v>4</v>
      </c>
      <c r="P2867">
        <v>582</v>
      </c>
      <c r="Q2867">
        <v>344</v>
      </c>
      <c r="R2867">
        <v>195</v>
      </c>
      <c r="S2867">
        <v>19297.560000000001</v>
      </c>
    </row>
    <row r="2868" spans="12:19" x14ac:dyDescent="0.2">
      <c r="L2868" t="s">
        <v>374</v>
      </c>
      <c r="M2868">
        <v>2536</v>
      </c>
      <c r="N2868">
        <v>1</v>
      </c>
      <c r="O2868">
        <v>4</v>
      </c>
      <c r="P2868">
        <v>582</v>
      </c>
      <c r="Q2868">
        <v>344</v>
      </c>
      <c r="R2868">
        <v>195</v>
      </c>
      <c r="S2868">
        <v>20057</v>
      </c>
    </row>
    <row r="2869" spans="12:19" x14ac:dyDescent="0.2">
      <c r="L2869" t="s">
        <v>374</v>
      </c>
      <c r="M2869">
        <v>846</v>
      </c>
      <c r="N2869">
        <v>1</v>
      </c>
      <c r="O2869">
        <v>4</v>
      </c>
      <c r="P2869">
        <v>582</v>
      </c>
      <c r="Q2869">
        <v>321</v>
      </c>
      <c r="R2869">
        <v>195</v>
      </c>
      <c r="S2869">
        <v>7377.79</v>
      </c>
    </row>
    <row r="2870" spans="12:19" x14ac:dyDescent="0.2">
      <c r="L2870" t="s">
        <v>374</v>
      </c>
      <c r="M2870">
        <v>1</v>
      </c>
      <c r="N2870">
        <v>3</v>
      </c>
      <c r="O2870">
        <v>4</v>
      </c>
      <c r="P2870">
        <v>582</v>
      </c>
      <c r="Q2870">
        <v>599</v>
      </c>
      <c r="R2870">
        <v>185</v>
      </c>
      <c r="S2870">
        <v>19083.89</v>
      </c>
    </row>
    <row r="2871" spans="12:19" x14ac:dyDescent="0.2">
      <c r="L2871" t="s">
        <v>374</v>
      </c>
      <c r="M2871">
        <v>625</v>
      </c>
      <c r="N2871">
        <v>1</v>
      </c>
      <c r="O2871">
        <v>4</v>
      </c>
      <c r="P2871">
        <v>582</v>
      </c>
      <c r="Q2871">
        <v>599</v>
      </c>
      <c r="R2871">
        <v>185</v>
      </c>
      <c r="S2871">
        <v>5757.63</v>
      </c>
    </row>
    <row r="2872" spans="12:19" x14ac:dyDescent="0.2">
      <c r="L2872" t="s">
        <v>374</v>
      </c>
      <c r="M2872">
        <v>1</v>
      </c>
      <c r="N2872">
        <v>3</v>
      </c>
      <c r="O2872">
        <v>4</v>
      </c>
      <c r="P2872">
        <v>582</v>
      </c>
      <c r="Q2872">
        <v>344</v>
      </c>
      <c r="R2872">
        <v>185</v>
      </c>
      <c r="S2872">
        <v>33302.339999999997</v>
      </c>
    </row>
    <row r="2873" spans="12:19" x14ac:dyDescent="0.2">
      <c r="L2873" t="s">
        <v>374</v>
      </c>
      <c r="M2873">
        <v>15</v>
      </c>
      <c r="N2873">
        <v>1</v>
      </c>
      <c r="O2873">
        <v>4</v>
      </c>
      <c r="P2873">
        <v>582</v>
      </c>
      <c r="Q2873">
        <v>344</v>
      </c>
      <c r="R2873">
        <v>185</v>
      </c>
      <c r="S2873">
        <v>8043.35</v>
      </c>
    </row>
    <row r="2874" spans="12:19" x14ac:dyDescent="0.2">
      <c r="L2874" t="s">
        <v>374</v>
      </c>
      <c r="M2874">
        <v>112</v>
      </c>
      <c r="N2874">
        <v>1</v>
      </c>
      <c r="O2874">
        <v>4</v>
      </c>
      <c r="P2874">
        <v>582</v>
      </c>
      <c r="Q2874">
        <v>344</v>
      </c>
      <c r="R2874">
        <v>185</v>
      </c>
      <c r="S2874">
        <v>146.31</v>
      </c>
    </row>
    <row r="2875" spans="12:19" x14ac:dyDescent="0.2">
      <c r="L2875" t="s">
        <v>374</v>
      </c>
      <c r="M2875">
        <v>113</v>
      </c>
      <c r="N2875">
        <v>1</v>
      </c>
      <c r="O2875">
        <v>4</v>
      </c>
      <c r="P2875">
        <v>582</v>
      </c>
      <c r="Q2875">
        <v>344</v>
      </c>
      <c r="R2875">
        <v>185</v>
      </c>
      <c r="S2875">
        <v>841.5</v>
      </c>
    </row>
    <row r="2876" spans="12:19" x14ac:dyDescent="0.2">
      <c r="L2876" t="s">
        <v>374</v>
      </c>
      <c r="M2876">
        <v>138</v>
      </c>
      <c r="N2876">
        <v>1</v>
      </c>
      <c r="O2876">
        <v>4</v>
      </c>
      <c r="P2876">
        <v>582</v>
      </c>
      <c r="Q2876">
        <v>344</v>
      </c>
      <c r="R2876">
        <v>185</v>
      </c>
      <c r="S2876">
        <v>15081.72</v>
      </c>
    </row>
    <row r="2877" spans="12:19" x14ac:dyDescent="0.2">
      <c r="L2877" t="s">
        <v>374</v>
      </c>
      <c r="M2877">
        <v>192</v>
      </c>
      <c r="N2877">
        <v>1</v>
      </c>
      <c r="O2877">
        <v>4</v>
      </c>
      <c r="P2877">
        <v>582</v>
      </c>
      <c r="Q2877">
        <v>344</v>
      </c>
      <c r="R2877">
        <v>185</v>
      </c>
      <c r="S2877">
        <v>2477.5500000000002</v>
      </c>
    </row>
    <row r="2878" spans="12:19" x14ac:dyDescent="0.2">
      <c r="L2878" t="s">
        <v>374</v>
      </c>
      <c r="M2878">
        <v>197</v>
      </c>
      <c r="N2878">
        <v>1</v>
      </c>
      <c r="O2878">
        <v>4</v>
      </c>
      <c r="P2878">
        <v>582</v>
      </c>
      <c r="Q2878">
        <v>344</v>
      </c>
      <c r="R2878">
        <v>185</v>
      </c>
      <c r="S2878">
        <v>2502.7600000000002</v>
      </c>
    </row>
    <row r="2879" spans="12:19" x14ac:dyDescent="0.2">
      <c r="L2879" t="s">
        <v>374</v>
      </c>
      <c r="M2879">
        <v>200</v>
      </c>
      <c r="N2879">
        <v>1</v>
      </c>
      <c r="O2879">
        <v>4</v>
      </c>
      <c r="P2879">
        <v>582</v>
      </c>
      <c r="Q2879">
        <v>344</v>
      </c>
      <c r="R2879">
        <v>185</v>
      </c>
      <c r="S2879">
        <v>1089.4000000000001</v>
      </c>
    </row>
    <row r="2880" spans="12:19" x14ac:dyDescent="0.2">
      <c r="L2880" t="s">
        <v>374</v>
      </c>
      <c r="M2880">
        <v>204</v>
      </c>
      <c r="N2880">
        <v>1</v>
      </c>
      <c r="O2880">
        <v>4</v>
      </c>
      <c r="P2880">
        <v>582</v>
      </c>
      <c r="Q2880">
        <v>344</v>
      </c>
      <c r="R2880">
        <v>185</v>
      </c>
      <c r="S2880">
        <v>28187.88</v>
      </c>
    </row>
    <row r="2881" spans="12:19" x14ac:dyDescent="0.2">
      <c r="L2881" t="s">
        <v>374</v>
      </c>
      <c r="M2881">
        <v>241</v>
      </c>
      <c r="N2881">
        <v>1</v>
      </c>
      <c r="O2881">
        <v>4</v>
      </c>
      <c r="P2881">
        <v>582</v>
      </c>
      <c r="Q2881">
        <v>344</v>
      </c>
      <c r="R2881">
        <v>185</v>
      </c>
      <c r="S2881">
        <v>48496.35</v>
      </c>
    </row>
    <row r="2882" spans="12:19" x14ac:dyDescent="0.2">
      <c r="L2882" t="s">
        <v>374</v>
      </c>
      <c r="M2882">
        <v>271</v>
      </c>
      <c r="N2882">
        <v>1</v>
      </c>
      <c r="O2882">
        <v>4</v>
      </c>
      <c r="P2882">
        <v>582</v>
      </c>
      <c r="Q2882">
        <v>344</v>
      </c>
      <c r="R2882">
        <v>185</v>
      </c>
      <c r="S2882">
        <v>289.45</v>
      </c>
    </row>
    <row r="2883" spans="12:19" x14ac:dyDescent="0.2">
      <c r="L2883" t="s">
        <v>374</v>
      </c>
      <c r="M2883">
        <v>272</v>
      </c>
      <c r="N2883">
        <v>1</v>
      </c>
      <c r="O2883">
        <v>4</v>
      </c>
      <c r="P2883">
        <v>582</v>
      </c>
      <c r="Q2883">
        <v>344</v>
      </c>
      <c r="R2883">
        <v>185</v>
      </c>
      <c r="S2883">
        <v>541.78</v>
      </c>
    </row>
    <row r="2884" spans="12:19" x14ac:dyDescent="0.2">
      <c r="L2884" t="s">
        <v>374</v>
      </c>
      <c r="M2884">
        <v>277</v>
      </c>
      <c r="N2884">
        <v>1</v>
      </c>
      <c r="O2884">
        <v>4</v>
      </c>
      <c r="P2884">
        <v>582</v>
      </c>
      <c r="Q2884">
        <v>344</v>
      </c>
      <c r="R2884">
        <v>185</v>
      </c>
      <c r="S2884">
        <v>110100.09</v>
      </c>
    </row>
    <row r="2885" spans="12:19" x14ac:dyDescent="0.2">
      <c r="L2885" t="s">
        <v>374</v>
      </c>
      <c r="M2885">
        <v>278</v>
      </c>
      <c r="N2885">
        <v>1</v>
      </c>
      <c r="O2885">
        <v>4</v>
      </c>
      <c r="P2885">
        <v>582</v>
      </c>
      <c r="Q2885">
        <v>344</v>
      </c>
      <c r="R2885">
        <v>185</v>
      </c>
      <c r="S2885">
        <v>5091.97</v>
      </c>
    </row>
    <row r="2886" spans="12:19" x14ac:dyDescent="0.2">
      <c r="L2886" t="s">
        <v>374</v>
      </c>
      <c r="M2886">
        <v>294</v>
      </c>
      <c r="N2886">
        <v>1</v>
      </c>
      <c r="O2886">
        <v>4</v>
      </c>
      <c r="P2886">
        <v>582</v>
      </c>
      <c r="Q2886">
        <v>344</v>
      </c>
      <c r="R2886">
        <v>185</v>
      </c>
      <c r="S2886">
        <v>94.5</v>
      </c>
    </row>
    <row r="2887" spans="12:19" x14ac:dyDescent="0.2">
      <c r="L2887" t="s">
        <v>374</v>
      </c>
      <c r="M2887">
        <v>332</v>
      </c>
      <c r="N2887">
        <v>1</v>
      </c>
      <c r="O2887">
        <v>4</v>
      </c>
      <c r="P2887">
        <v>582</v>
      </c>
      <c r="Q2887">
        <v>344</v>
      </c>
      <c r="R2887">
        <v>185</v>
      </c>
      <c r="S2887">
        <v>1304.8800000000001</v>
      </c>
    </row>
    <row r="2888" spans="12:19" x14ac:dyDescent="0.2">
      <c r="L2888" t="s">
        <v>374</v>
      </c>
      <c r="M2888">
        <v>347</v>
      </c>
      <c r="N2888">
        <v>1</v>
      </c>
      <c r="O2888">
        <v>4</v>
      </c>
      <c r="P2888">
        <v>582</v>
      </c>
      <c r="Q2888">
        <v>344</v>
      </c>
      <c r="R2888">
        <v>185</v>
      </c>
      <c r="S2888">
        <v>5922.47</v>
      </c>
    </row>
    <row r="2889" spans="12:19" x14ac:dyDescent="0.2">
      <c r="L2889" t="s">
        <v>374</v>
      </c>
      <c r="M2889">
        <v>417</v>
      </c>
      <c r="N2889">
        <v>1</v>
      </c>
      <c r="O2889">
        <v>4</v>
      </c>
      <c r="P2889">
        <v>582</v>
      </c>
      <c r="Q2889">
        <v>344</v>
      </c>
      <c r="R2889">
        <v>185</v>
      </c>
      <c r="S2889">
        <v>60</v>
      </c>
    </row>
    <row r="2890" spans="12:19" x14ac:dyDescent="0.2">
      <c r="L2890" t="s">
        <v>374</v>
      </c>
      <c r="M2890">
        <v>623</v>
      </c>
      <c r="N2890">
        <v>1</v>
      </c>
      <c r="O2890">
        <v>4</v>
      </c>
      <c r="P2890">
        <v>582</v>
      </c>
      <c r="Q2890">
        <v>344</v>
      </c>
      <c r="R2890">
        <v>185</v>
      </c>
      <c r="S2890">
        <v>13518.49</v>
      </c>
    </row>
    <row r="2891" spans="12:19" x14ac:dyDescent="0.2">
      <c r="L2891" t="s">
        <v>374</v>
      </c>
      <c r="M2891">
        <v>625</v>
      </c>
      <c r="N2891">
        <v>1</v>
      </c>
      <c r="O2891">
        <v>4</v>
      </c>
      <c r="P2891">
        <v>582</v>
      </c>
      <c r="Q2891">
        <v>344</v>
      </c>
      <c r="R2891">
        <v>185</v>
      </c>
      <c r="S2891">
        <v>31974.799999999999</v>
      </c>
    </row>
    <row r="2892" spans="12:19" x14ac:dyDescent="0.2">
      <c r="L2892" t="s">
        <v>374</v>
      </c>
      <c r="M2892">
        <v>656</v>
      </c>
      <c r="N2892">
        <v>1</v>
      </c>
      <c r="O2892">
        <v>4</v>
      </c>
      <c r="P2892">
        <v>582</v>
      </c>
      <c r="Q2892">
        <v>344</v>
      </c>
      <c r="R2892">
        <v>185</v>
      </c>
      <c r="S2892">
        <v>124.01</v>
      </c>
    </row>
    <row r="2893" spans="12:19" x14ac:dyDescent="0.2">
      <c r="L2893" t="s">
        <v>374</v>
      </c>
      <c r="M2893">
        <v>704</v>
      </c>
      <c r="N2893">
        <v>1</v>
      </c>
      <c r="O2893">
        <v>4</v>
      </c>
      <c r="P2893">
        <v>582</v>
      </c>
      <c r="Q2893">
        <v>344</v>
      </c>
      <c r="R2893">
        <v>185</v>
      </c>
      <c r="S2893">
        <v>2380</v>
      </c>
    </row>
    <row r="2894" spans="12:19" x14ac:dyDescent="0.2">
      <c r="L2894" t="s">
        <v>374</v>
      </c>
      <c r="M2894">
        <v>721</v>
      </c>
      <c r="N2894">
        <v>1</v>
      </c>
      <c r="O2894">
        <v>4</v>
      </c>
      <c r="P2894">
        <v>582</v>
      </c>
      <c r="Q2894">
        <v>344</v>
      </c>
      <c r="R2894">
        <v>185</v>
      </c>
      <c r="S2894">
        <v>4698.29</v>
      </c>
    </row>
    <row r="2895" spans="12:19" x14ac:dyDescent="0.2">
      <c r="L2895" t="s">
        <v>374</v>
      </c>
      <c r="M2895">
        <v>741</v>
      </c>
      <c r="N2895">
        <v>1</v>
      </c>
      <c r="O2895">
        <v>4</v>
      </c>
      <c r="P2895">
        <v>582</v>
      </c>
      <c r="Q2895">
        <v>344</v>
      </c>
      <c r="R2895">
        <v>185</v>
      </c>
      <c r="S2895">
        <v>1563.76</v>
      </c>
    </row>
    <row r="2896" spans="12:19" x14ac:dyDescent="0.2">
      <c r="L2896" t="s">
        <v>374</v>
      </c>
      <c r="M2896">
        <v>742</v>
      </c>
      <c r="N2896">
        <v>1</v>
      </c>
      <c r="O2896">
        <v>4</v>
      </c>
      <c r="P2896">
        <v>582</v>
      </c>
      <c r="Q2896">
        <v>344</v>
      </c>
      <c r="R2896">
        <v>185</v>
      </c>
      <c r="S2896">
        <v>4206.8100000000004</v>
      </c>
    </row>
    <row r="2897" spans="12:19" x14ac:dyDescent="0.2">
      <c r="L2897" t="s">
        <v>374</v>
      </c>
      <c r="M2897">
        <v>745</v>
      </c>
      <c r="N2897">
        <v>1</v>
      </c>
      <c r="O2897">
        <v>4</v>
      </c>
      <c r="P2897">
        <v>582</v>
      </c>
      <c r="Q2897">
        <v>344</v>
      </c>
      <c r="R2897">
        <v>185</v>
      </c>
      <c r="S2897">
        <v>448.6</v>
      </c>
    </row>
    <row r="2898" spans="12:19" x14ac:dyDescent="0.2">
      <c r="L2898" t="s">
        <v>374</v>
      </c>
      <c r="M2898">
        <v>748</v>
      </c>
      <c r="N2898">
        <v>1</v>
      </c>
      <c r="O2898">
        <v>4</v>
      </c>
      <c r="P2898">
        <v>582</v>
      </c>
      <c r="Q2898">
        <v>344</v>
      </c>
      <c r="R2898">
        <v>185</v>
      </c>
      <c r="S2898">
        <v>719.52</v>
      </c>
    </row>
    <row r="2899" spans="12:19" x14ac:dyDescent="0.2">
      <c r="L2899" t="s">
        <v>374</v>
      </c>
      <c r="M2899">
        <v>750</v>
      </c>
      <c r="N2899">
        <v>1</v>
      </c>
      <c r="O2899">
        <v>4</v>
      </c>
      <c r="P2899">
        <v>582</v>
      </c>
      <c r="Q2899">
        <v>344</v>
      </c>
      <c r="R2899">
        <v>185</v>
      </c>
      <c r="S2899">
        <v>1070</v>
      </c>
    </row>
    <row r="2900" spans="12:19" x14ac:dyDescent="0.2">
      <c r="L2900" t="s">
        <v>374</v>
      </c>
      <c r="M2900">
        <v>834</v>
      </c>
      <c r="N2900">
        <v>1</v>
      </c>
      <c r="O2900">
        <v>4</v>
      </c>
      <c r="P2900">
        <v>582</v>
      </c>
      <c r="Q2900">
        <v>344</v>
      </c>
      <c r="R2900">
        <v>185</v>
      </c>
      <c r="S2900">
        <v>15569.07</v>
      </c>
    </row>
    <row r="2901" spans="12:19" x14ac:dyDescent="0.2">
      <c r="L2901" t="s">
        <v>374</v>
      </c>
      <c r="M2901">
        <v>857</v>
      </c>
      <c r="N2901">
        <v>1</v>
      </c>
      <c r="O2901">
        <v>4</v>
      </c>
      <c r="P2901">
        <v>582</v>
      </c>
      <c r="Q2901">
        <v>344</v>
      </c>
      <c r="R2901">
        <v>185</v>
      </c>
      <c r="S2901">
        <v>1464.13</v>
      </c>
    </row>
    <row r="2902" spans="12:19" x14ac:dyDescent="0.2">
      <c r="L2902" t="s">
        <v>374</v>
      </c>
      <c r="M2902">
        <v>861</v>
      </c>
      <c r="N2902">
        <v>1</v>
      </c>
      <c r="O2902">
        <v>4</v>
      </c>
      <c r="P2902">
        <v>582</v>
      </c>
      <c r="Q2902">
        <v>344</v>
      </c>
      <c r="R2902">
        <v>185</v>
      </c>
      <c r="S2902">
        <v>17733.689999999999</v>
      </c>
    </row>
    <row r="2903" spans="12:19" x14ac:dyDescent="0.2">
      <c r="L2903" t="s">
        <v>374</v>
      </c>
      <c r="M2903">
        <v>877</v>
      </c>
      <c r="N2903">
        <v>1</v>
      </c>
      <c r="O2903">
        <v>4</v>
      </c>
      <c r="P2903">
        <v>582</v>
      </c>
      <c r="Q2903">
        <v>344</v>
      </c>
      <c r="R2903">
        <v>185</v>
      </c>
      <c r="S2903">
        <v>38584.370000000003</v>
      </c>
    </row>
    <row r="2904" spans="12:19" x14ac:dyDescent="0.2">
      <c r="L2904" t="s">
        <v>374</v>
      </c>
      <c r="M2904">
        <v>882</v>
      </c>
      <c r="N2904">
        <v>1</v>
      </c>
      <c r="O2904">
        <v>4</v>
      </c>
      <c r="P2904">
        <v>582</v>
      </c>
      <c r="Q2904">
        <v>344</v>
      </c>
      <c r="R2904">
        <v>185</v>
      </c>
      <c r="S2904">
        <v>2610</v>
      </c>
    </row>
    <row r="2905" spans="12:19" x14ac:dyDescent="0.2">
      <c r="L2905" t="s">
        <v>374</v>
      </c>
      <c r="M2905">
        <v>885</v>
      </c>
      <c r="N2905">
        <v>1</v>
      </c>
      <c r="O2905">
        <v>4</v>
      </c>
      <c r="P2905">
        <v>582</v>
      </c>
      <c r="Q2905">
        <v>344</v>
      </c>
      <c r="R2905">
        <v>185</v>
      </c>
      <c r="S2905">
        <v>75.7</v>
      </c>
    </row>
    <row r="2906" spans="12:19" x14ac:dyDescent="0.2">
      <c r="L2906" t="s">
        <v>374</v>
      </c>
      <c r="M2906">
        <v>2170</v>
      </c>
      <c r="N2906">
        <v>1</v>
      </c>
      <c r="O2906">
        <v>4</v>
      </c>
      <c r="P2906">
        <v>582</v>
      </c>
      <c r="Q2906">
        <v>344</v>
      </c>
      <c r="R2906">
        <v>185</v>
      </c>
      <c r="S2906">
        <v>3523.67</v>
      </c>
    </row>
    <row r="2907" spans="12:19" x14ac:dyDescent="0.2">
      <c r="L2907" t="s">
        <v>374</v>
      </c>
      <c r="M2907">
        <v>2180</v>
      </c>
      <c r="N2907">
        <v>1</v>
      </c>
      <c r="O2907">
        <v>4</v>
      </c>
      <c r="P2907">
        <v>582</v>
      </c>
      <c r="Q2907">
        <v>344</v>
      </c>
      <c r="R2907">
        <v>185</v>
      </c>
      <c r="S2907">
        <v>4129.42</v>
      </c>
    </row>
    <row r="2908" spans="12:19" x14ac:dyDescent="0.2">
      <c r="L2908" t="s">
        <v>374</v>
      </c>
      <c r="M2908">
        <v>2396</v>
      </c>
      <c r="N2908">
        <v>1</v>
      </c>
      <c r="O2908">
        <v>4</v>
      </c>
      <c r="P2908">
        <v>582</v>
      </c>
      <c r="Q2908">
        <v>344</v>
      </c>
      <c r="R2908">
        <v>185</v>
      </c>
      <c r="S2908">
        <v>25</v>
      </c>
    </row>
    <row r="2909" spans="12:19" x14ac:dyDescent="0.2">
      <c r="L2909" t="s">
        <v>374</v>
      </c>
      <c r="M2909">
        <v>2752</v>
      </c>
      <c r="N2909">
        <v>1</v>
      </c>
      <c r="O2909">
        <v>4</v>
      </c>
      <c r="P2909">
        <v>582</v>
      </c>
      <c r="Q2909">
        <v>344</v>
      </c>
      <c r="R2909">
        <v>185</v>
      </c>
      <c r="S2909">
        <v>29891.51</v>
      </c>
    </row>
    <row r="2910" spans="12:19" x14ac:dyDescent="0.2">
      <c r="L2910" t="s">
        <v>374</v>
      </c>
      <c r="M2910">
        <v>2888</v>
      </c>
      <c r="N2910">
        <v>1</v>
      </c>
      <c r="O2910">
        <v>4</v>
      </c>
      <c r="P2910">
        <v>582</v>
      </c>
      <c r="Q2910">
        <v>344</v>
      </c>
      <c r="R2910">
        <v>185</v>
      </c>
      <c r="S2910">
        <v>110.3</v>
      </c>
    </row>
    <row r="2911" spans="12:19" x14ac:dyDescent="0.2">
      <c r="L2911" t="s">
        <v>374</v>
      </c>
      <c r="M2911">
        <v>2897</v>
      </c>
      <c r="N2911">
        <v>1</v>
      </c>
      <c r="O2911">
        <v>4</v>
      </c>
      <c r="P2911">
        <v>582</v>
      </c>
      <c r="Q2911">
        <v>344</v>
      </c>
      <c r="R2911">
        <v>185</v>
      </c>
      <c r="S2911">
        <v>15755.9</v>
      </c>
    </row>
    <row r="2912" spans="12:19" x14ac:dyDescent="0.2">
      <c r="L2912" t="s">
        <v>374</v>
      </c>
      <c r="M2912">
        <v>297</v>
      </c>
      <c r="N2912">
        <v>1</v>
      </c>
      <c r="O2912">
        <v>4</v>
      </c>
      <c r="P2912">
        <v>582</v>
      </c>
      <c r="Q2912">
        <v>0</v>
      </c>
      <c r="R2912">
        <v>185</v>
      </c>
      <c r="S2912">
        <v>220</v>
      </c>
    </row>
    <row r="2913" spans="12:19" x14ac:dyDescent="0.2">
      <c r="L2913" t="s">
        <v>374</v>
      </c>
      <c r="M2913">
        <v>345</v>
      </c>
      <c r="N2913">
        <v>1</v>
      </c>
      <c r="O2913">
        <v>4</v>
      </c>
      <c r="P2913">
        <v>582</v>
      </c>
      <c r="Q2913">
        <v>0</v>
      </c>
      <c r="R2913">
        <v>185</v>
      </c>
      <c r="S2913">
        <v>7500</v>
      </c>
    </row>
    <row r="2914" spans="12:19" x14ac:dyDescent="0.2">
      <c r="L2914" t="s">
        <v>374</v>
      </c>
      <c r="M2914">
        <v>625</v>
      </c>
      <c r="N2914">
        <v>1</v>
      </c>
      <c r="O2914">
        <v>4</v>
      </c>
      <c r="P2914">
        <v>582</v>
      </c>
      <c r="Q2914">
        <v>599</v>
      </c>
      <c r="R2914">
        <v>170</v>
      </c>
      <c r="S2914">
        <v>57817.760000000002</v>
      </c>
    </row>
    <row r="2915" spans="12:19" x14ac:dyDescent="0.2">
      <c r="L2915" t="s">
        <v>374</v>
      </c>
      <c r="M2915">
        <v>81</v>
      </c>
      <c r="N2915">
        <v>1</v>
      </c>
      <c r="O2915">
        <v>4</v>
      </c>
      <c r="P2915">
        <v>581</v>
      </c>
      <c r="Q2915">
        <v>344</v>
      </c>
      <c r="R2915">
        <v>170</v>
      </c>
      <c r="S2915">
        <v>178.1</v>
      </c>
    </row>
    <row r="2916" spans="12:19" x14ac:dyDescent="0.2">
      <c r="L2916" t="s">
        <v>374</v>
      </c>
      <c r="M2916">
        <v>1</v>
      </c>
      <c r="N2916">
        <v>1</v>
      </c>
      <c r="O2916">
        <v>4</v>
      </c>
      <c r="P2916">
        <v>582</v>
      </c>
      <c r="Q2916">
        <v>344</v>
      </c>
      <c r="R2916">
        <v>170</v>
      </c>
      <c r="S2916">
        <v>4282.2</v>
      </c>
    </row>
    <row r="2917" spans="12:19" x14ac:dyDescent="0.2">
      <c r="L2917" t="s">
        <v>374</v>
      </c>
      <c r="M2917">
        <v>1</v>
      </c>
      <c r="N2917">
        <v>3</v>
      </c>
      <c r="O2917">
        <v>4</v>
      </c>
      <c r="P2917">
        <v>582</v>
      </c>
      <c r="Q2917">
        <v>344</v>
      </c>
      <c r="R2917">
        <v>170</v>
      </c>
      <c r="S2917">
        <v>76923.09</v>
      </c>
    </row>
    <row r="2918" spans="12:19" x14ac:dyDescent="0.2">
      <c r="L2918" t="s">
        <v>374</v>
      </c>
      <c r="M2918">
        <v>4</v>
      </c>
      <c r="N2918">
        <v>1</v>
      </c>
      <c r="O2918">
        <v>4</v>
      </c>
      <c r="P2918">
        <v>582</v>
      </c>
      <c r="Q2918">
        <v>344</v>
      </c>
      <c r="R2918">
        <v>170</v>
      </c>
      <c r="S2918">
        <v>195.84</v>
      </c>
    </row>
    <row r="2919" spans="12:19" x14ac:dyDescent="0.2">
      <c r="L2919" t="s">
        <v>374</v>
      </c>
      <c r="M2919">
        <v>6</v>
      </c>
      <c r="N2919">
        <v>3</v>
      </c>
      <c r="O2919">
        <v>4</v>
      </c>
      <c r="P2919">
        <v>582</v>
      </c>
      <c r="Q2919">
        <v>344</v>
      </c>
      <c r="R2919">
        <v>170</v>
      </c>
      <c r="S2919">
        <v>3818.39</v>
      </c>
    </row>
    <row r="2920" spans="12:19" x14ac:dyDescent="0.2">
      <c r="L2920" t="s">
        <v>374</v>
      </c>
      <c r="M2920">
        <v>11</v>
      </c>
      <c r="N2920">
        <v>1</v>
      </c>
      <c r="O2920">
        <v>4</v>
      </c>
      <c r="P2920">
        <v>582</v>
      </c>
      <c r="Q2920">
        <v>344</v>
      </c>
      <c r="R2920">
        <v>170</v>
      </c>
      <c r="S2920">
        <v>42592.01</v>
      </c>
    </row>
    <row r="2921" spans="12:19" x14ac:dyDescent="0.2">
      <c r="L2921" t="s">
        <v>374</v>
      </c>
      <c r="M2921">
        <v>12</v>
      </c>
      <c r="N2921">
        <v>1</v>
      </c>
      <c r="O2921">
        <v>4</v>
      </c>
      <c r="P2921">
        <v>582</v>
      </c>
      <c r="Q2921">
        <v>344</v>
      </c>
      <c r="R2921">
        <v>170</v>
      </c>
      <c r="S2921">
        <v>10844.44</v>
      </c>
    </row>
    <row r="2922" spans="12:19" x14ac:dyDescent="0.2">
      <c r="L2922" t="s">
        <v>374</v>
      </c>
      <c r="M2922">
        <v>13</v>
      </c>
      <c r="N2922">
        <v>1</v>
      </c>
      <c r="O2922">
        <v>4</v>
      </c>
      <c r="P2922">
        <v>582</v>
      </c>
      <c r="Q2922">
        <v>344</v>
      </c>
      <c r="R2922">
        <v>170</v>
      </c>
      <c r="S2922">
        <v>746.23</v>
      </c>
    </row>
    <row r="2923" spans="12:19" x14ac:dyDescent="0.2">
      <c r="L2923" t="s">
        <v>374</v>
      </c>
      <c r="M2923">
        <v>15</v>
      </c>
      <c r="N2923">
        <v>1</v>
      </c>
      <c r="O2923">
        <v>4</v>
      </c>
      <c r="P2923">
        <v>582</v>
      </c>
      <c r="Q2923">
        <v>344</v>
      </c>
      <c r="R2923">
        <v>170</v>
      </c>
      <c r="S2923">
        <v>5510.39</v>
      </c>
    </row>
    <row r="2924" spans="12:19" x14ac:dyDescent="0.2">
      <c r="L2924" t="s">
        <v>374</v>
      </c>
      <c r="M2924">
        <v>16</v>
      </c>
      <c r="N2924">
        <v>1</v>
      </c>
      <c r="O2924">
        <v>4</v>
      </c>
      <c r="P2924">
        <v>582</v>
      </c>
      <c r="Q2924">
        <v>344</v>
      </c>
      <c r="R2924">
        <v>170</v>
      </c>
      <c r="S2924">
        <v>26700.1</v>
      </c>
    </row>
    <row r="2925" spans="12:19" x14ac:dyDescent="0.2">
      <c r="L2925" t="s">
        <v>374</v>
      </c>
      <c r="M2925">
        <v>22</v>
      </c>
      <c r="N2925">
        <v>1</v>
      </c>
      <c r="O2925">
        <v>4</v>
      </c>
      <c r="P2925">
        <v>582</v>
      </c>
      <c r="Q2925">
        <v>344</v>
      </c>
      <c r="R2925">
        <v>170</v>
      </c>
      <c r="S2925">
        <v>3884.26</v>
      </c>
    </row>
    <row r="2926" spans="12:19" x14ac:dyDescent="0.2">
      <c r="L2926" t="s">
        <v>374</v>
      </c>
      <c r="M2926">
        <v>23</v>
      </c>
      <c r="N2926">
        <v>1</v>
      </c>
      <c r="O2926">
        <v>4</v>
      </c>
      <c r="P2926">
        <v>582</v>
      </c>
      <c r="Q2926">
        <v>344</v>
      </c>
      <c r="R2926">
        <v>170</v>
      </c>
      <c r="S2926">
        <v>8141.4</v>
      </c>
    </row>
    <row r="2927" spans="12:19" x14ac:dyDescent="0.2">
      <c r="L2927" t="s">
        <v>374</v>
      </c>
      <c r="M2927">
        <v>47</v>
      </c>
      <c r="N2927">
        <v>1</v>
      </c>
      <c r="O2927">
        <v>4</v>
      </c>
      <c r="P2927">
        <v>582</v>
      </c>
      <c r="Q2927">
        <v>344</v>
      </c>
      <c r="R2927">
        <v>170</v>
      </c>
      <c r="S2927">
        <v>6000</v>
      </c>
    </row>
    <row r="2928" spans="12:19" x14ac:dyDescent="0.2">
      <c r="L2928" t="s">
        <v>374</v>
      </c>
      <c r="M2928">
        <v>62</v>
      </c>
      <c r="N2928">
        <v>1</v>
      </c>
      <c r="O2928">
        <v>4</v>
      </c>
      <c r="P2928">
        <v>582</v>
      </c>
      <c r="Q2928">
        <v>344</v>
      </c>
      <c r="R2928">
        <v>170</v>
      </c>
      <c r="S2928">
        <v>118.57</v>
      </c>
    </row>
    <row r="2929" spans="12:19" x14ac:dyDescent="0.2">
      <c r="L2929" t="s">
        <v>374</v>
      </c>
      <c r="M2929">
        <v>77</v>
      </c>
      <c r="N2929">
        <v>1</v>
      </c>
      <c r="O2929">
        <v>4</v>
      </c>
      <c r="P2929">
        <v>582</v>
      </c>
      <c r="Q2929">
        <v>344</v>
      </c>
      <c r="R2929">
        <v>170</v>
      </c>
      <c r="S2929">
        <v>1871.68</v>
      </c>
    </row>
    <row r="2930" spans="12:19" x14ac:dyDescent="0.2">
      <c r="L2930" t="s">
        <v>374</v>
      </c>
      <c r="M2930">
        <v>94</v>
      </c>
      <c r="N2930">
        <v>1</v>
      </c>
      <c r="O2930">
        <v>4</v>
      </c>
      <c r="P2930">
        <v>582</v>
      </c>
      <c r="Q2930">
        <v>344</v>
      </c>
      <c r="R2930">
        <v>170</v>
      </c>
      <c r="S2930">
        <v>1360.54</v>
      </c>
    </row>
    <row r="2931" spans="12:19" x14ac:dyDescent="0.2">
      <c r="L2931" t="s">
        <v>374</v>
      </c>
      <c r="M2931">
        <v>95</v>
      </c>
      <c r="N2931">
        <v>1</v>
      </c>
      <c r="O2931">
        <v>4</v>
      </c>
      <c r="P2931">
        <v>582</v>
      </c>
      <c r="Q2931">
        <v>344</v>
      </c>
      <c r="R2931">
        <v>170</v>
      </c>
      <c r="S2931">
        <v>7198.39</v>
      </c>
    </row>
    <row r="2932" spans="12:19" x14ac:dyDescent="0.2">
      <c r="L2932" t="s">
        <v>374</v>
      </c>
      <c r="M2932">
        <v>99</v>
      </c>
      <c r="N2932">
        <v>1</v>
      </c>
      <c r="O2932">
        <v>4</v>
      </c>
      <c r="P2932">
        <v>582</v>
      </c>
      <c r="Q2932">
        <v>344</v>
      </c>
      <c r="R2932">
        <v>170</v>
      </c>
      <c r="S2932">
        <v>34.64</v>
      </c>
    </row>
    <row r="2933" spans="12:19" x14ac:dyDescent="0.2">
      <c r="L2933" t="s">
        <v>374</v>
      </c>
      <c r="M2933">
        <v>108</v>
      </c>
      <c r="N2933">
        <v>1</v>
      </c>
      <c r="O2933">
        <v>4</v>
      </c>
      <c r="P2933">
        <v>582</v>
      </c>
      <c r="Q2933">
        <v>344</v>
      </c>
      <c r="R2933">
        <v>170</v>
      </c>
      <c r="S2933">
        <v>240.51</v>
      </c>
    </row>
    <row r="2934" spans="12:19" x14ac:dyDescent="0.2">
      <c r="L2934" t="s">
        <v>374</v>
      </c>
      <c r="M2934">
        <v>110</v>
      </c>
      <c r="N2934">
        <v>1</v>
      </c>
      <c r="O2934">
        <v>4</v>
      </c>
      <c r="P2934">
        <v>582</v>
      </c>
      <c r="Q2934">
        <v>344</v>
      </c>
      <c r="R2934">
        <v>170</v>
      </c>
      <c r="S2934">
        <v>2454.48</v>
      </c>
    </row>
    <row r="2935" spans="12:19" x14ac:dyDescent="0.2">
      <c r="L2935" t="s">
        <v>374</v>
      </c>
      <c r="M2935">
        <v>112</v>
      </c>
      <c r="N2935">
        <v>1</v>
      </c>
      <c r="O2935">
        <v>4</v>
      </c>
      <c r="P2935">
        <v>582</v>
      </c>
      <c r="Q2935">
        <v>344</v>
      </c>
      <c r="R2935">
        <v>170</v>
      </c>
      <c r="S2935">
        <v>10455.5</v>
      </c>
    </row>
    <row r="2936" spans="12:19" x14ac:dyDescent="0.2">
      <c r="L2936" t="s">
        <v>374</v>
      </c>
      <c r="M2936">
        <v>166</v>
      </c>
      <c r="N2936">
        <v>1</v>
      </c>
      <c r="O2936">
        <v>4</v>
      </c>
      <c r="P2936">
        <v>582</v>
      </c>
      <c r="Q2936">
        <v>344</v>
      </c>
      <c r="R2936">
        <v>170</v>
      </c>
      <c r="S2936">
        <v>1309.0999999999999</v>
      </c>
    </row>
    <row r="2937" spans="12:19" x14ac:dyDescent="0.2">
      <c r="L2937" t="s">
        <v>374</v>
      </c>
      <c r="M2937">
        <v>177</v>
      </c>
      <c r="N2937">
        <v>1</v>
      </c>
      <c r="O2937">
        <v>4</v>
      </c>
      <c r="P2937">
        <v>582</v>
      </c>
      <c r="Q2937">
        <v>344</v>
      </c>
      <c r="R2937">
        <v>170</v>
      </c>
      <c r="S2937">
        <v>2058.71</v>
      </c>
    </row>
    <row r="2938" spans="12:19" x14ac:dyDescent="0.2">
      <c r="L2938" t="s">
        <v>374</v>
      </c>
      <c r="M2938">
        <v>181</v>
      </c>
      <c r="N2938">
        <v>1</v>
      </c>
      <c r="O2938">
        <v>4</v>
      </c>
      <c r="P2938">
        <v>582</v>
      </c>
      <c r="Q2938">
        <v>344</v>
      </c>
      <c r="R2938">
        <v>170</v>
      </c>
      <c r="S2938">
        <v>7838.04</v>
      </c>
    </row>
    <row r="2939" spans="12:19" x14ac:dyDescent="0.2">
      <c r="L2939" t="s">
        <v>374</v>
      </c>
      <c r="M2939">
        <v>186</v>
      </c>
      <c r="N2939">
        <v>1</v>
      </c>
      <c r="O2939">
        <v>4</v>
      </c>
      <c r="P2939">
        <v>582</v>
      </c>
      <c r="Q2939">
        <v>344</v>
      </c>
      <c r="R2939">
        <v>170</v>
      </c>
      <c r="S2939">
        <v>1303.32</v>
      </c>
    </row>
    <row r="2940" spans="12:19" x14ac:dyDescent="0.2">
      <c r="L2940" t="s">
        <v>374</v>
      </c>
      <c r="M2940">
        <v>191</v>
      </c>
      <c r="N2940">
        <v>1</v>
      </c>
      <c r="O2940">
        <v>4</v>
      </c>
      <c r="P2940">
        <v>582</v>
      </c>
      <c r="Q2940">
        <v>344</v>
      </c>
      <c r="R2940">
        <v>170</v>
      </c>
      <c r="S2940">
        <v>11191.68</v>
      </c>
    </row>
    <row r="2941" spans="12:19" x14ac:dyDescent="0.2">
      <c r="L2941" t="s">
        <v>374</v>
      </c>
      <c r="M2941">
        <v>192</v>
      </c>
      <c r="N2941">
        <v>1</v>
      </c>
      <c r="O2941">
        <v>4</v>
      </c>
      <c r="P2941">
        <v>582</v>
      </c>
      <c r="Q2941">
        <v>344</v>
      </c>
      <c r="R2941">
        <v>170</v>
      </c>
      <c r="S2941">
        <v>2947.76</v>
      </c>
    </row>
    <row r="2942" spans="12:19" x14ac:dyDescent="0.2">
      <c r="L2942" t="s">
        <v>374</v>
      </c>
      <c r="M2942">
        <v>194</v>
      </c>
      <c r="N2942">
        <v>1</v>
      </c>
      <c r="O2942">
        <v>4</v>
      </c>
      <c r="P2942">
        <v>582</v>
      </c>
      <c r="Q2942">
        <v>344</v>
      </c>
      <c r="R2942">
        <v>170</v>
      </c>
      <c r="S2942">
        <v>7944</v>
      </c>
    </row>
    <row r="2943" spans="12:19" x14ac:dyDescent="0.2">
      <c r="L2943" t="s">
        <v>374</v>
      </c>
      <c r="M2943">
        <v>196</v>
      </c>
      <c r="N2943">
        <v>1</v>
      </c>
      <c r="O2943">
        <v>4</v>
      </c>
      <c r="P2943">
        <v>582</v>
      </c>
      <c r="Q2943">
        <v>344</v>
      </c>
      <c r="R2943">
        <v>170</v>
      </c>
      <c r="S2943">
        <v>27536.29</v>
      </c>
    </row>
    <row r="2944" spans="12:19" x14ac:dyDescent="0.2">
      <c r="L2944" t="s">
        <v>374</v>
      </c>
      <c r="M2944">
        <v>197</v>
      </c>
      <c r="N2944">
        <v>1</v>
      </c>
      <c r="O2944">
        <v>4</v>
      </c>
      <c r="P2944">
        <v>582</v>
      </c>
      <c r="Q2944">
        <v>344</v>
      </c>
      <c r="R2944">
        <v>170</v>
      </c>
      <c r="S2944">
        <v>824.46</v>
      </c>
    </row>
    <row r="2945" spans="12:19" x14ac:dyDescent="0.2">
      <c r="L2945" t="s">
        <v>374</v>
      </c>
      <c r="M2945">
        <v>203</v>
      </c>
      <c r="N2945">
        <v>1</v>
      </c>
      <c r="O2945">
        <v>4</v>
      </c>
      <c r="P2945">
        <v>582</v>
      </c>
      <c r="Q2945">
        <v>344</v>
      </c>
      <c r="R2945">
        <v>170</v>
      </c>
      <c r="S2945">
        <v>1475.27</v>
      </c>
    </row>
    <row r="2946" spans="12:19" x14ac:dyDescent="0.2">
      <c r="L2946" t="s">
        <v>374</v>
      </c>
      <c r="M2946">
        <v>206</v>
      </c>
      <c r="N2946">
        <v>1</v>
      </c>
      <c r="O2946">
        <v>4</v>
      </c>
      <c r="P2946">
        <v>582</v>
      </c>
      <c r="Q2946">
        <v>344</v>
      </c>
      <c r="R2946">
        <v>170</v>
      </c>
      <c r="S2946">
        <v>10947.07</v>
      </c>
    </row>
    <row r="2947" spans="12:19" x14ac:dyDescent="0.2">
      <c r="L2947" t="s">
        <v>374</v>
      </c>
      <c r="M2947">
        <v>207</v>
      </c>
      <c r="N2947">
        <v>1</v>
      </c>
      <c r="O2947">
        <v>4</v>
      </c>
      <c r="P2947">
        <v>582</v>
      </c>
      <c r="Q2947">
        <v>344</v>
      </c>
      <c r="R2947">
        <v>170</v>
      </c>
      <c r="S2947">
        <v>4008</v>
      </c>
    </row>
    <row r="2948" spans="12:19" x14ac:dyDescent="0.2">
      <c r="L2948" t="s">
        <v>374</v>
      </c>
      <c r="M2948">
        <v>227</v>
      </c>
      <c r="N2948">
        <v>1</v>
      </c>
      <c r="O2948">
        <v>4</v>
      </c>
      <c r="P2948">
        <v>582</v>
      </c>
      <c r="Q2948">
        <v>344</v>
      </c>
      <c r="R2948">
        <v>170</v>
      </c>
      <c r="S2948">
        <v>1064.99</v>
      </c>
    </row>
    <row r="2949" spans="12:19" x14ac:dyDescent="0.2">
      <c r="L2949" t="s">
        <v>374</v>
      </c>
      <c r="M2949">
        <v>238</v>
      </c>
      <c r="N2949">
        <v>1</v>
      </c>
      <c r="O2949">
        <v>4</v>
      </c>
      <c r="P2949">
        <v>582</v>
      </c>
      <c r="Q2949">
        <v>344</v>
      </c>
      <c r="R2949">
        <v>170</v>
      </c>
      <c r="S2949">
        <v>18.559999999999999</v>
      </c>
    </row>
    <row r="2950" spans="12:19" x14ac:dyDescent="0.2">
      <c r="L2950" t="s">
        <v>374</v>
      </c>
      <c r="M2950">
        <v>253</v>
      </c>
      <c r="N2950">
        <v>1</v>
      </c>
      <c r="O2950">
        <v>4</v>
      </c>
      <c r="P2950">
        <v>582</v>
      </c>
      <c r="Q2950">
        <v>344</v>
      </c>
      <c r="R2950">
        <v>170</v>
      </c>
      <c r="S2950">
        <v>9283.2900000000009</v>
      </c>
    </row>
    <row r="2951" spans="12:19" x14ac:dyDescent="0.2">
      <c r="L2951" t="s">
        <v>374</v>
      </c>
      <c r="M2951">
        <v>255</v>
      </c>
      <c r="N2951">
        <v>1</v>
      </c>
      <c r="O2951">
        <v>4</v>
      </c>
      <c r="P2951">
        <v>582</v>
      </c>
      <c r="Q2951">
        <v>344</v>
      </c>
      <c r="R2951">
        <v>170</v>
      </c>
      <c r="S2951">
        <v>152.72</v>
      </c>
    </row>
    <row r="2952" spans="12:19" x14ac:dyDescent="0.2">
      <c r="L2952" t="s">
        <v>374</v>
      </c>
      <c r="M2952">
        <v>256</v>
      </c>
      <c r="N2952">
        <v>1</v>
      </c>
      <c r="O2952">
        <v>4</v>
      </c>
      <c r="P2952">
        <v>582</v>
      </c>
      <c r="Q2952">
        <v>344</v>
      </c>
      <c r="R2952">
        <v>170</v>
      </c>
      <c r="S2952">
        <v>2859.2</v>
      </c>
    </row>
    <row r="2953" spans="12:19" x14ac:dyDescent="0.2">
      <c r="L2953" t="s">
        <v>374</v>
      </c>
      <c r="M2953">
        <v>270</v>
      </c>
      <c r="N2953">
        <v>1</v>
      </c>
      <c r="O2953">
        <v>4</v>
      </c>
      <c r="P2953">
        <v>582</v>
      </c>
      <c r="Q2953">
        <v>344</v>
      </c>
      <c r="R2953">
        <v>170</v>
      </c>
      <c r="S2953">
        <v>2657.11</v>
      </c>
    </row>
    <row r="2954" spans="12:19" x14ac:dyDescent="0.2">
      <c r="L2954" t="s">
        <v>374</v>
      </c>
      <c r="M2954">
        <v>271</v>
      </c>
      <c r="N2954">
        <v>1</v>
      </c>
      <c r="O2954">
        <v>4</v>
      </c>
      <c r="P2954">
        <v>582</v>
      </c>
      <c r="Q2954">
        <v>344</v>
      </c>
      <c r="R2954">
        <v>170</v>
      </c>
      <c r="S2954">
        <v>320.83</v>
      </c>
    </row>
    <row r="2955" spans="12:19" x14ac:dyDescent="0.2">
      <c r="L2955" t="s">
        <v>374</v>
      </c>
      <c r="M2955">
        <v>272</v>
      </c>
      <c r="N2955">
        <v>1</v>
      </c>
      <c r="O2955">
        <v>4</v>
      </c>
      <c r="P2955">
        <v>582</v>
      </c>
      <c r="Q2955">
        <v>344</v>
      </c>
      <c r="R2955">
        <v>170</v>
      </c>
      <c r="S2955">
        <v>91099.47</v>
      </c>
    </row>
    <row r="2956" spans="12:19" x14ac:dyDescent="0.2">
      <c r="L2956" t="s">
        <v>374</v>
      </c>
      <c r="M2956">
        <v>273</v>
      </c>
      <c r="N2956">
        <v>1</v>
      </c>
      <c r="O2956">
        <v>4</v>
      </c>
      <c r="P2956">
        <v>582</v>
      </c>
      <c r="Q2956">
        <v>344</v>
      </c>
      <c r="R2956">
        <v>170</v>
      </c>
      <c r="S2956">
        <v>21250.73</v>
      </c>
    </row>
    <row r="2957" spans="12:19" x14ac:dyDescent="0.2">
      <c r="L2957" t="s">
        <v>374</v>
      </c>
      <c r="M2957">
        <v>276</v>
      </c>
      <c r="N2957">
        <v>1</v>
      </c>
      <c r="O2957">
        <v>4</v>
      </c>
      <c r="P2957">
        <v>582</v>
      </c>
      <c r="Q2957">
        <v>344</v>
      </c>
      <c r="R2957">
        <v>170</v>
      </c>
      <c r="S2957">
        <v>1494.01</v>
      </c>
    </row>
    <row r="2958" spans="12:19" x14ac:dyDescent="0.2">
      <c r="L2958" t="s">
        <v>374</v>
      </c>
      <c r="M2958">
        <v>277</v>
      </c>
      <c r="N2958">
        <v>1</v>
      </c>
      <c r="O2958">
        <v>4</v>
      </c>
      <c r="P2958">
        <v>582</v>
      </c>
      <c r="Q2958">
        <v>344</v>
      </c>
      <c r="R2958">
        <v>170</v>
      </c>
      <c r="S2958">
        <v>31329.439999999999</v>
      </c>
    </row>
    <row r="2959" spans="12:19" x14ac:dyDescent="0.2">
      <c r="L2959" t="s">
        <v>374</v>
      </c>
      <c r="M2959">
        <v>279</v>
      </c>
      <c r="N2959">
        <v>1</v>
      </c>
      <c r="O2959">
        <v>4</v>
      </c>
      <c r="P2959">
        <v>582</v>
      </c>
      <c r="Q2959">
        <v>344</v>
      </c>
      <c r="R2959">
        <v>170</v>
      </c>
      <c r="S2959">
        <v>16654.84</v>
      </c>
    </row>
    <row r="2960" spans="12:19" x14ac:dyDescent="0.2">
      <c r="L2960" t="s">
        <v>374</v>
      </c>
      <c r="M2960">
        <v>282</v>
      </c>
      <c r="N2960">
        <v>1</v>
      </c>
      <c r="O2960">
        <v>4</v>
      </c>
      <c r="P2960">
        <v>582</v>
      </c>
      <c r="Q2960">
        <v>344</v>
      </c>
      <c r="R2960">
        <v>170</v>
      </c>
      <c r="S2960">
        <v>1928.36</v>
      </c>
    </row>
    <row r="2961" spans="12:19" x14ac:dyDescent="0.2">
      <c r="L2961" t="s">
        <v>374</v>
      </c>
      <c r="M2961">
        <v>286</v>
      </c>
      <c r="N2961">
        <v>1</v>
      </c>
      <c r="O2961">
        <v>4</v>
      </c>
      <c r="P2961">
        <v>582</v>
      </c>
      <c r="Q2961">
        <v>344</v>
      </c>
      <c r="R2961">
        <v>170</v>
      </c>
      <c r="S2961">
        <v>6999.14</v>
      </c>
    </row>
    <row r="2962" spans="12:19" x14ac:dyDescent="0.2">
      <c r="L2962" t="s">
        <v>374</v>
      </c>
      <c r="M2962">
        <v>294</v>
      </c>
      <c r="N2962">
        <v>1</v>
      </c>
      <c r="O2962">
        <v>4</v>
      </c>
      <c r="P2962">
        <v>582</v>
      </c>
      <c r="Q2962">
        <v>344</v>
      </c>
      <c r="R2962">
        <v>170</v>
      </c>
      <c r="S2962">
        <v>1172.4100000000001</v>
      </c>
    </row>
    <row r="2963" spans="12:19" x14ac:dyDescent="0.2">
      <c r="L2963" t="s">
        <v>374</v>
      </c>
      <c r="M2963">
        <v>300</v>
      </c>
      <c r="N2963">
        <v>1</v>
      </c>
      <c r="O2963">
        <v>4</v>
      </c>
      <c r="P2963">
        <v>582</v>
      </c>
      <c r="Q2963">
        <v>344</v>
      </c>
      <c r="R2963">
        <v>170</v>
      </c>
      <c r="S2963">
        <v>1427.67</v>
      </c>
    </row>
    <row r="2964" spans="12:19" x14ac:dyDescent="0.2">
      <c r="L2964" t="s">
        <v>374</v>
      </c>
      <c r="M2964">
        <v>309</v>
      </c>
      <c r="N2964">
        <v>1</v>
      </c>
      <c r="O2964">
        <v>4</v>
      </c>
      <c r="P2964">
        <v>582</v>
      </c>
      <c r="Q2964">
        <v>344</v>
      </c>
      <c r="R2964">
        <v>170</v>
      </c>
      <c r="S2964">
        <v>1338.28</v>
      </c>
    </row>
    <row r="2965" spans="12:19" x14ac:dyDescent="0.2">
      <c r="L2965" t="s">
        <v>374</v>
      </c>
      <c r="M2965">
        <v>333</v>
      </c>
      <c r="N2965">
        <v>1</v>
      </c>
      <c r="O2965">
        <v>4</v>
      </c>
      <c r="P2965">
        <v>582</v>
      </c>
      <c r="Q2965">
        <v>344</v>
      </c>
      <c r="R2965">
        <v>170</v>
      </c>
      <c r="S2965">
        <v>124.55</v>
      </c>
    </row>
    <row r="2966" spans="12:19" x14ac:dyDescent="0.2">
      <c r="L2966" t="s">
        <v>374</v>
      </c>
      <c r="M2966">
        <v>345</v>
      </c>
      <c r="N2966">
        <v>1</v>
      </c>
      <c r="O2966">
        <v>4</v>
      </c>
      <c r="P2966">
        <v>582</v>
      </c>
      <c r="Q2966">
        <v>344</v>
      </c>
      <c r="R2966">
        <v>170</v>
      </c>
      <c r="S2966">
        <v>1500</v>
      </c>
    </row>
    <row r="2967" spans="12:19" x14ac:dyDescent="0.2">
      <c r="L2967" t="s">
        <v>374</v>
      </c>
      <c r="M2967">
        <v>347</v>
      </c>
      <c r="N2967">
        <v>1</v>
      </c>
      <c r="O2967">
        <v>4</v>
      </c>
      <c r="P2967">
        <v>582</v>
      </c>
      <c r="Q2967">
        <v>344</v>
      </c>
      <c r="R2967">
        <v>170</v>
      </c>
      <c r="S2967">
        <v>6376.6</v>
      </c>
    </row>
    <row r="2968" spans="12:19" x14ac:dyDescent="0.2">
      <c r="L2968" t="s">
        <v>374</v>
      </c>
      <c r="M2968">
        <v>378</v>
      </c>
      <c r="N2968">
        <v>1</v>
      </c>
      <c r="O2968">
        <v>4</v>
      </c>
      <c r="P2968">
        <v>582</v>
      </c>
      <c r="Q2968">
        <v>344</v>
      </c>
      <c r="R2968">
        <v>170</v>
      </c>
      <c r="S2968">
        <v>792.4</v>
      </c>
    </row>
    <row r="2969" spans="12:19" x14ac:dyDescent="0.2">
      <c r="L2969" t="s">
        <v>374</v>
      </c>
      <c r="M2969">
        <v>381</v>
      </c>
      <c r="N2969">
        <v>1</v>
      </c>
      <c r="O2969">
        <v>4</v>
      </c>
      <c r="P2969">
        <v>582</v>
      </c>
      <c r="Q2969">
        <v>344</v>
      </c>
      <c r="R2969">
        <v>170</v>
      </c>
      <c r="S2969">
        <v>677.25</v>
      </c>
    </row>
    <row r="2970" spans="12:19" x14ac:dyDescent="0.2">
      <c r="L2970" t="s">
        <v>374</v>
      </c>
      <c r="M2970">
        <v>392</v>
      </c>
      <c r="N2970">
        <v>1</v>
      </c>
      <c r="O2970">
        <v>4</v>
      </c>
      <c r="P2970">
        <v>582</v>
      </c>
      <c r="Q2970">
        <v>344</v>
      </c>
      <c r="R2970">
        <v>170</v>
      </c>
      <c r="S2970">
        <v>3722.5</v>
      </c>
    </row>
    <row r="2971" spans="12:19" x14ac:dyDescent="0.2">
      <c r="L2971" t="s">
        <v>374</v>
      </c>
      <c r="M2971">
        <v>394</v>
      </c>
      <c r="N2971">
        <v>1</v>
      </c>
      <c r="O2971">
        <v>4</v>
      </c>
      <c r="P2971">
        <v>582</v>
      </c>
      <c r="Q2971">
        <v>344</v>
      </c>
      <c r="R2971">
        <v>170</v>
      </c>
      <c r="S2971">
        <v>2611.86</v>
      </c>
    </row>
    <row r="2972" spans="12:19" x14ac:dyDescent="0.2">
      <c r="L2972" t="s">
        <v>374</v>
      </c>
      <c r="M2972">
        <v>413</v>
      </c>
      <c r="N2972">
        <v>1</v>
      </c>
      <c r="O2972">
        <v>4</v>
      </c>
      <c r="P2972">
        <v>582</v>
      </c>
      <c r="Q2972">
        <v>344</v>
      </c>
      <c r="R2972">
        <v>170</v>
      </c>
      <c r="S2972">
        <v>11373.65</v>
      </c>
    </row>
    <row r="2973" spans="12:19" x14ac:dyDescent="0.2">
      <c r="L2973" t="s">
        <v>374</v>
      </c>
      <c r="M2973">
        <v>417</v>
      </c>
      <c r="N2973">
        <v>1</v>
      </c>
      <c r="O2973">
        <v>4</v>
      </c>
      <c r="P2973">
        <v>582</v>
      </c>
      <c r="Q2973">
        <v>344</v>
      </c>
      <c r="R2973">
        <v>170</v>
      </c>
      <c r="S2973">
        <v>54.78</v>
      </c>
    </row>
    <row r="2974" spans="12:19" x14ac:dyDescent="0.2">
      <c r="L2974" t="s">
        <v>374</v>
      </c>
      <c r="M2974">
        <v>423</v>
      </c>
      <c r="N2974">
        <v>1</v>
      </c>
      <c r="O2974">
        <v>4</v>
      </c>
      <c r="P2974">
        <v>582</v>
      </c>
      <c r="Q2974">
        <v>344</v>
      </c>
      <c r="R2974">
        <v>170</v>
      </c>
      <c r="S2974">
        <v>822.48</v>
      </c>
    </row>
    <row r="2975" spans="12:19" x14ac:dyDescent="0.2">
      <c r="L2975" t="s">
        <v>374</v>
      </c>
      <c r="M2975">
        <v>441</v>
      </c>
      <c r="N2975">
        <v>1</v>
      </c>
      <c r="O2975">
        <v>4</v>
      </c>
      <c r="P2975">
        <v>582</v>
      </c>
      <c r="Q2975">
        <v>344</v>
      </c>
      <c r="R2975">
        <v>170</v>
      </c>
      <c r="S2975">
        <v>218.76</v>
      </c>
    </row>
    <row r="2976" spans="12:19" x14ac:dyDescent="0.2">
      <c r="L2976" t="s">
        <v>374</v>
      </c>
      <c r="M2976">
        <v>466</v>
      </c>
      <c r="N2976">
        <v>1</v>
      </c>
      <c r="O2976">
        <v>4</v>
      </c>
      <c r="P2976">
        <v>582</v>
      </c>
      <c r="Q2976">
        <v>344</v>
      </c>
      <c r="R2976">
        <v>170</v>
      </c>
      <c r="S2976">
        <v>4280.63</v>
      </c>
    </row>
    <row r="2977" spans="12:19" x14ac:dyDescent="0.2">
      <c r="L2977" t="s">
        <v>374</v>
      </c>
      <c r="M2977">
        <v>473</v>
      </c>
      <c r="N2977">
        <v>1</v>
      </c>
      <c r="O2977">
        <v>4</v>
      </c>
      <c r="P2977">
        <v>582</v>
      </c>
      <c r="Q2977">
        <v>344</v>
      </c>
      <c r="R2977">
        <v>170</v>
      </c>
      <c r="S2977">
        <v>3951.34</v>
      </c>
    </row>
    <row r="2978" spans="12:19" x14ac:dyDescent="0.2">
      <c r="L2978" t="s">
        <v>374</v>
      </c>
      <c r="M2978">
        <v>508</v>
      </c>
      <c r="N2978">
        <v>1</v>
      </c>
      <c r="O2978">
        <v>4</v>
      </c>
      <c r="P2978">
        <v>582</v>
      </c>
      <c r="Q2978">
        <v>344</v>
      </c>
      <c r="R2978">
        <v>170</v>
      </c>
      <c r="S2978">
        <v>759.46</v>
      </c>
    </row>
    <row r="2979" spans="12:19" x14ac:dyDescent="0.2">
      <c r="L2979" t="s">
        <v>374</v>
      </c>
      <c r="M2979">
        <v>513</v>
      </c>
      <c r="N2979">
        <v>1</v>
      </c>
      <c r="O2979">
        <v>4</v>
      </c>
      <c r="P2979">
        <v>582</v>
      </c>
      <c r="Q2979">
        <v>344</v>
      </c>
      <c r="R2979">
        <v>170</v>
      </c>
      <c r="S2979">
        <v>2969.48</v>
      </c>
    </row>
    <row r="2980" spans="12:19" x14ac:dyDescent="0.2">
      <c r="L2980" t="s">
        <v>374</v>
      </c>
      <c r="M2980">
        <v>544</v>
      </c>
      <c r="N2980">
        <v>1</v>
      </c>
      <c r="O2980">
        <v>4</v>
      </c>
      <c r="P2980">
        <v>582</v>
      </c>
      <c r="Q2980">
        <v>344</v>
      </c>
      <c r="R2980">
        <v>170</v>
      </c>
      <c r="S2980">
        <v>5706.28</v>
      </c>
    </row>
    <row r="2981" spans="12:19" x14ac:dyDescent="0.2">
      <c r="L2981" t="s">
        <v>374</v>
      </c>
      <c r="M2981">
        <v>553</v>
      </c>
      <c r="N2981">
        <v>1</v>
      </c>
      <c r="O2981">
        <v>4</v>
      </c>
      <c r="P2981">
        <v>582</v>
      </c>
      <c r="Q2981">
        <v>344</v>
      </c>
      <c r="R2981">
        <v>170</v>
      </c>
      <c r="S2981">
        <v>5428.46</v>
      </c>
    </row>
    <row r="2982" spans="12:19" x14ac:dyDescent="0.2">
      <c r="L2982" t="s">
        <v>374</v>
      </c>
      <c r="M2982">
        <v>564</v>
      </c>
      <c r="N2982">
        <v>1</v>
      </c>
      <c r="O2982">
        <v>4</v>
      </c>
      <c r="P2982">
        <v>582</v>
      </c>
      <c r="Q2982">
        <v>344</v>
      </c>
      <c r="R2982">
        <v>170</v>
      </c>
      <c r="S2982">
        <v>7526.4</v>
      </c>
    </row>
    <row r="2983" spans="12:19" x14ac:dyDescent="0.2">
      <c r="L2983" t="s">
        <v>374</v>
      </c>
      <c r="M2983">
        <v>578</v>
      </c>
      <c r="N2983">
        <v>1</v>
      </c>
      <c r="O2983">
        <v>4</v>
      </c>
      <c r="P2983">
        <v>582</v>
      </c>
      <c r="Q2983">
        <v>344</v>
      </c>
      <c r="R2983">
        <v>170</v>
      </c>
      <c r="S2983">
        <v>51.11</v>
      </c>
    </row>
    <row r="2984" spans="12:19" x14ac:dyDescent="0.2">
      <c r="L2984" t="s">
        <v>374</v>
      </c>
      <c r="M2984">
        <v>595</v>
      </c>
      <c r="N2984">
        <v>1</v>
      </c>
      <c r="O2984">
        <v>4</v>
      </c>
      <c r="P2984">
        <v>582</v>
      </c>
      <c r="Q2984">
        <v>344</v>
      </c>
      <c r="R2984">
        <v>170</v>
      </c>
      <c r="S2984">
        <v>23387.58</v>
      </c>
    </row>
    <row r="2985" spans="12:19" x14ac:dyDescent="0.2">
      <c r="L2985" t="s">
        <v>374</v>
      </c>
      <c r="M2985">
        <v>622</v>
      </c>
      <c r="N2985">
        <v>1</v>
      </c>
      <c r="O2985">
        <v>4</v>
      </c>
      <c r="P2985">
        <v>582</v>
      </c>
      <c r="Q2985">
        <v>344</v>
      </c>
      <c r="R2985">
        <v>170</v>
      </c>
      <c r="S2985">
        <v>11933.26</v>
      </c>
    </row>
    <row r="2986" spans="12:19" x14ac:dyDescent="0.2">
      <c r="L2986" t="s">
        <v>374</v>
      </c>
      <c r="M2986">
        <v>623</v>
      </c>
      <c r="N2986">
        <v>1</v>
      </c>
      <c r="O2986">
        <v>4</v>
      </c>
      <c r="P2986">
        <v>582</v>
      </c>
      <c r="Q2986">
        <v>344</v>
      </c>
      <c r="R2986">
        <v>170</v>
      </c>
      <c r="S2986">
        <v>1278.73</v>
      </c>
    </row>
    <row r="2987" spans="12:19" x14ac:dyDescent="0.2">
      <c r="L2987" t="s">
        <v>374</v>
      </c>
      <c r="M2987">
        <v>624</v>
      </c>
      <c r="N2987">
        <v>1</v>
      </c>
      <c r="O2987">
        <v>4</v>
      </c>
      <c r="P2987">
        <v>582</v>
      </c>
      <c r="Q2987">
        <v>344</v>
      </c>
      <c r="R2987">
        <v>170</v>
      </c>
      <c r="S2987">
        <v>17907.080000000002</v>
      </c>
    </row>
    <row r="2988" spans="12:19" x14ac:dyDescent="0.2">
      <c r="L2988" t="s">
        <v>374</v>
      </c>
      <c r="M2988">
        <v>625</v>
      </c>
      <c r="N2988">
        <v>1</v>
      </c>
      <c r="O2988">
        <v>4</v>
      </c>
      <c r="P2988">
        <v>582</v>
      </c>
      <c r="Q2988">
        <v>344</v>
      </c>
      <c r="R2988">
        <v>170</v>
      </c>
      <c r="S2988">
        <v>64886.69</v>
      </c>
    </row>
    <row r="2989" spans="12:19" x14ac:dyDescent="0.2">
      <c r="L2989" t="s">
        <v>374</v>
      </c>
      <c r="M2989">
        <v>640</v>
      </c>
      <c r="N2989">
        <v>1</v>
      </c>
      <c r="O2989">
        <v>4</v>
      </c>
      <c r="P2989">
        <v>582</v>
      </c>
      <c r="Q2989">
        <v>344</v>
      </c>
      <c r="R2989">
        <v>170</v>
      </c>
      <c r="S2989">
        <v>33.090000000000003</v>
      </c>
    </row>
    <row r="2990" spans="12:19" x14ac:dyDescent="0.2">
      <c r="L2990" t="s">
        <v>374</v>
      </c>
      <c r="M2990">
        <v>659</v>
      </c>
      <c r="N2990">
        <v>1</v>
      </c>
      <c r="O2990">
        <v>4</v>
      </c>
      <c r="P2990">
        <v>582</v>
      </c>
      <c r="Q2990">
        <v>344</v>
      </c>
      <c r="R2990">
        <v>170</v>
      </c>
      <c r="S2990">
        <v>11914.58</v>
      </c>
    </row>
    <row r="2991" spans="12:19" x14ac:dyDescent="0.2">
      <c r="L2991" t="s">
        <v>374</v>
      </c>
      <c r="M2991">
        <v>671</v>
      </c>
      <c r="N2991">
        <v>1</v>
      </c>
      <c r="O2991">
        <v>4</v>
      </c>
      <c r="P2991">
        <v>582</v>
      </c>
      <c r="Q2991">
        <v>344</v>
      </c>
      <c r="R2991">
        <v>170</v>
      </c>
      <c r="S2991">
        <v>307.68</v>
      </c>
    </row>
    <row r="2992" spans="12:19" x14ac:dyDescent="0.2">
      <c r="L2992" t="s">
        <v>374</v>
      </c>
      <c r="M2992">
        <v>700</v>
      </c>
      <c r="N2992">
        <v>1</v>
      </c>
      <c r="O2992">
        <v>4</v>
      </c>
      <c r="P2992">
        <v>582</v>
      </c>
      <c r="Q2992">
        <v>344</v>
      </c>
      <c r="R2992">
        <v>170</v>
      </c>
      <c r="S2992">
        <v>14307.25</v>
      </c>
    </row>
    <row r="2993" spans="12:19" x14ac:dyDescent="0.2">
      <c r="L2993" t="s">
        <v>374</v>
      </c>
      <c r="M2993">
        <v>709</v>
      </c>
      <c r="N2993">
        <v>1</v>
      </c>
      <c r="O2993">
        <v>4</v>
      </c>
      <c r="P2993">
        <v>582</v>
      </c>
      <c r="Q2993">
        <v>344</v>
      </c>
      <c r="R2993">
        <v>170</v>
      </c>
      <c r="S2993">
        <v>6171.89</v>
      </c>
    </row>
    <row r="2994" spans="12:19" x14ac:dyDescent="0.2">
      <c r="L2994" t="s">
        <v>374</v>
      </c>
      <c r="M2994">
        <v>719</v>
      </c>
      <c r="N2994">
        <v>1</v>
      </c>
      <c r="O2994">
        <v>4</v>
      </c>
      <c r="P2994">
        <v>582</v>
      </c>
      <c r="Q2994">
        <v>344</v>
      </c>
      <c r="R2994">
        <v>170</v>
      </c>
      <c r="S2994">
        <v>1959.36</v>
      </c>
    </row>
    <row r="2995" spans="12:19" x14ac:dyDescent="0.2">
      <c r="L2995" t="s">
        <v>374</v>
      </c>
      <c r="M2995">
        <v>721</v>
      </c>
      <c r="N2995">
        <v>1</v>
      </c>
      <c r="O2995">
        <v>4</v>
      </c>
      <c r="P2995">
        <v>582</v>
      </c>
      <c r="Q2995">
        <v>344</v>
      </c>
      <c r="R2995">
        <v>170</v>
      </c>
      <c r="S2995">
        <v>6573.09</v>
      </c>
    </row>
    <row r="2996" spans="12:19" x14ac:dyDescent="0.2">
      <c r="L2996" t="s">
        <v>374</v>
      </c>
      <c r="M2996">
        <v>727</v>
      </c>
      <c r="N2996">
        <v>1</v>
      </c>
      <c r="O2996">
        <v>4</v>
      </c>
      <c r="P2996">
        <v>582</v>
      </c>
      <c r="Q2996">
        <v>344</v>
      </c>
      <c r="R2996">
        <v>170</v>
      </c>
      <c r="S2996">
        <v>17622.52</v>
      </c>
    </row>
    <row r="2997" spans="12:19" x14ac:dyDescent="0.2">
      <c r="L2997" t="s">
        <v>374</v>
      </c>
      <c r="M2997">
        <v>728</v>
      </c>
      <c r="N2997">
        <v>1</v>
      </c>
      <c r="O2997">
        <v>4</v>
      </c>
      <c r="P2997">
        <v>582</v>
      </c>
      <c r="Q2997">
        <v>344</v>
      </c>
      <c r="R2997">
        <v>170</v>
      </c>
      <c r="S2997">
        <v>12049</v>
      </c>
    </row>
    <row r="2998" spans="12:19" x14ac:dyDescent="0.2">
      <c r="L2998" t="s">
        <v>374</v>
      </c>
      <c r="M2998">
        <v>738</v>
      </c>
      <c r="N2998">
        <v>1</v>
      </c>
      <c r="O2998">
        <v>4</v>
      </c>
      <c r="P2998">
        <v>582</v>
      </c>
      <c r="Q2998">
        <v>344</v>
      </c>
      <c r="R2998">
        <v>170</v>
      </c>
      <c r="S2998">
        <v>7186.35</v>
      </c>
    </row>
    <row r="2999" spans="12:19" x14ac:dyDescent="0.2">
      <c r="L2999" t="s">
        <v>374</v>
      </c>
      <c r="M2999">
        <v>742</v>
      </c>
      <c r="N2999">
        <v>1</v>
      </c>
      <c r="O2999">
        <v>4</v>
      </c>
      <c r="P2999">
        <v>582</v>
      </c>
      <c r="Q2999">
        <v>344</v>
      </c>
      <c r="R2999">
        <v>170</v>
      </c>
      <c r="S2999">
        <v>15590.16</v>
      </c>
    </row>
    <row r="3000" spans="12:19" x14ac:dyDescent="0.2">
      <c r="L3000" t="s">
        <v>374</v>
      </c>
      <c r="M3000">
        <v>745</v>
      </c>
      <c r="N3000">
        <v>1</v>
      </c>
      <c r="O3000">
        <v>4</v>
      </c>
      <c r="P3000">
        <v>582</v>
      </c>
      <c r="Q3000">
        <v>344</v>
      </c>
      <c r="R3000">
        <v>170</v>
      </c>
      <c r="S3000">
        <v>1947.57</v>
      </c>
    </row>
    <row r="3001" spans="12:19" x14ac:dyDescent="0.2">
      <c r="L3001" t="s">
        <v>374</v>
      </c>
      <c r="M3001">
        <v>769</v>
      </c>
      <c r="N3001">
        <v>1</v>
      </c>
      <c r="O3001">
        <v>4</v>
      </c>
      <c r="P3001">
        <v>582</v>
      </c>
      <c r="Q3001">
        <v>344</v>
      </c>
      <c r="R3001">
        <v>170</v>
      </c>
      <c r="S3001">
        <v>635.46</v>
      </c>
    </row>
    <row r="3002" spans="12:19" x14ac:dyDescent="0.2">
      <c r="L3002" t="s">
        <v>374</v>
      </c>
      <c r="M3002">
        <v>777</v>
      </c>
      <c r="N3002">
        <v>1</v>
      </c>
      <c r="O3002">
        <v>4</v>
      </c>
      <c r="P3002">
        <v>582</v>
      </c>
      <c r="Q3002">
        <v>344</v>
      </c>
      <c r="R3002">
        <v>170</v>
      </c>
      <c r="S3002">
        <v>620.4</v>
      </c>
    </row>
    <row r="3003" spans="12:19" x14ac:dyDescent="0.2">
      <c r="L3003" t="s">
        <v>374</v>
      </c>
      <c r="M3003">
        <v>829</v>
      </c>
      <c r="N3003">
        <v>1</v>
      </c>
      <c r="O3003">
        <v>4</v>
      </c>
      <c r="P3003">
        <v>582</v>
      </c>
      <c r="Q3003">
        <v>344</v>
      </c>
      <c r="R3003">
        <v>170</v>
      </c>
      <c r="S3003">
        <v>3552.57</v>
      </c>
    </row>
    <row r="3004" spans="12:19" x14ac:dyDescent="0.2">
      <c r="L3004" t="s">
        <v>374</v>
      </c>
      <c r="M3004">
        <v>831</v>
      </c>
      <c r="N3004">
        <v>1</v>
      </c>
      <c r="O3004">
        <v>4</v>
      </c>
      <c r="P3004">
        <v>582</v>
      </c>
      <c r="Q3004">
        <v>344</v>
      </c>
      <c r="R3004">
        <v>170</v>
      </c>
      <c r="S3004">
        <v>7000</v>
      </c>
    </row>
    <row r="3005" spans="12:19" x14ac:dyDescent="0.2">
      <c r="L3005" t="s">
        <v>374</v>
      </c>
      <c r="M3005">
        <v>833</v>
      </c>
      <c r="N3005">
        <v>1</v>
      </c>
      <c r="O3005">
        <v>4</v>
      </c>
      <c r="P3005">
        <v>582</v>
      </c>
      <c r="Q3005">
        <v>344</v>
      </c>
      <c r="R3005">
        <v>170</v>
      </c>
      <c r="S3005">
        <v>63185.21</v>
      </c>
    </row>
    <row r="3006" spans="12:19" x14ac:dyDescent="0.2">
      <c r="L3006" t="s">
        <v>374</v>
      </c>
      <c r="M3006">
        <v>834</v>
      </c>
      <c r="N3006">
        <v>1</v>
      </c>
      <c r="O3006">
        <v>4</v>
      </c>
      <c r="P3006">
        <v>582</v>
      </c>
      <c r="Q3006">
        <v>344</v>
      </c>
      <c r="R3006">
        <v>170</v>
      </c>
      <c r="S3006">
        <v>5166.6899999999996</v>
      </c>
    </row>
    <row r="3007" spans="12:19" x14ac:dyDescent="0.2">
      <c r="L3007" t="s">
        <v>374</v>
      </c>
      <c r="M3007">
        <v>861</v>
      </c>
      <c r="N3007">
        <v>1</v>
      </c>
      <c r="O3007">
        <v>4</v>
      </c>
      <c r="P3007">
        <v>582</v>
      </c>
      <c r="Q3007">
        <v>344</v>
      </c>
      <c r="R3007">
        <v>170</v>
      </c>
      <c r="S3007">
        <v>1239.5999999999999</v>
      </c>
    </row>
    <row r="3008" spans="12:19" x14ac:dyDescent="0.2">
      <c r="L3008" t="s">
        <v>374</v>
      </c>
      <c r="M3008">
        <v>876</v>
      </c>
      <c r="N3008">
        <v>1</v>
      </c>
      <c r="O3008">
        <v>4</v>
      </c>
      <c r="P3008">
        <v>582</v>
      </c>
      <c r="Q3008">
        <v>344</v>
      </c>
      <c r="R3008">
        <v>170</v>
      </c>
      <c r="S3008">
        <v>4118.83</v>
      </c>
    </row>
    <row r="3009" spans="12:19" x14ac:dyDescent="0.2">
      <c r="L3009" t="s">
        <v>374</v>
      </c>
      <c r="M3009">
        <v>877</v>
      </c>
      <c r="N3009">
        <v>1</v>
      </c>
      <c r="O3009">
        <v>4</v>
      </c>
      <c r="P3009">
        <v>582</v>
      </c>
      <c r="Q3009">
        <v>344</v>
      </c>
      <c r="R3009">
        <v>170</v>
      </c>
      <c r="S3009">
        <v>4377.6000000000004</v>
      </c>
    </row>
    <row r="3010" spans="12:19" x14ac:dyDescent="0.2">
      <c r="L3010" t="s">
        <v>374</v>
      </c>
      <c r="M3010">
        <v>879</v>
      </c>
      <c r="N3010">
        <v>1</v>
      </c>
      <c r="O3010">
        <v>4</v>
      </c>
      <c r="P3010">
        <v>582</v>
      </c>
      <c r="Q3010">
        <v>344</v>
      </c>
      <c r="R3010">
        <v>170</v>
      </c>
      <c r="S3010">
        <v>162.46</v>
      </c>
    </row>
    <row r="3011" spans="12:19" x14ac:dyDescent="0.2">
      <c r="L3011" t="s">
        <v>374</v>
      </c>
      <c r="M3011">
        <v>911</v>
      </c>
      <c r="N3011">
        <v>1</v>
      </c>
      <c r="O3011">
        <v>4</v>
      </c>
      <c r="P3011">
        <v>582</v>
      </c>
      <c r="Q3011">
        <v>344</v>
      </c>
      <c r="R3011">
        <v>170</v>
      </c>
      <c r="S3011">
        <v>4141.8999999999996</v>
      </c>
    </row>
    <row r="3012" spans="12:19" x14ac:dyDescent="0.2">
      <c r="L3012" t="s">
        <v>374</v>
      </c>
      <c r="M3012">
        <v>914</v>
      </c>
      <c r="N3012">
        <v>1</v>
      </c>
      <c r="O3012">
        <v>4</v>
      </c>
      <c r="P3012">
        <v>582</v>
      </c>
      <c r="Q3012">
        <v>344</v>
      </c>
      <c r="R3012">
        <v>170</v>
      </c>
      <c r="S3012">
        <v>2541.96</v>
      </c>
    </row>
    <row r="3013" spans="12:19" x14ac:dyDescent="0.2">
      <c r="L3013" t="s">
        <v>374</v>
      </c>
      <c r="M3013">
        <v>2125</v>
      </c>
      <c r="N3013">
        <v>1</v>
      </c>
      <c r="O3013">
        <v>4</v>
      </c>
      <c r="P3013">
        <v>582</v>
      </c>
      <c r="Q3013">
        <v>344</v>
      </c>
      <c r="R3013">
        <v>170</v>
      </c>
      <c r="S3013">
        <v>305.58999999999997</v>
      </c>
    </row>
    <row r="3014" spans="12:19" x14ac:dyDescent="0.2">
      <c r="L3014" t="s">
        <v>374</v>
      </c>
      <c r="M3014">
        <v>2144</v>
      </c>
      <c r="N3014">
        <v>1</v>
      </c>
      <c r="O3014">
        <v>4</v>
      </c>
      <c r="P3014">
        <v>582</v>
      </c>
      <c r="Q3014">
        <v>344</v>
      </c>
      <c r="R3014">
        <v>170</v>
      </c>
      <c r="S3014">
        <v>4308.12</v>
      </c>
    </row>
    <row r="3015" spans="12:19" x14ac:dyDescent="0.2">
      <c r="L3015" t="s">
        <v>374</v>
      </c>
      <c r="M3015">
        <v>2164</v>
      </c>
      <c r="N3015">
        <v>1</v>
      </c>
      <c r="O3015">
        <v>4</v>
      </c>
      <c r="P3015">
        <v>582</v>
      </c>
      <c r="Q3015">
        <v>344</v>
      </c>
      <c r="R3015">
        <v>170</v>
      </c>
      <c r="S3015">
        <v>550</v>
      </c>
    </row>
    <row r="3016" spans="12:19" x14ac:dyDescent="0.2">
      <c r="L3016" t="s">
        <v>374</v>
      </c>
      <c r="M3016">
        <v>2165</v>
      </c>
      <c r="N3016">
        <v>1</v>
      </c>
      <c r="O3016">
        <v>4</v>
      </c>
      <c r="P3016">
        <v>582</v>
      </c>
      <c r="Q3016">
        <v>344</v>
      </c>
      <c r="R3016">
        <v>170</v>
      </c>
      <c r="S3016">
        <v>4325.59</v>
      </c>
    </row>
    <row r="3017" spans="12:19" x14ac:dyDescent="0.2">
      <c r="L3017" t="s">
        <v>374</v>
      </c>
      <c r="M3017">
        <v>2167</v>
      </c>
      <c r="N3017">
        <v>1</v>
      </c>
      <c r="O3017">
        <v>4</v>
      </c>
      <c r="P3017">
        <v>582</v>
      </c>
      <c r="Q3017">
        <v>344</v>
      </c>
      <c r="R3017">
        <v>170</v>
      </c>
      <c r="S3017">
        <v>3595.14</v>
      </c>
    </row>
    <row r="3018" spans="12:19" x14ac:dyDescent="0.2">
      <c r="L3018" t="s">
        <v>374</v>
      </c>
      <c r="M3018">
        <v>2171</v>
      </c>
      <c r="N3018">
        <v>1</v>
      </c>
      <c r="O3018">
        <v>4</v>
      </c>
      <c r="P3018">
        <v>582</v>
      </c>
      <c r="Q3018">
        <v>344</v>
      </c>
      <c r="R3018">
        <v>170</v>
      </c>
      <c r="S3018">
        <v>12.93</v>
      </c>
    </row>
    <row r="3019" spans="12:19" x14ac:dyDescent="0.2">
      <c r="L3019" t="s">
        <v>374</v>
      </c>
      <c r="M3019">
        <v>2174</v>
      </c>
      <c r="N3019">
        <v>1</v>
      </c>
      <c r="O3019">
        <v>4</v>
      </c>
      <c r="P3019">
        <v>582</v>
      </c>
      <c r="Q3019">
        <v>344</v>
      </c>
      <c r="R3019">
        <v>170</v>
      </c>
      <c r="S3019">
        <v>1733.75</v>
      </c>
    </row>
    <row r="3020" spans="12:19" x14ac:dyDescent="0.2">
      <c r="L3020" t="s">
        <v>374</v>
      </c>
      <c r="M3020">
        <v>2198</v>
      </c>
      <c r="N3020">
        <v>1</v>
      </c>
      <c r="O3020">
        <v>4</v>
      </c>
      <c r="P3020">
        <v>582</v>
      </c>
      <c r="Q3020">
        <v>344</v>
      </c>
      <c r="R3020">
        <v>170</v>
      </c>
      <c r="S3020">
        <v>4840.58</v>
      </c>
    </row>
    <row r="3021" spans="12:19" x14ac:dyDescent="0.2">
      <c r="L3021" t="s">
        <v>374</v>
      </c>
      <c r="M3021">
        <v>2215</v>
      </c>
      <c r="N3021">
        <v>1</v>
      </c>
      <c r="O3021">
        <v>4</v>
      </c>
      <c r="P3021">
        <v>582</v>
      </c>
      <c r="Q3021">
        <v>344</v>
      </c>
      <c r="R3021">
        <v>170</v>
      </c>
      <c r="S3021">
        <v>454</v>
      </c>
    </row>
    <row r="3022" spans="12:19" x14ac:dyDescent="0.2">
      <c r="L3022" t="s">
        <v>374</v>
      </c>
      <c r="M3022">
        <v>2687</v>
      </c>
      <c r="N3022">
        <v>1</v>
      </c>
      <c r="O3022">
        <v>4</v>
      </c>
      <c r="P3022">
        <v>582</v>
      </c>
      <c r="Q3022">
        <v>344</v>
      </c>
      <c r="R3022">
        <v>170</v>
      </c>
      <c r="S3022">
        <v>3956.83</v>
      </c>
    </row>
    <row r="3023" spans="12:19" x14ac:dyDescent="0.2">
      <c r="L3023" t="s">
        <v>374</v>
      </c>
      <c r="M3023">
        <v>2752</v>
      </c>
      <c r="N3023">
        <v>1</v>
      </c>
      <c r="O3023">
        <v>4</v>
      </c>
      <c r="P3023">
        <v>582</v>
      </c>
      <c r="Q3023">
        <v>344</v>
      </c>
      <c r="R3023">
        <v>170</v>
      </c>
      <c r="S3023">
        <v>6573.98</v>
      </c>
    </row>
    <row r="3024" spans="12:19" x14ac:dyDescent="0.2">
      <c r="L3024" t="s">
        <v>374</v>
      </c>
      <c r="M3024">
        <v>2805</v>
      </c>
      <c r="N3024">
        <v>1</v>
      </c>
      <c r="O3024">
        <v>4</v>
      </c>
      <c r="P3024">
        <v>582</v>
      </c>
      <c r="Q3024">
        <v>344</v>
      </c>
      <c r="R3024">
        <v>170</v>
      </c>
      <c r="S3024">
        <v>4972.18</v>
      </c>
    </row>
    <row r="3025" spans="12:19" x14ac:dyDescent="0.2">
      <c r="L3025" t="s">
        <v>374</v>
      </c>
      <c r="M3025">
        <v>2859</v>
      </c>
      <c r="N3025">
        <v>1</v>
      </c>
      <c r="O3025">
        <v>4</v>
      </c>
      <c r="P3025">
        <v>582</v>
      </c>
      <c r="Q3025">
        <v>344</v>
      </c>
      <c r="R3025">
        <v>170</v>
      </c>
      <c r="S3025">
        <v>1673.52</v>
      </c>
    </row>
    <row r="3026" spans="12:19" x14ac:dyDescent="0.2">
      <c r="L3026" t="s">
        <v>374</v>
      </c>
      <c r="M3026">
        <v>2860</v>
      </c>
      <c r="N3026">
        <v>1</v>
      </c>
      <c r="O3026">
        <v>4</v>
      </c>
      <c r="P3026">
        <v>582</v>
      </c>
      <c r="Q3026">
        <v>344</v>
      </c>
      <c r="R3026">
        <v>170</v>
      </c>
      <c r="S3026">
        <v>3236.5</v>
      </c>
    </row>
    <row r="3027" spans="12:19" x14ac:dyDescent="0.2">
      <c r="L3027" t="s">
        <v>374</v>
      </c>
      <c r="M3027">
        <v>2889</v>
      </c>
      <c r="N3027">
        <v>1</v>
      </c>
      <c r="O3027">
        <v>4</v>
      </c>
      <c r="P3027">
        <v>582</v>
      </c>
      <c r="Q3027">
        <v>344</v>
      </c>
      <c r="R3027">
        <v>170</v>
      </c>
      <c r="S3027">
        <v>68.760000000000005</v>
      </c>
    </row>
    <row r="3028" spans="12:19" x14ac:dyDescent="0.2">
      <c r="L3028" t="s">
        <v>374</v>
      </c>
      <c r="M3028">
        <v>139</v>
      </c>
      <c r="N3028">
        <v>1</v>
      </c>
      <c r="O3028">
        <v>4</v>
      </c>
      <c r="P3028">
        <v>582</v>
      </c>
      <c r="Q3028">
        <v>321</v>
      </c>
      <c r="R3028">
        <v>170</v>
      </c>
      <c r="S3028">
        <v>19823.89</v>
      </c>
    </row>
    <row r="3029" spans="12:19" x14ac:dyDescent="0.2">
      <c r="L3029" t="s">
        <v>374</v>
      </c>
      <c r="M3029">
        <v>831</v>
      </c>
      <c r="N3029">
        <v>1</v>
      </c>
      <c r="O3029">
        <v>4</v>
      </c>
      <c r="P3029">
        <v>582</v>
      </c>
      <c r="Q3029">
        <v>321</v>
      </c>
      <c r="R3029">
        <v>170</v>
      </c>
      <c r="S3029">
        <v>6000</v>
      </c>
    </row>
    <row r="3030" spans="12:19" x14ac:dyDescent="0.2">
      <c r="L3030" t="s">
        <v>374</v>
      </c>
      <c r="M3030">
        <v>1</v>
      </c>
      <c r="N3030">
        <v>1</v>
      </c>
      <c r="O3030">
        <v>4</v>
      </c>
      <c r="P3030">
        <v>582</v>
      </c>
      <c r="Q3030">
        <v>344</v>
      </c>
      <c r="R3030">
        <v>146</v>
      </c>
      <c r="S3030">
        <v>246.5</v>
      </c>
    </row>
    <row r="3031" spans="12:19" x14ac:dyDescent="0.2">
      <c r="L3031" t="s">
        <v>374</v>
      </c>
      <c r="M3031">
        <v>4</v>
      </c>
      <c r="N3031">
        <v>1</v>
      </c>
      <c r="O3031">
        <v>4</v>
      </c>
      <c r="P3031">
        <v>582</v>
      </c>
      <c r="Q3031">
        <v>344</v>
      </c>
      <c r="R3031">
        <v>146</v>
      </c>
      <c r="S3031">
        <v>208.25</v>
      </c>
    </row>
    <row r="3032" spans="12:19" x14ac:dyDescent="0.2">
      <c r="L3032" t="s">
        <v>374</v>
      </c>
      <c r="M3032">
        <v>97</v>
      </c>
      <c r="N3032">
        <v>1</v>
      </c>
      <c r="O3032">
        <v>4</v>
      </c>
      <c r="P3032">
        <v>582</v>
      </c>
      <c r="Q3032">
        <v>344</v>
      </c>
      <c r="R3032">
        <v>146</v>
      </c>
      <c r="S3032">
        <v>157.5</v>
      </c>
    </row>
    <row r="3033" spans="12:19" x14ac:dyDescent="0.2">
      <c r="L3033" t="s">
        <v>374</v>
      </c>
      <c r="M3033">
        <v>112</v>
      </c>
      <c r="N3033">
        <v>1</v>
      </c>
      <c r="O3033">
        <v>4</v>
      </c>
      <c r="P3033">
        <v>582</v>
      </c>
      <c r="Q3033">
        <v>344</v>
      </c>
      <c r="R3033">
        <v>146</v>
      </c>
      <c r="S3033">
        <v>715.95</v>
      </c>
    </row>
    <row r="3034" spans="12:19" x14ac:dyDescent="0.2">
      <c r="L3034" t="s">
        <v>374</v>
      </c>
      <c r="M3034">
        <v>213</v>
      </c>
      <c r="N3034">
        <v>1</v>
      </c>
      <c r="O3034">
        <v>4</v>
      </c>
      <c r="P3034">
        <v>582</v>
      </c>
      <c r="Q3034">
        <v>344</v>
      </c>
      <c r="R3034">
        <v>146</v>
      </c>
      <c r="S3034">
        <v>471.95</v>
      </c>
    </row>
    <row r="3035" spans="12:19" x14ac:dyDescent="0.2">
      <c r="L3035" t="s">
        <v>374</v>
      </c>
      <c r="M3035">
        <v>253</v>
      </c>
      <c r="N3035">
        <v>1</v>
      </c>
      <c r="O3035">
        <v>4</v>
      </c>
      <c r="P3035">
        <v>582</v>
      </c>
      <c r="Q3035">
        <v>344</v>
      </c>
      <c r="R3035">
        <v>146</v>
      </c>
      <c r="S3035">
        <v>27</v>
      </c>
    </row>
    <row r="3036" spans="12:19" x14ac:dyDescent="0.2">
      <c r="L3036" t="s">
        <v>374</v>
      </c>
      <c r="M3036">
        <v>255</v>
      </c>
      <c r="N3036">
        <v>1</v>
      </c>
      <c r="O3036">
        <v>4</v>
      </c>
      <c r="P3036">
        <v>582</v>
      </c>
      <c r="Q3036">
        <v>344</v>
      </c>
      <c r="R3036">
        <v>146</v>
      </c>
      <c r="S3036">
        <v>72.599999999999994</v>
      </c>
    </row>
    <row r="3037" spans="12:19" x14ac:dyDescent="0.2">
      <c r="L3037" t="s">
        <v>374</v>
      </c>
      <c r="M3037">
        <v>317</v>
      </c>
      <c r="N3037">
        <v>1</v>
      </c>
      <c r="O3037">
        <v>4</v>
      </c>
      <c r="P3037">
        <v>582</v>
      </c>
      <c r="Q3037">
        <v>344</v>
      </c>
      <c r="R3037">
        <v>146</v>
      </c>
      <c r="S3037">
        <v>366.63</v>
      </c>
    </row>
    <row r="3038" spans="12:19" x14ac:dyDescent="0.2">
      <c r="L3038" t="s">
        <v>374</v>
      </c>
      <c r="M3038">
        <v>318</v>
      </c>
      <c r="N3038">
        <v>1</v>
      </c>
      <c r="O3038">
        <v>4</v>
      </c>
      <c r="P3038">
        <v>582</v>
      </c>
      <c r="Q3038">
        <v>344</v>
      </c>
      <c r="R3038">
        <v>146</v>
      </c>
      <c r="S3038">
        <v>442</v>
      </c>
    </row>
    <row r="3039" spans="12:19" x14ac:dyDescent="0.2">
      <c r="L3039" t="s">
        <v>374</v>
      </c>
      <c r="M3039">
        <v>361</v>
      </c>
      <c r="N3039">
        <v>1</v>
      </c>
      <c r="O3039">
        <v>4</v>
      </c>
      <c r="P3039">
        <v>582</v>
      </c>
      <c r="Q3039">
        <v>344</v>
      </c>
      <c r="R3039">
        <v>146</v>
      </c>
      <c r="S3039">
        <v>284.35000000000002</v>
      </c>
    </row>
    <row r="3040" spans="12:19" x14ac:dyDescent="0.2">
      <c r="L3040" t="s">
        <v>374</v>
      </c>
      <c r="M3040">
        <v>417</v>
      </c>
      <c r="N3040">
        <v>1</v>
      </c>
      <c r="O3040">
        <v>4</v>
      </c>
      <c r="P3040">
        <v>582</v>
      </c>
      <c r="Q3040">
        <v>344</v>
      </c>
      <c r="R3040">
        <v>146</v>
      </c>
      <c r="S3040">
        <v>210</v>
      </c>
    </row>
    <row r="3041" spans="12:19" x14ac:dyDescent="0.2">
      <c r="L3041" t="s">
        <v>374</v>
      </c>
      <c r="M3041">
        <v>424</v>
      </c>
      <c r="N3041">
        <v>1</v>
      </c>
      <c r="O3041">
        <v>4</v>
      </c>
      <c r="P3041">
        <v>582</v>
      </c>
      <c r="Q3041">
        <v>344</v>
      </c>
      <c r="R3041">
        <v>146</v>
      </c>
      <c r="S3041">
        <v>302.58</v>
      </c>
    </row>
    <row r="3042" spans="12:19" x14ac:dyDescent="0.2">
      <c r="L3042" t="s">
        <v>374</v>
      </c>
      <c r="M3042">
        <v>482</v>
      </c>
      <c r="N3042">
        <v>1</v>
      </c>
      <c r="O3042">
        <v>4</v>
      </c>
      <c r="P3042">
        <v>582</v>
      </c>
      <c r="Q3042">
        <v>344</v>
      </c>
      <c r="R3042">
        <v>146</v>
      </c>
      <c r="S3042">
        <v>216.79</v>
      </c>
    </row>
    <row r="3043" spans="12:19" x14ac:dyDescent="0.2">
      <c r="L3043" t="s">
        <v>374</v>
      </c>
      <c r="M3043">
        <v>656</v>
      </c>
      <c r="N3043">
        <v>1</v>
      </c>
      <c r="O3043">
        <v>4</v>
      </c>
      <c r="P3043">
        <v>582</v>
      </c>
      <c r="Q3043">
        <v>344</v>
      </c>
      <c r="R3043">
        <v>146</v>
      </c>
      <c r="S3043">
        <v>267.86</v>
      </c>
    </row>
    <row r="3044" spans="12:19" x14ac:dyDescent="0.2">
      <c r="L3044" t="s">
        <v>374</v>
      </c>
      <c r="M3044">
        <v>709</v>
      </c>
      <c r="N3044">
        <v>1</v>
      </c>
      <c r="O3044">
        <v>4</v>
      </c>
      <c r="P3044">
        <v>582</v>
      </c>
      <c r="Q3044">
        <v>344</v>
      </c>
      <c r="R3044">
        <v>146</v>
      </c>
      <c r="S3044">
        <v>233.68</v>
      </c>
    </row>
    <row r="3045" spans="12:19" x14ac:dyDescent="0.2">
      <c r="L3045" t="s">
        <v>374</v>
      </c>
      <c r="M3045">
        <v>727</v>
      </c>
      <c r="N3045">
        <v>1</v>
      </c>
      <c r="O3045">
        <v>4</v>
      </c>
      <c r="P3045">
        <v>582</v>
      </c>
      <c r="Q3045">
        <v>344</v>
      </c>
      <c r="R3045">
        <v>146</v>
      </c>
      <c r="S3045">
        <v>403.03</v>
      </c>
    </row>
    <row r="3046" spans="12:19" x14ac:dyDescent="0.2">
      <c r="L3046" t="s">
        <v>374</v>
      </c>
      <c r="M3046">
        <v>741</v>
      </c>
      <c r="N3046">
        <v>1</v>
      </c>
      <c r="O3046">
        <v>4</v>
      </c>
      <c r="P3046">
        <v>582</v>
      </c>
      <c r="Q3046">
        <v>344</v>
      </c>
      <c r="R3046">
        <v>146</v>
      </c>
      <c r="S3046">
        <v>42.45</v>
      </c>
    </row>
    <row r="3047" spans="12:19" x14ac:dyDescent="0.2">
      <c r="L3047" t="s">
        <v>374</v>
      </c>
      <c r="M3047">
        <v>742</v>
      </c>
      <c r="N3047">
        <v>1</v>
      </c>
      <c r="O3047">
        <v>4</v>
      </c>
      <c r="P3047">
        <v>582</v>
      </c>
      <c r="Q3047">
        <v>344</v>
      </c>
      <c r="R3047">
        <v>146</v>
      </c>
      <c r="S3047">
        <v>2156.7600000000002</v>
      </c>
    </row>
    <row r="3048" spans="12:19" x14ac:dyDescent="0.2">
      <c r="L3048" t="s">
        <v>374</v>
      </c>
      <c r="M3048">
        <v>745</v>
      </c>
      <c r="N3048">
        <v>1</v>
      </c>
      <c r="O3048">
        <v>4</v>
      </c>
      <c r="P3048">
        <v>582</v>
      </c>
      <c r="Q3048">
        <v>344</v>
      </c>
      <c r="R3048">
        <v>146</v>
      </c>
      <c r="S3048">
        <v>588.04999999999995</v>
      </c>
    </row>
    <row r="3049" spans="12:19" x14ac:dyDescent="0.2">
      <c r="L3049" t="s">
        <v>374</v>
      </c>
      <c r="M3049">
        <v>761</v>
      </c>
      <c r="N3049">
        <v>1</v>
      </c>
      <c r="O3049">
        <v>4</v>
      </c>
      <c r="P3049">
        <v>582</v>
      </c>
      <c r="Q3049">
        <v>344</v>
      </c>
      <c r="R3049">
        <v>146</v>
      </c>
      <c r="S3049">
        <v>1506.56</v>
      </c>
    </row>
    <row r="3050" spans="12:19" x14ac:dyDescent="0.2">
      <c r="L3050" t="s">
        <v>374</v>
      </c>
      <c r="M3050">
        <v>2580</v>
      </c>
      <c r="N3050">
        <v>1</v>
      </c>
      <c r="O3050">
        <v>4</v>
      </c>
      <c r="P3050">
        <v>582</v>
      </c>
      <c r="Q3050">
        <v>344</v>
      </c>
      <c r="R3050">
        <v>146</v>
      </c>
      <c r="S3050">
        <v>68.64</v>
      </c>
    </row>
    <row r="3051" spans="12:19" x14ac:dyDescent="0.2">
      <c r="L3051" t="s">
        <v>374</v>
      </c>
      <c r="M3051">
        <v>2711</v>
      </c>
      <c r="N3051">
        <v>1</v>
      </c>
      <c r="O3051">
        <v>4</v>
      </c>
      <c r="P3051">
        <v>582</v>
      </c>
      <c r="Q3051">
        <v>344</v>
      </c>
      <c r="R3051">
        <v>146</v>
      </c>
      <c r="S3051">
        <v>250</v>
      </c>
    </row>
    <row r="3052" spans="12:19" x14ac:dyDescent="0.2">
      <c r="L3052" t="s">
        <v>374</v>
      </c>
      <c r="M3052">
        <v>2888</v>
      </c>
      <c r="N3052">
        <v>1</v>
      </c>
      <c r="O3052">
        <v>4</v>
      </c>
      <c r="P3052">
        <v>582</v>
      </c>
      <c r="Q3052">
        <v>344</v>
      </c>
      <c r="R3052">
        <v>146</v>
      </c>
      <c r="S3052">
        <v>315</v>
      </c>
    </row>
    <row r="3053" spans="12:19" x14ac:dyDescent="0.2">
      <c r="L3053" t="s">
        <v>374</v>
      </c>
      <c r="M3053">
        <v>625</v>
      </c>
      <c r="N3053">
        <v>1</v>
      </c>
      <c r="O3053">
        <v>4</v>
      </c>
      <c r="P3053">
        <v>582</v>
      </c>
      <c r="Q3053">
        <v>599</v>
      </c>
      <c r="R3053">
        <v>145</v>
      </c>
      <c r="S3053">
        <v>1210</v>
      </c>
    </row>
    <row r="3054" spans="12:19" x14ac:dyDescent="0.2">
      <c r="L3054" t="s">
        <v>374</v>
      </c>
      <c r="M3054">
        <v>1</v>
      </c>
      <c r="N3054">
        <v>1</v>
      </c>
      <c r="O3054">
        <v>4</v>
      </c>
      <c r="P3054">
        <v>582</v>
      </c>
      <c r="Q3054">
        <v>344</v>
      </c>
      <c r="R3054">
        <v>145</v>
      </c>
      <c r="S3054">
        <v>825.52</v>
      </c>
    </row>
    <row r="3055" spans="12:19" x14ac:dyDescent="0.2">
      <c r="L3055" t="s">
        <v>374</v>
      </c>
      <c r="M3055">
        <v>1</v>
      </c>
      <c r="N3055">
        <v>3</v>
      </c>
      <c r="O3055">
        <v>4</v>
      </c>
      <c r="P3055">
        <v>582</v>
      </c>
      <c r="Q3055">
        <v>344</v>
      </c>
      <c r="R3055">
        <v>145</v>
      </c>
      <c r="S3055">
        <v>1690</v>
      </c>
    </row>
    <row r="3056" spans="12:19" x14ac:dyDescent="0.2">
      <c r="L3056" t="s">
        <v>374</v>
      </c>
      <c r="M3056">
        <v>47</v>
      </c>
      <c r="N3056">
        <v>1</v>
      </c>
      <c r="O3056">
        <v>4</v>
      </c>
      <c r="P3056">
        <v>582</v>
      </c>
      <c r="Q3056">
        <v>344</v>
      </c>
      <c r="R3056">
        <v>145</v>
      </c>
      <c r="S3056">
        <v>5886.72</v>
      </c>
    </row>
    <row r="3057" spans="12:19" x14ac:dyDescent="0.2">
      <c r="L3057" t="s">
        <v>374</v>
      </c>
      <c r="M3057">
        <v>91</v>
      </c>
      <c r="N3057">
        <v>1</v>
      </c>
      <c r="O3057">
        <v>4</v>
      </c>
      <c r="P3057">
        <v>582</v>
      </c>
      <c r="Q3057">
        <v>344</v>
      </c>
      <c r="R3057">
        <v>145</v>
      </c>
      <c r="S3057">
        <v>154</v>
      </c>
    </row>
    <row r="3058" spans="12:19" x14ac:dyDescent="0.2">
      <c r="L3058" t="s">
        <v>374</v>
      </c>
      <c r="M3058">
        <v>97</v>
      </c>
      <c r="N3058">
        <v>1</v>
      </c>
      <c r="O3058">
        <v>4</v>
      </c>
      <c r="P3058">
        <v>582</v>
      </c>
      <c r="Q3058">
        <v>344</v>
      </c>
      <c r="R3058">
        <v>145</v>
      </c>
      <c r="S3058">
        <v>45</v>
      </c>
    </row>
    <row r="3059" spans="12:19" x14ac:dyDescent="0.2">
      <c r="L3059" t="s">
        <v>374</v>
      </c>
      <c r="M3059">
        <v>112</v>
      </c>
      <c r="N3059">
        <v>1</v>
      </c>
      <c r="O3059">
        <v>4</v>
      </c>
      <c r="P3059">
        <v>582</v>
      </c>
      <c r="Q3059">
        <v>344</v>
      </c>
      <c r="R3059">
        <v>145</v>
      </c>
      <c r="S3059">
        <v>238.02</v>
      </c>
    </row>
    <row r="3060" spans="12:19" x14ac:dyDescent="0.2">
      <c r="L3060" t="s">
        <v>374</v>
      </c>
      <c r="M3060">
        <v>116</v>
      </c>
      <c r="N3060">
        <v>1</v>
      </c>
      <c r="O3060">
        <v>4</v>
      </c>
      <c r="P3060">
        <v>582</v>
      </c>
      <c r="Q3060">
        <v>344</v>
      </c>
      <c r="R3060">
        <v>145</v>
      </c>
      <c r="S3060">
        <v>250</v>
      </c>
    </row>
    <row r="3061" spans="12:19" x14ac:dyDescent="0.2">
      <c r="L3061" t="s">
        <v>374</v>
      </c>
      <c r="M3061">
        <v>139</v>
      </c>
      <c r="N3061">
        <v>1</v>
      </c>
      <c r="O3061">
        <v>4</v>
      </c>
      <c r="P3061">
        <v>582</v>
      </c>
      <c r="Q3061">
        <v>344</v>
      </c>
      <c r="R3061">
        <v>145</v>
      </c>
      <c r="S3061">
        <v>1100</v>
      </c>
    </row>
    <row r="3062" spans="12:19" x14ac:dyDescent="0.2">
      <c r="L3062" t="s">
        <v>374</v>
      </c>
      <c r="M3062">
        <v>177</v>
      </c>
      <c r="N3062">
        <v>1</v>
      </c>
      <c r="O3062">
        <v>4</v>
      </c>
      <c r="P3062">
        <v>582</v>
      </c>
      <c r="Q3062">
        <v>344</v>
      </c>
      <c r="R3062">
        <v>145</v>
      </c>
      <c r="S3062">
        <v>161.25</v>
      </c>
    </row>
    <row r="3063" spans="12:19" x14ac:dyDescent="0.2">
      <c r="L3063" t="s">
        <v>374</v>
      </c>
      <c r="M3063">
        <v>196</v>
      </c>
      <c r="N3063">
        <v>1</v>
      </c>
      <c r="O3063">
        <v>4</v>
      </c>
      <c r="P3063">
        <v>582</v>
      </c>
      <c r="Q3063">
        <v>344</v>
      </c>
      <c r="R3063">
        <v>145</v>
      </c>
      <c r="S3063">
        <v>1632</v>
      </c>
    </row>
    <row r="3064" spans="12:19" x14ac:dyDescent="0.2">
      <c r="L3064" t="s">
        <v>374</v>
      </c>
      <c r="M3064">
        <v>197</v>
      </c>
      <c r="N3064">
        <v>1</v>
      </c>
      <c r="O3064">
        <v>4</v>
      </c>
      <c r="P3064">
        <v>582</v>
      </c>
      <c r="Q3064">
        <v>344</v>
      </c>
      <c r="R3064">
        <v>145</v>
      </c>
      <c r="S3064">
        <v>892.5</v>
      </c>
    </row>
    <row r="3065" spans="12:19" x14ac:dyDescent="0.2">
      <c r="L3065" t="s">
        <v>374</v>
      </c>
      <c r="M3065">
        <v>200</v>
      </c>
      <c r="N3065">
        <v>1</v>
      </c>
      <c r="O3065">
        <v>4</v>
      </c>
      <c r="P3065">
        <v>582</v>
      </c>
      <c r="Q3065">
        <v>344</v>
      </c>
      <c r="R3065">
        <v>145</v>
      </c>
      <c r="S3065">
        <v>3211.38</v>
      </c>
    </row>
    <row r="3066" spans="12:19" x14ac:dyDescent="0.2">
      <c r="L3066" t="s">
        <v>374</v>
      </c>
      <c r="M3066">
        <v>255</v>
      </c>
      <c r="N3066">
        <v>1</v>
      </c>
      <c r="O3066">
        <v>4</v>
      </c>
      <c r="P3066">
        <v>582</v>
      </c>
      <c r="Q3066">
        <v>344</v>
      </c>
      <c r="R3066">
        <v>145</v>
      </c>
      <c r="S3066">
        <v>575</v>
      </c>
    </row>
    <row r="3067" spans="12:19" x14ac:dyDescent="0.2">
      <c r="L3067" t="s">
        <v>374</v>
      </c>
      <c r="M3067">
        <v>271</v>
      </c>
      <c r="N3067">
        <v>1</v>
      </c>
      <c r="O3067">
        <v>4</v>
      </c>
      <c r="P3067">
        <v>582</v>
      </c>
      <c r="Q3067">
        <v>344</v>
      </c>
      <c r="R3067">
        <v>145</v>
      </c>
      <c r="S3067">
        <v>599.66</v>
      </c>
    </row>
    <row r="3068" spans="12:19" x14ac:dyDescent="0.2">
      <c r="L3068" t="s">
        <v>374</v>
      </c>
      <c r="M3068">
        <v>272</v>
      </c>
      <c r="N3068">
        <v>1</v>
      </c>
      <c r="O3068">
        <v>4</v>
      </c>
      <c r="P3068">
        <v>582</v>
      </c>
      <c r="Q3068">
        <v>344</v>
      </c>
      <c r="R3068">
        <v>145</v>
      </c>
      <c r="S3068">
        <v>2141.6799999999998</v>
      </c>
    </row>
    <row r="3069" spans="12:19" x14ac:dyDescent="0.2">
      <c r="L3069" t="s">
        <v>374</v>
      </c>
      <c r="M3069">
        <v>279</v>
      </c>
      <c r="N3069">
        <v>1</v>
      </c>
      <c r="O3069">
        <v>4</v>
      </c>
      <c r="P3069">
        <v>582</v>
      </c>
      <c r="Q3069">
        <v>344</v>
      </c>
      <c r="R3069">
        <v>145</v>
      </c>
      <c r="S3069">
        <v>654.5</v>
      </c>
    </row>
    <row r="3070" spans="12:19" x14ac:dyDescent="0.2">
      <c r="L3070" t="s">
        <v>374</v>
      </c>
      <c r="M3070">
        <v>283</v>
      </c>
      <c r="N3070">
        <v>1</v>
      </c>
      <c r="O3070">
        <v>4</v>
      </c>
      <c r="P3070">
        <v>582</v>
      </c>
      <c r="Q3070">
        <v>344</v>
      </c>
      <c r="R3070">
        <v>145</v>
      </c>
      <c r="S3070">
        <v>1517.11</v>
      </c>
    </row>
    <row r="3071" spans="12:19" x14ac:dyDescent="0.2">
      <c r="L3071" t="s">
        <v>374</v>
      </c>
      <c r="M3071">
        <v>308</v>
      </c>
      <c r="N3071">
        <v>1</v>
      </c>
      <c r="O3071">
        <v>4</v>
      </c>
      <c r="P3071">
        <v>582</v>
      </c>
      <c r="Q3071">
        <v>344</v>
      </c>
      <c r="R3071">
        <v>145</v>
      </c>
      <c r="S3071">
        <v>15.75</v>
      </c>
    </row>
    <row r="3072" spans="12:19" x14ac:dyDescent="0.2">
      <c r="L3072" t="s">
        <v>374</v>
      </c>
      <c r="M3072">
        <v>316</v>
      </c>
      <c r="N3072">
        <v>1</v>
      </c>
      <c r="O3072">
        <v>4</v>
      </c>
      <c r="P3072">
        <v>582</v>
      </c>
      <c r="Q3072">
        <v>344</v>
      </c>
      <c r="R3072">
        <v>145</v>
      </c>
      <c r="S3072">
        <v>720</v>
      </c>
    </row>
    <row r="3073" spans="12:19" x14ac:dyDescent="0.2">
      <c r="L3073" t="s">
        <v>374</v>
      </c>
      <c r="M3073">
        <v>317</v>
      </c>
      <c r="N3073">
        <v>1</v>
      </c>
      <c r="O3073">
        <v>4</v>
      </c>
      <c r="P3073">
        <v>582</v>
      </c>
      <c r="Q3073">
        <v>344</v>
      </c>
      <c r="R3073">
        <v>145</v>
      </c>
      <c r="S3073">
        <v>1620</v>
      </c>
    </row>
    <row r="3074" spans="12:19" x14ac:dyDescent="0.2">
      <c r="L3074" t="s">
        <v>374</v>
      </c>
      <c r="M3074">
        <v>318</v>
      </c>
      <c r="N3074">
        <v>1</v>
      </c>
      <c r="O3074">
        <v>4</v>
      </c>
      <c r="P3074">
        <v>582</v>
      </c>
      <c r="Q3074">
        <v>344</v>
      </c>
      <c r="R3074">
        <v>145</v>
      </c>
      <c r="S3074">
        <v>90</v>
      </c>
    </row>
    <row r="3075" spans="12:19" x14ac:dyDescent="0.2">
      <c r="L3075" t="s">
        <v>374</v>
      </c>
      <c r="M3075">
        <v>347</v>
      </c>
      <c r="N3075">
        <v>1</v>
      </c>
      <c r="O3075">
        <v>4</v>
      </c>
      <c r="P3075">
        <v>582</v>
      </c>
      <c r="Q3075">
        <v>344</v>
      </c>
      <c r="R3075">
        <v>145</v>
      </c>
      <c r="S3075">
        <v>265.38</v>
      </c>
    </row>
    <row r="3076" spans="12:19" x14ac:dyDescent="0.2">
      <c r="L3076" t="s">
        <v>374</v>
      </c>
      <c r="M3076">
        <v>361</v>
      </c>
      <c r="N3076">
        <v>1</v>
      </c>
      <c r="O3076">
        <v>4</v>
      </c>
      <c r="P3076">
        <v>582</v>
      </c>
      <c r="Q3076">
        <v>344</v>
      </c>
      <c r="R3076">
        <v>145</v>
      </c>
      <c r="S3076">
        <v>380</v>
      </c>
    </row>
    <row r="3077" spans="12:19" x14ac:dyDescent="0.2">
      <c r="L3077" t="s">
        <v>374</v>
      </c>
      <c r="M3077">
        <v>390</v>
      </c>
      <c r="N3077">
        <v>1</v>
      </c>
      <c r="O3077">
        <v>4</v>
      </c>
      <c r="P3077">
        <v>582</v>
      </c>
      <c r="Q3077">
        <v>344</v>
      </c>
      <c r="R3077">
        <v>145</v>
      </c>
      <c r="S3077">
        <v>87.51</v>
      </c>
    </row>
    <row r="3078" spans="12:19" x14ac:dyDescent="0.2">
      <c r="L3078" t="s">
        <v>374</v>
      </c>
      <c r="M3078">
        <v>417</v>
      </c>
      <c r="N3078">
        <v>1</v>
      </c>
      <c r="O3078">
        <v>4</v>
      </c>
      <c r="P3078">
        <v>582</v>
      </c>
      <c r="Q3078">
        <v>344</v>
      </c>
      <c r="R3078">
        <v>145</v>
      </c>
      <c r="S3078">
        <v>451.2</v>
      </c>
    </row>
    <row r="3079" spans="12:19" x14ac:dyDescent="0.2">
      <c r="L3079" t="s">
        <v>374</v>
      </c>
      <c r="M3079">
        <v>424</v>
      </c>
      <c r="N3079">
        <v>1</v>
      </c>
      <c r="O3079">
        <v>4</v>
      </c>
      <c r="P3079">
        <v>582</v>
      </c>
      <c r="Q3079">
        <v>344</v>
      </c>
      <c r="R3079">
        <v>145</v>
      </c>
      <c r="S3079">
        <v>323</v>
      </c>
    </row>
    <row r="3080" spans="12:19" x14ac:dyDescent="0.2">
      <c r="L3080" t="s">
        <v>374</v>
      </c>
      <c r="M3080">
        <v>482</v>
      </c>
      <c r="N3080">
        <v>1</v>
      </c>
      <c r="O3080">
        <v>4</v>
      </c>
      <c r="P3080">
        <v>582</v>
      </c>
      <c r="Q3080">
        <v>344</v>
      </c>
      <c r="R3080">
        <v>145</v>
      </c>
      <c r="S3080">
        <v>1632.48</v>
      </c>
    </row>
    <row r="3081" spans="12:19" x14ac:dyDescent="0.2">
      <c r="L3081" t="s">
        <v>374</v>
      </c>
      <c r="M3081">
        <v>495</v>
      </c>
      <c r="N3081">
        <v>1</v>
      </c>
      <c r="O3081">
        <v>4</v>
      </c>
      <c r="P3081">
        <v>582</v>
      </c>
      <c r="Q3081">
        <v>344</v>
      </c>
      <c r="R3081">
        <v>145</v>
      </c>
      <c r="S3081">
        <v>1600.73</v>
      </c>
    </row>
    <row r="3082" spans="12:19" x14ac:dyDescent="0.2">
      <c r="L3082" t="s">
        <v>374</v>
      </c>
      <c r="M3082">
        <v>533</v>
      </c>
      <c r="N3082">
        <v>1</v>
      </c>
      <c r="O3082">
        <v>4</v>
      </c>
      <c r="P3082">
        <v>582</v>
      </c>
      <c r="Q3082">
        <v>344</v>
      </c>
      <c r="R3082">
        <v>145</v>
      </c>
      <c r="S3082">
        <v>151.35</v>
      </c>
    </row>
    <row r="3083" spans="12:19" x14ac:dyDescent="0.2">
      <c r="L3083" t="s">
        <v>374</v>
      </c>
      <c r="M3083">
        <v>545</v>
      </c>
      <c r="N3083">
        <v>1</v>
      </c>
      <c r="O3083">
        <v>4</v>
      </c>
      <c r="P3083">
        <v>582</v>
      </c>
      <c r="Q3083">
        <v>344</v>
      </c>
      <c r="R3083">
        <v>145</v>
      </c>
      <c r="S3083">
        <v>221.85</v>
      </c>
    </row>
    <row r="3084" spans="12:19" x14ac:dyDescent="0.2">
      <c r="L3084" t="s">
        <v>374</v>
      </c>
      <c r="M3084">
        <v>547</v>
      </c>
      <c r="N3084">
        <v>1</v>
      </c>
      <c r="O3084">
        <v>4</v>
      </c>
      <c r="P3084">
        <v>582</v>
      </c>
      <c r="Q3084">
        <v>344</v>
      </c>
      <c r="R3084">
        <v>145</v>
      </c>
      <c r="S3084">
        <v>180</v>
      </c>
    </row>
    <row r="3085" spans="12:19" x14ac:dyDescent="0.2">
      <c r="L3085" t="s">
        <v>374</v>
      </c>
      <c r="M3085">
        <v>550</v>
      </c>
      <c r="N3085">
        <v>1</v>
      </c>
      <c r="O3085">
        <v>4</v>
      </c>
      <c r="P3085">
        <v>582</v>
      </c>
      <c r="Q3085">
        <v>344</v>
      </c>
      <c r="R3085">
        <v>145</v>
      </c>
      <c r="S3085">
        <v>90</v>
      </c>
    </row>
    <row r="3086" spans="12:19" x14ac:dyDescent="0.2">
      <c r="L3086" t="s">
        <v>374</v>
      </c>
      <c r="M3086">
        <v>577</v>
      </c>
      <c r="N3086">
        <v>1</v>
      </c>
      <c r="O3086">
        <v>4</v>
      </c>
      <c r="P3086">
        <v>582</v>
      </c>
      <c r="Q3086">
        <v>344</v>
      </c>
      <c r="R3086">
        <v>145</v>
      </c>
      <c r="S3086">
        <v>100</v>
      </c>
    </row>
    <row r="3087" spans="12:19" x14ac:dyDescent="0.2">
      <c r="L3087" t="s">
        <v>374</v>
      </c>
      <c r="M3087">
        <v>593</v>
      </c>
      <c r="N3087">
        <v>1</v>
      </c>
      <c r="O3087">
        <v>4</v>
      </c>
      <c r="P3087">
        <v>582</v>
      </c>
      <c r="Q3087">
        <v>344</v>
      </c>
      <c r="R3087">
        <v>145</v>
      </c>
      <c r="S3087">
        <v>350</v>
      </c>
    </row>
    <row r="3088" spans="12:19" x14ac:dyDescent="0.2">
      <c r="L3088" t="s">
        <v>374</v>
      </c>
      <c r="M3088">
        <v>595</v>
      </c>
      <c r="N3088">
        <v>1</v>
      </c>
      <c r="O3088">
        <v>4</v>
      </c>
      <c r="P3088">
        <v>582</v>
      </c>
      <c r="Q3088">
        <v>344</v>
      </c>
      <c r="R3088">
        <v>145</v>
      </c>
      <c r="S3088">
        <v>225</v>
      </c>
    </row>
    <row r="3089" spans="12:19" x14ac:dyDescent="0.2">
      <c r="L3089" t="s">
        <v>374</v>
      </c>
      <c r="M3089">
        <v>623</v>
      </c>
      <c r="N3089">
        <v>1</v>
      </c>
      <c r="O3089">
        <v>4</v>
      </c>
      <c r="P3089">
        <v>582</v>
      </c>
      <c r="Q3089">
        <v>344</v>
      </c>
      <c r="R3089">
        <v>145</v>
      </c>
      <c r="S3089">
        <v>348</v>
      </c>
    </row>
    <row r="3090" spans="12:19" x14ac:dyDescent="0.2">
      <c r="L3090" t="s">
        <v>374</v>
      </c>
      <c r="M3090">
        <v>624</v>
      </c>
      <c r="N3090">
        <v>1</v>
      </c>
      <c r="O3090">
        <v>4</v>
      </c>
      <c r="P3090">
        <v>582</v>
      </c>
      <c r="Q3090">
        <v>344</v>
      </c>
      <c r="R3090">
        <v>145</v>
      </c>
      <c r="S3090">
        <v>175</v>
      </c>
    </row>
    <row r="3091" spans="12:19" x14ac:dyDescent="0.2">
      <c r="L3091" t="s">
        <v>374</v>
      </c>
      <c r="M3091">
        <v>625</v>
      </c>
      <c r="N3091">
        <v>1</v>
      </c>
      <c r="O3091">
        <v>4</v>
      </c>
      <c r="P3091">
        <v>582</v>
      </c>
      <c r="Q3091">
        <v>344</v>
      </c>
      <c r="R3091">
        <v>145</v>
      </c>
      <c r="S3091">
        <v>440</v>
      </c>
    </row>
    <row r="3092" spans="12:19" x14ac:dyDescent="0.2">
      <c r="L3092" t="s">
        <v>374</v>
      </c>
      <c r="M3092">
        <v>640</v>
      </c>
      <c r="N3092">
        <v>1</v>
      </c>
      <c r="O3092">
        <v>4</v>
      </c>
      <c r="P3092">
        <v>582</v>
      </c>
      <c r="Q3092">
        <v>344</v>
      </c>
      <c r="R3092">
        <v>145</v>
      </c>
      <c r="S3092">
        <v>285</v>
      </c>
    </row>
    <row r="3093" spans="12:19" x14ac:dyDescent="0.2">
      <c r="L3093" t="s">
        <v>374</v>
      </c>
      <c r="M3093">
        <v>656</v>
      </c>
      <c r="N3093">
        <v>1</v>
      </c>
      <c r="O3093">
        <v>4</v>
      </c>
      <c r="P3093">
        <v>582</v>
      </c>
      <c r="Q3093">
        <v>344</v>
      </c>
      <c r="R3093">
        <v>145</v>
      </c>
      <c r="S3093">
        <v>957</v>
      </c>
    </row>
    <row r="3094" spans="12:19" x14ac:dyDescent="0.2">
      <c r="L3094" t="s">
        <v>374</v>
      </c>
      <c r="M3094">
        <v>682</v>
      </c>
      <c r="N3094">
        <v>1</v>
      </c>
      <c r="O3094">
        <v>4</v>
      </c>
      <c r="P3094">
        <v>582</v>
      </c>
      <c r="Q3094">
        <v>344</v>
      </c>
      <c r="R3094">
        <v>145</v>
      </c>
      <c r="S3094">
        <v>632.48</v>
      </c>
    </row>
    <row r="3095" spans="12:19" x14ac:dyDescent="0.2">
      <c r="L3095" t="s">
        <v>374</v>
      </c>
      <c r="M3095">
        <v>698</v>
      </c>
      <c r="N3095">
        <v>1</v>
      </c>
      <c r="O3095">
        <v>4</v>
      </c>
      <c r="P3095">
        <v>582</v>
      </c>
      <c r="Q3095">
        <v>344</v>
      </c>
      <c r="R3095">
        <v>145</v>
      </c>
      <c r="S3095">
        <v>157.5</v>
      </c>
    </row>
    <row r="3096" spans="12:19" x14ac:dyDescent="0.2">
      <c r="L3096" t="s">
        <v>374</v>
      </c>
      <c r="M3096">
        <v>700</v>
      </c>
      <c r="N3096">
        <v>1</v>
      </c>
      <c r="O3096">
        <v>4</v>
      </c>
      <c r="P3096">
        <v>582</v>
      </c>
      <c r="Q3096">
        <v>344</v>
      </c>
      <c r="R3096">
        <v>145</v>
      </c>
      <c r="S3096">
        <v>196</v>
      </c>
    </row>
    <row r="3097" spans="12:19" x14ac:dyDescent="0.2">
      <c r="L3097" t="s">
        <v>374</v>
      </c>
      <c r="M3097">
        <v>709</v>
      </c>
      <c r="N3097">
        <v>1</v>
      </c>
      <c r="O3097">
        <v>4</v>
      </c>
      <c r="P3097">
        <v>582</v>
      </c>
      <c r="Q3097">
        <v>344</v>
      </c>
      <c r="R3097">
        <v>145</v>
      </c>
      <c r="S3097">
        <v>781.92</v>
      </c>
    </row>
    <row r="3098" spans="12:19" x14ac:dyDescent="0.2">
      <c r="L3098" t="s">
        <v>374</v>
      </c>
      <c r="M3098">
        <v>721</v>
      </c>
      <c r="N3098">
        <v>1</v>
      </c>
      <c r="O3098">
        <v>4</v>
      </c>
      <c r="P3098">
        <v>582</v>
      </c>
      <c r="Q3098">
        <v>344</v>
      </c>
      <c r="R3098">
        <v>145</v>
      </c>
      <c r="S3098">
        <v>1124.2</v>
      </c>
    </row>
    <row r="3099" spans="12:19" x14ac:dyDescent="0.2">
      <c r="L3099" t="s">
        <v>374</v>
      </c>
      <c r="M3099">
        <v>726</v>
      </c>
      <c r="N3099">
        <v>1</v>
      </c>
      <c r="O3099">
        <v>4</v>
      </c>
      <c r="P3099">
        <v>582</v>
      </c>
      <c r="Q3099">
        <v>344</v>
      </c>
      <c r="R3099">
        <v>145</v>
      </c>
      <c r="S3099">
        <v>2214.6799999999998</v>
      </c>
    </row>
    <row r="3100" spans="12:19" x14ac:dyDescent="0.2">
      <c r="L3100" t="s">
        <v>374</v>
      </c>
      <c r="M3100">
        <v>727</v>
      </c>
      <c r="N3100">
        <v>1</v>
      </c>
      <c r="O3100">
        <v>4</v>
      </c>
      <c r="P3100">
        <v>582</v>
      </c>
      <c r="Q3100">
        <v>344</v>
      </c>
      <c r="R3100">
        <v>145</v>
      </c>
      <c r="S3100">
        <v>1102.5</v>
      </c>
    </row>
    <row r="3101" spans="12:19" x14ac:dyDescent="0.2">
      <c r="L3101" t="s">
        <v>374</v>
      </c>
      <c r="M3101">
        <v>728</v>
      </c>
      <c r="N3101">
        <v>1</v>
      </c>
      <c r="O3101">
        <v>4</v>
      </c>
      <c r="P3101">
        <v>582</v>
      </c>
      <c r="Q3101">
        <v>344</v>
      </c>
      <c r="R3101">
        <v>145</v>
      </c>
      <c r="S3101">
        <v>315</v>
      </c>
    </row>
    <row r="3102" spans="12:19" x14ac:dyDescent="0.2">
      <c r="L3102" t="s">
        <v>374</v>
      </c>
      <c r="M3102">
        <v>741</v>
      </c>
      <c r="N3102">
        <v>1</v>
      </c>
      <c r="O3102">
        <v>4</v>
      </c>
      <c r="P3102">
        <v>582</v>
      </c>
      <c r="Q3102">
        <v>344</v>
      </c>
      <c r="R3102">
        <v>145</v>
      </c>
      <c r="S3102">
        <v>777</v>
      </c>
    </row>
    <row r="3103" spans="12:19" x14ac:dyDescent="0.2">
      <c r="L3103" t="s">
        <v>374</v>
      </c>
      <c r="M3103">
        <v>742</v>
      </c>
      <c r="N3103">
        <v>1</v>
      </c>
      <c r="O3103">
        <v>4</v>
      </c>
      <c r="P3103">
        <v>582</v>
      </c>
      <c r="Q3103">
        <v>344</v>
      </c>
      <c r="R3103">
        <v>145</v>
      </c>
      <c r="S3103">
        <v>3330.49</v>
      </c>
    </row>
    <row r="3104" spans="12:19" x14ac:dyDescent="0.2">
      <c r="L3104" t="s">
        <v>374</v>
      </c>
      <c r="M3104">
        <v>745</v>
      </c>
      <c r="N3104">
        <v>1</v>
      </c>
      <c r="O3104">
        <v>4</v>
      </c>
      <c r="P3104">
        <v>582</v>
      </c>
      <c r="Q3104">
        <v>344</v>
      </c>
      <c r="R3104">
        <v>145</v>
      </c>
      <c r="S3104">
        <v>1440.01</v>
      </c>
    </row>
    <row r="3105" spans="12:19" x14ac:dyDescent="0.2">
      <c r="L3105" t="s">
        <v>374</v>
      </c>
      <c r="M3105">
        <v>761</v>
      </c>
      <c r="N3105">
        <v>1</v>
      </c>
      <c r="O3105">
        <v>4</v>
      </c>
      <c r="P3105">
        <v>582</v>
      </c>
      <c r="Q3105">
        <v>344</v>
      </c>
      <c r="R3105">
        <v>145</v>
      </c>
      <c r="S3105">
        <v>1876.38</v>
      </c>
    </row>
    <row r="3106" spans="12:19" x14ac:dyDescent="0.2">
      <c r="L3106" t="s">
        <v>374</v>
      </c>
      <c r="M3106">
        <v>834</v>
      </c>
      <c r="N3106">
        <v>1</v>
      </c>
      <c r="O3106">
        <v>4</v>
      </c>
      <c r="P3106">
        <v>582</v>
      </c>
      <c r="Q3106">
        <v>344</v>
      </c>
      <c r="R3106">
        <v>145</v>
      </c>
      <c r="S3106">
        <v>1127.5</v>
      </c>
    </row>
    <row r="3107" spans="12:19" x14ac:dyDescent="0.2">
      <c r="L3107" t="s">
        <v>374</v>
      </c>
      <c r="M3107">
        <v>857</v>
      </c>
      <c r="N3107">
        <v>1</v>
      </c>
      <c r="O3107">
        <v>4</v>
      </c>
      <c r="P3107">
        <v>582</v>
      </c>
      <c r="Q3107">
        <v>344</v>
      </c>
      <c r="R3107">
        <v>145</v>
      </c>
      <c r="S3107">
        <v>160</v>
      </c>
    </row>
    <row r="3108" spans="12:19" x14ac:dyDescent="0.2">
      <c r="L3108" t="s">
        <v>374</v>
      </c>
      <c r="M3108">
        <v>876</v>
      </c>
      <c r="N3108">
        <v>1</v>
      </c>
      <c r="O3108">
        <v>4</v>
      </c>
      <c r="P3108">
        <v>582</v>
      </c>
      <c r="Q3108">
        <v>344</v>
      </c>
      <c r="R3108">
        <v>145</v>
      </c>
      <c r="S3108">
        <v>759</v>
      </c>
    </row>
    <row r="3109" spans="12:19" x14ac:dyDescent="0.2">
      <c r="L3109" t="s">
        <v>374</v>
      </c>
      <c r="M3109">
        <v>885</v>
      </c>
      <c r="N3109">
        <v>1</v>
      </c>
      <c r="O3109">
        <v>4</v>
      </c>
      <c r="P3109">
        <v>582</v>
      </c>
      <c r="Q3109">
        <v>344</v>
      </c>
      <c r="R3109">
        <v>145</v>
      </c>
      <c r="S3109">
        <v>2830.83</v>
      </c>
    </row>
    <row r="3110" spans="12:19" x14ac:dyDescent="0.2">
      <c r="L3110" t="s">
        <v>374</v>
      </c>
      <c r="M3110">
        <v>912</v>
      </c>
      <c r="N3110">
        <v>1</v>
      </c>
      <c r="O3110">
        <v>4</v>
      </c>
      <c r="P3110">
        <v>582</v>
      </c>
      <c r="Q3110">
        <v>344</v>
      </c>
      <c r="R3110">
        <v>145</v>
      </c>
      <c r="S3110">
        <v>531.46</v>
      </c>
    </row>
    <row r="3111" spans="12:19" x14ac:dyDescent="0.2">
      <c r="L3111" t="s">
        <v>374</v>
      </c>
      <c r="M3111">
        <v>2142</v>
      </c>
      <c r="N3111">
        <v>1</v>
      </c>
      <c r="O3111">
        <v>4</v>
      </c>
      <c r="P3111">
        <v>582</v>
      </c>
      <c r="Q3111">
        <v>344</v>
      </c>
      <c r="R3111">
        <v>145</v>
      </c>
      <c r="S3111">
        <v>1001.32</v>
      </c>
    </row>
    <row r="3112" spans="12:19" x14ac:dyDescent="0.2">
      <c r="L3112" t="s">
        <v>374</v>
      </c>
      <c r="M3112">
        <v>2165</v>
      </c>
      <c r="N3112">
        <v>1</v>
      </c>
      <c r="O3112">
        <v>4</v>
      </c>
      <c r="P3112">
        <v>582</v>
      </c>
      <c r="Q3112">
        <v>344</v>
      </c>
      <c r="R3112">
        <v>145</v>
      </c>
      <c r="S3112">
        <v>555</v>
      </c>
    </row>
    <row r="3113" spans="12:19" x14ac:dyDescent="0.2">
      <c r="L3113" t="s">
        <v>374</v>
      </c>
      <c r="M3113">
        <v>2169</v>
      </c>
      <c r="N3113">
        <v>1</v>
      </c>
      <c r="O3113">
        <v>4</v>
      </c>
      <c r="P3113">
        <v>582</v>
      </c>
      <c r="Q3113">
        <v>344</v>
      </c>
      <c r="R3113">
        <v>145</v>
      </c>
      <c r="S3113">
        <v>498.26</v>
      </c>
    </row>
    <row r="3114" spans="12:19" x14ac:dyDescent="0.2">
      <c r="L3114" t="s">
        <v>374</v>
      </c>
      <c r="M3114">
        <v>2171</v>
      </c>
      <c r="N3114">
        <v>1</v>
      </c>
      <c r="O3114">
        <v>4</v>
      </c>
      <c r="P3114">
        <v>582</v>
      </c>
      <c r="Q3114">
        <v>344</v>
      </c>
      <c r="R3114">
        <v>145</v>
      </c>
      <c r="S3114">
        <v>302.5</v>
      </c>
    </row>
    <row r="3115" spans="12:19" x14ac:dyDescent="0.2">
      <c r="L3115" t="s">
        <v>374</v>
      </c>
      <c r="M3115">
        <v>2311</v>
      </c>
      <c r="N3115">
        <v>1</v>
      </c>
      <c r="O3115">
        <v>4</v>
      </c>
      <c r="P3115">
        <v>582</v>
      </c>
      <c r="Q3115">
        <v>344</v>
      </c>
      <c r="R3115">
        <v>145</v>
      </c>
      <c r="S3115">
        <v>501.5</v>
      </c>
    </row>
    <row r="3116" spans="12:19" x14ac:dyDescent="0.2">
      <c r="L3116" t="s">
        <v>374</v>
      </c>
      <c r="M3116">
        <v>2342</v>
      </c>
      <c r="N3116">
        <v>1</v>
      </c>
      <c r="O3116">
        <v>4</v>
      </c>
      <c r="P3116">
        <v>582</v>
      </c>
      <c r="Q3116">
        <v>344</v>
      </c>
      <c r="R3116">
        <v>145</v>
      </c>
      <c r="S3116">
        <v>281</v>
      </c>
    </row>
    <row r="3117" spans="12:19" x14ac:dyDescent="0.2">
      <c r="L3117" t="s">
        <v>374</v>
      </c>
      <c r="M3117">
        <v>2396</v>
      </c>
      <c r="N3117">
        <v>1</v>
      </c>
      <c r="O3117">
        <v>4</v>
      </c>
      <c r="P3117">
        <v>582</v>
      </c>
      <c r="Q3117">
        <v>344</v>
      </c>
      <c r="R3117">
        <v>145</v>
      </c>
      <c r="S3117">
        <v>237.5</v>
      </c>
    </row>
    <row r="3118" spans="12:19" x14ac:dyDescent="0.2">
      <c r="L3118" t="s">
        <v>374</v>
      </c>
      <c r="M3118">
        <v>2711</v>
      </c>
      <c r="N3118">
        <v>1</v>
      </c>
      <c r="O3118">
        <v>4</v>
      </c>
      <c r="P3118">
        <v>582</v>
      </c>
      <c r="Q3118">
        <v>344</v>
      </c>
      <c r="R3118">
        <v>145</v>
      </c>
      <c r="S3118">
        <v>142.5</v>
      </c>
    </row>
    <row r="3119" spans="12:19" x14ac:dyDescent="0.2">
      <c r="L3119" t="s">
        <v>374</v>
      </c>
      <c r="M3119">
        <v>2835</v>
      </c>
      <c r="N3119">
        <v>1</v>
      </c>
      <c r="O3119">
        <v>4</v>
      </c>
      <c r="P3119">
        <v>582</v>
      </c>
      <c r="Q3119">
        <v>344</v>
      </c>
      <c r="R3119">
        <v>145</v>
      </c>
      <c r="S3119">
        <v>725</v>
      </c>
    </row>
    <row r="3120" spans="12:19" x14ac:dyDescent="0.2">
      <c r="L3120" t="s">
        <v>374</v>
      </c>
      <c r="M3120">
        <v>2859</v>
      </c>
      <c r="N3120">
        <v>1</v>
      </c>
      <c r="O3120">
        <v>4</v>
      </c>
      <c r="P3120">
        <v>582</v>
      </c>
      <c r="Q3120">
        <v>344</v>
      </c>
      <c r="R3120">
        <v>145</v>
      </c>
      <c r="S3120">
        <v>36.11</v>
      </c>
    </row>
    <row r="3121" spans="12:19" x14ac:dyDescent="0.2">
      <c r="L3121" t="s">
        <v>374</v>
      </c>
      <c r="M3121">
        <v>2889</v>
      </c>
      <c r="N3121">
        <v>1</v>
      </c>
      <c r="O3121">
        <v>4</v>
      </c>
      <c r="P3121">
        <v>582</v>
      </c>
      <c r="Q3121">
        <v>344</v>
      </c>
      <c r="R3121">
        <v>145</v>
      </c>
      <c r="S3121">
        <v>45</v>
      </c>
    </row>
    <row r="3122" spans="12:19" x14ac:dyDescent="0.2">
      <c r="L3122" t="s">
        <v>374</v>
      </c>
      <c r="M3122">
        <v>1</v>
      </c>
      <c r="N3122">
        <v>3</v>
      </c>
      <c r="O3122">
        <v>4</v>
      </c>
      <c r="P3122">
        <v>582</v>
      </c>
      <c r="Q3122">
        <v>344</v>
      </c>
      <c r="R3122">
        <v>144</v>
      </c>
      <c r="S3122">
        <v>39983.72</v>
      </c>
    </row>
    <row r="3123" spans="12:19" x14ac:dyDescent="0.2">
      <c r="L3123" t="s">
        <v>374</v>
      </c>
      <c r="M3123">
        <v>47</v>
      </c>
      <c r="N3123">
        <v>1</v>
      </c>
      <c r="O3123">
        <v>4</v>
      </c>
      <c r="P3123">
        <v>582</v>
      </c>
      <c r="Q3123">
        <v>344</v>
      </c>
      <c r="R3123">
        <v>144</v>
      </c>
      <c r="S3123">
        <v>14027.27</v>
      </c>
    </row>
    <row r="3124" spans="12:19" x14ac:dyDescent="0.2">
      <c r="L3124" t="s">
        <v>374</v>
      </c>
      <c r="M3124">
        <v>192</v>
      </c>
      <c r="N3124">
        <v>1</v>
      </c>
      <c r="O3124">
        <v>4</v>
      </c>
      <c r="P3124">
        <v>582</v>
      </c>
      <c r="Q3124">
        <v>344</v>
      </c>
      <c r="R3124">
        <v>144</v>
      </c>
      <c r="S3124">
        <v>134.85</v>
      </c>
    </row>
    <row r="3125" spans="12:19" x14ac:dyDescent="0.2">
      <c r="L3125" t="s">
        <v>374</v>
      </c>
      <c r="M3125">
        <v>270</v>
      </c>
      <c r="N3125">
        <v>1</v>
      </c>
      <c r="O3125">
        <v>4</v>
      </c>
      <c r="P3125">
        <v>582</v>
      </c>
      <c r="Q3125">
        <v>344</v>
      </c>
      <c r="R3125">
        <v>144</v>
      </c>
      <c r="S3125">
        <v>50.2</v>
      </c>
    </row>
    <row r="3126" spans="12:19" x14ac:dyDescent="0.2">
      <c r="L3126" t="s">
        <v>374</v>
      </c>
      <c r="M3126">
        <v>381</v>
      </c>
      <c r="N3126">
        <v>1</v>
      </c>
      <c r="O3126">
        <v>4</v>
      </c>
      <c r="P3126">
        <v>582</v>
      </c>
      <c r="Q3126">
        <v>344</v>
      </c>
      <c r="R3126">
        <v>144</v>
      </c>
      <c r="S3126">
        <v>208.5</v>
      </c>
    </row>
    <row r="3127" spans="12:19" x14ac:dyDescent="0.2">
      <c r="L3127" t="s">
        <v>374</v>
      </c>
      <c r="M3127">
        <v>392</v>
      </c>
      <c r="N3127">
        <v>1</v>
      </c>
      <c r="O3127">
        <v>4</v>
      </c>
      <c r="P3127">
        <v>582</v>
      </c>
      <c r="Q3127">
        <v>344</v>
      </c>
      <c r="R3127">
        <v>144</v>
      </c>
      <c r="S3127">
        <v>7902.66</v>
      </c>
    </row>
    <row r="3128" spans="12:19" x14ac:dyDescent="0.2">
      <c r="L3128" t="s">
        <v>374</v>
      </c>
      <c r="M3128">
        <v>482</v>
      </c>
      <c r="N3128">
        <v>1</v>
      </c>
      <c r="O3128">
        <v>4</v>
      </c>
      <c r="P3128">
        <v>582</v>
      </c>
      <c r="Q3128">
        <v>344</v>
      </c>
      <c r="R3128">
        <v>144</v>
      </c>
      <c r="S3128">
        <v>3547.22</v>
      </c>
    </row>
    <row r="3129" spans="12:19" x14ac:dyDescent="0.2">
      <c r="L3129" t="s">
        <v>374</v>
      </c>
      <c r="M3129">
        <v>499</v>
      </c>
      <c r="N3129">
        <v>1</v>
      </c>
      <c r="O3129">
        <v>4</v>
      </c>
      <c r="P3129">
        <v>582</v>
      </c>
      <c r="Q3129">
        <v>344</v>
      </c>
      <c r="R3129">
        <v>144</v>
      </c>
      <c r="S3129">
        <v>947.02</v>
      </c>
    </row>
    <row r="3130" spans="12:19" x14ac:dyDescent="0.2">
      <c r="L3130" t="s">
        <v>374</v>
      </c>
      <c r="M3130">
        <v>508</v>
      </c>
      <c r="N3130">
        <v>1</v>
      </c>
      <c r="O3130">
        <v>4</v>
      </c>
      <c r="P3130">
        <v>582</v>
      </c>
      <c r="Q3130">
        <v>344</v>
      </c>
      <c r="R3130">
        <v>144</v>
      </c>
      <c r="S3130">
        <v>18864.16</v>
      </c>
    </row>
    <row r="3131" spans="12:19" x14ac:dyDescent="0.2">
      <c r="L3131" t="s">
        <v>374</v>
      </c>
      <c r="M3131">
        <v>531</v>
      </c>
      <c r="N3131">
        <v>1</v>
      </c>
      <c r="O3131">
        <v>4</v>
      </c>
      <c r="P3131">
        <v>582</v>
      </c>
      <c r="Q3131">
        <v>344</v>
      </c>
      <c r="R3131">
        <v>144</v>
      </c>
      <c r="S3131">
        <v>24441.75</v>
      </c>
    </row>
    <row r="3132" spans="12:19" x14ac:dyDescent="0.2">
      <c r="L3132" t="s">
        <v>374</v>
      </c>
      <c r="M3132">
        <v>622</v>
      </c>
      <c r="N3132">
        <v>1</v>
      </c>
      <c r="O3132">
        <v>4</v>
      </c>
      <c r="P3132">
        <v>582</v>
      </c>
      <c r="Q3132">
        <v>344</v>
      </c>
      <c r="R3132">
        <v>144</v>
      </c>
      <c r="S3132">
        <v>9190.0300000000007</v>
      </c>
    </row>
    <row r="3133" spans="12:19" x14ac:dyDescent="0.2">
      <c r="L3133" t="s">
        <v>374</v>
      </c>
      <c r="M3133">
        <v>625</v>
      </c>
      <c r="N3133">
        <v>1</v>
      </c>
      <c r="O3133">
        <v>4</v>
      </c>
      <c r="P3133">
        <v>582</v>
      </c>
      <c r="Q3133">
        <v>344</v>
      </c>
      <c r="R3133">
        <v>144</v>
      </c>
      <c r="S3133">
        <v>97715.04</v>
      </c>
    </row>
    <row r="3134" spans="12:19" x14ac:dyDescent="0.2">
      <c r="L3134" t="s">
        <v>374</v>
      </c>
      <c r="M3134">
        <v>690</v>
      </c>
      <c r="N3134">
        <v>1</v>
      </c>
      <c r="O3134">
        <v>4</v>
      </c>
      <c r="P3134">
        <v>582</v>
      </c>
      <c r="Q3134">
        <v>344</v>
      </c>
      <c r="R3134">
        <v>144</v>
      </c>
      <c r="S3134">
        <v>9858</v>
      </c>
    </row>
    <row r="3135" spans="12:19" x14ac:dyDescent="0.2">
      <c r="L3135" t="s">
        <v>374</v>
      </c>
      <c r="M3135">
        <v>700</v>
      </c>
      <c r="N3135">
        <v>1</v>
      </c>
      <c r="O3135">
        <v>4</v>
      </c>
      <c r="P3135">
        <v>582</v>
      </c>
      <c r="Q3135">
        <v>344</v>
      </c>
      <c r="R3135">
        <v>144</v>
      </c>
      <c r="S3135">
        <v>24168.87</v>
      </c>
    </row>
    <row r="3136" spans="12:19" x14ac:dyDescent="0.2">
      <c r="L3136" t="s">
        <v>374</v>
      </c>
      <c r="M3136">
        <v>704</v>
      </c>
      <c r="N3136">
        <v>1</v>
      </c>
      <c r="O3136">
        <v>4</v>
      </c>
      <c r="P3136">
        <v>582</v>
      </c>
      <c r="Q3136">
        <v>344</v>
      </c>
      <c r="R3136">
        <v>144</v>
      </c>
      <c r="S3136">
        <v>277.73</v>
      </c>
    </row>
    <row r="3137" spans="12:19" x14ac:dyDescent="0.2">
      <c r="L3137" t="s">
        <v>374</v>
      </c>
      <c r="M3137">
        <v>728</v>
      </c>
      <c r="N3137">
        <v>1</v>
      </c>
      <c r="O3137">
        <v>4</v>
      </c>
      <c r="P3137">
        <v>582</v>
      </c>
      <c r="Q3137">
        <v>344</v>
      </c>
      <c r="R3137">
        <v>144</v>
      </c>
      <c r="S3137">
        <v>58740.67</v>
      </c>
    </row>
    <row r="3138" spans="12:19" x14ac:dyDescent="0.2">
      <c r="L3138" t="s">
        <v>374</v>
      </c>
      <c r="M3138">
        <v>742</v>
      </c>
      <c r="N3138">
        <v>1</v>
      </c>
      <c r="O3138">
        <v>4</v>
      </c>
      <c r="P3138">
        <v>582</v>
      </c>
      <c r="Q3138">
        <v>344</v>
      </c>
      <c r="R3138">
        <v>144</v>
      </c>
      <c r="S3138">
        <v>2909.8</v>
      </c>
    </row>
    <row r="3139" spans="12:19" x14ac:dyDescent="0.2">
      <c r="L3139" t="s">
        <v>374</v>
      </c>
      <c r="M3139">
        <v>748</v>
      </c>
      <c r="N3139">
        <v>1</v>
      </c>
      <c r="O3139">
        <v>4</v>
      </c>
      <c r="P3139">
        <v>582</v>
      </c>
      <c r="Q3139">
        <v>344</v>
      </c>
      <c r="R3139">
        <v>144</v>
      </c>
      <c r="S3139">
        <v>37397.19</v>
      </c>
    </row>
    <row r="3140" spans="12:19" x14ac:dyDescent="0.2">
      <c r="L3140" t="s">
        <v>374</v>
      </c>
      <c r="M3140">
        <v>833</v>
      </c>
      <c r="N3140">
        <v>1</v>
      </c>
      <c r="O3140">
        <v>4</v>
      </c>
      <c r="P3140">
        <v>582</v>
      </c>
      <c r="Q3140">
        <v>344</v>
      </c>
      <c r="R3140">
        <v>144</v>
      </c>
      <c r="S3140">
        <v>25293.43</v>
      </c>
    </row>
    <row r="3141" spans="12:19" x14ac:dyDescent="0.2">
      <c r="L3141" t="s">
        <v>374</v>
      </c>
      <c r="M3141">
        <v>2165</v>
      </c>
      <c r="N3141">
        <v>1</v>
      </c>
      <c r="O3141">
        <v>4</v>
      </c>
      <c r="P3141">
        <v>582</v>
      </c>
      <c r="Q3141">
        <v>344</v>
      </c>
      <c r="R3141">
        <v>144</v>
      </c>
      <c r="S3141">
        <v>68.900000000000006</v>
      </c>
    </row>
    <row r="3142" spans="12:19" x14ac:dyDescent="0.2">
      <c r="L3142" t="s">
        <v>374</v>
      </c>
      <c r="M3142">
        <v>831</v>
      </c>
      <c r="N3142">
        <v>1</v>
      </c>
      <c r="O3142">
        <v>4</v>
      </c>
      <c r="P3142">
        <v>582</v>
      </c>
      <c r="Q3142">
        <v>321</v>
      </c>
      <c r="R3142">
        <v>144</v>
      </c>
      <c r="S3142">
        <v>67862.710000000006</v>
      </c>
    </row>
    <row r="3143" spans="12:19" x14ac:dyDescent="0.2">
      <c r="L3143" t="s">
        <v>374</v>
      </c>
      <c r="M3143">
        <v>625</v>
      </c>
      <c r="N3143">
        <v>1</v>
      </c>
      <c r="O3143">
        <v>4</v>
      </c>
      <c r="P3143">
        <v>582</v>
      </c>
      <c r="Q3143">
        <v>0</v>
      </c>
      <c r="R3143">
        <v>144</v>
      </c>
      <c r="S3143">
        <v>19070.29</v>
      </c>
    </row>
    <row r="3144" spans="12:19" x14ac:dyDescent="0.2">
      <c r="L3144" t="s">
        <v>374</v>
      </c>
      <c r="M3144">
        <v>1</v>
      </c>
      <c r="N3144">
        <v>3</v>
      </c>
      <c r="O3144">
        <v>4</v>
      </c>
      <c r="P3144">
        <v>582</v>
      </c>
      <c r="Q3144">
        <v>599</v>
      </c>
      <c r="R3144">
        <v>143</v>
      </c>
      <c r="S3144">
        <v>114.75</v>
      </c>
    </row>
    <row r="3145" spans="12:19" x14ac:dyDescent="0.2">
      <c r="L3145" t="s">
        <v>374</v>
      </c>
      <c r="M3145">
        <v>625</v>
      </c>
      <c r="N3145">
        <v>1</v>
      </c>
      <c r="O3145">
        <v>4</v>
      </c>
      <c r="P3145">
        <v>582</v>
      </c>
      <c r="Q3145">
        <v>599</v>
      </c>
      <c r="R3145">
        <v>143</v>
      </c>
      <c r="S3145">
        <v>188178.18</v>
      </c>
    </row>
    <row r="3146" spans="12:19" x14ac:dyDescent="0.2">
      <c r="L3146" t="s">
        <v>374</v>
      </c>
      <c r="M3146">
        <v>1</v>
      </c>
      <c r="N3146">
        <v>3</v>
      </c>
      <c r="O3146">
        <v>4</v>
      </c>
      <c r="P3146">
        <v>582</v>
      </c>
      <c r="Q3146">
        <v>344</v>
      </c>
      <c r="R3146">
        <v>143</v>
      </c>
      <c r="S3146">
        <v>58444.33</v>
      </c>
    </row>
    <row r="3147" spans="12:19" x14ac:dyDescent="0.2">
      <c r="L3147" t="s">
        <v>374</v>
      </c>
      <c r="M3147">
        <v>200</v>
      </c>
      <c r="N3147">
        <v>1</v>
      </c>
      <c r="O3147">
        <v>4</v>
      </c>
      <c r="P3147">
        <v>582</v>
      </c>
      <c r="Q3147">
        <v>344</v>
      </c>
      <c r="R3147">
        <v>143</v>
      </c>
      <c r="S3147">
        <v>8713.06</v>
      </c>
    </row>
    <row r="3148" spans="12:19" x14ac:dyDescent="0.2">
      <c r="L3148" t="s">
        <v>374</v>
      </c>
      <c r="M3148">
        <v>270</v>
      </c>
      <c r="N3148">
        <v>1</v>
      </c>
      <c r="O3148">
        <v>4</v>
      </c>
      <c r="P3148">
        <v>582</v>
      </c>
      <c r="Q3148">
        <v>344</v>
      </c>
      <c r="R3148">
        <v>143</v>
      </c>
      <c r="S3148">
        <v>92.75</v>
      </c>
    </row>
    <row r="3149" spans="12:19" x14ac:dyDescent="0.2">
      <c r="L3149" t="s">
        <v>374</v>
      </c>
      <c r="M3149">
        <v>272</v>
      </c>
      <c r="N3149">
        <v>1</v>
      </c>
      <c r="O3149">
        <v>4</v>
      </c>
      <c r="P3149">
        <v>582</v>
      </c>
      <c r="Q3149">
        <v>344</v>
      </c>
      <c r="R3149">
        <v>143</v>
      </c>
      <c r="S3149">
        <v>1243.07</v>
      </c>
    </row>
    <row r="3150" spans="12:19" x14ac:dyDescent="0.2">
      <c r="L3150" t="s">
        <v>374</v>
      </c>
      <c r="M3150">
        <v>482</v>
      </c>
      <c r="N3150">
        <v>1</v>
      </c>
      <c r="O3150">
        <v>4</v>
      </c>
      <c r="P3150">
        <v>582</v>
      </c>
      <c r="Q3150">
        <v>344</v>
      </c>
      <c r="R3150">
        <v>143</v>
      </c>
      <c r="S3150">
        <v>23773.06</v>
      </c>
    </row>
    <row r="3151" spans="12:19" x14ac:dyDescent="0.2">
      <c r="L3151" t="s">
        <v>374</v>
      </c>
      <c r="M3151">
        <v>531</v>
      </c>
      <c r="N3151">
        <v>1</v>
      </c>
      <c r="O3151">
        <v>4</v>
      </c>
      <c r="P3151">
        <v>582</v>
      </c>
      <c r="Q3151">
        <v>344</v>
      </c>
      <c r="R3151">
        <v>143</v>
      </c>
      <c r="S3151">
        <v>86527.9</v>
      </c>
    </row>
    <row r="3152" spans="12:19" x14ac:dyDescent="0.2">
      <c r="L3152" t="s">
        <v>374</v>
      </c>
      <c r="M3152">
        <v>625</v>
      </c>
      <c r="N3152">
        <v>1</v>
      </c>
      <c r="O3152">
        <v>4</v>
      </c>
      <c r="P3152">
        <v>582</v>
      </c>
      <c r="Q3152">
        <v>344</v>
      </c>
      <c r="R3152">
        <v>143</v>
      </c>
      <c r="S3152">
        <v>27290.77</v>
      </c>
    </row>
    <row r="3153" spans="12:19" x14ac:dyDescent="0.2">
      <c r="L3153" t="s">
        <v>374</v>
      </c>
      <c r="M3153">
        <v>709</v>
      </c>
      <c r="N3153">
        <v>1</v>
      </c>
      <c r="O3153">
        <v>4</v>
      </c>
      <c r="P3153">
        <v>582</v>
      </c>
      <c r="Q3153">
        <v>344</v>
      </c>
      <c r="R3153">
        <v>143</v>
      </c>
      <c r="S3153">
        <v>4366.24</v>
      </c>
    </row>
    <row r="3154" spans="12:19" x14ac:dyDescent="0.2">
      <c r="L3154" t="s">
        <v>374</v>
      </c>
      <c r="M3154">
        <v>748</v>
      </c>
      <c r="N3154">
        <v>1</v>
      </c>
      <c r="O3154">
        <v>4</v>
      </c>
      <c r="P3154">
        <v>582</v>
      </c>
      <c r="Q3154">
        <v>344</v>
      </c>
      <c r="R3154">
        <v>143</v>
      </c>
      <c r="S3154">
        <v>95201.18</v>
      </c>
    </row>
    <row r="3155" spans="12:19" x14ac:dyDescent="0.2">
      <c r="L3155" t="s">
        <v>374</v>
      </c>
      <c r="M3155">
        <v>625</v>
      </c>
      <c r="N3155">
        <v>1</v>
      </c>
      <c r="O3155">
        <v>4</v>
      </c>
      <c r="P3155">
        <v>582</v>
      </c>
      <c r="Q3155">
        <v>0</v>
      </c>
      <c r="R3155">
        <v>143</v>
      </c>
      <c r="S3155">
        <v>229955.54</v>
      </c>
    </row>
    <row r="3156" spans="12:19" x14ac:dyDescent="0.2">
      <c r="L3156" t="s">
        <v>374</v>
      </c>
      <c r="M3156">
        <v>1</v>
      </c>
      <c r="N3156">
        <v>3</v>
      </c>
      <c r="O3156">
        <v>4</v>
      </c>
      <c r="P3156">
        <v>582</v>
      </c>
      <c r="Q3156">
        <v>599</v>
      </c>
      <c r="R3156">
        <v>141</v>
      </c>
      <c r="S3156">
        <v>6985.96</v>
      </c>
    </row>
    <row r="3157" spans="12:19" x14ac:dyDescent="0.2">
      <c r="L3157" t="s">
        <v>374</v>
      </c>
      <c r="M3157">
        <v>625</v>
      </c>
      <c r="N3157">
        <v>1</v>
      </c>
      <c r="O3157">
        <v>4</v>
      </c>
      <c r="P3157">
        <v>582</v>
      </c>
      <c r="Q3157">
        <v>599</v>
      </c>
      <c r="R3157">
        <v>141</v>
      </c>
      <c r="S3157">
        <v>186343.34</v>
      </c>
    </row>
    <row r="3158" spans="12:19" x14ac:dyDescent="0.2">
      <c r="L3158" t="s">
        <v>374</v>
      </c>
      <c r="M3158">
        <v>463</v>
      </c>
      <c r="N3158">
        <v>1</v>
      </c>
      <c r="O3158">
        <v>4</v>
      </c>
      <c r="P3158">
        <v>581</v>
      </c>
      <c r="Q3158">
        <v>344</v>
      </c>
      <c r="R3158">
        <v>141</v>
      </c>
      <c r="S3158">
        <v>7686.25</v>
      </c>
    </row>
    <row r="3159" spans="12:19" x14ac:dyDescent="0.2">
      <c r="L3159" t="s">
        <v>374</v>
      </c>
      <c r="M3159">
        <v>1</v>
      </c>
      <c r="N3159">
        <v>3</v>
      </c>
      <c r="O3159">
        <v>4</v>
      </c>
      <c r="P3159">
        <v>582</v>
      </c>
      <c r="Q3159">
        <v>344</v>
      </c>
      <c r="R3159">
        <v>141</v>
      </c>
      <c r="S3159">
        <v>115638.68</v>
      </c>
    </row>
    <row r="3160" spans="12:19" x14ac:dyDescent="0.2">
      <c r="L3160" t="s">
        <v>374</v>
      </c>
      <c r="M3160">
        <v>2</v>
      </c>
      <c r="N3160">
        <v>1</v>
      </c>
      <c r="O3160">
        <v>4</v>
      </c>
      <c r="P3160">
        <v>582</v>
      </c>
      <c r="Q3160">
        <v>344</v>
      </c>
      <c r="R3160">
        <v>141</v>
      </c>
      <c r="S3160">
        <v>925.92</v>
      </c>
    </row>
    <row r="3161" spans="12:19" x14ac:dyDescent="0.2">
      <c r="L3161" t="s">
        <v>374</v>
      </c>
      <c r="M3161">
        <v>4</v>
      </c>
      <c r="N3161">
        <v>1</v>
      </c>
      <c r="O3161">
        <v>4</v>
      </c>
      <c r="P3161">
        <v>582</v>
      </c>
      <c r="Q3161">
        <v>344</v>
      </c>
      <c r="R3161">
        <v>141</v>
      </c>
      <c r="S3161">
        <v>4628.25</v>
      </c>
    </row>
    <row r="3162" spans="12:19" x14ac:dyDescent="0.2">
      <c r="L3162" t="s">
        <v>374</v>
      </c>
      <c r="M3162">
        <v>6</v>
      </c>
      <c r="N3162">
        <v>3</v>
      </c>
      <c r="O3162">
        <v>4</v>
      </c>
      <c r="P3162">
        <v>582</v>
      </c>
      <c r="Q3162">
        <v>344</v>
      </c>
      <c r="R3162">
        <v>141</v>
      </c>
      <c r="S3162">
        <v>11019.27</v>
      </c>
    </row>
    <row r="3163" spans="12:19" x14ac:dyDescent="0.2">
      <c r="L3163" t="s">
        <v>374</v>
      </c>
      <c r="M3163">
        <v>11</v>
      </c>
      <c r="N3163">
        <v>1</v>
      </c>
      <c r="O3163">
        <v>4</v>
      </c>
      <c r="P3163">
        <v>582</v>
      </c>
      <c r="Q3163">
        <v>344</v>
      </c>
      <c r="R3163">
        <v>141</v>
      </c>
      <c r="S3163">
        <v>232104.56</v>
      </c>
    </row>
    <row r="3164" spans="12:19" x14ac:dyDescent="0.2">
      <c r="L3164" t="s">
        <v>374</v>
      </c>
      <c r="M3164">
        <v>12</v>
      </c>
      <c r="N3164">
        <v>1</v>
      </c>
      <c r="O3164">
        <v>4</v>
      </c>
      <c r="P3164">
        <v>582</v>
      </c>
      <c r="Q3164">
        <v>344</v>
      </c>
      <c r="R3164">
        <v>141</v>
      </c>
      <c r="S3164">
        <v>2990.96</v>
      </c>
    </row>
    <row r="3165" spans="12:19" x14ac:dyDescent="0.2">
      <c r="L3165" t="s">
        <v>374</v>
      </c>
      <c r="M3165">
        <v>13</v>
      </c>
      <c r="N3165">
        <v>1</v>
      </c>
      <c r="O3165">
        <v>4</v>
      </c>
      <c r="P3165">
        <v>582</v>
      </c>
      <c r="Q3165">
        <v>344</v>
      </c>
      <c r="R3165">
        <v>141</v>
      </c>
      <c r="S3165">
        <v>12435.32</v>
      </c>
    </row>
    <row r="3166" spans="12:19" x14ac:dyDescent="0.2">
      <c r="L3166" t="s">
        <v>374</v>
      </c>
      <c r="M3166">
        <v>14</v>
      </c>
      <c r="N3166">
        <v>1</v>
      </c>
      <c r="O3166">
        <v>4</v>
      </c>
      <c r="P3166">
        <v>582</v>
      </c>
      <c r="Q3166">
        <v>344</v>
      </c>
      <c r="R3166">
        <v>141</v>
      </c>
      <c r="S3166">
        <v>7713.51</v>
      </c>
    </row>
    <row r="3167" spans="12:19" x14ac:dyDescent="0.2">
      <c r="L3167" t="s">
        <v>374</v>
      </c>
      <c r="M3167">
        <v>16</v>
      </c>
      <c r="N3167">
        <v>1</v>
      </c>
      <c r="O3167">
        <v>4</v>
      </c>
      <c r="P3167">
        <v>582</v>
      </c>
      <c r="Q3167">
        <v>344</v>
      </c>
      <c r="R3167">
        <v>141</v>
      </c>
      <c r="S3167">
        <v>18176.29</v>
      </c>
    </row>
    <row r="3168" spans="12:19" x14ac:dyDescent="0.2">
      <c r="L3168" t="s">
        <v>374</v>
      </c>
      <c r="M3168">
        <v>22</v>
      </c>
      <c r="N3168">
        <v>1</v>
      </c>
      <c r="O3168">
        <v>4</v>
      </c>
      <c r="P3168">
        <v>582</v>
      </c>
      <c r="Q3168">
        <v>344</v>
      </c>
      <c r="R3168">
        <v>141</v>
      </c>
      <c r="S3168">
        <v>11955.45</v>
      </c>
    </row>
    <row r="3169" spans="12:19" x14ac:dyDescent="0.2">
      <c r="L3169" t="s">
        <v>374</v>
      </c>
      <c r="M3169">
        <v>38</v>
      </c>
      <c r="N3169">
        <v>1</v>
      </c>
      <c r="O3169">
        <v>4</v>
      </c>
      <c r="P3169">
        <v>582</v>
      </c>
      <c r="Q3169">
        <v>344</v>
      </c>
      <c r="R3169">
        <v>141</v>
      </c>
      <c r="S3169">
        <v>8990.99</v>
      </c>
    </row>
    <row r="3170" spans="12:19" x14ac:dyDescent="0.2">
      <c r="L3170" t="s">
        <v>374</v>
      </c>
      <c r="M3170">
        <v>75</v>
      </c>
      <c r="N3170">
        <v>1</v>
      </c>
      <c r="O3170">
        <v>4</v>
      </c>
      <c r="P3170">
        <v>582</v>
      </c>
      <c r="Q3170">
        <v>344</v>
      </c>
      <c r="R3170">
        <v>141</v>
      </c>
      <c r="S3170">
        <v>653.97</v>
      </c>
    </row>
    <row r="3171" spans="12:19" x14ac:dyDescent="0.2">
      <c r="L3171" t="s">
        <v>374</v>
      </c>
      <c r="M3171">
        <v>77</v>
      </c>
      <c r="N3171">
        <v>1</v>
      </c>
      <c r="O3171">
        <v>4</v>
      </c>
      <c r="P3171">
        <v>582</v>
      </c>
      <c r="Q3171">
        <v>344</v>
      </c>
      <c r="R3171">
        <v>141</v>
      </c>
      <c r="S3171">
        <v>45559.09</v>
      </c>
    </row>
    <row r="3172" spans="12:19" x14ac:dyDescent="0.2">
      <c r="L3172" t="s">
        <v>374</v>
      </c>
      <c r="M3172">
        <v>84</v>
      </c>
      <c r="N3172">
        <v>1</v>
      </c>
      <c r="O3172">
        <v>4</v>
      </c>
      <c r="P3172">
        <v>582</v>
      </c>
      <c r="Q3172">
        <v>344</v>
      </c>
      <c r="R3172">
        <v>141</v>
      </c>
      <c r="S3172">
        <v>8778.5</v>
      </c>
    </row>
    <row r="3173" spans="12:19" x14ac:dyDescent="0.2">
      <c r="L3173" t="s">
        <v>374</v>
      </c>
      <c r="M3173">
        <v>88</v>
      </c>
      <c r="N3173">
        <v>1</v>
      </c>
      <c r="O3173">
        <v>4</v>
      </c>
      <c r="P3173">
        <v>582</v>
      </c>
      <c r="Q3173">
        <v>344</v>
      </c>
      <c r="R3173">
        <v>141</v>
      </c>
      <c r="S3173">
        <v>13404.24</v>
      </c>
    </row>
    <row r="3174" spans="12:19" x14ac:dyDescent="0.2">
      <c r="L3174" t="s">
        <v>374</v>
      </c>
      <c r="M3174">
        <v>91</v>
      </c>
      <c r="N3174">
        <v>1</v>
      </c>
      <c r="O3174">
        <v>4</v>
      </c>
      <c r="P3174">
        <v>582</v>
      </c>
      <c r="Q3174">
        <v>344</v>
      </c>
      <c r="R3174">
        <v>141</v>
      </c>
      <c r="S3174">
        <v>7228.13</v>
      </c>
    </row>
    <row r="3175" spans="12:19" x14ac:dyDescent="0.2">
      <c r="L3175" t="s">
        <v>374</v>
      </c>
      <c r="M3175">
        <v>93</v>
      </c>
      <c r="N3175">
        <v>1</v>
      </c>
      <c r="O3175">
        <v>4</v>
      </c>
      <c r="P3175">
        <v>582</v>
      </c>
      <c r="Q3175">
        <v>344</v>
      </c>
      <c r="R3175">
        <v>141</v>
      </c>
      <c r="S3175">
        <v>7320.77</v>
      </c>
    </row>
    <row r="3176" spans="12:19" x14ac:dyDescent="0.2">
      <c r="L3176" t="s">
        <v>374</v>
      </c>
      <c r="M3176">
        <v>94</v>
      </c>
      <c r="N3176">
        <v>1</v>
      </c>
      <c r="O3176">
        <v>4</v>
      </c>
      <c r="P3176">
        <v>582</v>
      </c>
      <c r="Q3176">
        <v>344</v>
      </c>
      <c r="R3176">
        <v>141</v>
      </c>
      <c r="S3176">
        <v>26151.98</v>
      </c>
    </row>
    <row r="3177" spans="12:19" x14ac:dyDescent="0.2">
      <c r="L3177" t="s">
        <v>374</v>
      </c>
      <c r="M3177">
        <v>97</v>
      </c>
      <c r="N3177">
        <v>1</v>
      </c>
      <c r="O3177">
        <v>4</v>
      </c>
      <c r="P3177">
        <v>582</v>
      </c>
      <c r="Q3177">
        <v>344</v>
      </c>
      <c r="R3177">
        <v>141</v>
      </c>
      <c r="S3177">
        <v>5093.76</v>
      </c>
    </row>
    <row r="3178" spans="12:19" x14ac:dyDescent="0.2">
      <c r="L3178" t="s">
        <v>374</v>
      </c>
      <c r="M3178">
        <v>99</v>
      </c>
      <c r="N3178">
        <v>1</v>
      </c>
      <c r="O3178">
        <v>4</v>
      </c>
      <c r="P3178">
        <v>582</v>
      </c>
      <c r="Q3178">
        <v>344</v>
      </c>
      <c r="R3178">
        <v>141</v>
      </c>
      <c r="S3178">
        <v>8725.19</v>
      </c>
    </row>
    <row r="3179" spans="12:19" x14ac:dyDescent="0.2">
      <c r="L3179" t="s">
        <v>374</v>
      </c>
      <c r="M3179">
        <v>100</v>
      </c>
      <c r="N3179">
        <v>1</v>
      </c>
      <c r="O3179">
        <v>4</v>
      </c>
      <c r="P3179">
        <v>582</v>
      </c>
      <c r="Q3179">
        <v>344</v>
      </c>
      <c r="R3179">
        <v>141</v>
      </c>
      <c r="S3179">
        <v>1219.08</v>
      </c>
    </row>
    <row r="3180" spans="12:19" x14ac:dyDescent="0.2">
      <c r="L3180" t="s">
        <v>374</v>
      </c>
      <c r="M3180">
        <v>110</v>
      </c>
      <c r="N3180">
        <v>1</v>
      </c>
      <c r="O3180">
        <v>4</v>
      </c>
      <c r="P3180">
        <v>582</v>
      </c>
      <c r="Q3180">
        <v>344</v>
      </c>
      <c r="R3180">
        <v>141</v>
      </c>
      <c r="S3180">
        <v>9209.57</v>
      </c>
    </row>
    <row r="3181" spans="12:19" x14ac:dyDescent="0.2">
      <c r="L3181" t="s">
        <v>374</v>
      </c>
      <c r="M3181">
        <v>112</v>
      </c>
      <c r="N3181">
        <v>1</v>
      </c>
      <c r="O3181">
        <v>4</v>
      </c>
      <c r="P3181">
        <v>582</v>
      </c>
      <c r="Q3181">
        <v>344</v>
      </c>
      <c r="R3181">
        <v>141</v>
      </c>
      <c r="S3181">
        <v>24459.16</v>
      </c>
    </row>
    <row r="3182" spans="12:19" x14ac:dyDescent="0.2">
      <c r="L3182" t="s">
        <v>374</v>
      </c>
      <c r="M3182">
        <v>113</v>
      </c>
      <c r="N3182">
        <v>1</v>
      </c>
      <c r="O3182">
        <v>4</v>
      </c>
      <c r="P3182">
        <v>582</v>
      </c>
      <c r="Q3182">
        <v>344</v>
      </c>
      <c r="R3182">
        <v>141</v>
      </c>
      <c r="S3182">
        <v>35.630000000000003</v>
      </c>
    </row>
    <row r="3183" spans="12:19" x14ac:dyDescent="0.2">
      <c r="L3183" t="s">
        <v>374</v>
      </c>
      <c r="M3183">
        <v>138</v>
      </c>
      <c r="N3183">
        <v>1</v>
      </c>
      <c r="O3183">
        <v>4</v>
      </c>
      <c r="P3183">
        <v>582</v>
      </c>
      <c r="Q3183">
        <v>344</v>
      </c>
      <c r="R3183">
        <v>141</v>
      </c>
      <c r="S3183">
        <v>6611.1</v>
      </c>
    </row>
    <row r="3184" spans="12:19" x14ac:dyDescent="0.2">
      <c r="L3184" t="s">
        <v>374</v>
      </c>
      <c r="M3184">
        <v>139</v>
      </c>
      <c r="N3184">
        <v>1</v>
      </c>
      <c r="O3184">
        <v>4</v>
      </c>
      <c r="P3184">
        <v>582</v>
      </c>
      <c r="Q3184">
        <v>344</v>
      </c>
      <c r="R3184">
        <v>141</v>
      </c>
      <c r="S3184">
        <v>17425.39</v>
      </c>
    </row>
    <row r="3185" spans="12:19" x14ac:dyDescent="0.2">
      <c r="L3185" t="s">
        <v>374</v>
      </c>
      <c r="M3185">
        <v>146</v>
      </c>
      <c r="N3185">
        <v>1</v>
      </c>
      <c r="O3185">
        <v>4</v>
      </c>
      <c r="P3185">
        <v>582</v>
      </c>
      <c r="Q3185">
        <v>344</v>
      </c>
      <c r="R3185">
        <v>141</v>
      </c>
      <c r="S3185">
        <v>13915.12</v>
      </c>
    </row>
    <row r="3186" spans="12:19" x14ac:dyDescent="0.2">
      <c r="L3186" t="s">
        <v>374</v>
      </c>
      <c r="M3186">
        <v>152</v>
      </c>
      <c r="N3186">
        <v>1</v>
      </c>
      <c r="O3186">
        <v>4</v>
      </c>
      <c r="P3186">
        <v>582</v>
      </c>
      <c r="Q3186">
        <v>344</v>
      </c>
      <c r="R3186">
        <v>141</v>
      </c>
      <c r="S3186">
        <v>5026.99</v>
      </c>
    </row>
    <row r="3187" spans="12:19" x14ac:dyDescent="0.2">
      <c r="L3187" t="s">
        <v>374</v>
      </c>
      <c r="M3187">
        <v>162</v>
      </c>
      <c r="N3187">
        <v>1</v>
      </c>
      <c r="O3187">
        <v>4</v>
      </c>
      <c r="P3187">
        <v>582</v>
      </c>
      <c r="Q3187">
        <v>344</v>
      </c>
      <c r="R3187">
        <v>141</v>
      </c>
      <c r="S3187">
        <v>10097.030000000001</v>
      </c>
    </row>
    <row r="3188" spans="12:19" x14ac:dyDescent="0.2">
      <c r="L3188" t="s">
        <v>374</v>
      </c>
      <c r="M3188">
        <v>166</v>
      </c>
      <c r="N3188">
        <v>1</v>
      </c>
      <c r="O3188">
        <v>4</v>
      </c>
      <c r="P3188">
        <v>582</v>
      </c>
      <c r="Q3188">
        <v>344</v>
      </c>
      <c r="R3188">
        <v>141</v>
      </c>
      <c r="S3188">
        <v>3572.61</v>
      </c>
    </row>
    <row r="3189" spans="12:19" x14ac:dyDescent="0.2">
      <c r="L3189" t="s">
        <v>374</v>
      </c>
      <c r="M3189">
        <v>177</v>
      </c>
      <c r="N3189">
        <v>1</v>
      </c>
      <c r="O3189">
        <v>4</v>
      </c>
      <c r="P3189">
        <v>582</v>
      </c>
      <c r="Q3189">
        <v>344</v>
      </c>
      <c r="R3189">
        <v>141</v>
      </c>
      <c r="S3189">
        <v>63.86</v>
      </c>
    </row>
    <row r="3190" spans="12:19" x14ac:dyDescent="0.2">
      <c r="L3190" t="s">
        <v>374</v>
      </c>
      <c r="M3190">
        <v>181</v>
      </c>
      <c r="N3190">
        <v>1</v>
      </c>
      <c r="O3190">
        <v>4</v>
      </c>
      <c r="P3190">
        <v>582</v>
      </c>
      <c r="Q3190">
        <v>344</v>
      </c>
      <c r="R3190">
        <v>141</v>
      </c>
      <c r="S3190">
        <v>43913.77</v>
      </c>
    </row>
    <row r="3191" spans="12:19" x14ac:dyDescent="0.2">
      <c r="L3191" t="s">
        <v>374</v>
      </c>
      <c r="M3191">
        <v>186</v>
      </c>
      <c r="N3191">
        <v>1</v>
      </c>
      <c r="O3191">
        <v>4</v>
      </c>
      <c r="P3191">
        <v>582</v>
      </c>
      <c r="Q3191">
        <v>344</v>
      </c>
      <c r="R3191">
        <v>141</v>
      </c>
      <c r="S3191">
        <v>10208.35</v>
      </c>
    </row>
    <row r="3192" spans="12:19" x14ac:dyDescent="0.2">
      <c r="L3192" t="s">
        <v>374</v>
      </c>
      <c r="M3192">
        <v>191</v>
      </c>
      <c r="N3192">
        <v>1</v>
      </c>
      <c r="O3192">
        <v>4</v>
      </c>
      <c r="P3192">
        <v>582</v>
      </c>
      <c r="Q3192">
        <v>344</v>
      </c>
      <c r="R3192">
        <v>141</v>
      </c>
      <c r="S3192">
        <v>8044.01</v>
      </c>
    </row>
    <row r="3193" spans="12:19" x14ac:dyDescent="0.2">
      <c r="L3193" t="s">
        <v>374</v>
      </c>
      <c r="M3193">
        <v>194</v>
      </c>
      <c r="N3193">
        <v>1</v>
      </c>
      <c r="O3193">
        <v>4</v>
      </c>
      <c r="P3193">
        <v>582</v>
      </c>
      <c r="Q3193">
        <v>344</v>
      </c>
      <c r="R3193">
        <v>141</v>
      </c>
      <c r="S3193">
        <v>2281.5100000000002</v>
      </c>
    </row>
    <row r="3194" spans="12:19" x14ac:dyDescent="0.2">
      <c r="L3194" t="s">
        <v>374</v>
      </c>
      <c r="M3194">
        <v>196</v>
      </c>
      <c r="N3194">
        <v>1</v>
      </c>
      <c r="O3194">
        <v>4</v>
      </c>
      <c r="P3194">
        <v>582</v>
      </c>
      <c r="Q3194">
        <v>344</v>
      </c>
      <c r="R3194">
        <v>141</v>
      </c>
      <c r="S3194">
        <v>71597.27</v>
      </c>
    </row>
    <row r="3195" spans="12:19" x14ac:dyDescent="0.2">
      <c r="L3195" t="s">
        <v>374</v>
      </c>
      <c r="M3195">
        <v>197</v>
      </c>
      <c r="N3195">
        <v>1</v>
      </c>
      <c r="O3195">
        <v>4</v>
      </c>
      <c r="P3195">
        <v>582</v>
      </c>
      <c r="Q3195">
        <v>344</v>
      </c>
      <c r="R3195">
        <v>141</v>
      </c>
      <c r="S3195">
        <v>2435.29</v>
      </c>
    </row>
    <row r="3196" spans="12:19" x14ac:dyDescent="0.2">
      <c r="L3196" t="s">
        <v>374</v>
      </c>
      <c r="M3196">
        <v>200</v>
      </c>
      <c r="N3196">
        <v>1</v>
      </c>
      <c r="O3196">
        <v>4</v>
      </c>
      <c r="P3196">
        <v>582</v>
      </c>
      <c r="Q3196">
        <v>344</v>
      </c>
      <c r="R3196">
        <v>141</v>
      </c>
      <c r="S3196">
        <v>11190.42</v>
      </c>
    </row>
    <row r="3197" spans="12:19" x14ac:dyDescent="0.2">
      <c r="L3197" t="s">
        <v>374</v>
      </c>
      <c r="M3197">
        <v>204</v>
      </c>
      <c r="N3197">
        <v>1</v>
      </c>
      <c r="O3197">
        <v>4</v>
      </c>
      <c r="P3197">
        <v>582</v>
      </c>
      <c r="Q3197">
        <v>344</v>
      </c>
      <c r="R3197">
        <v>141</v>
      </c>
      <c r="S3197">
        <v>5958.53</v>
      </c>
    </row>
    <row r="3198" spans="12:19" x14ac:dyDescent="0.2">
      <c r="L3198" t="s">
        <v>374</v>
      </c>
      <c r="M3198">
        <v>206</v>
      </c>
      <c r="N3198">
        <v>1</v>
      </c>
      <c r="O3198">
        <v>4</v>
      </c>
      <c r="P3198">
        <v>582</v>
      </c>
      <c r="Q3198">
        <v>344</v>
      </c>
      <c r="R3198">
        <v>141</v>
      </c>
      <c r="S3198">
        <v>17326.66</v>
      </c>
    </row>
    <row r="3199" spans="12:19" x14ac:dyDescent="0.2">
      <c r="L3199" t="s">
        <v>374</v>
      </c>
      <c r="M3199">
        <v>213</v>
      </c>
      <c r="N3199">
        <v>1</v>
      </c>
      <c r="O3199">
        <v>4</v>
      </c>
      <c r="P3199">
        <v>582</v>
      </c>
      <c r="Q3199">
        <v>344</v>
      </c>
      <c r="R3199">
        <v>141</v>
      </c>
      <c r="S3199">
        <v>8395.3700000000008</v>
      </c>
    </row>
    <row r="3200" spans="12:19" x14ac:dyDescent="0.2">
      <c r="L3200" t="s">
        <v>374</v>
      </c>
      <c r="M3200">
        <v>227</v>
      </c>
      <c r="N3200">
        <v>1</v>
      </c>
      <c r="O3200">
        <v>4</v>
      </c>
      <c r="P3200">
        <v>582</v>
      </c>
      <c r="Q3200">
        <v>344</v>
      </c>
      <c r="R3200">
        <v>141</v>
      </c>
      <c r="S3200">
        <v>45243.21</v>
      </c>
    </row>
    <row r="3201" spans="12:19" x14ac:dyDescent="0.2">
      <c r="L3201" t="s">
        <v>374</v>
      </c>
      <c r="M3201">
        <v>229</v>
      </c>
      <c r="N3201">
        <v>1</v>
      </c>
      <c r="O3201">
        <v>4</v>
      </c>
      <c r="P3201">
        <v>582</v>
      </c>
      <c r="Q3201">
        <v>344</v>
      </c>
      <c r="R3201">
        <v>141</v>
      </c>
      <c r="S3201">
        <v>3325</v>
      </c>
    </row>
    <row r="3202" spans="12:19" x14ac:dyDescent="0.2">
      <c r="L3202" t="s">
        <v>374</v>
      </c>
      <c r="M3202">
        <v>239</v>
      </c>
      <c r="N3202">
        <v>1</v>
      </c>
      <c r="O3202">
        <v>4</v>
      </c>
      <c r="P3202">
        <v>582</v>
      </c>
      <c r="Q3202">
        <v>344</v>
      </c>
      <c r="R3202">
        <v>141</v>
      </c>
      <c r="S3202">
        <v>1000</v>
      </c>
    </row>
    <row r="3203" spans="12:19" x14ac:dyDescent="0.2">
      <c r="L3203" t="s">
        <v>374</v>
      </c>
      <c r="M3203">
        <v>252</v>
      </c>
      <c r="N3203">
        <v>1</v>
      </c>
      <c r="O3203">
        <v>4</v>
      </c>
      <c r="P3203">
        <v>582</v>
      </c>
      <c r="Q3203">
        <v>344</v>
      </c>
      <c r="R3203">
        <v>141</v>
      </c>
      <c r="S3203">
        <v>5012.41</v>
      </c>
    </row>
    <row r="3204" spans="12:19" x14ac:dyDescent="0.2">
      <c r="L3204" t="s">
        <v>374</v>
      </c>
      <c r="M3204">
        <v>255</v>
      </c>
      <c r="N3204">
        <v>1</v>
      </c>
      <c r="O3204">
        <v>4</v>
      </c>
      <c r="P3204">
        <v>582</v>
      </c>
      <c r="Q3204">
        <v>344</v>
      </c>
      <c r="R3204">
        <v>141</v>
      </c>
      <c r="S3204">
        <v>5767.98</v>
      </c>
    </row>
    <row r="3205" spans="12:19" x14ac:dyDescent="0.2">
      <c r="L3205" t="s">
        <v>374</v>
      </c>
      <c r="M3205">
        <v>256</v>
      </c>
      <c r="N3205">
        <v>1</v>
      </c>
      <c r="O3205">
        <v>4</v>
      </c>
      <c r="P3205">
        <v>582</v>
      </c>
      <c r="Q3205">
        <v>344</v>
      </c>
      <c r="R3205">
        <v>141</v>
      </c>
      <c r="S3205">
        <v>3526.32</v>
      </c>
    </row>
    <row r="3206" spans="12:19" x14ac:dyDescent="0.2">
      <c r="L3206" t="s">
        <v>374</v>
      </c>
      <c r="M3206">
        <v>270</v>
      </c>
      <c r="N3206">
        <v>1</v>
      </c>
      <c r="O3206">
        <v>4</v>
      </c>
      <c r="P3206">
        <v>582</v>
      </c>
      <c r="Q3206">
        <v>344</v>
      </c>
      <c r="R3206">
        <v>141</v>
      </c>
      <c r="S3206">
        <v>302.06</v>
      </c>
    </row>
    <row r="3207" spans="12:19" x14ac:dyDescent="0.2">
      <c r="L3207" t="s">
        <v>374</v>
      </c>
      <c r="M3207">
        <v>271</v>
      </c>
      <c r="N3207">
        <v>1</v>
      </c>
      <c r="O3207">
        <v>4</v>
      </c>
      <c r="P3207">
        <v>582</v>
      </c>
      <c r="Q3207">
        <v>344</v>
      </c>
      <c r="R3207">
        <v>141</v>
      </c>
      <c r="S3207">
        <v>141934.29</v>
      </c>
    </row>
    <row r="3208" spans="12:19" x14ac:dyDescent="0.2">
      <c r="L3208" t="s">
        <v>374</v>
      </c>
      <c r="M3208">
        <v>277</v>
      </c>
      <c r="N3208">
        <v>1</v>
      </c>
      <c r="O3208">
        <v>4</v>
      </c>
      <c r="P3208">
        <v>582</v>
      </c>
      <c r="Q3208">
        <v>344</v>
      </c>
      <c r="R3208">
        <v>141</v>
      </c>
      <c r="S3208">
        <v>56859.67</v>
      </c>
    </row>
    <row r="3209" spans="12:19" x14ac:dyDescent="0.2">
      <c r="L3209" t="s">
        <v>374</v>
      </c>
      <c r="M3209">
        <v>278</v>
      </c>
      <c r="N3209">
        <v>1</v>
      </c>
      <c r="O3209">
        <v>4</v>
      </c>
      <c r="P3209">
        <v>582</v>
      </c>
      <c r="Q3209">
        <v>344</v>
      </c>
      <c r="R3209">
        <v>141</v>
      </c>
      <c r="S3209">
        <v>34065.58</v>
      </c>
    </row>
    <row r="3210" spans="12:19" x14ac:dyDescent="0.2">
      <c r="L3210" t="s">
        <v>374</v>
      </c>
      <c r="M3210">
        <v>279</v>
      </c>
      <c r="N3210">
        <v>1</v>
      </c>
      <c r="O3210">
        <v>4</v>
      </c>
      <c r="P3210">
        <v>582</v>
      </c>
      <c r="Q3210">
        <v>344</v>
      </c>
      <c r="R3210">
        <v>141</v>
      </c>
      <c r="S3210">
        <v>19422.59</v>
      </c>
    </row>
    <row r="3211" spans="12:19" x14ac:dyDescent="0.2">
      <c r="L3211" t="s">
        <v>374</v>
      </c>
      <c r="M3211">
        <v>283</v>
      </c>
      <c r="N3211">
        <v>1</v>
      </c>
      <c r="O3211">
        <v>4</v>
      </c>
      <c r="P3211">
        <v>582</v>
      </c>
      <c r="Q3211">
        <v>344</v>
      </c>
      <c r="R3211">
        <v>141</v>
      </c>
      <c r="S3211">
        <v>22606.959999999999</v>
      </c>
    </row>
    <row r="3212" spans="12:19" x14ac:dyDescent="0.2">
      <c r="L3212" t="s">
        <v>374</v>
      </c>
      <c r="M3212">
        <v>286</v>
      </c>
      <c r="N3212">
        <v>1</v>
      </c>
      <c r="O3212">
        <v>4</v>
      </c>
      <c r="P3212">
        <v>582</v>
      </c>
      <c r="Q3212">
        <v>344</v>
      </c>
      <c r="R3212">
        <v>141</v>
      </c>
      <c r="S3212">
        <v>18670.810000000001</v>
      </c>
    </row>
    <row r="3213" spans="12:19" x14ac:dyDescent="0.2">
      <c r="L3213" t="s">
        <v>374</v>
      </c>
      <c r="M3213">
        <v>299</v>
      </c>
      <c r="N3213">
        <v>1</v>
      </c>
      <c r="O3213">
        <v>4</v>
      </c>
      <c r="P3213">
        <v>582</v>
      </c>
      <c r="Q3213">
        <v>344</v>
      </c>
      <c r="R3213">
        <v>141</v>
      </c>
      <c r="S3213">
        <v>3895.08</v>
      </c>
    </row>
    <row r="3214" spans="12:19" x14ac:dyDescent="0.2">
      <c r="L3214" t="s">
        <v>374</v>
      </c>
      <c r="M3214">
        <v>300</v>
      </c>
      <c r="N3214">
        <v>1</v>
      </c>
      <c r="O3214">
        <v>4</v>
      </c>
      <c r="P3214">
        <v>582</v>
      </c>
      <c r="Q3214">
        <v>344</v>
      </c>
      <c r="R3214">
        <v>141</v>
      </c>
      <c r="S3214">
        <v>2952.02</v>
      </c>
    </row>
    <row r="3215" spans="12:19" x14ac:dyDescent="0.2">
      <c r="L3215" t="s">
        <v>374</v>
      </c>
      <c r="M3215">
        <v>306</v>
      </c>
      <c r="N3215">
        <v>1</v>
      </c>
      <c r="O3215">
        <v>4</v>
      </c>
      <c r="P3215">
        <v>582</v>
      </c>
      <c r="Q3215">
        <v>344</v>
      </c>
      <c r="R3215">
        <v>141</v>
      </c>
      <c r="S3215">
        <v>4422.91</v>
      </c>
    </row>
    <row r="3216" spans="12:19" x14ac:dyDescent="0.2">
      <c r="L3216" t="s">
        <v>374</v>
      </c>
      <c r="M3216">
        <v>309</v>
      </c>
      <c r="N3216">
        <v>1</v>
      </c>
      <c r="O3216">
        <v>4</v>
      </c>
      <c r="P3216">
        <v>582</v>
      </c>
      <c r="Q3216">
        <v>344</v>
      </c>
      <c r="R3216">
        <v>141</v>
      </c>
      <c r="S3216">
        <v>24093.17</v>
      </c>
    </row>
    <row r="3217" spans="12:19" x14ac:dyDescent="0.2">
      <c r="L3217" t="s">
        <v>374</v>
      </c>
      <c r="M3217">
        <v>314</v>
      </c>
      <c r="N3217">
        <v>1</v>
      </c>
      <c r="O3217">
        <v>4</v>
      </c>
      <c r="P3217">
        <v>582</v>
      </c>
      <c r="Q3217">
        <v>344</v>
      </c>
      <c r="R3217">
        <v>141</v>
      </c>
      <c r="S3217">
        <v>627.02</v>
      </c>
    </row>
    <row r="3218" spans="12:19" x14ac:dyDescent="0.2">
      <c r="L3218" t="s">
        <v>374</v>
      </c>
      <c r="M3218">
        <v>316</v>
      </c>
      <c r="N3218">
        <v>1</v>
      </c>
      <c r="O3218">
        <v>4</v>
      </c>
      <c r="P3218">
        <v>582</v>
      </c>
      <c r="Q3218">
        <v>344</v>
      </c>
      <c r="R3218">
        <v>141</v>
      </c>
      <c r="S3218">
        <v>2040</v>
      </c>
    </row>
    <row r="3219" spans="12:19" x14ac:dyDescent="0.2">
      <c r="L3219" t="s">
        <v>374</v>
      </c>
      <c r="M3219">
        <v>317</v>
      </c>
      <c r="N3219">
        <v>1</v>
      </c>
      <c r="O3219">
        <v>4</v>
      </c>
      <c r="P3219">
        <v>582</v>
      </c>
      <c r="Q3219">
        <v>344</v>
      </c>
      <c r="R3219">
        <v>141</v>
      </c>
      <c r="S3219">
        <v>37657.9</v>
      </c>
    </row>
    <row r="3220" spans="12:19" x14ac:dyDescent="0.2">
      <c r="L3220" t="s">
        <v>374</v>
      </c>
      <c r="M3220">
        <v>318</v>
      </c>
      <c r="N3220">
        <v>1</v>
      </c>
      <c r="O3220">
        <v>4</v>
      </c>
      <c r="P3220">
        <v>582</v>
      </c>
      <c r="Q3220">
        <v>344</v>
      </c>
      <c r="R3220">
        <v>141</v>
      </c>
      <c r="S3220">
        <v>8025.79</v>
      </c>
    </row>
    <row r="3221" spans="12:19" x14ac:dyDescent="0.2">
      <c r="L3221" t="s">
        <v>374</v>
      </c>
      <c r="M3221">
        <v>332</v>
      </c>
      <c r="N3221">
        <v>1</v>
      </c>
      <c r="O3221">
        <v>4</v>
      </c>
      <c r="P3221">
        <v>582</v>
      </c>
      <c r="Q3221">
        <v>344</v>
      </c>
      <c r="R3221">
        <v>141</v>
      </c>
      <c r="S3221">
        <v>3904.25</v>
      </c>
    </row>
    <row r="3222" spans="12:19" x14ac:dyDescent="0.2">
      <c r="L3222" t="s">
        <v>374</v>
      </c>
      <c r="M3222">
        <v>333</v>
      </c>
      <c r="N3222">
        <v>1</v>
      </c>
      <c r="O3222">
        <v>4</v>
      </c>
      <c r="P3222">
        <v>582</v>
      </c>
      <c r="Q3222">
        <v>344</v>
      </c>
      <c r="R3222">
        <v>141</v>
      </c>
      <c r="S3222">
        <v>6522.04</v>
      </c>
    </row>
    <row r="3223" spans="12:19" x14ac:dyDescent="0.2">
      <c r="L3223" t="s">
        <v>374</v>
      </c>
      <c r="M3223">
        <v>345</v>
      </c>
      <c r="N3223">
        <v>1</v>
      </c>
      <c r="O3223">
        <v>4</v>
      </c>
      <c r="P3223">
        <v>582</v>
      </c>
      <c r="Q3223">
        <v>344</v>
      </c>
      <c r="R3223">
        <v>141</v>
      </c>
      <c r="S3223">
        <v>3479.89</v>
      </c>
    </row>
    <row r="3224" spans="12:19" x14ac:dyDescent="0.2">
      <c r="L3224" t="s">
        <v>374</v>
      </c>
      <c r="M3224">
        <v>347</v>
      </c>
      <c r="N3224">
        <v>1</v>
      </c>
      <c r="O3224">
        <v>4</v>
      </c>
      <c r="P3224">
        <v>582</v>
      </c>
      <c r="Q3224">
        <v>344</v>
      </c>
      <c r="R3224">
        <v>141</v>
      </c>
      <c r="S3224">
        <v>15227.48</v>
      </c>
    </row>
    <row r="3225" spans="12:19" x14ac:dyDescent="0.2">
      <c r="L3225" t="s">
        <v>374</v>
      </c>
      <c r="M3225">
        <v>356</v>
      </c>
      <c r="N3225">
        <v>1</v>
      </c>
      <c r="O3225">
        <v>4</v>
      </c>
      <c r="P3225">
        <v>582</v>
      </c>
      <c r="Q3225">
        <v>344</v>
      </c>
      <c r="R3225">
        <v>141</v>
      </c>
      <c r="S3225">
        <v>1268.45</v>
      </c>
    </row>
    <row r="3226" spans="12:19" x14ac:dyDescent="0.2">
      <c r="L3226" t="s">
        <v>374</v>
      </c>
      <c r="M3226">
        <v>361</v>
      </c>
      <c r="N3226">
        <v>1</v>
      </c>
      <c r="O3226">
        <v>4</v>
      </c>
      <c r="P3226">
        <v>582</v>
      </c>
      <c r="Q3226">
        <v>344</v>
      </c>
      <c r="R3226">
        <v>141</v>
      </c>
      <c r="S3226">
        <v>10240.540000000001</v>
      </c>
    </row>
    <row r="3227" spans="12:19" x14ac:dyDescent="0.2">
      <c r="L3227" t="s">
        <v>374</v>
      </c>
      <c r="M3227">
        <v>362</v>
      </c>
      <c r="N3227">
        <v>1</v>
      </c>
      <c r="O3227">
        <v>4</v>
      </c>
      <c r="P3227">
        <v>582</v>
      </c>
      <c r="Q3227">
        <v>344</v>
      </c>
      <c r="R3227">
        <v>141</v>
      </c>
      <c r="S3227">
        <v>11790.4</v>
      </c>
    </row>
    <row r="3228" spans="12:19" x14ac:dyDescent="0.2">
      <c r="L3228" t="s">
        <v>374</v>
      </c>
      <c r="M3228">
        <v>363</v>
      </c>
      <c r="N3228">
        <v>1</v>
      </c>
      <c r="O3228">
        <v>4</v>
      </c>
      <c r="P3228">
        <v>582</v>
      </c>
      <c r="Q3228">
        <v>344</v>
      </c>
      <c r="R3228">
        <v>141</v>
      </c>
      <c r="S3228">
        <v>12760.76</v>
      </c>
    </row>
    <row r="3229" spans="12:19" x14ac:dyDescent="0.2">
      <c r="L3229" t="s">
        <v>374</v>
      </c>
      <c r="M3229">
        <v>391</v>
      </c>
      <c r="N3229">
        <v>1</v>
      </c>
      <c r="O3229">
        <v>4</v>
      </c>
      <c r="P3229">
        <v>582</v>
      </c>
      <c r="Q3229">
        <v>344</v>
      </c>
      <c r="R3229">
        <v>141</v>
      </c>
      <c r="S3229">
        <v>8967.7199999999993</v>
      </c>
    </row>
    <row r="3230" spans="12:19" x14ac:dyDescent="0.2">
      <c r="L3230" t="s">
        <v>374</v>
      </c>
      <c r="M3230">
        <v>394</v>
      </c>
      <c r="N3230">
        <v>1</v>
      </c>
      <c r="O3230">
        <v>4</v>
      </c>
      <c r="P3230">
        <v>582</v>
      </c>
      <c r="Q3230">
        <v>344</v>
      </c>
      <c r="R3230">
        <v>141</v>
      </c>
      <c r="S3230">
        <v>8277.06</v>
      </c>
    </row>
    <row r="3231" spans="12:19" x14ac:dyDescent="0.2">
      <c r="L3231" t="s">
        <v>374</v>
      </c>
      <c r="M3231">
        <v>402</v>
      </c>
      <c r="N3231">
        <v>1</v>
      </c>
      <c r="O3231">
        <v>4</v>
      </c>
      <c r="P3231">
        <v>582</v>
      </c>
      <c r="Q3231">
        <v>344</v>
      </c>
      <c r="R3231">
        <v>141</v>
      </c>
      <c r="S3231">
        <v>28.47</v>
      </c>
    </row>
    <row r="3232" spans="12:19" x14ac:dyDescent="0.2">
      <c r="L3232" t="s">
        <v>374</v>
      </c>
      <c r="M3232">
        <v>415</v>
      </c>
      <c r="N3232">
        <v>1</v>
      </c>
      <c r="O3232">
        <v>4</v>
      </c>
      <c r="P3232">
        <v>582</v>
      </c>
      <c r="Q3232">
        <v>344</v>
      </c>
      <c r="R3232">
        <v>141</v>
      </c>
      <c r="S3232">
        <v>10255</v>
      </c>
    </row>
    <row r="3233" spans="12:19" x14ac:dyDescent="0.2">
      <c r="L3233" t="s">
        <v>374</v>
      </c>
      <c r="M3233">
        <v>417</v>
      </c>
      <c r="N3233">
        <v>1</v>
      </c>
      <c r="O3233">
        <v>4</v>
      </c>
      <c r="P3233">
        <v>582</v>
      </c>
      <c r="Q3233">
        <v>344</v>
      </c>
      <c r="R3233">
        <v>141</v>
      </c>
      <c r="S3233">
        <v>6352.43</v>
      </c>
    </row>
    <row r="3234" spans="12:19" x14ac:dyDescent="0.2">
      <c r="L3234" t="s">
        <v>374</v>
      </c>
      <c r="M3234">
        <v>423</v>
      </c>
      <c r="N3234">
        <v>1</v>
      </c>
      <c r="O3234">
        <v>4</v>
      </c>
      <c r="P3234">
        <v>582</v>
      </c>
      <c r="Q3234">
        <v>344</v>
      </c>
      <c r="R3234">
        <v>141</v>
      </c>
      <c r="S3234">
        <v>4955.22</v>
      </c>
    </row>
    <row r="3235" spans="12:19" x14ac:dyDescent="0.2">
      <c r="L3235" t="s">
        <v>374</v>
      </c>
      <c r="M3235">
        <v>424</v>
      </c>
      <c r="N3235">
        <v>1</v>
      </c>
      <c r="O3235">
        <v>4</v>
      </c>
      <c r="P3235">
        <v>582</v>
      </c>
      <c r="Q3235">
        <v>344</v>
      </c>
      <c r="R3235">
        <v>141</v>
      </c>
      <c r="S3235">
        <v>4503.9799999999996</v>
      </c>
    </row>
    <row r="3236" spans="12:19" x14ac:dyDescent="0.2">
      <c r="L3236" t="s">
        <v>374</v>
      </c>
      <c r="M3236">
        <v>432</v>
      </c>
      <c r="N3236">
        <v>1</v>
      </c>
      <c r="O3236">
        <v>4</v>
      </c>
      <c r="P3236">
        <v>582</v>
      </c>
      <c r="Q3236">
        <v>344</v>
      </c>
      <c r="R3236">
        <v>141</v>
      </c>
      <c r="S3236">
        <v>506.88</v>
      </c>
    </row>
    <row r="3237" spans="12:19" x14ac:dyDescent="0.2">
      <c r="L3237" t="s">
        <v>374</v>
      </c>
      <c r="M3237">
        <v>435</v>
      </c>
      <c r="N3237">
        <v>1</v>
      </c>
      <c r="O3237">
        <v>4</v>
      </c>
      <c r="P3237">
        <v>582</v>
      </c>
      <c r="Q3237">
        <v>344</v>
      </c>
      <c r="R3237">
        <v>141</v>
      </c>
      <c r="S3237">
        <v>6256.92</v>
      </c>
    </row>
    <row r="3238" spans="12:19" x14ac:dyDescent="0.2">
      <c r="L3238" t="s">
        <v>374</v>
      </c>
      <c r="M3238">
        <v>441</v>
      </c>
      <c r="N3238">
        <v>1</v>
      </c>
      <c r="O3238">
        <v>4</v>
      </c>
      <c r="P3238">
        <v>582</v>
      </c>
      <c r="Q3238">
        <v>344</v>
      </c>
      <c r="R3238">
        <v>141</v>
      </c>
      <c r="S3238">
        <v>10631.56</v>
      </c>
    </row>
    <row r="3239" spans="12:19" x14ac:dyDescent="0.2">
      <c r="L3239" t="s">
        <v>374</v>
      </c>
      <c r="M3239">
        <v>458</v>
      </c>
      <c r="N3239">
        <v>1</v>
      </c>
      <c r="O3239">
        <v>4</v>
      </c>
      <c r="P3239">
        <v>582</v>
      </c>
      <c r="Q3239">
        <v>344</v>
      </c>
      <c r="R3239">
        <v>141</v>
      </c>
      <c r="S3239">
        <v>3757.53</v>
      </c>
    </row>
    <row r="3240" spans="12:19" x14ac:dyDescent="0.2">
      <c r="L3240" t="s">
        <v>374</v>
      </c>
      <c r="M3240">
        <v>465</v>
      </c>
      <c r="N3240">
        <v>1</v>
      </c>
      <c r="O3240">
        <v>4</v>
      </c>
      <c r="P3240">
        <v>582</v>
      </c>
      <c r="Q3240">
        <v>344</v>
      </c>
      <c r="R3240">
        <v>141</v>
      </c>
      <c r="S3240">
        <v>13748.62</v>
      </c>
    </row>
    <row r="3241" spans="12:19" x14ac:dyDescent="0.2">
      <c r="L3241" t="s">
        <v>374</v>
      </c>
      <c r="M3241">
        <v>466</v>
      </c>
      <c r="N3241">
        <v>1</v>
      </c>
      <c r="O3241">
        <v>4</v>
      </c>
      <c r="P3241">
        <v>582</v>
      </c>
      <c r="Q3241">
        <v>344</v>
      </c>
      <c r="R3241">
        <v>141</v>
      </c>
      <c r="S3241">
        <v>26251.69</v>
      </c>
    </row>
    <row r="3242" spans="12:19" x14ac:dyDescent="0.2">
      <c r="L3242" t="s">
        <v>374</v>
      </c>
      <c r="M3242">
        <v>477</v>
      </c>
      <c r="N3242">
        <v>1</v>
      </c>
      <c r="O3242">
        <v>4</v>
      </c>
      <c r="P3242">
        <v>582</v>
      </c>
      <c r="Q3242">
        <v>344</v>
      </c>
      <c r="R3242">
        <v>141</v>
      </c>
      <c r="S3242">
        <v>27226.59</v>
      </c>
    </row>
    <row r="3243" spans="12:19" x14ac:dyDescent="0.2">
      <c r="L3243" t="s">
        <v>374</v>
      </c>
      <c r="M3243">
        <v>485</v>
      </c>
      <c r="N3243">
        <v>1</v>
      </c>
      <c r="O3243">
        <v>4</v>
      </c>
      <c r="P3243">
        <v>582</v>
      </c>
      <c r="Q3243">
        <v>344</v>
      </c>
      <c r="R3243">
        <v>141</v>
      </c>
      <c r="S3243">
        <v>2363.2399999999998</v>
      </c>
    </row>
    <row r="3244" spans="12:19" x14ac:dyDescent="0.2">
      <c r="L3244" t="s">
        <v>374</v>
      </c>
      <c r="M3244">
        <v>486</v>
      </c>
      <c r="N3244">
        <v>1</v>
      </c>
      <c r="O3244">
        <v>4</v>
      </c>
      <c r="P3244">
        <v>582</v>
      </c>
      <c r="Q3244">
        <v>344</v>
      </c>
      <c r="R3244">
        <v>141</v>
      </c>
      <c r="S3244">
        <v>316.45999999999998</v>
      </c>
    </row>
    <row r="3245" spans="12:19" x14ac:dyDescent="0.2">
      <c r="L3245" t="s">
        <v>374</v>
      </c>
      <c r="M3245">
        <v>492</v>
      </c>
      <c r="N3245">
        <v>1</v>
      </c>
      <c r="O3245">
        <v>4</v>
      </c>
      <c r="P3245">
        <v>582</v>
      </c>
      <c r="Q3245">
        <v>344</v>
      </c>
      <c r="R3245">
        <v>141</v>
      </c>
      <c r="S3245">
        <v>14574.22</v>
      </c>
    </row>
    <row r="3246" spans="12:19" x14ac:dyDescent="0.2">
      <c r="L3246" t="s">
        <v>374</v>
      </c>
      <c r="M3246">
        <v>495</v>
      </c>
      <c r="N3246">
        <v>1</v>
      </c>
      <c r="O3246">
        <v>4</v>
      </c>
      <c r="P3246">
        <v>582</v>
      </c>
      <c r="Q3246">
        <v>344</v>
      </c>
      <c r="R3246">
        <v>141</v>
      </c>
      <c r="S3246">
        <v>11409.37</v>
      </c>
    </row>
    <row r="3247" spans="12:19" x14ac:dyDescent="0.2">
      <c r="L3247" t="s">
        <v>374</v>
      </c>
      <c r="M3247">
        <v>499</v>
      </c>
      <c r="N3247">
        <v>1</v>
      </c>
      <c r="O3247">
        <v>4</v>
      </c>
      <c r="P3247">
        <v>582</v>
      </c>
      <c r="Q3247">
        <v>344</v>
      </c>
      <c r="R3247">
        <v>141</v>
      </c>
      <c r="S3247">
        <v>177.6</v>
      </c>
    </row>
    <row r="3248" spans="12:19" x14ac:dyDescent="0.2">
      <c r="L3248" t="s">
        <v>374</v>
      </c>
      <c r="M3248">
        <v>500</v>
      </c>
      <c r="N3248">
        <v>1</v>
      </c>
      <c r="O3248">
        <v>4</v>
      </c>
      <c r="P3248">
        <v>582</v>
      </c>
      <c r="Q3248">
        <v>344</v>
      </c>
      <c r="R3248">
        <v>141</v>
      </c>
      <c r="S3248">
        <v>6952.26</v>
      </c>
    </row>
    <row r="3249" spans="12:19" x14ac:dyDescent="0.2">
      <c r="L3249" t="s">
        <v>374</v>
      </c>
      <c r="M3249">
        <v>518</v>
      </c>
      <c r="N3249">
        <v>1</v>
      </c>
      <c r="O3249">
        <v>4</v>
      </c>
      <c r="P3249">
        <v>582</v>
      </c>
      <c r="Q3249">
        <v>344</v>
      </c>
      <c r="R3249">
        <v>141</v>
      </c>
      <c r="S3249">
        <v>1406.84</v>
      </c>
    </row>
    <row r="3250" spans="12:19" x14ac:dyDescent="0.2">
      <c r="L3250" t="s">
        <v>374</v>
      </c>
      <c r="M3250">
        <v>533</v>
      </c>
      <c r="N3250">
        <v>1</v>
      </c>
      <c r="O3250">
        <v>4</v>
      </c>
      <c r="P3250">
        <v>582</v>
      </c>
      <c r="Q3250">
        <v>344</v>
      </c>
      <c r="R3250">
        <v>141</v>
      </c>
      <c r="S3250">
        <v>3760.81</v>
      </c>
    </row>
    <row r="3251" spans="12:19" x14ac:dyDescent="0.2">
      <c r="L3251" t="s">
        <v>374</v>
      </c>
      <c r="M3251">
        <v>534</v>
      </c>
      <c r="N3251">
        <v>1</v>
      </c>
      <c r="O3251">
        <v>4</v>
      </c>
      <c r="P3251">
        <v>582</v>
      </c>
      <c r="Q3251">
        <v>344</v>
      </c>
      <c r="R3251">
        <v>141</v>
      </c>
      <c r="S3251">
        <v>8058.55</v>
      </c>
    </row>
    <row r="3252" spans="12:19" x14ac:dyDescent="0.2">
      <c r="L3252" t="s">
        <v>374</v>
      </c>
      <c r="M3252">
        <v>542</v>
      </c>
      <c r="N3252">
        <v>1</v>
      </c>
      <c r="O3252">
        <v>4</v>
      </c>
      <c r="P3252">
        <v>582</v>
      </c>
      <c r="Q3252">
        <v>344</v>
      </c>
      <c r="R3252">
        <v>141</v>
      </c>
      <c r="S3252">
        <v>5892.19</v>
      </c>
    </row>
    <row r="3253" spans="12:19" x14ac:dyDescent="0.2">
      <c r="L3253" t="s">
        <v>374</v>
      </c>
      <c r="M3253">
        <v>545</v>
      </c>
      <c r="N3253">
        <v>1</v>
      </c>
      <c r="O3253">
        <v>4</v>
      </c>
      <c r="P3253">
        <v>582</v>
      </c>
      <c r="Q3253">
        <v>344</v>
      </c>
      <c r="R3253">
        <v>141</v>
      </c>
      <c r="S3253">
        <v>4639.72</v>
      </c>
    </row>
    <row r="3254" spans="12:19" x14ac:dyDescent="0.2">
      <c r="L3254" t="s">
        <v>374</v>
      </c>
      <c r="M3254">
        <v>550</v>
      </c>
      <c r="N3254">
        <v>1</v>
      </c>
      <c r="O3254">
        <v>4</v>
      </c>
      <c r="P3254">
        <v>582</v>
      </c>
      <c r="Q3254">
        <v>344</v>
      </c>
      <c r="R3254">
        <v>141</v>
      </c>
      <c r="S3254">
        <v>7505.82</v>
      </c>
    </row>
    <row r="3255" spans="12:19" x14ac:dyDescent="0.2">
      <c r="L3255" t="s">
        <v>374</v>
      </c>
      <c r="M3255">
        <v>561</v>
      </c>
      <c r="N3255">
        <v>1</v>
      </c>
      <c r="O3255">
        <v>4</v>
      </c>
      <c r="P3255">
        <v>582</v>
      </c>
      <c r="Q3255">
        <v>344</v>
      </c>
      <c r="R3255">
        <v>141</v>
      </c>
      <c r="S3255">
        <v>28.63</v>
      </c>
    </row>
    <row r="3256" spans="12:19" x14ac:dyDescent="0.2">
      <c r="L3256" t="s">
        <v>374</v>
      </c>
      <c r="M3256">
        <v>564</v>
      </c>
      <c r="N3256">
        <v>1</v>
      </c>
      <c r="O3256">
        <v>4</v>
      </c>
      <c r="P3256">
        <v>582</v>
      </c>
      <c r="Q3256">
        <v>344</v>
      </c>
      <c r="R3256">
        <v>141</v>
      </c>
      <c r="S3256">
        <v>8554.91</v>
      </c>
    </row>
    <row r="3257" spans="12:19" x14ac:dyDescent="0.2">
      <c r="L3257" t="s">
        <v>374</v>
      </c>
      <c r="M3257">
        <v>577</v>
      </c>
      <c r="N3257">
        <v>1</v>
      </c>
      <c r="O3257">
        <v>4</v>
      </c>
      <c r="P3257">
        <v>582</v>
      </c>
      <c r="Q3257">
        <v>344</v>
      </c>
      <c r="R3257">
        <v>141</v>
      </c>
      <c r="S3257">
        <v>3990.23</v>
      </c>
    </row>
    <row r="3258" spans="12:19" x14ac:dyDescent="0.2">
      <c r="L3258" t="s">
        <v>374</v>
      </c>
      <c r="M3258">
        <v>578</v>
      </c>
      <c r="N3258">
        <v>1</v>
      </c>
      <c r="O3258">
        <v>4</v>
      </c>
      <c r="P3258">
        <v>582</v>
      </c>
      <c r="Q3258">
        <v>344</v>
      </c>
      <c r="R3258">
        <v>141</v>
      </c>
      <c r="S3258">
        <v>4380.2299999999996</v>
      </c>
    </row>
    <row r="3259" spans="12:19" x14ac:dyDescent="0.2">
      <c r="L3259" t="s">
        <v>374</v>
      </c>
      <c r="M3259">
        <v>581</v>
      </c>
      <c r="N3259">
        <v>1</v>
      </c>
      <c r="O3259">
        <v>4</v>
      </c>
      <c r="P3259">
        <v>582</v>
      </c>
      <c r="Q3259">
        <v>344</v>
      </c>
      <c r="R3259">
        <v>141</v>
      </c>
      <c r="S3259">
        <v>3262.73</v>
      </c>
    </row>
    <row r="3260" spans="12:19" x14ac:dyDescent="0.2">
      <c r="L3260" t="s">
        <v>374</v>
      </c>
      <c r="M3260">
        <v>592</v>
      </c>
      <c r="N3260">
        <v>1</v>
      </c>
      <c r="O3260">
        <v>4</v>
      </c>
      <c r="P3260">
        <v>582</v>
      </c>
      <c r="Q3260">
        <v>344</v>
      </c>
      <c r="R3260">
        <v>141</v>
      </c>
      <c r="S3260">
        <v>4331.24</v>
      </c>
    </row>
    <row r="3261" spans="12:19" x14ac:dyDescent="0.2">
      <c r="L3261" t="s">
        <v>374</v>
      </c>
      <c r="M3261">
        <v>595</v>
      </c>
      <c r="N3261">
        <v>1</v>
      </c>
      <c r="O3261">
        <v>4</v>
      </c>
      <c r="P3261">
        <v>582</v>
      </c>
      <c r="Q3261">
        <v>344</v>
      </c>
      <c r="R3261">
        <v>141</v>
      </c>
      <c r="S3261">
        <v>8530.85</v>
      </c>
    </row>
    <row r="3262" spans="12:19" x14ac:dyDescent="0.2">
      <c r="L3262" t="s">
        <v>374</v>
      </c>
      <c r="M3262">
        <v>601</v>
      </c>
      <c r="N3262">
        <v>1</v>
      </c>
      <c r="O3262">
        <v>4</v>
      </c>
      <c r="P3262">
        <v>582</v>
      </c>
      <c r="Q3262">
        <v>344</v>
      </c>
      <c r="R3262">
        <v>141</v>
      </c>
      <c r="S3262">
        <v>3750.18</v>
      </c>
    </row>
    <row r="3263" spans="12:19" x14ac:dyDescent="0.2">
      <c r="L3263" t="s">
        <v>374</v>
      </c>
      <c r="M3263">
        <v>621</v>
      </c>
      <c r="N3263">
        <v>1</v>
      </c>
      <c r="O3263">
        <v>4</v>
      </c>
      <c r="P3263">
        <v>582</v>
      </c>
      <c r="Q3263">
        <v>344</v>
      </c>
      <c r="R3263">
        <v>141</v>
      </c>
      <c r="S3263">
        <v>15982.64</v>
      </c>
    </row>
    <row r="3264" spans="12:19" x14ac:dyDescent="0.2">
      <c r="L3264" t="s">
        <v>374</v>
      </c>
      <c r="M3264">
        <v>622</v>
      </c>
      <c r="N3264">
        <v>1</v>
      </c>
      <c r="O3264">
        <v>4</v>
      </c>
      <c r="P3264">
        <v>582</v>
      </c>
      <c r="Q3264">
        <v>344</v>
      </c>
      <c r="R3264">
        <v>141</v>
      </c>
      <c r="S3264">
        <v>2377.96</v>
      </c>
    </row>
    <row r="3265" spans="12:19" x14ac:dyDescent="0.2">
      <c r="L3265" t="s">
        <v>374</v>
      </c>
      <c r="M3265">
        <v>623</v>
      </c>
      <c r="N3265">
        <v>1</v>
      </c>
      <c r="O3265">
        <v>4</v>
      </c>
      <c r="P3265">
        <v>582</v>
      </c>
      <c r="Q3265">
        <v>344</v>
      </c>
      <c r="R3265">
        <v>141</v>
      </c>
      <c r="S3265">
        <v>7920.16</v>
      </c>
    </row>
    <row r="3266" spans="12:19" x14ac:dyDescent="0.2">
      <c r="L3266" t="s">
        <v>374</v>
      </c>
      <c r="M3266">
        <v>624</v>
      </c>
      <c r="N3266">
        <v>1</v>
      </c>
      <c r="O3266">
        <v>4</v>
      </c>
      <c r="P3266">
        <v>582</v>
      </c>
      <c r="Q3266">
        <v>344</v>
      </c>
      <c r="R3266">
        <v>141</v>
      </c>
      <c r="S3266">
        <v>12107.94</v>
      </c>
    </row>
    <row r="3267" spans="12:19" x14ac:dyDescent="0.2">
      <c r="L3267" t="s">
        <v>374</v>
      </c>
      <c r="M3267">
        <v>625</v>
      </c>
      <c r="N3267">
        <v>1</v>
      </c>
      <c r="O3267">
        <v>4</v>
      </c>
      <c r="P3267">
        <v>582</v>
      </c>
      <c r="Q3267">
        <v>344</v>
      </c>
      <c r="R3267">
        <v>141</v>
      </c>
      <c r="S3267">
        <v>132613.31</v>
      </c>
    </row>
    <row r="3268" spans="12:19" x14ac:dyDescent="0.2">
      <c r="L3268" t="s">
        <v>374</v>
      </c>
      <c r="M3268">
        <v>630</v>
      </c>
      <c r="N3268">
        <v>1</v>
      </c>
      <c r="O3268">
        <v>4</v>
      </c>
      <c r="P3268">
        <v>582</v>
      </c>
      <c r="Q3268">
        <v>344</v>
      </c>
      <c r="R3268">
        <v>141</v>
      </c>
      <c r="S3268">
        <v>2211.5700000000002</v>
      </c>
    </row>
    <row r="3269" spans="12:19" x14ac:dyDescent="0.2">
      <c r="L3269" t="s">
        <v>374</v>
      </c>
      <c r="M3269">
        <v>656</v>
      </c>
      <c r="N3269">
        <v>1</v>
      </c>
      <c r="O3269">
        <v>4</v>
      </c>
      <c r="P3269">
        <v>582</v>
      </c>
      <c r="Q3269">
        <v>344</v>
      </c>
      <c r="R3269">
        <v>141</v>
      </c>
      <c r="S3269">
        <v>10412.16</v>
      </c>
    </row>
    <row r="3270" spans="12:19" x14ac:dyDescent="0.2">
      <c r="L3270" t="s">
        <v>374</v>
      </c>
      <c r="M3270">
        <v>659</v>
      </c>
      <c r="N3270">
        <v>1</v>
      </c>
      <c r="O3270">
        <v>4</v>
      </c>
      <c r="P3270">
        <v>582</v>
      </c>
      <c r="Q3270">
        <v>344</v>
      </c>
      <c r="R3270">
        <v>141</v>
      </c>
      <c r="S3270">
        <v>560.29999999999995</v>
      </c>
    </row>
    <row r="3271" spans="12:19" x14ac:dyDescent="0.2">
      <c r="L3271" t="s">
        <v>374</v>
      </c>
      <c r="M3271">
        <v>671</v>
      </c>
      <c r="N3271">
        <v>1</v>
      </c>
      <c r="O3271">
        <v>4</v>
      </c>
      <c r="P3271">
        <v>582</v>
      </c>
      <c r="Q3271">
        <v>344</v>
      </c>
      <c r="R3271">
        <v>141</v>
      </c>
      <c r="S3271">
        <v>637.88</v>
      </c>
    </row>
    <row r="3272" spans="12:19" x14ac:dyDescent="0.2">
      <c r="L3272" t="s">
        <v>374</v>
      </c>
      <c r="M3272">
        <v>676</v>
      </c>
      <c r="N3272">
        <v>1</v>
      </c>
      <c r="O3272">
        <v>4</v>
      </c>
      <c r="P3272">
        <v>582</v>
      </c>
      <c r="Q3272">
        <v>344</v>
      </c>
      <c r="R3272">
        <v>141</v>
      </c>
      <c r="S3272">
        <v>1633.5</v>
      </c>
    </row>
    <row r="3273" spans="12:19" x14ac:dyDescent="0.2">
      <c r="L3273" t="s">
        <v>374</v>
      </c>
      <c r="M3273">
        <v>682</v>
      </c>
      <c r="N3273">
        <v>1</v>
      </c>
      <c r="O3273">
        <v>4</v>
      </c>
      <c r="P3273">
        <v>582</v>
      </c>
      <c r="Q3273">
        <v>344</v>
      </c>
      <c r="R3273">
        <v>141</v>
      </c>
      <c r="S3273">
        <v>13051.31</v>
      </c>
    </row>
    <row r="3274" spans="12:19" x14ac:dyDescent="0.2">
      <c r="L3274" t="s">
        <v>374</v>
      </c>
      <c r="M3274">
        <v>695</v>
      </c>
      <c r="N3274">
        <v>1</v>
      </c>
      <c r="O3274">
        <v>4</v>
      </c>
      <c r="P3274">
        <v>582</v>
      </c>
      <c r="Q3274">
        <v>344</v>
      </c>
      <c r="R3274">
        <v>141</v>
      </c>
      <c r="S3274">
        <v>2481.98</v>
      </c>
    </row>
    <row r="3275" spans="12:19" x14ac:dyDescent="0.2">
      <c r="L3275" t="s">
        <v>374</v>
      </c>
      <c r="M3275">
        <v>698</v>
      </c>
      <c r="N3275">
        <v>1</v>
      </c>
      <c r="O3275">
        <v>4</v>
      </c>
      <c r="P3275">
        <v>582</v>
      </c>
      <c r="Q3275">
        <v>344</v>
      </c>
      <c r="R3275">
        <v>141</v>
      </c>
      <c r="S3275">
        <v>1439.6</v>
      </c>
    </row>
    <row r="3276" spans="12:19" x14ac:dyDescent="0.2">
      <c r="L3276" t="s">
        <v>374</v>
      </c>
      <c r="M3276">
        <v>700</v>
      </c>
      <c r="N3276">
        <v>1</v>
      </c>
      <c r="O3276">
        <v>4</v>
      </c>
      <c r="P3276">
        <v>582</v>
      </c>
      <c r="Q3276">
        <v>344</v>
      </c>
      <c r="R3276">
        <v>141</v>
      </c>
      <c r="S3276">
        <v>4835.16</v>
      </c>
    </row>
    <row r="3277" spans="12:19" x14ac:dyDescent="0.2">
      <c r="L3277" t="s">
        <v>374</v>
      </c>
      <c r="M3277">
        <v>701</v>
      </c>
      <c r="N3277">
        <v>1</v>
      </c>
      <c r="O3277">
        <v>4</v>
      </c>
      <c r="P3277">
        <v>582</v>
      </c>
      <c r="Q3277">
        <v>344</v>
      </c>
      <c r="R3277">
        <v>141</v>
      </c>
      <c r="S3277">
        <v>8468.86</v>
      </c>
    </row>
    <row r="3278" spans="12:19" x14ac:dyDescent="0.2">
      <c r="L3278" t="s">
        <v>374</v>
      </c>
      <c r="M3278">
        <v>704</v>
      </c>
      <c r="N3278">
        <v>1</v>
      </c>
      <c r="O3278">
        <v>4</v>
      </c>
      <c r="P3278">
        <v>582</v>
      </c>
      <c r="Q3278">
        <v>344</v>
      </c>
      <c r="R3278">
        <v>141</v>
      </c>
      <c r="S3278">
        <v>719.53</v>
      </c>
    </row>
    <row r="3279" spans="12:19" x14ac:dyDescent="0.2">
      <c r="L3279" t="s">
        <v>374</v>
      </c>
      <c r="M3279">
        <v>706</v>
      </c>
      <c r="N3279">
        <v>1</v>
      </c>
      <c r="O3279">
        <v>4</v>
      </c>
      <c r="P3279">
        <v>582</v>
      </c>
      <c r="Q3279">
        <v>344</v>
      </c>
      <c r="R3279">
        <v>141</v>
      </c>
      <c r="S3279">
        <v>5996.66</v>
      </c>
    </row>
    <row r="3280" spans="12:19" x14ac:dyDescent="0.2">
      <c r="L3280" t="s">
        <v>374</v>
      </c>
      <c r="M3280">
        <v>709</v>
      </c>
      <c r="N3280">
        <v>1</v>
      </c>
      <c r="O3280">
        <v>4</v>
      </c>
      <c r="P3280">
        <v>582</v>
      </c>
      <c r="Q3280">
        <v>344</v>
      </c>
      <c r="R3280">
        <v>141</v>
      </c>
      <c r="S3280">
        <v>28734.27</v>
      </c>
    </row>
    <row r="3281" spans="12:19" x14ac:dyDescent="0.2">
      <c r="L3281" t="s">
        <v>374</v>
      </c>
      <c r="M3281">
        <v>712</v>
      </c>
      <c r="N3281">
        <v>1</v>
      </c>
      <c r="O3281">
        <v>4</v>
      </c>
      <c r="P3281">
        <v>582</v>
      </c>
      <c r="Q3281">
        <v>344</v>
      </c>
      <c r="R3281">
        <v>141</v>
      </c>
      <c r="S3281">
        <v>1295</v>
      </c>
    </row>
    <row r="3282" spans="12:19" x14ac:dyDescent="0.2">
      <c r="L3282" t="s">
        <v>374</v>
      </c>
      <c r="M3282">
        <v>716</v>
      </c>
      <c r="N3282">
        <v>1</v>
      </c>
      <c r="O3282">
        <v>4</v>
      </c>
      <c r="P3282">
        <v>582</v>
      </c>
      <c r="Q3282">
        <v>344</v>
      </c>
      <c r="R3282">
        <v>141</v>
      </c>
      <c r="S3282">
        <v>3352.05</v>
      </c>
    </row>
    <row r="3283" spans="12:19" x14ac:dyDescent="0.2">
      <c r="L3283" t="s">
        <v>374</v>
      </c>
      <c r="M3283">
        <v>717</v>
      </c>
      <c r="N3283">
        <v>1</v>
      </c>
      <c r="O3283">
        <v>4</v>
      </c>
      <c r="P3283">
        <v>582</v>
      </c>
      <c r="Q3283">
        <v>344</v>
      </c>
      <c r="R3283">
        <v>141</v>
      </c>
      <c r="S3283">
        <v>8456.5</v>
      </c>
    </row>
    <row r="3284" spans="12:19" x14ac:dyDescent="0.2">
      <c r="L3284" t="s">
        <v>374</v>
      </c>
      <c r="M3284">
        <v>719</v>
      </c>
      <c r="N3284">
        <v>1</v>
      </c>
      <c r="O3284">
        <v>4</v>
      </c>
      <c r="P3284">
        <v>582</v>
      </c>
      <c r="Q3284">
        <v>344</v>
      </c>
      <c r="R3284">
        <v>141</v>
      </c>
      <c r="S3284">
        <v>76184.11</v>
      </c>
    </row>
    <row r="3285" spans="12:19" x14ac:dyDescent="0.2">
      <c r="L3285" t="s">
        <v>374</v>
      </c>
      <c r="M3285">
        <v>720</v>
      </c>
      <c r="N3285">
        <v>1</v>
      </c>
      <c r="O3285">
        <v>4</v>
      </c>
      <c r="P3285">
        <v>582</v>
      </c>
      <c r="Q3285">
        <v>344</v>
      </c>
      <c r="R3285">
        <v>141</v>
      </c>
      <c r="S3285">
        <v>24380.25</v>
      </c>
    </row>
    <row r="3286" spans="12:19" x14ac:dyDescent="0.2">
      <c r="L3286" t="s">
        <v>374</v>
      </c>
      <c r="M3286">
        <v>721</v>
      </c>
      <c r="N3286">
        <v>1</v>
      </c>
      <c r="O3286">
        <v>4</v>
      </c>
      <c r="P3286">
        <v>582</v>
      </c>
      <c r="Q3286">
        <v>344</v>
      </c>
      <c r="R3286">
        <v>141</v>
      </c>
      <c r="S3286">
        <v>18555.509999999998</v>
      </c>
    </row>
    <row r="3287" spans="12:19" x14ac:dyDescent="0.2">
      <c r="L3287" t="s">
        <v>374</v>
      </c>
      <c r="M3287">
        <v>726</v>
      </c>
      <c r="N3287">
        <v>1</v>
      </c>
      <c r="O3287">
        <v>4</v>
      </c>
      <c r="P3287">
        <v>582</v>
      </c>
      <c r="Q3287">
        <v>344</v>
      </c>
      <c r="R3287">
        <v>141</v>
      </c>
      <c r="S3287">
        <v>5081.24</v>
      </c>
    </row>
    <row r="3288" spans="12:19" x14ac:dyDescent="0.2">
      <c r="L3288" t="s">
        <v>374</v>
      </c>
      <c r="M3288">
        <v>727</v>
      </c>
      <c r="N3288">
        <v>1</v>
      </c>
      <c r="O3288">
        <v>4</v>
      </c>
      <c r="P3288">
        <v>582</v>
      </c>
      <c r="Q3288">
        <v>344</v>
      </c>
      <c r="R3288">
        <v>141</v>
      </c>
      <c r="S3288">
        <v>20250.509999999998</v>
      </c>
    </row>
    <row r="3289" spans="12:19" x14ac:dyDescent="0.2">
      <c r="L3289" t="s">
        <v>374</v>
      </c>
      <c r="M3289">
        <v>739</v>
      </c>
      <c r="N3289">
        <v>1</v>
      </c>
      <c r="O3289">
        <v>4</v>
      </c>
      <c r="P3289">
        <v>582</v>
      </c>
      <c r="Q3289">
        <v>344</v>
      </c>
      <c r="R3289">
        <v>141</v>
      </c>
      <c r="S3289">
        <v>4642.0600000000004</v>
      </c>
    </row>
    <row r="3290" spans="12:19" x14ac:dyDescent="0.2">
      <c r="L3290" t="s">
        <v>374</v>
      </c>
      <c r="M3290">
        <v>741</v>
      </c>
      <c r="N3290">
        <v>1</v>
      </c>
      <c r="O3290">
        <v>4</v>
      </c>
      <c r="P3290">
        <v>582</v>
      </c>
      <c r="Q3290">
        <v>344</v>
      </c>
      <c r="R3290">
        <v>141</v>
      </c>
      <c r="S3290">
        <v>5783.95</v>
      </c>
    </row>
    <row r="3291" spans="12:19" x14ac:dyDescent="0.2">
      <c r="L3291" t="s">
        <v>374</v>
      </c>
      <c r="M3291">
        <v>742</v>
      </c>
      <c r="N3291">
        <v>1</v>
      </c>
      <c r="O3291">
        <v>4</v>
      </c>
      <c r="P3291">
        <v>582</v>
      </c>
      <c r="Q3291">
        <v>344</v>
      </c>
      <c r="R3291">
        <v>141</v>
      </c>
      <c r="S3291">
        <v>79222.100000000006</v>
      </c>
    </row>
    <row r="3292" spans="12:19" x14ac:dyDescent="0.2">
      <c r="L3292" t="s">
        <v>374</v>
      </c>
      <c r="M3292">
        <v>745</v>
      </c>
      <c r="N3292">
        <v>1</v>
      </c>
      <c r="O3292">
        <v>4</v>
      </c>
      <c r="P3292">
        <v>582</v>
      </c>
      <c r="Q3292">
        <v>344</v>
      </c>
      <c r="R3292">
        <v>141</v>
      </c>
      <c r="S3292">
        <v>12834.11</v>
      </c>
    </row>
    <row r="3293" spans="12:19" x14ac:dyDescent="0.2">
      <c r="L3293" t="s">
        <v>374</v>
      </c>
      <c r="M3293">
        <v>750</v>
      </c>
      <c r="N3293">
        <v>1</v>
      </c>
      <c r="O3293">
        <v>4</v>
      </c>
      <c r="P3293">
        <v>582</v>
      </c>
      <c r="Q3293">
        <v>344</v>
      </c>
      <c r="R3293">
        <v>141</v>
      </c>
      <c r="S3293">
        <v>8913.23</v>
      </c>
    </row>
    <row r="3294" spans="12:19" x14ac:dyDescent="0.2">
      <c r="L3294" t="s">
        <v>374</v>
      </c>
      <c r="M3294">
        <v>756</v>
      </c>
      <c r="N3294">
        <v>1</v>
      </c>
      <c r="O3294">
        <v>4</v>
      </c>
      <c r="P3294">
        <v>582</v>
      </c>
      <c r="Q3294">
        <v>344</v>
      </c>
      <c r="R3294">
        <v>141</v>
      </c>
      <c r="S3294">
        <v>7653.63</v>
      </c>
    </row>
    <row r="3295" spans="12:19" x14ac:dyDescent="0.2">
      <c r="L3295" t="s">
        <v>374</v>
      </c>
      <c r="M3295">
        <v>761</v>
      </c>
      <c r="N3295">
        <v>1</v>
      </c>
      <c r="O3295">
        <v>4</v>
      </c>
      <c r="P3295">
        <v>582</v>
      </c>
      <c r="Q3295">
        <v>344</v>
      </c>
      <c r="R3295">
        <v>141</v>
      </c>
      <c r="S3295">
        <v>14532.65</v>
      </c>
    </row>
    <row r="3296" spans="12:19" x14ac:dyDescent="0.2">
      <c r="L3296" t="s">
        <v>374</v>
      </c>
      <c r="M3296">
        <v>775</v>
      </c>
      <c r="N3296">
        <v>1</v>
      </c>
      <c r="O3296">
        <v>4</v>
      </c>
      <c r="P3296">
        <v>582</v>
      </c>
      <c r="Q3296">
        <v>344</v>
      </c>
      <c r="R3296">
        <v>141</v>
      </c>
      <c r="S3296">
        <v>4384.49</v>
      </c>
    </row>
    <row r="3297" spans="12:19" x14ac:dyDescent="0.2">
      <c r="L3297" t="s">
        <v>374</v>
      </c>
      <c r="M3297">
        <v>777</v>
      </c>
      <c r="N3297">
        <v>1</v>
      </c>
      <c r="O3297">
        <v>4</v>
      </c>
      <c r="P3297">
        <v>582</v>
      </c>
      <c r="Q3297">
        <v>344</v>
      </c>
      <c r="R3297">
        <v>141</v>
      </c>
      <c r="S3297">
        <v>572.46</v>
      </c>
    </row>
    <row r="3298" spans="12:19" x14ac:dyDescent="0.2">
      <c r="L3298" t="s">
        <v>374</v>
      </c>
      <c r="M3298">
        <v>803</v>
      </c>
      <c r="N3298">
        <v>1</v>
      </c>
      <c r="O3298">
        <v>4</v>
      </c>
      <c r="P3298">
        <v>582</v>
      </c>
      <c r="Q3298">
        <v>344</v>
      </c>
      <c r="R3298">
        <v>141</v>
      </c>
      <c r="S3298">
        <v>4973.5</v>
      </c>
    </row>
    <row r="3299" spans="12:19" x14ac:dyDescent="0.2">
      <c r="L3299" t="s">
        <v>374</v>
      </c>
      <c r="M3299">
        <v>811</v>
      </c>
      <c r="N3299">
        <v>1</v>
      </c>
      <c r="O3299">
        <v>4</v>
      </c>
      <c r="P3299">
        <v>582</v>
      </c>
      <c r="Q3299">
        <v>344</v>
      </c>
      <c r="R3299">
        <v>141</v>
      </c>
      <c r="S3299">
        <v>8493.06</v>
      </c>
    </row>
    <row r="3300" spans="12:19" x14ac:dyDescent="0.2">
      <c r="L3300" t="s">
        <v>374</v>
      </c>
      <c r="M3300">
        <v>813</v>
      </c>
      <c r="N3300">
        <v>1</v>
      </c>
      <c r="O3300">
        <v>4</v>
      </c>
      <c r="P3300">
        <v>582</v>
      </c>
      <c r="Q3300">
        <v>344</v>
      </c>
      <c r="R3300">
        <v>141</v>
      </c>
      <c r="S3300">
        <v>1837.33</v>
      </c>
    </row>
    <row r="3301" spans="12:19" x14ac:dyDescent="0.2">
      <c r="L3301" t="s">
        <v>374</v>
      </c>
      <c r="M3301">
        <v>820</v>
      </c>
      <c r="N3301">
        <v>1</v>
      </c>
      <c r="O3301">
        <v>4</v>
      </c>
      <c r="P3301">
        <v>582</v>
      </c>
      <c r="Q3301">
        <v>344</v>
      </c>
      <c r="R3301">
        <v>141</v>
      </c>
      <c r="S3301">
        <v>7422.71</v>
      </c>
    </row>
    <row r="3302" spans="12:19" x14ac:dyDescent="0.2">
      <c r="L3302" t="s">
        <v>374</v>
      </c>
      <c r="M3302">
        <v>821</v>
      </c>
      <c r="N3302">
        <v>1</v>
      </c>
      <c r="O3302">
        <v>4</v>
      </c>
      <c r="P3302">
        <v>582</v>
      </c>
      <c r="Q3302">
        <v>344</v>
      </c>
      <c r="R3302">
        <v>141</v>
      </c>
      <c r="S3302">
        <v>4734.3</v>
      </c>
    </row>
    <row r="3303" spans="12:19" x14ac:dyDescent="0.2">
      <c r="L3303" t="s">
        <v>374</v>
      </c>
      <c r="M3303">
        <v>829</v>
      </c>
      <c r="N3303">
        <v>1</v>
      </c>
      <c r="O3303">
        <v>4</v>
      </c>
      <c r="P3303">
        <v>582</v>
      </c>
      <c r="Q3303">
        <v>344</v>
      </c>
      <c r="R3303">
        <v>141</v>
      </c>
      <c r="S3303">
        <v>8997.25</v>
      </c>
    </row>
    <row r="3304" spans="12:19" x14ac:dyDescent="0.2">
      <c r="L3304" t="s">
        <v>374</v>
      </c>
      <c r="M3304">
        <v>831</v>
      </c>
      <c r="N3304">
        <v>1</v>
      </c>
      <c r="O3304">
        <v>4</v>
      </c>
      <c r="P3304">
        <v>582</v>
      </c>
      <c r="Q3304">
        <v>344</v>
      </c>
      <c r="R3304">
        <v>141</v>
      </c>
      <c r="S3304">
        <v>12263.37</v>
      </c>
    </row>
    <row r="3305" spans="12:19" x14ac:dyDescent="0.2">
      <c r="L3305" t="s">
        <v>374</v>
      </c>
      <c r="M3305">
        <v>834</v>
      </c>
      <c r="N3305">
        <v>1</v>
      </c>
      <c r="O3305">
        <v>4</v>
      </c>
      <c r="P3305">
        <v>582</v>
      </c>
      <c r="Q3305">
        <v>344</v>
      </c>
      <c r="R3305">
        <v>141</v>
      </c>
      <c r="S3305">
        <v>16158.7</v>
      </c>
    </row>
    <row r="3306" spans="12:19" x14ac:dyDescent="0.2">
      <c r="L3306" t="s">
        <v>374</v>
      </c>
      <c r="M3306">
        <v>836</v>
      </c>
      <c r="N3306">
        <v>1</v>
      </c>
      <c r="O3306">
        <v>4</v>
      </c>
      <c r="P3306">
        <v>582</v>
      </c>
      <c r="Q3306">
        <v>344</v>
      </c>
      <c r="R3306">
        <v>141</v>
      </c>
      <c r="S3306">
        <v>3800</v>
      </c>
    </row>
    <row r="3307" spans="12:19" x14ac:dyDescent="0.2">
      <c r="L3307" t="s">
        <v>374</v>
      </c>
      <c r="M3307">
        <v>837</v>
      </c>
      <c r="N3307">
        <v>1</v>
      </c>
      <c r="O3307">
        <v>4</v>
      </c>
      <c r="P3307">
        <v>582</v>
      </c>
      <c r="Q3307">
        <v>344</v>
      </c>
      <c r="R3307">
        <v>141</v>
      </c>
      <c r="S3307">
        <v>30</v>
      </c>
    </row>
    <row r="3308" spans="12:19" x14ac:dyDescent="0.2">
      <c r="L3308" t="s">
        <v>374</v>
      </c>
      <c r="M3308">
        <v>846</v>
      </c>
      <c r="N3308">
        <v>1</v>
      </c>
      <c r="O3308">
        <v>4</v>
      </c>
      <c r="P3308">
        <v>582</v>
      </c>
      <c r="Q3308">
        <v>344</v>
      </c>
      <c r="R3308">
        <v>141</v>
      </c>
      <c r="S3308">
        <v>11388.63</v>
      </c>
    </row>
    <row r="3309" spans="12:19" x14ac:dyDescent="0.2">
      <c r="L3309" t="s">
        <v>374</v>
      </c>
      <c r="M3309">
        <v>857</v>
      </c>
      <c r="N3309">
        <v>1</v>
      </c>
      <c r="O3309">
        <v>4</v>
      </c>
      <c r="P3309">
        <v>582</v>
      </c>
      <c r="Q3309">
        <v>344</v>
      </c>
      <c r="R3309">
        <v>141</v>
      </c>
      <c r="S3309">
        <v>7378.32</v>
      </c>
    </row>
    <row r="3310" spans="12:19" x14ac:dyDescent="0.2">
      <c r="L3310" t="s">
        <v>374</v>
      </c>
      <c r="M3310">
        <v>876</v>
      </c>
      <c r="N3310">
        <v>1</v>
      </c>
      <c r="O3310">
        <v>4</v>
      </c>
      <c r="P3310">
        <v>582</v>
      </c>
      <c r="Q3310">
        <v>344</v>
      </c>
      <c r="R3310">
        <v>141</v>
      </c>
      <c r="S3310">
        <v>20449.8</v>
      </c>
    </row>
    <row r="3311" spans="12:19" x14ac:dyDescent="0.2">
      <c r="L3311" t="s">
        <v>374</v>
      </c>
      <c r="M3311">
        <v>882</v>
      </c>
      <c r="N3311">
        <v>1</v>
      </c>
      <c r="O3311">
        <v>4</v>
      </c>
      <c r="P3311">
        <v>582</v>
      </c>
      <c r="Q3311">
        <v>344</v>
      </c>
      <c r="R3311">
        <v>141</v>
      </c>
      <c r="S3311">
        <v>17026.47</v>
      </c>
    </row>
    <row r="3312" spans="12:19" x14ac:dyDescent="0.2">
      <c r="L3312" t="s">
        <v>374</v>
      </c>
      <c r="M3312">
        <v>883</v>
      </c>
      <c r="N3312">
        <v>1</v>
      </c>
      <c r="O3312">
        <v>4</v>
      </c>
      <c r="P3312">
        <v>582</v>
      </c>
      <c r="Q3312">
        <v>344</v>
      </c>
      <c r="R3312">
        <v>141</v>
      </c>
      <c r="S3312">
        <v>39415.74</v>
      </c>
    </row>
    <row r="3313" spans="12:19" x14ac:dyDescent="0.2">
      <c r="L3313" t="s">
        <v>374</v>
      </c>
      <c r="M3313">
        <v>885</v>
      </c>
      <c r="N3313">
        <v>1</v>
      </c>
      <c r="O3313">
        <v>4</v>
      </c>
      <c r="P3313">
        <v>582</v>
      </c>
      <c r="Q3313">
        <v>344</v>
      </c>
      <c r="R3313">
        <v>141</v>
      </c>
      <c r="S3313">
        <v>68933.399999999994</v>
      </c>
    </row>
    <row r="3314" spans="12:19" x14ac:dyDescent="0.2">
      <c r="L3314" t="s">
        <v>374</v>
      </c>
      <c r="M3314">
        <v>912</v>
      </c>
      <c r="N3314">
        <v>1</v>
      </c>
      <c r="O3314">
        <v>4</v>
      </c>
      <c r="P3314">
        <v>582</v>
      </c>
      <c r="Q3314">
        <v>344</v>
      </c>
      <c r="R3314">
        <v>141</v>
      </c>
      <c r="S3314">
        <v>7182.28</v>
      </c>
    </row>
    <row r="3315" spans="12:19" x14ac:dyDescent="0.2">
      <c r="L3315" t="s">
        <v>374</v>
      </c>
      <c r="M3315">
        <v>2071</v>
      </c>
      <c r="N3315">
        <v>1</v>
      </c>
      <c r="O3315">
        <v>4</v>
      </c>
      <c r="P3315">
        <v>582</v>
      </c>
      <c r="Q3315">
        <v>344</v>
      </c>
      <c r="R3315">
        <v>141</v>
      </c>
      <c r="S3315">
        <v>29436.41</v>
      </c>
    </row>
    <row r="3316" spans="12:19" x14ac:dyDescent="0.2">
      <c r="L3316" t="s">
        <v>374</v>
      </c>
      <c r="M3316">
        <v>2125</v>
      </c>
      <c r="N3316">
        <v>1</v>
      </c>
      <c r="O3316">
        <v>4</v>
      </c>
      <c r="P3316">
        <v>582</v>
      </c>
      <c r="Q3316">
        <v>344</v>
      </c>
      <c r="R3316">
        <v>141</v>
      </c>
      <c r="S3316">
        <v>15502.96</v>
      </c>
    </row>
    <row r="3317" spans="12:19" x14ac:dyDescent="0.2">
      <c r="L3317" t="s">
        <v>374</v>
      </c>
      <c r="M3317">
        <v>2135</v>
      </c>
      <c r="N3317">
        <v>1</v>
      </c>
      <c r="O3317">
        <v>4</v>
      </c>
      <c r="P3317">
        <v>582</v>
      </c>
      <c r="Q3317">
        <v>344</v>
      </c>
      <c r="R3317">
        <v>141</v>
      </c>
      <c r="S3317">
        <v>10163.969999999999</v>
      </c>
    </row>
    <row r="3318" spans="12:19" x14ac:dyDescent="0.2">
      <c r="L3318" t="s">
        <v>374</v>
      </c>
      <c r="M3318">
        <v>2137</v>
      </c>
      <c r="N3318">
        <v>1</v>
      </c>
      <c r="O3318">
        <v>4</v>
      </c>
      <c r="P3318">
        <v>582</v>
      </c>
      <c r="Q3318">
        <v>344</v>
      </c>
      <c r="R3318">
        <v>141</v>
      </c>
      <c r="S3318">
        <v>6836.95</v>
      </c>
    </row>
    <row r="3319" spans="12:19" x14ac:dyDescent="0.2">
      <c r="L3319" t="s">
        <v>374</v>
      </c>
      <c r="M3319">
        <v>2142</v>
      </c>
      <c r="N3319">
        <v>1</v>
      </c>
      <c r="O3319">
        <v>4</v>
      </c>
      <c r="P3319">
        <v>582</v>
      </c>
      <c r="Q3319">
        <v>344</v>
      </c>
      <c r="R3319">
        <v>141</v>
      </c>
      <c r="S3319">
        <v>19369.2</v>
      </c>
    </row>
    <row r="3320" spans="12:19" x14ac:dyDescent="0.2">
      <c r="L3320" t="s">
        <v>374</v>
      </c>
      <c r="M3320">
        <v>2143</v>
      </c>
      <c r="N3320">
        <v>1</v>
      </c>
      <c r="O3320">
        <v>4</v>
      </c>
      <c r="P3320">
        <v>582</v>
      </c>
      <c r="Q3320">
        <v>344</v>
      </c>
      <c r="R3320">
        <v>141</v>
      </c>
      <c r="S3320">
        <v>6007.25</v>
      </c>
    </row>
    <row r="3321" spans="12:19" x14ac:dyDescent="0.2">
      <c r="L3321" t="s">
        <v>374</v>
      </c>
      <c r="M3321">
        <v>2144</v>
      </c>
      <c r="N3321">
        <v>1</v>
      </c>
      <c r="O3321">
        <v>4</v>
      </c>
      <c r="P3321">
        <v>582</v>
      </c>
      <c r="Q3321">
        <v>344</v>
      </c>
      <c r="R3321">
        <v>141</v>
      </c>
      <c r="S3321">
        <v>5706.04</v>
      </c>
    </row>
    <row r="3322" spans="12:19" x14ac:dyDescent="0.2">
      <c r="L3322" t="s">
        <v>374</v>
      </c>
      <c r="M3322">
        <v>2149</v>
      </c>
      <c r="N3322">
        <v>1</v>
      </c>
      <c r="O3322">
        <v>4</v>
      </c>
      <c r="P3322">
        <v>582</v>
      </c>
      <c r="Q3322">
        <v>344</v>
      </c>
      <c r="R3322">
        <v>141</v>
      </c>
      <c r="S3322">
        <v>832.58</v>
      </c>
    </row>
    <row r="3323" spans="12:19" x14ac:dyDescent="0.2">
      <c r="L3323" t="s">
        <v>374</v>
      </c>
      <c r="M3323">
        <v>2154</v>
      </c>
      <c r="N3323">
        <v>1</v>
      </c>
      <c r="O3323">
        <v>4</v>
      </c>
      <c r="P3323">
        <v>582</v>
      </c>
      <c r="Q3323">
        <v>344</v>
      </c>
      <c r="R3323">
        <v>141</v>
      </c>
      <c r="S3323">
        <v>4908</v>
      </c>
    </row>
    <row r="3324" spans="12:19" x14ac:dyDescent="0.2">
      <c r="L3324" t="s">
        <v>374</v>
      </c>
      <c r="M3324">
        <v>2155</v>
      </c>
      <c r="N3324">
        <v>1</v>
      </c>
      <c r="O3324">
        <v>4</v>
      </c>
      <c r="P3324">
        <v>582</v>
      </c>
      <c r="Q3324">
        <v>344</v>
      </c>
      <c r="R3324">
        <v>141</v>
      </c>
      <c r="S3324">
        <v>13571.34</v>
      </c>
    </row>
    <row r="3325" spans="12:19" x14ac:dyDescent="0.2">
      <c r="L3325" t="s">
        <v>374</v>
      </c>
      <c r="M3325">
        <v>2159</v>
      </c>
      <c r="N3325">
        <v>1</v>
      </c>
      <c r="O3325">
        <v>4</v>
      </c>
      <c r="P3325">
        <v>582</v>
      </c>
      <c r="Q3325">
        <v>344</v>
      </c>
      <c r="R3325">
        <v>141</v>
      </c>
      <c r="S3325">
        <v>4204.58</v>
      </c>
    </row>
    <row r="3326" spans="12:19" x14ac:dyDescent="0.2">
      <c r="L3326" t="s">
        <v>374</v>
      </c>
      <c r="M3326">
        <v>2164</v>
      </c>
      <c r="N3326">
        <v>1</v>
      </c>
      <c r="O3326">
        <v>4</v>
      </c>
      <c r="P3326">
        <v>582</v>
      </c>
      <c r="Q3326">
        <v>344</v>
      </c>
      <c r="R3326">
        <v>141</v>
      </c>
      <c r="S3326">
        <v>17550.75</v>
      </c>
    </row>
    <row r="3327" spans="12:19" x14ac:dyDescent="0.2">
      <c r="L3327" t="s">
        <v>374</v>
      </c>
      <c r="M3327">
        <v>2168</v>
      </c>
      <c r="N3327">
        <v>1</v>
      </c>
      <c r="O3327">
        <v>4</v>
      </c>
      <c r="P3327">
        <v>582</v>
      </c>
      <c r="Q3327">
        <v>344</v>
      </c>
      <c r="R3327">
        <v>141</v>
      </c>
      <c r="S3327">
        <v>3145.07</v>
      </c>
    </row>
    <row r="3328" spans="12:19" x14ac:dyDescent="0.2">
      <c r="L3328" t="s">
        <v>374</v>
      </c>
      <c r="M3328">
        <v>2169</v>
      </c>
      <c r="N3328">
        <v>1</v>
      </c>
      <c r="O3328">
        <v>4</v>
      </c>
      <c r="P3328">
        <v>582</v>
      </c>
      <c r="Q3328">
        <v>344</v>
      </c>
      <c r="R3328">
        <v>141</v>
      </c>
      <c r="S3328">
        <v>13903.31</v>
      </c>
    </row>
    <row r="3329" spans="12:19" x14ac:dyDescent="0.2">
      <c r="L3329" t="s">
        <v>374</v>
      </c>
      <c r="M3329">
        <v>2174</v>
      </c>
      <c r="N3329">
        <v>1</v>
      </c>
      <c r="O3329">
        <v>4</v>
      </c>
      <c r="P3329">
        <v>582</v>
      </c>
      <c r="Q3329">
        <v>344</v>
      </c>
      <c r="R3329">
        <v>141</v>
      </c>
      <c r="S3329">
        <v>2655.31</v>
      </c>
    </row>
    <row r="3330" spans="12:19" x14ac:dyDescent="0.2">
      <c r="L3330" t="s">
        <v>374</v>
      </c>
      <c r="M3330">
        <v>2184</v>
      </c>
      <c r="N3330">
        <v>1</v>
      </c>
      <c r="O3330">
        <v>4</v>
      </c>
      <c r="P3330">
        <v>582</v>
      </c>
      <c r="Q3330">
        <v>344</v>
      </c>
      <c r="R3330">
        <v>141</v>
      </c>
      <c r="S3330">
        <v>2770.12</v>
      </c>
    </row>
    <row r="3331" spans="12:19" x14ac:dyDescent="0.2">
      <c r="L3331" t="s">
        <v>374</v>
      </c>
      <c r="M3331">
        <v>2190</v>
      </c>
      <c r="N3331">
        <v>1</v>
      </c>
      <c r="O3331">
        <v>4</v>
      </c>
      <c r="P3331">
        <v>582</v>
      </c>
      <c r="Q3331">
        <v>344</v>
      </c>
      <c r="R3331">
        <v>141</v>
      </c>
      <c r="S3331">
        <v>5339.91</v>
      </c>
    </row>
    <row r="3332" spans="12:19" x14ac:dyDescent="0.2">
      <c r="L3332" t="s">
        <v>374</v>
      </c>
      <c r="M3332">
        <v>2198</v>
      </c>
      <c r="N3332">
        <v>1</v>
      </c>
      <c r="O3332">
        <v>4</v>
      </c>
      <c r="P3332">
        <v>582</v>
      </c>
      <c r="Q3332">
        <v>344</v>
      </c>
      <c r="R3332">
        <v>141</v>
      </c>
      <c r="S3332">
        <v>8581.16</v>
      </c>
    </row>
    <row r="3333" spans="12:19" x14ac:dyDescent="0.2">
      <c r="L3333" t="s">
        <v>374</v>
      </c>
      <c r="M3333">
        <v>2310</v>
      </c>
      <c r="N3333">
        <v>1</v>
      </c>
      <c r="O3333">
        <v>4</v>
      </c>
      <c r="P3333">
        <v>582</v>
      </c>
      <c r="Q3333">
        <v>344</v>
      </c>
      <c r="R3333">
        <v>141</v>
      </c>
      <c r="S3333">
        <v>12804.41</v>
      </c>
    </row>
    <row r="3334" spans="12:19" x14ac:dyDescent="0.2">
      <c r="L3334" t="s">
        <v>374</v>
      </c>
      <c r="M3334">
        <v>2311</v>
      </c>
      <c r="N3334">
        <v>1</v>
      </c>
      <c r="O3334">
        <v>4</v>
      </c>
      <c r="P3334">
        <v>582</v>
      </c>
      <c r="Q3334">
        <v>344</v>
      </c>
      <c r="R3334">
        <v>141</v>
      </c>
      <c r="S3334">
        <v>94.25</v>
      </c>
    </row>
    <row r="3335" spans="12:19" x14ac:dyDescent="0.2">
      <c r="L3335" t="s">
        <v>374</v>
      </c>
      <c r="M3335">
        <v>2358</v>
      </c>
      <c r="N3335">
        <v>1</v>
      </c>
      <c r="O3335">
        <v>4</v>
      </c>
      <c r="P3335">
        <v>582</v>
      </c>
      <c r="Q3335">
        <v>344</v>
      </c>
      <c r="R3335">
        <v>141</v>
      </c>
      <c r="S3335">
        <v>1983.32</v>
      </c>
    </row>
    <row r="3336" spans="12:19" x14ac:dyDescent="0.2">
      <c r="L3336" t="s">
        <v>374</v>
      </c>
      <c r="M3336">
        <v>2365</v>
      </c>
      <c r="N3336">
        <v>1</v>
      </c>
      <c r="O3336">
        <v>4</v>
      </c>
      <c r="P3336">
        <v>582</v>
      </c>
      <c r="Q3336">
        <v>344</v>
      </c>
      <c r="R3336">
        <v>141</v>
      </c>
      <c r="S3336">
        <v>5329.68</v>
      </c>
    </row>
    <row r="3337" spans="12:19" x14ac:dyDescent="0.2">
      <c r="L3337" t="s">
        <v>374</v>
      </c>
      <c r="M3337">
        <v>2396</v>
      </c>
      <c r="N3337">
        <v>1</v>
      </c>
      <c r="O3337">
        <v>4</v>
      </c>
      <c r="P3337">
        <v>582</v>
      </c>
      <c r="Q3337">
        <v>344</v>
      </c>
      <c r="R3337">
        <v>141</v>
      </c>
      <c r="S3337">
        <v>15595.43</v>
      </c>
    </row>
    <row r="3338" spans="12:19" x14ac:dyDescent="0.2">
      <c r="L3338" t="s">
        <v>374</v>
      </c>
      <c r="M3338">
        <v>2397</v>
      </c>
      <c r="N3338">
        <v>1</v>
      </c>
      <c r="O3338">
        <v>4</v>
      </c>
      <c r="P3338">
        <v>582</v>
      </c>
      <c r="Q3338">
        <v>344</v>
      </c>
      <c r="R3338">
        <v>141</v>
      </c>
      <c r="S3338">
        <v>10469.19</v>
      </c>
    </row>
    <row r="3339" spans="12:19" x14ac:dyDescent="0.2">
      <c r="L3339" t="s">
        <v>374</v>
      </c>
      <c r="M3339">
        <v>2448</v>
      </c>
      <c r="N3339">
        <v>1</v>
      </c>
      <c r="O3339">
        <v>4</v>
      </c>
      <c r="P3339">
        <v>582</v>
      </c>
      <c r="Q3339">
        <v>344</v>
      </c>
      <c r="R3339">
        <v>141</v>
      </c>
      <c r="S3339">
        <v>16266.95</v>
      </c>
    </row>
    <row r="3340" spans="12:19" x14ac:dyDescent="0.2">
      <c r="L3340" t="s">
        <v>374</v>
      </c>
      <c r="M3340">
        <v>2534</v>
      </c>
      <c r="N3340">
        <v>1</v>
      </c>
      <c r="O3340">
        <v>4</v>
      </c>
      <c r="P3340">
        <v>582</v>
      </c>
      <c r="Q3340">
        <v>344</v>
      </c>
      <c r="R3340">
        <v>141</v>
      </c>
      <c r="S3340">
        <v>8597.98</v>
      </c>
    </row>
    <row r="3341" spans="12:19" x14ac:dyDescent="0.2">
      <c r="L3341" t="s">
        <v>374</v>
      </c>
      <c r="M3341">
        <v>2536</v>
      </c>
      <c r="N3341">
        <v>1</v>
      </c>
      <c r="O3341">
        <v>4</v>
      </c>
      <c r="P3341">
        <v>582</v>
      </c>
      <c r="Q3341">
        <v>344</v>
      </c>
      <c r="R3341">
        <v>141</v>
      </c>
      <c r="S3341">
        <v>2528.59</v>
      </c>
    </row>
    <row r="3342" spans="12:19" x14ac:dyDescent="0.2">
      <c r="L3342" t="s">
        <v>374</v>
      </c>
      <c r="M3342">
        <v>2580</v>
      </c>
      <c r="N3342">
        <v>1</v>
      </c>
      <c r="O3342">
        <v>4</v>
      </c>
      <c r="P3342">
        <v>582</v>
      </c>
      <c r="Q3342">
        <v>344</v>
      </c>
      <c r="R3342">
        <v>141</v>
      </c>
      <c r="S3342">
        <v>4117.9799999999996</v>
      </c>
    </row>
    <row r="3343" spans="12:19" x14ac:dyDescent="0.2">
      <c r="L3343" t="s">
        <v>374</v>
      </c>
      <c r="M3343">
        <v>2609</v>
      </c>
      <c r="N3343">
        <v>1</v>
      </c>
      <c r="O3343">
        <v>4</v>
      </c>
      <c r="P3343">
        <v>582</v>
      </c>
      <c r="Q3343">
        <v>344</v>
      </c>
      <c r="R3343">
        <v>141</v>
      </c>
      <c r="S3343">
        <v>4143.12</v>
      </c>
    </row>
    <row r="3344" spans="12:19" x14ac:dyDescent="0.2">
      <c r="L3344" t="s">
        <v>374</v>
      </c>
      <c r="M3344">
        <v>2683</v>
      </c>
      <c r="N3344">
        <v>1</v>
      </c>
      <c r="O3344">
        <v>4</v>
      </c>
      <c r="P3344">
        <v>582</v>
      </c>
      <c r="Q3344">
        <v>344</v>
      </c>
      <c r="R3344">
        <v>141</v>
      </c>
      <c r="S3344">
        <v>8881.5</v>
      </c>
    </row>
    <row r="3345" spans="12:19" x14ac:dyDescent="0.2">
      <c r="L3345" t="s">
        <v>374</v>
      </c>
      <c r="M3345">
        <v>2689</v>
      </c>
      <c r="N3345">
        <v>1</v>
      </c>
      <c r="O3345">
        <v>4</v>
      </c>
      <c r="P3345">
        <v>582</v>
      </c>
      <c r="Q3345">
        <v>344</v>
      </c>
      <c r="R3345">
        <v>141</v>
      </c>
      <c r="S3345">
        <v>4308.05</v>
      </c>
    </row>
    <row r="3346" spans="12:19" x14ac:dyDescent="0.2">
      <c r="L3346" t="s">
        <v>374</v>
      </c>
      <c r="M3346">
        <v>2711</v>
      </c>
      <c r="N3346">
        <v>1</v>
      </c>
      <c r="O3346">
        <v>4</v>
      </c>
      <c r="P3346">
        <v>582</v>
      </c>
      <c r="Q3346">
        <v>344</v>
      </c>
      <c r="R3346">
        <v>141</v>
      </c>
      <c r="S3346">
        <v>4848.28</v>
      </c>
    </row>
    <row r="3347" spans="12:19" x14ac:dyDescent="0.2">
      <c r="L3347" t="s">
        <v>374</v>
      </c>
      <c r="M3347">
        <v>2752</v>
      </c>
      <c r="N3347">
        <v>1</v>
      </c>
      <c r="O3347">
        <v>4</v>
      </c>
      <c r="P3347">
        <v>582</v>
      </c>
      <c r="Q3347">
        <v>344</v>
      </c>
      <c r="R3347">
        <v>141</v>
      </c>
      <c r="S3347">
        <v>1836.96</v>
      </c>
    </row>
    <row r="3348" spans="12:19" x14ac:dyDescent="0.2">
      <c r="L3348" t="s">
        <v>374</v>
      </c>
      <c r="M3348">
        <v>2754</v>
      </c>
      <c r="N3348">
        <v>1</v>
      </c>
      <c r="O3348">
        <v>4</v>
      </c>
      <c r="P3348">
        <v>582</v>
      </c>
      <c r="Q3348">
        <v>344</v>
      </c>
      <c r="R3348">
        <v>141</v>
      </c>
      <c r="S3348">
        <v>9985.39</v>
      </c>
    </row>
    <row r="3349" spans="12:19" x14ac:dyDescent="0.2">
      <c r="L3349" t="s">
        <v>374</v>
      </c>
      <c r="M3349">
        <v>2853</v>
      </c>
      <c r="N3349">
        <v>1</v>
      </c>
      <c r="O3349">
        <v>4</v>
      </c>
      <c r="P3349">
        <v>582</v>
      </c>
      <c r="Q3349">
        <v>344</v>
      </c>
      <c r="R3349">
        <v>141</v>
      </c>
      <c r="S3349">
        <v>27571.65</v>
      </c>
    </row>
    <row r="3350" spans="12:19" x14ac:dyDescent="0.2">
      <c r="L3350" t="s">
        <v>374</v>
      </c>
      <c r="M3350">
        <v>2859</v>
      </c>
      <c r="N3350">
        <v>1</v>
      </c>
      <c r="O3350">
        <v>4</v>
      </c>
      <c r="P3350">
        <v>582</v>
      </c>
      <c r="Q3350">
        <v>344</v>
      </c>
      <c r="R3350">
        <v>141</v>
      </c>
      <c r="S3350">
        <v>6168.88</v>
      </c>
    </row>
    <row r="3351" spans="12:19" x14ac:dyDescent="0.2">
      <c r="L3351" t="s">
        <v>374</v>
      </c>
      <c r="M3351">
        <v>2884</v>
      </c>
      <c r="N3351">
        <v>1</v>
      </c>
      <c r="O3351">
        <v>4</v>
      </c>
      <c r="P3351">
        <v>582</v>
      </c>
      <c r="Q3351">
        <v>344</v>
      </c>
      <c r="R3351">
        <v>141</v>
      </c>
      <c r="S3351">
        <v>22276.45</v>
      </c>
    </row>
    <row r="3352" spans="12:19" x14ac:dyDescent="0.2">
      <c r="L3352" t="s">
        <v>374</v>
      </c>
      <c r="M3352">
        <v>2886</v>
      </c>
      <c r="N3352">
        <v>1</v>
      </c>
      <c r="O3352">
        <v>4</v>
      </c>
      <c r="P3352">
        <v>582</v>
      </c>
      <c r="Q3352">
        <v>344</v>
      </c>
      <c r="R3352">
        <v>141</v>
      </c>
      <c r="S3352">
        <v>3805.74</v>
      </c>
    </row>
    <row r="3353" spans="12:19" x14ac:dyDescent="0.2">
      <c r="L3353" t="s">
        <v>374</v>
      </c>
      <c r="M3353">
        <v>2888</v>
      </c>
      <c r="N3353">
        <v>1</v>
      </c>
      <c r="O3353">
        <v>4</v>
      </c>
      <c r="P3353">
        <v>582</v>
      </c>
      <c r="Q3353">
        <v>344</v>
      </c>
      <c r="R3353">
        <v>141</v>
      </c>
      <c r="S3353">
        <v>8553.5499999999993</v>
      </c>
    </row>
    <row r="3354" spans="12:19" x14ac:dyDescent="0.2">
      <c r="L3354" t="s">
        <v>374</v>
      </c>
      <c r="M3354">
        <v>2889</v>
      </c>
      <c r="N3354">
        <v>1</v>
      </c>
      <c r="O3354">
        <v>4</v>
      </c>
      <c r="P3354">
        <v>582</v>
      </c>
      <c r="Q3354">
        <v>344</v>
      </c>
      <c r="R3354">
        <v>141</v>
      </c>
      <c r="S3354">
        <v>6205.54</v>
      </c>
    </row>
    <row r="3355" spans="12:19" x14ac:dyDescent="0.2">
      <c r="L3355" t="s">
        <v>374</v>
      </c>
      <c r="M3355">
        <v>2890</v>
      </c>
      <c r="N3355">
        <v>1</v>
      </c>
      <c r="O3355">
        <v>4</v>
      </c>
      <c r="P3355">
        <v>582</v>
      </c>
      <c r="Q3355">
        <v>344</v>
      </c>
      <c r="R3355">
        <v>141</v>
      </c>
      <c r="S3355">
        <v>5469.45</v>
      </c>
    </row>
    <row r="3356" spans="12:19" x14ac:dyDescent="0.2">
      <c r="L3356" t="s">
        <v>374</v>
      </c>
      <c r="M3356">
        <v>2898</v>
      </c>
      <c r="N3356">
        <v>1</v>
      </c>
      <c r="O3356">
        <v>4</v>
      </c>
      <c r="P3356">
        <v>582</v>
      </c>
      <c r="Q3356">
        <v>344</v>
      </c>
      <c r="R3356">
        <v>141</v>
      </c>
      <c r="S3356">
        <v>4450.07</v>
      </c>
    </row>
    <row r="3357" spans="12:19" x14ac:dyDescent="0.2">
      <c r="L3357" t="s">
        <v>374</v>
      </c>
      <c r="M3357">
        <v>2899</v>
      </c>
      <c r="N3357">
        <v>1</v>
      </c>
      <c r="O3357">
        <v>4</v>
      </c>
      <c r="P3357">
        <v>582</v>
      </c>
      <c r="Q3357">
        <v>344</v>
      </c>
      <c r="R3357">
        <v>141</v>
      </c>
      <c r="S3357">
        <v>17863.009999999998</v>
      </c>
    </row>
    <row r="3358" spans="12:19" x14ac:dyDescent="0.2">
      <c r="L3358" t="s">
        <v>374</v>
      </c>
      <c r="M3358">
        <v>414</v>
      </c>
      <c r="N3358">
        <v>1</v>
      </c>
      <c r="O3358">
        <v>4</v>
      </c>
      <c r="P3358">
        <v>582</v>
      </c>
      <c r="Q3358">
        <v>321</v>
      </c>
      <c r="R3358">
        <v>141</v>
      </c>
      <c r="S3358">
        <v>3255.36</v>
      </c>
    </row>
    <row r="3359" spans="12:19" x14ac:dyDescent="0.2">
      <c r="L3359" t="s">
        <v>374</v>
      </c>
      <c r="M3359">
        <v>831</v>
      </c>
      <c r="N3359">
        <v>1</v>
      </c>
      <c r="O3359">
        <v>4</v>
      </c>
      <c r="P3359">
        <v>582</v>
      </c>
      <c r="Q3359">
        <v>321</v>
      </c>
      <c r="R3359">
        <v>141</v>
      </c>
      <c r="S3359">
        <v>22165.33</v>
      </c>
    </row>
    <row r="3360" spans="12:19" x14ac:dyDescent="0.2">
      <c r="L3360" t="s">
        <v>374</v>
      </c>
      <c r="M3360">
        <v>256</v>
      </c>
      <c r="N3360">
        <v>1</v>
      </c>
      <c r="O3360">
        <v>4</v>
      </c>
      <c r="P3360">
        <v>582</v>
      </c>
      <c r="Q3360">
        <v>0</v>
      </c>
      <c r="R3360">
        <v>141</v>
      </c>
      <c r="S3360">
        <v>7052.54</v>
      </c>
    </row>
    <row r="3361" spans="12:19" x14ac:dyDescent="0.2">
      <c r="L3361" t="s">
        <v>374</v>
      </c>
      <c r="M3361">
        <v>378</v>
      </c>
      <c r="N3361">
        <v>1</v>
      </c>
      <c r="O3361">
        <v>4</v>
      </c>
      <c r="P3361">
        <v>582</v>
      </c>
      <c r="Q3361">
        <v>0</v>
      </c>
      <c r="R3361">
        <v>141</v>
      </c>
      <c r="S3361">
        <v>16451.259999999998</v>
      </c>
    </row>
    <row r="3362" spans="12:19" x14ac:dyDescent="0.2">
      <c r="L3362" t="s">
        <v>374</v>
      </c>
      <c r="M3362">
        <v>621</v>
      </c>
      <c r="N3362">
        <v>1</v>
      </c>
      <c r="O3362">
        <v>4</v>
      </c>
      <c r="P3362">
        <v>582</v>
      </c>
      <c r="Q3362">
        <v>0</v>
      </c>
      <c r="R3362">
        <v>141</v>
      </c>
      <c r="S3362">
        <v>7231.98</v>
      </c>
    </row>
    <row r="3363" spans="12:19" x14ac:dyDescent="0.2">
      <c r="L3363" t="s">
        <v>374</v>
      </c>
      <c r="M3363">
        <v>99</v>
      </c>
      <c r="N3363">
        <v>1</v>
      </c>
      <c r="O3363">
        <v>4</v>
      </c>
      <c r="P3363">
        <v>582</v>
      </c>
      <c r="Q3363">
        <v>799</v>
      </c>
      <c r="R3363">
        <v>140</v>
      </c>
      <c r="S3363">
        <v>5913.24</v>
      </c>
    </row>
    <row r="3364" spans="12:19" x14ac:dyDescent="0.2">
      <c r="L3364" t="s">
        <v>374</v>
      </c>
      <c r="M3364">
        <v>1</v>
      </c>
      <c r="N3364">
        <v>3</v>
      </c>
      <c r="O3364">
        <v>4</v>
      </c>
      <c r="P3364">
        <v>582</v>
      </c>
      <c r="Q3364">
        <v>599</v>
      </c>
      <c r="R3364">
        <v>140</v>
      </c>
      <c r="S3364">
        <v>382.5</v>
      </c>
    </row>
    <row r="3365" spans="12:19" x14ac:dyDescent="0.2">
      <c r="L3365" t="s">
        <v>374</v>
      </c>
      <c r="M3365">
        <v>625</v>
      </c>
      <c r="N3365">
        <v>1</v>
      </c>
      <c r="O3365">
        <v>4</v>
      </c>
      <c r="P3365">
        <v>582</v>
      </c>
      <c r="Q3365">
        <v>599</v>
      </c>
      <c r="R3365">
        <v>140</v>
      </c>
      <c r="S3365">
        <v>243308.66</v>
      </c>
    </row>
    <row r="3366" spans="12:19" x14ac:dyDescent="0.2">
      <c r="L3366" t="s">
        <v>374</v>
      </c>
      <c r="M3366">
        <v>81</v>
      </c>
      <c r="N3366">
        <v>1</v>
      </c>
      <c r="O3366">
        <v>4</v>
      </c>
      <c r="P3366">
        <v>581</v>
      </c>
      <c r="Q3366">
        <v>344</v>
      </c>
      <c r="R3366">
        <v>140</v>
      </c>
      <c r="S3366">
        <v>2584.69</v>
      </c>
    </row>
    <row r="3367" spans="12:19" x14ac:dyDescent="0.2">
      <c r="L3367" t="s">
        <v>374</v>
      </c>
      <c r="M3367">
        <v>463</v>
      </c>
      <c r="N3367">
        <v>1</v>
      </c>
      <c r="O3367">
        <v>4</v>
      </c>
      <c r="P3367">
        <v>581</v>
      </c>
      <c r="Q3367">
        <v>344</v>
      </c>
      <c r="R3367">
        <v>140</v>
      </c>
      <c r="S3367">
        <v>26337.22</v>
      </c>
    </row>
    <row r="3368" spans="12:19" x14ac:dyDescent="0.2">
      <c r="L3368" t="s">
        <v>374</v>
      </c>
      <c r="M3368">
        <v>1</v>
      </c>
      <c r="N3368">
        <v>1</v>
      </c>
      <c r="O3368">
        <v>4</v>
      </c>
      <c r="P3368">
        <v>582</v>
      </c>
      <c r="Q3368">
        <v>344</v>
      </c>
      <c r="R3368">
        <v>140</v>
      </c>
      <c r="S3368">
        <v>32253.360000000001</v>
      </c>
    </row>
    <row r="3369" spans="12:19" x14ac:dyDescent="0.2">
      <c r="L3369" t="s">
        <v>374</v>
      </c>
      <c r="M3369">
        <v>1</v>
      </c>
      <c r="N3369">
        <v>3</v>
      </c>
      <c r="O3369">
        <v>4</v>
      </c>
      <c r="P3369">
        <v>582</v>
      </c>
      <c r="Q3369">
        <v>344</v>
      </c>
      <c r="R3369">
        <v>140</v>
      </c>
      <c r="S3369">
        <v>192146.09</v>
      </c>
    </row>
    <row r="3370" spans="12:19" x14ac:dyDescent="0.2">
      <c r="L3370" t="s">
        <v>374</v>
      </c>
      <c r="M3370">
        <v>1</v>
      </c>
      <c r="N3370">
        <v>3</v>
      </c>
      <c r="O3370">
        <v>4</v>
      </c>
      <c r="P3370">
        <v>582</v>
      </c>
      <c r="Q3370">
        <v>344</v>
      </c>
      <c r="R3370">
        <v>140</v>
      </c>
      <c r="S3370">
        <v>3939.19</v>
      </c>
    </row>
    <row r="3371" spans="12:19" x14ac:dyDescent="0.2">
      <c r="L3371" t="s">
        <v>374</v>
      </c>
      <c r="M3371">
        <v>1</v>
      </c>
      <c r="N3371">
        <v>3</v>
      </c>
      <c r="O3371">
        <v>4</v>
      </c>
      <c r="P3371">
        <v>582</v>
      </c>
      <c r="Q3371">
        <v>344</v>
      </c>
      <c r="R3371">
        <v>140</v>
      </c>
      <c r="S3371">
        <v>7137.52</v>
      </c>
    </row>
    <row r="3372" spans="12:19" x14ac:dyDescent="0.2">
      <c r="L3372" t="s">
        <v>374</v>
      </c>
      <c r="M3372">
        <v>1</v>
      </c>
      <c r="N3372">
        <v>3</v>
      </c>
      <c r="O3372">
        <v>4</v>
      </c>
      <c r="P3372">
        <v>582</v>
      </c>
      <c r="Q3372">
        <v>344</v>
      </c>
      <c r="R3372">
        <v>140</v>
      </c>
      <c r="S3372">
        <v>6669.65</v>
      </c>
    </row>
    <row r="3373" spans="12:19" x14ac:dyDescent="0.2">
      <c r="L3373" t="s">
        <v>374</v>
      </c>
      <c r="M3373">
        <v>1</v>
      </c>
      <c r="N3373">
        <v>3</v>
      </c>
      <c r="O3373">
        <v>4</v>
      </c>
      <c r="P3373">
        <v>582</v>
      </c>
      <c r="Q3373">
        <v>344</v>
      </c>
      <c r="R3373">
        <v>140</v>
      </c>
      <c r="S3373">
        <v>1439.8</v>
      </c>
    </row>
    <row r="3374" spans="12:19" x14ac:dyDescent="0.2">
      <c r="L3374" t="s">
        <v>374</v>
      </c>
      <c r="M3374">
        <v>1</v>
      </c>
      <c r="N3374">
        <v>3</v>
      </c>
      <c r="O3374">
        <v>4</v>
      </c>
      <c r="P3374">
        <v>582</v>
      </c>
      <c r="Q3374">
        <v>344</v>
      </c>
      <c r="R3374">
        <v>140</v>
      </c>
      <c r="S3374">
        <v>6361.3</v>
      </c>
    </row>
    <row r="3375" spans="12:19" x14ac:dyDescent="0.2">
      <c r="L3375" t="s">
        <v>374</v>
      </c>
      <c r="M3375">
        <v>1</v>
      </c>
      <c r="N3375">
        <v>3</v>
      </c>
      <c r="O3375">
        <v>4</v>
      </c>
      <c r="P3375">
        <v>582</v>
      </c>
      <c r="Q3375">
        <v>344</v>
      </c>
      <c r="R3375">
        <v>140</v>
      </c>
      <c r="S3375">
        <v>13954.76</v>
      </c>
    </row>
    <row r="3376" spans="12:19" x14ac:dyDescent="0.2">
      <c r="L3376" t="s">
        <v>374</v>
      </c>
      <c r="M3376">
        <v>1</v>
      </c>
      <c r="N3376">
        <v>3</v>
      </c>
      <c r="O3376">
        <v>4</v>
      </c>
      <c r="P3376">
        <v>582</v>
      </c>
      <c r="Q3376">
        <v>344</v>
      </c>
      <c r="R3376">
        <v>140</v>
      </c>
      <c r="S3376">
        <v>15190.84</v>
      </c>
    </row>
    <row r="3377" spans="12:19" x14ac:dyDescent="0.2">
      <c r="L3377" t="s">
        <v>374</v>
      </c>
      <c r="M3377">
        <v>1</v>
      </c>
      <c r="N3377">
        <v>3</v>
      </c>
      <c r="O3377">
        <v>4</v>
      </c>
      <c r="P3377">
        <v>582</v>
      </c>
      <c r="Q3377">
        <v>344</v>
      </c>
      <c r="R3377">
        <v>140</v>
      </c>
      <c r="S3377">
        <v>5870.55</v>
      </c>
    </row>
    <row r="3378" spans="12:19" x14ac:dyDescent="0.2">
      <c r="L3378" t="s">
        <v>374</v>
      </c>
      <c r="M3378">
        <v>1</v>
      </c>
      <c r="N3378">
        <v>3</v>
      </c>
      <c r="O3378">
        <v>4</v>
      </c>
      <c r="P3378">
        <v>582</v>
      </c>
      <c r="Q3378">
        <v>344</v>
      </c>
      <c r="R3378">
        <v>140</v>
      </c>
      <c r="S3378">
        <v>8109.2</v>
      </c>
    </row>
    <row r="3379" spans="12:19" x14ac:dyDescent="0.2">
      <c r="L3379" t="s">
        <v>374</v>
      </c>
      <c r="M3379">
        <v>2</v>
      </c>
      <c r="N3379">
        <v>1</v>
      </c>
      <c r="O3379">
        <v>4</v>
      </c>
      <c r="P3379">
        <v>582</v>
      </c>
      <c r="Q3379">
        <v>344</v>
      </c>
      <c r="R3379">
        <v>140</v>
      </c>
      <c r="S3379">
        <v>3545.32</v>
      </c>
    </row>
    <row r="3380" spans="12:19" x14ac:dyDescent="0.2">
      <c r="L3380" t="s">
        <v>374</v>
      </c>
      <c r="M3380">
        <v>4</v>
      </c>
      <c r="N3380">
        <v>1</v>
      </c>
      <c r="O3380">
        <v>4</v>
      </c>
      <c r="P3380">
        <v>582</v>
      </c>
      <c r="Q3380">
        <v>344</v>
      </c>
      <c r="R3380">
        <v>140</v>
      </c>
      <c r="S3380">
        <v>11595.18</v>
      </c>
    </row>
    <row r="3381" spans="12:19" x14ac:dyDescent="0.2">
      <c r="L3381" t="s">
        <v>374</v>
      </c>
      <c r="M3381">
        <v>11</v>
      </c>
      <c r="N3381">
        <v>1</v>
      </c>
      <c r="O3381">
        <v>4</v>
      </c>
      <c r="P3381">
        <v>582</v>
      </c>
      <c r="Q3381">
        <v>344</v>
      </c>
      <c r="R3381">
        <v>140</v>
      </c>
      <c r="S3381">
        <v>396584.24</v>
      </c>
    </row>
    <row r="3382" spans="12:19" x14ac:dyDescent="0.2">
      <c r="L3382" t="s">
        <v>374</v>
      </c>
      <c r="M3382">
        <v>12</v>
      </c>
      <c r="N3382">
        <v>1</v>
      </c>
      <c r="O3382">
        <v>4</v>
      </c>
      <c r="P3382">
        <v>582</v>
      </c>
      <c r="Q3382">
        <v>344</v>
      </c>
      <c r="R3382">
        <v>140</v>
      </c>
      <c r="S3382">
        <v>42976.800000000003</v>
      </c>
    </row>
    <row r="3383" spans="12:19" x14ac:dyDescent="0.2">
      <c r="L3383" t="s">
        <v>374</v>
      </c>
      <c r="M3383">
        <v>13</v>
      </c>
      <c r="N3383">
        <v>1</v>
      </c>
      <c r="O3383">
        <v>4</v>
      </c>
      <c r="P3383">
        <v>582</v>
      </c>
      <c r="Q3383">
        <v>344</v>
      </c>
      <c r="R3383">
        <v>140</v>
      </c>
      <c r="S3383">
        <v>40242.949999999997</v>
      </c>
    </row>
    <row r="3384" spans="12:19" x14ac:dyDescent="0.2">
      <c r="L3384" t="s">
        <v>374</v>
      </c>
      <c r="M3384">
        <v>14</v>
      </c>
      <c r="N3384">
        <v>1</v>
      </c>
      <c r="O3384">
        <v>4</v>
      </c>
      <c r="P3384">
        <v>582</v>
      </c>
      <c r="Q3384">
        <v>344</v>
      </c>
      <c r="R3384">
        <v>140</v>
      </c>
      <c r="S3384">
        <v>15536.7</v>
      </c>
    </row>
    <row r="3385" spans="12:19" x14ac:dyDescent="0.2">
      <c r="L3385" t="s">
        <v>374</v>
      </c>
      <c r="M3385">
        <v>16</v>
      </c>
      <c r="N3385">
        <v>1</v>
      </c>
      <c r="O3385">
        <v>4</v>
      </c>
      <c r="P3385">
        <v>582</v>
      </c>
      <c r="Q3385">
        <v>344</v>
      </c>
      <c r="R3385">
        <v>140</v>
      </c>
      <c r="S3385">
        <v>13846.11</v>
      </c>
    </row>
    <row r="3386" spans="12:19" x14ac:dyDescent="0.2">
      <c r="L3386" t="s">
        <v>374</v>
      </c>
      <c r="M3386">
        <v>22</v>
      </c>
      <c r="N3386">
        <v>1</v>
      </c>
      <c r="O3386">
        <v>4</v>
      </c>
      <c r="P3386">
        <v>582</v>
      </c>
      <c r="Q3386">
        <v>344</v>
      </c>
      <c r="R3386">
        <v>140</v>
      </c>
      <c r="S3386">
        <v>35393.75</v>
      </c>
    </row>
    <row r="3387" spans="12:19" x14ac:dyDescent="0.2">
      <c r="L3387" t="s">
        <v>374</v>
      </c>
      <c r="M3387">
        <v>23</v>
      </c>
      <c r="N3387">
        <v>1</v>
      </c>
      <c r="O3387">
        <v>4</v>
      </c>
      <c r="P3387">
        <v>582</v>
      </c>
      <c r="Q3387">
        <v>344</v>
      </c>
      <c r="R3387">
        <v>140</v>
      </c>
      <c r="S3387">
        <v>14356</v>
      </c>
    </row>
    <row r="3388" spans="12:19" x14ac:dyDescent="0.2">
      <c r="L3388" t="s">
        <v>374</v>
      </c>
      <c r="M3388">
        <v>25</v>
      </c>
      <c r="N3388">
        <v>1</v>
      </c>
      <c r="O3388">
        <v>4</v>
      </c>
      <c r="P3388">
        <v>582</v>
      </c>
      <c r="Q3388">
        <v>344</v>
      </c>
      <c r="R3388">
        <v>140</v>
      </c>
      <c r="S3388">
        <v>1637.28</v>
      </c>
    </row>
    <row r="3389" spans="12:19" x14ac:dyDescent="0.2">
      <c r="L3389" t="s">
        <v>374</v>
      </c>
      <c r="M3389">
        <v>31</v>
      </c>
      <c r="N3389">
        <v>1</v>
      </c>
      <c r="O3389">
        <v>4</v>
      </c>
      <c r="P3389">
        <v>582</v>
      </c>
      <c r="Q3389">
        <v>344</v>
      </c>
      <c r="R3389">
        <v>140</v>
      </c>
      <c r="S3389">
        <v>46639</v>
      </c>
    </row>
    <row r="3390" spans="12:19" x14ac:dyDescent="0.2">
      <c r="L3390" t="s">
        <v>374</v>
      </c>
      <c r="M3390">
        <v>32</v>
      </c>
      <c r="N3390">
        <v>1</v>
      </c>
      <c r="O3390">
        <v>4</v>
      </c>
      <c r="P3390">
        <v>582</v>
      </c>
      <c r="Q3390">
        <v>344</v>
      </c>
      <c r="R3390">
        <v>140</v>
      </c>
      <c r="S3390">
        <v>6491.99</v>
      </c>
    </row>
    <row r="3391" spans="12:19" x14ac:dyDescent="0.2">
      <c r="L3391" t="s">
        <v>374</v>
      </c>
      <c r="M3391">
        <v>36</v>
      </c>
      <c r="N3391">
        <v>1</v>
      </c>
      <c r="O3391">
        <v>4</v>
      </c>
      <c r="P3391">
        <v>582</v>
      </c>
      <c r="Q3391">
        <v>344</v>
      </c>
      <c r="R3391">
        <v>140</v>
      </c>
      <c r="S3391">
        <v>3615.4</v>
      </c>
    </row>
    <row r="3392" spans="12:19" x14ac:dyDescent="0.2">
      <c r="L3392" t="s">
        <v>374</v>
      </c>
      <c r="M3392">
        <v>38</v>
      </c>
      <c r="N3392">
        <v>1</v>
      </c>
      <c r="O3392">
        <v>4</v>
      </c>
      <c r="P3392">
        <v>582</v>
      </c>
      <c r="Q3392">
        <v>344</v>
      </c>
      <c r="R3392">
        <v>140</v>
      </c>
      <c r="S3392">
        <v>16379.53</v>
      </c>
    </row>
    <row r="3393" spans="12:19" x14ac:dyDescent="0.2">
      <c r="L3393" t="s">
        <v>374</v>
      </c>
      <c r="M3393">
        <v>47</v>
      </c>
      <c r="N3393">
        <v>1</v>
      </c>
      <c r="O3393">
        <v>4</v>
      </c>
      <c r="P3393">
        <v>582</v>
      </c>
      <c r="Q3393">
        <v>344</v>
      </c>
      <c r="R3393">
        <v>140</v>
      </c>
      <c r="S3393">
        <v>50619.33</v>
      </c>
    </row>
    <row r="3394" spans="12:19" x14ac:dyDescent="0.2">
      <c r="L3394" t="s">
        <v>374</v>
      </c>
      <c r="M3394">
        <v>51</v>
      </c>
      <c r="N3394">
        <v>1</v>
      </c>
      <c r="O3394">
        <v>4</v>
      </c>
      <c r="P3394">
        <v>582</v>
      </c>
      <c r="Q3394">
        <v>344</v>
      </c>
      <c r="R3394">
        <v>140</v>
      </c>
      <c r="S3394">
        <v>16568.16</v>
      </c>
    </row>
    <row r="3395" spans="12:19" x14ac:dyDescent="0.2">
      <c r="L3395" t="s">
        <v>374</v>
      </c>
      <c r="M3395">
        <v>75</v>
      </c>
      <c r="N3395">
        <v>1</v>
      </c>
      <c r="O3395">
        <v>4</v>
      </c>
      <c r="P3395">
        <v>582</v>
      </c>
      <c r="Q3395">
        <v>344</v>
      </c>
      <c r="R3395">
        <v>140</v>
      </c>
      <c r="S3395">
        <v>3174.88</v>
      </c>
    </row>
    <row r="3396" spans="12:19" x14ac:dyDescent="0.2">
      <c r="L3396" t="s">
        <v>374</v>
      </c>
      <c r="M3396">
        <v>77</v>
      </c>
      <c r="N3396">
        <v>1</v>
      </c>
      <c r="O3396">
        <v>4</v>
      </c>
      <c r="P3396">
        <v>582</v>
      </c>
      <c r="Q3396">
        <v>344</v>
      </c>
      <c r="R3396">
        <v>140</v>
      </c>
      <c r="S3396">
        <v>38406.29</v>
      </c>
    </row>
    <row r="3397" spans="12:19" x14ac:dyDescent="0.2">
      <c r="L3397" t="s">
        <v>374</v>
      </c>
      <c r="M3397">
        <v>84</v>
      </c>
      <c r="N3397">
        <v>1</v>
      </c>
      <c r="O3397">
        <v>4</v>
      </c>
      <c r="P3397">
        <v>582</v>
      </c>
      <c r="Q3397">
        <v>344</v>
      </c>
      <c r="R3397">
        <v>140</v>
      </c>
      <c r="S3397">
        <v>23267.32</v>
      </c>
    </row>
    <row r="3398" spans="12:19" x14ac:dyDescent="0.2">
      <c r="L3398" t="s">
        <v>374</v>
      </c>
      <c r="M3398">
        <v>85</v>
      </c>
      <c r="N3398">
        <v>1</v>
      </c>
      <c r="O3398">
        <v>4</v>
      </c>
      <c r="P3398">
        <v>582</v>
      </c>
      <c r="Q3398">
        <v>344</v>
      </c>
      <c r="R3398">
        <v>140</v>
      </c>
      <c r="S3398">
        <v>4163.25</v>
      </c>
    </row>
    <row r="3399" spans="12:19" x14ac:dyDescent="0.2">
      <c r="L3399" t="s">
        <v>374</v>
      </c>
      <c r="M3399">
        <v>88</v>
      </c>
      <c r="N3399">
        <v>1</v>
      </c>
      <c r="O3399">
        <v>4</v>
      </c>
      <c r="P3399">
        <v>582</v>
      </c>
      <c r="Q3399">
        <v>344</v>
      </c>
      <c r="R3399">
        <v>140</v>
      </c>
      <c r="S3399">
        <v>21159.06</v>
      </c>
    </row>
    <row r="3400" spans="12:19" x14ac:dyDescent="0.2">
      <c r="L3400" t="s">
        <v>374</v>
      </c>
      <c r="M3400">
        <v>91</v>
      </c>
      <c r="N3400">
        <v>1</v>
      </c>
      <c r="O3400">
        <v>4</v>
      </c>
      <c r="P3400">
        <v>582</v>
      </c>
      <c r="Q3400">
        <v>344</v>
      </c>
      <c r="R3400">
        <v>140</v>
      </c>
      <c r="S3400">
        <v>11695.5</v>
      </c>
    </row>
    <row r="3401" spans="12:19" x14ac:dyDescent="0.2">
      <c r="L3401" t="s">
        <v>374</v>
      </c>
      <c r="M3401">
        <v>93</v>
      </c>
      <c r="N3401">
        <v>1</v>
      </c>
      <c r="O3401">
        <v>4</v>
      </c>
      <c r="P3401">
        <v>582</v>
      </c>
      <c r="Q3401">
        <v>344</v>
      </c>
      <c r="R3401">
        <v>140</v>
      </c>
      <c r="S3401">
        <v>15893.2</v>
      </c>
    </row>
    <row r="3402" spans="12:19" x14ac:dyDescent="0.2">
      <c r="L3402" t="s">
        <v>374</v>
      </c>
      <c r="M3402">
        <v>94</v>
      </c>
      <c r="N3402">
        <v>1</v>
      </c>
      <c r="O3402">
        <v>4</v>
      </c>
      <c r="P3402">
        <v>582</v>
      </c>
      <c r="Q3402">
        <v>344</v>
      </c>
      <c r="R3402">
        <v>140</v>
      </c>
      <c r="S3402">
        <v>5578.62</v>
      </c>
    </row>
    <row r="3403" spans="12:19" x14ac:dyDescent="0.2">
      <c r="L3403" t="s">
        <v>374</v>
      </c>
      <c r="M3403">
        <v>95</v>
      </c>
      <c r="N3403">
        <v>1</v>
      </c>
      <c r="O3403">
        <v>4</v>
      </c>
      <c r="P3403">
        <v>582</v>
      </c>
      <c r="Q3403">
        <v>344</v>
      </c>
      <c r="R3403">
        <v>140</v>
      </c>
      <c r="S3403">
        <v>12588.24</v>
      </c>
    </row>
    <row r="3404" spans="12:19" x14ac:dyDescent="0.2">
      <c r="L3404" t="s">
        <v>374</v>
      </c>
      <c r="M3404">
        <v>97</v>
      </c>
      <c r="N3404">
        <v>1</v>
      </c>
      <c r="O3404">
        <v>4</v>
      </c>
      <c r="P3404">
        <v>582</v>
      </c>
      <c r="Q3404">
        <v>344</v>
      </c>
      <c r="R3404">
        <v>140</v>
      </c>
      <c r="S3404">
        <v>14516.44</v>
      </c>
    </row>
    <row r="3405" spans="12:19" x14ac:dyDescent="0.2">
      <c r="L3405" t="s">
        <v>374</v>
      </c>
      <c r="M3405">
        <v>99</v>
      </c>
      <c r="N3405">
        <v>1</v>
      </c>
      <c r="O3405">
        <v>4</v>
      </c>
      <c r="P3405">
        <v>582</v>
      </c>
      <c r="Q3405">
        <v>344</v>
      </c>
      <c r="R3405">
        <v>140</v>
      </c>
      <c r="S3405">
        <v>15827.76</v>
      </c>
    </row>
    <row r="3406" spans="12:19" x14ac:dyDescent="0.2">
      <c r="L3406" t="s">
        <v>374</v>
      </c>
      <c r="M3406">
        <v>100</v>
      </c>
      <c r="N3406">
        <v>1</v>
      </c>
      <c r="O3406">
        <v>4</v>
      </c>
      <c r="P3406">
        <v>582</v>
      </c>
      <c r="Q3406">
        <v>344</v>
      </c>
      <c r="R3406">
        <v>140</v>
      </c>
      <c r="S3406">
        <v>3128.55</v>
      </c>
    </row>
    <row r="3407" spans="12:19" x14ac:dyDescent="0.2">
      <c r="L3407" t="s">
        <v>374</v>
      </c>
      <c r="M3407">
        <v>108</v>
      </c>
      <c r="N3407">
        <v>1</v>
      </c>
      <c r="O3407">
        <v>4</v>
      </c>
      <c r="P3407">
        <v>582</v>
      </c>
      <c r="Q3407">
        <v>344</v>
      </c>
      <c r="R3407">
        <v>140</v>
      </c>
      <c r="S3407">
        <v>3289.36</v>
      </c>
    </row>
    <row r="3408" spans="12:19" x14ac:dyDescent="0.2">
      <c r="L3408" t="s">
        <v>374</v>
      </c>
      <c r="M3408">
        <v>110</v>
      </c>
      <c r="N3408">
        <v>1</v>
      </c>
      <c r="O3408">
        <v>4</v>
      </c>
      <c r="P3408">
        <v>582</v>
      </c>
      <c r="Q3408">
        <v>344</v>
      </c>
      <c r="R3408">
        <v>140</v>
      </c>
      <c r="S3408">
        <v>17896.73</v>
      </c>
    </row>
    <row r="3409" spans="12:19" x14ac:dyDescent="0.2">
      <c r="L3409" t="s">
        <v>374</v>
      </c>
      <c r="M3409">
        <v>111</v>
      </c>
      <c r="N3409">
        <v>1</v>
      </c>
      <c r="O3409">
        <v>4</v>
      </c>
      <c r="P3409">
        <v>582</v>
      </c>
      <c r="Q3409">
        <v>344</v>
      </c>
      <c r="R3409">
        <v>140</v>
      </c>
      <c r="S3409">
        <v>13070.38</v>
      </c>
    </row>
    <row r="3410" spans="12:19" x14ac:dyDescent="0.2">
      <c r="L3410" t="s">
        <v>374</v>
      </c>
      <c r="M3410">
        <v>112</v>
      </c>
      <c r="N3410">
        <v>1</v>
      </c>
      <c r="O3410">
        <v>4</v>
      </c>
      <c r="P3410">
        <v>582</v>
      </c>
      <c r="Q3410">
        <v>344</v>
      </c>
      <c r="R3410">
        <v>140</v>
      </c>
      <c r="S3410">
        <v>31595.040000000001</v>
      </c>
    </row>
    <row r="3411" spans="12:19" x14ac:dyDescent="0.2">
      <c r="L3411" t="s">
        <v>374</v>
      </c>
      <c r="M3411">
        <v>113</v>
      </c>
      <c r="N3411">
        <v>1</v>
      </c>
      <c r="O3411">
        <v>4</v>
      </c>
      <c r="P3411">
        <v>582</v>
      </c>
      <c r="Q3411">
        <v>344</v>
      </c>
      <c r="R3411">
        <v>140</v>
      </c>
      <c r="S3411">
        <v>9504</v>
      </c>
    </row>
    <row r="3412" spans="12:19" x14ac:dyDescent="0.2">
      <c r="L3412" t="s">
        <v>374</v>
      </c>
      <c r="M3412">
        <v>115</v>
      </c>
      <c r="N3412">
        <v>1</v>
      </c>
      <c r="O3412">
        <v>4</v>
      </c>
      <c r="P3412">
        <v>582</v>
      </c>
      <c r="Q3412">
        <v>344</v>
      </c>
      <c r="R3412">
        <v>140</v>
      </c>
      <c r="S3412">
        <v>31646.639999999999</v>
      </c>
    </row>
    <row r="3413" spans="12:19" x14ac:dyDescent="0.2">
      <c r="L3413" t="s">
        <v>374</v>
      </c>
      <c r="M3413">
        <v>116</v>
      </c>
      <c r="N3413">
        <v>1</v>
      </c>
      <c r="O3413">
        <v>4</v>
      </c>
      <c r="P3413">
        <v>582</v>
      </c>
      <c r="Q3413">
        <v>344</v>
      </c>
      <c r="R3413">
        <v>140</v>
      </c>
      <c r="S3413">
        <v>24473.279999999999</v>
      </c>
    </row>
    <row r="3414" spans="12:19" x14ac:dyDescent="0.2">
      <c r="L3414" t="s">
        <v>374</v>
      </c>
      <c r="M3414">
        <v>138</v>
      </c>
      <c r="N3414">
        <v>1</v>
      </c>
      <c r="O3414">
        <v>4</v>
      </c>
      <c r="P3414">
        <v>582</v>
      </c>
      <c r="Q3414">
        <v>344</v>
      </c>
      <c r="R3414">
        <v>140</v>
      </c>
      <c r="S3414">
        <v>10064.98</v>
      </c>
    </row>
    <row r="3415" spans="12:19" x14ac:dyDescent="0.2">
      <c r="L3415" t="s">
        <v>374</v>
      </c>
      <c r="M3415">
        <v>146</v>
      </c>
      <c r="N3415">
        <v>1</v>
      </c>
      <c r="O3415">
        <v>4</v>
      </c>
      <c r="P3415">
        <v>582</v>
      </c>
      <c r="Q3415">
        <v>344</v>
      </c>
      <c r="R3415">
        <v>140</v>
      </c>
      <c r="S3415">
        <v>210</v>
      </c>
    </row>
    <row r="3416" spans="12:19" x14ac:dyDescent="0.2">
      <c r="L3416" t="s">
        <v>374</v>
      </c>
      <c r="M3416">
        <v>150</v>
      </c>
      <c r="N3416">
        <v>1</v>
      </c>
      <c r="O3416">
        <v>4</v>
      </c>
      <c r="P3416">
        <v>582</v>
      </c>
      <c r="Q3416">
        <v>344</v>
      </c>
      <c r="R3416">
        <v>140</v>
      </c>
      <c r="S3416">
        <v>5220.5</v>
      </c>
    </row>
    <row r="3417" spans="12:19" x14ac:dyDescent="0.2">
      <c r="L3417" t="s">
        <v>374</v>
      </c>
      <c r="M3417">
        <v>152</v>
      </c>
      <c r="N3417">
        <v>1</v>
      </c>
      <c r="O3417">
        <v>4</v>
      </c>
      <c r="P3417">
        <v>582</v>
      </c>
      <c r="Q3417">
        <v>344</v>
      </c>
      <c r="R3417">
        <v>140</v>
      </c>
      <c r="S3417">
        <v>27046.05</v>
      </c>
    </row>
    <row r="3418" spans="12:19" x14ac:dyDescent="0.2">
      <c r="L3418" t="s">
        <v>374</v>
      </c>
      <c r="M3418">
        <v>162</v>
      </c>
      <c r="N3418">
        <v>1</v>
      </c>
      <c r="O3418">
        <v>4</v>
      </c>
      <c r="P3418">
        <v>582</v>
      </c>
      <c r="Q3418">
        <v>344</v>
      </c>
      <c r="R3418">
        <v>140</v>
      </c>
      <c r="S3418">
        <v>19374.96</v>
      </c>
    </row>
    <row r="3419" spans="12:19" x14ac:dyDescent="0.2">
      <c r="L3419" t="s">
        <v>374</v>
      </c>
      <c r="M3419">
        <v>166</v>
      </c>
      <c r="N3419">
        <v>1</v>
      </c>
      <c r="O3419">
        <v>4</v>
      </c>
      <c r="P3419">
        <v>582</v>
      </c>
      <c r="Q3419">
        <v>344</v>
      </c>
      <c r="R3419">
        <v>140</v>
      </c>
      <c r="S3419">
        <v>435</v>
      </c>
    </row>
    <row r="3420" spans="12:19" x14ac:dyDescent="0.2">
      <c r="L3420" t="s">
        <v>374</v>
      </c>
      <c r="M3420">
        <v>173</v>
      </c>
      <c r="N3420">
        <v>1</v>
      </c>
      <c r="O3420">
        <v>4</v>
      </c>
      <c r="P3420">
        <v>582</v>
      </c>
      <c r="Q3420">
        <v>344</v>
      </c>
      <c r="R3420">
        <v>140</v>
      </c>
      <c r="S3420">
        <v>2672.25</v>
      </c>
    </row>
    <row r="3421" spans="12:19" x14ac:dyDescent="0.2">
      <c r="L3421" t="s">
        <v>374</v>
      </c>
      <c r="M3421">
        <v>177</v>
      </c>
      <c r="N3421">
        <v>1</v>
      </c>
      <c r="O3421">
        <v>4</v>
      </c>
      <c r="P3421">
        <v>582</v>
      </c>
      <c r="Q3421">
        <v>344</v>
      </c>
      <c r="R3421">
        <v>140</v>
      </c>
      <c r="S3421">
        <v>9598.43</v>
      </c>
    </row>
    <row r="3422" spans="12:19" x14ac:dyDescent="0.2">
      <c r="L3422" t="s">
        <v>374</v>
      </c>
      <c r="M3422">
        <v>181</v>
      </c>
      <c r="N3422">
        <v>1</v>
      </c>
      <c r="O3422">
        <v>4</v>
      </c>
      <c r="P3422">
        <v>582</v>
      </c>
      <c r="Q3422">
        <v>344</v>
      </c>
      <c r="R3422">
        <v>140</v>
      </c>
      <c r="S3422">
        <v>131531.69</v>
      </c>
    </row>
    <row r="3423" spans="12:19" x14ac:dyDescent="0.2">
      <c r="L3423" t="s">
        <v>374</v>
      </c>
      <c r="M3423">
        <v>182</v>
      </c>
      <c r="N3423">
        <v>1</v>
      </c>
      <c r="O3423">
        <v>4</v>
      </c>
      <c r="P3423">
        <v>582</v>
      </c>
      <c r="Q3423">
        <v>344</v>
      </c>
      <c r="R3423">
        <v>140</v>
      </c>
      <c r="S3423">
        <v>13268.11</v>
      </c>
    </row>
    <row r="3424" spans="12:19" x14ac:dyDescent="0.2">
      <c r="L3424" t="s">
        <v>374</v>
      </c>
      <c r="M3424">
        <v>186</v>
      </c>
      <c r="N3424">
        <v>1</v>
      </c>
      <c r="O3424">
        <v>4</v>
      </c>
      <c r="P3424">
        <v>582</v>
      </c>
      <c r="Q3424">
        <v>344</v>
      </c>
      <c r="R3424">
        <v>140</v>
      </c>
      <c r="S3424">
        <v>29301.77</v>
      </c>
    </row>
    <row r="3425" spans="12:19" x14ac:dyDescent="0.2">
      <c r="L3425" t="s">
        <v>374</v>
      </c>
      <c r="M3425">
        <v>191</v>
      </c>
      <c r="N3425">
        <v>1</v>
      </c>
      <c r="O3425">
        <v>4</v>
      </c>
      <c r="P3425">
        <v>582</v>
      </c>
      <c r="Q3425">
        <v>344</v>
      </c>
      <c r="R3425">
        <v>140</v>
      </c>
      <c r="S3425">
        <v>31348.06</v>
      </c>
    </row>
    <row r="3426" spans="12:19" x14ac:dyDescent="0.2">
      <c r="L3426" t="s">
        <v>374</v>
      </c>
      <c r="M3426">
        <v>192</v>
      </c>
      <c r="N3426">
        <v>1</v>
      </c>
      <c r="O3426">
        <v>4</v>
      </c>
      <c r="P3426">
        <v>582</v>
      </c>
      <c r="Q3426">
        <v>344</v>
      </c>
      <c r="R3426">
        <v>140</v>
      </c>
      <c r="S3426">
        <v>30829.88</v>
      </c>
    </row>
    <row r="3427" spans="12:19" x14ac:dyDescent="0.2">
      <c r="L3427" t="s">
        <v>374</v>
      </c>
      <c r="M3427">
        <v>195</v>
      </c>
      <c r="N3427">
        <v>1</v>
      </c>
      <c r="O3427">
        <v>4</v>
      </c>
      <c r="P3427">
        <v>582</v>
      </c>
      <c r="Q3427">
        <v>344</v>
      </c>
      <c r="R3427">
        <v>140</v>
      </c>
      <c r="S3427">
        <v>141.44999999999999</v>
      </c>
    </row>
    <row r="3428" spans="12:19" x14ac:dyDescent="0.2">
      <c r="L3428" t="s">
        <v>374</v>
      </c>
      <c r="M3428">
        <v>196</v>
      </c>
      <c r="N3428">
        <v>1</v>
      </c>
      <c r="O3428">
        <v>4</v>
      </c>
      <c r="P3428">
        <v>582</v>
      </c>
      <c r="Q3428">
        <v>344</v>
      </c>
      <c r="R3428">
        <v>140</v>
      </c>
      <c r="S3428">
        <v>166218.98000000001</v>
      </c>
    </row>
    <row r="3429" spans="12:19" x14ac:dyDescent="0.2">
      <c r="L3429" t="s">
        <v>374</v>
      </c>
      <c r="M3429">
        <v>197</v>
      </c>
      <c r="N3429">
        <v>1</v>
      </c>
      <c r="O3429">
        <v>4</v>
      </c>
      <c r="P3429">
        <v>582</v>
      </c>
      <c r="Q3429">
        <v>344</v>
      </c>
      <c r="R3429">
        <v>140</v>
      </c>
      <c r="S3429">
        <v>47506.77</v>
      </c>
    </row>
    <row r="3430" spans="12:19" x14ac:dyDescent="0.2">
      <c r="L3430" t="s">
        <v>374</v>
      </c>
      <c r="M3430">
        <v>200</v>
      </c>
      <c r="N3430">
        <v>1</v>
      </c>
      <c r="O3430">
        <v>4</v>
      </c>
      <c r="P3430">
        <v>582</v>
      </c>
      <c r="Q3430">
        <v>344</v>
      </c>
      <c r="R3430">
        <v>140</v>
      </c>
      <c r="S3430">
        <v>36557.800000000003</v>
      </c>
    </row>
    <row r="3431" spans="12:19" x14ac:dyDescent="0.2">
      <c r="L3431" t="s">
        <v>374</v>
      </c>
      <c r="M3431">
        <v>203</v>
      </c>
      <c r="N3431">
        <v>1</v>
      </c>
      <c r="O3431">
        <v>4</v>
      </c>
      <c r="P3431">
        <v>582</v>
      </c>
      <c r="Q3431">
        <v>344</v>
      </c>
      <c r="R3431">
        <v>140</v>
      </c>
      <c r="S3431">
        <v>6515.81</v>
      </c>
    </row>
    <row r="3432" spans="12:19" x14ac:dyDescent="0.2">
      <c r="L3432" t="s">
        <v>374</v>
      </c>
      <c r="M3432">
        <v>204</v>
      </c>
      <c r="N3432">
        <v>1</v>
      </c>
      <c r="O3432">
        <v>4</v>
      </c>
      <c r="P3432">
        <v>582</v>
      </c>
      <c r="Q3432">
        <v>344</v>
      </c>
      <c r="R3432">
        <v>140</v>
      </c>
      <c r="S3432">
        <v>30250</v>
      </c>
    </row>
    <row r="3433" spans="12:19" x14ac:dyDescent="0.2">
      <c r="L3433" t="s">
        <v>374</v>
      </c>
      <c r="M3433">
        <v>206</v>
      </c>
      <c r="N3433">
        <v>1</v>
      </c>
      <c r="O3433">
        <v>4</v>
      </c>
      <c r="P3433">
        <v>582</v>
      </c>
      <c r="Q3433">
        <v>344</v>
      </c>
      <c r="R3433">
        <v>140</v>
      </c>
      <c r="S3433">
        <v>51740.76</v>
      </c>
    </row>
    <row r="3434" spans="12:19" x14ac:dyDescent="0.2">
      <c r="L3434" t="s">
        <v>374</v>
      </c>
      <c r="M3434">
        <v>213</v>
      </c>
      <c r="N3434">
        <v>1</v>
      </c>
      <c r="O3434">
        <v>4</v>
      </c>
      <c r="P3434">
        <v>582</v>
      </c>
      <c r="Q3434">
        <v>344</v>
      </c>
      <c r="R3434">
        <v>140</v>
      </c>
      <c r="S3434">
        <v>27953.02</v>
      </c>
    </row>
    <row r="3435" spans="12:19" x14ac:dyDescent="0.2">
      <c r="L3435" t="s">
        <v>374</v>
      </c>
      <c r="M3435">
        <v>227</v>
      </c>
      <c r="N3435">
        <v>1</v>
      </c>
      <c r="O3435">
        <v>4</v>
      </c>
      <c r="P3435">
        <v>582</v>
      </c>
      <c r="Q3435">
        <v>344</v>
      </c>
      <c r="R3435">
        <v>140</v>
      </c>
      <c r="S3435">
        <v>14903.55</v>
      </c>
    </row>
    <row r="3436" spans="12:19" x14ac:dyDescent="0.2">
      <c r="L3436" t="s">
        <v>374</v>
      </c>
      <c r="M3436">
        <v>238</v>
      </c>
      <c r="N3436">
        <v>1</v>
      </c>
      <c r="O3436">
        <v>4</v>
      </c>
      <c r="P3436">
        <v>582</v>
      </c>
      <c r="Q3436">
        <v>344</v>
      </c>
      <c r="R3436">
        <v>140</v>
      </c>
      <c r="S3436">
        <v>18606.400000000001</v>
      </c>
    </row>
    <row r="3437" spans="12:19" x14ac:dyDescent="0.2">
      <c r="L3437" t="s">
        <v>374</v>
      </c>
      <c r="M3437">
        <v>239</v>
      </c>
      <c r="N3437">
        <v>1</v>
      </c>
      <c r="O3437">
        <v>4</v>
      </c>
      <c r="P3437">
        <v>582</v>
      </c>
      <c r="Q3437">
        <v>344</v>
      </c>
      <c r="R3437">
        <v>140</v>
      </c>
      <c r="S3437">
        <v>3500.05</v>
      </c>
    </row>
    <row r="3438" spans="12:19" x14ac:dyDescent="0.2">
      <c r="L3438" t="s">
        <v>374</v>
      </c>
      <c r="M3438">
        <v>242</v>
      </c>
      <c r="N3438">
        <v>1</v>
      </c>
      <c r="O3438">
        <v>4</v>
      </c>
      <c r="P3438">
        <v>582</v>
      </c>
      <c r="Q3438">
        <v>344</v>
      </c>
      <c r="R3438">
        <v>140</v>
      </c>
      <c r="S3438">
        <v>12600</v>
      </c>
    </row>
    <row r="3439" spans="12:19" x14ac:dyDescent="0.2">
      <c r="L3439" t="s">
        <v>374</v>
      </c>
      <c r="M3439">
        <v>252</v>
      </c>
      <c r="N3439">
        <v>1</v>
      </c>
      <c r="O3439">
        <v>4</v>
      </c>
      <c r="P3439">
        <v>582</v>
      </c>
      <c r="Q3439">
        <v>344</v>
      </c>
      <c r="R3439">
        <v>140</v>
      </c>
      <c r="S3439">
        <v>3856.17</v>
      </c>
    </row>
    <row r="3440" spans="12:19" x14ac:dyDescent="0.2">
      <c r="L3440" t="s">
        <v>374</v>
      </c>
      <c r="M3440">
        <v>255</v>
      </c>
      <c r="N3440">
        <v>1</v>
      </c>
      <c r="O3440">
        <v>4</v>
      </c>
      <c r="P3440">
        <v>582</v>
      </c>
      <c r="Q3440">
        <v>344</v>
      </c>
      <c r="R3440">
        <v>140</v>
      </c>
      <c r="S3440">
        <v>23134.97</v>
      </c>
    </row>
    <row r="3441" spans="12:19" x14ac:dyDescent="0.2">
      <c r="L3441" t="s">
        <v>374</v>
      </c>
      <c r="M3441">
        <v>264</v>
      </c>
      <c r="N3441">
        <v>1</v>
      </c>
      <c r="O3441">
        <v>4</v>
      </c>
      <c r="P3441">
        <v>582</v>
      </c>
      <c r="Q3441">
        <v>344</v>
      </c>
      <c r="R3441">
        <v>140</v>
      </c>
      <c r="S3441">
        <v>5762.49</v>
      </c>
    </row>
    <row r="3442" spans="12:19" x14ac:dyDescent="0.2">
      <c r="L3442" t="s">
        <v>374</v>
      </c>
      <c r="M3442">
        <v>270</v>
      </c>
      <c r="N3442">
        <v>1</v>
      </c>
      <c r="O3442">
        <v>4</v>
      </c>
      <c r="P3442">
        <v>582</v>
      </c>
      <c r="Q3442">
        <v>344</v>
      </c>
      <c r="R3442">
        <v>140</v>
      </c>
      <c r="S3442">
        <v>10993.66</v>
      </c>
    </row>
    <row r="3443" spans="12:19" x14ac:dyDescent="0.2">
      <c r="L3443" t="s">
        <v>374</v>
      </c>
      <c r="M3443">
        <v>271</v>
      </c>
      <c r="N3443">
        <v>1</v>
      </c>
      <c r="O3443">
        <v>4</v>
      </c>
      <c r="P3443">
        <v>582</v>
      </c>
      <c r="Q3443">
        <v>344</v>
      </c>
      <c r="R3443">
        <v>140</v>
      </c>
      <c r="S3443">
        <v>239806.19</v>
      </c>
    </row>
    <row r="3444" spans="12:19" x14ac:dyDescent="0.2">
      <c r="L3444" t="s">
        <v>374</v>
      </c>
      <c r="M3444">
        <v>272</v>
      </c>
      <c r="N3444">
        <v>1</v>
      </c>
      <c r="O3444">
        <v>4</v>
      </c>
      <c r="P3444">
        <v>582</v>
      </c>
      <c r="Q3444">
        <v>344</v>
      </c>
      <c r="R3444">
        <v>140</v>
      </c>
      <c r="S3444">
        <v>109686.82</v>
      </c>
    </row>
    <row r="3445" spans="12:19" x14ac:dyDescent="0.2">
      <c r="L3445" t="s">
        <v>374</v>
      </c>
      <c r="M3445">
        <v>276</v>
      </c>
      <c r="N3445">
        <v>1</v>
      </c>
      <c r="O3445">
        <v>4</v>
      </c>
      <c r="P3445">
        <v>582</v>
      </c>
      <c r="Q3445">
        <v>344</v>
      </c>
      <c r="R3445">
        <v>140</v>
      </c>
      <c r="S3445">
        <v>5299.92</v>
      </c>
    </row>
    <row r="3446" spans="12:19" x14ac:dyDescent="0.2">
      <c r="L3446" t="s">
        <v>374</v>
      </c>
      <c r="M3446">
        <v>277</v>
      </c>
      <c r="N3446">
        <v>1</v>
      </c>
      <c r="O3446">
        <v>4</v>
      </c>
      <c r="P3446">
        <v>582</v>
      </c>
      <c r="Q3446">
        <v>344</v>
      </c>
      <c r="R3446">
        <v>140</v>
      </c>
      <c r="S3446">
        <v>240</v>
      </c>
    </row>
    <row r="3447" spans="12:19" x14ac:dyDescent="0.2">
      <c r="L3447" t="s">
        <v>374</v>
      </c>
      <c r="M3447">
        <v>278</v>
      </c>
      <c r="N3447">
        <v>1</v>
      </c>
      <c r="O3447">
        <v>4</v>
      </c>
      <c r="P3447">
        <v>582</v>
      </c>
      <c r="Q3447">
        <v>344</v>
      </c>
      <c r="R3447">
        <v>140</v>
      </c>
      <c r="S3447">
        <v>46790.66</v>
      </c>
    </row>
    <row r="3448" spans="12:19" x14ac:dyDescent="0.2">
      <c r="L3448" t="s">
        <v>374</v>
      </c>
      <c r="M3448">
        <v>279</v>
      </c>
      <c r="N3448">
        <v>1</v>
      </c>
      <c r="O3448">
        <v>4</v>
      </c>
      <c r="P3448">
        <v>582</v>
      </c>
      <c r="Q3448">
        <v>344</v>
      </c>
      <c r="R3448">
        <v>140</v>
      </c>
      <c r="S3448">
        <v>99226.86</v>
      </c>
    </row>
    <row r="3449" spans="12:19" x14ac:dyDescent="0.2">
      <c r="L3449" t="s">
        <v>374</v>
      </c>
      <c r="M3449">
        <v>283</v>
      </c>
      <c r="N3449">
        <v>1</v>
      </c>
      <c r="O3449">
        <v>4</v>
      </c>
      <c r="P3449">
        <v>582</v>
      </c>
      <c r="Q3449">
        <v>344</v>
      </c>
      <c r="R3449">
        <v>140</v>
      </c>
      <c r="S3449">
        <v>16025.44</v>
      </c>
    </row>
    <row r="3450" spans="12:19" x14ac:dyDescent="0.2">
      <c r="L3450" t="s">
        <v>374</v>
      </c>
      <c r="M3450">
        <v>286</v>
      </c>
      <c r="N3450">
        <v>1</v>
      </c>
      <c r="O3450">
        <v>4</v>
      </c>
      <c r="P3450">
        <v>582</v>
      </c>
      <c r="Q3450">
        <v>344</v>
      </c>
      <c r="R3450">
        <v>140</v>
      </c>
      <c r="S3450">
        <v>26083.38</v>
      </c>
    </row>
    <row r="3451" spans="12:19" x14ac:dyDescent="0.2">
      <c r="L3451" t="s">
        <v>374</v>
      </c>
      <c r="M3451">
        <v>294</v>
      </c>
      <c r="N3451">
        <v>1</v>
      </c>
      <c r="O3451">
        <v>4</v>
      </c>
      <c r="P3451">
        <v>582</v>
      </c>
      <c r="Q3451">
        <v>344</v>
      </c>
      <c r="R3451">
        <v>140</v>
      </c>
      <c r="S3451">
        <v>5271.63</v>
      </c>
    </row>
    <row r="3452" spans="12:19" x14ac:dyDescent="0.2">
      <c r="L3452" t="s">
        <v>374</v>
      </c>
      <c r="M3452">
        <v>297</v>
      </c>
      <c r="N3452">
        <v>1</v>
      </c>
      <c r="O3452">
        <v>4</v>
      </c>
      <c r="P3452">
        <v>582</v>
      </c>
      <c r="Q3452">
        <v>344</v>
      </c>
      <c r="R3452">
        <v>140</v>
      </c>
      <c r="S3452">
        <v>1429.51</v>
      </c>
    </row>
    <row r="3453" spans="12:19" x14ac:dyDescent="0.2">
      <c r="L3453" t="s">
        <v>374</v>
      </c>
      <c r="M3453">
        <v>299</v>
      </c>
      <c r="N3453">
        <v>1</v>
      </c>
      <c r="O3453">
        <v>4</v>
      </c>
      <c r="P3453">
        <v>582</v>
      </c>
      <c r="Q3453">
        <v>344</v>
      </c>
      <c r="R3453">
        <v>140</v>
      </c>
      <c r="S3453">
        <v>30370.03</v>
      </c>
    </row>
    <row r="3454" spans="12:19" x14ac:dyDescent="0.2">
      <c r="L3454" t="s">
        <v>374</v>
      </c>
      <c r="M3454">
        <v>300</v>
      </c>
      <c r="N3454">
        <v>1</v>
      </c>
      <c r="O3454">
        <v>4</v>
      </c>
      <c r="P3454">
        <v>582</v>
      </c>
      <c r="Q3454">
        <v>344</v>
      </c>
      <c r="R3454">
        <v>140</v>
      </c>
      <c r="S3454">
        <v>13393.42</v>
      </c>
    </row>
    <row r="3455" spans="12:19" x14ac:dyDescent="0.2">
      <c r="L3455" t="s">
        <v>374</v>
      </c>
      <c r="M3455">
        <v>306</v>
      </c>
      <c r="N3455">
        <v>1</v>
      </c>
      <c r="O3455">
        <v>4</v>
      </c>
      <c r="P3455">
        <v>582</v>
      </c>
      <c r="Q3455">
        <v>344</v>
      </c>
      <c r="R3455">
        <v>140</v>
      </c>
      <c r="S3455">
        <v>9075</v>
      </c>
    </row>
    <row r="3456" spans="12:19" x14ac:dyDescent="0.2">
      <c r="L3456" t="s">
        <v>374</v>
      </c>
      <c r="M3456">
        <v>308</v>
      </c>
      <c r="N3456">
        <v>1</v>
      </c>
      <c r="O3456">
        <v>4</v>
      </c>
      <c r="P3456">
        <v>582</v>
      </c>
      <c r="Q3456">
        <v>344</v>
      </c>
      <c r="R3456">
        <v>140</v>
      </c>
      <c r="S3456">
        <v>8394.9</v>
      </c>
    </row>
    <row r="3457" spans="12:19" x14ac:dyDescent="0.2">
      <c r="L3457" t="s">
        <v>374</v>
      </c>
      <c r="M3457">
        <v>309</v>
      </c>
      <c r="N3457">
        <v>1</v>
      </c>
      <c r="O3457">
        <v>4</v>
      </c>
      <c r="P3457">
        <v>582</v>
      </c>
      <c r="Q3457">
        <v>344</v>
      </c>
      <c r="R3457">
        <v>140</v>
      </c>
      <c r="S3457">
        <v>16547.45</v>
      </c>
    </row>
    <row r="3458" spans="12:19" x14ac:dyDescent="0.2">
      <c r="L3458" t="s">
        <v>374</v>
      </c>
      <c r="M3458">
        <v>314</v>
      </c>
      <c r="N3458">
        <v>1</v>
      </c>
      <c r="O3458">
        <v>4</v>
      </c>
      <c r="P3458">
        <v>582</v>
      </c>
      <c r="Q3458">
        <v>344</v>
      </c>
      <c r="R3458">
        <v>140</v>
      </c>
      <c r="S3458">
        <v>17841.990000000002</v>
      </c>
    </row>
    <row r="3459" spans="12:19" x14ac:dyDescent="0.2">
      <c r="L3459" t="s">
        <v>374</v>
      </c>
      <c r="M3459">
        <v>316</v>
      </c>
      <c r="N3459">
        <v>1</v>
      </c>
      <c r="O3459">
        <v>4</v>
      </c>
      <c r="P3459">
        <v>582</v>
      </c>
      <c r="Q3459">
        <v>344</v>
      </c>
      <c r="R3459">
        <v>140</v>
      </c>
      <c r="S3459">
        <v>24432.18</v>
      </c>
    </row>
    <row r="3460" spans="12:19" x14ac:dyDescent="0.2">
      <c r="L3460" t="s">
        <v>374</v>
      </c>
      <c r="M3460">
        <v>317</v>
      </c>
      <c r="N3460">
        <v>1</v>
      </c>
      <c r="O3460">
        <v>4</v>
      </c>
      <c r="P3460">
        <v>582</v>
      </c>
      <c r="Q3460">
        <v>344</v>
      </c>
      <c r="R3460">
        <v>140</v>
      </c>
      <c r="S3460">
        <v>61647.4</v>
      </c>
    </row>
    <row r="3461" spans="12:19" x14ac:dyDescent="0.2">
      <c r="L3461" t="s">
        <v>374</v>
      </c>
      <c r="M3461">
        <v>318</v>
      </c>
      <c r="N3461">
        <v>1</v>
      </c>
      <c r="O3461">
        <v>4</v>
      </c>
      <c r="P3461">
        <v>582</v>
      </c>
      <c r="Q3461">
        <v>344</v>
      </c>
      <c r="R3461">
        <v>140</v>
      </c>
      <c r="S3461">
        <v>29539.89</v>
      </c>
    </row>
    <row r="3462" spans="12:19" x14ac:dyDescent="0.2">
      <c r="L3462" t="s">
        <v>374</v>
      </c>
      <c r="M3462">
        <v>332</v>
      </c>
      <c r="N3462">
        <v>1</v>
      </c>
      <c r="O3462">
        <v>4</v>
      </c>
      <c r="P3462">
        <v>582</v>
      </c>
      <c r="Q3462">
        <v>344</v>
      </c>
      <c r="R3462">
        <v>140</v>
      </c>
      <c r="S3462">
        <v>7905.77</v>
      </c>
    </row>
    <row r="3463" spans="12:19" x14ac:dyDescent="0.2">
      <c r="L3463" t="s">
        <v>374</v>
      </c>
      <c r="M3463">
        <v>333</v>
      </c>
      <c r="N3463">
        <v>1</v>
      </c>
      <c r="O3463">
        <v>4</v>
      </c>
      <c r="P3463">
        <v>582</v>
      </c>
      <c r="Q3463">
        <v>344</v>
      </c>
      <c r="R3463">
        <v>140</v>
      </c>
      <c r="S3463">
        <v>21965.63</v>
      </c>
    </row>
    <row r="3464" spans="12:19" x14ac:dyDescent="0.2">
      <c r="L3464" t="s">
        <v>374</v>
      </c>
      <c r="M3464">
        <v>345</v>
      </c>
      <c r="N3464">
        <v>1</v>
      </c>
      <c r="O3464">
        <v>4</v>
      </c>
      <c r="P3464">
        <v>582</v>
      </c>
      <c r="Q3464">
        <v>344</v>
      </c>
      <c r="R3464">
        <v>140</v>
      </c>
      <c r="S3464">
        <v>18272</v>
      </c>
    </row>
    <row r="3465" spans="12:19" x14ac:dyDescent="0.2">
      <c r="L3465" t="s">
        <v>374</v>
      </c>
      <c r="M3465">
        <v>347</v>
      </c>
      <c r="N3465">
        <v>1</v>
      </c>
      <c r="O3465">
        <v>4</v>
      </c>
      <c r="P3465">
        <v>582</v>
      </c>
      <c r="Q3465">
        <v>344</v>
      </c>
      <c r="R3465">
        <v>140</v>
      </c>
      <c r="S3465">
        <v>52998.12</v>
      </c>
    </row>
    <row r="3466" spans="12:19" x14ac:dyDescent="0.2">
      <c r="L3466" t="s">
        <v>374</v>
      </c>
      <c r="M3466">
        <v>356</v>
      </c>
      <c r="N3466">
        <v>1</v>
      </c>
      <c r="O3466">
        <v>4</v>
      </c>
      <c r="P3466">
        <v>582</v>
      </c>
      <c r="Q3466">
        <v>344</v>
      </c>
      <c r="R3466">
        <v>140</v>
      </c>
      <c r="S3466">
        <v>3400</v>
      </c>
    </row>
    <row r="3467" spans="12:19" x14ac:dyDescent="0.2">
      <c r="L3467" t="s">
        <v>374</v>
      </c>
      <c r="M3467">
        <v>361</v>
      </c>
      <c r="N3467">
        <v>1</v>
      </c>
      <c r="O3467">
        <v>4</v>
      </c>
      <c r="P3467">
        <v>582</v>
      </c>
      <c r="Q3467">
        <v>344</v>
      </c>
      <c r="R3467">
        <v>140</v>
      </c>
      <c r="S3467">
        <v>30470.29</v>
      </c>
    </row>
    <row r="3468" spans="12:19" x14ac:dyDescent="0.2">
      <c r="L3468" t="s">
        <v>374</v>
      </c>
      <c r="M3468">
        <v>362</v>
      </c>
      <c r="N3468">
        <v>1</v>
      </c>
      <c r="O3468">
        <v>4</v>
      </c>
      <c r="P3468">
        <v>582</v>
      </c>
      <c r="Q3468">
        <v>344</v>
      </c>
      <c r="R3468">
        <v>140</v>
      </c>
      <c r="S3468">
        <v>32696.240000000002</v>
      </c>
    </row>
    <row r="3469" spans="12:19" x14ac:dyDescent="0.2">
      <c r="L3469" t="s">
        <v>374</v>
      </c>
      <c r="M3469">
        <v>378</v>
      </c>
      <c r="N3469">
        <v>1</v>
      </c>
      <c r="O3469">
        <v>4</v>
      </c>
      <c r="P3469">
        <v>582</v>
      </c>
      <c r="Q3469">
        <v>344</v>
      </c>
      <c r="R3469">
        <v>140</v>
      </c>
      <c r="S3469">
        <v>2937.19</v>
      </c>
    </row>
    <row r="3470" spans="12:19" x14ac:dyDescent="0.2">
      <c r="L3470" t="s">
        <v>374</v>
      </c>
      <c r="M3470">
        <v>381</v>
      </c>
      <c r="N3470">
        <v>1</v>
      </c>
      <c r="O3470">
        <v>4</v>
      </c>
      <c r="P3470">
        <v>582</v>
      </c>
      <c r="Q3470">
        <v>344</v>
      </c>
      <c r="R3470">
        <v>140</v>
      </c>
      <c r="S3470">
        <v>6635.22</v>
      </c>
    </row>
    <row r="3471" spans="12:19" x14ac:dyDescent="0.2">
      <c r="L3471" t="s">
        <v>374</v>
      </c>
      <c r="M3471">
        <v>390</v>
      </c>
      <c r="N3471">
        <v>1</v>
      </c>
      <c r="O3471">
        <v>4</v>
      </c>
      <c r="P3471">
        <v>582</v>
      </c>
      <c r="Q3471">
        <v>344</v>
      </c>
      <c r="R3471">
        <v>140</v>
      </c>
      <c r="S3471">
        <v>10493.75</v>
      </c>
    </row>
    <row r="3472" spans="12:19" x14ac:dyDescent="0.2">
      <c r="L3472" t="s">
        <v>374</v>
      </c>
      <c r="M3472">
        <v>391</v>
      </c>
      <c r="N3472">
        <v>1</v>
      </c>
      <c r="O3472">
        <v>4</v>
      </c>
      <c r="P3472">
        <v>582</v>
      </c>
      <c r="Q3472">
        <v>344</v>
      </c>
      <c r="R3472">
        <v>140</v>
      </c>
      <c r="S3472">
        <v>33467.14</v>
      </c>
    </row>
    <row r="3473" spans="12:19" x14ac:dyDescent="0.2">
      <c r="L3473" t="s">
        <v>374</v>
      </c>
      <c r="M3473">
        <v>392</v>
      </c>
      <c r="N3473">
        <v>1</v>
      </c>
      <c r="O3473">
        <v>4</v>
      </c>
      <c r="P3473">
        <v>582</v>
      </c>
      <c r="Q3473">
        <v>344</v>
      </c>
      <c r="R3473">
        <v>140</v>
      </c>
      <c r="S3473">
        <v>17943.89</v>
      </c>
    </row>
    <row r="3474" spans="12:19" x14ac:dyDescent="0.2">
      <c r="L3474" t="s">
        <v>374</v>
      </c>
      <c r="M3474">
        <v>394</v>
      </c>
      <c r="N3474">
        <v>1</v>
      </c>
      <c r="O3474">
        <v>4</v>
      </c>
      <c r="P3474">
        <v>582</v>
      </c>
      <c r="Q3474">
        <v>344</v>
      </c>
      <c r="R3474">
        <v>140</v>
      </c>
      <c r="S3474">
        <v>27403.25</v>
      </c>
    </row>
    <row r="3475" spans="12:19" x14ac:dyDescent="0.2">
      <c r="L3475" t="s">
        <v>374</v>
      </c>
      <c r="M3475">
        <v>402</v>
      </c>
      <c r="N3475">
        <v>1</v>
      </c>
      <c r="O3475">
        <v>4</v>
      </c>
      <c r="P3475">
        <v>582</v>
      </c>
      <c r="Q3475">
        <v>344</v>
      </c>
      <c r="R3475">
        <v>140</v>
      </c>
      <c r="S3475">
        <v>7335.01</v>
      </c>
    </row>
    <row r="3476" spans="12:19" x14ac:dyDescent="0.2">
      <c r="L3476" t="s">
        <v>374</v>
      </c>
      <c r="M3476">
        <v>404</v>
      </c>
      <c r="N3476">
        <v>1</v>
      </c>
      <c r="O3476">
        <v>4</v>
      </c>
      <c r="P3476">
        <v>582</v>
      </c>
      <c r="Q3476">
        <v>344</v>
      </c>
      <c r="R3476">
        <v>140</v>
      </c>
      <c r="S3476">
        <v>11496.2</v>
      </c>
    </row>
    <row r="3477" spans="12:19" x14ac:dyDescent="0.2">
      <c r="L3477" t="s">
        <v>374</v>
      </c>
      <c r="M3477">
        <v>413</v>
      </c>
      <c r="N3477">
        <v>1</v>
      </c>
      <c r="O3477">
        <v>4</v>
      </c>
      <c r="P3477">
        <v>582</v>
      </c>
      <c r="Q3477">
        <v>344</v>
      </c>
      <c r="R3477">
        <v>140</v>
      </c>
      <c r="S3477">
        <v>28145.200000000001</v>
      </c>
    </row>
    <row r="3478" spans="12:19" x14ac:dyDescent="0.2">
      <c r="L3478" t="s">
        <v>374</v>
      </c>
      <c r="M3478">
        <v>414</v>
      </c>
      <c r="N3478">
        <v>1</v>
      </c>
      <c r="O3478">
        <v>4</v>
      </c>
      <c r="P3478">
        <v>582</v>
      </c>
      <c r="Q3478">
        <v>344</v>
      </c>
      <c r="R3478">
        <v>140</v>
      </c>
      <c r="S3478">
        <v>11500</v>
      </c>
    </row>
    <row r="3479" spans="12:19" x14ac:dyDescent="0.2">
      <c r="L3479" t="s">
        <v>374</v>
      </c>
      <c r="M3479">
        <v>417</v>
      </c>
      <c r="N3479">
        <v>1</v>
      </c>
      <c r="O3479">
        <v>4</v>
      </c>
      <c r="P3479">
        <v>582</v>
      </c>
      <c r="Q3479">
        <v>344</v>
      </c>
      <c r="R3479">
        <v>140</v>
      </c>
      <c r="S3479">
        <v>13516</v>
      </c>
    </row>
    <row r="3480" spans="12:19" x14ac:dyDescent="0.2">
      <c r="L3480" t="s">
        <v>374</v>
      </c>
      <c r="M3480">
        <v>423</v>
      </c>
      <c r="N3480">
        <v>1</v>
      </c>
      <c r="O3480">
        <v>4</v>
      </c>
      <c r="P3480">
        <v>582</v>
      </c>
      <c r="Q3480">
        <v>344</v>
      </c>
      <c r="R3480">
        <v>140</v>
      </c>
      <c r="S3480">
        <v>16992.21</v>
      </c>
    </row>
    <row r="3481" spans="12:19" x14ac:dyDescent="0.2">
      <c r="L3481" t="s">
        <v>374</v>
      </c>
      <c r="M3481">
        <v>424</v>
      </c>
      <c r="N3481">
        <v>1</v>
      </c>
      <c r="O3481">
        <v>4</v>
      </c>
      <c r="P3481">
        <v>582</v>
      </c>
      <c r="Q3481">
        <v>344</v>
      </c>
      <c r="R3481">
        <v>140</v>
      </c>
      <c r="S3481">
        <v>12608.17</v>
      </c>
    </row>
    <row r="3482" spans="12:19" x14ac:dyDescent="0.2">
      <c r="L3482" t="s">
        <v>374</v>
      </c>
      <c r="M3482">
        <v>432</v>
      </c>
      <c r="N3482">
        <v>1</v>
      </c>
      <c r="O3482">
        <v>4</v>
      </c>
      <c r="P3482">
        <v>582</v>
      </c>
      <c r="Q3482">
        <v>344</v>
      </c>
      <c r="R3482">
        <v>140</v>
      </c>
      <c r="S3482">
        <v>8999.08</v>
      </c>
    </row>
    <row r="3483" spans="12:19" x14ac:dyDescent="0.2">
      <c r="L3483" t="s">
        <v>374</v>
      </c>
      <c r="M3483">
        <v>441</v>
      </c>
      <c r="N3483">
        <v>1</v>
      </c>
      <c r="O3483">
        <v>4</v>
      </c>
      <c r="P3483">
        <v>582</v>
      </c>
      <c r="Q3483">
        <v>344</v>
      </c>
      <c r="R3483">
        <v>140</v>
      </c>
      <c r="S3483">
        <v>18495.5</v>
      </c>
    </row>
    <row r="3484" spans="12:19" x14ac:dyDescent="0.2">
      <c r="L3484" t="s">
        <v>374</v>
      </c>
      <c r="M3484">
        <v>447</v>
      </c>
      <c r="N3484">
        <v>1</v>
      </c>
      <c r="O3484">
        <v>4</v>
      </c>
      <c r="P3484">
        <v>582</v>
      </c>
      <c r="Q3484">
        <v>344</v>
      </c>
      <c r="R3484">
        <v>140</v>
      </c>
      <c r="S3484">
        <v>3500</v>
      </c>
    </row>
    <row r="3485" spans="12:19" x14ac:dyDescent="0.2">
      <c r="L3485" t="s">
        <v>374</v>
      </c>
      <c r="M3485">
        <v>458</v>
      </c>
      <c r="N3485">
        <v>1</v>
      </c>
      <c r="O3485">
        <v>4</v>
      </c>
      <c r="P3485">
        <v>582</v>
      </c>
      <c r="Q3485">
        <v>344</v>
      </c>
      <c r="R3485">
        <v>140</v>
      </c>
      <c r="S3485">
        <v>17210.580000000002</v>
      </c>
    </row>
    <row r="3486" spans="12:19" x14ac:dyDescent="0.2">
      <c r="L3486" t="s">
        <v>374</v>
      </c>
      <c r="M3486">
        <v>463</v>
      </c>
      <c r="N3486">
        <v>1</v>
      </c>
      <c r="O3486">
        <v>4</v>
      </c>
      <c r="P3486">
        <v>582</v>
      </c>
      <c r="Q3486">
        <v>344</v>
      </c>
      <c r="R3486">
        <v>140</v>
      </c>
      <c r="S3486">
        <v>4807</v>
      </c>
    </row>
    <row r="3487" spans="12:19" x14ac:dyDescent="0.2">
      <c r="L3487" t="s">
        <v>374</v>
      </c>
      <c r="M3487">
        <v>465</v>
      </c>
      <c r="N3487">
        <v>1</v>
      </c>
      <c r="O3487">
        <v>4</v>
      </c>
      <c r="P3487">
        <v>582</v>
      </c>
      <c r="Q3487">
        <v>344</v>
      </c>
      <c r="R3487">
        <v>140</v>
      </c>
      <c r="S3487">
        <v>36663.949999999997</v>
      </c>
    </row>
    <row r="3488" spans="12:19" x14ac:dyDescent="0.2">
      <c r="L3488" t="s">
        <v>374</v>
      </c>
      <c r="M3488">
        <v>466</v>
      </c>
      <c r="N3488">
        <v>1</v>
      </c>
      <c r="O3488">
        <v>4</v>
      </c>
      <c r="P3488">
        <v>582</v>
      </c>
      <c r="Q3488">
        <v>344</v>
      </c>
      <c r="R3488">
        <v>140</v>
      </c>
      <c r="S3488">
        <v>60638.33</v>
      </c>
    </row>
    <row r="3489" spans="12:19" x14ac:dyDescent="0.2">
      <c r="L3489" t="s">
        <v>374</v>
      </c>
      <c r="M3489">
        <v>473</v>
      </c>
      <c r="N3489">
        <v>1</v>
      </c>
      <c r="O3489">
        <v>4</v>
      </c>
      <c r="P3489">
        <v>582</v>
      </c>
      <c r="Q3489">
        <v>344</v>
      </c>
      <c r="R3489">
        <v>140</v>
      </c>
      <c r="S3489">
        <v>9660</v>
      </c>
    </row>
    <row r="3490" spans="12:19" x14ac:dyDescent="0.2">
      <c r="L3490" t="s">
        <v>374</v>
      </c>
      <c r="M3490">
        <v>477</v>
      </c>
      <c r="N3490">
        <v>1</v>
      </c>
      <c r="O3490">
        <v>4</v>
      </c>
      <c r="P3490">
        <v>582</v>
      </c>
      <c r="Q3490">
        <v>344</v>
      </c>
      <c r="R3490">
        <v>140</v>
      </c>
      <c r="S3490">
        <v>18526.14</v>
      </c>
    </row>
    <row r="3491" spans="12:19" x14ac:dyDescent="0.2">
      <c r="L3491" t="s">
        <v>374</v>
      </c>
      <c r="M3491">
        <v>480</v>
      </c>
      <c r="N3491">
        <v>1</v>
      </c>
      <c r="O3491">
        <v>4</v>
      </c>
      <c r="P3491">
        <v>582</v>
      </c>
      <c r="Q3491">
        <v>344</v>
      </c>
      <c r="R3491">
        <v>140</v>
      </c>
      <c r="S3491">
        <v>13284.75</v>
      </c>
    </row>
    <row r="3492" spans="12:19" x14ac:dyDescent="0.2">
      <c r="L3492" t="s">
        <v>374</v>
      </c>
      <c r="M3492">
        <v>485</v>
      </c>
      <c r="N3492">
        <v>1</v>
      </c>
      <c r="O3492">
        <v>4</v>
      </c>
      <c r="P3492">
        <v>582</v>
      </c>
      <c r="Q3492">
        <v>344</v>
      </c>
      <c r="R3492">
        <v>140</v>
      </c>
      <c r="S3492">
        <v>9432</v>
      </c>
    </row>
    <row r="3493" spans="12:19" x14ac:dyDescent="0.2">
      <c r="L3493" t="s">
        <v>374</v>
      </c>
      <c r="M3493">
        <v>486</v>
      </c>
      <c r="N3493">
        <v>1</v>
      </c>
      <c r="O3493">
        <v>4</v>
      </c>
      <c r="P3493">
        <v>582</v>
      </c>
      <c r="Q3493">
        <v>344</v>
      </c>
      <c r="R3493">
        <v>140</v>
      </c>
      <c r="S3493">
        <v>468.13</v>
      </c>
    </row>
    <row r="3494" spans="12:19" x14ac:dyDescent="0.2">
      <c r="L3494" t="s">
        <v>374</v>
      </c>
      <c r="M3494">
        <v>492</v>
      </c>
      <c r="N3494">
        <v>1</v>
      </c>
      <c r="O3494">
        <v>4</v>
      </c>
      <c r="P3494">
        <v>582</v>
      </c>
      <c r="Q3494">
        <v>344</v>
      </c>
      <c r="R3494">
        <v>140</v>
      </c>
      <c r="S3494">
        <v>35217.300000000003</v>
      </c>
    </row>
    <row r="3495" spans="12:19" x14ac:dyDescent="0.2">
      <c r="L3495" t="s">
        <v>374</v>
      </c>
      <c r="M3495">
        <v>495</v>
      </c>
      <c r="N3495">
        <v>1</v>
      </c>
      <c r="O3495">
        <v>4</v>
      </c>
      <c r="P3495">
        <v>582</v>
      </c>
      <c r="Q3495">
        <v>344</v>
      </c>
      <c r="R3495">
        <v>140</v>
      </c>
      <c r="S3495">
        <v>13137.8</v>
      </c>
    </row>
    <row r="3496" spans="12:19" x14ac:dyDescent="0.2">
      <c r="L3496" t="s">
        <v>374</v>
      </c>
      <c r="M3496">
        <v>499</v>
      </c>
      <c r="N3496">
        <v>1</v>
      </c>
      <c r="O3496">
        <v>4</v>
      </c>
      <c r="P3496">
        <v>582</v>
      </c>
      <c r="Q3496">
        <v>344</v>
      </c>
      <c r="R3496">
        <v>140</v>
      </c>
      <c r="S3496">
        <v>922.32</v>
      </c>
    </row>
    <row r="3497" spans="12:19" x14ac:dyDescent="0.2">
      <c r="L3497" t="s">
        <v>374</v>
      </c>
      <c r="M3497">
        <v>500</v>
      </c>
      <c r="N3497">
        <v>1</v>
      </c>
      <c r="O3497">
        <v>4</v>
      </c>
      <c r="P3497">
        <v>582</v>
      </c>
      <c r="Q3497">
        <v>344</v>
      </c>
      <c r="R3497">
        <v>140</v>
      </c>
      <c r="S3497">
        <v>12513</v>
      </c>
    </row>
    <row r="3498" spans="12:19" x14ac:dyDescent="0.2">
      <c r="L3498" t="s">
        <v>374</v>
      </c>
      <c r="M3498">
        <v>507</v>
      </c>
      <c r="N3498">
        <v>1</v>
      </c>
      <c r="O3498">
        <v>4</v>
      </c>
      <c r="P3498">
        <v>582</v>
      </c>
      <c r="Q3498">
        <v>344</v>
      </c>
      <c r="R3498">
        <v>140</v>
      </c>
      <c r="S3498">
        <v>2861.03</v>
      </c>
    </row>
    <row r="3499" spans="12:19" x14ac:dyDescent="0.2">
      <c r="L3499" t="s">
        <v>374</v>
      </c>
      <c r="M3499">
        <v>508</v>
      </c>
      <c r="N3499">
        <v>1</v>
      </c>
      <c r="O3499">
        <v>4</v>
      </c>
      <c r="P3499">
        <v>582</v>
      </c>
      <c r="Q3499">
        <v>344</v>
      </c>
      <c r="R3499">
        <v>140</v>
      </c>
      <c r="S3499">
        <v>78446.28</v>
      </c>
    </row>
    <row r="3500" spans="12:19" x14ac:dyDescent="0.2">
      <c r="L3500" t="s">
        <v>374</v>
      </c>
      <c r="M3500">
        <v>513</v>
      </c>
      <c r="N3500">
        <v>1</v>
      </c>
      <c r="O3500">
        <v>4</v>
      </c>
      <c r="P3500">
        <v>582</v>
      </c>
      <c r="Q3500">
        <v>344</v>
      </c>
      <c r="R3500">
        <v>140</v>
      </c>
      <c r="S3500">
        <v>21400</v>
      </c>
    </row>
    <row r="3501" spans="12:19" x14ac:dyDescent="0.2">
      <c r="L3501" t="s">
        <v>374</v>
      </c>
      <c r="M3501">
        <v>518</v>
      </c>
      <c r="N3501">
        <v>1</v>
      </c>
      <c r="O3501">
        <v>4</v>
      </c>
      <c r="P3501">
        <v>582</v>
      </c>
      <c r="Q3501">
        <v>344</v>
      </c>
      <c r="R3501">
        <v>140</v>
      </c>
      <c r="S3501">
        <v>23427.02</v>
      </c>
    </row>
    <row r="3502" spans="12:19" x14ac:dyDescent="0.2">
      <c r="L3502" t="s">
        <v>374</v>
      </c>
      <c r="M3502">
        <v>533</v>
      </c>
      <c r="N3502">
        <v>1</v>
      </c>
      <c r="O3502">
        <v>4</v>
      </c>
      <c r="P3502">
        <v>582</v>
      </c>
      <c r="Q3502">
        <v>344</v>
      </c>
      <c r="R3502">
        <v>140</v>
      </c>
      <c r="S3502">
        <v>11576.91</v>
      </c>
    </row>
    <row r="3503" spans="12:19" x14ac:dyDescent="0.2">
      <c r="L3503" t="s">
        <v>374</v>
      </c>
      <c r="M3503">
        <v>534</v>
      </c>
      <c r="N3503">
        <v>1</v>
      </c>
      <c r="O3503">
        <v>4</v>
      </c>
      <c r="P3503">
        <v>582</v>
      </c>
      <c r="Q3503">
        <v>344</v>
      </c>
      <c r="R3503">
        <v>140</v>
      </c>
      <c r="S3503">
        <v>24441.01</v>
      </c>
    </row>
    <row r="3504" spans="12:19" x14ac:dyDescent="0.2">
      <c r="L3504" t="s">
        <v>374</v>
      </c>
      <c r="M3504">
        <v>535</v>
      </c>
      <c r="N3504">
        <v>1</v>
      </c>
      <c r="O3504">
        <v>4</v>
      </c>
      <c r="P3504">
        <v>582</v>
      </c>
      <c r="Q3504">
        <v>344</v>
      </c>
      <c r="R3504">
        <v>140</v>
      </c>
      <c r="S3504">
        <v>8887.4500000000007</v>
      </c>
    </row>
    <row r="3505" spans="12:19" x14ac:dyDescent="0.2">
      <c r="L3505" t="s">
        <v>374</v>
      </c>
      <c r="M3505">
        <v>545</v>
      </c>
      <c r="N3505">
        <v>1</v>
      </c>
      <c r="O3505">
        <v>4</v>
      </c>
      <c r="P3505">
        <v>582</v>
      </c>
      <c r="Q3505">
        <v>344</v>
      </c>
      <c r="R3505">
        <v>140</v>
      </c>
      <c r="S3505">
        <v>11493.31</v>
      </c>
    </row>
    <row r="3506" spans="12:19" x14ac:dyDescent="0.2">
      <c r="L3506" t="s">
        <v>374</v>
      </c>
      <c r="M3506">
        <v>547</v>
      </c>
      <c r="N3506">
        <v>1</v>
      </c>
      <c r="O3506">
        <v>4</v>
      </c>
      <c r="P3506">
        <v>582</v>
      </c>
      <c r="Q3506">
        <v>344</v>
      </c>
      <c r="R3506">
        <v>140</v>
      </c>
      <c r="S3506">
        <v>13864.8</v>
      </c>
    </row>
    <row r="3507" spans="12:19" x14ac:dyDescent="0.2">
      <c r="L3507" t="s">
        <v>374</v>
      </c>
      <c r="M3507">
        <v>549</v>
      </c>
      <c r="N3507">
        <v>1</v>
      </c>
      <c r="O3507">
        <v>4</v>
      </c>
      <c r="P3507">
        <v>582</v>
      </c>
      <c r="Q3507">
        <v>344</v>
      </c>
      <c r="R3507">
        <v>140</v>
      </c>
      <c r="S3507">
        <v>105110.77</v>
      </c>
    </row>
    <row r="3508" spans="12:19" x14ac:dyDescent="0.2">
      <c r="L3508" t="s">
        <v>374</v>
      </c>
      <c r="M3508">
        <v>550</v>
      </c>
      <c r="N3508">
        <v>1</v>
      </c>
      <c r="O3508">
        <v>4</v>
      </c>
      <c r="P3508">
        <v>582</v>
      </c>
      <c r="Q3508">
        <v>344</v>
      </c>
      <c r="R3508">
        <v>140</v>
      </c>
      <c r="S3508">
        <v>19280.810000000001</v>
      </c>
    </row>
    <row r="3509" spans="12:19" x14ac:dyDescent="0.2">
      <c r="L3509" t="s">
        <v>374</v>
      </c>
      <c r="M3509">
        <v>553</v>
      </c>
      <c r="N3509">
        <v>1</v>
      </c>
      <c r="O3509">
        <v>4</v>
      </c>
      <c r="P3509">
        <v>582</v>
      </c>
      <c r="Q3509">
        <v>344</v>
      </c>
      <c r="R3509">
        <v>140</v>
      </c>
      <c r="S3509">
        <v>11047.03</v>
      </c>
    </row>
    <row r="3510" spans="12:19" x14ac:dyDescent="0.2">
      <c r="L3510" t="s">
        <v>374</v>
      </c>
      <c r="M3510">
        <v>564</v>
      </c>
      <c r="N3510">
        <v>1</v>
      </c>
      <c r="O3510">
        <v>4</v>
      </c>
      <c r="P3510">
        <v>582</v>
      </c>
      <c r="Q3510">
        <v>344</v>
      </c>
      <c r="R3510">
        <v>140</v>
      </c>
      <c r="S3510">
        <v>55180.51</v>
      </c>
    </row>
    <row r="3511" spans="12:19" x14ac:dyDescent="0.2">
      <c r="L3511" t="s">
        <v>374</v>
      </c>
      <c r="M3511">
        <v>577</v>
      </c>
      <c r="N3511">
        <v>1</v>
      </c>
      <c r="O3511">
        <v>4</v>
      </c>
      <c r="P3511">
        <v>582</v>
      </c>
      <c r="Q3511">
        <v>344</v>
      </c>
      <c r="R3511">
        <v>140</v>
      </c>
      <c r="S3511">
        <v>5674.73</v>
      </c>
    </row>
    <row r="3512" spans="12:19" x14ac:dyDescent="0.2">
      <c r="L3512" t="s">
        <v>374</v>
      </c>
      <c r="M3512">
        <v>578</v>
      </c>
      <c r="N3512">
        <v>1</v>
      </c>
      <c r="O3512">
        <v>4</v>
      </c>
      <c r="P3512">
        <v>582</v>
      </c>
      <c r="Q3512">
        <v>344</v>
      </c>
      <c r="R3512">
        <v>140</v>
      </c>
      <c r="S3512">
        <v>4325</v>
      </c>
    </row>
    <row r="3513" spans="12:19" x14ac:dyDescent="0.2">
      <c r="L3513" t="s">
        <v>374</v>
      </c>
      <c r="M3513">
        <v>592</v>
      </c>
      <c r="N3513">
        <v>1</v>
      </c>
      <c r="O3513">
        <v>4</v>
      </c>
      <c r="P3513">
        <v>582</v>
      </c>
      <c r="Q3513">
        <v>344</v>
      </c>
      <c r="R3513">
        <v>140</v>
      </c>
      <c r="S3513">
        <v>7277.31</v>
      </c>
    </row>
    <row r="3514" spans="12:19" x14ac:dyDescent="0.2">
      <c r="L3514" t="s">
        <v>374</v>
      </c>
      <c r="M3514">
        <v>593</v>
      </c>
      <c r="N3514">
        <v>1</v>
      </c>
      <c r="O3514">
        <v>4</v>
      </c>
      <c r="P3514">
        <v>582</v>
      </c>
      <c r="Q3514">
        <v>344</v>
      </c>
      <c r="R3514">
        <v>140</v>
      </c>
      <c r="S3514">
        <v>31340.7</v>
      </c>
    </row>
    <row r="3515" spans="12:19" x14ac:dyDescent="0.2">
      <c r="L3515" t="s">
        <v>374</v>
      </c>
      <c r="M3515">
        <v>599</v>
      </c>
      <c r="N3515">
        <v>1</v>
      </c>
      <c r="O3515">
        <v>4</v>
      </c>
      <c r="P3515">
        <v>582</v>
      </c>
      <c r="Q3515">
        <v>344</v>
      </c>
      <c r="R3515">
        <v>140</v>
      </c>
      <c r="S3515">
        <v>7600.76</v>
      </c>
    </row>
    <row r="3516" spans="12:19" x14ac:dyDescent="0.2">
      <c r="L3516" t="s">
        <v>374</v>
      </c>
      <c r="M3516">
        <v>600</v>
      </c>
      <c r="N3516">
        <v>1</v>
      </c>
      <c r="O3516">
        <v>4</v>
      </c>
      <c r="P3516">
        <v>582</v>
      </c>
      <c r="Q3516">
        <v>344</v>
      </c>
      <c r="R3516">
        <v>140</v>
      </c>
      <c r="S3516">
        <v>5602.16</v>
      </c>
    </row>
    <row r="3517" spans="12:19" x14ac:dyDescent="0.2">
      <c r="L3517" t="s">
        <v>374</v>
      </c>
      <c r="M3517">
        <v>601</v>
      </c>
      <c r="N3517">
        <v>1</v>
      </c>
      <c r="O3517">
        <v>4</v>
      </c>
      <c r="P3517">
        <v>582</v>
      </c>
      <c r="Q3517">
        <v>344</v>
      </c>
      <c r="R3517">
        <v>140</v>
      </c>
      <c r="S3517">
        <v>13193.75</v>
      </c>
    </row>
    <row r="3518" spans="12:19" x14ac:dyDescent="0.2">
      <c r="L3518" t="s">
        <v>374</v>
      </c>
      <c r="M3518">
        <v>621</v>
      </c>
      <c r="N3518">
        <v>1</v>
      </c>
      <c r="O3518">
        <v>4</v>
      </c>
      <c r="P3518">
        <v>582</v>
      </c>
      <c r="Q3518">
        <v>344</v>
      </c>
      <c r="R3518">
        <v>140</v>
      </c>
      <c r="S3518">
        <v>62921.26</v>
      </c>
    </row>
    <row r="3519" spans="12:19" x14ac:dyDescent="0.2">
      <c r="L3519" t="s">
        <v>374</v>
      </c>
      <c r="M3519">
        <v>622</v>
      </c>
      <c r="N3519">
        <v>1</v>
      </c>
      <c r="O3519">
        <v>4</v>
      </c>
      <c r="P3519">
        <v>582</v>
      </c>
      <c r="Q3519">
        <v>344</v>
      </c>
      <c r="R3519">
        <v>140</v>
      </c>
      <c r="S3519">
        <v>52518.27</v>
      </c>
    </row>
    <row r="3520" spans="12:19" x14ac:dyDescent="0.2">
      <c r="L3520" t="s">
        <v>374</v>
      </c>
      <c r="M3520">
        <v>623</v>
      </c>
      <c r="N3520">
        <v>1</v>
      </c>
      <c r="O3520">
        <v>4</v>
      </c>
      <c r="P3520">
        <v>582</v>
      </c>
      <c r="Q3520">
        <v>344</v>
      </c>
      <c r="R3520">
        <v>140</v>
      </c>
      <c r="S3520">
        <v>12233.24</v>
      </c>
    </row>
    <row r="3521" spans="12:19" x14ac:dyDescent="0.2">
      <c r="L3521" t="s">
        <v>374</v>
      </c>
      <c r="M3521">
        <v>624</v>
      </c>
      <c r="N3521">
        <v>1</v>
      </c>
      <c r="O3521">
        <v>4</v>
      </c>
      <c r="P3521">
        <v>582</v>
      </c>
      <c r="Q3521">
        <v>344</v>
      </c>
      <c r="R3521">
        <v>140</v>
      </c>
      <c r="S3521">
        <v>11246.55</v>
      </c>
    </row>
    <row r="3522" spans="12:19" x14ac:dyDescent="0.2">
      <c r="L3522" t="s">
        <v>374</v>
      </c>
      <c r="M3522">
        <v>625</v>
      </c>
      <c r="N3522">
        <v>1</v>
      </c>
      <c r="O3522">
        <v>4</v>
      </c>
      <c r="P3522">
        <v>582</v>
      </c>
      <c r="Q3522">
        <v>344</v>
      </c>
      <c r="R3522">
        <v>140</v>
      </c>
      <c r="S3522">
        <v>202.8</v>
      </c>
    </row>
    <row r="3523" spans="12:19" x14ac:dyDescent="0.2">
      <c r="L3523" t="s">
        <v>374</v>
      </c>
      <c r="M3523">
        <v>627</v>
      </c>
      <c r="N3523">
        <v>1</v>
      </c>
      <c r="O3523">
        <v>4</v>
      </c>
      <c r="P3523">
        <v>582</v>
      </c>
      <c r="Q3523">
        <v>344</v>
      </c>
      <c r="R3523">
        <v>140</v>
      </c>
      <c r="S3523">
        <v>2393</v>
      </c>
    </row>
    <row r="3524" spans="12:19" x14ac:dyDescent="0.2">
      <c r="L3524" t="s">
        <v>374</v>
      </c>
      <c r="M3524">
        <v>628</v>
      </c>
      <c r="N3524">
        <v>1</v>
      </c>
      <c r="O3524">
        <v>4</v>
      </c>
      <c r="P3524">
        <v>582</v>
      </c>
      <c r="Q3524">
        <v>344</v>
      </c>
      <c r="R3524">
        <v>140</v>
      </c>
      <c r="S3524">
        <v>3283.04</v>
      </c>
    </row>
    <row r="3525" spans="12:19" x14ac:dyDescent="0.2">
      <c r="L3525" t="s">
        <v>374</v>
      </c>
      <c r="M3525">
        <v>630</v>
      </c>
      <c r="N3525">
        <v>1</v>
      </c>
      <c r="O3525">
        <v>4</v>
      </c>
      <c r="P3525">
        <v>582</v>
      </c>
      <c r="Q3525">
        <v>344</v>
      </c>
      <c r="R3525">
        <v>140</v>
      </c>
      <c r="S3525">
        <v>6177.37</v>
      </c>
    </row>
    <row r="3526" spans="12:19" x14ac:dyDescent="0.2">
      <c r="L3526" t="s">
        <v>374</v>
      </c>
      <c r="M3526">
        <v>635</v>
      </c>
      <c r="N3526">
        <v>1</v>
      </c>
      <c r="O3526">
        <v>4</v>
      </c>
      <c r="P3526">
        <v>582</v>
      </c>
      <c r="Q3526">
        <v>344</v>
      </c>
      <c r="R3526">
        <v>140</v>
      </c>
      <c r="S3526">
        <v>915</v>
      </c>
    </row>
    <row r="3527" spans="12:19" x14ac:dyDescent="0.2">
      <c r="L3527" t="s">
        <v>374</v>
      </c>
      <c r="M3527">
        <v>640</v>
      </c>
      <c r="N3527">
        <v>1</v>
      </c>
      <c r="O3527">
        <v>4</v>
      </c>
      <c r="P3527">
        <v>582</v>
      </c>
      <c r="Q3527">
        <v>344</v>
      </c>
      <c r="R3527">
        <v>140</v>
      </c>
      <c r="S3527">
        <v>15145.9</v>
      </c>
    </row>
    <row r="3528" spans="12:19" x14ac:dyDescent="0.2">
      <c r="L3528" t="s">
        <v>374</v>
      </c>
      <c r="M3528">
        <v>656</v>
      </c>
      <c r="N3528">
        <v>1</v>
      </c>
      <c r="O3528">
        <v>4</v>
      </c>
      <c r="P3528">
        <v>582</v>
      </c>
      <c r="Q3528">
        <v>344</v>
      </c>
      <c r="R3528">
        <v>140</v>
      </c>
      <c r="S3528">
        <v>51576.72</v>
      </c>
    </row>
    <row r="3529" spans="12:19" x14ac:dyDescent="0.2">
      <c r="L3529" t="s">
        <v>374</v>
      </c>
      <c r="M3529">
        <v>659</v>
      </c>
      <c r="N3529">
        <v>1</v>
      </c>
      <c r="O3529">
        <v>4</v>
      </c>
      <c r="P3529">
        <v>582</v>
      </c>
      <c r="Q3529">
        <v>344</v>
      </c>
      <c r="R3529">
        <v>140</v>
      </c>
      <c r="S3529">
        <v>110450.51</v>
      </c>
    </row>
    <row r="3530" spans="12:19" x14ac:dyDescent="0.2">
      <c r="L3530" t="s">
        <v>374</v>
      </c>
      <c r="M3530">
        <v>671</v>
      </c>
      <c r="N3530">
        <v>1</v>
      </c>
      <c r="O3530">
        <v>4</v>
      </c>
      <c r="P3530">
        <v>582</v>
      </c>
      <c r="Q3530">
        <v>344</v>
      </c>
      <c r="R3530">
        <v>140</v>
      </c>
      <c r="S3530">
        <v>1053</v>
      </c>
    </row>
    <row r="3531" spans="12:19" x14ac:dyDescent="0.2">
      <c r="L3531" t="s">
        <v>374</v>
      </c>
      <c r="M3531">
        <v>682</v>
      </c>
      <c r="N3531">
        <v>1</v>
      </c>
      <c r="O3531">
        <v>4</v>
      </c>
      <c r="P3531">
        <v>582</v>
      </c>
      <c r="Q3531">
        <v>344</v>
      </c>
      <c r="R3531">
        <v>140</v>
      </c>
      <c r="S3531">
        <v>27401.13</v>
      </c>
    </row>
    <row r="3532" spans="12:19" x14ac:dyDescent="0.2">
      <c r="L3532" t="s">
        <v>374</v>
      </c>
      <c r="M3532">
        <v>690</v>
      </c>
      <c r="N3532">
        <v>1</v>
      </c>
      <c r="O3532">
        <v>4</v>
      </c>
      <c r="P3532">
        <v>582</v>
      </c>
      <c r="Q3532">
        <v>344</v>
      </c>
      <c r="R3532">
        <v>140</v>
      </c>
      <c r="S3532">
        <v>44123.4</v>
      </c>
    </row>
    <row r="3533" spans="12:19" x14ac:dyDescent="0.2">
      <c r="L3533" t="s">
        <v>374</v>
      </c>
      <c r="M3533">
        <v>695</v>
      </c>
      <c r="N3533">
        <v>1</v>
      </c>
      <c r="O3533">
        <v>4</v>
      </c>
      <c r="P3533">
        <v>582</v>
      </c>
      <c r="Q3533">
        <v>344</v>
      </c>
      <c r="R3533">
        <v>140</v>
      </c>
      <c r="S3533">
        <v>7213.63</v>
      </c>
    </row>
    <row r="3534" spans="12:19" x14ac:dyDescent="0.2">
      <c r="L3534" t="s">
        <v>374</v>
      </c>
      <c r="M3534">
        <v>696</v>
      </c>
      <c r="N3534">
        <v>1</v>
      </c>
      <c r="O3534">
        <v>4</v>
      </c>
      <c r="P3534">
        <v>582</v>
      </c>
      <c r="Q3534">
        <v>344</v>
      </c>
      <c r="R3534">
        <v>140</v>
      </c>
      <c r="S3534">
        <v>4664.42</v>
      </c>
    </row>
    <row r="3535" spans="12:19" x14ac:dyDescent="0.2">
      <c r="L3535" t="s">
        <v>374</v>
      </c>
      <c r="M3535">
        <v>698</v>
      </c>
      <c r="N3535">
        <v>1</v>
      </c>
      <c r="O3535">
        <v>4</v>
      </c>
      <c r="P3535">
        <v>582</v>
      </c>
      <c r="Q3535">
        <v>344</v>
      </c>
      <c r="R3535">
        <v>140</v>
      </c>
      <c r="S3535">
        <v>3723.07</v>
      </c>
    </row>
    <row r="3536" spans="12:19" x14ac:dyDescent="0.2">
      <c r="L3536" t="s">
        <v>374</v>
      </c>
      <c r="M3536">
        <v>700</v>
      </c>
      <c r="N3536">
        <v>1</v>
      </c>
      <c r="O3536">
        <v>4</v>
      </c>
      <c r="P3536">
        <v>582</v>
      </c>
      <c r="Q3536">
        <v>344</v>
      </c>
      <c r="R3536">
        <v>140</v>
      </c>
      <c r="S3536">
        <v>52467.75</v>
      </c>
    </row>
    <row r="3537" spans="12:19" x14ac:dyDescent="0.2">
      <c r="L3537" t="s">
        <v>374</v>
      </c>
      <c r="M3537">
        <v>701</v>
      </c>
      <c r="N3537">
        <v>1</v>
      </c>
      <c r="O3537">
        <v>4</v>
      </c>
      <c r="P3537">
        <v>582</v>
      </c>
      <c r="Q3537">
        <v>344</v>
      </c>
      <c r="R3537">
        <v>140</v>
      </c>
      <c r="S3537">
        <v>28689.63</v>
      </c>
    </row>
    <row r="3538" spans="12:19" x14ac:dyDescent="0.2">
      <c r="L3538" t="s">
        <v>374</v>
      </c>
      <c r="M3538">
        <v>704</v>
      </c>
      <c r="N3538">
        <v>1</v>
      </c>
      <c r="O3538">
        <v>4</v>
      </c>
      <c r="P3538">
        <v>582</v>
      </c>
      <c r="Q3538">
        <v>344</v>
      </c>
      <c r="R3538">
        <v>140</v>
      </c>
      <c r="S3538">
        <v>6886.68</v>
      </c>
    </row>
    <row r="3539" spans="12:19" x14ac:dyDescent="0.2">
      <c r="L3539" t="s">
        <v>374</v>
      </c>
      <c r="M3539">
        <v>706</v>
      </c>
      <c r="N3539">
        <v>1</v>
      </c>
      <c r="O3539">
        <v>4</v>
      </c>
      <c r="P3539">
        <v>582</v>
      </c>
      <c r="Q3539">
        <v>344</v>
      </c>
      <c r="R3539">
        <v>140</v>
      </c>
      <c r="S3539">
        <v>22251.35</v>
      </c>
    </row>
    <row r="3540" spans="12:19" x14ac:dyDescent="0.2">
      <c r="L3540" t="s">
        <v>374</v>
      </c>
      <c r="M3540">
        <v>707</v>
      </c>
      <c r="N3540">
        <v>1</v>
      </c>
      <c r="O3540">
        <v>4</v>
      </c>
      <c r="P3540">
        <v>582</v>
      </c>
      <c r="Q3540">
        <v>344</v>
      </c>
      <c r="R3540">
        <v>140</v>
      </c>
      <c r="S3540">
        <v>1575</v>
      </c>
    </row>
    <row r="3541" spans="12:19" x14ac:dyDescent="0.2">
      <c r="L3541" t="s">
        <v>374</v>
      </c>
      <c r="M3541">
        <v>709</v>
      </c>
      <c r="N3541">
        <v>1</v>
      </c>
      <c r="O3541">
        <v>4</v>
      </c>
      <c r="P3541">
        <v>582</v>
      </c>
      <c r="Q3541">
        <v>344</v>
      </c>
      <c r="R3541">
        <v>140</v>
      </c>
      <c r="S3541">
        <v>57695.15</v>
      </c>
    </row>
    <row r="3542" spans="12:19" x14ac:dyDescent="0.2">
      <c r="L3542" t="s">
        <v>374</v>
      </c>
      <c r="M3542">
        <v>712</v>
      </c>
      <c r="N3542">
        <v>1</v>
      </c>
      <c r="O3542">
        <v>4</v>
      </c>
      <c r="P3542">
        <v>582</v>
      </c>
      <c r="Q3542">
        <v>344</v>
      </c>
      <c r="R3542">
        <v>140</v>
      </c>
      <c r="S3542">
        <v>2306.0100000000002</v>
      </c>
    </row>
    <row r="3543" spans="12:19" x14ac:dyDescent="0.2">
      <c r="L3543" t="s">
        <v>374</v>
      </c>
      <c r="M3543">
        <v>716</v>
      </c>
      <c r="N3543">
        <v>1</v>
      </c>
      <c r="O3543">
        <v>4</v>
      </c>
      <c r="P3543">
        <v>582</v>
      </c>
      <c r="Q3543">
        <v>344</v>
      </c>
      <c r="R3543">
        <v>140</v>
      </c>
      <c r="S3543">
        <v>5889.55</v>
      </c>
    </row>
    <row r="3544" spans="12:19" x14ac:dyDescent="0.2">
      <c r="L3544" t="s">
        <v>374</v>
      </c>
      <c r="M3544">
        <v>717</v>
      </c>
      <c r="N3544">
        <v>1</v>
      </c>
      <c r="O3544">
        <v>4</v>
      </c>
      <c r="P3544">
        <v>582</v>
      </c>
      <c r="Q3544">
        <v>344</v>
      </c>
      <c r="R3544">
        <v>140</v>
      </c>
      <c r="S3544">
        <v>472.2</v>
      </c>
    </row>
    <row r="3545" spans="12:19" x14ac:dyDescent="0.2">
      <c r="L3545" t="s">
        <v>374</v>
      </c>
      <c r="M3545">
        <v>719</v>
      </c>
      <c r="N3545">
        <v>1</v>
      </c>
      <c r="O3545">
        <v>4</v>
      </c>
      <c r="P3545">
        <v>582</v>
      </c>
      <c r="Q3545">
        <v>344</v>
      </c>
      <c r="R3545">
        <v>140</v>
      </c>
      <c r="S3545">
        <v>123836.58</v>
      </c>
    </row>
    <row r="3546" spans="12:19" x14ac:dyDescent="0.2">
      <c r="L3546" t="s">
        <v>374</v>
      </c>
      <c r="M3546">
        <v>720</v>
      </c>
      <c r="N3546">
        <v>1</v>
      </c>
      <c r="O3546">
        <v>4</v>
      </c>
      <c r="P3546">
        <v>582</v>
      </c>
      <c r="Q3546">
        <v>344</v>
      </c>
      <c r="R3546">
        <v>140</v>
      </c>
      <c r="S3546">
        <v>54365.93</v>
      </c>
    </row>
    <row r="3547" spans="12:19" x14ac:dyDescent="0.2">
      <c r="L3547" t="s">
        <v>374</v>
      </c>
      <c r="M3547">
        <v>721</v>
      </c>
      <c r="N3547">
        <v>1</v>
      </c>
      <c r="O3547">
        <v>4</v>
      </c>
      <c r="P3547">
        <v>582</v>
      </c>
      <c r="Q3547">
        <v>344</v>
      </c>
      <c r="R3547">
        <v>140</v>
      </c>
      <c r="S3547">
        <v>55305.85</v>
      </c>
    </row>
    <row r="3548" spans="12:19" x14ac:dyDescent="0.2">
      <c r="L3548" t="s">
        <v>374</v>
      </c>
      <c r="M3548">
        <v>726</v>
      </c>
      <c r="N3548">
        <v>1</v>
      </c>
      <c r="O3548">
        <v>4</v>
      </c>
      <c r="P3548">
        <v>582</v>
      </c>
      <c r="Q3548">
        <v>344</v>
      </c>
      <c r="R3548">
        <v>140</v>
      </c>
      <c r="S3548">
        <v>67737.820000000007</v>
      </c>
    </row>
    <row r="3549" spans="12:19" x14ac:dyDescent="0.2">
      <c r="L3549" t="s">
        <v>374</v>
      </c>
      <c r="M3549">
        <v>727</v>
      </c>
      <c r="N3549">
        <v>1</v>
      </c>
      <c r="O3549">
        <v>4</v>
      </c>
      <c r="P3549">
        <v>582</v>
      </c>
      <c r="Q3549">
        <v>344</v>
      </c>
      <c r="R3549">
        <v>140</v>
      </c>
      <c r="S3549">
        <v>39334.36</v>
      </c>
    </row>
    <row r="3550" spans="12:19" x14ac:dyDescent="0.2">
      <c r="L3550" t="s">
        <v>374</v>
      </c>
      <c r="M3550">
        <v>728</v>
      </c>
      <c r="N3550">
        <v>1</v>
      </c>
      <c r="O3550">
        <v>4</v>
      </c>
      <c r="P3550">
        <v>582</v>
      </c>
      <c r="Q3550">
        <v>344</v>
      </c>
      <c r="R3550">
        <v>140</v>
      </c>
      <c r="S3550">
        <v>133240.46</v>
      </c>
    </row>
    <row r="3551" spans="12:19" x14ac:dyDescent="0.2">
      <c r="L3551" t="s">
        <v>374</v>
      </c>
      <c r="M3551">
        <v>738</v>
      </c>
      <c r="N3551">
        <v>1</v>
      </c>
      <c r="O3551">
        <v>4</v>
      </c>
      <c r="P3551">
        <v>582</v>
      </c>
      <c r="Q3551">
        <v>344</v>
      </c>
      <c r="R3551">
        <v>140</v>
      </c>
      <c r="S3551">
        <v>938.68</v>
      </c>
    </row>
    <row r="3552" spans="12:19" x14ac:dyDescent="0.2">
      <c r="L3552" t="s">
        <v>374</v>
      </c>
      <c r="M3552">
        <v>739</v>
      </c>
      <c r="N3552">
        <v>1</v>
      </c>
      <c r="O3552">
        <v>4</v>
      </c>
      <c r="P3552">
        <v>582</v>
      </c>
      <c r="Q3552">
        <v>344</v>
      </c>
      <c r="R3552">
        <v>140</v>
      </c>
      <c r="S3552">
        <v>20717.89</v>
      </c>
    </row>
    <row r="3553" spans="12:19" x14ac:dyDescent="0.2">
      <c r="L3553" t="s">
        <v>374</v>
      </c>
      <c r="M3553">
        <v>740</v>
      </c>
      <c r="N3553">
        <v>1</v>
      </c>
      <c r="O3553">
        <v>4</v>
      </c>
      <c r="P3553">
        <v>582</v>
      </c>
      <c r="Q3553">
        <v>344</v>
      </c>
      <c r="R3553">
        <v>140</v>
      </c>
      <c r="S3553">
        <v>22485.83</v>
      </c>
    </row>
    <row r="3554" spans="12:19" x14ac:dyDescent="0.2">
      <c r="L3554" t="s">
        <v>374</v>
      </c>
      <c r="M3554">
        <v>741</v>
      </c>
      <c r="N3554">
        <v>1</v>
      </c>
      <c r="O3554">
        <v>4</v>
      </c>
      <c r="P3554">
        <v>582</v>
      </c>
      <c r="Q3554">
        <v>344</v>
      </c>
      <c r="R3554">
        <v>140</v>
      </c>
      <c r="S3554">
        <v>16137.58</v>
      </c>
    </row>
    <row r="3555" spans="12:19" x14ac:dyDescent="0.2">
      <c r="L3555" t="s">
        <v>374</v>
      </c>
      <c r="M3555">
        <v>742</v>
      </c>
      <c r="N3555">
        <v>1</v>
      </c>
      <c r="O3555">
        <v>4</v>
      </c>
      <c r="P3555">
        <v>582</v>
      </c>
      <c r="Q3555">
        <v>344</v>
      </c>
      <c r="R3555">
        <v>140</v>
      </c>
      <c r="S3555">
        <v>114172.13</v>
      </c>
    </row>
    <row r="3556" spans="12:19" x14ac:dyDescent="0.2">
      <c r="L3556" t="s">
        <v>374</v>
      </c>
      <c r="M3556">
        <v>743</v>
      </c>
      <c r="N3556">
        <v>1</v>
      </c>
      <c r="O3556">
        <v>4</v>
      </c>
      <c r="P3556">
        <v>582</v>
      </c>
      <c r="Q3556">
        <v>344</v>
      </c>
      <c r="R3556">
        <v>140</v>
      </c>
      <c r="S3556">
        <v>14739.61</v>
      </c>
    </row>
    <row r="3557" spans="12:19" x14ac:dyDescent="0.2">
      <c r="L3557" t="s">
        <v>374</v>
      </c>
      <c r="M3557">
        <v>745</v>
      </c>
      <c r="N3557">
        <v>1</v>
      </c>
      <c r="O3557">
        <v>4</v>
      </c>
      <c r="P3557">
        <v>582</v>
      </c>
      <c r="Q3557">
        <v>344</v>
      </c>
      <c r="R3557">
        <v>140</v>
      </c>
      <c r="S3557">
        <v>44224.9</v>
      </c>
    </row>
    <row r="3558" spans="12:19" x14ac:dyDescent="0.2">
      <c r="L3558" t="s">
        <v>374</v>
      </c>
      <c r="M3558">
        <v>750</v>
      </c>
      <c r="N3558">
        <v>1</v>
      </c>
      <c r="O3558">
        <v>4</v>
      </c>
      <c r="P3558">
        <v>582</v>
      </c>
      <c r="Q3558">
        <v>344</v>
      </c>
      <c r="R3558">
        <v>140</v>
      </c>
      <c r="S3558">
        <v>26176.26</v>
      </c>
    </row>
    <row r="3559" spans="12:19" x14ac:dyDescent="0.2">
      <c r="L3559" t="s">
        <v>374</v>
      </c>
      <c r="M3559">
        <v>756</v>
      </c>
      <c r="N3559">
        <v>1</v>
      </c>
      <c r="O3559">
        <v>4</v>
      </c>
      <c r="P3559">
        <v>582</v>
      </c>
      <c r="Q3559">
        <v>344</v>
      </c>
      <c r="R3559">
        <v>140</v>
      </c>
      <c r="S3559">
        <v>12000.74</v>
      </c>
    </row>
    <row r="3560" spans="12:19" x14ac:dyDescent="0.2">
      <c r="L3560" t="s">
        <v>374</v>
      </c>
      <c r="M3560">
        <v>761</v>
      </c>
      <c r="N3560">
        <v>1</v>
      </c>
      <c r="O3560">
        <v>4</v>
      </c>
      <c r="P3560">
        <v>582</v>
      </c>
      <c r="Q3560">
        <v>344</v>
      </c>
      <c r="R3560">
        <v>140</v>
      </c>
      <c r="S3560">
        <v>46065.51</v>
      </c>
    </row>
    <row r="3561" spans="12:19" x14ac:dyDescent="0.2">
      <c r="L3561" t="s">
        <v>374</v>
      </c>
      <c r="M3561">
        <v>768</v>
      </c>
      <c r="N3561">
        <v>1</v>
      </c>
      <c r="O3561">
        <v>4</v>
      </c>
      <c r="P3561">
        <v>582</v>
      </c>
      <c r="Q3561">
        <v>344</v>
      </c>
      <c r="R3561">
        <v>140</v>
      </c>
      <c r="S3561">
        <v>1987.2</v>
      </c>
    </row>
    <row r="3562" spans="12:19" x14ac:dyDescent="0.2">
      <c r="L3562" t="s">
        <v>374</v>
      </c>
      <c r="M3562">
        <v>769</v>
      </c>
      <c r="N3562">
        <v>1</v>
      </c>
      <c r="O3562">
        <v>4</v>
      </c>
      <c r="P3562">
        <v>582</v>
      </c>
      <c r="Q3562">
        <v>344</v>
      </c>
      <c r="R3562">
        <v>140</v>
      </c>
      <c r="S3562">
        <v>9420.4500000000007</v>
      </c>
    </row>
    <row r="3563" spans="12:19" x14ac:dyDescent="0.2">
      <c r="L3563" t="s">
        <v>374</v>
      </c>
      <c r="M3563">
        <v>771</v>
      </c>
      <c r="N3563">
        <v>1</v>
      </c>
      <c r="O3563">
        <v>4</v>
      </c>
      <c r="P3563">
        <v>582</v>
      </c>
      <c r="Q3563">
        <v>344</v>
      </c>
      <c r="R3563">
        <v>140</v>
      </c>
      <c r="S3563">
        <v>5867.59</v>
      </c>
    </row>
    <row r="3564" spans="12:19" x14ac:dyDescent="0.2">
      <c r="L3564" t="s">
        <v>374</v>
      </c>
      <c r="M3564">
        <v>775</v>
      </c>
      <c r="N3564">
        <v>1</v>
      </c>
      <c r="O3564">
        <v>4</v>
      </c>
      <c r="P3564">
        <v>582</v>
      </c>
      <c r="Q3564">
        <v>344</v>
      </c>
      <c r="R3564">
        <v>140</v>
      </c>
      <c r="S3564">
        <v>3278.79</v>
      </c>
    </row>
    <row r="3565" spans="12:19" x14ac:dyDescent="0.2">
      <c r="L3565" t="s">
        <v>374</v>
      </c>
      <c r="M3565">
        <v>777</v>
      </c>
      <c r="N3565">
        <v>1</v>
      </c>
      <c r="O3565">
        <v>4</v>
      </c>
      <c r="P3565">
        <v>582</v>
      </c>
      <c r="Q3565">
        <v>344</v>
      </c>
      <c r="R3565">
        <v>140</v>
      </c>
      <c r="S3565">
        <v>8561.65</v>
      </c>
    </row>
    <row r="3566" spans="12:19" x14ac:dyDescent="0.2">
      <c r="L3566" t="s">
        <v>374</v>
      </c>
      <c r="M3566">
        <v>803</v>
      </c>
      <c r="N3566">
        <v>1</v>
      </c>
      <c r="O3566">
        <v>4</v>
      </c>
      <c r="P3566">
        <v>582</v>
      </c>
      <c r="Q3566">
        <v>344</v>
      </c>
      <c r="R3566">
        <v>140</v>
      </c>
      <c r="S3566">
        <v>7933.64</v>
      </c>
    </row>
    <row r="3567" spans="12:19" x14ac:dyDescent="0.2">
      <c r="L3567" t="s">
        <v>374</v>
      </c>
      <c r="M3567">
        <v>811</v>
      </c>
      <c r="N3567">
        <v>1</v>
      </c>
      <c r="O3567">
        <v>4</v>
      </c>
      <c r="P3567">
        <v>582</v>
      </c>
      <c r="Q3567">
        <v>344</v>
      </c>
      <c r="R3567">
        <v>140</v>
      </c>
      <c r="S3567">
        <v>13090.74</v>
      </c>
    </row>
    <row r="3568" spans="12:19" x14ac:dyDescent="0.2">
      <c r="L3568" t="s">
        <v>374</v>
      </c>
      <c r="M3568">
        <v>813</v>
      </c>
      <c r="N3568">
        <v>1</v>
      </c>
      <c r="O3568">
        <v>4</v>
      </c>
      <c r="P3568">
        <v>582</v>
      </c>
      <c r="Q3568">
        <v>344</v>
      </c>
      <c r="R3568">
        <v>140</v>
      </c>
      <c r="S3568">
        <v>11375.66</v>
      </c>
    </row>
    <row r="3569" spans="12:19" x14ac:dyDescent="0.2">
      <c r="L3569" t="s">
        <v>374</v>
      </c>
      <c r="M3569">
        <v>818</v>
      </c>
      <c r="N3569">
        <v>1</v>
      </c>
      <c r="O3569">
        <v>4</v>
      </c>
      <c r="P3569">
        <v>582</v>
      </c>
      <c r="Q3569">
        <v>344</v>
      </c>
      <c r="R3569">
        <v>140</v>
      </c>
      <c r="S3569">
        <v>142.86000000000001</v>
      </c>
    </row>
    <row r="3570" spans="12:19" x14ac:dyDescent="0.2">
      <c r="L3570" t="s">
        <v>374</v>
      </c>
      <c r="M3570">
        <v>821</v>
      </c>
      <c r="N3570">
        <v>1</v>
      </c>
      <c r="O3570">
        <v>4</v>
      </c>
      <c r="P3570">
        <v>582</v>
      </c>
      <c r="Q3570">
        <v>344</v>
      </c>
      <c r="R3570">
        <v>140</v>
      </c>
      <c r="S3570">
        <v>11623.56</v>
      </c>
    </row>
    <row r="3571" spans="12:19" x14ac:dyDescent="0.2">
      <c r="L3571" t="s">
        <v>374</v>
      </c>
      <c r="M3571">
        <v>829</v>
      </c>
      <c r="N3571">
        <v>1</v>
      </c>
      <c r="O3571">
        <v>4</v>
      </c>
      <c r="P3571">
        <v>582</v>
      </c>
      <c r="Q3571">
        <v>344</v>
      </c>
      <c r="R3571">
        <v>140</v>
      </c>
      <c r="S3571">
        <v>29983.79</v>
      </c>
    </row>
    <row r="3572" spans="12:19" x14ac:dyDescent="0.2">
      <c r="L3572" t="s">
        <v>374</v>
      </c>
      <c r="M3572">
        <v>831</v>
      </c>
      <c r="N3572">
        <v>1</v>
      </c>
      <c r="O3572">
        <v>4</v>
      </c>
      <c r="P3572">
        <v>582</v>
      </c>
      <c r="Q3572">
        <v>344</v>
      </c>
      <c r="R3572">
        <v>140</v>
      </c>
      <c r="S3572">
        <v>68164.56</v>
      </c>
    </row>
    <row r="3573" spans="12:19" x14ac:dyDescent="0.2">
      <c r="L3573" t="s">
        <v>374</v>
      </c>
      <c r="M3573">
        <v>832</v>
      </c>
      <c r="N3573">
        <v>1</v>
      </c>
      <c r="O3573">
        <v>4</v>
      </c>
      <c r="P3573">
        <v>582</v>
      </c>
      <c r="Q3573">
        <v>344</v>
      </c>
      <c r="R3573">
        <v>140</v>
      </c>
      <c r="S3573">
        <v>4739.8100000000004</v>
      </c>
    </row>
    <row r="3574" spans="12:19" x14ac:dyDescent="0.2">
      <c r="L3574" t="s">
        <v>374</v>
      </c>
      <c r="M3574">
        <v>833</v>
      </c>
      <c r="N3574">
        <v>1</v>
      </c>
      <c r="O3574">
        <v>4</v>
      </c>
      <c r="P3574">
        <v>582</v>
      </c>
      <c r="Q3574">
        <v>344</v>
      </c>
      <c r="R3574">
        <v>140</v>
      </c>
      <c r="S3574">
        <v>233389.15</v>
      </c>
    </row>
    <row r="3575" spans="12:19" x14ac:dyDescent="0.2">
      <c r="L3575" t="s">
        <v>374</v>
      </c>
      <c r="M3575">
        <v>834</v>
      </c>
      <c r="N3575">
        <v>1</v>
      </c>
      <c r="O3575">
        <v>4</v>
      </c>
      <c r="P3575">
        <v>582</v>
      </c>
      <c r="Q3575">
        <v>344</v>
      </c>
      <c r="R3575">
        <v>140</v>
      </c>
      <c r="S3575">
        <v>19233.02</v>
      </c>
    </row>
    <row r="3576" spans="12:19" x14ac:dyDescent="0.2">
      <c r="L3576" t="s">
        <v>374</v>
      </c>
      <c r="M3576">
        <v>836</v>
      </c>
      <c r="N3576">
        <v>1</v>
      </c>
      <c r="O3576">
        <v>4</v>
      </c>
      <c r="P3576">
        <v>582</v>
      </c>
      <c r="Q3576">
        <v>344</v>
      </c>
      <c r="R3576">
        <v>140</v>
      </c>
      <c r="S3576">
        <v>1200</v>
      </c>
    </row>
    <row r="3577" spans="12:19" x14ac:dyDescent="0.2">
      <c r="L3577" t="s">
        <v>374</v>
      </c>
      <c r="M3577">
        <v>837</v>
      </c>
      <c r="N3577">
        <v>1</v>
      </c>
      <c r="O3577">
        <v>4</v>
      </c>
      <c r="P3577">
        <v>582</v>
      </c>
      <c r="Q3577">
        <v>344</v>
      </c>
      <c r="R3577">
        <v>140</v>
      </c>
      <c r="S3577">
        <v>10831.87</v>
      </c>
    </row>
    <row r="3578" spans="12:19" x14ac:dyDescent="0.2">
      <c r="L3578" t="s">
        <v>374</v>
      </c>
      <c r="M3578">
        <v>840</v>
      </c>
      <c r="N3578">
        <v>1</v>
      </c>
      <c r="O3578">
        <v>4</v>
      </c>
      <c r="P3578">
        <v>582</v>
      </c>
      <c r="Q3578">
        <v>344</v>
      </c>
      <c r="R3578">
        <v>140</v>
      </c>
      <c r="S3578">
        <v>12983.96</v>
      </c>
    </row>
    <row r="3579" spans="12:19" x14ac:dyDescent="0.2">
      <c r="L3579" t="s">
        <v>374</v>
      </c>
      <c r="M3579">
        <v>850</v>
      </c>
      <c r="N3579">
        <v>1</v>
      </c>
      <c r="O3579">
        <v>4</v>
      </c>
      <c r="P3579">
        <v>582</v>
      </c>
      <c r="Q3579">
        <v>344</v>
      </c>
      <c r="R3579">
        <v>140</v>
      </c>
      <c r="S3579">
        <v>3658.5</v>
      </c>
    </row>
    <row r="3580" spans="12:19" x14ac:dyDescent="0.2">
      <c r="L3580" t="s">
        <v>374</v>
      </c>
      <c r="M3580">
        <v>857</v>
      </c>
      <c r="N3580">
        <v>1</v>
      </c>
      <c r="O3580">
        <v>4</v>
      </c>
      <c r="P3580">
        <v>582</v>
      </c>
      <c r="Q3580">
        <v>344</v>
      </c>
      <c r="R3580">
        <v>140</v>
      </c>
      <c r="S3580">
        <v>56795.9</v>
      </c>
    </row>
    <row r="3581" spans="12:19" x14ac:dyDescent="0.2">
      <c r="L3581" t="s">
        <v>374</v>
      </c>
      <c r="M3581">
        <v>876</v>
      </c>
      <c r="N3581">
        <v>1</v>
      </c>
      <c r="O3581">
        <v>4</v>
      </c>
      <c r="P3581">
        <v>582</v>
      </c>
      <c r="Q3581">
        <v>344</v>
      </c>
      <c r="R3581">
        <v>140</v>
      </c>
      <c r="S3581">
        <v>51166.98</v>
      </c>
    </row>
    <row r="3582" spans="12:19" x14ac:dyDescent="0.2">
      <c r="L3582" t="s">
        <v>374</v>
      </c>
      <c r="M3582">
        <v>877</v>
      </c>
      <c r="N3582">
        <v>1</v>
      </c>
      <c r="O3582">
        <v>4</v>
      </c>
      <c r="P3582">
        <v>582</v>
      </c>
      <c r="Q3582">
        <v>344</v>
      </c>
      <c r="R3582">
        <v>140</v>
      </c>
      <c r="S3582">
        <v>111289.66</v>
      </c>
    </row>
    <row r="3583" spans="12:19" x14ac:dyDescent="0.2">
      <c r="L3583" t="s">
        <v>374</v>
      </c>
      <c r="M3583">
        <v>879</v>
      </c>
      <c r="N3583">
        <v>1</v>
      </c>
      <c r="O3583">
        <v>4</v>
      </c>
      <c r="P3583">
        <v>582</v>
      </c>
      <c r="Q3583">
        <v>344</v>
      </c>
      <c r="R3583">
        <v>140</v>
      </c>
      <c r="S3583">
        <v>652.38</v>
      </c>
    </row>
    <row r="3584" spans="12:19" x14ac:dyDescent="0.2">
      <c r="L3584" t="s">
        <v>374</v>
      </c>
      <c r="M3584">
        <v>882</v>
      </c>
      <c r="N3584">
        <v>1</v>
      </c>
      <c r="O3584">
        <v>4</v>
      </c>
      <c r="P3584">
        <v>582</v>
      </c>
      <c r="Q3584">
        <v>344</v>
      </c>
      <c r="R3584">
        <v>140</v>
      </c>
      <c r="S3584">
        <v>40033.19</v>
      </c>
    </row>
    <row r="3585" spans="12:19" x14ac:dyDescent="0.2">
      <c r="L3585" t="s">
        <v>374</v>
      </c>
      <c r="M3585">
        <v>883</v>
      </c>
      <c r="N3585">
        <v>1</v>
      </c>
      <c r="O3585">
        <v>4</v>
      </c>
      <c r="P3585">
        <v>582</v>
      </c>
      <c r="Q3585">
        <v>344</v>
      </c>
      <c r="R3585">
        <v>140</v>
      </c>
      <c r="S3585">
        <v>64736.3</v>
      </c>
    </row>
    <row r="3586" spans="12:19" x14ac:dyDescent="0.2">
      <c r="L3586" t="s">
        <v>374</v>
      </c>
      <c r="M3586">
        <v>885</v>
      </c>
      <c r="N3586">
        <v>1</v>
      </c>
      <c r="O3586">
        <v>4</v>
      </c>
      <c r="P3586">
        <v>582</v>
      </c>
      <c r="Q3586">
        <v>344</v>
      </c>
      <c r="R3586">
        <v>140</v>
      </c>
      <c r="S3586">
        <v>126141.49</v>
      </c>
    </row>
    <row r="3587" spans="12:19" x14ac:dyDescent="0.2">
      <c r="L3587" t="s">
        <v>374</v>
      </c>
      <c r="M3587">
        <v>891</v>
      </c>
      <c r="N3587">
        <v>1</v>
      </c>
      <c r="O3587">
        <v>4</v>
      </c>
      <c r="P3587">
        <v>582</v>
      </c>
      <c r="Q3587">
        <v>344</v>
      </c>
      <c r="R3587">
        <v>140</v>
      </c>
      <c r="S3587">
        <v>23327.73</v>
      </c>
    </row>
    <row r="3588" spans="12:19" x14ac:dyDescent="0.2">
      <c r="L3588" t="s">
        <v>374</v>
      </c>
      <c r="M3588">
        <v>911</v>
      </c>
      <c r="N3588">
        <v>1</v>
      </c>
      <c r="O3588">
        <v>4</v>
      </c>
      <c r="P3588">
        <v>582</v>
      </c>
      <c r="Q3588">
        <v>344</v>
      </c>
      <c r="R3588">
        <v>140</v>
      </c>
      <c r="S3588">
        <v>4850.54</v>
      </c>
    </row>
    <row r="3589" spans="12:19" x14ac:dyDescent="0.2">
      <c r="L3589" t="s">
        <v>374</v>
      </c>
      <c r="M3589">
        <v>912</v>
      </c>
      <c r="N3589">
        <v>1</v>
      </c>
      <c r="O3589">
        <v>4</v>
      </c>
      <c r="P3589">
        <v>582</v>
      </c>
      <c r="Q3589">
        <v>344</v>
      </c>
      <c r="R3589">
        <v>140</v>
      </c>
      <c r="S3589">
        <v>49997.63</v>
      </c>
    </row>
    <row r="3590" spans="12:19" x14ac:dyDescent="0.2">
      <c r="L3590" t="s">
        <v>374</v>
      </c>
      <c r="M3590">
        <v>2071</v>
      </c>
      <c r="N3590">
        <v>1</v>
      </c>
      <c r="O3590">
        <v>4</v>
      </c>
      <c r="P3590">
        <v>582</v>
      </c>
      <c r="Q3590">
        <v>344</v>
      </c>
      <c r="R3590">
        <v>140</v>
      </c>
      <c r="S3590">
        <v>51845.24</v>
      </c>
    </row>
    <row r="3591" spans="12:19" x14ac:dyDescent="0.2">
      <c r="L3591" t="s">
        <v>374</v>
      </c>
      <c r="M3591">
        <v>2125</v>
      </c>
      <c r="N3591">
        <v>1</v>
      </c>
      <c r="O3591">
        <v>4</v>
      </c>
      <c r="P3591">
        <v>582</v>
      </c>
      <c r="Q3591">
        <v>344</v>
      </c>
      <c r="R3591">
        <v>140</v>
      </c>
      <c r="S3591">
        <v>32965.949999999997</v>
      </c>
    </row>
    <row r="3592" spans="12:19" x14ac:dyDescent="0.2">
      <c r="L3592" t="s">
        <v>374</v>
      </c>
      <c r="M3592">
        <v>2134</v>
      </c>
      <c r="N3592">
        <v>1</v>
      </c>
      <c r="O3592">
        <v>4</v>
      </c>
      <c r="P3592">
        <v>582</v>
      </c>
      <c r="Q3592">
        <v>344</v>
      </c>
      <c r="R3592">
        <v>140</v>
      </c>
      <c r="S3592">
        <v>21868.59</v>
      </c>
    </row>
    <row r="3593" spans="12:19" x14ac:dyDescent="0.2">
      <c r="L3593" t="s">
        <v>374</v>
      </c>
      <c r="M3593">
        <v>2135</v>
      </c>
      <c r="N3593">
        <v>1</v>
      </c>
      <c r="O3593">
        <v>4</v>
      </c>
      <c r="P3593">
        <v>582</v>
      </c>
      <c r="Q3593">
        <v>344</v>
      </c>
      <c r="R3593">
        <v>140</v>
      </c>
      <c r="S3593">
        <v>26995.94</v>
      </c>
    </row>
    <row r="3594" spans="12:19" x14ac:dyDescent="0.2">
      <c r="L3594" t="s">
        <v>374</v>
      </c>
      <c r="M3594">
        <v>2137</v>
      </c>
      <c r="N3594">
        <v>1</v>
      </c>
      <c r="O3594">
        <v>4</v>
      </c>
      <c r="P3594">
        <v>582</v>
      </c>
      <c r="Q3594">
        <v>344</v>
      </c>
      <c r="R3594">
        <v>140</v>
      </c>
      <c r="S3594">
        <v>21324</v>
      </c>
    </row>
    <row r="3595" spans="12:19" x14ac:dyDescent="0.2">
      <c r="L3595" t="s">
        <v>374</v>
      </c>
      <c r="M3595">
        <v>2142</v>
      </c>
      <c r="N3595">
        <v>1</v>
      </c>
      <c r="O3595">
        <v>4</v>
      </c>
      <c r="P3595">
        <v>582</v>
      </c>
      <c r="Q3595">
        <v>344</v>
      </c>
      <c r="R3595">
        <v>140</v>
      </c>
      <c r="S3595">
        <v>59689.51</v>
      </c>
    </row>
    <row r="3596" spans="12:19" x14ac:dyDescent="0.2">
      <c r="L3596" t="s">
        <v>374</v>
      </c>
      <c r="M3596">
        <v>2143</v>
      </c>
      <c r="N3596">
        <v>1</v>
      </c>
      <c r="O3596">
        <v>4</v>
      </c>
      <c r="P3596">
        <v>582</v>
      </c>
      <c r="Q3596">
        <v>344</v>
      </c>
      <c r="R3596">
        <v>140</v>
      </c>
      <c r="S3596">
        <v>19415.54</v>
      </c>
    </row>
    <row r="3597" spans="12:19" x14ac:dyDescent="0.2">
      <c r="L3597" t="s">
        <v>374</v>
      </c>
      <c r="M3597">
        <v>2144</v>
      </c>
      <c r="N3597">
        <v>1</v>
      </c>
      <c r="O3597">
        <v>4</v>
      </c>
      <c r="P3597">
        <v>582</v>
      </c>
      <c r="Q3597">
        <v>344</v>
      </c>
      <c r="R3597">
        <v>140</v>
      </c>
      <c r="S3597">
        <v>11906.2</v>
      </c>
    </row>
    <row r="3598" spans="12:19" x14ac:dyDescent="0.2">
      <c r="L3598" t="s">
        <v>374</v>
      </c>
      <c r="M3598">
        <v>2149</v>
      </c>
      <c r="N3598">
        <v>1</v>
      </c>
      <c r="O3598">
        <v>4</v>
      </c>
      <c r="P3598">
        <v>582</v>
      </c>
      <c r="Q3598">
        <v>344</v>
      </c>
      <c r="R3598">
        <v>140</v>
      </c>
      <c r="S3598">
        <v>5754.41</v>
      </c>
    </row>
    <row r="3599" spans="12:19" x14ac:dyDescent="0.2">
      <c r="L3599" t="s">
        <v>374</v>
      </c>
      <c r="M3599">
        <v>2154</v>
      </c>
      <c r="N3599">
        <v>1</v>
      </c>
      <c r="O3599">
        <v>4</v>
      </c>
      <c r="P3599">
        <v>582</v>
      </c>
      <c r="Q3599">
        <v>344</v>
      </c>
      <c r="R3599">
        <v>140</v>
      </c>
      <c r="S3599">
        <v>9595.91</v>
      </c>
    </row>
    <row r="3600" spans="12:19" x14ac:dyDescent="0.2">
      <c r="L3600" t="s">
        <v>374</v>
      </c>
      <c r="M3600">
        <v>2155</v>
      </c>
      <c r="N3600">
        <v>1</v>
      </c>
      <c r="O3600">
        <v>4</v>
      </c>
      <c r="P3600">
        <v>582</v>
      </c>
      <c r="Q3600">
        <v>344</v>
      </c>
      <c r="R3600">
        <v>140</v>
      </c>
      <c r="S3600">
        <v>45101.43</v>
      </c>
    </row>
    <row r="3601" spans="12:19" x14ac:dyDescent="0.2">
      <c r="L3601" t="s">
        <v>374</v>
      </c>
      <c r="M3601">
        <v>2159</v>
      </c>
      <c r="N3601">
        <v>1</v>
      </c>
      <c r="O3601">
        <v>4</v>
      </c>
      <c r="P3601">
        <v>582</v>
      </c>
      <c r="Q3601">
        <v>344</v>
      </c>
      <c r="R3601">
        <v>140</v>
      </c>
      <c r="S3601">
        <v>19260.48</v>
      </c>
    </row>
    <row r="3602" spans="12:19" x14ac:dyDescent="0.2">
      <c r="L3602" t="s">
        <v>374</v>
      </c>
      <c r="M3602">
        <v>2164</v>
      </c>
      <c r="N3602">
        <v>1</v>
      </c>
      <c r="O3602">
        <v>4</v>
      </c>
      <c r="P3602">
        <v>582</v>
      </c>
      <c r="Q3602">
        <v>344</v>
      </c>
      <c r="R3602">
        <v>140</v>
      </c>
      <c r="S3602">
        <v>27774.75</v>
      </c>
    </row>
    <row r="3603" spans="12:19" x14ac:dyDescent="0.2">
      <c r="L3603" t="s">
        <v>374</v>
      </c>
      <c r="M3603">
        <v>2165</v>
      </c>
      <c r="N3603">
        <v>1</v>
      </c>
      <c r="O3603">
        <v>4</v>
      </c>
      <c r="P3603">
        <v>582</v>
      </c>
      <c r="Q3603">
        <v>344</v>
      </c>
      <c r="R3603">
        <v>140</v>
      </c>
      <c r="S3603">
        <v>35209.339999999997</v>
      </c>
    </row>
    <row r="3604" spans="12:19" x14ac:dyDescent="0.2">
      <c r="L3604" t="s">
        <v>374</v>
      </c>
      <c r="M3604">
        <v>2167</v>
      </c>
      <c r="N3604">
        <v>1</v>
      </c>
      <c r="O3604">
        <v>4</v>
      </c>
      <c r="P3604">
        <v>582</v>
      </c>
      <c r="Q3604">
        <v>344</v>
      </c>
      <c r="R3604">
        <v>140</v>
      </c>
      <c r="S3604">
        <v>14607.89</v>
      </c>
    </row>
    <row r="3605" spans="12:19" x14ac:dyDescent="0.2">
      <c r="L3605" t="s">
        <v>374</v>
      </c>
      <c r="M3605">
        <v>2168</v>
      </c>
      <c r="N3605">
        <v>1</v>
      </c>
      <c r="O3605">
        <v>4</v>
      </c>
      <c r="P3605">
        <v>582</v>
      </c>
      <c r="Q3605">
        <v>344</v>
      </c>
      <c r="R3605">
        <v>140</v>
      </c>
      <c r="S3605">
        <v>9718.8799999999992</v>
      </c>
    </row>
    <row r="3606" spans="12:19" x14ac:dyDescent="0.2">
      <c r="L3606" t="s">
        <v>374</v>
      </c>
      <c r="M3606">
        <v>2169</v>
      </c>
      <c r="N3606">
        <v>1</v>
      </c>
      <c r="O3606">
        <v>4</v>
      </c>
      <c r="P3606">
        <v>582</v>
      </c>
      <c r="Q3606">
        <v>344</v>
      </c>
      <c r="R3606">
        <v>140</v>
      </c>
      <c r="S3606">
        <v>32449.97</v>
      </c>
    </row>
    <row r="3607" spans="12:19" x14ac:dyDescent="0.2">
      <c r="L3607" t="s">
        <v>374</v>
      </c>
      <c r="M3607">
        <v>2171</v>
      </c>
      <c r="N3607">
        <v>1</v>
      </c>
      <c r="O3607">
        <v>4</v>
      </c>
      <c r="P3607">
        <v>582</v>
      </c>
      <c r="Q3607">
        <v>344</v>
      </c>
      <c r="R3607">
        <v>140</v>
      </c>
      <c r="S3607">
        <v>15481.2</v>
      </c>
    </row>
    <row r="3608" spans="12:19" x14ac:dyDescent="0.2">
      <c r="L3608" t="s">
        <v>374</v>
      </c>
      <c r="M3608">
        <v>2174</v>
      </c>
      <c r="N3608">
        <v>1</v>
      </c>
      <c r="O3608">
        <v>4</v>
      </c>
      <c r="P3608">
        <v>582</v>
      </c>
      <c r="Q3608">
        <v>344</v>
      </c>
      <c r="R3608">
        <v>140</v>
      </c>
      <c r="S3608">
        <v>16090.36</v>
      </c>
    </row>
    <row r="3609" spans="12:19" x14ac:dyDescent="0.2">
      <c r="L3609" t="s">
        <v>374</v>
      </c>
      <c r="M3609">
        <v>2176</v>
      </c>
      <c r="N3609">
        <v>1</v>
      </c>
      <c r="O3609">
        <v>4</v>
      </c>
      <c r="P3609">
        <v>582</v>
      </c>
      <c r="Q3609">
        <v>344</v>
      </c>
      <c r="R3609">
        <v>140</v>
      </c>
      <c r="S3609">
        <v>18800</v>
      </c>
    </row>
    <row r="3610" spans="12:19" x14ac:dyDescent="0.2">
      <c r="L3610" t="s">
        <v>374</v>
      </c>
      <c r="M3610">
        <v>2184</v>
      </c>
      <c r="N3610">
        <v>1</v>
      </c>
      <c r="O3610">
        <v>4</v>
      </c>
      <c r="P3610">
        <v>582</v>
      </c>
      <c r="Q3610">
        <v>344</v>
      </c>
      <c r="R3610">
        <v>140</v>
      </c>
      <c r="S3610">
        <v>11698.64</v>
      </c>
    </row>
    <row r="3611" spans="12:19" x14ac:dyDescent="0.2">
      <c r="L3611" t="s">
        <v>374</v>
      </c>
      <c r="M3611">
        <v>2190</v>
      </c>
      <c r="N3611">
        <v>1</v>
      </c>
      <c r="O3611">
        <v>4</v>
      </c>
      <c r="P3611">
        <v>582</v>
      </c>
      <c r="Q3611">
        <v>344</v>
      </c>
      <c r="R3611">
        <v>140</v>
      </c>
      <c r="S3611">
        <v>16369.54</v>
      </c>
    </row>
    <row r="3612" spans="12:19" x14ac:dyDescent="0.2">
      <c r="L3612" t="s">
        <v>374</v>
      </c>
      <c r="M3612">
        <v>2198</v>
      </c>
      <c r="N3612">
        <v>1</v>
      </c>
      <c r="O3612">
        <v>4</v>
      </c>
      <c r="P3612">
        <v>582</v>
      </c>
      <c r="Q3612">
        <v>344</v>
      </c>
      <c r="R3612">
        <v>140</v>
      </c>
      <c r="S3612">
        <v>21113.25</v>
      </c>
    </row>
    <row r="3613" spans="12:19" x14ac:dyDescent="0.2">
      <c r="L3613" t="s">
        <v>374</v>
      </c>
      <c r="M3613">
        <v>2310</v>
      </c>
      <c r="N3613">
        <v>1</v>
      </c>
      <c r="O3613">
        <v>4</v>
      </c>
      <c r="P3613">
        <v>582</v>
      </c>
      <c r="Q3613">
        <v>344</v>
      </c>
      <c r="R3613">
        <v>140</v>
      </c>
      <c r="S3613">
        <v>13322.74</v>
      </c>
    </row>
    <row r="3614" spans="12:19" x14ac:dyDescent="0.2">
      <c r="L3614" t="s">
        <v>374</v>
      </c>
      <c r="M3614">
        <v>2311</v>
      </c>
      <c r="N3614">
        <v>1</v>
      </c>
      <c r="O3614">
        <v>4</v>
      </c>
      <c r="P3614">
        <v>582</v>
      </c>
      <c r="Q3614">
        <v>344</v>
      </c>
      <c r="R3614">
        <v>140</v>
      </c>
      <c r="S3614">
        <v>15380</v>
      </c>
    </row>
    <row r="3615" spans="12:19" x14ac:dyDescent="0.2">
      <c r="L3615" t="s">
        <v>374</v>
      </c>
      <c r="M3615">
        <v>2342</v>
      </c>
      <c r="N3615">
        <v>1</v>
      </c>
      <c r="O3615">
        <v>4</v>
      </c>
      <c r="P3615">
        <v>582</v>
      </c>
      <c r="Q3615">
        <v>344</v>
      </c>
      <c r="R3615">
        <v>140</v>
      </c>
      <c r="S3615">
        <v>17190.36</v>
      </c>
    </row>
    <row r="3616" spans="12:19" x14ac:dyDescent="0.2">
      <c r="L3616" t="s">
        <v>374</v>
      </c>
      <c r="M3616">
        <v>2364</v>
      </c>
      <c r="N3616">
        <v>1</v>
      </c>
      <c r="O3616">
        <v>4</v>
      </c>
      <c r="P3616">
        <v>582</v>
      </c>
      <c r="Q3616">
        <v>344</v>
      </c>
      <c r="R3616">
        <v>140</v>
      </c>
      <c r="S3616">
        <v>18733.580000000002</v>
      </c>
    </row>
    <row r="3617" spans="12:19" x14ac:dyDescent="0.2">
      <c r="L3617" t="s">
        <v>374</v>
      </c>
      <c r="M3617">
        <v>2365</v>
      </c>
      <c r="N3617">
        <v>1</v>
      </c>
      <c r="O3617">
        <v>4</v>
      </c>
      <c r="P3617">
        <v>582</v>
      </c>
      <c r="Q3617">
        <v>344</v>
      </c>
      <c r="R3617">
        <v>140</v>
      </c>
      <c r="S3617">
        <v>20685.2</v>
      </c>
    </row>
    <row r="3618" spans="12:19" x14ac:dyDescent="0.2">
      <c r="L3618" t="s">
        <v>374</v>
      </c>
      <c r="M3618">
        <v>2396</v>
      </c>
      <c r="N3618">
        <v>1</v>
      </c>
      <c r="O3618">
        <v>4</v>
      </c>
      <c r="P3618">
        <v>582</v>
      </c>
      <c r="Q3618">
        <v>344</v>
      </c>
      <c r="R3618">
        <v>140</v>
      </c>
      <c r="S3618">
        <v>49774.02</v>
      </c>
    </row>
    <row r="3619" spans="12:19" x14ac:dyDescent="0.2">
      <c r="L3619" t="s">
        <v>374</v>
      </c>
      <c r="M3619">
        <v>2397</v>
      </c>
      <c r="N3619">
        <v>1</v>
      </c>
      <c r="O3619">
        <v>4</v>
      </c>
      <c r="P3619">
        <v>582</v>
      </c>
      <c r="Q3619">
        <v>344</v>
      </c>
      <c r="R3619">
        <v>140</v>
      </c>
      <c r="S3619">
        <v>19953.669999999998</v>
      </c>
    </row>
    <row r="3620" spans="12:19" x14ac:dyDescent="0.2">
      <c r="L3620" t="s">
        <v>374</v>
      </c>
      <c r="M3620">
        <v>2448</v>
      </c>
      <c r="N3620">
        <v>1</v>
      </c>
      <c r="O3620">
        <v>4</v>
      </c>
      <c r="P3620">
        <v>582</v>
      </c>
      <c r="Q3620">
        <v>344</v>
      </c>
      <c r="R3620">
        <v>140</v>
      </c>
      <c r="S3620">
        <v>34456.76</v>
      </c>
    </row>
    <row r="3621" spans="12:19" x14ac:dyDescent="0.2">
      <c r="L3621" t="s">
        <v>374</v>
      </c>
      <c r="M3621">
        <v>2534</v>
      </c>
      <c r="N3621">
        <v>1</v>
      </c>
      <c r="O3621">
        <v>4</v>
      </c>
      <c r="P3621">
        <v>582</v>
      </c>
      <c r="Q3621">
        <v>344</v>
      </c>
      <c r="R3621">
        <v>140</v>
      </c>
      <c r="S3621">
        <v>15525</v>
      </c>
    </row>
    <row r="3622" spans="12:19" x14ac:dyDescent="0.2">
      <c r="L3622" t="s">
        <v>374</v>
      </c>
      <c r="M3622">
        <v>2580</v>
      </c>
      <c r="N3622">
        <v>1</v>
      </c>
      <c r="O3622">
        <v>4</v>
      </c>
      <c r="P3622">
        <v>582</v>
      </c>
      <c r="Q3622">
        <v>344</v>
      </c>
      <c r="R3622">
        <v>140</v>
      </c>
      <c r="S3622">
        <v>9202.8700000000008</v>
      </c>
    </row>
    <row r="3623" spans="12:19" x14ac:dyDescent="0.2">
      <c r="L3623" t="s">
        <v>374</v>
      </c>
      <c r="M3623">
        <v>2689</v>
      </c>
      <c r="N3623">
        <v>1</v>
      </c>
      <c r="O3623">
        <v>4</v>
      </c>
      <c r="P3623">
        <v>582</v>
      </c>
      <c r="Q3623">
        <v>344</v>
      </c>
      <c r="R3623">
        <v>140</v>
      </c>
      <c r="S3623">
        <v>9549.31</v>
      </c>
    </row>
    <row r="3624" spans="12:19" x14ac:dyDescent="0.2">
      <c r="L3624" t="s">
        <v>374</v>
      </c>
      <c r="M3624">
        <v>2711</v>
      </c>
      <c r="N3624">
        <v>1</v>
      </c>
      <c r="O3624">
        <v>4</v>
      </c>
      <c r="P3624">
        <v>582</v>
      </c>
      <c r="Q3624">
        <v>344</v>
      </c>
      <c r="R3624">
        <v>140</v>
      </c>
      <c r="S3624">
        <v>19104.259999999998</v>
      </c>
    </row>
    <row r="3625" spans="12:19" x14ac:dyDescent="0.2">
      <c r="L3625" t="s">
        <v>374</v>
      </c>
      <c r="M3625">
        <v>2752</v>
      </c>
      <c r="N3625">
        <v>1</v>
      </c>
      <c r="O3625">
        <v>4</v>
      </c>
      <c r="P3625">
        <v>582</v>
      </c>
      <c r="Q3625">
        <v>344</v>
      </c>
      <c r="R3625">
        <v>140</v>
      </c>
      <c r="S3625">
        <v>4041.84</v>
      </c>
    </row>
    <row r="3626" spans="12:19" x14ac:dyDescent="0.2">
      <c r="L3626" t="s">
        <v>374</v>
      </c>
      <c r="M3626">
        <v>2754</v>
      </c>
      <c r="N3626">
        <v>1</v>
      </c>
      <c r="O3626">
        <v>4</v>
      </c>
      <c r="P3626">
        <v>582</v>
      </c>
      <c r="Q3626">
        <v>344</v>
      </c>
      <c r="R3626">
        <v>140</v>
      </c>
      <c r="S3626">
        <v>16445.79</v>
      </c>
    </row>
    <row r="3627" spans="12:19" x14ac:dyDescent="0.2">
      <c r="L3627" t="s">
        <v>374</v>
      </c>
      <c r="M3627">
        <v>2835</v>
      </c>
      <c r="N3627">
        <v>1</v>
      </c>
      <c r="O3627">
        <v>4</v>
      </c>
      <c r="P3627">
        <v>582</v>
      </c>
      <c r="Q3627">
        <v>344</v>
      </c>
      <c r="R3627">
        <v>140</v>
      </c>
      <c r="S3627">
        <v>35141.480000000003</v>
      </c>
    </row>
    <row r="3628" spans="12:19" x14ac:dyDescent="0.2">
      <c r="L3628" t="s">
        <v>374</v>
      </c>
      <c r="M3628">
        <v>2853</v>
      </c>
      <c r="N3628">
        <v>1</v>
      </c>
      <c r="O3628">
        <v>4</v>
      </c>
      <c r="P3628">
        <v>582</v>
      </c>
      <c r="Q3628">
        <v>344</v>
      </c>
      <c r="R3628">
        <v>140</v>
      </c>
      <c r="S3628">
        <v>24328.2</v>
      </c>
    </row>
    <row r="3629" spans="12:19" x14ac:dyDescent="0.2">
      <c r="L3629" t="s">
        <v>374</v>
      </c>
      <c r="M3629">
        <v>2854</v>
      </c>
      <c r="N3629">
        <v>1</v>
      </c>
      <c r="O3629">
        <v>4</v>
      </c>
      <c r="P3629">
        <v>582</v>
      </c>
      <c r="Q3629">
        <v>344</v>
      </c>
      <c r="R3629">
        <v>140</v>
      </c>
      <c r="S3629">
        <v>34970.67</v>
      </c>
    </row>
    <row r="3630" spans="12:19" x14ac:dyDescent="0.2">
      <c r="L3630" t="s">
        <v>374</v>
      </c>
      <c r="M3630">
        <v>2856</v>
      </c>
      <c r="N3630">
        <v>1</v>
      </c>
      <c r="O3630">
        <v>4</v>
      </c>
      <c r="P3630">
        <v>582</v>
      </c>
      <c r="Q3630">
        <v>344</v>
      </c>
      <c r="R3630">
        <v>140</v>
      </c>
      <c r="S3630">
        <v>13307.22</v>
      </c>
    </row>
    <row r="3631" spans="12:19" x14ac:dyDescent="0.2">
      <c r="L3631" t="s">
        <v>374</v>
      </c>
      <c r="M3631">
        <v>2859</v>
      </c>
      <c r="N3631">
        <v>1</v>
      </c>
      <c r="O3631">
        <v>4</v>
      </c>
      <c r="P3631">
        <v>582</v>
      </c>
      <c r="Q3631">
        <v>344</v>
      </c>
      <c r="R3631">
        <v>140</v>
      </c>
      <c r="S3631">
        <v>28063.8</v>
      </c>
    </row>
    <row r="3632" spans="12:19" x14ac:dyDescent="0.2">
      <c r="L3632" t="s">
        <v>374</v>
      </c>
      <c r="M3632">
        <v>2860</v>
      </c>
      <c r="N3632">
        <v>1</v>
      </c>
      <c r="O3632">
        <v>4</v>
      </c>
      <c r="P3632">
        <v>582</v>
      </c>
      <c r="Q3632">
        <v>344</v>
      </c>
      <c r="R3632">
        <v>140</v>
      </c>
      <c r="S3632">
        <v>7397.51</v>
      </c>
    </row>
    <row r="3633" spans="12:19" x14ac:dyDescent="0.2">
      <c r="L3633" t="s">
        <v>374</v>
      </c>
      <c r="M3633">
        <v>2884</v>
      </c>
      <c r="N3633">
        <v>1</v>
      </c>
      <c r="O3633">
        <v>4</v>
      </c>
      <c r="P3633">
        <v>582</v>
      </c>
      <c r="Q3633">
        <v>344</v>
      </c>
      <c r="R3633">
        <v>140</v>
      </c>
      <c r="S3633">
        <v>3898.31</v>
      </c>
    </row>
    <row r="3634" spans="12:19" x14ac:dyDescent="0.2">
      <c r="L3634" t="s">
        <v>374</v>
      </c>
      <c r="M3634">
        <v>2886</v>
      </c>
      <c r="N3634">
        <v>1</v>
      </c>
      <c r="O3634">
        <v>4</v>
      </c>
      <c r="P3634">
        <v>582</v>
      </c>
      <c r="Q3634">
        <v>344</v>
      </c>
      <c r="R3634">
        <v>140</v>
      </c>
      <c r="S3634">
        <v>479.06</v>
      </c>
    </row>
    <row r="3635" spans="12:19" x14ac:dyDescent="0.2">
      <c r="L3635" t="s">
        <v>374</v>
      </c>
      <c r="M3635">
        <v>2887</v>
      </c>
      <c r="N3635">
        <v>1</v>
      </c>
      <c r="O3635">
        <v>4</v>
      </c>
      <c r="P3635">
        <v>582</v>
      </c>
      <c r="Q3635">
        <v>344</v>
      </c>
      <c r="R3635">
        <v>140</v>
      </c>
      <c r="S3635">
        <v>5540</v>
      </c>
    </row>
    <row r="3636" spans="12:19" x14ac:dyDescent="0.2">
      <c r="L3636" t="s">
        <v>374</v>
      </c>
      <c r="M3636">
        <v>2888</v>
      </c>
      <c r="N3636">
        <v>1</v>
      </c>
      <c r="O3636">
        <v>4</v>
      </c>
      <c r="P3636">
        <v>582</v>
      </c>
      <c r="Q3636">
        <v>344</v>
      </c>
      <c r="R3636">
        <v>140</v>
      </c>
      <c r="S3636">
        <v>9326.7099999999991</v>
      </c>
    </row>
    <row r="3637" spans="12:19" x14ac:dyDescent="0.2">
      <c r="L3637" t="s">
        <v>374</v>
      </c>
      <c r="M3637">
        <v>2889</v>
      </c>
      <c r="N3637">
        <v>1</v>
      </c>
      <c r="O3637">
        <v>4</v>
      </c>
      <c r="P3637">
        <v>582</v>
      </c>
      <c r="Q3637">
        <v>344</v>
      </c>
      <c r="R3637">
        <v>140</v>
      </c>
      <c r="S3637">
        <v>18468.25</v>
      </c>
    </row>
    <row r="3638" spans="12:19" x14ac:dyDescent="0.2">
      <c r="L3638" t="s">
        <v>374</v>
      </c>
      <c r="M3638">
        <v>2890</v>
      </c>
      <c r="N3638">
        <v>1</v>
      </c>
      <c r="O3638">
        <v>4</v>
      </c>
      <c r="P3638">
        <v>582</v>
      </c>
      <c r="Q3638">
        <v>344</v>
      </c>
      <c r="R3638">
        <v>140</v>
      </c>
      <c r="S3638">
        <v>8833.16</v>
      </c>
    </row>
    <row r="3639" spans="12:19" x14ac:dyDescent="0.2">
      <c r="L3639" t="s">
        <v>374</v>
      </c>
      <c r="M3639">
        <v>2895</v>
      </c>
      <c r="N3639">
        <v>1</v>
      </c>
      <c r="O3639">
        <v>4</v>
      </c>
      <c r="P3639">
        <v>582</v>
      </c>
      <c r="Q3639">
        <v>344</v>
      </c>
      <c r="R3639">
        <v>140</v>
      </c>
      <c r="S3639">
        <v>14232.85</v>
      </c>
    </row>
    <row r="3640" spans="12:19" x14ac:dyDescent="0.2">
      <c r="L3640" t="s">
        <v>374</v>
      </c>
      <c r="M3640">
        <v>2897</v>
      </c>
      <c r="N3640">
        <v>1</v>
      </c>
      <c r="O3640">
        <v>4</v>
      </c>
      <c r="P3640">
        <v>582</v>
      </c>
      <c r="Q3640">
        <v>344</v>
      </c>
      <c r="R3640">
        <v>140</v>
      </c>
      <c r="S3640">
        <v>33789.4</v>
      </c>
    </row>
    <row r="3641" spans="12:19" x14ac:dyDescent="0.2">
      <c r="L3641" t="s">
        <v>374</v>
      </c>
      <c r="M3641">
        <v>2899</v>
      </c>
      <c r="N3641">
        <v>1</v>
      </c>
      <c r="O3641">
        <v>4</v>
      </c>
      <c r="P3641">
        <v>582</v>
      </c>
      <c r="Q3641">
        <v>344</v>
      </c>
      <c r="R3641">
        <v>140</v>
      </c>
      <c r="S3641">
        <v>56659.47</v>
      </c>
    </row>
    <row r="3642" spans="12:19" x14ac:dyDescent="0.2">
      <c r="L3642" t="s">
        <v>374</v>
      </c>
      <c r="M3642">
        <v>139</v>
      </c>
      <c r="N3642">
        <v>1</v>
      </c>
      <c r="O3642">
        <v>4</v>
      </c>
      <c r="P3642">
        <v>582</v>
      </c>
      <c r="Q3642">
        <v>321</v>
      </c>
      <c r="R3642">
        <v>140</v>
      </c>
      <c r="S3642">
        <v>26679.200000000001</v>
      </c>
    </row>
    <row r="3643" spans="12:19" x14ac:dyDescent="0.2">
      <c r="L3643" t="s">
        <v>374</v>
      </c>
      <c r="M3643">
        <v>404</v>
      </c>
      <c r="N3643">
        <v>1</v>
      </c>
      <c r="O3643">
        <v>4</v>
      </c>
      <c r="P3643">
        <v>582</v>
      </c>
      <c r="Q3643">
        <v>321</v>
      </c>
      <c r="R3643">
        <v>140</v>
      </c>
      <c r="S3643">
        <v>9700</v>
      </c>
    </row>
    <row r="3644" spans="12:19" x14ac:dyDescent="0.2">
      <c r="L3644" t="s">
        <v>374</v>
      </c>
      <c r="M3644">
        <v>414</v>
      </c>
      <c r="N3644">
        <v>1</v>
      </c>
      <c r="O3644">
        <v>4</v>
      </c>
      <c r="P3644">
        <v>582</v>
      </c>
      <c r="Q3644">
        <v>321</v>
      </c>
      <c r="R3644">
        <v>140</v>
      </c>
      <c r="S3644">
        <v>23428.81</v>
      </c>
    </row>
    <row r="3645" spans="12:19" x14ac:dyDescent="0.2">
      <c r="L3645" t="s">
        <v>374</v>
      </c>
      <c r="M3645">
        <v>831</v>
      </c>
      <c r="N3645">
        <v>1</v>
      </c>
      <c r="O3645">
        <v>4</v>
      </c>
      <c r="P3645">
        <v>582</v>
      </c>
      <c r="Q3645">
        <v>321</v>
      </c>
      <c r="R3645">
        <v>140</v>
      </c>
      <c r="S3645">
        <v>66078.55</v>
      </c>
    </row>
    <row r="3646" spans="12:19" x14ac:dyDescent="0.2">
      <c r="L3646" t="s">
        <v>374</v>
      </c>
      <c r="M3646">
        <v>256</v>
      </c>
      <c r="N3646">
        <v>1</v>
      </c>
      <c r="O3646">
        <v>4</v>
      </c>
      <c r="P3646">
        <v>582</v>
      </c>
      <c r="Q3646">
        <v>0</v>
      </c>
      <c r="R3646">
        <v>140</v>
      </c>
      <c r="S3646">
        <v>4009.21</v>
      </c>
    </row>
    <row r="3647" spans="12:19" x14ac:dyDescent="0.2">
      <c r="L3647" t="s">
        <v>374</v>
      </c>
      <c r="M3647">
        <v>297</v>
      </c>
      <c r="N3647">
        <v>1</v>
      </c>
      <c r="O3647">
        <v>4</v>
      </c>
      <c r="P3647">
        <v>582</v>
      </c>
      <c r="Q3647">
        <v>0</v>
      </c>
      <c r="R3647">
        <v>140</v>
      </c>
      <c r="S3647">
        <v>696.45</v>
      </c>
    </row>
    <row r="3648" spans="12:19" x14ac:dyDescent="0.2">
      <c r="L3648" t="s">
        <v>374</v>
      </c>
      <c r="M3648">
        <v>378</v>
      </c>
      <c r="N3648">
        <v>1</v>
      </c>
      <c r="O3648">
        <v>4</v>
      </c>
      <c r="P3648">
        <v>582</v>
      </c>
      <c r="Q3648">
        <v>0</v>
      </c>
      <c r="R3648">
        <v>140</v>
      </c>
      <c r="S3648">
        <v>4518.07</v>
      </c>
    </row>
    <row r="3649" spans="12:19" x14ac:dyDescent="0.2">
      <c r="L3649" t="s">
        <v>374</v>
      </c>
      <c r="M3649">
        <v>621</v>
      </c>
      <c r="N3649">
        <v>1</v>
      </c>
      <c r="O3649">
        <v>4</v>
      </c>
      <c r="P3649">
        <v>582</v>
      </c>
      <c r="Q3649">
        <v>0</v>
      </c>
      <c r="R3649">
        <v>140</v>
      </c>
      <c r="S3649">
        <v>2752.96</v>
      </c>
    </row>
    <row r="3650" spans="12:19" x14ac:dyDescent="0.2">
      <c r="L3650" t="s">
        <v>374</v>
      </c>
      <c r="M3650">
        <v>1</v>
      </c>
      <c r="N3650">
        <v>3</v>
      </c>
      <c r="O3650">
        <v>4</v>
      </c>
      <c r="P3650">
        <v>582</v>
      </c>
      <c r="Q3650">
        <v>599</v>
      </c>
      <c r="R3650">
        <v>120</v>
      </c>
      <c r="S3650">
        <v>11624.72</v>
      </c>
    </row>
    <row r="3651" spans="12:19" x14ac:dyDescent="0.2">
      <c r="L3651" t="s">
        <v>374</v>
      </c>
      <c r="M3651">
        <v>625</v>
      </c>
      <c r="N3651">
        <v>1</v>
      </c>
      <c r="O3651">
        <v>4</v>
      </c>
      <c r="P3651">
        <v>582</v>
      </c>
      <c r="Q3651">
        <v>599</v>
      </c>
      <c r="R3651">
        <v>120</v>
      </c>
      <c r="S3651">
        <v>9493.25</v>
      </c>
    </row>
    <row r="3652" spans="12:19" x14ac:dyDescent="0.2">
      <c r="L3652" t="s">
        <v>374</v>
      </c>
      <c r="M3652">
        <v>1</v>
      </c>
      <c r="N3652">
        <v>3</v>
      </c>
      <c r="O3652">
        <v>4</v>
      </c>
      <c r="P3652">
        <v>582</v>
      </c>
      <c r="Q3652">
        <v>344</v>
      </c>
      <c r="R3652">
        <v>120</v>
      </c>
      <c r="S3652">
        <v>116995.47</v>
      </c>
    </row>
    <row r="3653" spans="12:19" x14ac:dyDescent="0.2">
      <c r="L3653" t="s">
        <v>374</v>
      </c>
      <c r="M3653">
        <v>6</v>
      </c>
      <c r="N3653">
        <v>3</v>
      </c>
      <c r="O3653">
        <v>4</v>
      </c>
      <c r="P3653">
        <v>582</v>
      </c>
      <c r="Q3653">
        <v>344</v>
      </c>
      <c r="R3653">
        <v>120</v>
      </c>
      <c r="S3653">
        <v>29418.26</v>
      </c>
    </row>
    <row r="3654" spans="12:19" x14ac:dyDescent="0.2">
      <c r="L3654" t="s">
        <v>374</v>
      </c>
      <c r="M3654">
        <v>11</v>
      </c>
      <c r="N3654">
        <v>1</v>
      </c>
      <c r="O3654">
        <v>4</v>
      </c>
      <c r="P3654">
        <v>582</v>
      </c>
      <c r="Q3654">
        <v>344</v>
      </c>
      <c r="R3654">
        <v>120</v>
      </c>
      <c r="S3654">
        <v>130300.91</v>
      </c>
    </row>
    <row r="3655" spans="12:19" x14ac:dyDescent="0.2">
      <c r="L3655" t="s">
        <v>374</v>
      </c>
      <c r="M3655">
        <v>12</v>
      </c>
      <c r="N3655">
        <v>1</v>
      </c>
      <c r="O3655">
        <v>4</v>
      </c>
      <c r="P3655">
        <v>582</v>
      </c>
      <c r="Q3655">
        <v>344</v>
      </c>
      <c r="R3655">
        <v>120</v>
      </c>
      <c r="S3655">
        <v>15067.25</v>
      </c>
    </row>
    <row r="3656" spans="12:19" x14ac:dyDescent="0.2">
      <c r="L3656" t="s">
        <v>374</v>
      </c>
      <c r="M3656">
        <v>13</v>
      </c>
      <c r="N3656">
        <v>1</v>
      </c>
      <c r="O3656">
        <v>4</v>
      </c>
      <c r="P3656">
        <v>582</v>
      </c>
      <c r="Q3656">
        <v>344</v>
      </c>
      <c r="R3656">
        <v>120</v>
      </c>
      <c r="S3656">
        <v>1000</v>
      </c>
    </row>
    <row r="3657" spans="12:19" x14ac:dyDescent="0.2">
      <c r="L3657" t="s">
        <v>374</v>
      </c>
      <c r="M3657">
        <v>14</v>
      </c>
      <c r="N3657">
        <v>1</v>
      </c>
      <c r="O3657">
        <v>4</v>
      </c>
      <c r="P3657">
        <v>582</v>
      </c>
      <c r="Q3657">
        <v>344</v>
      </c>
      <c r="R3657">
        <v>120</v>
      </c>
      <c r="S3657">
        <v>16849.150000000001</v>
      </c>
    </row>
    <row r="3658" spans="12:19" x14ac:dyDescent="0.2">
      <c r="L3658" t="s">
        <v>374</v>
      </c>
      <c r="M3658">
        <v>15</v>
      </c>
      <c r="N3658">
        <v>1</v>
      </c>
      <c r="O3658">
        <v>4</v>
      </c>
      <c r="P3658">
        <v>582</v>
      </c>
      <c r="Q3658">
        <v>344</v>
      </c>
      <c r="R3658">
        <v>120</v>
      </c>
      <c r="S3658">
        <v>4561.46</v>
      </c>
    </row>
    <row r="3659" spans="12:19" x14ac:dyDescent="0.2">
      <c r="L3659" t="s">
        <v>374</v>
      </c>
      <c r="M3659">
        <v>47</v>
      </c>
      <c r="N3659">
        <v>1</v>
      </c>
      <c r="O3659">
        <v>4</v>
      </c>
      <c r="P3659">
        <v>582</v>
      </c>
      <c r="Q3659">
        <v>344</v>
      </c>
      <c r="R3659">
        <v>120</v>
      </c>
      <c r="S3659">
        <v>3500</v>
      </c>
    </row>
    <row r="3660" spans="12:19" x14ac:dyDescent="0.2">
      <c r="L3660" t="s">
        <v>374</v>
      </c>
      <c r="M3660">
        <v>75</v>
      </c>
      <c r="N3660">
        <v>1</v>
      </c>
      <c r="O3660">
        <v>4</v>
      </c>
      <c r="P3660">
        <v>582</v>
      </c>
      <c r="Q3660">
        <v>344</v>
      </c>
      <c r="R3660">
        <v>120</v>
      </c>
      <c r="S3660">
        <v>250</v>
      </c>
    </row>
    <row r="3661" spans="12:19" x14ac:dyDescent="0.2">
      <c r="L3661" t="s">
        <v>374</v>
      </c>
      <c r="M3661">
        <v>91</v>
      </c>
      <c r="N3661">
        <v>1</v>
      </c>
      <c r="O3661">
        <v>4</v>
      </c>
      <c r="P3661">
        <v>582</v>
      </c>
      <c r="Q3661">
        <v>344</v>
      </c>
      <c r="R3661">
        <v>120</v>
      </c>
      <c r="S3661">
        <v>2500.04</v>
      </c>
    </row>
    <row r="3662" spans="12:19" x14ac:dyDescent="0.2">
      <c r="L3662" t="s">
        <v>374</v>
      </c>
      <c r="M3662">
        <v>93</v>
      </c>
      <c r="N3662">
        <v>1</v>
      </c>
      <c r="O3662">
        <v>4</v>
      </c>
      <c r="P3662">
        <v>582</v>
      </c>
      <c r="Q3662">
        <v>344</v>
      </c>
      <c r="R3662">
        <v>120</v>
      </c>
      <c r="S3662">
        <v>3794.8</v>
      </c>
    </row>
    <row r="3663" spans="12:19" x14ac:dyDescent="0.2">
      <c r="L3663" t="s">
        <v>374</v>
      </c>
      <c r="M3663">
        <v>94</v>
      </c>
      <c r="N3663">
        <v>1</v>
      </c>
      <c r="O3663">
        <v>4</v>
      </c>
      <c r="P3663">
        <v>582</v>
      </c>
      <c r="Q3663">
        <v>344</v>
      </c>
      <c r="R3663">
        <v>120</v>
      </c>
      <c r="S3663">
        <v>770.58</v>
      </c>
    </row>
    <row r="3664" spans="12:19" x14ac:dyDescent="0.2">
      <c r="L3664" t="s">
        <v>374</v>
      </c>
      <c r="M3664">
        <v>97</v>
      </c>
      <c r="N3664">
        <v>1</v>
      </c>
      <c r="O3664">
        <v>4</v>
      </c>
      <c r="P3664">
        <v>582</v>
      </c>
      <c r="Q3664">
        <v>344</v>
      </c>
      <c r="R3664">
        <v>120</v>
      </c>
      <c r="S3664">
        <v>1020</v>
      </c>
    </row>
    <row r="3665" spans="12:19" x14ac:dyDescent="0.2">
      <c r="L3665" t="s">
        <v>374</v>
      </c>
      <c r="M3665">
        <v>99</v>
      </c>
      <c r="N3665">
        <v>1</v>
      </c>
      <c r="O3665">
        <v>4</v>
      </c>
      <c r="P3665">
        <v>582</v>
      </c>
      <c r="Q3665">
        <v>344</v>
      </c>
      <c r="R3665">
        <v>120</v>
      </c>
      <c r="S3665">
        <v>3303.68</v>
      </c>
    </row>
    <row r="3666" spans="12:19" x14ac:dyDescent="0.2">
      <c r="L3666" t="s">
        <v>374</v>
      </c>
      <c r="M3666">
        <v>112</v>
      </c>
      <c r="N3666">
        <v>1</v>
      </c>
      <c r="O3666">
        <v>4</v>
      </c>
      <c r="P3666">
        <v>582</v>
      </c>
      <c r="Q3666">
        <v>344</v>
      </c>
      <c r="R3666">
        <v>120</v>
      </c>
      <c r="S3666">
        <v>8627.7099999999991</v>
      </c>
    </row>
    <row r="3667" spans="12:19" x14ac:dyDescent="0.2">
      <c r="L3667" t="s">
        <v>374</v>
      </c>
      <c r="M3667">
        <v>113</v>
      </c>
      <c r="N3667">
        <v>1</v>
      </c>
      <c r="O3667">
        <v>4</v>
      </c>
      <c r="P3667">
        <v>582</v>
      </c>
      <c r="Q3667">
        <v>344</v>
      </c>
      <c r="R3667">
        <v>120</v>
      </c>
      <c r="S3667">
        <v>923</v>
      </c>
    </row>
    <row r="3668" spans="12:19" x14ac:dyDescent="0.2">
      <c r="L3668" t="s">
        <v>374</v>
      </c>
      <c r="M3668">
        <v>116</v>
      </c>
      <c r="N3668">
        <v>1</v>
      </c>
      <c r="O3668">
        <v>4</v>
      </c>
      <c r="P3668">
        <v>582</v>
      </c>
      <c r="Q3668">
        <v>344</v>
      </c>
      <c r="R3668">
        <v>120</v>
      </c>
      <c r="S3668">
        <v>1900</v>
      </c>
    </row>
    <row r="3669" spans="12:19" x14ac:dyDescent="0.2">
      <c r="L3669" t="s">
        <v>374</v>
      </c>
      <c r="M3669">
        <v>118</v>
      </c>
      <c r="N3669">
        <v>1</v>
      </c>
      <c r="O3669">
        <v>4</v>
      </c>
      <c r="P3669">
        <v>582</v>
      </c>
      <c r="Q3669">
        <v>344</v>
      </c>
      <c r="R3669">
        <v>120</v>
      </c>
      <c r="S3669">
        <v>740</v>
      </c>
    </row>
    <row r="3670" spans="12:19" x14ac:dyDescent="0.2">
      <c r="L3670" t="s">
        <v>374</v>
      </c>
      <c r="M3670">
        <v>152</v>
      </c>
      <c r="N3670">
        <v>1</v>
      </c>
      <c r="O3670">
        <v>4</v>
      </c>
      <c r="P3670">
        <v>582</v>
      </c>
      <c r="Q3670">
        <v>344</v>
      </c>
      <c r="R3670">
        <v>120</v>
      </c>
      <c r="S3670">
        <v>14662.32</v>
      </c>
    </row>
    <row r="3671" spans="12:19" x14ac:dyDescent="0.2">
      <c r="L3671" t="s">
        <v>374</v>
      </c>
      <c r="M3671">
        <v>177</v>
      </c>
      <c r="N3671">
        <v>1</v>
      </c>
      <c r="O3671">
        <v>4</v>
      </c>
      <c r="P3671">
        <v>582</v>
      </c>
      <c r="Q3671">
        <v>344</v>
      </c>
      <c r="R3671">
        <v>120</v>
      </c>
      <c r="S3671">
        <v>1820.48</v>
      </c>
    </row>
    <row r="3672" spans="12:19" x14ac:dyDescent="0.2">
      <c r="L3672" t="s">
        <v>374</v>
      </c>
      <c r="M3672">
        <v>186</v>
      </c>
      <c r="N3672">
        <v>1</v>
      </c>
      <c r="O3672">
        <v>4</v>
      </c>
      <c r="P3672">
        <v>582</v>
      </c>
      <c r="Q3672">
        <v>344</v>
      </c>
      <c r="R3672">
        <v>120</v>
      </c>
      <c r="S3672">
        <v>8352.8799999999992</v>
      </c>
    </row>
    <row r="3673" spans="12:19" x14ac:dyDescent="0.2">
      <c r="L3673" t="s">
        <v>374</v>
      </c>
      <c r="M3673">
        <v>191</v>
      </c>
      <c r="N3673">
        <v>1</v>
      </c>
      <c r="O3673">
        <v>4</v>
      </c>
      <c r="P3673">
        <v>582</v>
      </c>
      <c r="Q3673">
        <v>344</v>
      </c>
      <c r="R3673">
        <v>120</v>
      </c>
      <c r="S3673">
        <v>16192.79</v>
      </c>
    </row>
    <row r="3674" spans="12:19" x14ac:dyDescent="0.2">
      <c r="L3674" t="s">
        <v>374</v>
      </c>
      <c r="M3674">
        <v>192</v>
      </c>
      <c r="N3674">
        <v>1</v>
      </c>
      <c r="O3674">
        <v>4</v>
      </c>
      <c r="P3674">
        <v>582</v>
      </c>
      <c r="Q3674">
        <v>344</v>
      </c>
      <c r="R3674">
        <v>120</v>
      </c>
      <c r="S3674">
        <v>5640.23</v>
      </c>
    </row>
    <row r="3675" spans="12:19" x14ac:dyDescent="0.2">
      <c r="L3675" t="s">
        <v>374</v>
      </c>
      <c r="M3675">
        <v>194</v>
      </c>
      <c r="N3675">
        <v>1</v>
      </c>
      <c r="O3675">
        <v>4</v>
      </c>
      <c r="P3675">
        <v>582</v>
      </c>
      <c r="Q3675">
        <v>344</v>
      </c>
      <c r="R3675">
        <v>120</v>
      </c>
      <c r="S3675">
        <v>9792.02</v>
      </c>
    </row>
    <row r="3676" spans="12:19" x14ac:dyDescent="0.2">
      <c r="L3676" t="s">
        <v>374</v>
      </c>
      <c r="M3676">
        <v>206</v>
      </c>
      <c r="N3676">
        <v>1</v>
      </c>
      <c r="O3676">
        <v>4</v>
      </c>
      <c r="P3676">
        <v>582</v>
      </c>
      <c r="Q3676">
        <v>344</v>
      </c>
      <c r="R3676">
        <v>120</v>
      </c>
      <c r="S3676">
        <v>12000</v>
      </c>
    </row>
    <row r="3677" spans="12:19" x14ac:dyDescent="0.2">
      <c r="L3677" t="s">
        <v>374</v>
      </c>
      <c r="M3677">
        <v>241</v>
      </c>
      <c r="N3677">
        <v>1</v>
      </c>
      <c r="O3677">
        <v>4</v>
      </c>
      <c r="P3677">
        <v>582</v>
      </c>
      <c r="Q3677">
        <v>344</v>
      </c>
      <c r="R3677">
        <v>120</v>
      </c>
      <c r="S3677">
        <v>11470.62</v>
      </c>
    </row>
    <row r="3678" spans="12:19" x14ac:dyDescent="0.2">
      <c r="L3678" t="s">
        <v>374</v>
      </c>
      <c r="M3678">
        <v>255</v>
      </c>
      <c r="N3678">
        <v>1</v>
      </c>
      <c r="O3678">
        <v>4</v>
      </c>
      <c r="P3678">
        <v>582</v>
      </c>
      <c r="Q3678">
        <v>344</v>
      </c>
      <c r="R3678">
        <v>120</v>
      </c>
      <c r="S3678">
        <v>3134.4</v>
      </c>
    </row>
    <row r="3679" spans="12:19" x14ac:dyDescent="0.2">
      <c r="L3679" t="s">
        <v>374</v>
      </c>
      <c r="M3679">
        <v>270</v>
      </c>
      <c r="N3679">
        <v>1</v>
      </c>
      <c r="O3679">
        <v>4</v>
      </c>
      <c r="P3679">
        <v>582</v>
      </c>
      <c r="Q3679">
        <v>344</v>
      </c>
      <c r="R3679">
        <v>120</v>
      </c>
      <c r="S3679">
        <v>8455.2000000000007</v>
      </c>
    </row>
    <row r="3680" spans="12:19" x14ac:dyDescent="0.2">
      <c r="L3680" t="s">
        <v>374</v>
      </c>
      <c r="M3680">
        <v>271</v>
      </c>
      <c r="N3680">
        <v>1</v>
      </c>
      <c r="O3680">
        <v>4</v>
      </c>
      <c r="P3680">
        <v>582</v>
      </c>
      <c r="Q3680">
        <v>344</v>
      </c>
      <c r="R3680">
        <v>120</v>
      </c>
      <c r="S3680">
        <v>30258.99</v>
      </c>
    </row>
    <row r="3681" spans="12:19" x14ac:dyDescent="0.2">
      <c r="L3681" t="s">
        <v>374</v>
      </c>
      <c r="M3681">
        <v>272</v>
      </c>
      <c r="N3681">
        <v>1</v>
      </c>
      <c r="O3681">
        <v>4</v>
      </c>
      <c r="P3681">
        <v>582</v>
      </c>
      <c r="Q3681">
        <v>344</v>
      </c>
      <c r="R3681">
        <v>120</v>
      </c>
      <c r="S3681">
        <v>20852</v>
      </c>
    </row>
    <row r="3682" spans="12:19" x14ac:dyDescent="0.2">
      <c r="L3682" t="s">
        <v>374</v>
      </c>
      <c r="M3682">
        <v>273</v>
      </c>
      <c r="N3682">
        <v>1</v>
      </c>
      <c r="O3682">
        <v>4</v>
      </c>
      <c r="P3682">
        <v>582</v>
      </c>
      <c r="Q3682">
        <v>344</v>
      </c>
      <c r="R3682">
        <v>120</v>
      </c>
      <c r="S3682">
        <v>26550</v>
      </c>
    </row>
    <row r="3683" spans="12:19" x14ac:dyDescent="0.2">
      <c r="L3683" t="s">
        <v>374</v>
      </c>
      <c r="M3683">
        <v>276</v>
      </c>
      <c r="N3683">
        <v>1</v>
      </c>
      <c r="O3683">
        <v>4</v>
      </c>
      <c r="P3683">
        <v>582</v>
      </c>
      <c r="Q3683">
        <v>344</v>
      </c>
      <c r="R3683">
        <v>120</v>
      </c>
      <c r="S3683">
        <v>5248.86</v>
      </c>
    </row>
    <row r="3684" spans="12:19" x14ac:dyDescent="0.2">
      <c r="L3684" t="s">
        <v>374</v>
      </c>
      <c r="M3684">
        <v>277</v>
      </c>
      <c r="N3684">
        <v>1</v>
      </c>
      <c r="O3684">
        <v>4</v>
      </c>
      <c r="P3684">
        <v>582</v>
      </c>
      <c r="Q3684">
        <v>344</v>
      </c>
      <c r="R3684">
        <v>120</v>
      </c>
      <c r="S3684">
        <v>26544.98</v>
      </c>
    </row>
    <row r="3685" spans="12:19" x14ac:dyDescent="0.2">
      <c r="L3685" t="s">
        <v>374</v>
      </c>
      <c r="M3685">
        <v>279</v>
      </c>
      <c r="N3685">
        <v>1</v>
      </c>
      <c r="O3685">
        <v>4</v>
      </c>
      <c r="P3685">
        <v>582</v>
      </c>
      <c r="Q3685">
        <v>344</v>
      </c>
      <c r="R3685">
        <v>120</v>
      </c>
      <c r="S3685">
        <v>21679.63</v>
      </c>
    </row>
    <row r="3686" spans="12:19" x14ac:dyDescent="0.2">
      <c r="L3686" t="s">
        <v>374</v>
      </c>
      <c r="M3686">
        <v>282</v>
      </c>
      <c r="N3686">
        <v>1</v>
      </c>
      <c r="O3686">
        <v>4</v>
      </c>
      <c r="P3686">
        <v>582</v>
      </c>
      <c r="Q3686">
        <v>344</v>
      </c>
      <c r="R3686">
        <v>120</v>
      </c>
      <c r="S3686">
        <v>270.06</v>
      </c>
    </row>
    <row r="3687" spans="12:19" x14ac:dyDescent="0.2">
      <c r="L3687" t="s">
        <v>374</v>
      </c>
      <c r="M3687">
        <v>284</v>
      </c>
      <c r="N3687">
        <v>1</v>
      </c>
      <c r="O3687">
        <v>4</v>
      </c>
      <c r="P3687">
        <v>582</v>
      </c>
      <c r="Q3687">
        <v>344</v>
      </c>
      <c r="R3687">
        <v>120</v>
      </c>
      <c r="S3687">
        <v>22825.11</v>
      </c>
    </row>
    <row r="3688" spans="12:19" x14ac:dyDescent="0.2">
      <c r="L3688" t="s">
        <v>374</v>
      </c>
      <c r="M3688">
        <v>286</v>
      </c>
      <c r="N3688">
        <v>1</v>
      </c>
      <c r="O3688">
        <v>4</v>
      </c>
      <c r="P3688">
        <v>582</v>
      </c>
      <c r="Q3688">
        <v>344</v>
      </c>
      <c r="R3688">
        <v>120</v>
      </c>
      <c r="S3688">
        <v>3150</v>
      </c>
    </row>
    <row r="3689" spans="12:19" x14ac:dyDescent="0.2">
      <c r="L3689" t="s">
        <v>374</v>
      </c>
      <c r="M3689">
        <v>297</v>
      </c>
      <c r="N3689">
        <v>1</v>
      </c>
      <c r="O3689">
        <v>4</v>
      </c>
      <c r="P3689">
        <v>582</v>
      </c>
      <c r="Q3689">
        <v>344</v>
      </c>
      <c r="R3689">
        <v>120</v>
      </c>
      <c r="S3689">
        <v>2203.1999999999998</v>
      </c>
    </row>
    <row r="3690" spans="12:19" x14ac:dyDescent="0.2">
      <c r="L3690" t="s">
        <v>374</v>
      </c>
      <c r="M3690">
        <v>309</v>
      </c>
      <c r="N3690">
        <v>1</v>
      </c>
      <c r="O3690">
        <v>4</v>
      </c>
      <c r="P3690">
        <v>582</v>
      </c>
      <c r="Q3690">
        <v>344</v>
      </c>
      <c r="R3690">
        <v>120</v>
      </c>
      <c r="S3690">
        <v>4337.57</v>
      </c>
    </row>
    <row r="3691" spans="12:19" x14ac:dyDescent="0.2">
      <c r="L3691" t="s">
        <v>374</v>
      </c>
      <c r="M3691">
        <v>381</v>
      </c>
      <c r="N3691">
        <v>1</v>
      </c>
      <c r="O3691">
        <v>4</v>
      </c>
      <c r="P3691">
        <v>582</v>
      </c>
      <c r="Q3691">
        <v>344</v>
      </c>
      <c r="R3691">
        <v>120</v>
      </c>
      <c r="S3691">
        <v>5928</v>
      </c>
    </row>
    <row r="3692" spans="12:19" x14ac:dyDescent="0.2">
      <c r="L3692" t="s">
        <v>374</v>
      </c>
      <c r="M3692">
        <v>394</v>
      </c>
      <c r="N3692">
        <v>1</v>
      </c>
      <c r="O3692">
        <v>4</v>
      </c>
      <c r="P3692">
        <v>582</v>
      </c>
      <c r="Q3692">
        <v>344</v>
      </c>
      <c r="R3692">
        <v>120</v>
      </c>
      <c r="S3692">
        <v>3000</v>
      </c>
    </row>
    <row r="3693" spans="12:19" x14ac:dyDescent="0.2">
      <c r="L3693" t="s">
        <v>374</v>
      </c>
      <c r="M3693">
        <v>518</v>
      </c>
      <c r="N3693">
        <v>1</v>
      </c>
      <c r="O3693">
        <v>4</v>
      </c>
      <c r="P3693">
        <v>582</v>
      </c>
      <c r="Q3693">
        <v>344</v>
      </c>
      <c r="R3693">
        <v>120</v>
      </c>
      <c r="S3693">
        <v>8221.19</v>
      </c>
    </row>
    <row r="3694" spans="12:19" x14ac:dyDescent="0.2">
      <c r="L3694" t="s">
        <v>374</v>
      </c>
      <c r="M3694">
        <v>545</v>
      </c>
      <c r="N3694">
        <v>1</v>
      </c>
      <c r="O3694">
        <v>4</v>
      </c>
      <c r="P3694">
        <v>582</v>
      </c>
      <c r="Q3694">
        <v>344</v>
      </c>
      <c r="R3694">
        <v>120</v>
      </c>
      <c r="S3694">
        <v>2447.54</v>
      </c>
    </row>
    <row r="3695" spans="12:19" x14ac:dyDescent="0.2">
      <c r="L3695" t="s">
        <v>374</v>
      </c>
      <c r="M3695">
        <v>581</v>
      </c>
      <c r="N3695">
        <v>1</v>
      </c>
      <c r="O3695">
        <v>4</v>
      </c>
      <c r="P3695">
        <v>582</v>
      </c>
      <c r="Q3695">
        <v>344</v>
      </c>
      <c r="R3695">
        <v>120</v>
      </c>
      <c r="S3695">
        <v>5380.01</v>
      </c>
    </row>
    <row r="3696" spans="12:19" x14ac:dyDescent="0.2">
      <c r="L3696" t="s">
        <v>374</v>
      </c>
      <c r="M3696">
        <v>622</v>
      </c>
      <c r="N3696">
        <v>1</v>
      </c>
      <c r="O3696">
        <v>4</v>
      </c>
      <c r="P3696">
        <v>582</v>
      </c>
      <c r="Q3696">
        <v>344</v>
      </c>
      <c r="R3696">
        <v>120</v>
      </c>
      <c r="S3696">
        <v>29970.42</v>
      </c>
    </row>
    <row r="3697" spans="12:19" x14ac:dyDescent="0.2">
      <c r="L3697" t="s">
        <v>374</v>
      </c>
      <c r="M3697">
        <v>623</v>
      </c>
      <c r="N3697">
        <v>1</v>
      </c>
      <c r="O3697">
        <v>4</v>
      </c>
      <c r="P3697">
        <v>582</v>
      </c>
      <c r="Q3697">
        <v>344</v>
      </c>
      <c r="R3697">
        <v>120</v>
      </c>
      <c r="S3697">
        <v>22704.75</v>
      </c>
    </row>
    <row r="3698" spans="12:19" x14ac:dyDescent="0.2">
      <c r="L3698" t="s">
        <v>374</v>
      </c>
      <c r="M3698">
        <v>625</v>
      </c>
      <c r="N3698">
        <v>1</v>
      </c>
      <c r="O3698">
        <v>4</v>
      </c>
      <c r="P3698">
        <v>582</v>
      </c>
      <c r="Q3698">
        <v>344</v>
      </c>
      <c r="R3698">
        <v>120</v>
      </c>
      <c r="S3698">
        <v>86547.53</v>
      </c>
    </row>
    <row r="3699" spans="12:19" x14ac:dyDescent="0.2">
      <c r="L3699" t="s">
        <v>374</v>
      </c>
      <c r="M3699">
        <v>698</v>
      </c>
      <c r="N3699">
        <v>1</v>
      </c>
      <c r="O3699">
        <v>4</v>
      </c>
      <c r="P3699">
        <v>582</v>
      </c>
      <c r="Q3699">
        <v>344</v>
      </c>
      <c r="R3699">
        <v>120</v>
      </c>
      <c r="S3699">
        <v>831.82</v>
      </c>
    </row>
    <row r="3700" spans="12:19" x14ac:dyDescent="0.2">
      <c r="L3700" t="s">
        <v>374</v>
      </c>
      <c r="M3700">
        <v>709</v>
      </c>
      <c r="N3700">
        <v>1</v>
      </c>
      <c r="O3700">
        <v>4</v>
      </c>
      <c r="P3700">
        <v>582</v>
      </c>
      <c r="Q3700">
        <v>344</v>
      </c>
      <c r="R3700">
        <v>120</v>
      </c>
      <c r="S3700">
        <v>19081.419999999998</v>
      </c>
    </row>
    <row r="3701" spans="12:19" x14ac:dyDescent="0.2">
      <c r="L3701" t="s">
        <v>374</v>
      </c>
      <c r="M3701">
        <v>712</v>
      </c>
      <c r="N3701">
        <v>1</v>
      </c>
      <c r="O3701">
        <v>4</v>
      </c>
      <c r="P3701">
        <v>582</v>
      </c>
      <c r="Q3701">
        <v>344</v>
      </c>
      <c r="R3701">
        <v>120</v>
      </c>
      <c r="S3701">
        <v>6367.96</v>
      </c>
    </row>
    <row r="3702" spans="12:19" x14ac:dyDescent="0.2">
      <c r="L3702" t="s">
        <v>374</v>
      </c>
      <c r="M3702">
        <v>717</v>
      </c>
      <c r="N3702">
        <v>1</v>
      </c>
      <c r="O3702">
        <v>4</v>
      </c>
      <c r="P3702">
        <v>582</v>
      </c>
      <c r="Q3702">
        <v>344</v>
      </c>
      <c r="R3702">
        <v>120</v>
      </c>
      <c r="S3702">
        <v>12244.84</v>
      </c>
    </row>
    <row r="3703" spans="12:19" x14ac:dyDescent="0.2">
      <c r="L3703" t="s">
        <v>374</v>
      </c>
      <c r="M3703">
        <v>719</v>
      </c>
      <c r="N3703">
        <v>1</v>
      </c>
      <c r="O3703">
        <v>4</v>
      </c>
      <c r="P3703">
        <v>582</v>
      </c>
      <c r="Q3703">
        <v>344</v>
      </c>
      <c r="R3703">
        <v>120</v>
      </c>
      <c r="S3703">
        <v>22290.42</v>
      </c>
    </row>
    <row r="3704" spans="12:19" x14ac:dyDescent="0.2">
      <c r="L3704" t="s">
        <v>374</v>
      </c>
      <c r="M3704">
        <v>727</v>
      </c>
      <c r="N3704">
        <v>1</v>
      </c>
      <c r="O3704">
        <v>4</v>
      </c>
      <c r="P3704">
        <v>582</v>
      </c>
      <c r="Q3704">
        <v>344</v>
      </c>
      <c r="R3704">
        <v>120</v>
      </c>
      <c r="S3704">
        <v>7372.24</v>
      </c>
    </row>
    <row r="3705" spans="12:19" x14ac:dyDescent="0.2">
      <c r="L3705" t="s">
        <v>374</v>
      </c>
      <c r="M3705">
        <v>728</v>
      </c>
      <c r="N3705">
        <v>1</v>
      </c>
      <c r="O3705">
        <v>4</v>
      </c>
      <c r="P3705">
        <v>582</v>
      </c>
      <c r="Q3705">
        <v>344</v>
      </c>
      <c r="R3705">
        <v>120</v>
      </c>
      <c r="S3705">
        <v>2975</v>
      </c>
    </row>
    <row r="3706" spans="12:19" x14ac:dyDescent="0.2">
      <c r="L3706" t="s">
        <v>374</v>
      </c>
      <c r="M3706">
        <v>756</v>
      </c>
      <c r="N3706">
        <v>1</v>
      </c>
      <c r="O3706">
        <v>4</v>
      </c>
      <c r="P3706">
        <v>582</v>
      </c>
      <c r="Q3706">
        <v>344</v>
      </c>
      <c r="R3706">
        <v>120</v>
      </c>
      <c r="S3706">
        <v>3228.12</v>
      </c>
    </row>
    <row r="3707" spans="12:19" x14ac:dyDescent="0.2">
      <c r="L3707" t="s">
        <v>374</v>
      </c>
      <c r="M3707">
        <v>820</v>
      </c>
      <c r="N3707">
        <v>1</v>
      </c>
      <c r="O3707">
        <v>4</v>
      </c>
      <c r="P3707">
        <v>582</v>
      </c>
      <c r="Q3707">
        <v>344</v>
      </c>
      <c r="R3707">
        <v>120</v>
      </c>
      <c r="S3707">
        <v>935</v>
      </c>
    </row>
    <row r="3708" spans="12:19" x14ac:dyDescent="0.2">
      <c r="L3708" t="s">
        <v>374</v>
      </c>
      <c r="M3708">
        <v>831</v>
      </c>
      <c r="N3708">
        <v>1</v>
      </c>
      <c r="O3708">
        <v>4</v>
      </c>
      <c r="P3708">
        <v>582</v>
      </c>
      <c r="Q3708">
        <v>344</v>
      </c>
      <c r="R3708">
        <v>120</v>
      </c>
      <c r="S3708">
        <v>8000</v>
      </c>
    </row>
    <row r="3709" spans="12:19" x14ac:dyDescent="0.2">
      <c r="L3709" t="s">
        <v>374</v>
      </c>
      <c r="M3709">
        <v>832</v>
      </c>
      <c r="N3709">
        <v>1</v>
      </c>
      <c r="O3709">
        <v>4</v>
      </c>
      <c r="P3709">
        <v>582</v>
      </c>
      <c r="Q3709">
        <v>344</v>
      </c>
      <c r="R3709">
        <v>120</v>
      </c>
      <c r="S3709">
        <v>1148</v>
      </c>
    </row>
    <row r="3710" spans="12:19" x14ac:dyDescent="0.2">
      <c r="L3710" t="s">
        <v>374</v>
      </c>
      <c r="M3710">
        <v>833</v>
      </c>
      <c r="N3710">
        <v>1</v>
      </c>
      <c r="O3710">
        <v>4</v>
      </c>
      <c r="P3710">
        <v>582</v>
      </c>
      <c r="Q3710">
        <v>344</v>
      </c>
      <c r="R3710">
        <v>120</v>
      </c>
      <c r="S3710">
        <v>7412.63</v>
      </c>
    </row>
    <row r="3711" spans="12:19" x14ac:dyDescent="0.2">
      <c r="L3711" t="s">
        <v>374</v>
      </c>
      <c r="M3711">
        <v>834</v>
      </c>
      <c r="N3711">
        <v>1</v>
      </c>
      <c r="O3711">
        <v>4</v>
      </c>
      <c r="P3711">
        <v>582</v>
      </c>
      <c r="Q3711">
        <v>344</v>
      </c>
      <c r="R3711">
        <v>120</v>
      </c>
      <c r="S3711">
        <v>10626.19</v>
      </c>
    </row>
    <row r="3712" spans="12:19" x14ac:dyDescent="0.2">
      <c r="L3712" t="s">
        <v>374</v>
      </c>
      <c r="M3712">
        <v>846</v>
      </c>
      <c r="N3712">
        <v>1</v>
      </c>
      <c r="O3712">
        <v>4</v>
      </c>
      <c r="P3712">
        <v>582</v>
      </c>
      <c r="Q3712">
        <v>344</v>
      </c>
      <c r="R3712">
        <v>120</v>
      </c>
      <c r="S3712">
        <v>5685.13</v>
      </c>
    </row>
    <row r="3713" spans="12:19" x14ac:dyDescent="0.2">
      <c r="L3713" t="s">
        <v>374</v>
      </c>
      <c r="M3713">
        <v>861</v>
      </c>
      <c r="N3713">
        <v>1</v>
      </c>
      <c r="O3713">
        <v>4</v>
      </c>
      <c r="P3713">
        <v>582</v>
      </c>
      <c r="Q3713">
        <v>344</v>
      </c>
      <c r="R3713">
        <v>120</v>
      </c>
      <c r="S3713">
        <v>13571.28</v>
      </c>
    </row>
    <row r="3714" spans="12:19" x14ac:dyDescent="0.2">
      <c r="L3714" t="s">
        <v>374</v>
      </c>
      <c r="M3714">
        <v>879</v>
      </c>
      <c r="N3714">
        <v>1</v>
      </c>
      <c r="O3714">
        <v>4</v>
      </c>
      <c r="P3714">
        <v>582</v>
      </c>
      <c r="Q3714">
        <v>344</v>
      </c>
      <c r="R3714">
        <v>120</v>
      </c>
      <c r="S3714">
        <v>7664</v>
      </c>
    </row>
    <row r="3715" spans="12:19" x14ac:dyDescent="0.2">
      <c r="L3715" t="s">
        <v>374</v>
      </c>
      <c r="M3715">
        <v>882</v>
      </c>
      <c r="N3715">
        <v>1</v>
      </c>
      <c r="O3715">
        <v>4</v>
      </c>
      <c r="P3715">
        <v>582</v>
      </c>
      <c r="Q3715">
        <v>344</v>
      </c>
      <c r="R3715">
        <v>120</v>
      </c>
      <c r="S3715">
        <v>4859.88</v>
      </c>
    </row>
    <row r="3716" spans="12:19" x14ac:dyDescent="0.2">
      <c r="L3716" t="s">
        <v>374</v>
      </c>
      <c r="M3716">
        <v>883</v>
      </c>
      <c r="N3716">
        <v>1</v>
      </c>
      <c r="O3716">
        <v>4</v>
      </c>
      <c r="P3716">
        <v>582</v>
      </c>
      <c r="Q3716">
        <v>344</v>
      </c>
      <c r="R3716">
        <v>120</v>
      </c>
      <c r="S3716">
        <v>7786.44</v>
      </c>
    </row>
    <row r="3717" spans="12:19" x14ac:dyDescent="0.2">
      <c r="L3717" t="s">
        <v>374</v>
      </c>
      <c r="M3717">
        <v>2071</v>
      </c>
      <c r="N3717">
        <v>1</v>
      </c>
      <c r="O3717">
        <v>4</v>
      </c>
      <c r="P3717">
        <v>582</v>
      </c>
      <c r="Q3717">
        <v>344</v>
      </c>
      <c r="R3717">
        <v>120</v>
      </c>
      <c r="S3717">
        <v>7384.56</v>
      </c>
    </row>
    <row r="3718" spans="12:19" x14ac:dyDescent="0.2">
      <c r="L3718" t="s">
        <v>374</v>
      </c>
      <c r="M3718">
        <v>2135</v>
      </c>
      <c r="N3718">
        <v>1</v>
      </c>
      <c r="O3718">
        <v>4</v>
      </c>
      <c r="P3718">
        <v>582</v>
      </c>
      <c r="Q3718">
        <v>344</v>
      </c>
      <c r="R3718">
        <v>120</v>
      </c>
      <c r="S3718">
        <v>19149.79</v>
      </c>
    </row>
    <row r="3719" spans="12:19" x14ac:dyDescent="0.2">
      <c r="L3719" t="s">
        <v>374</v>
      </c>
      <c r="M3719">
        <v>2149</v>
      </c>
      <c r="N3719">
        <v>1</v>
      </c>
      <c r="O3719">
        <v>4</v>
      </c>
      <c r="P3719">
        <v>582</v>
      </c>
      <c r="Q3719">
        <v>344</v>
      </c>
      <c r="R3719">
        <v>120</v>
      </c>
      <c r="S3719">
        <v>374.27</v>
      </c>
    </row>
    <row r="3720" spans="12:19" x14ac:dyDescent="0.2">
      <c r="L3720" t="s">
        <v>374</v>
      </c>
      <c r="M3720">
        <v>2164</v>
      </c>
      <c r="N3720">
        <v>1</v>
      </c>
      <c r="O3720">
        <v>4</v>
      </c>
      <c r="P3720">
        <v>582</v>
      </c>
      <c r="Q3720">
        <v>344</v>
      </c>
      <c r="R3720">
        <v>120</v>
      </c>
      <c r="S3720">
        <v>6000</v>
      </c>
    </row>
    <row r="3721" spans="12:19" x14ac:dyDescent="0.2">
      <c r="L3721" t="s">
        <v>374</v>
      </c>
      <c r="M3721">
        <v>2180</v>
      </c>
      <c r="N3721">
        <v>1</v>
      </c>
      <c r="O3721">
        <v>4</v>
      </c>
      <c r="P3721">
        <v>582</v>
      </c>
      <c r="Q3721">
        <v>344</v>
      </c>
      <c r="R3721">
        <v>120</v>
      </c>
      <c r="S3721">
        <v>3399</v>
      </c>
    </row>
    <row r="3722" spans="12:19" x14ac:dyDescent="0.2">
      <c r="L3722" t="s">
        <v>374</v>
      </c>
      <c r="M3722">
        <v>2190</v>
      </c>
      <c r="N3722">
        <v>1</v>
      </c>
      <c r="O3722">
        <v>4</v>
      </c>
      <c r="P3722">
        <v>582</v>
      </c>
      <c r="Q3722">
        <v>344</v>
      </c>
      <c r="R3722">
        <v>120</v>
      </c>
      <c r="S3722">
        <v>1037.1099999999999</v>
      </c>
    </row>
    <row r="3723" spans="12:19" x14ac:dyDescent="0.2">
      <c r="L3723" t="s">
        <v>374</v>
      </c>
      <c r="M3723">
        <v>2397</v>
      </c>
      <c r="N3723">
        <v>1</v>
      </c>
      <c r="O3723">
        <v>4</v>
      </c>
      <c r="P3723">
        <v>582</v>
      </c>
      <c r="Q3723">
        <v>344</v>
      </c>
      <c r="R3723">
        <v>120</v>
      </c>
      <c r="S3723">
        <v>3000</v>
      </c>
    </row>
    <row r="3724" spans="12:19" x14ac:dyDescent="0.2">
      <c r="L3724" t="s">
        <v>374</v>
      </c>
      <c r="M3724">
        <v>2534</v>
      </c>
      <c r="N3724">
        <v>1</v>
      </c>
      <c r="O3724">
        <v>4</v>
      </c>
      <c r="P3724">
        <v>582</v>
      </c>
      <c r="Q3724">
        <v>344</v>
      </c>
      <c r="R3724">
        <v>120</v>
      </c>
      <c r="S3724">
        <v>3215</v>
      </c>
    </row>
    <row r="3725" spans="12:19" x14ac:dyDescent="0.2">
      <c r="L3725" t="s">
        <v>374</v>
      </c>
      <c r="M3725">
        <v>2859</v>
      </c>
      <c r="N3725">
        <v>1</v>
      </c>
      <c r="O3725">
        <v>4</v>
      </c>
      <c r="P3725">
        <v>582</v>
      </c>
      <c r="Q3725">
        <v>344</v>
      </c>
      <c r="R3725">
        <v>120</v>
      </c>
      <c r="S3725">
        <v>824.12</v>
      </c>
    </row>
    <row r="3726" spans="12:19" x14ac:dyDescent="0.2">
      <c r="L3726" t="s">
        <v>374</v>
      </c>
      <c r="M3726">
        <v>2895</v>
      </c>
      <c r="N3726">
        <v>1</v>
      </c>
      <c r="O3726">
        <v>4</v>
      </c>
      <c r="P3726">
        <v>582</v>
      </c>
      <c r="Q3726">
        <v>344</v>
      </c>
      <c r="R3726">
        <v>120</v>
      </c>
      <c r="S3726">
        <v>5955.5</v>
      </c>
    </row>
    <row r="3727" spans="12:19" x14ac:dyDescent="0.2">
      <c r="L3727" t="s">
        <v>374</v>
      </c>
      <c r="M3727">
        <v>2898</v>
      </c>
      <c r="N3727">
        <v>1</v>
      </c>
      <c r="O3727">
        <v>4</v>
      </c>
      <c r="P3727">
        <v>582</v>
      </c>
      <c r="Q3727">
        <v>344</v>
      </c>
      <c r="R3727">
        <v>120</v>
      </c>
      <c r="S3727">
        <v>1000</v>
      </c>
    </row>
    <row r="3728" spans="12:19" x14ac:dyDescent="0.2">
      <c r="L3728" t="s">
        <v>374</v>
      </c>
      <c r="M3728">
        <v>831</v>
      </c>
      <c r="N3728">
        <v>1</v>
      </c>
      <c r="O3728">
        <v>4</v>
      </c>
      <c r="P3728">
        <v>582</v>
      </c>
      <c r="Q3728">
        <v>321</v>
      </c>
      <c r="R3728">
        <v>120</v>
      </c>
      <c r="S3728">
        <v>2000</v>
      </c>
    </row>
    <row r="3729" spans="12:19" x14ac:dyDescent="0.2">
      <c r="L3729" t="s">
        <v>374</v>
      </c>
      <c r="M3729">
        <v>625</v>
      </c>
      <c r="N3729">
        <v>1</v>
      </c>
      <c r="O3729">
        <v>4</v>
      </c>
      <c r="P3729">
        <v>582</v>
      </c>
      <c r="Q3729">
        <v>599</v>
      </c>
      <c r="R3729">
        <v>110</v>
      </c>
      <c r="S3729">
        <v>11092.3</v>
      </c>
    </row>
    <row r="3730" spans="12:19" x14ac:dyDescent="0.2">
      <c r="L3730" t="s">
        <v>374</v>
      </c>
      <c r="M3730">
        <v>11</v>
      </c>
      <c r="N3730">
        <v>1</v>
      </c>
      <c r="O3730">
        <v>4</v>
      </c>
      <c r="P3730">
        <v>582</v>
      </c>
      <c r="Q3730">
        <v>344</v>
      </c>
      <c r="R3730">
        <v>110</v>
      </c>
      <c r="S3730">
        <v>8685.02</v>
      </c>
    </row>
    <row r="3731" spans="12:19" x14ac:dyDescent="0.2">
      <c r="L3731" t="s">
        <v>374</v>
      </c>
      <c r="M3731">
        <v>22</v>
      </c>
      <c r="N3731">
        <v>1</v>
      </c>
      <c r="O3731">
        <v>4</v>
      </c>
      <c r="P3731">
        <v>582</v>
      </c>
      <c r="Q3731">
        <v>344</v>
      </c>
      <c r="R3731">
        <v>110</v>
      </c>
      <c r="S3731">
        <v>1700.79</v>
      </c>
    </row>
    <row r="3732" spans="12:19" x14ac:dyDescent="0.2">
      <c r="L3732" t="s">
        <v>374</v>
      </c>
      <c r="M3732">
        <v>23</v>
      </c>
      <c r="N3732">
        <v>1</v>
      </c>
      <c r="O3732">
        <v>4</v>
      </c>
      <c r="P3732">
        <v>582</v>
      </c>
      <c r="Q3732">
        <v>344</v>
      </c>
      <c r="R3732">
        <v>110</v>
      </c>
      <c r="S3732">
        <v>528.6</v>
      </c>
    </row>
    <row r="3733" spans="12:19" x14ac:dyDescent="0.2">
      <c r="L3733" t="s">
        <v>374</v>
      </c>
      <c r="M3733">
        <v>31</v>
      </c>
      <c r="N3733">
        <v>1</v>
      </c>
      <c r="O3733">
        <v>4</v>
      </c>
      <c r="P3733">
        <v>582</v>
      </c>
      <c r="Q3733">
        <v>344</v>
      </c>
      <c r="R3733">
        <v>110</v>
      </c>
      <c r="S3733">
        <v>3305</v>
      </c>
    </row>
    <row r="3734" spans="12:19" x14ac:dyDescent="0.2">
      <c r="L3734" t="s">
        <v>374</v>
      </c>
      <c r="M3734">
        <v>84</v>
      </c>
      <c r="N3734">
        <v>1</v>
      </c>
      <c r="O3734">
        <v>4</v>
      </c>
      <c r="P3734">
        <v>582</v>
      </c>
      <c r="Q3734">
        <v>344</v>
      </c>
      <c r="R3734">
        <v>110</v>
      </c>
      <c r="S3734">
        <v>900</v>
      </c>
    </row>
    <row r="3735" spans="12:19" x14ac:dyDescent="0.2">
      <c r="L3735" t="s">
        <v>374</v>
      </c>
      <c r="M3735">
        <v>138</v>
      </c>
      <c r="N3735">
        <v>1</v>
      </c>
      <c r="O3735">
        <v>4</v>
      </c>
      <c r="P3735">
        <v>582</v>
      </c>
      <c r="Q3735">
        <v>344</v>
      </c>
      <c r="R3735">
        <v>110</v>
      </c>
      <c r="S3735">
        <v>2218.5500000000002</v>
      </c>
    </row>
    <row r="3736" spans="12:19" x14ac:dyDescent="0.2">
      <c r="L3736" t="s">
        <v>374</v>
      </c>
      <c r="M3736">
        <v>152</v>
      </c>
      <c r="N3736">
        <v>1</v>
      </c>
      <c r="O3736">
        <v>4</v>
      </c>
      <c r="P3736">
        <v>582</v>
      </c>
      <c r="Q3736">
        <v>344</v>
      </c>
      <c r="R3736">
        <v>110</v>
      </c>
      <c r="S3736">
        <v>4837.87</v>
      </c>
    </row>
    <row r="3737" spans="12:19" x14ac:dyDescent="0.2">
      <c r="L3737" t="s">
        <v>374</v>
      </c>
      <c r="M3737">
        <v>162</v>
      </c>
      <c r="N3737">
        <v>1</v>
      </c>
      <c r="O3737">
        <v>4</v>
      </c>
      <c r="P3737">
        <v>582</v>
      </c>
      <c r="Q3737">
        <v>344</v>
      </c>
      <c r="R3737">
        <v>110</v>
      </c>
      <c r="S3737">
        <v>5336.96</v>
      </c>
    </row>
    <row r="3738" spans="12:19" x14ac:dyDescent="0.2">
      <c r="L3738" t="s">
        <v>374</v>
      </c>
      <c r="M3738">
        <v>166</v>
      </c>
      <c r="N3738">
        <v>1</v>
      </c>
      <c r="O3738">
        <v>4</v>
      </c>
      <c r="P3738">
        <v>582</v>
      </c>
      <c r="Q3738">
        <v>344</v>
      </c>
      <c r="R3738">
        <v>110</v>
      </c>
      <c r="S3738">
        <v>627</v>
      </c>
    </row>
    <row r="3739" spans="12:19" x14ac:dyDescent="0.2">
      <c r="L3739" t="s">
        <v>374</v>
      </c>
      <c r="M3739">
        <v>186</v>
      </c>
      <c r="N3739">
        <v>1</v>
      </c>
      <c r="O3739">
        <v>4</v>
      </c>
      <c r="P3739">
        <v>582</v>
      </c>
      <c r="Q3739">
        <v>344</v>
      </c>
      <c r="R3739">
        <v>110</v>
      </c>
      <c r="S3739">
        <v>3000</v>
      </c>
    </row>
    <row r="3740" spans="12:19" x14ac:dyDescent="0.2">
      <c r="L3740" t="s">
        <v>374</v>
      </c>
      <c r="M3740">
        <v>206</v>
      </c>
      <c r="N3740">
        <v>1</v>
      </c>
      <c r="O3740">
        <v>4</v>
      </c>
      <c r="P3740">
        <v>582</v>
      </c>
      <c r="Q3740">
        <v>344</v>
      </c>
      <c r="R3740">
        <v>110</v>
      </c>
      <c r="S3740">
        <v>4000</v>
      </c>
    </row>
    <row r="3741" spans="12:19" x14ac:dyDescent="0.2">
      <c r="L3741" t="s">
        <v>374</v>
      </c>
      <c r="M3741">
        <v>207</v>
      </c>
      <c r="N3741">
        <v>1</v>
      </c>
      <c r="O3741">
        <v>4</v>
      </c>
      <c r="P3741">
        <v>582</v>
      </c>
      <c r="Q3741">
        <v>344</v>
      </c>
      <c r="R3741">
        <v>110</v>
      </c>
      <c r="S3741">
        <v>4718.3</v>
      </c>
    </row>
    <row r="3742" spans="12:19" x14ac:dyDescent="0.2">
      <c r="L3742" t="s">
        <v>374</v>
      </c>
      <c r="M3742">
        <v>241</v>
      </c>
      <c r="N3742">
        <v>1</v>
      </c>
      <c r="O3742">
        <v>4</v>
      </c>
      <c r="P3742">
        <v>582</v>
      </c>
      <c r="Q3742">
        <v>344</v>
      </c>
      <c r="R3742">
        <v>110</v>
      </c>
      <c r="S3742">
        <v>2000</v>
      </c>
    </row>
    <row r="3743" spans="12:19" x14ac:dyDescent="0.2">
      <c r="L3743" t="s">
        <v>374</v>
      </c>
      <c r="M3743">
        <v>256</v>
      </c>
      <c r="N3743">
        <v>1</v>
      </c>
      <c r="O3743">
        <v>4</v>
      </c>
      <c r="P3743">
        <v>582</v>
      </c>
      <c r="Q3743">
        <v>344</v>
      </c>
      <c r="R3743">
        <v>110</v>
      </c>
      <c r="S3743">
        <v>4789.43</v>
      </c>
    </row>
    <row r="3744" spans="12:19" x14ac:dyDescent="0.2">
      <c r="L3744" t="s">
        <v>374</v>
      </c>
      <c r="M3744">
        <v>276</v>
      </c>
      <c r="N3744">
        <v>1</v>
      </c>
      <c r="O3744">
        <v>4</v>
      </c>
      <c r="P3744">
        <v>582</v>
      </c>
      <c r="Q3744">
        <v>344</v>
      </c>
      <c r="R3744">
        <v>110</v>
      </c>
      <c r="S3744">
        <v>3186.82</v>
      </c>
    </row>
    <row r="3745" spans="12:19" x14ac:dyDescent="0.2">
      <c r="L3745" t="s">
        <v>374</v>
      </c>
      <c r="M3745">
        <v>277</v>
      </c>
      <c r="N3745">
        <v>1</v>
      </c>
      <c r="O3745">
        <v>4</v>
      </c>
      <c r="P3745">
        <v>582</v>
      </c>
      <c r="Q3745">
        <v>344</v>
      </c>
      <c r="R3745">
        <v>110</v>
      </c>
      <c r="S3745">
        <v>4509.8900000000003</v>
      </c>
    </row>
    <row r="3746" spans="12:19" x14ac:dyDescent="0.2">
      <c r="L3746" t="s">
        <v>374</v>
      </c>
      <c r="M3746">
        <v>278</v>
      </c>
      <c r="N3746">
        <v>1</v>
      </c>
      <c r="O3746">
        <v>4</v>
      </c>
      <c r="P3746">
        <v>582</v>
      </c>
      <c r="Q3746">
        <v>344</v>
      </c>
      <c r="R3746">
        <v>110</v>
      </c>
      <c r="S3746">
        <v>15408.34</v>
      </c>
    </row>
    <row r="3747" spans="12:19" x14ac:dyDescent="0.2">
      <c r="L3747" t="s">
        <v>374</v>
      </c>
      <c r="M3747">
        <v>294</v>
      </c>
      <c r="N3747">
        <v>1</v>
      </c>
      <c r="O3747">
        <v>4</v>
      </c>
      <c r="P3747">
        <v>582</v>
      </c>
      <c r="Q3747">
        <v>344</v>
      </c>
      <c r="R3747">
        <v>110</v>
      </c>
      <c r="S3747">
        <v>394.17</v>
      </c>
    </row>
    <row r="3748" spans="12:19" x14ac:dyDescent="0.2">
      <c r="L3748" t="s">
        <v>374</v>
      </c>
      <c r="M3748">
        <v>299</v>
      </c>
      <c r="N3748">
        <v>1</v>
      </c>
      <c r="O3748">
        <v>4</v>
      </c>
      <c r="P3748">
        <v>582</v>
      </c>
      <c r="Q3748">
        <v>344</v>
      </c>
      <c r="R3748">
        <v>110</v>
      </c>
      <c r="S3748">
        <v>2502</v>
      </c>
    </row>
    <row r="3749" spans="12:19" x14ac:dyDescent="0.2">
      <c r="L3749" t="s">
        <v>374</v>
      </c>
      <c r="M3749">
        <v>309</v>
      </c>
      <c r="N3749">
        <v>1</v>
      </c>
      <c r="O3749">
        <v>4</v>
      </c>
      <c r="P3749">
        <v>582</v>
      </c>
      <c r="Q3749">
        <v>344</v>
      </c>
      <c r="R3749">
        <v>110</v>
      </c>
      <c r="S3749">
        <v>2420.9899999999998</v>
      </c>
    </row>
    <row r="3750" spans="12:19" x14ac:dyDescent="0.2">
      <c r="L3750" t="s">
        <v>374</v>
      </c>
      <c r="M3750">
        <v>314</v>
      </c>
      <c r="N3750">
        <v>1</v>
      </c>
      <c r="O3750">
        <v>4</v>
      </c>
      <c r="P3750">
        <v>582</v>
      </c>
      <c r="Q3750">
        <v>344</v>
      </c>
      <c r="R3750">
        <v>110</v>
      </c>
      <c r="S3750">
        <v>1500</v>
      </c>
    </row>
    <row r="3751" spans="12:19" x14ac:dyDescent="0.2">
      <c r="L3751" t="s">
        <v>374</v>
      </c>
      <c r="M3751">
        <v>332</v>
      </c>
      <c r="N3751">
        <v>1</v>
      </c>
      <c r="O3751">
        <v>4</v>
      </c>
      <c r="P3751">
        <v>582</v>
      </c>
      <c r="Q3751">
        <v>344</v>
      </c>
      <c r="R3751">
        <v>110</v>
      </c>
      <c r="S3751">
        <v>1663</v>
      </c>
    </row>
    <row r="3752" spans="12:19" x14ac:dyDescent="0.2">
      <c r="L3752" t="s">
        <v>374</v>
      </c>
      <c r="M3752">
        <v>347</v>
      </c>
      <c r="N3752">
        <v>1</v>
      </c>
      <c r="O3752">
        <v>4</v>
      </c>
      <c r="P3752">
        <v>582</v>
      </c>
      <c r="Q3752">
        <v>344</v>
      </c>
      <c r="R3752">
        <v>110</v>
      </c>
      <c r="S3752">
        <v>651.08000000000004</v>
      </c>
    </row>
    <row r="3753" spans="12:19" x14ac:dyDescent="0.2">
      <c r="L3753" t="s">
        <v>374</v>
      </c>
      <c r="M3753">
        <v>381</v>
      </c>
      <c r="N3753">
        <v>1</v>
      </c>
      <c r="O3753">
        <v>4</v>
      </c>
      <c r="P3753">
        <v>582</v>
      </c>
      <c r="Q3753">
        <v>344</v>
      </c>
      <c r="R3753">
        <v>110</v>
      </c>
      <c r="S3753">
        <v>1152.94</v>
      </c>
    </row>
    <row r="3754" spans="12:19" x14ac:dyDescent="0.2">
      <c r="L3754" t="s">
        <v>374</v>
      </c>
      <c r="M3754">
        <v>417</v>
      </c>
      <c r="N3754">
        <v>1</v>
      </c>
      <c r="O3754">
        <v>4</v>
      </c>
      <c r="P3754">
        <v>582</v>
      </c>
      <c r="Q3754">
        <v>344</v>
      </c>
      <c r="R3754">
        <v>110</v>
      </c>
      <c r="S3754">
        <v>1500</v>
      </c>
    </row>
    <row r="3755" spans="12:19" x14ac:dyDescent="0.2">
      <c r="L3755" t="s">
        <v>374</v>
      </c>
      <c r="M3755">
        <v>423</v>
      </c>
      <c r="N3755">
        <v>1</v>
      </c>
      <c r="O3755">
        <v>4</v>
      </c>
      <c r="P3755">
        <v>582</v>
      </c>
      <c r="Q3755">
        <v>344</v>
      </c>
      <c r="R3755">
        <v>110</v>
      </c>
      <c r="S3755">
        <v>1853.02</v>
      </c>
    </row>
    <row r="3756" spans="12:19" x14ac:dyDescent="0.2">
      <c r="L3756" t="s">
        <v>374</v>
      </c>
      <c r="M3756">
        <v>432</v>
      </c>
      <c r="N3756">
        <v>1</v>
      </c>
      <c r="O3756">
        <v>4</v>
      </c>
      <c r="P3756">
        <v>582</v>
      </c>
      <c r="Q3756">
        <v>344</v>
      </c>
      <c r="R3756">
        <v>110</v>
      </c>
      <c r="S3756">
        <v>500</v>
      </c>
    </row>
    <row r="3757" spans="12:19" x14ac:dyDescent="0.2">
      <c r="L3757" t="s">
        <v>374</v>
      </c>
      <c r="M3757">
        <v>492</v>
      </c>
      <c r="N3757">
        <v>1</v>
      </c>
      <c r="O3757">
        <v>4</v>
      </c>
      <c r="P3757">
        <v>582</v>
      </c>
      <c r="Q3757">
        <v>344</v>
      </c>
      <c r="R3757">
        <v>110</v>
      </c>
      <c r="S3757">
        <v>4017</v>
      </c>
    </row>
    <row r="3758" spans="12:19" x14ac:dyDescent="0.2">
      <c r="L3758" t="s">
        <v>374</v>
      </c>
      <c r="M3758">
        <v>500</v>
      </c>
      <c r="N3758">
        <v>1</v>
      </c>
      <c r="O3758">
        <v>4</v>
      </c>
      <c r="P3758">
        <v>582</v>
      </c>
      <c r="Q3758">
        <v>344</v>
      </c>
      <c r="R3758">
        <v>110</v>
      </c>
      <c r="S3758">
        <v>267.3</v>
      </c>
    </row>
    <row r="3759" spans="12:19" x14ac:dyDescent="0.2">
      <c r="L3759" t="s">
        <v>374</v>
      </c>
      <c r="M3759">
        <v>508</v>
      </c>
      <c r="N3759">
        <v>1</v>
      </c>
      <c r="O3759">
        <v>4</v>
      </c>
      <c r="P3759">
        <v>582</v>
      </c>
      <c r="Q3759">
        <v>344</v>
      </c>
      <c r="R3759">
        <v>110</v>
      </c>
      <c r="S3759">
        <v>9405.32</v>
      </c>
    </row>
    <row r="3760" spans="12:19" x14ac:dyDescent="0.2">
      <c r="L3760" t="s">
        <v>374</v>
      </c>
      <c r="M3760">
        <v>518</v>
      </c>
      <c r="N3760">
        <v>1</v>
      </c>
      <c r="O3760">
        <v>4</v>
      </c>
      <c r="P3760">
        <v>582</v>
      </c>
      <c r="Q3760">
        <v>344</v>
      </c>
      <c r="R3760">
        <v>110</v>
      </c>
      <c r="S3760">
        <v>2471.4499999999998</v>
      </c>
    </row>
    <row r="3761" spans="12:19" x14ac:dyDescent="0.2">
      <c r="L3761" t="s">
        <v>374</v>
      </c>
      <c r="M3761">
        <v>533</v>
      </c>
      <c r="N3761">
        <v>1</v>
      </c>
      <c r="O3761">
        <v>4</v>
      </c>
      <c r="P3761">
        <v>582</v>
      </c>
      <c r="Q3761">
        <v>344</v>
      </c>
      <c r="R3761">
        <v>110</v>
      </c>
      <c r="S3761">
        <v>3554.03</v>
      </c>
    </row>
    <row r="3762" spans="12:19" x14ac:dyDescent="0.2">
      <c r="L3762" t="s">
        <v>374</v>
      </c>
      <c r="M3762">
        <v>712</v>
      </c>
      <c r="N3762">
        <v>1</v>
      </c>
      <c r="O3762">
        <v>4</v>
      </c>
      <c r="P3762">
        <v>582</v>
      </c>
      <c r="Q3762">
        <v>344</v>
      </c>
      <c r="R3762">
        <v>110</v>
      </c>
      <c r="S3762">
        <v>544</v>
      </c>
    </row>
    <row r="3763" spans="12:19" x14ac:dyDescent="0.2">
      <c r="L3763" t="s">
        <v>374</v>
      </c>
      <c r="M3763">
        <v>719</v>
      </c>
      <c r="N3763">
        <v>1</v>
      </c>
      <c r="O3763">
        <v>4</v>
      </c>
      <c r="P3763">
        <v>582</v>
      </c>
      <c r="Q3763">
        <v>344</v>
      </c>
      <c r="R3763">
        <v>110</v>
      </c>
      <c r="S3763">
        <v>3378</v>
      </c>
    </row>
    <row r="3764" spans="12:19" x14ac:dyDescent="0.2">
      <c r="L3764" t="s">
        <v>374</v>
      </c>
      <c r="M3764">
        <v>727</v>
      </c>
      <c r="N3764">
        <v>1</v>
      </c>
      <c r="O3764">
        <v>4</v>
      </c>
      <c r="P3764">
        <v>582</v>
      </c>
      <c r="Q3764">
        <v>344</v>
      </c>
      <c r="R3764">
        <v>110</v>
      </c>
      <c r="S3764">
        <v>997.52</v>
      </c>
    </row>
    <row r="3765" spans="12:19" x14ac:dyDescent="0.2">
      <c r="L3765" t="s">
        <v>374</v>
      </c>
      <c r="M3765">
        <v>741</v>
      </c>
      <c r="N3765">
        <v>1</v>
      </c>
      <c r="O3765">
        <v>4</v>
      </c>
      <c r="P3765">
        <v>582</v>
      </c>
      <c r="Q3765">
        <v>344</v>
      </c>
      <c r="R3765">
        <v>110</v>
      </c>
      <c r="S3765">
        <v>1330</v>
      </c>
    </row>
    <row r="3766" spans="12:19" x14ac:dyDescent="0.2">
      <c r="L3766" t="s">
        <v>374</v>
      </c>
      <c r="M3766">
        <v>745</v>
      </c>
      <c r="N3766">
        <v>1</v>
      </c>
      <c r="O3766">
        <v>4</v>
      </c>
      <c r="P3766">
        <v>582</v>
      </c>
      <c r="Q3766">
        <v>344</v>
      </c>
      <c r="R3766">
        <v>110</v>
      </c>
      <c r="S3766">
        <v>1192</v>
      </c>
    </row>
    <row r="3767" spans="12:19" x14ac:dyDescent="0.2">
      <c r="L3767" t="s">
        <v>374</v>
      </c>
      <c r="M3767">
        <v>775</v>
      </c>
      <c r="N3767">
        <v>1</v>
      </c>
      <c r="O3767">
        <v>4</v>
      </c>
      <c r="P3767">
        <v>582</v>
      </c>
      <c r="Q3767">
        <v>344</v>
      </c>
      <c r="R3767">
        <v>110</v>
      </c>
      <c r="S3767">
        <v>680</v>
      </c>
    </row>
    <row r="3768" spans="12:19" x14ac:dyDescent="0.2">
      <c r="L3768" t="s">
        <v>374</v>
      </c>
      <c r="M3768">
        <v>831</v>
      </c>
      <c r="N3768">
        <v>1</v>
      </c>
      <c r="O3768">
        <v>4</v>
      </c>
      <c r="P3768">
        <v>582</v>
      </c>
      <c r="Q3768">
        <v>344</v>
      </c>
      <c r="R3768">
        <v>110</v>
      </c>
      <c r="S3768">
        <v>5000</v>
      </c>
    </row>
    <row r="3769" spans="12:19" x14ac:dyDescent="0.2">
      <c r="L3769" t="s">
        <v>374</v>
      </c>
      <c r="M3769">
        <v>833</v>
      </c>
      <c r="N3769">
        <v>1</v>
      </c>
      <c r="O3769">
        <v>4</v>
      </c>
      <c r="P3769">
        <v>582</v>
      </c>
      <c r="Q3769">
        <v>344</v>
      </c>
      <c r="R3769">
        <v>110</v>
      </c>
      <c r="S3769">
        <v>4604.3900000000003</v>
      </c>
    </row>
    <row r="3770" spans="12:19" x14ac:dyDescent="0.2">
      <c r="L3770" t="s">
        <v>374</v>
      </c>
      <c r="M3770">
        <v>876</v>
      </c>
      <c r="N3770">
        <v>1</v>
      </c>
      <c r="O3770">
        <v>4</v>
      </c>
      <c r="P3770">
        <v>582</v>
      </c>
      <c r="Q3770">
        <v>344</v>
      </c>
      <c r="R3770">
        <v>110</v>
      </c>
      <c r="S3770">
        <v>617.29</v>
      </c>
    </row>
    <row r="3771" spans="12:19" x14ac:dyDescent="0.2">
      <c r="L3771" t="s">
        <v>374</v>
      </c>
      <c r="M3771">
        <v>882</v>
      </c>
      <c r="N3771">
        <v>1</v>
      </c>
      <c r="O3771">
        <v>4</v>
      </c>
      <c r="P3771">
        <v>582</v>
      </c>
      <c r="Q3771">
        <v>344</v>
      </c>
      <c r="R3771">
        <v>110</v>
      </c>
      <c r="S3771">
        <v>2526.5</v>
      </c>
    </row>
    <row r="3772" spans="12:19" x14ac:dyDescent="0.2">
      <c r="L3772" t="s">
        <v>374</v>
      </c>
      <c r="M3772">
        <v>911</v>
      </c>
      <c r="N3772">
        <v>1</v>
      </c>
      <c r="O3772">
        <v>4</v>
      </c>
      <c r="P3772">
        <v>582</v>
      </c>
      <c r="Q3772">
        <v>344</v>
      </c>
      <c r="R3772">
        <v>110</v>
      </c>
      <c r="S3772">
        <v>928.97</v>
      </c>
    </row>
    <row r="3773" spans="12:19" x14ac:dyDescent="0.2">
      <c r="L3773" t="s">
        <v>374</v>
      </c>
      <c r="M3773">
        <v>2125</v>
      </c>
      <c r="N3773">
        <v>1</v>
      </c>
      <c r="O3773">
        <v>4</v>
      </c>
      <c r="P3773">
        <v>582</v>
      </c>
      <c r="Q3773">
        <v>344</v>
      </c>
      <c r="R3773">
        <v>110</v>
      </c>
      <c r="S3773">
        <v>2698.07</v>
      </c>
    </row>
    <row r="3774" spans="12:19" x14ac:dyDescent="0.2">
      <c r="L3774" t="s">
        <v>374</v>
      </c>
      <c r="M3774">
        <v>2144</v>
      </c>
      <c r="N3774">
        <v>1</v>
      </c>
      <c r="O3774">
        <v>4</v>
      </c>
      <c r="P3774">
        <v>582</v>
      </c>
      <c r="Q3774">
        <v>344</v>
      </c>
      <c r="R3774">
        <v>110</v>
      </c>
      <c r="S3774">
        <v>2946.18</v>
      </c>
    </row>
    <row r="3775" spans="12:19" x14ac:dyDescent="0.2">
      <c r="L3775" t="s">
        <v>374</v>
      </c>
      <c r="M3775">
        <v>2164</v>
      </c>
      <c r="N3775">
        <v>1</v>
      </c>
      <c r="O3775">
        <v>4</v>
      </c>
      <c r="P3775">
        <v>582</v>
      </c>
      <c r="Q3775">
        <v>344</v>
      </c>
      <c r="R3775">
        <v>110</v>
      </c>
      <c r="S3775">
        <v>2000</v>
      </c>
    </row>
    <row r="3776" spans="12:19" x14ac:dyDescent="0.2">
      <c r="L3776" t="s">
        <v>374</v>
      </c>
      <c r="M3776">
        <v>2167</v>
      </c>
      <c r="N3776">
        <v>1</v>
      </c>
      <c r="O3776">
        <v>4</v>
      </c>
      <c r="P3776">
        <v>582</v>
      </c>
      <c r="Q3776">
        <v>344</v>
      </c>
      <c r="R3776">
        <v>110</v>
      </c>
      <c r="S3776">
        <v>2252.4</v>
      </c>
    </row>
    <row r="3777" spans="12:19" x14ac:dyDescent="0.2">
      <c r="L3777" t="s">
        <v>374</v>
      </c>
      <c r="M3777">
        <v>2168</v>
      </c>
      <c r="N3777">
        <v>1</v>
      </c>
      <c r="O3777">
        <v>4</v>
      </c>
      <c r="P3777">
        <v>582</v>
      </c>
      <c r="Q3777">
        <v>344</v>
      </c>
      <c r="R3777">
        <v>110</v>
      </c>
      <c r="S3777">
        <v>500</v>
      </c>
    </row>
    <row r="3778" spans="12:19" x14ac:dyDescent="0.2">
      <c r="L3778" t="s">
        <v>374</v>
      </c>
      <c r="M3778">
        <v>2198</v>
      </c>
      <c r="N3778">
        <v>1</v>
      </c>
      <c r="O3778">
        <v>4</v>
      </c>
      <c r="P3778">
        <v>582</v>
      </c>
      <c r="Q3778">
        <v>344</v>
      </c>
      <c r="R3778">
        <v>110</v>
      </c>
      <c r="S3778">
        <v>2200</v>
      </c>
    </row>
    <row r="3779" spans="12:19" x14ac:dyDescent="0.2">
      <c r="L3779" t="s">
        <v>374</v>
      </c>
      <c r="M3779">
        <v>2396</v>
      </c>
      <c r="N3779">
        <v>1</v>
      </c>
      <c r="O3779">
        <v>4</v>
      </c>
      <c r="P3779">
        <v>582</v>
      </c>
      <c r="Q3779">
        <v>344</v>
      </c>
      <c r="R3779">
        <v>110</v>
      </c>
      <c r="S3779">
        <v>3015</v>
      </c>
    </row>
    <row r="3780" spans="12:19" x14ac:dyDescent="0.2">
      <c r="L3780" t="s">
        <v>374</v>
      </c>
      <c r="M3780">
        <v>2397</v>
      </c>
      <c r="N3780">
        <v>1</v>
      </c>
      <c r="O3780">
        <v>4</v>
      </c>
      <c r="P3780">
        <v>582</v>
      </c>
      <c r="Q3780">
        <v>344</v>
      </c>
      <c r="R3780">
        <v>110</v>
      </c>
      <c r="S3780">
        <v>4569</v>
      </c>
    </row>
    <row r="3781" spans="12:19" x14ac:dyDescent="0.2">
      <c r="L3781" t="s">
        <v>374</v>
      </c>
      <c r="M3781">
        <v>2448</v>
      </c>
      <c r="N3781">
        <v>1</v>
      </c>
      <c r="O3781">
        <v>4</v>
      </c>
      <c r="P3781">
        <v>582</v>
      </c>
      <c r="Q3781">
        <v>344</v>
      </c>
      <c r="R3781">
        <v>110</v>
      </c>
      <c r="S3781">
        <v>3953.28</v>
      </c>
    </row>
    <row r="3782" spans="12:19" x14ac:dyDescent="0.2">
      <c r="L3782" t="s">
        <v>374</v>
      </c>
      <c r="M3782">
        <v>2687</v>
      </c>
      <c r="N3782">
        <v>1</v>
      </c>
      <c r="O3782">
        <v>4</v>
      </c>
      <c r="P3782">
        <v>582</v>
      </c>
      <c r="Q3782">
        <v>344</v>
      </c>
      <c r="R3782">
        <v>110</v>
      </c>
      <c r="S3782">
        <v>759</v>
      </c>
    </row>
    <row r="3783" spans="12:19" x14ac:dyDescent="0.2">
      <c r="L3783" t="s">
        <v>374</v>
      </c>
      <c r="M3783">
        <v>2895</v>
      </c>
      <c r="N3783">
        <v>1</v>
      </c>
      <c r="O3783">
        <v>4</v>
      </c>
      <c r="P3783">
        <v>582</v>
      </c>
      <c r="Q3783">
        <v>344</v>
      </c>
      <c r="R3783">
        <v>110</v>
      </c>
      <c r="S3783">
        <v>1450</v>
      </c>
    </row>
    <row r="3784" spans="12:19" x14ac:dyDescent="0.2">
      <c r="L3784" t="s">
        <v>374</v>
      </c>
      <c r="M3784">
        <v>139</v>
      </c>
      <c r="N3784">
        <v>1</v>
      </c>
      <c r="O3784">
        <v>4</v>
      </c>
      <c r="P3784">
        <v>582</v>
      </c>
      <c r="Q3784">
        <v>321</v>
      </c>
      <c r="R3784">
        <v>110</v>
      </c>
      <c r="S3784">
        <v>7085.13</v>
      </c>
    </row>
    <row r="3785" spans="12:19" x14ac:dyDescent="0.2">
      <c r="L3785" t="s">
        <v>374</v>
      </c>
      <c r="M3785">
        <v>1</v>
      </c>
      <c r="N3785">
        <v>3</v>
      </c>
      <c r="O3785">
        <v>4</v>
      </c>
      <c r="P3785">
        <v>582</v>
      </c>
      <c r="Q3785">
        <v>0</v>
      </c>
      <c r="R3785">
        <v>110</v>
      </c>
      <c r="S3785">
        <v>2985</v>
      </c>
    </row>
  </sheetData>
  <phoneticPr fontId="2" type="noConversion"/>
  <pageMargins left="0.75" right="0.75" top="1" bottom="1" header="0.5" footer="0.5"/>
  <pageSetup orientation="portrait" r:id="rId1"/>
  <headerFooter alignWithMargins="0"/>
  <tableParts count="6">
    <tablePart r:id="rId2"/>
    <tablePart r:id="rId3"/>
    <tablePart r:id="rId4"/>
    <tablePart r:id="rId5"/>
    <tablePart r:id="rId6"/>
    <tablePart r:id="rId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338"/>
  <sheetViews>
    <sheetView workbookViewId="0">
      <selection activeCell="D18" sqref="D18"/>
    </sheetView>
  </sheetViews>
  <sheetFormatPr defaultRowHeight="12.75" x14ac:dyDescent="0.2"/>
  <cols>
    <col min="2" max="2" width="15" bestFit="1" customWidth="1"/>
    <col min="3" max="3" width="14" bestFit="1" customWidth="1"/>
    <col min="4" max="4" width="12.85546875" bestFit="1" customWidth="1"/>
    <col min="5" max="5" width="11.28515625" bestFit="1" customWidth="1"/>
  </cols>
  <sheetData>
    <row r="1" spans="1:78" s="3" customFormat="1" ht="11.25" x14ac:dyDescent="0.2">
      <c r="A1" s="3">
        <v>1</v>
      </c>
      <c r="B1" s="3">
        <v>2</v>
      </c>
      <c r="C1" s="3">
        <v>3</v>
      </c>
      <c r="D1" s="3">
        <v>4</v>
      </c>
      <c r="E1" s="3">
        <v>5</v>
      </c>
      <c r="F1" s="3">
        <v>6</v>
      </c>
      <c r="G1" s="3">
        <v>7</v>
      </c>
      <c r="H1" s="3">
        <v>8</v>
      </c>
      <c r="I1" s="3">
        <v>9</v>
      </c>
      <c r="J1" s="3">
        <v>10</v>
      </c>
      <c r="K1" s="3">
        <v>11</v>
      </c>
      <c r="L1" s="3">
        <v>12</v>
      </c>
      <c r="M1" s="3">
        <v>13</v>
      </c>
      <c r="N1" s="3">
        <v>14</v>
      </c>
      <c r="O1" s="3">
        <v>15</v>
      </c>
      <c r="P1" s="3">
        <v>16</v>
      </c>
      <c r="Q1" s="3">
        <v>17</v>
      </c>
      <c r="R1" s="3">
        <v>18</v>
      </c>
      <c r="S1" s="3">
        <v>19</v>
      </c>
      <c r="T1" s="3">
        <v>20</v>
      </c>
      <c r="U1" s="3">
        <v>21</v>
      </c>
      <c r="V1" s="3">
        <v>22</v>
      </c>
      <c r="W1" s="3">
        <v>23</v>
      </c>
      <c r="X1" s="3">
        <v>24</v>
      </c>
      <c r="Y1" s="3">
        <v>25</v>
      </c>
      <c r="Z1" s="3">
        <v>26</v>
      </c>
      <c r="AA1" s="3">
        <v>27</v>
      </c>
      <c r="AB1" s="3">
        <v>28</v>
      </c>
      <c r="AC1" s="3">
        <v>29</v>
      </c>
      <c r="AD1" s="3">
        <v>30</v>
      </c>
      <c r="AE1" s="3">
        <v>31</v>
      </c>
      <c r="AF1" s="3">
        <v>32</v>
      </c>
      <c r="AG1" s="3">
        <v>33</v>
      </c>
      <c r="AH1" s="3">
        <v>34</v>
      </c>
      <c r="AI1" s="3">
        <v>35</v>
      </c>
      <c r="AJ1" s="3">
        <v>36</v>
      </c>
      <c r="AK1" s="3">
        <v>37</v>
      </c>
      <c r="AL1" s="3">
        <v>38</v>
      </c>
      <c r="AM1" s="3">
        <v>39</v>
      </c>
      <c r="AN1" s="3">
        <v>40</v>
      </c>
      <c r="AO1" s="3">
        <v>41</v>
      </c>
      <c r="AP1" s="3">
        <v>42</v>
      </c>
      <c r="AQ1" s="3">
        <v>43</v>
      </c>
      <c r="AR1" s="3">
        <v>44</v>
      </c>
      <c r="AS1" s="3">
        <v>45</v>
      </c>
      <c r="AT1" s="3">
        <v>46</v>
      </c>
      <c r="AU1" s="3">
        <v>47</v>
      </c>
      <c r="AV1" s="3">
        <v>48</v>
      </c>
      <c r="AW1" s="3">
        <v>49</v>
      </c>
      <c r="AX1" s="3">
        <v>50</v>
      </c>
      <c r="AY1" s="3">
        <v>51</v>
      </c>
      <c r="AZ1" s="3">
        <v>52</v>
      </c>
      <c r="BA1" s="3">
        <v>53</v>
      </c>
      <c r="BB1" s="3">
        <v>54</v>
      </c>
      <c r="BC1" s="3">
        <v>55</v>
      </c>
      <c r="BD1" s="6">
        <v>56</v>
      </c>
      <c r="BE1" s="3">
        <v>57</v>
      </c>
      <c r="BF1" s="3">
        <v>58</v>
      </c>
      <c r="BG1" s="3">
        <v>59</v>
      </c>
      <c r="BH1" s="3">
        <v>60</v>
      </c>
      <c r="BI1" s="3">
        <v>61</v>
      </c>
      <c r="BJ1" s="3">
        <v>62</v>
      </c>
      <c r="BK1" s="3">
        <v>63</v>
      </c>
      <c r="BL1" s="3">
        <v>64</v>
      </c>
      <c r="BM1" s="3">
        <v>65</v>
      </c>
      <c r="BN1" s="3">
        <v>66</v>
      </c>
      <c r="BO1" s="3">
        <v>67</v>
      </c>
      <c r="BP1" s="3">
        <v>68</v>
      </c>
      <c r="BQ1" s="3">
        <v>69</v>
      </c>
      <c r="BR1" s="3">
        <f>+BQ1+1</f>
        <v>70</v>
      </c>
      <c r="BS1" s="3">
        <v>71</v>
      </c>
      <c r="BT1" s="3">
        <v>72</v>
      </c>
      <c r="BU1" s="3">
        <v>73</v>
      </c>
      <c r="BV1" s="3">
        <v>74</v>
      </c>
      <c r="BW1" s="3">
        <v>75</v>
      </c>
      <c r="BX1" s="3">
        <v>76</v>
      </c>
      <c r="BY1" s="3">
        <v>77</v>
      </c>
      <c r="BZ1" s="3">
        <v>78</v>
      </c>
    </row>
    <row r="2" spans="1:78" x14ac:dyDescent="0.2">
      <c r="A2">
        <v>1</v>
      </c>
      <c r="B2" s="8">
        <v>92433.95</v>
      </c>
      <c r="C2" s="8">
        <v>0</v>
      </c>
      <c r="D2" s="8">
        <v>0</v>
      </c>
      <c r="E2" s="8">
        <v>0</v>
      </c>
    </row>
    <row r="3" spans="1:78" x14ac:dyDescent="0.2">
      <c r="A3">
        <v>2</v>
      </c>
      <c r="B3" s="8">
        <v>617</v>
      </c>
      <c r="C3" s="8">
        <v>0</v>
      </c>
      <c r="D3" s="8">
        <v>0</v>
      </c>
      <c r="E3" s="8">
        <v>0</v>
      </c>
    </row>
    <row r="4" spans="1:78" x14ac:dyDescent="0.2">
      <c r="A4">
        <v>4</v>
      </c>
      <c r="B4" s="8">
        <v>3960</v>
      </c>
      <c r="C4" s="8">
        <v>0</v>
      </c>
      <c r="D4" s="8">
        <v>0</v>
      </c>
      <c r="E4" s="8">
        <v>0</v>
      </c>
    </row>
    <row r="5" spans="1:78" x14ac:dyDescent="0.2">
      <c r="A5">
        <v>6</v>
      </c>
      <c r="B5" s="8">
        <v>40926.959999999999</v>
      </c>
      <c r="C5" s="8">
        <v>0</v>
      </c>
      <c r="D5" s="8">
        <v>0</v>
      </c>
      <c r="E5" s="8">
        <v>0</v>
      </c>
    </row>
    <row r="6" spans="1:78" x14ac:dyDescent="0.2">
      <c r="A6">
        <v>11</v>
      </c>
      <c r="B6" s="8">
        <v>713576.11</v>
      </c>
      <c r="C6" s="8">
        <v>0</v>
      </c>
      <c r="D6" s="8">
        <v>0</v>
      </c>
      <c r="E6" s="8">
        <v>0</v>
      </c>
    </row>
    <row r="7" spans="1:78" x14ac:dyDescent="0.2">
      <c r="A7">
        <v>12</v>
      </c>
      <c r="B7" s="8">
        <v>24263.5</v>
      </c>
      <c r="C7" s="8">
        <v>0</v>
      </c>
      <c r="D7" s="8">
        <v>0</v>
      </c>
      <c r="E7" s="8">
        <v>0</v>
      </c>
    </row>
    <row r="8" spans="1:78" x14ac:dyDescent="0.2">
      <c r="A8">
        <v>13</v>
      </c>
      <c r="B8" s="8">
        <v>14158.07</v>
      </c>
      <c r="C8" s="8">
        <v>0</v>
      </c>
      <c r="D8" s="8">
        <v>0</v>
      </c>
      <c r="E8" s="8">
        <v>0</v>
      </c>
    </row>
    <row r="9" spans="1:78" x14ac:dyDescent="0.2">
      <c r="A9">
        <v>14</v>
      </c>
      <c r="B9" s="8">
        <v>15894.5</v>
      </c>
      <c r="C9" s="8">
        <v>0</v>
      </c>
      <c r="D9" s="8">
        <v>0</v>
      </c>
      <c r="E9" s="8">
        <v>0</v>
      </c>
    </row>
    <row r="10" spans="1:78" x14ac:dyDescent="0.2">
      <c r="A10">
        <v>15</v>
      </c>
      <c r="B10" s="8">
        <v>0</v>
      </c>
      <c r="C10" s="8">
        <v>0</v>
      </c>
      <c r="D10" s="8">
        <v>0</v>
      </c>
      <c r="E10" s="8">
        <v>0</v>
      </c>
    </row>
    <row r="11" spans="1:78" x14ac:dyDescent="0.2">
      <c r="A11">
        <v>16</v>
      </c>
      <c r="B11" s="8">
        <v>12071</v>
      </c>
      <c r="C11" s="8">
        <v>0</v>
      </c>
      <c r="D11" s="8">
        <v>0</v>
      </c>
      <c r="E11" s="8">
        <v>0</v>
      </c>
    </row>
    <row r="12" spans="1:78" x14ac:dyDescent="0.2">
      <c r="A12">
        <v>22</v>
      </c>
      <c r="B12" s="8">
        <v>34358.69</v>
      </c>
      <c r="C12" s="8">
        <v>0</v>
      </c>
      <c r="D12" s="8">
        <v>0</v>
      </c>
      <c r="E12" s="8">
        <v>0</v>
      </c>
    </row>
    <row r="13" spans="1:78" x14ac:dyDescent="0.2">
      <c r="A13">
        <v>23</v>
      </c>
      <c r="B13" s="8">
        <v>17672.3</v>
      </c>
      <c r="C13" s="8">
        <v>0</v>
      </c>
      <c r="D13" s="8">
        <v>0</v>
      </c>
      <c r="E13" s="8">
        <v>0</v>
      </c>
    </row>
    <row r="14" spans="1:78" x14ac:dyDescent="0.2">
      <c r="A14">
        <v>25</v>
      </c>
      <c r="B14" s="8">
        <v>0</v>
      </c>
      <c r="C14" s="8">
        <v>0</v>
      </c>
      <c r="D14" s="8">
        <v>0</v>
      </c>
      <c r="E14" s="8">
        <v>0</v>
      </c>
    </row>
    <row r="15" spans="1:78" x14ac:dyDescent="0.2">
      <c r="A15">
        <v>31</v>
      </c>
      <c r="B15" s="8">
        <v>0</v>
      </c>
      <c r="C15" s="8">
        <v>0</v>
      </c>
      <c r="D15" s="8">
        <v>0</v>
      </c>
      <c r="E15" s="8">
        <v>0</v>
      </c>
    </row>
    <row r="16" spans="1:78" x14ac:dyDescent="0.2">
      <c r="A16">
        <v>32</v>
      </c>
      <c r="B16" s="8">
        <v>0</v>
      </c>
      <c r="C16" s="8">
        <v>0</v>
      </c>
      <c r="D16" s="8">
        <v>0</v>
      </c>
      <c r="E16" s="8">
        <v>0</v>
      </c>
    </row>
    <row r="17" spans="1:5" x14ac:dyDescent="0.2">
      <c r="A17">
        <v>36</v>
      </c>
      <c r="B17" s="8">
        <v>0</v>
      </c>
      <c r="C17" s="8">
        <v>0</v>
      </c>
      <c r="D17" s="8">
        <v>0</v>
      </c>
      <c r="E17" s="8">
        <v>0</v>
      </c>
    </row>
    <row r="18" spans="1:5" x14ac:dyDescent="0.2">
      <c r="A18">
        <v>38</v>
      </c>
      <c r="B18" s="8">
        <v>0</v>
      </c>
      <c r="C18" s="8">
        <v>0</v>
      </c>
      <c r="D18" s="8">
        <v>0</v>
      </c>
      <c r="E18" s="8">
        <v>4450.63</v>
      </c>
    </row>
    <row r="19" spans="1:5" x14ac:dyDescent="0.2">
      <c r="A19">
        <v>47</v>
      </c>
      <c r="B19" s="8">
        <v>42365.22</v>
      </c>
      <c r="C19" s="8">
        <v>0</v>
      </c>
      <c r="D19" s="8">
        <v>0</v>
      </c>
      <c r="E19" s="8">
        <v>0</v>
      </c>
    </row>
    <row r="20" spans="1:5" x14ac:dyDescent="0.2">
      <c r="A20">
        <v>51</v>
      </c>
      <c r="B20" s="8">
        <v>0</v>
      </c>
      <c r="C20" s="8">
        <v>0</v>
      </c>
      <c r="D20" s="8">
        <v>0</v>
      </c>
      <c r="E20" s="8">
        <v>0</v>
      </c>
    </row>
    <row r="21" spans="1:5" x14ac:dyDescent="0.2">
      <c r="A21">
        <v>75</v>
      </c>
      <c r="B21" s="8">
        <v>0</v>
      </c>
      <c r="C21" s="8">
        <v>0</v>
      </c>
      <c r="D21" s="8">
        <v>0</v>
      </c>
      <c r="E21" s="8">
        <v>0</v>
      </c>
    </row>
    <row r="22" spans="1:5" x14ac:dyDescent="0.2">
      <c r="A22">
        <v>77</v>
      </c>
      <c r="B22" s="8">
        <v>64289.5</v>
      </c>
      <c r="C22" s="8">
        <v>0</v>
      </c>
      <c r="D22" s="8">
        <v>0</v>
      </c>
      <c r="E22" s="8">
        <v>0</v>
      </c>
    </row>
    <row r="23" spans="1:5" x14ac:dyDescent="0.2">
      <c r="A23">
        <v>81</v>
      </c>
      <c r="B23" s="8">
        <v>258</v>
      </c>
      <c r="C23" s="8">
        <v>0</v>
      </c>
      <c r="D23" s="8">
        <v>0</v>
      </c>
      <c r="E23" s="8">
        <v>0</v>
      </c>
    </row>
    <row r="24" spans="1:5" x14ac:dyDescent="0.2">
      <c r="A24">
        <v>84</v>
      </c>
      <c r="B24" s="8">
        <v>14755</v>
      </c>
      <c r="C24" s="8">
        <v>0</v>
      </c>
      <c r="D24" s="8">
        <v>0</v>
      </c>
      <c r="E24" s="8">
        <v>16902.169999999998</v>
      </c>
    </row>
    <row r="25" spans="1:5" x14ac:dyDescent="0.2">
      <c r="A25">
        <v>85</v>
      </c>
      <c r="B25" s="8">
        <v>0</v>
      </c>
      <c r="C25" s="8">
        <v>0</v>
      </c>
      <c r="D25" s="8">
        <v>0</v>
      </c>
      <c r="E25" s="8">
        <v>0</v>
      </c>
    </row>
    <row r="26" spans="1:5" x14ac:dyDescent="0.2">
      <c r="A26">
        <v>88</v>
      </c>
      <c r="B26" s="8">
        <v>21592.28</v>
      </c>
      <c r="C26" s="8">
        <v>0</v>
      </c>
      <c r="D26" s="8">
        <v>0</v>
      </c>
      <c r="E26" s="8">
        <v>0</v>
      </c>
    </row>
    <row r="27" spans="1:5" x14ac:dyDescent="0.2">
      <c r="A27">
        <v>91</v>
      </c>
      <c r="B27" s="8">
        <v>15829.2</v>
      </c>
      <c r="C27" s="8">
        <v>0</v>
      </c>
      <c r="D27" s="8">
        <v>0</v>
      </c>
      <c r="E27" s="8">
        <v>0</v>
      </c>
    </row>
    <row r="28" spans="1:5" x14ac:dyDescent="0.2">
      <c r="A28">
        <v>93</v>
      </c>
      <c r="B28" s="8">
        <v>12710.75</v>
      </c>
      <c r="C28" s="8">
        <v>0</v>
      </c>
      <c r="D28" s="8">
        <v>0</v>
      </c>
      <c r="E28" s="8">
        <v>0</v>
      </c>
    </row>
    <row r="29" spans="1:5" x14ac:dyDescent="0.2">
      <c r="A29">
        <v>94</v>
      </c>
      <c r="B29" s="8">
        <v>12985.45</v>
      </c>
      <c r="C29" s="8">
        <v>0</v>
      </c>
      <c r="D29" s="8">
        <v>0</v>
      </c>
      <c r="E29" s="8">
        <v>0</v>
      </c>
    </row>
    <row r="30" spans="1:5" x14ac:dyDescent="0.2">
      <c r="A30">
        <v>95</v>
      </c>
      <c r="B30" s="8">
        <v>150</v>
      </c>
      <c r="C30" s="8">
        <v>0</v>
      </c>
      <c r="D30" s="8">
        <v>0</v>
      </c>
      <c r="E30" s="8">
        <v>18563.48</v>
      </c>
    </row>
    <row r="31" spans="1:5" x14ac:dyDescent="0.2">
      <c r="A31">
        <v>97</v>
      </c>
      <c r="B31" s="8">
        <v>18347.5</v>
      </c>
      <c r="C31" s="8">
        <v>0</v>
      </c>
      <c r="D31" s="8">
        <v>0</v>
      </c>
      <c r="E31" s="8">
        <v>0</v>
      </c>
    </row>
    <row r="32" spans="1:5" x14ac:dyDescent="0.2">
      <c r="A32">
        <v>99</v>
      </c>
      <c r="B32" s="8">
        <v>27988.280000000002</v>
      </c>
      <c r="C32" s="8">
        <v>0</v>
      </c>
      <c r="D32" s="8">
        <v>0</v>
      </c>
      <c r="E32" s="8">
        <v>0</v>
      </c>
    </row>
    <row r="33" spans="1:5" x14ac:dyDescent="0.2">
      <c r="A33">
        <v>100</v>
      </c>
      <c r="B33" s="8">
        <v>1578.95</v>
      </c>
      <c r="C33" s="8">
        <v>0</v>
      </c>
      <c r="D33" s="8">
        <v>0</v>
      </c>
      <c r="E33" s="8">
        <v>0</v>
      </c>
    </row>
    <row r="34" spans="1:5" x14ac:dyDescent="0.2">
      <c r="A34">
        <v>108</v>
      </c>
      <c r="B34" s="8">
        <v>0</v>
      </c>
      <c r="C34" s="8">
        <v>0</v>
      </c>
      <c r="D34" s="8">
        <v>0</v>
      </c>
      <c r="E34" s="8">
        <v>0</v>
      </c>
    </row>
    <row r="35" spans="1:5" x14ac:dyDescent="0.2">
      <c r="A35">
        <v>110</v>
      </c>
      <c r="B35" s="8">
        <v>16245.36</v>
      </c>
      <c r="C35" s="8">
        <v>0</v>
      </c>
      <c r="D35" s="8">
        <v>0</v>
      </c>
      <c r="E35" s="8">
        <v>0</v>
      </c>
    </row>
    <row r="36" spans="1:5" x14ac:dyDescent="0.2">
      <c r="A36">
        <v>111</v>
      </c>
      <c r="B36" s="8">
        <v>0</v>
      </c>
      <c r="C36" s="8">
        <v>0</v>
      </c>
      <c r="D36" s="8">
        <v>0</v>
      </c>
      <c r="E36" s="8">
        <v>0</v>
      </c>
    </row>
    <row r="37" spans="1:5" x14ac:dyDescent="0.2">
      <c r="A37">
        <v>112</v>
      </c>
      <c r="B37" s="8">
        <v>43929.55</v>
      </c>
      <c r="C37" s="8">
        <v>0</v>
      </c>
      <c r="D37" s="8">
        <v>0</v>
      </c>
      <c r="E37" s="8">
        <v>0</v>
      </c>
    </row>
    <row r="38" spans="1:5" x14ac:dyDescent="0.2">
      <c r="A38">
        <v>113</v>
      </c>
      <c r="B38" s="8">
        <v>6223</v>
      </c>
      <c r="C38" s="8">
        <v>0</v>
      </c>
      <c r="D38" s="8">
        <v>0</v>
      </c>
      <c r="E38" s="8">
        <v>0</v>
      </c>
    </row>
    <row r="39" spans="1:5" x14ac:dyDescent="0.2">
      <c r="A39">
        <v>115</v>
      </c>
      <c r="B39" s="8">
        <v>0</v>
      </c>
      <c r="C39" s="8">
        <v>0</v>
      </c>
      <c r="D39" s="8">
        <v>0</v>
      </c>
      <c r="E39" s="8">
        <v>0</v>
      </c>
    </row>
    <row r="40" spans="1:5" x14ac:dyDescent="0.2">
      <c r="A40">
        <v>116</v>
      </c>
      <c r="B40" s="8">
        <v>25948.6</v>
      </c>
      <c r="C40" s="8">
        <v>0</v>
      </c>
      <c r="D40" s="8">
        <v>0</v>
      </c>
      <c r="E40" s="8">
        <v>0</v>
      </c>
    </row>
    <row r="41" spans="1:5" x14ac:dyDescent="0.2">
      <c r="A41">
        <v>118</v>
      </c>
      <c r="B41" s="8">
        <v>0</v>
      </c>
      <c r="C41" s="8">
        <v>0</v>
      </c>
      <c r="D41" s="8">
        <v>0</v>
      </c>
      <c r="E41" s="8">
        <v>0</v>
      </c>
    </row>
    <row r="42" spans="1:5" x14ac:dyDescent="0.2">
      <c r="A42">
        <v>129</v>
      </c>
      <c r="B42" s="8">
        <v>0</v>
      </c>
      <c r="C42" s="8">
        <v>0</v>
      </c>
      <c r="D42" s="8">
        <v>0</v>
      </c>
      <c r="E42" s="8">
        <v>0</v>
      </c>
    </row>
    <row r="43" spans="1:5" x14ac:dyDescent="0.2">
      <c r="A43">
        <v>138</v>
      </c>
      <c r="B43" s="8">
        <v>7635.8200000000006</v>
      </c>
      <c r="C43" s="8">
        <v>0</v>
      </c>
      <c r="D43" s="8">
        <v>0</v>
      </c>
      <c r="E43" s="8">
        <v>0</v>
      </c>
    </row>
    <row r="44" spans="1:5" x14ac:dyDescent="0.2">
      <c r="A44">
        <v>139</v>
      </c>
      <c r="B44" s="8">
        <v>72812.22</v>
      </c>
      <c r="C44" s="8">
        <v>0</v>
      </c>
      <c r="D44" s="8">
        <v>0</v>
      </c>
      <c r="E44" s="8">
        <v>8707.09</v>
      </c>
    </row>
    <row r="45" spans="1:5" x14ac:dyDescent="0.2">
      <c r="A45">
        <v>146</v>
      </c>
      <c r="B45" s="8">
        <v>47858.2</v>
      </c>
      <c r="C45" s="8">
        <v>0</v>
      </c>
      <c r="D45" s="8">
        <v>0</v>
      </c>
      <c r="E45" s="8">
        <v>0</v>
      </c>
    </row>
    <row r="46" spans="1:5" x14ac:dyDescent="0.2">
      <c r="A46">
        <v>150</v>
      </c>
      <c r="B46" s="8">
        <v>0</v>
      </c>
      <c r="C46" s="8">
        <v>0</v>
      </c>
      <c r="D46" s="8">
        <v>0</v>
      </c>
      <c r="E46" s="8">
        <v>0</v>
      </c>
    </row>
    <row r="47" spans="1:5" x14ac:dyDescent="0.2">
      <c r="A47">
        <v>152</v>
      </c>
      <c r="B47" s="8">
        <v>15692</v>
      </c>
      <c r="C47" s="8">
        <v>0</v>
      </c>
      <c r="D47" s="8">
        <v>0</v>
      </c>
      <c r="E47" s="8">
        <v>0</v>
      </c>
    </row>
    <row r="48" spans="1:5" x14ac:dyDescent="0.2">
      <c r="A48">
        <v>162</v>
      </c>
      <c r="B48" s="8">
        <v>20735.72</v>
      </c>
      <c r="C48" s="8">
        <v>0</v>
      </c>
      <c r="D48" s="8">
        <v>0</v>
      </c>
      <c r="E48" s="8">
        <v>0</v>
      </c>
    </row>
    <row r="49" spans="1:5" x14ac:dyDescent="0.2">
      <c r="A49">
        <v>166</v>
      </c>
      <c r="B49" s="8">
        <v>934</v>
      </c>
      <c r="C49" s="8">
        <v>0</v>
      </c>
      <c r="D49" s="8">
        <v>0</v>
      </c>
      <c r="E49" s="8">
        <v>0</v>
      </c>
    </row>
    <row r="50" spans="1:5" x14ac:dyDescent="0.2">
      <c r="A50">
        <v>173</v>
      </c>
      <c r="B50" s="8">
        <v>0</v>
      </c>
      <c r="C50" s="8">
        <v>0</v>
      </c>
      <c r="D50" s="8">
        <v>0</v>
      </c>
      <c r="E50" s="8">
        <v>0</v>
      </c>
    </row>
    <row r="51" spans="1:5" x14ac:dyDescent="0.2">
      <c r="A51">
        <v>177</v>
      </c>
      <c r="B51" s="8">
        <v>4392</v>
      </c>
      <c r="C51" s="8">
        <v>0</v>
      </c>
      <c r="D51" s="8">
        <v>0</v>
      </c>
      <c r="E51" s="8">
        <v>0</v>
      </c>
    </row>
    <row r="52" spans="1:5" x14ac:dyDescent="0.2">
      <c r="A52">
        <v>181</v>
      </c>
      <c r="B52" s="8">
        <v>132290.21</v>
      </c>
      <c r="C52" s="8">
        <v>0</v>
      </c>
      <c r="D52" s="8">
        <v>0</v>
      </c>
      <c r="E52" s="8">
        <v>0</v>
      </c>
    </row>
    <row r="53" spans="1:5" x14ac:dyDescent="0.2">
      <c r="A53">
        <v>182</v>
      </c>
      <c r="B53" s="8">
        <v>375</v>
      </c>
      <c r="C53" s="8">
        <v>0</v>
      </c>
      <c r="D53" s="8">
        <v>0</v>
      </c>
      <c r="E53" s="8">
        <v>0</v>
      </c>
    </row>
    <row r="54" spans="1:5" x14ac:dyDescent="0.2">
      <c r="A54">
        <v>186</v>
      </c>
      <c r="B54" s="8">
        <v>33555.93</v>
      </c>
      <c r="C54" s="8">
        <v>0</v>
      </c>
      <c r="D54" s="8">
        <v>0</v>
      </c>
      <c r="E54" s="8">
        <v>0</v>
      </c>
    </row>
    <row r="55" spans="1:5" x14ac:dyDescent="0.2">
      <c r="A55">
        <v>191</v>
      </c>
      <c r="B55" s="8">
        <v>0</v>
      </c>
      <c r="C55" s="8">
        <v>0</v>
      </c>
      <c r="D55" s="8">
        <v>0</v>
      </c>
      <c r="E55" s="8">
        <v>0</v>
      </c>
    </row>
    <row r="56" spans="1:5" x14ac:dyDescent="0.2">
      <c r="A56">
        <v>192</v>
      </c>
      <c r="B56" s="8">
        <v>720</v>
      </c>
      <c r="C56" s="8">
        <v>0</v>
      </c>
      <c r="D56" s="8">
        <v>0</v>
      </c>
      <c r="E56" s="8">
        <v>0</v>
      </c>
    </row>
    <row r="57" spans="1:5" x14ac:dyDescent="0.2">
      <c r="A57">
        <v>194</v>
      </c>
      <c r="B57" s="8">
        <v>0</v>
      </c>
      <c r="C57" s="8">
        <v>0</v>
      </c>
      <c r="D57" s="8">
        <v>0</v>
      </c>
      <c r="E57" s="8">
        <v>0</v>
      </c>
    </row>
    <row r="58" spans="1:5" x14ac:dyDescent="0.2">
      <c r="A58">
        <v>195</v>
      </c>
      <c r="B58" s="8">
        <v>0</v>
      </c>
      <c r="C58" s="8">
        <v>0</v>
      </c>
      <c r="D58" s="8">
        <v>0</v>
      </c>
      <c r="E58" s="8">
        <v>0</v>
      </c>
    </row>
    <row r="59" spans="1:5" x14ac:dyDescent="0.2">
      <c r="A59">
        <v>196</v>
      </c>
      <c r="B59" s="8">
        <v>169972.04</v>
      </c>
      <c r="C59" s="8">
        <v>0</v>
      </c>
      <c r="D59" s="8">
        <v>0</v>
      </c>
      <c r="E59" s="8">
        <v>0</v>
      </c>
    </row>
    <row r="60" spans="1:5" x14ac:dyDescent="0.2">
      <c r="A60">
        <v>197</v>
      </c>
      <c r="B60" s="8">
        <v>13349</v>
      </c>
      <c r="C60" s="8">
        <v>0</v>
      </c>
      <c r="D60" s="8">
        <v>0</v>
      </c>
      <c r="E60" s="8">
        <v>0</v>
      </c>
    </row>
    <row r="61" spans="1:5" x14ac:dyDescent="0.2">
      <c r="A61">
        <v>199</v>
      </c>
      <c r="B61" s="8">
        <v>0</v>
      </c>
      <c r="C61" s="8">
        <v>0</v>
      </c>
      <c r="D61" s="8">
        <v>0</v>
      </c>
      <c r="E61" s="8">
        <v>0</v>
      </c>
    </row>
    <row r="62" spans="1:5" x14ac:dyDescent="0.2">
      <c r="A62">
        <v>200</v>
      </c>
      <c r="B62" s="8">
        <v>29642.5</v>
      </c>
      <c r="C62" s="8">
        <v>0</v>
      </c>
      <c r="D62" s="8">
        <v>0</v>
      </c>
      <c r="E62" s="8">
        <v>0</v>
      </c>
    </row>
    <row r="63" spans="1:5" x14ac:dyDescent="0.2">
      <c r="A63">
        <v>203</v>
      </c>
      <c r="B63" s="8">
        <v>0</v>
      </c>
      <c r="C63" s="8">
        <v>0</v>
      </c>
      <c r="D63" s="8">
        <v>0</v>
      </c>
      <c r="E63" s="8">
        <v>0</v>
      </c>
    </row>
    <row r="64" spans="1:5" x14ac:dyDescent="0.2">
      <c r="A64">
        <v>204</v>
      </c>
      <c r="B64" s="8">
        <v>85757.43</v>
      </c>
      <c r="C64" s="8">
        <v>0</v>
      </c>
      <c r="D64" s="8">
        <v>0</v>
      </c>
      <c r="E64" s="8">
        <v>0</v>
      </c>
    </row>
    <row r="65" spans="1:5" x14ac:dyDescent="0.2">
      <c r="A65">
        <v>206</v>
      </c>
      <c r="B65" s="8">
        <v>82107.520000000004</v>
      </c>
      <c r="C65" s="8">
        <v>0</v>
      </c>
      <c r="D65" s="8">
        <v>0</v>
      </c>
      <c r="E65" s="8">
        <v>0</v>
      </c>
    </row>
    <row r="66" spans="1:5" x14ac:dyDescent="0.2">
      <c r="A66">
        <v>207</v>
      </c>
      <c r="B66" s="8">
        <v>7445</v>
      </c>
      <c r="C66" s="8">
        <v>0</v>
      </c>
      <c r="D66" s="8">
        <v>0</v>
      </c>
      <c r="E66" s="8">
        <v>0</v>
      </c>
    </row>
    <row r="67" spans="1:5" x14ac:dyDescent="0.2">
      <c r="A67">
        <v>208</v>
      </c>
      <c r="B67" s="8">
        <v>5827.1</v>
      </c>
      <c r="C67" s="8">
        <v>0</v>
      </c>
      <c r="D67" s="8">
        <v>0</v>
      </c>
      <c r="E67" s="8">
        <v>0</v>
      </c>
    </row>
    <row r="68" spans="1:5" x14ac:dyDescent="0.2">
      <c r="A68">
        <v>213</v>
      </c>
      <c r="B68" s="8">
        <v>19925.900000000001</v>
      </c>
      <c r="C68" s="8">
        <v>0</v>
      </c>
      <c r="D68" s="8">
        <v>0</v>
      </c>
      <c r="E68" s="8">
        <v>0</v>
      </c>
    </row>
    <row r="69" spans="1:5" x14ac:dyDescent="0.2">
      <c r="A69">
        <v>227</v>
      </c>
      <c r="B69" s="8">
        <v>61990.400000000001</v>
      </c>
      <c r="C69" s="8">
        <v>0</v>
      </c>
      <c r="D69" s="8">
        <v>0</v>
      </c>
      <c r="E69" s="8">
        <v>0</v>
      </c>
    </row>
    <row r="70" spans="1:5" x14ac:dyDescent="0.2">
      <c r="A70">
        <v>229</v>
      </c>
      <c r="B70" s="8">
        <v>0</v>
      </c>
      <c r="C70" s="8">
        <v>0</v>
      </c>
      <c r="D70" s="8">
        <v>0</v>
      </c>
      <c r="E70" s="8">
        <v>0</v>
      </c>
    </row>
    <row r="71" spans="1:5" x14ac:dyDescent="0.2">
      <c r="A71">
        <v>238</v>
      </c>
      <c r="B71" s="8">
        <v>21410</v>
      </c>
      <c r="C71" s="8">
        <v>0</v>
      </c>
      <c r="D71" s="8">
        <v>0</v>
      </c>
      <c r="E71" s="8">
        <v>0</v>
      </c>
    </row>
    <row r="72" spans="1:5" x14ac:dyDescent="0.2">
      <c r="A72">
        <v>239</v>
      </c>
      <c r="B72" s="8">
        <v>0</v>
      </c>
      <c r="C72" s="8">
        <v>0</v>
      </c>
      <c r="D72" s="8">
        <v>0</v>
      </c>
      <c r="E72" s="8">
        <v>0</v>
      </c>
    </row>
    <row r="73" spans="1:5" x14ac:dyDescent="0.2">
      <c r="A73">
        <v>241</v>
      </c>
      <c r="B73" s="8">
        <v>32852</v>
      </c>
      <c r="C73" s="8">
        <v>0</v>
      </c>
      <c r="D73" s="8">
        <v>0</v>
      </c>
      <c r="E73" s="8">
        <v>0</v>
      </c>
    </row>
    <row r="74" spans="1:5" x14ac:dyDescent="0.2">
      <c r="A74">
        <v>242</v>
      </c>
      <c r="B74" s="8">
        <v>0</v>
      </c>
      <c r="C74" s="8">
        <v>0</v>
      </c>
      <c r="D74" s="8">
        <v>0</v>
      </c>
      <c r="E74" s="8">
        <v>0</v>
      </c>
    </row>
    <row r="75" spans="1:5" x14ac:dyDescent="0.2">
      <c r="A75">
        <v>252</v>
      </c>
      <c r="B75" s="8">
        <v>0</v>
      </c>
      <c r="C75" s="8">
        <v>0</v>
      </c>
      <c r="D75" s="8">
        <v>0</v>
      </c>
      <c r="E75" s="8">
        <v>0</v>
      </c>
    </row>
    <row r="76" spans="1:5" x14ac:dyDescent="0.2">
      <c r="A76">
        <v>253</v>
      </c>
      <c r="B76" s="8">
        <v>18210</v>
      </c>
      <c r="C76" s="8">
        <v>0</v>
      </c>
      <c r="D76" s="8">
        <v>0</v>
      </c>
      <c r="E76" s="8">
        <v>0</v>
      </c>
    </row>
    <row r="77" spans="1:5" x14ac:dyDescent="0.2">
      <c r="A77">
        <v>255</v>
      </c>
      <c r="B77" s="8">
        <v>34096.25</v>
      </c>
      <c r="C77" s="8">
        <v>0</v>
      </c>
      <c r="D77" s="8">
        <v>0</v>
      </c>
      <c r="E77" s="8">
        <v>0</v>
      </c>
    </row>
    <row r="78" spans="1:5" x14ac:dyDescent="0.2">
      <c r="A78">
        <v>256</v>
      </c>
      <c r="B78" s="8">
        <v>18003</v>
      </c>
      <c r="C78" s="8">
        <v>0</v>
      </c>
      <c r="D78" s="8">
        <v>0</v>
      </c>
      <c r="E78" s="8">
        <v>0</v>
      </c>
    </row>
    <row r="79" spans="1:5" x14ac:dyDescent="0.2">
      <c r="A79">
        <v>261</v>
      </c>
      <c r="B79" s="8">
        <v>0</v>
      </c>
      <c r="C79" s="8">
        <v>0</v>
      </c>
      <c r="D79" s="8">
        <v>0</v>
      </c>
      <c r="E79" s="8">
        <v>0</v>
      </c>
    </row>
    <row r="80" spans="1:5" x14ac:dyDescent="0.2">
      <c r="A80">
        <v>264</v>
      </c>
      <c r="B80" s="8">
        <v>4464</v>
      </c>
      <c r="C80" s="8">
        <v>0</v>
      </c>
      <c r="D80" s="8">
        <v>0</v>
      </c>
      <c r="E80" s="8">
        <v>0</v>
      </c>
    </row>
    <row r="81" spans="1:5" x14ac:dyDescent="0.2">
      <c r="A81">
        <v>270</v>
      </c>
      <c r="B81" s="8">
        <v>0</v>
      </c>
      <c r="C81" s="8">
        <v>0</v>
      </c>
      <c r="D81" s="8">
        <v>0</v>
      </c>
      <c r="E81" s="8">
        <v>0</v>
      </c>
    </row>
    <row r="82" spans="1:5" x14ac:dyDescent="0.2">
      <c r="A82">
        <v>271</v>
      </c>
      <c r="B82" s="8">
        <v>592062.82999999996</v>
      </c>
      <c r="C82" s="8">
        <v>0</v>
      </c>
      <c r="D82" s="8">
        <v>0</v>
      </c>
      <c r="E82" s="8">
        <v>0</v>
      </c>
    </row>
    <row r="83" spans="1:5" x14ac:dyDescent="0.2">
      <c r="A83">
        <v>272</v>
      </c>
      <c r="B83" s="8">
        <v>45222.479999999996</v>
      </c>
      <c r="C83" s="8">
        <v>0</v>
      </c>
      <c r="D83" s="8">
        <v>0</v>
      </c>
      <c r="E83" s="8">
        <v>162840.85999999999</v>
      </c>
    </row>
    <row r="84" spans="1:5" x14ac:dyDescent="0.2">
      <c r="A84">
        <v>273</v>
      </c>
      <c r="B84" s="8">
        <v>9517.61</v>
      </c>
      <c r="C84" s="8">
        <v>0</v>
      </c>
      <c r="D84" s="8">
        <v>0</v>
      </c>
      <c r="E84" s="8">
        <v>0</v>
      </c>
    </row>
    <row r="85" spans="1:5" x14ac:dyDescent="0.2">
      <c r="A85">
        <v>276</v>
      </c>
      <c r="B85" s="8">
        <v>0</v>
      </c>
      <c r="C85" s="8">
        <v>0</v>
      </c>
      <c r="D85" s="8">
        <v>0</v>
      </c>
      <c r="E85" s="8">
        <v>0</v>
      </c>
    </row>
    <row r="86" spans="1:5" x14ac:dyDescent="0.2">
      <c r="A86">
        <v>277</v>
      </c>
      <c r="B86" s="8">
        <v>304558.08000000002</v>
      </c>
      <c r="C86" s="8">
        <v>0</v>
      </c>
      <c r="D86" s="8">
        <v>0</v>
      </c>
      <c r="E86" s="8">
        <v>0</v>
      </c>
    </row>
    <row r="87" spans="1:5" x14ac:dyDescent="0.2">
      <c r="A87">
        <v>278</v>
      </c>
      <c r="B87" s="8">
        <v>104267.03</v>
      </c>
      <c r="C87" s="8">
        <v>0</v>
      </c>
      <c r="D87" s="8">
        <v>0</v>
      </c>
      <c r="E87" s="8">
        <v>0</v>
      </c>
    </row>
    <row r="88" spans="1:5" x14ac:dyDescent="0.2">
      <c r="A88">
        <v>279</v>
      </c>
      <c r="B88" s="8">
        <v>85020.55</v>
      </c>
      <c r="C88" s="8">
        <v>0</v>
      </c>
      <c r="D88" s="8">
        <v>0</v>
      </c>
      <c r="E88" s="8">
        <v>0</v>
      </c>
    </row>
    <row r="89" spans="1:5" x14ac:dyDescent="0.2">
      <c r="A89">
        <v>280</v>
      </c>
      <c r="B89" s="8">
        <v>0</v>
      </c>
      <c r="C89" s="8">
        <v>0</v>
      </c>
      <c r="D89" s="8">
        <v>0</v>
      </c>
      <c r="E89" s="8">
        <v>0</v>
      </c>
    </row>
    <row r="90" spans="1:5" x14ac:dyDescent="0.2">
      <c r="A90">
        <v>281</v>
      </c>
      <c r="B90" s="8">
        <v>0</v>
      </c>
      <c r="C90" s="8">
        <v>0</v>
      </c>
      <c r="D90" s="8">
        <v>0</v>
      </c>
      <c r="E90" s="8">
        <v>0</v>
      </c>
    </row>
    <row r="91" spans="1:5" x14ac:dyDescent="0.2">
      <c r="A91">
        <v>282</v>
      </c>
      <c r="B91" s="8">
        <v>2800</v>
      </c>
      <c r="C91" s="8">
        <v>0</v>
      </c>
      <c r="D91" s="8">
        <v>0</v>
      </c>
      <c r="E91" s="8">
        <v>0</v>
      </c>
    </row>
    <row r="92" spans="1:5" x14ac:dyDescent="0.2">
      <c r="A92">
        <v>283</v>
      </c>
      <c r="B92" s="8">
        <v>160</v>
      </c>
      <c r="C92" s="8">
        <v>0</v>
      </c>
      <c r="D92" s="8">
        <v>0</v>
      </c>
      <c r="E92" s="8">
        <v>0</v>
      </c>
    </row>
    <row r="93" spans="1:5" x14ac:dyDescent="0.2">
      <c r="A93">
        <v>284</v>
      </c>
      <c r="B93" s="8">
        <v>3000</v>
      </c>
      <c r="C93" s="8">
        <v>0</v>
      </c>
      <c r="D93" s="8">
        <v>0</v>
      </c>
      <c r="E93" s="8">
        <v>0</v>
      </c>
    </row>
    <row r="94" spans="1:5" x14ac:dyDescent="0.2">
      <c r="A94">
        <v>286</v>
      </c>
      <c r="B94" s="8">
        <v>23095.7</v>
      </c>
      <c r="C94" s="8">
        <v>0</v>
      </c>
      <c r="D94" s="8">
        <v>0</v>
      </c>
      <c r="E94" s="8">
        <v>0</v>
      </c>
    </row>
    <row r="95" spans="1:5" x14ac:dyDescent="0.2">
      <c r="A95">
        <v>294</v>
      </c>
      <c r="B95" s="8">
        <v>366</v>
      </c>
      <c r="C95" s="8">
        <v>0</v>
      </c>
      <c r="D95" s="8">
        <v>0</v>
      </c>
      <c r="E95" s="8">
        <v>0</v>
      </c>
    </row>
    <row r="96" spans="1:5" x14ac:dyDescent="0.2">
      <c r="A96">
        <v>297</v>
      </c>
      <c r="B96" s="8">
        <v>1144</v>
      </c>
      <c r="C96" s="8">
        <v>1008</v>
      </c>
      <c r="D96" s="8">
        <v>0</v>
      </c>
      <c r="E96" s="8">
        <v>0</v>
      </c>
    </row>
    <row r="97" spans="1:5" x14ac:dyDescent="0.2">
      <c r="A97">
        <v>299</v>
      </c>
      <c r="B97" s="8">
        <v>40727.46</v>
      </c>
      <c r="C97" s="8">
        <v>0</v>
      </c>
      <c r="D97" s="8">
        <v>0</v>
      </c>
      <c r="E97" s="8">
        <v>0</v>
      </c>
    </row>
    <row r="98" spans="1:5" x14ac:dyDescent="0.2">
      <c r="A98">
        <v>300</v>
      </c>
      <c r="B98" s="8">
        <v>13865.5</v>
      </c>
      <c r="C98" s="8">
        <v>0</v>
      </c>
      <c r="D98" s="8">
        <v>0</v>
      </c>
      <c r="E98" s="8">
        <v>0</v>
      </c>
    </row>
    <row r="99" spans="1:5" x14ac:dyDescent="0.2">
      <c r="A99">
        <v>306</v>
      </c>
      <c r="B99" s="8">
        <v>0</v>
      </c>
      <c r="C99" s="8">
        <v>0</v>
      </c>
      <c r="D99" s="8">
        <v>0</v>
      </c>
      <c r="E99" s="8">
        <v>0</v>
      </c>
    </row>
    <row r="100" spans="1:5" x14ac:dyDescent="0.2">
      <c r="A100">
        <v>308</v>
      </c>
      <c r="B100" s="8">
        <v>2445</v>
      </c>
      <c r="C100" s="8">
        <v>0</v>
      </c>
      <c r="D100" s="8">
        <v>0</v>
      </c>
      <c r="E100" s="8">
        <v>0</v>
      </c>
    </row>
    <row r="101" spans="1:5" x14ac:dyDescent="0.2">
      <c r="A101">
        <v>309</v>
      </c>
      <c r="B101" s="8">
        <v>30270.5</v>
      </c>
      <c r="C101" s="8">
        <v>0</v>
      </c>
      <c r="D101" s="8">
        <v>0</v>
      </c>
      <c r="E101" s="8">
        <v>0</v>
      </c>
    </row>
    <row r="102" spans="1:5" x14ac:dyDescent="0.2">
      <c r="A102">
        <v>314</v>
      </c>
      <c r="B102" s="8">
        <v>15472.5</v>
      </c>
      <c r="C102" s="8">
        <v>0</v>
      </c>
      <c r="D102" s="8">
        <v>0</v>
      </c>
      <c r="E102" s="8">
        <v>0</v>
      </c>
    </row>
    <row r="103" spans="1:5" x14ac:dyDescent="0.2">
      <c r="A103">
        <v>316</v>
      </c>
      <c r="B103" s="8">
        <v>34157.769999999997</v>
      </c>
      <c r="C103" s="8">
        <v>0</v>
      </c>
      <c r="D103" s="8">
        <v>0</v>
      </c>
      <c r="E103" s="8">
        <v>0</v>
      </c>
    </row>
    <row r="104" spans="1:5" x14ac:dyDescent="0.2">
      <c r="A104">
        <v>317</v>
      </c>
      <c r="B104" s="8">
        <v>114736.17</v>
      </c>
      <c r="C104" s="8">
        <v>0</v>
      </c>
      <c r="D104" s="8">
        <v>0</v>
      </c>
      <c r="E104" s="8">
        <v>0</v>
      </c>
    </row>
    <row r="105" spans="1:5" x14ac:dyDescent="0.2">
      <c r="A105">
        <v>318</v>
      </c>
      <c r="B105" s="8">
        <v>4354.28</v>
      </c>
      <c r="C105" s="8">
        <v>0</v>
      </c>
      <c r="D105" s="8">
        <v>0</v>
      </c>
      <c r="E105" s="8">
        <v>0</v>
      </c>
    </row>
    <row r="106" spans="1:5" x14ac:dyDescent="0.2">
      <c r="A106">
        <v>319</v>
      </c>
      <c r="B106" s="8">
        <v>0</v>
      </c>
      <c r="C106" s="8">
        <v>0</v>
      </c>
      <c r="D106" s="8">
        <v>0</v>
      </c>
      <c r="E106" s="8">
        <v>0</v>
      </c>
    </row>
    <row r="107" spans="1:5" x14ac:dyDescent="0.2">
      <c r="A107">
        <v>330</v>
      </c>
      <c r="B107" s="8">
        <v>0</v>
      </c>
      <c r="C107" s="8">
        <v>0</v>
      </c>
      <c r="D107" s="8">
        <v>0</v>
      </c>
      <c r="E107" s="8">
        <v>0</v>
      </c>
    </row>
    <row r="108" spans="1:5" x14ac:dyDescent="0.2">
      <c r="A108">
        <v>332</v>
      </c>
      <c r="B108" s="8">
        <v>9689.5</v>
      </c>
      <c r="C108" s="8">
        <v>0</v>
      </c>
      <c r="D108" s="8">
        <v>0</v>
      </c>
      <c r="E108" s="8">
        <v>0</v>
      </c>
    </row>
    <row r="109" spans="1:5" x14ac:dyDescent="0.2">
      <c r="A109">
        <v>333</v>
      </c>
      <c r="B109" s="8">
        <v>20920.5</v>
      </c>
      <c r="C109" s="8">
        <v>0</v>
      </c>
      <c r="D109" s="8">
        <v>0</v>
      </c>
      <c r="E109" s="8">
        <v>0</v>
      </c>
    </row>
    <row r="110" spans="1:5" x14ac:dyDescent="0.2">
      <c r="A110">
        <v>345</v>
      </c>
      <c r="B110" s="8">
        <v>30450.960000000003</v>
      </c>
      <c r="C110" s="8">
        <v>0</v>
      </c>
      <c r="D110" s="8">
        <v>0</v>
      </c>
      <c r="E110" s="8">
        <v>0</v>
      </c>
    </row>
    <row r="111" spans="1:5" x14ac:dyDescent="0.2">
      <c r="A111">
        <v>347</v>
      </c>
      <c r="B111" s="8">
        <v>67858.240000000005</v>
      </c>
      <c r="C111" s="8">
        <v>0</v>
      </c>
      <c r="D111" s="8">
        <v>0</v>
      </c>
      <c r="E111" s="8">
        <v>0</v>
      </c>
    </row>
    <row r="112" spans="1:5" x14ac:dyDescent="0.2">
      <c r="A112">
        <v>356</v>
      </c>
      <c r="B112" s="8">
        <v>0</v>
      </c>
      <c r="C112" s="8">
        <v>0</v>
      </c>
      <c r="D112" s="8">
        <v>0</v>
      </c>
      <c r="E112" s="8">
        <v>0</v>
      </c>
    </row>
    <row r="113" spans="1:5" x14ac:dyDescent="0.2">
      <c r="A113">
        <v>361</v>
      </c>
      <c r="B113" s="8">
        <v>51107.5</v>
      </c>
      <c r="C113" s="8">
        <v>0</v>
      </c>
      <c r="D113" s="8">
        <v>0</v>
      </c>
      <c r="E113" s="8">
        <v>0</v>
      </c>
    </row>
    <row r="114" spans="1:5" x14ac:dyDescent="0.2">
      <c r="A114">
        <v>362</v>
      </c>
      <c r="B114" s="8">
        <v>0</v>
      </c>
      <c r="C114" s="8">
        <v>0</v>
      </c>
      <c r="D114" s="8">
        <v>0</v>
      </c>
      <c r="E114" s="8">
        <v>56782.16</v>
      </c>
    </row>
    <row r="115" spans="1:5" x14ac:dyDescent="0.2">
      <c r="A115">
        <v>363</v>
      </c>
      <c r="B115" s="8">
        <v>0</v>
      </c>
      <c r="C115" s="8">
        <v>0</v>
      </c>
      <c r="D115" s="8">
        <v>0</v>
      </c>
      <c r="E115" s="8">
        <v>61905.15</v>
      </c>
    </row>
    <row r="116" spans="1:5" x14ac:dyDescent="0.2">
      <c r="A116">
        <v>378</v>
      </c>
      <c r="B116" s="8">
        <v>19917</v>
      </c>
      <c r="C116" s="8">
        <v>0</v>
      </c>
      <c r="D116" s="8">
        <v>0</v>
      </c>
      <c r="E116" s="8">
        <v>2277.85</v>
      </c>
    </row>
    <row r="117" spans="1:5" x14ac:dyDescent="0.2">
      <c r="A117">
        <v>381</v>
      </c>
      <c r="B117" s="8">
        <v>7699</v>
      </c>
      <c r="C117" s="8">
        <v>0</v>
      </c>
      <c r="D117" s="8">
        <v>0</v>
      </c>
      <c r="E117" s="8">
        <v>0</v>
      </c>
    </row>
    <row r="118" spans="1:5" x14ac:dyDescent="0.2">
      <c r="A118">
        <v>390</v>
      </c>
      <c r="B118" s="8">
        <v>6345</v>
      </c>
      <c r="C118" s="8">
        <v>0</v>
      </c>
      <c r="D118" s="8">
        <v>0</v>
      </c>
      <c r="E118" s="8">
        <v>0</v>
      </c>
    </row>
    <row r="119" spans="1:5" x14ac:dyDescent="0.2">
      <c r="A119">
        <v>391</v>
      </c>
      <c r="B119" s="8">
        <v>37217.5</v>
      </c>
      <c r="C119" s="8">
        <v>0</v>
      </c>
      <c r="D119" s="8">
        <v>0</v>
      </c>
      <c r="E119" s="8">
        <v>0</v>
      </c>
    </row>
    <row r="120" spans="1:5" x14ac:dyDescent="0.2">
      <c r="A120">
        <v>392</v>
      </c>
      <c r="B120" s="8">
        <v>35853.449999999997</v>
      </c>
      <c r="C120" s="8">
        <v>0</v>
      </c>
      <c r="D120" s="8">
        <v>0</v>
      </c>
      <c r="E120" s="8">
        <v>0</v>
      </c>
    </row>
    <row r="121" spans="1:5" x14ac:dyDescent="0.2">
      <c r="A121">
        <v>394</v>
      </c>
      <c r="B121" s="8">
        <v>36453.19</v>
      </c>
      <c r="C121" s="8">
        <v>0</v>
      </c>
      <c r="D121" s="8">
        <v>0</v>
      </c>
      <c r="E121" s="8">
        <v>0</v>
      </c>
    </row>
    <row r="122" spans="1:5" x14ac:dyDescent="0.2">
      <c r="A122">
        <v>402</v>
      </c>
      <c r="B122" s="8">
        <v>9246.58</v>
      </c>
      <c r="C122" s="8">
        <v>0</v>
      </c>
      <c r="D122" s="8">
        <v>0</v>
      </c>
      <c r="E122" s="8">
        <v>0</v>
      </c>
    </row>
    <row r="123" spans="1:5" x14ac:dyDescent="0.2">
      <c r="A123">
        <v>403</v>
      </c>
      <c r="B123" s="8">
        <v>0</v>
      </c>
      <c r="C123" s="8">
        <v>0</v>
      </c>
      <c r="D123" s="8">
        <v>0</v>
      </c>
      <c r="E123" s="8">
        <v>0</v>
      </c>
    </row>
    <row r="124" spans="1:5" x14ac:dyDescent="0.2">
      <c r="A124">
        <v>404</v>
      </c>
      <c r="B124" s="8">
        <v>3951.25</v>
      </c>
      <c r="C124" s="8">
        <v>0</v>
      </c>
      <c r="D124" s="8">
        <v>0</v>
      </c>
      <c r="E124" s="8">
        <v>0</v>
      </c>
    </row>
    <row r="125" spans="1:5" x14ac:dyDescent="0.2">
      <c r="A125">
        <v>413</v>
      </c>
      <c r="B125" s="8">
        <v>23212.15</v>
      </c>
      <c r="C125" s="8">
        <v>0</v>
      </c>
      <c r="D125" s="8">
        <v>0</v>
      </c>
      <c r="E125" s="8">
        <v>0</v>
      </c>
    </row>
    <row r="126" spans="1:5" x14ac:dyDescent="0.2">
      <c r="A126">
        <v>414</v>
      </c>
      <c r="B126" s="8">
        <v>9165</v>
      </c>
      <c r="C126" s="8">
        <v>0</v>
      </c>
      <c r="D126" s="8">
        <v>0</v>
      </c>
      <c r="E126" s="8">
        <v>0</v>
      </c>
    </row>
    <row r="127" spans="1:5" x14ac:dyDescent="0.2">
      <c r="A127">
        <v>415</v>
      </c>
      <c r="B127" s="8">
        <v>7602</v>
      </c>
      <c r="C127" s="8">
        <v>0</v>
      </c>
      <c r="D127" s="8">
        <v>0</v>
      </c>
      <c r="E127" s="8">
        <v>1718</v>
      </c>
    </row>
    <row r="128" spans="1:5" x14ac:dyDescent="0.2">
      <c r="A128">
        <v>423</v>
      </c>
      <c r="B128" s="8">
        <v>5895.5</v>
      </c>
      <c r="C128" s="8">
        <v>0</v>
      </c>
      <c r="D128" s="8">
        <v>0</v>
      </c>
      <c r="E128" s="8">
        <v>0</v>
      </c>
    </row>
    <row r="129" spans="1:5" x14ac:dyDescent="0.2">
      <c r="A129">
        <v>424</v>
      </c>
      <c r="B129" s="8">
        <v>25823.61</v>
      </c>
      <c r="C129" s="8">
        <v>0</v>
      </c>
      <c r="D129" s="8">
        <v>0</v>
      </c>
      <c r="E129" s="8">
        <v>0</v>
      </c>
    </row>
    <row r="130" spans="1:5" x14ac:dyDescent="0.2">
      <c r="A130">
        <v>432</v>
      </c>
      <c r="B130" s="8">
        <v>0</v>
      </c>
      <c r="C130" s="8">
        <v>0</v>
      </c>
      <c r="D130" s="8">
        <v>0</v>
      </c>
      <c r="E130" s="8">
        <v>0</v>
      </c>
    </row>
    <row r="131" spans="1:5" x14ac:dyDescent="0.2">
      <c r="A131">
        <v>435</v>
      </c>
      <c r="B131" s="8">
        <v>0</v>
      </c>
      <c r="C131" s="8">
        <v>0</v>
      </c>
      <c r="D131" s="8">
        <v>0</v>
      </c>
      <c r="E131" s="8">
        <v>0</v>
      </c>
    </row>
    <row r="132" spans="1:5" x14ac:dyDescent="0.2">
      <c r="A132">
        <v>441</v>
      </c>
      <c r="B132" s="8">
        <v>4443</v>
      </c>
      <c r="C132" s="8">
        <v>0</v>
      </c>
      <c r="D132" s="8">
        <v>0</v>
      </c>
      <c r="E132" s="8">
        <v>0</v>
      </c>
    </row>
    <row r="133" spans="1:5" x14ac:dyDescent="0.2">
      <c r="A133">
        <v>447</v>
      </c>
      <c r="B133" s="8">
        <v>0</v>
      </c>
      <c r="C133" s="8">
        <v>0</v>
      </c>
      <c r="D133" s="8">
        <v>0</v>
      </c>
      <c r="E133" s="8">
        <v>0</v>
      </c>
    </row>
    <row r="134" spans="1:5" x14ac:dyDescent="0.2">
      <c r="A134">
        <v>458</v>
      </c>
      <c r="B134" s="8">
        <v>16876.59</v>
      </c>
      <c r="C134" s="8">
        <v>0</v>
      </c>
      <c r="D134" s="8">
        <v>0</v>
      </c>
      <c r="E134" s="8">
        <v>0</v>
      </c>
    </row>
    <row r="135" spans="1:5" x14ac:dyDescent="0.2">
      <c r="A135">
        <v>463</v>
      </c>
      <c r="B135" s="8">
        <v>23810</v>
      </c>
      <c r="C135" s="8">
        <v>0</v>
      </c>
      <c r="D135" s="8">
        <v>0</v>
      </c>
      <c r="E135" s="8">
        <v>40000</v>
      </c>
    </row>
    <row r="136" spans="1:5" x14ac:dyDescent="0.2">
      <c r="A136">
        <v>465</v>
      </c>
      <c r="B136" s="8">
        <v>49457.5</v>
      </c>
      <c r="C136" s="8">
        <v>0</v>
      </c>
      <c r="D136" s="8">
        <v>0</v>
      </c>
      <c r="E136" s="8">
        <v>0</v>
      </c>
    </row>
    <row r="137" spans="1:5" x14ac:dyDescent="0.2">
      <c r="A137">
        <v>466</v>
      </c>
      <c r="B137" s="8">
        <v>72585.5</v>
      </c>
      <c r="C137" s="8">
        <v>0</v>
      </c>
      <c r="D137" s="8">
        <v>0</v>
      </c>
      <c r="E137" s="8">
        <v>0</v>
      </c>
    </row>
    <row r="138" spans="1:5" x14ac:dyDescent="0.2">
      <c r="A138">
        <v>473</v>
      </c>
      <c r="B138" s="8">
        <v>8109.05</v>
      </c>
      <c r="C138" s="8">
        <v>0</v>
      </c>
      <c r="D138" s="8">
        <v>0</v>
      </c>
      <c r="E138" s="8">
        <v>0</v>
      </c>
    </row>
    <row r="139" spans="1:5" x14ac:dyDescent="0.2">
      <c r="A139">
        <v>477</v>
      </c>
      <c r="B139" s="8">
        <v>40620</v>
      </c>
      <c r="C139" s="8">
        <v>0</v>
      </c>
      <c r="D139" s="8">
        <v>0</v>
      </c>
      <c r="E139" s="8">
        <v>0</v>
      </c>
    </row>
    <row r="140" spans="1:5" x14ac:dyDescent="0.2">
      <c r="A140">
        <v>480</v>
      </c>
      <c r="B140" s="8">
        <v>0</v>
      </c>
      <c r="C140" s="8">
        <v>0</v>
      </c>
      <c r="D140" s="8">
        <v>0</v>
      </c>
      <c r="E140" s="8">
        <v>0</v>
      </c>
    </row>
    <row r="141" spans="1:5" x14ac:dyDescent="0.2">
      <c r="A141">
        <v>482</v>
      </c>
      <c r="B141" s="8">
        <v>15900</v>
      </c>
      <c r="C141" s="8">
        <v>0</v>
      </c>
      <c r="D141" s="8">
        <v>0</v>
      </c>
      <c r="E141" s="8">
        <v>0</v>
      </c>
    </row>
    <row r="142" spans="1:5" x14ac:dyDescent="0.2">
      <c r="A142">
        <v>484</v>
      </c>
      <c r="B142" s="8">
        <v>0</v>
      </c>
      <c r="C142" s="8">
        <v>0</v>
      </c>
      <c r="D142" s="8">
        <v>0</v>
      </c>
      <c r="E142" s="8">
        <v>0</v>
      </c>
    </row>
    <row r="143" spans="1:5" x14ac:dyDescent="0.2">
      <c r="A143">
        <v>485</v>
      </c>
      <c r="B143" s="8">
        <v>10345.200000000001</v>
      </c>
      <c r="C143" s="8">
        <v>0</v>
      </c>
      <c r="D143" s="8">
        <v>0</v>
      </c>
      <c r="E143" s="8">
        <v>0</v>
      </c>
    </row>
    <row r="144" spans="1:5" x14ac:dyDescent="0.2">
      <c r="A144">
        <v>486</v>
      </c>
      <c r="B144" s="8">
        <v>0</v>
      </c>
      <c r="C144" s="8">
        <v>0</v>
      </c>
      <c r="D144" s="8">
        <v>0</v>
      </c>
      <c r="E144" s="8">
        <v>0</v>
      </c>
    </row>
    <row r="145" spans="1:5" x14ac:dyDescent="0.2">
      <c r="A145">
        <v>487</v>
      </c>
      <c r="B145" s="8">
        <v>0</v>
      </c>
      <c r="C145" s="8">
        <v>0</v>
      </c>
      <c r="D145" s="8">
        <v>0</v>
      </c>
      <c r="E145" s="8">
        <v>0</v>
      </c>
    </row>
    <row r="146" spans="1:5" x14ac:dyDescent="0.2">
      <c r="A146">
        <v>492</v>
      </c>
      <c r="B146" s="8">
        <v>1670</v>
      </c>
      <c r="C146" s="8">
        <v>0</v>
      </c>
      <c r="D146" s="8">
        <v>0</v>
      </c>
      <c r="E146" s="8">
        <v>0</v>
      </c>
    </row>
    <row r="147" spans="1:5" x14ac:dyDescent="0.2">
      <c r="A147">
        <v>495</v>
      </c>
      <c r="B147" s="8">
        <v>20340</v>
      </c>
      <c r="C147" s="8">
        <v>0</v>
      </c>
      <c r="D147" s="8">
        <v>0</v>
      </c>
      <c r="E147" s="8">
        <v>0</v>
      </c>
    </row>
    <row r="148" spans="1:5" x14ac:dyDescent="0.2">
      <c r="A148">
        <v>497</v>
      </c>
      <c r="B148" s="8">
        <v>0</v>
      </c>
      <c r="C148" s="8">
        <v>0</v>
      </c>
      <c r="D148" s="8">
        <v>0</v>
      </c>
      <c r="E148" s="8">
        <v>0</v>
      </c>
    </row>
    <row r="149" spans="1:5" x14ac:dyDescent="0.2">
      <c r="A149">
        <v>499</v>
      </c>
      <c r="B149" s="8">
        <v>0</v>
      </c>
      <c r="C149" s="8">
        <v>0</v>
      </c>
      <c r="D149" s="8">
        <v>0</v>
      </c>
      <c r="E149" s="8">
        <v>0</v>
      </c>
    </row>
    <row r="150" spans="1:5" x14ac:dyDescent="0.2">
      <c r="A150">
        <v>500</v>
      </c>
      <c r="B150" s="8">
        <v>21825</v>
      </c>
      <c r="C150" s="8">
        <v>0</v>
      </c>
      <c r="D150" s="8">
        <v>0</v>
      </c>
      <c r="E150" s="8">
        <v>0</v>
      </c>
    </row>
    <row r="151" spans="1:5" x14ac:dyDescent="0.2">
      <c r="A151">
        <v>505</v>
      </c>
      <c r="B151" s="8">
        <v>0</v>
      </c>
      <c r="C151" s="8">
        <v>0</v>
      </c>
      <c r="D151" s="8">
        <v>0</v>
      </c>
      <c r="E151" s="8">
        <v>0</v>
      </c>
    </row>
    <row r="152" spans="1:5" x14ac:dyDescent="0.2">
      <c r="A152">
        <v>507</v>
      </c>
      <c r="B152" s="8">
        <v>0</v>
      </c>
      <c r="C152" s="8">
        <v>0</v>
      </c>
      <c r="D152" s="8">
        <v>0</v>
      </c>
      <c r="E152" s="8">
        <v>0</v>
      </c>
    </row>
    <row r="153" spans="1:5" x14ac:dyDescent="0.2">
      <c r="A153">
        <v>508</v>
      </c>
      <c r="B153" s="8">
        <v>127594.9</v>
      </c>
      <c r="C153" s="8">
        <v>0</v>
      </c>
      <c r="D153" s="8">
        <v>0</v>
      </c>
      <c r="E153" s="8">
        <v>0</v>
      </c>
    </row>
    <row r="154" spans="1:5" x14ac:dyDescent="0.2">
      <c r="A154">
        <v>511</v>
      </c>
      <c r="B154" s="8">
        <v>0</v>
      </c>
      <c r="C154" s="8">
        <v>0</v>
      </c>
      <c r="D154" s="8">
        <v>0</v>
      </c>
      <c r="E154" s="8">
        <v>0</v>
      </c>
    </row>
    <row r="155" spans="1:5" x14ac:dyDescent="0.2">
      <c r="A155">
        <v>513</v>
      </c>
      <c r="B155" s="8">
        <v>7440</v>
      </c>
      <c r="C155" s="8">
        <v>0</v>
      </c>
      <c r="D155" s="8">
        <v>0</v>
      </c>
      <c r="E155" s="8">
        <v>0</v>
      </c>
    </row>
    <row r="156" spans="1:5" x14ac:dyDescent="0.2">
      <c r="A156">
        <v>514</v>
      </c>
      <c r="B156" s="8">
        <v>0</v>
      </c>
      <c r="C156" s="8">
        <v>0</v>
      </c>
      <c r="D156" s="8">
        <v>0</v>
      </c>
      <c r="E156" s="8">
        <v>0</v>
      </c>
    </row>
    <row r="157" spans="1:5" x14ac:dyDescent="0.2">
      <c r="A157">
        <v>516</v>
      </c>
      <c r="B157" s="8">
        <v>0</v>
      </c>
      <c r="C157" s="8">
        <v>0</v>
      </c>
      <c r="D157" s="8">
        <v>0</v>
      </c>
      <c r="E157" s="8">
        <v>0</v>
      </c>
    </row>
    <row r="158" spans="1:5" x14ac:dyDescent="0.2">
      <c r="A158">
        <v>518</v>
      </c>
      <c r="B158" s="8">
        <v>0</v>
      </c>
      <c r="C158" s="8">
        <v>0</v>
      </c>
      <c r="D158" s="8">
        <v>0</v>
      </c>
      <c r="E158" s="8">
        <v>0</v>
      </c>
    </row>
    <row r="159" spans="1:5" x14ac:dyDescent="0.2">
      <c r="A159">
        <v>531</v>
      </c>
      <c r="B159" s="8">
        <v>122802.3</v>
      </c>
      <c r="C159" s="8">
        <v>0</v>
      </c>
      <c r="D159" s="8">
        <v>0</v>
      </c>
      <c r="E159" s="8">
        <v>0</v>
      </c>
    </row>
    <row r="160" spans="1:5" x14ac:dyDescent="0.2">
      <c r="A160">
        <v>533</v>
      </c>
      <c r="B160" s="8">
        <v>23130</v>
      </c>
      <c r="C160" s="8">
        <v>0</v>
      </c>
      <c r="D160" s="8">
        <v>0</v>
      </c>
      <c r="E160" s="8">
        <v>0</v>
      </c>
    </row>
    <row r="161" spans="1:5" x14ac:dyDescent="0.2">
      <c r="A161">
        <v>534</v>
      </c>
      <c r="B161" s="8">
        <v>19700</v>
      </c>
      <c r="C161" s="8">
        <v>0</v>
      </c>
      <c r="D161" s="8">
        <v>0</v>
      </c>
      <c r="E161" s="8">
        <v>0</v>
      </c>
    </row>
    <row r="162" spans="1:5" x14ac:dyDescent="0.2">
      <c r="A162">
        <v>535</v>
      </c>
      <c r="B162" s="8">
        <v>0</v>
      </c>
      <c r="C162" s="8">
        <v>0</v>
      </c>
      <c r="D162" s="8">
        <v>0</v>
      </c>
      <c r="E162" s="8">
        <v>0</v>
      </c>
    </row>
    <row r="163" spans="1:5" x14ac:dyDescent="0.2">
      <c r="A163">
        <v>542</v>
      </c>
      <c r="B163" s="8">
        <v>13825.380000000001</v>
      </c>
      <c r="C163" s="8">
        <v>0</v>
      </c>
      <c r="D163" s="8">
        <v>0</v>
      </c>
      <c r="E163" s="8">
        <v>0</v>
      </c>
    </row>
    <row r="164" spans="1:5" x14ac:dyDescent="0.2">
      <c r="A164">
        <v>544</v>
      </c>
      <c r="B164" s="8">
        <v>9444.64</v>
      </c>
      <c r="C164" s="8">
        <v>0</v>
      </c>
      <c r="D164" s="8">
        <v>0</v>
      </c>
      <c r="E164" s="8">
        <v>0</v>
      </c>
    </row>
    <row r="165" spans="1:5" x14ac:dyDescent="0.2">
      <c r="A165">
        <v>545</v>
      </c>
      <c r="B165" s="8">
        <v>10973.67</v>
      </c>
      <c r="C165" s="8">
        <v>0</v>
      </c>
      <c r="D165" s="8">
        <v>0</v>
      </c>
      <c r="E165" s="8">
        <v>7500</v>
      </c>
    </row>
    <row r="166" spans="1:5" x14ac:dyDescent="0.2">
      <c r="A166">
        <v>547</v>
      </c>
      <c r="B166" s="8">
        <v>2318.02</v>
      </c>
      <c r="C166" s="8">
        <v>0</v>
      </c>
      <c r="D166" s="8">
        <v>0</v>
      </c>
      <c r="E166" s="8">
        <v>0</v>
      </c>
    </row>
    <row r="167" spans="1:5" x14ac:dyDescent="0.2">
      <c r="A167">
        <v>548</v>
      </c>
      <c r="B167" s="8">
        <v>14410.41</v>
      </c>
      <c r="C167" s="8">
        <v>0</v>
      </c>
      <c r="D167" s="8">
        <v>0</v>
      </c>
      <c r="E167" s="8">
        <v>0</v>
      </c>
    </row>
    <row r="168" spans="1:5" x14ac:dyDescent="0.2">
      <c r="A168">
        <v>549</v>
      </c>
      <c r="B168" s="8">
        <v>65775.070000000007</v>
      </c>
      <c r="C168" s="8">
        <v>0</v>
      </c>
      <c r="D168" s="8">
        <v>0</v>
      </c>
      <c r="E168" s="8">
        <v>0</v>
      </c>
    </row>
    <row r="169" spans="1:5" x14ac:dyDescent="0.2">
      <c r="A169">
        <v>550</v>
      </c>
      <c r="B169" s="8">
        <v>36936.49</v>
      </c>
      <c r="C169" s="8">
        <v>0</v>
      </c>
      <c r="D169" s="8">
        <v>0</v>
      </c>
      <c r="E169" s="8">
        <v>0</v>
      </c>
    </row>
    <row r="170" spans="1:5" x14ac:dyDescent="0.2">
      <c r="A170">
        <v>553</v>
      </c>
      <c r="B170" s="8">
        <v>8404.84</v>
      </c>
      <c r="C170" s="8">
        <v>0</v>
      </c>
      <c r="D170" s="8">
        <v>0</v>
      </c>
      <c r="E170" s="8">
        <v>0</v>
      </c>
    </row>
    <row r="171" spans="1:5" x14ac:dyDescent="0.2">
      <c r="A171">
        <v>561</v>
      </c>
      <c r="B171" s="8">
        <v>0</v>
      </c>
      <c r="C171" s="8">
        <v>0</v>
      </c>
      <c r="D171" s="8">
        <v>0</v>
      </c>
      <c r="E171" s="8">
        <v>0</v>
      </c>
    </row>
    <row r="172" spans="1:5" x14ac:dyDescent="0.2">
      <c r="A172">
        <v>564</v>
      </c>
      <c r="B172" s="8">
        <v>60934</v>
      </c>
      <c r="C172" s="8">
        <v>0</v>
      </c>
      <c r="D172" s="8">
        <v>0</v>
      </c>
      <c r="E172" s="8">
        <v>6590</v>
      </c>
    </row>
    <row r="173" spans="1:5" x14ac:dyDescent="0.2">
      <c r="A173">
        <v>577</v>
      </c>
      <c r="B173" s="8">
        <v>2267</v>
      </c>
      <c r="C173" s="8">
        <v>0</v>
      </c>
      <c r="D173" s="8">
        <v>0</v>
      </c>
      <c r="E173" s="8">
        <v>0</v>
      </c>
    </row>
    <row r="174" spans="1:5" x14ac:dyDescent="0.2">
      <c r="A174">
        <v>578</v>
      </c>
      <c r="B174" s="8">
        <v>530</v>
      </c>
      <c r="C174" s="8">
        <v>0</v>
      </c>
      <c r="D174" s="8">
        <v>0</v>
      </c>
      <c r="E174" s="8">
        <v>0</v>
      </c>
    </row>
    <row r="175" spans="1:5" x14ac:dyDescent="0.2">
      <c r="A175">
        <v>581</v>
      </c>
      <c r="B175" s="8">
        <v>4158.5</v>
      </c>
      <c r="C175" s="8">
        <v>0</v>
      </c>
      <c r="D175" s="8">
        <v>0</v>
      </c>
      <c r="E175" s="8">
        <v>0</v>
      </c>
    </row>
    <row r="176" spans="1:5" x14ac:dyDescent="0.2">
      <c r="A176">
        <v>592</v>
      </c>
      <c r="B176" s="8">
        <v>0</v>
      </c>
      <c r="C176" s="8">
        <v>0</v>
      </c>
      <c r="D176" s="8">
        <v>0</v>
      </c>
      <c r="E176" s="8">
        <v>0</v>
      </c>
    </row>
    <row r="177" spans="1:5" x14ac:dyDescent="0.2">
      <c r="A177">
        <v>593</v>
      </c>
      <c r="B177" s="8">
        <v>11260.5</v>
      </c>
      <c r="C177" s="8">
        <v>0</v>
      </c>
      <c r="D177" s="8">
        <v>0</v>
      </c>
      <c r="E177" s="8">
        <v>0</v>
      </c>
    </row>
    <row r="178" spans="1:5" x14ac:dyDescent="0.2">
      <c r="A178">
        <v>595</v>
      </c>
      <c r="B178" s="8">
        <v>26859.5</v>
      </c>
      <c r="C178" s="8">
        <v>0</v>
      </c>
      <c r="D178" s="8">
        <v>0</v>
      </c>
      <c r="E178" s="8">
        <v>0</v>
      </c>
    </row>
    <row r="179" spans="1:5" x14ac:dyDescent="0.2">
      <c r="A179">
        <v>599</v>
      </c>
      <c r="B179" s="8">
        <v>4025</v>
      </c>
      <c r="C179" s="8">
        <v>0</v>
      </c>
      <c r="D179" s="8">
        <v>0</v>
      </c>
      <c r="E179" s="8">
        <v>0</v>
      </c>
    </row>
    <row r="180" spans="1:5" x14ac:dyDescent="0.2">
      <c r="A180">
        <v>600</v>
      </c>
      <c r="B180" s="8">
        <v>13912.58</v>
      </c>
      <c r="C180" s="8">
        <v>0</v>
      </c>
      <c r="D180" s="8">
        <v>0</v>
      </c>
      <c r="E180" s="8">
        <v>0</v>
      </c>
    </row>
    <row r="181" spans="1:5" x14ac:dyDescent="0.2">
      <c r="A181">
        <v>601</v>
      </c>
      <c r="B181" s="8">
        <v>4100.1400000000003</v>
      </c>
      <c r="C181" s="8">
        <v>0</v>
      </c>
      <c r="D181" s="8">
        <v>0</v>
      </c>
      <c r="E181" s="8">
        <v>0</v>
      </c>
    </row>
    <row r="182" spans="1:5" x14ac:dyDescent="0.2">
      <c r="A182">
        <v>611</v>
      </c>
      <c r="B182" s="8">
        <v>0</v>
      </c>
      <c r="C182" s="8">
        <v>0</v>
      </c>
      <c r="D182" s="8">
        <v>0</v>
      </c>
      <c r="E182" s="8">
        <v>0</v>
      </c>
    </row>
    <row r="183" spans="1:5" x14ac:dyDescent="0.2">
      <c r="A183">
        <v>621</v>
      </c>
      <c r="B183" s="8">
        <v>13383</v>
      </c>
      <c r="C183" s="8">
        <v>0</v>
      </c>
      <c r="D183" s="8">
        <v>0</v>
      </c>
      <c r="E183" s="8">
        <v>0</v>
      </c>
    </row>
    <row r="184" spans="1:5" x14ac:dyDescent="0.2">
      <c r="A184">
        <v>622</v>
      </c>
      <c r="B184" s="8">
        <v>2679</v>
      </c>
      <c r="C184" s="8">
        <v>0</v>
      </c>
      <c r="D184" s="8">
        <v>0</v>
      </c>
      <c r="E184" s="8">
        <v>0</v>
      </c>
    </row>
    <row r="185" spans="1:5" x14ac:dyDescent="0.2">
      <c r="A185">
        <v>623</v>
      </c>
      <c r="B185" s="8">
        <v>3864.55</v>
      </c>
      <c r="C185" s="8">
        <v>0</v>
      </c>
      <c r="D185" s="8">
        <v>0</v>
      </c>
      <c r="E185" s="8">
        <v>0</v>
      </c>
    </row>
    <row r="186" spans="1:5" x14ac:dyDescent="0.2">
      <c r="A186">
        <v>624</v>
      </c>
      <c r="B186" s="8">
        <v>557</v>
      </c>
      <c r="C186" s="8">
        <v>0</v>
      </c>
      <c r="D186" s="8">
        <v>0</v>
      </c>
      <c r="E186" s="8">
        <v>0</v>
      </c>
    </row>
    <row r="187" spans="1:5" x14ac:dyDescent="0.2">
      <c r="A187">
        <v>625</v>
      </c>
      <c r="B187" s="8">
        <v>391120</v>
      </c>
      <c r="C187" s="8">
        <v>0</v>
      </c>
      <c r="D187" s="8">
        <v>1096471.45</v>
      </c>
      <c r="E187" s="8">
        <v>0</v>
      </c>
    </row>
    <row r="188" spans="1:5" x14ac:dyDescent="0.2">
      <c r="A188">
        <v>627</v>
      </c>
      <c r="B188" s="8">
        <v>277</v>
      </c>
      <c r="C188" s="8">
        <v>0</v>
      </c>
      <c r="D188" s="8">
        <v>0</v>
      </c>
      <c r="E188" s="8">
        <v>0</v>
      </c>
    </row>
    <row r="189" spans="1:5" x14ac:dyDescent="0.2">
      <c r="A189">
        <v>628</v>
      </c>
      <c r="B189" s="8">
        <v>0</v>
      </c>
      <c r="C189" s="8">
        <v>0</v>
      </c>
      <c r="D189" s="8">
        <v>0</v>
      </c>
      <c r="E189" s="8">
        <v>0</v>
      </c>
    </row>
    <row r="190" spans="1:5" x14ac:dyDescent="0.2">
      <c r="A190">
        <v>630</v>
      </c>
      <c r="B190" s="8">
        <v>2275</v>
      </c>
      <c r="C190" s="8">
        <v>0</v>
      </c>
      <c r="D190" s="8">
        <v>0</v>
      </c>
      <c r="E190" s="8">
        <v>0</v>
      </c>
    </row>
    <row r="191" spans="1:5" x14ac:dyDescent="0.2">
      <c r="A191">
        <v>635</v>
      </c>
      <c r="B191" s="8">
        <v>0</v>
      </c>
      <c r="C191" s="8">
        <v>0</v>
      </c>
      <c r="D191" s="8">
        <v>0</v>
      </c>
      <c r="E191" s="8">
        <v>0</v>
      </c>
    </row>
    <row r="192" spans="1:5" x14ac:dyDescent="0.2">
      <c r="A192">
        <v>640</v>
      </c>
      <c r="B192" s="8">
        <v>10978.9</v>
      </c>
      <c r="C192" s="8">
        <v>0</v>
      </c>
      <c r="D192" s="8">
        <v>0</v>
      </c>
      <c r="E192" s="8">
        <v>0</v>
      </c>
    </row>
    <row r="193" spans="1:5" x14ac:dyDescent="0.2">
      <c r="A193">
        <v>656</v>
      </c>
      <c r="B193" s="8">
        <v>29058.7</v>
      </c>
      <c r="C193" s="8">
        <v>0</v>
      </c>
      <c r="D193" s="8">
        <v>0</v>
      </c>
      <c r="E193" s="8">
        <v>0</v>
      </c>
    </row>
    <row r="194" spans="1:5" x14ac:dyDescent="0.2">
      <c r="A194">
        <v>659</v>
      </c>
      <c r="B194" s="8">
        <v>97872.95</v>
      </c>
      <c r="C194" s="8">
        <v>0</v>
      </c>
      <c r="D194" s="8">
        <v>0</v>
      </c>
      <c r="E194" s="8">
        <v>0</v>
      </c>
    </row>
    <row r="195" spans="1:5" x14ac:dyDescent="0.2">
      <c r="A195">
        <v>671</v>
      </c>
      <c r="B195" s="8">
        <v>3985.82</v>
      </c>
      <c r="C195" s="8">
        <v>0</v>
      </c>
      <c r="D195" s="8">
        <v>0</v>
      </c>
      <c r="E195" s="8">
        <v>0</v>
      </c>
    </row>
    <row r="196" spans="1:5" x14ac:dyDescent="0.2">
      <c r="A196">
        <v>676</v>
      </c>
      <c r="B196" s="8">
        <v>0</v>
      </c>
      <c r="C196" s="8">
        <v>0</v>
      </c>
      <c r="D196" s="8">
        <v>0</v>
      </c>
      <c r="E196" s="8">
        <v>0</v>
      </c>
    </row>
    <row r="197" spans="1:5" x14ac:dyDescent="0.2">
      <c r="A197">
        <v>682</v>
      </c>
      <c r="B197" s="8">
        <v>26155</v>
      </c>
      <c r="C197" s="8">
        <v>0</v>
      </c>
      <c r="D197" s="8">
        <v>0</v>
      </c>
      <c r="E197" s="8">
        <v>0</v>
      </c>
    </row>
    <row r="198" spans="1:5" x14ac:dyDescent="0.2">
      <c r="A198">
        <v>690</v>
      </c>
      <c r="B198" s="8">
        <v>49953</v>
      </c>
      <c r="C198" s="8">
        <v>0</v>
      </c>
      <c r="D198" s="8">
        <v>0</v>
      </c>
      <c r="E198" s="8">
        <v>0</v>
      </c>
    </row>
    <row r="199" spans="1:5" x14ac:dyDescent="0.2">
      <c r="A199">
        <v>695</v>
      </c>
      <c r="B199" s="8">
        <v>3191</v>
      </c>
      <c r="C199" s="8">
        <v>0</v>
      </c>
      <c r="D199" s="8">
        <v>0</v>
      </c>
      <c r="E199" s="8">
        <v>0</v>
      </c>
    </row>
    <row r="200" spans="1:5" x14ac:dyDescent="0.2">
      <c r="A200">
        <v>696</v>
      </c>
      <c r="B200" s="8">
        <v>85</v>
      </c>
      <c r="C200" s="8">
        <v>0</v>
      </c>
      <c r="D200" s="8">
        <v>0</v>
      </c>
      <c r="E200" s="8">
        <v>0</v>
      </c>
    </row>
    <row r="201" spans="1:5" x14ac:dyDescent="0.2">
      <c r="A201">
        <v>698</v>
      </c>
      <c r="B201" s="8">
        <v>2349.5</v>
      </c>
      <c r="C201" s="8">
        <v>0</v>
      </c>
      <c r="D201" s="8">
        <v>0</v>
      </c>
      <c r="E201" s="8">
        <v>0</v>
      </c>
    </row>
    <row r="202" spans="1:5" x14ac:dyDescent="0.2">
      <c r="A202">
        <v>700</v>
      </c>
      <c r="B202" s="8">
        <v>109995.98000000001</v>
      </c>
      <c r="C202" s="8">
        <v>0</v>
      </c>
      <c r="D202" s="8">
        <v>0</v>
      </c>
      <c r="E202" s="8">
        <v>0</v>
      </c>
    </row>
    <row r="203" spans="1:5" x14ac:dyDescent="0.2">
      <c r="A203">
        <v>701</v>
      </c>
      <c r="B203" s="8">
        <v>11133.5</v>
      </c>
      <c r="C203" s="8">
        <v>0</v>
      </c>
      <c r="D203" s="8">
        <v>0</v>
      </c>
      <c r="E203" s="8">
        <v>0</v>
      </c>
    </row>
    <row r="204" spans="1:5" x14ac:dyDescent="0.2">
      <c r="A204">
        <v>704</v>
      </c>
      <c r="B204" s="8">
        <v>18830.32</v>
      </c>
      <c r="C204" s="8">
        <v>0</v>
      </c>
      <c r="D204" s="8">
        <v>0</v>
      </c>
      <c r="E204" s="8">
        <v>0</v>
      </c>
    </row>
    <row r="205" spans="1:5" x14ac:dyDescent="0.2">
      <c r="A205">
        <v>706</v>
      </c>
      <c r="B205" s="8">
        <v>18716.45</v>
      </c>
      <c r="C205" s="8">
        <v>0</v>
      </c>
      <c r="D205" s="8">
        <v>0</v>
      </c>
      <c r="E205" s="8">
        <v>0</v>
      </c>
    </row>
    <row r="206" spans="1:5" x14ac:dyDescent="0.2">
      <c r="A206">
        <v>707</v>
      </c>
      <c r="B206" s="8">
        <v>0</v>
      </c>
      <c r="C206" s="8">
        <v>0</v>
      </c>
      <c r="D206" s="8">
        <v>0</v>
      </c>
      <c r="E206" s="8">
        <v>0</v>
      </c>
    </row>
    <row r="207" spans="1:5" x14ac:dyDescent="0.2">
      <c r="A207">
        <v>709</v>
      </c>
      <c r="B207" s="8">
        <v>30335</v>
      </c>
      <c r="C207" s="8">
        <v>0</v>
      </c>
      <c r="D207" s="8">
        <v>0</v>
      </c>
      <c r="E207" s="8">
        <v>0</v>
      </c>
    </row>
    <row r="208" spans="1:5" x14ac:dyDescent="0.2">
      <c r="A208">
        <v>712</v>
      </c>
      <c r="B208" s="8">
        <v>2500</v>
      </c>
      <c r="C208" s="8">
        <v>0</v>
      </c>
      <c r="D208" s="8">
        <v>0</v>
      </c>
      <c r="E208" s="8">
        <v>0</v>
      </c>
    </row>
    <row r="209" spans="1:5" x14ac:dyDescent="0.2">
      <c r="A209">
        <v>716</v>
      </c>
      <c r="B209" s="8">
        <v>0</v>
      </c>
      <c r="C209" s="8">
        <v>0</v>
      </c>
      <c r="D209" s="8">
        <v>0</v>
      </c>
      <c r="E209" s="8">
        <v>0</v>
      </c>
    </row>
    <row r="210" spans="1:5" x14ac:dyDescent="0.2">
      <c r="A210">
        <v>717</v>
      </c>
      <c r="B210" s="8">
        <v>10215.379999999999</v>
      </c>
      <c r="C210" s="8">
        <v>0</v>
      </c>
      <c r="D210" s="8">
        <v>0</v>
      </c>
      <c r="E210" s="8">
        <v>0</v>
      </c>
    </row>
    <row r="211" spans="1:5" x14ac:dyDescent="0.2">
      <c r="A211">
        <v>719</v>
      </c>
      <c r="B211" s="8">
        <v>239248.5</v>
      </c>
      <c r="C211" s="8">
        <v>0</v>
      </c>
      <c r="D211" s="8">
        <v>0</v>
      </c>
      <c r="E211" s="8">
        <v>0</v>
      </c>
    </row>
    <row r="212" spans="1:5" x14ac:dyDescent="0.2">
      <c r="A212">
        <v>720</v>
      </c>
      <c r="B212" s="8">
        <v>26341</v>
      </c>
      <c r="C212" s="8">
        <v>0</v>
      </c>
      <c r="D212" s="8">
        <v>0</v>
      </c>
      <c r="E212" s="8">
        <v>0</v>
      </c>
    </row>
    <row r="213" spans="1:5" x14ac:dyDescent="0.2">
      <c r="A213">
        <v>721</v>
      </c>
      <c r="B213" s="8">
        <v>130119</v>
      </c>
      <c r="C213" s="8">
        <v>0</v>
      </c>
      <c r="D213" s="8">
        <v>0</v>
      </c>
      <c r="E213" s="8">
        <v>0</v>
      </c>
    </row>
    <row r="214" spans="1:5" x14ac:dyDescent="0.2">
      <c r="A214">
        <v>726</v>
      </c>
      <c r="B214" s="8">
        <v>57547.67</v>
      </c>
      <c r="C214" s="8">
        <v>0</v>
      </c>
      <c r="D214" s="8">
        <v>0</v>
      </c>
      <c r="E214" s="8">
        <v>18625.61</v>
      </c>
    </row>
    <row r="215" spans="1:5" x14ac:dyDescent="0.2">
      <c r="A215">
        <v>727</v>
      </c>
      <c r="B215" s="8">
        <v>73447.63</v>
      </c>
      <c r="C215" s="8">
        <v>0</v>
      </c>
      <c r="D215" s="8">
        <v>0</v>
      </c>
      <c r="E215" s="8">
        <v>0</v>
      </c>
    </row>
    <row r="216" spans="1:5" x14ac:dyDescent="0.2">
      <c r="A216">
        <v>728</v>
      </c>
      <c r="B216" s="8">
        <v>153728.38</v>
      </c>
      <c r="C216" s="8">
        <v>0</v>
      </c>
      <c r="D216" s="8">
        <v>0</v>
      </c>
      <c r="E216" s="8">
        <v>0</v>
      </c>
    </row>
    <row r="217" spans="1:5" x14ac:dyDescent="0.2">
      <c r="A217">
        <v>738</v>
      </c>
      <c r="B217" s="8">
        <v>0</v>
      </c>
      <c r="C217" s="8">
        <v>0</v>
      </c>
      <c r="D217" s="8">
        <v>0</v>
      </c>
      <c r="E217" s="8">
        <v>0</v>
      </c>
    </row>
    <row r="218" spans="1:5" x14ac:dyDescent="0.2">
      <c r="A218">
        <v>739</v>
      </c>
      <c r="B218" s="8">
        <v>31897.3</v>
      </c>
      <c r="C218" s="8">
        <v>0</v>
      </c>
      <c r="D218" s="8">
        <v>0</v>
      </c>
      <c r="E218" s="8">
        <v>0</v>
      </c>
    </row>
    <row r="219" spans="1:5" x14ac:dyDescent="0.2">
      <c r="A219">
        <v>740</v>
      </c>
      <c r="B219" s="8">
        <v>7322.66</v>
      </c>
      <c r="C219" s="8">
        <v>0</v>
      </c>
      <c r="D219" s="8">
        <v>0</v>
      </c>
      <c r="E219" s="8">
        <v>0</v>
      </c>
    </row>
    <row r="220" spans="1:5" x14ac:dyDescent="0.2">
      <c r="A220">
        <v>741</v>
      </c>
      <c r="B220" s="8">
        <v>16591.080000000002</v>
      </c>
      <c r="C220" s="8">
        <v>0</v>
      </c>
      <c r="D220" s="8">
        <v>0</v>
      </c>
      <c r="E220" s="8">
        <v>0</v>
      </c>
    </row>
    <row r="221" spans="1:5" x14ac:dyDescent="0.2">
      <c r="A221">
        <v>742</v>
      </c>
      <c r="B221" s="8">
        <v>256256.49</v>
      </c>
      <c r="C221" s="8">
        <v>0</v>
      </c>
      <c r="D221" s="8">
        <v>0</v>
      </c>
      <c r="E221" s="8">
        <v>0</v>
      </c>
    </row>
    <row r="222" spans="1:5" x14ac:dyDescent="0.2">
      <c r="A222">
        <v>743</v>
      </c>
      <c r="B222" s="8">
        <v>0</v>
      </c>
      <c r="C222" s="8">
        <v>0</v>
      </c>
      <c r="D222" s="8">
        <v>0</v>
      </c>
      <c r="E222" s="8">
        <v>0</v>
      </c>
    </row>
    <row r="223" spans="1:5" x14ac:dyDescent="0.2">
      <c r="A223">
        <v>745</v>
      </c>
      <c r="B223" s="8">
        <v>75236.539999999994</v>
      </c>
      <c r="C223" s="8">
        <v>0</v>
      </c>
      <c r="D223" s="8">
        <v>0</v>
      </c>
      <c r="E223" s="8">
        <v>0</v>
      </c>
    </row>
    <row r="224" spans="1:5" x14ac:dyDescent="0.2">
      <c r="A224">
        <v>748</v>
      </c>
      <c r="B224" s="8">
        <v>112977.25</v>
      </c>
      <c r="C224" s="8">
        <v>0</v>
      </c>
      <c r="D224" s="8">
        <v>0</v>
      </c>
      <c r="E224" s="8">
        <v>0</v>
      </c>
    </row>
    <row r="225" spans="1:5" x14ac:dyDescent="0.2">
      <c r="A225">
        <v>750</v>
      </c>
      <c r="B225" s="8">
        <v>27421.33</v>
      </c>
      <c r="C225" s="8">
        <v>0</v>
      </c>
      <c r="D225" s="8">
        <v>0</v>
      </c>
      <c r="E225" s="8">
        <v>0</v>
      </c>
    </row>
    <row r="226" spans="1:5" x14ac:dyDescent="0.2">
      <c r="A226">
        <v>756</v>
      </c>
      <c r="B226" s="8">
        <v>29409.5</v>
      </c>
      <c r="C226" s="8">
        <v>0</v>
      </c>
      <c r="D226" s="8">
        <v>0</v>
      </c>
      <c r="E226" s="8">
        <v>0</v>
      </c>
    </row>
    <row r="227" spans="1:5" x14ac:dyDescent="0.2">
      <c r="A227">
        <v>761</v>
      </c>
      <c r="B227" s="8">
        <v>18737.5</v>
      </c>
      <c r="C227" s="8">
        <v>0</v>
      </c>
      <c r="D227" s="8">
        <v>0</v>
      </c>
      <c r="E227" s="8">
        <v>0</v>
      </c>
    </row>
    <row r="228" spans="1:5" x14ac:dyDescent="0.2">
      <c r="A228">
        <v>763</v>
      </c>
      <c r="B228" s="8">
        <v>0</v>
      </c>
      <c r="C228" s="8">
        <v>0</v>
      </c>
      <c r="D228" s="8">
        <v>0</v>
      </c>
      <c r="E228" s="8">
        <v>0</v>
      </c>
    </row>
    <row r="229" spans="1:5" x14ac:dyDescent="0.2">
      <c r="A229">
        <v>768</v>
      </c>
      <c r="B229" s="8">
        <v>0</v>
      </c>
      <c r="C229" s="8">
        <v>0</v>
      </c>
      <c r="D229" s="8">
        <v>0</v>
      </c>
      <c r="E229" s="8">
        <v>0</v>
      </c>
    </row>
    <row r="230" spans="1:5" x14ac:dyDescent="0.2">
      <c r="A230">
        <v>769</v>
      </c>
      <c r="B230" s="8">
        <v>0</v>
      </c>
      <c r="C230" s="8">
        <v>0</v>
      </c>
      <c r="D230" s="8">
        <v>0</v>
      </c>
      <c r="E230" s="8">
        <v>0</v>
      </c>
    </row>
    <row r="231" spans="1:5" x14ac:dyDescent="0.2">
      <c r="A231">
        <v>771</v>
      </c>
      <c r="B231" s="8">
        <v>5907.5</v>
      </c>
      <c r="C231" s="8">
        <v>0</v>
      </c>
      <c r="D231" s="8">
        <v>0</v>
      </c>
      <c r="E231" s="8">
        <v>12804.05</v>
      </c>
    </row>
    <row r="232" spans="1:5" x14ac:dyDescent="0.2">
      <c r="A232">
        <v>775</v>
      </c>
      <c r="B232" s="8">
        <v>0</v>
      </c>
      <c r="C232" s="8">
        <v>0</v>
      </c>
      <c r="D232" s="8">
        <v>0</v>
      </c>
      <c r="E232" s="8">
        <v>0</v>
      </c>
    </row>
    <row r="233" spans="1:5" x14ac:dyDescent="0.2">
      <c r="A233">
        <v>777</v>
      </c>
      <c r="B233" s="8">
        <v>-160</v>
      </c>
      <c r="C233" s="8">
        <v>0</v>
      </c>
      <c r="D233" s="8">
        <v>0</v>
      </c>
      <c r="E233" s="8">
        <v>0</v>
      </c>
    </row>
    <row r="234" spans="1:5" x14ac:dyDescent="0.2">
      <c r="A234">
        <v>786</v>
      </c>
      <c r="B234" s="8">
        <v>-39.950000000000003</v>
      </c>
      <c r="C234" s="8">
        <v>0</v>
      </c>
      <c r="D234" s="8">
        <v>39.950000000000003</v>
      </c>
      <c r="E234" s="8">
        <v>0</v>
      </c>
    </row>
    <row r="235" spans="1:5" x14ac:dyDescent="0.2">
      <c r="A235">
        <v>787</v>
      </c>
      <c r="B235" s="8">
        <v>0</v>
      </c>
      <c r="C235" s="8">
        <v>0</v>
      </c>
      <c r="D235" s="8">
        <v>0</v>
      </c>
      <c r="E235" s="8">
        <v>0</v>
      </c>
    </row>
    <row r="236" spans="1:5" x14ac:dyDescent="0.2">
      <c r="A236">
        <v>801</v>
      </c>
      <c r="B236" s="8">
        <v>0</v>
      </c>
      <c r="C236" s="8">
        <v>0</v>
      </c>
      <c r="D236" s="8">
        <v>0</v>
      </c>
      <c r="E236" s="8">
        <v>0</v>
      </c>
    </row>
    <row r="237" spans="1:5" x14ac:dyDescent="0.2">
      <c r="A237">
        <v>803</v>
      </c>
      <c r="B237" s="8">
        <v>12825.5</v>
      </c>
      <c r="C237" s="8">
        <v>0</v>
      </c>
      <c r="D237" s="8">
        <v>0</v>
      </c>
      <c r="E237" s="8">
        <v>0</v>
      </c>
    </row>
    <row r="238" spans="1:5" x14ac:dyDescent="0.2">
      <c r="A238">
        <v>811</v>
      </c>
      <c r="B238" s="8">
        <v>13480.7</v>
      </c>
      <c r="C238" s="8">
        <v>7186.64</v>
      </c>
      <c r="D238" s="8">
        <v>0</v>
      </c>
      <c r="E238" s="8">
        <v>0</v>
      </c>
    </row>
    <row r="239" spans="1:5" x14ac:dyDescent="0.2">
      <c r="A239">
        <v>813</v>
      </c>
      <c r="B239" s="8">
        <v>0</v>
      </c>
      <c r="C239" s="8">
        <v>0</v>
      </c>
      <c r="D239" s="8">
        <v>0</v>
      </c>
      <c r="E239" s="8">
        <v>0</v>
      </c>
    </row>
    <row r="240" spans="1:5" x14ac:dyDescent="0.2">
      <c r="A240">
        <v>818</v>
      </c>
      <c r="B240" s="8">
        <v>0</v>
      </c>
      <c r="C240" s="8">
        <v>0</v>
      </c>
      <c r="D240" s="8">
        <v>0</v>
      </c>
      <c r="E240" s="8">
        <v>0</v>
      </c>
    </row>
    <row r="241" spans="1:5" x14ac:dyDescent="0.2">
      <c r="A241">
        <v>820</v>
      </c>
      <c r="B241" s="8">
        <v>0</v>
      </c>
      <c r="C241" s="8">
        <v>0</v>
      </c>
      <c r="D241" s="8">
        <v>0</v>
      </c>
      <c r="E241" s="8">
        <v>10366.35</v>
      </c>
    </row>
    <row r="242" spans="1:5" x14ac:dyDescent="0.2">
      <c r="A242">
        <v>821</v>
      </c>
      <c r="B242" s="8">
        <v>7414.5</v>
      </c>
      <c r="C242" s="8">
        <v>0</v>
      </c>
      <c r="D242" s="8">
        <v>0</v>
      </c>
      <c r="E242" s="8">
        <v>0</v>
      </c>
    </row>
    <row r="243" spans="1:5" x14ac:dyDescent="0.2">
      <c r="A243">
        <v>829</v>
      </c>
      <c r="B243" s="8">
        <v>19859.870000000003</v>
      </c>
      <c r="C243" s="8">
        <v>0</v>
      </c>
      <c r="D243" s="8">
        <v>0</v>
      </c>
      <c r="E243" s="8">
        <v>0</v>
      </c>
    </row>
    <row r="244" spans="1:5" x14ac:dyDescent="0.2">
      <c r="A244">
        <v>831</v>
      </c>
      <c r="B244" s="8">
        <v>257237.81</v>
      </c>
      <c r="C244" s="8">
        <v>0</v>
      </c>
      <c r="D244" s="8">
        <v>0</v>
      </c>
      <c r="E244" s="8">
        <v>0</v>
      </c>
    </row>
    <row r="245" spans="1:5" x14ac:dyDescent="0.2">
      <c r="A245">
        <v>832</v>
      </c>
      <c r="B245" s="8">
        <v>0</v>
      </c>
      <c r="C245" s="8">
        <v>0</v>
      </c>
      <c r="D245" s="8">
        <v>0</v>
      </c>
      <c r="E245" s="8">
        <v>0</v>
      </c>
    </row>
    <row r="246" spans="1:5" x14ac:dyDescent="0.2">
      <c r="A246">
        <v>833</v>
      </c>
      <c r="B246" s="8">
        <v>256735.38</v>
      </c>
      <c r="C246" s="8">
        <v>0</v>
      </c>
      <c r="D246" s="8">
        <v>0</v>
      </c>
      <c r="E246" s="8">
        <v>0</v>
      </c>
    </row>
    <row r="247" spans="1:5" x14ac:dyDescent="0.2">
      <c r="A247">
        <v>834</v>
      </c>
      <c r="B247" s="8">
        <v>27439.24</v>
      </c>
      <c r="C247" s="8">
        <v>0</v>
      </c>
      <c r="D247" s="8">
        <v>0</v>
      </c>
      <c r="E247" s="8">
        <v>0</v>
      </c>
    </row>
    <row r="248" spans="1:5" x14ac:dyDescent="0.2">
      <c r="A248">
        <v>836</v>
      </c>
      <c r="B248" s="8">
        <v>2215</v>
      </c>
      <c r="C248" s="8">
        <v>0</v>
      </c>
      <c r="D248" s="8">
        <v>0</v>
      </c>
      <c r="E248" s="8">
        <v>0</v>
      </c>
    </row>
    <row r="249" spans="1:5" x14ac:dyDescent="0.2">
      <c r="A249">
        <v>837</v>
      </c>
      <c r="B249" s="8">
        <v>8405.25</v>
      </c>
      <c r="C249" s="8">
        <v>0</v>
      </c>
      <c r="D249" s="8">
        <v>0</v>
      </c>
      <c r="E249" s="8">
        <v>0</v>
      </c>
    </row>
    <row r="250" spans="1:5" x14ac:dyDescent="0.2">
      <c r="A250">
        <v>840</v>
      </c>
      <c r="B250" s="8">
        <v>675</v>
      </c>
      <c r="C250" s="8">
        <v>0</v>
      </c>
      <c r="D250" s="8">
        <v>0</v>
      </c>
      <c r="E250" s="8">
        <v>0</v>
      </c>
    </row>
    <row r="251" spans="1:5" x14ac:dyDescent="0.2">
      <c r="A251">
        <v>846</v>
      </c>
      <c r="B251" s="8">
        <v>29293.43</v>
      </c>
      <c r="C251" s="8">
        <v>0</v>
      </c>
      <c r="D251" s="8">
        <v>0</v>
      </c>
      <c r="E251" s="8">
        <v>0</v>
      </c>
    </row>
    <row r="252" spans="1:5" x14ac:dyDescent="0.2">
      <c r="A252">
        <v>850</v>
      </c>
      <c r="B252" s="8">
        <v>0</v>
      </c>
      <c r="C252" s="8">
        <v>0</v>
      </c>
      <c r="D252" s="8">
        <v>0</v>
      </c>
      <c r="E252" s="8">
        <v>0</v>
      </c>
    </row>
    <row r="253" spans="1:5" x14ac:dyDescent="0.2">
      <c r="A253">
        <v>852</v>
      </c>
      <c r="B253" s="8">
        <v>0</v>
      </c>
      <c r="C253" s="8">
        <v>0</v>
      </c>
      <c r="D253" s="8">
        <v>0</v>
      </c>
      <c r="E253" s="8">
        <v>0</v>
      </c>
    </row>
    <row r="254" spans="1:5" x14ac:dyDescent="0.2">
      <c r="A254">
        <v>857</v>
      </c>
      <c r="B254" s="8">
        <v>34285</v>
      </c>
      <c r="C254" s="8">
        <v>0</v>
      </c>
      <c r="D254" s="8">
        <v>0</v>
      </c>
      <c r="E254" s="8">
        <v>34093.43</v>
      </c>
    </row>
    <row r="255" spans="1:5" x14ac:dyDescent="0.2">
      <c r="A255">
        <v>858</v>
      </c>
      <c r="B255" s="8">
        <v>0</v>
      </c>
      <c r="C255" s="8">
        <v>0</v>
      </c>
      <c r="D255" s="8">
        <v>0</v>
      </c>
      <c r="E255" s="8">
        <v>0</v>
      </c>
    </row>
    <row r="256" spans="1:5" x14ac:dyDescent="0.2">
      <c r="A256">
        <v>861</v>
      </c>
      <c r="B256" s="8">
        <v>1130</v>
      </c>
      <c r="C256" s="8">
        <v>0</v>
      </c>
      <c r="D256" s="8">
        <v>0</v>
      </c>
      <c r="E256" s="8">
        <v>0</v>
      </c>
    </row>
    <row r="257" spans="1:5" x14ac:dyDescent="0.2">
      <c r="A257">
        <v>876</v>
      </c>
      <c r="B257" s="8">
        <v>82851</v>
      </c>
      <c r="C257" s="8">
        <v>0</v>
      </c>
      <c r="D257" s="8">
        <v>0</v>
      </c>
      <c r="E257" s="8">
        <v>0</v>
      </c>
    </row>
    <row r="258" spans="1:5" x14ac:dyDescent="0.2">
      <c r="A258">
        <v>877</v>
      </c>
      <c r="B258" s="8">
        <v>141450.92000000001</v>
      </c>
      <c r="C258" s="8">
        <v>67608.17</v>
      </c>
      <c r="D258" s="8">
        <v>0</v>
      </c>
      <c r="E258" s="8">
        <v>0</v>
      </c>
    </row>
    <row r="259" spans="1:5" x14ac:dyDescent="0.2">
      <c r="A259">
        <v>879</v>
      </c>
      <c r="B259" s="8">
        <v>0</v>
      </c>
      <c r="C259" s="8">
        <v>0</v>
      </c>
      <c r="D259" s="8">
        <v>0</v>
      </c>
      <c r="E259" s="8">
        <v>0</v>
      </c>
    </row>
    <row r="260" spans="1:5" x14ac:dyDescent="0.2">
      <c r="A260">
        <v>881</v>
      </c>
      <c r="B260" s="8">
        <v>0</v>
      </c>
      <c r="C260" s="8">
        <v>0</v>
      </c>
      <c r="D260" s="8">
        <v>0</v>
      </c>
      <c r="E260" s="8">
        <v>0</v>
      </c>
    </row>
    <row r="261" spans="1:5" x14ac:dyDescent="0.2">
      <c r="A261">
        <v>882</v>
      </c>
      <c r="B261" s="8">
        <v>53912.5</v>
      </c>
      <c r="C261" s="8">
        <v>0</v>
      </c>
      <c r="D261" s="8">
        <v>0</v>
      </c>
      <c r="E261" s="8">
        <v>0</v>
      </c>
    </row>
    <row r="262" spans="1:5" x14ac:dyDescent="0.2">
      <c r="A262">
        <v>883</v>
      </c>
      <c r="B262" s="8">
        <v>153694.15</v>
      </c>
      <c r="C262" s="8">
        <v>0</v>
      </c>
      <c r="D262" s="8">
        <v>0</v>
      </c>
      <c r="E262" s="8">
        <v>0</v>
      </c>
    </row>
    <row r="263" spans="1:5" x14ac:dyDescent="0.2">
      <c r="A263">
        <v>885</v>
      </c>
      <c r="B263" s="8">
        <v>253862.08000000002</v>
      </c>
      <c r="C263" s="8">
        <v>0</v>
      </c>
      <c r="D263" s="8">
        <v>0</v>
      </c>
      <c r="E263" s="8">
        <v>0</v>
      </c>
    </row>
    <row r="264" spans="1:5" x14ac:dyDescent="0.2">
      <c r="A264">
        <v>891</v>
      </c>
      <c r="B264" s="8">
        <v>18252.72</v>
      </c>
      <c r="C264" s="8">
        <v>0</v>
      </c>
      <c r="D264" s="8">
        <v>0</v>
      </c>
      <c r="E264" s="8">
        <v>0</v>
      </c>
    </row>
    <row r="265" spans="1:5" x14ac:dyDescent="0.2">
      <c r="A265">
        <v>911</v>
      </c>
      <c r="B265" s="8">
        <v>0</v>
      </c>
      <c r="C265" s="8">
        <v>0</v>
      </c>
      <c r="D265" s="8">
        <v>0</v>
      </c>
      <c r="E265" s="8">
        <v>0</v>
      </c>
    </row>
    <row r="266" spans="1:5" x14ac:dyDescent="0.2">
      <c r="A266">
        <v>912</v>
      </c>
      <c r="B266" s="8">
        <v>61426.21</v>
      </c>
      <c r="C266" s="8">
        <v>0</v>
      </c>
      <c r="D266" s="8">
        <v>0</v>
      </c>
      <c r="E266" s="8">
        <v>0</v>
      </c>
    </row>
    <row r="267" spans="1:5" x14ac:dyDescent="0.2">
      <c r="A267">
        <v>914</v>
      </c>
      <c r="B267" s="8">
        <v>13295</v>
      </c>
      <c r="C267" s="8">
        <v>0</v>
      </c>
      <c r="D267" s="8">
        <v>0</v>
      </c>
      <c r="E267" s="8">
        <v>3306</v>
      </c>
    </row>
    <row r="268" spans="1:5" x14ac:dyDescent="0.2">
      <c r="A268">
        <v>2071</v>
      </c>
      <c r="B268" s="8">
        <v>164329.79999999999</v>
      </c>
      <c r="C268" s="8">
        <v>0</v>
      </c>
      <c r="D268" s="8">
        <v>0</v>
      </c>
      <c r="E268" s="8">
        <v>0</v>
      </c>
    </row>
    <row r="269" spans="1:5" x14ac:dyDescent="0.2">
      <c r="A269">
        <v>2125</v>
      </c>
      <c r="B269" s="8">
        <v>57980</v>
      </c>
      <c r="C269" s="8">
        <v>0</v>
      </c>
      <c r="D269" s="8">
        <v>0</v>
      </c>
      <c r="E269" s="8">
        <v>0</v>
      </c>
    </row>
    <row r="270" spans="1:5" x14ac:dyDescent="0.2">
      <c r="A270">
        <v>2134</v>
      </c>
      <c r="B270" s="8">
        <v>16857.25</v>
      </c>
      <c r="C270" s="8">
        <v>0</v>
      </c>
      <c r="D270" s="8">
        <v>0</v>
      </c>
      <c r="E270" s="8">
        <v>0</v>
      </c>
    </row>
    <row r="271" spans="1:5" x14ac:dyDescent="0.2">
      <c r="A271">
        <v>2135</v>
      </c>
      <c r="B271" s="8">
        <v>41368</v>
      </c>
      <c r="C271" s="8">
        <v>0</v>
      </c>
      <c r="D271" s="8">
        <v>0</v>
      </c>
      <c r="E271" s="8">
        <v>0</v>
      </c>
    </row>
    <row r="272" spans="1:5" x14ac:dyDescent="0.2">
      <c r="A272">
        <v>2137</v>
      </c>
      <c r="B272" s="8">
        <v>29407</v>
      </c>
      <c r="C272" s="8">
        <v>0</v>
      </c>
      <c r="D272" s="8">
        <v>0</v>
      </c>
      <c r="E272" s="8">
        <v>0</v>
      </c>
    </row>
    <row r="273" spans="1:5" x14ac:dyDescent="0.2">
      <c r="A273">
        <v>2142</v>
      </c>
      <c r="B273" s="8">
        <v>18127.5</v>
      </c>
      <c r="C273" s="8">
        <v>0</v>
      </c>
      <c r="D273" s="8">
        <v>0</v>
      </c>
      <c r="E273" s="8">
        <v>0</v>
      </c>
    </row>
    <row r="274" spans="1:5" x14ac:dyDescent="0.2">
      <c r="A274">
        <v>2143</v>
      </c>
      <c r="B274" s="8">
        <v>12251.4</v>
      </c>
      <c r="C274" s="8">
        <v>0</v>
      </c>
      <c r="D274" s="8">
        <v>0</v>
      </c>
      <c r="E274" s="8">
        <v>0</v>
      </c>
    </row>
    <row r="275" spans="1:5" x14ac:dyDescent="0.2">
      <c r="A275">
        <v>2144</v>
      </c>
      <c r="B275" s="8">
        <v>3564.5</v>
      </c>
      <c r="C275" s="8">
        <v>0</v>
      </c>
      <c r="D275" s="8">
        <v>0</v>
      </c>
      <c r="E275" s="8">
        <v>0</v>
      </c>
    </row>
    <row r="276" spans="1:5" x14ac:dyDescent="0.2">
      <c r="A276">
        <v>2149</v>
      </c>
      <c r="B276" s="8">
        <v>520</v>
      </c>
      <c r="C276" s="8">
        <v>0</v>
      </c>
      <c r="D276" s="8">
        <v>0</v>
      </c>
      <c r="E276" s="8">
        <v>0</v>
      </c>
    </row>
    <row r="277" spans="1:5" x14ac:dyDescent="0.2">
      <c r="A277">
        <v>2154</v>
      </c>
      <c r="B277" s="8">
        <v>6450</v>
      </c>
      <c r="C277" s="8">
        <v>0</v>
      </c>
      <c r="D277" s="8">
        <v>0</v>
      </c>
      <c r="E277" s="8">
        <v>0</v>
      </c>
    </row>
    <row r="278" spans="1:5" x14ac:dyDescent="0.2">
      <c r="A278">
        <v>2155</v>
      </c>
      <c r="B278" s="8">
        <v>34061.699999999997</v>
      </c>
      <c r="C278" s="8">
        <v>0</v>
      </c>
      <c r="D278" s="8">
        <v>0</v>
      </c>
      <c r="E278" s="8">
        <v>0</v>
      </c>
    </row>
    <row r="279" spans="1:5" x14ac:dyDescent="0.2">
      <c r="A279">
        <v>2159</v>
      </c>
      <c r="B279" s="8">
        <v>25357.949999999997</v>
      </c>
      <c r="C279" s="8">
        <v>0</v>
      </c>
      <c r="D279" s="8">
        <v>0</v>
      </c>
      <c r="E279" s="8">
        <v>0</v>
      </c>
    </row>
    <row r="280" spans="1:5" x14ac:dyDescent="0.2">
      <c r="A280">
        <v>2164</v>
      </c>
      <c r="B280" s="8">
        <v>62316.5</v>
      </c>
      <c r="C280" s="8">
        <v>0</v>
      </c>
      <c r="D280" s="8">
        <v>0</v>
      </c>
      <c r="E280" s="8">
        <v>0</v>
      </c>
    </row>
    <row r="281" spans="1:5" x14ac:dyDescent="0.2">
      <c r="A281">
        <v>2165</v>
      </c>
      <c r="B281" s="8">
        <v>0</v>
      </c>
      <c r="C281" s="8">
        <v>0</v>
      </c>
      <c r="D281" s="8">
        <v>0</v>
      </c>
      <c r="E281" s="8">
        <v>30797.83</v>
      </c>
    </row>
    <row r="282" spans="1:5" x14ac:dyDescent="0.2">
      <c r="A282">
        <v>2167</v>
      </c>
      <c r="B282" s="8">
        <v>25025.96</v>
      </c>
      <c r="C282" s="8">
        <v>0</v>
      </c>
      <c r="D282" s="8">
        <v>0</v>
      </c>
      <c r="E282" s="8">
        <v>0</v>
      </c>
    </row>
    <row r="283" spans="1:5" x14ac:dyDescent="0.2">
      <c r="A283">
        <v>2168</v>
      </c>
      <c r="B283" s="8">
        <v>0</v>
      </c>
      <c r="C283" s="8">
        <v>0</v>
      </c>
      <c r="D283" s="8">
        <v>0</v>
      </c>
      <c r="E283" s="8">
        <v>0</v>
      </c>
    </row>
    <row r="284" spans="1:5" x14ac:dyDescent="0.2">
      <c r="A284">
        <v>2169</v>
      </c>
      <c r="B284" s="8">
        <v>30353.86</v>
      </c>
      <c r="C284" s="8">
        <v>0</v>
      </c>
      <c r="D284" s="8">
        <v>0</v>
      </c>
      <c r="E284" s="8">
        <v>9500</v>
      </c>
    </row>
    <row r="285" spans="1:5" x14ac:dyDescent="0.2">
      <c r="A285">
        <v>2170</v>
      </c>
      <c r="B285" s="8">
        <v>0</v>
      </c>
      <c r="C285" s="8">
        <v>0</v>
      </c>
      <c r="D285" s="8">
        <v>0</v>
      </c>
      <c r="E285" s="8">
        <v>0</v>
      </c>
    </row>
    <row r="286" spans="1:5" x14ac:dyDescent="0.2">
      <c r="A286">
        <v>2171</v>
      </c>
      <c r="B286" s="8">
        <v>2310</v>
      </c>
      <c r="C286" s="8">
        <v>0</v>
      </c>
      <c r="D286" s="8">
        <v>0</v>
      </c>
      <c r="E286" s="8">
        <v>0</v>
      </c>
    </row>
    <row r="287" spans="1:5" x14ac:dyDescent="0.2">
      <c r="A287">
        <v>2172</v>
      </c>
      <c r="B287" s="8">
        <v>0</v>
      </c>
      <c r="C287" s="8">
        <v>0</v>
      </c>
      <c r="D287" s="8">
        <v>0</v>
      </c>
      <c r="E287" s="8">
        <v>20771.580000000002</v>
      </c>
    </row>
    <row r="288" spans="1:5" x14ac:dyDescent="0.2">
      <c r="A288">
        <v>2174</v>
      </c>
      <c r="B288" s="8">
        <v>10420</v>
      </c>
      <c r="C288" s="8">
        <v>0</v>
      </c>
      <c r="D288" s="8">
        <v>0</v>
      </c>
      <c r="E288" s="8">
        <v>0</v>
      </c>
    </row>
    <row r="289" spans="1:5" x14ac:dyDescent="0.2">
      <c r="A289">
        <v>2176</v>
      </c>
      <c r="B289" s="8">
        <v>12228.15</v>
      </c>
      <c r="C289" s="8">
        <v>0</v>
      </c>
      <c r="D289" s="8">
        <v>0</v>
      </c>
      <c r="E289" s="8">
        <v>0</v>
      </c>
    </row>
    <row r="290" spans="1:5" x14ac:dyDescent="0.2">
      <c r="A290">
        <v>2180</v>
      </c>
      <c r="B290" s="8">
        <v>0</v>
      </c>
      <c r="C290" s="8">
        <v>0</v>
      </c>
      <c r="D290" s="8">
        <v>0</v>
      </c>
      <c r="E290" s="8">
        <v>0</v>
      </c>
    </row>
    <row r="291" spans="1:5" x14ac:dyDescent="0.2">
      <c r="A291">
        <v>2184</v>
      </c>
      <c r="B291" s="8">
        <v>4215</v>
      </c>
      <c r="C291" s="8">
        <v>0</v>
      </c>
      <c r="D291" s="8">
        <v>0</v>
      </c>
      <c r="E291" s="8">
        <v>0</v>
      </c>
    </row>
    <row r="292" spans="1:5" x14ac:dyDescent="0.2">
      <c r="A292">
        <v>2190</v>
      </c>
      <c r="B292" s="8">
        <v>10325</v>
      </c>
      <c r="C292" s="8">
        <v>0</v>
      </c>
      <c r="D292" s="8">
        <v>0</v>
      </c>
      <c r="E292" s="8">
        <v>0</v>
      </c>
    </row>
    <row r="293" spans="1:5" x14ac:dyDescent="0.2">
      <c r="A293">
        <v>2198</v>
      </c>
      <c r="B293" s="8">
        <v>37336.259999999995</v>
      </c>
      <c r="C293" s="8">
        <v>0</v>
      </c>
      <c r="D293" s="8">
        <v>0</v>
      </c>
      <c r="E293" s="8">
        <v>0</v>
      </c>
    </row>
    <row r="294" spans="1:5" x14ac:dyDescent="0.2">
      <c r="A294">
        <v>2215</v>
      </c>
      <c r="B294" s="8">
        <v>4590</v>
      </c>
      <c r="C294" s="8">
        <v>0</v>
      </c>
      <c r="D294" s="8">
        <v>0</v>
      </c>
      <c r="E294" s="8">
        <v>0</v>
      </c>
    </row>
    <row r="295" spans="1:5" x14ac:dyDescent="0.2">
      <c r="A295">
        <v>2310</v>
      </c>
      <c r="B295" s="8">
        <v>20312.419999999998</v>
      </c>
      <c r="C295" s="8">
        <v>0</v>
      </c>
      <c r="D295" s="8">
        <v>0</v>
      </c>
      <c r="E295" s="8">
        <v>0</v>
      </c>
    </row>
    <row r="296" spans="1:5" x14ac:dyDescent="0.2">
      <c r="A296">
        <v>2311</v>
      </c>
      <c r="B296" s="8">
        <v>10942</v>
      </c>
      <c r="C296" s="8">
        <v>0</v>
      </c>
      <c r="D296" s="8">
        <v>0</v>
      </c>
      <c r="E296" s="8">
        <v>0</v>
      </c>
    </row>
    <row r="297" spans="1:5" x14ac:dyDescent="0.2">
      <c r="A297">
        <v>2342</v>
      </c>
      <c r="B297" s="8">
        <v>8419.5499999999993</v>
      </c>
      <c r="C297" s="8">
        <v>0</v>
      </c>
      <c r="D297" s="8">
        <v>0</v>
      </c>
      <c r="E297" s="8">
        <v>0</v>
      </c>
    </row>
    <row r="298" spans="1:5" x14ac:dyDescent="0.2">
      <c r="A298">
        <v>2358</v>
      </c>
      <c r="B298" s="8">
        <v>0</v>
      </c>
      <c r="C298" s="8">
        <v>0</v>
      </c>
      <c r="D298" s="8">
        <v>0</v>
      </c>
      <c r="E298" s="8">
        <v>0</v>
      </c>
    </row>
    <row r="299" spans="1:5" x14ac:dyDescent="0.2">
      <c r="A299">
        <v>2364</v>
      </c>
      <c r="B299" s="8">
        <v>10261.599999999999</v>
      </c>
      <c r="C299" s="8">
        <v>0</v>
      </c>
      <c r="D299" s="8">
        <v>0</v>
      </c>
      <c r="E299" s="8">
        <v>0</v>
      </c>
    </row>
    <row r="300" spans="1:5" x14ac:dyDescent="0.2">
      <c r="A300">
        <v>2365</v>
      </c>
      <c r="B300" s="8">
        <v>20727.5</v>
      </c>
      <c r="C300" s="8">
        <v>0</v>
      </c>
      <c r="D300" s="8">
        <v>0</v>
      </c>
      <c r="E300" s="8">
        <v>0</v>
      </c>
    </row>
    <row r="301" spans="1:5" x14ac:dyDescent="0.2">
      <c r="A301">
        <v>2396</v>
      </c>
      <c r="B301" s="8">
        <v>75106.59</v>
      </c>
      <c r="C301" s="8">
        <v>0</v>
      </c>
      <c r="D301" s="8">
        <v>0</v>
      </c>
      <c r="E301" s="8">
        <v>0</v>
      </c>
    </row>
    <row r="302" spans="1:5" x14ac:dyDescent="0.2">
      <c r="A302">
        <v>2397</v>
      </c>
      <c r="B302" s="8">
        <v>34571.5</v>
      </c>
      <c r="C302" s="8">
        <v>0</v>
      </c>
      <c r="D302" s="8">
        <v>0</v>
      </c>
      <c r="E302" s="8">
        <v>0</v>
      </c>
    </row>
    <row r="303" spans="1:5" x14ac:dyDescent="0.2">
      <c r="A303">
        <v>2448</v>
      </c>
      <c r="B303" s="8">
        <v>30530.5</v>
      </c>
      <c r="C303" s="8">
        <v>0</v>
      </c>
      <c r="D303" s="8">
        <v>0</v>
      </c>
      <c r="E303" s="8">
        <v>26268.42</v>
      </c>
    </row>
    <row r="304" spans="1:5" x14ac:dyDescent="0.2">
      <c r="A304">
        <v>2527</v>
      </c>
      <c r="B304" s="8">
        <v>0</v>
      </c>
      <c r="C304" s="8">
        <v>502.74</v>
      </c>
      <c r="D304" s="8">
        <v>0</v>
      </c>
      <c r="E304" s="8">
        <v>0</v>
      </c>
    </row>
    <row r="305" spans="1:5" x14ac:dyDescent="0.2">
      <c r="A305">
        <v>2534</v>
      </c>
      <c r="B305" s="8">
        <v>16158.56</v>
      </c>
      <c r="C305" s="8">
        <v>0</v>
      </c>
      <c r="D305" s="8">
        <v>0</v>
      </c>
      <c r="E305" s="8">
        <v>0</v>
      </c>
    </row>
    <row r="306" spans="1:5" x14ac:dyDescent="0.2">
      <c r="A306">
        <v>2536</v>
      </c>
      <c r="B306" s="8">
        <v>4025</v>
      </c>
      <c r="C306" s="8">
        <v>0</v>
      </c>
      <c r="D306" s="8">
        <v>0</v>
      </c>
      <c r="E306" s="8">
        <v>0</v>
      </c>
    </row>
    <row r="307" spans="1:5" x14ac:dyDescent="0.2">
      <c r="A307">
        <v>2580</v>
      </c>
      <c r="B307" s="8">
        <v>3696</v>
      </c>
      <c r="C307" s="8">
        <v>0</v>
      </c>
      <c r="D307" s="8">
        <v>0</v>
      </c>
      <c r="E307" s="8">
        <v>0</v>
      </c>
    </row>
    <row r="308" spans="1:5" x14ac:dyDescent="0.2">
      <c r="A308">
        <v>2609</v>
      </c>
      <c r="B308" s="8">
        <v>3935</v>
      </c>
      <c r="C308" s="8">
        <v>0</v>
      </c>
      <c r="D308" s="8">
        <v>0</v>
      </c>
      <c r="E308" s="8">
        <v>0</v>
      </c>
    </row>
    <row r="309" spans="1:5" x14ac:dyDescent="0.2">
      <c r="A309">
        <v>2683</v>
      </c>
      <c r="B309" s="8">
        <v>5800</v>
      </c>
      <c r="C309" s="8">
        <v>0</v>
      </c>
      <c r="D309" s="8">
        <v>0</v>
      </c>
      <c r="E309" s="8">
        <v>0</v>
      </c>
    </row>
    <row r="310" spans="1:5" x14ac:dyDescent="0.2">
      <c r="A310">
        <v>2687</v>
      </c>
      <c r="B310" s="8">
        <v>0</v>
      </c>
      <c r="C310" s="8">
        <v>0</v>
      </c>
      <c r="D310" s="8">
        <v>0</v>
      </c>
      <c r="E310" s="8">
        <v>0</v>
      </c>
    </row>
    <row r="311" spans="1:5" x14ac:dyDescent="0.2">
      <c r="A311">
        <v>2689</v>
      </c>
      <c r="B311" s="8">
        <v>5434</v>
      </c>
      <c r="C311" s="8">
        <v>0</v>
      </c>
      <c r="D311" s="8">
        <v>0</v>
      </c>
      <c r="E311" s="8">
        <v>0</v>
      </c>
    </row>
    <row r="312" spans="1:5" x14ac:dyDescent="0.2">
      <c r="A312">
        <v>2711</v>
      </c>
      <c r="B312" s="8">
        <v>21895</v>
      </c>
      <c r="C312" s="8">
        <v>0</v>
      </c>
      <c r="D312" s="8">
        <v>0</v>
      </c>
      <c r="E312" s="8">
        <v>0</v>
      </c>
    </row>
    <row r="313" spans="1:5" x14ac:dyDescent="0.2">
      <c r="A313">
        <v>2752</v>
      </c>
      <c r="B313" s="8">
        <v>48034.2</v>
      </c>
      <c r="C313" s="8">
        <v>0</v>
      </c>
      <c r="D313" s="8">
        <v>0</v>
      </c>
      <c r="E313" s="8">
        <v>0</v>
      </c>
    </row>
    <row r="314" spans="1:5" x14ac:dyDescent="0.2">
      <c r="A314">
        <v>2753</v>
      </c>
      <c r="B314" s="8">
        <v>4920</v>
      </c>
      <c r="C314" s="8">
        <v>0</v>
      </c>
      <c r="D314" s="8">
        <v>0</v>
      </c>
      <c r="E314" s="8">
        <v>0</v>
      </c>
    </row>
    <row r="315" spans="1:5" x14ac:dyDescent="0.2">
      <c r="A315">
        <v>2754</v>
      </c>
      <c r="B315" s="8">
        <v>25567.35</v>
      </c>
      <c r="C315" s="8">
        <v>0</v>
      </c>
      <c r="D315" s="8">
        <v>0</v>
      </c>
      <c r="E315" s="8">
        <v>0</v>
      </c>
    </row>
    <row r="316" spans="1:5" x14ac:dyDescent="0.2">
      <c r="A316">
        <v>2759</v>
      </c>
      <c r="B316" s="8">
        <v>0</v>
      </c>
      <c r="C316" s="8">
        <v>0</v>
      </c>
      <c r="D316" s="8">
        <v>0</v>
      </c>
      <c r="E316" s="8">
        <v>0</v>
      </c>
    </row>
    <row r="317" spans="1:5" x14ac:dyDescent="0.2">
      <c r="A317">
        <v>2805</v>
      </c>
      <c r="B317" s="8">
        <v>36585.82</v>
      </c>
      <c r="C317" s="8">
        <v>0</v>
      </c>
      <c r="D317" s="8">
        <v>0</v>
      </c>
      <c r="E317" s="8">
        <v>0</v>
      </c>
    </row>
    <row r="318" spans="1:5" x14ac:dyDescent="0.2">
      <c r="A318">
        <v>2835</v>
      </c>
      <c r="B318" s="8">
        <v>37446</v>
      </c>
      <c r="C318" s="8">
        <v>0</v>
      </c>
      <c r="D318" s="8">
        <v>0</v>
      </c>
      <c r="E318" s="8">
        <v>0</v>
      </c>
    </row>
    <row r="319" spans="1:5" x14ac:dyDescent="0.2">
      <c r="A319">
        <v>2853</v>
      </c>
      <c r="B319" s="8">
        <v>59791.040000000001</v>
      </c>
      <c r="C319" s="8">
        <v>0</v>
      </c>
      <c r="D319" s="8">
        <v>0</v>
      </c>
      <c r="E319" s="8">
        <v>0</v>
      </c>
    </row>
    <row r="320" spans="1:5" x14ac:dyDescent="0.2">
      <c r="A320">
        <v>2854</v>
      </c>
      <c r="B320" s="8">
        <v>8651.5</v>
      </c>
      <c r="C320" s="8">
        <v>0</v>
      </c>
      <c r="D320" s="8">
        <v>0</v>
      </c>
      <c r="E320" s="8">
        <v>0</v>
      </c>
    </row>
    <row r="321" spans="1:5" x14ac:dyDescent="0.2">
      <c r="A321">
        <v>2856</v>
      </c>
      <c r="B321" s="8">
        <v>14990</v>
      </c>
      <c r="C321" s="8">
        <v>0</v>
      </c>
      <c r="D321" s="8">
        <v>0</v>
      </c>
      <c r="E321" s="8">
        <v>0</v>
      </c>
    </row>
    <row r="322" spans="1:5" x14ac:dyDescent="0.2">
      <c r="A322">
        <v>2859</v>
      </c>
      <c r="B322" s="8">
        <v>30322.97</v>
      </c>
      <c r="C322" s="8">
        <v>0</v>
      </c>
      <c r="D322" s="8">
        <v>0</v>
      </c>
      <c r="E322" s="8">
        <v>0</v>
      </c>
    </row>
    <row r="323" spans="1:5" x14ac:dyDescent="0.2">
      <c r="A323">
        <v>2860</v>
      </c>
      <c r="B323" s="8">
        <v>0</v>
      </c>
      <c r="C323" s="8">
        <v>0</v>
      </c>
      <c r="D323" s="8">
        <v>0</v>
      </c>
      <c r="E323" s="8">
        <v>0</v>
      </c>
    </row>
    <row r="324" spans="1:5" x14ac:dyDescent="0.2">
      <c r="A324">
        <v>2884</v>
      </c>
      <c r="B324" s="8">
        <v>6595</v>
      </c>
      <c r="C324" s="8">
        <v>0</v>
      </c>
      <c r="D324" s="8">
        <v>0</v>
      </c>
      <c r="E324" s="8">
        <v>0</v>
      </c>
    </row>
    <row r="325" spans="1:5" x14ac:dyDescent="0.2">
      <c r="A325">
        <v>2886</v>
      </c>
      <c r="B325" s="8">
        <v>0</v>
      </c>
      <c r="C325" s="8">
        <v>0</v>
      </c>
      <c r="D325" s="8">
        <v>0</v>
      </c>
      <c r="E325" s="8">
        <v>0</v>
      </c>
    </row>
    <row r="326" spans="1:5" x14ac:dyDescent="0.2">
      <c r="A326">
        <v>2887</v>
      </c>
      <c r="B326" s="8">
        <v>0</v>
      </c>
      <c r="C326" s="8">
        <v>0</v>
      </c>
      <c r="D326" s="8">
        <v>0</v>
      </c>
      <c r="E326" s="8">
        <v>0</v>
      </c>
    </row>
    <row r="327" spans="1:5" x14ac:dyDescent="0.2">
      <c r="A327">
        <v>2888</v>
      </c>
      <c r="B327" s="8">
        <v>12190</v>
      </c>
      <c r="C327" s="8">
        <v>0</v>
      </c>
      <c r="D327" s="8">
        <v>0</v>
      </c>
      <c r="E327" s="8">
        <v>9220</v>
      </c>
    </row>
    <row r="328" spans="1:5" x14ac:dyDescent="0.2">
      <c r="A328">
        <v>2889</v>
      </c>
      <c r="B328" s="8">
        <v>7215.54</v>
      </c>
      <c r="C328" s="8">
        <v>0</v>
      </c>
      <c r="D328" s="8">
        <v>0</v>
      </c>
      <c r="E328" s="8">
        <v>0</v>
      </c>
    </row>
    <row r="329" spans="1:5" x14ac:dyDescent="0.2">
      <c r="A329">
        <v>2890</v>
      </c>
      <c r="B329" s="8">
        <v>13339</v>
      </c>
      <c r="C329" s="8">
        <v>0</v>
      </c>
      <c r="D329" s="8">
        <v>0</v>
      </c>
      <c r="E329" s="8">
        <v>0</v>
      </c>
    </row>
    <row r="330" spans="1:5" x14ac:dyDescent="0.2">
      <c r="A330">
        <v>2895</v>
      </c>
      <c r="B330" s="8">
        <v>14821.5</v>
      </c>
      <c r="C330" s="8">
        <v>0</v>
      </c>
      <c r="D330" s="8">
        <v>0</v>
      </c>
      <c r="E330" s="8">
        <v>0</v>
      </c>
    </row>
    <row r="331" spans="1:5" x14ac:dyDescent="0.2">
      <c r="A331">
        <v>2897</v>
      </c>
      <c r="B331" s="8">
        <v>36900</v>
      </c>
      <c r="C331" s="8">
        <v>0</v>
      </c>
      <c r="D331" s="8">
        <v>0</v>
      </c>
      <c r="E331" s="8">
        <v>0</v>
      </c>
    </row>
    <row r="332" spans="1:5" x14ac:dyDescent="0.2">
      <c r="A332">
        <v>2898</v>
      </c>
      <c r="B332" s="8">
        <v>2556.5</v>
      </c>
      <c r="C332" s="8">
        <v>0</v>
      </c>
      <c r="D332" s="8">
        <v>0</v>
      </c>
      <c r="E332" s="8">
        <v>0</v>
      </c>
    </row>
    <row r="333" spans="1:5" x14ac:dyDescent="0.2">
      <c r="A333">
        <v>2899</v>
      </c>
      <c r="B333" s="8">
        <v>57655</v>
      </c>
      <c r="C333" s="8">
        <v>9360</v>
      </c>
      <c r="D333" s="8">
        <v>0</v>
      </c>
      <c r="E333" s="8">
        <v>0</v>
      </c>
    </row>
    <row r="334" spans="1:5" x14ac:dyDescent="0.2">
      <c r="A334">
        <v>2902</v>
      </c>
      <c r="B334" s="8">
        <v>0</v>
      </c>
      <c r="C334" s="8">
        <v>0</v>
      </c>
      <c r="D334" s="8">
        <v>0</v>
      </c>
      <c r="E334" s="8">
        <v>0</v>
      </c>
    </row>
    <row r="335" spans="1:5" x14ac:dyDescent="0.2">
      <c r="A335">
        <v>2903</v>
      </c>
      <c r="B335" s="8">
        <v>19782.93</v>
      </c>
      <c r="C335" s="8">
        <v>0</v>
      </c>
      <c r="D335" s="8">
        <v>0</v>
      </c>
      <c r="E335" s="8">
        <v>6898</v>
      </c>
    </row>
    <row r="336" spans="1:5" x14ac:dyDescent="0.2">
      <c r="A336">
        <v>2904</v>
      </c>
      <c r="B336" s="8">
        <v>2574</v>
      </c>
      <c r="C336" s="8">
        <v>0</v>
      </c>
      <c r="D336" s="8">
        <v>0</v>
      </c>
      <c r="E336" s="8">
        <v>0</v>
      </c>
    </row>
    <row r="337" spans="1:5" x14ac:dyDescent="0.2">
      <c r="A337">
        <v>9999</v>
      </c>
      <c r="B337" s="8">
        <v>249000</v>
      </c>
      <c r="C337" s="8">
        <v>0</v>
      </c>
      <c r="D337" s="8">
        <v>118300.52</v>
      </c>
      <c r="E337" s="8">
        <v>0</v>
      </c>
    </row>
    <row r="338" spans="1:5" x14ac:dyDescent="0.2">
      <c r="A338">
        <v>1000</v>
      </c>
      <c r="B338" s="8">
        <v>10071010.219999999</v>
      </c>
      <c r="C338" s="8">
        <v>85665.55</v>
      </c>
      <c r="D338" s="8">
        <v>1214811.92</v>
      </c>
      <c r="E338" s="8">
        <v>570888.66</v>
      </c>
    </row>
  </sheetData>
  <sheetProtection password="8A77" sheet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336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F21" sqref="F21"/>
    </sheetView>
  </sheetViews>
  <sheetFormatPr defaultRowHeight="12.75" x14ac:dyDescent="0.2"/>
  <cols>
    <col min="2" max="2" width="9.28515625" bestFit="1" customWidth="1"/>
    <col min="3" max="5" width="11.28515625" bestFit="1" customWidth="1"/>
    <col min="6" max="6" width="10.28515625" bestFit="1" customWidth="1"/>
    <col min="7" max="7" width="9.28515625" bestFit="1" customWidth="1"/>
    <col min="8" max="8" width="11.28515625" bestFit="1" customWidth="1"/>
    <col min="9" max="9" width="10.28515625" bestFit="1" customWidth="1"/>
    <col min="10" max="14" width="9.28515625" bestFit="1" customWidth="1"/>
    <col min="15" max="16" width="10.28515625" bestFit="1" customWidth="1"/>
    <col min="17" max="18" width="9.28515625" bestFit="1" customWidth="1"/>
    <col min="57" max="57" width="11.28515625" bestFit="1" customWidth="1"/>
    <col min="58" max="59" width="10.28515625" bestFit="1" customWidth="1"/>
  </cols>
  <sheetData>
    <row r="1" spans="1:109" x14ac:dyDescent="0.2">
      <c r="A1" s="3">
        <v>1</v>
      </c>
      <c r="B1" s="3">
        <v>2</v>
      </c>
      <c r="C1" s="3">
        <v>3</v>
      </c>
      <c r="D1" s="3">
        <v>4</v>
      </c>
      <c r="E1" s="3">
        <v>5</v>
      </c>
      <c r="F1" s="3">
        <v>6</v>
      </c>
      <c r="G1" s="3">
        <v>7</v>
      </c>
      <c r="H1" s="3">
        <v>8</v>
      </c>
      <c r="I1" s="3">
        <v>9</v>
      </c>
      <c r="J1" s="3">
        <v>10</v>
      </c>
      <c r="K1" s="3">
        <v>11</v>
      </c>
      <c r="L1" s="3">
        <v>12</v>
      </c>
      <c r="M1" s="3">
        <v>13</v>
      </c>
      <c r="N1" s="3">
        <v>14</v>
      </c>
      <c r="O1" s="3">
        <v>15</v>
      </c>
      <c r="P1" s="3">
        <v>16</v>
      </c>
      <c r="Q1" s="3">
        <v>17</v>
      </c>
      <c r="R1" s="3">
        <v>18</v>
      </c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O1">
        <v>143</v>
      </c>
      <c r="BP1">
        <v>144</v>
      </c>
      <c r="BQ1">
        <v>145</v>
      </c>
      <c r="BR1">
        <v>146</v>
      </c>
      <c r="BS1">
        <v>185</v>
      </c>
      <c r="BT1">
        <v>195</v>
      </c>
      <c r="BU1">
        <v>199</v>
      </c>
      <c r="BW1">
        <v>210</v>
      </c>
      <c r="BX1">
        <v>214</v>
      </c>
      <c r="BY1">
        <v>218</v>
      </c>
      <c r="BZ1">
        <v>220</v>
      </c>
      <c r="CA1">
        <v>230</v>
      </c>
      <c r="CB1">
        <v>235</v>
      </c>
      <c r="CC1">
        <v>240</v>
      </c>
      <c r="CD1">
        <v>250</v>
      </c>
      <c r="CE1">
        <v>251</v>
      </c>
      <c r="CF1">
        <v>252</v>
      </c>
      <c r="CG1">
        <v>270</v>
      </c>
      <c r="CH1">
        <v>280</v>
      </c>
      <c r="CI1">
        <v>290</v>
      </c>
      <c r="CJ1">
        <v>291</v>
      </c>
      <c r="CK1">
        <v>295</v>
      </c>
      <c r="CL1">
        <v>299</v>
      </c>
      <c r="CQ1">
        <v>360</v>
      </c>
      <c r="CR1">
        <v>365</v>
      </c>
      <c r="CV1">
        <v>303</v>
      </c>
      <c r="CW1">
        <v>304</v>
      </c>
      <c r="CX1">
        <v>330</v>
      </c>
      <c r="CY1">
        <v>350</v>
      </c>
      <c r="CZ1">
        <v>368</v>
      </c>
      <c r="DA1">
        <v>390</v>
      </c>
      <c r="DB1">
        <v>391</v>
      </c>
      <c r="DC1">
        <v>394</v>
      </c>
      <c r="DD1">
        <v>395</v>
      </c>
      <c r="DE1">
        <v>398</v>
      </c>
    </row>
    <row r="2" spans="1:109" x14ac:dyDescent="0.2">
      <c r="A2" t="s">
        <v>398</v>
      </c>
      <c r="B2" s="41">
        <v>110</v>
      </c>
      <c r="C2" s="43">
        <v>120</v>
      </c>
      <c r="D2" s="41">
        <v>140</v>
      </c>
      <c r="E2" s="43">
        <v>141</v>
      </c>
      <c r="F2" s="41">
        <v>170</v>
      </c>
      <c r="G2" s="43" t="s">
        <v>391</v>
      </c>
      <c r="H2" s="41" t="s">
        <v>392</v>
      </c>
      <c r="I2" s="43">
        <v>305</v>
      </c>
      <c r="J2" s="41">
        <v>320</v>
      </c>
      <c r="K2" s="43">
        <v>329</v>
      </c>
      <c r="L2" s="41" t="s">
        <v>393</v>
      </c>
      <c r="M2" s="43">
        <v>366</v>
      </c>
      <c r="N2" s="41">
        <v>370</v>
      </c>
      <c r="O2" s="43" t="s">
        <v>394</v>
      </c>
      <c r="P2" s="41" t="s">
        <v>395</v>
      </c>
      <c r="Q2" s="43" t="s">
        <v>396</v>
      </c>
      <c r="R2" s="41" t="s">
        <v>397</v>
      </c>
      <c r="BQ2">
        <v>825.52</v>
      </c>
      <c r="BR2">
        <v>246.5</v>
      </c>
      <c r="BT2">
        <v>-572</v>
      </c>
      <c r="BW2">
        <v>2603.44</v>
      </c>
      <c r="BX2">
        <v>287.83</v>
      </c>
      <c r="BY2">
        <v>1612.79</v>
      </c>
      <c r="BZ2">
        <v>1529</v>
      </c>
      <c r="CA2">
        <v>134.41</v>
      </c>
      <c r="CD2">
        <v>81.2</v>
      </c>
      <c r="CG2">
        <v>224.96</v>
      </c>
      <c r="CR2">
        <v>63.95</v>
      </c>
    </row>
    <row r="3" spans="1:109" x14ac:dyDescent="0.2">
      <c r="A3">
        <v>1</v>
      </c>
      <c r="B3" s="41"/>
      <c r="C3" s="43"/>
      <c r="D3" s="41">
        <v>32253.360000000001</v>
      </c>
      <c r="E3" s="43"/>
      <c r="F3" s="41">
        <v>4282.2</v>
      </c>
      <c r="G3" s="43">
        <v>500.02</v>
      </c>
      <c r="H3" s="41">
        <v>6473.6299999999992</v>
      </c>
      <c r="I3" s="43"/>
      <c r="J3" s="41"/>
      <c r="K3" s="43"/>
      <c r="L3" s="41">
        <v>63.95</v>
      </c>
      <c r="M3" s="43">
        <v>530</v>
      </c>
      <c r="N3" s="41"/>
      <c r="O3" s="43">
        <v>0</v>
      </c>
      <c r="P3" s="41">
        <v>164.24</v>
      </c>
      <c r="Q3" s="43">
        <v>0</v>
      </c>
      <c r="R3" s="41">
        <v>0</v>
      </c>
      <c r="BW3">
        <v>332.89</v>
      </c>
      <c r="BX3">
        <v>61.51</v>
      </c>
      <c r="BY3">
        <v>195.08</v>
      </c>
    </row>
    <row r="4" spans="1:109" x14ac:dyDescent="0.2">
      <c r="A4">
        <v>2</v>
      </c>
      <c r="B4" s="41"/>
      <c r="C4" s="43"/>
      <c r="D4" s="41">
        <v>3545.32</v>
      </c>
      <c r="E4" s="43">
        <v>925.92</v>
      </c>
      <c r="F4" s="41"/>
      <c r="G4" s="43">
        <v>0</v>
      </c>
      <c r="H4" s="41">
        <v>589.48</v>
      </c>
      <c r="I4" s="43"/>
      <c r="J4" s="41"/>
      <c r="K4" s="43"/>
      <c r="L4" s="41">
        <v>0</v>
      </c>
      <c r="M4" s="43"/>
      <c r="N4" s="41"/>
      <c r="O4" s="43">
        <v>0</v>
      </c>
      <c r="P4" s="41">
        <v>302.67</v>
      </c>
      <c r="Q4" s="43">
        <v>0</v>
      </c>
      <c r="R4" s="41">
        <v>0</v>
      </c>
      <c r="BR4">
        <v>208.25</v>
      </c>
      <c r="BW4">
        <v>1142.25</v>
      </c>
      <c r="BX4">
        <v>314.42</v>
      </c>
      <c r="BY4">
        <v>637.79</v>
      </c>
      <c r="BZ4">
        <v>1406.13</v>
      </c>
      <c r="CB4">
        <v>14.88</v>
      </c>
      <c r="CC4">
        <v>37.1</v>
      </c>
      <c r="CG4">
        <v>55.1</v>
      </c>
    </row>
    <row r="5" spans="1:109" x14ac:dyDescent="0.2">
      <c r="A5">
        <v>4</v>
      </c>
      <c r="B5" s="41"/>
      <c r="C5" s="43"/>
      <c r="D5" s="41">
        <v>11595.18</v>
      </c>
      <c r="E5" s="43">
        <v>4628.25</v>
      </c>
      <c r="F5" s="41">
        <v>195.84</v>
      </c>
      <c r="G5" s="43">
        <v>208.25</v>
      </c>
      <c r="H5" s="41">
        <v>3607.67</v>
      </c>
      <c r="I5" s="43"/>
      <c r="J5" s="41"/>
      <c r="K5" s="43"/>
      <c r="L5" s="41">
        <v>0</v>
      </c>
      <c r="M5" s="43">
        <v>118.17</v>
      </c>
      <c r="N5" s="41"/>
      <c r="O5" s="43">
        <v>0</v>
      </c>
      <c r="P5" s="41">
        <v>433.11</v>
      </c>
      <c r="Q5" s="43">
        <v>0</v>
      </c>
      <c r="R5" s="41">
        <v>105</v>
      </c>
      <c r="BW5">
        <v>3312.53</v>
      </c>
      <c r="BX5">
        <v>2916.48</v>
      </c>
      <c r="BY5">
        <v>14.73</v>
      </c>
      <c r="BZ5">
        <v>6375.42</v>
      </c>
      <c r="CA5">
        <v>70.98</v>
      </c>
      <c r="CB5">
        <v>176.45</v>
      </c>
      <c r="CC5">
        <v>227.27</v>
      </c>
      <c r="CD5">
        <v>834.64</v>
      </c>
      <c r="CG5">
        <v>291.58999999999997</v>
      </c>
      <c r="CQ5">
        <v>182.74</v>
      </c>
      <c r="DB5">
        <v>14675.15</v>
      </c>
      <c r="DC5">
        <v>94.83</v>
      </c>
      <c r="DE5">
        <v>3.55</v>
      </c>
    </row>
    <row r="6" spans="1:109" x14ac:dyDescent="0.2">
      <c r="A6">
        <v>6</v>
      </c>
      <c r="B6" s="41"/>
      <c r="C6" s="43">
        <v>29418.26</v>
      </c>
      <c r="D6" s="41"/>
      <c r="E6" s="43">
        <v>11019.27</v>
      </c>
      <c r="F6" s="41">
        <v>3818.39</v>
      </c>
      <c r="G6" s="43">
        <v>0</v>
      </c>
      <c r="H6" s="41">
        <v>14220.09</v>
      </c>
      <c r="I6" s="43">
        <v>98.67</v>
      </c>
      <c r="J6" s="41"/>
      <c r="K6" s="43">
        <v>49.83</v>
      </c>
      <c r="L6" s="41">
        <v>182.74</v>
      </c>
      <c r="M6" s="43">
        <v>134.72</v>
      </c>
      <c r="N6" s="41"/>
      <c r="O6" s="43">
        <v>14773.529999999999</v>
      </c>
      <c r="P6" s="41">
        <v>993.58</v>
      </c>
      <c r="Q6" s="43">
        <v>0</v>
      </c>
      <c r="R6" s="41">
        <v>47.5</v>
      </c>
      <c r="BU6">
        <v>705.29</v>
      </c>
      <c r="BW6">
        <v>61941.46</v>
      </c>
      <c r="BX6">
        <v>48259.92</v>
      </c>
      <c r="BY6">
        <v>4151.99</v>
      </c>
      <c r="CD6">
        <v>4083.16</v>
      </c>
      <c r="CL6">
        <v>40040.22</v>
      </c>
      <c r="CR6">
        <v>7825.73</v>
      </c>
      <c r="CX6">
        <v>10381.66</v>
      </c>
      <c r="CY6">
        <v>782.07</v>
      </c>
      <c r="DE6">
        <v>45724.92</v>
      </c>
    </row>
    <row r="7" spans="1:109" x14ac:dyDescent="0.2">
      <c r="A7">
        <v>11</v>
      </c>
      <c r="B7" s="45">
        <v>8685.02</v>
      </c>
      <c r="C7" s="46">
        <v>130300.91</v>
      </c>
      <c r="D7" s="45">
        <v>396584.24</v>
      </c>
      <c r="E7" s="46">
        <v>232104.56</v>
      </c>
      <c r="F7" s="45">
        <v>42592.01</v>
      </c>
      <c r="G7" s="46">
        <v>705.29</v>
      </c>
      <c r="H7" s="45">
        <v>158476.75</v>
      </c>
      <c r="I7" s="46">
        <v>29494.14</v>
      </c>
      <c r="J7" s="45">
        <v>5842.56</v>
      </c>
      <c r="K7" s="46">
        <v>5970.86</v>
      </c>
      <c r="L7" s="45">
        <v>7825.73</v>
      </c>
      <c r="M7" s="46">
        <v>1716.22</v>
      </c>
      <c r="N7" s="45">
        <v>1748.02</v>
      </c>
      <c r="O7" s="46">
        <v>56888.649999999994</v>
      </c>
      <c r="P7" s="45">
        <v>50546.35</v>
      </c>
      <c r="Q7" s="46">
        <v>7928.48</v>
      </c>
      <c r="R7" s="45">
        <v>316.67</v>
      </c>
      <c r="BW7">
        <v>4342.84</v>
      </c>
      <c r="BX7">
        <v>948.35</v>
      </c>
      <c r="BY7">
        <v>2332.27</v>
      </c>
      <c r="CA7">
        <v>74.72</v>
      </c>
      <c r="CB7">
        <v>793</v>
      </c>
      <c r="CC7">
        <v>128.16</v>
      </c>
      <c r="CD7">
        <v>23.98</v>
      </c>
    </row>
    <row r="8" spans="1:109" x14ac:dyDescent="0.2">
      <c r="A8">
        <v>12</v>
      </c>
      <c r="B8" s="41"/>
      <c r="C8" s="43">
        <v>15067.25</v>
      </c>
      <c r="D8" s="41">
        <v>42976.800000000003</v>
      </c>
      <c r="E8" s="43">
        <v>2990.96</v>
      </c>
      <c r="F8" s="41">
        <v>10844.44</v>
      </c>
      <c r="G8" s="43">
        <v>0</v>
      </c>
      <c r="H8" s="41">
        <v>8643.32</v>
      </c>
      <c r="I8" s="43">
        <v>80</v>
      </c>
      <c r="J8" s="41"/>
      <c r="K8" s="43"/>
      <c r="L8" s="41">
        <v>0</v>
      </c>
      <c r="M8" s="43"/>
      <c r="N8" s="41"/>
      <c r="O8" s="43">
        <v>0</v>
      </c>
      <c r="P8" s="41">
        <v>45.02</v>
      </c>
      <c r="Q8" s="43">
        <v>0</v>
      </c>
      <c r="R8" s="41">
        <v>0</v>
      </c>
      <c r="CK8">
        <v>14406.23</v>
      </c>
    </row>
    <row r="9" spans="1:109" x14ac:dyDescent="0.2">
      <c r="A9">
        <v>13</v>
      </c>
      <c r="B9" s="41"/>
      <c r="C9" s="43">
        <v>1000</v>
      </c>
      <c r="D9" s="41">
        <v>40242.949999999997</v>
      </c>
      <c r="E9" s="43">
        <v>12435.32</v>
      </c>
      <c r="F9" s="41">
        <v>746.23</v>
      </c>
      <c r="G9" s="43">
        <v>0</v>
      </c>
      <c r="H9" s="41">
        <v>14406.23</v>
      </c>
      <c r="I9" s="43">
        <v>1574.33</v>
      </c>
      <c r="J9" s="41"/>
      <c r="K9" s="43">
        <v>351.5</v>
      </c>
      <c r="L9" s="41">
        <v>0</v>
      </c>
      <c r="M9" s="43">
        <v>246.27</v>
      </c>
      <c r="N9" s="41"/>
      <c r="O9" s="43">
        <v>0</v>
      </c>
      <c r="P9" s="41">
        <v>619.32999999999993</v>
      </c>
      <c r="Q9" s="43">
        <v>0</v>
      </c>
      <c r="R9" s="41">
        <v>0</v>
      </c>
      <c r="BW9">
        <v>2944.14</v>
      </c>
      <c r="BX9">
        <v>1476.6</v>
      </c>
      <c r="BY9">
        <v>854.58</v>
      </c>
      <c r="BZ9">
        <v>7236.6</v>
      </c>
      <c r="CD9">
        <v>503.92</v>
      </c>
      <c r="CG9">
        <v>272.68</v>
      </c>
    </row>
    <row r="10" spans="1:109" x14ac:dyDescent="0.2">
      <c r="A10">
        <v>14</v>
      </c>
      <c r="B10" s="41"/>
      <c r="C10" s="43">
        <v>16849.150000000001</v>
      </c>
      <c r="D10" s="41">
        <v>15536.7</v>
      </c>
      <c r="E10" s="43">
        <v>7713.51</v>
      </c>
      <c r="F10" s="41"/>
      <c r="G10" s="43">
        <v>0</v>
      </c>
      <c r="H10" s="41">
        <v>13288.52</v>
      </c>
      <c r="I10" s="43"/>
      <c r="J10" s="41"/>
      <c r="K10" s="43">
        <v>21.9</v>
      </c>
      <c r="L10" s="41">
        <v>0</v>
      </c>
      <c r="M10" s="43">
        <v>80</v>
      </c>
      <c r="N10" s="41"/>
      <c r="O10" s="43">
        <v>0</v>
      </c>
      <c r="P10" s="41">
        <v>283.10000000000002</v>
      </c>
      <c r="Q10" s="43">
        <v>0</v>
      </c>
      <c r="R10" s="41">
        <v>47.5</v>
      </c>
      <c r="BS10">
        <v>8043.35</v>
      </c>
      <c r="BW10">
        <v>1255.3800000000001</v>
      </c>
      <c r="BX10">
        <v>897.78</v>
      </c>
      <c r="BY10">
        <v>236.91</v>
      </c>
      <c r="BZ10">
        <v>1961.73</v>
      </c>
      <c r="CA10">
        <v>42.35</v>
      </c>
      <c r="CB10">
        <v>178.77</v>
      </c>
      <c r="CC10">
        <v>30.59</v>
      </c>
      <c r="CD10">
        <v>100</v>
      </c>
      <c r="CE10">
        <v>100</v>
      </c>
      <c r="CR10">
        <v>19001.099999999999</v>
      </c>
    </row>
    <row r="11" spans="1:109" x14ac:dyDescent="0.2">
      <c r="A11">
        <v>15</v>
      </c>
      <c r="B11" s="41"/>
      <c r="C11" s="43">
        <v>4561.46</v>
      </c>
      <c r="D11" s="41"/>
      <c r="E11" s="43"/>
      <c r="F11" s="41">
        <v>5510.39</v>
      </c>
      <c r="G11" s="43">
        <v>8043.35</v>
      </c>
      <c r="H11" s="41">
        <v>4803.51</v>
      </c>
      <c r="I11" s="43">
        <v>17240</v>
      </c>
      <c r="J11" s="41"/>
      <c r="K11" s="43"/>
      <c r="L11" s="41">
        <v>19001.099999999999</v>
      </c>
      <c r="M11" s="43"/>
      <c r="N11" s="41"/>
      <c r="O11" s="43">
        <v>0</v>
      </c>
      <c r="P11" s="41">
        <v>0</v>
      </c>
      <c r="Q11" s="43">
        <v>0</v>
      </c>
      <c r="R11" s="41">
        <v>0</v>
      </c>
      <c r="BW11">
        <v>4330.24</v>
      </c>
      <c r="BX11">
        <v>1970.23</v>
      </c>
      <c r="BY11">
        <v>1547.98</v>
      </c>
      <c r="BZ11">
        <v>2230.96</v>
      </c>
      <c r="CA11">
        <v>30.42</v>
      </c>
      <c r="CB11">
        <v>211.12</v>
      </c>
      <c r="CC11">
        <v>15.31</v>
      </c>
      <c r="CD11">
        <v>190.06</v>
      </c>
      <c r="CE11">
        <v>570.03</v>
      </c>
    </row>
    <row r="12" spans="1:109" x14ac:dyDescent="0.2">
      <c r="A12">
        <v>16</v>
      </c>
      <c r="B12" s="41"/>
      <c r="C12" s="43"/>
      <c r="D12" s="41">
        <v>13846.11</v>
      </c>
      <c r="E12" s="43">
        <v>18176.29</v>
      </c>
      <c r="F12" s="41">
        <v>26700.1</v>
      </c>
      <c r="G12" s="43">
        <v>0</v>
      </c>
      <c r="H12" s="41">
        <v>11096.35</v>
      </c>
      <c r="I12" s="43">
        <v>3493.5</v>
      </c>
      <c r="J12" s="41"/>
      <c r="K12" s="43"/>
      <c r="L12" s="41">
        <v>0</v>
      </c>
      <c r="M12" s="43">
        <v>280</v>
      </c>
      <c r="N12" s="41"/>
      <c r="O12" s="43">
        <v>0</v>
      </c>
      <c r="P12" s="41">
        <v>144.85</v>
      </c>
      <c r="Q12" s="43">
        <v>0</v>
      </c>
      <c r="R12" s="41">
        <v>0</v>
      </c>
      <c r="BT12">
        <v>1589.18</v>
      </c>
      <c r="BW12">
        <v>3966.01</v>
      </c>
      <c r="BX12">
        <v>952.82</v>
      </c>
      <c r="BY12">
        <v>2097.12</v>
      </c>
      <c r="BZ12">
        <v>1222.75</v>
      </c>
      <c r="CA12">
        <v>12.08</v>
      </c>
      <c r="CD12">
        <v>28.5</v>
      </c>
      <c r="CE12">
        <v>55.71</v>
      </c>
      <c r="CG12">
        <v>238.19</v>
      </c>
      <c r="CK12">
        <v>610.16</v>
      </c>
      <c r="DE12">
        <v>6659.44</v>
      </c>
    </row>
    <row r="13" spans="1:109" x14ac:dyDescent="0.2">
      <c r="A13">
        <v>22</v>
      </c>
      <c r="B13" s="41">
        <v>1700.79</v>
      </c>
      <c r="C13" s="43"/>
      <c r="D13" s="41">
        <v>35393.75</v>
      </c>
      <c r="E13" s="43">
        <v>11955.45</v>
      </c>
      <c r="F13" s="41">
        <v>3884.26</v>
      </c>
      <c r="G13" s="43">
        <v>1589.18</v>
      </c>
      <c r="H13" s="41">
        <v>9183.34</v>
      </c>
      <c r="I13" s="43"/>
      <c r="J13" s="41"/>
      <c r="K13" s="43">
        <v>47.89</v>
      </c>
      <c r="L13" s="41">
        <v>0</v>
      </c>
      <c r="M13" s="43">
        <v>314.18</v>
      </c>
      <c r="N13" s="41"/>
      <c r="O13" s="43">
        <v>6659.44</v>
      </c>
      <c r="P13" s="41">
        <v>337.34</v>
      </c>
      <c r="Q13" s="43">
        <v>0</v>
      </c>
      <c r="R13" s="41">
        <v>0</v>
      </c>
      <c r="BW13">
        <v>1750.52</v>
      </c>
      <c r="BX13">
        <v>540.11</v>
      </c>
      <c r="BY13">
        <v>818.64</v>
      </c>
      <c r="CA13">
        <v>5.22</v>
      </c>
      <c r="CC13">
        <v>2.4700000000000002</v>
      </c>
      <c r="CD13">
        <v>8.76</v>
      </c>
    </row>
    <row r="14" spans="1:109" x14ac:dyDescent="0.2">
      <c r="A14">
        <v>23</v>
      </c>
      <c r="B14" s="41">
        <v>528.6</v>
      </c>
      <c r="C14" s="43"/>
      <c r="D14" s="41">
        <v>14356</v>
      </c>
      <c r="E14" s="43"/>
      <c r="F14" s="41">
        <v>8141.4</v>
      </c>
      <c r="G14" s="43">
        <v>0</v>
      </c>
      <c r="H14" s="41">
        <v>3125.72</v>
      </c>
      <c r="I14" s="43"/>
      <c r="J14" s="41"/>
      <c r="K14" s="43"/>
      <c r="L14" s="41">
        <v>0</v>
      </c>
      <c r="M14" s="43">
        <v>307.33999999999997</v>
      </c>
      <c r="N14" s="41"/>
      <c r="O14" s="43">
        <v>0</v>
      </c>
      <c r="P14" s="41">
        <v>0</v>
      </c>
      <c r="Q14" s="43">
        <v>0</v>
      </c>
      <c r="R14" s="41">
        <v>0</v>
      </c>
      <c r="BW14">
        <v>125.28</v>
      </c>
      <c r="BY14">
        <v>90</v>
      </c>
      <c r="BZ14">
        <v>189.64</v>
      </c>
      <c r="CA14">
        <v>6</v>
      </c>
      <c r="CB14">
        <v>2.64</v>
      </c>
      <c r="CC14">
        <v>9.1199999999999992</v>
      </c>
    </row>
    <row r="15" spans="1:109" x14ac:dyDescent="0.2">
      <c r="A15">
        <v>25</v>
      </c>
      <c r="B15" s="41"/>
      <c r="C15" s="43"/>
      <c r="D15" s="41">
        <v>1637.28</v>
      </c>
      <c r="E15" s="43"/>
      <c r="F15" s="41"/>
      <c r="G15" s="43">
        <v>0</v>
      </c>
      <c r="H15" s="41">
        <v>422.67999999999995</v>
      </c>
      <c r="I15" s="43"/>
      <c r="J15" s="41"/>
      <c r="K15" s="43"/>
      <c r="L15" s="41">
        <v>0</v>
      </c>
      <c r="M15" s="43"/>
      <c r="N15" s="41"/>
      <c r="O15" s="43">
        <v>0</v>
      </c>
      <c r="P15" s="41">
        <v>0</v>
      </c>
      <c r="Q15" s="43">
        <v>0</v>
      </c>
      <c r="R15" s="41">
        <v>0</v>
      </c>
      <c r="BW15">
        <v>3097.18</v>
      </c>
      <c r="BX15">
        <v>244</v>
      </c>
      <c r="BY15">
        <v>2565.12</v>
      </c>
      <c r="BZ15">
        <v>6387.12</v>
      </c>
      <c r="CB15">
        <v>1188</v>
      </c>
      <c r="CD15">
        <v>1600.08</v>
      </c>
      <c r="CG15">
        <v>505</v>
      </c>
    </row>
    <row r="16" spans="1:109" x14ac:dyDescent="0.2">
      <c r="A16">
        <v>31</v>
      </c>
      <c r="B16" s="41">
        <v>3305</v>
      </c>
      <c r="C16" s="43"/>
      <c r="D16" s="41">
        <v>46639</v>
      </c>
      <c r="E16" s="43"/>
      <c r="F16" s="41"/>
      <c r="G16" s="43">
        <v>0</v>
      </c>
      <c r="H16" s="41">
        <v>15586.499999999998</v>
      </c>
      <c r="I16" s="43">
        <v>1830.87</v>
      </c>
      <c r="J16" s="41"/>
      <c r="K16" s="43"/>
      <c r="L16" s="41">
        <v>0</v>
      </c>
      <c r="M16" s="43"/>
      <c r="N16" s="41"/>
      <c r="O16" s="43">
        <v>0</v>
      </c>
      <c r="P16" s="41">
        <v>0</v>
      </c>
      <c r="Q16" s="43">
        <v>0</v>
      </c>
      <c r="R16" s="41">
        <v>0</v>
      </c>
      <c r="BW16">
        <v>496.82</v>
      </c>
      <c r="BY16">
        <v>299.27999999999997</v>
      </c>
      <c r="CD16">
        <v>148.08000000000001</v>
      </c>
    </row>
    <row r="17" spans="1:109" x14ac:dyDescent="0.2">
      <c r="A17">
        <v>32</v>
      </c>
      <c r="B17" s="41"/>
      <c r="C17" s="43"/>
      <c r="D17" s="41">
        <v>6491.99</v>
      </c>
      <c r="E17" s="43"/>
      <c r="F17" s="41"/>
      <c r="G17" s="43">
        <v>0</v>
      </c>
      <c r="H17" s="41">
        <v>944.18</v>
      </c>
      <c r="I17" s="43"/>
      <c r="J17" s="41"/>
      <c r="K17" s="43"/>
      <c r="L17" s="41">
        <v>0</v>
      </c>
      <c r="M17" s="43"/>
      <c r="N17" s="41"/>
      <c r="O17" s="43">
        <v>0</v>
      </c>
      <c r="P17" s="41">
        <v>55.14</v>
      </c>
      <c r="Q17" s="43">
        <v>0</v>
      </c>
      <c r="R17" s="41">
        <v>0</v>
      </c>
      <c r="BW17">
        <v>298.56</v>
      </c>
      <c r="BY17">
        <v>214.56</v>
      </c>
      <c r="BZ17">
        <v>317.23</v>
      </c>
    </row>
    <row r="18" spans="1:109" x14ac:dyDescent="0.2">
      <c r="A18">
        <v>36</v>
      </c>
      <c r="B18" s="41"/>
      <c r="C18" s="43"/>
      <c r="D18" s="41">
        <v>3615.4</v>
      </c>
      <c r="E18" s="43"/>
      <c r="F18" s="41"/>
      <c r="G18" s="43">
        <v>0</v>
      </c>
      <c r="H18" s="41">
        <v>830.35</v>
      </c>
      <c r="I18" s="43"/>
      <c r="J18" s="41"/>
      <c r="K18" s="43"/>
      <c r="L18" s="41">
        <v>0</v>
      </c>
      <c r="M18" s="43"/>
      <c r="N18" s="41"/>
      <c r="O18" s="43">
        <v>0</v>
      </c>
      <c r="P18" s="41">
        <v>0</v>
      </c>
      <c r="Q18" s="43">
        <v>0</v>
      </c>
      <c r="R18" s="41">
        <v>0</v>
      </c>
      <c r="BT18">
        <v>-229.18</v>
      </c>
      <c r="BW18">
        <v>1940.9</v>
      </c>
      <c r="BX18">
        <v>596.77</v>
      </c>
      <c r="BY18">
        <v>900.96</v>
      </c>
      <c r="BZ18">
        <v>6290</v>
      </c>
      <c r="CA18">
        <v>162.37</v>
      </c>
      <c r="CB18">
        <v>276.64</v>
      </c>
      <c r="CC18">
        <v>97.91</v>
      </c>
      <c r="CD18">
        <v>493</v>
      </c>
    </row>
    <row r="19" spans="1:109" x14ac:dyDescent="0.2">
      <c r="A19">
        <v>38</v>
      </c>
      <c r="B19" s="41"/>
      <c r="C19" s="43"/>
      <c r="D19" s="41">
        <v>16379.53</v>
      </c>
      <c r="E19" s="43">
        <v>8990.99</v>
      </c>
      <c r="F19" s="41"/>
      <c r="G19" s="43">
        <v>-229.18</v>
      </c>
      <c r="H19" s="41">
        <v>10758.550000000001</v>
      </c>
      <c r="I19" s="43"/>
      <c r="J19" s="41"/>
      <c r="K19" s="43"/>
      <c r="L19" s="41">
        <v>0</v>
      </c>
      <c r="M19" s="43">
        <v>122.55</v>
      </c>
      <c r="N19" s="41"/>
      <c r="O19" s="43">
        <v>0</v>
      </c>
      <c r="P19" s="41">
        <v>562.25</v>
      </c>
      <c r="Q19" s="43">
        <v>0</v>
      </c>
      <c r="R19" s="41">
        <v>0</v>
      </c>
      <c r="BP19">
        <v>14027.27</v>
      </c>
      <c r="BQ19">
        <v>5886.72</v>
      </c>
      <c r="BW19">
        <v>5936.57</v>
      </c>
      <c r="BX19">
        <v>1287.8</v>
      </c>
      <c r="BY19">
        <v>3331.95</v>
      </c>
      <c r="BZ19">
        <v>1000</v>
      </c>
      <c r="CA19">
        <v>32.450000000000003</v>
      </c>
      <c r="CC19">
        <v>44.59</v>
      </c>
      <c r="CD19">
        <v>942.62</v>
      </c>
      <c r="CE19">
        <v>4394.5200000000004</v>
      </c>
      <c r="CK19">
        <v>573.48</v>
      </c>
    </row>
    <row r="20" spans="1:109" x14ac:dyDescent="0.2">
      <c r="A20">
        <v>47</v>
      </c>
      <c r="B20" s="41"/>
      <c r="C20" s="43">
        <v>3500</v>
      </c>
      <c r="D20" s="41">
        <v>50619.33</v>
      </c>
      <c r="E20" s="43"/>
      <c r="F20" s="41">
        <v>6000</v>
      </c>
      <c r="G20" s="43">
        <v>19913.990000000002</v>
      </c>
      <c r="H20" s="41">
        <v>17543.98</v>
      </c>
      <c r="I20" s="43">
        <v>770.45</v>
      </c>
      <c r="J20" s="41">
        <v>250</v>
      </c>
      <c r="K20" s="43">
        <v>268.99</v>
      </c>
      <c r="L20" s="41">
        <v>0</v>
      </c>
      <c r="M20" s="43">
        <v>90.09</v>
      </c>
      <c r="N20" s="41"/>
      <c r="O20" s="43">
        <v>0</v>
      </c>
      <c r="P20" s="41">
        <v>1448.26</v>
      </c>
      <c r="Q20" s="43">
        <v>0</v>
      </c>
      <c r="R20" s="41">
        <v>0</v>
      </c>
      <c r="BW20">
        <v>1216.03</v>
      </c>
      <c r="BY20">
        <v>905.84</v>
      </c>
      <c r="BZ20">
        <v>3036.3</v>
      </c>
      <c r="CA20">
        <v>52.64</v>
      </c>
      <c r="CB20">
        <v>160.79</v>
      </c>
      <c r="CC20">
        <v>70.760000000000005</v>
      </c>
      <c r="CD20">
        <v>134.88</v>
      </c>
    </row>
    <row r="21" spans="1:109" x14ac:dyDescent="0.2">
      <c r="A21">
        <v>51</v>
      </c>
      <c r="B21" s="41"/>
      <c r="C21" s="43"/>
      <c r="D21" s="41">
        <v>16568.16</v>
      </c>
      <c r="E21" s="43"/>
      <c r="F21" s="41"/>
      <c r="G21" s="43">
        <v>0</v>
      </c>
      <c r="H21" s="41">
        <v>5577.2400000000007</v>
      </c>
      <c r="I21" s="43"/>
      <c r="J21" s="41"/>
      <c r="K21" s="43"/>
      <c r="L21" s="41">
        <v>0</v>
      </c>
      <c r="M21" s="43"/>
      <c r="N21" s="41"/>
      <c r="O21" s="43">
        <v>0</v>
      </c>
      <c r="P21" s="41">
        <v>0</v>
      </c>
      <c r="Q21" s="43">
        <v>0</v>
      </c>
      <c r="R21" s="41">
        <v>0</v>
      </c>
      <c r="BW21">
        <v>299.18</v>
      </c>
      <c r="BX21">
        <v>11.06</v>
      </c>
      <c r="BY21">
        <v>191.42</v>
      </c>
      <c r="BZ21">
        <v>84.99</v>
      </c>
      <c r="CC21">
        <v>7.17</v>
      </c>
      <c r="CD21">
        <v>2.85</v>
      </c>
    </row>
    <row r="22" spans="1:109" x14ac:dyDescent="0.2">
      <c r="A22">
        <v>75</v>
      </c>
      <c r="B22" s="41"/>
      <c r="C22" s="43">
        <v>250</v>
      </c>
      <c r="D22" s="41">
        <v>3174.88</v>
      </c>
      <c r="E22" s="43">
        <v>653.97</v>
      </c>
      <c r="F22" s="41"/>
      <c r="G22" s="43">
        <v>0</v>
      </c>
      <c r="H22" s="41">
        <v>596.66999999999996</v>
      </c>
      <c r="I22" s="43"/>
      <c r="J22" s="41"/>
      <c r="K22" s="43"/>
      <c r="L22" s="41">
        <v>0</v>
      </c>
      <c r="M22" s="43"/>
      <c r="N22" s="41"/>
      <c r="O22" s="43">
        <v>0</v>
      </c>
      <c r="P22" s="41">
        <v>1070</v>
      </c>
      <c r="Q22" s="43">
        <v>0</v>
      </c>
      <c r="R22" s="41">
        <v>0</v>
      </c>
      <c r="BW22">
        <v>6566.61</v>
      </c>
      <c r="BX22">
        <v>3181.15</v>
      </c>
      <c r="BY22">
        <v>2048.4899999999998</v>
      </c>
      <c r="CD22">
        <v>354.01</v>
      </c>
      <c r="CK22">
        <v>429.19</v>
      </c>
      <c r="CQ22">
        <v>37686</v>
      </c>
    </row>
    <row r="23" spans="1:109" x14ac:dyDescent="0.2">
      <c r="A23">
        <v>77</v>
      </c>
      <c r="B23" s="41"/>
      <c r="C23" s="43"/>
      <c r="D23" s="41">
        <v>38406.29</v>
      </c>
      <c r="E23" s="43">
        <v>45559.09</v>
      </c>
      <c r="F23" s="41">
        <v>1871.68</v>
      </c>
      <c r="G23" s="43">
        <v>0</v>
      </c>
      <c r="H23" s="41">
        <v>12579.45</v>
      </c>
      <c r="I23" s="43">
        <v>150</v>
      </c>
      <c r="J23" s="41"/>
      <c r="K23" s="43"/>
      <c r="L23" s="41">
        <v>37686</v>
      </c>
      <c r="M23" s="43">
        <v>1063.1500000000001</v>
      </c>
      <c r="N23" s="41"/>
      <c r="O23" s="43">
        <v>0</v>
      </c>
      <c r="P23" s="41">
        <v>12652.08</v>
      </c>
      <c r="Q23" s="43">
        <v>160.19999999999999</v>
      </c>
      <c r="R23" s="41">
        <v>0</v>
      </c>
      <c r="BW23">
        <v>210.8</v>
      </c>
      <c r="BY23">
        <v>142.12</v>
      </c>
      <c r="BZ23">
        <v>638.94000000000005</v>
      </c>
    </row>
    <row r="24" spans="1:109" x14ac:dyDescent="0.2">
      <c r="A24">
        <v>81</v>
      </c>
      <c r="B24" s="41"/>
      <c r="C24" s="43"/>
      <c r="D24" s="41">
        <v>2584.69</v>
      </c>
      <c r="E24" s="43"/>
      <c r="F24" s="41">
        <v>178.1</v>
      </c>
      <c r="G24" s="43">
        <v>0</v>
      </c>
      <c r="H24" s="41">
        <v>991.86000000000013</v>
      </c>
      <c r="I24" s="43"/>
      <c r="J24" s="41"/>
      <c r="K24" s="43"/>
      <c r="L24" s="41">
        <v>0</v>
      </c>
      <c r="M24" s="43"/>
      <c r="N24" s="41"/>
      <c r="O24" s="43">
        <v>0</v>
      </c>
      <c r="P24" s="41">
        <v>266.60000000000002</v>
      </c>
      <c r="Q24" s="43">
        <v>0</v>
      </c>
      <c r="R24" s="41">
        <v>0</v>
      </c>
      <c r="BW24">
        <v>2520.1999999999998</v>
      </c>
      <c r="BX24">
        <v>581.73</v>
      </c>
      <c r="BY24">
        <v>1330.79</v>
      </c>
      <c r="CA24">
        <v>2.95</v>
      </c>
      <c r="CC24">
        <v>47.22</v>
      </c>
      <c r="CD24">
        <v>11.94</v>
      </c>
      <c r="CK24">
        <v>81.61</v>
      </c>
      <c r="CQ24">
        <v>4937.88</v>
      </c>
    </row>
    <row r="25" spans="1:109" x14ac:dyDescent="0.2">
      <c r="A25">
        <v>84</v>
      </c>
      <c r="B25" s="41">
        <v>900</v>
      </c>
      <c r="C25" s="43"/>
      <c r="D25" s="41">
        <v>23267.32</v>
      </c>
      <c r="E25" s="43">
        <v>8778.5</v>
      </c>
      <c r="F25" s="41"/>
      <c r="G25" s="43">
        <v>0</v>
      </c>
      <c r="H25" s="41">
        <v>4576.4399999999987</v>
      </c>
      <c r="I25" s="43">
        <v>460</v>
      </c>
      <c r="J25" s="41"/>
      <c r="K25" s="43"/>
      <c r="L25" s="41">
        <v>4937.88</v>
      </c>
      <c r="M25" s="43"/>
      <c r="N25" s="41"/>
      <c r="O25" s="43">
        <v>0</v>
      </c>
      <c r="P25" s="41">
        <v>846.18999999999994</v>
      </c>
      <c r="Q25" s="43">
        <v>0</v>
      </c>
      <c r="R25" s="41">
        <v>0</v>
      </c>
      <c r="BW25">
        <v>316.60000000000002</v>
      </c>
      <c r="BY25">
        <v>20.79</v>
      </c>
      <c r="BZ25">
        <v>64.16</v>
      </c>
      <c r="CA25">
        <v>0.28000000000000003</v>
      </c>
      <c r="CD25">
        <v>3.4</v>
      </c>
    </row>
    <row r="26" spans="1:109" x14ac:dyDescent="0.2">
      <c r="A26">
        <v>85</v>
      </c>
      <c r="B26" s="41"/>
      <c r="C26" s="43"/>
      <c r="D26" s="41">
        <v>4163.25</v>
      </c>
      <c r="E26" s="43"/>
      <c r="F26" s="41"/>
      <c r="G26" s="43">
        <v>0</v>
      </c>
      <c r="H26" s="41">
        <v>405.23</v>
      </c>
      <c r="I26" s="43"/>
      <c r="J26" s="41"/>
      <c r="K26" s="43"/>
      <c r="L26" s="41">
        <v>0</v>
      </c>
      <c r="M26" s="43"/>
      <c r="N26" s="41"/>
      <c r="O26" s="43">
        <v>0</v>
      </c>
      <c r="P26" s="41">
        <v>0</v>
      </c>
      <c r="Q26" s="43">
        <v>0</v>
      </c>
      <c r="R26" s="41">
        <v>0</v>
      </c>
      <c r="BW26">
        <v>2644.13</v>
      </c>
      <c r="BX26">
        <v>891.15</v>
      </c>
      <c r="BY26">
        <v>1163.77</v>
      </c>
      <c r="CG26">
        <v>212</v>
      </c>
      <c r="CQ26">
        <v>6528.54</v>
      </c>
    </row>
    <row r="27" spans="1:109" x14ac:dyDescent="0.2">
      <c r="A27">
        <v>88</v>
      </c>
      <c r="B27" s="41"/>
      <c r="C27" s="43"/>
      <c r="D27" s="41">
        <v>21159.06</v>
      </c>
      <c r="E27" s="43">
        <v>13404.24</v>
      </c>
      <c r="F27" s="41"/>
      <c r="G27" s="43">
        <v>0</v>
      </c>
      <c r="H27" s="41">
        <v>4911.05</v>
      </c>
      <c r="I27" s="43">
        <v>90</v>
      </c>
      <c r="J27" s="41"/>
      <c r="K27" s="43"/>
      <c r="L27" s="41">
        <v>6528.54</v>
      </c>
      <c r="M27" s="43">
        <v>326.23</v>
      </c>
      <c r="N27" s="41"/>
      <c r="O27" s="43">
        <v>0</v>
      </c>
      <c r="P27" s="41">
        <v>2861.46</v>
      </c>
      <c r="Q27" s="43">
        <v>0</v>
      </c>
      <c r="R27" s="41">
        <v>0</v>
      </c>
      <c r="BQ27">
        <v>154</v>
      </c>
      <c r="BW27">
        <v>1650.73</v>
      </c>
      <c r="BX27">
        <v>470.8</v>
      </c>
      <c r="BY27">
        <v>789.28</v>
      </c>
      <c r="CG27">
        <v>150</v>
      </c>
      <c r="DE27">
        <v>-2139</v>
      </c>
    </row>
    <row r="28" spans="1:109" x14ac:dyDescent="0.2">
      <c r="A28">
        <v>91</v>
      </c>
      <c r="B28" s="41"/>
      <c r="C28" s="43">
        <v>2500.04</v>
      </c>
      <c r="D28" s="41">
        <v>11695.5</v>
      </c>
      <c r="E28" s="43">
        <v>7228.13</v>
      </c>
      <c r="F28" s="41"/>
      <c r="G28" s="43">
        <v>154</v>
      </c>
      <c r="H28" s="41">
        <v>3060.8100000000004</v>
      </c>
      <c r="I28" s="43"/>
      <c r="J28" s="41"/>
      <c r="K28" s="43">
        <v>50</v>
      </c>
      <c r="L28" s="41">
        <v>0</v>
      </c>
      <c r="M28" s="43"/>
      <c r="N28" s="41"/>
      <c r="O28" s="43">
        <v>-2139</v>
      </c>
      <c r="P28" s="41">
        <v>624.79</v>
      </c>
      <c r="Q28" s="43">
        <v>0</v>
      </c>
      <c r="R28" s="41">
        <v>0</v>
      </c>
      <c r="BW28">
        <v>2093.5700000000002</v>
      </c>
      <c r="BX28">
        <v>468.54</v>
      </c>
      <c r="BY28">
        <v>1102.56</v>
      </c>
      <c r="DC28">
        <v>225</v>
      </c>
    </row>
    <row r="29" spans="1:109" x14ac:dyDescent="0.2">
      <c r="A29">
        <v>93</v>
      </c>
      <c r="B29" s="41"/>
      <c r="C29" s="43">
        <v>3794.8</v>
      </c>
      <c r="D29" s="41">
        <v>15893.2</v>
      </c>
      <c r="E29" s="43">
        <v>7320.77</v>
      </c>
      <c r="F29" s="41"/>
      <c r="G29" s="43">
        <v>0</v>
      </c>
      <c r="H29" s="41">
        <v>3664.67</v>
      </c>
      <c r="I29" s="43"/>
      <c r="J29" s="41"/>
      <c r="K29" s="43"/>
      <c r="L29" s="41">
        <v>0</v>
      </c>
      <c r="M29" s="43">
        <v>1277.97</v>
      </c>
      <c r="N29" s="41"/>
      <c r="O29" s="43">
        <v>225</v>
      </c>
      <c r="P29" s="41">
        <v>796.07</v>
      </c>
      <c r="Q29" s="43">
        <v>0</v>
      </c>
      <c r="R29" s="41">
        <v>0</v>
      </c>
      <c r="BW29">
        <v>2590.4</v>
      </c>
      <c r="BX29">
        <v>1831.39</v>
      </c>
      <c r="BY29">
        <v>349.21</v>
      </c>
      <c r="CQ29">
        <v>561.63</v>
      </c>
    </row>
    <row r="30" spans="1:109" x14ac:dyDescent="0.2">
      <c r="A30">
        <v>94</v>
      </c>
      <c r="B30" s="41"/>
      <c r="C30" s="43">
        <v>770.58</v>
      </c>
      <c r="D30" s="41">
        <v>5578.62</v>
      </c>
      <c r="E30" s="43">
        <v>26151.98</v>
      </c>
      <c r="F30" s="41">
        <v>1360.54</v>
      </c>
      <c r="G30" s="43">
        <v>0</v>
      </c>
      <c r="H30" s="41">
        <v>4771</v>
      </c>
      <c r="I30" s="43"/>
      <c r="J30" s="41"/>
      <c r="K30" s="43"/>
      <c r="L30" s="41">
        <v>561.63</v>
      </c>
      <c r="M30" s="43">
        <v>82</v>
      </c>
      <c r="N30" s="41">
        <v>3368.64</v>
      </c>
      <c r="O30" s="43">
        <v>0</v>
      </c>
      <c r="P30" s="41">
        <v>1580.18</v>
      </c>
      <c r="Q30" s="43">
        <v>0</v>
      </c>
      <c r="R30" s="41">
        <v>0</v>
      </c>
      <c r="BW30">
        <v>1587.03</v>
      </c>
      <c r="BX30">
        <v>479.18</v>
      </c>
      <c r="BY30">
        <v>745.18</v>
      </c>
      <c r="CA30">
        <v>76.959999999999994</v>
      </c>
    </row>
    <row r="31" spans="1:109" x14ac:dyDescent="0.2">
      <c r="A31">
        <v>95</v>
      </c>
      <c r="B31" s="41"/>
      <c r="C31" s="43"/>
      <c r="D31" s="41">
        <v>12588.24</v>
      </c>
      <c r="E31" s="43"/>
      <c r="F31" s="41">
        <v>7198.39</v>
      </c>
      <c r="G31" s="43">
        <v>0</v>
      </c>
      <c r="H31" s="41">
        <v>2888.35</v>
      </c>
      <c r="I31" s="43"/>
      <c r="J31" s="41"/>
      <c r="K31" s="43"/>
      <c r="L31" s="41">
        <v>0</v>
      </c>
      <c r="M31" s="43"/>
      <c r="N31" s="41"/>
      <c r="O31" s="43">
        <v>0</v>
      </c>
      <c r="P31" s="41">
        <v>341.61</v>
      </c>
      <c r="Q31" s="43">
        <v>0</v>
      </c>
      <c r="R31" s="41">
        <v>0</v>
      </c>
      <c r="BQ31">
        <v>45</v>
      </c>
      <c r="BR31">
        <v>157.5</v>
      </c>
      <c r="BT31">
        <v>26.51</v>
      </c>
      <c r="BW31">
        <v>1527.3</v>
      </c>
      <c r="BX31">
        <v>336.85</v>
      </c>
      <c r="BY31">
        <v>832.77</v>
      </c>
      <c r="CA31">
        <v>80.19</v>
      </c>
      <c r="CB31">
        <v>125.76</v>
      </c>
      <c r="CC31">
        <v>46.8</v>
      </c>
      <c r="CK31">
        <v>8.41</v>
      </c>
      <c r="DE31">
        <v>10.25</v>
      </c>
    </row>
    <row r="32" spans="1:109" x14ac:dyDescent="0.2">
      <c r="A32">
        <v>97</v>
      </c>
      <c r="B32" s="41"/>
      <c r="C32" s="43">
        <v>1020</v>
      </c>
      <c r="D32" s="41">
        <v>14516.44</v>
      </c>
      <c r="E32" s="43">
        <v>5093.76</v>
      </c>
      <c r="F32" s="41"/>
      <c r="G32" s="43">
        <v>229.01</v>
      </c>
      <c r="H32" s="41">
        <v>2958.0800000000004</v>
      </c>
      <c r="I32" s="43"/>
      <c r="J32" s="41"/>
      <c r="K32" s="43"/>
      <c r="L32" s="41">
        <v>0</v>
      </c>
      <c r="M32" s="43"/>
      <c r="N32" s="41"/>
      <c r="O32" s="43">
        <v>10.25</v>
      </c>
      <c r="P32" s="41">
        <v>0</v>
      </c>
      <c r="Q32" s="43">
        <v>0</v>
      </c>
      <c r="R32" s="41">
        <v>0</v>
      </c>
      <c r="BT32">
        <v>400</v>
      </c>
      <c r="BW32">
        <v>2586.02</v>
      </c>
      <c r="BX32">
        <v>590.17999999999995</v>
      </c>
      <c r="BY32">
        <v>1368.16</v>
      </c>
      <c r="CA32">
        <v>15.66</v>
      </c>
    </row>
    <row r="33" spans="1:109" x14ac:dyDescent="0.2">
      <c r="A33">
        <v>99</v>
      </c>
      <c r="B33" s="41"/>
      <c r="C33" s="43">
        <v>3303.68</v>
      </c>
      <c r="D33" s="41">
        <v>21741</v>
      </c>
      <c r="E33" s="43">
        <v>8725.19</v>
      </c>
      <c r="F33" s="41">
        <v>34.64</v>
      </c>
      <c r="G33" s="43">
        <v>400</v>
      </c>
      <c r="H33" s="41">
        <v>4560.0199999999995</v>
      </c>
      <c r="I33" s="43"/>
      <c r="J33" s="41"/>
      <c r="K33" s="43"/>
      <c r="L33" s="41">
        <v>0</v>
      </c>
      <c r="M33" s="43"/>
      <c r="N33" s="41"/>
      <c r="O33" s="43">
        <v>0</v>
      </c>
      <c r="P33" s="41">
        <v>1265.29</v>
      </c>
      <c r="Q33" s="43">
        <v>0</v>
      </c>
      <c r="R33" s="41">
        <v>0</v>
      </c>
      <c r="BW33">
        <v>313.19</v>
      </c>
      <c r="BX33">
        <v>81.75</v>
      </c>
      <c r="BY33">
        <v>172.08</v>
      </c>
      <c r="CR33">
        <v>12.81</v>
      </c>
    </row>
    <row r="34" spans="1:109" x14ac:dyDescent="0.2">
      <c r="A34">
        <v>100</v>
      </c>
      <c r="B34" s="41"/>
      <c r="C34" s="43"/>
      <c r="D34" s="41">
        <v>3128.55</v>
      </c>
      <c r="E34" s="43">
        <v>1219.08</v>
      </c>
      <c r="F34" s="41"/>
      <c r="G34" s="43">
        <v>0</v>
      </c>
      <c r="H34" s="41">
        <v>567.02</v>
      </c>
      <c r="I34" s="43"/>
      <c r="J34" s="41"/>
      <c r="K34" s="43"/>
      <c r="L34" s="41">
        <v>12.81</v>
      </c>
      <c r="M34" s="43"/>
      <c r="N34" s="41"/>
      <c r="O34" s="43">
        <v>0</v>
      </c>
      <c r="P34" s="41">
        <v>344.3</v>
      </c>
      <c r="Q34" s="43">
        <v>0</v>
      </c>
      <c r="R34" s="41">
        <v>0</v>
      </c>
      <c r="BW34">
        <v>226.6</v>
      </c>
      <c r="BX34">
        <v>15.63</v>
      </c>
      <c r="BY34">
        <v>156.26</v>
      </c>
      <c r="BZ34">
        <v>359.75</v>
      </c>
      <c r="CQ34">
        <v>3090.97</v>
      </c>
    </row>
    <row r="35" spans="1:109" x14ac:dyDescent="0.2">
      <c r="A35">
        <v>108</v>
      </c>
      <c r="B35" s="41"/>
      <c r="C35" s="43"/>
      <c r="D35" s="41">
        <v>3289.36</v>
      </c>
      <c r="E35" s="43"/>
      <c r="F35" s="41">
        <v>240.51</v>
      </c>
      <c r="G35" s="43">
        <v>0</v>
      </c>
      <c r="H35" s="41">
        <v>758.24</v>
      </c>
      <c r="I35" s="43">
        <v>35</v>
      </c>
      <c r="J35" s="41"/>
      <c r="K35" s="43">
        <v>168</v>
      </c>
      <c r="L35" s="41">
        <v>3090.97</v>
      </c>
      <c r="M35" s="43">
        <v>323.2</v>
      </c>
      <c r="N35" s="41"/>
      <c r="O35" s="43">
        <v>0</v>
      </c>
      <c r="P35" s="41">
        <v>931.63</v>
      </c>
      <c r="Q35" s="43">
        <v>0</v>
      </c>
      <c r="R35" s="41">
        <v>0</v>
      </c>
      <c r="BW35">
        <v>2202.8000000000002</v>
      </c>
      <c r="BX35">
        <v>754.34</v>
      </c>
      <c r="BY35">
        <v>999.72</v>
      </c>
      <c r="BZ35">
        <v>854.73</v>
      </c>
      <c r="CA35">
        <v>10.65</v>
      </c>
      <c r="CB35">
        <v>1275.69</v>
      </c>
      <c r="CC35">
        <v>15.78</v>
      </c>
      <c r="CQ35">
        <v>566.83999999999992</v>
      </c>
      <c r="CR35">
        <v>196</v>
      </c>
    </row>
    <row r="36" spans="1:109" x14ac:dyDescent="0.2">
      <c r="A36">
        <v>110</v>
      </c>
      <c r="B36" s="41"/>
      <c r="C36" s="43"/>
      <c r="D36" s="41">
        <v>17896.73</v>
      </c>
      <c r="E36" s="43">
        <v>9209.57</v>
      </c>
      <c r="F36" s="41">
        <v>2454.48</v>
      </c>
      <c r="G36" s="43">
        <v>0</v>
      </c>
      <c r="H36" s="41">
        <v>6113.71</v>
      </c>
      <c r="I36" s="43"/>
      <c r="J36" s="41"/>
      <c r="K36" s="43"/>
      <c r="L36" s="41">
        <v>762.83999999999992</v>
      </c>
      <c r="M36" s="43"/>
      <c r="N36" s="41"/>
      <c r="O36" s="43">
        <v>0</v>
      </c>
      <c r="P36" s="41">
        <v>494.63</v>
      </c>
      <c r="Q36" s="43">
        <v>0</v>
      </c>
      <c r="R36" s="41">
        <v>0</v>
      </c>
      <c r="BT36">
        <v>-1110</v>
      </c>
      <c r="BW36">
        <v>772.93</v>
      </c>
      <c r="BY36">
        <v>718.85</v>
      </c>
      <c r="BZ36">
        <v>1628.95</v>
      </c>
      <c r="CA36">
        <v>51.6</v>
      </c>
      <c r="CB36">
        <v>259.08</v>
      </c>
      <c r="CC36">
        <v>43.62</v>
      </c>
      <c r="CD36">
        <v>202.79</v>
      </c>
    </row>
    <row r="37" spans="1:109" x14ac:dyDescent="0.2">
      <c r="A37">
        <v>111</v>
      </c>
      <c r="B37" s="41"/>
      <c r="C37" s="43"/>
      <c r="D37" s="41">
        <v>13070.38</v>
      </c>
      <c r="E37" s="43"/>
      <c r="F37" s="41"/>
      <c r="G37" s="43">
        <v>-1110</v>
      </c>
      <c r="H37" s="41">
        <v>3677.8199999999997</v>
      </c>
      <c r="I37" s="43">
        <v>2610</v>
      </c>
      <c r="J37" s="41"/>
      <c r="K37" s="43"/>
      <c r="L37" s="41">
        <v>0</v>
      </c>
      <c r="M37" s="43"/>
      <c r="N37" s="41"/>
      <c r="O37" s="43">
        <v>0</v>
      </c>
      <c r="P37" s="41">
        <v>0</v>
      </c>
      <c r="Q37" s="43">
        <v>0</v>
      </c>
      <c r="R37" s="41">
        <v>0</v>
      </c>
      <c r="BQ37">
        <v>238.02</v>
      </c>
      <c r="BR37">
        <v>715.95</v>
      </c>
      <c r="BS37">
        <v>146.31</v>
      </c>
      <c r="BU37">
        <v>872.92</v>
      </c>
      <c r="BW37">
        <v>5942.95</v>
      </c>
      <c r="BX37">
        <v>2297.94</v>
      </c>
      <c r="BY37">
        <v>2245.15</v>
      </c>
      <c r="BZ37">
        <v>9485.36</v>
      </c>
      <c r="CA37">
        <v>53.2</v>
      </c>
      <c r="CB37">
        <v>121.44</v>
      </c>
      <c r="CC37">
        <v>20.43</v>
      </c>
      <c r="CD37">
        <v>2106.0100000000002</v>
      </c>
      <c r="CG37">
        <v>88.07</v>
      </c>
      <c r="CQ37">
        <v>22742.34</v>
      </c>
      <c r="DE37">
        <v>-3950.1</v>
      </c>
    </row>
    <row r="38" spans="1:109" x14ac:dyDescent="0.2">
      <c r="A38">
        <v>112</v>
      </c>
      <c r="B38" s="41"/>
      <c r="C38" s="43">
        <v>8627.7099999999991</v>
      </c>
      <c r="D38" s="41">
        <v>31595.040000000001</v>
      </c>
      <c r="E38" s="43">
        <v>24459.16</v>
      </c>
      <c r="F38" s="41">
        <v>10455.5</v>
      </c>
      <c r="G38" s="43">
        <v>1973.1999999999998</v>
      </c>
      <c r="H38" s="41">
        <v>22360.550000000003</v>
      </c>
      <c r="I38" s="43">
        <v>1166.51</v>
      </c>
      <c r="J38" s="41"/>
      <c r="K38" s="43">
        <v>754.57</v>
      </c>
      <c r="L38" s="41">
        <v>22742.34</v>
      </c>
      <c r="M38" s="43">
        <v>100.95</v>
      </c>
      <c r="N38" s="41"/>
      <c r="O38" s="43">
        <v>-3950.1</v>
      </c>
      <c r="P38" s="41">
        <v>14744.36</v>
      </c>
      <c r="Q38" s="43">
        <v>509.64</v>
      </c>
      <c r="R38" s="41">
        <v>0</v>
      </c>
      <c r="BS38">
        <v>841.5</v>
      </c>
      <c r="BW38">
        <v>752.72</v>
      </c>
      <c r="BY38">
        <v>619.78</v>
      </c>
      <c r="CR38">
        <v>380</v>
      </c>
    </row>
    <row r="39" spans="1:109" x14ac:dyDescent="0.2">
      <c r="A39">
        <v>113</v>
      </c>
      <c r="B39" s="41"/>
      <c r="C39" s="43">
        <v>923</v>
      </c>
      <c r="D39" s="41">
        <v>9504</v>
      </c>
      <c r="E39" s="43">
        <v>35.630000000000003</v>
      </c>
      <c r="F39" s="41"/>
      <c r="G39" s="43">
        <v>841.5</v>
      </c>
      <c r="H39" s="41">
        <v>1372.5</v>
      </c>
      <c r="I39" s="43"/>
      <c r="J39" s="41"/>
      <c r="K39" s="43"/>
      <c r="L39" s="41">
        <v>380</v>
      </c>
      <c r="M39" s="43"/>
      <c r="N39" s="41"/>
      <c r="O39" s="43">
        <v>0</v>
      </c>
      <c r="P39" s="41">
        <v>2252.69</v>
      </c>
      <c r="Q39" s="43">
        <v>698.24</v>
      </c>
      <c r="R39" s="41">
        <v>0</v>
      </c>
      <c r="BW39">
        <v>2013.34</v>
      </c>
      <c r="BY39">
        <v>1740.45</v>
      </c>
      <c r="BZ39">
        <v>6032.56</v>
      </c>
      <c r="CD39">
        <v>318.42</v>
      </c>
      <c r="DE39">
        <v>233.2</v>
      </c>
    </row>
    <row r="40" spans="1:109" x14ac:dyDescent="0.2">
      <c r="A40">
        <v>115</v>
      </c>
      <c r="B40" s="41"/>
      <c r="C40" s="43"/>
      <c r="D40" s="41">
        <v>31646.639999999999</v>
      </c>
      <c r="E40" s="43"/>
      <c r="F40" s="41"/>
      <c r="G40" s="43">
        <v>0</v>
      </c>
      <c r="H40" s="41">
        <v>10104.77</v>
      </c>
      <c r="I40" s="43"/>
      <c r="J40" s="41"/>
      <c r="K40" s="43"/>
      <c r="L40" s="41">
        <v>0</v>
      </c>
      <c r="M40" s="43"/>
      <c r="N40" s="41"/>
      <c r="O40" s="43">
        <v>233.2</v>
      </c>
      <c r="P40" s="41">
        <v>46</v>
      </c>
      <c r="Q40" s="43">
        <v>0</v>
      </c>
      <c r="R40" s="41">
        <v>0</v>
      </c>
      <c r="BQ40">
        <v>250</v>
      </c>
      <c r="BW40">
        <v>1986.8</v>
      </c>
      <c r="BX40">
        <v>123.5</v>
      </c>
      <c r="BY40">
        <v>1351.54</v>
      </c>
      <c r="BZ40">
        <v>3140.97</v>
      </c>
      <c r="CB40">
        <v>179.49</v>
      </c>
    </row>
    <row r="41" spans="1:109" x14ac:dyDescent="0.2">
      <c r="A41">
        <v>116</v>
      </c>
      <c r="B41" s="41"/>
      <c r="C41" s="43">
        <v>1900</v>
      </c>
      <c r="D41" s="41">
        <v>24473.279999999999</v>
      </c>
      <c r="E41" s="43"/>
      <c r="F41" s="41"/>
      <c r="G41" s="43">
        <v>250</v>
      </c>
      <c r="H41" s="41">
        <v>6782.2999999999993</v>
      </c>
      <c r="I41" s="43"/>
      <c r="J41" s="41"/>
      <c r="K41" s="43"/>
      <c r="L41" s="41">
        <v>0</v>
      </c>
      <c r="M41" s="43"/>
      <c r="N41" s="41"/>
      <c r="O41" s="43">
        <v>0</v>
      </c>
      <c r="P41" s="41">
        <v>653</v>
      </c>
      <c r="Q41" s="43">
        <v>0</v>
      </c>
      <c r="R41" s="41">
        <v>0</v>
      </c>
      <c r="BW41">
        <v>56.61</v>
      </c>
      <c r="BY41">
        <v>40.700000000000003</v>
      </c>
      <c r="CG41">
        <v>5</v>
      </c>
    </row>
    <row r="42" spans="1:109" x14ac:dyDescent="0.2">
      <c r="A42">
        <v>118</v>
      </c>
      <c r="B42" s="41"/>
      <c r="C42" s="43">
        <v>740</v>
      </c>
      <c r="D42" s="41"/>
      <c r="E42" s="43"/>
      <c r="F42" s="41"/>
      <c r="G42" s="43">
        <v>0</v>
      </c>
      <c r="H42" s="41">
        <v>102.31</v>
      </c>
      <c r="I42" s="43">
        <v>8497</v>
      </c>
      <c r="J42" s="41"/>
      <c r="K42" s="43"/>
      <c r="L42" s="41">
        <v>0</v>
      </c>
      <c r="M42" s="43"/>
      <c r="N42" s="41"/>
      <c r="O42" s="43">
        <v>0</v>
      </c>
      <c r="P42" s="41">
        <v>0</v>
      </c>
      <c r="Q42" s="43">
        <v>0</v>
      </c>
      <c r="R42" s="41">
        <v>0</v>
      </c>
      <c r="DE42">
        <v>2000</v>
      </c>
    </row>
    <row r="43" spans="1:109" x14ac:dyDescent="0.2">
      <c r="A43">
        <v>129</v>
      </c>
      <c r="B43" s="41"/>
      <c r="C43" s="43"/>
      <c r="D43" s="41"/>
      <c r="E43" s="43"/>
      <c r="F43" s="41"/>
      <c r="G43" s="43">
        <v>0</v>
      </c>
      <c r="H43" s="41">
        <v>0</v>
      </c>
      <c r="I43" s="43"/>
      <c r="J43" s="41"/>
      <c r="K43" s="43"/>
      <c r="L43" s="41">
        <v>0</v>
      </c>
      <c r="M43" s="43"/>
      <c r="N43" s="41"/>
      <c r="O43" s="43">
        <v>2000</v>
      </c>
      <c r="P43" s="41">
        <v>0</v>
      </c>
      <c r="Q43" s="43">
        <v>0</v>
      </c>
      <c r="R43" s="41">
        <v>12690</v>
      </c>
      <c r="BS43">
        <v>15081.72</v>
      </c>
      <c r="BW43">
        <v>2482.6799999999998</v>
      </c>
      <c r="BX43">
        <v>524.23</v>
      </c>
      <c r="BY43">
        <v>1433.54</v>
      </c>
      <c r="BZ43">
        <v>2514.1999999999998</v>
      </c>
      <c r="CA43">
        <v>31.15</v>
      </c>
      <c r="CB43">
        <v>105.22</v>
      </c>
      <c r="CD43">
        <v>240.02</v>
      </c>
      <c r="CE43">
        <v>300</v>
      </c>
      <c r="DE43">
        <v>2971.07</v>
      </c>
    </row>
    <row r="44" spans="1:109" x14ac:dyDescent="0.2">
      <c r="A44">
        <v>138</v>
      </c>
      <c r="B44" s="41">
        <v>2218.5500000000002</v>
      </c>
      <c r="C44" s="43"/>
      <c r="D44" s="41">
        <v>10064.98</v>
      </c>
      <c r="E44" s="43">
        <v>6611.1</v>
      </c>
      <c r="F44" s="41"/>
      <c r="G44" s="43">
        <v>15081.72</v>
      </c>
      <c r="H44" s="41">
        <v>7631.04</v>
      </c>
      <c r="I44" s="43">
        <v>90</v>
      </c>
      <c r="J44" s="41"/>
      <c r="K44" s="43"/>
      <c r="L44" s="41">
        <v>0</v>
      </c>
      <c r="M44" s="43">
        <v>206.02</v>
      </c>
      <c r="N44" s="41"/>
      <c r="O44" s="43">
        <v>2971.07</v>
      </c>
      <c r="P44" s="41">
        <v>2606.77</v>
      </c>
      <c r="Q44" s="43">
        <v>0</v>
      </c>
      <c r="R44" s="41">
        <v>0</v>
      </c>
      <c r="BQ44">
        <v>1100</v>
      </c>
      <c r="BW44">
        <v>4915.8999999999996</v>
      </c>
      <c r="BX44">
        <v>2396.96</v>
      </c>
      <c r="BY44">
        <v>1877.6100000000001</v>
      </c>
      <c r="BZ44">
        <v>12431.95</v>
      </c>
      <c r="CC44">
        <v>161.49</v>
      </c>
      <c r="CL44">
        <v>296.05</v>
      </c>
      <c r="DE44">
        <v>-8125</v>
      </c>
    </row>
    <row r="45" spans="1:109" x14ac:dyDescent="0.2">
      <c r="A45">
        <v>139</v>
      </c>
      <c r="B45" s="41">
        <v>7085.13</v>
      </c>
      <c r="C45" s="43"/>
      <c r="D45" s="41">
        <v>26679.200000000001</v>
      </c>
      <c r="E45" s="43">
        <v>17425.39</v>
      </c>
      <c r="F45" s="41">
        <v>19823.89</v>
      </c>
      <c r="G45" s="43">
        <v>1100</v>
      </c>
      <c r="H45" s="41">
        <v>22079.96</v>
      </c>
      <c r="I45" s="43"/>
      <c r="J45" s="41">
        <v>16.32</v>
      </c>
      <c r="K45" s="43"/>
      <c r="L45" s="41">
        <v>0</v>
      </c>
      <c r="M45" s="43">
        <v>117</v>
      </c>
      <c r="N45" s="41"/>
      <c r="O45" s="43">
        <v>-8125</v>
      </c>
      <c r="P45" s="41">
        <v>1317.6</v>
      </c>
      <c r="Q45" s="43">
        <v>0</v>
      </c>
      <c r="R45" s="41">
        <v>25</v>
      </c>
      <c r="BW45">
        <v>1088.96</v>
      </c>
      <c r="BX45">
        <v>930.81</v>
      </c>
      <c r="BY45">
        <v>4.95</v>
      </c>
      <c r="DA45">
        <v>26622.89</v>
      </c>
      <c r="DE45">
        <v>502.95</v>
      </c>
    </row>
    <row r="46" spans="1:109" x14ac:dyDescent="0.2">
      <c r="A46">
        <v>146</v>
      </c>
      <c r="B46" s="41"/>
      <c r="C46" s="43"/>
      <c r="D46" s="41">
        <v>210</v>
      </c>
      <c r="E46" s="43">
        <v>13915.12</v>
      </c>
      <c r="F46" s="41"/>
      <c r="G46" s="43">
        <v>0</v>
      </c>
      <c r="H46" s="41">
        <v>2024.72</v>
      </c>
      <c r="I46" s="43"/>
      <c r="J46" s="41"/>
      <c r="K46" s="43"/>
      <c r="L46" s="41">
        <v>0</v>
      </c>
      <c r="M46" s="43"/>
      <c r="N46" s="41"/>
      <c r="O46" s="43">
        <v>27125.84</v>
      </c>
      <c r="P46" s="41">
        <v>390.75</v>
      </c>
      <c r="Q46" s="43">
        <v>0</v>
      </c>
      <c r="R46" s="41">
        <v>0</v>
      </c>
      <c r="BW46">
        <v>394.29</v>
      </c>
      <c r="BY46">
        <v>287.12</v>
      </c>
    </row>
    <row r="47" spans="1:109" x14ac:dyDescent="0.2">
      <c r="A47">
        <v>150</v>
      </c>
      <c r="B47" s="41"/>
      <c r="C47" s="43"/>
      <c r="D47" s="41">
        <v>5220.5</v>
      </c>
      <c r="E47" s="43"/>
      <c r="F47" s="41"/>
      <c r="G47" s="43">
        <v>0</v>
      </c>
      <c r="H47" s="41">
        <v>681.41000000000008</v>
      </c>
      <c r="I47" s="43"/>
      <c r="J47" s="41"/>
      <c r="K47" s="43"/>
      <c r="L47" s="41">
        <v>0</v>
      </c>
      <c r="M47" s="43"/>
      <c r="N47" s="41"/>
      <c r="O47" s="43">
        <v>0</v>
      </c>
      <c r="P47" s="41">
        <v>14.57</v>
      </c>
      <c r="Q47" s="43">
        <v>0</v>
      </c>
      <c r="R47" s="41">
        <v>0</v>
      </c>
      <c r="BW47">
        <v>3892.3</v>
      </c>
      <c r="BX47">
        <v>452.89</v>
      </c>
      <c r="BY47">
        <v>2462.58</v>
      </c>
      <c r="BZ47">
        <v>390</v>
      </c>
      <c r="CA47">
        <v>47.88</v>
      </c>
      <c r="CD47">
        <v>492.96</v>
      </c>
      <c r="CG47">
        <v>394</v>
      </c>
    </row>
    <row r="48" spans="1:109" x14ac:dyDescent="0.2">
      <c r="A48">
        <v>152</v>
      </c>
      <c r="B48" s="41">
        <v>4837.87</v>
      </c>
      <c r="C48" s="43">
        <v>14662.32</v>
      </c>
      <c r="D48" s="41">
        <v>27046.05</v>
      </c>
      <c r="E48" s="43">
        <v>5026.99</v>
      </c>
      <c r="F48" s="41"/>
      <c r="G48" s="43">
        <v>0</v>
      </c>
      <c r="H48" s="41">
        <v>8132.6100000000006</v>
      </c>
      <c r="I48" s="43">
        <v>872.5</v>
      </c>
      <c r="J48" s="41"/>
      <c r="K48" s="43">
        <v>475</v>
      </c>
      <c r="L48" s="41">
        <v>0</v>
      </c>
      <c r="M48" s="43">
        <v>178.09</v>
      </c>
      <c r="N48" s="41">
        <v>10000</v>
      </c>
      <c r="O48" s="43">
        <v>0</v>
      </c>
      <c r="P48" s="41">
        <v>2367.31</v>
      </c>
      <c r="Q48" s="43">
        <v>0</v>
      </c>
      <c r="R48" s="41">
        <v>0</v>
      </c>
      <c r="BW48">
        <v>2519.61</v>
      </c>
      <c r="BX48">
        <v>509.78</v>
      </c>
      <c r="BY48">
        <v>1359.21</v>
      </c>
      <c r="CD48">
        <v>376.13</v>
      </c>
      <c r="DE48">
        <v>1893.76</v>
      </c>
    </row>
    <row r="49" spans="1:109" x14ac:dyDescent="0.2">
      <c r="A49">
        <v>162</v>
      </c>
      <c r="B49" s="41">
        <v>5336.96</v>
      </c>
      <c r="C49" s="43"/>
      <c r="D49" s="41">
        <v>19374.96</v>
      </c>
      <c r="E49" s="43">
        <v>10097.030000000001</v>
      </c>
      <c r="F49" s="41"/>
      <c r="G49" s="43">
        <v>0</v>
      </c>
      <c r="H49" s="41">
        <v>4764.7300000000005</v>
      </c>
      <c r="I49" s="43"/>
      <c r="J49" s="41"/>
      <c r="K49" s="43">
        <v>88</v>
      </c>
      <c r="L49" s="41">
        <v>0</v>
      </c>
      <c r="M49" s="43">
        <v>42.7</v>
      </c>
      <c r="N49" s="41"/>
      <c r="O49" s="43">
        <v>1893.76</v>
      </c>
      <c r="P49" s="41">
        <v>1760.83</v>
      </c>
      <c r="Q49" s="43">
        <v>0</v>
      </c>
      <c r="R49" s="41">
        <v>0</v>
      </c>
      <c r="BW49">
        <v>459.99</v>
      </c>
      <c r="BX49">
        <v>240.32</v>
      </c>
      <c r="BY49">
        <v>39.44</v>
      </c>
      <c r="CR49">
        <v>14.31</v>
      </c>
      <c r="DC49">
        <v>800</v>
      </c>
    </row>
    <row r="50" spans="1:109" x14ac:dyDescent="0.2">
      <c r="A50">
        <v>166</v>
      </c>
      <c r="B50" s="41">
        <v>627</v>
      </c>
      <c r="C50" s="43"/>
      <c r="D50" s="41">
        <v>435</v>
      </c>
      <c r="E50" s="43">
        <v>3572.61</v>
      </c>
      <c r="F50" s="41">
        <v>1309.0999999999999</v>
      </c>
      <c r="G50" s="43">
        <v>0</v>
      </c>
      <c r="H50" s="41">
        <v>739.75</v>
      </c>
      <c r="I50" s="43">
        <v>100</v>
      </c>
      <c r="J50" s="41"/>
      <c r="K50" s="43">
        <v>29.22</v>
      </c>
      <c r="L50" s="41">
        <v>14.31</v>
      </c>
      <c r="M50" s="43"/>
      <c r="N50" s="41"/>
      <c r="O50" s="43">
        <v>800</v>
      </c>
      <c r="P50" s="41">
        <v>888.76</v>
      </c>
      <c r="Q50" s="43">
        <v>0</v>
      </c>
      <c r="R50" s="41">
        <v>0</v>
      </c>
      <c r="BW50">
        <v>204.45</v>
      </c>
      <c r="BY50">
        <v>115.35</v>
      </c>
      <c r="DA50">
        <v>5250</v>
      </c>
    </row>
    <row r="51" spans="1:109" x14ac:dyDescent="0.2">
      <c r="A51">
        <v>173</v>
      </c>
      <c r="B51" s="41"/>
      <c r="C51" s="43"/>
      <c r="D51" s="41">
        <v>2672.25</v>
      </c>
      <c r="E51" s="43"/>
      <c r="F51" s="41"/>
      <c r="G51" s="43">
        <v>0</v>
      </c>
      <c r="H51" s="41">
        <v>319.79999999999995</v>
      </c>
      <c r="I51" s="43"/>
      <c r="J51" s="41"/>
      <c r="K51" s="43">
        <v>31.05</v>
      </c>
      <c r="L51" s="41">
        <v>0</v>
      </c>
      <c r="M51" s="43"/>
      <c r="N51" s="41"/>
      <c r="O51" s="43">
        <v>5250</v>
      </c>
      <c r="P51" s="41">
        <v>0</v>
      </c>
      <c r="Q51" s="43">
        <v>0</v>
      </c>
      <c r="R51" s="41">
        <v>0</v>
      </c>
      <c r="BQ51">
        <v>161.25</v>
      </c>
      <c r="BW51">
        <v>1048.0999999999999</v>
      </c>
      <c r="BX51">
        <v>136.44</v>
      </c>
      <c r="BY51">
        <v>640.42999999999995</v>
      </c>
      <c r="CA51">
        <v>6.36</v>
      </c>
      <c r="CK51">
        <v>148.13</v>
      </c>
      <c r="CQ51">
        <v>455</v>
      </c>
      <c r="CR51">
        <v>149.04</v>
      </c>
    </row>
    <row r="52" spans="1:109" x14ac:dyDescent="0.2">
      <c r="A52">
        <v>177</v>
      </c>
      <c r="B52" s="41"/>
      <c r="C52" s="43">
        <v>1820.48</v>
      </c>
      <c r="D52" s="41">
        <v>9598.43</v>
      </c>
      <c r="E52" s="43">
        <v>63.86</v>
      </c>
      <c r="F52" s="41">
        <v>2058.71</v>
      </c>
      <c r="G52" s="43">
        <v>161.25</v>
      </c>
      <c r="H52" s="41">
        <v>1979.4599999999996</v>
      </c>
      <c r="I52" s="43">
        <v>45</v>
      </c>
      <c r="J52" s="41"/>
      <c r="K52" s="43">
        <v>116.14</v>
      </c>
      <c r="L52" s="41">
        <v>604.04</v>
      </c>
      <c r="M52" s="43">
        <v>131.80000000000001</v>
      </c>
      <c r="N52" s="41"/>
      <c r="O52" s="43">
        <v>0</v>
      </c>
      <c r="P52" s="41">
        <v>549.72</v>
      </c>
      <c r="Q52" s="43">
        <v>3.78</v>
      </c>
      <c r="R52" s="41">
        <v>0</v>
      </c>
      <c r="BW52">
        <v>13770.54</v>
      </c>
      <c r="BX52">
        <v>3390.39</v>
      </c>
      <c r="BY52">
        <v>7081.5</v>
      </c>
      <c r="BZ52">
        <v>6727.2</v>
      </c>
      <c r="CA52">
        <v>206.92</v>
      </c>
      <c r="CC52">
        <v>179.31</v>
      </c>
      <c r="CD52">
        <v>470.03</v>
      </c>
      <c r="CG52">
        <v>778.57</v>
      </c>
      <c r="CK52">
        <v>-49.87</v>
      </c>
      <c r="CQ52">
        <v>12345</v>
      </c>
      <c r="CX52">
        <v>3443.15</v>
      </c>
    </row>
    <row r="53" spans="1:109" x14ac:dyDescent="0.2">
      <c r="A53">
        <v>181</v>
      </c>
      <c r="B53" s="41"/>
      <c r="C53" s="43"/>
      <c r="D53" s="41">
        <v>131531.69</v>
      </c>
      <c r="E53" s="43">
        <v>43913.77</v>
      </c>
      <c r="F53" s="41">
        <v>7838.04</v>
      </c>
      <c r="G53" s="43">
        <v>0</v>
      </c>
      <c r="H53" s="41">
        <v>32554.59</v>
      </c>
      <c r="I53" s="43"/>
      <c r="J53" s="41"/>
      <c r="K53" s="43"/>
      <c r="L53" s="41">
        <v>12345</v>
      </c>
      <c r="M53" s="43">
        <v>1546.28</v>
      </c>
      <c r="N53" s="41"/>
      <c r="O53" s="43">
        <v>3443.15</v>
      </c>
      <c r="P53" s="41">
        <v>8954.64</v>
      </c>
      <c r="Q53" s="43">
        <v>6891.24</v>
      </c>
      <c r="R53" s="41">
        <v>0</v>
      </c>
      <c r="BW53">
        <v>989.25</v>
      </c>
      <c r="BY53">
        <v>729.71</v>
      </c>
      <c r="BZ53">
        <v>1789.07</v>
      </c>
      <c r="CA53">
        <v>43.4</v>
      </c>
      <c r="CC53">
        <v>62.66</v>
      </c>
      <c r="CD53">
        <v>222.07</v>
      </c>
      <c r="CE53">
        <v>416.21</v>
      </c>
    </row>
    <row r="54" spans="1:109" x14ac:dyDescent="0.2">
      <c r="A54">
        <v>182</v>
      </c>
      <c r="B54" s="41"/>
      <c r="C54" s="43"/>
      <c r="D54" s="41">
        <v>13268.11</v>
      </c>
      <c r="E54" s="43"/>
      <c r="F54" s="41"/>
      <c r="G54" s="43">
        <v>0</v>
      </c>
      <c r="H54" s="41">
        <v>4252.37</v>
      </c>
      <c r="I54" s="43"/>
      <c r="J54" s="41"/>
      <c r="K54" s="43"/>
      <c r="L54" s="41">
        <v>0</v>
      </c>
      <c r="M54" s="43"/>
      <c r="N54" s="41"/>
      <c r="O54" s="43">
        <v>0</v>
      </c>
      <c r="P54" s="41">
        <v>0</v>
      </c>
      <c r="Q54" s="43">
        <v>0</v>
      </c>
      <c r="R54" s="41">
        <v>0</v>
      </c>
      <c r="BU54">
        <v>1142.28</v>
      </c>
      <c r="BW54">
        <v>4078.74</v>
      </c>
      <c r="BX54">
        <v>743.17</v>
      </c>
      <c r="BY54">
        <v>2235.96</v>
      </c>
      <c r="BZ54">
        <v>273.83999999999997</v>
      </c>
    </row>
    <row r="55" spans="1:109" x14ac:dyDescent="0.2">
      <c r="A55">
        <v>186</v>
      </c>
      <c r="B55" s="41">
        <v>3000</v>
      </c>
      <c r="C55" s="43">
        <v>8352.8799999999992</v>
      </c>
      <c r="D55" s="41">
        <v>29301.77</v>
      </c>
      <c r="E55" s="43">
        <v>10208.35</v>
      </c>
      <c r="F55" s="41">
        <v>1303.32</v>
      </c>
      <c r="G55" s="43">
        <v>1142.28</v>
      </c>
      <c r="H55" s="41">
        <v>7331.71</v>
      </c>
      <c r="I55" s="43">
        <v>278.19</v>
      </c>
      <c r="J55" s="41"/>
      <c r="K55" s="43">
        <v>260.82</v>
      </c>
      <c r="L55" s="41">
        <v>0</v>
      </c>
      <c r="M55" s="43"/>
      <c r="N55" s="41">
        <v>1000</v>
      </c>
      <c r="O55" s="43">
        <v>0</v>
      </c>
      <c r="P55" s="41">
        <v>601.89</v>
      </c>
      <c r="Q55" s="43">
        <v>0</v>
      </c>
      <c r="R55" s="41">
        <v>0</v>
      </c>
      <c r="BW55">
        <v>5020.38</v>
      </c>
      <c r="BX55">
        <v>1276.02</v>
      </c>
      <c r="BY55">
        <v>2614.75</v>
      </c>
      <c r="BZ55">
        <v>7956.71</v>
      </c>
      <c r="CA55">
        <v>81.16</v>
      </c>
      <c r="CB55">
        <v>469.49</v>
      </c>
      <c r="CC55">
        <v>323.17</v>
      </c>
      <c r="CD55">
        <v>329.76</v>
      </c>
      <c r="CY55">
        <v>8333.35</v>
      </c>
      <c r="DE55">
        <v>15422.04</v>
      </c>
    </row>
    <row r="56" spans="1:109" x14ac:dyDescent="0.2">
      <c r="A56">
        <v>191</v>
      </c>
      <c r="B56" s="41"/>
      <c r="C56" s="43">
        <v>16192.79</v>
      </c>
      <c r="D56" s="41">
        <v>31348.06</v>
      </c>
      <c r="E56" s="43">
        <v>8044.01</v>
      </c>
      <c r="F56" s="41">
        <v>11191.68</v>
      </c>
      <c r="G56" s="43">
        <v>0</v>
      </c>
      <c r="H56" s="41">
        <v>18071.439999999999</v>
      </c>
      <c r="I56" s="43">
        <v>1516.96</v>
      </c>
      <c r="J56" s="41"/>
      <c r="K56" s="43">
        <v>132.37</v>
      </c>
      <c r="L56" s="41">
        <v>0</v>
      </c>
      <c r="M56" s="43">
        <v>565.76</v>
      </c>
      <c r="N56" s="41"/>
      <c r="O56" s="43">
        <v>23755.39</v>
      </c>
      <c r="P56" s="41">
        <v>1201.8400000000001</v>
      </c>
      <c r="Q56" s="43">
        <v>599.64</v>
      </c>
      <c r="R56" s="41">
        <v>0</v>
      </c>
      <c r="BP56">
        <v>134.85</v>
      </c>
      <c r="BS56">
        <v>2477.5500000000002</v>
      </c>
      <c r="BW56">
        <v>3068.38</v>
      </c>
      <c r="BX56">
        <v>367.59</v>
      </c>
      <c r="BY56">
        <v>2005.15</v>
      </c>
      <c r="BZ56">
        <v>4784.3</v>
      </c>
      <c r="CA56">
        <v>114.83</v>
      </c>
      <c r="CB56">
        <v>346.17</v>
      </c>
      <c r="CC56">
        <v>136.38999999999999</v>
      </c>
      <c r="CD56">
        <v>379.39</v>
      </c>
      <c r="CE56">
        <v>150</v>
      </c>
      <c r="CG56">
        <v>163.72</v>
      </c>
      <c r="DE56">
        <v>381.84</v>
      </c>
    </row>
    <row r="57" spans="1:109" x14ac:dyDescent="0.2">
      <c r="A57">
        <v>192</v>
      </c>
      <c r="B57" s="41"/>
      <c r="C57" s="43">
        <v>5640.23</v>
      </c>
      <c r="D57" s="41">
        <v>30829.88</v>
      </c>
      <c r="E57" s="43"/>
      <c r="F57" s="41">
        <v>2947.76</v>
      </c>
      <c r="G57" s="43">
        <v>2612.4</v>
      </c>
      <c r="H57" s="41">
        <v>11515.92</v>
      </c>
      <c r="I57" s="43">
        <v>1402.88</v>
      </c>
      <c r="J57" s="41"/>
      <c r="K57" s="43"/>
      <c r="L57" s="41">
        <v>0</v>
      </c>
      <c r="M57" s="43">
        <v>527.73</v>
      </c>
      <c r="N57" s="41"/>
      <c r="O57" s="43">
        <v>381.84</v>
      </c>
      <c r="P57" s="41">
        <v>645.43000000000006</v>
      </c>
      <c r="Q57" s="43">
        <v>0</v>
      </c>
      <c r="R57" s="41">
        <v>0</v>
      </c>
      <c r="BW57">
        <v>1519.97</v>
      </c>
      <c r="BX57">
        <v>1224.8800000000001</v>
      </c>
      <c r="BY57">
        <v>86.45</v>
      </c>
      <c r="BZ57">
        <v>1307.1600000000001</v>
      </c>
      <c r="CD57">
        <v>379.87</v>
      </c>
    </row>
    <row r="58" spans="1:109" x14ac:dyDescent="0.2">
      <c r="A58">
        <v>194</v>
      </c>
      <c r="B58" s="41"/>
      <c r="C58" s="43">
        <v>9792.02</v>
      </c>
      <c r="D58" s="41"/>
      <c r="E58" s="43">
        <v>2281.5100000000002</v>
      </c>
      <c r="F58" s="41">
        <v>7944</v>
      </c>
      <c r="G58" s="43">
        <v>0</v>
      </c>
      <c r="H58" s="41">
        <v>4518.33</v>
      </c>
      <c r="I58" s="43">
        <v>49500</v>
      </c>
      <c r="J58" s="41"/>
      <c r="K58" s="43"/>
      <c r="L58" s="41">
        <v>0</v>
      </c>
      <c r="M58" s="43"/>
      <c r="N58" s="41"/>
      <c r="O58" s="43">
        <v>0</v>
      </c>
      <c r="P58" s="41">
        <v>4000</v>
      </c>
      <c r="Q58" s="43">
        <v>0</v>
      </c>
      <c r="R58" s="41">
        <v>0</v>
      </c>
      <c r="BW58">
        <v>10.83</v>
      </c>
      <c r="BY58">
        <v>7.79</v>
      </c>
    </row>
    <row r="59" spans="1:109" x14ac:dyDescent="0.2">
      <c r="A59">
        <v>195</v>
      </c>
      <c r="B59" s="41"/>
      <c r="C59" s="43"/>
      <c r="D59" s="41">
        <v>141.44999999999999</v>
      </c>
      <c r="E59" s="43"/>
      <c r="F59" s="41"/>
      <c r="G59" s="43">
        <v>0</v>
      </c>
      <c r="H59" s="41">
        <v>18.62</v>
      </c>
      <c r="I59" s="43"/>
      <c r="J59" s="41"/>
      <c r="K59" s="43"/>
      <c r="L59" s="41">
        <v>0</v>
      </c>
      <c r="M59" s="43"/>
      <c r="N59" s="41"/>
      <c r="O59" s="43">
        <v>0</v>
      </c>
      <c r="P59" s="41">
        <v>0</v>
      </c>
      <c r="Q59" s="43">
        <v>0</v>
      </c>
      <c r="R59" s="41">
        <v>0</v>
      </c>
      <c r="BQ59">
        <v>1632</v>
      </c>
      <c r="BW59">
        <v>19830.09</v>
      </c>
      <c r="BX59">
        <v>6393.67</v>
      </c>
      <c r="BY59">
        <v>9141.48</v>
      </c>
      <c r="BZ59">
        <v>22154.21</v>
      </c>
      <c r="CA59">
        <v>128.49</v>
      </c>
      <c r="CB59">
        <v>1750.28</v>
      </c>
      <c r="CD59">
        <v>1397.75</v>
      </c>
      <c r="CG59">
        <v>601.61</v>
      </c>
      <c r="CQ59">
        <v>77663.66</v>
      </c>
      <c r="CR59">
        <v>1948.25</v>
      </c>
      <c r="DC59">
        <v>341</v>
      </c>
      <c r="DE59">
        <v>485.51</v>
      </c>
    </row>
    <row r="60" spans="1:109" x14ac:dyDescent="0.2">
      <c r="A60">
        <v>196</v>
      </c>
      <c r="B60" s="41"/>
      <c r="C60" s="43"/>
      <c r="D60" s="41">
        <v>166218.98000000001</v>
      </c>
      <c r="E60" s="43">
        <v>71597.27</v>
      </c>
      <c r="F60" s="41">
        <v>27536.29</v>
      </c>
      <c r="G60" s="43">
        <v>1632</v>
      </c>
      <c r="H60" s="41">
        <v>61397.58</v>
      </c>
      <c r="I60" s="43">
        <v>905</v>
      </c>
      <c r="J60" s="41"/>
      <c r="K60" s="43">
        <v>1289.6199999999999</v>
      </c>
      <c r="L60" s="41">
        <v>79611.91</v>
      </c>
      <c r="M60" s="43"/>
      <c r="N60" s="41"/>
      <c r="O60" s="43">
        <v>826.51</v>
      </c>
      <c r="P60" s="41">
        <v>3856.05</v>
      </c>
      <c r="Q60" s="43">
        <v>0</v>
      </c>
      <c r="R60" s="41">
        <v>0</v>
      </c>
      <c r="BQ60">
        <v>892.5</v>
      </c>
      <c r="BS60">
        <v>2502.7600000000002</v>
      </c>
      <c r="BW60">
        <v>3939.33</v>
      </c>
      <c r="BX60">
        <v>390.06</v>
      </c>
      <c r="BY60">
        <v>2659.21</v>
      </c>
      <c r="BZ60">
        <v>18035.71</v>
      </c>
      <c r="CD60">
        <v>562.32000000000005</v>
      </c>
      <c r="DE60">
        <v>2930</v>
      </c>
    </row>
    <row r="61" spans="1:109" x14ac:dyDescent="0.2">
      <c r="A61">
        <v>197</v>
      </c>
      <c r="B61" s="41"/>
      <c r="C61" s="43"/>
      <c r="D61" s="41">
        <v>47506.77</v>
      </c>
      <c r="E61" s="43">
        <v>2435.29</v>
      </c>
      <c r="F61" s="41">
        <v>824.46</v>
      </c>
      <c r="G61" s="43">
        <v>3395.26</v>
      </c>
      <c r="H61" s="41">
        <v>25586.629999999997</v>
      </c>
      <c r="I61" s="43"/>
      <c r="J61" s="41"/>
      <c r="K61" s="43">
        <v>161</v>
      </c>
      <c r="L61" s="41">
        <v>0</v>
      </c>
      <c r="M61" s="43"/>
      <c r="N61" s="41"/>
      <c r="O61" s="43">
        <v>2930</v>
      </c>
      <c r="P61" s="41">
        <v>233.2</v>
      </c>
      <c r="Q61" s="43">
        <v>0</v>
      </c>
      <c r="R61" s="41">
        <v>0</v>
      </c>
      <c r="DB61">
        <v>42421.440000000002</v>
      </c>
    </row>
    <row r="62" spans="1:109" x14ac:dyDescent="0.2">
      <c r="A62">
        <v>199</v>
      </c>
      <c r="B62" s="41"/>
      <c r="C62" s="43"/>
      <c r="D62" s="41"/>
      <c r="E62" s="43"/>
      <c r="F62" s="41"/>
      <c r="G62" s="43">
        <v>0</v>
      </c>
      <c r="H62" s="41">
        <v>0</v>
      </c>
      <c r="I62" s="43"/>
      <c r="J62" s="41"/>
      <c r="K62" s="43">
        <v>93.39</v>
      </c>
      <c r="L62" s="41">
        <v>0</v>
      </c>
      <c r="M62" s="43"/>
      <c r="N62" s="41"/>
      <c r="O62" s="43">
        <v>42421.440000000002</v>
      </c>
      <c r="P62" s="41">
        <v>582.91999999999996</v>
      </c>
      <c r="Q62" s="43">
        <v>0</v>
      </c>
      <c r="R62" s="41">
        <v>0</v>
      </c>
      <c r="BO62">
        <v>8713.06</v>
      </c>
      <c r="BQ62">
        <v>3211.38</v>
      </c>
      <c r="BS62">
        <v>1089.4000000000001</v>
      </c>
      <c r="BW62">
        <v>4563.1000000000004</v>
      </c>
      <c r="BX62">
        <v>744.98</v>
      </c>
      <c r="BY62">
        <v>2650.42</v>
      </c>
      <c r="BZ62">
        <v>4938.82</v>
      </c>
      <c r="CA62">
        <v>142.15</v>
      </c>
      <c r="CB62">
        <v>994.14</v>
      </c>
      <c r="CC62">
        <v>360.81</v>
      </c>
      <c r="CD62">
        <v>1339.48</v>
      </c>
      <c r="CG62">
        <v>222.72</v>
      </c>
      <c r="CY62">
        <v>5.52</v>
      </c>
    </row>
    <row r="63" spans="1:109" x14ac:dyDescent="0.2">
      <c r="A63">
        <v>200</v>
      </c>
      <c r="B63" s="41"/>
      <c r="C63" s="43"/>
      <c r="D63" s="41">
        <v>36557.800000000003</v>
      </c>
      <c r="E63" s="43">
        <v>11190.42</v>
      </c>
      <c r="F63" s="41"/>
      <c r="G63" s="43">
        <v>13013.839999999998</v>
      </c>
      <c r="H63" s="41">
        <v>15956.619999999997</v>
      </c>
      <c r="I63" s="43">
        <v>1000</v>
      </c>
      <c r="J63" s="41"/>
      <c r="K63" s="43"/>
      <c r="L63" s="41">
        <v>0</v>
      </c>
      <c r="M63" s="43">
        <v>211.25</v>
      </c>
      <c r="N63" s="41"/>
      <c r="O63" s="43">
        <v>5.52</v>
      </c>
      <c r="P63" s="41">
        <v>1540.89</v>
      </c>
      <c r="Q63" s="43">
        <v>0</v>
      </c>
      <c r="R63" s="41">
        <v>0</v>
      </c>
      <c r="BW63">
        <v>610.85</v>
      </c>
      <c r="BX63">
        <v>44.07</v>
      </c>
      <c r="BY63">
        <v>358.37</v>
      </c>
      <c r="BZ63">
        <v>675.75</v>
      </c>
      <c r="CQ63">
        <v>2925</v>
      </c>
    </row>
    <row r="64" spans="1:109" x14ac:dyDescent="0.2">
      <c r="A64">
        <v>203</v>
      </c>
      <c r="B64" s="41"/>
      <c r="C64" s="43"/>
      <c r="D64" s="41">
        <v>6515.81</v>
      </c>
      <c r="E64" s="43"/>
      <c r="F64" s="41">
        <v>1475.27</v>
      </c>
      <c r="G64" s="43">
        <v>0</v>
      </c>
      <c r="H64" s="41">
        <v>1689.04</v>
      </c>
      <c r="I64" s="43"/>
      <c r="J64" s="41"/>
      <c r="K64" s="43"/>
      <c r="L64" s="41">
        <v>2925</v>
      </c>
      <c r="M64" s="43"/>
      <c r="N64" s="41"/>
      <c r="O64" s="43">
        <v>0</v>
      </c>
      <c r="P64" s="41">
        <v>103.44</v>
      </c>
      <c r="Q64" s="43">
        <v>0</v>
      </c>
      <c r="R64" s="41">
        <v>0</v>
      </c>
      <c r="BS64">
        <v>28187.88</v>
      </c>
      <c r="BW64">
        <v>4926.2299999999996</v>
      </c>
      <c r="BX64">
        <v>1956.66</v>
      </c>
      <c r="BY64">
        <v>1742.04</v>
      </c>
      <c r="BZ64">
        <v>2.54</v>
      </c>
      <c r="CC64">
        <v>379.22</v>
      </c>
      <c r="CD64">
        <v>1263.19</v>
      </c>
      <c r="CG64">
        <v>350</v>
      </c>
    </row>
    <row r="65" spans="1:109" x14ac:dyDescent="0.2">
      <c r="A65">
        <v>204</v>
      </c>
      <c r="B65" s="41"/>
      <c r="C65" s="43"/>
      <c r="D65" s="41">
        <v>30250</v>
      </c>
      <c r="E65" s="43">
        <v>5958.53</v>
      </c>
      <c r="F65" s="41"/>
      <c r="G65" s="43">
        <v>28187.88</v>
      </c>
      <c r="H65" s="41">
        <v>10619.880000000001</v>
      </c>
      <c r="I65" s="43"/>
      <c r="J65" s="41"/>
      <c r="K65" s="43"/>
      <c r="L65" s="41">
        <v>0</v>
      </c>
      <c r="M65" s="43">
        <v>22.5</v>
      </c>
      <c r="N65" s="41"/>
      <c r="O65" s="43">
        <v>0</v>
      </c>
      <c r="P65" s="41">
        <v>4389.67</v>
      </c>
      <c r="Q65" s="43">
        <v>0</v>
      </c>
      <c r="R65" s="41">
        <v>0</v>
      </c>
      <c r="BW65">
        <v>7117.94</v>
      </c>
      <c r="BX65">
        <v>1878.16</v>
      </c>
      <c r="BY65">
        <v>3725.79</v>
      </c>
      <c r="BZ65">
        <v>3865.29</v>
      </c>
      <c r="CA65">
        <v>63.79</v>
      </c>
      <c r="CB65">
        <v>338.49</v>
      </c>
      <c r="CR65">
        <v>394</v>
      </c>
    </row>
    <row r="66" spans="1:109" x14ac:dyDescent="0.2">
      <c r="A66">
        <v>206</v>
      </c>
      <c r="B66" s="41">
        <v>4000</v>
      </c>
      <c r="C66" s="43">
        <v>12000</v>
      </c>
      <c r="D66" s="41">
        <v>51740.76</v>
      </c>
      <c r="E66" s="43">
        <v>17326.66</v>
      </c>
      <c r="F66" s="41">
        <v>10947.07</v>
      </c>
      <c r="G66" s="43">
        <v>0</v>
      </c>
      <c r="H66" s="41">
        <v>16989.460000000003</v>
      </c>
      <c r="I66" s="43"/>
      <c r="J66" s="41"/>
      <c r="K66" s="43">
        <v>128.63999999999999</v>
      </c>
      <c r="L66" s="41">
        <v>394</v>
      </c>
      <c r="M66" s="43"/>
      <c r="N66" s="41"/>
      <c r="O66" s="43">
        <v>0</v>
      </c>
      <c r="P66" s="41">
        <v>7465.8799999999992</v>
      </c>
      <c r="Q66" s="43">
        <v>9871.82</v>
      </c>
      <c r="R66" s="41">
        <v>0</v>
      </c>
      <c r="CK66">
        <v>2574.77</v>
      </c>
    </row>
    <row r="67" spans="1:109" x14ac:dyDescent="0.2">
      <c r="A67">
        <v>207</v>
      </c>
      <c r="B67" s="41">
        <v>4718.3</v>
      </c>
      <c r="C67" s="43"/>
      <c r="D67" s="41"/>
      <c r="E67" s="43"/>
      <c r="F67" s="41">
        <v>4008</v>
      </c>
      <c r="G67" s="43">
        <v>0</v>
      </c>
      <c r="H67" s="41">
        <v>2574.77</v>
      </c>
      <c r="I67" s="43"/>
      <c r="J67" s="41"/>
      <c r="K67" s="43"/>
      <c r="L67" s="41">
        <v>0</v>
      </c>
      <c r="M67" s="43"/>
      <c r="N67" s="41"/>
      <c r="O67" s="43">
        <v>0</v>
      </c>
      <c r="P67" s="41">
        <v>1848.85</v>
      </c>
      <c r="Q67" s="43">
        <v>0</v>
      </c>
      <c r="R67" s="41">
        <v>0</v>
      </c>
      <c r="DB67">
        <v>15019.19</v>
      </c>
    </row>
    <row r="68" spans="1:109" x14ac:dyDescent="0.2">
      <c r="A68">
        <v>208</v>
      </c>
      <c r="B68" s="41"/>
      <c r="C68" s="43"/>
      <c r="D68" s="41"/>
      <c r="E68" s="43"/>
      <c r="F68" s="41"/>
      <c r="G68" s="43">
        <v>0</v>
      </c>
      <c r="H68" s="41">
        <v>0</v>
      </c>
      <c r="I68" s="43"/>
      <c r="J68" s="41"/>
      <c r="K68" s="43"/>
      <c r="L68" s="41">
        <v>0</v>
      </c>
      <c r="M68" s="43"/>
      <c r="N68" s="41"/>
      <c r="O68" s="43">
        <v>15019.19</v>
      </c>
      <c r="P68" s="41">
        <v>0</v>
      </c>
      <c r="Q68" s="43">
        <v>0</v>
      </c>
      <c r="R68" s="41">
        <v>0</v>
      </c>
      <c r="BR68">
        <v>471.95</v>
      </c>
      <c r="BW68">
        <v>2815.23</v>
      </c>
      <c r="BX68">
        <v>156.34</v>
      </c>
      <c r="BY68">
        <v>1869.19</v>
      </c>
      <c r="CG68">
        <v>25</v>
      </c>
    </row>
    <row r="69" spans="1:109" x14ac:dyDescent="0.2">
      <c r="A69">
        <v>213</v>
      </c>
      <c r="B69" s="41"/>
      <c r="C69" s="43"/>
      <c r="D69" s="41">
        <v>27953.02</v>
      </c>
      <c r="E69" s="43">
        <v>8395.3700000000008</v>
      </c>
      <c r="F69" s="41"/>
      <c r="G69" s="43">
        <v>471.95</v>
      </c>
      <c r="H69" s="41">
        <v>4865.76</v>
      </c>
      <c r="I69" s="43"/>
      <c r="J69" s="41"/>
      <c r="K69" s="43"/>
      <c r="L69" s="41">
        <v>0</v>
      </c>
      <c r="M69" s="43"/>
      <c r="N69" s="41"/>
      <c r="O69" s="43">
        <v>0</v>
      </c>
      <c r="P69" s="41">
        <v>1340.27</v>
      </c>
      <c r="Q69" s="43">
        <v>0</v>
      </c>
      <c r="R69" s="41">
        <v>0</v>
      </c>
      <c r="BW69">
        <v>4693.46</v>
      </c>
      <c r="BX69">
        <v>3051.58</v>
      </c>
      <c r="BY69">
        <v>806.17</v>
      </c>
      <c r="CX69">
        <v>150.49</v>
      </c>
    </row>
    <row r="70" spans="1:109" x14ac:dyDescent="0.2">
      <c r="A70">
        <v>227</v>
      </c>
      <c r="B70" s="41"/>
      <c r="C70" s="43"/>
      <c r="D70" s="41">
        <v>14903.55</v>
      </c>
      <c r="E70" s="43">
        <v>45243.21</v>
      </c>
      <c r="F70" s="41">
        <v>1064.99</v>
      </c>
      <c r="G70" s="43">
        <v>0</v>
      </c>
      <c r="H70" s="41">
        <v>8551.2099999999991</v>
      </c>
      <c r="I70" s="43">
        <v>720.49</v>
      </c>
      <c r="J70" s="41">
        <v>433.66</v>
      </c>
      <c r="K70" s="43"/>
      <c r="L70" s="41">
        <v>0</v>
      </c>
      <c r="M70" s="43"/>
      <c r="N70" s="41"/>
      <c r="O70" s="43">
        <v>150.49</v>
      </c>
      <c r="P70" s="41">
        <v>2311.8000000000002</v>
      </c>
      <c r="Q70" s="43">
        <v>0</v>
      </c>
      <c r="R70" s="41">
        <v>0</v>
      </c>
      <c r="BW70">
        <v>332.03</v>
      </c>
      <c r="BX70">
        <v>242.25</v>
      </c>
      <c r="CE70">
        <v>128.82</v>
      </c>
    </row>
    <row r="71" spans="1:109" x14ac:dyDescent="0.2">
      <c r="A71">
        <v>229</v>
      </c>
      <c r="B71" s="41"/>
      <c r="C71" s="43"/>
      <c r="D71" s="41"/>
      <c r="E71" s="43">
        <v>3325</v>
      </c>
      <c r="F71" s="41"/>
      <c r="G71" s="43">
        <v>0</v>
      </c>
      <c r="H71" s="41">
        <v>703.09999999999991</v>
      </c>
      <c r="I71" s="43"/>
      <c r="J71" s="41"/>
      <c r="K71" s="43"/>
      <c r="L71" s="41">
        <v>0</v>
      </c>
      <c r="M71" s="43"/>
      <c r="N71" s="41"/>
      <c r="O71" s="43">
        <v>0</v>
      </c>
      <c r="P71" s="41">
        <v>338.4</v>
      </c>
      <c r="Q71" s="43">
        <v>0</v>
      </c>
      <c r="R71" s="41">
        <v>0</v>
      </c>
      <c r="BW71">
        <v>1424.81</v>
      </c>
      <c r="BX71">
        <v>1.25</v>
      </c>
      <c r="BY71">
        <v>1023.34</v>
      </c>
      <c r="CC71">
        <v>0.09</v>
      </c>
      <c r="CQ71">
        <v>99.05</v>
      </c>
    </row>
    <row r="72" spans="1:109" x14ac:dyDescent="0.2">
      <c r="A72">
        <v>238</v>
      </c>
      <c r="B72" s="41"/>
      <c r="C72" s="43"/>
      <c r="D72" s="41">
        <v>18606.400000000001</v>
      </c>
      <c r="E72" s="43"/>
      <c r="F72" s="41">
        <v>18.559999999999999</v>
      </c>
      <c r="G72" s="43">
        <v>0</v>
      </c>
      <c r="H72" s="41">
        <v>2449.4900000000002</v>
      </c>
      <c r="I72" s="43"/>
      <c r="J72" s="41"/>
      <c r="K72" s="43"/>
      <c r="L72" s="41">
        <v>99.05</v>
      </c>
      <c r="M72" s="43"/>
      <c r="N72" s="41"/>
      <c r="O72" s="43">
        <v>0</v>
      </c>
      <c r="P72" s="41">
        <v>782.23</v>
      </c>
      <c r="Q72" s="43">
        <v>0</v>
      </c>
      <c r="R72" s="41">
        <v>0</v>
      </c>
      <c r="BW72">
        <v>283.27</v>
      </c>
      <c r="BX72">
        <v>67.5</v>
      </c>
      <c r="BY72">
        <v>192.5</v>
      </c>
      <c r="BZ72">
        <v>911.25</v>
      </c>
      <c r="CB72">
        <v>43.45</v>
      </c>
      <c r="CD72">
        <v>21.72</v>
      </c>
    </row>
    <row r="73" spans="1:109" x14ac:dyDescent="0.2">
      <c r="A73">
        <v>239</v>
      </c>
      <c r="B73" s="41"/>
      <c r="C73" s="43"/>
      <c r="D73" s="41">
        <v>3500.05</v>
      </c>
      <c r="E73" s="43">
        <v>1000</v>
      </c>
      <c r="F73" s="41"/>
      <c r="G73" s="43">
        <v>0</v>
      </c>
      <c r="H73" s="41">
        <v>1519.69</v>
      </c>
      <c r="I73" s="43"/>
      <c r="J73" s="41"/>
      <c r="K73" s="43"/>
      <c r="L73" s="41">
        <v>0</v>
      </c>
      <c r="M73" s="43"/>
      <c r="N73" s="41"/>
      <c r="O73" s="43">
        <v>0</v>
      </c>
      <c r="P73" s="41">
        <v>4425</v>
      </c>
      <c r="Q73" s="43">
        <v>0</v>
      </c>
      <c r="R73" s="41">
        <v>0</v>
      </c>
      <c r="BS73">
        <v>48496.35</v>
      </c>
      <c r="BW73">
        <v>4444.5</v>
      </c>
      <c r="BX73">
        <v>1095.19</v>
      </c>
      <c r="BY73">
        <v>2405.25</v>
      </c>
      <c r="BZ73">
        <v>1879.08</v>
      </c>
      <c r="CD73">
        <v>453.35</v>
      </c>
      <c r="CG73">
        <v>51.54</v>
      </c>
      <c r="CI73">
        <v>3039.7</v>
      </c>
      <c r="CQ73">
        <v>175</v>
      </c>
      <c r="DE73">
        <v>7042</v>
      </c>
    </row>
    <row r="74" spans="1:109" x14ac:dyDescent="0.2">
      <c r="A74">
        <v>241</v>
      </c>
      <c r="B74" s="41">
        <v>2000</v>
      </c>
      <c r="C74" s="43">
        <v>11470.62</v>
      </c>
      <c r="D74" s="41"/>
      <c r="E74" s="43"/>
      <c r="F74" s="41"/>
      <c r="G74" s="43">
        <v>48496.35</v>
      </c>
      <c r="H74" s="41">
        <v>13368.61</v>
      </c>
      <c r="I74" s="43">
        <v>203.66</v>
      </c>
      <c r="J74" s="41"/>
      <c r="K74" s="43">
        <v>178.41</v>
      </c>
      <c r="L74" s="41">
        <v>175</v>
      </c>
      <c r="M74" s="43">
        <v>202.78</v>
      </c>
      <c r="N74" s="41">
        <v>113.8</v>
      </c>
      <c r="O74" s="43">
        <v>7042</v>
      </c>
      <c r="P74" s="41">
        <v>2658.2300000000005</v>
      </c>
      <c r="Q74" s="43">
        <v>0</v>
      </c>
      <c r="R74" s="41">
        <v>298.31</v>
      </c>
      <c r="BW74">
        <v>963.96</v>
      </c>
      <c r="BY74">
        <v>693</v>
      </c>
    </row>
    <row r="75" spans="1:109" x14ac:dyDescent="0.2">
      <c r="A75">
        <v>242</v>
      </c>
      <c r="B75" s="41"/>
      <c r="C75" s="43"/>
      <c r="D75" s="41">
        <v>12600</v>
      </c>
      <c r="E75" s="43"/>
      <c r="F75" s="41"/>
      <c r="G75" s="43">
        <v>0</v>
      </c>
      <c r="H75" s="41">
        <v>1656.96</v>
      </c>
      <c r="I75" s="43"/>
      <c r="J75" s="41"/>
      <c r="K75" s="43"/>
      <c r="L75" s="41">
        <v>0</v>
      </c>
      <c r="M75" s="43"/>
      <c r="N75" s="41"/>
      <c r="O75" s="43">
        <v>0</v>
      </c>
      <c r="P75" s="41">
        <v>0</v>
      </c>
      <c r="Q75" s="43">
        <v>0</v>
      </c>
      <c r="R75" s="41">
        <v>0</v>
      </c>
      <c r="BW75">
        <v>670.44</v>
      </c>
      <c r="BX75">
        <v>323.67</v>
      </c>
      <c r="BY75">
        <v>212.1</v>
      </c>
      <c r="BZ75">
        <v>8.73</v>
      </c>
    </row>
    <row r="76" spans="1:109" x14ac:dyDescent="0.2">
      <c r="A76">
        <v>252</v>
      </c>
      <c r="B76" s="41"/>
      <c r="C76" s="43"/>
      <c r="D76" s="41">
        <v>3856.17</v>
      </c>
      <c r="E76" s="43">
        <v>5012.41</v>
      </c>
      <c r="F76" s="41"/>
      <c r="G76" s="43">
        <v>0</v>
      </c>
      <c r="H76" s="41">
        <v>1214.94</v>
      </c>
      <c r="I76" s="43"/>
      <c r="J76" s="41"/>
      <c r="K76" s="43"/>
      <c r="L76" s="41">
        <v>0</v>
      </c>
      <c r="M76" s="43"/>
      <c r="N76" s="41"/>
      <c r="O76" s="43">
        <v>0</v>
      </c>
      <c r="P76" s="41">
        <v>0</v>
      </c>
      <c r="Q76" s="43">
        <v>0</v>
      </c>
      <c r="R76" s="41">
        <v>0</v>
      </c>
      <c r="BR76">
        <v>27</v>
      </c>
      <c r="BW76">
        <v>512.33000000000004</v>
      </c>
      <c r="BX76">
        <v>438.06</v>
      </c>
      <c r="BZ76">
        <v>555.44000000000005</v>
      </c>
      <c r="CA76">
        <v>11.17</v>
      </c>
      <c r="DC76">
        <v>14550</v>
      </c>
    </row>
    <row r="77" spans="1:109" x14ac:dyDescent="0.2">
      <c r="A77">
        <v>253</v>
      </c>
      <c r="B77" s="41"/>
      <c r="C77" s="43"/>
      <c r="D77" s="41"/>
      <c r="E77" s="43"/>
      <c r="F77" s="41">
        <v>9283.2900000000009</v>
      </c>
      <c r="G77" s="43">
        <v>27</v>
      </c>
      <c r="H77" s="41">
        <v>1517.0000000000002</v>
      </c>
      <c r="I77" s="43">
        <v>24.7</v>
      </c>
      <c r="J77" s="41"/>
      <c r="K77" s="43">
        <v>100</v>
      </c>
      <c r="L77" s="41">
        <v>0</v>
      </c>
      <c r="M77" s="43"/>
      <c r="N77" s="41"/>
      <c r="O77" s="43">
        <v>14550</v>
      </c>
      <c r="P77" s="41">
        <v>120</v>
      </c>
      <c r="Q77" s="43">
        <v>0</v>
      </c>
      <c r="R77" s="41">
        <v>0</v>
      </c>
      <c r="BQ77">
        <v>575</v>
      </c>
      <c r="BR77">
        <v>72.599999999999994</v>
      </c>
      <c r="BW77">
        <v>2216.46</v>
      </c>
      <c r="BX77">
        <v>389.06</v>
      </c>
      <c r="BY77">
        <v>1452.88</v>
      </c>
      <c r="BZ77">
        <v>4713.43</v>
      </c>
      <c r="CA77">
        <v>81.99</v>
      </c>
      <c r="CC77">
        <v>62.58</v>
      </c>
      <c r="CD77">
        <v>299.93</v>
      </c>
    </row>
    <row r="78" spans="1:109" x14ac:dyDescent="0.2">
      <c r="A78">
        <v>255</v>
      </c>
      <c r="B78" s="41"/>
      <c r="C78" s="43">
        <v>3134.4</v>
      </c>
      <c r="D78" s="41">
        <v>23134.97</v>
      </c>
      <c r="E78" s="43">
        <v>5767.98</v>
      </c>
      <c r="F78" s="41">
        <v>152.72</v>
      </c>
      <c r="G78" s="43">
        <v>647.6</v>
      </c>
      <c r="H78" s="41">
        <v>9216.33</v>
      </c>
      <c r="I78" s="43"/>
      <c r="J78" s="41"/>
      <c r="K78" s="43"/>
      <c r="L78" s="41">
        <v>0</v>
      </c>
      <c r="M78" s="43">
        <v>230.72</v>
      </c>
      <c r="N78" s="41"/>
      <c r="O78" s="43">
        <v>0</v>
      </c>
      <c r="P78" s="41">
        <v>1052.79</v>
      </c>
      <c r="Q78" s="43">
        <v>0</v>
      </c>
      <c r="R78" s="41">
        <v>0</v>
      </c>
      <c r="BW78">
        <v>1665.31</v>
      </c>
      <c r="BX78">
        <v>904.55</v>
      </c>
      <c r="BY78">
        <v>484.09</v>
      </c>
      <c r="BZ78">
        <v>1707.12</v>
      </c>
      <c r="CA78">
        <v>49.49</v>
      </c>
      <c r="CB78">
        <v>102</v>
      </c>
      <c r="CC78">
        <v>52.379999999999995</v>
      </c>
      <c r="CD78">
        <v>139.91999999999999</v>
      </c>
      <c r="CE78">
        <v>13.8</v>
      </c>
      <c r="CG78">
        <v>2848.26</v>
      </c>
      <c r="CJ78">
        <v>338.34000000000003</v>
      </c>
      <c r="DA78">
        <v>9272</v>
      </c>
    </row>
    <row r="79" spans="1:109" x14ac:dyDescent="0.2">
      <c r="A79">
        <v>256</v>
      </c>
      <c r="B79" s="41">
        <v>4789.43</v>
      </c>
      <c r="C79" s="43"/>
      <c r="D79" s="41">
        <v>4009.21</v>
      </c>
      <c r="E79" s="43">
        <v>10578.86</v>
      </c>
      <c r="F79" s="41">
        <v>2859.2</v>
      </c>
      <c r="G79" s="43">
        <v>0</v>
      </c>
      <c r="H79" s="41">
        <v>8305.26</v>
      </c>
      <c r="I79" s="43"/>
      <c r="J79" s="41"/>
      <c r="K79" s="43"/>
      <c r="L79" s="41">
        <v>0</v>
      </c>
      <c r="M79" s="43">
        <v>353.45</v>
      </c>
      <c r="N79" s="41"/>
      <c r="O79" s="43">
        <v>9272</v>
      </c>
      <c r="P79" s="41">
        <v>2118.4900000000002</v>
      </c>
      <c r="Q79" s="43">
        <v>0</v>
      </c>
      <c r="R79" s="41">
        <v>0</v>
      </c>
      <c r="DB79">
        <v>6580.04</v>
      </c>
    </row>
    <row r="80" spans="1:109" x14ac:dyDescent="0.2">
      <c r="A80">
        <v>261</v>
      </c>
      <c r="B80" s="41"/>
      <c r="C80" s="43"/>
      <c r="D80" s="41"/>
      <c r="E80" s="43"/>
      <c r="F80" s="41"/>
      <c r="G80" s="43">
        <v>0</v>
      </c>
      <c r="H80" s="41">
        <v>0</v>
      </c>
      <c r="I80" s="43"/>
      <c r="J80" s="41"/>
      <c r="K80" s="43"/>
      <c r="L80" s="41">
        <v>0</v>
      </c>
      <c r="M80" s="43"/>
      <c r="N80" s="41"/>
      <c r="O80" s="43">
        <v>6580.04</v>
      </c>
      <c r="P80" s="41">
        <v>0</v>
      </c>
      <c r="Q80" s="43">
        <v>0</v>
      </c>
      <c r="R80" s="41">
        <v>0</v>
      </c>
      <c r="BW80">
        <v>395.59</v>
      </c>
      <c r="BY80">
        <v>316.92</v>
      </c>
    </row>
    <row r="81" spans="1:109" x14ac:dyDescent="0.2">
      <c r="A81">
        <v>264</v>
      </c>
      <c r="B81" s="41"/>
      <c r="C81" s="43"/>
      <c r="D81" s="41">
        <v>5762.49</v>
      </c>
      <c r="E81" s="43"/>
      <c r="F81" s="41"/>
      <c r="G81" s="43">
        <v>0</v>
      </c>
      <c r="H81" s="41">
        <v>712.51</v>
      </c>
      <c r="I81" s="43"/>
      <c r="J81" s="41"/>
      <c r="K81" s="43"/>
      <c r="L81" s="41">
        <v>0</v>
      </c>
      <c r="M81" s="43"/>
      <c r="N81" s="41"/>
      <c r="O81" s="43">
        <v>0</v>
      </c>
      <c r="P81" s="41">
        <v>178.07</v>
      </c>
      <c r="Q81" s="43">
        <v>0</v>
      </c>
      <c r="R81" s="41">
        <v>0</v>
      </c>
      <c r="BO81">
        <v>92.75</v>
      </c>
      <c r="BP81">
        <v>50.2</v>
      </c>
      <c r="BW81">
        <v>1691.11</v>
      </c>
      <c r="BX81">
        <v>737.89</v>
      </c>
      <c r="BY81">
        <v>622.64</v>
      </c>
      <c r="BZ81">
        <v>2209.4699999999998</v>
      </c>
      <c r="CA81">
        <v>68.430000000000007</v>
      </c>
      <c r="CB81">
        <v>142.05000000000001</v>
      </c>
      <c r="CC81">
        <v>49.74</v>
      </c>
      <c r="CE81">
        <v>374.21</v>
      </c>
      <c r="DA81">
        <v>37355.5</v>
      </c>
      <c r="DE81">
        <v>126.66</v>
      </c>
    </row>
    <row r="82" spans="1:109" x14ac:dyDescent="0.2">
      <c r="A82">
        <v>270</v>
      </c>
      <c r="B82" s="41"/>
      <c r="C82" s="43">
        <v>8455.2000000000007</v>
      </c>
      <c r="D82" s="41">
        <v>10993.66</v>
      </c>
      <c r="E82" s="43">
        <v>302.06</v>
      </c>
      <c r="F82" s="41">
        <v>2657.11</v>
      </c>
      <c r="G82" s="43">
        <v>142.94999999999999</v>
      </c>
      <c r="H82" s="41">
        <v>5895.54</v>
      </c>
      <c r="I82" s="43"/>
      <c r="J82" s="41"/>
      <c r="K82" s="43">
        <v>299.32</v>
      </c>
      <c r="L82" s="41">
        <v>0</v>
      </c>
      <c r="M82" s="43">
        <v>199</v>
      </c>
      <c r="N82" s="41"/>
      <c r="O82" s="43">
        <v>37482.160000000003</v>
      </c>
      <c r="P82" s="41">
        <v>280.94</v>
      </c>
      <c r="Q82" s="43">
        <v>0</v>
      </c>
      <c r="R82" s="41">
        <v>124</v>
      </c>
      <c r="BQ82">
        <v>599.66</v>
      </c>
      <c r="BS82">
        <v>289.45</v>
      </c>
      <c r="BT82">
        <v>27600</v>
      </c>
      <c r="BW82">
        <v>33200.49</v>
      </c>
      <c r="BX82">
        <v>12324.58</v>
      </c>
      <c r="BY82">
        <v>14921.5</v>
      </c>
      <c r="BZ82">
        <v>112290.89</v>
      </c>
      <c r="CA82">
        <v>1039.95</v>
      </c>
      <c r="CB82">
        <v>6095.55</v>
      </c>
      <c r="CC82">
        <v>1189.73</v>
      </c>
      <c r="CD82">
        <v>4186.97</v>
      </c>
      <c r="CF82">
        <v>12197.15</v>
      </c>
      <c r="CI82">
        <v>89259.06</v>
      </c>
      <c r="CQ82">
        <v>22649</v>
      </c>
      <c r="CR82">
        <v>633.27</v>
      </c>
      <c r="DE82">
        <v>12402.78</v>
      </c>
    </row>
    <row r="83" spans="1:109" x14ac:dyDescent="0.2">
      <c r="A83">
        <v>271</v>
      </c>
      <c r="B83" s="41"/>
      <c r="C83" s="43">
        <v>30258.99</v>
      </c>
      <c r="D83" s="41">
        <v>239806.19</v>
      </c>
      <c r="E83" s="43">
        <v>141934.29</v>
      </c>
      <c r="F83" s="41">
        <v>320.83</v>
      </c>
      <c r="G83" s="43">
        <v>28489.11</v>
      </c>
      <c r="H83" s="41">
        <v>286705.87</v>
      </c>
      <c r="I83" s="43">
        <v>878</v>
      </c>
      <c r="J83" s="41"/>
      <c r="K83" s="43">
        <v>903.32</v>
      </c>
      <c r="L83" s="41">
        <v>23282.27</v>
      </c>
      <c r="M83" s="43">
        <v>130.51</v>
      </c>
      <c r="N83" s="41"/>
      <c r="O83" s="43">
        <v>12402.78</v>
      </c>
      <c r="P83" s="41">
        <v>4482.5600000000004</v>
      </c>
      <c r="Q83" s="43">
        <v>0</v>
      </c>
      <c r="R83" s="41">
        <v>0</v>
      </c>
      <c r="BO83">
        <v>1243.07</v>
      </c>
      <c r="BQ83">
        <v>2141.6799999999998</v>
      </c>
      <c r="BS83">
        <v>541.78</v>
      </c>
      <c r="BU83">
        <v>2204.84</v>
      </c>
      <c r="BW83">
        <v>16615.919999999998</v>
      </c>
      <c r="BX83">
        <v>6105.8</v>
      </c>
      <c r="BY83">
        <v>6669.89</v>
      </c>
      <c r="BZ83">
        <v>19673.919999999998</v>
      </c>
      <c r="CA83">
        <v>619.14</v>
      </c>
      <c r="CB83">
        <v>4113.04</v>
      </c>
      <c r="CC83">
        <v>764.16</v>
      </c>
      <c r="CD83">
        <v>840.86</v>
      </c>
      <c r="CR83">
        <v>1185.3499999999999</v>
      </c>
      <c r="DE83">
        <v>30782.35</v>
      </c>
    </row>
    <row r="84" spans="1:109" x14ac:dyDescent="0.2">
      <c r="A84">
        <v>272</v>
      </c>
      <c r="B84" s="41"/>
      <c r="C84" s="43">
        <v>20852</v>
      </c>
      <c r="D84" s="41">
        <v>109686.82</v>
      </c>
      <c r="E84" s="43"/>
      <c r="F84" s="41">
        <v>91099.47</v>
      </c>
      <c r="G84" s="43">
        <v>6131.37</v>
      </c>
      <c r="H84" s="41">
        <v>55402.73</v>
      </c>
      <c r="I84" s="43">
        <v>538.13</v>
      </c>
      <c r="J84" s="41"/>
      <c r="K84" s="43"/>
      <c r="L84" s="41">
        <v>1185.3499999999999</v>
      </c>
      <c r="M84" s="43">
        <v>436.96</v>
      </c>
      <c r="N84" s="41"/>
      <c r="O84" s="43">
        <v>30782.35</v>
      </c>
      <c r="P84" s="41">
        <v>10341.17</v>
      </c>
      <c r="Q84" s="43">
        <v>0</v>
      </c>
      <c r="R84" s="41">
        <v>0</v>
      </c>
      <c r="BW84">
        <v>3656.7</v>
      </c>
      <c r="BX84">
        <v>1105.54</v>
      </c>
      <c r="BY84">
        <v>1557.72</v>
      </c>
      <c r="CG84">
        <v>191.68</v>
      </c>
      <c r="DE84">
        <v>46.02</v>
      </c>
    </row>
    <row r="85" spans="1:109" x14ac:dyDescent="0.2">
      <c r="A85">
        <v>273</v>
      </c>
      <c r="B85" s="41"/>
      <c r="C85" s="43">
        <v>26550</v>
      </c>
      <c r="D85" s="41"/>
      <c r="E85" s="43"/>
      <c r="F85" s="41">
        <v>21250.73</v>
      </c>
      <c r="G85" s="43">
        <v>0</v>
      </c>
      <c r="H85" s="41">
        <v>6511.64</v>
      </c>
      <c r="I85" s="43">
        <v>4770.12</v>
      </c>
      <c r="J85" s="41"/>
      <c r="K85" s="43"/>
      <c r="L85" s="41">
        <v>0</v>
      </c>
      <c r="M85" s="43"/>
      <c r="N85" s="41"/>
      <c r="O85" s="43">
        <v>46.02</v>
      </c>
      <c r="P85" s="41">
        <v>186.87</v>
      </c>
      <c r="Q85" s="43">
        <v>0</v>
      </c>
      <c r="R85" s="41">
        <v>0</v>
      </c>
      <c r="BW85">
        <v>967.43</v>
      </c>
      <c r="BX85">
        <v>97.97</v>
      </c>
      <c r="BY85">
        <v>755.44</v>
      </c>
      <c r="BZ85">
        <v>319.77</v>
      </c>
      <c r="CA85">
        <v>1.89</v>
      </c>
      <c r="CB85">
        <v>22.8</v>
      </c>
      <c r="CC85">
        <v>3.61</v>
      </c>
      <c r="CD85">
        <v>23.8</v>
      </c>
      <c r="DE85">
        <v>2318</v>
      </c>
    </row>
    <row r="86" spans="1:109" x14ac:dyDescent="0.2">
      <c r="A86">
        <v>276</v>
      </c>
      <c r="B86" s="41">
        <v>3186.82</v>
      </c>
      <c r="C86" s="43">
        <v>5248.86</v>
      </c>
      <c r="D86" s="41">
        <v>5299.92</v>
      </c>
      <c r="E86" s="43"/>
      <c r="F86" s="41">
        <v>1494.01</v>
      </c>
      <c r="G86" s="43">
        <v>0</v>
      </c>
      <c r="H86" s="41">
        <v>2192.71</v>
      </c>
      <c r="I86" s="43">
        <v>31746</v>
      </c>
      <c r="J86" s="41"/>
      <c r="K86" s="43"/>
      <c r="L86" s="41">
        <v>0</v>
      </c>
      <c r="M86" s="43"/>
      <c r="N86" s="41"/>
      <c r="O86" s="43">
        <v>2318</v>
      </c>
      <c r="P86" s="41">
        <v>30</v>
      </c>
      <c r="Q86" s="43">
        <v>0</v>
      </c>
      <c r="R86" s="41">
        <v>0</v>
      </c>
      <c r="BS86">
        <v>110100.09</v>
      </c>
      <c r="BW86">
        <v>16566.75</v>
      </c>
      <c r="BX86">
        <v>13124.89</v>
      </c>
      <c r="BY86">
        <v>1577.38</v>
      </c>
      <c r="BZ86">
        <v>10501.58</v>
      </c>
      <c r="CD86">
        <v>707.82</v>
      </c>
      <c r="CG86">
        <v>1175.1199999999999</v>
      </c>
      <c r="CQ86">
        <v>1929.38</v>
      </c>
      <c r="CX86">
        <v>7369.8</v>
      </c>
      <c r="CY86">
        <v>1760.29</v>
      </c>
      <c r="DC86">
        <v>5029</v>
      </c>
      <c r="DE86">
        <v>673.66</v>
      </c>
    </row>
    <row r="87" spans="1:109" x14ac:dyDescent="0.2">
      <c r="A87">
        <v>277</v>
      </c>
      <c r="B87" s="41">
        <v>4509.8900000000003</v>
      </c>
      <c r="C87" s="43">
        <v>26544.98</v>
      </c>
      <c r="D87" s="41">
        <v>240</v>
      </c>
      <c r="E87" s="43">
        <v>56859.67</v>
      </c>
      <c r="F87" s="41">
        <v>31329.439999999999</v>
      </c>
      <c r="G87" s="43">
        <v>110100.09</v>
      </c>
      <c r="H87" s="41">
        <v>43653.54</v>
      </c>
      <c r="I87" s="43">
        <v>12782.47</v>
      </c>
      <c r="J87" s="41"/>
      <c r="K87" s="43">
        <v>8.5299999999999994</v>
      </c>
      <c r="L87" s="41">
        <v>1929.38</v>
      </c>
      <c r="M87" s="43">
        <v>846.54</v>
      </c>
      <c r="N87" s="41">
        <v>216.79</v>
      </c>
      <c r="O87" s="43">
        <v>14832.75</v>
      </c>
      <c r="P87" s="41">
        <v>14524.539999999999</v>
      </c>
      <c r="Q87" s="43">
        <v>3486.62</v>
      </c>
      <c r="R87" s="41">
        <v>244.45</v>
      </c>
      <c r="BS87">
        <v>5091.97</v>
      </c>
      <c r="CK87">
        <v>14841</v>
      </c>
      <c r="CX87">
        <v>7500</v>
      </c>
    </row>
    <row r="88" spans="1:109" x14ac:dyDescent="0.2">
      <c r="A88">
        <v>278</v>
      </c>
      <c r="B88" s="41">
        <v>15408.34</v>
      </c>
      <c r="C88" s="43"/>
      <c r="D88" s="41">
        <v>46790.66</v>
      </c>
      <c r="E88" s="43">
        <v>34065.58</v>
      </c>
      <c r="F88" s="41"/>
      <c r="G88" s="43">
        <v>5091.97</v>
      </c>
      <c r="H88" s="41">
        <v>14841</v>
      </c>
      <c r="I88" s="43">
        <v>1000</v>
      </c>
      <c r="J88" s="41">
        <v>825</v>
      </c>
      <c r="K88" s="43"/>
      <c r="L88" s="41">
        <v>0</v>
      </c>
      <c r="M88" s="43">
        <v>141.72</v>
      </c>
      <c r="N88" s="41"/>
      <c r="O88" s="43">
        <v>7500</v>
      </c>
      <c r="P88" s="41">
        <v>983.31</v>
      </c>
      <c r="Q88" s="43">
        <v>0</v>
      </c>
      <c r="R88" s="41">
        <v>0</v>
      </c>
      <c r="BQ88">
        <v>654.5</v>
      </c>
      <c r="BW88">
        <v>11997.33</v>
      </c>
      <c r="BX88">
        <v>2248.86</v>
      </c>
      <c r="BY88">
        <v>6690.44</v>
      </c>
      <c r="BZ88">
        <v>19669.439999999999</v>
      </c>
      <c r="CD88">
        <v>2237.42</v>
      </c>
      <c r="CQ88">
        <v>137217.68</v>
      </c>
      <c r="DE88">
        <v>406.02</v>
      </c>
    </row>
    <row r="89" spans="1:109" x14ac:dyDescent="0.2">
      <c r="A89">
        <v>279</v>
      </c>
      <c r="B89" s="41"/>
      <c r="C89" s="43">
        <v>21679.63</v>
      </c>
      <c r="D89" s="41">
        <v>99226.86</v>
      </c>
      <c r="E89" s="43">
        <v>19422.59</v>
      </c>
      <c r="F89" s="41">
        <v>16654.84</v>
      </c>
      <c r="G89" s="43">
        <v>654.5</v>
      </c>
      <c r="H89" s="41">
        <v>42843.49</v>
      </c>
      <c r="I89" s="43"/>
      <c r="J89" s="41"/>
      <c r="K89" s="43">
        <v>88.87</v>
      </c>
      <c r="L89" s="41">
        <v>137217.68</v>
      </c>
      <c r="M89" s="43">
        <v>414.69</v>
      </c>
      <c r="N89" s="41"/>
      <c r="O89" s="43">
        <v>406.02</v>
      </c>
      <c r="P89" s="41">
        <v>2420.5299999999997</v>
      </c>
      <c r="Q89" s="43">
        <v>0</v>
      </c>
      <c r="R89" s="41">
        <v>0</v>
      </c>
      <c r="DB89">
        <v>30000</v>
      </c>
      <c r="DC89">
        <v>68290.05</v>
      </c>
    </row>
    <row r="90" spans="1:109" x14ac:dyDescent="0.2">
      <c r="A90">
        <v>280</v>
      </c>
      <c r="B90" s="41"/>
      <c r="C90" s="43"/>
      <c r="D90" s="41"/>
      <c r="E90" s="43"/>
      <c r="F90" s="41"/>
      <c r="G90" s="43">
        <v>0</v>
      </c>
      <c r="H90" s="41">
        <v>0</v>
      </c>
      <c r="I90" s="43"/>
      <c r="J90" s="41"/>
      <c r="K90" s="43"/>
      <c r="L90" s="41">
        <v>0</v>
      </c>
      <c r="M90" s="43"/>
      <c r="N90" s="41"/>
      <c r="O90" s="43">
        <v>98290.05</v>
      </c>
      <c r="P90" s="41">
        <v>0</v>
      </c>
      <c r="Q90" s="43">
        <v>0</v>
      </c>
      <c r="R90" s="41">
        <v>0</v>
      </c>
      <c r="CY90">
        <v>385.58</v>
      </c>
      <c r="DE90">
        <v>173177.51</v>
      </c>
    </row>
    <row r="91" spans="1:109" x14ac:dyDescent="0.2">
      <c r="A91">
        <v>281</v>
      </c>
      <c r="B91" s="41"/>
      <c r="C91" s="43"/>
      <c r="D91" s="41"/>
      <c r="E91" s="43"/>
      <c r="F91" s="41"/>
      <c r="G91" s="43">
        <v>0</v>
      </c>
      <c r="H91" s="41">
        <v>0</v>
      </c>
      <c r="I91" s="43">
        <v>905.67</v>
      </c>
      <c r="J91" s="41">
        <v>12.45</v>
      </c>
      <c r="K91" s="43">
        <v>1114.67</v>
      </c>
      <c r="L91" s="41">
        <v>0</v>
      </c>
      <c r="M91" s="43">
        <v>2546.84</v>
      </c>
      <c r="N91" s="41">
        <v>20</v>
      </c>
      <c r="O91" s="43">
        <v>173563.09</v>
      </c>
      <c r="P91" s="41">
        <v>6690.63</v>
      </c>
      <c r="Q91" s="43">
        <v>4579.3899999999994</v>
      </c>
      <c r="R91" s="41">
        <v>0</v>
      </c>
      <c r="BW91">
        <v>157.44</v>
      </c>
      <c r="BX91">
        <v>127.61</v>
      </c>
      <c r="BY91">
        <v>14.85</v>
      </c>
      <c r="BZ91">
        <v>704.66</v>
      </c>
      <c r="CA91">
        <v>5.94</v>
      </c>
      <c r="CB91">
        <v>37.53</v>
      </c>
      <c r="CC91">
        <v>4.9800000000000004</v>
      </c>
      <c r="DA91">
        <v>7958.93</v>
      </c>
    </row>
    <row r="92" spans="1:109" x14ac:dyDescent="0.2">
      <c r="A92">
        <v>282</v>
      </c>
      <c r="B92" s="41"/>
      <c r="C92" s="43">
        <v>270.06</v>
      </c>
      <c r="D92" s="41"/>
      <c r="E92" s="43"/>
      <c r="F92" s="41">
        <v>1928.36</v>
      </c>
      <c r="G92" s="43">
        <v>0</v>
      </c>
      <c r="H92" s="41">
        <v>1053.01</v>
      </c>
      <c r="I92" s="43">
        <v>335.28</v>
      </c>
      <c r="J92" s="41"/>
      <c r="K92" s="43"/>
      <c r="L92" s="41">
        <v>0</v>
      </c>
      <c r="M92" s="43">
        <v>927</v>
      </c>
      <c r="N92" s="41"/>
      <c r="O92" s="43">
        <v>7958.93</v>
      </c>
      <c r="P92" s="41">
        <v>0</v>
      </c>
      <c r="Q92" s="43">
        <v>0</v>
      </c>
      <c r="R92" s="41">
        <v>4033.4</v>
      </c>
      <c r="BQ92">
        <v>1517.11</v>
      </c>
      <c r="BW92">
        <v>2356.7199999999998</v>
      </c>
      <c r="BX92">
        <v>1463.21</v>
      </c>
      <c r="BY92">
        <v>990.4</v>
      </c>
      <c r="BZ92">
        <v>15110.9</v>
      </c>
      <c r="CG92">
        <v>734.67</v>
      </c>
    </row>
    <row r="93" spans="1:109" x14ac:dyDescent="0.2">
      <c r="A93">
        <v>283</v>
      </c>
      <c r="B93" s="41"/>
      <c r="C93" s="43"/>
      <c r="D93" s="41">
        <v>16025.44</v>
      </c>
      <c r="E93" s="43">
        <v>22606.959999999999</v>
      </c>
      <c r="F93" s="41"/>
      <c r="G93" s="43">
        <v>1517.11</v>
      </c>
      <c r="H93" s="41">
        <v>20655.899999999998</v>
      </c>
      <c r="I93" s="43">
        <v>28.37</v>
      </c>
      <c r="J93" s="41"/>
      <c r="K93" s="43"/>
      <c r="L93" s="41">
        <v>0</v>
      </c>
      <c r="M93" s="43">
        <v>99.75</v>
      </c>
      <c r="N93" s="41"/>
      <c r="O93" s="43">
        <v>0</v>
      </c>
      <c r="P93" s="41">
        <v>1065.97</v>
      </c>
      <c r="Q93" s="43">
        <v>0</v>
      </c>
      <c r="R93" s="41">
        <v>0</v>
      </c>
      <c r="BW93">
        <v>1616.26</v>
      </c>
      <c r="BY93">
        <v>1255.3499999999999</v>
      </c>
      <c r="BZ93">
        <v>4512.13</v>
      </c>
      <c r="CA93">
        <v>29.09</v>
      </c>
      <c r="CB93">
        <v>206.79</v>
      </c>
      <c r="CC93">
        <v>77.680000000000007</v>
      </c>
      <c r="CD93">
        <v>117.08</v>
      </c>
      <c r="CG93">
        <v>22.76</v>
      </c>
      <c r="DC93">
        <v>16322.28</v>
      </c>
      <c r="DE93">
        <v>13878.2</v>
      </c>
    </row>
    <row r="94" spans="1:109" x14ac:dyDescent="0.2">
      <c r="A94">
        <v>284</v>
      </c>
      <c r="B94" s="41"/>
      <c r="C94" s="43">
        <v>22825.11</v>
      </c>
      <c r="D94" s="41"/>
      <c r="E94" s="43"/>
      <c r="F94" s="41"/>
      <c r="G94" s="43">
        <v>0</v>
      </c>
      <c r="H94" s="41">
        <v>7837.14</v>
      </c>
      <c r="I94" s="43">
        <v>34.83</v>
      </c>
      <c r="J94" s="41">
        <v>280</v>
      </c>
      <c r="K94" s="43">
        <v>67.84</v>
      </c>
      <c r="L94" s="41">
        <v>0</v>
      </c>
      <c r="M94" s="43">
        <v>2437.02</v>
      </c>
      <c r="N94" s="41"/>
      <c r="O94" s="43">
        <v>30200.480000000003</v>
      </c>
      <c r="P94" s="41">
        <v>942.2</v>
      </c>
      <c r="Q94" s="43">
        <v>0</v>
      </c>
      <c r="R94" s="41">
        <v>110</v>
      </c>
      <c r="BW94">
        <v>4190.07</v>
      </c>
      <c r="BX94">
        <v>1353.9</v>
      </c>
      <c r="BY94">
        <v>1572.61</v>
      </c>
      <c r="BZ94">
        <v>1963.19</v>
      </c>
      <c r="CD94">
        <v>755.23</v>
      </c>
      <c r="CR94">
        <v>3390.15</v>
      </c>
      <c r="DE94">
        <v>5000</v>
      </c>
    </row>
    <row r="95" spans="1:109" x14ac:dyDescent="0.2">
      <c r="A95">
        <v>286</v>
      </c>
      <c r="B95" s="41"/>
      <c r="C95" s="43">
        <v>3150</v>
      </c>
      <c r="D95" s="41">
        <v>26083.38</v>
      </c>
      <c r="E95" s="43">
        <v>18670.810000000001</v>
      </c>
      <c r="F95" s="41">
        <v>6999.14</v>
      </c>
      <c r="G95" s="43">
        <v>0</v>
      </c>
      <c r="H95" s="41">
        <v>9834.9999999999982</v>
      </c>
      <c r="I95" s="43"/>
      <c r="J95" s="41">
        <v>68.010000000000005</v>
      </c>
      <c r="K95" s="43"/>
      <c r="L95" s="41">
        <v>3390.15</v>
      </c>
      <c r="M95" s="43">
        <v>1474.08</v>
      </c>
      <c r="N95" s="41"/>
      <c r="O95" s="43">
        <v>5000</v>
      </c>
      <c r="P95" s="41">
        <v>4861.33</v>
      </c>
      <c r="Q95" s="43">
        <v>0</v>
      </c>
      <c r="R95" s="41">
        <v>0</v>
      </c>
      <c r="BS95">
        <v>94.5</v>
      </c>
      <c r="BW95">
        <v>513.12</v>
      </c>
      <c r="BX95">
        <v>77.56</v>
      </c>
      <c r="BY95">
        <v>292.08</v>
      </c>
      <c r="CA95">
        <v>2.29</v>
      </c>
      <c r="CB95">
        <v>16.61</v>
      </c>
      <c r="CC95">
        <v>0.04</v>
      </c>
      <c r="CD95">
        <v>36.369999999999997</v>
      </c>
    </row>
    <row r="96" spans="1:109" x14ac:dyDescent="0.2">
      <c r="A96">
        <v>294</v>
      </c>
      <c r="B96" s="41">
        <v>394.17</v>
      </c>
      <c r="C96" s="43"/>
      <c r="D96" s="41">
        <v>5271.63</v>
      </c>
      <c r="E96" s="43"/>
      <c r="F96" s="41">
        <v>1172.4100000000001</v>
      </c>
      <c r="G96" s="43">
        <v>94.5</v>
      </c>
      <c r="H96" s="41">
        <v>938.06999999999994</v>
      </c>
      <c r="I96" s="43"/>
      <c r="J96" s="41"/>
      <c r="K96" s="43"/>
      <c r="L96" s="41">
        <v>0</v>
      </c>
      <c r="M96" s="43"/>
      <c r="N96" s="41"/>
      <c r="O96" s="43">
        <v>0</v>
      </c>
      <c r="P96" s="41">
        <v>12.66</v>
      </c>
      <c r="Q96" s="43">
        <v>0</v>
      </c>
      <c r="R96" s="41">
        <v>0</v>
      </c>
      <c r="BS96">
        <v>220</v>
      </c>
      <c r="BW96">
        <v>330.89</v>
      </c>
      <c r="BX96">
        <v>23.92</v>
      </c>
      <c r="BY96">
        <v>93.28</v>
      </c>
    </row>
    <row r="97" spans="1:109" x14ac:dyDescent="0.2">
      <c r="A97">
        <v>297</v>
      </c>
      <c r="B97" s="41"/>
      <c r="C97" s="43">
        <v>2203.1999999999998</v>
      </c>
      <c r="D97" s="41">
        <v>2125.96</v>
      </c>
      <c r="E97" s="43"/>
      <c r="F97" s="41"/>
      <c r="G97" s="43">
        <v>220</v>
      </c>
      <c r="H97" s="41">
        <v>448.09000000000003</v>
      </c>
      <c r="I97" s="43"/>
      <c r="J97" s="41"/>
      <c r="K97" s="43"/>
      <c r="L97" s="41">
        <v>0</v>
      </c>
      <c r="M97" s="43"/>
      <c r="N97" s="41"/>
      <c r="O97" s="43">
        <v>0</v>
      </c>
      <c r="P97" s="41">
        <v>548.46</v>
      </c>
      <c r="Q97" s="43">
        <v>0</v>
      </c>
      <c r="R97" s="41">
        <v>0</v>
      </c>
      <c r="BW97">
        <v>2811.51</v>
      </c>
      <c r="BX97">
        <v>289.24</v>
      </c>
      <c r="BY97">
        <v>1785.55</v>
      </c>
      <c r="BZ97">
        <v>406.86</v>
      </c>
      <c r="CA97">
        <v>99.61</v>
      </c>
      <c r="CB97">
        <v>46.16</v>
      </c>
      <c r="CC97">
        <v>97</v>
      </c>
      <c r="CD97">
        <v>59.85</v>
      </c>
      <c r="CG97">
        <v>180</v>
      </c>
      <c r="CQ97">
        <v>1387.5</v>
      </c>
    </row>
    <row r="98" spans="1:109" x14ac:dyDescent="0.2">
      <c r="A98">
        <v>299</v>
      </c>
      <c r="B98" s="41">
        <v>2502</v>
      </c>
      <c r="C98" s="43"/>
      <c r="D98" s="41">
        <v>30370.03</v>
      </c>
      <c r="E98" s="43">
        <v>3895.08</v>
      </c>
      <c r="F98" s="41"/>
      <c r="G98" s="43">
        <v>0</v>
      </c>
      <c r="H98" s="41">
        <v>5775.78</v>
      </c>
      <c r="I98" s="43">
        <v>53.12</v>
      </c>
      <c r="J98" s="41"/>
      <c r="K98" s="43">
        <v>182.2</v>
      </c>
      <c r="L98" s="41">
        <v>1387.5</v>
      </c>
      <c r="M98" s="43">
        <v>517.78</v>
      </c>
      <c r="N98" s="41"/>
      <c r="O98" s="43">
        <v>0</v>
      </c>
      <c r="P98" s="41">
        <v>1370.17</v>
      </c>
      <c r="Q98" s="43">
        <v>0</v>
      </c>
      <c r="R98" s="41">
        <v>0</v>
      </c>
      <c r="BT98">
        <v>-699.42</v>
      </c>
      <c r="BW98">
        <v>1354.2</v>
      </c>
      <c r="BX98">
        <v>287.07</v>
      </c>
      <c r="BY98">
        <v>736.56</v>
      </c>
      <c r="CA98">
        <v>110.72</v>
      </c>
      <c r="CC98">
        <v>73.2</v>
      </c>
      <c r="CD98">
        <v>248.77</v>
      </c>
      <c r="CE98">
        <v>219.74</v>
      </c>
      <c r="CG98">
        <v>98.22</v>
      </c>
      <c r="CK98">
        <v>-94.93</v>
      </c>
      <c r="CL98">
        <v>0.55000000000000004</v>
      </c>
      <c r="CQ98">
        <v>3786.04</v>
      </c>
      <c r="CY98">
        <v>300</v>
      </c>
    </row>
    <row r="99" spans="1:109" x14ac:dyDescent="0.2">
      <c r="A99">
        <v>300</v>
      </c>
      <c r="B99" s="41"/>
      <c r="C99" s="43"/>
      <c r="D99" s="41">
        <v>13393.42</v>
      </c>
      <c r="E99" s="43">
        <v>2952.02</v>
      </c>
      <c r="F99" s="41">
        <v>1427.67</v>
      </c>
      <c r="G99" s="43">
        <v>-699.42</v>
      </c>
      <c r="H99" s="41">
        <v>3034.0999999999995</v>
      </c>
      <c r="I99" s="43">
        <v>140</v>
      </c>
      <c r="J99" s="41"/>
      <c r="K99" s="43"/>
      <c r="L99" s="41">
        <v>3786.04</v>
      </c>
      <c r="M99" s="43"/>
      <c r="N99" s="41">
        <v>180</v>
      </c>
      <c r="O99" s="43">
        <v>300</v>
      </c>
      <c r="P99" s="41">
        <v>307.26</v>
      </c>
      <c r="Q99" s="43">
        <v>0</v>
      </c>
      <c r="R99" s="41">
        <v>0</v>
      </c>
      <c r="BT99">
        <v>-9232</v>
      </c>
      <c r="BW99">
        <v>1032.5899999999999</v>
      </c>
      <c r="BX99">
        <v>293.52</v>
      </c>
      <c r="BY99">
        <v>499.13</v>
      </c>
      <c r="CK99">
        <v>-887</v>
      </c>
    </row>
    <row r="100" spans="1:109" x14ac:dyDescent="0.2">
      <c r="A100">
        <v>306</v>
      </c>
      <c r="B100" s="41"/>
      <c r="C100" s="43"/>
      <c r="D100" s="41">
        <v>9075</v>
      </c>
      <c r="E100" s="43">
        <v>4422.91</v>
      </c>
      <c r="F100" s="41"/>
      <c r="G100" s="43">
        <v>-9232</v>
      </c>
      <c r="H100" s="41">
        <v>938.23999999999978</v>
      </c>
      <c r="I100" s="43"/>
      <c r="J100" s="41"/>
      <c r="K100" s="43"/>
      <c r="L100" s="41">
        <v>0</v>
      </c>
      <c r="M100" s="43">
        <v>122.5</v>
      </c>
      <c r="N100" s="41"/>
      <c r="O100" s="43">
        <v>0</v>
      </c>
      <c r="P100" s="41">
        <v>0</v>
      </c>
      <c r="Q100" s="43">
        <v>0</v>
      </c>
      <c r="R100" s="41">
        <v>0</v>
      </c>
      <c r="BQ100">
        <v>15.75</v>
      </c>
      <c r="BW100">
        <v>644.03</v>
      </c>
      <c r="BX100">
        <v>1.02</v>
      </c>
      <c r="BY100">
        <v>460.5</v>
      </c>
    </row>
    <row r="101" spans="1:109" x14ac:dyDescent="0.2">
      <c r="A101">
        <v>308</v>
      </c>
      <c r="B101" s="41"/>
      <c r="C101" s="43"/>
      <c r="D101" s="41">
        <v>8394.9</v>
      </c>
      <c r="E101" s="43"/>
      <c r="F101" s="41"/>
      <c r="G101" s="43">
        <v>15.75</v>
      </c>
      <c r="H101" s="41">
        <v>1105.55</v>
      </c>
      <c r="I101" s="43"/>
      <c r="J101" s="41"/>
      <c r="K101" s="43"/>
      <c r="L101" s="41">
        <v>0</v>
      </c>
      <c r="M101" s="43"/>
      <c r="N101" s="41"/>
      <c r="O101" s="43">
        <v>0</v>
      </c>
      <c r="P101" s="41">
        <v>500.65</v>
      </c>
      <c r="Q101" s="43">
        <v>0</v>
      </c>
      <c r="R101" s="41">
        <v>0</v>
      </c>
      <c r="BW101">
        <v>3707.38</v>
      </c>
      <c r="BX101">
        <v>1702.3</v>
      </c>
      <c r="BY101">
        <v>1249.3699999999999</v>
      </c>
      <c r="BZ101">
        <v>8313.52</v>
      </c>
      <c r="CA101">
        <v>189.39</v>
      </c>
      <c r="CC101">
        <v>175.09</v>
      </c>
      <c r="CD101">
        <v>100.07</v>
      </c>
      <c r="CG101">
        <v>361</v>
      </c>
      <c r="DE101">
        <v>-8856.77</v>
      </c>
    </row>
    <row r="102" spans="1:109" x14ac:dyDescent="0.2">
      <c r="A102">
        <v>309</v>
      </c>
      <c r="B102" s="41">
        <v>2420.9899999999998</v>
      </c>
      <c r="C102" s="43">
        <v>4337.57</v>
      </c>
      <c r="D102" s="41">
        <v>16547.45</v>
      </c>
      <c r="E102" s="43">
        <v>24093.17</v>
      </c>
      <c r="F102" s="41">
        <v>1338.28</v>
      </c>
      <c r="G102" s="43">
        <v>0</v>
      </c>
      <c r="H102" s="41">
        <v>15798.119999999999</v>
      </c>
      <c r="I102" s="43">
        <v>84.91</v>
      </c>
      <c r="J102" s="41"/>
      <c r="K102" s="43"/>
      <c r="L102" s="41">
        <v>0</v>
      </c>
      <c r="M102" s="43"/>
      <c r="N102" s="41"/>
      <c r="O102" s="43">
        <v>-8856.77</v>
      </c>
      <c r="P102" s="41">
        <v>686.15</v>
      </c>
      <c r="Q102" s="43">
        <v>0</v>
      </c>
      <c r="R102" s="41">
        <v>0</v>
      </c>
      <c r="BW102">
        <v>2265.15</v>
      </c>
      <c r="BX102">
        <v>681.99</v>
      </c>
      <c r="BY102">
        <v>1063.8399999999999</v>
      </c>
      <c r="CG102">
        <v>278.29000000000002</v>
      </c>
      <c r="CQ102">
        <v>274.60000000000002</v>
      </c>
    </row>
    <row r="103" spans="1:109" x14ac:dyDescent="0.2">
      <c r="A103">
        <v>314</v>
      </c>
      <c r="B103" s="41">
        <v>1500</v>
      </c>
      <c r="C103" s="43"/>
      <c r="D103" s="41">
        <v>17841.990000000002</v>
      </c>
      <c r="E103" s="43">
        <v>627.02</v>
      </c>
      <c r="F103" s="41"/>
      <c r="G103" s="43">
        <v>0</v>
      </c>
      <c r="H103" s="41">
        <v>4289.2700000000004</v>
      </c>
      <c r="I103" s="43">
        <v>358.9</v>
      </c>
      <c r="J103" s="41">
        <v>125</v>
      </c>
      <c r="K103" s="43"/>
      <c r="L103" s="41">
        <v>274.60000000000002</v>
      </c>
      <c r="M103" s="43">
        <v>245</v>
      </c>
      <c r="N103" s="41"/>
      <c r="O103" s="43">
        <v>0</v>
      </c>
      <c r="P103" s="41">
        <v>967.65</v>
      </c>
      <c r="Q103" s="43">
        <v>0</v>
      </c>
      <c r="R103" s="41">
        <v>0</v>
      </c>
      <c r="BQ103">
        <v>720</v>
      </c>
      <c r="BW103">
        <v>2080.21</v>
      </c>
      <c r="BX103">
        <v>135.6</v>
      </c>
      <c r="BY103">
        <v>1383.36</v>
      </c>
      <c r="CD103">
        <v>162.04</v>
      </c>
      <c r="CG103">
        <v>479.81</v>
      </c>
      <c r="DB103">
        <v>19368.439999999999</v>
      </c>
    </row>
    <row r="104" spans="1:109" x14ac:dyDescent="0.2">
      <c r="A104">
        <v>316</v>
      </c>
      <c r="B104" s="41"/>
      <c r="C104" s="43"/>
      <c r="D104" s="41">
        <v>24432.18</v>
      </c>
      <c r="E104" s="43">
        <v>2040</v>
      </c>
      <c r="F104" s="41"/>
      <c r="G104" s="43">
        <v>720</v>
      </c>
      <c r="H104" s="41">
        <v>4241.0200000000004</v>
      </c>
      <c r="I104" s="43">
        <v>236.76</v>
      </c>
      <c r="J104" s="41"/>
      <c r="K104" s="43"/>
      <c r="L104" s="41">
        <v>0</v>
      </c>
      <c r="M104" s="43"/>
      <c r="N104" s="41">
        <v>10000</v>
      </c>
      <c r="O104" s="43">
        <v>19368.439999999999</v>
      </c>
      <c r="P104" s="41">
        <v>9052.4399999999987</v>
      </c>
      <c r="Q104" s="43">
        <v>0</v>
      </c>
      <c r="R104" s="41">
        <v>0</v>
      </c>
      <c r="BQ104">
        <v>1620</v>
      </c>
      <c r="BR104">
        <v>366.63</v>
      </c>
      <c r="BW104">
        <v>7748.74</v>
      </c>
      <c r="BX104">
        <v>4212.3100000000004</v>
      </c>
      <c r="BY104">
        <v>2064.3000000000002</v>
      </c>
      <c r="CA104">
        <v>6.32</v>
      </c>
      <c r="CG104">
        <v>895.93</v>
      </c>
      <c r="CQ104">
        <v>5000</v>
      </c>
      <c r="DC104">
        <v>494.75</v>
      </c>
    </row>
    <row r="105" spans="1:109" x14ac:dyDescent="0.2">
      <c r="A105">
        <v>317</v>
      </c>
      <c r="B105" s="41"/>
      <c r="C105" s="43"/>
      <c r="D105" s="41">
        <v>61647.4</v>
      </c>
      <c r="E105" s="43">
        <v>37657.9</v>
      </c>
      <c r="F105" s="41"/>
      <c r="G105" s="43">
        <v>1986.63</v>
      </c>
      <c r="H105" s="41">
        <v>14927.599999999999</v>
      </c>
      <c r="I105" s="43"/>
      <c r="J105" s="41"/>
      <c r="K105" s="43"/>
      <c r="L105" s="41">
        <v>5000</v>
      </c>
      <c r="M105" s="43">
        <v>732.88</v>
      </c>
      <c r="N105" s="41"/>
      <c r="O105" s="43">
        <v>494.75</v>
      </c>
      <c r="P105" s="41">
        <v>10939.45</v>
      </c>
      <c r="Q105" s="43">
        <v>0</v>
      </c>
      <c r="R105" s="41">
        <v>0</v>
      </c>
      <c r="BQ105">
        <v>90</v>
      </c>
      <c r="BR105">
        <v>442</v>
      </c>
      <c r="BT105">
        <v>-1488.22</v>
      </c>
      <c r="BZ105">
        <v>7122</v>
      </c>
      <c r="CK105">
        <v>5002.4799999999996</v>
      </c>
      <c r="CR105">
        <v>310.56</v>
      </c>
      <c r="DB105">
        <v>7357</v>
      </c>
    </row>
    <row r="106" spans="1:109" x14ac:dyDescent="0.2">
      <c r="A106">
        <v>318</v>
      </c>
      <c r="B106" s="41"/>
      <c r="C106" s="43"/>
      <c r="D106" s="41">
        <v>29539.89</v>
      </c>
      <c r="E106" s="43">
        <v>8025.79</v>
      </c>
      <c r="F106" s="41"/>
      <c r="G106" s="43">
        <v>-956.22</v>
      </c>
      <c r="H106" s="41">
        <v>12124.48</v>
      </c>
      <c r="I106" s="43"/>
      <c r="J106" s="41"/>
      <c r="K106" s="43"/>
      <c r="L106" s="41">
        <v>310.56</v>
      </c>
      <c r="M106" s="43">
        <v>528.73</v>
      </c>
      <c r="N106" s="41"/>
      <c r="O106" s="43">
        <v>7357</v>
      </c>
      <c r="P106" s="41">
        <v>1502.44</v>
      </c>
      <c r="Q106" s="43">
        <v>0</v>
      </c>
      <c r="R106" s="41">
        <v>0</v>
      </c>
      <c r="DC106">
        <v>9287.35</v>
      </c>
    </row>
    <row r="107" spans="1:109" x14ac:dyDescent="0.2">
      <c r="A107">
        <v>319</v>
      </c>
      <c r="B107" s="41"/>
      <c r="C107" s="43"/>
      <c r="D107" s="41"/>
      <c r="E107" s="43"/>
      <c r="F107" s="41"/>
      <c r="G107" s="43">
        <v>0</v>
      </c>
      <c r="H107" s="41">
        <v>0</v>
      </c>
      <c r="I107" s="43"/>
      <c r="J107" s="41"/>
      <c r="K107" s="43"/>
      <c r="L107" s="41">
        <v>0</v>
      </c>
      <c r="M107" s="43"/>
      <c r="N107" s="41"/>
      <c r="O107" s="43">
        <v>9287.35</v>
      </c>
      <c r="P107" s="41">
        <v>0</v>
      </c>
      <c r="Q107" s="43">
        <v>0</v>
      </c>
      <c r="R107" s="41">
        <v>0</v>
      </c>
      <c r="DE107">
        <v>3825</v>
      </c>
    </row>
    <row r="108" spans="1:109" x14ac:dyDescent="0.2">
      <c r="A108">
        <v>330</v>
      </c>
      <c r="B108" s="41"/>
      <c r="C108" s="43"/>
      <c r="D108" s="41"/>
      <c r="E108" s="43"/>
      <c r="F108" s="41"/>
      <c r="G108" s="43">
        <v>0</v>
      </c>
      <c r="H108" s="41">
        <v>0</v>
      </c>
      <c r="I108" s="43"/>
      <c r="J108" s="41"/>
      <c r="K108" s="43"/>
      <c r="L108" s="41">
        <v>0</v>
      </c>
      <c r="M108" s="43"/>
      <c r="N108" s="41"/>
      <c r="O108" s="43">
        <v>3825</v>
      </c>
      <c r="P108" s="41">
        <v>0</v>
      </c>
      <c r="Q108" s="43">
        <v>0</v>
      </c>
      <c r="R108" s="41">
        <v>0</v>
      </c>
      <c r="BS108">
        <v>1304.8800000000001</v>
      </c>
      <c r="BW108">
        <v>1065.98</v>
      </c>
      <c r="BX108">
        <v>266.7</v>
      </c>
      <c r="BY108">
        <v>592.28</v>
      </c>
      <c r="BZ108">
        <v>14.78</v>
      </c>
      <c r="CA108">
        <v>0.03</v>
      </c>
      <c r="CB108">
        <v>1.24</v>
      </c>
      <c r="CC108">
        <v>0.23</v>
      </c>
      <c r="CG108">
        <v>141.81</v>
      </c>
      <c r="DA108">
        <v>17135</v>
      </c>
    </row>
    <row r="109" spans="1:109" x14ac:dyDescent="0.2">
      <c r="A109">
        <v>332</v>
      </c>
      <c r="B109" s="41">
        <v>1663</v>
      </c>
      <c r="C109" s="43"/>
      <c r="D109" s="41">
        <v>7905.77</v>
      </c>
      <c r="E109" s="43">
        <v>3904.25</v>
      </c>
      <c r="F109" s="41"/>
      <c r="G109" s="43">
        <v>1304.8800000000001</v>
      </c>
      <c r="H109" s="41">
        <v>2083.0500000000002</v>
      </c>
      <c r="I109" s="43">
        <v>148.80000000000001</v>
      </c>
      <c r="J109" s="41"/>
      <c r="K109" s="43"/>
      <c r="L109" s="41">
        <v>0</v>
      </c>
      <c r="M109" s="43"/>
      <c r="N109" s="41"/>
      <c r="O109" s="43">
        <v>17135</v>
      </c>
      <c r="P109" s="41">
        <v>2501.9699999999998</v>
      </c>
      <c r="Q109" s="43">
        <v>0</v>
      </c>
      <c r="R109" s="41">
        <v>0</v>
      </c>
      <c r="BW109">
        <v>1857.81</v>
      </c>
      <c r="BX109">
        <v>442.91</v>
      </c>
      <c r="BY109">
        <v>1208.1400000000001</v>
      </c>
      <c r="CA109">
        <v>32.51</v>
      </c>
      <c r="CC109">
        <v>142.08000000000001</v>
      </c>
      <c r="CG109">
        <v>99.57</v>
      </c>
      <c r="CR109">
        <v>527.66</v>
      </c>
    </row>
    <row r="110" spans="1:109" x14ac:dyDescent="0.2">
      <c r="A110">
        <v>333</v>
      </c>
      <c r="B110" s="41"/>
      <c r="C110" s="43"/>
      <c r="D110" s="41">
        <v>21965.63</v>
      </c>
      <c r="E110" s="43">
        <v>6522.04</v>
      </c>
      <c r="F110" s="41">
        <v>124.55</v>
      </c>
      <c r="G110" s="43">
        <v>0</v>
      </c>
      <c r="H110" s="41">
        <v>3783.02</v>
      </c>
      <c r="I110" s="43"/>
      <c r="J110" s="41"/>
      <c r="K110" s="43"/>
      <c r="L110" s="41">
        <v>527.66</v>
      </c>
      <c r="M110" s="43"/>
      <c r="N110" s="41"/>
      <c r="O110" s="43">
        <v>0</v>
      </c>
      <c r="P110" s="41">
        <v>960.86</v>
      </c>
      <c r="Q110" s="43">
        <v>0</v>
      </c>
      <c r="R110" s="41">
        <v>0</v>
      </c>
      <c r="BS110">
        <v>7500</v>
      </c>
      <c r="BW110">
        <v>2584</v>
      </c>
      <c r="BX110">
        <v>702.06999999999994</v>
      </c>
      <c r="BY110">
        <v>1005</v>
      </c>
      <c r="BZ110">
        <v>1200</v>
      </c>
      <c r="CJ110">
        <v>3638</v>
      </c>
      <c r="CQ110">
        <v>2998.65</v>
      </c>
      <c r="CX110">
        <v>800</v>
      </c>
    </row>
    <row r="111" spans="1:109" x14ac:dyDescent="0.2">
      <c r="A111">
        <v>345</v>
      </c>
      <c r="B111" s="41"/>
      <c r="C111" s="43"/>
      <c r="D111" s="41">
        <v>18272</v>
      </c>
      <c r="E111" s="43">
        <v>3479.89</v>
      </c>
      <c r="F111" s="41">
        <v>1500</v>
      </c>
      <c r="G111" s="43">
        <v>7500</v>
      </c>
      <c r="H111" s="41">
        <v>9129.07</v>
      </c>
      <c r="I111" s="43">
        <v>72</v>
      </c>
      <c r="J111" s="41"/>
      <c r="K111" s="43"/>
      <c r="L111" s="41">
        <v>2998.65</v>
      </c>
      <c r="M111" s="43"/>
      <c r="N111" s="41"/>
      <c r="O111" s="43">
        <v>800</v>
      </c>
      <c r="P111" s="41">
        <v>7760.29</v>
      </c>
      <c r="Q111" s="43">
        <v>0</v>
      </c>
      <c r="R111" s="41">
        <v>0</v>
      </c>
      <c r="BQ111">
        <v>265.38</v>
      </c>
      <c r="BS111">
        <v>5922.47</v>
      </c>
      <c r="BT111">
        <v>-13943.29</v>
      </c>
      <c r="BW111">
        <v>5996.2</v>
      </c>
      <c r="BX111">
        <v>1500.33</v>
      </c>
      <c r="BY111">
        <v>3231.36</v>
      </c>
      <c r="BZ111">
        <v>9927.25</v>
      </c>
      <c r="CA111">
        <v>56.1</v>
      </c>
      <c r="CB111">
        <v>351.53</v>
      </c>
      <c r="CD111">
        <v>392.76</v>
      </c>
      <c r="CE111">
        <v>2474.59</v>
      </c>
      <c r="CG111">
        <v>537.23</v>
      </c>
      <c r="CK111">
        <v>-1925.57</v>
      </c>
    </row>
    <row r="112" spans="1:109" x14ac:dyDescent="0.2">
      <c r="A112">
        <v>347</v>
      </c>
      <c r="B112" s="41">
        <v>651.08000000000004</v>
      </c>
      <c r="C112" s="43"/>
      <c r="D112" s="41">
        <v>52998.12</v>
      </c>
      <c r="E112" s="43">
        <v>15227.48</v>
      </c>
      <c r="F112" s="41">
        <v>6376.6</v>
      </c>
      <c r="G112" s="43">
        <v>-7755.4400000000005</v>
      </c>
      <c r="H112" s="41">
        <v>22541.779999999995</v>
      </c>
      <c r="I112" s="43">
        <v>250</v>
      </c>
      <c r="J112" s="41"/>
      <c r="K112" s="43"/>
      <c r="L112" s="41">
        <v>0</v>
      </c>
      <c r="M112" s="43"/>
      <c r="N112" s="41"/>
      <c r="O112" s="43">
        <v>0</v>
      </c>
      <c r="P112" s="41">
        <v>363.37</v>
      </c>
      <c r="Q112" s="43">
        <v>0</v>
      </c>
      <c r="R112" s="41">
        <v>0</v>
      </c>
      <c r="BW112">
        <v>357.15</v>
      </c>
      <c r="BX112">
        <v>84.35</v>
      </c>
      <c r="BY112">
        <v>187</v>
      </c>
    </row>
    <row r="113" spans="1:109" x14ac:dyDescent="0.2">
      <c r="A113">
        <v>356</v>
      </c>
      <c r="B113" s="41"/>
      <c r="C113" s="43"/>
      <c r="D113" s="41">
        <v>3400</v>
      </c>
      <c r="E113" s="43">
        <v>1268.45</v>
      </c>
      <c r="F113" s="41"/>
      <c r="G113" s="43">
        <v>0</v>
      </c>
      <c r="H113" s="41">
        <v>628.5</v>
      </c>
      <c r="I113" s="43"/>
      <c r="J113" s="41"/>
      <c r="K113" s="43"/>
      <c r="L113" s="41">
        <v>0</v>
      </c>
      <c r="M113" s="43"/>
      <c r="N113" s="41"/>
      <c r="O113" s="43">
        <v>0</v>
      </c>
      <c r="P113" s="41">
        <v>1973.68</v>
      </c>
      <c r="Q113" s="43">
        <v>0</v>
      </c>
      <c r="R113" s="41">
        <v>0</v>
      </c>
      <c r="BQ113">
        <v>380</v>
      </c>
      <c r="BR113">
        <v>284.35000000000002</v>
      </c>
      <c r="BU113">
        <v>328</v>
      </c>
      <c r="BW113">
        <v>3053.19</v>
      </c>
      <c r="BX113">
        <v>702.21</v>
      </c>
      <c r="BY113">
        <v>1683.11</v>
      </c>
      <c r="BZ113">
        <v>10327.969999999999</v>
      </c>
      <c r="CA113">
        <v>118.24</v>
      </c>
      <c r="CB113">
        <v>655.39</v>
      </c>
      <c r="CG113">
        <v>445.19</v>
      </c>
    </row>
    <row r="114" spans="1:109" x14ac:dyDescent="0.2">
      <c r="A114">
        <v>361</v>
      </c>
      <c r="B114" s="41"/>
      <c r="C114" s="43"/>
      <c r="D114" s="41">
        <v>30470.29</v>
      </c>
      <c r="E114" s="43">
        <v>10240.540000000001</v>
      </c>
      <c r="F114" s="41"/>
      <c r="G114" s="43">
        <v>992.35</v>
      </c>
      <c r="H114" s="41">
        <v>16985.3</v>
      </c>
      <c r="I114" s="43">
        <v>125</v>
      </c>
      <c r="J114" s="41"/>
      <c r="K114" s="43">
        <v>51.3</v>
      </c>
      <c r="L114" s="41">
        <v>0</v>
      </c>
      <c r="M114" s="43"/>
      <c r="N114" s="41"/>
      <c r="O114" s="43">
        <v>0</v>
      </c>
      <c r="P114" s="41">
        <v>1266.73</v>
      </c>
      <c r="Q114" s="43">
        <v>0</v>
      </c>
      <c r="R114" s="41">
        <v>0</v>
      </c>
      <c r="BW114">
        <v>3361.98</v>
      </c>
      <c r="BX114">
        <v>728.06</v>
      </c>
      <c r="BY114">
        <v>1798.37</v>
      </c>
      <c r="BZ114">
        <v>10260</v>
      </c>
      <c r="CA114">
        <v>69.12</v>
      </c>
    </row>
    <row r="115" spans="1:109" x14ac:dyDescent="0.2">
      <c r="A115">
        <v>362</v>
      </c>
      <c r="B115" s="41"/>
      <c r="C115" s="43"/>
      <c r="D115" s="41">
        <v>32696.240000000002</v>
      </c>
      <c r="E115" s="43">
        <v>11790.4</v>
      </c>
      <c r="F115" s="41"/>
      <c r="G115" s="43">
        <v>0</v>
      </c>
      <c r="H115" s="41">
        <v>16217.53</v>
      </c>
      <c r="I115" s="43"/>
      <c r="J115" s="41"/>
      <c r="K115" s="43"/>
      <c r="L115" s="41">
        <v>0</v>
      </c>
      <c r="M115" s="43"/>
      <c r="N115" s="41"/>
      <c r="O115" s="43">
        <v>0</v>
      </c>
      <c r="P115" s="41">
        <v>712.98</v>
      </c>
      <c r="Q115" s="43">
        <v>0</v>
      </c>
      <c r="R115" s="41">
        <v>0</v>
      </c>
      <c r="BW115">
        <v>974.38</v>
      </c>
      <c r="BX115">
        <v>812.01</v>
      </c>
      <c r="BZ115">
        <v>3850</v>
      </c>
      <c r="CA115">
        <v>47.63</v>
      </c>
      <c r="DC115">
        <v>776.8</v>
      </c>
    </row>
    <row r="116" spans="1:109" x14ac:dyDescent="0.2">
      <c r="A116">
        <v>363</v>
      </c>
      <c r="B116" s="41"/>
      <c r="C116" s="43"/>
      <c r="D116" s="41"/>
      <c r="E116" s="43">
        <v>12760.76</v>
      </c>
      <c r="F116" s="41"/>
      <c r="G116" s="43">
        <v>0</v>
      </c>
      <c r="H116" s="41">
        <v>5684.0199999999995</v>
      </c>
      <c r="I116" s="43"/>
      <c r="J116" s="41"/>
      <c r="K116" s="43"/>
      <c r="L116" s="41">
        <v>0</v>
      </c>
      <c r="M116" s="43"/>
      <c r="N116" s="41"/>
      <c r="O116" s="43">
        <v>776.8</v>
      </c>
      <c r="P116" s="41">
        <v>103.05</v>
      </c>
      <c r="Q116" s="43">
        <v>0</v>
      </c>
      <c r="R116" s="41">
        <v>0</v>
      </c>
      <c r="BW116">
        <v>1867.8</v>
      </c>
      <c r="BX116">
        <v>1108.57</v>
      </c>
      <c r="BY116">
        <v>410.04999999999995</v>
      </c>
    </row>
    <row r="117" spans="1:109" x14ac:dyDescent="0.2">
      <c r="A117">
        <v>378</v>
      </c>
      <c r="B117" s="41"/>
      <c r="C117" s="43"/>
      <c r="D117" s="41">
        <v>7455.26</v>
      </c>
      <c r="E117" s="43">
        <v>16451.259999999998</v>
      </c>
      <c r="F117" s="41">
        <v>792.4</v>
      </c>
      <c r="G117" s="43">
        <v>0</v>
      </c>
      <c r="H117" s="41">
        <v>3386.42</v>
      </c>
      <c r="I117" s="43"/>
      <c r="J117" s="41"/>
      <c r="K117" s="43"/>
      <c r="L117" s="41">
        <v>0</v>
      </c>
      <c r="M117" s="43"/>
      <c r="N117" s="41"/>
      <c r="O117" s="43">
        <v>0</v>
      </c>
      <c r="P117" s="41">
        <v>601.23</v>
      </c>
      <c r="Q117" s="43">
        <v>0</v>
      </c>
      <c r="R117" s="41">
        <v>0</v>
      </c>
      <c r="BP117">
        <v>208.5</v>
      </c>
      <c r="BU117">
        <v>200</v>
      </c>
      <c r="BW117">
        <v>673.88</v>
      </c>
      <c r="BX117">
        <v>134.44</v>
      </c>
      <c r="BY117">
        <v>360.75</v>
      </c>
      <c r="BZ117">
        <v>501.74</v>
      </c>
      <c r="CA117">
        <v>38.4</v>
      </c>
      <c r="CC117">
        <v>29.15</v>
      </c>
      <c r="CD117">
        <v>54.78</v>
      </c>
      <c r="DE117">
        <v>8325</v>
      </c>
    </row>
    <row r="118" spans="1:109" x14ac:dyDescent="0.2">
      <c r="A118">
        <v>381</v>
      </c>
      <c r="B118" s="41">
        <v>1152.94</v>
      </c>
      <c r="C118" s="43">
        <v>5928</v>
      </c>
      <c r="D118" s="41">
        <v>6635.22</v>
      </c>
      <c r="E118" s="43"/>
      <c r="F118" s="41">
        <v>677.25</v>
      </c>
      <c r="G118" s="43">
        <v>408.5</v>
      </c>
      <c r="H118" s="41">
        <v>1793.14</v>
      </c>
      <c r="I118" s="43"/>
      <c r="J118" s="41"/>
      <c r="K118" s="43"/>
      <c r="L118" s="41">
        <v>0</v>
      </c>
      <c r="M118" s="43">
        <v>192</v>
      </c>
      <c r="N118" s="41"/>
      <c r="O118" s="43">
        <v>8325</v>
      </c>
      <c r="P118" s="41">
        <v>322.33</v>
      </c>
      <c r="Q118" s="43">
        <v>0</v>
      </c>
      <c r="R118" s="41">
        <v>0</v>
      </c>
      <c r="BQ118">
        <v>87.51</v>
      </c>
      <c r="BW118">
        <v>638.64</v>
      </c>
      <c r="BX118">
        <v>1.63</v>
      </c>
      <c r="BY118">
        <v>580.64</v>
      </c>
      <c r="BZ118">
        <v>2380.64</v>
      </c>
      <c r="CA118">
        <v>28.33</v>
      </c>
      <c r="CC118">
        <v>36.78</v>
      </c>
    </row>
    <row r="119" spans="1:109" x14ac:dyDescent="0.2">
      <c r="A119">
        <v>390</v>
      </c>
      <c r="B119" s="41"/>
      <c r="C119" s="43"/>
      <c r="D119" s="41">
        <v>10493.75</v>
      </c>
      <c r="E119" s="43"/>
      <c r="F119" s="41"/>
      <c r="G119" s="43">
        <v>87.51</v>
      </c>
      <c r="H119" s="41">
        <v>3666.66</v>
      </c>
      <c r="I119" s="43"/>
      <c r="J119" s="41"/>
      <c r="K119" s="43"/>
      <c r="L119" s="41">
        <v>0</v>
      </c>
      <c r="M119" s="43"/>
      <c r="N119" s="41"/>
      <c r="O119" s="43">
        <v>0</v>
      </c>
      <c r="P119" s="41">
        <v>0</v>
      </c>
      <c r="Q119" s="43">
        <v>0</v>
      </c>
      <c r="R119" s="41">
        <v>0</v>
      </c>
      <c r="BW119">
        <v>3246.28</v>
      </c>
      <c r="BX119">
        <v>597.63</v>
      </c>
      <c r="BY119">
        <v>1840.74</v>
      </c>
      <c r="CC119">
        <v>162.47999999999999</v>
      </c>
      <c r="CD119">
        <v>347.21</v>
      </c>
      <c r="CL119">
        <v>144.06</v>
      </c>
    </row>
    <row r="120" spans="1:109" x14ac:dyDescent="0.2">
      <c r="A120">
        <v>391</v>
      </c>
      <c r="B120" s="41"/>
      <c r="C120" s="43"/>
      <c r="D120" s="41">
        <v>33467.14</v>
      </c>
      <c r="E120" s="43">
        <v>8967.7199999999993</v>
      </c>
      <c r="F120" s="41"/>
      <c r="G120" s="43">
        <v>0</v>
      </c>
      <c r="H120" s="41">
        <v>6338.4000000000005</v>
      </c>
      <c r="I120" s="43">
        <v>292.5</v>
      </c>
      <c r="J120" s="41"/>
      <c r="K120" s="43"/>
      <c r="L120" s="41">
        <v>0</v>
      </c>
      <c r="M120" s="43"/>
      <c r="N120" s="41"/>
      <c r="O120" s="43">
        <v>0</v>
      </c>
      <c r="P120" s="41">
        <v>535.54999999999995</v>
      </c>
      <c r="Q120" s="43">
        <v>0</v>
      </c>
      <c r="R120" s="41">
        <v>0</v>
      </c>
      <c r="BP120">
        <v>7902.66</v>
      </c>
      <c r="BW120">
        <v>2251.98</v>
      </c>
      <c r="BX120">
        <v>725.18</v>
      </c>
      <c r="BY120">
        <v>979.73</v>
      </c>
      <c r="CG120">
        <v>110</v>
      </c>
      <c r="CQ120">
        <v>5594.48</v>
      </c>
    </row>
    <row r="121" spans="1:109" x14ac:dyDescent="0.2">
      <c r="A121">
        <v>392</v>
      </c>
      <c r="B121" s="41"/>
      <c r="C121" s="43"/>
      <c r="D121" s="41">
        <v>17943.89</v>
      </c>
      <c r="E121" s="43"/>
      <c r="F121" s="41">
        <v>3722.5</v>
      </c>
      <c r="G121" s="43">
        <v>7902.66</v>
      </c>
      <c r="H121" s="41">
        <v>4066.89</v>
      </c>
      <c r="I121" s="43">
        <v>66.8</v>
      </c>
      <c r="J121" s="41"/>
      <c r="K121" s="43"/>
      <c r="L121" s="41">
        <v>5594.48</v>
      </c>
      <c r="M121" s="43"/>
      <c r="N121" s="41"/>
      <c r="O121" s="43">
        <v>0</v>
      </c>
      <c r="P121" s="41">
        <v>869.51</v>
      </c>
      <c r="Q121" s="43">
        <v>0</v>
      </c>
      <c r="R121" s="41">
        <v>0</v>
      </c>
      <c r="BW121">
        <v>3038.04</v>
      </c>
      <c r="BX121">
        <v>602.03</v>
      </c>
      <c r="BY121">
        <v>1838.44</v>
      </c>
      <c r="CA121">
        <v>10.4</v>
      </c>
      <c r="CC121">
        <v>15.68</v>
      </c>
      <c r="CG121">
        <v>365.18</v>
      </c>
      <c r="DE121">
        <v>3332.56</v>
      </c>
    </row>
    <row r="122" spans="1:109" x14ac:dyDescent="0.2">
      <c r="A122">
        <v>394</v>
      </c>
      <c r="B122" s="41"/>
      <c r="C122" s="43">
        <v>3000</v>
      </c>
      <c r="D122" s="41">
        <v>27403.25</v>
      </c>
      <c r="E122" s="43">
        <v>8277.06</v>
      </c>
      <c r="F122" s="41">
        <v>2611.86</v>
      </c>
      <c r="G122" s="43">
        <v>0</v>
      </c>
      <c r="H122" s="41">
        <v>5869.77</v>
      </c>
      <c r="I122" s="43"/>
      <c r="J122" s="41"/>
      <c r="K122" s="43">
        <v>139.19999999999999</v>
      </c>
      <c r="L122" s="41">
        <v>0</v>
      </c>
      <c r="M122" s="43">
        <v>400</v>
      </c>
      <c r="N122" s="41"/>
      <c r="O122" s="43">
        <v>3332.56</v>
      </c>
      <c r="P122" s="41">
        <v>643.67000000000007</v>
      </c>
      <c r="Q122" s="43">
        <v>0</v>
      </c>
      <c r="R122" s="41">
        <v>0</v>
      </c>
      <c r="BW122">
        <v>563.27</v>
      </c>
      <c r="BY122">
        <v>403.41</v>
      </c>
      <c r="BZ122">
        <v>1085.0999999999999</v>
      </c>
      <c r="DD122">
        <v>-84.34</v>
      </c>
    </row>
    <row r="123" spans="1:109" x14ac:dyDescent="0.2">
      <c r="A123">
        <v>402</v>
      </c>
      <c r="B123" s="41"/>
      <c r="C123" s="43"/>
      <c r="D123" s="41">
        <v>7335.01</v>
      </c>
      <c r="E123" s="43">
        <v>28.47</v>
      </c>
      <c r="F123" s="41"/>
      <c r="G123" s="43">
        <v>0</v>
      </c>
      <c r="H123" s="41">
        <v>2051.7799999999997</v>
      </c>
      <c r="I123" s="43"/>
      <c r="J123" s="41"/>
      <c r="K123" s="43"/>
      <c r="L123" s="41">
        <v>0</v>
      </c>
      <c r="M123" s="43"/>
      <c r="N123" s="41"/>
      <c r="O123" s="43">
        <v>-84.34</v>
      </c>
      <c r="P123" s="41">
        <v>0</v>
      </c>
      <c r="Q123" s="43">
        <v>0</v>
      </c>
      <c r="R123" s="41">
        <v>0</v>
      </c>
      <c r="DD123">
        <v>84.34</v>
      </c>
    </row>
    <row r="124" spans="1:109" x14ac:dyDescent="0.2">
      <c r="A124">
        <v>403</v>
      </c>
      <c r="B124" s="41"/>
      <c r="C124" s="43"/>
      <c r="D124" s="41"/>
      <c r="E124" s="43"/>
      <c r="F124" s="41"/>
      <c r="G124" s="43">
        <v>0</v>
      </c>
      <c r="H124" s="41">
        <v>0</v>
      </c>
      <c r="I124" s="43"/>
      <c r="J124" s="41"/>
      <c r="K124" s="43"/>
      <c r="L124" s="41">
        <v>0</v>
      </c>
      <c r="M124" s="43"/>
      <c r="N124" s="41"/>
      <c r="O124" s="43">
        <v>84.34</v>
      </c>
      <c r="P124" s="41">
        <v>0</v>
      </c>
      <c r="Q124" s="43">
        <v>0</v>
      </c>
      <c r="R124" s="41">
        <v>0</v>
      </c>
      <c r="BW124">
        <v>779.08999999999992</v>
      </c>
      <c r="BY124">
        <v>1165.79</v>
      </c>
      <c r="BZ124">
        <v>3854.22</v>
      </c>
      <c r="CA124">
        <v>24.44</v>
      </c>
      <c r="CC124">
        <v>103.07</v>
      </c>
      <c r="CD124">
        <v>238.18</v>
      </c>
      <c r="CG124">
        <v>178.07</v>
      </c>
    </row>
    <row r="125" spans="1:109" x14ac:dyDescent="0.2">
      <c r="A125">
        <v>404</v>
      </c>
      <c r="B125" s="41"/>
      <c r="C125" s="43"/>
      <c r="D125" s="41">
        <v>21196.2</v>
      </c>
      <c r="E125" s="43"/>
      <c r="F125" s="41"/>
      <c r="G125" s="43">
        <v>0</v>
      </c>
      <c r="H125" s="41">
        <v>6342.8599999999988</v>
      </c>
      <c r="I125" s="43">
        <v>540</v>
      </c>
      <c r="J125" s="41"/>
      <c r="K125" s="43"/>
      <c r="L125" s="41">
        <v>0</v>
      </c>
      <c r="M125" s="43"/>
      <c r="N125" s="41"/>
      <c r="O125" s="43">
        <v>0</v>
      </c>
      <c r="P125" s="41">
        <v>3.37</v>
      </c>
      <c r="Q125" s="43">
        <v>0</v>
      </c>
      <c r="R125" s="41">
        <v>0</v>
      </c>
      <c r="BW125">
        <v>2748.79</v>
      </c>
      <c r="BX125">
        <v>756.71</v>
      </c>
      <c r="BY125">
        <v>1548.02</v>
      </c>
      <c r="CB125">
        <v>193.96</v>
      </c>
      <c r="CD125">
        <v>637.04</v>
      </c>
      <c r="CG125">
        <v>202.66</v>
      </c>
    </row>
    <row r="126" spans="1:109" x14ac:dyDescent="0.2">
      <c r="A126">
        <v>413</v>
      </c>
      <c r="B126" s="41"/>
      <c r="C126" s="43"/>
      <c r="D126" s="41">
        <v>28145.200000000001</v>
      </c>
      <c r="E126" s="43"/>
      <c r="F126" s="41">
        <v>11373.65</v>
      </c>
      <c r="G126" s="43">
        <v>0</v>
      </c>
      <c r="H126" s="41">
        <v>6087.18</v>
      </c>
      <c r="I126" s="43">
        <v>695</v>
      </c>
      <c r="J126" s="41"/>
      <c r="K126" s="43"/>
      <c r="L126" s="41">
        <v>0</v>
      </c>
      <c r="M126" s="43">
        <v>91.52</v>
      </c>
      <c r="N126" s="41"/>
      <c r="O126" s="43">
        <v>0</v>
      </c>
      <c r="P126" s="41">
        <v>3072.63</v>
      </c>
      <c r="Q126" s="43">
        <v>15571.87</v>
      </c>
      <c r="R126" s="41">
        <v>0</v>
      </c>
      <c r="BW126">
        <v>2121.8199999999997</v>
      </c>
      <c r="BX126">
        <v>379.39</v>
      </c>
      <c r="BY126">
        <v>2437.87</v>
      </c>
    </row>
    <row r="127" spans="1:109" x14ac:dyDescent="0.2">
      <c r="A127">
        <v>414</v>
      </c>
      <c r="B127" s="41"/>
      <c r="C127" s="43"/>
      <c r="D127" s="41">
        <v>34928.81</v>
      </c>
      <c r="E127" s="43">
        <v>3255.36</v>
      </c>
      <c r="F127" s="41"/>
      <c r="G127" s="43">
        <v>0</v>
      </c>
      <c r="H127" s="41">
        <v>4939.08</v>
      </c>
      <c r="I127" s="43"/>
      <c r="J127" s="41"/>
      <c r="K127" s="43"/>
      <c r="L127" s="41">
        <v>0</v>
      </c>
      <c r="M127" s="43">
        <v>523.30999999999995</v>
      </c>
      <c r="N127" s="41"/>
      <c r="O127" s="43">
        <v>0</v>
      </c>
      <c r="P127" s="41">
        <v>1788.96</v>
      </c>
      <c r="Q127" s="43">
        <v>0</v>
      </c>
      <c r="R127" s="41">
        <v>0</v>
      </c>
      <c r="BW127">
        <v>785</v>
      </c>
      <c r="BY127">
        <v>564</v>
      </c>
    </row>
    <row r="128" spans="1:109" x14ac:dyDescent="0.2">
      <c r="A128">
        <v>415</v>
      </c>
      <c r="B128" s="41"/>
      <c r="C128" s="43"/>
      <c r="D128" s="41"/>
      <c r="E128" s="43">
        <v>10255</v>
      </c>
      <c r="F128" s="41"/>
      <c r="G128" s="43">
        <v>0</v>
      </c>
      <c r="H128" s="41">
        <v>1349</v>
      </c>
      <c r="I128" s="43"/>
      <c r="J128" s="41"/>
      <c r="K128" s="43"/>
      <c r="L128" s="41">
        <v>0</v>
      </c>
      <c r="M128" s="43"/>
      <c r="N128" s="41"/>
      <c r="O128" s="43">
        <v>0</v>
      </c>
      <c r="P128" s="41">
        <v>392.61</v>
      </c>
      <c r="Q128" s="43">
        <v>0</v>
      </c>
      <c r="R128" s="41">
        <v>0</v>
      </c>
      <c r="BT128">
        <v>8854</v>
      </c>
      <c r="BW128">
        <v>1880.7</v>
      </c>
      <c r="BX128">
        <v>381.56</v>
      </c>
      <c r="BY128">
        <v>1033.1400000000001</v>
      </c>
      <c r="BZ128">
        <v>550.47</v>
      </c>
      <c r="CA128">
        <v>10.08</v>
      </c>
      <c r="CB128">
        <v>20.149999999999999</v>
      </c>
      <c r="CC128">
        <v>8.6300000000000008</v>
      </c>
      <c r="CD128">
        <v>62</v>
      </c>
      <c r="CE128">
        <v>144.75</v>
      </c>
      <c r="CG128">
        <v>103.51</v>
      </c>
      <c r="CK128">
        <v>2921</v>
      </c>
      <c r="CQ128">
        <v>4704.3</v>
      </c>
      <c r="CR128">
        <v>-237.49</v>
      </c>
    </row>
    <row r="129" spans="1:107" x14ac:dyDescent="0.2">
      <c r="A129">
        <v>423</v>
      </c>
      <c r="B129" s="41">
        <v>1853.02</v>
      </c>
      <c r="C129" s="43"/>
      <c r="D129" s="41">
        <v>16992.21</v>
      </c>
      <c r="E129" s="43">
        <v>4955.22</v>
      </c>
      <c r="F129" s="41">
        <v>822.48</v>
      </c>
      <c r="G129" s="43">
        <v>8854</v>
      </c>
      <c r="H129" s="41">
        <v>7115.9900000000007</v>
      </c>
      <c r="I129" s="43">
        <v>462</v>
      </c>
      <c r="J129" s="41"/>
      <c r="K129" s="43"/>
      <c r="L129" s="41">
        <v>4466.8100000000004</v>
      </c>
      <c r="M129" s="43">
        <v>50</v>
      </c>
      <c r="N129" s="41"/>
      <c r="O129" s="43">
        <v>0</v>
      </c>
      <c r="P129" s="41">
        <v>545.51</v>
      </c>
      <c r="Q129" s="43">
        <v>0</v>
      </c>
      <c r="R129" s="41">
        <v>0</v>
      </c>
      <c r="BQ129">
        <v>323</v>
      </c>
      <c r="BR129">
        <v>302.58</v>
      </c>
      <c r="BW129">
        <v>1193.27</v>
      </c>
      <c r="BX129">
        <v>298.99</v>
      </c>
      <c r="BY129">
        <v>707.74</v>
      </c>
      <c r="BZ129">
        <v>4243.22</v>
      </c>
      <c r="CA129">
        <v>74.569999999999993</v>
      </c>
      <c r="CB129">
        <v>302.95</v>
      </c>
      <c r="CC129">
        <v>55.23</v>
      </c>
      <c r="CD129">
        <v>248.39</v>
      </c>
      <c r="CQ129">
        <v>5812.9</v>
      </c>
    </row>
    <row r="130" spans="1:107" x14ac:dyDescent="0.2">
      <c r="A130">
        <v>424</v>
      </c>
      <c r="B130" s="41"/>
      <c r="C130" s="43"/>
      <c r="D130" s="41">
        <v>12608.17</v>
      </c>
      <c r="E130" s="43">
        <v>4503.9799999999996</v>
      </c>
      <c r="F130" s="41"/>
      <c r="G130" s="43">
        <v>625.57999999999993</v>
      </c>
      <c r="H130" s="41">
        <v>7124.36</v>
      </c>
      <c r="I130" s="43"/>
      <c r="J130" s="41"/>
      <c r="K130" s="43"/>
      <c r="L130" s="41">
        <v>5812.9</v>
      </c>
      <c r="M130" s="43">
        <v>784.5</v>
      </c>
      <c r="N130" s="41"/>
      <c r="O130" s="43">
        <v>0</v>
      </c>
      <c r="P130" s="41">
        <v>1656.0500000000002</v>
      </c>
      <c r="Q130" s="43">
        <v>0</v>
      </c>
      <c r="R130" s="41">
        <v>0</v>
      </c>
      <c r="BW130">
        <v>765.99</v>
      </c>
      <c r="BX130">
        <v>32.950000000000003</v>
      </c>
      <c r="BY130">
        <v>523.77</v>
      </c>
      <c r="CR130">
        <v>1943.76</v>
      </c>
    </row>
    <row r="131" spans="1:107" x14ac:dyDescent="0.2">
      <c r="A131">
        <v>432</v>
      </c>
      <c r="B131" s="41">
        <v>500</v>
      </c>
      <c r="C131" s="43"/>
      <c r="D131" s="41">
        <v>8999.08</v>
      </c>
      <c r="E131" s="43">
        <v>506.88</v>
      </c>
      <c r="F131" s="41"/>
      <c r="G131" s="43">
        <v>0</v>
      </c>
      <c r="H131" s="41">
        <v>1322.71</v>
      </c>
      <c r="I131" s="43"/>
      <c r="J131" s="41"/>
      <c r="K131" s="43"/>
      <c r="L131" s="41">
        <v>1943.76</v>
      </c>
      <c r="M131" s="43"/>
      <c r="N131" s="41"/>
      <c r="O131" s="43">
        <v>0</v>
      </c>
      <c r="P131" s="41">
        <v>187.39</v>
      </c>
      <c r="Q131" s="43">
        <v>0</v>
      </c>
      <c r="R131" s="41">
        <v>0</v>
      </c>
      <c r="BW131">
        <v>478.65</v>
      </c>
      <c r="BX131">
        <v>417.04</v>
      </c>
      <c r="BZ131">
        <v>2694.97</v>
      </c>
    </row>
    <row r="132" spans="1:107" x14ac:dyDescent="0.2">
      <c r="A132">
        <v>435</v>
      </c>
      <c r="B132" s="41"/>
      <c r="C132" s="43"/>
      <c r="D132" s="41"/>
      <c r="E132" s="43">
        <v>6256.92</v>
      </c>
      <c r="F132" s="41"/>
      <c r="G132" s="43">
        <v>0</v>
      </c>
      <c r="H132" s="41">
        <v>3590.66</v>
      </c>
      <c r="I132" s="43"/>
      <c r="J132" s="41"/>
      <c r="K132" s="43"/>
      <c r="L132" s="41">
        <v>0</v>
      </c>
      <c r="M132" s="43"/>
      <c r="N132" s="41"/>
      <c r="O132" s="43">
        <v>0</v>
      </c>
      <c r="P132" s="41">
        <v>0</v>
      </c>
      <c r="Q132" s="43">
        <v>0</v>
      </c>
      <c r="R132" s="41">
        <v>0</v>
      </c>
      <c r="BW132">
        <v>2245.02</v>
      </c>
      <c r="BX132">
        <v>700.12</v>
      </c>
      <c r="BY132">
        <v>1011.61</v>
      </c>
      <c r="CR132">
        <v>324.08999999999997</v>
      </c>
    </row>
    <row r="133" spans="1:107" x14ac:dyDescent="0.2">
      <c r="A133">
        <v>441</v>
      </c>
      <c r="B133" s="41"/>
      <c r="C133" s="43"/>
      <c r="D133" s="41">
        <v>18495.5</v>
      </c>
      <c r="E133" s="43">
        <v>10631.56</v>
      </c>
      <c r="F133" s="41">
        <v>218.76</v>
      </c>
      <c r="G133" s="43">
        <v>0</v>
      </c>
      <c r="H133" s="41">
        <v>3956.75</v>
      </c>
      <c r="I133" s="43"/>
      <c r="J133" s="41"/>
      <c r="K133" s="43"/>
      <c r="L133" s="41">
        <v>324.08999999999997</v>
      </c>
      <c r="M133" s="43"/>
      <c r="N133" s="41"/>
      <c r="O133" s="43">
        <v>0</v>
      </c>
      <c r="P133" s="41">
        <v>456.63</v>
      </c>
      <c r="Q133" s="43">
        <v>0</v>
      </c>
      <c r="R133" s="41">
        <v>0</v>
      </c>
    </row>
    <row r="134" spans="1:107" x14ac:dyDescent="0.2">
      <c r="A134">
        <v>447</v>
      </c>
      <c r="B134" s="41"/>
      <c r="C134" s="43"/>
      <c r="D134" s="41">
        <v>3500</v>
      </c>
      <c r="E134" s="43"/>
      <c r="F134" s="41"/>
      <c r="G134" s="43">
        <v>0</v>
      </c>
      <c r="H134" s="41">
        <v>0</v>
      </c>
      <c r="I134" s="43"/>
      <c r="J134" s="41"/>
      <c r="K134" s="43"/>
      <c r="L134" s="41">
        <v>0</v>
      </c>
      <c r="M134" s="43"/>
      <c r="N134" s="41"/>
      <c r="O134" s="43">
        <v>0</v>
      </c>
      <c r="P134" s="41">
        <v>0</v>
      </c>
      <c r="Q134" s="43">
        <v>0</v>
      </c>
      <c r="R134" s="41">
        <v>0</v>
      </c>
      <c r="BW134">
        <v>1036.23</v>
      </c>
      <c r="BX134">
        <v>250.04</v>
      </c>
      <c r="BY134">
        <v>946.55</v>
      </c>
      <c r="BZ134">
        <v>2636.95</v>
      </c>
      <c r="CD134">
        <v>464.05</v>
      </c>
    </row>
    <row r="135" spans="1:107" x14ac:dyDescent="0.2">
      <c r="A135">
        <v>458</v>
      </c>
      <c r="B135" s="41"/>
      <c r="C135" s="43"/>
      <c r="D135" s="41">
        <v>17210.580000000002</v>
      </c>
      <c r="E135" s="43">
        <v>3757.53</v>
      </c>
      <c r="F135" s="41"/>
      <c r="G135" s="43">
        <v>0</v>
      </c>
      <c r="H135" s="41">
        <v>5333.82</v>
      </c>
      <c r="I135" s="43"/>
      <c r="J135" s="41"/>
      <c r="K135" s="43"/>
      <c r="L135" s="41">
        <v>0</v>
      </c>
      <c r="M135" s="43"/>
      <c r="N135" s="41"/>
      <c r="O135" s="43">
        <v>0</v>
      </c>
      <c r="P135" s="41">
        <v>163.57</v>
      </c>
      <c r="Q135" s="43">
        <v>0</v>
      </c>
      <c r="R135" s="41">
        <v>0</v>
      </c>
      <c r="BW135">
        <v>2970.51</v>
      </c>
      <c r="BX135">
        <v>512.82000000000005</v>
      </c>
      <c r="BY135">
        <v>1712.91</v>
      </c>
      <c r="CQ135">
        <v>12917.2</v>
      </c>
    </row>
    <row r="136" spans="1:107" x14ac:dyDescent="0.2">
      <c r="A136">
        <v>463</v>
      </c>
      <c r="B136" s="41"/>
      <c r="C136" s="43"/>
      <c r="D136" s="41">
        <v>31144.22</v>
      </c>
      <c r="E136" s="43">
        <v>7686.25</v>
      </c>
      <c r="F136" s="41"/>
      <c r="G136" s="43">
        <v>0</v>
      </c>
      <c r="H136" s="41">
        <v>5196.2400000000007</v>
      </c>
      <c r="I136" s="43"/>
      <c r="J136" s="41"/>
      <c r="K136" s="43"/>
      <c r="L136" s="41">
        <v>12917.2</v>
      </c>
      <c r="M136" s="43"/>
      <c r="N136" s="41"/>
      <c r="O136" s="43">
        <v>0</v>
      </c>
      <c r="P136" s="41">
        <v>89.52</v>
      </c>
      <c r="Q136" s="43">
        <v>0</v>
      </c>
      <c r="R136" s="41">
        <v>0</v>
      </c>
      <c r="BW136">
        <v>3640.79</v>
      </c>
      <c r="BX136">
        <v>908.43</v>
      </c>
      <c r="BY136">
        <v>2020.33</v>
      </c>
      <c r="BZ136">
        <v>3576.68</v>
      </c>
      <c r="CE136">
        <v>854.13</v>
      </c>
      <c r="CQ136">
        <v>148.36000000000001</v>
      </c>
    </row>
    <row r="137" spans="1:107" x14ac:dyDescent="0.2">
      <c r="A137">
        <v>465</v>
      </c>
      <c r="B137" s="41"/>
      <c r="C137" s="43"/>
      <c r="D137" s="41">
        <v>36663.949999999997</v>
      </c>
      <c r="E137" s="43">
        <v>13748.62</v>
      </c>
      <c r="F137" s="41"/>
      <c r="G137" s="43">
        <v>0</v>
      </c>
      <c r="H137" s="41">
        <v>11000.359999999999</v>
      </c>
      <c r="I137" s="43">
        <v>357.84</v>
      </c>
      <c r="J137" s="41"/>
      <c r="K137" s="43">
        <v>100.97</v>
      </c>
      <c r="L137" s="41">
        <v>148.36000000000001</v>
      </c>
      <c r="M137" s="43">
        <v>983.81</v>
      </c>
      <c r="N137" s="41"/>
      <c r="O137" s="43">
        <v>0</v>
      </c>
      <c r="P137" s="41">
        <v>2676.15</v>
      </c>
      <c r="Q137" s="43">
        <v>327.14999999999998</v>
      </c>
      <c r="R137" s="41">
        <v>55</v>
      </c>
      <c r="BW137">
        <v>6854.29</v>
      </c>
      <c r="BX137">
        <v>2001.57</v>
      </c>
      <c r="BY137">
        <v>3344.64</v>
      </c>
      <c r="BZ137">
        <v>745.2</v>
      </c>
      <c r="CA137">
        <v>30.24</v>
      </c>
      <c r="CB137">
        <v>124.78</v>
      </c>
      <c r="CC137">
        <v>56.91</v>
      </c>
      <c r="CD137">
        <v>475</v>
      </c>
      <c r="CG137">
        <v>338.68</v>
      </c>
      <c r="CR137">
        <v>59.47</v>
      </c>
    </row>
    <row r="138" spans="1:107" x14ac:dyDescent="0.2">
      <c r="A138">
        <v>466</v>
      </c>
      <c r="B138" s="41"/>
      <c r="C138" s="43"/>
      <c r="D138" s="41">
        <v>60638.33</v>
      </c>
      <c r="E138" s="43">
        <v>26251.69</v>
      </c>
      <c r="F138" s="41">
        <v>4280.63</v>
      </c>
      <c r="G138" s="43">
        <v>0</v>
      </c>
      <c r="H138" s="41">
        <v>13971.310000000001</v>
      </c>
      <c r="I138" s="43">
        <v>126.4</v>
      </c>
      <c r="J138" s="41"/>
      <c r="K138" s="43">
        <v>93</v>
      </c>
      <c r="L138" s="41">
        <v>59.47</v>
      </c>
      <c r="M138" s="43">
        <v>455.92</v>
      </c>
      <c r="N138" s="41"/>
      <c r="O138" s="43">
        <v>0</v>
      </c>
      <c r="P138" s="41">
        <v>1783.87</v>
      </c>
      <c r="Q138" s="43">
        <v>0</v>
      </c>
      <c r="R138" s="41">
        <v>0</v>
      </c>
      <c r="BW138">
        <v>1041.27</v>
      </c>
      <c r="BX138">
        <v>262.39999999999998</v>
      </c>
      <c r="BY138">
        <v>531.29999999999995</v>
      </c>
    </row>
    <row r="139" spans="1:107" x14ac:dyDescent="0.2">
      <c r="A139">
        <v>473</v>
      </c>
      <c r="B139" s="41"/>
      <c r="C139" s="43"/>
      <c r="D139" s="41">
        <v>9660</v>
      </c>
      <c r="E139" s="43"/>
      <c r="F139" s="41">
        <v>3951.34</v>
      </c>
      <c r="G139" s="43">
        <v>0</v>
      </c>
      <c r="H139" s="41">
        <v>1834.97</v>
      </c>
      <c r="I139" s="43">
        <v>112.5</v>
      </c>
      <c r="J139" s="41"/>
      <c r="K139" s="43"/>
      <c r="L139" s="41">
        <v>0</v>
      </c>
      <c r="M139" s="43"/>
      <c r="N139" s="41"/>
      <c r="O139" s="43">
        <v>0</v>
      </c>
      <c r="P139" s="41">
        <v>177.17</v>
      </c>
      <c r="Q139" s="43">
        <v>0</v>
      </c>
      <c r="R139" s="41">
        <v>0</v>
      </c>
      <c r="BW139">
        <v>3481.08</v>
      </c>
      <c r="BX139">
        <v>2002.77</v>
      </c>
      <c r="BY139">
        <v>1018.94</v>
      </c>
      <c r="BZ139">
        <v>424.23</v>
      </c>
      <c r="CA139">
        <v>12.14</v>
      </c>
      <c r="CC139">
        <v>33.9</v>
      </c>
      <c r="CD139">
        <v>115.55</v>
      </c>
      <c r="DC139">
        <v>2000</v>
      </c>
    </row>
    <row r="140" spans="1:107" x14ac:dyDescent="0.2">
      <c r="A140">
        <v>477</v>
      </c>
      <c r="B140" s="41"/>
      <c r="C140" s="43"/>
      <c r="D140" s="41">
        <v>18526.14</v>
      </c>
      <c r="E140" s="43">
        <v>27226.59</v>
      </c>
      <c r="F140" s="41"/>
      <c r="G140" s="43">
        <v>0</v>
      </c>
      <c r="H140" s="41">
        <v>7088.6100000000006</v>
      </c>
      <c r="I140" s="43">
        <v>180</v>
      </c>
      <c r="J140" s="41"/>
      <c r="K140" s="43">
        <v>456.17</v>
      </c>
      <c r="L140" s="41">
        <v>0</v>
      </c>
      <c r="M140" s="43">
        <v>435.25</v>
      </c>
      <c r="N140" s="41"/>
      <c r="O140" s="43">
        <v>2000</v>
      </c>
      <c r="P140" s="41">
        <v>3400.9100000000003</v>
      </c>
      <c r="Q140" s="43">
        <v>47991.85</v>
      </c>
      <c r="R140" s="41">
        <v>0</v>
      </c>
      <c r="BW140">
        <v>877.35</v>
      </c>
      <c r="BY140">
        <v>730.7</v>
      </c>
      <c r="BZ140">
        <v>2145.35</v>
      </c>
      <c r="CA140">
        <v>60.03</v>
      </c>
      <c r="CC140">
        <v>16.86</v>
      </c>
      <c r="CD140">
        <v>45.63</v>
      </c>
      <c r="CE140">
        <v>68.459999999999994</v>
      </c>
    </row>
    <row r="141" spans="1:107" x14ac:dyDescent="0.2">
      <c r="A141">
        <v>480</v>
      </c>
      <c r="B141" s="41"/>
      <c r="C141" s="43"/>
      <c r="D141" s="41">
        <v>13284.75</v>
      </c>
      <c r="E141" s="43"/>
      <c r="F141" s="41"/>
      <c r="G141" s="43">
        <v>0</v>
      </c>
      <c r="H141" s="41">
        <v>3944.3800000000006</v>
      </c>
      <c r="I141" s="43"/>
      <c r="J141" s="41"/>
      <c r="K141" s="43"/>
      <c r="L141" s="41">
        <v>0</v>
      </c>
      <c r="M141" s="43"/>
      <c r="N141" s="41"/>
      <c r="O141" s="43">
        <v>0</v>
      </c>
      <c r="P141" s="41">
        <v>145.44999999999999</v>
      </c>
      <c r="Q141" s="43">
        <v>0</v>
      </c>
      <c r="R141" s="41">
        <v>0</v>
      </c>
      <c r="BO141">
        <v>23773.06</v>
      </c>
      <c r="BP141">
        <v>3547.22</v>
      </c>
      <c r="BQ141">
        <v>1632.48</v>
      </c>
      <c r="BR141">
        <v>216.79</v>
      </c>
      <c r="BW141">
        <v>2231.4499999999998</v>
      </c>
      <c r="BX141">
        <v>222.71</v>
      </c>
      <c r="BY141">
        <v>1397.31</v>
      </c>
      <c r="CD141">
        <v>602.85</v>
      </c>
      <c r="CG141">
        <v>331.01</v>
      </c>
      <c r="CR141">
        <v>9.16</v>
      </c>
    </row>
    <row r="142" spans="1:107" x14ac:dyDescent="0.2">
      <c r="A142">
        <v>482</v>
      </c>
      <c r="B142" s="41"/>
      <c r="C142" s="43"/>
      <c r="D142" s="41"/>
      <c r="E142" s="43"/>
      <c r="F142" s="41"/>
      <c r="G142" s="43">
        <v>29169.550000000003</v>
      </c>
      <c r="H142" s="41">
        <v>4785.33</v>
      </c>
      <c r="I142" s="43">
        <v>43.2</v>
      </c>
      <c r="J142" s="41"/>
      <c r="K142" s="43">
        <v>146.57</v>
      </c>
      <c r="L142" s="41">
        <v>9.16</v>
      </c>
      <c r="M142" s="43"/>
      <c r="N142" s="41"/>
      <c r="O142" s="43">
        <v>0</v>
      </c>
      <c r="P142" s="41">
        <v>384.68</v>
      </c>
      <c r="Q142" s="43">
        <v>0</v>
      </c>
      <c r="R142" s="41">
        <v>0</v>
      </c>
      <c r="BT142">
        <v>13188.51</v>
      </c>
    </row>
    <row r="143" spans="1:107" x14ac:dyDescent="0.2">
      <c r="A143">
        <v>484</v>
      </c>
      <c r="B143" s="41"/>
      <c r="C143" s="43"/>
      <c r="D143" s="41"/>
      <c r="E143" s="43"/>
      <c r="F143" s="41"/>
      <c r="G143" s="43">
        <v>13188.51</v>
      </c>
      <c r="H143" s="41">
        <v>0</v>
      </c>
      <c r="I143" s="43"/>
      <c r="J143" s="41"/>
      <c r="K143" s="43"/>
      <c r="L143" s="41">
        <v>0</v>
      </c>
      <c r="M143" s="43"/>
      <c r="N143" s="41"/>
      <c r="O143" s="43">
        <v>0</v>
      </c>
      <c r="P143" s="41">
        <v>0</v>
      </c>
      <c r="Q143" s="43">
        <v>0</v>
      </c>
      <c r="R143" s="41">
        <v>0</v>
      </c>
      <c r="BW143">
        <v>899.8</v>
      </c>
      <c r="BX143">
        <v>610.61</v>
      </c>
      <c r="BY143">
        <v>57.42</v>
      </c>
      <c r="CR143">
        <v>7001.25</v>
      </c>
    </row>
    <row r="144" spans="1:107" x14ac:dyDescent="0.2">
      <c r="A144">
        <v>485</v>
      </c>
      <c r="B144" s="41"/>
      <c r="C144" s="43"/>
      <c r="D144" s="41">
        <v>9432</v>
      </c>
      <c r="E144" s="43">
        <v>2363.2399999999998</v>
      </c>
      <c r="F144" s="41"/>
      <c r="G144" s="43">
        <v>0</v>
      </c>
      <c r="H144" s="41">
        <v>1567.83</v>
      </c>
      <c r="I144" s="43"/>
      <c r="J144" s="41"/>
      <c r="K144" s="43">
        <v>33.6</v>
      </c>
      <c r="L144" s="41">
        <v>7001.25</v>
      </c>
      <c r="M144" s="43"/>
      <c r="N144" s="41"/>
      <c r="O144" s="43">
        <v>0</v>
      </c>
      <c r="P144" s="41">
        <v>387.25</v>
      </c>
      <c r="Q144" s="43">
        <v>0</v>
      </c>
      <c r="R144" s="41">
        <v>0</v>
      </c>
      <c r="BW144">
        <v>60.01</v>
      </c>
      <c r="BX144">
        <v>20.86</v>
      </c>
      <c r="BY144">
        <v>25.75</v>
      </c>
      <c r="DA144">
        <v>3666.69</v>
      </c>
    </row>
    <row r="145" spans="1:108" x14ac:dyDescent="0.2">
      <c r="A145">
        <v>486</v>
      </c>
      <c r="B145" s="41"/>
      <c r="C145" s="43"/>
      <c r="D145" s="41">
        <v>468.13</v>
      </c>
      <c r="E145" s="43">
        <v>316.45999999999998</v>
      </c>
      <c r="F145" s="41"/>
      <c r="G145" s="43">
        <v>0</v>
      </c>
      <c r="H145" s="41">
        <v>106.62</v>
      </c>
      <c r="I145" s="43"/>
      <c r="J145" s="41"/>
      <c r="K145" s="43"/>
      <c r="L145" s="41">
        <v>0</v>
      </c>
      <c r="M145" s="43"/>
      <c r="N145" s="41"/>
      <c r="O145" s="43">
        <v>3666.69</v>
      </c>
      <c r="P145" s="41">
        <v>0</v>
      </c>
      <c r="Q145" s="43">
        <v>0</v>
      </c>
      <c r="R145" s="41">
        <v>0</v>
      </c>
      <c r="DC145">
        <v>4408.6400000000003</v>
      </c>
    </row>
    <row r="146" spans="1:108" x14ac:dyDescent="0.2">
      <c r="A146">
        <v>487</v>
      </c>
      <c r="B146" s="41"/>
      <c r="C146" s="43"/>
      <c r="D146" s="41"/>
      <c r="E146" s="43"/>
      <c r="F146" s="41"/>
      <c r="G146" s="43">
        <v>0</v>
      </c>
      <c r="H146" s="41">
        <v>0</v>
      </c>
      <c r="I146" s="43"/>
      <c r="J146" s="41"/>
      <c r="K146" s="43"/>
      <c r="L146" s="41">
        <v>0</v>
      </c>
      <c r="M146" s="43"/>
      <c r="N146" s="41"/>
      <c r="O146" s="43">
        <v>4408.6400000000003</v>
      </c>
      <c r="P146" s="41">
        <v>0</v>
      </c>
      <c r="Q146" s="43">
        <v>0</v>
      </c>
      <c r="R146" s="41">
        <v>0</v>
      </c>
      <c r="BW146">
        <v>4042.37</v>
      </c>
      <c r="BX146">
        <v>1232.6300000000001</v>
      </c>
      <c r="BY146">
        <v>1936.98</v>
      </c>
      <c r="BZ146">
        <v>3559.15</v>
      </c>
      <c r="CA146">
        <v>32.76</v>
      </c>
      <c r="CB146">
        <v>20.54</v>
      </c>
      <c r="CC146">
        <v>17.940000000000001</v>
      </c>
      <c r="CD146">
        <v>75</v>
      </c>
    </row>
    <row r="147" spans="1:108" x14ac:dyDescent="0.2">
      <c r="A147">
        <v>492</v>
      </c>
      <c r="B147" s="41">
        <v>4017</v>
      </c>
      <c r="C147" s="43"/>
      <c r="D147" s="41">
        <v>35217.300000000003</v>
      </c>
      <c r="E147" s="43">
        <v>14574.22</v>
      </c>
      <c r="F147" s="41"/>
      <c r="G147" s="43">
        <v>0</v>
      </c>
      <c r="H147" s="41">
        <v>10917.37</v>
      </c>
      <c r="I147" s="43"/>
      <c r="J147" s="41"/>
      <c r="K147" s="43"/>
      <c r="L147" s="41">
        <v>0</v>
      </c>
      <c r="M147" s="43">
        <v>945.05</v>
      </c>
      <c r="N147" s="41"/>
      <c r="O147" s="43">
        <v>0</v>
      </c>
      <c r="P147" s="41">
        <v>9460.09</v>
      </c>
      <c r="Q147" s="43">
        <v>1575.81</v>
      </c>
      <c r="R147" s="41">
        <v>0</v>
      </c>
      <c r="BQ147">
        <v>1600.73</v>
      </c>
      <c r="BW147">
        <v>1922.05</v>
      </c>
      <c r="BX147">
        <v>752.43</v>
      </c>
      <c r="BY147">
        <v>768.53</v>
      </c>
      <c r="BZ147">
        <v>1804.85</v>
      </c>
      <c r="CA147">
        <v>46.64</v>
      </c>
      <c r="CC147">
        <v>39.57</v>
      </c>
    </row>
    <row r="148" spans="1:108" x14ac:dyDescent="0.2">
      <c r="A148">
        <v>495</v>
      </c>
      <c r="B148" s="41"/>
      <c r="C148" s="43"/>
      <c r="D148" s="41">
        <v>13137.8</v>
      </c>
      <c r="E148" s="43">
        <v>11409.37</v>
      </c>
      <c r="F148" s="41"/>
      <c r="G148" s="43">
        <v>1600.73</v>
      </c>
      <c r="H148" s="41">
        <v>5334.0700000000006</v>
      </c>
      <c r="I148" s="43">
        <v>49.13</v>
      </c>
      <c r="J148" s="41"/>
      <c r="K148" s="43"/>
      <c r="L148" s="41">
        <v>0</v>
      </c>
      <c r="M148" s="43"/>
      <c r="N148" s="41"/>
      <c r="O148" s="43">
        <v>0</v>
      </c>
      <c r="P148" s="41">
        <v>416.19</v>
      </c>
      <c r="Q148" s="43">
        <v>0</v>
      </c>
      <c r="R148" s="41">
        <v>0</v>
      </c>
      <c r="BP148">
        <v>947.02</v>
      </c>
      <c r="BW148">
        <v>156.46</v>
      </c>
      <c r="BX148">
        <v>73.7</v>
      </c>
      <c r="BY148">
        <v>51.83</v>
      </c>
    </row>
    <row r="149" spans="1:108" x14ac:dyDescent="0.2">
      <c r="A149">
        <v>499</v>
      </c>
      <c r="B149" s="41"/>
      <c r="C149" s="43"/>
      <c r="D149" s="41">
        <v>922.32</v>
      </c>
      <c r="E149" s="43">
        <v>177.6</v>
      </c>
      <c r="F149" s="41"/>
      <c r="G149" s="43">
        <v>947.02</v>
      </c>
      <c r="H149" s="41">
        <v>281.99</v>
      </c>
      <c r="I149" s="43"/>
      <c r="J149" s="41"/>
      <c r="K149" s="43"/>
      <c r="L149" s="41">
        <v>0</v>
      </c>
      <c r="M149" s="43"/>
      <c r="N149" s="41"/>
      <c r="O149" s="43">
        <v>0</v>
      </c>
      <c r="P149" s="41">
        <v>1775.75</v>
      </c>
      <c r="Q149" s="43">
        <v>0</v>
      </c>
      <c r="R149" s="41">
        <v>0</v>
      </c>
      <c r="BW149">
        <v>1475.7</v>
      </c>
      <c r="BX149">
        <v>442.38</v>
      </c>
      <c r="BY149">
        <v>717.09</v>
      </c>
      <c r="BZ149">
        <v>634.21</v>
      </c>
      <c r="CD149">
        <v>195.63</v>
      </c>
    </row>
    <row r="150" spans="1:108" x14ac:dyDescent="0.2">
      <c r="A150">
        <v>500</v>
      </c>
      <c r="B150" s="41">
        <v>267.3</v>
      </c>
      <c r="C150" s="43"/>
      <c r="D150" s="41">
        <v>12513</v>
      </c>
      <c r="E150" s="43">
        <v>6952.26</v>
      </c>
      <c r="F150" s="41"/>
      <c r="G150" s="43">
        <v>0</v>
      </c>
      <c r="H150" s="41">
        <v>3465.01</v>
      </c>
      <c r="I150" s="43"/>
      <c r="J150" s="41"/>
      <c r="K150" s="43"/>
      <c r="L150" s="41">
        <v>0</v>
      </c>
      <c r="M150" s="43"/>
      <c r="N150" s="41"/>
      <c r="O150" s="43">
        <v>0</v>
      </c>
      <c r="P150" s="41">
        <v>1.99</v>
      </c>
      <c r="Q150" s="43">
        <v>0</v>
      </c>
      <c r="R150" s="41">
        <v>0</v>
      </c>
      <c r="DB150">
        <v>4329.34</v>
      </c>
    </row>
    <row r="151" spans="1:108" x14ac:dyDescent="0.2">
      <c r="A151">
        <v>505</v>
      </c>
      <c r="B151" s="41"/>
      <c r="C151" s="43"/>
      <c r="D151" s="41"/>
      <c r="E151" s="43"/>
      <c r="F151" s="41"/>
      <c r="G151" s="43">
        <v>0</v>
      </c>
      <c r="H151" s="41">
        <v>0</v>
      </c>
      <c r="I151" s="43"/>
      <c r="J151" s="41"/>
      <c r="K151" s="43"/>
      <c r="L151" s="41">
        <v>0</v>
      </c>
      <c r="M151" s="43"/>
      <c r="N151" s="41"/>
      <c r="O151" s="43">
        <v>4329.34</v>
      </c>
      <c r="P151" s="41">
        <v>0</v>
      </c>
      <c r="Q151" s="43">
        <v>0</v>
      </c>
      <c r="R151" s="41">
        <v>0</v>
      </c>
      <c r="BW151">
        <v>218.25</v>
      </c>
      <c r="BY151">
        <v>157.4</v>
      </c>
      <c r="BZ151">
        <v>539.89</v>
      </c>
      <c r="CA151">
        <v>1.1399999999999999</v>
      </c>
      <c r="CB151">
        <v>23.57</v>
      </c>
    </row>
    <row r="152" spans="1:108" x14ac:dyDescent="0.2">
      <c r="A152">
        <v>507</v>
      </c>
      <c r="B152" s="41"/>
      <c r="C152" s="43"/>
      <c r="D152" s="41">
        <v>2861.03</v>
      </c>
      <c r="E152" s="43"/>
      <c r="F152" s="41"/>
      <c r="G152" s="43">
        <v>0</v>
      </c>
      <c r="H152" s="41">
        <v>940.25</v>
      </c>
      <c r="I152" s="43"/>
      <c r="J152" s="41"/>
      <c r="K152" s="43"/>
      <c r="L152" s="41">
        <v>0</v>
      </c>
      <c r="M152" s="43"/>
      <c r="N152" s="41"/>
      <c r="O152" s="43">
        <v>0</v>
      </c>
      <c r="P152" s="41">
        <v>0</v>
      </c>
      <c r="Q152" s="43">
        <v>0</v>
      </c>
      <c r="R152" s="41">
        <v>0</v>
      </c>
      <c r="BP152">
        <v>18864.16</v>
      </c>
      <c r="BW152">
        <v>7352.09</v>
      </c>
      <c r="BX152">
        <v>1247.95</v>
      </c>
      <c r="BY152">
        <v>4823.67</v>
      </c>
      <c r="BZ152">
        <v>1273.74</v>
      </c>
      <c r="CA152">
        <v>32.15</v>
      </c>
      <c r="CB152">
        <v>168.78</v>
      </c>
      <c r="CE152">
        <v>132.32</v>
      </c>
      <c r="CQ152">
        <v>19956.310000000001</v>
      </c>
      <c r="DB152">
        <v>518.08000000000004</v>
      </c>
    </row>
    <row r="153" spans="1:108" x14ac:dyDescent="0.2">
      <c r="A153">
        <v>508</v>
      </c>
      <c r="B153" s="41">
        <v>9405.32</v>
      </c>
      <c r="C153" s="43"/>
      <c r="D153" s="41">
        <v>78446.28</v>
      </c>
      <c r="E153" s="43"/>
      <c r="F153" s="41">
        <v>759.46</v>
      </c>
      <c r="G153" s="43">
        <v>18864.16</v>
      </c>
      <c r="H153" s="41">
        <v>15030.7</v>
      </c>
      <c r="I153" s="43">
        <v>2367.87</v>
      </c>
      <c r="J153" s="41">
        <v>433.93</v>
      </c>
      <c r="K153" s="43">
        <v>288.27999999999997</v>
      </c>
      <c r="L153" s="41">
        <v>19956.310000000001</v>
      </c>
      <c r="M153" s="43">
        <v>46.62</v>
      </c>
      <c r="N153" s="41"/>
      <c r="O153" s="43">
        <v>518.08000000000004</v>
      </c>
      <c r="P153" s="41">
        <v>3290.7200000000003</v>
      </c>
      <c r="Q153" s="43">
        <v>70</v>
      </c>
      <c r="R153" s="41">
        <v>231.25</v>
      </c>
    </row>
    <row r="154" spans="1:108" x14ac:dyDescent="0.2">
      <c r="A154">
        <v>511</v>
      </c>
      <c r="B154" s="41"/>
      <c r="C154" s="43"/>
      <c r="D154" s="41"/>
      <c r="E154" s="43"/>
      <c r="F154" s="41"/>
      <c r="G154" s="43">
        <v>0</v>
      </c>
      <c r="H154" s="41">
        <v>0</v>
      </c>
      <c r="I154" s="43"/>
      <c r="J154" s="41"/>
      <c r="K154" s="43">
        <v>24.64</v>
      </c>
      <c r="L154" s="41">
        <v>0</v>
      </c>
      <c r="M154" s="43"/>
      <c r="N154" s="41"/>
      <c r="O154" s="43">
        <v>0</v>
      </c>
      <c r="P154" s="41">
        <v>392.24</v>
      </c>
      <c r="Q154" s="43">
        <v>0</v>
      </c>
      <c r="R154" s="41">
        <v>0</v>
      </c>
      <c r="BW154">
        <v>1864.3</v>
      </c>
      <c r="BX154">
        <v>197.9</v>
      </c>
      <c r="BY154">
        <v>1177</v>
      </c>
      <c r="DD154">
        <v>-13922.09</v>
      </c>
    </row>
    <row r="155" spans="1:108" x14ac:dyDescent="0.2">
      <c r="A155">
        <v>513</v>
      </c>
      <c r="B155" s="41"/>
      <c r="C155" s="43"/>
      <c r="D155" s="41">
        <v>21400</v>
      </c>
      <c r="E155" s="43"/>
      <c r="F155" s="41">
        <v>2969.48</v>
      </c>
      <c r="G155" s="43">
        <v>0</v>
      </c>
      <c r="H155" s="41">
        <v>3239.2</v>
      </c>
      <c r="I155" s="43"/>
      <c r="J155" s="41"/>
      <c r="K155" s="43"/>
      <c r="L155" s="41">
        <v>0</v>
      </c>
      <c r="M155" s="43"/>
      <c r="N155" s="41"/>
      <c r="O155" s="43">
        <v>-13922.09</v>
      </c>
      <c r="P155" s="41">
        <v>235.49</v>
      </c>
      <c r="Q155" s="43">
        <v>0</v>
      </c>
      <c r="R155" s="41">
        <v>0</v>
      </c>
    </row>
    <row r="156" spans="1:108" x14ac:dyDescent="0.2">
      <c r="A156">
        <v>514</v>
      </c>
      <c r="B156" s="41"/>
      <c r="C156" s="43"/>
      <c r="D156" s="41"/>
      <c r="E156" s="43"/>
      <c r="F156" s="41"/>
      <c r="G156" s="43">
        <v>0</v>
      </c>
      <c r="H156" s="41">
        <v>0</v>
      </c>
      <c r="I156" s="43"/>
      <c r="J156" s="41"/>
      <c r="K156" s="43"/>
      <c r="L156" s="41">
        <v>0</v>
      </c>
      <c r="M156" s="43"/>
      <c r="N156" s="41"/>
      <c r="O156" s="43">
        <v>0</v>
      </c>
      <c r="P156" s="41">
        <v>319.32</v>
      </c>
      <c r="Q156" s="43">
        <v>0</v>
      </c>
      <c r="R156" s="41">
        <v>0</v>
      </c>
      <c r="DD156">
        <v>1203.8399999999999</v>
      </c>
    </row>
    <row r="157" spans="1:108" x14ac:dyDescent="0.2">
      <c r="A157">
        <v>516</v>
      </c>
      <c r="B157" s="41"/>
      <c r="C157" s="43"/>
      <c r="D157" s="41"/>
      <c r="E157" s="43"/>
      <c r="F157" s="41"/>
      <c r="G157" s="43">
        <v>0</v>
      </c>
      <c r="H157" s="41">
        <v>0</v>
      </c>
      <c r="I157" s="43"/>
      <c r="J157" s="41"/>
      <c r="K157" s="43"/>
      <c r="L157" s="41">
        <v>0</v>
      </c>
      <c r="M157" s="43"/>
      <c r="N157" s="41"/>
      <c r="O157" s="43">
        <v>1203.8399999999999</v>
      </c>
      <c r="P157" s="41">
        <v>0</v>
      </c>
      <c r="Q157" s="43">
        <v>0</v>
      </c>
      <c r="R157" s="41">
        <v>0</v>
      </c>
      <c r="BW157">
        <v>2705.05</v>
      </c>
      <c r="BX157">
        <v>220.81</v>
      </c>
      <c r="BY157">
        <v>1755.06</v>
      </c>
      <c r="BZ157">
        <v>392.92</v>
      </c>
      <c r="CA157">
        <v>25.55</v>
      </c>
      <c r="CC157">
        <v>60.77</v>
      </c>
      <c r="CD157">
        <v>280.37</v>
      </c>
      <c r="CG157">
        <v>184.44</v>
      </c>
    </row>
    <row r="158" spans="1:108" x14ac:dyDescent="0.2">
      <c r="A158">
        <v>518</v>
      </c>
      <c r="B158" s="41">
        <v>2471.4499999999998</v>
      </c>
      <c r="C158" s="43">
        <v>8221.19</v>
      </c>
      <c r="D158" s="41">
        <v>23427.02</v>
      </c>
      <c r="E158" s="43">
        <v>1406.84</v>
      </c>
      <c r="F158" s="41"/>
      <c r="G158" s="43">
        <v>0</v>
      </c>
      <c r="H158" s="41">
        <v>5624.97</v>
      </c>
      <c r="I158" s="43"/>
      <c r="J158" s="41"/>
      <c r="K158" s="43"/>
      <c r="L158" s="41">
        <v>0</v>
      </c>
      <c r="M158" s="43"/>
      <c r="N158" s="41"/>
      <c r="O158" s="43">
        <v>0</v>
      </c>
      <c r="P158" s="41">
        <v>0</v>
      </c>
      <c r="Q158" s="43">
        <v>0</v>
      </c>
      <c r="R158" s="41">
        <v>0</v>
      </c>
      <c r="BO158">
        <v>86527.9</v>
      </c>
      <c r="BP158">
        <v>24441.75</v>
      </c>
      <c r="BW158">
        <v>8385.85</v>
      </c>
      <c r="BX158">
        <v>1456.28</v>
      </c>
      <c r="BY158">
        <v>4791.79</v>
      </c>
      <c r="BZ158">
        <v>2592</v>
      </c>
      <c r="CA158">
        <v>16.559999999999999</v>
      </c>
      <c r="CB158">
        <v>154.80000000000001</v>
      </c>
      <c r="CC158">
        <v>47.76</v>
      </c>
      <c r="CD158">
        <v>360.01</v>
      </c>
    </row>
    <row r="159" spans="1:108" x14ac:dyDescent="0.2">
      <c r="A159">
        <v>531</v>
      </c>
      <c r="B159" s="41"/>
      <c r="C159" s="43"/>
      <c r="D159" s="41"/>
      <c r="E159" s="43"/>
      <c r="F159" s="41"/>
      <c r="G159" s="43">
        <v>110969.65</v>
      </c>
      <c r="H159" s="41">
        <v>17805.05</v>
      </c>
      <c r="I159" s="43"/>
      <c r="J159" s="41"/>
      <c r="K159" s="43">
        <v>105.98</v>
      </c>
      <c r="L159" s="41">
        <v>0</v>
      </c>
      <c r="M159" s="43">
        <v>120.65</v>
      </c>
      <c r="N159" s="41"/>
      <c r="O159" s="43">
        <v>0</v>
      </c>
      <c r="P159" s="41">
        <v>4877.8100000000004</v>
      </c>
      <c r="Q159" s="43">
        <v>0</v>
      </c>
      <c r="R159" s="41">
        <v>0</v>
      </c>
      <c r="BQ159">
        <v>151.35</v>
      </c>
      <c r="BW159">
        <v>1450.48</v>
      </c>
      <c r="BX159">
        <v>5.19</v>
      </c>
      <c r="BY159">
        <v>838.31</v>
      </c>
      <c r="BZ159">
        <v>467.63</v>
      </c>
      <c r="CA159">
        <v>22.41</v>
      </c>
      <c r="CC159">
        <v>14.16</v>
      </c>
      <c r="CD159">
        <v>60</v>
      </c>
      <c r="CR159">
        <v>5835.04</v>
      </c>
      <c r="CX159">
        <v>2523.7399999999998</v>
      </c>
    </row>
    <row r="160" spans="1:108" x14ac:dyDescent="0.2">
      <c r="A160">
        <v>533</v>
      </c>
      <c r="B160" s="41">
        <v>3554.03</v>
      </c>
      <c r="C160" s="43"/>
      <c r="D160" s="41">
        <v>11576.91</v>
      </c>
      <c r="E160" s="43">
        <v>3760.81</v>
      </c>
      <c r="F160" s="41"/>
      <c r="G160" s="43">
        <v>151.35</v>
      </c>
      <c r="H160" s="41">
        <v>2858.18</v>
      </c>
      <c r="I160" s="43">
        <v>267.62</v>
      </c>
      <c r="J160" s="41"/>
      <c r="K160" s="43"/>
      <c r="L160" s="41">
        <v>5835.04</v>
      </c>
      <c r="M160" s="43"/>
      <c r="N160" s="41"/>
      <c r="O160" s="43">
        <v>2523.7399999999998</v>
      </c>
      <c r="P160" s="41">
        <v>469.91</v>
      </c>
      <c r="Q160" s="43">
        <v>0</v>
      </c>
      <c r="R160" s="41">
        <v>0</v>
      </c>
      <c r="BW160">
        <v>2435.6799999999998</v>
      </c>
      <c r="BX160">
        <v>535.51</v>
      </c>
      <c r="BY160">
        <v>1344.25</v>
      </c>
      <c r="BZ160">
        <v>4147.21</v>
      </c>
      <c r="CA160">
        <v>36.97</v>
      </c>
      <c r="CB160">
        <v>264.24</v>
      </c>
      <c r="CC160">
        <v>41.02</v>
      </c>
      <c r="CD160">
        <v>558.14</v>
      </c>
    </row>
    <row r="161" spans="1:106" x14ac:dyDescent="0.2">
      <c r="A161">
        <v>534</v>
      </c>
      <c r="B161" s="41"/>
      <c r="C161" s="43"/>
      <c r="D161" s="41">
        <v>24441.01</v>
      </c>
      <c r="E161" s="43">
        <v>8058.55</v>
      </c>
      <c r="F161" s="41"/>
      <c r="G161" s="43">
        <v>0</v>
      </c>
      <c r="H161" s="41">
        <v>9363.0199999999986</v>
      </c>
      <c r="I161" s="43"/>
      <c r="J161" s="41"/>
      <c r="K161" s="43"/>
      <c r="L161" s="41">
        <v>0</v>
      </c>
      <c r="M161" s="43"/>
      <c r="N161" s="41"/>
      <c r="O161" s="43">
        <v>0</v>
      </c>
      <c r="P161" s="41">
        <v>492.43</v>
      </c>
      <c r="Q161" s="43">
        <v>0</v>
      </c>
      <c r="R161" s="41">
        <v>0</v>
      </c>
      <c r="BW161">
        <v>679.85</v>
      </c>
      <c r="BY161">
        <v>488.83</v>
      </c>
      <c r="CD161">
        <v>110.02</v>
      </c>
      <c r="CG161">
        <v>79.989999999999995</v>
      </c>
    </row>
    <row r="162" spans="1:106" x14ac:dyDescent="0.2">
      <c r="A162">
        <v>535</v>
      </c>
      <c r="B162" s="41"/>
      <c r="C162" s="43"/>
      <c r="D162" s="41">
        <v>8887.4500000000007</v>
      </c>
      <c r="E162" s="43"/>
      <c r="F162" s="41"/>
      <c r="G162" s="43">
        <v>0</v>
      </c>
      <c r="H162" s="41">
        <v>1358.69</v>
      </c>
      <c r="I162" s="43">
        <v>197645.55</v>
      </c>
      <c r="J162" s="41"/>
      <c r="K162" s="43"/>
      <c r="L162" s="41">
        <v>0</v>
      </c>
      <c r="M162" s="43"/>
      <c r="N162" s="41"/>
      <c r="O162" s="43">
        <v>0</v>
      </c>
      <c r="P162" s="41">
        <v>396.95</v>
      </c>
      <c r="Q162" s="43">
        <v>0</v>
      </c>
      <c r="R162" s="41">
        <v>0</v>
      </c>
      <c r="BW162">
        <v>449.1</v>
      </c>
      <c r="BX162">
        <v>317.95999999999998</v>
      </c>
      <c r="DA162">
        <v>24203.97</v>
      </c>
    </row>
    <row r="163" spans="1:106" x14ac:dyDescent="0.2">
      <c r="A163">
        <v>542</v>
      </c>
      <c r="B163" s="41"/>
      <c r="C163" s="43"/>
      <c r="D163" s="41"/>
      <c r="E163" s="43">
        <v>5892.19</v>
      </c>
      <c r="F163" s="41"/>
      <c r="G163" s="43">
        <v>0</v>
      </c>
      <c r="H163" s="41">
        <v>767.06</v>
      </c>
      <c r="I163" s="43"/>
      <c r="J163" s="41">
        <v>212.87</v>
      </c>
      <c r="K163" s="43"/>
      <c r="L163" s="41">
        <v>0</v>
      </c>
      <c r="M163" s="43">
        <v>207.38</v>
      </c>
      <c r="N163" s="41"/>
      <c r="O163" s="43">
        <v>24203.97</v>
      </c>
      <c r="P163" s="41">
        <v>264.49</v>
      </c>
      <c r="Q163" s="43">
        <v>0</v>
      </c>
      <c r="R163" s="41">
        <v>0</v>
      </c>
      <c r="BW163">
        <v>436.53</v>
      </c>
      <c r="BX163">
        <v>367.32</v>
      </c>
    </row>
    <row r="164" spans="1:106" x14ac:dyDescent="0.2">
      <c r="A164">
        <v>544</v>
      </c>
      <c r="B164" s="41"/>
      <c r="C164" s="43"/>
      <c r="D164" s="41"/>
      <c r="E164" s="43"/>
      <c r="F164" s="41">
        <v>5706.28</v>
      </c>
      <c r="G164" s="43">
        <v>0</v>
      </c>
      <c r="H164" s="41">
        <v>803.84999999999991</v>
      </c>
      <c r="I164" s="43">
        <v>31941.05</v>
      </c>
      <c r="J164" s="41">
        <v>217.12</v>
      </c>
      <c r="K164" s="43"/>
      <c r="L164" s="41">
        <v>0</v>
      </c>
      <c r="M164" s="43">
        <v>215.6</v>
      </c>
      <c r="N164" s="41"/>
      <c r="O164" s="43">
        <v>0</v>
      </c>
      <c r="P164" s="41">
        <v>0</v>
      </c>
      <c r="Q164" s="43">
        <v>0</v>
      </c>
      <c r="R164" s="41">
        <v>0</v>
      </c>
      <c r="BQ164">
        <v>221.85</v>
      </c>
      <c r="BW164">
        <v>1439.69</v>
      </c>
      <c r="BX164">
        <v>307.75</v>
      </c>
      <c r="BY164">
        <v>781.1</v>
      </c>
      <c r="CD164">
        <v>42.27</v>
      </c>
    </row>
    <row r="165" spans="1:106" x14ac:dyDescent="0.2">
      <c r="A165">
        <v>545</v>
      </c>
      <c r="B165" s="41"/>
      <c r="C165" s="43">
        <v>2447.54</v>
      </c>
      <c r="D165" s="41">
        <v>11493.31</v>
      </c>
      <c r="E165" s="43">
        <v>4639.72</v>
      </c>
      <c r="F165" s="41"/>
      <c r="G165" s="43">
        <v>221.85</v>
      </c>
      <c r="H165" s="41">
        <v>2570.81</v>
      </c>
      <c r="I165" s="43"/>
      <c r="J165" s="41"/>
      <c r="K165" s="43">
        <v>42</v>
      </c>
      <c r="L165" s="41">
        <v>0</v>
      </c>
      <c r="M165" s="43">
        <v>71.2</v>
      </c>
      <c r="N165" s="41"/>
      <c r="O165" s="43">
        <v>0</v>
      </c>
      <c r="P165" s="41">
        <v>72.16</v>
      </c>
      <c r="Q165" s="43">
        <v>239.99</v>
      </c>
      <c r="R165" s="41">
        <v>0</v>
      </c>
      <c r="BQ165">
        <v>180</v>
      </c>
      <c r="BW165">
        <v>1074.46</v>
      </c>
      <c r="BY165">
        <v>772.49</v>
      </c>
      <c r="CQ165">
        <v>6248.5</v>
      </c>
    </row>
    <row r="166" spans="1:106" x14ac:dyDescent="0.2">
      <c r="A166">
        <v>547</v>
      </c>
      <c r="B166" s="41"/>
      <c r="C166" s="43"/>
      <c r="D166" s="41">
        <v>13864.8</v>
      </c>
      <c r="E166" s="43"/>
      <c r="F166" s="41"/>
      <c r="G166" s="43">
        <v>180</v>
      </c>
      <c r="H166" s="41">
        <v>1846.95</v>
      </c>
      <c r="I166" s="43"/>
      <c r="J166" s="41"/>
      <c r="K166" s="43"/>
      <c r="L166" s="41">
        <v>6248.5</v>
      </c>
      <c r="M166" s="43"/>
      <c r="N166" s="41"/>
      <c r="O166" s="43">
        <v>0</v>
      </c>
      <c r="P166" s="41">
        <v>188.88</v>
      </c>
      <c r="Q166" s="43">
        <v>0</v>
      </c>
      <c r="R166" s="41">
        <v>0</v>
      </c>
    </row>
    <row r="167" spans="1:106" x14ac:dyDescent="0.2">
      <c r="A167">
        <v>548</v>
      </c>
      <c r="B167" s="41"/>
      <c r="C167" s="43"/>
      <c r="D167" s="41"/>
      <c r="E167" s="43"/>
      <c r="F167" s="41"/>
      <c r="G167" s="43">
        <v>0</v>
      </c>
      <c r="H167" s="41">
        <v>0</v>
      </c>
      <c r="I167" s="43">
        <v>16311.55</v>
      </c>
      <c r="J167" s="41"/>
      <c r="K167" s="43"/>
      <c r="L167" s="41">
        <v>0</v>
      </c>
      <c r="M167" s="43"/>
      <c r="N167" s="41"/>
      <c r="O167" s="43">
        <v>0</v>
      </c>
      <c r="P167" s="41">
        <v>101.11</v>
      </c>
      <c r="Q167" s="43">
        <v>0</v>
      </c>
      <c r="R167" s="41">
        <v>0</v>
      </c>
      <c r="BW167">
        <v>10088.15</v>
      </c>
      <c r="BY167">
        <v>7321.09</v>
      </c>
      <c r="BZ167">
        <v>3000</v>
      </c>
      <c r="CA167">
        <v>102</v>
      </c>
    </row>
    <row r="168" spans="1:106" x14ac:dyDescent="0.2">
      <c r="A168">
        <v>549</v>
      </c>
      <c r="B168" s="41"/>
      <c r="C168" s="43"/>
      <c r="D168" s="41">
        <v>105110.77</v>
      </c>
      <c r="E168" s="43"/>
      <c r="F168" s="41"/>
      <c r="G168" s="43">
        <v>0</v>
      </c>
      <c r="H168" s="41">
        <v>20511.239999999998</v>
      </c>
      <c r="I168" s="43"/>
      <c r="J168" s="41"/>
      <c r="K168" s="43"/>
      <c r="L168" s="41">
        <v>0</v>
      </c>
      <c r="M168" s="43"/>
      <c r="N168" s="41"/>
      <c r="O168" s="43">
        <v>0</v>
      </c>
      <c r="P168" s="41">
        <v>2736.21</v>
      </c>
      <c r="Q168" s="43">
        <v>0</v>
      </c>
      <c r="R168" s="41">
        <v>0</v>
      </c>
      <c r="BQ168">
        <v>90</v>
      </c>
      <c r="BW168">
        <v>1887.22</v>
      </c>
      <c r="BX168">
        <v>1618.57</v>
      </c>
      <c r="BY168">
        <v>4.95</v>
      </c>
      <c r="BZ168">
        <v>4030.64</v>
      </c>
      <c r="CA168">
        <v>100.44</v>
      </c>
    </row>
    <row r="169" spans="1:106" x14ac:dyDescent="0.2">
      <c r="A169">
        <v>550</v>
      </c>
      <c r="B169" s="41"/>
      <c r="C169" s="43"/>
      <c r="D169" s="41">
        <v>19280.810000000001</v>
      </c>
      <c r="E169" s="43">
        <v>7505.82</v>
      </c>
      <c r="F169" s="41"/>
      <c r="G169" s="43">
        <v>90</v>
      </c>
      <c r="H169" s="41">
        <v>7641.8199999999988</v>
      </c>
      <c r="I169" s="43">
        <v>1204.5999999999999</v>
      </c>
      <c r="J169" s="41"/>
      <c r="K169" s="43"/>
      <c r="L169" s="41">
        <v>0</v>
      </c>
      <c r="M169" s="43"/>
      <c r="N169" s="41"/>
      <c r="O169" s="43">
        <v>0</v>
      </c>
      <c r="P169" s="41">
        <v>506.48</v>
      </c>
      <c r="Q169" s="43">
        <v>0</v>
      </c>
      <c r="R169" s="41">
        <v>0</v>
      </c>
      <c r="BW169">
        <v>1260.33</v>
      </c>
      <c r="BX169">
        <v>362.12</v>
      </c>
      <c r="BY169">
        <v>607.59</v>
      </c>
    </row>
    <row r="170" spans="1:106" x14ac:dyDescent="0.2">
      <c r="A170">
        <v>553</v>
      </c>
      <c r="B170" s="41"/>
      <c r="C170" s="43"/>
      <c r="D170" s="41">
        <v>11047.03</v>
      </c>
      <c r="E170" s="43"/>
      <c r="F170" s="41">
        <v>5428.46</v>
      </c>
      <c r="G170" s="43">
        <v>0</v>
      </c>
      <c r="H170" s="41">
        <v>2230.04</v>
      </c>
      <c r="I170" s="43"/>
      <c r="J170" s="41"/>
      <c r="K170" s="43"/>
      <c r="L170" s="41">
        <v>0</v>
      </c>
      <c r="M170" s="43"/>
      <c r="N170" s="41"/>
      <c r="O170" s="43">
        <v>0</v>
      </c>
      <c r="P170" s="41">
        <v>297.43</v>
      </c>
      <c r="Q170" s="43">
        <v>0</v>
      </c>
      <c r="R170" s="41">
        <v>0</v>
      </c>
      <c r="BW170">
        <v>2.2000000000000002</v>
      </c>
      <c r="BX170">
        <v>1.86</v>
      </c>
      <c r="DB170">
        <v>2223.6</v>
      </c>
    </row>
    <row r="171" spans="1:106" x14ac:dyDescent="0.2">
      <c r="A171">
        <v>561</v>
      </c>
      <c r="B171" s="41"/>
      <c r="C171" s="43"/>
      <c r="D171" s="41"/>
      <c r="E171" s="43">
        <v>28.63</v>
      </c>
      <c r="F171" s="41"/>
      <c r="G171" s="43">
        <v>0</v>
      </c>
      <c r="H171" s="41">
        <v>4.0600000000000005</v>
      </c>
      <c r="I171" s="43"/>
      <c r="J171" s="41"/>
      <c r="K171" s="43"/>
      <c r="L171" s="41">
        <v>0</v>
      </c>
      <c r="M171" s="43"/>
      <c r="N171" s="41"/>
      <c r="O171" s="43">
        <v>2223.6</v>
      </c>
      <c r="P171" s="41">
        <v>1054.8900000000001</v>
      </c>
      <c r="Q171" s="43">
        <v>0</v>
      </c>
      <c r="R171" s="41">
        <v>0</v>
      </c>
      <c r="BW171">
        <v>6578.49</v>
      </c>
      <c r="BX171">
        <v>1964.99</v>
      </c>
      <c r="BY171">
        <v>3025.12</v>
      </c>
      <c r="BZ171">
        <v>3050.5</v>
      </c>
      <c r="CA171">
        <v>161.68</v>
      </c>
      <c r="CC171">
        <v>262.99</v>
      </c>
      <c r="CR171">
        <v>115.43</v>
      </c>
    </row>
    <row r="172" spans="1:106" x14ac:dyDescent="0.2">
      <c r="A172">
        <v>564</v>
      </c>
      <c r="B172" s="41"/>
      <c r="C172" s="43"/>
      <c r="D172" s="41">
        <v>55180.51</v>
      </c>
      <c r="E172" s="43">
        <v>8554.91</v>
      </c>
      <c r="F172" s="41">
        <v>7526.4</v>
      </c>
      <c r="G172" s="43">
        <v>0</v>
      </c>
      <c r="H172" s="41">
        <v>15043.769999999999</v>
      </c>
      <c r="I172" s="43">
        <v>100</v>
      </c>
      <c r="J172" s="41"/>
      <c r="K172" s="43">
        <v>55.46</v>
      </c>
      <c r="L172" s="41">
        <v>115.43</v>
      </c>
      <c r="M172" s="43">
        <v>336.93</v>
      </c>
      <c r="N172" s="41"/>
      <c r="O172" s="43">
        <v>0</v>
      </c>
      <c r="P172" s="41">
        <v>2866.1</v>
      </c>
      <c r="Q172" s="43">
        <v>0</v>
      </c>
      <c r="R172" s="41">
        <v>0</v>
      </c>
      <c r="BQ172">
        <v>100</v>
      </c>
      <c r="BW172">
        <v>735.07</v>
      </c>
      <c r="BX172">
        <v>272.23</v>
      </c>
      <c r="BY172">
        <v>312.06</v>
      </c>
      <c r="BZ172">
        <v>6.69</v>
      </c>
      <c r="CA172">
        <v>27.26</v>
      </c>
      <c r="CE172">
        <v>163.94</v>
      </c>
      <c r="CG172">
        <v>47.71</v>
      </c>
    </row>
    <row r="173" spans="1:106" x14ac:dyDescent="0.2">
      <c r="A173">
        <v>577</v>
      </c>
      <c r="B173" s="41"/>
      <c r="C173" s="43"/>
      <c r="D173" s="41">
        <v>5674.73</v>
      </c>
      <c r="E173" s="43">
        <v>3990.23</v>
      </c>
      <c r="F173" s="41"/>
      <c r="G173" s="43">
        <v>100</v>
      </c>
      <c r="H173" s="41">
        <v>1564.9600000000003</v>
      </c>
      <c r="I173" s="43"/>
      <c r="J173" s="41"/>
      <c r="K173" s="43"/>
      <c r="L173" s="41">
        <v>0</v>
      </c>
      <c r="M173" s="43"/>
      <c r="N173" s="41"/>
      <c r="O173" s="43">
        <v>0</v>
      </c>
      <c r="P173" s="41">
        <v>0</v>
      </c>
      <c r="Q173" s="43">
        <v>0</v>
      </c>
      <c r="R173" s="41">
        <v>0</v>
      </c>
      <c r="BW173">
        <v>665.92</v>
      </c>
      <c r="BX173">
        <v>261.08999999999997</v>
      </c>
      <c r="BY173">
        <v>237.89</v>
      </c>
      <c r="CD173">
        <v>0.9</v>
      </c>
    </row>
    <row r="174" spans="1:106" x14ac:dyDescent="0.2">
      <c r="A174">
        <v>578</v>
      </c>
      <c r="B174" s="41"/>
      <c r="C174" s="43"/>
      <c r="D174" s="41">
        <v>4325</v>
      </c>
      <c r="E174" s="43">
        <v>4380.2299999999996</v>
      </c>
      <c r="F174" s="41">
        <v>51.11</v>
      </c>
      <c r="G174" s="43">
        <v>0</v>
      </c>
      <c r="H174" s="41">
        <v>1165.8000000000002</v>
      </c>
      <c r="I174" s="43"/>
      <c r="J174" s="41"/>
      <c r="K174" s="43"/>
      <c r="L174" s="41">
        <v>0</v>
      </c>
      <c r="M174" s="43"/>
      <c r="N174" s="41">
        <v>240</v>
      </c>
      <c r="O174" s="43">
        <v>0</v>
      </c>
      <c r="P174" s="41">
        <v>3650.11</v>
      </c>
      <c r="Q174" s="43">
        <v>0</v>
      </c>
      <c r="R174" s="41">
        <v>0</v>
      </c>
      <c r="BW174">
        <v>698.01</v>
      </c>
      <c r="BX174">
        <v>636.25</v>
      </c>
      <c r="BZ174">
        <v>439.35</v>
      </c>
      <c r="CA174">
        <v>3.42</v>
      </c>
      <c r="CC174">
        <v>25</v>
      </c>
      <c r="CD174">
        <v>42.75</v>
      </c>
      <c r="CG174">
        <v>63.64</v>
      </c>
    </row>
    <row r="175" spans="1:106" x14ac:dyDescent="0.2">
      <c r="A175">
        <v>581</v>
      </c>
      <c r="B175" s="41"/>
      <c r="C175" s="43">
        <v>5380.01</v>
      </c>
      <c r="D175" s="41"/>
      <c r="E175" s="43">
        <v>3262.73</v>
      </c>
      <c r="F175" s="41"/>
      <c r="G175" s="43">
        <v>0</v>
      </c>
      <c r="H175" s="41">
        <v>1908.4200000000003</v>
      </c>
      <c r="I175" s="43"/>
      <c r="J175" s="41"/>
      <c r="K175" s="43"/>
      <c r="L175" s="41">
        <v>0</v>
      </c>
      <c r="M175" s="43">
        <v>49.5</v>
      </c>
      <c r="N175" s="41"/>
      <c r="O175" s="43">
        <v>0</v>
      </c>
      <c r="P175" s="41">
        <v>585.61</v>
      </c>
      <c r="Q175" s="43">
        <v>499</v>
      </c>
      <c r="R175" s="41">
        <v>0</v>
      </c>
      <c r="BW175">
        <v>701.6</v>
      </c>
      <c r="BY175">
        <v>638.48</v>
      </c>
      <c r="BZ175">
        <v>710.13</v>
      </c>
      <c r="CB175">
        <v>190.19</v>
      </c>
    </row>
    <row r="176" spans="1:106" x14ac:dyDescent="0.2">
      <c r="A176">
        <v>592</v>
      </c>
      <c r="B176" s="41"/>
      <c r="C176" s="43"/>
      <c r="D176" s="41">
        <v>7277.31</v>
      </c>
      <c r="E176" s="43">
        <v>4331.24</v>
      </c>
      <c r="F176" s="41"/>
      <c r="G176" s="43">
        <v>0</v>
      </c>
      <c r="H176" s="41">
        <v>2240.4</v>
      </c>
      <c r="I176" s="43"/>
      <c r="J176" s="41"/>
      <c r="K176" s="43"/>
      <c r="L176" s="41">
        <v>0</v>
      </c>
      <c r="M176" s="43"/>
      <c r="N176" s="41"/>
      <c r="O176" s="43">
        <v>0</v>
      </c>
      <c r="P176" s="41">
        <v>0</v>
      </c>
      <c r="Q176" s="43">
        <v>0</v>
      </c>
      <c r="R176" s="41">
        <v>0</v>
      </c>
      <c r="BQ176">
        <v>350</v>
      </c>
      <c r="BT176">
        <v>3345.14</v>
      </c>
      <c r="BW176">
        <v>2424.35</v>
      </c>
      <c r="BX176">
        <v>20.239999999999998</v>
      </c>
      <c r="BY176">
        <v>1726.5</v>
      </c>
      <c r="CG176">
        <v>273.26</v>
      </c>
      <c r="CK176">
        <v>788.86</v>
      </c>
    </row>
    <row r="177" spans="1:109" x14ac:dyDescent="0.2">
      <c r="A177">
        <v>593</v>
      </c>
      <c r="B177" s="41"/>
      <c r="C177" s="43"/>
      <c r="D177" s="41">
        <v>31340.7</v>
      </c>
      <c r="E177" s="43"/>
      <c r="F177" s="41"/>
      <c r="G177" s="43">
        <v>3695.14</v>
      </c>
      <c r="H177" s="41">
        <v>5233.21</v>
      </c>
      <c r="I177" s="43"/>
      <c r="J177" s="41"/>
      <c r="K177" s="43"/>
      <c r="L177" s="41">
        <v>0</v>
      </c>
      <c r="M177" s="43"/>
      <c r="N177" s="41">
        <v>1950</v>
      </c>
      <c r="O177" s="43">
        <v>0</v>
      </c>
      <c r="P177" s="41">
        <v>46.5</v>
      </c>
      <c r="Q177" s="43">
        <v>0</v>
      </c>
      <c r="R177" s="41">
        <v>0</v>
      </c>
      <c r="BQ177">
        <v>225</v>
      </c>
      <c r="BW177">
        <v>2459.02</v>
      </c>
      <c r="BX177">
        <v>925.89</v>
      </c>
      <c r="BY177">
        <v>1001.91</v>
      </c>
      <c r="CG177">
        <v>366.62</v>
      </c>
      <c r="CR177">
        <v>15013.41</v>
      </c>
    </row>
    <row r="178" spans="1:109" x14ac:dyDescent="0.2">
      <c r="A178">
        <v>595</v>
      </c>
      <c r="B178" s="41"/>
      <c r="C178" s="43"/>
      <c r="D178" s="41"/>
      <c r="E178" s="43">
        <v>8530.85</v>
      </c>
      <c r="F178" s="41">
        <v>23387.58</v>
      </c>
      <c r="G178" s="43">
        <v>225</v>
      </c>
      <c r="H178" s="41">
        <v>4753.4399999999996</v>
      </c>
      <c r="I178" s="43"/>
      <c r="J178" s="41"/>
      <c r="K178" s="43">
        <v>75.489999999999995</v>
      </c>
      <c r="L178" s="41">
        <v>15013.41</v>
      </c>
      <c r="M178" s="43"/>
      <c r="N178" s="41"/>
      <c r="O178" s="43">
        <v>0</v>
      </c>
      <c r="P178" s="41">
        <v>570.63</v>
      </c>
      <c r="Q178" s="43">
        <v>0</v>
      </c>
      <c r="R178" s="41">
        <v>0</v>
      </c>
      <c r="BW178">
        <v>422.76</v>
      </c>
      <c r="BY178">
        <v>363.01</v>
      </c>
    </row>
    <row r="179" spans="1:109" x14ac:dyDescent="0.2">
      <c r="A179">
        <v>599</v>
      </c>
      <c r="B179" s="41"/>
      <c r="C179" s="43"/>
      <c r="D179" s="41">
        <v>7600.76</v>
      </c>
      <c r="E179" s="43"/>
      <c r="F179" s="41"/>
      <c r="G179" s="43">
        <v>0</v>
      </c>
      <c r="H179" s="41">
        <v>785.77</v>
      </c>
      <c r="I179" s="43"/>
      <c r="J179" s="41"/>
      <c r="K179" s="43"/>
      <c r="L179" s="41">
        <v>0</v>
      </c>
      <c r="M179" s="43"/>
      <c r="N179" s="41"/>
      <c r="O179" s="43">
        <v>0</v>
      </c>
      <c r="P179" s="41">
        <v>132.18</v>
      </c>
      <c r="Q179" s="43">
        <v>0</v>
      </c>
      <c r="R179" s="41">
        <v>0</v>
      </c>
      <c r="BW179">
        <v>1954.27</v>
      </c>
      <c r="BX179">
        <v>41.13</v>
      </c>
      <c r="BY179">
        <v>1449.6</v>
      </c>
      <c r="BZ179">
        <v>4302.49</v>
      </c>
      <c r="CA179">
        <v>28.28</v>
      </c>
      <c r="CC179">
        <v>42.17</v>
      </c>
      <c r="CD179">
        <v>279.43</v>
      </c>
    </row>
    <row r="180" spans="1:109" x14ac:dyDescent="0.2">
      <c r="A180">
        <v>600</v>
      </c>
      <c r="B180" s="41"/>
      <c r="C180" s="43"/>
      <c r="D180" s="41">
        <v>5602.16</v>
      </c>
      <c r="E180" s="43"/>
      <c r="F180" s="41"/>
      <c r="G180" s="43">
        <v>0</v>
      </c>
      <c r="H180" s="41">
        <v>8097.37</v>
      </c>
      <c r="I180" s="43"/>
      <c r="J180" s="41"/>
      <c r="K180" s="43"/>
      <c r="L180" s="41">
        <v>0</v>
      </c>
      <c r="M180" s="43"/>
      <c r="N180" s="41"/>
      <c r="O180" s="43">
        <v>0</v>
      </c>
      <c r="P180" s="41">
        <v>1535.38</v>
      </c>
      <c r="Q180" s="43">
        <v>0</v>
      </c>
      <c r="R180" s="41">
        <v>0</v>
      </c>
      <c r="BW180">
        <v>1449.2</v>
      </c>
      <c r="BX180">
        <v>375.28</v>
      </c>
      <c r="BY180">
        <v>725.67</v>
      </c>
    </row>
    <row r="181" spans="1:109" x14ac:dyDescent="0.2">
      <c r="A181">
        <v>601</v>
      </c>
      <c r="B181" s="41"/>
      <c r="C181" s="43"/>
      <c r="D181" s="41">
        <v>13193.75</v>
      </c>
      <c r="E181" s="43">
        <v>3750.18</v>
      </c>
      <c r="F181" s="41"/>
      <c r="G181" s="43">
        <v>0</v>
      </c>
      <c r="H181" s="41">
        <v>2550.15</v>
      </c>
      <c r="I181" s="43"/>
      <c r="J181" s="41"/>
      <c r="K181" s="43"/>
      <c r="L181" s="41">
        <v>0</v>
      </c>
      <c r="M181" s="43">
        <v>11.5</v>
      </c>
      <c r="N181" s="41"/>
      <c r="O181" s="43">
        <v>0</v>
      </c>
      <c r="P181" s="41">
        <v>80.599999999999994</v>
      </c>
      <c r="Q181" s="43">
        <v>0</v>
      </c>
      <c r="R181" s="41">
        <v>0</v>
      </c>
      <c r="BW181">
        <v>6669.7800000000007</v>
      </c>
      <c r="BX181">
        <v>1107.3</v>
      </c>
      <c r="BY181">
        <v>3611.71</v>
      </c>
      <c r="BZ181">
        <v>8662.6600000000017</v>
      </c>
      <c r="CA181">
        <v>210.28</v>
      </c>
      <c r="CB181">
        <v>567.6</v>
      </c>
      <c r="CC181">
        <v>145.97</v>
      </c>
      <c r="CD181">
        <v>916.74</v>
      </c>
      <c r="CG181">
        <v>320.20999999999998</v>
      </c>
    </row>
    <row r="182" spans="1:109" x14ac:dyDescent="0.2">
      <c r="A182">
        <v>621</v>
      </c>
      <c r="B182" s="41"/>
      <c r="C182" s="43"/>
      <c r="D182" s="41">
        <v>65674.22</v>
      </c>
      <c r="E182" s="43">
        <v>23214.62</v>
      </c>
      <c r="F182" s="41"/>
      <c r="G182" s="43">
        <v>0</v>
      </c>
      <c r="H182" s="41">
        <v>22212.250000000004</v>
      </c>
      <c r="I182" s="43">
        <v>110</v>
      </c>
      <c r="J182" s="41"/>
      <c r="K182" s="43"/>
      <c r="L182" s="41">
        <v>0</v>
      </c>
      <c r="M182" s="43">
        <v>321.27999999999997</v>
      </c>
      <c r="N182" s="41"/>
      <c r="O182" s="43">
        <v>0</v>
      </c>
      <c r="P182" s="41">
        <v>441.66999999999996</v>
      </c>
      <c r="Q182" s="43">
        <v>0</v>
      </c>
      <c r="R182" s="41">
        <v>0</v>
      </c>
      <c r="BP182">
        <v>9190.0300000000007</v>
      </c>
      <c r="BW182">
        <v>7871.94</v>
      </c>
      <c r="BX182">
        <v>2892.1</v>
      </c>
      <c r="BY182">
        <v>3270.76</v>
      </c>
      <c r="BZ182">
        <v>7048.43</v>
      </c>
      <c r="CD182">
        <v>800.12</v>
      </c>
      <c r="CG182">
        <v>886.22</v>
      </c>
      <c r="CR182">
        <v>2175</v>
      </c>
      <c r="DE182">
        <v>954.42</v>
      </c>
    </row>
    <row r="183" spans="1:109" x14ac:dyDescent="0.2">
      <c r="A183">
        <v>622</v>
      </c>
      <c r="B183" s="41"/>
      <c r="C183" s="43">
        <v>29970.42</v>
      </c>
      <c r="D183" s="41">
        <v>52518.27</v>
      </c>
      <c r="E183" s="43">
        <v>2377.96</v>
      </c>
      <c r="F183" s="41">
        <v>11933.26</v>
      </c>
      <c r="G183" s="43">
        <v>9190.0300000000007</v>
      </c>
      <c r="H183" s="41">
        <v>22769.57</v>
      </c>
      <c r="I183" s="43">
        <v>23515.41</v>
      </c>
      <c r="J183" s="41"/>
      <c r="K183" s="43">
        <v>47.55</v>
      </c>
      <c r="L183" s="41">
        <v>2175</v>
      </c>
      <c r="M183" s="43">
        <v>1394.64</v>
      </c>
      <c r="N183" s="41">
        <v>70</v>
      </c>
      <c r="O183" s="43">
        <v>954.42</v>
      </c>
      <c r="P183" s="41">
        <v>3170.56</v>
      </c>
      <c r="Q183" s="43">
        <v>0</v>
      </c>
      <c r="R183" s="41">
        <v>28.38</v>
      </c>
      <c r="BQ183">
        <v>348</v>
      </c>
      <c r="BS183">
        <v>13518.49</v>
      </c>
      <c r="BW183">
        <v>4403.2</v>
      </c>
      <c r="BX183">
        <v>604.07000000000005</v>
      </c>
      <c r="BY183">
        <v>2677.82</v>
      </c>
      <c r="BZ183">
        <v>2152.04</v>
      </c>
      <c r="CA183">
        <v>155.82</v>
      </c>
      <c r="CB183">
        <v>124.13</v>
      </c>
      <c r="CC183">
        <v>151.19999999999999</v>
      </c>
      <c r="CD183">
        <v>135.13999999999999</v>
      </c>
      <c r="CE183">
        <v>784.39</v>
      </c>
      <c r="CG183">
        <v>342.14</v>
      </c>
      <c r="CQ183">
        <v>518.9</v>
      </c>
      <c r="CR183">
        <v>2431</v>
      </c>
      <c r="DC183">
        <v>360</v>
      </c>
      <c r="DE183">
        <v>-6163.75</v>
      </c>
    </row>
    <row r="184" spans="1:109" x14ac:dyDescent="0.2">
      <c r="A184">
        <v>623</v>
      </c>
      <c r="B184" s="41"/>
      <c r="C184" s="43">
        <v>22704.75</v>
      </c>
      <c r="D184" s="41">
        <v>12233.24</v>
      </c>
      <c r="E184" s="43">
        <v>7920.16</v>
      </c>
      <c r="F184" s="41">
        <v>1278.73</v>
      </c>
      <c r="G184" s="43">
        <v>13866.49</v>
      </c>
      <c r="H184" s="41">
        <v>11529.949999999999</v>
      </c>
      <c r="I184" s="43">
        <v>275</v>
      </c>
      <c r="J184" s="41">
        <v>228</v>
      </c>
      <c r="K184" s="43">
        <v>112.5</v>
      </c>
      <c r="L184" s="41">
        <v>2949.9</v>
      </c>
      <c r="M184" s="43"/>
      <c r="N184" s="41"/>
      <c r="O184" s="43">
        <v>-5803.75</v>
      </c>
      <c r="P184" s="41">
        <v>2327.67</v>
      </c>
      <c r="Q184" s="43">
        <v>331.2</v>
      </c>
      <c r="R184" s="41">
        <v>97.69</v>
      </c>
      <c r="BQ184">
        <v>175</v>
      </c>
      <c r="BW184">
        <v>3124.01</v>
      </c>
      <c r="BX184">
        <v>1989.36</v>
      </c>
      <c r="BY184">
        <v>614.04999999999995</v>
      </c>
      <c r="BZ184">
        <v>6359.6</v>
      </c>
      <c r="CD184">
        <v>43.75</v>
      </c>
      <c r="CE184">
        <v>324.70999999999998</v>
      </c>
    </row>
    <row r="185" spans="1:109" x14ac:dyDescent="0.2">
      <c r="A185">
        <v>624</v>
      </c>
      <c r="B185" s="41"/>
      <c r="C185" s="43"/>
      <c r="D185" s="41">
        <v>11246.55</v>
      </c>
      <c r="E185" s="43">
        <v>12107.94</v>
      </c>
      <c r="F185" s="41">
        <v>17907.080000000002</v>
      </c>
      <c r="G185" s="43">
        <v>175</v>
      </c>
      <c r="H185" s="41">
        <v>12455.48</v>
      </c>
      <c r="I185" s="43"/>
      <c r="J185" s="41"/>
      <c r="K185" s="43"/>
      <c r="L185" s="41">
        <v>0</v>
      </c>
      <c r="M185" s="43">
        <v>13.58</v>
      </c>
      <c r="N185" s="41"/>
      <c r="O185" s="43">
        <v>0</v>
      </c>
      <c r="P185" s="41">
        <v>491.78</v>
      </c>
      <c r="Q185" s="43">
        <v>0</v>
      </c>
      <c r="R185" s="41">
        <v>0</v>
      </c>
      <c r="BO185">
        <v>445424.49</v>
      </c>
      <c r="BP185">
        <v>116785.32999999999</v>
      </c>
      <c r="BQ185">
        <v>1650</v>
      </c>
      <c r="BS185">
        <v>37732.43</v>
      </c>
      <c r="BW185">
        <v>104155.73000000001</v>
      </c>
      <c r="BX185">
        <v>36922.19</v>
      </c>
      <c r="BY185">
        <v>68439.94</v>
      </c>
      <c r="BZ185">
        <v>208579.24</v>
      </c>
      <c r="CD185">
        <v>4412.3500000000004</v>
      </c>
      <c r="CG185">
        <v>343.5</v>
      </c>
      <c r="CL185">
        <v>1918.1</v>
      </c>
      <c r="CQ185">
        <v>1544.06</v>
      </c>
      <c r="CV185">
        <v>69586.67</v>
      </c>
      <c r="CW185">
        <v>49000</v>
      </c>
      <c r="CY185">
        <v>280</v>
      </c>
      <c r="CZ185">
        <v>4102.75</v>
      </c>
      <c r="DC185">
        <v>11697.46</v>
      </c>
    </row>
    <row r="186" spans="1:109" x14ac:dyDescent="0.2">
      <c r="A186">
        <v>625</v>
      </c>
      <c r="B186" s="41">
        <v>11092.3</v>
      </c>
      <c r="C186" s="43">
        <v>96040.78</v>
      </c>
      <c r="D186" s="41">
        <v>243511.46</v>
      </c>
      <c r="E186" s="43">
        <v>318956.65000000002</v>
      </c>
      <c r="F186" s="41">
        <v>122704.45000000001</v>
      </c>
      <c r="G186" s="43">
        <v>601592.25</v>
      </c>
      <c r="H186" s="41">
        <v>424771.04999999993</v>
      </c>
      <c r="I186" s="43">
        <v>1582.05</v>
      </c>
      <c r="J186" s="41">
        <v>1887.25</v>
      </c>
      <c r="K186" s="43">
        <v>314</v>
      </c>
      <c r="L186" s="41">
        <v>1544.06</v>
      </c>
      <c r="M186" s="43">
        <v>12760.249999999998</v>
      </c>
      <c r="N186" s="41"/>
      <c r="O186" s="43">
        <v>134666.88</v>
      </c>
      <c r="P186" s="41">
        <v>26509.78</v>
      </c>
      <c r="Q186" s="43">
        <v>0</v>
      </c>
      <c r="R186" s="41">
        <v>27438.880000000001</v>
      </c>
      <c r="BW186">
        <v>145.99</v>
      </c>
      <c r="BY186">
        <v>131.58000000000001</v>
      </c>
      <c r="BZ186">
        <v>237.05</v>
      </c>
      <c r="CA186">
        <v>1.8</v>
      </c>
      <c r="CX186">
        <v>100</v>
      </c>
    </row>
    <row r="187" spans="1:109" x14ac:dyDescent="0.2">
      <c r="A187">
        <v>627</v>
      </c>
      <c r="B187" s="41"/>
      <c r="C187" s="43"/>
      <c r="D187" s="41">
        <v>2393</v>
      </c>
      <c r="E187" s="43"/>
      <c r="F187" s="41"/>
      <c r="G187" s="43">
        <v>0</v>
      </c>
      <c r="H187" s="41">
        <v>516.42000000000007</v>
      </c>
      <c r="I187" s="43"/>
      <c r="J187" s="41">
        <v>75</v>
      </c>
      <c r="K187" s="43">
        <v>115</v>
      </c>
      <c r="L187" s="41">
        <v>0</v>
      </c>
      <c r="M187" s="43"/>
      <c r="N187" s="41">
        <v>321.16000000000003</v>
      </c>
      <c r="O187" s="43">
        <v>100</v>
      </c>
      <c r="P187" s="41">
        <v>0</v>
      </c>
      <c r="Q187" s="43">
        <v>0</v>
      </c>
      <c r="R187" s="41">
        <v>0</v>
      </c>
      <c r="BW187">
        <v>251.22</v>
      </c>
      <c r="BY187">
        <v>180.55</v>
      </c>
      <c r="CA187">
        <v>5.16</v>
      </c>
    </row>
    <row r="188" spans="1:109" x14ac:dyDescent="0.2">
      <c r="A188">
        <v>628</v>
      </c>
      <c r="B188" s="41"/>
      <c r="C188" s="43"/>
      <c r="D188" s="41">
        <v>3283.04</v>
      </c>
      <c r="E188" s="43"/>
      <c r="F188" s="41"/>
      <c r="G188" s="43">
        <v>0</v>
      </c>
      <c r="H188" s="41">
        <v>436.93</v>
      </c>
      <c r="I188" s="43"/>
      <c r="J188" s="41"/>
      <c r="K188" s="43"/>
      <c r="L188" s="41">
        <v>0</v>
      </c>
      <c r="M188" s="43"/>
      <c r="N188" s="41"/>
      <c r="O188" s="43">
        <v>0</v>
      </c>
      <c r="P188" s="41">
        <v>26.27</v>
      </c>
      <c r="Q188" s="43">
        <v>0</v>
      </c>
      <c r="R188" s="41">
        <v>0</v>
      </c>
      <c r="BW188">
        <v>641.76</v>
      </c>
      <c r="BX188">
        <v>96.23</v>
      </c>
      <c r="BY188">
        <v>339.75</v>
      </c>
    </row>
    <row r="189" spans="1:109" x14ac:dyDescent="0.2">
      <c r="A189">
        <v>630</v>
      </c>
      <c r="B189" s="41"/>
      <c r="C189" s="43"/>
      <c r="D189" s="41">
        <v>6177.37</v>
      </c>
      <c r="E189" s="43">
        <v>2211.5700000000002</v>
      </c>
      <c r="F189" s="41"/>
      <c r="G189" s="43">
        <v>0</v>
      </c>
      <c r="H189" s="41">
        <v>1077.74</v>
      </c>
      <c r="I189" s="43"/>
      <c r="J189" s="41"/>
      <c r="K189" s="43"/>
      <c r="L189" s="41">
        <v>0</v>
      </c>
      <c r="M189" s="43"/>
      <c r="N189" s="41"/>
      <c r="O189" s="43">
        <v>0</v>
      </c>
      <c r="P189" s="41">
        <v>322.01</v>
      </c>
      <c r="Q189" s="43">
        <v>0</v>
      </c>
      <c r="R189" s="41">
        <v>0</v>
      </c>
      <c r="BW189">
        <v>62.55</v>
      </c>
      <c r="BY189">
        <v>20.32</v>
      </c>
    </row>
    <row r="190" spans="1:109" x14ac:dyDescent="0.2">
      <c r="A190">
        <v>635</v>
      </c>
      <c r="B190" s="41"/>
      <c r="C190" s="43"/>
      <c r="D190" s="41">
        <v>915</v>
      </c>
      <c r="E190" s="43"/>
      <c r="F190" s="41"/>
      <c r="G190" s="43">
        <v>0</v>
      </c>
      <c r="H190" s="41">
        <v>82.87</v>
      </c>
      <c r="I190" s="43"/>
      <c r="J190" s="41"/>
      <c r="K190" s="43"/>
      <c r="L190" s="41">
        <v>0</v>
      </c>
      <c r="M190" s="43"/>
      <c r="N190" s="41"/>
      <c r="O190" s="43">
        <v>0</v>
      </c>
      <c r="P190" s="41">
        <v>65.349999999999994</v>
      </c>
      <c r="Q190" s="43">
        <v>0</v>
      </c>
      <c r="R190" s="41">
        <v>0</v>
      </c>
      <c r="BQ190">
        <v>285</v>
      </c>
      <c r="BW190">
        <v>1182.97</v>
      </c>
      <c r="BX190">
        <v>2.15</v>
      </c>
      <c r="BY190">
        <v>848.78</v>
      </c>
      <c r="BZ190">
        <v>72.959999999999994</v>
      </c>
      <c r="CD190">
        <v>368.73</v>
      </c>
    </row>
    <row r="191" spans="1:109" x14ac:dyDescent="0.2">
      <c r="A191">
        <v>640</v>
      </c>
      <c r="B191" s="41"/>
      <c r="C191" s="43"/>
      <c r="D191" s="41">
        <v>15145.9</v>
      </c>
      <c r="E191" s="43"/>
      <c r="F191" s="41">
        <v>33.090000000000003</v>
      </c>
      <c r="G191" s="43">
        <v>285</v>
      </c>
      <c r="H191" s="41">
        <v>2475.59</v>
      </c>
      <c r="I191" s="43">
        <v>100</v>
      </c>
      <c r="J191" s="41"/>
      <c r="K191" s="43">
        <v>50</v>
      </c>
      <c r="L191" s="41">
        <v>0</v>
      </c>
      <c r="M191" s="43">
        <v>347</v>
      </c>
      <c r="N191" s="41"/>
      <c r="O191" s="43">
        <v>0</v>
      </c>
      <c r="P191" s="41">
        <v>418.7</v>
      </c>
      <c r="Q191" s="43">
        <v>0</v>
      </c>
      <c r="R191" s="41">
        <v>0</v>
      </c>
      <c r="BQ191">
        <v>957</v>
      </c>
      <c r="BR191">
        <v>267.86</v>
      </c>
      <c r="BS191">
        <v>124.01</v>
      </c>
      <c r="BW191">
        <v>4608.41</v>
      </c>
      <c r="BX191">
        <v>702.26</v>
      </c>
      <c r="BY191">
        <v>2889.46</v>
      </c>
      <c r="BZ191">
        <v>14488.97</v>
      </c>
      <c r="CA191">
        <v>121.38</v>
      </c>
      <c r="CC191">
        <v>216.72</v>
      </c>
      <c r="CD191">
        <v>539.12</v>
      </c>
      <c r="CE191">
        <v>292.8</v>
      </c>
      <c r="CG191">
        <v>245.72</v>
      </c>
      <c r="CQ191">
        <v>10000</v>
      </c>
      <c r="DE191">
        <v>3.94</v>
      </c>
    </row>
    <row r="192" spans="1:109" x14ac:dyDescent="0.2">
      <c r="A192">
        <v>656</v>
      </c>
      <c r="B192" s="41"/>
      <c r="C192" s="43"/>
      <c r="D192" s="41">
        <v>51576.72</v>
      </c>
      <c r="E192" s="43">
        <v>10412.16</v>
      </c>
      <c r="F192" s="41"/>
      <c r="G192" s="43">
        <v>1348.8700000000001</v>
      </c>
      <c r="H192" s="41">
        <v>24104.84</v>
      </c>
      <c r="I192" s="43"/>
      <c r="J192" s="41"/>
      <c r="K192" s="43">
        <v>375.7</v>
      </c>
      <c r="L192" s="41">
        <v>10000</v>
      </c>
      <c r="M192" s="43"/>
      <c r="N192" s="41"/>
      <c r="O192" s="43">
        <v>3.94</v>
      </c>
      <c r="P192" s="41">
        <v>158.56</v>
      </c>
      <c r="Q192" s="43">
        <v>0</v>
      </c>
      <c r="R192" s="41">
        <v>0</v>
      </c>
      <c r="BW192">
        <v>8870.7099999999991</v>
      </c>
      <c r="BX192">
        <v>1026.5</v>
      </c>
      <c r="BY192">
        <v>5901.05</v>
      </c>
      <c r="BZ192">
        <v>16841.59</v>
      </c>
      <c r="CA192">
        <v>180.5</v>
      </c>
      <c r="CB192">
        <v>2120.2399999999998</v>
      </c>
      <c r="CC192">
        <v>303.74</v>
      </c>
      <c r="CE192">
        <v>2537.83</v>
      </c>
      <c r="CG192">
        <v>651.5</v>
      </c>
      <c r="CQ192">
        <v>1440</v>
      </c>
    </row>
    <row r="193" spans="1:109" x14ac:dyDescent="0.2">
      <c r="A193">
        <v>659</v>
      </c>
      <c r="B193" s="41"/>
      <c r="C193" s="43"/>
      <c r="D193" s="41">
        <v>110450.51</v>
      </c>
      <c r="E193" s="43">
        <v>560.29999999999995</v>
      </c>
      <c r="F193" s="41">
        <v>11914.58</v>
      </c>
      <c r="G193" s="43">
        <v>0</v>
      </c>
      <c r="H193" s="41">
        <v>38433.659999999996</v>
      </c>
      <c r="I193" s="43">
        <v>1678</v>
      </c>
      <c r="J193" s="41"/>
      <c r="K193" s="43">
        <v>131.05000000000001</v>
      </c>
      <c r="L193" s="41">
        <v>1440</v>
      </c>
      <c r="M193" s="43">
        <v>1092.75</v>
      </c>
      <c r="N193" s="41"/>
      <c r="O193" s="43">
        <v>0</v>
      </c>
      <c r="P193" s="41">
        <v>2929.4700000000003</v>
      </c>
      <c r="Q193" s="43">
        <v>0</v>
      </c>
      <c r="R193" s="41">
        <v>75</v>
      </c>
      <c r="BW193">
        <v>124.26</v>
      </c>
      <c r="BX193">
        <v>63.82</v>
      </c>
      <c r="BY193">
        <v>57.9</v>
      </c>
    </row>
    <row r="194" spans="1:109" x14ac:dyDescent="0.2">
      <c r="A194">
        <v>671</v>
      </c>
      <c r="B194" s="41"/>
      <c r="C194" s="43"/>
      <c r="D194" s="41">
        <v>1053</v>
      </c>
      <c r="E194" s="43">
        <v>637.88</v>
      </c>
      <c r="F194" s="41">
        <v>307.68</v>
      </c>
      <c r="G194" s="43">
        <v>0</v>
      </c>
      <c r="H194" s="41">
        <v>245.98000000000002</v>
      </c>
      <c r="I194" s="43"/>
      <c r="J194" s="41"/>
      <c r="K194" s="43"/>
      <c r="L194" s="41">
        <v>0</v>
      </c>
      <c r="M194" s="43"/>
      <c r="N194" s="41"/>
      <c r="O194" s="43">
        <v>0</v>
      </c>
      <c r="P194" s="41">
        <v>0</v>
      </c>
      <c r="Q194" s="43">
        <v>0</v>
      </c>
      <c r="R194" s="41">
        <v>0</v>
      </c>
      <c r="BW194">
        <v>805.65</v>
      </c>
      <c r="BX194">
        <v>699.99</v>
      </c>
    </row>
    <row r="195" spans="1:109" x14ac:dyDescent="0.2">
      <c r="A195">
        <v>676</v>
      </c>
      <c r="B195" s="41"/>
      <c r="C195" s="43"/>
      <c r="D195" s="41"/>
      <c r="E195" s="43">
        <v>1633.5</v>
      </c>
      <c r="F195" s="41"/>
      <c r="G195" s="43">
        <v>0</v>
      </c>
      <c r="H195" s="41">
        <v>1505.6399999999999</v>
      </c>
      <c r="I195" s="43"/>
      <c r="J195" s="41"/>
      <c r="K195" s="43"/>
      <c r="L195" s="41">
        <v>0</v>
      </c>
      <c r="M195" s="43"/>
      <c r="N195" s="41"/>
      <c r="O195" s="43">
        <v>0</v>
      </c>
      <c r="P195" s="41">
        <v>296.47000000000003</v>
      </c>
      <c r="Q195" s="43">
        <v>0</v>
      </c>
      <c r="R195" s="41">
        <v>0</v>
      </c>
      <c r="BQ195">
        <v>632.48</v>
      </c>
      <c r="BW195">
        <v>2949.37</v>
      </c>
      <c r="BX195">
        <v>1250.94</v>
      </c>
      <c r="BY195">
        <v>1229.78</v>
      </c>
      <c r="BZ195">
        <v>3253.59</v>
      </c>
      <c r="CD195">
        <v>851.49</v>
      </c>
    </row>
    <row r="196" spans="1:109" x14ac:dyDescent="0.2">
      <c r="A196">
        <v>682</v>
      </c>
      <c r="B196" s="41"/>
      <c r="C196" s="43"/>
      <c r="D196" s="41">
        <v>27401.13</v>
      </c>
      <c r="E196" s="43">
        <v>13051.31</v>
      </c>
      <c r="F196" s="41"/>
      <c r="G196" s="43">
        <v>632.48</v>
      </c>
      <c r="H196" s="41">
        <v>9535.17</v>
      </c>
      <c r="I196" s="43"/>
      <c r="J196" s="41"/>
      <c r="K196" s="43"/>
      <c r="L196" s="41">
        <v>0</v>
      </c>
      <c r="M196" s="43"/>
      <c r="N196" s="41"/>
      <c r="O196" s="43">
        <v>0</v>
      </c>
      <c r="P196" s="41">
        <v>9839.82</v>
      </c>
      <c r="Q196" s="43">
        <v>0</v>
      </c>
      <c r="R196" s="41">
        <v>0</v>
      </c>
      <c r="BP196">
        <v>9858</v>
      </c>
      <c r="BW196">
        <v>4101.8999999999996</v>
      </c>
      <c r="BX196">
        <v>2690.76</v>
      </c>
      <c r="BY196">
        <v>709.68</v>
      </c>
      <c r="BZ196">
        <v>5910.41</v>
      </c>
    </row>
    <row r="197" spans="1:109" x14ac:dyDescent="0.2">
      <c r="A197">
        <v>690</v>
      </c>
      <c r="B197" s="41"/>
      <c r="C197" s="43"/>
      <c r="D197" s="41">
        <v>44123.4</v>
      </c>
      <c r="E197" s="43"/>
      <c r="F197" s="41"/>
      <c r="G197" s="43">
        <v>9858</v>
      </c>
      <c r="H197" s="41">
        <v>13412.75</v>
      </c>
      <c r="I197" s="43"/>
      <c r="J197" s="41"/>
      <c r="K197" s="43"/>
      <c r="L197" s="41">
        <v>0</v>
      </c>
      <c r="M197" s="43"/>
      <c r="N197" s="41"/>
      <c r="O197" s="43">
        <v>0</v>
      </c>
      <c r="P197" s="41">
        <v>10</v>
      </c>
      <c r="Q197" s="43">
        <v>0</v>
      </c>
      <c r="R197" s="41">
        <v>0</v>
      </c>
      <c r="BW197">
        <v>741.72</v>
      </c>
      <c r="BY197">
        <v>396.74</v>
      </c>
    </row>
    <row r="198" spans="1:109" x14ac:dyDescent="0.2">
      <c r="A198">
        <v>695</v>
      </c>
      <c r="B198" s="41"/>
      <c r="C198" s="43"/>
      <c r="D198" s="41">
        <v>7213.63</v>
      </c>
      <c r="E198" s="43">
        <v>2481.98</v>
      </c>
      <c r="F198" s="41"/>
      <c r="G198" s="43">
        <v>0</v>
      </c>
      <c r="H198" s="41">
        <v>1138.46</v>
      </c>
      <c r="I198" s="43"/>
      <c r="J198" s="41"/>
      <c r="K198" s="43"/>
      <c r="L198" s="41">
        <v>0</v>
      </c>
      <c r="M198" s="43"/>
      <c r="N198" s="41"/>
      <c r="O198" s="43">
        <v>0</v>
      </c>
      <c r="P198" s="41">
        <v>66.72</v>
      </c>
      <c r="Q198" s="43">
        <v>0</v>
      </c>
      <c r="R198" s="41">
        <v>0</v>
      </c>
      <c r="BW198">
        <v>356.88</v>
      </c>
      <c r="BY198">
        <v>256.5</v>
      </c>
    </row>
    <row r="199" spans="1:109" x14ac:dyDescent="0.2">
      <c r="A199">
        <v>696</v>
      </c>
      <c r="B199" s="41"/>
      <c r="C199" s="43"/>
      <c r="D199" s="41">
        <v>4664.42</v>
      </c>
      <c r="E199" s="43"/>
      <c r="F199" s="41"/>
      <c r="G199" s="43">
        <v>0</v>
      </c>
      <c r="H199" s="41">
        <v>613.38</v>
      </c>
      <c r="I199" s="43">
        <v>60.8</v>
      </c>
      <c r="J199" s="41"/>
      <c r="K199" s="43">
        <v>26.4</v>
      </c>
      <c r="L199" s="41">
        <v>0</v>
      </c>
      <c r="M199" s="43">
        <v>65</v>
      </c>
      <c r="N199" s="41"/>
      <c r="O199" s="43">
        <v>0</v>
      </c>
      <c r="P199" s="41">
        <v>422.79</v>
      </c>
      <c r="Q199" s="43">
        <v>0</v>
      </c>
      <c r="R199" s="41">
        <v>0</v>
      </c>
      <c r="BQ199">
        <v>157.5</v>
      </c>
      <c r="BW199">
        <v>470.63</v>
      </c>
      <c r="BX199">
        <v>95.15</v>
      </c>
      <c r="BY199">
        <v>260</v>
      </c>
      <c r="CR199">
        <v>99.2</v>
      </c>
    </row>
    <row r="200" spans="1:109" x14ac:dyDescent="0.2">
      <c r="A200">
        <v>698</v>
      </c>
      <c r="B200" s="41"/>
      <c r="C200" s="43">
        <v>831.82</v>
      </c>
      <c r="D200" s="41">
        <v>3723.07</v>
      </c>
      <c r="E200" s="43">
        <v>1439.6</v>
      </c>
      <c r="F200" s="41"/>
      <c r="G200" s="43">
        <v>157.5</v>
      </c>
      <c r="H200" s="41">
        <v>825.78</v>
      </c>
      <c r="I200" s="43">
        <v>332.87</v>
      </c>
      <c r="J200" s="41"/>
      <c r="K200" s="43"/>
      <c r="L200" s="41">
        <v>99.2</v>
      </c>
      <c r="M200" s="43"/>
      <c r="N200" s="41"/>
      <c r="O200" s="43">
        <v>0</v>
      </c>
      <c r="P200" s="41">
        <v>0</v>
      </c>
      <c r="Q200" s="43">
        <v>0</v>
      </c>
      <c r="R200" s="41">
        <v>0</v>
      </c>
      <c r="BP200">
        <v>24168.87</v>
      </c>
      <c r="BQ200">
        <v>196</v>
      </c>
      <c r="BW200">
        <v>7342.07</v>
      </c>
      <c r="BX200">
        <v>2619.2199999999998</v>
      </c>
      <c r="BY200">
        <v>2891.08</v>
      </c>
      <c r="CG200">
        <v>585.46</v>
      </c>
      <c r="CR200">
        <v>368.55</v>
      </c>
      <c r="CX200">
        <v>10900.84</v>
      </c>
    </row>
    <row r="201" spans="1:109" x14ac:dyDescent="0.2">
      <c r="A201">
        <v>700</v>
      </c>
      <c r="B201" s="41"/>
      <c r="C201" s="43"/>
      <c r="D201" s="41">
        <v>52467.75</v>
      </c>
      <c r="E201" s="43">
        <v>4835.16</v>
      </c>
      <c r="F201" s="41">
        <v>14307.25</v>
      </c>
      <c r="G201" s="43">
        <v>24364.87</v>
      </c>
      <c r="H201" s="41">
        <v>13437.829999999998</v>
      </c>
      <c r="I201" s="43">
        <v>1850.5</v>
      </c>
      <c r="J201" s="41">
        <v>853.42</v>
      </c>
      <c r="K201" s="43">
        <v>339</v>
      </c>
      <c r="L201" s="41">
        <v>368.55</v>
      </c>
      <c r="M201" s="43">
        <v>876.42</v>
      </c>
      <c r="N201" s="41"/>
      <c r="O201" s="43">
        <v>10900.84</v>
      </c>
      <c r="P201" s="41">
        <v>7718.12</v>
      </c>
      <c r="Q201" s="43">
        <v>1499</v>
      </c>
      <c r="R201" s="41">
        <v>0</v>
      </c>
      <c r="BW201">
        <v>2842.58</v>
      </c>
      <c r="BX201">
        <v>357.55</v>
      </c>
      <c r="BY201">
        <v>1577.94</v>
      </c>
      <c r="CA201">
        <v>98.4</v>
      </c>
    </row>
    <row r="202" spans="1:109" x14ac:dyDescent="0.2">
      <c r="A202">
        <v>701</v>
      </c>
      <c r="B202" s="41"/>
      <c r="C202" s="43"/>
      <c r="D202" s="41">
        <v>28689.63</v>
      </c>
      <c r="E202" s="43">
        <v>8468.86</v>
      </c>
      <c r="F202" s="41"/>
      <c r="G202" s="43">
        <v>0</v>
      </c>
      <c r="H202" s="41">
        <v>4876.4699999999993</v>
      </c>
      <c r="I202" s="43"/>
      <c r="J202" s="41"/>
      <c r="K202" s="43"/>
      <c r="L202" s="41">
        <v>0</v>
      </c>
      <c r="M202" s="43"/>
      <c r="N202" s="41"/>
      <c r="O202" s="43">
        <v>0</v>
      </c>
      <c r="P202" s="41">
        <v>941.96</v>
      </c>
      <c r="Q202" s="43">
        <v>0</v>
      </c>
      <c r="R202" s="41">
        <v>0</v>
      </c>
      <c r="BP202">
        <v>277.73</v>
      </c>
      <c r="BS202">
        <v>2380</v>
      </c>
      <c r="BW202">
        <v>777.6</v>
      </c>
      <c r="BX202">
        <v>28.23</v>
      </c>
      <c r="BY202">
        <v>508.48</v>
      </c>
      <c r="DB202">
        <v>16552.689999999999</v>
      </c>
    </row>
    <row r="203" spans="1:109" x14ac:dyDescent="0.2">
      <c r="A203">
        <v>704</v>
      </c>
      <c r="B203" s="41"/>
      <c r="C203" s="43"/>
      <c r="D203" s="41">
        <v>6886.68</v>
      </c>
      <c r="E203" s="43">
        <v>719.53</v>
      </c>
      <c r="F203" s="41"/>
      <c r="G203" s="43">
        <v>2657.73</v>
      </c>
      <c r="H203" s="41">
        <v>1314.31</v>
      </c>
      <c r="I203" s="43">
        <v>84</v>
      </c>
      <c r="J203" s="41"/>
      <c r="K203" s="43">
        <v>42</v>
      </c>
      <c r="L203" s="41">
        <v>0</v>
      </c>
      <c r="M203" s="43"/>
      <c r="N203" s="41"/>
      <c r="O203" s="43">
        <v>16552.689999999999</v>
      </c>
      <c r="P203" s="41">
        <v>9736.32</v>
      </c>
      <c r="Q203" s="43">
        <v>0</v>
      </c>
      <c r="R203" s="41">
        <v>0</v>
      </c>
      <c r="BW203">
        <v>2160.9699999999998</v>
      </c>
      <c r="BX203">
        <v>225.93</v>
      </c>
      <c r="BY203">
        <v>1223.8499999999999</v>
      </c>
      <c r="CG203">
        <v>158.19</v>
      </c>
      <c r="CR203">
        <v>8555.2800000000007</v>
      </c>
    </row>
    <row r="204" spans="1:109" x14ac:dyDescent="0.2">
      <c r="A204">
        <v>706</v>
      </c>
      <c r="B204" s="41"/>
      <c r="C204" s="43"/>
      <c r="D204" s="41">
        <v>22251.35</v>
      </c>
      <c r="E204" s="43">
        <v>5996.66</v>
      </c>
      <c r="F204" s="41"/>
      <c r="G204" s="43">
        <v>0</v>
      </c>
      <c r="H204" s="41">
        <v>3768.9399999999996</v>
      </c>
      <c r="I204" s="43">
        <v>100</v>
      </c>
      <c r="J204" s="41"/>
      <c r="K204" s="43"/>
      <c r="L204" s="41">
        <v>8555.2800000000007</v>
      </c>
      <c r="M204" s="43"/>
      <c r="N204" s="41"/>
      <c r="O204" s="43">
        <v>0</v>
      </c>
      <c r="P204" s="41">
        <v>694.09</v>
      </c>
      <c r="Q204" s="43">
        <v>0</v>
      </c>
      <c r="R204" s="41">
        <v>0</v>
      </c>
      <c r="BW204">
        <v>120.49</v>
      </c>
      <c r="BY204">
        <v>86.63</v>
      </c>
    </row>
    <row r="205" spans="1:109" x14ac:dyDescent="0.2">
      <c r="A205">
        <v>707</v>
      </c>
      <c r="B205" s="41"/>
      <c r="C205" s="43"/>
      <c r="D205" s="41">
        <v>1575</v>
      </c>
      <c r="E205" s="43"/>
      <c r="F205" s="41"/>
      <c r="G205" s="43">
        <v>0</v>
      </c>
      <c r="H205" s="41">
        <v>207.12</v>
      </c>
      <c r="I205" s="43"/>
      <c r="J205" s="41"/>
      <c r="K205" s="43"/>
      <c r="L205" s="41">
        <v>0</v>
      </c>
      <c r="M205" s="43"/>
      <c r="N205" s="41"/>
      <c r="O205" s="43">
        <v>0</v>
      </c>
      <c r="P205" s="41">
        <v>0</v>
      </c>
      <c r="Q205" s="43">
        <v>0</v>
      </c>
      <c r="R205" s="41">
        <v>0</v>
      </c>
      <c r="BO205">
        <v>4366.24</v>
      </c>
      <c r="BQ205">
        <v>781.92</v>
      </c>
      <c r="BR205">
        <v>233.68</v>
      </c>
      <c r="BW205">
        <v>8985.68</v>
      </c>
      <c r="BX205">
        <v>2322.9</v>
      </c>
      <c r="BY205">
        <v>3620.08</v>
      </c>
      <c r="BZ205">
        <v>34402.07</v>
      </c>
      <c r="CA205">
        <v>237.36</v>
      </c>
      <c r="CB205">
        <v>1389.77</v>
      </c>
      <c r="CC205">
        <v>547.99</v>
      </c>
      <c r="CD205">
        <v>524.94000000000005</v>
      </c>
      <c r="CG205">
        <v>910.94</v>
      </c>
      <c r="CH205">
        <v>226.23</v>
      </c>
      <c r="CL205">
        <v>4.21</v>
      </c>
      <c r="CR205">
        <v>799.88</v>
      </c>
      <c r="DE205">
        <v>9270.81</v>
      </c>
    </row>
    <row r="206" spans="1:109" x14ac:dyDescent="0.2">
      <c r="A206">
        <v>709</v>
      </c>
      <c r="B206" s="41"/>
      <c r="C206" s="43">
        <v>19081.419999999998</v>
      </c>
      <c r="D206" s="41">
        <v>57695.15</v>
      </c>
      <c r="E206" s="43">
        <v>28734.27</v>
      </c>
      <c r="F206" s="41">
        <v>6171.89</v>
      </c>
      <c r="G206" s="43">
        <v>5381.84</v>
      </c>
      <c r="H206" s="41">
        <v>53172.17</v>
      </c>
      <c r="I206" s="43">
        <v>924.78</v>
      </c>
      <c r="J206" s="41"/>
      <c r="K206" s="43">
        <v>158.88</v>
      </c>
      <c r="L206" s="41">
        <v>799.88</v>
      </c>
      <c r="M206" s="43">
        <v>246.39</v>
      </c>
      <c r="N206" s="41"/>
      <c r="O206" s="43">
        <v>9270.81</v>
      </c>
      <c r="P206" s="41">
        <v>5176.7299999999996</v>
      </c>
      <c r="Q206" s="43">
        <v>0</v>
      </c>
      <c r="R206" s="41">
        <v>0</v>
      </c>
      <c r="BW206">
        <v>787.98</v>
      </c>
      <c r="BX206">
        <v>194.07</v>
      </c>
      <c r="BY206">
        <v>388.68</v>
      </c>
      <c r="BZ206">
        <v>711</v>
      </c>
    </row>
    <row r="207" spans="1:109" x14ac:dyDescent="0.2">
      <c r="A207">
        <v>712</v>
      </c>
      <c r="B207" s="41">
        <v>544</v>
      </c>
      <c r="C207" s="43">
        <v>6367.96</v>
      </c>
      <c r="D207" s="41">
        <v>2306.0100000000002</v>
      </c>
      <c r="E207" s="43">
        <v>1295</v>
      </c>
      <c r="F207" s="41"/>
      <c r="G207" s="43">
        <v>0</v>
      </c>
      <c r="H207" s="41">
        <v>2081.73</v>
      </c>
      <c r="I207" s="43"/>
      <c r="J207" s="41"/>
      <c r="K207" s="43"/>
      <c r="L207" s="41">
        <v>0</v>
      </c>
      <c r="M207" s="43"/>
      <c r="N207" s="41"/>
      <c r="O207" s="43">
        <v>0</v>
      </c>
      <c r="P207" s="41">
        <v>358</v>
      </c>
      <c r="Q207" s="43">
        <v>0</v>
      </c>
      <c r="R207" s="41">
        <v>0</v>
      </c>
      <c r="BW207">
        <v>706.95</v>
      </c>
      <c r="BX207">
        <v>223.07</v>
      </c>
      <c r="BY207">
        <v>323.93</v>
      </c>
      <c r="CG207">
        <v>21.26</v>
      </c>
    </row>
    <row r="208" spans="1:109" x14ac:dyDescent="0.2">
      <c r="A208">
        <v>716</v>
      </c>
      <c r="B208" s="41"/>
      <c r="C208" s="43"/>
      <c r="D208" s="41">
        <v>5889.55</v>
      </c>
      <c r="E208" s="43">
        <v>3352.05</v>
      </c>
      <c r="F208" s="41"/>
      <c r="G208" s="43">
        <v>0</v>
      </c>
      <c r="H208" s="41">
        <v>1275.21</v>
      </c>
      <c r="I208" s="43"/>
      <c r="J208" s="41"/>
      <c r="K208" s="43"/>
      <c r="L208" s="41">
        <v>0</v>
      </c>
      <c r="M208" s="43"/>
      <c r="N208" s="41"/>
      <c r="O208" s="43">
        <v>0</v>
      </c>
      <c r="P208" s="41">
        <v>1387.32</v>
      </c>
      <c r="Q208" s="43">
        <v>0</v>
      </c>
      <c r="R208" s="41">
        <v>0</v>
      </c>
      <c r="BW208">
        <v>2926.63</v>
      </c>
      <c r="BX208">
        <v>593.83000000000004</v>
      </c>
      <c r="BY208">
        <v>1646.19</v>
      </c>
      <c r="CA208">
        <v>19.2</v>
      </c>
      <c r="CC208">
        <v>191.62</v>
      </c>
      <c r="CD208">
        <v>375</v>
      </c>
      <c r="CG208">
        <v>78.33</v>
      </c>
    </row>
    <row r="209" spans="1:109" x14ac:dyDescent="0.2">
      <c r="A209">
        <v>717</v>
      </c>
      <c r="B209" s="41"/>
      <c r="C209" s="43">
        <v>12244.84</v>
      </c>
      <c r="D209" s="41">
        <v>472.2</v>
      </c>
      <c r="E209" s="43">
        <v>8456.5</v>
      </c>
      <c r="F209" s="41"/>
      <c r="G209" s="43">
        <v>0</v>
      </c>
      <c r="H209" s="41">
        <v>5830.7999999999993</v>
      </c>
      <c r="I209" s="43"/>
      <c r="J209" s="41">
        <v>74.63</v>
      </c>
      <c r="K209" s="43">
        <v>41.96</v>
      </c>
      <c r="L209" s="41">
        <v>0</v>
      </c>
      <c r="M209" s="43"/>
      <c r="N209" s="41"/>
      <c r="O209" s="43">
        <v>0</v>
      </c>
      <c r="P209" s="41">
        <v>379.1</v>
      </c>
      <c r="Q209" s="43">
        <v>0</v>
      </c>
      <c r="R209" s="41">
        <v>0</v>
      </c>
      <c r="BU209">
        <v>8680.77</v>
      </c>
      <c r="BW209">
        <v>17672.79</v>
      </c>
      <c r="BX209">
        <v>5432.36</v>
      </c>
      <c r="BY209">
        <v>8015.21</v>
      </c>
      <c r="BZ209">
        <v>11562.28</v>
      </c>
      <c r="CA209">
        <v>202.08</v>
      </c>
      <c r="CB209">
        <v>807.6</v>
      </c>
      <c r="CC209">
        <v>412.56</v>
      </c>
      <c r="CD209">
        <v>79.930000000000007</v>
      </c>
      <c r="CG209">
        <v>1322.17</v>
      </c>
      <c r="CH209">
        <v>902.8</v>
      </c>
      <c r="CQ209">
        <v>519</v>
      </c>
    </row>
    <row r="210" spans="1:109" x14ac:dyDescent="0.2">
      <c r="A210">
        <v>719</v>
      </c>
      <c r="B210" s="41">
        <v>3378</v>
      </c>
      <c r="C210" s="43">
        <v>22290.42</v>
      </c>
      <c r="D210" s="41">
        <v>123836.58</v>
      </c>
      <c r="E210" s="43">
        <v>76184.11</v>
      </c>
      <c r="F210" s="41">
        <v>1959.36</v>
      </c>
      <c r="G210" s="43">
        <v>8680.77</v>
      </c>
      <c r="H210" s="41">
        <v>46409.78</v>
      </c>
      <c r="I210" s="43">
        <v>858.91</v>
      </c>
      <c r="J210" s="41"/>
      <c r="K210" s="43">
        <v>419.47</v>
      </c>
      <c r="L210" s="41">
        <v>519</v>
      </c>
      <c r="M210" s="43">
        <v>538.15</v>
      </c>
      <c r="N210" s="41"/>
      <c r="O210" s="43">
        <v>0</v>
      </c>
      <c r="P210" s="41">
        <v>9902.61</v>
      </c>
      <c r="Q210" s="43">
        <v>20</v>
      </c>
      <c r="R210" s="41">
        <v>0</v>
      </c>
      <c r="BW210">
        <v>6023.97</v>
      </c>
      <c r="BX210">
        <v>1628.23</v>
      </c>
      <c r="BY210">
        <v>2990.13</v>
      </c>
      <c r="BZ210">
        <v>3928.04</v>
      </c>
      <c r="CD210">
        <v>1556.8</v>
      </c>
      <c r="CQ210">
        <v>9890.6200000000008</v>
      </c>
      <c r="DE210">
        <v>446.57</v>
      </c>
    </row>
    <row r="211" spans="1:109" x14ac:dyDescent="0.2">
      <c r="A211">
        <v>720</v>
      </c>
      <c r="B211" s="41"/>
      <c r="C211" s="43"/>
      <c r="D211" s="41">
        <v>54365.93</v>
      </c>
      <c r="E211" s="43">
        <v>24380.25</v>
      </c>
      <c r="F211" s="41"/>
      <c r="G211" s="43">
        <v>0</v>
      </c>
      <c r="H211" s="41">
        <v>16127.170000000002</v>
      </c>
      <c r="I211" s="43"/>
      <c r="J211" s="41"/>
      <c r="K211" s="43"/>
      <c r="L211" s="41">
        <v>9890.6200000000008</v>
      </c>
      <c r="M211" s="43">
        <v>1262.69</v>
      </c>
      <c r="N211" s="41"/>
      <c r="O211" s="43">
        <v>446.57</v>
      </c>
      <c r="P211" s="41">
        <v>3375.81</v>
      </c>
      <c r="Q211" s="43">
        <v>0</v>
      </c>
      <c r="R211" s="41">
        <v>0</v>
      </c>
      <c r="BQ211">
        <v>1124.2</v>
      </c>
      <c r="BS211">
        <v>4698.29</v>
      </c>
      <c r="BW211">
        <v>5876.2</v>
      </c>
      <c r="BX211">
        <v>1583.25</v>
      </c>
      <c r="BY211">
        <v>3419.32</v>
      </c>
      <c r="BZ211">
        <v>22354</v>
      </c>
      <c r="CA211">
        <v>423.15</v>
      </c>
      <c r="CB211">
        <v>748.59</v>
      </c>
      <c r="CC211">
        <v>91.49</v>
      </c>
      <c r="CD211">
        <v>599.94000000000005</v>
      </c>
      <c r="CX211">
        <v>838.77</v>
      </c>
    </row>
    <row r="212" spans="1:109" x14ac:dyDescent="0.2">
      <c r="A212">
        <v>721</v>
      </c>
      <c r="B212" s="41"/>
      <c r="C212" s="43"/>
      <c r="D212" s="41">
        <v>55305.85</v>
      </c>
      <c r="E212" s="43">
        <v>18555.509999999998</v>
      </c>
      <c r="F212" s="41">
        <v>6573.09</v>
      </c>
      <c r="G212" s="43">
        <v>5822.49</v>
      </c>
      <c r="H212" s="41">
        <v>35095.94</v>
      </c>
      <c r="I212" s="43">
        <v>2570.04</v>
      </c>
      <c r="J212" s="41"/>
      <c r="K212" s="43">
        <v>539.15</v>
      </c>
      <c r="L212" s="41">
        <v>0</v>
      </c>
      <c r="M212" s="43">
        <v>1167.7</v>
      </c>
      <c r="N212" s="41"/>
      <c r="O212" s="43">
        <v>838.77</v>
      </c>
      <c r="P212" s="41">
        <v>4291.13</v>
      </c>
      <c r="Q212" s="43">
        <v>419.26</v>
      </c>
      <c r="R212" s="41">
        <v>0</v>
      </c>
      <c r="BQ212">
        <v>2214.6799999999998</v>
      </c>
      <c r="BW212">
        <v>5658.72</v>
      </c>
      <c r="BX212">
        <v>336.13</v>
      </c>
      <c r="BY212">
        <v>3847.32</v>
      </c>
      <c r="BZ212">
        <v>2859.11</v>
      </c>
      <c r="CD212">
        <v>453.61</v>
      </c>
    </row>
    <row r="213" spans="1:109" x14ac:dyDescent="0.2">
      <c r="A213">
        <v>726</v>
      </c>
      <c r="B213" s="41"/>
      <c r="C213" s="43"/>
      <c r="D213" s="41">
        <v>67737.820000000007</v>
      </c>
      <c r="E213" s="43">
        <v>5081.24</v>
      </c>
      <c r="F213" s="41"/>
      <c r="G213" s="43">
        <v>2214.6799999999998</v>
      </c>
      <c r="H213" s="41">
        <v>13154.890000000001</v>
      </c>
      <c r="I213" s="43"/>
      <c r="J213" s="41"/>
      <c r="K213" s="43"/>
      <c r="L213" s="41">
        <v>0</v>
      </c>
      <c r="M213" s="43"/>
      <c r="N213" s="41"/>
      <c r="O213" s="43">
        <v>0</v>
      </c>
      <c r="P213" s="41">
        <v>3460.22</v>
      </c>
      <c r="Q213" s="43">
        <v>0</v>
      </c>
      <c r="R213" s="41">
        <v>0</v>
      </c>
      <c r="BQ213">
        <v>1102.5</v>
      </c>
      <c r="BR213">
        <v>403.03</v>
      </c>
      <c r="BW213">
        <v>6761.74</v>
      </c>
      <c r="BX213">
        <v>5088.41</v>
      </c>
      <c r="BY213">
        <v>509.58</v>
      </c>
      <c r="BZ213">
        <v>781.71</v>
      </c>
      <c r="CA213">
        <v>284.29000000000002</v>
      </c>
      <c r="CB213">
        <v>298.01</v>
      </c>
      <c r="CC213">
        <v>73.38</v>
      </c>
      <c r="CD213">
        <v>2786.52</v>
      </c>
      <c r="CG213">
        <v>222.5</v>
      </c>
      <c r="DE213">
        <v>2000</v>
      </c>
    </row>
    <row r="214" spans="1:109" x14ac:dyDescent="0.2">
      <c r="A214">
        <v>727</v>
      </c>
      <c r="B214" s="41">
        <v>997.52</v>
      </c>
      <c r="C214" s="43">
        <v>7372.24</v>
      </c>
      <c r="D214" s="41">
        <v>39334.36</v>
      </c>
      <c r="E214" s="43">
        <v>20250.509999999998</v>
      </c>
      <c r="F214" s="41">
        <v>17622.52</v>
      </c>
      <c r="G214" s="43">
        <v>1505.53</v>
      </c>
      <c r="H214" s="41">
        <v>16806.14</v>
      </c>
      <c r="I214" s="43">
        <v>1032.96</v>
      </c>
      <c r="J214" s="41"/>
      <c r="K214" s="43">
        <v>89.05</v>
      </c>
      <c r="L214" s="41">
        <v>0</v>
      </c>
      <c r="M214" s="43"/>
      <c r="N214" s="41"/>
      <c r="O214" s="43">
        <v>2000</v>
      </c>
      <c r="P214" s="41">
        <v>3097</v>
      </c>
      <c r="Q214" s="43">
        <v>49.87</v>
      </c>
      <c r="R214" s="41">
        <v>0</v>
      </c>
      <c r="BP214">
        <v>58740.67</v>
      </c>
      <c r="BQ214">
        <v>315</v>
      </c>
      <c r="BW214">
        <v>16152.57</v>
      </c>
      <c r="BX214">
        <v>14242.05</v>
      </c>
      <c r="BY214">
        <v>1417.07</v>
      </c>
      <c r="CC214">
        <v>663.52</v>
      </c>
      <c r="CG214">
        <v>1295</v>
      </c>
    </row>
    <row r="215" spans="1:109" x14ac:dyDescent="0.2">
      <c r="A215">
        <v>728</v>
      </c>
      <c r="B215" s="41"/>
      <c r="C215" s="43">
        <v>2975</v>
      </c>
      <c r="D215" s="41">
        <v>133240.46</v>
      </c>
      <c r="E215" s="43"/>
      <c r="F215" s="41">
        <v>12049</v>
      </c>
      <c r="G215" s="43">
        <v>59055.67</v>
      </c>
      <c r="H215" s="41">
        <v>33770.21</v>
      </c>
      <c r="I215" s="43">
        <v>1889.53</v>
      </c>
      <c r="J215" s="41"/>
      <c r="K215" s="43">
        <v>55.05</v>
      </c>
      <c r="L215" s="41">
        <v>0</v>
      </c>
      <c r="M215" s="43">
        <v>70.2</v>
      </c>
      <c r="N215" s="41"/>
      <c r="O215" s="43">
        <v>0</v>
      </c>
      <c r="P215" s="41">
        <v>9957.5</v>
      </c>
      <c r="Q215" s="43">
        <v>0</v>
      </c>
      <c r="R215" s="41">
        <v>0</v>
      </c>
      <c r="BW215">
        <v>621.5</v>
      </c>
      <c r="BX215">
        <v>479.87</v>
      </c>
      <c r="BY215">
        <v>51.65</v>
      </c>
    </row>
    <row r="216" spans="1:109" x14ac:dyDescent="0.2">
      <c r="A216">
        <v>738</v>
      </c>
      <c r="B216" s="41"/>
      <c r="C216" s="43"/>
      <c r="D216" s="41">
        <v>938.68</v>
      </c>
      <c r="E216" s="43"/>
      <c r="F216" s="41">
        <v>7186.35</v>
      </c>
      <c r="G216" s="43">
        <v>0</v>
      </c>
      <c r="H216" s="41">
        <v>1153.02</v>
      </c>
      <c r="I216" s="43"/>
      <c r="J216" s="41"/>
      <c r="K216" s="43"/>
      <c r="L216" s="41">
        <v>0</v>
      </c>
      <c r="M216" s="43"/>
      <c r="N216" s="41"/>
      <c r="O216" s="43">
        <v>0</v>
      </c>
      <c r="P216" s="41">
        <v>0</v>
      </c>
      <c r="Q216" s="43">
        <v>0</v>
      </c>
      <c r="R216" s="41">
        <v>0</v>
      </c>
      <c r="BW216">
        <v>1896.19</v>
      </c>
      <c r="BX216">
        <v>308.41000000000003</v>
      </c>
      <c r="BY216">
        <v>1130.25</v>
      </c>
      <c r="BZ216">
        <v>1053.83</v>
      </c>
      <c r="CA216">
        <v>14.16</v>
      </c>
      <c r="CB216">
        <v>67.819999999999993</v>
      </c>
      <c r="CC216">
        <v>36.21</v>
      </c>
      <c r="CD216">
        <v>75.09</v>
      </c>
      <c r="CG216">
        <v>79.95</v>
      </c>
      <c r="CQ216">
        <v>760</v>
      </c>
    </row>
    <row r="217" spans="1:109" x14ac:dyDescent="0.2">
      <c r="A217">
        <v>739</v>
      </c>
      <c r="B217" s="41"/>
      <c r="C217" s="43"/>
      <c r="D217" s="41">
        <v>20717.89</v>
      </c>
      <c r="E217" s="43">
        <v>4642.0600000000004</v>
      </c>
      <c r="F217" s="41"/>
      <c r="G217" s="43">
        <v>0</v>
      </c>
      <c r="H217" s="41">
        <v>4661.91</v>
      </c>
      <c r="I217" s="43"/>
      <c r="J217" s="41"/>
      <c r="K217" s="43"/>
      <c r="L217" s="41">
        <v>760</v>
      </c>
      <c r="M217" s="43"/>
      <c r="N217" s="41"/>
      <c r="O217" s="43">
        <v>0</v>
      </c>
      <c r="P217" s="41">
        <v>170.45999999999998</v>
      </c>
      <c r="Q217" s="43">
        <v>0</v>
      </c>
      <c r="R217" s="41">
        <v>0</v>
      </c>
      <c r="BW217">
        <v>1706.44</v>
      </c>
      <c r="BY217">
        <v>1236.77</v>
      </c>
      <c r="BZ217">
        <v>353.36</v>
      </c>
      <c r="CA217">
        <v>30.71</v>
      </c>
      <c r="CB217">
        <v>87.11</v>
      </c>
      <c r="CD217">
        <v>542.97</v>
      </c>
    </row>
    <row r="218" spans="1:109" x14ac:dyDescent="0.2">
      <c r="A218">
        <v>740</v>
      </c>
      <c r="B218" s="41"/>
      <c r="C218" s="43"/>
      <c r="D218" s="41">
        <v>22485.83</v>
      </c>
      <c r="E218" s="43"/>
      <c r="F218" s="41"/>
      <c r="G218" s="43">
        <v>0</v>
      </c>
      <c r="H218" s="41">
        <v>3957.3600000000006</v>
      </c>
      <c r="I218" s="43"/>
      <c r="J218" s="41"/>
      <c r="K218" s="43">
        <v>48.4</v>
      </c>
      <c r="L218" s="41">
        <v>0</v>
      </c>
      <c r="M218" s="43"/>
      <c r="N218" s="41"/>
      <c r="O218" s="43">
        <v>0</v>
      </c>
      <c r="P218" s="41">
        <v>0</v>
      </c>
      <c r="Q218" s="43">
        <v>0</v>
      </c>
      <c r="R218" s="41">
        <v>0</v>
      </c>
      <c r="BQ218">
        <v>777</v>
      </c>
      <c r="BR218">
        <v>42.45</v>
      </c>
      <c r="BS218">
        <v>1563.76</v>
      </c>
      <c r="BW218">
        <v>1824.95</v>
      </c>
      <c r="BX218">
        <v>396.43</v>
      </c>
      <c r="BY218">
        <v>983.66</v>
      </c>
      <c r="CA218">
        <v>125.33</v>
      </c>
      <c r="CC218">
        <v>106.55</v>
      </c>
      <c r="CG218">
        <v>154.69999999999999</v>
      </c>
    </row>
    <row r="219" spans="1:109" x14ac:dyDescent="0.2">
      <c r="A219">
        <v>741</v>
      </c>
      <c r="B219" s="41">
        <v>1330</v>
      </c>
      <c r="C219" s="43"/>
      <c r="D219" s="41">
        <v>16137.58</v>
      </c>
      <c r="E219" s="43">
        <v>5783.95</v>
      </c>
      <c r="F219" s="41"/>
      <c r="G219" s="43">
        <v>2383.21</v>
      </c>
      <c r="H219" s="41">
        <v>3591.62</v>
      </c>
      <c r="I219" s="43"/>
      <c r="J219" s="41"/>
      <c r="K219" s="43">
        <v>913.3</v>
      </c>
      <c r="L219" s="41">
        <v>0</v>
      </c>
      <c r="M219" s="43"/>
      <c r="N219" s="41"/>
      <c r="O219" s="43">
        <v>0</v>
      </c>
      <c r="P219" s="41">
        <v>698.97</v>
      </c>
      <c r="Q219" s="43">
        <v>0</v>
      </c>
      <c r="R219" s="41">
        <v>0</v>
      </c>
      <c r="BP219">
        <v>2909.8</v>
      </c>
      <c r="BQ219">
        <v>3330.49</v>
      </c>
      <c r="BR219">
        <v>2156.7600000000002</v>
      </c>
      <c r="BS219">
        <v>4206.8100000000004</v>
      </c>
      <c r="BW219">
        <v>20644.509999999998</v>
      </c>
      <c r="BX219">
        <v>6616.04</v>
      </c>
      <c r="BY219">
        <v>9483.4699999999993</v>
      </c>
      <c r="BZ219">
        <v>21576.89</v>
      </c>
      <c r="CA219">
        <v>289.07</v>
      </c>
      <c r="CB219">
        <v>2125.44</v>
      </c>
      <c r="CD219">
        <v>5343.97</v>
      </c>
      <c r="CG219">
        <v>2500</v>
      </c>
      <c r="CR219">
        <v>27127.33</v>
      </c>
      <c r="CY219">
        <v>442.74</v>
      </c>
      <c r="DE219">
        <v>794.76</v>
      </c>
    </row>
    <row r="220" spans="1:109" x14ac:dyDescent="0.2">
      <c r="A220">
        <v>742</v>
      </c>
      <c r="B220" s="41"/>
      <c r="C220" s="43"/>
      <c r="D220" s="41">
        <v>114172.13</v>
      </c>
      <c r="E220" s="43">
        <v>79222.100000000006</v>
      </c>
      <c r="F220" s="41">
        <v>15590.16</v>
      </c>
      <c r="G220" s="43">
        <v>12603.86</v>
      </c>
      <c r="H220" s="41">
        <v>68579.39</v>
      </c>
      <c r="I220" s="43"/>
      <c r="J220" s="41"/>
      <c r="K220" s="43">
        <v>410.09</v>
      </c>
      <c r="L220" s="41">
        <v>27127.33</v>
      </c>
      <c r="M220" s="43">
        <v>643.33000000000004</v>
      </c>
      <c r="N220" s="41"/>
      <c r="O220" s="43">
        <v>1237.5</v>
      </c>
      <c r="P220" s="41">
        <v>6924.1200000000008</v>
      </c>
      <c r="Q220" s="43">
        <v>289.32</v>
      </c>
      <c r="R220" s="41">
        <v>0</v>
      </c>
      <c r="BW220">
        <v>1127.3599999999999</v>
      </c>
      <c r="BY220">
        <v>810.68</v>
      </c>
      <c r="CG220">
        <v>110</v>
      </c>
    </row>
    <row r="221" spans="1:109" x14ac:dyDescent="0.2">
      <c r="A221">
        <v>743</v>
      </c>
      <c r="B221" s="41"/>
      <c r="C221" s="43"/>
      <c r="D221" s="41">
        <v>14739.61</v>
      </c>
      <c r="E221" s="43"/>
      <c r="F221" s="41"/>
      <c r="G221" s="43">
        <v>0</v>
      </c>
      <c r="H221" s="41">
        <v>2048.04</v>
      </c>
      <c r="I221" s="43"/>
      <c r="J221" s="41"/>
      <c r="K221" s="43"/>
      <c r="L221" s="41">
        <v>0</v>
      </c>
      <c r="M221" s="43"/>
      <c r="N221" s="41"/>
      <c r="O221" s="43">
        <v>0</v>
      </c>
      <c r="P221" s="41">
        <v>94.07</v>
      </c>
      <c r="Q221" s="43">
        <v>0</v>
      </c>
      <c r="R221" s="41">
        <v>0</v>
      </c>
      <c r="BQ221">
        <v>1440.01</v>
      </c>
      <c r="BR221">
        <v>588.04999999999995</v>
      </c>
      <c r="BS221">
        <v>448.6</v>
      </c>
      <c r="BW221">
        <v>4653.97</v>
      </c>
      <c r="BX221">
        <v>884.05</v>
      </c>
      <c r="BY221">
        <v>2687.56</v>
      </c>
      <c r="CA221">
        <v>75.92</v>
      </c>
      <c r="CC221">
        <v>152.1</v>
      </c>
      <c r="CG221">
        <v>246.38</v>
      </c>
      <c r="CR221">
        <v>42.53</v>
      </c>
    </row>
    <row r="222" spans="1:109" x14ac:dyDescent="0.2">
      <c r="A222">
        <v>745</v>
      </c>
      <c r="B222" s="41">
        <v>1192</v>
      </c>
      <c r="C222" s="43"/>
      <c r="D222" s="41">
        <v>44224.9</v>
      </c>
      <c r="E222" s="43">
        <v>12834.11</v>
      </c>
      <c r="F222" s="41">
        <v>1947.57</v>
      </c>
      <c r="G222" s="43">
        <v>2476.66</v>
      </c>
      <c r="H222" s="41">
        <v>8699.98</v>
      </c>
      <c r="I222" s="43">
        <v>761.62</v>
      </c>
      <c r="J222" s="41"/>
      <c r="K222" s="43">
        <v>86.09</v>
      </c>
      <c r="L222" s="41">
        <v>42.53</v>
      </c>
      <c r="M222" s="43"/>
      <c r="N222" s="41"/>
      <c r="O222" s="43">
        <v>0</v>
      </c>
      <c r="P222" s="41">
        <v>4635.17</v>
      </c>
      <c r="Q222" s="43">
        <v>2745.16</v>
      </c>
      <c r="R222" s="41">
        <v>0</v>
      </c>
      <c r="BO222">
        <v>95201.18</v>
      </c>
      <c r="BP222">
        <v>37397.19</v>
      </c>
      <c r="BS222">
        <v>719.52</v>
      </c>
      <c r="BW222">
        <v>9859.01</v>
      </c>
      <c r="BX222">
        <v>2538.64</v>
      </c>
      <c r="BY222">
        <v>5235.9799999999996</v>
      </c>
      <c r="BZ222">
        <v>11794.53</v>
      </c>
      <c r="CD222">
        <v>2042.55</v>
      </c>
      <c r="CG222">
        <v>254.03</v>
      </c>
    </row>
    <row r="223" spans="1:109" x14ac:dyDescent="0.2">
      <c r="A223">
        <v>748</v>
      </c>
      <c r="B223" s="41"/>
      <c r="C223" s="43"/>
      <c r="D223" s="41"/>
      <c r="E223" s="43"/>
      <c r="F223" s="41"/>
      <c r="G223" s="43">
        <v>133317.88999999998</v>
      </c>
      <c r="H223" s="41">
        <v>31724.739999999994</v>
      </c>
      <c r="I223" s="43"/>
      <c r="J223" s="41"/>
      <c r="K223" s="43"/>
      <c r="L223" s="41">
        <v>0</v>
      </c>
      <c r="M223" s="43"/>
      <c r="N223" s="41"/>
      <c r="O223" s="43">
        <v>0</v>
      </c>
      <c r="P223" s="41">
        <v>0</v>
      </c>
      <c r="Q223" s="43">
        <v>0</v>
      </c>
      <c r="R223" s="41">
        <v>0</v>
      </c>
      <c r="BS223">
        <v>1070</v>
      </c>
      <c r="BW223">
        <v>2760.9</v>
      </c>
      <c r="BX223">
        <v>594.57000000000005</v>
      </c>
      <c r="BY223">
        <v>1494.68</v>
      </c>
      <c r="BZ223">
        <v>36.35</v>
      </c>
      <c r="CD223">
        <v>60.74</v>
      </c>
      <c r="CQ223">
        <v>180</v>
      </c>
    </row>
    <row r="224" spans="1:109" x14ac:dyDescent="0.2">
      <c r="A224">
        <v>750</v>
      </c>
      <c r="B224" s="41"/>
      <c r="C224" s="43"/>
      <c r="D224" s="41">
        <v>26176.26</v>
      </c>
      <c r="E224" s="43">
        <v>8913.23</v>
      </c>
      <c r="F224" s="41"/>
      <c r="G224" s="43">
        <v>1070</v>
      </c>
      <c r="H224" s="41">
        <v>4947.2400000000007</v>
      </c>
      <c r="I224" s="43">
        <v>500</v>
      </c>
      <c r="J224" s="41"/>
      <c r="K224" s="43"/>
      <c r="L224" s="41">
        <v>180</v>
      </c>
      <c r="M224" s="43">
        <v>225.14</v>
      </c>
      <c r="N224" s="41"/>
      <c r="O224" s="43">
        <v>0</v>
      </c>
      <c r="P224" s="41">
        <v>1911.1100000000001</v>
      </c>
      <c r="Q224" s="43">
        <v>0</v>
      </c>
      <c r="R224" s="41">
        <v>0</v>
      </c>
      <c r="BW224">
        <v>1708.55</v>
      </c>
      <c r="BX224">
        <v>510.14</v>
      </c>
      <c r="BY224">
        <v>837.71</v>
      </c>
      <c r="BZ224">
        <v>2593.12</v>
      </c>
      <c r="CA224">
        <v>34.409999999999997</v>
      </c>
      <c r="CC224">
        <v>56.08</v>
      </c>
      <c r="CD224">
        <v>339.66</v>
      </c>
      <c r="CQ224">
        <v>14310</v>
      </c>
      <c r="CR224">
        <v>-11260.38</v>
      </c>
    </row>
    <row r="225" spans="1:109" x14ac:dyDescent="0.2">
      <c r="A225">
        <v>756</v>
      </c>
      <c r="B225" s="41"/>
      <c r="C225" s="43">
        <v>3228.12</v>
      </c>
      <c r="D225" s="41">
        <v>12000.74</v>
      </c>
      <c r="E225" s="43">
        <v>7653.63</v>
      </c>
      <c r="F225" s="41"/>
      <c r="G225" s="43">
        <v>0</v>
      </c>
      <c r="H225" s="41">
        <v>6079.67</v>
      </c>
      <c r="I225" s="43"/>
      <c r="J225" s="41"/>
      <c r="K225" s="43"/>
      <c r="L225" s="41">
        <v>3049.6200000000008</v>
      </c>
      <c r="M225" s="43"/>
      <c r="N225" s="41"/>
      <c r="O225" s="43">
        <v>0</v>
      </c>
      <c r="P225" s="41">
        <v>0</v>
      </c>
      <c r="Q225" s="43">
        <v>0</v>
      </c>
      <c r="R225" s="41">
        <v>0</v>
      </c>
      <c r="BQ225">
        <v>1876.38</v>
      </c>
      <c r="BR225">
        <v>1506.56</v>
      </c>
      <c r="BW225">
        <v>4828.16</v>
      </c>
      <c r="BX225">
        <v>1081.3699999999999</v>
      </c>
      <c r="BY225">
        <v>2599.67</v>
      </c>
      <c r="BZ225">
        <v>4269.87</v>
      </c>
      <c r="CA225">
        <v>142.58000000000001</v>
      </c>
      <c r="CB225">
        <v>704.81</v>
      </c>
      <c r="CC225">
        <v>138.06</v>
      </c>
      <c r="CG225">
        <v>496.48</v>
      </c>
      <c r="CJ225">
        <v>307.31</v>
      </c>
      <c r="CQ225">
        <v>806.4</v>
      </c>
      <c r="DC225">
        <v>175.5</v>
      </c>
      <c r="DE225">
        <v>383.25</v>
      </c>
    </row>
    <row r="226" spans="1:109" x14ac:dyDescent="0.2">
      <c r="A226">
        <v>761</v>
      </c>
      <c r="B226" s="41"/>
      <c r="C226" s="43"/>
      <c r="D226" s="41">
        <v>46065.51</v>
      </c>
      <c r="E226" s="43">
        <v>14532.65</v>
      </c>
      <c r="F226" s="41"/>
      <c r="G226" s="43">
        <v>3382.94</v>
      </c>
      <c r="H226" s="41">
        <v>14568.309999999998</v>
      </c>
      <c r="I226" s="43">
        <v>295.26</v>
      </c>
      <c r="J226" s="41"/>
      <c r="K226" s="43">
        <v>424.52</v>
      </c>
      <c r="L226" s="41">
        <v>806.4</v>
      </c>
      <c r="M226" s="43">
        <v>213.42</v>
      </c>
      <c r="N226" s="41"/>
      <c r="O226" s="43">
        <v>558.75</v>
      </c>
      <c r="P226" s="41">
        <v>7373.98</v>
      </c>
      <c r="Q226" s="43">
        <v>2991.22</v>
      </c>
      <c r="R226" s="41">
        <v>0</v>
      </c>
      <c r="DE226">
        <v>5000</v>
      </c>
    </row>
    <row r="227" spans="1:109" x14ac:dyDescent="0.2">
      <c r="A227">
        <v>763</v>
      </c>
      <c r="B227" s="41"/>
      <c r="C227" s="43"/>
      <c r="D227" s="41"/>
      <c r="E227" s="43"/>
      <c r="F227" s="41"/>
      <c r="G227" s="43">
        <v>0</v>
      </c>
      <c r="H227" s="41">
        <v>0</v>
      </c>
      <c r="I227" s="43"/>
      <c r="J227" s="41"/>
      <c r="K227" s="43"/>
      <c r="L227" s="41">
        <v>0</v>
      </c>
      <c r="M227" s="43"/>
      <c r="N227" s="41"/>
      <c r="O227" s="43">
        <v>5000</v>
      </c>
      <c r="P227" s="41">
        <v>398.3</v>
      </c>
      <c r="Q227" s="43">
        <v>0</v>
      </c>
      <c r="R227" s="41">
        <v>0</v>
      </c>
      <c r="BW227">
        <v>143.47</v>
      </c>
      <c r="BX227">
        <v>20.36</v>
      </c>
      <c r="BY227">
        <v>92.07</v>
      </c>
      <c r="BZ227">
        <v>199.69</v>
      </c>
      <c r="CX227">
        <v>500</v>
      </c>
    </row>
    <row r="228" spans="1:109" x14ac:dyDescent="0.2">
      <c r="A228">
        <v>768</v>
      </c>
      <c r="B228" s="41"/>
      <c r="C228" s="43"/>
      <c r="D228" s="41">
        <v>1987.2</v>
      </c>
      <c r="E228" s="43"/>
      <c r="F228" s="41"/>
      <c r="G228" s="43">
        <v>0</v>
      </c>
      <c r="H228" s="41">
        <v>455.59</v>
      </c>
      <c r="I228" s="43"/>
      <c r="J228" s="41"/>
      <c r="K228" s="43"/>
      <c r="L228" s="41">
        <v>0</v>
      </c>
      <c r="M228" s="43"/>
      <c r="N228" s="41"/>
      <c r="O228" s="43">
        <v>500</v>
      </c>
      <c r="P228" s="41">
        <v>1017.2</v>
      </c>
      <c r="Q228" s="43">
        <v>0</v>
      </c>
      <c r="R228" s="41">
        <v>0</v>
      </c>
      <c r="BW228">
        <v>695.14</v>
      </c>
      <c r="BX228">
        <v>306.54000000000002</v>
      </c>
      <c r="BY228">
        <v>249.59</v>
      </c>
      <c r="BZ228">
        <v>529.20000000000005</v>
      </c>
      <c r="CD228">
        <v>73.819999999999993</v>
      </c>
    </row>
    <row r="229" spans="1:109" x14ac:dyDescent="0.2">
      <c r="A229">
        <v>769</v>
      </c>
      <c r="B229" s="41"/>
      <c r="C229" s="43"/>
      <c r="D229" s="41">
        <v>9420.4500000000007</v>
      </c>
      <c r="E229" s="43"/>
      <c r="F229" s="41">
        <v>635.46</v>
      </c>
      <c r="G229" s="43">
        <v>0</v>
      </c>
      <c r="H229" s="41">
        <v>1854.29</v>
      </c>
      <c r="I229" s="43"/>
      <c r="J229" s="41"/>
      <c r="K229" s="43"/>
      <c r="L229" s="41">
        <v>0</v>
      </c>
      <c r="M229" s="43">
        <v>284.68</v>
      </c>
      <c r="N229" s="41"/>
      <c r="O229" s="43">
        <v>0</v>
      </c>
      <c r="P229" s="41">
        <v>209.94</v>
      </c>
      <c r="Q229" s="43">
        <v>0</v>
      </c>
      <c r="R229" s="41">
        <v>0</v>
      </c>
      <c r="BW229">
        <v>445.02</v>
      </c>
      <c r="BY229">
        <v>322.75</v>
      </c>
      <c r="BZ229">
        <v>1414.95</v>
      </c>
    </row>
    <row r="230" spans="1:109" x14ac:dyDescent="0.2">
      <c r="A230">
        <v>771</v>
      </c>
      <c r="B230" s="41"/>
      <c r="C230" s="43"/>
      <c r="D230" s="41">
        <v>5867.59</v>
      </c>
      <c r="E230" s="43"/>
      <c r="F230" s="41"/>
      <c r="G230" s="43">
        <v>0</v>
      </c>
      <c r="H230" s="41">
        <v>2182.7200000000003</v>
      </c>
      <c r="I230" s="43"/>
      <c r="J230" s="41"/>
      <c r="K230" s="43"/>
      <c r="L230" s="41">
        <v>0</v>
      </c>
      <c r="M230" s="43"/>
      <c r="N230" s="41"/>
      <c r="O230" s="43">
        <v>0</v>
      </c>
      <c r="P230" s="41">
        <v>534.04</v>
      </c>
      <c r="Q230" s="43">
        <v>0</v>
      </c>
      <c r="R230" s="41">
        <v>0</v>
      </c>
      <c r="BW230">
        <v>586.25</v>
      </c>
      <c r="BX230">
        <v>219.67</v>
      </c>
      <c r="BY230">
        <v>242.49</v>
      </c>
      <c r="CX230">
        <v>888.92</v>
      </c>
    </row>
    <row r="231" spans="1:109" x14ac:dyDescent="0.2">
      <c r="A231">
        <v>775</v>
      </c>
      <c r="B231" s="41">
        <v>680</v>
      </c>
      <c r="C231" s="43"/>
      <c r="D231" s="41">
        <v>3278.79</v>
      </c>
      <c r="E231" s="43">
        <v>4384.49</v>
      </c>
      <c r="F231" s="41"/>
      <c r="G231" s="43">
        <v>0</v>
      </c>
      <c r="H231" s="41">
        <v>1048.4099999999999</v>
      </c>
      <c r="I231" s="43">
        <v>331.69</v>
      </c>
      <c r="J231" s="41"/>
      <c r="K231" s="43">
        <v>476.82</v>
      </c>
      <c r="L231" s="41">
        <v>0</v>
      </c>
      <c r="M231" s="43"/>
      <c r="N231" s="41"/>
      <c r="O231" s="43">
        <v>888.92</v>
      </c>
      <c r="P231" s="41">
        <v>0</v>
      </c>
      <c r="Q231" s="43">
        <v>0</v>
      </c>
      <c r="R231" s="41">
        <v>0</v>
      </c>
      <c r="BW231">
        <v>738.25</v>
      </c>
      <c r="BX231">
        <v>54.42</v>
      </c>
      <c r="BY231">
        <v>488.76</v>
      </c>
      <c r="BZ231">
        <v>1397.28</v>
      </c>
      <c r="CA231">
        <v>9.57</v>
      </c>
      <c r="CB231">
        <v>97.78</v>
      </c>
      <c r="CC231">
        <v>16.62</v>
      </c>
      <c r="CE231">
        <v>9.1199999999999992</v>
      </c>
      <c r="CK231">
        <v>44</v>
      </c>
    </row>
    <row r="232" spans="1:109" x14ac:dyDescent="0.2">
      <c r="A232">
        <v>777</v>
      </c>
      <c r="B232" s="41"/>
      <c r="C232" s="43"/>
      <c r="D232" s="41">
        <v>8561.65</v>
      </c>
      <c r="E232" s="43">
        <v>572.46</v>
      </c>
      <c r="F232" s="41">
        <v>620.4</v>
      </c>
      <c r="G232" s="43">
        <v>0</v>
      </c>
      <c r="H232" s="41">
        <v>2855.8</v>
      </c>
      <c r="I232" s="43"/>
      <c r="J232" s="41"/>
      <c r="K232" s="43">
        <v>40</v>
      </c>
      <c r="L232" s="41">
        <v>0</v>
      </c>
      <c r="M232" s="43"/>
      <c r="N232" s="41"/>
      <c r="O232" s="43">
        <v>0</v>
      </c>
      <c r="P232" s="41">
        <v>190.4</v>
      </c>
      <c r="Q232" s="43">
        <v>0</v>
      </c>
      <c r="R232" s="41">
        <v>0</v>
      </c>
      <c r="DA232">
        <v>9727.5400000000009</v>
      </c>
    </row>
    <row r="233" spans="1:109" x14ac:dyDescent="0.2">
      <c r="A233">
        <v>786</v>
      </c>
      <c r="B233" s="41"/>
      <c r="C233" s="43"/>
      <c r="D233" s="41"/>
      <c r="E233" s="43"/>
      <c r="F233" s="41"/>
      <c r="G233" s="43">
        <v>0</v>
      </c>
      <c r="H233" s="41">
        <v>0</v>
      </c>
      <c r="I233" s="43"/>
      <c r="J233" s="41"/>
      <c r="K233" s="43"/>
      <c r="L233" s="41">
        <v>0</v>
      </c>
      <c r="M233" s="43"/>
      <c r="N233" s="41"/>
      <c r="O233" s="43">
        <v>9727.5400000000009</v>
      </c>
      <c r="P233" s="41">
        <v>0</v>
      </c>
      <c r="Q233" s="43">
        <v>0</v>
      </c>
      <c r="R233" s="41">
        <v>0</v>
      </c>
      <c r="DB233">
        <v>7717.52</v>
      </c>
    </row>
    <row r="234" spans="1:109" x14ac:dyDescent="0.2">
      <c r="A234">
        <v>787</v>
      </c>
      <c r="B234" s="41"/>
      <c r="C234" s="43"/>
      <c r="D234" s="41"/>
      <c r="E234" s="43"/>
      <c r="F234" s="41"/>
      <c r="G234" s="43">
        <v>0</v>
      </c>
      <c r="H234" s="41">
        <v>0</v>
      </c>
      <c r="I234" s="43"/>
      <c r="J234" s="41"/>
      <c r="K234" s="43"/>
      <c r="L234" s="41">
        <v>0</v>
      </c>
      <c r="M234" s="43"/>
      <c r="N234" s="41"/>
      <c r="O234" s="43">
        <v>7717.52</v>
      </c>
      <c r="P234" s="41">
        <v>0</v>
      </c>
      <c r="Q234" s="43">
        <v>0</v>
      </c>
      <c r="R234" s="41">
        <v>0</v>
      </c>
    </row>
    <row r="235" spans="1:109" x14ac:dyDescent="0.2">
      <c r="A235">
        <v>801</v>
      </c>
      <c r="B235" s="41"/>
      <c r="C235" s="43"/>
      <c r="D235" s="41"/>
      <c r="E235" s="43"/>
      <c r="F235" s="41"/>
      <c r="G235" s="43">
        <v>0</v>
      </c>
      <c r="H235" s="41">
        <v>0</v>
      </c>
      <c r="I235" s="43"/>
      <c r="J235" s="41"/>
      <c r="K235" s="43"/>
      <c r="L235" s="41">
        <v>0</v>
      </c>
      <c r="M235" s="43"/>
      <c r="N235" s="41"/>
      <c r="O235" s="43">
        <v>0</v>
      </c>
      <c r="P235" s="41">
        <v>2900</v>
      </c>
      <c r="Q235" s="43">
        <v>0</v>
      </c>
      <c r="R235" s="41">
        <v>0</v>
      </c>
      <c r="BW235">
        <v>974.45</v>
      </c>
      <c r="BX235">
        <v>328.4</v>
      </c>
      <c r="BY235">
        <v>436.37</v>
      </c>
      <c r="BZ235">
        <v>1541.56</v>
      </c>
      <c r="CQ235">
        <v>112.66</v>
      </c>
    </row>
    <row r="236" spans="1:109" x14ac:dyDescent="0.2">
      <c r="A236">
        <v>803</v>
      </c>
      <c r="B236" s="41"/>
      <c r="C236" s="43"/>
      <c r="D236" s="41">
        <v>7933.64</v>
      </c>
      <c r="E236" s="43">
        <v>4973.5</v>
      </c>
      <c r="F236" s="41"/>
      <c r="G236" s="43">
        <v>0</v>
      </c>
      <c r="H236" s="41">
        <v>3280.7799999999997</v>
      </c>
      <c r="I236" s="43"/>
      <c r="J236" s="41"/>
      <c r="K236" s="43"/>
      <c r="L236" s="41">
        <v>112.66</v>
      </c>
      <c r="M236" s="43"/>
      <c r="N236" s="41"/>
      <c r="O236" s="43">
        <v>0</v>
      </c>
      <c r="P236" s="41">
        <v>1052.8799999999999</v>
      </c>
      <c r="Q236" s="43">
        <v>0</v>
      </c>
      <c r="R236" s="41">
        <v>0</v>
      </c>
      <c r="BW236">
        <v>1476.2</v>
      </c>
      <c r="BX236">
        <v>551.91</v>
      </c>
      <c r="BY236">
        <v>734.16</v>
      </c>
      <c r="BZ236">
        <v>9794.2900000000009</v>
      </c>
      <c r="CA236">
        <v>54.33</v>
      </c>
      <c r="CB236">
        <v>385.55</v>
      </c>
      <c r="CC236">
        <v>66.52</v>
      </c>
    </row>
    <row r="237" spans="1:109" x14ac:dyDescent="0.2">
      <c r="A237">
        <v>811</v>
      </c>
      <c r="B237" s="41"/>
      <c r="C237" s="43"/>
      <c r="D237" s="41">
        <v>13090.74</v>
      </c>
      <c r="E237" s="43">
        <v>8493.06</v>
      </c>
      <c r="F237" s="41"/>
      <c r="G237" s="43">
        <v>0</v>
      </c>
      <c r="H237" s="41">
        <v>13062.960000000001</v>
      </c>
      <c r="I237" s="43">
        <v>93.5</v>
      </c>
      <c r="J237" s="41"/>
      <c r="K237" s="43"/>
      <c r="L237" s="41">
        <v>0</v>
      </c>
      <c r="M237" s="43"/>
      <c r="N237" s="41"/>
      <c r="O237" s="43">
        <v>0</v>
      </c>
      <c r="P237" s="41">
        <v>255</v>
      </c>
      <c r="Q237" s="43">
        <v>0</v>
      </c>
      <c r="R237" s="41">
        <v>0</v>
      </c>
      <c r="BW237">
        <v>1010.63</v>
      </c>
      <c r="BX237">
        <v>573.27</v>
      </c>
      <c r="BY237">
        <v>253.21</v>
      </c>
      <c r="CA237">
        <v>37.090000000000003</v>
      </c>
      <c r="CC237">
        <v>36.47</v>
      </c>
    </row>
    <row r="238" spans="1:109" x14ac:dyDescent="0.2">
      <c r="A238">
        <v>813</v>
      </c>
      <c r="B238" s="41"/>
      <c r="C238" s="43"/>
      <c r="D238" s="41">
        <v>11375.66</v>
      </c>
      <c r="E238" s="43">
        <v>1837.33</v>
      </c>
      <c r="F238" s="41"/>
      <c r="G238" s="43">
        <v>0</v>
      </c>
      <c r="H238" s="41">
        <v>1910.67</v>
      </c>
      <c r="I238" s="43"/>
      <c r="J238" s="41"/>
      <c r="K238" s="43"/>
      <c r="L238" s="41">
        <v>0</v>
      </c>
      <c r="M238" s="43"/>
      <c r="N238" s="41"/>
      <c r="O238" s="43">
        <v>0</v>
      </c>
      <c r="P238" s="41">
        <v>3980.92</v>
      </c>
      <c r="Q238" s="43">
        <v>0</v>
      </c>
      <c r="R238" s="41">
        <v>4450</v>
      </c>
      <c r="BW238">
        <v>10.94</v>
      </c>
      <c r="BY238">
        <v>7.86</v>
      </c>
      <c r="DC238">
        <v>5732.5</v>
      </c>
    </row>
    <row r="239" spans="1:109" x14ac:dyDescent="0.2">
      <c r="A239">
        <v>818</v>
      </c>
      <c r="B239" s="41"/>
      <c r="C239" s="43"/>
      <c r="D239" s="41">
        <v>142.86000000000001</v>
      </c>
      <c r="E239" s="43"/>
      <c r="F239" s="41"/>
      <c r="G239" s="43">
        <v>0</v>
      </c>
      <c r="H239" s="41">
        <v>18.8</v>
      </c>
      <c r="I239" s="43"/>
      <c r="J239" s="41"/>
      <c r="K239" s="43"/>
      <c r="L239" s="41">
        <v>0</v>
      </c>
      <c r="M239" s="43"/>
      <c r="N239" s="41"/>
      <c r="O239" s="43">
        <v>5732.5</v>
      </c>
      <c r="P239" s="41">
        <v>0</v>
      </c>
      <c r="Q239" s="43">
        <v>0</v>
      </c>
      <c r="R239" s="41">
        <v>0</v>
      </c>
      <c r="BW239">
        <v>639.46</v>
      </c>
      <c r="BX239">
        <v>493.33</v>
      </c>
      <c r="BY239">
        <v>51.36</v>
      </c>
      <c r="BZ239">
        <v>21.6</v>
      </c>
      <c r="CC239">
        <v>38.880000000000003</v>
      </c>
      <c r="CE239">
        <v>1009.97</v>
      </c>
      <c r="DC239">
        <v>8095.2</v>
      </c>
    </row>
    <row r="240" spans="1:109" x14ac:dyDescent="0.2">
      <c r="A240">
        <v>820</v>
      </c>
      <c r="B240" s="41"/>
      <c r="C240" s="43">
        <v>935</v>
      </c>
      <c r="D240" s="41"/>
      <c r="E240" s="43">
        <v>7422.71</v>
      </c>
      <c r="F240" s="41"/>
      <c r="G240" s="43">
        <v>0</v>
      </c>
      <c r="H240" s="41">
        <v>2254.6</v>
      </c>
      <c r="I240" s="43"/>
      <c r="J240" s="41"/>
      <c r="K240" s="43"/>
      <c r="L240" s="41">
        <v>0</v>
      </c>
      <c r="M240" s="43"/>
      <c r="N240" s="41"/>
      <c r="O240" s="43">
        <v>8095.2</v>
      </c>
      <c r="P240" s="41">
        <v>0</v>
      </c>
      <c r="Q240" s="43">
        <v>0</v>
      </c>
      <c r="R240" s="41">
        <v>0</v>
      </c>
      <c r="BW240">
        <v>1249.9100000000001</v>
      </c>
      <c r="BX240">
        <v>77.95</v>
      </c>
      <c r="BY240">
        <v>639.27</v>
      </c>
      <c r="CR240">
        <v>2.16</v>
      </c>
    </row>
    <row r="241" spans="1:109" x14ac:dyDescent="0.2">
      <c r="A241">
        <v>821</v>
      </c>
      <c r="B241" s="41"/>
      <c r="C241" s="43"/>
      <c r="D241" s="41">
        <v>11623.56</v>
      </c>
      <c r="E241" s="43">
        <v>4734.3</v>
      </c>
      <c r="F241" s="41"/>
      <c r="G241" s="43">
        <v>0</v>
      </c>
      <c r="H241" s="41">
        <v>1967.13</v>
      </c>
      <c r="I241" s="43"/>
      <c r="J241" s="41"/>
      <c r="K241" s="43">
        <v>300</v>
      </c>
      <c r="L241" s="41">
        <v>2.16</v>
      </c>
      <c r="M241" s="43"/>
      <c r="N241" s="41"/>
      <c r="O241" s="43">
        <v>0</v>
      </c>
      <c r="P241" s="41">
        <v>0</v>
      </c>
      <c r="Q241" s="43">
        <v>0</v>
      </c>
      <c r="R241" s="41">
        <v>0</v>
      </c>
      <c r="BW241">
        <v>3253.83</v>
      </c>
      <c r="BX241">
        <v>605.15</v>
      </c>
      <c r="BY241">
        <v>1649.1</v>
      </c>
      <c r="CC241">
        <v>70.290000000000006</v>
      </c>
      <c r="CG241">
        <v>116.51</v>
      </c>
      <c r="CR241">
        <v>1646.72</v>
      </c>
    </row>
    <row r="242" spans="1:109" x14ac:dyDescent="0.2">
      <c r="A242">
        <v>829</v>
      </c>
      <c r="B242" s="41"/>
      <c r="C242" s="43"/>
      <c r="D242" s="41">
        <v>29983.79</v>
      </c>
      <c r="E242" s="43">
        <v>8997.25</v>
      </c>
      <c r="F242" s="41">
        <v>3552.57</v>
      </c>
      <c r="G242" s="43">
        <v>0</v>
      </c>
      <c r="H242" s="41">
        <v>5694.88</v>
      </c>
      <c r="I242" s="43"/>
      <c r="J242" s="41"/>
      <c r="K242" s="43">
        <v>35.619999999999997</v>
      </c>
      <c r="L242" s="41">
        <v>1646.72</v>
      </c>
      <c r="M242" s="43">
        <v>18</v>
      </c>
      <c r="N242" s="41"/>
      <c r="O242" s="43">
        <v>0</v>
      </c>
      <c r="P242" s="41">
        <v>11.57</v>
      </c>
      <c r="Q242" s="43">
        <v>0</v>
      </c>
      <c r="R242" s="41">
        <v>0</v>
      </c>
      <c r="BP242">
        <v>67862.710000000006</v>
      </c>
      <c r="BW242">
        <v>19265.07</v>
      </c>
      <c r="BX242">
        <v>7406.9</v>
      </c>
      <c r="BY242">
        <v>7948.46</v>
      </c>
      <c r="CA242">
        <v>279.62</v>
      </c>
      <c r="CC242">
        <v>251.21</v>
      </c>
      <c r="CG242">
        <v>3437.17</v>
      </c>
      <c r="CL242">
        <v>1264.04</v>
      </c>
      <c r="CR242">
        <v>132.75</v>
      </c>
      <c r="CX242">
        <v>19000</v>
      </c>
    </row>
    <row r="243" spans="1:109" x14ac:dyDescent="0.2">
      <c r="A243">
        <v>831</v>
      </c>
      <c r="B243" s="41">
        <v>5000</v>
      </c>
      <c r="C243" s="43">
        <v>10000</v>
      </c>
      <c r="D243" s="41">
        <v>134243.10999999999</v>
      </c>
      <c r="E243" s="43">
        <v>34428.700000000004</v>
      </c>
      <c r="F243" s="41">
        <v>13000</v>
      </c>
      <c r="G243" s="43">
        <v>67862.710000000006</v>
      </c>
      <c r="H243" s="41">
        <v>39852.47</v>
      </c>
      <c r="I243" s="43">
        <v>1181</v>
      </c>
      <c r="J243" s="41"/>
      <c r="K243" s="43">
        <v>163.76</v>
      </c>
      <c r="L243" s="41">
        <v>132.75</v>
      </c>
      <c r="M243" s="43"/>
      <c r="N243" s="41"/>
      <c r="O243" s="43">
        <v>19000</v>
      </c>
      <c r="P243" s="41">
        <v>7309.86</v>
      </c>
      <c r="Q243" s="43">
        <v>2371.09</v>
      </c>
      <c r="R243" s="41">
        <v>0</v>
      </c>
      <c r="BT243">
        <v>700</v>
      </c>
      <c r="BW243">
        <v>449.77</v>
      </c>
      <c r="BY243">
        <v>323.81</v>
      </c>
      <c r="BZ243">
        <v>132.69</v>
      </c>
      <c r="CA243">
        <v>3.26</v>
      </c>
      <c r="CC243">
        <v>4.72</v>
      </c>
      <c r="CK243">
        <v>92</v>
      </c>
      <c r="DE243">
        <v>8062</v>
      </c>
    </row>
    <row r="244" spans="1:109" x14ac:dyDescent="0.2">
      <c r="A244">
        <v>832</v>
      </c>
      <c r="B244" s="41"/>
      <c r="C244" s="43">
        <v>1148</v>
      </c>
      <c r="D244" s="41">
        <v>4739.8100000000004</v>
      </c>
      <c r="E244" s="43"/>
      <c r="F244" s="41"/>
      <c r="G244" s="43">
        <v>700</v>
      </c>
      <c r="H244" s="41">
        <v>1006.25</v>
      </c>
      <c r="I244" s="43">
        <v>40</v>
      </c>
      <c r="J244" s="41"/>
      <c r="K244" s="43">
        <v>68.459999999999994</v>
      </c>
      <c r="L244" s="41">
        <v>0</v>
      </c>
      <c r="M244" s="43"/>
      <c r="N244" s="41"/>
      <c r="O244" s="43">
        <v>8062</v>
      </c>
      <c r="P244" s="41">
        <v>37.01</v>
      </c>
      <c r="Q244" s="43">
        <v>0</v>
      </c>
      <c r="R244" s="41">
        <v>0</v>
      </c>
      <c r="BP244">
        <v>25293.43</v>
      </c>
      <c r="BW244">
        <v>24949.279999999999</v>
      </c>
      <c r="BX244">
        <v>4620.54</v>
      </c>
      <c r="BY244">
        <v>14406.75</v>
      </c>
      <c r="BZ244">
        <v>35783.440000000002</v>
      </c>
      <c r="CA244">
        <v>214.51</v>
      </c>
      <c r="CB244">
        <v>1832.47</v>
      </c>
      <c r="CD244">
        <v>3536.87</v>
      </c>
      <c r="CG244">
        <v>1462.11</v>
      </c>
      <c r="CQ244">
        <v>10043</v>
      </c>
    </row>
    <row r="245" spans="1:109" x14ac:dyDescent="0.2">
      <c r="A245">
        <v>833</v>
      </c>
      <c r="B245" s="41">
        <v>4604.3900000000003</v>
      </c>
      <c r="C245" s="43">
        <v>7412.63</v>
      </c>
      <c r="D245" s="41">
        <v>233389.15</v>
      </c>
      <c r="E245" s="43"/>
      <c r="F245" s="41">
        <v>63185.21</v>
      </c>
      <c r="G245" s="43">
        <v>25293.43</v>
      </c>
      <c r="H245" s="41">
        <v>86805.97</v>
      </c>
      <c r="I245" s="43">
        <v>4080.53</v>
      </c>
      <c r="J245" s="41"/>
      <c r="K245" s="43">
        <v>342.33</v>
      </c>
      <c r="L245" s="41">
        <v>10043</v>
      </c>
      <c r="M245" s="43">
        <v>533.79999999999995</v>
      </c>
      <c r="N245" s="41"/>
      <c r="O245" s="43">
        <v>0</v>
      </c>
      <c r="P245" s="41">
        <v>6869.95</v>
      </c>
      <c r="Q245" s="43">
        <v>0</v>
      </c>
      <c r="R245" s="41">
        <v>0</v>
      </c>
      <c r="BQ245">
        <v>1127.5</v>
      </c>
      <c r="BS245">
        <v>15569.07</v>
      </c>
      <c r="BW245">
        <v>7727.54</v>
      </c>
      <c r="BX245">
        <v>1405.59</v>
      </c>
      <c r="BY245">
        <v>4382.3999999999996</v>
      </c>
      <c r="BZ245">
        <v>4751.46</v>
      </c>
      <c r="CA245">
        <v>219.91</v>
      </c>
      <c r="CB245">
        <v>354.41</v>
      </c>
      <c r="CC245">
        <v>96.62</v>
      </c>
      <c r="CD245">
        <v>1019.32</v>
      </c>
      <c r="CG245">
        <v>758.79</v>
      </c>
      <c r="CQ245">
        <v>1854.09</v>
      </c>
      <c r="DC245">
        <v>369</v>
      </c>
      <c r="DE245">
        <v>3898</v>
      </c>
    </row>
    <row r="246" spans="1:109" x14ac:dyDescent="0.2">
      <c r="A246">
        <v>834</v>
      </c>
      <c r="B246" s="41"/>
      <c r="C246" s="43">
        <v>10626.19</v>
      </c>
      <c r="D246" s="41">
        <v>19233.02</v>
      </c>
      <c r="E246" s="43">
        <v>16158.7</v>
      </c>
      <c r="F246" s="41">
        <v>5166.6899999999996</v>
      </c>
      <c r="G246" s="43">
        <v>16696.57</v>
      </c>
      <c r="H246" s="41">
        <v>20716.039999999997</v>
      </c>
      <c r="I246" s="43"/>
      <c r="J246" s="41"/>
      <c r="K246" s="43">
        <v>67.319999999999993</v>
      </c>
      <c r="L246" s="41">
        <v>1854.09</v>
      </c>
      <c r="M246" s="43">
        <v>360.12</v>
      </c>
      <c r="N246" s="41"/>
      <c r="O246" s="43">
        <v>4267</v>
      </c>
      <c r="P246" s="41">
        <v>3428.41</v>
      </c>
      <c r="Q246" s="43">
        <v>2193.0300000000002</v>
      </c>
      <c r="R246" s="41">
        <v>0</v>
      </c>
      <c r="BW246">
        <v>352.35</v>
      </c>
      <c r="BX246">
        <v>252.5</v>
      </c>
      <c r="BY246">
        <v>66.010000000000005</v>
      </c>
      <c r="BZ246">
        <v>96.96</v>
      </c>
      <c r="CA246">
        <v>0.48</v>
      </c>
      <c r="CD246">
        <v>15.84</v>
      </c>
    </row>
    <row r="247" spans="1:109" x14ac:dyDescent="0.2">
      <c r="A247">
        <v>836</v>
      </c>
      <c r="B247" s="41"/>
      <c r="C247" s="43"/>
      <c r="D247" s="41">
        <v>1200</v>
      </c>
      <c r="E247" s="43">
        <v>3800</v>
      </c>
      <c r="F247" s="41"/>
      <c r="G247" s="43">
        <v>0</v>
      </c>
      <c r="H247" s="41">
        <v>784.1400000000001</v>
      </c>
      <c r="I247" s="43"/>
      <c r="J247" s="41"/>
      <c r="K247" s="43"/>
      <c r="L247" s="41">
        <v>0</v>
      </c>
      <c r="M247" s="43"/>
      <c r="N247" s="41"/>
      <c r="O247" s="43">
        <v>0</v>
      </c>
      <c r="P247" s="41">
        <v>0</v>
      </c>
      <c r="Q247" s="43">
        <v>0</v>
      </c>
      <c r="R247" s="41">
        <v>0</v>
      </c>
      <c r="BW247">
        <v>1703.08</v>
      </c>
      <c r="BX247">
        <v>1.95</v>
      </c>
      <c r="BY247">
        <v>1222.72</v>
      </c>
      <c r="CA247">
        <v>47.28</v>
      </c>
      <c r="CC247">
        <v>109.68</v>
      </c>
    </row>
    <row r="248" spans="1:109" x14ac:dyDescent="0.2">
      <c r="A248">
        <v>837</v>
      </c>
      <c r="B248" s="41"/>
      <c r="C248" s="43"/>
      <c r="D248" s="41">
        <v>10831.87</v>
      </c>
      <c r="E248" s="43">
        <v>30</v>
      </c>
      <c r="F248" s="41"/>
      <c r="G248" s="43">
        <v>0</v>
      </c>
      <c r="H248" s="41">
        <v>3084.71</v>
      </c>
      <c r="I248" s="43"/>
      <c r="J248" s="41"/>
      <c r="K248" s="43"/>
      <c r="L248" s="41">
        <v>0</v>
      </c>
      <c r="M248" s="43">
        <v>113.95</v>
      </c>
      <c r="N248" s="41"/>
      <c r="O248" s="43">
        <v>0</v>
      </c>
      <c r="P248" s="41">
        <v>682.8</v>
      </c>
      <c r="Q248" s="43">
        <v>0</v>
      </c>
      <c r="R248" s="41">
        <v>0</v>
      </c>
      <c r="BW248">
        <v>505.29</v>
      </c>
      <c r="BY248">
        <v>363.32</v>
      </c>
      <c r="CC248">
        <v>21.22</v>
      </c>
      <c r="DA248">
        <v>2152</v>
      </c>
    </row>
    <row r="249" spans="1:109" x14ac:dyDescent="0.2">
      <c r="A249">
        <v>840</v>
      </c>
      <c r="B249" s="41"/>
      <c r="C249" s="43"/>
      <c r="D249" s="41">
        <v>12983.96</v>
      </c>
      <c r="E249" s="43"/>
      <c r="F249" s="41"/>
      <c r="G249" s="43">
        <v>0</v>
      </c>
      <c r="H249" s="41">
        <v>889.83</v>
      </c>
      <c r="I249" s="43"/>
      <c r="J249" s="41"/>
      <c r="K249" s="43"/>
      <c r="L249" s="41">
        <v>0</v>
      </c>
      <c r="M249" s="43">
        <v>314.95999999999998</v>
      </c>
      <c r="N249" s="41"/>
      <c r="O249" s="43">
        <v>2152</v>
      </c>
      <c r="P249" s="41">
        <v>2118.44</v>
      </c>
      <c r="Q249" s="43">
        <v>0</v>
      </c>
      <c r="R249" s="41">
        <v>0</v>
      </c>
      <c r="BT249">
        <v>0</v>
      </c>
      <c r="BW249">
        <v>1288.07</v>
      </c>
      <c r="BX249">
        <v>755.83</v>
      </c>
      <c r="BY249">
        <v>312.61</v>
      </c>
      <c r="BZ249">
        <v>1390.43</v>
      </c>
      <c r="CA249">
        <v>5.4</v>
      </c>
      <c r="CC249">
        <v>7.64</v>
      </c>
    </row>
    <row r="250" spans="1:109" x14ac:dyDescent="0.2">
      <c r="A250">
        <v>846</v>
      </c>
      <c r="B250" s="41"/>
      <c r="C250" s="43">
        <v>5685.13</v>
      </c>
      <c r="D250" s="41"/>
      <c r="E250" s="43">
        <v>11388.63</v>
      </c>
      <c r="F250" s="41"/>
      <c r="G250" s="43">
        <v>0</v>
      </c>
      <c r="H250" s="41">
        <v>3759.9800000000005</v>
      </c>
      <c r="I250" s="43">
        <v>24000</v>
      </c>
      <c r="J250" s="41"/>
      <c r="K250" s="43"/>
      <c r="L250" s="41">
        <v>0</v>
      </c>
      <c r="M250" s="43"/>
      <c r="N250" s="41"/>
      <c r="O250" s="43">
        <v>0</v>
      </c>
      <c r="P250" s="41">
        <v>2050.1999999999998</v>
      </c>
      <c r="Q250" s="43">
        <v>0</v>
      </c>
      <c r="R250" s="41">
        <v>0</v>
      </c>
      <c r="BW250">
        <v>278.58</v>
      </c>
      <c r="BY250">
        <v>200.94</v>
      </c>
      <c r="CA250">
        <v>3.22</v>
      </c>
      <c r="CC250">
        <v>3.21</v>
      </c>
      <c r="CD250">
        <v>4.55</v>
      </c>
    </row>
    <row r="251" spans="1:109" x14ac:dyDescent="0.2">
      <c r="A251">
        <v>850</v>
      </c>
      <c r="B251" s="41"/>
      <c r="C251" s="43"/>
      <c r="D251" s="41">
        <v>3658.5</v>
      </c>
      <c r="E251" s="43"/>
      <c r="F251" s="41"/>
      <c r="G251" s="43">
        <v>0</v>
      </c>
      <c r="H251" s="41">
        <v>490.5</v>
      </c>
      <c r="I251" s="43"/>
      <c r="J251" s="41"/>
      <c r="K251" s="43"/>
      <c r="L251" s="41">
        <v>0</v>
      </c>
      <c r="M251" s="43"/>
      <c r="N251" s="41"/>
      <c r="O251" s="43">
        <v>0</v>
      </c>
      <c r="P251" s="41">
        <v>20.190000000000001</v>
      </c>
      <c r="Q251" s="43">
        <v>0</v>
      </c>
      <c r="R251" s="41">
        <v>0</v>
      </c>
      <c r="DB251">
        <v>2129.39</v>
      </c>
    </row>
    <row r="252" spans="1:109" x14ac:dyDescent="0.2">
      <c r="A252">
        <v>852</v>
      </c>
      <c r="B252" s="41"/>
      <c r="C252" s="43"/>
      <c r="D252" s="41"/>
      <c r="E252" s="43"/>
      <c r="F252" s="41"/>
      <c r="G252" s="43">
        <v>0</v>
      </c>
      <c r="H252" s="41">
        <v>0</v>
      </c>
      <c r="I252" s="43"/>
      <c r="J252" s="41"/>
      <c r="K252" s="43"/>
      <c r="L252" s="41">
        <v>0</v>
      </c>
      <c r="M252" s="43"/>
      <c r="N252" s="41"/>
      <c r="O252" s="43">
        <v>2129.39</v>
      </c>
      <c r="P252" s="41">
        <v>0</v>
      </c>
      <c r="Q252" s="43">
        <v>0</v>
      </c>
      <c r="R252" s="41">
        <v>0</v>
      </c>
      <c r="BQ252">
        <v>160</v>
      </c>
      <c r="BS252">
        <v>1464.13</v>
      </c>
      <c r="BW252">
        <v>5048.8599999999997</v>
      </c>
      <c r="BX252">
        <v>244.09</v>
      </c>
      <c r="BY252">
        <v>2690.8</v>
      </c>
      <c r="CD252">
        <v>79.31</v>
      </c>
    </row>
    <row r="253" spans="1:109" x14ac:dyDescent="0.2">
      <c r="A253">
        <v>857</v>
      </c>
      <c r="B253" s="41"/>
      <c r="C253" s="43"/>
      <c r="D253" s="41">
        <v>56795.9</v>
      </c>
      <c r="E253" s="43">
        <v>7378.32</v>
      </c>
      <c r="F253" s="41"/>
      <c r="G253" s="43">
        <v>1624.13</v>
      </c>
      <c r="H253" s="41">
        <v>8063.06</v>
      </c>
      <c r="I253" s="43"/>
      <c r="J253" s="41"/>
      <c r="K253" s="43"/>
      <c r="L253" s="41">
        <v>0</v>
      </c>
      <c r="M253" s="43"/>
      <c r="N253" s="41">
        <v>5116</v>
      </c>
      <c r="O253" s="43">
        <v>0</v>
      </c>
      <c r="P253" s="41">
        <v>2084.63</v>
      </c>
      <c r="Q253" s="43">
        <v>0</v>
      </c>
      <c r="R253" s="41">
        <v>0</v>
      </c>
      <c r="DC253">
        <v>14809</v>
      </c>
    </row>
    <row r="254" spans="1:109" x14ac:dyDescent="0.2">
      <c r="A254">
        <v>858</v>
      </c>
      <c r="B254" s="41"/>
      <c r="C254" s="43"/>
      <c r="D254" s="41"/>
      <c r="E254" s="43"/>
      <c r="F254" s="41"/>
      <c r="G254" s="43">
        <v>0</v>
      </c>
      <c r="H254" s="41">
        <v>0</v>
      </c>
      <c r="I254" s="43"/>
      <c r="J254" s="41"/>
      <c r="K254" s="43"/>
      <c r="L254" s="41">
        <v>0</v>
      </c>
      <c r="M254" s="43"/>
      <c r="N254" s="41"/>
      <c r="O254" s="43">
        <v>14809</v>
      </c>
      <c r="P254" s="41">
        <v>0</v>
      </c>
      <c r="Q254" s="43">
        <v>0</v>
      </c>
      <c r="R254" s="41">
        <v>0</v>
      </c>
      <c r="BS254">
        <v>17733.689999999999</v>
      </c>
      <c r="BT254">
        <v>414</v>
      </c>
      <c r="BW254">
        <v>2225.2800000000002</v>
      </c>
      <c r="BX254">
        <v>1254.67</v>
      </c>
      <c r="BY254">
        <v>746.41</v>
      </c>
      <c r="BZ254">
        <v>4118.79</v>
      </c>
      <c r="CA254">
        <v>92.63</v>
      </c>
      <c r="CB254">
        <v>321.58999999999997</v>
      </c>
      <c r="CC254">
        <v>102.24</v>
      </c>
      <c r="CD254">
        <v>17.52</v>
      </c>
      <c r="CK254">
        <v>57.96</v>
      </c>
      <c r="CL254">
        <v>1467.62</v>
      </c>
      <c r="DA254">
        <v>3857</v>
      </c>
      <c r="DC254">
        <v>664</v>
      </c>
    </row>
    <row r="255" spans="1:109" x14ac:dyDescent="0.2">
      <c r="A255">
        <v>861</v>
      </c>
      <c r="B255" s="41"/>
      <c r="C255" s="43">
        <v>13571.28</v>
      </c>
      <c r="D255" s="41"/>
      <c r="E255" s="43"/>
      <c r="F255" s="41">
        <v>1239.5999999999999</v>
      </c>
      <c r="G255" s="43">
        <v>18147.689999999999</v>
      </c>
      <c r="H255" s="41">
        <v>10404.709999999999</v>
      </c>
      <c r="I255" s="43">
        <v>88.36</v>
      </c>
      <c r="J255" s="41">
        <v>274.08999999999997</v>
      </c>
      <c r="K255" s="43">
        <v>99.46</v>
      </c>
      <c r="L255" s="41">
        <v>0</v>
      </c>
      <c r="M255" s="43">
        <v>1023.02</v>
      </c>
      <c r="N255" s="41"/>
      <c r="O255" s="43">
        <v>4521</v>
      </c>
      <c r="P255" s="41">
        <v>258.44</v>
      </c>
      <c r="Q255" s="43">
        <v>0</v>
      </c>
      <c r="R255" s="41">
        <v>0</v>
      </c>
      <c r="BQ255">
        <v>759</v>
      </c>
      <c r="BW255">
        <v>5902.33</v>
      </c>
      <c r="BX255">
        <v>2045.6</v>
      </c>
      <c r="BY255">
        <v>2543.16</v>
      </c>
      <c r="BZ255">
        <v>3608.32</v>
      </c>
      <c r="CA255">
        <v>112.53</v>
      </c>
      <c r="CB255">
        <v>163.94</v>
      </c>
      <c r="CC255">
        <v>223.72</v>
      </c>
      <c r="CD255">
        <v>26.99</v>
      </c>
      <c r="CG255">
        <v>616</v>
      </c>
      <c r="CQ255">
        <v>116.1</v>
      </c>
    </row>
    <row r="256" spans="1:109" x14ac:dyDescent="0.2">
      <c r="A256">
        <v>876</v>
      </c>
      <c r="B256" s="41">
        <v>617.29</v>
      </c>
      <c r="C256" s="43"/>
      <c r="D256" s="41">
        <v>51166.98</v>
      </c>
      <c r="E256" s="43">
        <v>20449.8</v>
      </c>
      <c r="F256" s="41">
        <v>4118.83</v>
      </c>
      <c r="G256" s="43">
        <v>759</v>
      </c>
      <c r="H256" s="41">
        <v>15242.59</v>
      </c>
      <c r="I256" s="43">
        <v>10</v>
      </c>
      <c r="J256" s="41"/>
      <c r="K256" s="43"/>
      <c r="L256" s="41">
        <v>116.1</v>
      </c>
      <c r="M256" s="43"/>
      <c r="N256" s="41"/>
      <c r="O256" s="43">
        <v>0</v>
      </c>
      <c r="P256" s="41">
        <v>481.53999999999996</v>
      </c>
      <c r="Q256" s="43">
        <v>887</v>
      </c>
      <c r="R256" s="41">
        <v>0</v>
      </c>
      <c r="BS256">
        <v>38584.370000000003</v>
      </c>
      <c r="BW256">
        <v>11634.34</v>
      </c>
      <c r="BX256">
        <v>2845.77</v>
      </c>
      <c r="BY256">
        <v>6044.49</v>
      </c>
      <c r="BZ256">
        <v>8544.73</v>
      </c>
      <c r="CA256">
        <v>451.63</v>
      </c>
      <c r="CB256">
        <v>1147.3699999999999</v>
      </c>
      <c r="CC256">
        <v>261.5</v>
      </c>
    </row>
    <row r="257" spans="1:109" x14ac:dyDescent="0.2">
      <c r="A257">
        <v>877</v>
      </c>
      <c r="B257" s="41"/>
      <c r="C257" s="43"/>
      <c r="D257" s="41">
        <v>111289.66</v>
      </c>
      <c r="E257" s="43"/>
      <c r="F257" s="41">
        <v>4377.6000000000004</v>
      </c>
      <c r="G257" s="43">
        <v>38584.370000000003</v>
      </c>
      <c r="H257" s="41">
        <v>30929.829999999998</v>
      </c>
      <c r="I257" s="43"/>
      <c r="J257" s="41"/>
      <c r="K257" s="43"/>
      <c r="L257" s="41">
        <v>0</v>
      </c>
      <c r="M257" s="43"/>
      <c r="N257" s="41"/>
      <c r="O257" s="43">
        <v>0</v>
      </c>
      <c r="P257" s="41">
        <v>0</v>
      </c>
      <c r="Q257" s="43">
        <v>0</v>
      </c>
      <c r="R257" s="41">
        <v>0</v>
      </c>
      <c r="BW257">
        <v>648.34</v>
      </c>
      <c r="BX257">
        <v>10.56</v>
      </c>
      <c r="BY257">
        <v>457.87</v>
      </c>
      <c r="BZ257">
        <v>1582</v>
      </c>
      <c r="CG257">
        <v>57.53</v>
      </c>
      <c r="DE257">
        <v>4108</v>
      </c>
    </row>
    <row r="258" spans="1:109" x14ac:dyDescent="0.2">
      <c r="A258">
        <v>879</v>
      </c>
      <c r="B258" s="41"/>
      <c r="C258" s="43">
        <v>7664</v>
      </c>
      <c r="D258" s="41">
        <v>652.38</v>
      </c>
      <c r="E258" s="43"/>
      <c r="F258" s="41">
        <v>162.46</v>
      </c>
      <c r="G258" s="43">
        <v>0</v>
      </c>
      <c r="H258" s="41">
        <v>2756.3</v>
      </c>
      <c r="I258" s="43"/>
      <c r="J258" s="41"/>
      <c r="K258" s="43"/>
      <c r="L258" s="41">
        <v>0</v>
      </c>
      <c r="M258" s="43">
        <v>83.4</v>
      </c>
      <c r="N258" s="41"/>
      <c r="O258" s="43">
        <v>4108</v>
      </c>
      <c r="P258" s="41">
        <v>962.84999999999991</v>
      </c>
      <c r="Q258" s="43">
        <v>0</v>
      </c>
      <c r="R258" s="41">
        <v>0</v>
      </c>
      <c r="BT258">
        <v>6799.25</v>
      </c>
      <c r="CK258">
        <v>2523.88</v>
      </c>
    </row>
    <row r="259" spans="1:109" x14ac:dyDescent="0.2">
      <c r="A259">
        <v>881</v>
      </c>
      <c r="B259" s="41"/>
      <c r="C259" s="43"/>
      <c r="D259" s="41"/>
      <c r="E259" s="43"/>
      <c r="F259" s="41"/>
      <c r="G259" s="43">
        <v>6799.25</v>
      </c>
      <c r="H259" s="41">
        <v>2523.88</v>
      </c>
      <c r="I259" s="43"/>
      <c r="J259" s="41">
        <v>90.46</v>
      </c>
      <c r="K259" s="43"/>
      <c r="L259" s="41">
        <v>0</v>
      </c>
      <c r="M259" s="43"/>
      <c r="N259" s="41"/>
      <c r="O259" s="43">
        <v>0</v>
      </c>
      <c r="P259" s="41">
        <v>0</v>
      </c>
      <c r="Q259" s="43">
        <v>0</v>
      </c>
      <c r="R259" s="41">
        <v>0</v>
      </c>
      <c r="BS259">
        <v>2610</v>
      </c>
      <c r="BW259">
        <v>5127.51</v>
      </c>
      <c r="BX259">
        <v>1091.1300000000001</v>
      </c>
      <c r="BY259">
        <v>2740.75</v>
      </c>
      <c r="BZ259">
        <v>732.75</v>
      </c>
      <c r="CA259">
        <v>10.199999999999999</v>
      </c>
      <c r="CB259">
        <v>61.2</v>
      </c>
      <c r="CC259">
        <v>16.98</v>
      </c>
      <c r="CD259">
        <v>99.96</v>
      </c>
      <c r="CG259">
        <v>27.85</v>
      </c>
    </row>
    <row r="260" spans="1:109" x14ac:dyDescent="0.2">
      <c r="A260">
        <v>882</v>
      </c>
      <c r="B260" s="41">
        <v>2526.5</v>
      </c>
      <c r="C260" s="43">
        <v>4859.88</v>
      </c>
      <c r="D260" s="41">
        <v>40033.19</v>
      </c>
      <c r="E260" s="43">
        <v>17026.47</v>
      </c>
      <c r="F260" s="41"/>
      <c r="G260" s="43">
        <v>2610</v>
      </c>
      <c r="H260" s="41">
        <v>9908.33</v>
      </c>
      <c r="I260" s="43">
        <v>7654</v>
      </c>
      <c r="J260" s="41"/>
      <c r="K260" s="43"/>
      <c r="L260" s="41">
        <v>0</v>
      </c>
      <c r="M260" s="43">
        <v>186.85</v>
      </c>
      <c r="N260" s="41"/>
      <c r="O260" s="43">
        <v>0</v>
      </c>
      <c r="P260" s="41">
        <v>3096.19</v>
      </c>
      <c r="Q260" s="43">
        <v>0</v>
      </c>
      <c r="R260" s="41">
        <v>0</v>
      </c>
      <c r="BW260">
        <v>7886.2</v>
      </c>
      <c r="BX260">
        <v>2401.0700000000002</v>
      </c>
      <c r="BY260">
        <v>3638.45</v>
      </c>
      <c r="CB260">
        <v>76.37</v>
      </c>
      <c r="CG260">
        <v>708.66</v>
      </c>
      <c r="CR260">
        <v>23776.2</v>
      </c>
    </row>
    <row r="261" spans="1:109" x14ac:dyDescent="0.2">
      <c r="A261">
        <v>883</v>
      </c>
      <c r="B261" s="41"/>
      <c r="C261" s="43">
        <v>7786.44</v>
      </c>
      <c r="D261" s="41">
        <v>64736.3</v>
      </c>
      <c r="E261" s="43">
        <v>39415.74</v>
      </c>
      <c r="F261" s="41"/>
      <c r="G261" s="43">
        <v>0</v>
      </c>
      <c r="H261" s="41">
        <v>14710.750000000002</v>
      </c>
      <c r="I261" s="43">
        <v>395</v>
      </c>
      <c r="J261" s="41"/>
      <c r="K261" s="43">
        <v>33.46</v>
      </c>
      <c r="L261" s="41">
        <v>23776.2</v>
      </c>
      <c r="M261" s="43">
        <v>240</v>
      </c>
      <c r="N261" s="41"/>
      <c r="O261" s="43">
        <v>0</v>
      </c>
      <c r="P261" s="41">
        <v>7474.31</v>
      </c>
      <c r="Q261" s="43">
        <v>2520</v>
      </c>
      <c r="R261" s="41">
        <v>0</v>
      </c>
      <c r="BQ261">
        <v>2830.83</v>
      </c>
      <c r="BS261">
        <v>75.7</v>
      </c>
      <c r="BW261">
        <v>14811.89</v>
      </c>
      <c r="BX261">
        <v>4562.83</v>
      </c>
      <c r="BY261">
        <v>7097.86</v>
      </c>
      <c r="BZ261">
        <v>13341.03</v>
      </c>
      <c r="CA261">
        <v>169</v>
      </c>
      <c r="CB261">
        <v>803.93</v>
      </c>
      <c r="CC261">
        <v>435.93</v>
      </c>
      <c r="CD261">
        <v>671.55</v>
      </c>
      <c r="CE261">
        <v>736.62</v>
      </c>
      <c r="CG261">
        <v>1080.81</v>
      </c>
      <c r="CQ261">
        <v>1190</v>
      </c>
    </row>
    <row r="262" spans="1:109" x14ac:dyDescent="0.2">
      <c r="A262">
        <v>885</v>
      </c>
      <c r="B262" s="41"/>
      <c r="C262" s="43"/>
      <c r="D262" s="41">
        <v>126141.49</v>
      </c>
      <c r="E262" s="43">
        <v>68933.399999999994</v>
      </c>
      <c r="F262" s="41"/>
      <c r="G262" s="43">
        <v>2906.5299999999997</v>
      </c>
      <c r="H262" s="41">
        <v>43711.450000000004</v>
      </c>
      <c r="I262" s="43">
        <v>343.85</v>
      </c>
      <c r="J262" s="41">
        <v>604.95000000000005</v>
      </c>
      <c r="K262" s="43">
        <v>439.98</v>
      </c>
      <c r="L262" s="41">
        <v>1190</v>
      </c>
      <c r="M262" s="43"/>
      <c r="N262" s="41"/>
      <c r="O262" s="43">
        <v>0</v>
      </c>
      <c r="P262" s="41">
        <v>6038.6</v>
      </c>
      <c r="Q262" s="43">
        <v>0</v>
      </c>
      <c r="R262" s="41">
        <v>0</v>
      </c>
      <c r="BW262">
        <v>1706.27</v>
      </c>
      <c r="BY262">
        <v>1283.03</v>
      </c>
      <c r="BZ262">
        <v>35.68</v>
      </c>
      <c r="CG262">
        <v>92.51</v>
      </c>
    </row>
    <row r="263" spans="1:109" x14ac:dyDescent="0.2">
      <c r="A263">
        <v>891</v>
      </c>
      <c r="B263" s="41"/>
      <c r="C263" s="43"/>
      <c r="D263" s="41">
        <v>23327.73</v>
      </c>
      <c r="E263" s="43"/>
      <c r="F263" s="41"/>
      <c r="G263" s="43">
        <v>0</v>
      </c>
      <c r="H263" s="41">
        <v>3117.4900000000002</v>
      </c>
      <c r="I263" s="43"/>
      <c r="J263" s="41"/>
      <c r="K263" s="43"/>
      <c r="L263" s="41">
        <v>0</v>
      </c>
      <c r="M263" s="43"/>
      <c r="N263" s="41"/>
      <c r="O263" s="43">
        <v>0</v>
      </c>
      <c r="P263" s="41">
        <v>0</v>
      </c>
      <c r="Q263" s="43">
        <v>0</v>
      </c>
      <c r="R263" s="41">
        <v>0</v>
      </c>
      <c r="BW263">
        <v>761.35</v>
      </c>
      <c r="BX263">
        <v>268.12</v>
      </c>
      <c r="BY263">
        <v>345.35</v>
      </c>
      <c r="BZ263">
        <v>220.23</v>
      </c>
      <c r="CA263">
        <v>19.059999999999999</v>
      </c>
      <c r="CB263">
        <v>14.28</v>
      </c>
      <c r="CC263">
        <v>19.21</v>
      </c>
      <c r="CD263">
        <v>89.99</v>
      </c>
      <c r="CG263">
        <v>76.760000000000005</v>
      </c>
      <c r="CR263">
        <v>416.64</v>
      </c>
      <c r="CY263">
        <v>36.06</v>
      </c>
      <c r="DE263">
        <v>35000</v>
      </c>
    </row>
    <row r="264" spans="1:109" x14ac:dyDescent="0.2">
      <c r="A264">
        <v>911</v>
      </c>
      <c r="B264" s="41">
        <v>928.97</v>
      </c>
      <c r="C264" s="43"/>
      <c r="D264" s="41">
        <v>4850.54</v>
      </c>
      <c r="E264" s="43"/>
      <c r="F264" s="41">
        <v>4141.8999999999996</v>
      </c>
      <c r="G264" s="43">
        <v>0</v>
      </c>
      <c r="H264" s="41">
        <v>1814.3500000000001</v>
      </c>
      <c r="I264" s="43"/>
      <c r="J264" s="41"/>
      <c r="K264" s="43">
        <v>788.34</v>
      </c>
      <c r="L264" s="41">
        <v>416.64</v>
      </c>
      <c r="M264" s="43"/>
      <c r="N264" s="41"/>
      <c r="O264" s="43">
        <v>35036.06</v>
      </c>
      <c r="P264" s="41">
        <v>5732.0199999999995</v>
      </c>
      <c r="Q264" s="43">
        <v>0</v>
      </c>
      <c r="R264" s="41">
        <v>0</v>
      </c>
      <c r="BQ264">
        <v>531.46</v>
      </c>
      <c r="BW264">
        <v>4414.8999999999996</v>
      </c>
      <c r="BX264">
        <v>462.61</v>
      </c>
      <c r="BY264">
        <v>2768.8</v>
      </c>
      <c r="CG264">
        <v>213.53</v>
      </c>
      <c r="CQ264">
        <v>585</v>
      </c>
    </row>
    <row r="265" spans="1:109" x14ac:dyDescent="0.2">
      <c r="A265">
        <v>912</v>
      </c>
      <c r="B265" s="41"/>
      <c r="C265" s="43"/>
      <c r="D265" s="41">
        <v>49997.63</v>
      </c>
      <c r="E265" s="43">
        <v>7182.28</v>
      </c>
      <c r="F265" s="41"/>
      <c r="G265" s="43">
        <v>531.46</v>
      </c>
      <c r="H265" s="41">
        <v>7859.8399999999992</v>
      </c>
      <c r="I265" s="43">
        <v>46.5</v>
      </c>
      <c r="J265" s="41"/>
      <c r="K265" s="43"/>
      <c r="L265" s="41">
        <v>585</v>
      </c>
      <c r="M265" s="43"/>
      <c r="N265" s="41"/>
      <c r="O265" s="43">
        <v>0</v>
      </c>
      <c r="P265" s="41">
        <v>1073.22</v>
      </c>
      <c r="Q265" s="43">
        <v>0</v>
      </c>
      <c r="R265" s="41">
        <v>0</v>
      </c>
      <c r="BW265">
        <v>193.86</v>
      </c>
      <c r="BX265">
        <v>35.08</v>
      </c>
      <c r="CR265">
        <v>477.4</v>
      </c>
      <c r="DC265">
        <v>16948.48</v>
      </c>
    </row>
    <row r="266" spans="1:109" x14ac:dyDescent="0.2">
      <c r="A266">
        <v>914</v>
      </c>
      <c r="B266" s="41"/>
      <c r="C266" s="43"/>
      <c r="D266" s="41"/>
      <c r="E266" s="43"/>
      <c r="F266" s="41">
        <v>2541.96</v>
      </c>
      <c r="G266" s="43">
        <v>0</v>
      </c>
      <c r="H266" s="41">
        <v>228.94</v>
      </c>
      <c r="I266" s="43"/>
      <c r="J266" s="41"/>
      <c r="K266" s="43"/>
      <c r="L266" s="41">
        <v>477.4</v>
      </c>
      <c r="M266" s="43"/>
      <c r="N266" s="41"/>
      <c r="O266" s="43">
        <v>16948.48</v>
      </c>
      <c r="P266" s="41">
        <v>0</v>
      </c>
      <c r="Q266" s="43">
        <v>0</v>
      </c>
      <c r="R266" s="41">
        <v>0</v>
      </c>
      <c r="BO266">
        <v>723900.83</v>
      </c>
      <c r="BP266">
        <v>462660.01</v>
      </c>
      <c r="BQ266">
        <v>57176.229999999989</v>
      </c>
      <c r="BR266">
        <v>9554.1299999999992</v>
      </c>
      <c r="BS266">
        <v>486312.86</v>
      </c>
      <c r="BT266">
        <v>73767.28</v>
      </c>
      <c r="BU266">
        <v>14134.1</v>
      </c>
      <c r="BW266">
        <v>1091438.5999999989</v>
      </c>
      <c r="BX266">
        <v>362637.43000000005</v>
      </c>
      <c r="BY266">
        <v>540443.23</v>
      </c>
      <c r="BZ266">
        <v>1049944.9799999993</v>
      </c>
      <c r="CA266">
        <v>12536.619999999995</v>
      </c>
      <c r="CB266">
        <v>42032.58</v>
      </c>
      <c r="CC266">
        <v>14451.899999999994</v>
      </c>
      <c r="CD266">
        <v>74751.849999999991</v>
      </c>
      <c r="CE266">
        <v>20449.039999999997</v>
      </c>
      <c r="CF266">
        <v>12197.15</v>
      </c>
      <c r="CG266">
        <v>38912.30000000001</v>
      </c>
      <c r="CH266">
        <v>1129.03</v>
      </c>
      <c r="CI266">
        <v>92298.76</v>
      </c>
      <c r="CJ266">
        <v>7837.49</v>
      </c>
      <c r="CK266">
        <v>65833.58</v>
      </c>
      <c r="CL266">
        <v>46653.720000000008</v>
      </c>
      <c r="CQ266">
        <v>488144.29</v>
      </c>
      <c r="CR266">
        <v>148379.17000000001</v>
      </c>
      <c r="CV266">
        <v>69586.67</v>
      </c>
      <c r="CW266">
        <v>49000</v>
      </c>
      <c r="CX266">
        <v>68164.569999999992</v>
      </c>
      <c r="CY266">
        <v>12634.519999999999</v>
      </c>
      <c r="CZ266">
        <v>4102.75</v>
      </c>
      <c r="DA266">
        <v>232713.07</v>
      </c>
      <c r="DB266">
        <v>177472.48</v>
      </c>
      <c r="DC266">
        <v>230367.02000000002</v>
      </c>
      <c r="DD266">
        <v>-12718.25</v>
      </c>
      <c r="DE266">
        <v>400658.58</v>
      </c>
    </row>
    <row r="267" spans="1:109" x14ac:dyDescent="0.2">
      <c r="A267">
        <v>1000</v>
      </c>
      <c r="B267" s="41">
        <v>172908.90000000002</v>
      </c>
      <c r="C267" s="43">
        <v>977700.78</v>
      </c>
      <c r="D267" s="41">
        <v>7828551.7000000002</v>
      </c>
      <c r="E267" s="43">
        <v>2995307.7300000014</v>
      </c>
      <c r="F267" s="41">
        <v>978981.17999999959</v>
      </c>
      <c r="G267" s="43">
        <v>1827505.4399999997</v>
      </c>
      <c r="H267" s="41">
        <v>3473548.2599999984</v>
      </c>
      <c r="I267" s="43">
        <v>942000.13</v>
      </c>
      <c r="J267" s="41">
        <v>15109.500000000004</v>
      </c>
      <c r="K267" s="43">
        <v>26394.489999999994</v>
      </c>
      <c r="L267" s="41">
        <v>636523.46</v>
      </c>
      <c r="M267" s="43">
        <v>70821.23000000001</v>
      </c>
      <c r="N267" s="41">
        <v>40156.410000000003</v>
      </c>
      <c r="O267" s="43">
        <v>1231981.4099999999</v>
      </c>
      <c r="P267" s="41">
        <v>583032.20000000019</v>
      </c>
      <c r="Q267" s="43">
        <v>144059.72</v>
      </c>
      <c r="R267" s="41">
        <v>54673.85</v>
      </c>
      <c r="BW267">
        <v>6905</v>
      </c>
      <c r="BX267">
        <v>1921.33</v>
      </c>
      <c r="BY267">
        <v>3346.49</v>
      </c>
      <c r="CG267">
        <v>206.98</v>
      </c>
      <c r="CQ267">
        <v>13711.25</v>
      </c>
    </row>
    <row r="268" spans="1:109" x14ac:dyDescent="0.2">
      <c r="A268">
        <v>2071</v>
      </c>
      <c r="B268" s="41"/>
      <c r="C268" s="43">
        <v>7384.56</v>
      </c>
      <c r="D268" s="41">
        <v>51845.24</v>
      </c>
      <c r="E268" s="43">
        <v>29436.41</v>
      </c>
      <c r="F268" s="41"/>
      <c r="G268" s="43">
        <v>0</v>
      </c>
      <c r="H268" s="41">
        <v>12379.8</v>
      </c>
      <c r="I268" s="43">
        <v>431</v>
      </c>
      <c r="J268" s="41"/>
      <c r="K268" s="43">
        <v>140.15</v>
      </c>
      <c r="L268" s="41">
        <v>13711.25</v>
      </c>
      <c r="M268" s="43">
        <v>712.66</v>
      </c>
      <c r="N268" s="41"/>
      <c r="O268" s="43">
        <v>0</v>
      </c>
      <c r="P268" s="41">
        <v>18433.34</v>
      </c>
      <c r="Q268" s="43">
        <v>4419.92</v>
      </c>
      <c r="R268" s="41">
        <v>0</v>
      </c>
      <c r="BW268">
        <v>4275.71</v>
      </c>
      <c r="BX268">
        <v>1369.86</v>
      </c>
      <c r="BY268">
        <v>1939.12</v>
      </c>
      <c r="BZ268">
        <v>496.99</v>
      </c>
      <c r="CA268">
        <v>5.69</v>
      </c>
      <c r="CC268">
        <v>548.53</v>
      </c>
      <c r="CD268">
        <v>96.25</v>
      </c>
      <c r="CE268">
        <v>1580.37</v>
      </c>
      <c r="CG268">
        <v>211</v>
      </c>
      <c r="CL268">
        <v>4.57</v>
      </c>
    </row>
    <row r="269" spans="1:109" x14ac:dyDescent="0.2">
      <c r="A269">
        <v>2125</v>
      </c>
      <c r="B269" s="41">
        <v>2698.07</v>
      </c>
      <c r="C269" s="43"/>
      <c r="D269" s="41">
        <v>32965.949999999997</v>
      </c>
      <c r="E269" s="43">
        <v>15502.96</v>
      </c>
      <c r="F269" s="41">
        <v>305.58999999999997</v>
      </c>
      <c r="G269" s="43">
        <v>0</v>
      </c>
      <c r="H269" s="41">
        <v>10528.09</v>
      </c>
      <c r="I269" s="43"/>
      <c r="J269" s="41">
        <v>48.52</v>
      </c>
      <c r="K269" s="43"/>
      <c r="L269" s="41">
        <v>0</v>
      </c>
      <c r="M269" s="43"/>
      <c r="N269" s="41">
        <v>1272</v>
      </c>
      <c r="O269" s="43">
        <v>0</v>
      </c>
      <c r="P269" s="41">
        <v>946.34</v>
      </c>
      <c r="Q269" s="43">
        <v>0</v>
      </c>
      <c r="R269" s="41">
        <v>0</v>
      </c>
      <c r="BW269">
        <v>1318.39</v>
      </c>
      <c r="BY269">
        <v>1272.72</v>
      </c>
      <c r="BZ269">
        <v>4567.2</v>
      </c>
      <c r="CA269">
        <v>48.42</v>
      </c>
      <c r="CC269">
        <v>104.16</v>
      </c>
      <c r="CD269">
        <v>274.95</v>
      </c>
      <c r="CE269">
        <v>1320</v>
      </c>
      <c r="CG269">
        <v>195.6</v>
      </c>
    </row>
    <row r="270" spans="1:109" x14ac:dyDescent="0.2">
      <c r="A270">
        <v>2134</v>
      </c>
      <c r="B270" s="41"/>
      <c r="C270" s="43"/>
      <c r="D270" s="41">
        <v>21868.59</v>
      </c>
      <c r="E270" s="43"/>
      <c r="F270" s="41"/>
      <c r="G270" s="43">
        <v>0</v>
      </c>
      <c r="H270" s="41">
        <v>9101.44</v>
      </c>
      <c r="I270" s="43"/>
      <c r="J270" s="41"/>
      <c r="K270" s="43"/>
      <c r="L270" s="41">
        <v>0</v>
      </c>
      <c r="M270" s="43"/>
      <c r="N270" s="41"/>
      <c r="O270" s="43">
        <v>0</v>
      </c>
      <c r="P270" s="41">
        <v>0</v>
      </c>
      <c r="Q270" s="43">
        <v>0</v>
      </c>
      <c r="R270" s="41">
        <v>0</v>
      </c>
      <c r="BT270">
        <v>-1229.76</v>
      </c>
      <c r="BW270">
        <v>4361.72</v>
      </c>
      <c r="BX270">
        <v>671.15</v>
      </c>
      <c r="BY270">
        <v>2633.05</v>
      </c>
      <c r="CA270">
        <v>17.149999999999999</v>
      </c>
      <c r="CC270">
        <v>39.67</v>
      </c>
      <c r="CE270">
        <v>1292</v>
      </c>
      <c r="CK270">
        <v>-9014.74</v>
      </c>
    </row>
    <row r="271" spans="1:109" x14ac:dyDescent="0.2">
      <c r="A271">
        <v>2135</v>
      </c>
      <c r="B271" s="41"/>
      <c r="C271" s="43">
        <v>19149.79</v>
      </c>
      <c r="D271" s="41">
        <v>26995.94</v>
      </c>
      <c r="E271" s="43">
        <v>10163.969999999999</v>
      </c>
      <c r="F271" s="41"/>
      <c r="G271" s="43">
        <v>-1229.76</v>
      </c>
      <c r="H271" s="41">
        <v>0</v>
      </c>
      <c r="I271" s="43"/>
      <c r="J271" s="41"/>
      <c r="K271" s="43">
        <v>251.16</v>
      </c>
      <c r="L271" s="41">
        <v>0</v>
      </c>
      <c r="M271" s="43"/>
      <c r="N271" s="41"/>
      <c r="O271" s="43">
        <v>0</v>
      </c>
      <c r="P271" s="41">
        <v>0</v>
      </c>
      <c r="Q271" s="43">
        <v>0</v>
      </c>
      <c r="R271" s="41">
        <v>0</v>
      </c>
      <c r="BW271">
        <v>2091</v>
      </c>
      <c r="BX271">
        <v>440.53</v>
      </c>
      <c r="BY271">
        <v>1172.83</v>
      </c>
    </row>
    <row r="272" spans="1:109" x14ac:dyDescent="0.2">
      <c r="A272">
        <v>2137</v>
      </c>
      <c r="B272" s="41"/>
      <c r="C272" s="43"/>
      <c r="D272" s="41">
        <v>21324</v>
      </c>
      <c r="E272" s="43">
        <v>6836.95</v>
      </c>
      <c r="F272" s="41"/>
      <c r="G272" s="43">
        <v>0</v>
      </c>
      <c r="H272" s="41">
        <v>3704.3599999999997</v>
      </c>
      <c r="I272" s="43"/>
      <c r="J272" s="41"/>
      <c r="K272" s="43"/>
      <c r="L272" s="41">
        <v>0</v>
      </c>
      <c r="M272" s="43">
        <v>5008.17</v>
      </c>
      <c r="N272" s="41"/>
      <c r="O272" s="43">
        <v>0</v>
      </c>
      <c r="P272" s="41">
        <v>0</v>
      </c>
      <c r="Q272" s="43">
        <v>0</v>
      </c>
      <c r="R272" s="41">
        <v>0</v>
      </c>
      <c r="BQ272">
        <v>1001.32</v>
      </c>
      <c r="BW272">
        <v>5903.91</v>
      </c>
      <c r="BX272">
        <v>399.67</v>
      </c>
      <c r="BY272">
        <v>3362.15</v>
      </c>
      <c r="BZ272">
        <v>8728.84</v>
      </c>
      <c r="CA272">
        <v>108.7</v>
      </c>
      <c r="CB272">
        <v>476.32</v>
      </c>
      <c r="CD272">
        <v>500</v>
      </c>
    </row>
    <row r="273" spans="1:109" x14ac:dyDescent="0.2">
      <c r="A273">
        <v>2142</v>
      </c>
      <c r="B273" s="41"/>
      <c r="C273" s="43"/>
      <c r="D273" s="41">
        <v>59689.51</v>
      </c>
      <c r="E273" s="43">
        <v>19369.2</v>
      </c>
      <c r="F273" s="41"/>
      <c r="G273" s="43">
        <v>1001.32</v>
      </c>
      <c r="H273" s="41">
        <v>19479.59</v>
      </c>
      <c r="I273" s="43"/>
      <c r="J273" s="41"/>
      <c r="K273" s="43"/>
      <c r="L273" s="41">
        <v>0</v>
      </c>
      <c r="M273" s="43"/>
      <c r="N273" s="41"/>
      <c r="O273" s="43">
        <v>0</v>
      </c>
      <c r="P273" s="41">
        <v>423.64</v>
      </c>
      <c r="Q273" s="43">
        <v>0</v>
      </c>
      <c r="R273" s="41">
        <v>0</v>
      </c>
      <c r="BW273">
        <v>1944.82</v>
      </c>
      <c r="BX273">
        <v>365.9</v>
      </c>
      <c r="BY273">
        <v>1070.31</v>
      </c>
      <c r="CG273">
        <v>62.11</v>
      </c>
    </row>
    <row r="274" spans="1:109" x14ac:dyDescent="0.2">
      <c r="A274">
        <v>2143</v>
      </c>
      <c r="B274" s="41"/>
      <c r="C274" s="43"/>
      <c r="D274" s="41">
        <v>19415.54</v>
      </c>
      <c r="E274" s="43">
        <v>6007.25</v>
      </c>
      <c r="F274" s="41"/>
      <c r="G274" s="43">
        <v>0</v>
      </c>
      <c r="H274" s="41">
        <v>3443.14</v>
      </c>
      <c r="I274" s="43">
        <v>309.2</v>
      </c>
      <c r="J274" s="41"/>
      <c r="K274" s="43">
        <v>157.36000000000001</v>
      </c>
      <c r="L274" s="41">
        <v>0</v>
      </c>
      <c r="M274" s="43">
        <v>37.44</v>
      </c>
      <c r="N274" s="41"/>
      <c r="O274" s="43">
        <v>0</v>
      </c>
      <c r="P274" s="41">
        <v>359.06</v>
      </c>
      <c r="Q274" s="43">
        <v>0</v>
      </c>
      <c r="R274" s="41">
        <v>0</v>
      </c>
      <c r="BW274">
        <v>1888.88</v>
      </c>
      <c r="BX274">
        <v>663.46</v>
      </c>
      <c r="BY274">
        <v>816.91</v>
      </c>
      <c r="BZ274">
        <v>958.07</v>
      </c>
      <c r="CA274">
        <v>59.65</v>
      </c>
      <c r="CB274">
        <v>74.94</v>
      </c>
      <c r="CC274">
        <v>48.08</v>
      </c>
      <c r="CD274">
        <v>60</v>
      </c>
      <c r="CG274">
        <v>122.93</v>
      </c>
      <c r="CX274">
        <v>300</v>
      </c>
      <c r="DE274">
        <v>321.16000000000003</v>
      </c>
    </row>
    <row r="275" spans="1:109" x14ac:dyDescent="0.2">
      <c r="A275">
        <v>2144</v>
      </c>
      <c r="B275" s="41">
        <v>2946.18</v>
      </c>
      <c r="C275" s="43"/>
      <c r="D275" s="41">
        <v>11906.2</v>
      </c>
      <c r="E275" s="43">
        <v>5706.04</v>
      </c>
      <c r="F275" s="41">
        <v>4308.12</v>
      </c>
      <c r="G275" s="43">
        <v>0</v>
      </c>
      <c r="H275" s="41">
        <v>4692.9199999999992</v>
      </c>
      <c r="I275" s="43">
        <v>380.36</v>
      </c>
      <c r="J275" s="41">
        <v>300</v>
      </c>
      <c r="K275" s="43">
        <v>55.19</v>
      </c>
      <c r="L275" s="41">
        <v>0</v>
      </c>
      <c r="M275" s="43"/>
      <c r="N275" s="41"/>
      <c r="O275" s="43">
        <v>621.16000000000008</v>
      </c>
      <c r="P275" s="41">
        <v>614.19999999999993</v>
      </c>
      <c r="Q275" s="43">
        <v>0</v>
      </c>
      <c r="R275" s="41">
        <v>0</v>
      </c>
      <c r="BW275">
        <v>532.57000000000005</v>
      </c>
      <c r="BY275">
        <v>339.96</v>
      </c>
      <c r="CG275">
        <v>19</v>
      </c>
      <c r="CQ275">
        <v>1244.5</v>
      </c>
      <c r="DC275">
        <v>4509</v>
      </c>
      <c r="DE275">
        <v>694</v>
      </c>
    </row>
    <row r="276" spans="1:109" x14ac:dyDescent="0.2">
      <c r="A276">
        <v>2149</v>
      </c>
      <c r="B276" s="41"/>
      <c r="C276" s="43">
        <v>374.27</v>
      </c>
      <c r="D276" s="41">
        <v>5754.41</v>
      </c>
      <c r="E276" s="43">
        <v>832.58</v>
      </c>
      <c r="F276" s="41"/>
      <c r="G276" s="43">
        <v>0</v>
      </c>
      <c r="H276" s="41">
        <v>891.53</v>
      </c>
      <c r="I276" s="43"/>
      <c r="J276" s="41"/>
      <c r="K276" s="43"/>
      <c r="L276" s="41">
        <v>1244.5</v>
      </c>
      <c r="M276" s="43">
        <v>36.450000000000003</v>
      </c>
      <c r="N276" s="41"/>
      <c r="O276" s="43">
        <v>5203</v>
      </c>
      <c r="P276" s="41">
        <v>568.14</v>
      </c>
      <c r="Q276" s="43">
        <v>0</v>
      </c>
      <c r="R276" s="41">
        <v>0</v>
      </c>
      <c r="BW276">
        <v>1109.51</v>
      </c>
      <c r="BX276">
        <v>313.92</v>
      </c>
      <c r="BY276">
        <v>527.79</v>
      </c>
      <c r="CG276">
        <v>95.73</v>
      </c>
      <c r="CR276">
        <v>105.84</v>
      </c>
      <c r="DC276">
        <v>367.5</v>
      </c>
    </row>
    <row r="277" spans="1:109" x14ac:dyDescent="0.2">
      <c r="A277">
        <v>2154</v>
      </c>
      <c r="B277" s="41"/>
      <c r="C277" s="43"/>
      <c r="D277" s="41">
        <v>9595.91</v>
      </c>
      <c r="E277" s="43">
        <v>4908</v>
      </c>
      <c r="F277" s="41"/>
      <c r="G277" s="43">
        <v>0</v>
      </c>
      <c r="H277" s="41">
        <v>2046.95</v>
      </c>
      <c r="I277" s="43">
        <v>90.12</v>
      </c>
      <c r="J277" s="41"/>
      <c r="K277" s="43">
        <v>92.41</v>
      </c>
      <c r="L277" s="41">
        <v>105.84</v>
      </c>
      <c r="M277" s="43">
        <v>521.22</v>
      </c>
      <c r="N277" s="41"/>
      <c r="O277" s="43">
        <v>367.5</v>
      </c>
      <c r="P277" s="41">
        <v>2137.0300000000002</v>
      </c>
      <c r="Q277" s="43">
        <v>0</v>
      </c>
      <c r="R277" s="41">
        <v>0</v>
      </c>
      <c r="BW277">
        <v>4483.6400000000003</v>
      </c>
      <c r="BX277">
        <v>900.6</v>
      </c>
      <c r="BY277">
        <v>2480.59</v>
      </c>
      <c r="CG277">
        <v>44</v>
      </c>
    </row>
    <row r="278" spans="1:109" x14ac:dyDescent="0.2">
      <c r="A278">
        <v>2155</v>
      </c>
      <c r="B278" s="41"/>
      <c r="C278" s="43"/>
      <c r="D278" s="41">
        <v>45101.43</v>
      </c>
      <c r="E278" s="43">
        <v>13571.34</v>
      </c>
      <c r="F278" s="41"/>
      <c r="G278" s="43">
        <v>0</v>
      </c>
      <c r="H278" s="41">
        <v>7908.8300000000008</v>
      </c>
      <c r="I278" s="43"/>
      <c r="J278" s="41"/>
      <c r="K278" s="43"/>
      <c r="L278" s="41">
        <v>0</v>
      </c>
      <c r="M278" s="43">
        <v>750</v>
      </c>
      <c r="N278" s="41"/>
      <c r="O278" s="43">
        <v>0</v>
      </c>
      <c r="P278" s="41">
        <v>619.12</v>
      </c>
      <c r="Q278" s="43">
        <v>0</v>
      </c>
      <c r="R278" s="41">
        <v>0</v>
      </c>
      <c r="BW278" s="9">
        <v>1936.37</v>
      </c>
      <c r="BX278">
        <v>67.040000000000006</v>
      </c>
      <c r="BY278" s="9">
        <v>1161.26</v>
      </c>
      <c r="BZ278">
        <v>26.71</v>
      </c>
      <c r="CA278">
        <v>10.199999999999999</v>
      </c>
      <c r="CC278">
        <v>62.76</v>
      </c>
    </row>
    <row r="279" spans="1:109" x14ac:dyDescent="0.2">
      <c r="A279">
        <v>2159</v>
      </c>
      <c r="B279" s="41"/>
      <c r="C279" s="43"/>
      <c r="D279" s="42">
        <v>21114.48</v>
      </c>
      <c r="E279" s="43">
        <v>4204.58</v>
      </c>
      <c r="F279" s="41"/>
      <c r="G279" s="43">
        <v>0</v>
      </c>
      <c r="H279" s="41">
        <v>3264.34</v>
      </c>
      <c r="I279" s="43"/>
      <c r="J279" s="41"/>
      <c r="K279" s="43"/>
      <c r="L279" s="41">
        <v>0</v>
      </c>
      <c r="M279" s="43"/>
      <c r="N279" s="41"/>
      <c r="O279" s="43">
        <v>0</v>
      </c>
      <c r="P279" s="41">
        <v>3193.45</v>
      </c>
      <c r="Q279" s="43">
        <v>0</v>
      </c>
      <c r="R279" s="41">
        <v>0</v>
      </c>
      <c r="BW279">
        <v>3526.31</v>
      </c>
      <c r="BX279">
        <v>1215.75</v>
      </c>
      <c r="BY279">
        <v>1562.38</v>
      </c>
      <c r="CQ279">
        <v>765</v>
      </c>
    </row>
    <row r="280" spans="1:109" x14ac:dyDescent="0.2">
      <c r="A280">
        <v>2164</v>
      </c>
      <c r="B280" s="41">
        <v>2000</v>
      </c>
      <c r="C280" s="43">
        <v>6000</v>
      </c>
      <c r="D280" s="41">
        <v>27774.75</v>
      </c>
      <c r="E280" s="43">
        <v>17550.75</v>
      </c>
      <c r="F280" s="41">
        <v>550</v>
      </c>
      <c r="G280" s="43">
        <v>0</v>
      </c>
      <c r="H280" s="41">
        <v>6304.44</v>
      </c>
      <c r="I280" s="43"/>
      <c r="J280" s="41"/>
      <c r="K280" s="43"/>
      <c r="L280" s="41">
        <v>765</v>
      </c>
      <c r="M280" s="43">
        <v>244</v>
      </c>
      <c r="N280" s="41"/>
      <c r="O280" s="43">
        <v>0</v>
      </c>
      <c r="P280" s="41">
        <v>369.73</v>
      </c>
      <c r="Q280" s="43">
        <v>0</v>
      </c>
      <c r="R280" s="41">
        <v>0</v>
      </c>
      <c r="BP280">
        <v>68.900000000000006</v>
      </c>
      <c r="BQ280">
        <v>555</v>
      </c>
      <c r="BW280">
        <v>3071.96</v>
      </c>
      <c r="BX280">
        <v>291.25</v>
      </c>
      <c r="BY280">
        <v>1950.94</v>
      </c>
      <c r="CG280">
        <v>118.14</v>
      </c>
    </row>
    <row r="281" spans="1:109" x14ac:dyDescent="0.2">
      <c r="A281">
        <v>2165</v>
      </c>
      <c r="B281" s="41"/>
      <c r="C281" s="43"/>
      <c r="D281" s="41">
        <v>35209.339999999997</v>
      </c>
      <c r="E281" s="43"/>
      <c r="F281" s="41">
        <v>4325.59</v>
      </c>
      <c r="G281" s="43">
        <v>623.9</v>
      </c>
      <c r="H281" s="41">
        <v>5432.29</v>
      </c>
      <c r="I281" s="43"/>
      <c r="J281" s="41"/>
      <c r="K281" s="43"/>
      <c r="L281" s="41">
        <v>0</v>
      </c>
      <c r="M281" s="43">
        <v>1310.8</v>
      </c>
      <c r="N281" s="41"/>
      <c r="O281" s="43">
        <v>0</v>
      </c>
      <c r="P281" s="41">
        <v>473.2</v>
      </c>
      <c r="Q281" s="43">
        <v>0</v>
      </c>
      <c r="R281" s="41">
        <v>0</v>
      </c>
      <c r="BW281">
        <v>1426.36</v>
      </c>
      <c r="BX281">
        <v>240.07</v>
      </c>
      <c r="BY281">
        <v>924.56</v>
      </c>
    </row>
    <row r="282" spans="1:109" x14ac:dyDescent="0.2">
      <c r="A282">
        <v>2167</v>
      </c>
      <c r="B282" s="41">
        <v>2252.4</v>
      </c>
      <c r="C282" s="43"/>
      <c r="D282" s="41">
        <v>14607.89</v>
      </c>
      <c r="E282" s="43"/>
      <c r="F282" s="41">
        <v>3595.14</v>
      </c>
      <c r="G282" s="43">
        <v>0</v>
      </c>
      <c r="H282" s="41">
        <v>2590.9899999999998</v>
      </c>
      <c r="I282" s="43"/>
      <c r="J282" s="41"/>
      <c r="K282" s="43"/>
      <c r="L282" s="41">
        <v>0</v>
      </c>
      <c r="M282" s="43"/>
      <c r="N282" s="41"/>
      <c r="O282" s="43">
        <v>0</v>
      </c>
      <c r="P282" s="41">
        <v>552.74</v>
      </c>
      <c r="Q282" s="43">
        <v>955</v>
      </c>
      <c r="R282" s="41">
        <v>0</v>
      </c>
      <c r="BW282">
        <v>996.42</v>
      </c>
      <c r="BX282">
        <v>212.29</v>
      </c>
      <c r="BY282">
        <v>562.04999999999995</v>
      </c>
      <c r="BZ282">
        <v>60.32</v>
      </c>
      <c r="CA282">
        <v>38.36</v>
      </c>
    </row>
    <row r="283" spans="1:109" x14ac:dyDescent="0.2">
      <c r="A283">
        <v>2168</v>
      </c>
      <c r="B283" s="41">
        <v>500</v>
      </c>
      <c r="C283" s="43"/>
      <c r="D283" s="41">
        <v>9718.8799999999992</v>
      </c>
      <c r="E283" s="43">
        <v>3145.07</v>
      </c>
      <c r="F283" s="41"/>
      <c r="G283" s="43">
        <v>0</v>
      </c>
      <c r="H283" s="41">
        <v>1869.4399999999998</v>
      </c>
      <c r="I283" s="43"/>
      <c r="J283" s="41"/>
      <c r="K283" s="43">
        <v>50</v>
      </c>
      <c r="L283" s="41">
        <v>0</v>
      </c>
      <c r="M283" s="43">
        <v>100</v>
      </c>
      <c r="N283" s="41"/>
      <c r="O283" s="43">
        <v>0</v>
      </c>
      <c r="P283" s="41">
        <v>1000</v>
      </c>
      <c r="Q283" s="43">
        <v>0</v>
      </c>
      <c r="R283" s="41">
        <v>0</v>
      </c>
      <c r="BQ283">
        <v>498.26</v>
      </c>
      <c r="BW283">
        <v>3542.41</v>
      </c>
      <c r="BX283">
        <v>930.53</v>
      </c>
      <c r="BY283">
        <v>1802.53</v>
      </c>
      <c r="CA283">
        <v>117.7</v>
      </c>
      <c r="CD283">
        <v>690</v>
      </c>
      <c r="CG283">
        <v>278.33</v>
      </c>
      <c r="CQ283">
        <v>53.22</v>
      </c>
    </row>
    <row r="284" spans="1:109" x14ac:dyDescent="0.2">
      <c r="A284">
        <v>2169</v>
      </c>
      <c r="B284" s="41"/>
      <c r="C284" s="43"/>
      <c r="D284" s="41">
        <v>32449.97</v>
      </c>
      <c r="E284" s="43">
        <v>13903.31</v>
      </c>
      <c r="F284" s="41"/>
      <c r="G284" s="43">
        <v>498.26</v>
      </c>
      <c r="H284" s="41">
        <v>7361.4999999999991</v>
      </c>
      <c r="I284" s="43">
        <v>57</v>
      </c>
      <c r="J284" s="41">
        <v>59.19</v>
      </c>
      <c r="K284" s="43">
        <v>404.02</v>
      </c>
      <c r="L284" s="41">
        <v>53.22</v>
      </c>
      <c r="M284" s="43">
        <v>856.11</v>
      </c>
      <c r="N284" s="41"/>
      <c r="O284" s="43">
        <v>0</v>
      </c>
      <c r="P284" s="41">
        <v>1128.6500000000001</v>
      </c>
      <c r="Q284" s="43">
        <v>0</v>
      </c>
      <c r="R284" s="41">
        <v>0</v>
      </c>
      <c r="BS284">
        <v>3523.67</v>
      </c>
      <c r="BW284">
        <v>269.56</v>
      </c>
      <c r="BY284">
        <v>193.8</v>
      </c>
      <c r="CG284">
        <v>12.97</v>
      </c>
      <c r="DA284">
        <v>19489.59</v>
      </c>
    </row>
    <row r="285" spans="1:109" x14ac:dyDescent="0.2">
      <c r="A285">
        <v>2170</v>
      </c>
      <c r="B285" s="41"/>
      <c r="C285" s="43"/>
      <c r="D285" s="41"/>
      <c r="E285" s="43"/>
      <c r="F285" s="41"/>
      <c r="G285" s="43">
        <v>3523.67</v>
      </c>
      <c r="H285" s="41">
        <v>476.33000000000004</v>
      </c>
      <c r="I285" s="43"/>
      <c r="J285" s="41"/>
      <c r="K285" s="43"/>
      <c r="L285" s="41">
        <v>0</v>
      </c>
      <c r="M285" s="43"/>
      <c r="N285" s="41"/>
      <c r="O285" s="43">
        <v>19489.59</v>
      </c>
      <c r="P285" s="41">
        <v>0</v>
      </c>
      <c r="Q285" s="43">
        <v>0</v>
      </c>
      <c r="R285" s="41">
        <v>0</v>
      </c>
      <c r="BQ285">
        <v>302.5</v>
      </c>
      <c r="BW285">
        <v>1695.51</v>
      </c>
      <c r="BX285">
        <v>0.87</v>
      </c>
      <c r="BY285">
        <v>1218.71</v>
      </c>
      <c r="BZ285">
        <v>4026.58</v>
      </c>
    </row>
    <row r="286" spans="1:109" x14ac:dyDescent="0.2">
      <c r="A286">
        <v>2171</v>
      </c>
      <c r="B286" s="41"/>
      <c r="C286" s="43"/>
      <c r="D286" s="41">
        <v>15481.2</v>
      </c>
      <c r="E286" s="43"/>
      <c r="F286" s="41">
        <v>12.93</v>
      </c>
      <c r="G286" s="43">
        <v>302.5</v>
      </c>
      <c r="H286" s="41">
        <v>6941.67</v>
      </c>
      <c r="I286" s="43"/>
      <c r="J286" s="41"/>
      <c r="K286" s="43"/>
      <c r="L286" s="41">
        <v>0</v>
      </c>
      <c r="M286" s="43">
        <v>175</v>
      </c>
      <c r="N286" s="41"/>
      <c r="O286" s="43">
        <v>0</v>
      </c>
      <c r="P286" s="41">
        <v>3155.36</v>
      </c>
      <c r="Q286" s="43">
        <v>0</v>
      </c>
      <c r="R286" s="41">
        <v>0</v>
      </c>
      <c r="DB286">
        <v>8000</v>
      </c>
    </row>
    <row r="287" spans="1:109" x14ac:dyDescent="0.2">
      <c r="A287">
        <v>2172</v>
      </c>
      <c r="B287" s="41"/>
      <c r="C287" s="43"/>
      <c r="D287" s="41"/>
      <c r="E287" s="43"/>
      <c r="F287" s="41"/>
      <c r="G287" s="43">
        <v>0</v>
      </c>
      <c r="H287" s="41">
        <v>0</v>
      </c>
      <c r="I287" s="43"/>
      <c r="J287" s="41"/>
      <c r="K287" s="43">
        <v>319.36</v>
      </c>
      <c r="L287" s="41">
        <v>0</v>
      </c>
      <c r="M287" s="43"/>
      <c r="N287" s="41"/>
      <c r="O287" s="43">
        <v>8000</v>
      </c>
      <c r="P287" s="41">
        <v>30.95</v>
      </c>
      <c r="Q287" s="43">
        <v>0</v>
      </c>
      <c r="R287" s="41">
        <v>0</v>
      </c>
      <c r="BW287">
        <v>1441.78</v>
      </c>
      <c r="BX287">
        <v>287.82</v>
      </c>
      <c r="BY287">
        <v>884.96</v>
      </c>
      <c r="BZ287">
        <v>694.96</v>
      </c>
      <c r="CA287">
        <v>34.46</v>
      </c>
      <c r="CD287">
        <v>98.5</v>
      </c>
      <c r="CR287">
        <v>1571.76</v>
      </c>
    </row>
    <row r="288" spans="1:109" x14ac:dyDescent="0.2">
      <c r="A288">
        <v>2174</v>
      </c>
      <c r="B288" s="41"/>
      <c r="C288" s="43"/>
      <c r="D288" s="41">
        <v>16090.36</v>
      </c>
      <c r="E288" s="43">
        <v>2655.31</v>
      </c>
      <c r="F288" s="41">
        <v>1733.75</v>
      </c>
      <c r="G288" s="43">
        <v>0</v>
      </c>
      <c r="H288" s="41">
        <v>3442.48</v>
      </c>
      <c r="I288" s="43"/>
      <c r="J288" s="41"/>
      <c r="K288" s="43">
        <v>21</v>
      </c>
      <c r="L288" s="41">
        <v>1571.76</v>
      </c>
      <c r="M288" s="43"/>
      <c r="N288" s="41"/>
      <c r="O288" s="43">
        <v>0</v>
      </c>
      <c r="P288" s="41">
        <v>513.36</v>
      </c>
      <c r="Q288" s="43">
        <v>0</v>
      </c>
      <c r="R288" s="41">
        <v>0</v>
      </c>
      <c r="BW288">
        <v>58.72</v>
      </c>
      <c r="BY288">
        <v>44</v>
      </c>
      <c r="CD288">
        <v>16.21</v>
      </c>
    </row>
    <row r="289" spans="1:109" x14ac:dyDescent="0.2">
      <c r="A289">
        <v>2176</v>
      </c>
      <c r="B289" s="41"/>
      <c r="C289" s="43"/>
      <c r="D289" s="41">
        <v>18800</v>
      </c>
      <c r="E289" s="43"/>
      <c r="F289" s="41"/>
      <c r="G289" s="43">
        <v>0</v>
      </c>
      <c r="H289" s="41">
        <v>118.93</v>
      </c>
      <c r="I289" s="43"/>
      <c r="J289" s="41"/>
      <c r="K289" s="43"/>
      <c r="L289" s="41">
        <v>0</v>
      </c>
      <c r="M289" s="43"/>
      <c r="N289" s="41"/>
      <c r="O289" s="43">
        <v>0</v>
      </c>
      <c r="P289" s="41">
        <v>0</v>
      </c>
      <c r="Q289" s="43">
        <v>0</v>
      </c>
      <c r="R289" s="41">
        <v>0</v>
      </c>
      <c r="BS289">
        <v>4129.42</v>
      </c>
      <c r="BW289">
        <v>575.94000000000005</v>
      </c>
      <c r="BY289">
        <v>414.08</v>
      </c>
    </row>
    <row r="290" spans="1:109" x14ac:dyDescent="0.2">
      <c r="A290">
        <v>2180</v>
      </c>
      <c r="B290" s="41"/>
      <c r="C290" s="43">
        <v>3399</v>
      </c>
      <c r="D290" s="41"/>
      <c r="E290" s="43"/>
      <c r="F290" s="41"/>
      <c r="G290" s="43">
        <v>4129.42</v>
      </c>
      <c r="H290" s="41">
        <v>990.02</v>
      </c>
      <c r="I290" s="43"/>
      <c r="J290" s="41"/>
      <c r="K290" s="43"/>
      <c r="L290" s="41">
        <v>0</v>
      </c>
      <c r="M290" s="43"/>
      <c r="N290" s="41"/>
      <c r="O290" s="43">
        <v>0</v>
      </c>
      <c r="P290" s="41">
        <v>104.01</v>
      </c>
      <c r="Q290" s="43">
        <v>0</v>
      </c>
      <c r="R290" s="41">
        <v>0</v>
      </c>
      <c r="BW290">
        <v>1076.8</v>
      </c>
      <c r="BX290">
        <v>171.27</v>
      </c>
      <c r="BY290">
        <v>573.96</v>
      </c>
      <c r="CG290">
        <v>50</v>
      </c>
    </row>
    <row r="291" spans="1:109" x14ac:dyDescent="0.2">
      <c r="A291">
        <v>2184</v>
      </c>
      <c r="B291" s="41"/>
      <c r="C291" s="43"/>
      <c r="D291" s="41">
        <v>11698.64</v>
      </c>
      <c r="E291" s="43">
        <v>2770.12</v>
      </c>
      <c r="F291" s="41"/>
      <c r="G291" s="43">
        <v>0</v>
      </c>
      <c r="H291" s="41">
        <v>1872.03</v>
      </c>
      <c r="I291" s="43"/>
      <c r="J291" s="41">
        <v>75</v>
      </c>
      <c r="K291" s="43"/>
      <c r="L291" s="41">
        <v>0</v>
      </c>
      <c r="M291" s="43">
        <v>511.8</v>
      </c>
      <c r="N291" s="41"/>
      <c r="O291" s="43">
        <v>0</v>
      </c>
      <c r="P291" s="41">
        <v>337.9</v>
      </c>
      <c r="Q291" s="43">
        <v>0</v>
      </c>
      <c r="R291" s="41">
        <v>0</v>
      </c>
      <c r="BW291">
        <v>1687.72</v>
      </c>
      <c r="BX291">
        <v>323.52999999999997</v>
      </c>
      <c r="BY291">
        <v>957.35</v>
      </c>
      <c r="CQ291">
        <v>4362.6499999999996</v>
      </c>
      <c r="CR291">
        <v>10.7</v>
      </c>
    </row>
    <row r="292" spans="1:109" x14ac:dyDescent="0.2">
      <c r="A292">
        <v>2190</v>
      </c>
      <c r="B292" s="41"/>
      <c r="C292" s="43">
        <v>1037.1099999999999</v>
      </c>
      <c r="D292" s="41">
        <v>16369.54</v>
      </c>
      <c r="E292" s="43">
        <v>5339.91</v>
      </c>
      <c r="F292" s="41"/>
      <c r="G292" s="43">
        <v>0</v>
      </c>
      <c r="H292" s="41">
        <v>2968.6</v>
      </c>
      <c r="I292" s="43"/>
      <c r="J292" s="41"/>
      <c r="K292" s="43"/>
      <c r="L292" s="41">
        <v>4373.3499999999995</v>
      </c>
      <c r="M292" s="43"/>
      <c r="N292" s="41"/>
      <c r="O292" s="43">
        <v>0</v>
      </c>
      <c r="P292" s="41">
        <v>2001.11</v>
      </c>
      <c r="Q292" s="43">
        <v>0</v>
      </c>
      <c r="R292" s="41">
        <v>0</v>
      </c>
      <c r="BW292">
        <v>2563.6</v>
      </c>
      <c r="BX292">
        <v>892.29</v>
      </c>
      <c r="BY292">
        <v>1084.2</v>
      </c>
      <c r="CR292">
        <v>1244.8800000000001</v>
      </c>
    </row>
    <row r="293" spans="1:109" x14ac:dyDescent="0.2">
      <c r="A293">
        <v>2198</v>
      </c>
      <c r="B293" s="41">
        <v>2200</v>
      </c>
      <c r="C293" s="43"/>
      <c r="D293" s="41">
        <v>21113.25</v>
      </c>
      <c r="E293" s="43">
        <v>8581.16</v>
      </c>
      <c r="F293" s="41">
        <v>4840.58</v>
      </c>
      <c r="G293" s="43">
        <v>0</v>
      </c>
      <c r="H293" s="41">
        <v>4540.09</v>
      </c>
      <c r="I293" s="43"/>
      <c r="J293" s="41"/>
      <c r="K293" s="43"/>
      <c r="L293" s="41">
        <v>1244.8800000000001</v>
      </c>
      <c r="M293" s="43"/>
      <c r="N293" s="41"/>
      <c r="O293" s="43">
        <v>0</v>
      </c>
      <c r="P293" s="41">
        <v>671.31000000000006</v>
      </c>
      <c r="Q293" s="43">
        <v>0</v>
      </c>
      <c r="R293" s="41">
        <v>0</v>
      </c>
      <c r="BW293">
        <v>34.72</v>
      </c>
      <c r="BX293">
        <v>29.64</v>
      </c>
    </row>
    <row r="294" spans="1:109" x14ac:dyDescent="0.2">
      <c r="A294">
        <v>2215</v>
      </c>
      <c r="B294" s="41"/>
      <c r="C294" s="43"/>
      <c r="D294" s="41"/>
      <c r="E294" s="43"/>
      <c r="F294" s="41">
        <v>454</v>
      </c>
      <c r="G294" s="43">
        <v>0</v>
      </c>
      <c r="H294" s="41">
        <v>64.36</v>
      </c>
      <c r="I294" s="43"/>
      <c r="J294" s="41"/>
      <c r="K294" s="43"/>
      <c r="L294" s="41">
        <v>0</v>
      </c>
      <c r="M294" s="43"/>
      <c r="N294" s="41"/>
      <c r="O294" s="43">
        <v>0</v>
      </c>
      <c r="P294" s="41">
        <v>0</v>
      </c>
      <c r="Q294" s="43">
        <v>0</v>
      </c>
      <c r="R294" s="41">
        <v>0</v>
      </c>
      <c r="BT294">
        <v>19297.560000000001</v>
      </c>
      <c r="BW294">
        <v>1998.71</v>
      </c>
      <c r="BX294">
        <v>834.92</v>
      </c>
      <c r="BY294">
        <v>716.47</v>
      </c>
      <c r="CK294">
        <v>7339.2</v>
      </c>
    </row>
    <row r="295" spans="1:109" x14ac:dyDescent="0.2">
      <c r="A295">
        <v>2310</v>
      </c>
      <c r="B295" s="41"/>
      <c r="C295" s="43"/>
      <c r="D295" s="41">
        <v>13322.74</v>
      </c>
      <c r="E295" s="43">
        <v>12804.41</v>
      </c>
      <c r="F295" s="41"/>
      <c r="G295" s="43">
        <v>19297.560000000001</v>
      </c>
      <c r="H295" s="41">
        <v>10889.3</v>
      </c>
      <c r="I295" s="43">
        <v>5589.46</v>
      </c>
      <c r="J295" s="41"/>
      <c r="K295" s="43"/>
      <c r="L295" s="41">
        <v>0</v>
      </c>
      <c r="M295" s="43"/>
      <c r="N295" s="41"/>
      <c r="O295" s="43">
        <v>0</v>
      </c>
      <c r="P295" s="41">
        <v>0</v>
      </c>
      <c r="Q295" s="43">
        <v>0</v>
      </c>
      <c r="R295" s="41">
        <v>0</v>
      </c>
      <c r="BQ295">
        <v>501.5</v>
      </c>
      <c r="BW295">
        <v>1213.74</v>
      </c>
      <c r="BY295">
        <v>873.43</v>
      </c>
    </row>
    <row r="296" spans="1:109" x14ac:dyDescent="0.2">
      <c r="A296">
        <v>2311</v>
      </c>
      <c r="B296" s="41"/>
      <c r="C296" s="43"/>
      <c r="D296" s="41">
        <v>15380</v>
      </c>
      <c r="E296" s="43">
        <v>94.25</v>
      </c>
      <c r="F296" s="41"/>
      <c r="G296" s="43">
        <v>501.5</v>
      </c>
      <c r="H296" s="41">
        <v>2087.17</v>
      </c>
      <c r="I296" s="43"/>
      <c r="J296" s="41"/>
      <c r="K296" s="43"/>
      <c r="L296" s="41">
        <v>0</v>
      </c>
      <c r="M296" s="43"/>
      <c r="N296" s="41"/>
      <c r="O296" s="43">
        <v>0</v>
      </c>
      <c r="P296" s="41">
        <v>92.58</v>
      </c>
      <c r="Q296" s="43">
        <v>0</v>
      </c>
      <c r="R296" s="41">
        <v>0</v>
      </c>
      <c r="BQ296">
        <v>281</v>
      </c>
      <c r="BW296">
        <v>1344.4</v>
      </c>
      <c r="BY296">
        <v>959.22</v>
      </c>
    </row>
    <row r="297" spans="1:109" x14ac:dyDescent="0.2">
      <c r="A297">
        <v>2342</v>
      </c>
      <c r="B297" s="41"/>
      <c r="C297" s="43"/>
      <c r="D297" s="41">
        <v>17190.36</v>
      </c>
      <c r="E297" s="43"/>
      <c r="F297" s="41"/>
      <c r="G297" s="43">
        <v>281</v>
      </c>
      <c r="H297" s="41">
        <v>2303.62</v>
      </c>
      <c r="I297" s="43"/>
      <c r="J297" s="41"/>
      <c r="K297" s="43"/>
      <c r="L297" s="41">
        <v>0</v>
      </c>
      <c r="M297" s="43"/>
      <c r="N297" s="41"/>
      <c r="O297" s="43">
        <v>0</v>
      </c>
      <c r="P297" s="41">
        <v>0</v>
      </c>
      <c r="Q297" s="43">
        <v>0</v>
      </c>
      <c r="R297" s="41">
        <v>0</v>
      </c>
      <c r="BW297">
        <v>419.47</v>
      </c>
      <c r="BX297">
        <v>332.35</v>
      </c>
    </row>
    <row r="298" spans="1:109" x14ac:dyDescent="0.2">
      <c r="A298">
        <v>2358</v>
      </c>
      <c r="B298" s="41"/>
      <c r="C298" s="43"/>
      <c r="D298" s="41"/>
      <c r="E298" s="43">
        <v>1983.32</v>
      </c>
      <c r="F298" s="41"/>
      <c r="G298" s="43">
        <v>0</v>
      </c>
      <c r="H298" s="41">
        <v>751.82</v>
      </c>
      <c r="I298" s="43"/>
      <c r="J298" s="41"/>
      <c r="K298" s="43"/>
      <c r="L298" s="41">
        <v>0</v>
      </c>
      <c r="M298" s="43"/>
      <c r="N298" s="41"/>
      <c r="O298" s="43">
        <v>0</v>
      </c>
      <c r="P298" s="41">
        <v>248.67</v>
      </c>
      <c r="Q298" s="43">
        <v>0</v>
      </c>
      <c r="R298" s="41">
        <v>0</v>
      </c>
      <c r="BW298">
        <v>393.11</v>
      </c>
      <c r="BY298">
        <v>315.36</v>
      </c>
      <c r="BZ298">
        <v>828.24</v>
      </c>
    </row>
    <row r="299" spans="1:109" x14ac:dyDescent="0.2">
      <c r="A299">
        <v>2364</v>
      </c>
      <c r="B299" s="41"/>
      <c r="C299" s="43"/>
      <c r="D299" s="41">
        <v>18733.580000000002</v>
      </c>
      <c r="E299" s="43"/>
      <c r="F299" s="41"/>
      <c r="G299" s="43">
        <v>0</v>
      </c>
      <c r="H299" s="41">
        <v>1536.71</v>
      </c>
      <c r="I299" s="43"/>
      <c r="J299" s="41"/>
      <c r="K299" s="43"/>
      <c r="L299" s="41">
        <v>0</v>
      </c>
      <c r="M299" s="43"/>
      <c r="N299" s="41"/>
      <c r="O299" s="43">
        <v>0</v>
      </c>
      <c r="P299" s="41">
        <v>0</v>
      </c>
      <c r="Q299" s="43">
        <v>0</v>
      </c>
      <c r="R299" s="41">
        <v>0</v>
      </c>
      <c r="BO299" s="9">
        <v>0</v>
      </c>
      <c r="BP299" s="9">
        <v>0</v>
      </c>
      <c r="BQ299" s="9">
        <v>0</v>
      </c>
      <c r="BR299" s="9">
        <v>0</v>
      </c>
      <c r="BS299" s="9">
        <v>0</v>
      </c>
      <c r="BT299" s="9">
        <v>0</v>
      </c>
      <c r="BU299" s="9">
        <v>0</v>
      </c>
      <c r="BW299" s="9">
        <v>2083.3200000000002</v>
      </c>
      <c r="BX299" s="9">
        <v>392.4</v>
      </c>
      <c r="BY299" s="9">
        <v>1223.75</v>
      </c>
      <c r="BZ299">
        <v>335.9</v>
      </c>
      <c r="CA299">
        <v>2.8</v>
      </c>
      <c r="CB299" s="9">
        <v>0</v>
      </c>
      <c r="CC299">
        <v>8.73</v>
      </c>
      <c r="CD299">
        <v>35.340000000000003</v>
      </c>
      <c r="CE299" s="9">
        <v>0</v>
      </c>
      <c r="CF299" s="9">
        <v>0</v>
      </c>
      <c r="CG299" s="9">
        <v>0</v>
      </c>
      <c r="CH299" s="9">
        <v>0</v>
      </c>
      <c r="CI299" s="9">
        <v>0</v>
      </c>
      <c r="CJ299" s="9">
        <v>0</v>
      </c>
      <c r="CK299" s="9">
        <v>0</v>
      </c>
      <c r="CL299" s="9">
        <v>0</v>
      </c>
      <c r="CQ299" s="9">
        <v>0</v>
      </c>
      <c r="CR299" s="9">
        <v>0</v>
      </c>
      <c r="CV299" s="9">
        <v>0</v>
      </c>
      <c r="CW299" s="9">
        <v>0</v>
      </c>
      <c r="CX299" s="9">
        <v>0</v>
      </c>
      <c r="CY299" s="9">
        <v>0</v>
      </c>
      <c r="CZ299" s="9">
        <v>0</v>
      </c>
      <c r="DA299" s="9">
        <v>0</v>
      </c>
      <c r="DB299" s="9">
        <v>0</v>
      </c>
      <c r="DC299" s="9">
        <v>0</v>
      </c>
      <c r="DD299" s="9">
        <v>0</v>
      </c>
      <c r="DE299" s="9">
        <v>0</v>
      </c>
    </row>
    <row r="300" spans="1:109" x14ac:dyDescent="0.2">
      <c r="A300">
        <v>2365</v>
      </c>
      <c r="B300" s="42">
        <v>0</v>
      </c>
      <c r="C300" s="44">
        <v>0</v>
      </c>
      <c r="D300" s="42">
        <v>21388.7</v>
      </c>
      <c r="E300" s="43">
        <v>5329.68</v>
      </c>
      <c r="F300" s="42">
        <v>0</v>
      </c>
      <c r="G300" s="43">
        <v>0</v>
      </c>
      <c r="H300" s="41">
        <v>4082.2400000000007</v>
      </c>
      <c r="I300" s="44">
        <v>0</v>
      </c>
      <c r="J300" s="41">
        <v>87.49</v>
      </c>
      <c r="K300" s="44">
        <v>0</v>
      </c>
      <c r="L300" s="41">
        <v>0</v>
      </c>
      <c r="M300" s="43">
        <v>1394.44</v>
      </c>
      <c r="N300" s="42">
        <v>0</v>
      </c>
      <c r="O300" s="43">
        <v>0</v>
      </c>
      <c r="P300" s="41">
        <v>479.77000000000004</v>
      </c>
      <c r="Q300" s="43">
        <v>0</v>
      </c>
      <c r="R300" s="41">
        <v>0</v>
      </c>
      <c r="BQ300">
        <v>237.5</v>
      </c>
      <c r="BS300">
        <v>25</v>
      </c>
      <c r="BW300">
        <v>5073.6400000000003</v>
      </c>
      <c r="BX300">
        <v>1027.96</v>
      </c>
      <c r="BY300">
        <v>2917.83</v>
      </c>
      <c r="BZ300">
        <v>445.31</v>
      </c>
      <c r="CA300">
        <v>70.95</v>
      </c>
      <c r="CC300">
        <v>200.51</v>
      </c>
      <c r="CR300">
        <v>7.41</v>
      </c>
      <c r="DE300">
        <v>1000</v>
      </c>
    </row>
    <row r="301" spans="1:109" x14ac:dyDescent="0.2">
      <c r="A301">
        <v>2396</v>
      </c>
      <c r="B301" s="41">
        <v>3015</v>
      </c>
      <c r="C301" s="43"/>
      <c r="D301" s="41">
        <v>49774.02</v>
      </c>
      <c r="E301" s="43">
        <v>15595.43</v>
      </c>
      <c r="F301" s="41"/>
      <c r="G301" s="43">
        <v>262.5</v>
      </c>
      <c r="H301" s="41">
        <v>9736.2000000000007</v>
      </c>
      <c r="I301" s="43">
        <v>256.83</v>
      </c>
      <c r="J301" s="41"/>
      <c r="K301" s="43">
        <v>50</v>
      </c>
      <c r="L301" s="41">
        <v>7.41</v>
      </c>
      <c r="M301" s="43">
        <v>206.51</v>
      </c>
      <c r="N301" s="41"/>
      <c r="O301" s="43">
        <v>1000</v>
      </c>
      <c r="P301" s="41">
        <v>0</v>
      </c>
      <c r="Q301" s="43">
        <v>0</v>
      </c>
      <c r="R301" s="41">
        <v>0</v>
      </c>
      <c r="BW301">
        <v>2620.4299999999998</v>
      </c>
      <c r="BX301">
        <v>693.46</v>
      </c>
      <c r="BY301">
        <v>1352.26</v>
      </c>
      <c r="BZ301">
        <v>1159.93</v>
      </c>
      <c r="CA301">
        <v>7.9</v>
      </c>
      <c r="CC301">
        <v>32.68</v>
      </c>
      <c r="CD301">
        <v>45</v>
      </c>
      <c r="CG301">
        <v>97.35</v>
      </c>
      <c r="CR301">
        <v>454.82</v>
      </c>
    </row>
    <row r="302" spans="1:109" x14ac:dyDescent="0.2">
      <c r="A302">
        <v>2397</v>
      </c>
      <c r="B302" s="41">
        <v>4569</v>
      </c>
      <c r="C302" s="43">
        <v>3000</v>
      </c>
      <c r="D302" s="41">
        <v>19953.669999999998</v>
      </c>
      <c r="E302" s="43">
        <v>10469.19</v>
      </c>
      <c r="F302" s="41"/>
      <c r="G302" s="43">
        <v>0</v>
      </c>
      <c r="H302" s="41">
        <v>6009.01</v>
      </c>
      <c r="I302" s="43">
        <v>254.68</v>
      </c>
      <c r="J302" s="41">
        <v>820.79</v>
      </c>
      <c r="K302" s="43"/>
      <c r="L302" s="41">
        <v>454.82</v>
      </c>
      <c r="M302" s="43">
        <v>60</v>
      </c>
      <c r="N302" s="41"/>
      <c r="O302" s="43">
        <v>0</v>
      </c>
      <c r="P302" s="41">
        <v>71.3</v>
      </c>
      <c r="Q302" s="43">
        <v>0</v>
      </c>
      <c r="R302" s="41">
        <v>0</v>
      </c>
      <c r="BW302">
        <v>4098.33</v>
      </c>
      <c r="BX302">
        <v>3276.91</v>
      </c>
      <c r="BY302">
        <v>263.42</v>
      </c>
      <c r="BZ302">
        <v>1130.4000000000001</v>
      </c>
    </row>
    <row r="303" spans="1:109" x14ac:dyDescent="0.2">
      <c r="A303">
        <v>2448</v>
      </c>
      <c r="B303" s="41">
        <v>3953.28</v>
      </c>
      <c r="C303" s="43"/>
      <c r="D303" s="41">
        <v>34456.76</v>
      </c>
      <c r="E303" s="43">
        <v>16266.95</v>
      </c>
      <c r="F303" s="41"/>
      <c r="G303" s="43">
        <v>0</v>
      </c>
      <c r="H303" s="41">
        <v>8769.06</v>
      </c>
      <c r="I303" s="43"/>
      <c r="J303" s="41"/>
      <c r="K303" s="43"/>
      <c r="L303" s="41">
        <v>0</v>
      </c>
      <c r="M303" s="43">
        <v>173.98</v>
      </c>
      <c r="N303" s="41"/>
      <c r="O303" s="43">
        <v>0</v>
      </c>
      <c r="P303" s="41">
        <v>1758.9</v>
      </c>
      <c r="Q303" s="43">
        <v>0</v>
      </c>
      <c r="R303" s="41">
        <v>0</v>
      </c>
      <c r="DC303">
        <v>4333</v>
      </c>
    </row>
    <row r="304" spans="1:109" x14ac:dyDescent="0.2">
      <c r="A304">
        <v>2527</v>
      </c>
      <c r="B304" s="41"/>
      <c r="C304" s="43"/>
      <c r="D304" s="41"/>
      <c r="E304" s="43"/>
      <c r="F304" s="41"/>
      <c r="G304" s="43">
        <v>0</v>
      </c>
      <c r="H304" s="41">
        <v>0</v>
      </c>
      <c r="I304" s="43"/>
      <c r="J304" s="41"/>
      <c r="K304" s="43"/>
      <c r="L304" s="41">
        <v>0</v>
      </c>
      <c r="M304" s="43"/>
      <c r="N304" s="41"/>
      <c r="O304" s="43">
        <v>4333</v>
      </c>
      <c r="P304" s="41">
        <v>0</v>
      </c>
      <c r="Q304" s="43">
        <v>0</v>
      </c>
      <c r="R304" s="41">
        <v>0</v>
      </c>
      <c r="BW304">
        <v>2091.37</v>
      </c>
      <c r="BX304">
        <v>547.07000000000005</v>
      </c>
      <c r="BY304">
        <v>1052.8</v>
      </c>
    </row>
    <row r="305" spans="1:107" x14ac:dyDescent="0.2">
      <c r="A305">
        <v>2534</v>
      </c>
      <c r="B305" s="41"/>
      <c r="C305" s="43">
        <v>3215</v>
      </c>
      <c r="D305" s="41">
        <v>15525</v>
      </c>
      <c r="E305" s="43">
        <v>8597.98</v>
      </c>
      <c r="F305" s="41"/>
      <c r="G305" s="43">
        <v>0</v>
      </c>
      <c r="H305" s="41">
        <v>3691.24</v>
      </c>
      <c r="I305" s="43"/>
      <c r="J305" s="41"/>
      <c r="K305" s="43"/>
      <c r="L305" s="41">
        <v>0</v>
      </c>
      <c r="M305" s="43"/>
      <c r="N305" s="41"/>
      <c r="O305" s="43">
        <v>0</v>
      </c>
      <c r="P305" s="41">
        <v>0</v>
      </c>
      <c r="Q305" s="43">
        <v>0</v>
      </c>
      <c r="R305" s="41">
        <v>0</v>
      </c>
      <c r="BT305">
        <v>20057</v>
      </c>
      <c r="BW305">
        <v>192.72</v>
      </c>
      <c r="BX305">
        <v>168.33</v>
      </c>
      <c r="CA305">
        <v>11.96</v>
      </c>
      <c r="CC305">
        <v>9.86</v>
      </c>
      <c r="CK305">
        <v>2737.78</v>
      </c>
    </row>
    <row r="306" spans="1:107" x14ac:dyDescent="0.2">
      <c r="A306">
        <v>2536</v>
      </c>
      <c r="B306" s="41"/>
      <c r="C306" s="43"/>
      <c r="D306" s="41"/>
      <c r="E306" s="43">
        <v>2528.59</v>
      </c>
      <c r="F306" s="41"/>
      <c r="G306" s="43">
        <v>20057</v>
      </c>
      <c r="H306" s="41">
        <v>3120.65</v>
      </c>
      <c r="I306" s="43"/>
      <c r="J306" s="41"/>
      <c r="K306" s="43"/>
      <c r="L306" s="41">
        <v>0</v>
      </c>
      <c r="M306" s="43"/>
      <c r="N306" s="41"/>
      <c r="O306" s="43">
        <v>0</v>
      </c>
      <c r="P306" s="41">
        <v>0</v>
      </c>
      <c r="Q306" s="43">
        <v>0</v>
      </c>
      <c r="R306" s="41">
        <v>0</v>
      </c>
      <c r="BR306">
        <v>68.64</v>
      </c>
      <c r="BW306">
        <v>1024.31</v>
      </c>
      <c r="BX306">
        <v>273.48</v>
      </c>
      <c r="BY306">
        <v>504.22</v>
      </c>
      <c r="CG306">
        <v>133.44</v>
      </c>
    </row>
    <row r="307" spans="1:107" x14ac:dyDescent="0.2">
      <c r="A307">
        <v>2580</v>
      </c>
      <c r="B307" s="41"/>
      <c r="C307" s="43"/>
      <c r="D307" s="41">
        <v>9202.8700000000008</v>
      </c>
      <c r="E307" s="43">
        <v>4117.9799999999996</v>
      </c>
      <c r="F307" s="41"/>
      <c r="G307" s="43">
        <v>68.64</v>
      </c>
      <c r="H307" s="41">
        <v>1935.45</v>
      </c>
      <c r="I307" s="43"/>
      <c r="J307" s="41"/>
      <c r="K307" s="43"/>
      <c r="L307" s="41">
        <v>0</v>
      </c>
      <c r="M307" s="43"/>
      <c r="N307" s="41"/>
      <c r="O307" s="43">
        <v>0</v>
      </c>
      <c r="P307" s="41">
        <v>0</v>
      </c>
      <c r="Q307" s="43">
        <v>0</v>
      </c>
      <c r="R307" s="41">
        <v>0</v>
      </c>
      <c r="BW307">
        <v>316.94</v>
      </c>
      <c r="BX307">
        <v>275.91000000000003</v>
      </c>
      <c r="CA307">
        <v>22</v>
      </c>
      <c r="CC307">
        <v>27.2</v>
      </c>
      <c r="CR307">
        <v>56.88</v>
      </c>
    </row>
    <row r="308" spans="1:107" x14ac:dyDescent="0.2">
      <c r="A308">
        <v>2609</v>
      </c>
      <c r="B308" s="41"/>
      <c r="C308" s="43"/>
      <c r="D308" s="41"/>
      <c r="E308" s="43">
        <v>4143.12</v>
      </c>
      <c r="F308" s="41"/>
      <c r="G308" s="43">
        <v>0</v>
      </c>
      <c r="H308" s="41">
        <v>642.05000000000007</v>
      </c>
      <c r="I308" s="43">
        <v>3741.52</v>
      </c>
      <c r="J308" s="41"/>
      <c r="K308" s="43"/>
      <c r="L308" s="41">
        <v>56.88</v>
      </c>
      <c r="M308" s="43"/>
      <c r="N308" s="41"/>
      <c r="O308" s="43">
        <v>0</v>
      </c>
      <c r="P308" s="41">
        <v>0</v>
      </c>
      <c r="Q308" s="43">
        <v>0</v>
      </c>
      <c r="R308" s="41">
        <v>0</v>
      </c>
      <c r="BW308">
        <v>1580.39</v>
      </c>
      <c r="BX308">
        <v>1368.05</v>
      </c>
    </row>
    <row r="309" spans="1:107" x14ac:dyDescent="0.2">
      <c r="A309">
        <v>2683</v>
      </c>
      <c r="B309" s="41"/>
      <c r="C309" s="43"/>
      <c r="D309" s="41"/>
      <c r="E309" s="43">
        <v>8881.5</v>
      </c>
      <c r="F309" s="41"/>
      <c r="G309" s="43">
        <v>0</v>
      </c>
      <c r="H309" s="41">
        <v>2948.44</v>
      </c>
      <c r="I309" s="43"/>
      <c r="J309" s="41"/>
      <c r="K309" s="43"/>
      <c r="L309" s="41">
        <v>0</v>
      </c>
      <c r="M309" s="43"/>
      <c r="N309" s="41"/>
      <c r="O309" s="43">
        <v>0</v>
      </c>
      <c r="P309" s="41">
        <v>333.2</v>
      </c>
      <c r="Q309" s="43">
        <v>0</v>
      </c>
      <c r="R309" s="41">
        <v>0</v>
      </c>
      <c r="BW309">
        <v>221.04</v>
      </c>
      <c r="BX309">
        <v>268.67</v>
      </c>
      <c r="CA309">
        <v>971.88</v>
      </c>
      <c r="CD309">
        <v>74.52</v>
      </c>
      <c r="CG309">
        <v>21</v>
      </c>
      <c r="DA309">
        <v>6257</v>
      </c>
    </row>
    <row r="310" spans="1:107" x14ac:dyDescent="0.2">
      <c r="A310">
        <v>2687</v>
      </c>
      <c r="B310" s="41">
        <v>759</v>
      </c>
      <c r="C310" s="43"/>
      <c r="D310" s="41"/>
      <c r="E310" s="43"/>
      <c r="F310" s="41">
        <v>3956.83</v>
      </c>
      <c r="G310" s="43">
        <v>0</v>
      </c>
      <c r="H310" s="41">
        <v>1557.1100000000001</v>
      </c>
      <c r="I310" s="43"/>
      <c r="J310" s="41"/>
      <c r="K310" s="43"/>
      <c r="L310" s="41">
        <v>0</v>
      </c>
      <c r="M310" s="43"/>
      <c r="N310" s="41"/>
      <c r="O310" s="43">
        <v>6257</v>
      </c>
      <c r="P310" s="41">
        <v>192.35</v>
      </c>
      <c r="Q310" s="43">
        <v>0</v>
      </c>
      <c r="R310" s="41">
        <v>0</v>
      </c>
      <c r="BW310">
        <v>811.94</v>
      </c>
      <c r="BX310">
        <v>287.08</v>
      </c>
      <c r="BY310">
        <v>525.21</v>
      </c>
      <c r="BZ310">
        <v>6.07</v>
      </c>
      <c r="CG310">
        <v>91.47</v>
      </c>
    </row>
    <row r="311" spans="1:107" x14ac:dyDescent="0.2">
      <c r="A311">
        <v>2689</v>
      </c>
      <c r="B311" s="41"/>
      <c r="C311" s="43"/>
      <c r="D311" s="41">
        <v>9549.31</v>
      </c>
      <c r="E311" s="43">
        <v>4308.05</v>
      </c>
      <c r="F311" s="41"/>
      <c r="G311" s="43">
        <v>0</v>
      </c>
      <c r="H311" s="41">
        <v>1721.77</v>
      </c>
      <c r="I311" s="43"/>
      <c r="J311" s="41"/>
      <c r="K311" s="43"/>
      <c r="L311" s="41">
        <v>0</v>
      </c>
      <c r="M311" s="43"/>
      <c r="N311" s="41"/>
      <c r="O311" s="43">
        <v>0</v>
      </c>
      <c r="P311" s="41">
        <v>1392.99</v>
      </c>
      <c r="Q311" s="43">
        <v>0</v>
      </c>
      <c r="R311" s="41">
        <v>0</v>
      </c>
      <c r="BQ311">
        <v>142.5</v>
      </c>
      <c r="BR311">
        <v>250</v>
      </c>
      <c r="BW311">
        <v>1862.37</v>
      </c>
      <c r="BX311">
        <v>463.66</v>
      </c>
      <c r="BY311">
        <v>939.07</v>
      </c>
      <c r="BZ311">
        <v>1500</v>
      </c>
      <c r="CA311">
        <v>71.400000000000006</v>
      </c>
    </row>
    <row r="312" spans="1:107" x14ac:dyDescent="0.2">
      <c r="A312">
        <v>2711</v>
      </c>
      <c r="B312" s="41"/>
      <c r="C312" s="43"/>
      <c r="D312" s="41">
        <v>19104.259999999998</v>
      </c>
      <c r="E312" s="43">
        <v>4848.28</v>
      </c>
      <c r="F312" s="41"/>
      <c r="G312" s="43">
        <v>392.5</v>
      </c>
      <c r="H312" s="41">
        <v>4836.5</v>
      </c>
      <c r="I312" s="43"/>
      <c r="J312" s="41"/>
      <c r="K312" s="43"/>
      <c r="L312" s="41">
        <v>0</v>
      </c>
      <c r="M312" s="43">
        <v>69.3</v>
      </c>
      <c r="N312" s="41"/>
      <c r="O312" s="43">
        <v>0</v>
      </c>
      <c r="P312" s="41">
        <v>806.36</v>
      </c>
      <c r="Q312" s="43">
        <v>0</v>
      </c>
      <c r="R312" s="41">
        <v>0</v>
      </c>
      <c r="BS312">
        <v>29891.51</v>
      </c>
      <c r="BW312">
        <v>3233.07</v>
      </c>
      <c r="BX312">
        <v>1190.31</v>
      </c>
      <c r="BY312">
        <v>1343.9</v>
      </c>
      <c r="BZ312">
        <v>462.48</v>
      </c>
      <c r="CA312">
        <v>5.07</v>
      </c>
      <c r="CC312">
        <v>15.6</v>
      </c>
      <c r="CD312">
        <v>84.04</v>
      </c>
      <c r="CG312">
        <v>214</v>
      </c>
      <c r="CQ312">
        <v>5528.9</v>
      </c>
      <c r="CR312">
        <v>225.25</v>
      </c>
    </row>
    <row r="313" spans="1:107" x14ac:dyDescent="0.2">
      <c r="A313">
        <v>2752</v>
      </c>
      <c r="B313" s="41"/>
      <c r="C313" s="43"/>
      <c r="D313" s="41">
        <v>4041.84</v>
      </c>
      <c r="E313" s="43">
        <v>1836.96</v>
      </c>
      <c r="F313" s="41">
        <v>6573.98</v>
      </c>
      <c r="G313" s="43">
        <v>29891.51</v>
      </c>
      <c r="H313" s="41">
        <v>6548.47</v>
      </c>
      <c r="I313" s="43">
        <v>6330</v>
      </c>
      <c r="J313" s="41"/>
      <c r="K313" s="43">
        <v>184.66</v>
      </c>
      <c r="L313" s="41">
        <v>5754.15</v>
      </c>
      <c r="M313" s="43">
        <v>193.77</v>
      </c>
      <c r="N313" s="41"/>
      <c r="O313" s="43">
        <v>0</v>
      </c>
      <c r="P313" s="41">
        <v>1090.3900000000001</v>
      </c>
      <c r="Q313" s="43">
        <v>1000</v>
      </c>
      <c r="R313" s="41">
        <v>0</v>
      </c>
      <c r="DA313">
        <v>32230.42</v>
      </c>
    </row>
    <row r="314" spans="1:107" x14ac:dyDescent="0.2">
      <c r="A314">
        <v>2753</v>
      </c>
      <c r="B314" s="41"/>
      <c r="C314" s="43"/>
      <c r="D314" s="41"/>
      <c r="E314" s="43"/>
      <c r="F314" s="41"/>
      <c r="G314" s="43">
        <v>0</v>
      </c>
      <c r="H314" s="41">
        <v>0</v>
      </c>
      <c r="I314" s="43"/>
      <c r="J314" s="41"/>
      <c r="K314" s="43"/>
      <c r="L314" s="41">
        <v>0</v>
      </c>
      <c r="M314" s="43"/>
      <c r="N314" s="41"/>
      <c r="O314" s="43">
        <v>32230.42</v>
      </c>
      <c r="P314" s="41">
        <v>0</v>
      </c>
      <c r="Q314" s="43">
        <v>0</v>
      </c>
      <c r="R314" s="41">
        <v>0</v>
      </c>
      <c r="BW314">
        <v>2022.57</v>
      </c>
      <c r="BX314">
        <v>627.45000000000005</v>
      </c>
      <c r="BY314">
        <v>926.44</v>
      </c>
      <c r="BZ314">
        <v>4238.1499999999996</v>
      </c>
      <c r="CD314">
        <v>213.92</v>
      </c>
      <c r="CQ314">
        <v>40.43</v>
      </c>
    </row>
    <row r="315" spans="1:107" x14ac:dyDescent="0.2">
      <c r="A315">
        <v>2754</v>
      </c>
      <c r="B315" s="41"/>
      <c r="C315" s="43"/>
      <c r="D315" s="41">
        <v>16445.79</v>
      </c>
      <c r="E315" s="43">
        <v>9985.39</v>
      </c>
      <c r="F315" s="41"/>
      <c r="G315" s="43">
        <v>0</v>
      </c>
      <c r="H315" s="41">
        <v>8028.53</v>
      </c>
      <c r="I315" s="43">
        <v>73.150000000000006</v>
      </c>
      <c r="J315" s="41"/>
      <c r="K315" s="43"/>
      <c r="L315" s="41">
        <v>40.43</v>
      </c>
      <c r="M315" s="43">
        <v>78.95</v>
      </c>
      <c r="N315" s="41"/>
      <c r="O315" s="43">
        <v>0</v>
      </c>
      <c r="P315" s="41">
        <v>1292.3399999999999</v>
      </c>
      <c r="Q315" s="43">
        <v>0</v>
      </c>
      <c r="R315" s="41">
        <v>0</v>
      </c>
      <c r="DA315">
        <v>5147.83</v>
      </c>
    </row>
    <row r="316" spans="1:107" x14ac:dyDescent="0.2">
      <c r="A316">
        <v>2759</v>
      </c>
      <c r="B316" s="41"/>
      <c r="C316" s="43"/>
      <c r="D316" s="41"/>
      <c r="E316" s="43"/>
      <c r="F316" s="41"/>
      <c r="G316" s="43">
        <v>0</v>
      </c>
      <c r="H316" s="41">
        <v>0</v>
      </c>
      <c r="I316" s="43"/>
      <c r="J316" s="41"/>
      <c r="K316" s="43"/>
      <c r="L316" s="41">
        <v>0</v>
      </c>
      <c r="M316" s="43"/>
      <c r="N316" s="41"/>
      <c r="O316" s="43">
        <v>5147.83</v>
      </c>
      <c r="P316" s="41">
        <v>0</v>
      </c>
      <c r="Q316" s="43">
        <v>0</v>
      </c>
      <c r="R316" s="41">
        <v>0</v>
      </c>
      <c r="BW316">
        <v>380.65</v>
      </c>
      <c r="BX316">
        <v>324.83999999999997</v>
      </c>
      <c r="BY316">
        <v>6.35</v>
      </c>
      <c r="CA316">
        <v>1.64</v>
      </c>
      <c r="CR316">
        <v>65.47</v>
      </c>
      <c r="CX316">
        <v>3467.2</v>
      </c>
      <c r="DA316">
        <v>17801.96</v>
      </c>
    </row>
    <row r="317" spans="1:107" x14ac:dyDescent="0.2">
      <c r="A317">
        <v>2805</v>
      </c>
      <c r="B317" s="41"/>
      <c r="C317" s="43"/>
      <c r="D317" s="41"/>
      <c r="E317" s="43"/>
      <c r="F317" s="41">
        <v>4972.18</v>
      </c>
      <c r="G317" s="43">
        <v>0</v>
      </c>
      <c r="H317" s="41">
        <v>713.48</v>
      </c>
      <c r="I317" s="43"/>
      <c r="J317" s="41"/>
      <c r="K317" s="43"/>
      <c r="L317" s="41">
        <v>65.47</v>
      </c>
      <c r="M317" s="43"/>
      <c r="N317" s="41"/>
      <c r="O317" s="43">
        <v>21269.16</v>
      </c>
      <c r="P317" s="41">
        <v>6564.02</v>
      </c>
      <c r="Q317" s="43">
        <v>14438.33</v>
      </c>
      <c r="R317" s="41">
        <v>0</v>
      </c>
      <c r="BQ317">
        <v>725</v>
      </c>
      <c r="BW317">
        <v>1921.59</v>
      </c>
      <c r="BY317">
        <v>1941.84</v>
      </c>
      <c r="BZ317">
        <v>5238.93</v>
      </c>
      <c r="CB317">
        <v>422.68</v>
      </c>
      <c r="CD317">
        <v>837.8</v>
      </c>
      <c r="CG317">
        <v>229.1</v>
      </c>
      <c r="CQ317">
        <v>4083.75</v>
      </c>
    </row>
    <row r="318" spans="1:107" x14ac:dyDescent="0.2">
      <c r="A318">
        <v>2835</v>
      </c>
      <c r="B318" s="41"/>
      <c r="C318" s="43"/>
      <c r="D318" s="41">
        <v>35141.480000000003</v>
      </c>
      <c r="E318" s="43"/>
      <c r="F318" s="41"/>
      <c r="G318" s="43">
        <v>725</v>
      </c>
      <c r="H318" s="41">
        <v>10591.94</v>
      </c>
      <c r="I318" s="43"/>
      <c r="J318" s="41"/>
      <c r="K318" s="43"/>
      <c r="L318" s="41">
        <v>4083.75</v>
      </c>
      <c r="M318" s="43"/>
      <c r="N318" s="41"/>
      <c r="O318" s="43">
        <v>0</v>
      </c>
      <c r="P318" s="41">
        <v>375.7</v>
      </c>
      <c r="Q318" s="43">
        <v>0</v>
      </c>
      <c r="R318" s="41">
        <v>0</v>
      </c>
      <c r="BW318">
        <v>3970.33</v>
      </c>
      <c r="BX318">
        <v>1772.87</v>
      </c>
      <c r="BY318">
        <v>1320.91</v>
      </c>
      <c r="CR318">
        <v>575.65</v>
      </c>
      <c r="DC318">
        <v>8421.4</v>
      </c>
    </row>
    <row r="319" spans="1:107" x14ac:dyDescent="0.2">
      <c r="A319">
        <v>2853</v>
      </c>
      <c r="B319" s="41"/>
      <c r="C319" s="43"/>
      <c r="D319" s="41">
        <v>24328.2</v>
      </c>
      <c r="E319" s="43">
        <v>27571.65</v>
      </c>
      <c r="F319" s="41"/>
      <c r="G319" s="43">
        <v>0</v>
      </c>
      <c r="H319" s="41">
        <v>7064.11</v>
      </c>
      <c r="I319" s="43">
        <v>20.399999999999999</v>
      </c>
      <c r="J319" s="41"/>
      <c r="K319" s="43"/>
      <c r="L319" s="41">
        <v>575.65</v>
      </c>
      <c r="M319" s="43"/>
      <c r="N319" s="41"/>
      <c r="O319" s="43">
        <v>8421.4</v>
      </c>
      <c r="P319" s="41">
        <v>152.16</v>
      </c>
      <c r="Q319" s="43">
        <v>0</v>
      </c>
      <c r="R319" s="41">
        <v>0</v>
      </c>
      <c r="BW319">
        <v>1692.99</v>
      </c>
      <c r="BX319">
        <v>508.56</v>
      </c>
      <c r="BY319">
        <v>1086.93</v>
      </c>
      <c r="BZ319">
        <v>8480.2999999999993</v>
      </c>
      <c r="CA319">
        <v>37.82</v>
      </c>
    </row>
    <row r="320" spans="1:107" x14ac:dyDescent="0.2">
      <c r="A320">
        <v>2854</v>
      </c>
      <c r="B320" s="41"/>
      <c r="C320" s="43"/>
      <c r="D320" s="41">
        <v>34970.67</v>
      </c>
      <c r="E320" s="43"/>
      <c r="F320" s="41"/>
      <c r="G320" s="43">
        <v>0</v>
      </c>
      <c r="H320" s="41">
        <v>11806.599999999999</v>
      </c>
      <c r="I320" s="43"/>
      <c r="J320" s="41"/>
      <c r="K320" s="43"/>
      <c r="L320" s="41">
        <v>0</v>
      </c>
      <c r="M320" s="43"/>
      <c r="N320" s="41"/>
      <c r="O320" s="43">
        <v>0</v>
      </c>
      <c r="P320" s="41">
        <v>595.16</v>
      </c>
      <c r="Q320" s="43">
        <v>0</v>
      </c>
      <c r="R320" s="41">
        <v>0</v>
      </c>
      <c r="BW320">
        <v>2060.3200000000002</v>
      </c>
      <c r="BY320">
        <v>1496.2</v>
      </c>
      <c r="CD320">
        <v>1030</v>
      </c>
    </row>
    <row r="321" spans="1:109" x14ac:dyDescent="0.2">
      <c r="A321">
        <v>2856</v>
      </c>
      <c r="B321" s="41"/>
      <c r="C321" s="43"/>
      <c r="D321" s="41">
        <v>13307.22</v>
      </c>
      <c r="E321" s="43"/>
      <c r="F321" s="41"/>
      <c r="G321" s="43">
        <v>0</v>
      </c>
      <c r="H321" s="41">
        <v>4586.5200000000004</v>
      </c>
      <c r="I321" s="43">
        <v>1505.15</v>
      </c>
      <c r="J321" s="41"/>
      <c r="K321" s="43"/>
      <c r="L321" s="41">
        <v>0</v>
      </c>
      <c r="M321" s="43">
        <v>143.07</v>
      </c>
      <c r="N321" s="41"/>
      <c r="O321" s="43">
        <v>0</v>
      </c>
      <c r="P321" s="41">
        <v>5281.26</v>
      </c>
      <c r="Q321" s="43">
        <v>0</v>
      </c>
      <c r="R321" s="41">
        <v>0</v>
      </c>
      <c r="BQ321">
        <v>36.11</v>
      </c>
      <c r="BW321" s="9">
        <v>3039.66</v>
      </c>
      <c r="BX321">
        <v>524.13</v>
      </c>
      <c r="BY321" s="9">
        <v>1752.86</v>
      </c>
      <c r="BZ321">
        <v>841</v>
      </c>
      <c r="CG321">
        <v>244.22</v>
      </c>
      <c r="CR321">
        <v>10000</v>
      </c>
      <c r="DE321">
        <v>11093</v>
      </c>
    </row>
    <row r="322" spans="1:109" x14ac:dyDescent="0.2">
      <c r="A322">
        <v>2859</v>
      </c>
      <c r="B322" s="41"/>
      <c r="C322" s="43">
        <v>824.12</v>
      </c>
      <c r="D322" s="42">
        <v>31046.3</v>
      </c>
      <c r="E322" s="43">
        <v>6168.88</v>
      </c>
      <c r="F322" s="41">
        <v>1673.52</v>
      </c>
      <c r="G322" s="43">
        <v>36.11</v>
      </c>
      <c r="H322" s="41">
        <v>6401.87</v>
      </c>
      <c r="I322" s="43">
        <v>324</v>
      </c>
      <c r="J322" s="41"/>
      <c r="K322" s="43">
        <v>1.6</v>
      </c>
      <c r="L322" s="41">
        <v>10000</v>
      </c>
      <c r="M322" s="43"/>
      <c r="N322" s="41"/>
      <c r="O322" s="43">
        <v>11093</v>
      </c>
      <c r="P322" s="41">
        <v>769.04</v>
      </c>
      <c r="Q322" s="43">
        <v>0</v>
      </c>
      <c r="R322" s="41">
        <v>0</v>
      </c>
      <c r="BW322">
        <v>364.39</v>
      </c>
      <c r="BX322">
        <v>24.43</v>
      </c>
      <c r="BY322">
        <v>417.87</v>
      </c>
      <c r="CR322">
        <v>4019.62</v>
      </c>
    </row>
    <row r="323" spans="1:109" x14ac:dyDescent="0.2">
      <c r="A323">
        <v>2860</v>
      </c>
      <c r="B323" s="41"/>
      <c r="C323" s="43"/>
      <c r="D323" s="41">
        <v>7397.51</v>
      </c>
      <c r="E323" s="43"/>
      <c r="F323" s="41">
        <v>3236.5</v>
      </c>
      <c r="G323" s="43">
        <v>0</v>
      </c>
      <c r="H323" s="41">
        <v>806.69</v>
      </c>
      <c r="I323" s="43"/>
      <c r="J323" s="41"/>
      <c r="K323" s="43"/>
      <c r="L323" s="41">
        <v>4019.62</v>
      </c>
      <c r="M323" s="43">
        <v>130</v>
      </c>
      <c r="N323" s="41"/>
      <c r="O323" s="43">
        <v>0</v>
      </c>
      <c r="P323" s="41">
        <v>242.88</v>
      </c>
      <c r="Q323" s="43">
        <v>0</v>
      </c>
      <c r="R323" s="41">
        <v>0</v>
      </c>
      <c r="BW323">
        <v>2002.36</v>
      </c>
      <c r="BX323">
        <v>1483.07</v>
      </c>
      <c r="CA323">
        <v>52.25</v>
      </c>
    </row>
    <row r="324" spans="1:109" x14ac:dyDescent="0.2">
      <c r="A324">
        <v>2884</v>
      </c>
      <c r="B324" s="41"/>
      <c r="C324" s="43"/>
      <c r="D324" s="41">
        <v>3898.31</v>
      </c>
      <c r="E324" s="43">
        <v>22276.45</v>
      </c>
      <c r="F324" s="41"/>
      <c r="G324" s="43">
        <v>0</v>
      </c>
      <c r="H324" s="41">
        <v>3537.68</v>
      </c>
      <c r="I324" s="43"/>
      <c r="J324" s="41"/>
      <c r="K324" s="43"/>
      <c r="L324" s="41">
        <v>0</v>
      </c>
      <c r="M324" s="43"/>
      <c r="N324" s="41"/>
      <c r="O324" s="43">
        <v>0</v>
      </c>
      <c r="P324" s="41">
        <v>453.57</v>
      </c>
      <c r="Q324" s="43">
        <v>0</v>
      </c>
      <c r="R324" s="41">
        <v>0</v>
      </c>
      <c r="BW324">
        <v>325.13</v>
      </c>
      <c r="BY324">
        <v>48.57</v>
      </c>
    </row>
    <row r="325" spans="1:109" x14ac:dyDescent="0.2">
      <c r="A325">
        <v>2886</v>
      </c>
      <c r="B325" s="41"/>
      <c r="C325" s="43"/>
      <c r="D325" s="41">
        <v>479.06</v>
      </c>
      <c r="E325" s="43">
        <v>3805.74</v>
      </c>
      <c r="F325" s="41"/>
      <c r="G325" s="43">
        <v>0</v>
      </c>
      <c r="H325" s="41">
        <v>373.7</v>
      </c>
      <c r="I325" s="43"/>
      <c r="J325" s="41"/>
      <c r="K325" s="43"/>
      <c r="L325" s="41">
        <v>0</v>
      </c>
      <c r="M325" s="43"/>
      <c r="N325" s="41"/>
      <c r="O325" s="43">
        <v>0</v>
      </c>
      <c r="P325" s="41">
        <v>0</v>
      </c>
      <c r="Q325" s="43">
        <v>0</v>
      </c>
      <c r="R325" s="41">
        <v>0</v>
      </c>
      <c r="BR325">
        <v>315</v>
      </c>
      <c r="BS325">
        <v>110.3</v>
      </c>
      <c r="BW325">
        <v>1400.34</v>
      </c>
      <c r="BX325">
        <v>587.91999999999996</v>
      </c>
      <c r="BY325">
        <v>512.89</v>
      </c>
      <c r="CR325">
        <v>133.76</v>
      </c>
    </row>
    <row r="326" spans="1:109" x14ac:dyDescent="0.2">
      <c r="A326">
        <v>2888</v>
      </c>
      <c r="B326" s="41"/>
      <c r="C326" s="43"/>
      <c r="D326" s="41">
        <v>9326.7099999999991</v>
      </c>
      <c r="E326" s="43">
        <v>8553.5499999999993</v>
      </c>
      <c r="F326" s="41"/>
      <c r="G326" s="43">
        <v>425.3</v>
      </c>
      <c r="H326" s="41">
        <v>2501.1499999999996</v>
      </c>
      <c r="I326" s="43"/>
      <c r="J326" s="41"/>
      <c r="K326" s="43"/>
      <c r="L326" s="41">
        <v>133.76</v>
      </c>
      <c r="M326" s="43"/>
      <c r="N326" s="41"/>
      <c r="O326" s="43">
        <v>0</v>
      </c>
      <c r="P326" s="41">
        <v>573.4</v>
      </c>
      <c r="Q326" s="43">
        <v>0</v>
      </c>
      <c r="R326" s="41">
        <v>0</v>
      </c>
      <c r="BQ326">
        <v>45</v>
      </c>
      <c r="BW326">
        <v>1896.14</v>
      </c>
      <c r="BX326">
        <v>409.4</v>
      </c>
      <c r="BY326">
        <v>1018.39</v>
      </c>
      <c r="CA326">
        <v>1.26</v>
      </c>
      <c r="CG326">
        <v>166.74</v>
      </c>
      <c r="CR326">
        <v>2575.94</v>
      </c>
    </row>
    <row r="327" spans="1:109" x14ac:dyDescent="0.2">
      <c r="A327">
        <v>2889</v>
      </c>
      <c r="B327" s="41"/>
      <c r="C327" s="43"/>
      <c r="D327" s="41">
        <v>18468.25</v>
      </c>
      <c r="E327" s="43">
        <v>6205.54</v>
      </c>
      <c r="F327" s="41">
        <v>68.760000000000005</v>
      </c>
      <c r="G327" s="43">
        <v>45</v>
      </c>
      <c r="H327" s="41">
        <v>3491.9300000000003</v>
      </c>
      <c r="I327" s="43">
        <v>25</v>
      </c>
      <c r="J327" s="41"/>
      <c r="K327" s="43">
        <v>14</v>
      </c>
      <c r="L327" s="41">
        <v>2575.94</v>
      </c>
      <c r="M327" s="43">
        <v>43.29</v>
      </c>
      <c r="N327" s="41"/>
      <c r="O327" s="43">
        <v>0</v>
      </c>
      <c r="P327" s="41">
        <v>2428.4900000000002</v>
      </c>
      <c r="Q327" s="43">
        <v>0</v>
      </c>
      <c r="R327" s="41">
        <v>42.68</v>
      </c>
      <c r="BW327">
        <v>1094.1199999999999</v>
      </c>
      <c r="BX327">
        <v>364.04</v>
      </c>
      <c r="BY327">
        <v>485.88</v>
      </c>
      <c r="CA327">
        <v>5.48</v>
      </c>
      <c r="CC327">
        <v>66.7</v>
      </c>
    </row>
    <row r="328" spans="1:109" x14ac:dyDescent="0.2">
      <c r="A328">
        <v>2890</v>
      </c>
      <c r="B328" s="41"/>
      <c r="C328" s="43"/>
      <c r="D328" s="41">
        <v>8833.16</v>
      </c>
      <c r="E328" s="43">
        <v>5469.45</v>
      </c>
      <c r="F328" s="41"/>
      <c r="G328" s="43">
        <v>0</v>
      </c>
      <c r="H328" s="41">
        <v>2016.22</v>
      </c>
      <c r="I328" s="43"/>
      <c r="J328" s="41"/>
      <c r="K328" s="43">
        <v>29.4</v>
      </c>
      <c r="L328" s="41">
        <v>0</v>
      </c>
      <c r="M328" s="43"/>
      <c r="N328" s="41"/>
      <c r="O328" s="43">
        <v>0</v>
      </c>
      <c r="P328" s="41">
        <v>623.69000000000005</v>
      </c>
      <c r="Q328" s="43">
        <v>0</v>
      </c>
      <c r="R328" s="41">
        <v>0</v>
      </c>
      <c r="BW328">
        <v>1613.67</v>
      </c>
      <c r="BY328">
        <v>1231.3699999999999</v>
      </c>
      <c r="CG328">
        <v>287</v>
      </c>
    </row>
    <row r="329" spans="1:109" x14ac:dyDescent="0.2">
      <c r="A329">
        <v>2895</v>
      </c>
      <c r="B329" s="41">
        <v>1450</v>
      </c>
      <c r="C329" s="43">
        <v>5955.5</v>
      </c>
      <c r="D329" s="41">
        <v>14232.85</v>
      </c>
      <c r="E329" s="43"/>
      <c r="F329" s="41"/>
      <c r="G329" s="43">
        <v>0</v>
      </c>
      <c r="H329" s="41">
        <v>3132.04</v>
      </c>
      <c r="I329" s="43">
        <v>513</v>
      </c>
      <c r="J329" s="41">
        <v>240</v>
      </c>
      <c r="K329" s="43"/>
      <c r="L329" s="41">
        <v>0</v>
      </c>
      <c r="M329" s="43"/>
      <c r="N329" s="41"/>
      <c r="O329" s="43">
        <v>0</v>
      </c>
      <c r="P329" s="41">
        <v>1551.8</v>
      </c>
      <c r="Q329" s="43">
        <v>0</v>
      </c>
      <c r="R329" s="41">
        <v>0</v>
      </c>
      <c r="BS329">
        <v>15755.9</v>
      </c>
      <c r="BW329">
        <v>3788.83</v>
      </c>
      <c r="BX329">
        <v>417.42</v>
      </c>
      <c r="BY329">
        <v>2059.59</v>
      </c>
      <c r="CG329">
        <v>342.42</v>
      </c>
    </row>
    <row r="330" spans="1:109" x14ac:dyDescent="0.2">
      <c r="A330">
        <v>2897</v>
      </c>
      <c r="B330" s="41"/>
      <c r="C330" s="43"/>
      <c r="D330" s="41">
        <v>33789.4</v>
      </c>
      <c r="E330" s="43"/>
      <c r="F330" s="41"/>
      <c r="G330" s="43">
        <v>15755.9</v>
      </c>
      <c r="H330" s="41">
        <v>6608.26</v>
      </c>
      <c r="I330" s="43"/>
      <c r="J330" s="41"/>
      <c r="K330" s="43"/>
      <c r="L330" s="41">
        <v>0</v>
      </c>
      <c r="M330" s="43">
        <v>171</v>
      </c>
      <c r="N330" s="41"/>
      <c r="O330" s="43">
        <v>0</v>
      </c>
      <c r="P330" s="41">
        <v>189</v>
      </c>
      <c r="Q330" s="43">
        <v>0</v>
      </c>
      <c r="R330" s="41">
        <v>0</v>
      </c>
      <c r="BW330">
        <v>340.45</v>
      </c>
      <c r="BX330">
        <v>296.89</v>
      </c>
      <c r="CG330">
        <v>31.8</v>
      </c>
      <c r="CR330">
        <v>2927.88</v>
      </c>
    </row>
    <row r="331" spans="1:109" x14ac:dyDescent="0.2">
      <c r="A331">
        <v>2898</v>
      </c>
      <c r="B331" s="41"/>
      <c r="C331" s="43">
        <v>1000</v>
      </c>
      <c r="D331" s="41"/>
      <c r="E331" s="43">
        <v>4450.07</v>
      </c>
      <c r="F331" s="41"/>
      <c r="G331" s="43">
        <v>0</v>
      </c>
      <c r="H331" s="41">
        <v>669.13999999999987</v>
      </c>
      <c r="I331" s="43"/>
      <c r="J331" s="41"/>
      <c r="K331" s="43"/>
      <c r="L331" s="41">
        <v>2927.88</v>
      </c>
      <c r="M331" s="43"/>
      <c r="N331" s="41"/>
      <c r="O331" s="43">
        <v>0</v>
      </c>
      <c r="P331" s="41">
        <v>0</v>
      </c>
      <c r="Q331" s="43">
        <v>0</v>
      </c>
      <c r="R331" s="41">
        <v>0</v>
      </c>
      <c r="BW331">
        <v>5020.13</v>
      </c>
      <c r="BX331">
        <v>1188.19</v>
      </c>
      <c r="BY331">
        <v>3116.41</v>
      </c>
      <c r="BZ331">
        <v>9466.33</v>
      </c>
      <c r="CA331">
        <v>146.69999999999999</v>
      </c>
      <c r="CB331">
        <v>941.49</v>
      </c>
      <c r="CC331">
        <v>212.33</v>
      </c>
      <c r="CD331">
        <v>350.16</v>
      </c>
    </row>
    <row r="332" spans="1:109" x14ac:dyDescent="0.2">
      <c r="A332">
        <v>2899</v>
      </c>
      <c r="B332" s="41"/>
      <c r="C332" s="43"/>
      <c r="D332" s="41">
        <v>56659.47</v>
      </c>
      <c r="E332" s="43">
        <v>17863.009999999998</v>
      </c>
      <c r="F332" s="41"/>
      <c r="G332" s="43">
        <v>0</v>
      </c>
      <c r="H332" s="41">
        <v>20441.740000000002</v>
      </c>
      <c r="I332" s="43"/>
      <c r="J332" s="41"/>
      <c r="K332" s="43"/>
      <c r="L332" s="41">
        <v>0</v>
      </c>
      <c r="M332" s="43"/>
      <c r="N332" s="41"/>
      <c r="O332" s="43">
        <v>0</v>
      </c>
      <c r="P332" s="41">
        <v>344.25</v>
      </c>
      <c r="Q332" s="43">
        <v>0</v>
      </c>
      <c r="R332" s="41">
        <v>0</v>
      </c>
      <c r="DE332">
        <v>6309</v>
      </c>
    </row>
    <row r="333" spans="1:109" x14ac:dyDescent="0.2">
      <c r="A333">
        <v>2902</v>
      </c>
      <c r="B333" s="41"/>
      <c r="C333" s="43"/>
      <c r="D333" s="41"/>
      <c r="E333" s="43"/>
      <c r="F333" s="41"/>
      <c r="G333" s="43">
        <v>0</v>
      </c>
      <c r="H333" s="41">
        <v>0</v>
      </c>
      <c r="I333" s="43"/>
      <c r="J333" s="41"/>
      <c r="K333" s="43"/>
      <c r="L333" s="41">
        <v>0</v>
      </c>
      <c r="M333" s="43"/>
      <c r="N333" s="41"/>
      <c r="O333" s="43">
        <v>6309</v>
      </c>
      <c r="P333" s="41">
        <v>0</v>
      </c>
      <c r="Q333" s="43">
        <v>0</v>
      </c>
      <c r="R333" s="41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W333">
        <v>9.1199999999999992</v>
      </c>
      <c r="BX333">
        <v>7.9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Q333">
        <v>0</v>
      </c>
      <c r="CR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580.6</v>
      </c>
      <c r="DC333">
        <v>30633.56</v>
      </c>
      <c r="DD333">
        <v>0</v>
      </c>
      <c r="DE333">
        <v>0</v>
      </c>
    </row>
    <row r="334" spans="1:109" x14ac:dyDescent="0.2">
      <c r="A334">
        <v>2903</v>
      </c>
      <c r="B334" s="41">
        <v>0</v>
      </c>
      <c r="C334" s="43">
        <v>0</v>
      </c>
      <c r="D334" s="41">
        <v>0</v>
      </c>
      <c r="E334" s="43">
        <v>0</v>
      </c>
      <c r="F334" s="41">
        <v>118.57</v>
      </c>
      <c r="G334" s="43">
        <v>0</v>
      </c>
      <c r="H334" s="41">
        <v>17.02</v>
      </c>
      <c r="I334" s="43">
        <v>0</v>
      </c>
      <c r="J334" s="41">
        <v>0</v>
      </c>
      <c r="K334" s="43">
        <v>0</v>
      </c>
      <c r="L334" s="41">
        <v>0</v>
      </c>
      <c r="M334" s="43">
        <v>0</v>
      </c>
      <c r="N334" s="41">
        <v>0</v>
      </c>
      <c r="O334" s="43">
        <v>31214.16</v>
      </c>
      <c r="P334" s="41">
        <v>0</v>
      </c>
      <c r="Q334" s="43">
        <v>0</v>
      </c>
      <c r="R334" s="41">
        <v>0</v>
      </c>
      <c r="BO334">
        <v>0</v>
      </c>
      <c r="BP334">
        <v>0</v>
      </c>
      <c r="BQ334">
        <v>451.2</v>
      </c>
      <c r="BR334">
        <v>210</v>
      </c>
      <c r="BS334">
        <v>60</v>
      </c>
      <c r="BT334">
        <v>0</v>
      </c>
      <c r="BU334">
        <v>0</v>
      </c>
      <c r="BW334">
        <v>1575.77</v>
      </c>
      <c r="BX334">
        <v>379.79</v>
      </c>
      <c r="BY334">
        <v>885.56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Q334">
        <v>3900.21</v>
      </c>
      <c r="CR334">
        <v>1516.75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4584.75</v>
      </c>
      <c r="DB334">
        <v>0</v>
      </c>
      <c r="DC334">
        <v>0</v>
      </c>
      <c r="DD334">
        <v>0</v>
      </c>
      <c r="DE334">
        <v>0</v>
      </c>
    </row>
    <row r="335" spans="1:109" x14ac:dyDescent="0.2">
      <c r="A335">
        <v>2904</v>
      </c>
      <c r="B335" s="41">
        <v>1500</v>
      </c>
      <c r="C335" s="43">
        <v>0</v>
      </c>
      <c r="D335" s="41">
        <v>13516</v>
      </c>
      <c r="E335" s="43">
        <v>6352.43</v>
      </c>
      <c r="F335" s="41">
        <v>54.78</v>
      </c>
      <c r="G335" s="43">
        <v>721.2</v>
      </c>
      <c r="H335" s="41">
        <v>2841.12</v>
      </c>
      <c r="I335" s="43">
        <v>0</v>
      </c>
      <c r="J335" s="41">
        <v>0</v>
      </c>
      <c r="K335" s="43">
        <v>1.42</v>
      </c>
      <c r="L335" s="41">
        <v>5416.96</v>
      </c>
      <c r="M335" s="43">
        <v>0</v>
      </c>
      <c r="N335" s="41">
        <v>0</v>
      </c>
      <c r="O335" s="43">
        <v>4584.75</v>
      </c>
      <c r="P335" s="41">
        <v>763.78</v>
      </c>
      <c r="Q335" s="43">
        <v>0</v>
      </c>
      <c r="R335" s="41">
        <v>0</v>
      </c>
      <c r="BO335">
        <v>58559.08</v>
      </c>
      <c r="BP335">
        <v>39983.72</v>
      </c>
      <c r="BQ335">
        <v>1690</v>
      </c>
      <c r="BS335">
        <v>52386.229999999996</v>
      </c>
      <c r="BW335">
        <v>54247.459999999992</v>
      </c>
      <c r="BX335">
        <v>17948.12</v>
      </c>
      <c r="BY335">
        <v>46624.459999999985</v>
      </c>
      <c r="BZ335">
        <v>61868.9</v>
      </c>
      <c r="CA335">
        <v>959.66</v>
      </c>
      <c r="CB335">
        <v>3551.5</v>
      </c>
      <c r="CC335">
        <v>1795.2299999999998</v>
      </c>
      <c r="CD335">
        <v>6155.85</v>
      </c>
      <c r="CJ335">
        <v>3553.8399999999997</v>
      </c>
      <c r="CK335">
        <v>22625.55</v>
      </c>
      <c r="CL335">
        <v>1514.3000000000002</v>
      </c>
      <c r="CY335">
        <v>308.91000000000003</v>
      </c>
      <c r="DC335">
        <v>631.72</v>
      </c>
    </row>
    <row r="336" spans="1:109" x14ac:dyDescent="0.2">
      <c r="A336">
        <v>9999</v>
      </c>
      <c r="B336" s="41">
        <v>2985</v>
      </c>
      <c r="C336" s="43">
        <v>128620.19</v>
      </c>
      <c r="D336" s="41">
        <v>261201.39999999997</v>
      </c>
      <c r="E336" s="43">
        <v>122624.64</v>
      </c>
      <c r="F336" s="41">
        <v>76923.09</v>
      </c>
      <c r="G336" s="43">
        <v>152619.03</v>
      </c>
      <c r="H336" s="41">
        <v>220844.86999999997</v>
      </c>
      <c r="I336" s="43">
        <v>413811.28</v>
      </c>
      <c r="J336" s="41">
        <v>673.79</v>
      </c>
      <c r="K336" s="43">
        <v>1983.44</v>
      </c>
      <c r="L336" s="41">
        <v>0</v>
      </c>
      <c r="M336" s="43">
        <v>4325.6899999999996</v>
      </c>
      <c r="N336" s="41">
        <v>4540</v>
      </c>
      <c r="O336" s="43">
        <v>940.63000000000011</v>
      </c>
      <c r="P336" s="41">
        <v>31737.81</v>
      </c>
      <c r="Q336" s="43">
        <v>5925.6</v>
      </c>
      <c r="R336" s="41">
        <v>4213.1400000000003</v>
      </c>
    </row>
  </sheetData>
  <sheetProtection password="8A77" sheet="1"/>
  <phoneticPr fontId="2" type="noConversion"/>
  <pageMargins left="0.75" right="0.75" top="1" bottom="1" header="0.5" footer="0.5"/>
  <pageSetup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8"/>
  <sheetViews>
    <sheetView workbookViewId="0">
      <selection activeCell="F18" sqref="F18"/>
    </sheetView>
  </sheetViews>
  <sheetFormatPr defaultRowHeight="12.75" x14ac:dyDescent="0.2"/>
  <sheetData>
    <row r="1" spans="1:7" x14ac:dyDescent="0.2">
      <c r="A1" s="3">
        <v>1</v>
      </c>
      <c r="B1" s="3">
        <v>2</v>
      </c>
      <c r="C1" s="3">
        <v>3</v>
      </c>
      <c r="D1" s="3">
        <v>4</v>
      </c>
      <c r="E1" s="3">
        <v>5</v>
      </c>
      <c r="F1" s="3">
        <v>6</v>
      </c>
      <c r="G1" s="3">
        <v>7</v>
      </c>
    </row>
    <row r="2" spans="1:7" x14ac:dyDescent="0.2">
      <c r="A2" s="5" t="s">
        <v>7</v>
      </c>
      <c r="B2" t="s">
        <v>401</v>
      </c>
      <c r="C2" t="s">
        <v>402</v>
      </c>
    </row>
    <row r="3" spans="1:7" x14ac:dyDescent="0.2">
      <c r="A3">
        <v>1</v>
      </c>
      <c r="B3">
        <v>6266.02</v>
      </c>
      <c r="C3">
        <v>10325.66</v>
      </c>
    </row>
    <row r="4" spans="1:7" x14ac:dyDescent="0.2">
      <c r="A4">
        <v>9999</v>
      </c>
      <c r="B4">
        <v>357430.58</v>
      </c>
      <c r="C4">
        <v>173292.49</v>
      </c>
    </row>
    <row r="5" spans="1:7" x14ac:dyDescent="0.2">
      <c r="A5">
        <v>2</v>
      </c>
      <c r="B5">
        <v>1505.71</v>
      </c>
      <c r="C5">
        <v>1412.92</v>
      </c>
    </row>
    <row r="6" spans="1:7" x14ac:dyDescent="0.2">
      <c r="A6">
        <v>4</v>
      </c>
      <c r="B6">
        <v>-8770.7000000000007</v>
      </c>
      <c r="C6">
        <v>-18451.43</v>
      </c>
    </row>
    <row r="7" spans="1:7" x14ac:dyDescent="0.2">
      <c r="A7">
        <v>6</v>
      </c>
      <c r="B7">
        <v>-2944.54</v>
      </c>
      <c r="C7">
        <v>6056.87</v>
      </c>
    </row>
    <row r="8" spans="1:7" x14ac:dyDescent="0.2">
      <c r="A8">
        <v>11</v>
      </c>
      <c r="B8">
        <v>179128.25</v>
      </c>
      <c r="C8">
        <v>177680.78</v>
      </c>
    </row>
    <row r="9" spans="1:7" x14ac:dyDescent="0.2">
      <c r="A9">
        <v>12</v>
      </c>
      <c r="B9">
        <v>27709.69</v>
      </c>
      <c r="C9">
        <v>21904.54</v>
      </c>
    </row>
    <row r="10" spans="1:7" x14ac:dyDescent="0.2">
      <c r="A10">
        <v>13</v>
      </c>
      <c r="B10">
        <v>22377.82</v>
      </c>
      <c r="C10">
        <v>23924.959999999999</v>
      </c>
    </row>
    <row r="11" spans="1:7" x14ac:dyDescent="0.2">
      <c r="A11">
        <v>14</v>
      </c>
      <c r="B11">
        <v>6898</v>
      </c>
      <c r="C11">
        <v>8619.51</v>
      </c>
    </row>
    <row r="12" spans="1:7" x14ac:dyDescent="0.2">
      <c r="A12">
        <v>15</v>
      </c>
      <c r="B12">
        <v>10580.5</v>
      </c>
      <c r="C12">
        <v>10468.91</v>
      </c>
    </row>
    <row r="13" spans="1:7" x14ac:dyDescent="0.2">
      <c r="A13">
        <v>16</v>
      </c>
      <c r="B13">
        <v>7374.98</v>
      </c>
      <c r="C13">
        <v>9437.64</v>
      </c>
    </row>
    <row r="14" spans="1:7" x14ac:dyDescent="0.2">
      <c r="A14">
        <v>22</v>
      </c>
      <c r="B14">
        <v>6550.15</v>
      </c>
      <c r="C14">
        <v>5427.59</v>
      </c>
    </row>
    <row r="15" spans="1:7" x14ac:dyDescent="0.2">
      <c r="A15">
        <v>23</v>
      </c>
      <c r="B15">
        <v>5419.53</v>
      </c>
      <c r="C15">
        <v>11790.52</v>
      </c>
    </row>
    <row r="16" spans="1:7" x14ac:dyDescent="0.2">
      <c r="A16">
        <v>25</v>
      </c>
      <c r="B16">
        <v>186.21</v>
      </c>
      <c r="C16">
        <v>199.62</v>
      </c>
    </row>
    <row r="17" spans="1:3" x14ac:dyDescent="0.2">
      <c r="A17">
        <v>31</v>
      </c>
      <c r="B17">
        <v>26226.78</v>
      </c>
      <c r="C17">
        <v>35381.519999999997</v>
      </c>
    </row>
    <row r="18" spans="1:3" x14ac:dyDescent="0.2">
      <c r="A18">
        <v>32</v>
      </c>
      <c r="B18">
        <v>-428.16</v>
      </c>
      <c r="C18">
        <v>2619.4499999999998</v>
      </c>
    </row>
    <row r="19" spans="1:3" x14ac:dyDescent="0.2">
      <c r="A19">
        <v>36</v>
      </c>
      <c r="B19">
        <v>-0.36</v>
      </c>
      <c r="C19">
        <v>-0.36</v>
      </c>
    </row>
    <row r="20" spans="1:3" x14ac:dyDescent="0.2">
      <c r="A20">
        <v>38</v>
      </c>
      <c r="B20">
        <v>0</v>
      </c>
      <c r="C20">
        <v>0.1</v>
      </c>
    </row>
    <row r="21" spans="1:3" x14ac:dyDescent="0.2">
      <c r="A21">
        <v>47</v>
      </c>
      <c r="B21">
        <v>23452.880000000001</v>
      </c>
      <c r="C21">
        <v>11973.87</v>
      </c>
    </row>
    <row r="22" spans="1:3" x14ac:dyDescent="0.2">
      <c r="A22">
        <v>51</v>
      </c>
      <c r="B22">
        <v>1548.2</v>
      </c>
      <c r="C22">
        <v>-195.42</v>
      </c>
    </row>
    <row r="23" spans="1:3" x14ac:dyDescent="0.2">
      <c r="A23">
        <v>75</v>
      </c>
      <c r="B23">
        <v>17.149999999999999</v>
      </c>
      <c r="C23">
        <v>-994.86</v>
      </c>
    </row>
    <row r="24" spans="1:3" x14ac:dyDescent="0.2">
      <c r="A24">
        <v>77</v>
      </c>
      <c r="B24">
        <v>21904.44</v>
      </c>
      <c r="C24">
        <v>25020.15</v>
      </c>
    </row>
    <row r="25" spans="1:3" x14ac:dyDescent="0.2">
      <c r="A25">
        <v>81</v>
      </c>
      <c r="B25">
        <v>-2606.13</v>
      </c>
      <c r="C25">
        <v>-3961.21</v>
      </c>
    </row>
    <row r="26" spans="1:3" x14ac:dyDescent="0.2">
      <c r="A26">
        <v>84</v>
      </c>
      <c r="B26">
        <v>-16902.169999999998</v>
      </c>
      <c r="C26">
        <v>-16353.77</v>
      </c>
    </row>
    <row r="27" spans="1:3" x14ac:dyDescent="0.2">
      <c r="A27">
        <v>85</v>
      </c>
      <c r="B27">
        <v>-5805.3</v>
      </c>
      <c r="C27">
        <v>-4425.47</v>
      </c>
    </row>
    <row r="28" spans="1:3" x14ac:dyDescent="0.2">
      <c r="A28">
        <v>88</v>
      </c>
      <c r="B28">
        <v>1150.27</v>
      </c>
      <c r="C28">
        <v>0</v>
      </c>
    </row>
    <row r="29" spans="1:3" x14ac:dyDescent="0.2">
      <c r="A29">
        <v>91</v>
      </c>
      <c r="B29">
        <v>2999.97</v>
      </c>
      <c r="C29">
        <v>4477.93</v>
      </c>
    </row>
    <row r="30" spans="1:3" x14ac:dyDescent="0.2">
      <c r="A30">
        <v>93</v>
      </c>
      <c r="B30">
        <v>2349.39</v>
      </c>
      <c r="C30">
        <v>-10858.9</v>
      </c>
    </row>
    <row r="31" spans="1:3" x14ac:dyDescent="0.2">
      <c r="A31">
        <v>94</v>
      </c>
      <c r="B31">
        <v>7826.61</v>
      </c>
      <c r="C31">
        <v>10389.450000000001</v>
      </c>
    </row>
    <row r="32" spans="1:3" x14ac:dyDescent="0.2">
      <c r="A32">
        <v>95</v>
      </c>
      <c r="B32">
        <v>2503.5500000000002</v>
      </c>
      <c r="C32">
        <v>2503.5500000000002</v>
      </c>
    </row>
    <row r="33" spans="1:3" x14ac:dyDescent="0.2">
      <c r="A33">
        <v>97</v>
      </c>
      <c r="B33">
        <v>-6903.96</v>
      </c>
      <c r="C33">
        <v>-3802.4</v>
      </c>
    </row>
    <row r="34" spans="1:3" x14ac:dyDescent="0.2">
      <c r="A34">
        <v>99</v>
      </c>
      <c r="B34">
        <v>11988.8</v>
      </c>
      <c r="C34">
        <v>6762.12</v>
      </c>
    </row>
    <row r="35" spans="1:3" x14ac:dyDescent="0.2">
      <c r="A35">
        <v>100</v>
      </c>
      <c r="B35">
        <v>241.9</v>
      </c>
      <c r="C35">
        <v>441.3</v>
      </c>
    </row>
    <row r="36" spans="1:3" x14ac:dyDescent="0.2">
      <c r="A36">
        <v>108</v>
      </c>
      <c r="B36">
        <v>2594.58</v>
      </c>
      <c r="C36">
        <v>5448</v>
      </c>
    </row>
    <row r="37" spans="1:3" x14ac:dyDescent="0.2">
      <c r="A37">
        <v>110</v>
      </c>
      <c r="B37">
        <v>2089.21</v>
      </c>
      <c r="C37">
        <v>5394.68</v>
      </c>
    </row>
    <row r="38" spans="1:3" x14ac:dyDescent="0.2">
      <c r="A38">
        <v>111</v>
      </c>
      <c r="B38">
        <v>-2614.4899999999998</v>
      </c>
      <c r="C38">
        <v>-4340.08</v>
      </c>
    </row>
    <row r="39" spans="1:3" x14ac:dyDescent="0.2">
      <c r="A39">
        <v>112</v>
      </c>
      <c r="B39">
        <v>0</v>
      </c>
      <c r="C39">
        <v>0</v>
      </c>
    </row>
    <row r="40" spans="1:3" x14ac:dyDescent="0.2">
      <c r="A40">
        <v>113</v>
      </c>
      <c r="B40">
        <v>2243.59</v>
      </c>
      <c r="C40">
        <v>5603.48</v>
      </c>
    </row>
    <row r="41" spans="1:3" x14ac:dyDescent="0.2">
      <c r="A41">
        <v>115</v>
      </c>
      <c r="B41">
        <v>613.67999999999995</v>
      </c>
      <c r="C41">
        <v>-15786.42</v>
      </c>
    </row>
    <row r="42" spans="1:3" x14ac:dyDescent="0.2">
      <c r="A42">
        <v>116</v>
      </c>
      <c r="B42">
        <v>-8431.1</v>
      </c>
      <c r="C42">
        <v>-3649.01</v>
      </c>
    </row>
    <row r="43" spans="1:3" x14ac:dyDescent="0.2">
      <c r="A43">
        <v>118</v>
      </c>
      <c r="B43">
        <v>-1362.17</v>
      </c>
      <c r="C43">
        <v>-2077.9699999999998</v>
      </c>
    </row>
    <row r="44" spans="1:3" x14ac:dyDescent="0.2">
      <c r="A44">
        <v>129</v>
      </c>
      <c r="B44">
        <v>248.01</v>
      </c>
      <c r="C44">
        <v>2223.67</v>
      </c>
    </row>
    <row r="45" spans="1:3" x14ac:dyDescent="0.2">
      <c r="A45">
        <v>138</v>
      </c>
      <c r="B45">
        <v>12370.34</v>
      </c>
      <c r="C45">
        <v>12763.41</v>
      </c>
    </row>
    <row r="46" spans="1:3" x14ac:dyDescent="0.2">
      <c r="A46">
        <v>139</v>
      </c>
      <c r="B46">
        <v>0</v>
      </c>
      <c r="C46">
        <v>0</v>
      </c>
    </row>
    <row r="47" spans="1:3" x14ac:dyDescent="0.2">
      <c r="A47">
        <v>146</v>
      </c>
      <c r="B47">
        <v>-245.88</v>
      </c>
      <c r="C47">
        <v>11473.85</v>
      </c>
    </row>
    <row r="48" spans="1:3" x14ac:dyDescent="0.2">
      <c r="A48">
        <v>150</v>
      </c>
      <c r="B48">
        <v>2628.98</v>
      </c>
      <c r="C48">
        <v>1506.91</v>
      </c>
    </row>
    <row r="49" spans="1:3" x14ac:dyDescent="0.2">
      <c r="A49">
        <v>152</v>
      </c>
      <c r="B49">
        <v>9253.0499999999993</v>
      </c>
      <c r="C49">
        <v>20625.599999999999</v>
      </c>
    </row>
    <row r="50" spans="1:3" x14ac:dyDescent="0.2">
      <c r="A50">
        <v>162</v>
      </c>
      <c r="B50">
        <v>13217</v>
      </c>
      <c r="C50">
        <v>7733.31</v>
      </c>
    </row>
    <row r="51" spans="1:3" x14ac:dyDescent="0.2">
      <c r="A51">
        <v>166</v>
      </c>
      <c r="B51">
        <v>8109.72</v>
      </c>
      <c r="C51">
        <v>3859.57</v>
      </c>
    </row>
    <row r="52" spans="1:3" x14ac:dyDescent="0.2">
      <c r="A52">
        <v>173</v>
      </c>
      <c r="B52">
        <v>1500.19</v>
      </c>
      <c r="C52">
        <v>1440.32</v>
      </c>
    </row>
    <row r="53" spans="1:3" x14ac:dyDescent="0.2">
      <c r="A53">
        <v>177</v>
      </c>
      <c r="B53">
        <v>4431.21</v>
      </c>
      <c r="C53">
        <v>3079.86</v>
      </c>
    </row>
    <row r="54" spans="1:3" x14ac:dyDescent="0.2">
      <c r="A54">
        <v>181</v>
      </c>
      <c r="B54">
        <v>38566.5</v>
      </c>
      <c r="C54">
        <v>21797.96</v>
      </c>
    </row>
    <row r="55" spans="1:3" x14ac:dyDescent="0.2">
      <c r="A55">
        <v>182</v>
      </c>
      <c r="B55">
        <v>2489.5500000000002</v>
      </c>
      <c r="C55">
        <v>2480.44</v>
      </c>
    </row>
    <row r="56" spans="1:3" x14ac:dyDescent="0.2">
      <c r="A56">
        <v>186</v>
      </c>
      <c r="B56">
        <v>16875.93</v>
      </c>
      <c r="C56">
        <v>154.13999999999999</v>
      </c>
    </row>
    <row r="57" spans="1:3" x14ac:dyDescent="0.2">
      <c r="A57">
        <v>191</v>
      </c>
      <c r="B57">
        <v>16404.5</v>
      </c>
      <c r="C57">
        <v>18643.73</v>
      </c>
    </row>
    <row r="58" spans="1:3" x14ac:dyDescent="0.2">
      <c r="A58">
        <v>192</v>
      </c>
      <c r="B58">
        <v>22220.39</v>
      </c>
      <c r="C58">
        <v>21144.99</v>
      </c>
    </row>
    <row r="59" spans="1:3" x14ac:dyDescent="0.2">
      <c r="A59">
        <v>194</v>
      </c>
      <c r="B59">
        <v>12095</v>
      </c>
      <c r="C59">
        <v>12245</v>
      </c>
    </row>
    <row r="60" spans="1:3" x14ac:dyDescent="0.2">
      <c r="A60">
        <v>195</v>
      </c>
      <c r="B60">
        <v>3669.86</v>
      </c>
      <c r="C60">
        <v>5931.81</v>
      </c>
    </row>
    <row r="61" spans="1:3" x14ac:dyDescent="0.2">
      <c r="A61">
        <v>196</v>
      </c>
      <c r="B61">
        <v>84376.5</v>
      </c>
      <c r="C61">
        <v>62688.28</v>
      </c>
    </row>
    <row r="62" spans="1:3" x14ac:dyDescent="0.2">
      <c r="A62">
        <v>197</v>
      </c>
      <c r="B62">
        <v>14041</v>
      </c>
      <c r="C62">
        <v>17175</v>
      </c>
    </row>
    <row r="63" spans="1:3" x14ac:dyDescent="0.2">
      <c r="A63">
        <v>199</v>
      </c>
      <c r="B63">
        <v>-4362.2299999999996</v>
      </c>
      <c r="C63">
        <v>-6052.74</v>
      </c>
    </row>
    <row r="64" spans="1:3" x14ac:dyDescent="0.2">
      <c r="A64">
        <v>200</v>
      </c>
      <c r="B64">
        <v>14061.96</v>
      </c>
      <c r="C64">
        <v>8321.01</v>
      </c>
    </row>
    <row r="65" spans="1:3" x14ac:dyDescent="0.2">
      <c r="A65">
        <v>203</v>
      </c>
      <c r="B65">
        <v>6020.66</v>
      </c>
      <c r="C65">
        <v>0</v>
      </c>
    </row>
    <row r="66" spans="1:3" x14ac:dyDescent="0.2">
      <c r="A66">
        <v>204</v>
      </c>
      <c r="B66">
        <v>7578.57</v>
      </c>
      <c r="C66">
        <v>36304.07</v>
      </c>
    </row>
    <row r="67" spans="1:3" x14ac:dyDescent="0.2">
      <c r="A67">
        <v>206</v>
      </c>
      <c r="B67">
        <v>9925.68</v>
      </c>
      <c r="C67">
        <v>3965.57</v>
      </c>
    </row>
    <row r="68" spans="1:3" x14ac:dyDescent="0.2">
      <c r="A68">
        <v>207</v>
      </c>
      <c r="B68">
        <v>1679.87</v>
      </c>
      <c r="C68">
        <v>-974.31</v>
      </c>
    </row>
    <row r="69" spans="1:3" x14ac:dyDescent="0.2">
      <c r="A69">
        <v>208</v>
      </c>
      <c r="B69">
        <v>584.61</v>
      </c>
      <c r="C69">
        <v>629.73</v>
      </c>
    </row>
    <row r="70" spans="1:3" x14ac:dyDescent="0.2">
      <c r="A70">
        <v>213</v>
      </c>
      <c r="B70">
        <v>-962.96</v>
      </c>
      <c r="C70">
        <v>-14435.88</v>
      </c>
    </row>
    <row r="71" spans="1:3" x14ac:dyDescent="0.2">
      <c r="A71">
        <v>227</v>
      </c>
      <c r="B71">
        <v>15382.58</v>
      </c>
      <c r="C71">
        <v>12105.1</v>
      </c>
    </row>
    <row r="72" spans="1:3" x14ac:dyDescent="0.2">
      <c r="A72">
        <v>229</v>
      </c>
      <c r="B72">
        <v>-2287.6</v>
      </c>
      <c r="C72">
        <v>-1648.79</v>
      </c>
    </row>
    <row r="73" spans="1:3" x14ac:dyDescent="0.2">
      <c r="A73">
        <v>238</v>
      </c>
      <c r="B73">
        <v>-541.64</v>
      </c>
      <c r="C73">
        <v>3959.49</v>
      </c>
    </row>
    <row r="74" spans="1:3" x14ac:dyDescent="0.2">
      <c r="A74">
        <v>239</v>
      </c>
      <c r="B74">
        <v>6567.28</v>
      </c>
      <c r="C74">
        <v>14783.26</v>
      </c>
    </row>
    <row r="75" spans="1:3" x14ac:dyDescent="0.2">
      <c r="A75">
        <v>241</v>
      </c>
      <c r="B75">
        <v>18166.97</v>
      </c>
      <c r="C75">
        <v>19786.87</v>
      </c>
    </row>
    <row r="76" spans="1:3" x14ac:dyDescent="0.2">
      <c r="A76">
        <v>242</v>
      </c>
      <c r="B76">
        <v>-22542.23</v>
      </c>
      <c r="C76">
        <v>-32425.73</v>
      </c>
    </row>
    <row r="77" spans="1:3" x14ac:dyDescent="0.2">
      <c r="A77">
        <v>252</v>
      </c>
      <c r="B77">
        <v>2169.12</v>
      </c>
      <c r="C77">
        <v>2569.15</v>
      </c>
    </row>
    <row r="78" spans="1:3" x14ac:dyDescent="0.2">
      <c r="A78">
        <v>253</v>
      </c>
      <c r="B78">
        <v>2566.5700000000002</v>
      </c>
      <c r="C78">
        <v>1802.53</v>
      </c>
    </row>
    <row r="79" spans="1:3" x14ac:dyDescent="0.2">
      <c r="A79">
        <v>255</v>
      </c>
      <c r="B79">
        <v>1579.18</v>
      </c>
      <c r="C79">
        <v>4850.92</v>
      </c>
    </row>
    <row r="80" spans="1:3" x14ac:dyDescent="0.2">
      <c r="A80">
        <v>256</v>
      </c>
      <c r="B80">
        <v>3625.78</v>
      </c>
      <c r="C80">
        <v>6816.4</v>
      </c>
    </row>
    <row r="81" spans="1:3" x14ac:dyDescent="0.2">
      <c r="A81">
        <v>261</v>
      </c>
      <c r="B81">
        <v>-3408.02</v>
      </c>
      <c r="C81">
        <v>-6308.82</v>
      </c>
    </row>
    <row r="82" spans="1:3" x14ac:dyDescent="0.2">
      <c r="A82">
        <v>264</v>
      </c>
      <c r="B82">
        <v>1846.11</v>
      </c>
      <c r="C82">
        <v>1728.82</v>
      </c>
    </row>
    <row r="83" spans="1:3" x14ac:dyDescent="0.2">
      <c r="A83">
        <v>270</v>
      </c>
      <c r="B83">
        <v>4951.78</v>
      </c>
      <c r="C83">
        <v>28508</v>
      </c>
    </row>
    <row r="84" spans="1:3" x14ac:dyDescent="0.2">
      <c r="A84">
        <v>271</v>
      </c>
      <c r="B84">
        <v>8702.5400000000009</v>
      </c>
      <c r="C84">
        <v>59930.239999999998</v>
      </c>
    </row>
    <row r="85" spans="1:3" x14ac:dyDescent="0.2">
      <c r="A85">
        <v>272</v>
      </c>
      <c r="B85">
        <v>4339.7700000000004</v>
      </c>
      <c r="C85">
        <v>-25455.77</v>
      </c>
    </row>
    <row r="86" spans="1:3" x14ac:dyDescent="0.2">
      <c r="A86">
        <v>273</v>
      </c>
      <c r="B86">
        <v>6005.83</v>
      </c>
      <c r="C86">
        <v>6619.42</v>
      </c>
    </row>
    <row r="87" spans="1:3" x14ac:dyDescent="0.2">
      <c r="A87">
        <v>276</v>
      </c>
      <c r="B87">
        <v>13129.67</v>
      </c>
      <c r="C87">
        <v>13772.14</v>
      </c>
    </row>
    <row r="88" spans="1:3" x14ac:dyDescent="0.2">
      <c r="A88">
        <v>277</v>
      </c>
      <c r="B88">
        <v>75106.7</v>
      </c>
      <c r="C88">
        <v>83133.5</v>
      </c>
    </row>
    <row r="89" spans="1:3" x14ac:dyDescent="0.2">
      <c r="A89">
        <v>278</v>
      </c>
      <c r="B89">
        <v>15809.22</v>
      </c>
      <c r="C89">
        <v>8537.11</v>
      </c>
    </row>
    <row r="90" spans="1:3" x14ac:dyDescent="0.2">
      <c r="A90">
        <v>279</v>
      </c>
      <c r="B90">
        <v>56126.61</v>
      </c>
      <c r="C90">
        <v>71411.42</v>
      </c>
    </row>
    <row r="91" spans="1:3" x14ac:dyDescent="0.2">
      <c r="A91">
        <v>280</v>
      </c>
      <c r="B91">
        <v>33389.58</v>
      </c>
      <c r="C91">
        <v>3389.58</v>
      </c>
    </row>
    <row r="92" spans="1:3" x14ac:dyDescent="0.2">
      <c r="A92">
        <v>281</v>
      </c>
      <c r="B92">
        <v>33996.800000000003</v>
      </c>
      <c r="C92">
        <v>39130.85</v>
      </c>
    </row>
    <row r="93" spans="1:3" x14ac:dyDescent="0.2">
      <c r="A93">
        <v>282</v>
      </c>
      <c r="B93">
        <v>335.3</v>
      </c>
      <c r="C93">
        <v>335.3</v>
      </c>
    </row>
    <row r="94" spans="1:3" x14ac:dyDescent="0.2">
      <c r="A94">
        <v>283</v>
      </c>
      <c r="B94">
        <v>21465.13</v>
      </c>
      <c r="C94">
        <v>21465.13</v>
      </c>
    </row>
    <row r="95" spans="1:3" x14ac:dyDescent="0.2">
      <c r="A95">
        <v>284</v>
      </c>
      <c r="B95">
        <v>192.65</v>
      </c>
      <c r="C95">
        <v>8346.76</v>
      </c>
    </row>
    <row r="96" spans="1:3" x14ac:dyDescent="0.2">
      <c r="A96">
        <v>286</v>
      </c>
      <c r="B96">
        <v>24369.64</v>
      </c>
      <c r="C96">
        <v>7885.59</v>
      </c>
    </row>
    <row r="97" spans="1:3" x14ac:dyDescent="0.2">
      <c r="A97">
        <v>294</v>
      </c>
      <c r="B97">
        <v>0</v>
      </c>
      <c r="C97">
        <v>0</v>
      </c>
    </row>
    <row r="98" spans="1:3" x14ac:dyDescent="0.2">
      <c r="A98">
        <v>297</v>
      </c>
      <c r="B98">
        <v>1699.96</v>
      </c>
      <c r="C98">
        <v>1955.09</v>
      </c>
    </row>
    <row r="99" spans="1:3" x14ac:dyDescent="0.2">
      <c r="A99">
        <v>299</v>
      </c>
      <c r="B99">
        <v>4095.26</v>
      </c>
      <c r="C99">
        <v>8227.06</v>
      </c>
    </row>
    <row r="100" spans="1:3" x14ac:dyDescent="0.2">
      <c r="A100">
        <v>300</v>
      </c>
      <c r="B100">
        <v>-6280.37</v>
      </c>
      <c r="C100">
        <v>-4352.3500000000004</v>
      </c>
    </row>
    <row r="101" spans="1:3" x14ac:dyDescent="0.2">
      <c r="A101">
        <v>306</v>
      </c>
      <c r="B101">
        <v>2151.96</v>
      </c>
      <c r="C101">
        <v>1050.4000000000001</v>
      </c>
    </row>
    <row r="102" spans="1:3" x14ac:dyDescent="0.2">
      <c r="A102">
        <v>308</v>
      </c>
      <c r="B102">
        <v>671.71</v>
      </c>
      <c r="C102">
        <v>1012.84</v>
      </c>
    </row>
    <row r="103" spans="1:3" x14ac:dyDescent="0.2">
      <c r="A103">
        <v>309</v>
      </c>
      <c r="B103">
        <v>0</v>
      </c>
      <c r="C103">
        <v>0</v>
      </c>
    </row>
    <row r="104" spans="1:3" x14ac:dyDescent="0.2">
      <c r="A104">
        <v>314</v>
      </c>
      <c r="B104">
        <v>12374.42</v>
      </c>
      <c r="C104">
        <v>12719.94</v>
      </c>
    </row>
    <row r="105" spans="1:3" x14ac:dyDescent="0.2">
      <c r="A105">
        <v>316</v>
      </c>
      <c r="B105">
        <v>18037.400000000001</v>
      </c>
      <c r="C105">
        <v>-3207.84</v>
      </c>
    </row>
    <row r="106" spans="1:3" x14ac:dyDescent="0.2">
      <c r="A106">
        <v>317</v>
      </c>
      <c r="B106">
        <v>33472.33</v>
      </c>
      <c r="C106">
        <v>31684.23</v>
      </c>
    </row>
    <row r="107" spans="1:3" x14ac:dyDescent="0.2">
      <c r="A107">
        <v>318</v>
      </c>
      <c r="B107">
        <v>3799.4</v>
      </c>
      <c r="C107">
        <v>0</v>
      </c>
    </row>
    <row r="108" spans="1:3" x14ac:dyDescent="0.2">
      <c r="A108">
        <v>319</v>
      </c>
      <c r="B108">
        <v>-832.77</v>
      </c>
      <c r="C108">
        <v>-832.77</v>
      </c>
    </row>
    <row r="109" spans="1:3" x14ac:dyDescent="0.2">
      <c r="A109">
        <v>330</v>
      </c>
      <c r="B109">
        <v>1189.81</v>
      </c>
      <c r="C109">
        <v>680.81</v>
      </c>
    </row>
    <row r="110" spans="1:3" x14ac:dyDescent="0.2">
      <c r="A110">
        <v>332</v>
      </c>
      <c r="B110">
        <v>7553.08</v>
      </c>
      <c r="C110">
        <v>5811.15</v>
      </c>
    </row>
    <row r="111" spans="1:3" x14ac:dyDescent="0.2">
      <c r="A111">
        <v>333</v>
      </c>
      <c r="B111">
        <v>2532.79</v>
      </c>
      <c r="C111">
        <v>-1669.26</v>
      </c>
    </row>
    <row r="112" spans="1:3" x14ac:dyDescent="0.2">
      <c r="A112">
        <v>345</v>
      </c>
      <c r="B112">
        <v>1153.23</v>
      </c>
      <c r="C112">
        <v>1693.28</v>
      </c>
    </row>
    <row r="113" spans="1:3" x14ac:dyDescent="0.2">
      <c r="A113">
        <v>347</v>
      </c>
      <c r="B113">
        <v>1660</v>
      </c>
      <c r="C113">
        <v>47370.67</v>
      </c>
    </row>
    <row r="114" spans="1:3" x14ac:dyDescent="0.2">
      <c r="A114">
        <v>356</v>
      </c>
      <c r="B114">
        <v>0.62</v>
      </c>
      <c r="C114">
        <v>-0.14000000000000001</v>
      </c>
    </row>
    <row r="115" spans="1:3" x14ac:dyDescent="0.2">
      <c r="A115">
        <v>361</v>
      </c>
      <c r="B115">
        <v>4170.42</v>
      </c>
      <c r="C115">
        <v>11168.34</v>
      </c>
    </row>
    <row r="116" spans="1:3" x14ac:dyDescent="0.2">
      <c r="A116">
        <v>362</v>
      </c>
      <c r="B116">
        <v>0</v>
      </c>
      <c r="C116">
        <v>0</v>
      </c>
    </row>
    <row r="117" spans="1:3" x14ac:dyDescent="0.2">
      <c r="A117">
        <v>363</v>
      </c>
      <c r="B117">
        <v>0</v>
      </c>
      <c r="C117">
        <v>0</v>
      </c>
    </row>
    <row r="118" spans="1:3" x14ac:dyDescent="0.2">
      <c r="A118">
        <v>378</v>
      </c>
      <c r="B118">
        <v>21023.46</v>
      </c>
      <c r="C118">
        <v>17886.849999999999</v>
      </c>
    </row>
    <row r="119" spans="1:3" x14ac:dyDescent="0.2">
      <c r="A119">
        <v>381</v>
      </c>
      <c r="B119">
        <v>2048.36</v>
      </c>
      <c r="C119">
        <v>2116.0100000000002</v>
      </c>
    </row>
    <row r="120" spans="1:3" x14ac:dyDescent="0.2">
      <c r="A120">
        <v>390</v>
      </c>
      <c r="B120">
        <v>-585.1</v>
      </c>
      <c r="C120">
        <v>0</v>
      </c>
    </row>
    <row r="121" spans="1:3" x14ac:dyDescent="0.2">
      <c r="A121">
        <v>391</v>
      </c>
      <c r="B121">
        <v>-26236.55</v>
      </c>
      <c r="C121">
        <v>-33777.379999999997</v>
      </c>
    </row>
    <row r="122" spans="1:3" x14ac:dyDescent="0.2">
      <c r="A122">
        <v>392</v>
      </c>
      <c r="B122">
        <v>2309.0300000000002</v>
      </c>
      <c r="C122">
        <v>6600.29</v>
      </c>
    </row>
    <row r="123" spans="1:3" x14ac:dyDescent="0.2">
      <c r="A123">
        <v>394</v>
      </c>
      <c r="B123">
        <v>12603.48</v>
      </c>
      <c r="C123">
        <v>10989.28</v>
      </c>
    </row>
    <row r="124" spans="1:3" x14ac:dyDescent="0.2">
      <c r="A124">
        <v>402</v>
      </c>
      <c r="B124">
        <v>-17342.240000000002</v>
      </c>
      <c r="C124">
        <v>-15148.55</v>
      </c>
    </row>
    <row r="125" spans="1:3" x14ac:dyDescent="0.2">
      <c r="A125">
        <v>403</v>
      </c>
      <c r="B125">
        <v>-8886.7800000000007</v>
      </c>
      <c r="C125">
        <v>-6808.53</v>
      </c>
    </row>
    <row r="126" spans="1:3" x14ac:dyDescent="0.2">
      <c r="A126">
        <v>404</v>
      </c>
      <c r="B126">
        <v>-81063.210000000006</v>
      </c>
      <c r="C126">
        <v>-91651.11</v>
      </c>
    </row>
    <row r="127" spans="1:3" x14ac:dyDescent="0.2">
      <c r="A127">
        <v>413</v>
      </c>
      <c r="B127">
        <v>24731.759999999998</v>
      </c>
      <c r="C127">
        <v>5472.02</v>
      </c>
    </row>
    <row r="128" spans="1:3" x14ac:dyDescent="0.2">
      <c r="A128">
        <v>414</v>
      </c>
      <c r="B128">
        <v>1312.56</v>
      </c>
      <c r="C128">
        <v>0</v>
      </c>
    </row>
    <row r="129" spans="1:3" x14ac:dyDescent="0.2">
      <c r="A129">
        <v>415</v>
      </c>
      <c r="B129">
        <v>7.94</v>
      </c>
      <c r="C129">
        <v>-0.21</v>
      </c>
    </row>
    <row r="130" spans="1:3" x14ac:dyDescent="0.2">
      <c r="A130">
        <v>423</v>
      </c>
      <c r="B130">
        <v>13396.36</v>
      </c>
      <c r="C130">
        <v>9304.11</v>
      </c>
    </row>
    <row r="131" spans="1:3" x14ac:dyDescent="0.2">
      <c r="A131">
        <v>424</v>
      </c>
      <c r="B131">
        <v>-42519.75</v>
      </c>
      <c r="C131">
        <v>-44198</v>
      </c>
    </row>
    <row r="132" spans="1:3" x14ac:dyDescent="0.2">
      <c r="A132">
        <v>432</v>
      </c>
      <c r="B132">
        <v>2376.02</v>
      </c>
      <c r="C132">
        <v>2605.8000000000002</v>
      </c>
    </row>
    <row r="133" spans="1:3" x14ac:dyDescent="0.2">
      <c r="A133">
        <v>435</v>
      </c>
      <c r="B133">
        <v>24.02</v>
      </c>
      <c r="C133">
        <v>75.53</v>
      </c>
    </row>
    <row r="134" spans="1:3" x14ac:dyDescent="0.2">
      <c r="A134">
        <v>441</v>
      </c>
      <c r="B134">
        <v>0.02</v>
      </c>
      <c r="C134">
        <v>0.11</v>
      </c>
    </row>
    <row r="135" spans="1:3" x14ac:dyDescent="0.2">
      <c r="A135">
        <v>447</v>
      </c>
      <c r="B135">
        <v>325.87</v>
      </c>
      <c r="C135">
        <v>-296.85000000000002</v>
      </c>
    </row>
    <row r="136" spans="1:3" x14ac:dyDescent="0.2">
      <c r="A136">
        <v>458</v>
      </c>
      <c r="B136">
        <v>0.28999999999999998</v>
      </c>
      <c r="C136">
        <v>0</v>
      </c>
    </row>
    <row r="137" spans="1:3" x14ac:dyDescent="0.2">
      <c r="A137">
        <v>463</v>
      </c>
      <c r="B137">
        <v>-41533.75</v>
      </c>
      <c r="C137">
        <v>-23640.45</v>
      </c>
    </row>
    <row r="138" spans="1:3" x14ac:dyDescent="0.2">
      <c r="A138">
        <v>465</v>
      </c>
      <c r="B138">
        <v>-31413.58</v>
      </c>
      <c r="C138">
        <v>-25787.13</v>
      </c>
    </row>
    <row r="139" spans="1:3" x14ac:dyDescent="0.2">
      <c r="A139">
        <v>466</v>
      </c>
      <c r="B139">
        <v>7469.76</v>
      </c>
      <c r="C139">
        <v>4164.8</v>
      </c>
    </row>
    <row r="140" spans="1:3" x14ac:dyDescent="0.2">
      <c r="A140">
        <v>473</v>
      </c>
      <c r="B140">
        <v>2328.4</v>
      </c>
      <c r="C140">
        <v>1229.55</v>
      </c>
    </row>
    <row r="141" spans="1:3" x14ac:dyDescent="0.2">
      <c r="A141">
        <v>477</v>
      </c>
      <c r="B141">
        <v>37693.42</v>
      </c>
      <c r="C141">
        <v>8949.51</v>
      </c>
    </row>
    <row r="142" spans="1:3" x14ac:dyDescent="0.2">
      <c r="A142">
        <v>480</v>
      </c>
      <c r="B142">
        <v>-1073.43</v>
      </c>
      <c r="C142">
        <v>-2915.91</v>
      </c>
    </row>
    <row r="143" spans="1:3" x14ac:dyDescent="0.2">
      <c r="A143">
        <v>482</v>
      </c>
      <c r="B143">
        <v>-4204.72</v>
      </c>
      <c r="C143">
        <v>13276.45</v>
      </c>
    </row>
    <row r="144" spans="1:3" x14ac:dyDescent="0.2">
      <c r="A144">
        <v>484</v>
      </c>
      <c r="B144">
        <v>0</v>
      </c>
      <c r="C144">
        <v>0</v>
      </c>
    </row>
    <row r="145" spans="1:3" x14ac:dyDescent="0.2">
      <c r="A145">
        <v>485</v>
      </c>
      <c r="B145">
        <v>1029.9100000000001</v>
      </c>
      <c r="C145">
        <v>-1204.1600000000001</v>
      </c>
    </row>
    <row r="146" spans="1:3" x14ac:dyDescent="0.2">
      <c r="A146">
        <v>486</v>
      </c>
      <c r="B146">
        <v>-2189.2399999999998</v>
      </c>
      <c r="C146">
        <v>-1843.18</v>
      </c>
    </row>
    <row r="147" spans="1:3" x14ac:dyDescent="0.2">
      <c r="A147">
        <v>487</v>
      </c>
      <c r="B147">
        <v>-681.64</v>
      </c>
      <c r="C147">
        <v>-681.64</v>
      </c>
    </row>
    <row r="148" spans="1:3" x14ac:dyDescent="0.2">
      <c r="A148">
        <v>492</v>
      </c>
      <c r="B148">
        <v>35861.769999999997</v>
      </c>
      <c r="C148">
        <v>30459.59</v>
      </c>
    </row>
    <row r="149" spans="1:3" x14ac:dyDescent="0.2">
      <c r="A149">
        <v>495</v>
      </c>
      <c r="B149">
        <v>7774.03</v>
      </c>
      <c r="C149">
        <v>-314.89</v>
      </c>
    </row>
    <row r="150" spans="1:3" x14ac:dyDescent="0.2">
      <c r="A150">
        <v>497</v>
      </c>
      <c r="B150">
        <v>0</v>
      </c>
      <c r="C150">
        <v>0</v>
      </c>
    </row>
    <row r="151" spans="1:3" x14ac:dyDescent="0.2">
      <c r="A151">
        <v>499</v>
      </c>
      <c r="B151">
        <v>229.9</v>
      </c>
      <c r="C151">
        <v>253.1</v>
      </c>
    </row>
    <row r="152" spans="1:3" x14ac:dyDescent="0.2">
      <c r="A152">
        <v>500</v>
      </c>
      <c r="B152">
        <v>0</v>
      </c>
      <c r="C152">
        <v>4693.01</v>
      </c>
    </row>
    <row r="153" spans="1:3" x14ac:dyDescent="0.2">
      <c r="A153">
        <v>505</v>
      </c>
      <c r="B153">
        <v>31.06</v>
      </c>
      <c r="C153">
        <v>31.06</v>
      </c>
    </row>
    <row r="154" spans="1:3" x14ac:dyDescent="0.2">
      <c r="A154">
        <v>507</v>
      </c>
      <c r="B154">
        <v>0</v>
      </c>
      <c r="C154">
        <v>0</v>
      </c>
    </row>
    <row r="155" spans="1:3" x14ac:dyDescent="0.2">
      <c r="A155">
        <v>508</v>
      </c>
      <c r="B155">
        <v>-1084.99</v>
      </c>
      <c r="C155">
        <v>-714.51</v>
      </c>
    </row>
    <row r="156" spans="1:3" x14ac:dyDescent="0.2">
      <c r="A156">
        <v>511</v>
      </c>
      <c r="B156">
        <v>-1723.08</v>
      </c>
      <c r="C156">
        <v>5056.74</v>
      </c>
    </row>
    <row r="157" spans="1:3" x14ac:dyDescent="0.2">
      <c r="A157">
        <v>513</v>
      </c>
      <c r="B157">
        <v>-1969.27</v>
      </c>
      <c r="C157">
        <v>0</v>
      </c>
    </row>
    <row r="158" spans="1:3" x14ac:dyDescent="0.2">
      <c r="A158">
        <v>514</v>
      </c>
      <c r="B158">
        <v>3411.43</v>
      </c>
      <c r="C158">
        <v>3269.88</v>
      </c>
    </row>
    <row r="159" spans="1:3" x14ac:dyDescent="0.2">
      <c r="A159">
        <v>516</v>
      </c>
      <c r="B159">
        <v>-6568.95</v>
      </c>
      <c r="C159">
        <v>-6521.21</v>
      </c>
    </row>
    <row r="160" spans="1:3" x14ac:dyDescent="0.2">
      <c r="A160">
        <v>518</v>
      </c>
      <c r="B160">
        <v>4465.3100000000004</v>
      </c>
      <c r="C160">
        <v>2640.17</v>
      </c>
    </row>
    <row r="161" spans="1:3" x14ac:dyDescent="0.2">
      <c r="A161">
        <v>531</v>
      </c>
      <c r="B161">
        <v>265.7</v>
      </c>
      <c r="C161">
        <v>524.79</v>
      </c>
    </row>
    <row r="162" spans="1:3" x14ac:dyDescent="0.2">
      <c r="A162">
        <v>533</v>
      </c>
      <c r="B162">
        <v>0</v>
      </c>
      <c r="C162">
        <v>-604.45000000000005</v>
      </c>
    </row>
    <row r="163" spans="1:3" x14ac:dyDescent="0.2">
      <c r="A163">
        <v>534</v>
      </c>
      <c r="B163">
        <v>8094.09</v>
      </c>
      <c r="C163">
        <v>1015.43</v>
      </c>
    </row>
    <row r="164" spans="1:3" x14ac:dyDescent="0.2">
      <c r="A164">
        <v>535</v>
      </c>
      <c r="B164">
        <v>-31814.98</v>
      </c>
      <c r="C164">
        <v>1481.9</v>
      </c>
    </row>
    <row r="165" spans="1:3" x14ac:dyDescent="0.2">
      <c r="A165">
        <v>542</v>
      </c>
      <c r="B165">
        <v>-53130.84</v>
      </c>
      <c r="C165">
        <v>-63300.84</v>
      </c>
    </row>
    <row r="166" spans="1:3" x14ac:dyDescent="0.2">
      <c r="A166">
        <v>544</v>
      </c>
      <c r="B166">
        <v>1837.09</v>
      </c>
      <c r="C166">
        <v>640.91999999999996</v>
      </c>
    </row>
    <row r="167" spans="1:3" x14ac:dyDescent="0.2">
      <c r="A167">
        <v>545</v>
      </c>
      <c r="B167">
        <v>335.63</v>
      </c>
      <c r="C167">
        <v>2252.6799999999998</v>
      </c>
    </row>
    <row r="168" spans="1:3" x14ac:dyDescent="0.2">
      <c r="A168">
        <v>547</v>
      </c>
      <c r="B168">
        <v>-17228.88</v>
      </c>
      <c r="C168">
        <v>-36991.99</v>
      </c>
    </row>
    <row r="169" spans="1:3" x14ac:dyDescent="0.2">
      <c r="A169">
        <v>548</v>
      </c>
      <c r="B169">
        <v>-36949.550000000003</v>
      </c>
      <c r="C169">
        <v>-25228.13</v>
      </c>
    </row>
    <row r="170" spans="1:3" x14ac:dyDescent="0.2">
      <c r="A170">
        <v>549</v>
      </c>
      <c r="B170">
        <v>3812.42</v>
      </c>
      <c r="C170">
        <v>1018.17</v>
      </c>
    </row>
    <row r="171" spans="1:3" x14ac:dyDescent="0.2">
      <c r="A171">
        <v>550</v>
      </c>
      <c r="B171">
        <v>-6440.79</v>
      </c>
      <c r="C171">
        <v>691.92</v>
      </c>
    </row>
    <row r="172" spans="1:3" x14ac:dyDescent="0.2">
      <c r="A172">
        <v>553</v>
      </c>
      <c r="B172">
        <v>4228.2299999999996</v>
      </c>
      <c r="C172">
        <v>4303.96</v>
      </c>
    </row>
    <row r="173" spans="1:3" x14ac:dyDescent="0.2">
      <c r="A173">
        <v>561</v>
      </c>
      <c r="B173">
        <v>0.36</v>
      </c>
      <c r="C173">
        <v>-30.19</v>
      </c>
    </row>
    <row r="174" spans="1:3" x14ac:dyDescent="0.2">
      <c r="A174">
        <v>564</v>
      </c>
      <c r="B174">
        <v>-11206.74</v>
      </c>
      <c r="C174">
        <v>-5281.02</v>
      </c>
    </row>
    <row r="175" spans="1:3" x14ac:dyDescent="0.2">
      <c r="A175">
        <v>577</v>
      </c>
      <c r="B175">
        <v>0</v>
      </c>
      <c r="C175">
        <v>-1806.42</v>
      </c>
    </row>
    <row r="176" spans="1:3" x14ac:dyDescent="0.2">
      <c r="A176">
        <v>578</v>
      </c>
      <c r="B176">
        <v>-40457.43</v>
      </c>
      <c r="C176">
        <v>-33922.089999999997</v>
      </c>
    </row>
    <row r="177" spans="1:3" x14ac:dyDescent="0.2">
      <c r="A177">
        <v>581</v>
      </c>
      <c r="B177">
        <v>2214.3000000000002</v>
      </c>
      <c r="C177">
        <v>-543.79</v>
      </c>
    </row>
    <row r="178" spans="1:3" x14ac:dyDescent="0.2">
      <c r="A178">
        <v>592</v>
      </c>
      <c r="B178">
        <v>-10754.64</v>
      </c>
      <c r="C178">
        <v>-22541.03</v>
      </c>
    </row>
    <row r="179" spans="1:3" x14ac:dyDescent="0.2">
      <c r="A179">
        <v>593</v>
      </c>
      <c r="B179">
        <v>17282.48</v>
      </c>
      <c r="C179">
        <v>5640.62</v>
      </c>
    </row>
    <row r="180" spans="1:3" x14ac:dyDescent="0.2">
      <c r="A180">
        <v>595</v>
      </c>
      <c r="B180">
        <v>-5288.37</v>
      </c>
      <c r="C180">
        <v>-11727.6</v>
      </c>
    </row>
    <row r="181" spans="1:3" x14ac:dyDescent="0.2">
      <c r="A181">
        <v>599</v>
      </c>
      <c r="B181">
        <v>0.13</v>
      </c>
      <c r="C181">
        <v>2152.15</v>
      </c>
    </row>
    <row r="182" spans="1:3" x14ac:dyDescent="0.2">
      <c r="A182">
        <v>600</v>
      </c>
      <c r="B182">
        <v>-5757.92</v>
      </c>
      <c r="C182">
        <v>-4491.26</v>
      </c>
    </row>
    <row r="183" spans="1:3" x14ac:dyDescent="0.2">
      <c r="A183">
        <v>601</v>
      </c>
      <c r="B183">
        <v>-816.59</v>
      </c>
      <c r="C183">
        <v>2615.52</v>
      </c>
    </row>
    <row r="184" spans="1:3" x14ac:dyDescent="0.2">
      <c r="A184">
        <v>611</v>
      </c>
      <c r="B184">
        <v>122.03</v>
      </c>
      <c r="C184">
        <v>858.96</v>
      </c>
    </row>
    <row r="185" spans="1:3" x14ac:dyDescent="0.2">
      <c r="A185">
        <v>621</v>
      </c>
      <c r="B185">
        <v>10111.709999999999</v>
      </c>
      <c r="C185">
        <v>12603.23</v>
      </c>
    </row>
    <row r="186" spans="1:3" x14ac:dyDescent="0.2">
      <c r="A186">
        <v>622</v>
      </c>
      <c r="B186">
        <v>51407.03</v>
      </c>
      <c r="C186">
        <v>29573.01</v>
      </c>
    </row>
    <row r="187" spans="1:3" x14ac:dyDescent="0.2">
      <c r="A187">
        <v>623</v>
      </c>
      <c r="B187">
        <v>13164.52</v>
      </c>
      <c r="C187">
        <v>24667.43</v>
      </c>
    </row>
    <row r="188" spans="1:3" x14ac:dyDescent="0.2">
      <c r="A188">
        <v>624</v>
      </c>
      <c r="B188">
        <v>-42027</v>
      </c>
      <c r="C188">
        <v>0</v>
      </c>
    </row>
    <row r="189" spans="1:3" x14ac:dyDescent="0.2">
      <c r="A189">
        <v>625</v>
      </c>
      <c r="B189">
        <v>216962.8</v>
      </c>
      <c r="C189">
        <v>554314.23</v>
      </c>
    </row>
    <row r="190" spans="1:3" x14ac:dyDescent="0.2">
      <c r="A190">
        <v>627</v>
      </c>
      <c r="B190">
        <v>50.24</v>
      </c>
      <c r="C190">
        <v>0.46</v>
      </c>
    </row>
    <row r="191" spans="1:3" x14ac:dyDescent="0.2">
      <c r="A191">
        <v>628</v>
      </c>
      <c r="B191">
        <v>-413.9</v>
      </c>
      <c r="C191">
        <v>0</v>
      </c>
    </row>
    <row r="192" spans="1:3" x14ac:dyDescent="0.2">
      <c r="A192">
        <v>630</v>
      </c>
      <c r="B192">
        <v>-12850.38</v>
      </c>
      <c r="C192">
        <v>-14642.47</v>
      </c>
    </row>
    <row r="193" spans="1:3" x14ac:dyDescent="0.2">
      <c r="A193">
        <v>635</v>
      </c>
      <c r="B193">
        <v>-11651.79</v>
      </c>
      <c r="C193">
        <v>-11651.79</v>
      </c>
    </row>
    <row r="194" spans="1:3" x14ac:dyDescent="0.2">
      <c r="A194">
        <v>640</v>
      </c>
      <c r="B194">
        <v>2490.06</v>
      </c>
      <c r="C194">
        <v>-765.17</v>
      </c>
    </row>
    <row r="195" spans="1:3" x14ac:dyDescent="0.2">
      <c r="A195">
        <v>656</v>
      </c>
      <c r="B195">
        <v>-1480.9</v>
      </c>
      <c r="C195">
        <v>-10793.22</v>
      </c>
    </row>
    <row r="196" spans="1:3" x14ac:dyDescent="0.2">
      <c r="A196">
        <v>659</v>
      </c>
      <c r="B196">
        <v>-9329.83</v>
      </c>
      <c r="C196">
        <v>-42608.19</v>
      </c>
    </row>
    <row r="197" spans="1:3" x14ac:dyDescent="0.2">
      <c r="A197">
        <v>671</v>
      </c>
      <c r="B197">
        <v>8414.33</v>
      </c>
      <c r="C197">
        <v>12173.97</v>
      </c>
    </row>
    <row r="198" spans="1:3" x14ac:dyDescent="0.2">
      <c r="A198">
        <v>676</v>
      </c>
      <c r="B198">
        <v>-429.2</v>
      </c>
      <c r="C198">
        <v>1.18</v>
      </c>
    </row>
    <row r="199" spans="1:3" x14ac:dyDescent="0.2">
      <c r="A199">
        <v>682</v>
      </c>
      <c r="B199">
        <v>0</v>
      </c>
      <c r="C199">
        <v>0</v>
      </c>
    </row>
    <row r="200" spans="1:3" x14ac:dyDescent="0.2">
      <c r="A200">
        <v>690</v>
      </c>
      <c r="B200">
        <v>-6264.05</v>
      </c>
      <c r="C200">
        <v>-9107.58</v>
      </c>
    </row>
    <row r="201" spans="1:3" x14ac:dyDescent="0.2">
      <c r="A201">
        <v>695</v>
      </c>
      <c r="B201">
        <v>253.02</v>
      </c>
      <c r="C201">
        <v>4289.25</v>
      </c>
    </row>
    <row r="202" spans="1:3" x14ac:dyDescent="0.2">
      <c r="A202">
        <v>696</v>
      </c>
      <c r="B202">
        <v>4145.4799999999996</v>
      </c>
      <c r="C202">
        <v>4183.8100000000004</v>
      </c>
    </row>
    <row r="203" spans="1:3" x14ac:dyDescent="0.2">
      <c r="A203">
        <v>698</v>
      </c>
      <c r="B203">
        <v>248.24</v>
      </c>
      <c r="C203">
        <v>-661.18</v>
      </c>
    </row>
    <row r="204" spans="1:3" x14ac:dyDescent="0.2">
      <c r="A204">
        <v>700</v>
      </c>
      <c r="B204">
        <v>33431.269999999997</v>
      </c>
      <c r="C204">
        <v>22825.759999999998</v>
      </c>
    </row>
    <row r="205" spans="1:3" x14ac:dyDescent="0.2">
      <c r="A205">
        <v>701</v>
      </c>
      <c r="B205">
        <v>2938.5</v>
      </c>
      <c r="C205">
        <v>2977.19</v>
      </c>
    </row>
    <row r="206" spans="1:3" x14ac:dyDescent="0.2">
      <c r="A206">
        <v>704</v>
      </c>
      <c r="B206">
        <v>-3094.41</v>
      </c>
      <c r="C206">
        <v>-5004.66</v>
      </c>
    </row>
    <row r="207" spans="1:3" x14ac:dyDescent="0.2">
      <c r="A207">
        <v>706</v>
      </c>
      <c r="B207">
        <v>9103.2999999999993</v>
      </c>
      <c r="C207">
        <v>7470.01</v>
      </c>
    </row>
    <row r="208" spans="1:3" x14ac:dyDescent="0.2">
      <c r="A208">
        <v>707</v>
      </c>
      <c r="B208">
        <v>303.20999999999998</v>
      </c>
      <c r="C208">
        <v>300.58999999999997</v>
      </c>
    </row>
    <row r="209" spans="1:3" x14ac:dyDescent="0.2">
      <c r="A209">
        <v>709</v>
      </c>
      <c r="B209">
        <v>45966.71</v>
      </c>
      <c r="C209">
        <v>46916.27</v>
      </c>
    </row>
    <row r="210" spans="1:3" x14ac:dyDescent="0.2">
      <c r="A210">
        <v>712</v>
      </c>
      <c r="B210">
        <v>3835.01</v>
      </c>
      <c r="C210">
        <v>3037.65</v>
      </c>
    </row>
    <row r="211" spans="1:3" x14ac:dyDescent="0.2">
      <c r="A211">
        <v>716</v>
      </c>
      <c r="B211">
        <v>-6905.44</v>
      </c>
      <c r="C211">
        <v>0</v>
      </c>
    </row>
    <row r="212" spans="1:3" x14ac:dyDescent="0.2">
      <c r="A212">
        <v>717</v>
      </c>
      <c r="B212">
        <v>5719.1</v>
      </c>
      <c r="C212">
        <v>8358.16</v>
      </c>
    </row>
    <row r="213" spans="1:3" x14ac:dyDescent="0.2">
      <c r="A213">
        <v>719</v>
      </c>
      <c r="B213">
        <v>8624.36</v>
      </c>
      <c r="C213">
        <v>17666</v>
      </c>
    </row>
    <row r="214" spans="1:3" x14ac:dyDescent="0.2">
      <c r="A214">
        <v>720</v>
      </c>
      <c r="B214">
        <v>124</v>
      </c>
      <c r="C214">
        <v>124</v>
      </c>
    </row>
    <row r="215" spans="1:3" x14ac:dyDescent="0.2">
      <c r="A215">
        <v>721</v>
      </c>
      <c r="B215">
        <v>0</v>
      </c>
      <c r="C215">
        <v>30382</v>
      </c>
    </row>
    <row r="216" spans="1:3" x14ac:dyDescent="0.2">
      <c r="A216">
        <v>726</v>
      </c>
      <c r="B216">
        <v>7762.33</v>
      </c>
      <c r="C216">
        <v>17253.75</v>
      </c>
    </row>
    <row r="217" spans="1:3" x14ac:dyDescent="0.2">
      <c r="A217">
        <v>727</v>
      </c>
      <c r="B217">
        <v>18565.189999999999</v>
      </c>
      <c r="C217">
        <v>26220.43</v>
      </c>
    </row>
    <row r="218" spans="1:3" x14ac:dyDescent="0.2">
      <c r="A218">
        <v>728</v>
      </c>
      <c r="B218">
        <v>40811.79</v>
      </c>
      <c r="C218">
        <v>58979.38</v>
      </c>
    </row>
    <row r="219" spans="1:3" x14ac:dyDescent="0.2">
      <c r="A219">
        <v>738</v>
      </c>
      <c r="B219">
        <v>-21459.82</v>
      </c>
      <c r="C219">
        <v>-21459.82</v>
      </c>
    </row>
    <row r="220" spans="1:3" x14ac:dyDescent="0.2">
      <c r="A220">
        <v>739</v>
      </c>
      <c r="B220">
        <v>1532.81</v>
      </c>
      <c r="C220">
        <v>9530.25</v>
      </c>
    </row>
    <row r="221" spans="1:3" x14ac:dyDescent="0.2">
      <c r="A221">
        <v>740</v>
      </c>
      <c r="B221">
        <v>5100.24</v>
      </c>
      <c r="C221">
        <v>4152.6000000000004</v>
      </c>
    </row>
    <row r="222" spans="1:3" x14ac:dyDescent="0.2">
      <c r="A222">
        <v>741</v>
      </c>
      <c r="B222">
        <v>8605.41</v>
      </c>
      <c r="C222">
        <v>6875.8</v>
      </c>
    </row>
    <row r="223" spans="1:3" x14ac:dyDescent="0.2">
      <c r="A223">
        <v>742</v>
      </c>
      <c r="B223">
        <v>-109103.74</v>
      </c>
      <c r="C223">
        <v>921.51</v>
      </c>
    </row>
    <row r="224" spans="1:3" x14ac:dyDescent="0.2">
      <c r="A224">
        <v>743</v>
      </c>
      <c r="B224">
        <v>2909.63</v>
      </c>
      <c r="C224">
        <v>1519.34</v>
      </c>
    </row>
    <row r="225" spans="1:3" x14ac:dyDescent="0.2">
      <c r="A225">
        <v>745</v>
      </c>
      <c r="B225">
        <v>22555.46</v>
      </c>
      <c r="C225">
        <v>33338.639999999999</v>
      </c>
    </row>
    <row r="226" spans="1:3" x14ac:dyDescent="0.2">
      <c r="A226">
        <v>748</v>
      </c>
      <c r="B226">
        <v>14276.32</v>
      </c>
      <c r="C226">
        <v>0</v>
      </c>
    </row>
    <row r="227" spans="1:3" x14ac:dyDescent="0.2">
      <c r="A227">
        <v>750</v>
      </c>
      <c r="B227">
        <v>16375.9</v>
      </c>
      <c r="C227">
        <v>15701.06</v>
      </c>
    </row>
    <row r="228" spans="1:3" x14ac:dyDescent="0.2">
      <c r="A228">
        <v>756</v>
      </c>
      <c r="B228">
        <v>1690.99</v>
      </c>
      <c r="C228">
        <v>6307.05</v>
      </c>
    </row>
    <row r="229" spans="1:3" x14ac:dyDescent="0.2">
      <c r="A229">
        <v>761</v>
      </c>
      <c r="B229">
        <v>5062.46</v>
      </c>
      <c r="C229">
        <v>-2708.92</v>
      </c>
    </row>
    <row r="230" spans="1:3" x14ac:dyDescent="0.2">
      <c r="A230">
        <v>763</v>
      </c>
      <c r="B230">
        <v>403.51</v>
      </c>
      <c r="C230">
        <v>1674.59</v>
      </c>
    </row>
    <row r="231" spans="1:3" x14ac:dyDescent="0.2">
      <c r="A231">
        <v>768</v>
      </c>
      <c r="B231">
        <v>1659.6</v>
      </c>
      <c r="C231">
        <v>464.38</v>
      </c>
    </row>
    <row r="232" spans="1:3" x14ac:dyDescent="0.2">
      <c r="A232">
        <v>769</v>
      </c>
      <c r="B232">
        <v>5995.97</v>
      </c>
      <c r="C232">
        <v>4474.08</v>
      </c>
    </row>
    <row r="233" spans="1:3" x14ac:dyDescent="0.2">
      <c r="A233">
        <v>771</v>
      </c>
      <c r="B233">
        <v>-12804.05</v>
      </c>
      <c r="C233">
        <v>50.44</v>
      </c>
    </row>
    <row r="234" spans="1:3" x14ac:dyDescent="0.2">
      <c r="A234">
        <v>775</v>
      </c>
      <c r="B234">
        <v>-12126.33</v>
      </c>
      <c r="C234">
        <v>-16583.09</v>
      </c>
    </row>
    <row r="235" spans="1:3" x14ac:dyDescent="0.2">
      <c r="A235">
        <v>777</v>
      </c>
      <c r="B235">
        <v>1889.32</v>
      </c>
      <c r="C235">
        <v>267.85000000000002</v>
      </c>
    </row>
    <row r="236" spans="1:3" x14ac:dyDescent="0.2">
      <c r="A236">
        <v>786</v>
      </c>
      <c r="B236">
        <v>3221.2</v>
      </c>
      <c r="C236">
        <v>841.83</v>
      </c>
    </row>
    <row r="237" spans="1:3" x14ac:dyDescent="0.2">
      <c r="A237">
        <v>787</v>
      </c>
      <c r="B237">
        <v>1702.36</v>
      </c>
      <c r="C237">
        <v>1700.52</v>
      </c>
    </row>
    <row r="238" spans="1:3" x14ac:dyDescent="0.2">
      <c r="A238">
        <v>801</v>
      </c>
      <c r="B238">
        <v>1707.05</v>
      </c>
      <c r="C238">
        <v>-7.07</v>
      </c>
    </row>
    <row r="239" spans="1:3" x14ac:dyDescent="0.2">
      <c r="A239">
        <v>803</v>
      </c>
      <c r="B239">
        <v>1850.47</v>
      </c>
      <c r="C239">
        <v>1134.8699999999999</v>
      </c>
    </row>
    <row r="240" spans="1:3" x14ac:dyDescent="0.2">
      <c r="A240">
        <v>811</v>
      </c>
      <c r="B240">
        <v>5484.28</v>
      </c>
      <c r="C240">
        <v>-1842.68</v>
      </c>
    </row>
    <row r="241" spans="1:3" x14ac:dyDescent="0.2">
      <c r="A241">
        <v>813</v>
      </c>
      <c r="B241">
        <v>4978.1000000000004</v>
      </c>
      <c r="C241">
        <v>-1251.1300000000001</v>
      </c>
    </row>
    <row r="242" spans="1:3" x14ac:dyDescent="0.2">
      <c r="A242">
        <v>818</v>
      </c>
      <c r="B242">
        <v>515.14</v>
      </c>
      <c r="C242">
        <v>353.48</v>
      </c>
    </row>
    <row r="243" spans="1:3" x14ac:dyDescent="0.2">
      <c r="A243">
        <v>820</v>
      </c>
      <c r="B243">
        <v>0</v>
      </c>
      <c r="C243">
        <v>0</v>
      </c>
    </row>
    <row r="244" spans="1:3" x14ac:dyDescent="0.2">
      <c r="A244">
        <v>821</v>
      </c>
      <c r="B244">
        <v>6435.83</v>
      </c>
      <c r="C244">
        <v>6434.89</v>
      </c>
    </row>
    <row r="245" spans="1:3" x14ac:dyDescent="0.2">
      <c r="A245">
        <v>829</v>
      </c>
      <c r="B245">
        <v>5739.35</v>
      </c>
      <c r="C245">
        <v>1779.44</v>
      </c>
    </row>
    <row r="246" spans="1:3" x14ac:dyDescent="0.2">
      <c r="A246">
        <v>831</v>
      </c>
      <c r="B246">
        <v>41370.92</v>
      </c>
      <c r="C246">
        <v>32994.5</v>
      </c>
    </row>
    <row r="247" spans="1:3" x14ac:dyDescent="0.2">
      <c r="A247">
        <v>832</v>
      </c>
      <c r="B247">
        <v>3468.62</v>
      </c>
      <c r="C247">
        <v>5050.1899999999996</v>
      </c>
    </row>
    <row r="248" spans="1:3" x14ac:dyDescent="0.2">
      <c r="A248">
        <v>833</v>
      </c>
      <c r="B248">
        <v>3524.01</v>
      </c>
      <c r="C248">
        <v>-29692.77</v>
      </c>
    </row>
    <row r="249" spans="1:3" x14ac:dyDescent="0.2">
      <c r="A249">
        <v>834</v>
      </c>
      <c r="B249">
        <v>0</v>
      </c>
      <c r="C249">
        <v>0</v>
      </c>
    </row>
    <row r="250" spans="1:3" x14ac:dyDescent="0.2">
      <c r="A250">
        <v>836</v>
      </c>
      <c r="B250">
        <v>856.59</v>
      </c>
      <c r="C250">
        <v>500.05</v>
      </c>
    </row>
    <row r="251" spans="1:3" x14ac:dyDescent="0.2">
      <c r="A251">
        <v>837</v>
      </c>
      <c r="B251">
        <v>157.04</v>
      </c>
      <c r="C251">
        <v>884.81</v>
      </c>
    </row>
    <row r="252" spans="1:3" x14ac:dyDescent="0.2">
      <c r="A252">
        <v>840</v>
      </c>
      <c r="B252">
        <v>3996.49</v>
      </c>
      <c r="C252">
        <v>3721.29</v>
      </c>
    </row>
    <row r="253" spans="1:3" x14ac:dyDescent="0.2">
      <c r="A253">
        <v>846</v>
      </c>
      <c r="B253">
        <v>0</v>
      </c>
      <c r="C253">
        <v>0</v>
      </c>
    </row>
    <row r="254" spans="1:3" x14ac:dyDescent="0.2">
      <c r="A254">
        <v>850</v>
      </c>
      <c r="B254">
        <v>1905.1</v>
      </c>
      <c r="C254">
        <v>-0.81</v>
      </c>
    </row>
    <row r="255" spans="1:3" x14ac:dyDescent="0.2">
      <c r="A255">
        <v>852</v>
      </c>
      <c r="B255">
        <v>-38.96</v>
      </c>
      <c r="C255">
        <v>0</v>
      </c>
    </row>
    <row r="256" spans="1:3" x14ac:dyDescent="0.2">
      <c r="A256">
        <v>857</v>
      </c>
      <c r="B256">
        <v>-26990.47</v>
      </c>
      <c r="C256">
        <v>-30000</v>
      </c>
    </row>
    <row r="257" spans="1:3" x14ac:dyDescent="0.2">
      <c r="A257">
        <v>858</v>
      </c>
      <c r="B257">
        <v>8423.74</v>
      </c>
      <c r="C257">
        <v>8423.74</v>
      </c>
    </row>
    <row r="258" spans="1:3" x14ac:dyDescent="0.2">
      <c r="A258">
        <v>861</v>
      </c>
      <c r="B258">
        <v>6811.02</v>
      </c>
      <c r="C258">
        <v>9313.34</v>
      </c>
    </row>
    <row r="259" spans="1:3" x14ac:dyDescent="0.2">
      <c r="A259">
        <v>876</v>
      </c>
      <c r="B259">
        <v>16742.27</v>
      </c>
      <c r="C259">
        <v>23770.35</v>
      </c>
    </row>
    <row r="260" spans="1:3" x14ac:dyDescent="0.2">
      <c r="A260">
        <v>877</v>
      </c>
      <c r="B260">
        <v>20552.849999999999</v>
      </c>
      <c r="C260">
        <v>44430.48</v>
      </c>
    </row>
    <row r="261" spans="1:3" x14ac:dyDescent="0.2">
      <c r="A261">
        <v>879</v>
      </c>
      <c r="B261">
        <v>-2405.52</v>
      </c>
      <c r="C261">
        <v>-1169.4100000000001</v>
      </c>
    </row>
    <row r="262" spans="1:3" x14ac:dyDescent="0.2">
      <c r="A262">
        <v>881</v>
      </c>
      <c r="B262">
        <v>0</v>
      </c>
      <c r="C262">
        <v>0</v>
      </c>
    </row>
    <row r="263" spans="1:3" x14ac:dyDescent="0.2">
      <c r="A263">
        <v>882</v>
      </c>
      <c r="B263">
        <v>8295.57</v>
      </c>
      <c r="C263">
        <v>13195.17</v>
      </c>
    </row>
    <row r="264" spans="1:3" x14ac:dyDescent="0.2">
      <c r="A264">
        <v>883</v>
      </c>
      <c r="B264">
        <v>32514.27</v>
      </c>
      <c r="C264">
        <v>44355.13</v>
      </c>
    </row>
    <row r="265" spans="1:3" x14ac:dyDescent="0.2">
      <c r="A265">
        <v>885</v>
      </c>
      <c r="B265">
        <v>-53082.6</v>
      </c>
      <c r="C265">
        <v>-5202.66</v>
      </c>
    </row>
    <row r="266" spans="1:3" x14ac:dyDescent="0.2">
      <c r="A266">
        <v>891</v>
      </c>
      <c r="B266">
        <v>-4874.8</v>
      </c>
      <c r="C266">
        <v>-7108.09</v>
      </c>
    </row>
    <row r="267" spans="1:3" x14ac:dyDescent="0.2">
      <c r="A267">
        <v>911</v>
      </c>
      <c r="B267">
        <v>12147.68</v>
      </c>
      <c r="C267">
        <v>13116.15</v>
      </c>
    </row>
    <row r="268" spans="1:3" x14ac:dyDescent="0.2">
      <c r="A268">
        <v>912</v>
      </c>
      <c r="B268">
        <v>-37181.660000000003</v>
      </c>
      <c r="C268">
        <v>-17645.73</v>
      </c>
    </row>
    <row r="269" spans="1:3" x14ac:dyDescent="0.2">
      <c r="A269">
        <v>914</v>
      </c>
      <c r="B269">
        <v>0</v>
      </c>
      <c r="C269">
        <v>0</v>
      </c>
    </row>
    <row r="270" spans="1:3" x14ac:dyDescent="0.2">
      <c r="A270">
        <v>2071</v>
      </c>
      <c r="B270">
        <v>11076.22</v>
      </c>
      <c r="C270">
        <v>46296.800000000003</v>
      </c>
    </row>
    <row r="271" spans="1:3" x14ac:dyDescent="0.2">
      <c r="A271">
        <v>2125</v>
      </c>
      <c r="B271">
        <v>5172.93</v>
      </c>
      <c r="C271">
        <v>15385.82</v>
      </c>
    </row>
    <row r="272" spans="1:3" x14ac:dyDescent="0.2">
      <c r="A272">
        <v>2134</v>
      </c>
      <c r="B272">
        <v>7405.77</v>
      </c>
      <c r="C272">
        <v>7402.09</v>
      </c>
    </row>
    <row r="273" spans="1:3" x14ac:dyDescent="0.2">
      <c r="A273">
        <v>2135</v>
      </c>
      <c r="B273">
        <v>13364.96</v>
      </c>
      <c r="C273">
        <v>13689.97</v>
      </c>
    </row>
    <row r="274" spans="1:3" x14ac:dyDescent="0.2">
      <c r="A274">
        <v>2137</v>
      </c>
      <c r="B274">
        <v>6110.52</v>
      </c>
      <c r="C274">
        <v>6410.61</v>
      </c>
    </row>
    <row r="275" spans="1:3" x14ac:dyDescent="0.2">
      <c r="A275">
        <v>2142</v>
      </c>
      <c r="B275">
        <v>472.12</v>
      </c>
      <c r="C275">
        <v>0</v>
      </c>
    </row>
    <row r="276" spans="1:3" x14ac:dyDescent="0.2">
      <c r="A276">
        <v>2143</v>
      </c>
      <c r="B276">
        <v>910.69</v>
      </c>
      <c r="C276">
        <v>-5981.63</v>
      </c>
    </row>
    <row r="277" spans="1:3" x14ac:dyDescent="0.2">
      <c r="A277">
        <v>2144</v>
      </c>
      <c r="B277">
        <v>-1449.47</v>
      </c>
      <c r="C277">
        <v>-2420.71</v>
      </c>
    </row>
    <row r="278" spans="1:3" x14ac:dyDescent="0.2">
      <c r="A278">
        <v>2149</v>
      </c>
      <c r="B278">
        <v>1056.8499999999999</v>
      </c>
      <c r="C278">
        <v>3505.78</v>
      </c>
    </row>
    <row r="279" spans="1:3" x14ac:dyDescent="0.2">
      <c r="A279">
        <v>2154</v>
      </c>
      <c r="B279">
        <v>8096.59</v>
      </c>
      <c r="C279">
        <v>12154.99</v>
      </c>
    </row>
    <row r="280" spans="1:3" x14ac:dyDescent="0.2">
      <c r="A280">
        <v>2155</v>
      </c>
      <c r="B280">
        <v>0</v>
      </c>
      <c r="C280">
        <v>0</v>
      </c>
    </row>
    <row r="281" spans="1:3" x14ac:dyDescent="0.2">
      <c r="A281">
        <v>2159</v>
      </c>
      <c r="B281">
        <v>2928.12</v>
      </c>
      <c r="C281">
        <v>4237.2700000000004</v>
      </c>
    </row>
    <row r="282" spans="1:3" x14ac:dyDescent="0.2">
      <c r="A282">
        <v>2164</v>
      </c>
      <c r="B282">
        <v>19171.05</v>
      </c>
      <c r="C282">
        <v>35269.25</v>
      </c>
    </row>
    <row r="283" spans="1:3" x14ac:dyDescent="0.2">
      <c r="A283">
        <v>2165</v>
      </c>
      <c r="B283">
        <v>0</v>
      </c>
      <c r="C283">
        <v>0</v>
      </c>
    </row>
    <row r="284" spans="1:3" x14ac:dyDescent="0.2">
      <c r="A284">
        <v>2167</v>
      </c>
      <c r="B284">
        <v>15543.44</v>
      </c>
      <c r="C284">
        <v>23402.57</v>
      </c>
    </row>
    <row r="285" spans="1:3" x14ac:dyDescent="0.2">
      <c r="A285">
        <v>2168</v>
      </c>
      <c r="B285">
        <v>0</v>
      </c>
      <c r="C285">
        <v>-5963.45</v>
      </c>
    </row>
    <row r="286" spans="1:3" x14ac:dyDescent="0.2">
      <c r="A286">
        <v>2169</v>
      </c>
      <c r="B286">
        <v>0</v>
      </c>
      <c r="C286">
        <v>0</v>
      </c>
    </row>
    <row r="287" spans="1:3" x14ac:dyDescent="0.2">
      <c r="A287">
        <v>2170</v>
      </c>
      <c r="B287">
        <v>5692.07</v>
      </c>
      <c r="C287">
        <v>5878.43</v>
      </c>
    </row>
    <row r="288" spans="1:3" x14ac:dyDescent="0.2">
      <c r="A288">
        <v>2171</v>
      </c>
      <c r="B288">
        <v>0</v>
      </c>
      <c r="C288">
        <v>0</v>
      </c>
    </row>
    <row r="289" spans="1:3" x14ac:dyDescent="0.2">
      <c r="A289">
        <v>2172</v>
      </c>
      <c r="B289">
        <v>-21709.85</v>
      </c>
      <c r="C289">
        <v>0</v>
      </c>
    </row>
    <row r="290" spans="1:3" x14ac:dyDescent="0.2">
      <c r="A290">
        <v>2174</v>
      </c>
      <c r="B290">
        <v>1074.6400000000001</v>
      </c>
      <c r="C290">
        <v>2803.48</v>
      </c>
    </row>
    <row r="291" spans="1:3" x14ac:dyDescent="0.2">
      <c r="A291">
        <v>2176</v>
      </c>
      <c r="B291">
        <v>46.3</v>
      </c>
      <c r="C291">
        <v>200.15</v>
      </c>
    </row>
    <row r="292" spans="1:3" x14ac:dyDescent="0.2">
      <c r="A292">
        <v>2180</v>
      </c>
      <c r="B292">
        <v>2126.56</v>
      </c>
      <c r="C292">
        <v>2154.46</v>
      </c>
    </row>
    <row r="293" spans="1:3" x14ac:dyDescent="0.2">
      <c r="A293">
        <v>2184</v>
      </c>
      <c r="B293">
        <v>2543.65</v>
      </c>
      <c r="C293">
        <v>3732.4</v>
      </c>
    </row>
    <row r="294" spans="1:3" x14ac:dyDescent="0.2">
      <c r="A294">
        <v>2190</v>
      </c>
      <c r="B294">
        <v>10412.67</v>
      </c>
      <c r="C294">
        <v>2888.27</v>
      </c>
    </row>
    <row r="295" spans="1:3" x14ac:dyDescent="0.2">
      <c r="A295">
        <v>2198</v>
      </c>
      <c r="B295">
        <v>-30536.79</v>
      </c>
      <c r="C295">
        <v>-29074.26</v>
      </c>
    </row>
    <row r="296" spans="1:3" x14ac:dyDescent="0.2">
      <c r="A296">
        <v>2215</v>
      </c>
      <c r="B296">
        <v>1007</v>
      </c>
      <c r="C296">
        <v>10150.5</v>
      </c>
    </row>
    <row r="297" spans="1:3" x14ac:dyDescent="0.2">
      <c r="A297">
        <v>2310</v>
      </c>
      <c r="B297">
        <v>27088.33</v>
      </c>
      <c r="C297">
        <v>4172</v>
      </c>
    </row>
    <row r="298" spans="1:3" x14ac:dyDescent="0.2">
      <c r="A298">
        <v>2311</v>
      </c>
      <c r="B298">
        <v>4016.02</v>
      </c>
      <c r="C298">
        <v>4373.3500000000004</v>
      </c>
    </row>
    <row r="299" spans="1:3" x14ac:dyDescent="0.2">
      <c r="A299">
        <v>2342</v>
      </c>
      <c r="B299">
        <v>-5724.89</v>
      </c>
      <c r="C299">
        <v>-5694.82</v>
      </c>
    </row>
    <row r="300" spans="1:3" x14ac:dyDescent="0.2">
      <c r="A300">
        <v>2358</v>
      </c>
      <c r="B300">
        <v>-0.11</v>
      </c>
      <c r="C300">
        <v>380.36</v>
      </c>
    </row>
    <row r="301" spans="1:3" x14ac:dyDescent="0.2">
      <c r="A301">
        <v>2364</v>
      </c>
      <c r="B301">
        <v>1899.77</v>
      </c>
      <c r="C301">
        <v>1691.63</v>
      </c>
    </row>
    <row r="302" spans="1:3" x14ac:dyDescent="0.2">
      <c r="A302">
        <v>2365</v>
      </c>
      <c r="B302">
        <v>-22.26</v>
      </c>
      <c r="C302">
        <v>686.42</v>
      </c>
    </row>
    <row r="303" spans="1:3" x14ac:dyDescent="0.2">
      <c r="A303">
        <v>2396</v>
      </c>
      <c r="B303">
        <v>-5843.89</v>
      </c>
      <c r="C303">
        <v>1906.63</v>
      </c>
    </row>
    <row r="304" spans="1:3" x14ac:dyDescent="0.2">
      <c r="A304">
        <v>2397</v>
      </c>
      <c r="B304">
        <v>8696.81</v>
      </c>
      <c r="C304">
        <v>14126.37</v>
      </c>
    </row>
    <row r="305" spans="1:3" x14ac:dyDescent="0.2">
      <c r="A305">
        <v>2448</v>
      </c>
      <c r="B305">
        <v>0</v>
      </c>
      <c r="C305">
        <v>0</v>
      </c>
    </row>
    <row r="306" spans="1:3" x14ac:dyDescent="0.2">
      <c r="A306">
        <v>2527</v>
      </c>
      <c r="B306">
        <v>115.43</v>
      </c>
      <c r="C306">
        <v>-318.29000000000002</v>
      </c>
    </row>
    <row r="307" spans="1:3" x14ac:dyDescent="0.2">
      <c r="A307">
        <v>2534</v>
      </c>
      <c r="B307">
        <v>1462.42</v>
      </c>
      <c r="C307">
        <v>-3322.12</v>
      </c>
    </row>
    <row r="308" spans="1:3" x14ac:dyDescent="0.2">
      <c r="A308">
        <v>2536</v>
      </c>
      <c r="B308">
        <v>6202.69</v>
      </c>
      <c r="C308">
        <v>-11549.57</v>
      </c>
    </row>
    <row r="309" spans="1:3" x14ac:dyDescent="0.2">
      <c r="A309">
        <v>2580</v>
      </c>
      <c r="B309">
        <v>-20221.41</v>
      </c>
      <c r="C309">
        <v>-19286.34</v>
      </c>
    </row>
    <row r="310" spans="1:3" x14ac:dyDescent="0.2">
      <c r="A310">
        <v>2609</v>
      </c>
      <c r="B310">
        <v>-1117.6600000000001</v>
      </c>
      <c r="C310">
        <v>2089.79</v>
      </c>
    </row>
    <row r="311" spans="1:3" x14ac:dyDescent="0.2">
      <c r="A311">
        <v>2683</v>
      </c>
      <c r="B311">
        <v>0.64</v>
      </c>
      <c r="C311">
        <v>707.25</v>
      </c>
    </row>
    <row r="312" spans="1:3" x14ac:dyDescent="0.2">
      <c r="A312">
        <v>2687</v>
      </c>
      <c r="B312">
        <v>2424.58</v>
      </c>
      <c r="C312">
        <v>1978.11</v>
      </c>
    </row>
    <row r="313" spans="1:3" x14ac:dyDescent="0.2">
      <c r="A313">
        <v>2689</v>
      </c>
      <c r="B313">
        <v>3366.53</v>
      </c>
      <c r="C313">
        <v>6489.45</v>
      </c>
    </row>
    <row r="314" spans="1:3" x14ac:dyDescent="0.2">
      <c r="A314">
        <v>2711</v>
      </c>
      <c r="B314">
        <v>-96.99</v>
      </c>
      <c r="C314">
        <v>4165.38</v>
      </c>
    </row>
    <row r="315" spans="1:3" x14ac:dyDescent="0.2">
      <c r="A315">
        <v>2752</v>
      </c>
      <c r="B315">
        <v>4963</v>
      </c>
      <c r="C315">
        <v>13424.04</v>
      </c>
    </row>
    <row r="316" spans="1:3" x14ac:dyDescent="0.2">
      <c r="A316">
        <v>2753</v>
      </c>
      <c r="B316">
        <v>-731.22</v>
      </c>
      <c r="C316">
        <v>-5837.95</v>
      </c>
    </row>
    <row r="317" spans="1:3" x14ac:dyDescent="0.2">
      <c r="A317">
        <v>2754</v>
      </c>
      <c r="B317">
        <v>-8138.91</v>
      </c>
      <c r="C317">
        <v>-12733.15</v>
      </c>
    </row>
    <row r="318" spans="1:3" x14ac:dyDescent="0.2">
      <c r="A318">
        <v>2759</v>
      </c>
      <c r="B318">
        <v>-228.33</v>
      </c>
      <c r="C318">
        <v>-89.11</v>
      </c>
    </row>
    <row r="319" spans="1:3" x14ac:dyDescent="0.2">
      <c r="A319">
        <v>2805</v>
      </c>
      <c r="B319">
        <v>11838.77</v>
      </c>
      <c r="C319">
        <v>11279.34</v>
      </c>
    </row>
    <row r="320" spans="1:3" x14ac:dyDescent="0.2">
      <c r="A320">
        <v>2835</v>
      </c>
      <c r="B320">
        <v>236.66</v>
      </c>
      <c r="C320">
        <v>-6071.29</v>
      </c>
    </row>
    <row r="321" spans="1:3" x14ac:dyDescent="0.2">
      <c r="A321">
        <v>2853</v>
      </c>
      <c r="B321">
        <v>-20751.09</v>
      </c>
      <c r="C321">
        <v>-17390.13</v>
      </c>
    </row>
    <row r="322" spans="1:3" x14ac:dyDescent="0.2">
      <c r="A322">
        <v>2854</v>
      </c>
      <c r="B322">
        <v>0</v>
      </c>
      <c r="C322">
        <v>0</v>
      </c>
    </row>
    <row r="323" spans="1:3" x14ac:dyDescent="0.2">
      <c r="A323">
        <v>2856</v>
      </c>
      <c r="B323">
        <v>252.36</v>
      </c>
      <c r="C323">
        <v>0</v>
      </c>
    </row>
    <row r="324" spans="1:3" x14ac:dyDescent="0.2">
      <c r="A324">
        <v>2859</v>
      </c>
      <c r="B324">
        <v>28778.240000000002</v>
      </c>
      <c r="C324">
        <v>17246.97</v>
      </c>
    </row>
    <row r="325" spans="1:3" x14ac:dyDescent="0.2">
      <c r="A325">
        <v>2860</v>
      </c>
      <c r="B325">
        <v>-4675.29</v>
      </c>
      <c r="C325">
        <v>-1895.39</v>
      </c>
    </row>
    <row r="326" spans="1:3" x14ac:dyDescent="0.2">
      <c r="A326">
        <v>2884</v>
      </c>
      <c r="B326">
        <v>-91859.86</v>
      </c>
      <c r="C326">
        <v>-107460.65</v>
      </c>
    </row>
    <row r="327" spans="1:3" x14ac:dyDescent="0.2">
      <c r="A327">
        <v>2886</v>
      </c>
      <c r="B327">
        <v>0</v>
      </c>
      <c r="C327">
        <v>-688.5</v>
      </c>
    </row>
    <row r="328" spans="1:3" x14ac:dyDescent="0.2">
      <c r="A328">
        <v>2888</v>
      </c>
      <c r="B328">
        <v>0</v>
      </c>
      <c r="C328">
        <v>5401.41</v>
      </c>
    </row>
    <row r="329" spans="1:3" x14ac:dyDescent="0.2">
      <c r="A329">
        <v>2889</v>
      </c>
      <c r="B329">
        <v>-10835.62</v>
      </c>
      <c r="C329">
        <v>-29442.799999999999</v>
      </c>
    </row>
    <row r="330" spans="1:3" x14ac:dyDescent="0.2">
      <c r="A330">
        <v>2890</v>
      </c>
      <c r="B330">
        <v>5453.36</v>
      </c>
      <c r="C330">
        <v>9141.14</v>
      </c>
    </row>
    <row r="331" spans="1:3" x14ac:dyDescent="0.2">
      <c r="A331">
        <v>2895</v>
      </c>
      <c r="B331">
        <v>2995.36</v>
      </c>
      <c r="C331">
        <v>5096.3500000000004</v>
      </c>
    </row>
    <row r="332" spans="1:3" x14ac:dyDescent="0.2">
      <c r="A332">
        <v>2897</v>
      </c>
      <c r="B332">
        <v>-8736.32</v>
      </c>
      <c r="C332">
        <v>-10197.34</v>
      </c>
    </row>
    <row r="333" spans="1:3" x14ac:dyDescent="0.2">
      <c r="A333">
        <v>2898</v>
      </c>
      <c r="B333">
        <v>-1942.73</v>
      </c>
      <c r="C333">
        <v>60.04</v>
      </c>
    </row>
    <row r="334" spans="1:3" x14ac:dyDescent="0.2">
      <c r="A334">
        <v>2899</v>
      </c>
      <c r="B334">
        <v>13048.46</v>
      </c>
      <c r="C334">
        <v>-2336.6</v>
      </c>
    </row>
    <row r="335" spans="1:3" x14ac:dyDescent="0.2">
      <c r="A335">
        <v>2902</v>
      </c>
      <c r="B335">
        <v>1.45</v>
      </c>
      <c r="C335">
        <v>1.79</v>
      </c>
    </row>
    <row r="336" spans="1:3" x14ac:dyDescent="0.2">
      <c r="A336">
        <v>2903</v>
      </c>
      <c r="B336">
        <v>-416.23</v>
      </c>
      <c r="C336">
        <v>-0.2</v>
      </c>
    </row>
    <row r="337" spans="1:3" x14ac:dyDescent="0.2">
      <c r="A337">
        <v>2904</v>
      </c>
      <c r="B337">
        <v>-41794.57</v>
      </c>
      <c r="C337">
        <v>-62928.95</v>
      </c>
    </row>
    <row r="338" spans="1:3" x14ac:dyDescent="0.2">
      <c r="A338">
        <v>1000</v>
      </c>
      <c r="B338">
        <f>SUM(B3:B337)</f>
        <v>1470000.0100000009</v>
      </c>
      <c r="C338">
        <f>SUM(C3:C337)</f>
        <v>1816010.4400000011</v>
      </c>
    </row>
  </sheetData>
  <sheetProtection password="8A77" sheet="1"/>
  <phoneticPr fontId="2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4</vt:i4>
      </vt:variant>
    </vt:vector>
  </HeadingPairs>
  <TitlesOfParts>
    <vt:vector size="17" baseType="lpstr">
      <vt:lpstr>Instructions</vt:lpstr>
      <vt:lpstr>Budget Planner</vt:lpstr>
      <vt:lpstr>Expenditure Planning Worksheet</vt:lpstr>
      <vt:lpstr>Allowable Expenditures</vt:lpstr>
      <vt:lpstr>lookup name</vt:lpstr>
      <vt:lpstr>lookup1_aid_otherev_fundbal</vt:lpstr>
      <vt:lpstr>lookup2_expenditures</vt:lpstr>
      <vt:lpstr>Combined District Planner</vt:lpstr>
      <vt:lpstr>OLD 2010 DATA - queries</vt:lpstr>
      <vt:lpstr>OLD DATA -lookup2_UFARS revenue</vt:lpstr>
      <vt:lpstr>OLD DATA -lookup3_UFARS expends</vt:lpstr>
      <vt:lpstr>OLD 2010 DATA - lookup4_GNL</vt:lpstr>
      <vt:lpstr>Sheet1</vt:lpstr>
      <vt:lpstr>Instructions!_ftn1</vt:lpstr>
      <vt:lpstr>Instructions!_ftnref1</vt:lpstr>
      <vt:lpstr>'Allowable Expenditures'!Print_Area</vt:lpstr>
      <vt:lpstr>'Combined District Planner'!Print_Area</vt:lpstr>
    </vt:vector>
  </TitlesOfParts>
  <Company>mde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School Readiness Biennial Plan</dc:title>
  <dc:subject>Budget Planner</dc:subject>
  <dc:creator>LISAD</dc:creator>
  <dc:description>Updated for Plans due April 2010.</dc:description>
  <cp:lastModifiedBy>Oliver, Sophie</cp:lastModifiedBy>
  <cp:lastPrinted>2013-02-07T17:47:26Z</cp:lastPrinted>
  <dcterms:created xsi:type="dcterms:W3CDTF">2008-11-17T13:44:52Z</dcterms:created>
  <dcterms:modified xsi:type="dcterms:W3CDTF">2013-02-11T14:44:02Z</dcterms:modified>
</cp:coreProperties>
</file>