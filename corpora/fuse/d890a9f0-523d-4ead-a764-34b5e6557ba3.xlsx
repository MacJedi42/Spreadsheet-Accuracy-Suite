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115" windowHeight="7485"/>
  </bookViews>
  <sheets>
    <sheet name="Table S3" sheetId="10" r:id="rId1"/>
  </sheets>
  <externalReferences>
    <externalReference r:id="rId2"/>
  </externalReferences>
  <definedNames>
    <definedName name="_xlnm._FilterDatabase" localSheetId="0" hidden="1">'Table S3'!$A$1:$K$1331</definedName>
  </definedNames>
  <calcPr calcId="125725"/>
</workbook>
</file>

<file path=xl/calcChain.xml><?xml version="1.0" encoding="utf-8"?>
<calcChain xmlns="http://schemas.openxmlformats.org/spreadsheetml/2006/main">
  <c r="J57" i="10"/>
  <c r="I57"/>
  <c r="J691"/>
  <c r="I691"/>
  <c r="J126"/>
  <c r="I126"/>
  <c r="J145"/>
  <c r="I145"/>
  <c r="J415"/>
  <c r="I415"/>
  <c r="J1157"/>
  <c r="I1157"/>
  <c r="J174"/>
  <c r="I174"/>
  <c r="J356"/>
  <c r="I356"/>
  <c r="J1239"/>
  <c r="I1239"/>
  <c r="J1284"/>
  <c r="I1284"/>
  <c r="J1056"/>
  <c r="I1056"/>
  <c r="J52"/>
  <c r="I52"/>
  <c r="J2"/>
  <c r="I2"/>
  <c r="J736"/>
  <c r="I736"/>
  <c r="J1219"/>
  <c r="I1219"/>
  <c r="J284"/>
  <c r="I284"/>
  <c r="J448"/>
  <c r="I448"/>
  <c r="J996"/>
  <c r="I996"/>
  <c r="J968"/>
  <c r="I968"/>
  <c r="J1192"/>
  <c r="I1192"/>
  <c r="J38"/>
  <c r="I38"/>
  <c r="J6"/>
  <c r="I6"/>
  <c r="J10"/>
  <c r="I10"/>
  <c r="J4"/>
  <c r="I4"/>
  <c r="J223"/>
  <c r="I223"/>
  <c r="J1296"/>
  <c r="I1296"/>
  <c r="J719"/>
  <c r="I719"/>
  <c r="J1125"/>
  <c r="I1125"/>
  <c r="J1283"/>
  <c r="I1283"/>
  <c r="J1193"/>
  <c r="I1193"/>
  <c r="J682"/>
  <c r="I682"/>
  <c r="J1200"/>
  <c r="I1200"/>
  <c r="J991"/>
  <c r="I991"/>
  <c r="J5"/>
  <c r="I5"/>
  <c r="J8"/>
  <c r="I8"/>
  <c r="J41"/>
  <c r="I41"/>
  <c r="J15"/>
  <c r="I15"/>
  <c r="J1314"/>
  <c r="I1314"/>
  <c r="J43"/>
  <c r="I43"/>
  <c r="J1276"/>
  <c r="I1276"/>
  <c r="J22"/>
  <c r="I22"/>
  <c r="J17"/>
  <c r="I17"/>
  <c r="J25"/>
  <c r="I25"/>
  <c r="J1064"/>
  <c r="I1064"/>
  <c r="J133"/>
  <c r="I133"/>
  <c r="J1069"/>
  <c r="I1069"/>
  <c r="J50"/>
  <c r="I50"/>
  <c r="J21"/>
  <c r="I21"/>
  <c r="J1021"/>
  <c r="I1021"/>
  <c r="J490"/>
  <c r="I490"/>
  <c r="J650"/>
  <c r="I650"/>
  <c r="J901"/>
  <c r="I901"/>
  <c r="J200"/>
  <c r="I200"/>
  <c r="J496"/>
  <c r="I496"/>
  <c r="J754"/>
  <c r="I754"/>
  <c r="J309"/>
  <c r="I309"/>
  <c r="J817"/>
  <c r="I817"/>
  <c r="J510"/>
  <c r="I510"/>
  <c r="J833"/>
  <c r="I833"/>
  <c r="J488"/>
  <c r="I488"/>
  <c r="J12"/>
  <c r="I12"/>
  <c r="J171"/>
  <c r="I171"/>
  <c r="J493"/>
  <c r="I493"/>
  <c r="J11"/>
  <c r="I11"/>
  <c r="J1065"/>
  <c r="I1065"/>
  <c r="J1244"/>
  <c r="I1244"/>
  <c r="J1020"/>
  <c r="I1020"/>
  <c r="J48"/>
  <c r="I48"/>
  <c r="J521"/>
  <c r="I521"/>
  <c r="J983"/>
  <c r="I983"/>
  <c r="J548"/>
  <c r="I548"/>
  <c r="J1169"/>
  <c r="I1169"/>
  <c r="J626"/>
  <c r="I626"/>
  <c r="J319"/>
  <c r="I319"/>
  <c r="J976"/>
  <c r="I976"/>
  <c r="J958"/>
  <c r="I958"/>
  <c r="J1195"/>
  <c r="I1195"/>
  <c r="J757"/>
  <c r="I757"/>
  <c r="J273"/>
  <c r="I273"/>
  <c r="J856"/>
  <c r="I856"/>
  <c r="J1237"/>
  <c r="I1237"/>
  <c r="J53"/>
  <c r="I53"/>
  <c r="J54"/>
  <c r="I54"/>
  <c r="J596"/>
  <c r="I596"/>
  <c r="J965"/>
  <c r="I965"/>
  <c r="J257"/>
  <c r="I257"/>
  <c r="J499"/>
  <c r="I499"/>
  <c r="J941"/>
  <c r="I941"/>
  <c r="J800"/>
  <c r="I800"/>
  <c r="J1289"/>
  <c r="I1289"/>
  <c r="J98"/>
  <c r="I98"/>
  <c r="J940"/>
  <c r="I940"/>
  <c r="J766"/>
  <c r="I766"/>
  <c r="J881"/>
  <c r="I881"/>
  <c r="J1002"/>
  <c r="I1002"/>
  <c r="J1093"/>
  <c r="I1093"/>
  <c r="J178"/>
  <c r="I178"/>
  <c r="J821"/>
  <c r="I821"/>
  <c r="J304"/>
  <c r="I304"/>
  <c r="J218"/>
  <c r="I218"/>
  <c r="J542"/>
  <c r="I542"/>
  <c r="J1052"/>
  <c r="I1052"/>
  <c r="J208"/>
  <c r="I208"/>
  <c r="J183"/>
  <c r="I183"/>
  <c r="J1128"/>
  <c r="I1128"/>
  <c r="J190"/>
  <c r="I190"/>
  <c r="J262"/>
  <c r="I262"/>
  <c r="J1220"/>
  <c r="I1220"/>
  <c r="J60"/>
  <c r="I60"/>
  <c r="J1229"/>
  <c r="I1229"/>
  <c r="J26"/>
  <c r="I26"/>
  <c r="J3"/>
  <c r="I3"/>
  <c r="J643"/>
  <c r="I643"/>
  <c r="J567"/>
  <c r="I567"/>
  <c r="J697"/>
  <c r="I697"/>
  <c r="J589"/>
  <c r="I589"/>
  <c r="J512"/>
  <c r="I512"/>
  <c r="J739"/>
  <c r="I739"/>
  <c r="J866"/>
  <c r="I866"/>
  <c r="J1292"/>
  <c r="I1292"/>
  <c r="J964"/>
  <c r="I964"/>
  <c r="J255"/>
  <c r="I255"/>
  <c r="J434"/>
  <c r="I434"/>
  <c r="J237"/>
  <c r="I237"/>
  <c r="J1191"/>
  <c r="I1191"/>
  <c r="J930"/>
  <c r="I930"/>
  <c r="J184"/>
  <c r="I184"/>
  <c r="J778"/>
  <c r="I778"/>
  <c r="J372"/>
  <c r="I372"/>
  <c r="J492"/>
  <c r="I492"/>
  <c r="J1166"/>
  <c r="I1166"/>
  <c r="J1315"/>
  <c r="I1315"/>
  <c r="J243"/>
  <c r="I243"/>
  <c r="J1279"/>
  <c r="I1279"/>
  <c r="J931"/>
  <c r="I931"/>
  <c r="J727"/>
  <c r="I727"/>
  <c r="J244"/>
  <c r="I244"/>
  <c r="J513"/>
  <c r="I513"/>
  <c r="J115"/>
  <c r="I115"/>
  <c r="J892"/>
  <c r="I892"/>
  <c r="J1212"/>
  <c r="I1212"/>
  <c r="J1181"/>
  <c r="I1181"/>
  <c r="J1152"/>
  <c r="I1152"/>
  <c r="J231"/>
  <c r="I231"/>
  <c r="J550"/>
  <c r="I550"/>
  <c r="J418"/>
  <c r="I418"/>
  <c r="J498"/>
  <c r="I498"/>
  <c r="J480"/>
  <c r="I480"/>
  <c r="J230"/>
  <c r="I230"/>
  <c r="J925"/>
  <c r="I925"/>
  <c r="J790"/>
  <c r="I790"/>
  <c r="J903"/>
  <c r="I903"/>
  <c r="J681"/>
  <c r="I681"/>
  <c r="J707"/>
  <c r="I707"/>
  <c r="J805"/>
  <c r="I805"/>
  <c r="J1290"/>
  <c r="I1290"/>
  <c r="J248"/>
  <c r="I248"/>
  <c r="J1012"/>
  <c r="I1012"/>
  <c r="J988"/>
  <c r="I988"/>
  <c r="J671"/>
  <c r="I671"/>
  <c r="J563"/>
  <c r="I563"/>
  <c r="J742"/>
  <c r="I742"/>
  <c r="J311"/>
  <c r="I311"/>
  <c r="J592"/>
  <c r="I592"/>
  <c r="J295"/>
  <c r="I295"/>
  <c r="J763"/>
  <c r="I763"/>
  <c r="J678"/>
  <c r="I678"/>
  <c r="J297"/>
  <c r="I297"/>
  <c r="J270"/>
  <c r="I270"/>
  <c r="J799"/>
  <c r="I799"/>
  <c r="J584"/>
  <c r="I584"/>
  <c r="J1173"/>
  <c r="I1173"/>
  <c r="J347"/>
  <c r="I347"/>
  <c r="J1311"/>
  <c r="I1311"/>
  <c r="J1183"/>
  <c r="I1183"/>
  <c r="J1214"/>
  <c r="I1214"/>
  <c r="J427"/>
  <c r="I427"/>
  <c r="J520"/>
  <c r="I520"/>
  <c r="J346"/>
  <c r="I346"/>
  <c r="J775"/>
  <c r="I775"/>
  <c r="J274"/>
  <c r="I274"/>
  <c r="J1273"/>
  <c r="I1273"/>
  <c r="J1136"/>
  <c r="I1136"/>
  <c r="J900"/>
  <c r="I900"/>
  <c r="J1073"/>
  <c r="I1073"/>
  <c r="J1243"/>
  <c r="I1243"/>
  <c r="J59"/>
  <c r="I59"/>
  <c r="J1280"/>
  <c r="I1280"/>
  <c r="J588"/>
  <c r="I588"/>
  <c r="J1026"/>
  <c r="I1026"/>
  <c r="J1135"/>
  <c r="I1135"/>
  <c r="J447"/>
  <c r="I447"/>
  <c r="J1090"/>
  <c r="I1090"/>
  <c r="J598"/>
  <c r="I598"/>
  <c r="J675"/>
  <c r="I675"/>
  <c r="J289"/>
  <c r="I289"/>
  <c r="J962"/>
  <c r="I962"/>
  <c r="J1140"/>
  <c r="I1140"/>
  <c r="J854"/>
  <c r="I854"/>
  <c r="J225"/>
  <c r="I225"/>
  <c r="J288"/>
  <c r="I288"/>
  <c r="J404"/>
  <c r="I404"/>
  <c r="J1089"/>
  <c r="I1089"/>
  <c r="J1001"/>
  <c r="I1001"/>
  <c r="J684"/>
  <c r="I684"/>
  <c r="J1066"/>
  <c r="I1066"/>
  <c r="J1060"/>
  <c r="I1060"/>
  <c r="J322"/>
  <c r="I322"/>
  <c r="J80"/>
  <c r="I80"/>
  <c r="J635"/>
  <c r="I635"/>
  <c r="J120"/>
  <c r="I120"/>
  <c r="J249"/>
  <c r="I249"/>
  <c r="J1272"/>
  <c r="I1272"/>
  <c r="J575"/>
  <c r="I575"/>
  <c r="J246"/>
  <c r="I246"/>
  <c r="J189"/>
  <c r="I189"/>
  <c r="J756"/>
  <c r="I756"/>
  <c r="J570"/>
  <c r="I570"/>
  <c r="J494"/>
  <c r="I494"/>
  <c r="J1148"/>
  <c r="I1148"/>
  <c r="J484"/>
  <c r="I484"/>
  <c r="J617"/>
  <c r="I617"/>
  <c r="J170"/>
  <c r="I170"/>
  <c r="J632"/>
  <c r="I632"/>
  <c r="J755"/>
  <c r="I755"/>
  <c r="J438"/>
  <c r="I438"/>
  <c r="J199"/>
  <c r="I199"/>
  <c r="J118"/>
  <c r="I118"/>
  <c r="J963"/>
  <c r="I963"/>
  <c r="J275"/>
  <c r="I275"/>
  <c r="J477"/>
  <c r="I477"/>
  <c r="J364"/>
  <c r="I364"/>
  <c r="J594"/>
  <c r="I594"/>
  <c r="J523"/>
  <c r="I523"/>
  <c r="J894"/>
  <c r="I894"/>
  <c r="J49"/>
  <c r="I49"/>
  <c r="J142"/>
  <c r="I142"/>
  <c r="J414"/>
  <c r="I414"/>
  <c r="J186"/>
  <c r="I186"/>
  <c r="J398"/>
  <c r="I398"/>
  <c r="J442"/>
  <c r="I442"/>
  <c r="J802"/>
  <c r="I802"/>
  <c r="J524"/>
  <c r="I524"/>
  <c r="J162"/>
  <c r="I162"/>
  <c r="J416"/>
  <c r="I416"/>
  <c r="J399"/>
  <c r="I399"/>
  <c r="J813"/>
  <c r="I813"/>
  <c r="J644"/>
  <c r="I644"/>
  <c r="J670"/>
  <c r="I670"/>
  <c r="J260"/>
  <c r="I260"/>
  <c r="J723"/>
  <c r="I723"/>
  <c r="J801"/>
  <c r="I801"/>
  <c r="J328"/>
  <c r="I328"/>
  <c r="J701"/>
  <c r="I701"/>
  <c r="J971"/>
  <c r="I971"/>
  <c r="J933"/>
  <c r="I933"/>
  <c r="J1309"/>
  <c r="I1309"/>
  <c r="J1217"/>
  <c r="I1217"/>
  <c r="J220"/>
  <c r="I220"/>
  <c r="J837"/>
  <c r="I837"/>
  <c r="J561"/>
  <c r="I561"/>
  <c r="J992"/>
  <c r="I992"/>
  <c r="J350"/>
  <c r="I350"/>
  <c r="J294"/>
  <c r="I294"/>
  <c r="J232"/>
  <c r="I232"/>
  <c r="J836"/>
  <c r="I836"/>
  <c r="J1022"/>
  <c r="I1022"/>
  <c r="J544"/>
  <c r="I544"/>
  <c r="J953"/>
  <c r="I953"/>
  <c r="J247"/>
  <c r="I247"/>
  <c r="J351"/>
  <c r="I351"/>
  <c r="J1147"/>
  <c r="I1147"/>
  <c r="J192"/>
  <c r="I192"/>
  <c r="J842"/>
  <c r="I842"/>
  <c r="J909"/>
  <c r="I909"/>
  <c r="J424"/>
  <c r="I424"/>
  <c r="J1277"/>
  <c r="I1277"/>
  <c r="J420"/>
  <c r="I420"/>
  <c r="J386"/>
  <c r="I386"/>
  <c r="J814"/>
  <c r="I814"/>
  <c r="J1178"/>
  <c r="I1178"/>
  <c r="J282"/>
  <c r="I282"/>
  <c r="J123"/>
  <c r="I123"/>
  <c r="J1285"/>
  <c r="I1285"/>
  <c r="J796"/>
  <c r="I796"/>
  <c r="J679"/>
  <c r="I679"/>
  <c r="J443"/>
  <c r="I443"/>
  <c r="J844"/>
  <c r="I844"/>
  <c r="J649"/>
  <c r="I649"/>
  <c r="J917"/>
  <c r="I917"/>
  <c r="J627"/>
  <c r="I627"/>
  <c r="J1074"/>
  <c r="I1074"/>
  <c r="J132"/>
  <c r="I132"/>
  <c r="J975"/>
  <c r="I975"/>
  <c r="J9"/>
  <c r="I9"/>
  <c r="J20"/>
  <c r="I20"/>
  <c r="J27"/>
  <c r="I27"/>
  <c r="J16"/>
  <c r="I16"/>
  <c r="J317"/>
  <c r="I317"/>
  <c r="J167"/>
  <c r="I167"/>
  <c r="J798"/>
  <c r="I798"/>
  <c r="J1025"/>
  <c r="I1025"/>
  <c r="J1256"/>
  <c r="I1256"/>
  <c r="J355"/>
  <c r="I355"/>
  <c r="J316"/>
  <c r="I316"/>
  <c r="J327"/>
  <c r="I327"/>
  <c r="J394"/>
  <c r="I394"/>
  <c r="J891"/>
  <c r="I891"/>
  <c r="J1270"/>
  <c r="I1270"/>
  <c r="J1000"/>
  <c r="I1000"/>
  <c r="J165"/>
  <c r="I165"/>
  <c r="J1083"/>
  <c r="I1083"/>
  <c r="J1298"/>
  <c r="I1298"/>
  <c r="J997"/>
  <c r="I997"/>
  <c r="J610"/>
  <c r="I610"/>
  <c r="J7"/>
  <c r="I7"/>
  <c r="J1171"/>
  <c r="I1171"/>
  <c r="J660"/>
  <c r="I660"/>
  <c r="J455"/>
  <c r="I455"/>
  <c r="J323"/>
  <c r="I323"/>
  <c r="J482"/>
  <c r="I482"/>
  <c r="J238"/>
  <c r="I238"/>
  <c r="J1201"/>
  <c r="I1201"/>
  <c r="J863"/>
  <c r="I863"/>
  <c r="J1297"/>
  <c r="I1297"/>
  <c r="J748"/>
  <c r="I748"/>
  <c r="J980"/>
  <c r="I980"/>
  <c r="J290"/>
  <c r="I290"/>
  <c r="J137"/>
  <c r="I137"/>
  <c r="J320"/>
  <c r="I320"/>
  <c r="J156"/>
  <c r="I156"/>
  <c r="J741"/>
  <c r="I741"/>
  <c r="J847"/>
  <c r="I847"/>
  <c r="J1264"/>
  <c r="I1264"/>
  <c r="J1018"/>
  <c r="I1018"/>
  <c r="J233"/>
  <c r="I233"/>
  <c r="J500"/>
  <c r="I500"/>
  <c r="J530"/>
  <c r="I530"/>
  <c r="J1252"/>
  <c r="I1252"/>
  <c r="J213"/>
  <c r="I213"/>
  <c r="J531"/>
  <c r="I531"/>
  <c r="J753"/>
  <c r="I753"/>
  <c r="J750"/>
  <c r="I750"/>
  <c r="J169"/>
  <c r="I169"/>
  <c r="J293"/>
  <c r="I293"/>
  <c r="J525"/>
  <c r="I525"/>
  <c r="J536"/>
  <c r="I536"/>
  <c r="J195"/>
  <c r="I195"/>
  <c r="J374"/>
  <c r="I374"/>
  <c r="J1013"/>
  <c r="I1013"/>
  <c r="J819"/>
  <c r="I819"/>
  <c r="J580"/>
  <c r="I580"/>
  <c r="J453"/>
  <c r="I453"/>
  <c r="J421"/>
  <c r="I421"/>
  <c r="J774"/>
  <c r="I774"/>
  <c r="J743"/>
  <c r="I743"/>
  <c r="J1327"/>
  <c r="I1327"/>
  <c r="J324"/>
  <c r="I324"/>
  <c r="J841"/>
  <c r="I841"/>
  <c r="J1102"/>
  <c r="I1102"/>
  <c r="J1274"/>
  <c r="I1274"/>
  <c r="J349"/>
  <c r="I349"/>
  <c r="J654"/>
  <c r="I654"/>
  <c r="J562"/>
  <c r="I562"/>
  <c r="J1120"/>
  <c r="I1120"/>
  <c r="J268"/>
  <c r="I268"/>
  <c r="J466"/>
  <c r="I466"/>
  <c r="J546"/>
  <c r="I546"/>
  <c r="J402"/>
  <c r="I402"/>
  <c r="J608"/>
  <c r="I608"/>
  <c r="J628"/>
  <c r="I628"/>
  <c r="J1330"/>
  <c r="I1330"/>
  <c r="J194"/>
  <c r="I194"/>
  <c r="J1146"/>
  <c r="I1146"/>
  <c r="J240"/>
  <c r="I240"/>
  <c r="J889"/>
  <c r="I889"/>
  <c r="J640"/>
  <c r="I640"/>
  <c r="J271"/>
  <c r="I271"/>
  <c r="J507"/>
  <c r="I507"/>
  <c r="J783"/>
  <c r="I783"/>
  <c r="J613"/>
  <c r="I613"/>
  <c r="J99"/>
  <c r="I99"/>
  <c r="J709"/>
  <c r="I709"/>
  <c r="J944"/>
  <c r="I944"/>
  <c r="J1294"/>
  <c r="I1294"/>
  <c r="J932"/>
  <c r="I932"/>
  <c r="J1204"/>
  <c r="I1204"/>
  <c r="J674"/>
  <c r="I674"/>
  <c r="J1070"/>
  <c r="I1070"/>
  <c r="J256"/>
  <c r="I256"/>
  <c r="J412"/>
  <c r="I412"/>
  <c r="J458"/>
  <c r="I458"/>
  <c r="J1097"/>
  <c r="I1097"/>
  <c r="J511"/>
  <c r="I511"/>
  <c r="J887"/>
  <c r="I887"/>
  <c r="J1261"/>
  <c r="I1261"/>
  <c r="J663"/>
  <c r="I663"/>
  <c r="J808"/>
  <c r="I808"/>
  <c r="J446"/>
  <c r="I446"/>
  <c r="J929"/>
  <c r="I929"/>
  <c r="J1095"/>
  <c r="I1095"/>
  <c r="J134"/>
  <c r="I134"/>
  <c r="J221"/>
  <c r="I221"/>
  <c r="J1227"/>
  <c r="I1227"/>
  <c r="J726"/>
  <c r="I726"/>
  <c r="J1234"/>
  <c r="I1234"/>
  <c r="J1207"/>
  <c r="I1207"/>
  <c r="J1063"/>
  <c r="I1063"/>
  <c r="J1180"/>
  <c r="I1180"/>
  <c r="J658"/>
  <c r="I658"/>
  <c r="J586"/>
  <c r="I586"/>
  <c r="J94"/>
  <c r="I94"/>
  <c r="J689"/>
  <c r="I689"/>
  <c r="J942"/>
  <c r="I942"/>
  <c r="J159"/>
  <c r="I159"/>
  <c r="J848"/>
  <c r="I848"/>
  <c r="J839"/>
  <c r="I839"/>
  <c r="J1224"/>
  <c r="I1224"/>
  <c r="J155"/>
  <c r="I155"/>
  <c r="J75"/>
  <c r="I75"/>
  <c r="J117"/>
  <c r="I117"/>
  <c r="J830"/>
  <c r="I830"/>
  <c r="J139"/>
  <c r="I139"/>
  <c r="J423"/>
  <c r="I423"/>
  <c r="J463"/>
  <c r="I463"/>
  <c r="J973"/>
  <c r="I973"/>
  <c r="J393"/>
  <c r="I393"/>
  <c r="J217"/>
  <c r="I217"/>
  <c r="J907"/>
  <c r="I907"/>
  <c r="J680"/>
  <c r="I680"/>
  <c r="J108"/>
  <c r="I108"/>
  <c r="J1161"/>
  <c r="I1161"/>
  <c r="J1149"/>
  <c r="I1149"/>
  <c r="J1113"/>
  <c r="I1113"/>
  <c r="J130"/>
  <c r="I130"/>
  <c r="J539"/>
  <c r="I539"/>
  <c r="J651"/>
  <c r="I651"/>
  <c r="J717"/>
  <c r="I717"/>
  <c r="J164"/>
  <c r="I164"/>
  <c r="J335"/>
  <c r="I335"/>
  <c r="J619"/>
  <c r="I619"/>
  <c r="J125"/>
  <c r="I125"/>
  <c r="J373"/>
  <c r="I373"/>
  <c r="J119"/>
  <c r="I119"/>
  <c r="J1168"/>
  <c r="I1168"/>
  <c r="J732"/>
  <c r="I732"/>
  <c r="J927"/>
  <c r="I927"/>
  <c r="J1145"/>
  <c r="I1145"/>
  <c r="J616"/>
  <c r="I616"/>
  <c r="J1117"/>
  <c r="I1117"/>
  <c r="J1141"/>
  <c r="I1141"/>
  <c r="J1325"/>
  <c r="I1325"/>
  <c r="J593"/>
  <c r="I593"/>
  <c r="J122"/>
  <c r="I122"/>
  <c r="J63"/>
  <c r="I63"/>
  <c r="J1271"/>
  <c r="I1271"/>
  <c r="J1150"/>
  <c r="I1150"/>
  <c r="J1278"/>
  <c r="I1278"/>
  <c r="J187"/>
  <c r="I187"/>
  <c r="J1155"/>
  <c r="I1155"/>
  <c r="J450"/>
  <c r="I450"/>
  <c r="J1133"/>
  <c r="I1133"/>
  <c r="J642"/>
  <c r="I642"/>
  <c r="J573"/>
  <c r="I573"/>
  <c r="J882"/>
  <c r="I882"/>
  <c r="J986"/>
  <c r="I986"/>
  <c r="J1010"/>
  <c r="I1010"/>
  <c r="J916"/>
  <c r="I916"/>
  <c r="J135"/>
  <c r="I135"/>
  <c r="J713"/>
  <c r="I713"/>
  <c r="J460"/>
  <c r="I460"/>
  <c r="J65"/>
  <c r="I65"/>
  <c r="J81"/>
  <c r="I81"/>
  <c r="J276"/>
  <c r="I276"/>
  <c r="J1262"/>
  <c r="I1262"/>
  <c r="J1218"/>
  <c r="I1218"/>
  <c r="J366"/>
  <c r="I366"/>
  <c r="J797"/>
  <c r="I797"/>
  <c r="J375"/>
  <c r="I375"/>
  <c r="J977"/>
  <c r="I977"/>
  <c r="J1250"/>
  <c r="I1250"/>
  <c r="J269"/>
  <c r="I269"/>
  <c r="J226"/>
  <c r="I226"/>
  <c r="J46"/>
  <c r="I46"/>
  <c r="J985"/>
  <c r="I985"/>
  <c r="J1099"/>
  <c r="I1099"/>
  <c r="J104"/>
  <c r="I104"/>
  <c r="J1151"/>
  <c r="I1151"/>
  <c r="J1221"/>
  <c r="I1221"/>
  <c r="J1067"/>
  <c r="I1067"/>
  <c r="J285"/>
  <c r="I285"/>
  <c r="J1014"/>
  <c r="I1014"/>
  <c r="J804"/>
  <c r="I804"/>
  <c r="J78"/>
  <c r="I78"/>
  <c r="J314"/>
  <c r="I314"/>
  <c r="J1205"/>
  <c r="I1205"/>
  <c r="J784"/>
  <c r="I784"/>
  <c r="J28"/>
  <c r="I28"/>
  <c r="J23"/>
  <c r="I23"/>
  <c r="J693"/>
  <c r="I693"/>
  <c r="J1092"/>
  <c r="I1092"/>
  <c r="J1187"/>
  <c r="I1187"/>
  <c r="J1072"/>
  <c r="I1072"/>
  <c r="J163"/>
  <c r="I163"/>
  <c r="J668"/>
  <c r="I668"/>
  <c r="J318"/>
  <c r="I318"/>
  <c r="J1259"/>
  <c r="I1259"/>
  <c r="J934"/>
  <c r="I934"/>
  <c r="J764"/>
  <c r="I764"/>
  <c r="J154"/>
  <c r="I154"/>
  <c r="J641"/>
  <c r="I641"/>
  <c r="J1179"/>
  <c r="I1179"/>
  <c r="J85"/>
  <c r="I85"/>
  <c r="J1132"/>
  <c r="I1132"/>
  <c r="J1108"/>
  <c r="I1108"/>
  <c r="J140"/>
  <c r="I140"/>
  <c r="J1249"/>
  <c r="I1249"/>
  <c r="J920"/>
  <c r="I920"/>
  <c r="J96"/>
  <c r="I96"/>
  <c r="J785"/>
  <c r="I785"/>
  <c r="J1004"/>
  <c r="I1004"/>
  <c r="J1015"/>
  <c r="I1015"/>
  <c r="J504"/>
  <c r="I504"/>
  <c r="J1322"/>
  <c r="I1322"/>
  <c r="J669"/>
  <c r="I669"/>
  <c r="J1028"/>
  <c r="I1028"/>
  <c r="J738"/>
  <c r="I738"/>
  <c r="J147"/>
  <c r="I147"/>
  <c r="J1129"/>
  <c r="I1129"/>
  <c r="J191"/>
  <c r="I191"/>
  <c r="J549"/>
  <c r="I549"/>
  <c r="J581"/>
  <c r="I581"/>
  <c r="J1019"/>
  <c r="I1019"/>
  <c r="J582"/>
  <c r="I582"/>
  <c r="J913"/>
  <c r="I913"/>
  <c r="J377"/>
  <c r="I377"/>
  <c r="J518"/>
  <c r="I518"/>
  <c r="J228"/>
  <c r="I228"/>
  <c r="J1269"/>
  <c r="I1269"/>
  <c r="J874"/>
  <c r="I874"/>
  <c r="J1245"/>
  <c r="I1245"/>
  <c r="J469"/>
  <c r="I469"/>
  <c r="J88"/>
  <c r="I88"/>
  <c r="J1037"/>
  <c r="I1037"/>
  <c r="J898"/>
  <c r="I898"/>
  <c r="J1105"/>
  <c r="I1105"/>
  <c r="J1223"/>
  <c r="I1223"/>
  <c r="J79"/>
  <c r="I79"/>
  <c r="J1293"/>
  <c r="I1293"/>
  <c r="J391"/>
  <c r="I391"/>
  <c r="J946"/>
  <c r="I946"/>
  <c r="J457"/>
  <c r="I457"/>
  <c r="J14"/>
  <c r="I14"/>
  <c r="J722"/>
  <c r="I722"/>
  <c r="J250"/>
  <c r="I250"/>
  <c r="J1299"/>
  <c r="I1299"/>
  <c r="J979"/>
  <c r="I979"/>
  <c r="J338"/>
  <c r="I338"/>
  <c r="J102"/>
  <c r="I102"/>
  <c r="J1233"/>
  <c r="I1233"/>
  <c r="J312"/>
  <c r="I312"/>
  <c r="J716"/>
  <c r="I716"/>
  <c r="J203"/>
  <c r="I203"/>
  <c r="J607"/>
  <c r="I607"/>
  <c r="J51"/>
  <c r="I51"/>
  <c r="J1051"/>
  <c r="I1051"/>
  <c r="J158"/>
  <c r="I158"/>
  <c r="J1241"/>
  <c r="I1241"/>
  <c r="J1030"/>
  <c r="I1030"/>
  <c r="J93"/>
  <c r="I93"/>
  <c r="J408"/>
  <c r="I408"/>
  <c r="J128"/>
  <c r="I128"/>
  <c r="J1114"/>
  <c r="I1114"/>
  <c r="J1174"/>
  <c r="I1174"/>
  <c r="J1235"/>
  <c r="I1235"/>
  <c r="J345"/>
  <c r="I345"/>
  <c r="J896"/>
  <c r="I896"/>
  <c r="J906"/>
  <c r="I906"/>
  <c r="J471"/>
  <c r="I471"/>
  <c r="J437"/>
  <c r="I437"/>
  <c r="J936"/>
  <c r="I936"/>
  <c r="J1131"/>
  <c r="I1131"/>
  <c r="J1317"/>
  <c r="I1317"/>
  <c r="J1253"/>
  <c r="I1253"/>
  <c r="J516"/>
  <c r="I516"/>
  <c r="J1044"/>
  <c r="I1044"/>
  <c r="J286"/>
  <c r="I286"/>
  <c r="J365"/>
  <c r="I365"/>
  <c r="J578"/>
  <c r="I578"/>
  <c r="J1079"/>
  <c r="I1079"/>
  <c r="J559"/>
  <c r="I559"/>
  <c r="J566"/>
  <c r="I566"/>
  <c r="J491"/>
  <c r="I491"/>
  <c r="J1043"/>
  <c r="I1043"/>
  <c r="J998"/>
  <c r="I998"/>
  <c r="J310"/>
  <c r="I310"/>
  <c r="J1158"/>
  <c r="I1158"/>
  <c r="J587"/>
  <c r="I587"/>
  <c r="J943"/>
  <c r="I943"/>
  <c r="J440"/>
  <c r="I440"/>
  <c r="J1282"/>
  <c r="I1282"/>
  <c r="J348"/>
  <c r="I348"/>
  <c r="J497"/>
  <c r="I497"/>
  <c r="J1267"/>
  <c r="I1267"/>
  <c r="J908"/>
  <c r="I908"/>
  <c r="J984"/>
  <c r="I984"/>
  <c r="J342"/>
  <c r="I342"/>
  <c r="J789"/>
  <c r="I789"/>
  <c r="J1036"/>
  <c r="I1036"/>
  <c r="J747"/>
  <c r="I747"/>
  <c r="J397"/>
  <c r="I397"/>
  <c r="J849"/>
  <c r="I849"/>
  <c r="J222"/>
  <c r="I222"/>
  <c r="J1096"/>
  <c r="I1096"/>
  <c r="J1031"/>
  <c r="I1031"/>
  <c r="J1006"/>
  <c r="I1006"/>
  <c r="J144"/>
  <c r="I144"/>
  <c r="J370"/>
  <c r="I370"/>
  <c r="J407"/>
  <c r="I407"/>
  <c r="J731"/>
  <c r="I731"/>
  <c r="J1228"/>
  <c r="I1228"/>
  <c r="J1130"/>
  <c r="I1130"/>
  <c r="J1240"/>
  <c r="I1240"/>
  <c r="J636"/>
  <c r="I636"/>
  <c r="J112"/>
  <c r="I112"/>
  <c r="J872"/>
  <c r="I872"/>
  <c r="J202"/>
  <c r="I202"/>
  <c r="J1275"/>
  <c r="I1275"/>
  <c r="J503"/>
  <c r="I503"/>
  <c r="J95"/>
  <c r="I95"/>
  <c r="J1177"/>
  <c r="I1177"/>
  <c r="J103"/>
  <c r="I103"/>
  <c r="J557"/>
  <c r="I557"/>
  <c r="J100"/>
  <c r="I100"/>
  <c r="J436"/>
  <c r="I436"/>
  <c r="J111"/>
  <c r="I111"/>
  <c r="J773"/>
  <c r="I773"/>
  <c r="J1208"/>
  <c r="I1208"/>
  <c r="J585"/>
  <c r="I585"/>
  <c r="J1038"/>
  <c r="I1038"/>
  <c r="J534"/>
  <c r="I534"/>
  <c r="J153"/>
  <c r="I153"/>
  <c r="J869"/>
  <c r="I869"/>
  <c r="J406"/>
  <c r="I406"/>
  <c r="J1186"/>
  <c r="I1186"/>
  <c r="J1048"/>
  <c r="I1048"/>
  <c r="J18"/>
  <c r="I18"/>
  <c r="J767"/>
  <c r="I767"/>
  <c r="J470"/>
  <c r="I470"/>
  <c r="J253"/>
  <c r="I253"/>
  <c r="J646"/>
  <c r="I646"/>
  <c r="J332"/>
  <c r="I332"/>
  <c r="J148"/>
  <c r="I148"/>
  <c r="J937"/>
  <c r="I937"/>
  <c r="J1049"/>
  <c r="I1049"/>
  <c r="J83"/>
  <c r="I83"/>
  <c r="J385"/>
  <c r="I385"/>
  <c r="J647"/>
  <c r="I647"/>
  <c r="J926"/>
  <c r="I926"/>
  <c r="J535"/>
  <c r="I535"/>
  <c r="J1127"/>
  <c r="I1127"/>
  <c r="J193"/>
  <c r="I193"/>
  <c r="J676"/>
  <c r="I676"/>
  <c r="J1176"/>
  <c r="I1176"/>
  <c r="J686"/>
  <c r="I686"/>
  <c r="J871"/>
  <c r="I871"/>
  <c r="J1003"/>
  <c r="I1003"/>
  <c r="J519"/>
  <c r="I519"/>
  <c r="J621"/>
  <c r="I621"/>
  <c r="J690"/>
  <c r="I690"/>
  <c r="J960"/>
  <c r="I960"/>
  <c r="J599"/>
  <c r="I599"/>
  <c r="J1061"/>
  <c r="I1061"/>
  <c r="J1058"/>
  <c r="I1058"/>
  <c r="J605"/>
  <c r="I605"/>
  <c r="J236"/>
  <c r="I236"/>
  <c r="J101"/>
  <c r="I101"/>
  <c r="J1159"/>
  <c r="I1159"/>
  <c r="J1134"/>
  <c r="I1134"/>
  <c r="J886"/>
  <c r="I886"/>
  <c r="J204"/>
  <c r="I204"/>
  <c r="J475"/>
  <c r="I475"/>
  <c r="J602"/>
  <c r="I602"/>
  <c r="J439"/>
  <c r="I439"/>
  <c r="J974"/>
  <c r="I974"/>
  <c r="J1029"/>
  <c r="I1029"/>
  <c r="J292"/>
  <c r="I292"/>
  <c r="J852"/>
  <c r="I852"/>
  <c r="J850"/>
  <c r="I850"/>
  <c r="J873"/>
  <c r="I873"/>
  <c r="J1144"/>
  <c r="I1144"/>
  <c r="J569"/>
  <c r="I569"/>
  <c r="J131"/>
  <c r="I131"/>
  <c r="J224"/>
  <c r="I224"/>
  <c r="J704"/>
  <c r="I704"/>
  <c r="J146"/>
  <c r="I146"/>
  <c r="J435"/>
  <c r="I435"/>
  <c r="J71"/>
  <c r="I71"/>
  <c r="J834"/>
  <c r="I834"/>
  <c r="J905"/>
  <c r="I905"/>
  <c r="J61"/>
  <c r="I61"/>
  <c r="J307"/>
  <c r="I307"/>
  <c r="J1188"/>
  <c r="I1188"/>
  <c r="J1202"/>
  <c r="I1202"/>
  <c r="J481"/>
  <c r="I481"/>
  <c r="J1323"/>
  <c r="I1323"/>
  <c r="J623"/>
  <c r="I623"/>
  <c r="J1139"/>
  <c r="I1139"/>
  <c r="J945"/>
  <c r="I945"/>
  <c r="J97"/>
  <c r="I97"/>
  <c r="J558"/>
  <c r="I558"/>
  <c r="J77"/>
  <c r="I77"/>
  <c r="J875"/>
  <c r="I875"/>
  <c r="J1137"/>
  <c r="I1137"/>
  <c r="J995"/>
  <c r="I995"/>
  <c r="J782"/>
  <c r="I782"/>
  <c r="J728"/>
  <c r="I728"/>
  <c r="J211"/>
  <c r="I211"/>
  <c r="J291"/>
  <c r="I291"/>
  <c r="J661"/>
  <c r="I661"/>
  <c r="J978"/>
  <c r="I978"/>
  <c r="J1143"/>
  <c r="I1143"/>
  <c r="J1062"/>
  <c r="I1062"/>
  <c r="J86"/>
  <c r="I86"/>
  <c r="J1121"/>
  <c r="I1121"/>
  <c r="J258"/>
  <c r="I258"/>
  <c r="J501"/>
  <c r="I501"/>
  <c r="J1303"/>
  <c r="I1303"/>
  <c r="J828"/>
  <c r="I828"/>
  <c r="J603"/>
  <c r="I603"/>
  <c r="J572"/>
  <c r="I572"/>
  <c r="J352"/>
  <c r="I352"/>
  <c r="J381"/>
  <c r="I381"/>
  <c r="J517"/>
  <c r="I517"/>
  <c r="J1251"/>
  <c r="I1251"/>
  <c r="J181"/>
  <c r="I181"/>
  <c r="J910"/>
  <c r="I910"/>
  <c r="J522"/>
  <c r="I522"/>
  <c r="J33"/>
  <c r="I33"/>
  <c r="J955"/>
  <c r="I955"/>
  <c r="J161"/>
  <c r="I161"/>
  <c r="J884"/>
  <c r="I884"/>
  <c r="J744"/>
  <c r="I744"/>
  <c r="J76"/>
  <c r="I76"/>
  <c r="J772"/>
  <c r="I772"/>
  <c r="J1042"/>
  <c r="I1042"/>
  <c r="J1288"/>
  <c r="I1288"/>
  <c r="J55"/>
  <c r="I55"/>
  <c r="J68"/>
  <c r="I68"/>
  <c r="J924"/>
  <c r="I924"/>
  <c r="J761"/>
  <c r="I761"/>
  <c r="J888"/>
  <c r="I888"/>
  <c r="J210"/>
  <c r="I210"/>
  <c r="J1231"/>
  <c r="I1231"/>
  <c r="J969"/>
  <c r="I969"/>
  <c r="J277"/>
  <c r="I277"/>
  <c r="J657"/>
  <c r="I657"/>
  <c r="J376"/>
  <c r="I376"/>
  <c r="J633"/>
  <c r="I633"/>
  <c r="J1122"/>
  <c r="I1122"/>
  <c r="J476"/>
  <c r="I476"/>
  <c r="J543"/>
  <c r="I543"/>
  <c r="J1086"/>
  <c r="I1086"/>
  <c r="J711"/>
  <c r="I711"/>
  <c r="J215"/>
  <c r="I215"/>
  <c r="J751"/>
  <c r="I751"/>
  <c r="J1100"/>
  <c r="I1100"/>
  <c r="J820"/>
  <c r="I820"/>
  <c r="J452"/>
  <c r="I452"/>
  <c r="J1304"/>
  <c r="I1304"/>
  <c r="J315"/>
  <c r="I315"/>
  <c r="J343"/>
  <c r="I343"/>
  <c r="J625"/>
  <c r="I625"/>
  <c r="J472"/>
  <c r="I472"/>
  <c r="J298"/>
  <c r="I298"/>
  <c r="J441"/>
  <c r="I441"/>
  <c r="J818"/>
  <c r="I818"/>
  <c r="J325"/>
  <c r="I325"/>
  <c r="J867"/>
  <c r="I867"/>
  <c r="J1098"/>
  <c r="I1098"/>
  <c r="J1300"/>
  <c r="I1300"/>
  <c r="J176"/>
  <c r="I176"/>
  <c r="J113"/>
  <c r="I113"/>
  <c r="J1082"/>
  <c r="I1082"/>
  <c r="J687"/>
  <c r="I687"/>
  <c r="J1226"/>
  <c r="I1226"/>
  <c r="J1084"/>
  <c r="I1084"/>
  <c r="J1111"/>
  <c r="I1111"/>
  <c r="J858"/>
  <c r="I858"/>
  <c r="J1050"/>
  <c r="I1050"/>
  <c r="J1230"/>
  <c r="I1230"/>
  <c r="J405"/>
  <c r="I405"/>
  <c r="J266"/>
  <c r="I266"/>
  <c r="J344"/>
  <c r="I344"/>
  <c r="J1068"/>
  <c r="I1068"/>
  <c r="J879"/>
  <c r="I879"/>
  <c r="J1236"/>
  <c r="I1236"/>
  <c r="J109"/>
  <c r="I109"/>
  <c r="J206"/>
  <c r="I206"/>
  <c r="J478"/>
  <c r="I478"/>
  <c r="J508"/>
  <c r="I508"/>
  <c r="J259"/>
  <c r="I259"/>
  <c r="J42"/>
  <c r="I42"/>
  <c r="J308"/>
  <c r="I308"/>
  <c r="J1211"/>
  <c r="I1211"/>
  <c r="J47"/>
  <c r="I47"/>
  <c r="J461"/>
  <c r="I461"/>
  <c r="J67"/>
  <c r="I67"/>
  <c r="J90"/>
  <c r="I90"/>
  <c r="J1094"/>
  <c r="I1094"/>
  <c r="J459"/>
  <c r="I459"/>
  <c r="J1007"/>
  <c r="I1007"/>
  <c r="J465"/>
  <c r="I465"/>
  <c r="J422"/>
  <c r="I422"/>
  <c r="J201"/>
  <c r="I201"/>
  <c r="J234"/>
  <c r="I234"/>
  <c r="J212"/>
  <c r="I212"/>
  <c r="J272"/>
  <c r="I272"/>
  <c r="J179"/>
  <c r="I179"/>
  <c r="J106"/>
  <c r="I106"/>
  <c r="J1329"/>
  <c r="I1329"/>
  <c r="J845"/>
  <c r="I845"/>
  <c r="J1162"/>
  <c r="I1162"/>
  <c r="J467"/>
  <c r="I467"/>
  <c r="J409"/>
  <c r="I409"/>
  <c r="J653"/>
  <c r="I653"/>
  <c r="J89"/>
  <c r="I89"/>
  <c r="J560"/>
  <c r="I560"/>
  <c r="J1085"/>
  <c r="I1085"/>
  <c r="J1163"/>
  <c r="I1163"/>
  <c r="J1172"/>
  <c r="I1172"/>
  <c r="J456"/>
  <c r="I456"/>
  <c r="J893"/>
  <c r="I893"/>
  <c r="J1008"/>
  <c r="I1008"/>
  <c r="J966"/>
  <c r="I966"/>
  <c r="J970"/>
  <c r="I970"/>
  <c r="J515"/>
  <c r="I515"/>
  <c r="J749"/>
  <c r="I749"/>
  <c r="J637"/>
  <c r="I637"/>
  <c r="J278"/>
  <c r="I278"/>
  <c r="J73"/>
  <c r="I73"/>
  <c r="J526"/>
  <c r="I526"/>
  <c r="J1222"/>
  <c r="I1222"/>
  <c r="J568"/>
  <c r="I568"/>
  <c r="J263"/>
  <c r="I263"/>
  <c r="J620"/>
  <c r="I620"/>
  <c r="J1209"/>
  <c r="I1209"/>
  <c r="J752"/>
  <c r="I752"/>
  <c r="J105"/>
  <c r="I105"/>
  <c r="J859"/>
  <c r="I859"/>
  <c r="J116"/>
  <c r="I116"/>
  <c r="J541"/>
  <c r="I541"/>
  <c r="J1126"/>
  <c r="I1126"/>
  <c r="J264"/>
  <c r="I264"/>
  <c r="J843"/>
  <c r="I843"/>
  <c r="J219"/>
  <c r="I219"/>
  <c r="J445"/>
  <c r="I445"/>
  <c r="J127"/>
  <c r="I127"/>
  <c r="J1268"/>
  <c r="I1268"/>
  <c r="J514"/>
  <c r="I514"/>
  <c r="J811"/>
  <c r="I811"/>
  <c r="J474"/>
  <c r="I474"/>
  <c r="J1091"/>
  <c r="I1091"/>
  <c r="J91"/>
  <c r="I91"/>
  <c r="J659"/>
  <c r="I659"/>
  <c r="J1017"/>
  <c r="I1017"/>
  <c r="J1287"/>
  <c r="I1287"/>
  <c r="J462"/>
  <c r="I462"/>
  <c r="J336"/>
  <c r="I336"/>
  <c r="J1213"/>
  <c r="I1213"/>
  <c r="J1184"/>
  <c r="I1184"/>
  <c r="J56"/>
  <c r="I56"/>
  <c r="J911"/>
  <c r="I911"/>
  <c r="J922"/>
  <c r="I922"/>
  <c r="J981"/>
  <c r="I981"/>
  <c r="J1101"/>
  <c r="I1101"/>
  <c r="J851"/>
  <c r="I851"/>
  <c r="J110"/>
  <c r="I110"/>
  <c r="J959"/>
  <c r="I959"/>
  <c r="J1246"/>
  <c r="I1246"/>
  <c r="J571"/>
  <c r="I571"/>
  <c r="J1331"/>
  <c r="I1331"/>
  <c r="J1215"/>
  <c r="I1215"/>
  <c r="J361"/>
  <c r="I361"/>
  <c r="J737"/>
  <c r="I737"/>
  <c r="J556"/>
  <c r="I556"/>
  <c r="J1123"/>
  <c r="I1123"/>
  <c r="J1081"/>
  <c r="I1081"/>
  <c r="J1046"/>
  <c r="I1046"/>
  <c r="J1316"/>
  <c r="I1316"/>
  <c r="J698"/>
  <c r="I698"/>
  <c r="J803"/>
  <c r="I803"/>
  <c r="J34"/>
  <c r="I34"/>
  <c r="J708"/>
  <c r="I708"/>
  <c r="J1110"/>
  <c r="I1110"/>
  <c r="J1160"/>
  <c r="I1160"/>
  <c r="J1138"/>
  <c r="I1138"/>
  <c r="J1182"/>
  <c r="I1182"/>
  <c r="J630"/>
  <c r="I630"/>
  <c r="J432"/>
  <c r="I432"/>
  <c r="J862"/>
  <c r="I862"/>
  <c r="J1124"/>
  <c r="I1124"/>
  <c r="J371"/>
  <c r="I371"/>
  <c r="J816"/>
  <c r="I816"/>
  <c r="J982"/>
  <c r="I982"/>
  <c r="J214"/>
  <c r="I214"/>
  <c r="J489"/>
  <c r="I489"/>
  <c r="J706"/>
  <c r="I706"/>
  <c r="J40"/>
  <c r="I40"/>
  <c r="J950"/>
  <c r="I950"/>
  <c r="J1041"/>
  <c r="I1041"/>
  <c r="J1170"/>
  <c r="I1170"/>
  <c r="J468"/>
  <c r="I468"/>
  <c r="J672"/>
  <c r="I672"/>
  <c r="J703"/>
  <c r="I703"/>
  <c r="J899"/>
  <c r="I899"/>
  <c r="J1196"/>
  <c r="I1196"/>
  <c r="J915"/>
  <c r="I915"/>
  <c r="J1320"/>
  <c r="I1320"/>
  <c r="J300"/>
  <c r="I300"/>
  <c r="J781"/>
  <c r="I781"/>
  <c r="J733"/>
  <c r="I733"/>
  <c r="J464"/>
  <c r="I464"/>
  <c r="J485"/>
  <c r="I485"/>
  <c r="J1306"/>
  <c r="I1306"/>
  <c r="J631"/>
  <c r="I631"/>
  <c r="J185"/>
  <c r="I185"/>
  <c r="J362"/>
  <c r="I362"/>
  <c r="J822"/>
  <c r="I822"/>
  <c r="J547"/>
  <c r="I547"/>
  <c r="J634"/>
  <c r="I634"/>
  <c r="J565"/>
  <c r="I565"/>
  <c r="J1263"/>
  <c r="I1263"/>
  <c r="J505"/>
  <c r="I505"/>
  <c r="J1112"/>
  <c r="I1112"/>
  <c r="J771"/>
  <c r="I771"/>
  <c r="J685"/>
  <c r="I685"/>
  <c r="J638"/>
  <c r="I638"/>
  <c r="J1232"/>
  <c r="I1232"/>
  <c r="J157"/>
  <c r="I157"/>
  <c r="J725"/>
  <c r="I725"/>
  <c r="J912"/>
  <c r="I912"/>
  <c r="J902"/>
  <c r="I902"/>
  <c r="J1156"/>
  <c r="I1156"/>
  <c r="J1194"/>
  <c r="I1194"/>
  <c r="J1115"/>
  <c r="I1115"/>
  <c r="J313"/>
  <c r="I313"/>
  <c r="J1142"/>
  <c r="I1142"/>
  <c r="J829"/>
  <c r="I829"/>
  <c r="J639"/>
  <c r="I639"/>
  <c r="J175"/>
  <c r="I175"/>
  <c r="J426"/>
  <c r="I426"/>
  <c r="J160"/>
  <c r="I160"/>
  <c r="J868"/>
  <c r="I868"/>
  <c r="J173"/>
  <c r="I173"/>
  <c r="J1307"/>
  <c r="I1307"/>
  <c r="J1295"/>
  <c r="I1295"/>
  <c r="J545"/>
  <c r="I545"/>
  <c r="J143"/>
  <c r="I143"/>
  <c r="J787"/>
  <c r="I787"/>
  <c r="J487"/>
  <c r="I487"/>
  <c r="J74"/>
  <c r="I74"/>
  <c r="J957"/>
  <c r="I957"/>
  <c r="J928"/>
  <c r="I928"/>
  <c r="J357"/>
  <c r="I357"/>
  <c r="J699"/>
  <c r="I699"/>
  <c r="J809"/>
  <c r="I809"/>
  <c r="J666"/>
  <c r="I666"/>
  <c r="J479"/>
  <c r="I479"/>
  <c r="J72"/>
  <c r="I72"/>
  <c r="J197"/>
  <c r="I197"/>
  <c r="J551"/>
  <c r="I551"/>
  <c r="J353"/>
  <c r="I353"/>
  <c r="J795"/>
  <c r="I795"/>
  <c r="J337"/>
  <c r="I337"/>
  <c r="J30"/>
  <c r="I30"/>
  <c r="J1167"/>
  <c r="I1167"/>
  <c r="J495"/>
  <c r="I495"/>
  <c r="J1164"/>
  <c r="I1164"/>
  <c r="J864"/>
  <c r="I864"/>
  <c r="J532"/>
  <c r="I532"/>
  <c r="J24"/>
  <c r="I24"/>
  <c r="J305"/>
  <c r="I305"/>
  <c r="J330"/>
  <c r="I330"/>
  <c r="J1087"/>
  <c r="I1087"/>
  <c r="J378"/>
  <c r="I378"/>
  <c r="J216"/>
  <c r="I216"/>
  <c r="J411"/>
  <c r="I411"/>
  <c r="J729"/>
  <c r="I729"/>
  <c r="J1118"/>
  <c r="I1118"/>
  <c r="J788"/>
  <c r="I788"/>
  <c r="J419"/>
  <c r="I419"/>
  <c r="J1203"/>
  <c r="I1203"/>
  <c r="J82"/>
  <c r="I82"/>
  <c r="J860"/>
  <c r="I860"/>
  <c r="J890"/>
  <c r="I890"/>
  <c r="J1078"/>
  <c r="I1078"/>
  <c r="J166"/>
  <c r="I166"/>
  <c r="J904"/>
  <c r="I904"/>
  <c r="J564"/>
  <c r="I564"/>
  <c r="J1059"/>
  <c r="I1059"/>
  <c r="J1153"/>
  <c r="I1153"/>
  <c r="J151"/>
  <c r="I151"/>
  <c r="J600"/>
  <c r="I600"/>
  <c r="J938"/>
  <c r="I938"/>
  <c r="J124"/>
  <c r="I124"/>
  <c r="J1266"/>
  <c r="I1266"/>
  <c r="J205"/>
  <c r="I205"/>
  <c r="J947"/>
  <c r="I947"/>
  <c r="J301"/>
  <c r="I301"/>
  <c r="J389"/>
  <c r="I389"/>
  <c r="J354"/>
  <c r="I354"/>
  <c r="J1009"/>
  <c r="I1009"/>
  <c r="J1305"/>
  <c r="I1305"/>
  <c r="J831"/>
  <c r="I831"/>
  <c r="J1286"/>
  <c r="I1286"/>
  <c r="J870"/>
  <c r="I870"/>
  <c r="J1302"/>
  <c r="I1302"/>
  <c r="J952"/>
  <c r="I952"/>
  <c r="J1165"/>
  <c r="I1165"/>
  <c r="J595"/>
  <c r="I595"/>
  <c r="J655"/>
  <c r="I655"/>
  <c r="J994"/>
  <c r="I994"/>
  <c r="J710"/>
  <c r="I710"/>
  <c r="J1071"/>
  <c r="I1071"/>
  <c r="J618"/>
  <c r="I618"/>
  <c r="J1324"/>
  <c r="I1324"/>
  <c r="J792"/>
  <c r="I792"/>
  <c r="J876"/>
  <c r="I876"/>
  <c r="J449"/>
  <c r="I449"/>
  <c r="J1238"/>
  <c r="I1238"/>
  <c r="J853"/>
  <c r="I853"/>
  <c r="J1075"/>
  <c r="I1075"/>
  <c r="J1023"/>
  <c r="I1023"/>
  <c r="J861"/>
  <c r="I861"/>
  <c r="J806"/>
  <c r="I806"/>
  <c r="J242"/>
  <c r="I242"/>
  <c r="J574"/>
  <c r="I574"/>
  <c r="J37"/>
  <c r="I37"/>
  <c r="J1198"/>
  <c r="I1198"/>
  <c r="J368"/>
  <c r="I368"/>
  <c r="J1189"/>
  <c r="I1189"/>
  <c r="J989"/>
  <c r="I989"/>
  <c r="J252"/>
  <c r="I252"/>
  <c r="J1055"/>
  <c r="I1055"/>
  <c r="J281"/>
  <c r="I281"/>
  <c r="J721"/>
  <c r="I721"/>
  <c r="J299"/>
  <c r="I299"/>
  <c r="J786"/>
  <c r="I786"/>
  <c r="J1053"/>
  <c r="I1053"/>
  <c r="J740"/>
  <c r="I740"/>
  <c r="J939"/>
  <c r="I939"/>
  <c r="J972"/>
  <c r="I972"/>
  <c r="J451"/>
  <c r="I451"/>
  <c r="J1005"/>
  <c r="I1005"/>
  <c r="J652"/>
  <c r="I652"/>
  <c r="J1109"/>
  <c r="I1109"/>
  <c r="J779"/>
  <c r="I779"/>
  <c r="J1310"/>
  <c r="I1310"/>
  <c r="J1206"/>
  <c r="I1206"/>
  <c r="J846"/>
  <c r="I846"/>
  <c r="J999"/>
  <c r="I999"/>
  <c r="J417"/>
  <c r="I417"/>
  <c r="J207"/>
  <c r="I207"/>
  <c r="J667"/>
  <c r="I667"/>
  <c r="J746"/>
  <c r="I746"/>
  <c r="J554"/>
  <c r="I554"/>
  <c r="J340"/>
  <c r="I340"/>
  <c r="J696"/>
  <c r="I696"/>
  <c r="J579"/>
  <c r="I579"/>
  <c r="J527"/>
  <c r="I527"/>
  <c r="J604"/>
  <c r="I604"/>
  <c r="J606"/>
  <c r="I606"/>
  <c r="J1210"/>
  <c r="I1210"/>
  <c r="J880"/>
  <c r="I880"/>
  <c r="J302"/>
  <c r="I302"/>
  <c r="J29"/>
  <c r="I29"/>
  <c r="J306"/>
  <c r="I306"/>
  <c r="J791"/>
  <c r="I791"/>
  <c r="J1197"/>
  <c r="I1197"/>
  <c r="J254"/>
  <c r="I254"/>
  <c r="J182"/>
  <c r="I182"/>
  <c r="J718"/>
  <c r="I718"/>
  <c r="J152"/>
  <c r="I152"/>
  <c r="J923"/>
  <c r="I923"/>
  <c r="J780"/>
  <c r="I780"/>
  <c r="J529"/>
  <c r="I529"/>
  <c r="J168"/>
  <c r="I168"/>
  <c r="J1057"/>
  <c r="I1057"/>
  <c r="J855"/>
  <c r="I855"/>
  <c r="J949"/>
  <c r="I949"/>
  <c r="J776"/>
  <c r="I776"/>
  <c r="J815"/>
  <c r="I815"/>
  <c r="J948"/>
  <c r="I948"/>
  <c r="J382"/>
  <c r="I382"/>
  <c r="J473"/>
  <c r="I473"/>
  <c r="J13"/>
  <c r="I13"/>
  <c r="J87"/>
  <c r="I87"/>
  <c r="J1326"/>
  <c r="I1326"/>
  <c r="J540"/>
  <c r="I540"/>
  <c r="J553"/>
  <c r="I553"/>
  <c r="J198"/>
  <c r="I198"/>
  <c r="J956"/>
  <c r="I956"/>
  <c r="J1088"/>
  <c r="I1088"/>
  <c r="J229"/>
  <c r="I229"/>
  <c r="J951"/>
  <c r="I951"/>
  <c r="J823"/>
  <c r="I823"/>
  <c r="J429"/>
  <c r="I429"/>
  <c r="J44"/>
  <c r="I44"/>
  <c r="J84"/>
  <c r="I84"/>
  <c r="J827"/>
  <c r="I827"/>
  <c r="J692"/>
  <c r="I692"/>
  <c r="J824"/>
  <c r="I824"/>
  <c r="J209"/>
  <c r="I209"/>
  <c r="J673"/>
  <c r="I673"/>
  <c r="J629"/>
  <c r="I629"/>
  <c r="J267"/>
  <c r="I267"/>
  <c r="J384"/>
  <c r="I384"/>
  <c r="J807"/>
  <c r="I807"/>
  <c r="J331"/>
  <c r="I331"/>
  <c r="J897"/>
  <c r="I897"/>
  <c r="J70"/>
  <c r="I70"/>
  <c r="J537"/>
  <c r="I537"/>
  <c r="J1040"/>
  <c r="I1040"/>
  <c r="J1265"/>
  <c r="I1265"/>
  <c r="J380"/>
  <c r="I380"/>
  <c r="J360"/>
  <c r="I360"/>
  <c r="J390"/>
  <c r="I390"/>
  <c r="J700"/>
  <c r="I700"/>
  <c r="J261"/>
  <c r="I261"/>
  <c r="J265"/>
  <c r="I265"/>
  <c r="J1247"/>
  <c r="I1247"/>
  <c r="J141"/>
  <c r="I141"/>
  <c r="J1242"/>
  <c r="I1242"/>
  <c r="J388"/>
  <c r="I388"/>
  <c r="J1199"/>
  <c r="I1199"/>
  <c r="J865"/>
  <c r="I865"/>
  <c r="J1039"/>
  <c r="I1039"/>
  <c r="J400"/>
  <c r="I400"/>
  <c r="J528"/>
  <c r="I528"/>
  <c r="J954"/>
  <c r="I954"/>
  <c r="J180"/>
  <c r="I180"/>
  <c r="J1116"/>
  <c r="I1116"/>
  <c r="J227"/>
  <c r="I227"/>
  <c r="J712"/>
  <c r="I712"/>
  <c r="J387"/>
  <c r="I387"/>
  <c r="J483"/>
  <c r="I483"/>
  <c r="J1027"/>
  <c r="I1027"/>
  <c r="J1225"/>
  <c r="I1225"/>
  <c r="J1257"/>
  <c r="I1257"/>
  <c r="J403"/>
  <c r="I403"/>
  <c r="J401"/>
  <c r="I401"/>
  <c r="J509"/>
  <c r="I509"/>
  <c r="J107"/>
  <c r="I107"/>
  <c r="J1045"/>
  <c r="I1045"/>
  <c r="J1255"/>
  <c r="I1255"/>
  <c r="J502"/>
  <c r="I502"/>
  <c r="J601"/>
  <c r="I601"/>
  <c r="J39"/>
  <c r="I39"/>
  <c r="J506"/>
  <c r="I506"/>
  <c r="J1016"/>
  <c r="I1016"/>
  <c r="J1076"/>
  <c r="I1076"/>
  <c r="J92"/>
  <c r="I92"/>
  <c r="J36"/>
  <c r="I36"/>
  <c r="J1034"/>
  <c r="I1034"/>
  <c r="J296"/>
  <c r="I296"/>
  <c r="J1328"/>
  <c r="I1328"/>
  <c r="J993"/>
  <c r="I993"/>
  <c r="J239"/>
  <c r="I239"/>
  <c r="J341"/>
  <c r="I341"/>
  <c r="J31"/>
  <c r="I31"/>
  <c r="J961"/>
  <c r="I961"/>
  <c r="J1103"/>
  <c r="I1103"/>
  <c r="J1321"/>
  <c r="I1321"/>
  <c r="J895"/>
  <c r="I895"/>
  <c r="J769"/>
  <c r="I769"/>
  <c r="J410"/>
  <c r="I410"/>
  <c r="J577"/>
  <c r="I577"/>
  <c r="J720"/>
  <c r="I720"/>
  <c r="J303"/>
  <c r="I303"/>
  <c r="J428"/>
  <c r="I428"/>
  <c r="J768"/>
  <c r="I768"/>
  <c r="J150"/>
  <c r="I150"/>
  <c r="J665"/>
  <c r="I665"/>
  <c r="J826"/>
  <c r="I826"/>
  <c r="J19"/>
  <c r="I19"/>
  <c r="J857"/>
  <c r="I857"/>
  <c r="J694"/>
  <c r="I694"/>
  <c r="J121"/>
  <c r="I121"/>
  <c r="J245"/>
  <c r="I245"/>
  <c r="J1024"/>
  <c r="I1024"/>
  <c r="J32"/>
  <c r="I32"/>
  <c r="J877"/>
  <c r="I877"/>
  <c r="J990"/>
  <c r="I990"/>
  <c r="J379"/>
  <c r="I379"/>
  <c r="J383"/>
  <c r="I383"/>
  <c r="J624"/>
  <c r="I624"/>
  <c r="J677"/>
  <c r="I677"/>
  <c r="J555"/>
  <c r="I555"/>
  <c r="J1318"/>
  <c r="I1318"/>
  <c r="J576"/>
  <c r="I576"/>
  <c r="J1312"/>
  <c r="I1312"/>
  <c r="J793"/>
  <c r="I793"/>
  <c r="J358"/>
  <c r="I358"/>
  <c r="J1054"/>
  <c r="I1054"/>
  <c r="J35"/>
  <c r="I35"/>
  <c r="J433"/>
  <c r="I433"/>
  <c r="J1185"/>
  <c r="I1185"/>
  <c r="J1119"/>
  <c r="I1119"/>
  <c r="J825"/>
  <c r="I825"/>
  <c r="J413"/>
  <c r="I413"/>
  <c r="J69"/>
  <c r="I69"/>
  <c r="J1190"/>
  <c r="I1190"/>
  <c r="J486"/>
  <c r="I486"/>
  <c r="J885"/>
  <c r="I885"/>
  <c r="J1035"/>
  <c r="I1035"/>
  <c r="J734"/>
  <c r="I734"/>
  <c r="J1033"/>
  <c r="I1033"/>
  <c r="J1047"/>
  <c r="I1047"/>
  <c r="J759"/>
  <c r="I759"/>
  <c r="J724"/>
  <c r="I724"/>
  <c r="J878"/>
  <c r="I878"/>
  <c r="J840"/>
  <c r="I840"/>
  <c r="J765"/>
  <c r="I765"/>
  <c r="J425"/>
  <c r="I425"/>
  <c r="J645"/>
  <c r="I645"/>
  <c r="J1319"/>
  <c r="I1319"/>
  <c r="J777"/>
  <c r="I777"/>
  <c r="J58"/>
  <c r="I58"/>
  <c r="J614"/>
  <c r="I614"/>
  <c r="J987"/>
  <c r="I987"/>
  <c r="J1104"/>
  <c r="I1104"/>
  <c r="J702"/>
  <c r="I702"/>
  <c r="J251"/>
  <c r="I251"/>
  <c r="J918"/>
  <c r="I918"/>
  <c r="J538"/>
  <c r="I538"/>
  <c r="J454"/>
  <c r="I454"/>
  <c r="J172"/>
  <c r="I172"/>
  <c r="J810"/>
  <c r="I810"/>
  <c r="J321"/>
  <c r="I321"/>
  <c r="J114"/>
  <c r="I114"/>
  <c r="J1254"/>
  <c r="I1254"/>
  <c r="J62"/>
  <c r="I62"/>
  <c r="J392"/>
  <c r="I392"/>
  <c r="J832"/>
  <c r="I832"/>
  <c r="J622"/>
  <c r="I622"/>
  <c r="J705"/>
  <c r="I705"/>
  <c r="J591"/>
  <c r="I591"/>
  <c r="J283"/>
  <c r="I283"/>
  <c r="J136"/>
  <c r="I136"/>
  <c r="J835"/>
  <c r="I835"/>
  <c r="J177"/>
  <c r="I177"/>
  <c r="J1258"/>
  <c r="I1258"/>
  <c r="J367"/>
  <c r="I367"/>
  <c r="J1291"/>
  <c r="I1291"/>
  <c r="J552"/>
  <c r="I552"/>
  <c r="J196"/>
  <c r="I196"/>
  <c r="J662"/>
  <c r="I662"/>
  <c r="J395"/>
  <c r="I395"/>
  <c r="J533"/>
  <c r="I533"/>
  <c r="J334"/>
  <c r="I334"/>
  <c r="J735"/>
  <c r="I735"/>
  <c r="J1175"/>
  <c r="I1175"/>
  <c r="J695"/>
  <c r="I695"/>
  <c r="J794"/>
  <c r="I794"/>
  <c r="J369"/>
  <c r="I369"/>
  <c r="J664"/>
  <c r="I664"/>
  <c r="J1154"/>
  <c r="I1154"/>
  <c r="J609"/>
  <c r="I609"/>
  <c r="J883"/>
  <c r="I883"/>
  <c r="J615"/>
  <c r="I615"/>
  <c r="J1077"/>
  <c r="I1077"/>
  <c r="J1011"/>
  <c r="I1011"/>
  <c r="J967"/>
  <c r="I967"/>
  <c r="J921"/>
  <c r="I921"/>
  <c r="J287"/>
  <c r="I287"/>
  <c r="J730"/>
  <c r="I730"/>
  <c r="J760"/>
  <c r="I760"/>
  <c r="J656"/>
  <c r="I656"/>
  <c r="J1216"/>
  <c r="I1216"/>
  <c r="J339"/>
  <c r="I339"/>
  <c r="J745"/>
  <c r="I745"/>
  <c r="J45"/>
  <c r="I45"/>
  <c r="J66"/>
  <c r="I66"/>
  <c r="J149"/>
  <c r="I149"/>
  <c r="J326"/>
  <c r="I326"/>
  <c r="J715"/>
  <c r="I715"/>
  <c r="J1281"/>
  <c r="I1281"/>
  <c r="J1301"/>
  <c r="I1301"/>
  <c r="J935"/>
  <c r="I935"/>
  <c r="J838"/>
  <c r="I838"/>
  <c r="J688"/>
  <c r="I688"/>
  <c r="J758"/>
  <c r="I758"/>
  <c r="J611"/>
  <c r="I611"/>
  <c r="J279"/>
  <c r="I279"/>
  <c r="J590"/>
  <c r="I590"/>
  <c r="J431"/>
  <c r="I431"/>
  <c r="J1080"/>
  <c r="I1080"/>
  <c r="J333"/>
  <c r="I333"/>
  <c r="J1248"/>
  <c r="I1248"/>
  <c r="J597"/>
  <c r="I597"/>
  <c r="J329"/>
  <c r="I329"/>
  <c r="J241"/>
  <c r="I241"/>
  <c r="J129"/>
  <c r="I129"/>
  <c r="J280"/>
  <c r="I280"/>
  <c r="J235"/>
  <c r="I235"/>
  <c r="J1106"/>
  <c r="I1106"/>
  <c r="J919"/>
  <c r="I919"/>
  <c r="J396"/>
  <c r="I396"/>
  <c r="J1107"/>
  <c r="I1107"/>
  <c r="J64"/>
  <c r="I64"/>
  <c r="J683"/>
  <c r="I683"/>
  <c r="J359"/>
  <c r="I359"/>
  <c r="J430"/>
  <c r="I430"/>
  <c r="J363"/>
  <c r="I363"/>
  <c r="J1260"/>
  <c r="I1260"/>
  <c r="J648"/>
  <c r="I648"/>
  <c r="J583"/>
  <c r="I583"/>
  <c r="J812"/>
  <c r="I812"/>
  <c r="J188"/>
  <c r="I188"/>
  <c r="J1032"/>
  <c r="I1032"/>
  <c r="J138"/>
  <c r="I138"/>
  <c r="J770"/>
  <c r="I770"/>
  <c r="J762"/>
  <c r="I762"/>
  <c r="J1313"/>
  <c r="I1313"/>
  <c r="J612"/>
  <c r="I612"/>
  <c r="J914"/>
  <c r="I914"/>
  <c r="J714"/>
  <c r="I714"/>
  <c r="J1308"/>
  <c r="I1308"/>
  <c r="J444"/>
  <c r="I444"/>
</calcChain>
</file>

<file path=xl/sharedStrings.xml><?xml version="1.0" encoding="utf-8"?>
<sst xmlns="http://schemas.openxmlformats.org/spreadsheetml/2006/main" count="2671" uniqueCount="2284">
  <si>
    <t xml:space="preserve">Total reads </t>
  </si>
  <si>
    <t>Comments</t>
  </si>
  <si>
    <t>Unknown product</t>
  </si>
  <si>
    <t>Muscle-specific protein 300 isoform I</t>
  </si>
  <si>
    <t>Predicted membrane protein</t>
  </si>
  <si>
    <t>Glyceraldehyde 3-phosphate dehydrogenase</t>
  </si>
  <si>
    <t>ab-tri_asb-10006</t>
  </si>
  <si>
    <t>Periodic tryptophan protein 1 homolog - transcription DNA-dependent - nucleus</t>
  </si>
  <si>
    <t>hypothetical protein</t>
  </si>
  <si>
    <t>Permease of the major facilitator superfamily</t>
  </si>
  <si>
    <t>Vacuolar H+-ATPase V0 sector subunit a</t>
  </si>
  <si>
    <t>Ornithine decarboxylase</t>
  </si>
  <si>
    <t>Uncharacterized conserved protein</t>
  </si>
  <si>
    <t>Aldo/keto reductase family</t>
  </si>
  <si>
    <t>Serine/threonine protein kinase</t>
  </si>
  <si>
    <t>Similar to IMP-GMP specific 5'-nucleotidase</t>
  </si>
  <si>
    <t>Actin filament-coating protein tropomyosin</t>
  </si>
  <si>
    <t>hypothetical conserved protein</t>
  </si>
  <si>
    <t>Cell wall protein DAN4</t>
  </si>
  <si>
    <t>Chitinase</t>
  </si>
  <si>
    <t>Asparaginase</t>
  </si>
  <si>
    <t>M13 family peptidase</t>
  </si>
  <si>
    <t>Ubiquitin carboxyl-terminal hydrolase - positive regulation of canonical Wnt receptor signaling pathway - protein K48-linked deubiquitination -</t>
  </si>
  <si>
    <t>hypothetical secreted peptide precursor</t>
  </si>
  <si>
    <t>Adenylosuccinate lyase</t>
  </si>
  <si>
    <t>Mitochondrial solute carrier protein</t>
  </si>
  <si>
    <t>odorant-binding protein</t>
  </si>
  <si>
    <t>40s ribosomal protein S26</t>
  </si>
  <si>
    <t>ab-tri_asb-10129</t>
  </si>
  <si>
    <t>Glycine/serine hydroxymethyltransferase</t>
  </si>
  <si>
    <t>Predicted acyltransferase</t>
  </si>
  <si>
    <t>ab-tri_asb-10145</t>
  </si>
  <si>
    <t>Prohibitin-2 - regulation of branching involved in mammary gland duct morphogenesis - mammary gland alveolus development - mammary gland branching</t>
  </si>
  <si>
    <t>myosin heavy chain</t>
  </si>
  <si>
    <t>Myosin class II heavy chain</t>
  </si>
  <si>
    <t>ab-tri_asb-10156</t>
  </si>
  <si>
    <t>heat shock protein HtpG</t>
  </si>
  <si>
    <t>ab-tri_asb-10187</t>
  </si>
  <si>
    <t>molecular chaperone</t>
  </si>
  <si>
    <t>uncharacterized conserved protein</t>
  </si>
  <si>
    <t>RhoA GTPase effector DIA/Diaphanous</t>
  </si>
  <si>
    <t>ab-tri_asb-10192</t>
  </si>
  <si>
    <t>Uridylate kinase/adenylate kinase</t>
  </si>
  <si>
    <t>ab-tri_asb-10194</t>
  </si>
  <si>
    <t>ATP-dependent RNA helicase</t>
  </si>
  <si>
    <t>Serpin</t>
  </si>
  <si>
    <t>Predicted E3 ubiquitin ligase</t>
  </si>
  <si>
    <t>ab-tri_asb-10258</t>
  </si>
  <si>
    <t>Vacuolar sorting protein PEP3/VPS18</t>
  </si>
  <si>
    <t>Hydroxysteroid 17-beta dehydrogenase 11</t>
  </si>
  <si>
    <t>ab-tri_asb-10284</t>
  </si>
  <si>
    <t>ab-tri_asb-10291</t>
  </si>
  <si>
    <t>Transient-receptor-potential-like protein</t>
  </si>
  <si>
    <t>Glycine-rich cell wall structural protein 1.8</t>
  </si>
  <si>
    <t>ab-tri_asb-10297</t>
  </si>
  <si>
    <t>rRNA processing protein Rrp5</t>
  </si>
  <si>
    <t>ab-tri_asb-10301</t>
  </si>
  <si>
    <t>ribosomal protein S27</t>
  </si>
  <si>
    <t>Thioredoxin/protein disulfide isomerase</t>
  </si>
  <si>
    <t>Thioredoxin</t>
  </si>
  <si>
    <t>synaptic vesicle transporter sVOP</t>
  </si>
  <si>
    <t>catalase</t>
  </si>
  <si>
    <t>modular serine protease - innate immune response - serine-type endopeptidase - proteolysis</t>
  </si>
  <si>
    <t>Trypsin</t>
  </si>
  <si>
    <t>ab-tri_asb-10340</t>
  </si>
  <si>
    <t>60S Ribosomal protein L13</t>
  </si>
  <si>
    <t>3-hydroxyacyl-CoA dehydrogenase</t>
  </si>
  <si>
    <t>Aryl-hydrocarbon receptor nuclear translocator</t>
  </si>
  <si>
    <t>ab-tri_asb-10350</t>
  </si>
  <si>
    <t>SWAP mRNA splicing regulator</t>
  </si>
  <si>
    <t>Monocarboxylate transporter</t>
  </si>
  <si>
    <t>Holocytochrome c synthase/heme-lyase</t>
  </si>
  <si>
    <t>Carbon-nitrogen hydrolase</t>
  </si>
  <si>
    <t>Sulfate/bicarbonate/oxalate exchanger SAT-1</t>
  </si>
  <si>
    <t>Myosin class I heavy chain</t>
  </si>
  <si>
    <t>Matricellular protein Osteonectin/SPARC/BM-40</t>
  </si>
  <si>
    <t>midgut trypsin</t>
  </si>
  <si>
    <t>ab-tri_asb-10449</t>
  </si>
  <si>
    <t>cation transmembrane transporter - transmembrane transport - cation transport - membrane - tricarboxylate secondary active transmembrane transporter</t>
  </si>
  <si>
    <t>F0F1-type ATP synthase gamma subunit</t>
  </si>
  <si>
    <t>ab-tri_asb-10471</t>
  </si>
  <si>
    <t>RAB7 member RAS oncogene family - nucleotide binding - protein transport - small GTPase mediated signal transduction - GTP binding</t>
  </si>
  <si>
    <t>heat shock protein 70</t>
  </si>
  <si>
    <t>hypothetical secreted protein</t>
  </si>
  <si>
    <t>Steroid reductase required for elongation of the very long chain fatty acids</t>
  </si>
  <si>
    <t>ab-tri_asb-10513</t>
  </si>
  <si>
    <t>T-complex chaperonin 5 isoform A</t>
  </si>
  <si>
    <t>Fatty acyl-CoA elongase/Polyunsaturated fatty acid specific elongation enzyme</t>
  </si>
  <si>
    <t>5-aminolevulinate synthase</t>
  </si>
  <si>
    <t>Proteasome activator subunit</t>
  </si>
  <si>
    <t>G protein-coupled receptor</t>
  </si>
  <si>
    <t>Ubiquitin/40S ribosomal protein S27a fusion</t>
  </si>
  <si>
    <t>Cytochrome P450 CYP4/CYP19/CYP26 subfamilies</t>
  </si>
  <si>
    <t>Microtubule-associated anchor protein involved in autophagy and membrane trafficking</t>
  </si>
  <si>
    <t>heat shock protein</t>
  </si>
  <si>
    <t>membrane protein</t>
  </si>
  <si>
    <t>Cytochrome b</t>
  </si>
  <si>
    <t>Adenine deaminase/adenosine deaminase</t>
  </si>
  <si>
    <t>ab-tri_asb-10601</t>
  </si>
  <si>
    <t>Cu2+/Zn2+ superoxide dismutase SOD1</t>
  </si>
  <si>
    <t>NADP+-dependent malic enzyme</t>
  </si>
  <si>
    <t>Predicted sugar kinase</t>
  </si>
  <si>
    <t>ab-tri_asb-10631</t>
  </si>
  <si>
    <t>Tumor-specific antigen (contains WD repeats)</t>
  </si>
  <si>
    <t>Threonyl-tRNA synthetase</t>
  </si>
  <si>
    <t>ab-tri_asb-10655</t>
  </si>
  <si>
    <t>Predicted guanosine polyphosphate pyrophosphohydrolase/synthase</t>
  </si>
  <si>
    <t>Neural cell adhesion molecule L1</t>
  </si>
  <si>
    <t>polyprotein</t>
  </si>
  <si>
    <t>ab-tri_asb-10671</t>
  </si>
  <si>
    <t>regulation of antimicrobial peptide biosynthetic process - embryonic pattern specification - histone methylation - anterior/posterior pattern</t>
  </si>
  <si>
    <t>endonuclease</t>
  </si>
  <si>
    <t>Sodium-neurotransmitter symporter</t>
  </si>
  <si>
    <t>ab-tri_asb-10695</t>
  </si>
  <si>
    <t>translation initiation factor 3 subunit f</t>
  </si>
  <si>
    <t>ab-tri_asb-10705</t>
  </si>
  <si>
    <t>NADH-cytochrome b-5 reductase</t>
  </si>
  <si>
    <t>ab-tri_asb-10719</t>
  </si>
  <si>
    <t>O-linked N-acetylglucosamine transferase OGT</t>
  </si>
  <si>
    <t>Very-long-chain acyl-CoA dehydrogenase</t>
  </si>
  <si>
    <t>Fumarase</t>
  </si>
  <si>
    <t>ab-tri_asb-10760</t>
  </si>
  <si>
    <t>chaperonin complex component TcP-1 beta subunit CCT2</t>
  </si>
  <si>
    <t>ab-tri_asb-1077</t>
  </si>
  <si>
    <t>translocase of outer mitochondrial membrane complex subunit TOM22</t>
  </si>
  <si>
    <t>ab-tri_asb-10801</t>
  </si>
  <si>
    <t>Synaptic vesicle transporter SVOP</t>
  </si>
  <si>
    <t>Calmodulin</t>
  </si>
  <si>
    <t>NADH dehydrogenase subunit 4</t>
  </si>
  <si>
    <t>Ankyrin</t>
  </si>
  <si>
    <t>uncharacterized protein</t>
  </si>
  <si>
    <t>ab-tri_asb-10840</t>
  </si>
  <si>
    <t>Cysteine dioxygenase CDO1</t>
  </si>
  <si>
    <t>ab-tri_asb-10841</t>
  </si>
  <si>
    <t>ab-tri_asb-10847</t>
  </si>
  <si>
    <t>translation initiation factor 5C Culex quinquefasciatus</t>
  </si>
  <si>
    <t>Cytochrome P450 CYP2 subfamily</t>
  </si>
  <si>
    <t>60S ribosomal export protein NMD3</t>
  </si>
  <si>
    <t>ab-tri_asb-1086</t>
  </si>
  <si>
    <t>Eukaryotic translation initiation factor 3 subunit A</t>
  </si>
  <si>
    <t>T-cell receptor beta chain ANA 11 Brugia malayi</t>
  </si>
  <si>
    <t>ab-tri_asb-10878</t>
  </si>
  <si>
    <t>Annexin</t>
  </si>
  <si>
    <t>ab-tri_asb-10891</t>
  </si>
  <si>
    <t>Mitochondrial import inner membrane translocase subunit TIM17</t>
  </si>
  <si>
    <t>Mitogen-activated protein kinase (MAPK) kinase MKK4</t>
  </si>
  <si>
    <t>ab-tri_asb-10940</t>
  </si>
  <si>
    <t>Methylmalonate semialdehyde dehydrogenase</t>
  </si>
  <si>
    <t>Aldehyde dehydrogenase</t>
  </si>
  <si>
    <t>ab-tri_asb-10946</t>
  </si>
  <si>
    <t>NADH:ubiquinone oxidoreductase NDUFA8/PGIV/19 kDa subunit</t>
  </si>
  <si>
    <t>Choline phosphate cytidylyltransferase/Predicted CDP-ethanolamine synthase</t>
  </si>
  <si>
    <t>Uncharacterized coiled-coil protein</t>
  </si>
  <si>
    <t>hypothetical secreted conserved protein</t>
  </si>
  <si>
    <t>Glutamine phosphoribosylpyrophosphate amidotransferase</t>
  </si>
  <si>
    <t>Bax-mediated apoptosis inhibitor TEGT/BI-1</t>
  </si>
  <si>
    <t>ab-tri_asb-10997</t>
  </si>
  <si>
    <t>CG13067</t>
  </si>
  <si>
    <t>Protein of unknown function</t>
  </si>
  <si>
    <t>Predicted beta-mannosidase</t>
  </si>
  <si>
    <t>ATP synthase F0 subunit 6</t>
  </si>
  <si>
    <t>Fatty acid desaturase</t>
  </si>
  <si>
    <t>Enolase</t>
  </si>
  <si>
    <t>ab-tri_asb-11044</t>
  </si>
  <si>
    <t>ab-tri_asb-11082</t>
  </si>
  <si>
    <t>ab-tri_asb-11105</t>
  </si>
  <si>
    <t>Ornithine decarboxylase antizyme - cell differentiation - ornithine decarboxylase inhibitor</t>
  </si>
  <si>
    <t>Deoxyribodipyrimidine photolyase/cryptochrome</t>
  </si>
  <si>
    <t>ab-tri_asb-11162</t>
  </si>
  <si>
    <t>DNA topoisomerase I-interacting protein</t>
  </si>
  <si>
    <t>60s ribosomal protein L30 isolog</t>
  </si>
  <si>
    <t>TPR repeat-containing protein</t>
  </si>
  <si>
    <t>Transporter ABC superfamily (Breast cancer resistance protein)</t>
  </si>
  <si>
    <t>ab-tri_asb-11221</t>
  </si>
  <si>
    <t>ab-tri_asb-11227</t>
  </si>
  <si>
    <t>salivary C-type lectin</t>
  </si>
  <si>
    <t>ab-tri_asb-11266</t>
  </si>
  <si>
    <t>chaperonin complex component TcP-1 gamma subunit CCT3</t>
  </si>
  <si>
    <t>Dehydrogenase kinase</t>
  </si>
  <si>
    <t>Casein kinase (serine/threonine/tyrosine protein kinase)</t>
  </si>
  <si>
    <t>ab-tri_asb-1130</t>
  </si>
  <si>
    <t>NADH:ubiquinone oxidoreductase NDUFV2/24 kD subunit</t>
  </si>
  <si>
    <t>ab-tri_asb-11305</t>
  </si>
  <si>
    <t>Succinate dehydrogenase assembly factor 2-B mitochondrial - protein-FAD linkage - mitochondrial electron transport succinate to ubiquinone -</t>
  </si>
  <si>
    <t>ab-tri_asb-11310</t>
  </si>
  <si>
    <t>Alpha crystallins</t>
  </si>
  <si>
    <t>Membrane glycoprotein LIG-1</t>
  </si>
  <si>
    <t>Glossina morsitans morsitans 16S ribosomal RNA gene mitochondrial gene for mitochondrial RNA partial sequence</t>
  </si>
  <si>
    <t>Enoyl-CoA hydratase</t>
  </si>
  <si>
    <t>integrin beta-like 1 - cell-matrix adhesion - receptor - integrin complex - cell adhesion - integrin-mediated signaling pathway - binding</t>
  </si>
  <si>
    <t>ab-tri_asb-11385</t>
  </si>
  <si>
    <t>short stop - growth cone - axon midline choice point recognition - protein binding - astral microtubule - calcium ion binding - cell cycle arrest</t>
  </si>
  <si>
    <t>retrotransposon protein</t>
  </si>
  <si>
    <t>ab-tri_asb-11419</t>
  </si>
  <si>
    <t>biotinidase</t>
  </si>
  <si>
    <t>40S ribosomal protein S20</t>
  </si>
  <si>
    <t>ab-tri_asb-11437</t>
  </si>
  <si>
    <t>translation-associated GTPase</t>
  </si>
  <si>
    <t>Glycogen synthase</t>
  </si>
  <si>
    <t>cysteine proteinase cathepsin F</t>
  </si>
  <si>
    <t>ab-tri_asb-1149</t>
  </si>
  <si>
    <t>Neural Lazarillo - determination of adult lifespan - response to oxidative stress - triglyceride homeostasis - carbohydrate homeostasis - transporter</t>
  </si>
  <si>
    <t>ab-tri_asb-11499</t>
  </si>
  <si>
    <t>Xanthine dehydrogenase</t>
  </si>
  <si>
    <t>Thiolester containing protein II - defense response to Gram-negative bacterium - phagocytosis engulfment - extracellular space - endopeptidase</t>
  </si>
  <si>
    <t>ab-tri_asb-11513</t>
  </si>
  <si>
    <t>farnesoic acid O-methyltransferase isoform 1</t>
  </si>
  <si>
    <t>Arf GTPase activating proteinprotein kinase Atypical groupAlpha kinase family protein" species:44689 "Dictyostelium discoideum" GO:0005575</t>
  </si>
  <si>
    <t>Acid sphingomyelinase and PHM5 phosphate metabolism protein</t>
  </si>
  <si>
    <t>ab-tri_asb-11537</t>
  </si>
  <si>
    <t>glutathione S-transferase</t>
  </si>
  <si>
    <t>ab-tri_asb-11553</t>
  </si>
  <si>
    <t>ab-tri_asb-11572</t>
  </si>
  <si>
    <t>GM12227</t>
  </si>
  <si>
    <t>ab-tri_asb-11590</t>
  </si>
  <si>
    <t>ab-tri_asb-11592</t>
  </si>
  <si>
    <t>ab-tri_asb-11596</t>
  </si>
  <si>
    <t>ab-tri_asb-11614</t>
  </si>
  <si>
    <t>H+/oligopeptide symporter</t>
  </si>
  <si>
    <t>ab-tri_asb-11642</t>
  </si>
  <si>
    <t>Medium-chain acyl-CoA dehydrogenase</t>
  </si>
  <si>
    <t>Isovaleryl-CoA dehydrogenase</t>
  </si>
  <si>
    <t>sodium/solute symporter Aedes aegypti</t>
  </si>
  <si>
    <t>40S ribosomal protein S4</t>
  </si>
  <si>
    <t>splicing factor SRp54</t>
  </si>
  <si>
    <t>Ceramidases</t>
  </si>
  <si>
    <t>Haemolymph juvenile hormone binding protein</t>
  </si>
  <si>
    <t>transcriptional regulator ICP4</t>
  </si>
  <si>
    <t>Beta-spectrin</t>
  </si>
  <si>
    <t>ab-tri_asb-11761</t>
  </si>
  <si>
    <t>Focal adhesion protein Tensin contains PTB domain</t>
  </si>
  <si>
    <t>ab-tri_asb-11772</t>
  </si>
  <si>
    <t>ab-tri_asb-11778</t>
  </si>
  <si>
    <t>Major royal jelly protein</t>
  </si>
  <si>
    <t>Dihydrolipoamide acetyltransferase</t>
  </si>
  <si>
    <t>Predicted dehydrogenase</t>
  </si>
  <si>
    <t>Acyl-CoA synthetase</t>
  </si>
  <si>
    <t>NADH dehydrogenase subunit 1</t>
  </si>
  <si>
    <t>Nucleosome assembly protein NAP-1</t>
  </si>
  <si>
    <t>ab-tri_asb-11843</t>
  </si>
  <si>
    <t>nucleostemin 1 - nucleolus - regulation of multicellular organism growth - regulation of insulin receptor signaling pathway - GTP binding</t>
  </si>
  <si>
    <t>SARM protein (with sterile alpha and armadillo motifs)</t>
  </si>
  <si>
    <t>Armadillo/beta-Catenin/plakoglobin</t>
  </si>
  <si>
    <t>ab-tri_asb-11922</t>
  </si>
  <si>
    <t>ab-tri_asb-11927</t>
  </si>
  <si>
    <t>proteolysis - metallopeptidase</t>
  </si>
  <si>
    <t>ab-tri_asb-11944</t>
  </si>
  <si>
    <t>Uncharacterized conserved protein Lama</t>
  </si>
  <si>
    <t>secreted protein</t>
  </si>
  <si>
    <t>E3 ubiquitin ligase interacting with arginine methyltransferase</t>
  </si>
  <si>
    <t>Protein tyrosine phosphatase PTPMEG contains FERM domain</t>
  </si>
  <si>
    <t>kraken - cellular_component - response to toxin - serine hydrolase - digestion</t>
  </si>
  <si>
    <t>Alanine aminotransferase</t>
  </si>
  <si>
    <t>ab-tri_asb-1201</t>
  </si>
  <si>
    <t>ab-tri_asb-12024</t>
  </si>
  <si>
    <t>K-Cl cotransporter</t>
  </si>
  <si>
    <t>Chitin binding Peritrophin-A domain</t>
  </si>
  <si>
    <t>secreted peptide</t>
  </si>
  <si>
    <t>ab-tri_asb-1209</t>
  </si>
  <si>
    <t>salivary mucin</t>
  </si>
  <si>
    <t>Predicted sugar transporter</t>
  </si>
  <si>
    <t>Chitin-binding domain type 2</t>
  </si>
  <si>
    <t>Mitochondrial ribosomal protein S18b</t>
  </si>
  <si>
    <t>ab-tri_asb-1221</t>
  </si>
  <si>
    <t>vesicle coat protein clathrin light chain</t>
  </si>
  <si>
    <t>ab-tri_asb-12223</t>
  </si>
  <si>
    <t>RNA helicase</t>
  </si>
  <si>
    <t>ab-tri_asb-12277</t>
  </si>
  <si>
    <t>Nuclear envelope protein lamin intermediate filament superfamily</t>
  </si>
  <si>
    <t>Polyadenylate-binding protein (RRM superfamily)</t>
  </si>
  <si>
    <t>ab-tri_asb-1229</t>
  </si>
  <si>
    <t>NADH dehydrogenase (ubiquinone) - NADH dehydrogenase - mitochondrial respiratory chain complex I - mitochondrial electron transport NADH to</t>
  </si>
  <si>
    <t>60S ribosomal protein L21</t>
  </si>
  <si>
    <t>trypsin</t>
  </si>
  <si>
    <t>RhoGAP domain-containing protein - signal transduction - regulation of Rac protein signal transduction - Rac GTPase activator - intracellular</t>
  </si>
  <si>
    <t>Glycine C-acetyltransferase/2-amino-3-ketobutyrate-CoA ligase</t>
  </si>
  <si>
    <t>ab-tri_asb-12371</t>
  </si>
  <si>
    <t>60S ribosomal protein L18A</t>
  </si>
  <si>
    <t>Sodium channel protein para</t>
  </si>
  <si>
    <t>succinate dehydrogenase ubiquinone cytochrome b small subunit mitochondrial</t>
  </si>
  <si>
    <t>zgc:153610 - molecular_function - exocyst - vesicle docking involved in exocytosis</t>
  </si>
  <si>
    <t>Reticulon</t>
  </si>
  <si>
    <t>ab-tri_asb-12439</t>
  </si>
  <si>
    <t>60S ribosomal protein L27</t>
  </si>
  <si>
    <t>ab-tri_asb-12449</t>
  </si>
  <si>
    <t>Tumor differentially expressed (TDE) protein</t>
  </si>
  <si>
    <t>Tyrosine aminotransferase</t>
  </si>
  <si>
    <t>ab-tri_asb-12504</t>
  </si>
  <si>
    <t>gamma-interferon inducible lysosomal thiol reductase</t>
  </si>
  <si>
    <t>ab-tri_asb-12539</t>
  </si>
  <si>
    <t>Thioredoxin-like protein</t>
  </si>
  <si>
    <t>thioredoxin-like protein</t>
  </si>
  <si>
    <t>cytochrome P450 CYP4G13v2</t>
  </si>
  <si>
    <t>Angiotensin I-converting enzymes - M2 family peptidases</t>
  </si>
  <si>
    <t>Troponin</t>
  </si>
  <si>
    <t>selectin endothelial cell - positive regulation of leukocyte migration - signal transduction - response to interleukin-1 - oligosaccharide binding -</t>
  </si>
  <si>
    <t>ab-tri_asb-1258</t>
  </si>
  <si>
    <t>Heat shock 70 kDa protein 4</t>
  </si>
  <si>
    <t>ab-tri_asb-12599</t>
  </si>
  <si>
    <t>Cytochrome c oxidase subunit VIc</t>
  </si>
  <si>
    <t>ab-tri_asb-1261</t>
  </si>
  <si>
    <t>Methylthioadenosine phosphorylase MTAP</t>
  </si>
  <si>
    <t>fatty acyl-CoA desaturase</t>
  </si>
  <si>
    <t>Ribosomal protein RPL1/RPL2/RL4L4</t>
  </si>
  <si>
    <t>ab-tri_asb-12692</t>
  </si>
  <si>
    <t>cysteine proteinase cathepsin L</t>
  </si>
  <si>
    <t>ab-tri_asb-1271</t>
  </si>
  <si>
    <t>ab-tri_asb-12713</t>
  </si>
  <si>
    <t>Myosin class VI heavy chain</t>
  </si>
  <si>
    <t>ab-tri_asb-12740</t>
  </si>
  <si>
    <t>GI19985</t>
  </si>
  <si>
    <t>Acyl-CoA oxidase</t>
  </si>
  <si>
    <t>Predicted mitochondrial carrier protein</t>
  </si>
  <si>
    <t>Possible membrane-associated motif in LPS-induced tumor necrosis factor alpha factor</t>
  </si>
  <si>
    <t>Actin-related protein - Arp4p/Act3p</t>
  </si>
  <si>
    <t>ab-tri_asb-12779</t>
  </si>
  <si>
    <t>GTP-specific succinyl-CoA synthetase beta subunit</t>
  </si>
  <si>
    <t>Aromatic amino acid hydroxylase</t>
  </si>
  <si>
    <t>proteolysis - serine-type endopeptidase</t>
  </si>
  <si>
    <t>ab-tri_asb-12844</t>
  </si>
  <si>
    <t>SAGA-associated factor 11 homolog 2 - positive regulation of transcription DNA-dependent - chromatin modification - SAGA complex</t>
  </si>
  <si>
    <t>Drosophila persimilis ribosomal RNA (Dper\28SrRNA:GL28069) rRNA</t>
  </si>
  <si>
    <t>Creatine kinases</t>
  </si>
  <si>
    <t>Glycogen synthase kinase-3</t>
  </si>
  <si>
    <t>ribosomal protein L22</t>
  </si>
  <si>
    <t>60S ribosomal protein L22</t>
  </si>
  <si>
    <t>Gamma-glutamyltransferase</t>
  </si>
  <si>
    <t>ab-tri_asb-12933</t>
  </si>
  <si>
    <t>Histones H3 and H4</t>
  </si>
  <si>
    <t>ab-tri_asb-12935</t>
  </si>
  <si>
    <t>Glycerol-3-phosphate dehydrogenase/dihydroxyacetone 3-phosphate reductase</t>
  </si>
  <si>
    <t>ab-tri_asb-12971</t>
  </si>
  <si>
    <t>TNF receptor-associated factor family protein DDB_G0272098</t>
  </si>
  <si>
    <t>Fe2+/Zn2+ regulated transporter</t>
  </si>
  <si>
    <t>ab-tri_asb-13007</t>
  </si>
  <si>
    <t>Cuticular protein 49Ab - structural constituent of chitin-based cuticle</t>
  </si>
  <si>
    <t>60S ribosomal protein L32</t>
  </si>
  <si>
    <t>40s ribosomal protein s10</t>
  </si>
  <si>
    <t>ab-tri_asb-13088</t>
  </si>
  <si>
    <t>NADH:ubiquinone oxidoreductase NDUFB8/ASHI subunit</t>
  </si>
  <si>
    <t>dehydrogenase</t>
  </si>
  <si>
    <t>ab-tri_asb-13148</t>
  </si>
  <si>
    <t>ab-tri_asb-13173</t>
  </si>
  <si>
    <t>Head-elevated expression protein</t>
  </si>
  <si>
    <t>ab-tri_asb-13188</t>
  </si>
  <si>
    <t>ribosomal protein L30</t>
  </si>
  <si>
    <t>Carnitine O-acyltransferase CRAT</t>
  </si>
  <si>
    <t>ab-tri_asb-13218</t>
  </si>
  <si>
    <t>Lysophospholipase</t>
  </si>
  <si>
    <t>Moesin/ezrin/radixin homolog 1 - establishment or maintenance of epithelial cell apical/basal polarity - adherens junction - actin binding</t>
  </si>
  <si>
    <t>ab-tri_asb-13226</t>
  </si>
  <si>
    <t>ab-tri_asb-13227</t>
  </si>
  <si>
    <t>Caprin-2 - positive regulation of canonical Wnt receptor signaling pathway - positive regulation of dendritic spine morphogenesis - positive</t>
  </si>
  <si>
    <t>ab-tri_asb-1323</t>
  </si>
  <si>
    <t>Vacuolar H+-ATPase V1 sector subunit E</t>
  </si>
  <si>
    <t>ab-tri_asb-13230</t>
  </si>
  <si>
    <t>beta-N-acetylhexosaminidase</t>
  </si>
  <si>
    <t>Ca2+-binding actin-bundling protein (actinin) alpha chain (EF-Hand protein superfamily)</t>
  </si>
  <si>
    <t>ab-tri_asb-13244</t>
  </si>
  <si>
    <t>Protein involved in Snf1 protein kinase complex assembly</t>
  </si>
  <si>
    <t>ab-tri_asb-13247</t>
  </si>
  <si>
    <t>3-oxoacyl CoA thiolase</t>
  </si>
  <si>
    <t>Alpha tubulin</t>
  </si>
  <si>
    <t>ab-tri_asb-13336</t>
  </si>
  <si>
    <t>Growth hormone-induced protein</t>
  </si>
  <si>
    <t>S-adenosylmethionine synthetase</t>
  </si>
  <si>
    <t>Beta tubulin</t>
  </si>
  <si>
    <t>ab-tri_asb-13453</t>
  </si>
  <si>
    <t>GL26240</t>
  </si>
  <si>
    <t>Acetyl-CoA carboxylase</t>
  </si>
  <si>
    <t>Pyruvate carboxylase</t>
  </si>
  <si>
    <t>Karyopherin (importin) beta 3</t>
  </si>
  <si>
    <t>ab-tri_asb-13610</t>
  </si>
  <si>
    <t>GJ16279</t>
  </si>
  <si>
    <t>ab-tri_asb-13616</t>
  </si>
  <si>
    <t>40S ribosomal protein S15/S22</t>
  </si>
  <si>
    <t>ab-tri_asb-13631</t>
  </si>
  <si>
    <t>heat shock protein cognate 5</t>
  </si>
  <si>
    <t>ab-tri_asb-13643</t>
  </si>
  <si>
    <t>ladybird late homeodomain transcription factor</t>
  </si>
  <si>
    <t>Negative regulator of transcription</t>
  </si>
  <si>
    <t>ab-tri_asb-13713</t>
  </si>
  <si>
    <t>Phosphorylcholine transferase/cholinephosphate cytidylyltransferase</t>
  </si>
  <si>
    <t>ab-tri_asb-13714</t>
  </si>
  <si>
    <t>Vesicle trafficking protein Sec1</t>
  </si>
  <si>
    <t>Phospholipid scramblase</t>
  </si>
  <si>
    <t>ab-tri_asb-13724</t>
  </si>
  <si>
    <t>ab-tri_asb-13726</t>
  </si>
  <si>
    <t>Mitotic spindle checkpoint protein BUB3 WD repeat superfamily</t>
  </si>
  <si>
    <t>ab-tri_asb-13732</t>
  </si>
  <si>
    <t>ab-tri_asb-13733</t>
  </si>
  <si>
    <t>ab-tri_asb-13737</t>
  </si>
  <si>
    <t>ab-tri_asb-13741</t>
  </si>
  <si>
    <t>ab-tri_asb-13742</t>
  </si>
  <si>
    <t>ab-tri_asb-1375</t>
  </si>
  <si>
    <t>Vacuolar protein sorting-associated protein VTA1 homolog</t>
  </si>
  <si>
    <t>ab-tri_asb-13753</t>
  </si>
  <si>
    <t>mitochondrial acyl carrier protein 1 - cofactor binding - phosphopantetheine binding - acyl carrier - fatty acid biosynthetic process -</t>
  </si>
  <si>
    <t>ab-tri_asb-13754</t>
  </si>
  <si>
    <t>ab-tri_asb-1378</t>
  </si>
  <si>
    <t>Lipoate-protein ligase A</t>
  </si>
  <si>
    <t>ab-tri_asb-13805</t>
  </si>
  <si>
    <t>cuticular protein 67B</t>
  </si>
  <si>
    <t>Aquaporin (major intrinsic protein family)</t>
  </si>
  <si>
    <t>ab-tri_asb-13894</t>
  </si>
  <si>
    <t>Leucine-rich repeat (LRR) protein associated with apoptosis in muscle tissue</t>
  </si>
  <si>
    <t>ab-tri_asb-1390</t>
  </si>
  <si>
    <t>DNA/RNA non-specific endonuclease</t>
  </si>
  <si>
    <t>ab-tri_asb-1394</t>
  </si>
  <si>
    <t>Thyroid hormone receptor-associated protein complex subunit TRAP230</t>
  </si>
  <si>
    <t>Myosin tail</t>
  </si>
  <si>
    <t>Glutamate transporter EAAC1-interacting protein GTRAP3-18</t>
  </si>
  <si>
    <t>ab-tri_asb-14076</t>
  </si>
  <si>
    <t>Ribosomal L38e protein family</t>
  </si>
  <si>
    <t>ab-tri_asb-14089</t>
  </si>
  <si>
    <t>26S proteasome regulatory complex subunit RPN2/PSMD1</t>
  </si>
  <si>
    <t>ab-tri_asb-14131</t>
  </si>
  <si>
    <t>ab-tri_asb-14138</t>
  </si>
  <si>
    <t>40S ribosomal protein S29</t>
  </si>
  <si>
    <t>Triglyceride lipase-cholesterol esterase</t>
  </si>
  <si>
    <t>ab-tri_asb-14199</t>
  </si>
  <si>
    <t>60S ribosomal protein L14/L17/L23</t>
  </si>
  <si>
    <t>ab-tri_asb-14203</t>
  </si>
  <si>
    <t>mitochondrial ribosomal protein L20 - rRNA binding - mitochondrial large ribosomal subunit - translation - structural constituent of ribosome</t>
  </si>
  <si>
    <t>ab-tri_asb-14236</t>
  </si>
  <si>
    <t>Mitochondrial/chloroplast ribosomal protein 36a</t>
  </si>
  <si>
    <t>ab-tri_asb-14338</t>
  </si>
  <si>
    <t>Smoothelin - actin cytoskeleton - structural constituent of muscle - muscle organ development - smooth muscle contraction - cytoskeleton - cytoplasm</t>
  </si>
  <si>
    <t>ab-tri_asb-14365</t>
  </si>
  <si>
    <t>low density lipoprotein receptor adaptor protein 1</t>
  </si>
  <si>
    <t>ab-tri_asb-1437</t>
  </si>
  <si>
    <t>ab-tri_asb-14376</t>
  </si>
  <si>
    <t>Homocysteine-induced endoplasmic reticulum protein - microtubule associated complex - ER overload response - endoplasmic reticulum</t>
  </si>
  <si>
    <t>Cell cycle control protein</t>
  </si>
  <si>
    <t>Cathepsin L</t>
  </si>
  <si>
    <t>ab-tri_asb-14399</t>
  </si>
  <si>
    <t>aldo-keto reductase</t>
  </si>
  <si>
    <t>ab-tri_asb-14404</t>
  </si>
  <si>
    <t>Fibrillins</t>
  </si>
  <si>
    <t>ab-tri_asb-14424</t>
  </si>
  <si>
    <t>ab-tri_asb-14436</t>
  </si>
  <si>
    <t>ab-tri_asb-14476</t>
  </si>
  <si>
    <t>lysozyme</t>
  </si>
  <si>
    <t>ab-tri_asb-1450</t>
  </si>
  <si>
    <t>60s ribosomal protein L39</t>
  </si>
  <si>
    <t>ab-tri_asb-14545</t>
  </si>
  <si>
    <t>Pyruvate dehydrogenase E1 beta subunit</t>
  </si>
  <si>
    <t>ab-tri_asb-14567</t>
  </si>
  <si>
    <t>ab-tri_asb-14574</t>
  </si>
  <si>
    <t>ab-tri_asb-14583</t>
  </si>
  <si>
    <t>ab-tri_asb-1459</t>
  </si>
  <si>
    <t>copper transporter 1A</t>
  </si>
  <si>
    <t>ab-tri_asb-14591</t>
  </si>
  <si>
    <t>ab-tri_asb-14599</t>
  </si>
  <si>
    <t>Aminomethyl transferase</t>
  </si>
  <si>
    <t>ab-tri_asb-14626</t>
  </si>
  <si>
    <t>Lipoate synthase</t>
  </si>
  <si>
    <t>TatD-related DNase</t>
  </si>
  <si>
    <t>ab-tri_asb-14637</t>
  </si>
  <si>
    <t>Rhodopsin 6 - visual perception - G-protein coupled receptor signaling pathway - integral to membrane - rhabdomere - G-protein coupled photoreceptor</t>
  </si>
  <si>
    <t>Signal peptidase complex subunit</t>
  </si>
  <si>
    <t>chitin binding protein</t>
  </si>
  <si>
    <t>ab-tri_asb-14687</t>
  </si>
  <si>
    <t>Bifunctional ATP sulfurylase/adenosine 5'-phosphosulfate kinase</t>
  </si>
  <si>
    <t>ab-tri_asb-14713</t>
  </si>
  <si>
    <t>ab-tri_asb-14736</t>
  </si>
  <si>
    <t>ATPases of the AAA+ class Posttranslational modification</t>
  </si>
  <si>
    <t>ab-tri_asb-1474</t>
  </si>
  <si>
    <t>Lipid storage droplet-2 - microtubule associated complex - lipid metabolic process - regulation of transport - protein binding - lipid particle</t>
  </si>
  <si>
    <t>ab-tri_asb-1475</t>
  </si>
  <si>
    <t>Actin regulatory (gelsolin/villin family)</t>
  </si>
  <si>
    <t>ab-tri_asb-14788</t>
  </si>
  <si>
    <t>Mitochondrial ribosomal protein L9</t>
  </si>
  <si>
    <t>ab-tri_asb-14802</t>
  </si>
  <si>
    <t>26S proteasome regulatory complex ATPase RPT6</t>
  </si>
  <si>
    <t>ab-tri_asb-14808</t>
  </si>
  <si>
    <t>ab-tri_asb-14824</t>
  </si>
  <si>
    <t>ab-tri_asb-14836</t>
  </si>
  <si>
    <t>20S proteasome regulatory subunit beta type PSMB3/PUP3</t>
  </si>
  <si>
    <t>Dimethylglycine dehydrogenase precursor</t>
  </si>
  <si>
    <t>ab-tri_asb-1486</t>
  </si>
  <si>
    <t>5' nucleotidase</t>
  </si>
  <si>
    <t>Microtubule-associated protein TAU</t>
  </si>
  <si>
    <t>Serine carboxypeptidases (lysosomal cathepsin A)</t>
  </si>
  <si>
    <t>ab-tri_asb-14911</t>
  </si>
  <si>
    <t>small heat shock protein</t>
  </si>
  <si>
    <t>ab-tri_asb-14944</t>
  </si>
  <si>
    <t>spliceosomal complex - nuclear mRNA splicing via spliceosome - ATP-dependent RNA helicase</t>
  </si>
  <si>
    <t>ab-tri_asb-1495</t>
  </si>
  <si>
    <t>apoptotic process - zinc ion binding</t>
  </si>
  <si>
    <t>Ribosomal protein S7</t>
  </si>
  <si>
    <t>ab-tri_asb-14971</t>
  </si>
  <si>
    <t>tetraspanin</t>
  </si>
  <si>
    <t>ab-tri_asb-1502</t>
  </si>
  <si>
    <t>Glutamate/leucine/phenylalanine/valine dehydrogenases</t>
  </si>
  <si>
    <t>ab-tri_asb-1509</t>
  </si>
  <si>
    <t>Methylenetetrahydrofolate dehydrogenase/methylenetetrahydrofolate cyclohydrolase</t>
  </si>
  <si>
    <t>ab-tri_asb-15092</t>
  </si>
  <si>
    <t>GK16360</t>
  </si>
  <si>
    <t>ab-tri_asb-1512</t>
  </si>
  <si>
    <t>WW domain binding protein WBP-2 contains GRAM domain</t>
  </si>
  <si>
    <t>ab-tri_asb-15158</t>
  </si>
  <si>
    <t>tipE homolog 3 - integral to membrane - positive regulation of sodium ion transport via voltage-gated sodium channel - translation - ribosome -</t>
  </si>
  <si>
    <t>ab-tri_asb-15164</t>
  </si>
  <si>
    <t>ab-tri_asb-15174</t>
  </si>
  <si>
    <t>ribosomal protein L5</t>
  </si>
  <si>
    <t>ab-tri_asb-15189</t>
  </si>
  <si>
    <t>NADH-ubiquinone oxidoreductase NDUFS3/30 kDa subunit</t>
  </si>
  <si>
    <t>salivary secreted peptide</t>
  </si>
  <si>
    <t>ab-tri_asb-15234</t>
  </si>
  <si>
    <t>ab-tri_asb-15248</t>
  </si>
  <si>
    <t>40S ribosomal protein S13</t>
  </si>
  <si>
    <t>fat body serine protease</t>
  </si>
  <si>
    <t>Elongation factor 1 alpha</t>
  </si>
  <si>
    <t>Long-chain acyl-CoA synthetases (AMP-forming)</t>
  </si>
  <si>
    <t>ab-tri_asb-15343</t>
  </si>
  <si>
    <t>Nucleoplasmin - nucleic acid binding - nucleosome positioning - ATPase  coupled - nucleus - nucleolus - histone binding</t>
  </si>
  <si>
    <t>ab-tri_asb-15411</t>
  </si>
  <si>
    <t>ab-tri_asb-15445</t>
  </si>
  <si>
    <t>Cystathionine beta-lyases/cystathionine gamma-synthases</t>
  </si>
  <si>
    <t>ab-tri_asb-15503</t>
  </si>
  <si>
    <t>hypothetical non-conserved protein</t>
  </si>
  <si>
    <t>RNA-binding protein musashi/mRNA cleavage and polyadenylation factor I complex subunit HRP1</t>
  </si>
  <si>
    <t>ab-tri_asb-15517</t>
  </si>
  <si>
    <t>Cad86C - regulation of cell shape - subapical complex - homophilic cell adhesion - calcium ion binding - integral to membrane - calcium-dependent</t>
  </si>
  <si>
    <t>ab-tri_asb-15552</t>
  </si>
  <si>
    <t>NADH:ubiquinone oxidoreductase NDUFB5/SGDH subunit</t>
  </si>
  <si>
    <t>ab-tri_asb-15590</t>
  </si>
  <si>
    <t>acyl-CoA-binding protein</t>
  </si>
  <si>
    <t>ab-tri_asb-15627</t>
  </si>
  <si>
    <t>RNA-binding protein ELAV/HU (RRM superfamily)</t>
  </si>
  <si>
    <t>ab-tri_asb-15717</t>
  </si>
  <si>
    <t>DNA replication factor/protein phosphatase inhibitor SET/SPR-2</t>
  </si>
  <si>
    <t>ab-tri_asb-15762</t>
  </si>
  <si>
    <t>Succinyl-CoA:alpha-ketoacid-CoA transferase</t>
  </si>
  <si>
    <t>ab-tri_asb-15770</t>
  </si>
  <si>
    <t>ab-tri_asb-15811</t>
  </si>
  <si>
    <t>Histone 2A</t>
  </si>
  <si>
    <t>Ribulose kinase</t>
  </si>
  <si>
    <t>ab-tri_asb-1584</t>
  </si>
  <si>
    <t>Ca2+-dependent phospholipid-binding protein Synaptotagmin required for synaptic vesicle and secretory granule exocytosis</t>
  </si>
  <si>
    <t>ab-tri_asb-15899</t>
  </si>
  <si>
    <t>NADH-ubiquinone oxidoreductase subunit NDUFB10/PDSW</t>
  </si>
  <si>
    <t>Ubiquitin carboxy-terminal hydrolase - microtubule associated complex - ubiquitin-dependent protein catabolic process - ubiquitin thiolesterase -</t>
  </si>
  <si>
    <t>ab-tri_asb-15967</t>
  </si>
  <si>
    <t>Ubiquinol-cytochrome C reductase complex 11 kDa protein - mitochondrial electron transport ubiquinol to cytochrome c - ubiquinol-cytochrome-c</t>
  </si>
  <si>
    <t>40S ribosomal protein S7</t>
  </si>
  <si>
    <t>Amphiphysin</t>
  </si>
  <si>
    <t>ab-tri_asb-16031</t>
  </si>
  <si>
    <t>F0F1-type ATP synthase beta subunit</t>
  </si>
  <si>
    <t>three prime repair exonuclease</t>
  </si>
  <si>
    <t>Galactokinase</t>
  </si>
  <si>
    <t>G-box binding factortranscription factor - regulation of transcription from RNA polymerase II promoter - cytosol - nucleus - sequence-specific DNA</t>
  </si>
  <si>
    <t>ab-tri_asb-16079</t>
  </si>
  <si>
    <t>salivary expressed serine protease</t>
  </si>
  <si>
    <t>ab-tri_asb-16095</t>
  </si>
  <si>
    <t>ab-tri_asb-16110</t>
  </si>
  <si>
    <t>Homogentisate 12-dioxygenase</t>
  </si>
  <si>
    <t>triacylglycerol lipase</t>
  </si>
  <si>
    <t>ribosomal protein L8</t>
  </si>
  <si>
    <t>ab-tri_asb-1626</t>
  </si>
  <si>
    <t>CG11892 isoform B</t>
  </si>
  <si>
    <t>ab-tri_asb-16299</t>
  </si>
  <si>
    <t>Glutamine synthetase</t>
  </si>
  <si>
    <t>ab-tri_asb-16330</t>
  </si>
  <si>
    <t>mitochondrial translation elongation factor Tu</t>
  </si>
  <si>
    <t>ab-tri_asb-16349</t>
  </si>
  <si>
    <t>CG34310 isoform B</t>
  </si>
  <si>
    <t>ab-tri_asb-16378</t>
  </si>
  <si>
    <t>histone tail methylase</t>
  </si>
  <si>
    <t>ab-tri_asb-1639</t>
  </si>
  <si>
    <t>BPTI/Kunitz family of serine protease inhibitors</t>
  </si>
  <si>
    <t>ab-tri_asb-16395</t>
  </si>
  <si>
    <t>ATP-citrate lyase</t>
  </si>
  <si>
    <t>ab-tri_asb-16396</t>
  </si>
  <si>
    <t>DICTYBASE-DDB_G0283265 - symbol:mkkA "protein serine/threonine kinaseSTE11 family protein kinaseMEK kinaseWD40 repeat-containing proteinprotein</t>
  </si>
  <si>
    <t>ab-tri_asb-16416</t>
  </si>
  <si>
    <t>Transaldolase</t>
  </si>
  <si>
    <t>ab-tri_asb-16418</t>
  </si>
  <si>
    <t>NADH:ubiquinone oxidoreductase NDUFB6/B17 subunit</t>
  </si>
  <si>
    <t>ab-tri_asb-16422</t>
  </si>
  <si>
    <t>GJ20262</t>
  </si>
  <si>
    <t>Glutaredoxin-related protein</t>
  </si>
  <si>
    <t>ab-tri_asb-16435</t>
  </si>
  <si>
    <t>FK506-binding protein 1 - microtubule associated complex - juvenile hormone mediated signaling pathway - protein binding - juvenile hormone response</t>
  </si>
  <si>
    <t>Histone H4</t>
  </si>
  <si>
    <t>ab-tri_asb-16475</t>
  </si>
  <si>
    <t>ribosomal protein L35A</t>
  </si>
  <si>
    <t>ab-tri_asb-1649</t>
  </si>
  <si>
    <t>Hexokinase</t>
  </si>
  <si>
    <t>ab-tri_asb-16508</t>
  </si>
  <si>
    <t>membrane glycoprotein LIG-1</t>
  </si>
  <si>
    <t>ab-tri_asb-16544</t>
  </si>
  <si>
    <t>Isocitrate dehydrogenase gamma subunit</t>
  </si>
  <si>
    <t>ab-tri_asb-16551</t>
  </si>
  <si>
    <t>ab-tri_asb-1656</t>
  </si>
  <si>
    <t>ab-tri_asb-16568</t>
  </si>
  <si>
    <t>ab-tri_asb-16617</t>
  </si>
  <si>
    <t>translation initiation factor</t>
  </si>
  <si>
    <t>ab-tri_asb-16659</t>
  </si>
  <si>
    <t>tetraspanin 42Ek</t>
  </si>
  <si>
    <t>ab-tri_asb-16664</t>
  </si>
  <si>
    <t>ab-tri_asb-16743</t>
  </si>
  <si>
    <t>NADP-dependent isocitrate dehydrogenase</t>
  </si>
  <si>
    <t>Sorbin and SH3 domain-containing protein</t>
  </si>
  <si>
    <t>Adenylate kinase</t>
  </si>
  <si>
    <t>60s ribosomal protein L6</t>
  </si>
  <si>
    <t>ab-tri_asb-16958</t>
  </si>
  <si>
    <t>Thiolester containing protein IV - endopeptidase inhibitor - extracellular space - antibacterial humoral response - peptidase inhibitor</t>
  </si>
  <si>
    <t>3'5'-cyclic nucleotide phosphodiesterases</t>
  </si>
  <si>
    <t>ab-tri_asb-16964</t>
  </si>
  <si>
    <t>Plasma membrane glycoprotein CD36</t>
  </si>
  <si>
    <t>LPXTG-motif cell wall anchor domain protein Streptococcus parasanguinis F0405</t>
  </si>
  <si>
    <t>ab-tri_asb-16988</t>
  </si>
  <si>
    <t>Kazal type serine protease inhibitors</t>
  </si>
  <si>
    <t>ab-tri_asb-17009</t>
  </si>
  <si>
    <t>heat shock protein 60</t>
  </si>
  <si>
    <t>ab-tri_asb-17071</t>
  </si>
  <si>
    <t>ab-tri_asb-17083</t>
  </si>
  <si>
    <t>Ca2+/calmodulin-dependent protein kinase</t>
  </si>
  <si>
    <t>Adaptor protein Enigma</t>
  </si>
  <si>
    <t>ab-tri_asb-17129</t>
  </si>
  <si>
    <t>sequence-specific DNA binding transcription factor - regulation of transcription DNA-dependent - sequence-specific DNA binding - protein</t>
  </si>
  <si>
    <t>ab-tri_asb-1718</t>
  </si>
  <si>
    <t>Citrate synthase</t>
  </si>
  <si>
    <t>ab-tri_asb-17192</t>
  </si>
  <si>
    <t>Spermidine synthase</t>
  </si>
  <si>
    <t>Karyopherin (importin) alpha</t>
  </si>
  <si>
    <t>Predicted ribosomal RNA adenine dimethylase</t>
  </si>
  <si>
    <t>ab-tri_asb-17267</t>
  </si>
  <si>
    <t>thioredoxin peroxidase 1 Glossina morsitans morsitans</t>
  </si>
  <si>
    <t>ab-tri_asb-17289</t>
  </si>
  <si>
    <t>NADH:ubiquinone oxidoreductase NDUFA10/42kDa subunit</t>
  </si>
  <si>
    <t>Bifunctional leukotriene A4 hydrolase/aminopeptidase LTA4H</t>
  </si>
  <si>
    <t>ab-tri_asb-17304</t>
  </si>
  <si>
    <t>Puromycin-sensitive aminopeptidase</t>
  </si>
  <si>
    <t>ab-tri_asb-17384</t>
  </si>
  <si>
    <t>GJ19996</t>
  </si>
  <si>
    <t>ab-tri_asb-17430</t>
  </si>
  <si>
    <t>RNA-binding protein NOVA1/PASILLA</t>
  </si>
  <si>
    <t>Ribosomal protein L41</t>
  </si>
  <si>
    <t>ab-tri_asb-17441</t>
  </si>
  <si>
    <t>ab-tri_asb-17443</t>
  </si>
  <si>
    <t>SOK1 kinase belonging to the STE20/SPS1/GC kinase family</t>
  </si>
  <si>
    <t>ab-tri_asb-1748</t>
  </si>
  <si>
    <t>ab-tri_asb-17486</t>
  </si>
  <si>
    <t>cathepsin L like protease Glossina morsitans morsitans</t>
  </si>
  <si>
    <t>ab-tri_asb-1749</t>
  </si>
  <si>
    <t>GA15635 - muscle alpha-actinin binding - actin cytoskeleton - regulation of cell-matrix adhesion</t>
  </si>
  <si>
    <t>ab-tri_asb-1754</t>
  </si>
  <si>
    <t>amino acid transporter protein</t>
  </si>
  <si>
    <t>Adenylosuccinate synthase</t>
  </si>
  <si>
    <t>ab-tri_asb-17559</t>
  </si>
  <si>
    <t>aspartyl protease</t>
  </si>
  <si>
    <t>BRPK/PTEN-induced protein kinase</t>
  </si>
  <si>
    <t>ab-tri_asb-17569</t>
  </si>
  <si>
    <t>ab-tri_asb-1757</t>
  </si>
  <si>
    <t>lysozyme - antimicrobial humoral response</t>
  </si>
  <si>
    <t>ab-tri_asb-17580</t>
  </si>
  <si>
    <t>Hypothetical repeat protein Leishmania infantum JPCM5</t>
  </si>
  <si>
    <t>ab-tri_asb-17587</t>
  </si>
  <si>
    <t>lateral inhibition - lipid particle - mitochondrial proton-transporting ATP synthase complex coupling factor F(o) - proton transport -</t>
  </si>
  <si>
    <t>ab-tri_asb-17613</t>
  </si>
  <si>
    <t>ab-tri_asb-1762</t>
  </si>
  <si>
    <t>ab-tri_asb-1766</t>
  </si>
  <si>
    <t>trypsin-like serine protease precursor</t>
  </si>
  <si>
    <t>ab-tri_asb-1767</t>
  </si>
  <si>
    <t>kayak isoform A</t>
  </si>
  <si>
    <t>ab-tri_asb-17677</t>
  </si>
  <si>
    <t>20S proteasome regulatory subunit beta type PSMB7/PSMB10/PUP1</t>
  </si>
  <si>
    <t>ab-tri_asb-17687</t>
  </si>
  <si>
    <t>ab-tri_asb-17714</t>
  </si>
  <si>
    <t>methionine aminopeptidase</t>
  </si>
  <si>
    <t>ab-tri_asb-17715</t>
  </si>
  <si>
    <t>GK13572</t>
  </si>
  <si>
    <t>Juvenile hormone binding protein in insects</t>
  </si>
  <si>
    <t>Cytochrome b5</t>
  </si>
  <si>
    <t>ab-tri_asb-17817</t>
  </si>
  <si>
    <t>NAD-dependent malate dehydrogenase</t>
  </si>
  <si>
    <t>ab-tri_asb-17862</t>
  </si>
  <si>
    <t>Tumor Necrosis Factor</t>
  </si>
  <si>
    <t>Multicopper oxidases</t>
  </si>
  <si>
    <t>Mitochondrial oxaloacetate carrier protein</t>
  </si>
  <si>
    <t>Fructose-biphosphate aldolase</t>
  </si>
  <si>
    <t>Serine/threonine protein kinase Chk2</t>
  </si>
  <si>
    <t>Aconitase/homoaconitase (aconitase superfamily)</t>
  </si>
  <si>
    <t>ab-tri_asb-17960</t>
  </si>
  <si>
    <t>Mitochondrial F1F0-ATP synthase subunit b/ATP4</t>
  </si>
  <si>
    <t>Diphthamide biosynthesis protein</t>
  </si>
  <si>
    <t>Nuclear pore complex Nup98 component (sc Nup145/Nup100/Nup116)</t>
  </si>
  <si>
    <t>40S ribosomal protein S8</t>
  </si>
  <si>
    <t>ab-tri_asb-18058</t>
  </si>
  <si>
    <t>mitochondrial ribosomal protein L13</t>
  </si>
  <si>
    <t>ab-tri_asb-18069</t>
  </si>
  <si>
    <t>ab-tri_asb-18109</t>
  </si>
  <si>
    <t>mitochondrial envelope - positive regulation of apoptotic process - integral to membrane</t>
  </si>
  <si>
    <t>ab-tri_asb-18123</t>
  </si>
  <si>
    <t>extracellular region - peptidase inhibitor - biological_process</t>
  </si>
  <si>
    <t>ab-tri_asb-1813</t>
  </si>
  <si>
    <t>Kaz1-ORFB isoform C</t>
  </si>
  <si>
    <t>ab-tri_asb-18175</t>
  </si>
  <si>
    <t>Dihydrolipoamide succinyltransferase (2-oxoglutarate dehydrogenase E2 subunit)</t>
  </si>
  <si>
    <t>ab-tri_asb-18196</t>
  </si>
  <si>
    <t>ab-tri_asb-18212</t>
  </si>
  <si>
    <t>ab-tri_asb-18229</t>
  </si>
  <si>
    <t>secreted juvenile hormone binding protein</t>
  </si>
  <si>
    <t>40S ribosomal protein S11</t>
  </si>
  <si>
    <t>DNA repair protein RAD50 ABC-type ATPase/SMC superfamily</t>
  </si>
  <si>
    <t>ab-tri_asb-18333</t>
  </si>
  <si>
    <t>ab-tri_asb-18339</t>
  </si>
  <si>
    <t>uncharacterized conserved secreted glycine-rich protein</t>
  </si>
  <si>
    <t>Actin-binding cytoskeleton protein filamin</t>
  </si>
  <si>
    <t>ab-tri_asb-18430</t>
  </si>
  <si>
    <t>Vacuolar H+-ATPase V1 sector subunit B</t>
  </si>
  <si>
    <t>ab-tri_asb-18468</t>
  </si>
  <si>
    <t>Peroxiredoxin 5 - cell redox homeostasis - determination of adult lifespan - negative regulation of apoptotic process - cytosol - mitochondrion -</t>
  </si>
  <si>
    <t>ab-tri_asb-18569</t>
  </si>
  <si>
    <t>3-hydroxyisobutyrate dehydrogenase</t>
  </si>
  <si>
    <t>60s ribosomal protein L18</t>
  </si>
  <si>
    <t>ab-tri_asb-18645</t>
  </si>
  <si>
    <t>Possible pfkB family carbohydrate kinase</t>
  </si>
  <si>
    <t>ab-tri_asb-18682</t>
  </si>
  <si>
    <t>ab-tri_asb-18708</t>
  </si>
  <si>
    <t>Hydroxyacyl-CoA dehydrogenase/enoyl-CoA hydratase</t>
  </si>
  <si>
    <t>Serine protease 7 - positive regulation of melanization defense response - serine-type peptidase - melanization defense response - proteolysis -</t>
  </si>
  <si>
    <t>Transcription factor</t>
  </si>
  <si>
    <t>ab-tri_asb-1879</t>
  </si>
  <si>
    <t>Ubiquitin/60s ribosomal protein L40 fusion</t>
  </si>
  <si>
    <t>ab-tri_asb-1906</t>
  </si>
  <si>
    <t>ab-tri_asb-19088</t>
  </si>
  <si>
    <t>Malate dehydrogenase</t>
  </si>
  <si>
    <t>ab-tri_asb-19097</t>
  </si>
  <si>
    <t>ab-tri_asb-19098</t>
  </si>
  <si>
    <t>ab-tri_asb-1911</t>
  </si>
  <si>
    <t>SIN3-associated polypeptide 30 - transcription corepressor</t>
  </si>
  <si>
    <t>ab-tri_asb-19139</t>
  </si>
  <si>
    <t>60S ribosomal protein L36</t>
  </si>
  <si>
    <t>26S proteasome regulatory complex subunit RPN8/PSMD7</t>
  </si>
  <si>
    <t>lysosomal-associated membrane protein</t>
  </si>
  <si>
    <t>ab-tri_asb-1927</t>
  </si>
  <si>
    <t>SD06318p</t>
  </si>
  <si>
    <t>ab-tri_asb-1928</t>
  </si>
  <si>
    <t>Pristanoyl-CoA/acyl-CoA oxidase</t>
  </si>
  <si>
    <t>ab-tri_asb-19326</t>
  </si>
  <si>
    <t>Delta-1-pyrroline-5-carboxylate dehydrogenase</t>
  </si>
  <si>
    <t>Protein involved in membrane traffic (YOP1/TB2/DP1/HVA22 family)</t>
  </si>
  <si>
    <t>60S ribosomal protein L14</t>
  </si>
  <si>
    <t>ab-tri_asb-19378</t>
  </si>
  <si>
    <t>Ca2+-binding protein EF-Hand protein superfamily</t>
  </si>
  <si>
    <t>ab-tri_asb-19398</t>
  </si>
  <si>
    <t>ab-tri_asb-19409</t>
  </si>
  <si>
    <t>ab-tri_asb-19467</t>
  </si>
  <si>
    <t>ab-tri_asb-1950</t>
  </si>
  <si>
    <t>ab-tri_asb-19508</t>
  </si>
  <si>
    <t>ab-tri_asb-19549</t>
  </si>
  <si>
    <t>ab-tri_asb-19579</t>
  </si>
  <si>
    <t>dipeptidyl peptidase III</t>
  </si>
  <si>
    <t>unconventional myosin heavy chain - cytoskeleton - binding - myosin complex - ATP binding - motor</t>
  </si>
  <si>
    <t>Salivary gland secretion 1 - puparial adhesion - extracellular region - structural molecule</t>
  </si>
  <si>
    <t>Uncharacterized protein - unfolded protein binding - heat shock protein binding - protein folding</t>
  </si>
  <si>
    <t>ab-tri_asb-19639</t>
  </si>
  <si>
    <t>ab-tri_asb-19696</t>
  </si>
  <si>
    <t>CDGSH iron-sulfur domain-containing protein 2 homolog</t>
  </si>
  <si>
    <t>ab-tri_asb-19701</t>
  </si>
  <si>
    <t>ab-tri_asb-1971</t>
  </si>
  <si>
    <t>ab-tri_asb-19728</t>
  </si>
  <si>
    <t>Mediator complex subunit 10 - transcription from RNA polymerase II promoter - protein binding - regulation of transcription from RNA polymerase II</t>
  </si>
  <si>
    <t>ab-tri_asb-1976</t>
  </si>
  <si>
    <t>ab-tri_asb-19798</t>
  </si>
  <si>
    <t>vacuolar H+-ATPase v0 sector accessory subunit S1 Ac45</t>
  </si>
  <si>
    <t>ab-tri_asb-19827</t>
  </si>
  <si>
    <t>ab-tri_asb-1983</t>
  </si>
  <si>
    <t>ab-tri_asb-19905</t>
  </si>
  <si>
    <t>BEACH domain-containing protein - lysosomal transport - pinocytosis - soluble fraction - cytokinesis actomyosin contractile ring assembly -</t>
  </si>
  <si>
    <t>ab-tri_asb-19948</t>
  </si>
  <si>
    <t>ab-tri_asb-19952</t>
  </si>
  <si>
    <t>Voltage-dependent anion-selective channel</t>
  </si>
  <si>
    <t>S-adenosylhomocysteine hydrolase</t>
  </si>
  <si>
    <t>ab-tri_asb-19987</t>
  </si>
  <si>
    <t>60s ribosomal protein L19</t>
  </si>
  <si>
    <t>ab-tri_asb-20055</t>
  </si>
  <si>
    <t>ab-tri_asb-20056</t>
  </si>
  <si>
    <t>ab-tri_asb-20086</t>
  </si>
  <si>
    <t>metallopeptidase</t>
  </si>
  <si>
    <t>ab-tri_asb-20137</t>
  </si>
  <si>
    <t>Electron transfer flavoprotein alpha subunit</t>
  </si>
  <si>
    <t>ab-tri_asb-20216</t>
  </si>
  <si>
    <t>20S proteasome regulatory subunit alpha type PSMA5/PUP2</t>
  </si>
  <si>
    <t>ab-tri_asb-20289</t>
  </si>
  <si>
    <t>GF21766</t>
  </si>
  <si>
    <t>ab-tri_asb-20300</t>
  </si>
  <si>
    <t>Myosin regulatory light chain EF-Hand protein superfamily</t>
  </si>
  <si>
    <t>ab-tri_asb-20330</t>
  </si>
  <si>
    <t>GK12662</t>
  </si>
  <si>
    <t>ab-tri_asb-20377</t>
  </si>
  <si>
    <t>Actin depolymerizing factor</t>
  </si>
  <si>
    <t>ab-tri_asb-20407</t>
  </si>
  <si>
    <t>ab-tri_asb-20408</t>
  </si>
  <si>
    <t>ypsilon schachtel - catalytic step 2 spliceosome - nuclear mRNA splicing via spliceosome - precatalytic spliceosome - DNA binding - regulation of</t>
  </si>
  <si>
    <t>C-3 sterol dehydrogenase/3-beta-hydroxysteroid dehydrogenase</t>
  </si>
  <si>
    <t>ab-tri_asb-20419</t>
  </si>
  <si>
    <t>ab-tri_asb-20423</t>
  </si>
  <si>
    <t>NADH:ubiquinone oxidoreductase NDUFS8/23 kDa subunit</t>
  </si>
  <si>
    <t>ab-tri_asb-20430</t>
  </si>
  <si>
    <t>ab-tri_asb-20443</t>
  </si>
  <si>
    <t>GG19064</t>
  </si>
  <si>
    <t>ab-tri_asb-20447</t>
  </si>
  <si>
    <t>ab-tri_asb-20465</t>
  </si>
  <si>
    <t>40S ribosomal protein S6</t>
  </si>
  <si>
    <t>ab-tri_asb-20474</t>
  </si>
  <si>
    <t>Mn superoxide dismutase 2</t>
  </si>
  <si>
    <t>ab-tri_asb-20600</t>
  </si>
  <si>
    <t>26S proteasome regulatory complex subunit RPN10/PSMD4</t>
  </si>
  <si>
    <t>ab-tri_asb-20604</t>
  </si>
  <si>
    <t>procollagen-lysine2-oxoglutarate 5-dioxygenase Aedes aegypti</t>
  </si>
  <si>
    <t>ab-tri_asb-20613</t>
  </si>
  <si>
    <t>Myosin heavy chain - A band - epithelial cell migration open tracheal system - muscle cell differentiation - myofibril assembly - ATP binding -</t>
  </si>
  <si>
    <t>ab-tri_asb-20616</t>
  </si>
  <si>
    <t>NADH:ubiquinone oxidoreductase NDUFV1/51kDa subunit</t>
  </si>
  <si>
    <t>ab-tri_asb-20632</t>
  </si>
  <si>
    <t>ab-tri_asb-20668</t>
  </si>
  <si>
    <t>Iron binding protein involved in Fe-S cluster formation</t>
  </si>
  <si>
    <t>ab-tri_asb-20675</t>
  </si>
  <si>
    <t>Diadenosine and diphosphoinositol polyphosphate phosphohydrolase</t>
  </si>
  <si>
    <t>Prosaposin</t>
  </si>
  <si>
    <t>ab-tri_asb-20743</t>
  </si>
  <si>
    <t>electron transport chain - mitochondrial respiratory chain complex I - NADH dehydrogenase (ubiquinone)</t>
  </si>
  <si>
    <t>ab-tri_asb-20759</t>
  </si>
  <si>
    <t>Vesicle coat complex COPII GTPase subunit SAR1</t>
  </si>
  <si>
    <t>ab-tri_asb-20760</t>
  </si>
  <si>
    <t>Glycogenin - mesoderm development - glycogenin glucosyltransferase</t>
  </si>
  <si>
    <t>Lecithin:cholesterol acyltransferase (LCAT)/Acyl-ceramide synthase</t>
  </si>
  <si>
    <t>GMP synthase</t>
  </si>
  <si>
    <t>ab-tri_asb-2079</t>
  </si>
  <si>
    <t>Short-chain alcohol dehydrogenase/3-hydroxyacyl-CoA dehydrogenase</t>
  </si>
  <si>
    <t>ab-tri_asb-20822</t>
  </si>
  <si>
    <t>Fasciclin</t>
  </si>
  <si>
    <t>ab-tri_asb-20851</t>
  </si>
  <si>
    <t>ab-tri_asb-20921</t>
  </si>
  <si>
    <t>salivary secreted protein</t>
  </si>
  <si>
    <t>ab-tri_asb-20959</t>
  </si>
  <si>
    <t>40S ribosomal protein S8-like</t>
  </si>
  <si>
    <t>Alkyl hydroperoxide reductase thiol specific antioxidant</t>
  </si>
  <si>
    <t>Methyltransferases</t>
  </si>
  <si>
    <t>Nucleoside diphosphate kinase</t>
  </si>
  <si>
    <t>ab-tri_asb-21179</t>
  </si>
  <si>
    <t>ab-tri_asb-21190</t>
  </si>
  <si>
    <t>Cytochrome c1</t>
  </si>
  <si>
    <t>ab-tri_asb-21226</t>
  </si>
  <si>
    <t>40S ribosomal protein S17</t>
  </si>
  <si>
    <t>ab-tri_asb-21345</t>
  </si>
  <si>
    <t>Mitochondrial phosphate carrier protein</t>
  </si>
  <si>
    <t>ab-tri_asb-21360</t>
  </si>
  <si>
    <t>ab-tri_asb-21473</t>
  </si>
  <si>
    <t>hypothetical conserved secreted protein</t>
  </si>
  <si>
    <t>ab-tri_asb-21491</t>
  </si>
  <si>
    <t>Thyroid receptor-interacting protein 11</t>
  </si>
  <si>
    <t>ab-tri_asb-21493</t>
  </si>
  <si>
    <t>ab-tri_asb-21532</t>
  </si>
  <si>
    <t>ab-tri_asb-21579</t>
  </si>
  <si>
    <t>ab-tri_asb-21586</t>
  </si>
  <si>
    <t>Translocase of outer mitochondrial membrane complex subunit TOM40</t>
  </si>
  <si>
    <t>ab-tri_asb-21752</t>
  </si>
  <si>
    <t>ab-tri_asb-21818</t>
  </si>
  <si>
    <t>Ribosomal protein S18</t>
  </si>
  <si>
    <t>ab-tri_asb-2184</t>
  </si>
  <si>
    <t>ab-tri_asb-21856</t>
  </si>
  <si>
    <t>ab-tri_asb-21861</t>
  </si>
  <si>
    <t>ab-tri_asb-21873</t>
  </si>
  <si>
    <t>Alcohol dehydrogenase class III</t>
  </si>
  <si>
    <t>ab-tri_asb-2188</t>
  </si>
  <si>
    <t>ab-tri_asb-2192</t>
  </si>
  <si>
    <t>Cysteine synthase</t>
  </si>
  <si>
    <t>40S ribosomal protein S23</t>
  </si>
  <si>
    <t>ab-tri_asb-2196</t>
  </si>
  <si>
    <t>Peptidase M14 carboxypeptidase subfamily A/B-like</t>
  </si>
  <si>
    <t>ab-tri_asb-2208</t>
  </si>
  <si>
    <t>ab-tri_asb-2212</t>
  </si>
  <si>
    <t>ab-tri_asb-2217</t>
  </si>
  <si>
    <t>succinate dehydrogenase cytochrome b subunit</t>
  </si>
  <si>
    <t>RNA dependent RNA polymerase</t>
  </si>
  <si>
    <t>Aspartate aminotransferase/Glutamic oxaloacetic transaminase AAT1/GOT2</t>
  </si>
  <si>
    <t>40S ribosomal protein S16</t>
  </si>
  <si>
    <t>ab-tri_asb-22367</t>
  </si>
  <si>
    <t>ab-tri_asb-22454</t>
  </si>
  <si>
    <t>ab-tri_asb-22472</t>
  </si>
  <si>
    <t>WD40 repeat-containing protein transport protein - transferase - kinase - ATP binding - protein serine/threonine kinase - nucleotide</t>
  </si>
  <si>
    <t>ab-tri_asb-22497</t>
  </si>
  <si>
    <t>ab-tri_asb-22512</t>
  </si>
  <si>
    <t>ab-tri_asb-22516</t>
  </si>
  <si>
    <t>cytochrome P450 cYP4G13V2</t>
  </si>
  <si>
    <t>ab-tri_asb-22517</t>
  </si>
  <si>
    <t>ab-tri_asb-22518</t>
  </si>
  <si>
    <t>ab-tri_asb-22524</t>
  </si>
  <si>
    <t>ab-tri_asb-22530</t>
  </si>
  <si>
    <t>ab-tri_asb-22538</t>
  </si>
  <si>
    <t>Ca2+-binding actin-bundling protein (spectrin) alpha chain (EF-Hand protein superfamily)</t>
  </si>
  <si>
    <t>ab-tri_asb-22549</t>
  </si>
  <si>
    <t>ab-tri_asb-22561</t>
  </si>
  <si>
    <t>ab-tri_asb-22613</t>
  </si>
  <si>
    <t>Sodium/potassium-transporting ATPase subunit alpha</t>
  </si>
  <si>
    <t>ab-tri_asb-2275</t>
  </si>
  <si>
    <t>Fumarylacetoacetase</t>
  </si>
  <si>
    <t>Trypsin Inhibitor like cysteine rich domain</t>
  </si>
  <si>
    <t>ab-tri_asb-22856</t>
  </si>
  <si>
    <t>3-oxoacyl</t>
  </si>
  <si>
    <t>Vitronectin receptor alpha subunit</t>
  </si>
  <si>
    <t>ab-tri_asb-22861</t>
  </si>
  <si>
    <t>60S ribosomal protein L11</t>
  </si>
  <si>
    <t>ab-tri_asb-22895</t>
  </si>
  <si>
    <t>Aspartyl-tRNA synthetase Translation</t>
  </si>
  <si>
    <t>ab-tri_asb-22910</t>
  </si>
  <si>
    <t>ab-tri_asb-22912</t>
  </si>
  <si>
    <t>Membrane protein involved in organellar division</t>
  </si>
  <si>
    <t>ab-tri_asb-22949</t>
  </si>
  <si>
    <t>Calreticulin</t>
  </si>
  <si>
    <t>ab-tri_asb-22964</t>
  </si>
  <si>
    <t>ab-tri_asb-22965</t>
  </si>
  <si>
    <t>odorant binding protein 21</t>
  </si>
  <si>
    <t>ab-tri_asb-22984</t>
  </si>
  <si>
    <t>lipid particle - ubiquinone binding - mitochondrial electron transport ubiquinol to cytochrome c - ubiquinol-cytochrome-c reductase - mitochondrial</t>
  </si>
  <si>
    <t>Signal transducing adaptor protein STAM/STAM2</t>
  </si>
  <si>
    <t>ab-tri_asb-23028</t>
  </si>
  <si>
    <t>mitochondrial ribosomal protein S29</t>
  </si>
  <si>
    <t>ab-tri_asb-23105</t>
  </si>
  <si>
    <t>Cyclophilin 1 - microtubule associated complex - salivary gland cell autophagic cell death - autophagic cell death - cyclin-dependent protein kinase</t>
  </si>
  <si>
    <t>secreted phosphatidylethanolamine binding protein</t>
  </si>
  <si>
    <t>ab-tri_asb-23147</t>
  </si>
  <si>
    <t>cytochrome P450-4g1</t>
  </si>
  <si>
    <t>ab-tri_asb-23203</t>
  </si>
  <si>
    <t>40S ribosomal protein S15</t>
  </si>
  <si>
    <t>plant-type cell wall organization - structural constituent of cell wall</t>
  </si>
  <si>
    <t>ab-tri_asb-23282</t>
  </si>
  <si>
    <t>ab-tri_asb-23284</t>
  </si>
  <si>
    <t>ab-tri_asb-23285</t>
  </si>
  <si>
    <t>ab-tri_asb-23298</t>
  </si>
  <si>
    <t>cytoplasm - farnesoic acid O-methyltransferase</t>
  </si>
  <si>
    <t>ab-tri_asb-23334</t>
  </si>
  <si>
    <t>ab-tri_asb-23343</t>
  </si>
  <si>
    <t>ab-tri_asb-2338</t>
  </si>
  <si>
    <t>ab-tri_asb-23380</t>
  </si>
  <si>
    <t>D-aspartate oxidase</t>
  </si>
  <si>
    <t>ribosomal protein S3</t>
  </si>
  <si>
    <t>ab-tri_asb-23445</t>
  </si>
  <si>
    <t>60S ribosomal protein L28</t>
  </si>
  <si>
    <t>ab-tri_asb-2359</t>
  </si>
  <si>
    <t>60S ribosomal protein L7</t>
  </si>
  <si>
    <t>ab-tri_asb-23704</t>
  </si>
  <si>
    <t>ab-tri_asb-23734</t>
  </si>
  <si>
    <t>60S ribosomal protein L9</t>
  </si>
  <si>
    <t>ab-tri_asb-23794</t>
  </si>
  <si>
    <t>DNA polymerase III subunits gamma and tau</t>
  </si>
  <si>
    <t>ab-tri_asb-23846</t>
  </si>
  <si>
    <t>26S proteasome regulatory complex ATPase RPT2</t>
  </si>
  <si>
    <t>ab-tri_asb-23856</t>
  </si>
  <si>
    <t>ab-tri_asb-23910</t>
  </si>
  <si>
    <t>40S ribosomal protein SA (P40)/Laminin receptor 1</t>
  </si>
  <si>
    <t>Glycosyl hydrolase family 38 - alpha-mannosidase</t>
  </si>
  <si>
    <t>ab-tri_asb-23957</t>
  </si>
  <si>
    <t>ab-tri_asb-2400</t>
  </si>
  <si>
    <t>ubiquitin-like/40S ribosomal S30 fusion protein</t>
  </si>
  <si>
    <t>ab-tri_asb-24025</t>
  </si>
  <si>
    <t>GI20012</t>
  </si>
  <si>
    <t>Protein involved in the ER to Golgi transport step of secretion - intracellular protein transport - binding - vesicle fusion with Golgi apparatus -</t>
  </si>
  <si>
    <t>Members of chemokine-like factor super family</t>
  </si>
  <si>
    <t>ab-tri_asb-24160</t>
  </si>
  <si>
    <t>NADH:ubiquinone oxidoreductase NDUFS2/49 kDa subunit</t>
  </si>
  <si>
    <t>Pyrroline-5-carboxylate reductase</t>
  </si>
  <si>
    <t>ab-tri_asb-2429</t>
  </si>
  <si>
    <t>ab-tri_asb-24332</t>
  </si>
  <si>
    <t>ab-tri_asb-2434</t>
  </si>
  <si>
    <t>ab-tri_asb-24393</t>
  </si>
  <si>
    <t>U1 snRNP component</t>
  </si>
  <si>
    <t>ab-tri_asb-2442</t>
  </si>
  <si>
    <t>ab-tri_asb-24437</t>
  </si>
  <si>
    <t>ab-tri_asb-24479</t>
  </si>
  <si>
    <t>26S proteasome regulatory complex subunit RPN6/PSMD11</t>
  </si>
  <si>
    <t>ab-tri_asb-24584</t>
  </si>
  <si>
    <t>Conserved phosducin-like protein</t>
  </si>
  <si>
    <t>ab-tri_asb-2475</t>
  </si>
  <si>
    <t>ab-tri_asb-2477</t>
  </si>
  <si>
    <t>Glycine-rich cell wall structural protein 1</t>
  </si>
  <si>
    <t>ab-tri_asb-24800</t>
  </si>
  <si>
    <t>RNA polymerase II general transcription factor BTF3</t>
  </si>
  <si>
    <t>ab-tri_asb-24845</t>
  </si>
  <si>
    <t>Transcription factor MBF1</t>
  </si>
  <si>
    <t>ab-tri_asb-24995</t>
  </si>
  <si>
    <t>ab-tri_asb-25003</t>
  </si>
  <si>
    <t>ab-tri_asb-25008</t>
  </si>
  <si>
    <t>Vacuolar H+-ATPase V1 sector subunit H</t>
  </si>
  <si>
    <t>ab-tri_asb-25009</t>
  </si>
  <si>
    <t>G protein beta subunit-like protein</t>
  </si>
  <si>
    <t>stunted - lateral inhibition - determination of adult lifespan - response to oxidative stress - proton-transporting ATPase  rotational mechanism -</t>
  </si>
  <si>
    <t>ab-tri_asb-25014</t>
  </si>
  <si>
    <t>ab-tri_asb-25032</t>
  </si>
  <si>
    <t>Defensin - extracellular space - humoral immune response - positive regulation of biosynthetic process of antibacterial peptides active against</t>
  </si>
  <si>
    <t>ab-tri_asb-25034</t>
  </si>
  <si>
    <t>Insect antimicrobial peptide</t>
  </si>
  <si>
    <t>ab-tri_asb-25062</t>
  </si>
  <si>
    <t>GJ10530</t>
  </si>
  <si>
    <t>ab-tri_asb-25229</t>
  </si>
  <si>
    <t>ab-tri_asb-25277</t>
  </si>
  <si>
    <t>ATP binding - extracellular region - chitin binding - chitin metabolic process - transporter - transport</t>
  </si>
  <si>
    <t>ab-tri_asb-2529</t>
  </si>
  <si>
    <t>Lipid exporter ABCA1</t>
  </si>
  <si>
    <t>ab-tri_asb-2530</t>
  </si>
  <si>
    <t>fumarylacetoacetate hydralase</t>
  </si>
  <si>
    <t>ab-tri_asb-2531</t>
  </si>
  <si>
    <t>ab-tri_asb-25326</t>
  </si>
  <si>
    <t>40S ribosomal protein S14</t>
  </si>
  <si>
    <t>ab-tri_asb-2535</t>
  </si>
  <si>
    <t>Insect pheromone-binding family</t>
  </si>
  <si>
    <t>ab-tri_asb-2537</t>
  </si>
  <si>
    <t>ab-tri_asb-2538</t>
  </si>
  <si>
    <t>sphingomyelin phosphodiesterase 1</t>
  </si>
  <si>
    <t>ab-tri_asb-25390</t>
  </si>
  <si>
    <t>ab-tri_asb-2543</t>
  </si>
  <si>
    <t>SCF ubiquitin ligase Skp1 component</t>
  </si>
  <si>
    <t>Purine nucleoside phosphorylase</t>
  </si>
  <si>
    <t>ab-tri_asb-2555</t>
  </si>
  <si>
    <t>Proline oxidase</t>
  </si>
  <si>
    <t>ab-tri_asb-2560</t>
  </si>
  <si>
    <t>ab-tri_asb-25600</t>
  </si>
  <si>
    <t>5-formyltetrahydrofolate cyclo-ligase</t>
  </si>
  <si>
    <t>ab-tri_asb-25601</t>
  </si>
  <si>
    <t>GK11480</t>
  </si>
  <si>
    <t>ab-tri_asb-25603</t>
  </si>
  <si>
    <t>Rho GDP-dissociation inhibitor</t>
  </si>
  <si>
    <t>ab-tri_asb-25645</t>
  </si>
  <si>
    <t>ab-tri_asb-25656</t>
  </si>
  <si>
    <t>ab-tri_asb-2566</t>
  </si>
  <si>
    <t>60s acidic ribosomal protein P0</t>
  </si>
  <si>
    <t>ab-tri_asb-25692</t>
  </si>
  <si>
    <t>ab-tri_asb-2570</t>
  </si>
  <si>
    <t>VAMP-associated protein involved in inositol metabolism</t>
  </si>
  <si>
    <t>ab-tri_asb-2571</t>
  </si>
  <si>
    <t>ab-tri_asb-25812</t>
  </si>
  <si>
    <t>selenoprotein G</t>
  </si>
  <si>
    <t>ab-tri_asb-2582</t>
  </si>
  <si>
    <t>ab-tri_asb-2583</t>
  </si>
  <si>
    <t>NADH:ubiquinone oxidoreductase NDUFA9/39kDa subunit</t>
  </si>
  <si>
    <t>ab-tri_asb-25842</t>
  </si>
  <si>
    <t>ab-tri_asb-25875</t>
  </si>
  <si>
    <t>myosin regulatory light chain interacting protein a - negative regulation of Wnt receptor signaling pathway - protein binding - gastrulation - metal</t>
  </si>
  <si>
    <t>ab-tri_asb-25886</t>
  </si>
  <si>
    <t>Phosphoserine aminotransferase</t>
  </si>
  <si>
    <t>ab-tri_asb-26029</t>
  </si>
  <si>
    <t>Ribosomal protein S4</t>
  </si>
  <si>
    <t>Cell wall protein DAN4 precursor Brugia malayi</t>
  </si>
  <si>
    <t>ab-tri_asb-26118</t>
  </si>
  <si>
    <t>cytochrome c oxidase subunit Vb COX4</t>
  </si>
  <si>
    <t>ab-tri_asb-2612</t>
  </si>
  <si>
    <t>Drosophila erecta ribosomal RNA (Dere\28SrRNA:GG26129) rRNA</t>
  </si>
  <si>
    <t>ab-tri_asb-26148</t>
  </si>
  <si>
    <t>ab-tri_asb-26182</t>
  </si>
  <si>
    <t>Multidrug/pheromone exporter ABC superfamily</t>
  </si>
  <si>
    <t>ab-tri_asb-26269</t>
  </si>
  <si>
    <t>60s ribosomal protein L15</t>
  </si>
  <si>
    <t>ab-tri_asb-2628</t>
  </si>
  <si>
    <t>Mitochondrial tricarboxylate/dicarboxylate carrier</t>
  </si>
  <si>
    <t>ab-tri_asb-26287</t>
  </si>
  <si>
    <t>Niemann-Pick type C-2a - sterol binding - ecdysteroid biosynthetic process - sterol transport - sterol homeostasis - extracellular region</t>
  </si>
  <si>
    <t>ab-tri_asb-26398</t>
  </si>
  <si>
    <t>mitochondrial ribosomal protein L34 - structural constituent of ribosome - mitochondrial large ribosomal subunit - biological_process</t>
  </si>
  <si>
    <t>ab-tri_asb-26485</t>
  </si>
  <si>
    <t>ab-tri_asb-26532</t>
  </si>
  <si>
    <t>ab-tri_asb-26562</t>
  </si>
  <si>
    <t>ab-tri_asb-26616</t>
  </si>
  <si>
    <t>ab-tri_asb-26740</t>
  </si>
  <si>
    <t>17 beta-hydroxysteroid dehydrogenase type 3 HSD17B3</t>
  </si>
  <si>
    <t>ab-tri_asb-26746</t>
  </si>
  <si>
    <t>ab-tri_asb-26754</t>
  </si>
  <si>
    <t>ab-tri_asb-26759</t>
  </si>
  <si>
    <t>ab-tri_asb-26764</t>
  </si>
  <si>
    <t>ab-tri_asb-2682</t>
  </si>
  <si>
    <t>ab-tri_asb-26829</t>
  </si>
  <si>
    <t>GA28511</t>
  </si>
  <si>
    <t>ab-tri_asb-26842</t>
  </si>
  <si>
    <t>ab-tri_asb-26845</t>
  </si>
  <si>
    <t>ab-tri_asb-26848</t>
  </si>
  <si>
    <t>Succinyl-CoA synthetase alpha subunit</t>
  </si>
  <si>
    <t>ab-tri_asb-26867</t>
  </si>
  <si>
    <t>Kynurenine aminotransferase glutamine transaminase K</t>
  </si>
  <si>
    <t>ab-tri_asb-26908</t>
  </si>
  <si>
    <t>Mitochondrial F1F0-ATP synthase subunit delta/ATP16</t>
  </si>
  <si>
    <t>ab-tri_asb-26966</t>
  </si>
  <si>
    <t>ab-tri_asb-2699</t>
  </si>
  <si>
    <t>ab-tri_asb-26992</t>
  </si>
  <si>
    <t>ab-tri_asb-27004</t>
  </si>
  <si>
    <t>ab-tri_asb-27088</t>
  </si>
  <si>
    <t>Niemann-Pick type C-2b - sterol binding - ecdysteroid biosynthetic process - sterol transport</t>
  </si>
  <si>
    <t>ab-tri_asb-27131</t>
  </si>
  <si>
    <t>60S ribosomal protein L13a</t>
  </si>
  <si>
    <t>ab-tri_asb-27193</t>
  </si>
  <si>
    <t>ab-tri_asb-27244</t>
  </si>
  <si>
    <t>ab-tri_asb-27314</t>
  </si>
  <si>
    <t>Seryl-tRNA synthetase cytoplasmic - ligase - gene expression - tRNA processing - seryl-tRNA aminoacylation - tRNA aminoacylation for protein</t>
  </si>
  <si>
    <t>ab-tri_asb-27362</t>
  </si>
  <si>
    <t>ab-tri_asb-27401</t>
  </si>
  <si>
    <t>multifunctional chaperone</t>
  </si>
  <si>
    <t>ab-tri_asb-27524</t>
  </si>
  <si>
    <t>tetraspanin 42EI</t>
  </si>
  <si>
    <t>ab-tri_asb-27529</t>
  </si>
  <si>
    <t>cytochrome c</t>
  </si>
  <si>
    <t>ab-tri_asb-2753</t>
  </si>
  <si>
    <t>GTPase activating (GAPs)</t>
  </si>
  <si>
    <t>ab-tri_asb-27552</t>
  </si>
  <si>
    <t>Pyridine nucleotide-disulphide oxidoreductase</t>
  </si>
  <si>
    <t>ab-tri_asb-27594</t>
  </si>
  <si>
    <t>NADH-ubiquinone oxidoreductase NDUFS1/75 kDa subunit</t>
  </si>
  <si>
    <t>ab-tri_asb-27614</t>
  </si>
  <si>
    <t>ab-tri_asb-2765</t>
  </si>
  <si>
    <t>ab-tri_asb-27655</t>
  </si>
  <si>
    <t>ab-tri_asb-27664</t>
  </si>
  <si>
    <t>lipid particle - ATP synthesis coupled proton transport - proton transport - mitochondrial proton-transporting ATP synthase complex coupling factor</t>
  </si>
  <si>
    <t>ab-tri_asb-2775</t>
  </si>
  <si>
    <t>ab-tri_asb-27751</t>
  </si>
  <si>
    <t>ORMDL family</t>
  </si>
  <si>
    <t>ab-tri_asb-2776</t>
  </si>
  <si>
    <t>alkaline phosphatase</t>
  </si>
  <si>
    <t>ab-tri_asb-2783</t>
  </si>
  <si>
    <t>40S ribosomal protein S2</t>
  </si>
  <si>
    <t>ab-tri_asb-27855</t>
  </si>
  <si>
    <t>ATP synthase subunit d - microtubule associated complex - lipid particle - ATP synthesis coupled proton transport - mitochondrial</t>
  </si>
  <si>
    <t>ab-tri_asb-27912</t>
  </si>
  <si>
    <t>lipid particle - sterol binding - estradiol 17-beta-dehydrogenase</t>
  </si>
  <si>
    <t>ab-tri_asb-2792</t>
  </si>
  <si>
    <t>chymotrypsin-like serine protease precursor</t>
  </si>
  <si>
    <t>ab-tri_asb-27921</t>
  </si>
  <si>
    <t>GF15955</t>
  </si>
  <si>
    <t>ab-tri_asb-2794</t>
  </si>
  <si>
    <t>ab-tri_asb-2798</t>
  </si>
  <si>
    <t>Spindle pole body protein</t>
  </si>
  <si>
    <t>Ca2+/calmodulin-dependent protein phosphatase (calcineurin subunit B) EF-Hand superfamily protein</t>
  </si>
  <si>
    <t>Mitochondrial inner membrane protein (mitofilin)</t>
  </si>
  <si>
    <t>ab-tri_asb-28104</t>
  </si>
  <si>
    <t>cytochrome-c oxidase - mitochondrial respiratory chain complex IV - mitochondrial electron transport cytochrome c to oxygen</t>
  </si>
  <si>
    <t>ab-tri_asb-28119</t>
  </si>
  <si>
    <t>ab-tri_asb-28130</t>
  </si>
  <si>
    <t>20S proteasome regulatory subunit alpha type PSMA4/PRE9</t>
  </si>
  <si>
    <t>ab-tri_asb-28148</t>
  </si>
  <si>
    <t>heat shock protein 23</t>
  </si>
  <si>
    <t>ab-tri_asb-2817</t>
  </si>
  <si>
    <t>Uncharacterized protein - metal ion binding - protein ubiquitination involved in ubiquitin-dependent protein catabolic process - zinc ion binding -</t>
  </si>
  <si>
    <t>ab-tri_asb-2818</t>
  </si>
  <si>
    <t>cellular acyl-CoA homeostasis - fatty-acyl-CoA binding</t>
  </si>
  <si>
    <t>Alanine-glyoxylate aminotransferase AGT2</t>
  </si>
  <si>
    <t>ab-tri_asb-28463</t>
  </si>
  <si>
    <t>ab-tri_asb-28466</t>
  </si>
  <si>
    <t>GL25249</t>
  </si>
  <si>
    <t>60S ribosomal protein L10A</t>
  </si>
  <si>
    <t>ab-tri_asb-28526</t>
  </si>
  <si>
    <t>ab-tri_asb-2853</t>
  </si>
  <si>
    <t>D-3-phosphoglycerate dehydrogenase D-isomer-specific 2-hydroxy acid dehydrogenase superfamily</t>
  </si>
  <si>
    <t>Acetyl-CoA hydrolase</t>
  </si>
  <si>
    <t>Ornithine aminotransferase</t>
  </si>
  <si>
    <t>ab-tri_asb-2866</t>
  </si>
  <si>
    <t>Casein kinase II alpha subunit</t>
  </si>
  <si>
    <t>ab-tri_asb-28742</t>
  </si>
  <si>
    <t>Sodium/potassium-transporting ATPase subunit beta-1</t>
  </si>
  <si>
    <t>Enoyl-CoA isomerase</t>
  </si>
  <si>
    <t>ab-tri_asb-2903</t>
  </si>
  <si>
    <t>HIUase/Transthyretin family</t>
  </si>
  <si>
    <t>ab-tri_asb-2912</t>
  </si>
  <si>
    <t>ab-tri_asb-29123</t>
  </si>
  <si>
    <t>ab-tri_asb-2913</t>
  </si>
  <si>
    <t>ab-tri_asb-29173</t>
  </si>
  <si>
    <t>actomyosin structure organization - actin binding</t>
  </si>
  <si>
    <t>Calponin</t>
  </si>
  <si>
    <t>muscle LIM protein at 84B</t>
  </si>
  <si>
    <t>ab-tri_asb-29469</t>
  </si>
  <si>
    <t>chaperonin complex component TcP-1 alpha subunit CCT1</t>
  </si>
  <si>
    <t>ab-tri_asb-295</t>
  </si>
  <si>
    <t>ab-tri_asb-29598</t>
  </si>
  <si>
    <t>Translation elongation factor EF-1 gamma</t>
  </si>
  <si>
    <t>ab-tri_asb-29639</t>
  </si>
  <si>
    <t>Transcription factor containing NAC and TS-N</t>
  </si>
  <si>
    <t>ab-tri_asb-29733</t>
  </si>
  <si>
    <t>NADH dehydrogenase - mitochondrial electron transport NADH to ubiquinone - NADH dehydrogenase (ubiquinone) - mitochondrial respiratory chain</t>
  </si>
  <si>
    <t>ab-tri_asb-29877</t>
  </si>
  <si>
    <t>lethal (2) 06225 - lipid particle - ATP synthesis coupled proton transport - proton transport - mitochondrial proton-transporting ATP synthase</t>
  </si>
  <si>
    <t>ab-tri_asb-29930</t>
  </si>
  <si>
    <t>ab-tri_asb-30008</t>
  </si>
  <si>
    <t>20S proteasome regulatory subunit alpha type PSMA7/PRE6</t>
  </si>
  <si>
    <t>ab-tri_asb-30015</t>
  </si>
  <si>
    <t>Uncharacterized protein - sequence-specific DNA binding - sex differentiation - regulation of transcription DNA-dependent - nucleus</t>
  </si>
  <si>
    <t>Selenophosphate synthetase</t>
  </si>
  <si>
    <t>ab-tri_asb-30289</t>
  </si>
  <si>
    <t>NADH dehydrogenase ubiquinone 1 alpha subcomplex subunit 11 - respiratory chain - respiratory electron transport chain - integral to membrane -</t>
  </si>
  <si>
    <t>ab-tri_asb-30309</t>
  </si>
  <si>
    <t>ab-tri_asb-30319</t>
  </si>
  <si>
    <t>ab-tri_asb-30323</t>
  </si>
  <si>
    <t>sodium channel=Msc product {C-terminal}</t>
  </si>
  <si>
    <t>ab-tri_asb-30396</t>
  </si>
  <si>
    <t>ERp60 - microtubule associated complex - lipid particle - glycerol ether metabolic process - cell redox homeostasis - endoplasmic reticulum -</t>
  </si>
  <si>
    <t>Protein disulfide isomerase (prolyl 4-hydroxylase beta subunit)</t>
  </si>
  <si>
    <t>ab-tri_asb-30399</t>
  </si>
  <si>
    <t>G-protein coupled receptor moody</t>
  </si>
  <si>
    <t>ab-tri_asb-30434</t>
  </si>
  <si>
    <t>ab-tri_asb-30489</t>
  </si>
  <si>
    <t>ab-tri_asb-3055</t>
  </si>
  <si>
    <t>hoi-polloi - precatalytic spliceosome - nucleolus - ribosome biogenesis - nucleus - mRNA binding - peripheral nervous system development</t>
  </si>
  <si>
    <t>ab-tri_asb-30622</t>
  </si>
  <si>
    <t>Pomp - mitotic spindle organization - cell proliferation - mitotic spindle elongation - proteolysis - proteasome complex</t>
  </si>
  <si>
    <t>ab-tri_asb-30774</t>
  </si>
  <si>
    <t>ab-tri_asb-3087</t>
  </si>
  <si>
    <t>Zinc finger protein 330 homolog</t>
  </si>
  <si>
    <t>basic-leucine zipper (bZIP) transcription factor - DNA binding - protein dimerization - sequence-specific DNA binding - regulation of</t>
  </si>
  <si>
    <t>ab-tri_asb-30944</t>
  </si>
  <si>
    <t>ab-tri_asb-30970</t>
  </si>
  <si>
    <t>chaperonin complex component TcP-1 eta subunit CCT7</t>
  </si>
  <si>
    <t>ab-tri_asb-31039</t>
  </si>
  <si>
    <t>mitochondrial ribosomal protein S24 - mitochondrial large ribosomal subunit - RNA binding - structural constituent of ribosome - mitochondrial small</t>
  </si>
  <si>
    <t>ab-tri_asb-31145</t>
  </si>
  <si>
    <t>ab-tri_asb-31250</t>
  </si>
  <si>
    <t>aminoacyl tRNA synthetase complex-interacting multifunctional protein 2 - Type II pneumocyte differentiation - positive regulation of protein</t>
  </si>
  <si>
    <t>MIF4G domain-containing protein</t>
  </si>
  <si>
    <t>ab-tri_asb-31305</t>
  </si>
  <si>
    <t>ab-tri_asb-3134</t>
  </si>
  <si>
    <t>ab-tri_asb-31481</t>
  </si>
  <si>
    <t>ab-tri_asb-31487</t>
  </si>
  <si>
    <t>ab-tri_asb-3149</t>
  </si>
  <si>
    <t>G protein beta-subunit 76C - plasma membrane - cytoplasm - activation of phospholipase C - G-protein coupled receptor signaling pathway -</t>
  </si>
  <si>
    <t>5'-phosphoribosylglycinamide formyltransferase</t>
  </si>
  <si>
    <t>ab-tri_asb-3155</t>
  </si>
  <si>
    <t>Gamma-glutamyl kinase</t>
  </si>
  <si>
    <t>ab-tri_asb-31564</t>
  </si>
  <si>
    <t>60S ribosomal protein L7A</t>
  </si>
  <si>
    <t>ab-tri_asb-31595</t>
  </si>
  <si>
    <t>ab-tri_asb-31614</t>
  </si>
  <si>
    <t>ab-tri_asb-31673</t>
  </si>
  <si>
    <t>heat shock protein cognate 4</t>
  </si>
  <si>
    <t>ab-tri_asb-31696</t>
  </si>
  <si>
    <t>ab-tri_asb-31703</t>
  </si>
  <si>
    <t>lateral inhibition - serine-type endopeptidase inhibitor</t>
  </si>
  <si>
    <t>ab-tri_asb-3171</t>
  </si>
  <si>
    <t>ab-tri_asb-3172</t>
  </si>
  <si>
    <t>ab-tri_asb-31744</t>
  </si>
  <si>
    <t>CG5027</t>
  </si>
  <si>
    <t>ab-tri_asb-31808</t>
  </si>
  <si>
    <t>chaperonin Aedes aegypti</t>
  </si>
  <si>
    <t>ab-tri_asb-31821</t>
  </si>
  <si>
    <t>Arrestin</t>
  </si>
  <si>
    <t>ab-tri_asb-3199</t>
  </si>
  <si>
    <t>vig2 - regulation of chromatin silencing - polytene chromosome puff - nucleus - polytene chromosome chromocenter - histone H3-K9 methylation -</t>
  </si>
  <si>
    <t>ab-tri_asb-32131</t>
  </si>
  <si>
    <t>ab-tri_asb-3223</t>
  </si>
  <si>
    <t>Triosephosphate isomerase</t>
  </si>
  <si>
    <t>ab-tri_asb-3225</t>
  </si>
  <si>
    <t>ab-tri_asb-32281</t>
  </si>
  <si>
    <t>ab-tri_asb-32307</t>
  </si>
  <si>
    <t>ab-tri_asb-32321</t>
  </si>
  <si>
    <t>ab-tri_asb-3236</t>
  </si>
  <si>
    <t>Nopp140-like nucleolar protein</t>
  </si>
  <si>
    <t>ab-tri_asb-3264</t>
  </si>
  <si>
    <t>levy - microsome - enzyme regulator - determination of adult lifespan - lipid particle - mitochondrial electron transport cytochrome c to oxygen -</t>
  </si>
  <si>
    <t>ab-tri_asb-3274</t>
  </si>
  <si>
    <t>Uncharacterized conserved protein contains RtcB domain</t>
  </si>
  <si>
    <t>ab-tri_asb-32930</t>
  </si>
  <si>
    <t>ab-tri_asb-32936</t>
  </si>
  <si>
    <t>GDP dissociation inhibitor - microtubule associated complex - Rab GDP-dissociation inhibitor - protein transport - synaptic vesicle -</t>
  </si>
  <si>
    <t>ab-tri_asb-3296</t>
  </si>
  <si>
    <t>ab-tri_asb-33001</t>
  </si>
  <si>
    <t>ab-tri_asb-3306</t>
  </si>
  <si>
    <t>ab-tri_asb-33216</t>
  </si>
  <si>
    <t>Pro1</t>
  </si>
  <si>
    <t>ab-tri_asb-33342</t>
  </si>
  <si>
    <t>ab-tri_asb-3335</t>
  </si>
  <si>
    <t>ab-tri_asb-3347</t>
  </si>
  <si>
    <t>cuticular protein 47Ef isoform D</t>
  </si>
  <si>
    <t>ab-tri_asb-33482</t>
  </si>
  <si>
    <t>Cellular repressor of transcription</t>
  </si>
  <si>
    <t>ab-tri_asb-33556</t>
  </si>
  <si>
    <t>GE13686</t>
  </si>
  <si>
    <t>ab-tri_asb-33564</t>
  </si>
  <si>
    <t>ab-tri_asb-33633</t>
  </si>
  <si>
    <t>RNA-binding post-transcriptional regulator csx1 Culex quinquefasciatus</t>
  </si>
  <si>
    <t>ab-tri_asb-33703</t>
  </si>
  <si>
    <t>gmfb8d</t>
  </si>
  <si>
    <t>ab-tri_asb-33749</t>
  </si>
  <si>
    <t>lipid particle - carbon-nitrogen ligase  with glutamine as amido-N-donor - fatty acid amide hydrolase</t>
  </si>
  <si>
    <t>ab-tri_asb-33843</t>
  </si>
  <si>
    <t>ab-tri_asb-33916</t>
  </si>
  <si>
    <t>Vegetative cell wall protein gp1</t>
  </si>
  <si>
    <t>ab-tri_asb-33979</t>
  </si>
  <si>
    <t>B-cell receptor-associated protein</t>
  </si>
  <si>
    <t>ab-tri_asb-34167</t>
  </si>
  <si>
    <t>ab-tri_asb-3419</t>
  </si>
  <si>
    <t>ab-tri_asb-34230</t>
  </si>
  <si>
    <t>ab-tri_asb-34307</t>
  </si>
  <si>
    <t>NADH dehydrogenase ubiquinone 1 beta subcomplex subunit 2 mitochondrial - respiratory chain - electron transport chain - membrane - transport -</t>
  </si>
  <si>
    <t>ab-tri_asb-34316</t>
  </si>
  <si>
    <t>ab-tri_asb-34339</t>
  </si>
  <si>
    <t>ab-tri_asb-34365</t>
  </si>
  <si>
    <t>GA27437</t>
  </si>
  <si>
    <t>60s ribosomal protein L23</t>
  </si>
  <si>
    <t>ab-tri_asb-34404</t>
  </si>
  <si>
    <t>ab-tri_asb-34436</t>
  </si>
  <si>
    <t>ab-tri_asb-34465</t>
  </si>
  <si>
    <t>Inorganic pyrophosphatase/Nucleosome remodeling factor subunit NURF38</t>
  </si>
  <si>
    <t>ab-tri_asb-34475</t>
  </si>
  <si>
    <t>ab-tri_asb-34506</t>
  </si>
  <si>
    <t>ab-tri_asb-3453</t>
  </si>
  <si>
    <t>Isocitrate dehydrogenase alpha subunit</t>
  </si>
  <si>
    <t>ab-tri_asb-34590</t>
  </si>
  <si>
    <t>ab-tri_asb-34628</t>
  </si>
  <si>
    <t>Microtubule-associated protein 205 - mitotic cell cycle - microtubule-based process - microtubule binding - cytoplasmic microtubule - spindle</t>
  </si>
  <si>
    <t>ab-tri_asb-34633</t>
  </si>
  <si>
    <t>Complement component 1 Q subcomponent binding protein/mRNA splicing factor SF2 subunit P32</t>
  </si>
  <si>
    <t>ab-tri_asb-34674</t>
  </si>
  <si>
    <t>60S ribosomal protein L26</t>
  </si>
  <si>
    <t>ab-tri_asb-3469</t>
  </si>
  <si>
    <t>Protein kinase C conserved region 2</t>
  </si>
  <si>
    <t>ab-tri_asb-34859</t>
  </si>
  <si>
    <t>translocase of outer mitochondrial membrane complex subunit TOM20</t>
  </si>
  <si>
    <t>ribosomal protein L3</t>
  </si>
  <si>
    <t>ab-tri_asb-3503</t>
  </si>
  <si>
    <t>ab-tri_asb-35057</t>
  </si>
  <si>
    <t>Endoplasmic reticulum metallopeptidase 1</t>
  </si>
  <si>
    <t>ab-tri_asb-35095</t>
  </si>
  <si>
    <t>ab-tri_asb-35096</t>
  </si>
  <si>
    <t>GG25328</t>
  </si>
  <si>
    <t>ab-tri_asb-35159</t>
  </si>
  <si>
    <t>ab-tri_asb-35279</t>
  </si>
  <si>
    <t>ab-tri_asb-35293</t>
  </si>
  <si>
    <t>ab-tri_asb-35312</t>
  </si>
  <si>
    <t>ab-tri_asb-35402</t>
  </si>
  <si>
    <t>Peritrophin-15b - extracellular region - chitin metabolic process - extracellular space - chitin binding</t>
  </si>
  <si>
    <t>ab-tri_asb-35473</t>
  </si>
  <si>
    <t>Peripheral-type benzodiazepine receptor</t>
  </si>
  <si>
    <t>ab-tri_asb-35711</t>
  </si>
  <si>
    <t>20S proteasome regulatory subunit beta type PSMB5/PSMB8/PRE2</t>
  </si>
  <si>
    <t>ab-tri_asb-35773</t>
  </si>
  <si>
    <t>fatty acid-binding protein FABP</t>
  </si>
  <si>
    <t>ab-tri_asb-35875</t>
  </si>
  <si>
    <t>mitochondrial ribosomal protein S31</t>
  </si>
  <si>
    <t>ab-tri_asb-3594</t>
  </si>
  <si>
    <t>ab-tri_asb-3599</t>
  </si>
  <si>
    <t>ab-tri_asb-36071</t>
  </si>
  <si>
    <t>GK19214</t>
  </si>
  <si>
    <t>ab-tri_asb-3629</t>
  </si>
  <si>
    <t>Calnexin 99A - calcium ion binding - protein folding - unfolded protein binding - endoplasmic reticulum - plasma membrane</t>
  </si>
  <si>
    <t>ab-tri_asb-36316</t>
  </si>
  <si>
    <t>GF11204</t>
  </si>
  <si>
    <t>ab-tri_asb-3674</t>
  </si>
  <si>
    <t>ab-tri_asb-36899</t>
  </si>
  <si>
    <t>ab-tri_asb-3695</t>
  </si>
  <si>
    <t>Mitochondrial ribosomal protein L10</t>
  </si>
  <si>
    <t>ab-tri_asb-36950</t>
  </si>
  <si>
    <t>gmfb8A</t>
  </si>
  <si>
    <t>ab-tri_asb-36951</t>
  </si>
  <si>
    <t>Gmfb8</t>
  </si>
  <si>
    <t>ab-tri_asb-36956</t>
  </si>
  <si>
    <t>Uncharacterized protein - heart trabecula formation - ventricular cardiac muscle cell development - atrial cardiac muscle cell development - metal</t>
  </si>
  <si>
    <t>ab-tri_asb-36962</t>
  </si>
  <si>
    <t>ab-tri_asb-36964</t>
  </si>
  <si>
    <t>GE22689</t>
  </si>
  <si>
    <t>Cyclin G - negative regulation of S phase of mitotic cell cycle - negative regulation of G1/S transition of mitotic cell cycle - polytene chromosome</t>
  </si>
  <si>
    <t>ab-tri_asb-36967</t>
  </si>
  <si>
    <t>ab-tri_asb-36971</t>
  </si>
  <si>
    <t>ab-tri_asb-36972</t>
  </si>
  <si>
    <t>ab-tri_asb-3720</t>
  </si>
  <si>
    <t>ab-tri_asb-37430</t>
  </si>
  <si>
    <t>AICAR transformylase/IMP cyclohydrolase/methylglyoxal synthase</t>
  </si>
  <si>
    <t>ab-tri_asb-37642</t>
  </si>
  <si>
    <t>lethal (2) 37Cc - cellular response to hypoxia - microtubule associated complex - cytoplasm - lipid particle - membrane - instar larval or pupal</t>
  </si>
  <si>
    <t>ab-tri_asb-37748</t>
  </si>
  <si>
    <t>ab-tri_asb-3779</t>
  </si>
  <si>
    <t>ab-tri_asb-37840</t>
  </si>
  <si>
    <t>ab-tri_asb-3788</t>
  </si>
  <si>
    <t>40S ribosomal protein S2/30S ribosomal protein S5</t>
  </si>
  <si>
    <t>ab-tri_asb-38067</t>
  </si>
  <si>
    <t>ab-tri_asb-3831</t>
  </si>
  <si>
    <t>antimicrobial peptide Attacin A21</t>
  </si>
  <si>
    <t>ab-tri_asb-38406</t>
  </si>
  <si>
    <t>ab-tri_asb-38413</t>
  </si>
  <si>
    <t>ribosomal protein S25</t>
  </si>
  <si>
    <t>ab-tri_asb-38421</t>
  </si>
  <si>
    <t>ab-tri_asb-38444</t>
  </si>
  <si>
    <t>Paxillin - wing disc development - leg disc development - regulation of Rho GTPase - zinc ion binding - cytoskeletal anchoring at plasma membrane -</t>
  </si>
  <si>
    <t>ab-tri_asb-38518</t>
  </si>
  <si>
    <t>ab-tri_asb-3852</t>
  </si>
  <si>
    <t>Filamentous baseplate protein Ligatin contains PUA domain</t>
  </si>
  <si>
    <t>ab-tri_asb-38520</t>
  </si>
  <si>
    <t>ab-tri_asb-38523</t>
  </si>
  <si>
    <t>ab-tri_asb-38524</t>
  </si>
  <si>
    <t>ab-tri_asb-38526</t>
  </si>
  <si>
    <t>ab-tri_asb-38527</t>
  </si>
  <si>
    <t>protein serine/threonine kinaseCDK family protein kinaseprotein kinase CMGC group - transferase - kinase - nucleotide binding - protein</t>
  </si>
  <si>
    <t>ab-tri_asb-38541</t>
  </si>
  <si>
    <t>Animal-type fatty acid synthase</t>
  </si>
  <si>
    <t>ab-tri_asb-38558</t>
  </si>
  <si>
    <t>ab-tri_asb-3864</t>
  </si>
  <si>
    <t>carbonic anhydrase 1</t>
  </si>
  <si>
    <t>ab-tri_asb-38697</t>
  </si>
  <si>
    <t>GJ20134</t>
  </si>
  <si>
    <t>ab-tri_asb-38813</t>
  </si>
  <si>
    <t>Chitin deacetylase-like 9 - carbohydrate metabolic process - hydrolase  acting on carbon-nitrogen (but not peptide) bonds</t>
  </si>
  <si>
    <t>ab-tri_asb-38875</t>
  </si>
  <si>
    <t>40S ribosomal protein S11 - biological_process - cellular_component - molecular_function</t>
  </si>
  <si>
    <t>ab-tri_asb-3917</t>
  </si>
  <si>
    <t>reductases</t>
  </si>
  <si>
    <t>ab-tri_asb-3950</t>
  </si>
  <si>
    <t>selenium-binding protein</t>
  </si>
  <si>
    <t>ab-tri_asb-39530</t>
  </si>
  <si>
    <t>ab-tri_asb-39534</t>
  </si>
  <si>
    <t>mucin</t>
  </si>
  <si>
    <t>ab-tri_asb-39616</t>
  </si>
  <si>
    <t>ab-tri_asb-39705</t>
  </si>
  <si>
    <t>antigen 5 precursor</t>
  </si>
  <si>
    <t>ab-tri_asb-39712</t>
  </si>
  <si>
    <t>40S ribosomal protein S3A</t>
  </si>
  <si>
    <t>ab-tri_asb-39727</t>
  </si>
  <si>
    <t>Phosphoribosylpyrophosphate synthetase-associated protein</t>
  </si>
  <si>
    <t>ab-tri_asb-39824</t>
  </si>
  <si>
    <t>polymerase (RNA) II (DNA directed) polypeptide A - nucleolus - ubiquitin protein ligase binding - nucleotidyltransferase - transferase -</t>
  </si>
  <si>
    <t>ab-tri_asb-39831</t>
  </si>
  <si>
    <t>ab-tri_asb-39842</t>
  </si>
  <si>
    <t>ab-tri_asb-39863</t>
  </si>
  <si>
    <t>Ribosomal protein L35 - mitotic spindle organization - mitotic spindle elongation - ribosome - lipid particle - cytosolic large ribosomal subunit -</t>
  </si>
  <si>
    <t>ab-tri_asb-3991</t>
  </si>
  <si>
    <t>Z band alternatively spliced PDZ-motif protein 66 isoform E</t>
  </si>
  <si>
    <t>heat shock protein 83</t>
  </si>
  <si>
    <t>ab-tri_asb-39924</t>
  </si>
  <si>
    <t>ab-tri_asb-40043</t>
  </si>
  <si>
    <t>60s ribosomal protein L37</t>
  </si>
  <si>
    <t>mediator complex subunit 26 - mediator complex - transcription initiation from RNA polymerase II promoter</t>
  </si>
  <si>
    <t>ab-tri_asb-40195</t>
  </si>
  <si>
    <t>ab-tri_asb-40423</t>
  </si>
  <si>
    <t>peritrophin-15 precursor</t>
  </si>
  <si>
    <t>Sorbitol dehydrogenase</t>
  </si>
  <si>
    <t>ab-tri_asb-40546</t>
  </si>
  <si>
    <t>collagen type III alpha 1 - cellular response to amino acid stimulus - negative regulation of immune response - digestive tract development -</t>
  </si>
  <si>
    <t>GF16453</t>
  </si>
  <si>
    <t>ab-tri_asb-40782</t>
  </si>
  <si>
    <t>NADH dehydrogenase - mitochondrial electron transport NADH to ubiquinone - mitochondrial respiratory chain complex I - NADH dehydrogenase</t>
  </si>
  <si>
    <t>ab-tri_asb-40895</t>
  </si>
  <si>
    <t>ab-tri_asb-4111</t>
  </si>
  <si>
    <t>ab-tri_asb-41128</t>
  </si>
  <si>
    <t>ab-tri_asb-4114</t>
  </si>
  <si>
    <t>ab-tri_asb-4130</t>
  </si>
  <si>
    <t>ab-tri_asb-41371</t>
  </si>
  <si>
    <t>ATPase membrane sector associated protein</t>
  </si>
  <si>
    <t>ab-tri_asb-4144</t>
  </si>
  <si>
    <t>Lysine-ketoglutarate reductase/saccharopine dehydrogenase</t>
  </si>
  <si>
    <t>ab-tri_asb-4173</t>
  </si>
  <si>
    <t>NADH:ubiquinone oxidoreductase NDUFA2/B8 subunit</t>
  </si>
  <si>
    <t>ab-tri_asb-4178</t>
  </si>
  <si>
    <t>ab-tri_asb-4179</t>
  </si>
  <si>
    <t>RE31380p</t>
  </si>
  <si>
    <t>ab-tri_asb-4189</t>
  </si>
  <si>
    <t>ab-tri_asb-4206</t>
  </si>
  <si>
    <t>mitochondrial electron transport NADH to ubiquinone - NADH dehydrogenase - mitochondrial respiratory chain complex I</t>
  </si>
  <si>
    <t>ab-tri_asb-4214</t>
  </si>
  <si>
    <t>programmed cell death 6-interacting protein Aedes aegypti</t>
  </si>
  <si>
    <t>ab-tri_asb-4220</t>
  </si>
  <si>
    <t>GH24570</t>
  </si>
  <si>
    <t>ab-tri_asb-4240</t>
  </si>
  <si>
    <t>ab-tri_asb-4249</t>
  </si>
  <si>
    <t>serine-type endopeptidase - proteolysis</t>
  </si>
  <si>
    <t>ab-tri_asb-4269</t>
  </si>
  <si>
    <t>transcription factor XBP-1</t>
  </si>
  <si>
    <t>ab-tri_asb-4292</t>
  </si>
  <si>
    <t>Chaperone activity of bc1 complex-like mitochondrial</t>
  </si>
  <si>
    <t>ab-tri_asb-4296</t>
  </si>
  <si>
    <t>ab-tri_asb-4313</t>
  </si>
  <si>
    <t>ab-tri_asb-4327</t>
  </si>
  <si>
    <t>ab-tri_asb-436</t>
  </si>
  <si>
    <t>basic-leucine zipper transcription factor</t>
  </si>
  <si>
    <t>ab-tri_asb-4360</t>
  </si>
  <si>
    <t>FK506-binding protein 2 - response to DNA damage stimulus - protein folding - peptidyl-prolyl cis-trans isomerase - cytoplasm - FK506 binding</t>
  </si>
  <si>
    <t>ab-tri_asb-43781</t>
  </si>
  <si>
    <t>ab-tri_asb-4384</t>
  </si>
  <si>
    <t>microsomal glutathione S-transferase-like protein</t>
  </si>
  <si>
    <t>ab-tri_asb-4404</t>
  </si>
  <si>
    <t>ab-tri_asb-44222</t>
  </si>
  <si>
    <t>GD19245</t>
  </si>
  <si>
    <t>ab-tri_asb-4441</t>
  </si>
  <si>
    <t>GD21731</t>
  </si>
  <si>
    <t>ab-tri_asb-4442</t>
  </si>
  <si>
    <t>ab-tri_asb-4460</t>
  </si>
  <si>
    <t>ab-tri_asb-44629</t>
  </si>
  <si>
    <t>60s ribosomal protein L10</t>
  </si>
  <si>
    <t>ab-tri_asb-4485</t>
  </si>
  <si>
    <t>ab-tri_asb-4490</t>
  </si>
  <si>
    <t>Zinc finger domain LSD1 subclass family protein - serine-type endopeptidase</t>
  </si>
  <si>
    <t>ab-tri_asb-44909</t>
  </si>
  <si>
    <t>ab-tri_asb-44913</t>
  </si>
  <si>
    <t>Proteasomal ubiquitin receptor ADRM1 homolog</t>
  </si>
  <si>
    <t>ab-tri_asb-44916</t>
  </si>
  <si>
    <t>ab-tri_asb-44919</t>
  </si>
  <si>
    <t>myosin alkali light chain 1</t>
  </si>
  <si>
    <t>ab-tri_asb-44922</t>
  </si>
  <si>
    <t>ab-tri_asb-44925</t>
  </si>
  <si>
    <t>Predicted 2-oxoglutarate dehydrogenase E1 subunit</t>
  </si>
  <si>
    <t>ab-tri_asb-44926</t>
  </si>
  <si>
    <t>ab-tri_asb-44932</t>
  </si>
  <si>
    <t>ab-tri_asb-45183</t>
  </si>
  <si>
    <t>ab-tri_asb-45298</t>
  </si>
  <si>
    <t>ab-tri_asb-45371</t>
  </si>
  <si>
    <t>GL16381</t>
  </si>
  <si>
    <t>ab-tri_asb-4541</t>
  </si>
  <si>
    <t>ab-tri_asb-4542</t>
  </si>
  <si>
    <t>ab-tri_asb-45750</t>
  </si>
  <si>
    <t>Ubiquinol cytochrome c reductase subunit RIP1</t>
  </si>
  <si>
    <t>ab-tri_asb-4578</t>
  </si>
  <si>
    <t>ab-tri_asb-4620</t>
  </si>
  <si>
    <t>Protein farnesyltransferase alpha subunit/protein geranylgeranyltransferase type I alpha subunit</t>
  </si>
  <si>
    <t>Aminoacylase ACY1</t>
  </si>
  <si>
    <t>Trehalose-6-phosphate synthase component TPS1</t>
  </si>
  <si>
    <t>ab-tri_asb-4682</t>
  </si>
  <si>
    <t>ab-tri_asb-4689</t>
  </si>
  <si>
    <t>ab-tri_asb-4725</t>
  </si>
  <si>
    <t>ab-tri_asb-473</t>
  </si>
  <si>
    <t>Uncharacterized protein - regulation of catalytic - beta-tubulin binding - Ran GTPase binding - cytoplasmic microtubule - cytoplasm - Ran</t>
  </si>
  <si>
    <t>ab-tri_asb-47649</t>
  </si>
  <si>
    <t>sphingomyelin catabolic process - sphingomyelin phosphodiesterase</t>
  </si>
  <si>
    <t>ab-tri_asb-4772</t>
  </si>
  <si>
    <t>ab-tri_asb-4773</t>
  </si>
  <si>
    <t>ab-tri_asb-4781</t>
  </si>
  <si>
    <t>Translation initiation factor 5A (eIF-5A)</t>
  </si>
  <si>
    <t>ab-tri_asb-4802</t>
  </si>
  <si>
    <t>Tetraspanin 42El - biological_process - molecular_function - integral to membrane</t>
  </si>
  <si>
    <t>ab-tri_asb-4827</t>
  </si>
  <si>
    <t>ab-tri_asb-48539</t>
  </si>
  <si>
    <t>ab-tri_asb-4854</t>
  </si>
  <si>
    <t>Myelodysplasia-myeloid leukemia factor 1-interacting protein</t>
  </si>
  <si>
    <t>ab-tri_asb-4874</t>
  </si>
  <si>
    <t>ab-tri_asb-4887</t>
  </si>
  <si>
    <t>lethal (2) 34Fc - serine-type endopeptidase</t>
  </si>
  <si>
    <t>ab-tri_asb-4923</t>
  </si>
  <si>
    <t>ab-tri_asb-4939</t>
  </si>
  <si>
    <t>ab-tri_asb-49393</t>
  </si>
  <si>
    <t>ab-tri_asb-4992</t>
  </si>
  <si>
    <t>ab-tri_asb-4997</t>
  </si>
  <si>
    <t>ab-tri_asb-5005</t>
  </si>
  <si>
    <t>PAR-domain protein 1 - DNA endoreduplication - mitosis - response to nutrient - growth - regulation of transcription DNA-dependent - protein</t>
  </si>
  <si>
    <t>ab-tri_asb-5015</t>
  </si>
  <si>
    <t>DNA-binding nuclear protein p8</t>
  </si>
  <si>
    <t>ab-tri_asb-5018</t>
  </si>
  <si>
    <t>ab-tri_asb-5023</t>
  </si>
  <si>
    <t>Drosophila sechellia 18S ribosomal RNA (Dsec\18SrRNA:GM27733) rRNA</t>
  </si>
  <si>
    <t>ab-tri_asb-5028</t>
  </si>
  <si>
    <t>ab-tri_asb-50281</t>
  </si>
  <si>
    <t>GL15579</t>
  </si>
  <si>
    <t>Predicted member of the intramitochondrial sorting protein family</t>
  </si>
  <si>
    <t>ab-tri_asb-50454</t>
  </si>
  <si>
    <t>ab-tri_asb-50482</t>
  </si>
  <si>
    <t>60s ribosomal protein L34</t>
  </si>
  <si>
    <t>ab-tri_asb-5056</t>
  </si>
  <si>
    <t>Ubiquinol cytochrome c reductase subunit QCR2</t>
  </si>
  <si>
    <t>ab-tri_asb-50590</t>
  </si>
  <si>
    <t>ab-tri_asb-50658</t>
  </si>
  <si>
    <t>ab-tri_asb-5074</t>
  </si>
  <si>
    <t>ab-tri_asb-50749</t>
  </si>
  <si>
    <t>ab-tri_asb-50760</t>
  </si>
  <si>
    <t>ab-tri_asb-50791</t>
  </si>
  <si>
    <t>ab-tri_asb-50897</t>
  </si>
  <si>
    <t>ab-tri_asb-50899</t>
  </si>
  <si>
    <t>ab-tri_asb-50900</t>
  </si>
  <si>
    <t>ab-tri_asb-50901</t>
  </si>
  <si>
    <t>ab-tri_asb-50903</t>
  </si>
  <si>
    <t>ab-tri_asb-50920</t>
  </si>
  <si>
    <t>ab-tri_asb-50921</t>
  </si>
  <si>
    <t>ab-tri_asb-50923</t>
  </si>
  <si>
    <t>ab-tri_asb-50930</t>
  </si>
  <si>
    <t>ab-tri_asb-50931</t>
  </si>
  <si>
    <t>myosin heavy polypeptide 11 smooth muscle a - digestive tract development - digestive tract morphogenesis - regulation of polarized epithelial cell</t>
  </si>
  <si>
    <t>ab-tri_asb-50933</t>
  </si>
  <si>
    <t>ubiquitin A-52 residue ribosomal protein fusion product 1 - cytosolic large ribosomal subunit - intracellular</t>
  </si>
  <si>
    <t>ab-tri_asb-51013</t>
  </si>
  <si>
    <t>Gelsolin - phagocytosis engulfment - actin binding - extracellular region - cytosol - actin filament</t>
  </si>
  <si>
    <t>ab-tri_asb-51018</t>
  </si>
  <si>
    <t>ab-tri_asb-5104</t>
  </si>
  <si>
    <t>ab-tri_asb-5106</t>
  </si>
  <si>
    <t>Protein involved in glucose derepression and pre-vacuolar endosome protein sorting</t>
  </si>
  <si>
    <t>ab-tri_asb-51087</t>
  </si>
  <si>
    <t>GATA zinc finger domain-containing protein 10" species:44689 "Dictyostelium discoideum" GO:0003700 "sequence-specific DNA binding transcription</t>
  </si>
  <si>
    <t>ab-tri_asb-51304</t>
  </si>
  <si>
    <t>ab-tri_asb-51314</t>
  </si>
  <si>
    <t>ab-tri_asb-5134</t>
  </si>
  <si>
    <t>ab-tri_asb-51410</t>
  </si>
  <si>
    <t>ab-tri_asb-51442</t>
  </si>
  <si>
    <t>ab-tri_asb-5147</t>
  </si>
  <si>
    <t>ab-tri_asb-51591</t>
  </si>
  <si>
    <t>ab-tri_asb-5162</t>
  </si>
  <si>
    <t>ab-tri_asb-51623</t>
  </si>
  <si>
    <t>ab-tri_asb-51673</t>
  </si>
  <si>
    <t>ab-tri_asb-51678</t>
  </si>
  <si>
    <t>ab-tri_asb-51695</t>
  </si>
  <si>
    <t>Cobyrinic acid ac-diamide synthase</t>
  </si>
  <si>
    <t>ab-tri_asb-51699</t>
  </si>
  <si>
    <t>gamma-subunitmethylmalonyl-CoA decarboxylase Aedes aegypti</t>
  </si>
  <si>
    <t>ab-tri_asb-51792</t>
  </si>
  <si>
    <t>NADH dehydrogenase - mitochondrial respiratory chain complex I - mitochondrial electron transport NADH to ubiquinone</t>
  </si>
  <si>
    <t>ab-tri_asb-51807</t>
  </si>
  <si>
    <t>ab-tri_asb-51923</t>
  </si>
  <si>
    <t>ab-tri_asb-51977</t>
  </si>
  <si>
    <t>ab-tri_asb-52268</t>
  </si>
  <si>
    <t>ab-tri_asb-52310</t>
  </si>
  <si>
    <t>ab-tri_asb-52317</t>
  </si>
  <si>
    <t>ab-tri_asb-52331</t>
  </si>
  <si>
    <t>Tsal2 form B</t>
  </si>
  <si>
    <t>ab-tri_asb-5236</t>
  </si>
  <si>
    <t>ab-tri_asb-52444</t>
  </si>
  <si>
    <t>Mucin-5AC - fibril organization - fibril - digestion - cell adhesion - extracellular region - extracellular matrix structural constituent</t>
  </si>
  <si>
    <t>ab-tri_asb-52650</t>
  </si>
  <si>
    <t>mucin 2 oligomeric mucus/gel-forming - response to transforming growth factor beta stimulus - cellular response to tumor necrosis factor - outer</t>
  </si>
  <si>
    <t>ab-tri_asb-52799</t>
  </si>
  <si>
    <t>ab-tri_asb-5295</t>
  </si>
  <si>
    <t>ab-tri_asb-52956</t>
  </si>
  <si>
    <t>ab-tri_asb-5301</t>
  </si>
  <si>
    <t>ab-tri_asb-5324</t>
  </si>
  <si>
    <t>20S proteasome regulatory subunit alpha type PSMA1/PRE5</t>
  </si>
  <si>
    <t>ab-tri_asb-53319</t>
  </si>
  <si>
    <t>ab-tri_asb-53339</t>
  </si>
  <si>
    <t>ab-tri_asb-53349</t>
  </si>
  <si>
    <t>ab-tri_asb-53386</t>
  </si>
  <si>
    <t>Peroxisomal 3-ketoacyl-CoA-thiolase P-44/SCP2</t>
  </si>
  <si>
    <t>ab-tri_asb-53397</t>
  </si>
  <si>
    <t>ab-tri_asb-53400</t>
  </si>
  <si>
    <t>ab-tri_asb-53412</t>
  </si>
  <si>
    <t>cell wall protein FLO11p Strongylocentrotus purpuratus</t>
  </si>
  <si>
    <t>ab-tri_asb-53445</t>
  </si>
  <si>
    <t>ab-tri_asb-53452</t>
  </si>
  <si>
    <t>ab-tri_asb-53540</t>
  </si>
  <si>
    <t>ab-tri_asb-53546</t>
  </si>
  <si>
    <t>ab-tri_asb-53597</t>
  </si>
  <si>
    <t>ab-tri_asb-53693</t>
  </si>
  <si>
    <t>ab-tri_asb-53782</t>
  </si>
  <si>
    <t>GA26398</t>
  </si>
  <si>
    <t>ab-tri_asb-539</t>
  </si>
  <si>
    <t>Ribosomal protein S21e</t>
  </si>
  <si>
    <t>ab-tri_asb-53905</t>
  </si>
  <si>
    <t>ab-tri_asb-53927</t>
  </si>
  <si>
    <t>ab-tri_asb-53975</t>
  </si>
  <si>
    <t>ab-tri_asb-54008</t>
  </si>
  <si>
    <t>ab-tri_asb-54009</t>
  </si>
  <si>
    <t>ab-tri_asb-54063</t>
  </si>
  <si>
    <t>ab-tri_asb-54066</t>
  </si>
  <si>
    <t>ab-tri_asb-54076</t>
  </si>
  <si>
    <t>ab-tri_asb-5408</t>
  </si>
  <si>
    <t>Neoplastic transformation suppressor Pdcd4/MA-3 contains MA3 domain</t>
  </si>
  <si>
    <t>ab-tri_asb-54099</t>
  </si>
  <si>
    <t>ab-tri_asb-5413</t>
  </si>
  <si>
    <t>ab-tri_asb-54152</t>
  </si>
  <si>
    <t>Tsal2 form A</t>
  </si>
  <si>
    <t>ab-tri_asb-54171</t>
  </si>
  <si>
    <t>ab-tri_asb-54182</t>
  </si>
  <si>
    <t>ab-tri_asb-54185</t>
  </si>
  <si>
    <t>ab-tri_asb-54188</t>
  </si>
  <si>
    <t>ab-tri_asb-54266</t>
  </si>
  <si>
    <t>ab-tri_asb-54275</t>
  </si>
  <si>
    <t>ab-tri_asb-54290</t>
  </si>
  <si>
    <t>ab-tri_asb-54310</t>
  </si>
  <si>
    <t>Extracellular protein TEM7 contains PSI domain (tumor endothelial marker in humans)</t>
  </si>
  <si>
    <t>ab-tri_asb-54343</t>
  </si>
  <si>
    <t>ab-tri_asb-54359</t>
  </si>
  <si>
    <t>ab-tri_asb-54370</t>
  </si>
  <si>
    <t>60s acidic ribosomal protein P1</t>
  </si>
  <si>
    <t>ab-tri_asb-54381</t>
  </si>
  <si>
    <t>NADH dehydrogenase subunits 2 5</t>
  </si>
  <si>
    <t>ab-tri_asb-54395</t>
  </si>
  <si>
    <t>GH12934</t>
  </si>
  <si>
    <t>ab-tri_asb-54403</t>
  </si>
  <si>
    <t>ab-tri_asb-54414</t>
  </si>
  <si>
    <t>ab-tri_asb-54415</t>
  </si>
  <si>
    <t>ab-tri_asb-54435</t>
  </si>
  <si>
    <t>ab-tri_asb-54437</t>
  </si>
  <si>
    <t>ab-tri_asb-54438</t>
  </si>
  <si>
    <t>ab-tri_asb-54439</t>
  </si>
  <si>
    <t>ab-tri_asb-54441</t>
  </si>
  <si>
    <t>fat body lipocalin</t>
  </si>
  <si>
    <t>ab-tri_asb-54444</t>
  </si>
  <si>
    <t>ab-tri_asb-54445</t>
  </si>
  <si>
    <t>ab-tri_asb-54448</t>
  </si>
  <si>
    <t>ab-tri_asb-54451</t>
  </si>
  <si>
    <t>lipocalin/milk gland protein Glossina morsitans morsitans</t>
  </si>
  <si>
    <t>ab-tri_asb-54463</t>
  </si>
  <si>
    <t>ab-tri_asb-5447</t>
  </si>
  <si>
    <t>mitochondrial NADH-ubiquinone oxidoreductase chain 2 - mitochondrial electron transport NADH to ubiquinone - mitochondrial inner membrane - integral</t>
  </si>
  <si>
    <t>ab-tri_asb-54491</t>
  </si>
  <si>
    <t>Histone-lysine N-methyltransferase H3 lysine-79 specific</t>
  </si>
  <si>
    <t>ab-tri_asb-54500</t>
  </si>
  <si>
    <t>ab-tri_asb-54505</t>
  </si>
  <si>
    <t>ab-tri_asb-54539</t>
  </si>
  <si>
    <t>ab-tri_asb-54544</t>
  </si>
  <si>
    <t>ab-tri_asb-54548</t>
  </si>
  <si>
    <t>ab-tri_asb-54580</t>
  </si>
  <si>
    <t>Succinate dehydrogenase Fe-S protein subunit</t>
  </si>
  <si>
    <t>ab-tri_asb-54584</t>
  </si>
  <si>
    <t>ab-tri_asb-54592</t>
  </si>
  <si>
    <t>elongation factor 2</t>
  </si>
  <si>
    <t>ab-tri_asb-54593</t>
  </si>
  <si>
    <t>Troponin T skeletal muscle</t>
  </si>
  <si>
    <t>ab-tri_asb-54606</t>
  </si>
  <si>
    <t>ab-tri_asb-54621</t>
  </si>
  <si>
    <t>ab-tri_asb-54624</t>
  </si>
  <si>
    <t>ab-tri_asb-54628</t>
  </si>
  <si>
    <t>ab-tri_asb-54650</t>
  </si>
  <si>
    <t>lysosomal membrane - nucleobase transmembrane transporter - integral to membrane</t>
  </si>
  <si>
    <t>ab-tri_asb-54665</t>
  </si>
  <si>
    <t>ab-tri_asb-54669</t>
  </si>
  <si>
    <t>Zinc carboxypeptidase A 1</t>
  </si>
  <si>
    <t>ab-tri_asb-5467</t>
  </si>
  <si>
    <t>ab-tri_asb-54676</t>
  </si>
  <si>
    <t>ab-tri_asb-54677</t>
  </si>
  <si>
    <t>GA10402</t>
  </si>
  <si>
    <t>ab-tri_asb-54693</t>
  </si>
  <si>
    <t>ab-tri_asb-54767</t>
  </si>
  <si>
    <t>ab-tri_asb-54768</t>
  </si>
  <si>
    <t>ab-tri_asb-54769</t>
  </si>
  <si>
    <t>ab-tri_asb-54771</t>
  </si>
  <si>
    <t>ab-tri_asb-54773</t>
  </si>
  <si>
    <t>ab-tri_asb-54774</t>
  </si>
  <si>
    <t>ab-tri_asb-54777</t>
  </si>
  <si>
    <t>ab-tri_asb-54786</t>
  </si>
  <si>
    <t>ab-tri_asb-54787</t>
  </si>
  <si>
    <t>ab-tri_asb-54788</t>
  </si>
  <si>
    <t>ab-tri_asb-54789</t>
  </si>
  <si>
    <t>ab-tri_asb-54792</t>
  </si>
  <si>
    <t>ab-tri_asb-54793</t>
  </si>
  <si>
    <t>ab-tri_asb-54796</t>
  </si>
  <si>
    <t>ab-tri_asb-54798</t>
  </si>
  <si>
    <t>ab-tri_asb-54799</t>
  </si>
  <si>
    <t>ab-tri_asb-54800</t>
  </si>
  <si>
    <t>ab-tri_asb-54801</t>
  </si>
  <si>
    <t>ab-tri_asb-54802</t>
  </si>
  <si>
    <t>ab-tri_asb-54803</t>
  </si>
  <si>
    <t>ab-tri_asb-54804</t>
  </si>
  <si>
    <t>ab-tri_asb-54809</t>
  </si>
  <si>
    <t>ab-tri_asb-54828</t>
  </si>
  <si>
    <t>ab-tri_asb-54832</t>
  </si>
  <si>
    <t>GK20896</t>
  </si>
  <si>
    <t>ab-tri_asb-54849</t>
  </si>
  <si>
    <t>ab-tri_asb-5485</t>
  </si>
  <si>
    <t>ab-tri_asb-54871</t>
  </si>
  <si>
    <t>ab-tri_asb-54889</t>
  </si>
  <si>
    <t>Probable cytochrome P450 556A1</t>
  </si>
  <si>
    <t>ab-tri_asb-54900</t>
  </si>
  <si>
    <t>ab-tri_asb-54908</t>
  </si>
  <si>
    <t>ab-tri_asb-5491</t>
  </si>
  <si>
    <t>Transferrin 1 - extracellular region - defense response - iron ion transport - iron ion transmembrane transporter - cellular iron ion homeostasis -</t>
  </si>
  <si>
    <t>ab-tri_asb-54920</t>
  </si>
  <si>
    <t>ab-tri_asb-54921</t>
  </si>
  <si>
    <t>ab-tri_asb-5495</t>
  </si>
  <si>
    <t>ab-tri_asb-54958</t>
  </si>
  <si>
    <t>ab-tri_asb-54960</t>
  </si>
  <si>
    <t>ab-tri_asb-54978</t>
  </si>
  <si>
    <t>ab-tri_asb-54983</t>
  </si>
  <si>
    <t>thioredoxin peroxidase 3</t>
  </si>
  <si>
    <t>ab-tri_asb-54989</t>
  </si>
  <si>
    <t>ab-tri_asb-5499</t>
  </si>
  <si>
    <t>20S proteasome regulatory subunit beta type PSMB1/PRE7</t>
  </si>
  <si>
    <t>ab-tri_asb-55017</t>
  </si>
  <si>
    <t>ab-tri_asb-55020</t>
  </si>
  <si>
    <t>UDP-N-acetylglucosamine transferase subunit ALG13 homolog - cellular protein metabolic process - post-translational protein modification - lipid</t>
  </si>
  <si>
    <t>glutamic acid-rich protein</t>
  </si>
  <si>
    <t>ab-tri_asb-55048</t>
  </si>
  <si>
    <t>ab-tri_asb-55070</t>
  </si>
  <si>
    <t>ab-tri_asb-55071</t>
  </si>
  <si>
    <t>ab-tri_asb-55073</t>
  </si>
  <si>
    <t>ab-tri_asb-55077</t>
  </si>
  <si>
    <t>ab-tri_asb-55079</t>
  </si>
  <si>
    <t>ab-tri_asb-5509</t>
  </si>
  <si>
    <t>Mediator of RNA polymerase II transcription subunit 29</t>
  </si>
  <si>
    <t>Protein TsetseEP</t>
  </si>
  <si>
    <t>ab-tri_asb-55129</t>
  </si>
  <si>
    <t>ab-tri_asb-55152</t>
  </si>
  <si>
    <t>ab-tri_asb-55165</t>
  </si>
  <si>
    <t>ab-tri_asb-55180</t>
  </si>
  <si>
    <t>ab-tri_asb-55230</t>
  </si>
  <si>
    <t>GI24184</t>
  </si>
  <si>
    <t>ab-tri_asb-55253</t>
  </si>
  <si>
    <t>ab-tri_asb-55310</t>
  </si>
  <si>
    <t>ab-tri_asb-55314</t>
  </si>
  <si>
    <t>regulatory protein MLP</t>
  </si>
  <si>
    <t>ab-tri_asb-5532</t>
  </si>
  <si>
    <t>ab-tri_asb-55330</t>
  </si>
  <si>
    <t>ab-tri_asb-55336</t>
  </si>
  <si>
    <t>ab-tri_asb-55337</t>
  </si>
  <si>
    <t>ab-tri_asb-55347</t>
  </si>
  <si>
    <t>cystatin B1</t>
  </si>
  <si>
    <t>ab-tri_asb-55367</t>
  </si>
  <si>
    <t>ab-tri_asb-55388</t>
  </si>
  <si>
    <t>mitochondrial processing peptidase beta subunit</t>
  </si>
  <si>
    <t>ab-tri_asb-55392</t>
  </si>
  <si>
    <t>ab-tri_asb-55395</t>
  </si>
  <si>
    <t>ab-tri_asb-55411</t>
  </si>
  <si>
    <t>ab-tri_asb-55413</t>
  </si>
  <si>
    <t>ab-tri_asb-55422</t>
  </si>
  <si>
    <t>ab-tri_asb-55434</t>
  </si>
  <si>
    <t>ab-tri_asb-55441</t>
  </si>
  <si>
    <t>ab-tri_asb-55500</t>
  </si>
  <si>
    <t>ab-tri_asb-55502</t>
  </si>
  <si>
    <t>ab-tri_asb-55518</t>
  </si>
  <si>
    <t>ab-tri_asb-55525</t>
  </si>
  <si>
    <t>ab-tri_asb-55527</t>
  </si>
  <si>
    <t>ab-tri_asb-55549</t>
  </si>
  <si>
    <t>GD22238</t>
  </si>
  <si>
    <t>ab-tri_asb-55556</t>
  </si>
  <si>
    <t>ab-tri_asb-55561</t>
  </si>
  <si>
    <t>Succinate dehydrogenase flavoprotein subunit</t>
  </si>
  <si>
    <t>ab-tri_asb-55565</t>
  </si>
  <si>
    <t>ab-tri_asb-55581</t>
  </si>
  <si>
    <t>Niemann-Pick type C-2g - sterol transport - sterol binding - mesoderm development</t>
  </si>
  <si>
    <t>ab-tri_asb-55610</t>
  </si>
  <si>
    <t>ab-tri_asb-55617</t>
  </si>
  <si>
    <t>ab-tri_asb-55618</t>
  </si>
  <si>
    <t>ab-tri_asb-55622</t>
  </si>
  <si>
    <t>14-3-3 homologues</t>
  </si>
  <si>
    <t>ab-tri_asb-5563</t>
  </si>
  <si>
    <t>ab-tri_asb-55640</t>
  </si>
  <si>
    <t>ab-tri_asb-55645</t>
  </si>
  <si>
    <t>ab-tri_asb-55646</t>
  </si>
  <si>
    <t>ab-tri_asb-55649</t>
  </si>
  <si>
    <t>ab-tri_asb-55653</t>
  </si>
  <si>
    <t>ab-tri_asb-55656</t>
  </si>
  <si>
    <t>transcriptional repressorsignal transducer and activator of transcription (STAT) family protein - calcium ion binding - sequence-specific DNA</t>
  </si>
  <si>
    <t>ab-tri_asb-55662</t>
  </si>
  <si>
    <t>ab-tri_asb-55667</t>
  </si>
  <si>
    <t>ab-tri_asb-55705</t>
  </si>
  <si>
    <t>129K protein</t>
  </si>
  <si>
    <t>ab-tri_asb-55707</t>
  </si>
  <si>
    <t>Peritrophin-15a - extracellular region - chitin metabolic process - extracellular space - chitin binding</t>
  </si>
  <si>
    <t>ab-tri_asb-55712</t>
  </si>
  <si>
    <t>ab-tri_asb-55716</t>
  </si>
  <si>
    <t>ab-tri_asb-55718</t>
  </si>
  <si>
    <t>Mlx interactors</t>
  </si>
  <si>
    <t>ab-tri_asb-55727</t>
  </si>
  <si>
    <t>kazal type peptide</t>
  </si>
  <si>
    <t>ab-tri_asb-55731</t>
  </si>
  <si>
    <t>ab-tri_asb-55753</t>
  </si>
  <si>
    <t>Calcium-transporting ATPase sarcoplasmic/endoplasmic reticulum type</t>
  </si>
  <si>
    <t>ab-tri_asb-55758</t>
  </si>
  <si>
    <t>ab-tri_asb-55767</t>
  </si>
  <si>
    <t>ab-tri_asb-55771</t>
  </si>
  <si>
    <t>ab-tri_asb-55777</t>
  </si>
  <si>
    <t>ab-tri_asb-55779</t>
  </si>
  <si>
    <t>ab-tri_asb-55784</t>
  </si>
  <si>
    <t>F0F1-type ATP synthase alpha subunit</t>
  </si>
  <si>
    <t>ab-tri_asb-55787</t>
  </si>
  <si>
    <t>ab-tri_asb-55790</t>
  </si>
  <si>
    <t>ab-tri_asb-55791</t>
  </si>
  <si>
    <t>ab-tri_asb-55793</t>
  </si>
  <si>
    <t>ab-tri_asb-55794</t>
  </si>
  <si>
    <t>ab-tri_asb-55796</t>
  </si>
  <si>
    <t>ferritin light-chain Glossina morsitans morsitans</t>
  </si>
  <si>
    <t>ab-tri_asb-55803</t>
  </si>
  <si>
    <t>ab-tri_asb-55804</t>
  </si>
  <si>
    <t>heat shock-like protein similar to heat shock 70 kDa protein</t>
  </si>
  <si>
    <t>ab-tri_asb-55805</t>
  </si>
  <si>
    <t>ab-tri_asb-55832</t>
  </si>
  <si>
    <t>ab-tri_asb-55833</t>
  </si>
  <si>
    <t>Glycine-rich cell wall structural protein</t>
  </si>
  <si>
    <t>ab-tri_asb-55836</t>
  </si>
  <si>
    <t>ab-tri_asb-55839</t>
  </si>
  <si>
    <t>ab-tri_asb-55844</t>
  </si>
  <si>
    <t>ab-tri_asb-55851</t>
  </si>
  <si>
    <t>ferritin heavy chain-like Glossina morsitans morsitans</t>
  </si>
  <si>
    <t>ab-tri_asb-55857</t>
  </si>
  <si>
    <t>ab-tri_asb-55858</t>
  </si>
  <si>
    <t>ab-tri_asb-55859</t>
  </si>
  <si>
    <t>ab-tri_asb-55861</t>
  </si>
  <si>
    <t>ab-tri_asb-55865</t>
  </si>
  <si>
    <t>lethal (2) essential for life - regulation of autophagy - regulation of translational initiation by eIF2 alpha phosphorylation - protein lipidation -</t>
  </si>
  <si>
    <t>ab-tri_asb-55872</t>
  </si>
  <si>
    <t>ab-tri_asb-55874</t>
  </si>
  <si>
    <t>ab-tri_asb-55882</t>
  </si>
  <si>
    <t>ab-tri_asb-55883</t>
  </si>
  <si>
    <t>ab-tri_asb-55887</t>
  </si>
  <si>
    <t>Cytochrome c oxidase subunit I</t>
  </si>
  <si>
    <t>ab-tri_asb-55900</t>
  </si>
  <si>
    <t>ab-tri_asb-55913</t>
  </si>
  <si>
    <t>proteolysis - metallopeptidase - zinc ion binding - aminopeptidase</t>
  </si>
  <si>
    <t>ab-tri_asb-55916</t>
  </si>
  <si>
    <t>ab-tri_asb-55926</t>
  </si>
  <si>
    <t>Thor - determination of adult lifespan - regulation of mitochondrial translation - response to oxidative stress - response to starvation -</t>
  </si>
  <si>
    <t>ab-tri_asb-55935</t>
  </si>
  <si>
    <t>Mitochondrial ADP/ATP carrier</t>
  </si>
  <si>
    <t>ab-tri_asb-55943</t>
  </si>
  <si>
    <t>ab-tri_asb-55955</t>
  </si>
  <si>
    <t>lectin Glossina morsitans morsitans</t>
  </si>
  <si>
    <t>ab-tri_asb-55969</t>
  </si>
  <si>
    <t>ab-tri_asb-5597</t>
  </si>
  <si>
    <t>Uncharacterized protein - cellular response to hypoxia - iron ion homeostasis - protein homooligomerization - response to stimulus - negative</t>
  </si>
  <si>
    <t>ab-tri_asb-55974</t>
  </si>
  <si>
    <t>ab-tri_asb-55984</t>
  </si>
  <si>
    <t>4-hydroxyphenylacetate degradation bifunctional isomerase/decarboxylase</t>
  </si>
  <si>
    <t>ab-tri_asb-55996</t>
  </si>
  <si>
    <t>ab-tri_asb-56011</t>
  </si>
  <si>
    <t>ab-tri_asb-56016</t>
  </si>
  <si>
    <t>Oligomycin sensitivity-conferring protein - lipid particle - hydrogen ion transporting ATP synthase  rotational mechanism - ATP synthesis coupled</t>
  </si>
  <si>
    <t>ab-tri_asb-56024</t>
  </si>
  <si>
    <t>ab-tri_asb-56039</t>
  </si>
  <si>
    <t>ab-tri_asb-56040</t>
  </si>
  <si>
    <t>ab-tri_asb-56041</t>
  </si>
  <si>
    <t>ab-tri_asb-56044</t>
  </si>
  <si>
    <t>ab-tri_asb-56045</t>
  </si>
  <si>
    <t>ab-tri_asb-56047</t>
  </si>
  <si>
    <t>Mitochondrial F1F0-ATP synthase subunit c/ATP9/proteolipid</t>
  </si>
  <si>
    <t>ab-tri_asb-56049</t>
  </si>
  <si>
    <t>ab-tri_asb-56061</t>
  </si>
  <si>
    <t>ab-tri_asb-56066</t>
  </si>
  <si>
    <t>ab-tri_asb-56071</t>
  </si>
  <si>
    <t>ab-tri_asb-56075</t>
  </si>
  <si>
    <t>ab-tri_asb-56087</t>
  </si>
  <si>
    <t>mitochondrial ribosomal protein L27 - translation - mitochondrial large ribosomal subunit - structural constituent of ribosome</t>
  </si>
  <si>
    <t>ab-tri_asb-56096</t>
  </si>
  <si>
    <t>ab-tri_asb-56100</t>
  </si>
  <si>
    <t>ab-tri_asb-56104</t>
  </si>
  <si>
    <t>ab-tri_asb-56111</t>
  </si>
  <si>
    <t>ab-tri_asb-56122</t>
  </si>
  <si>
    <t>ab-tri_asb-56126</t>
  </si>
  <si>
    <t>ab-tri_asb-56127</t>
  </si>
  <si>
    <t>PFTAIRE-interacting factor 1A - sequence-specific DNA binding transcription factor - sequence-specific DNA binding - regulation of transcription</t>
  </si>
  <si>
    <t>ab-tri_asb-56128</t>
  </si>
  <si>
    <t>myosin class II heavy chain</t>
  </si>
  <si>
    <t>ab-tri_asb-56129</t>
  </si>
  <si>
    <t>ab-tri_asb-56130</t>
  </si>
  <si>
    <t>ab-tri_asb-56135</t>
  </si>
  <si>
    <t>ab-tri_asb-56136</t>
  </si>
  <si>
    <t>ab-tri_asb-56137</t>
  </si>
  <si>
    <t>ab-tri_asb-56141</t>
  </si>
  <si>
    <t>ab-tri_asb-56142</t>
  </si>
  <si>
    <t>Uncharacterized protein - microtubule binding - cytoplasm - microtubule cytoskeleton organization</t>
  </si>
  <si>
    <t>ab-tri_asb-56143</t>
  </si>
  <si>
    <t>Mediator of RNA polymerase II transcription subunit 15</t>
  </si>
  <si>
    <t>ab-tri_asb-56171</t>
  </si>
  <si>
    <t>ab-tri_asb-56175</t>
  </si>
  <si>
    <t>ab-tri_asb-56180</t>
  </si>
  <si>
    <t>ab-tri_asb-56198</t>
  </si>
  <si>
    <t>ab-tri_asb-56216</t>
  </si>
  <si>
    <t>ab-tri_asb-56219</t>
  </si>
  <si>
    <t>ab-tri_asb-56222</t>
  </si>
  <si>
    <t>ab-tri_asb-56229</t>
  </si>
  <si>
    <t>ab-tri_asb-56232</t>
  </si>
  <si>
    <t>ab-tri_asb-56237</t>
  </si>
  <si>
    <t>ab-tri_asb-56238</t>
  </si>
  <si>
    <t>ab-tri_asb-56248</t>
  </si>
  <si>
    <t>ab-tri_asb-56265</t>
  </si>
  <si>
    <t>ubiquitin regulatory protein UBXD2</t>
  </si>
  <si>
    <t>ab-tri_asb-56267</t>
  </si>
  <si>
    <t>acidic ribosomal protein</t>
  </si>
  <si>
    <t>ab-tri_asb-56268</t>
  </si>
  <si>
    <t>ab-tri_asb-56291</t>
  </si>
  <si>
    <t>ab-tri_asb-56299</t>
  </si>
  <si>
    <t>ab-tri_asb-56319</t>
  </si>
  <si>
    <t>ab-tri_asb-56320</t>
  </si>
  <si>
    <t>ab-tri_asb-56355</t>
  </si>
  <si>
    <t>ab-tri_asb-56376</t>
  </si>
  <si>
    <t>ab-tri_asb-56382</t>
  </si>
  <si>
    <t>ab-tri_asb-56385</t>
  </si>
  <si>
    <t>ab-tri_asb-56386</t>
  </si>
  <si>
    <t>ab-tri_asb-56389</t>
  </si>
  <si>
    <t>ab-tri_asb-56406</t>
  </si>
  <si>
    <t>ab-tri_asb-56416</t>
  </si>
  <si>
    <t>Transcription factor Abd-B contains HOX domain</t>
  </si>
  <si>
    <t>ab-tri_asb-56433</t>
  </si>
  <si>
    <t>ab-tri_asb-56442</t>
  </si>
  <si>
    <t>cathepsin B mRNA 3'-untranslated-region-binding protein CBBP</t>
  </si>
  <si>
    <t>ab-tri_asb-56446</t>
  </si>
  <si>
    <t>ab-tri_asb-56459</t>
  </si>
  <si>
    <t>ab-tri_asb-56460</t>
  </si>
  <si>
    <t>smell impaired 21F</t>
  </si>
  <si>
    <t>ab-tri_asb-56469</t>
  </si>
  <si>
    <t>ab-tri_asb-56481</t>
  </si>
  <si>
    <t>ab-tri_asb-5650</t>
  </si>
  <si>
    <t>ab-tri_asb-56524</t>
  </si>
  <si>
    <t>tetraspanin 42Ed</t>
  </si>
  <si>
    <t>ab-tri_asb-56541</t>
  </si>
  <si>
    <t>ab-tri_asb-56604</t>
  </si>
  <si>
    <t>Phosphoribosylamidoimidazole-succinocarboxamide synthase</t>
  </si>
  <si>
    <t>ab-tri_asb-56616</t>
  </si>
  <si>
    <t>stall - proteolysis - ovarian follicle cell stalk formation - metalloendopeptidase - oogenesis</t>
  </si>
  <si>
    <t>ab-tri_asb-56618</t>
  </si>
  <si>
    <t>ab-tri_asb-56629</t>
  </si>
  <si>
    <t>copper transporter</t>
  </si>
  <si>
    <t>ab-tri_asb-56635</t>
  </si>
  <si>
    <t>ab-tri_asb-56650</t>
  </si>
  <si>
    <t>ab-tri_asb-56680</t>
  </si>
  <si>
    <t>ab-tri_asb-56708</t>
  </si>
  <si>
    <t>ab-tri_asb-56720</t>
  </si>
  <si>
    <t>Vacuolar H+-ATPase V0 sector subunits c/c'</t>
  </si>
  <si>
    <t>ab-tri_asb-56724</t>
  </si>
  <si>
    <t>ab-tri_asb-56729</t>
  </si>
  <si>
    <t>ab-tri_asb-56730</t>
  </si>
  <si>
    <t>ab-tri_asb-56735</t>
  </si>
  <si>
    <t>ab-tri_asb-56740</t>
  </si>
  <si>
    <t>ab-tri_asb-56741</t>
  </si>
  <si>
    <t>thrombin inhibitor TTI=antithrombotic peptide {N-terminal}</t>
  </si>
  <si>
    <t>ab-tri_asb-56761</t>
  </si>
  <si>
    <t>ab-tri_asb-56769</t>
  </si>
  <si>
    <t>ab-tri_asb-56772</t>
  </si>
  <si>
    <t>cuticular protein analogous to peritrophins 3-E Tribolium castaneum</t>
  </si>
  <si>
    <t>ab-tri_asb-56783</t>
  </si>
  <si>
    <t>ab-tri_asb-56794</t>
  </si>
  <si>
    <t>lipid metabolic process - lipase</t>
  </si>
  <si>
    <t>ab-tri_asb-56806</t>
  </si>
  <si>
    <t>fau hypothetical conserved protein</t>
  </si>
  <si>
    <t>ab-tri_asb-56819</t>
  </si>
  <si>
    <t>family with sequence similarity 40 member A - regulation of cell morphogenesis - cortical actin cytoskeleton organization - cytoplasm -</t>
  </si>
  <si>
    <t>ab-tri_asb-5684</t>
  </si>
  <si>
    <t>ab-tri_asb-56844</t>
  </si>
  <si>
    <t>secretory Phospholipase A2 - phospholipid metabolic process - lipid catabolic process - calcium ion binding - calcium-dependent phospholipase A2 -</t>
  </si>
  <si>
    <t>ab-tri_asb-56907</t>
  </si>
  <si>
    <t>ab-tri_asb-56909</t>
  </si>
  <si>
    <t>ab-tri_asb-56911</t>
  </si>
  <si>
    <t>ab-tri_asb-56948</t>
  </si>
  <si>
    <t>ab-tri_asb-56981</t>
  </si>
  <si>
    <t>ab-tri_asb-5703</t>
  </si>
  <si>
    <t>lipid metabolic process - structural molecule - lipoprotein lipase</t>
  </si>
  <si>
    <t>ab-tri_asb-57078</t>
  </si>
  <si>
    <t>Myofilin - chaeta development - wing disc development - A band - skeletal muscle myosin thick filament assembly</t>
  </si>
  <si>
    <t>ab-tri_asb-57154</t>
  </si>
  <si>
    <t>ab-tri_asb-57168</t>
  </si>
  <si>
    <t>ab-tri_asb-57252</t>
  </si>
  <si>
    <t>ab-tri_asb-57260</t>
  </si>
  <si>
    <t>26S proteasome regulatory complex subunit RPN11</t>
  </si>
  <si>
    <t>ab-tri_asb-57279</t>
  </si>
  <si>
    <t>ab-tri_asb-57289</t>
  </si>
  <si>
    <t>ab-tri_asb-57436</t>
  </si>
  <si>
    <t>ab-tri_asb-57464</t>
  </si>
  <si>
    <t>ab-tri_asb-57589</t>
  </si>
  <si>
    <t>Alpha amylase catalytic domain family found in maltase</t>
  </si>
  <si>
    <t>ab-tri_asb-5775</t>
  </si>
  <si>
    <t>ab-tri_asb-578</t>
  </si>
  <si>
    <t>NAT1 - lateral inhibition - RNA metabolic process - autophagic cell death - salivary gland cell autophagic cell death - translation initiation factor</t>
  </si>
  <si>
    <t>ab-tri_asb-57902</t>
  </si>
  <si>
    <t>ab-tri_asb-57903</t>
  </si>
  <si>
    <t>ab-tri_asb-57915</t>
  </si>
  <si>
    <t>GL24111</t>
  </si>
  <si>
    <t>ab-tri_asb-57932</t>
  </si>
  <si>
    <t>ab-tri_asb-57936</t>
  </si>
  <si>
    <t>ab-tri_asb-57937</t>
  </si>
  <si>
    <t>ab-tri_asb-57949</t>
  </si>
  <si>
    <t>ab-tri_asb-5799</t>
  </si>
  <si>
    <t>Ubiquitin activating enzyme 1 - protein ubiquitination - cell proliferation - regulation of Ras protein signal transduction - lipid storage -</t>
  </si>
  <si>
    <t>ab-tri_asb-5808</t>
  </si>
  <si>
    <t>ab-tri_asb-5810</t>
  </si>
  <si>
    <t>translation initiation inhibitor UK114/IBM1</t>
  </si>
  <si>
    <t>ab-tri_asb-5817</t>
  </si>
  <si>
    <t>ab-tri_asb-5819</t>
  </si>
  <si>
    <t>ab-tri_asb-5861</t>
  </si>
  <si>
    <t>ab-tri_asb-5922</t>
  </si>
  <si>
    <t>ab-tri_asb-5935</t>
  </si>
  <si>
    <t>ab-tri_asb-5954</t>
  </si>
  <si>
    <t>ab-tri_asb-5971</t>
  </si>
  <si>
    <t>Branched chain alpha-keto acid dehydrogenase E1 beta subunit</t>
  </si>
  <si>
    <t>ab-tri_asb-5972</t>
  </si>
  <si>
    <t>mitochondrial electron transport cytochrome c to oxygen - mitochondrial respiratory chain complex IV - cytochrome-c oxidase</t>
  </si>
  <si>
    <t>ab-tri_asb-5976</t>
  </si>
  <si>
    <t>ab-tri_asb-5986</t>
  </si>
  <si>
    <t>ab-tri_asb-5993</t>
  </si>
  <si>
    <t>ab-tri_asb-5999</t>
  </si>
  <si>
    <t>differentiation-related protein 1 protein</t>
  </si>
  <si>
    <t>ab-tri_asb-6001</t>
  </si>
  <si>
    <t>ab-tri_asb-6002</t>
  </si>
  <si>
    <t>ab-tri_asb-6010</t>
  </si>
  <si>
    <t>ab-tri_asb-6013</t>
  </si>
  <si>
    <t>ab-tri_asb-6029</t>
  </si>
  <si>
    <t>Drebrins</t>
  </si>
  <si>
    <t>ab-tri_asb-6098</t>
  </si>
  <si>
    <t>ab-tri_asb-6124</t>
  </si>
  <si>
    <t>ab-tri_asb-6196</t>
  </si>
  <si>
    <t>Eukaryotic translation initiation factor 3 subunit K</t>
  </si>
  <si>
    <t>ab-tri_asb-6226</t>
  </si>
  <si>
    <t>polyprotein Hibiscus green spot virus</t>
  </si>
  <si>
    <t>ab-tri_asb-6282</t>
  </si>
  <si>
    <t>thymus-specific serine protease Culex quinquefasciatus</t>
  </si>
  <si>
    <t>ab-tri_asb-6315</t>
  </si>
  <si>
    <t>ribosomal protein S24</t>
  </si>
  <si>
    <t>ab-tri_asb-6328</t>
  </si>
  <si>
    <t>effete - neurogenesis - regulation of protein stability - cyclin catabolic process - female germ-line stem cell division - germ-line stem cell</t>
  </si>
  <si>
    <t>ab-tri_asb-6335</t>
  </si>
  <si>
    <t>Myosin essential light chain EF-Hand protein superfamily</t>
  </si>
  <si>
    <t>ab-tri_asb-6360</t>
  </si>
  <si>
    <t>myosin light chain binding</t>
  </si>
  <si>
    <t>ab-tri_asb-6362</t>
  </si>
  <si>
    <t>Glycine cleavage system H protein (lipoate-binding)</t>
  </si>
  <si>
    <t>ab-tri_asb-6412</t>
  </si>
  <si>
    <t>ab-tri_asb-6450</t>
  </si>
  <si>
    <t>ab-tri_asb-66</t>
  </si>
  <si>
    <t>20S proteasome regulatory subunit beta type PSMB6/PSMB9/PRE3</t>
  </si>
  <si>
    <t>ab-tri_asb-6602</t>
  </si>
  <si>
    <t>ab-tri_asb-6638</t>
  </si>
  <si>
    <t>mitochondrial electron transport NADH to ubiquinone - NADH dehydrogenase - NADH dehydrogenase (ubiquinone) - mitochondrial respiratory chain</t>
  </si>
  <si>
    <t>ab-tri_asb-6641</t>
  </si>
  <si>
    <t>ab-tri_asb-6658</t>
  </si>
  <si>
    <t>ab-tri_asb-6669</t>
  </si>
  <si>
    <t>Vacuolar H+-ATPase V1 sector subunit F</t>
  </si>
  <si>
    <t>ab-tri_asb-6690</t>
  </si>
  <si>
    <t>ab-tri_asb-6711</t>
  </si>
  <si>
    <t>sarcomere length short - regulation of sarcomere organization - actin filament binding - positive regulation of actin filament polymerization</t>
  </si>
  <si>
    <t>ab-tri_asb-6745</t>
  </si>
  <si>
    <t>ab-tri_asb-6764</t>
  </si>
  <si>
    <t>NADH:ubiquinone oxidoreductase NDUFS6/13 kDa subunit</t>
  </si>
  <si>
    <t>ab-tri_asb-6785</t>
  </si>
  <si>
    <t>ab-tri_asb-6789</t>
  </si>
  <si>
    <t>ab-tri_asb-6804</t>
  </si>
  <si>
    <t>ab-tri_asb-6807</t>
  </si>
  <si>
    <t>Synaptobrevin - integral to membrane - lumen formation open tracheal system - synaptic vesicle docking involved in exocytosis - synaptic vesicle -</t>
  </si>
  <si>
    <t>ab-tri_asb-6808</t>
  </si>
  <si>
    <t>ab-tri_asb-6822</t>
  </si>
  <si>
    <t>Probable E3 ubiquitin-protein ligase bre1</t>
  </si>
  <si>
    <t>ab-tri_asb-6826</t>
  </si>
  <si>
    <t>ab-tri_asb-6835</t>
  </si>
  <si>
    <t>ab-tri_asb-6886</t>
  </si>
  <si>
    <t>ab-tri_asb-6892</t>
  </si>
  <si>
    <t>ab-tri_asb-6931</t>
  </si>
  <si>
    <t>ab-tri_asb-6999</t>
  </si>
  <si>
    <t>ab-tri_asb-7016</t>
  </si>
  <si>
    <t>ab-tri_asb-7067</t>
  </si>
  <si>
    <t>ab-tri_asb-7070</t>
  </si>
  <si>
    <t>ab-tri_asb-7076</t>
  </si>
  <si>
    <t>GTPase Ran/TC4/GSP1 (nuclear protein transport pathway) small G protein superfamily</t>
  </si>
  <si>
    <t>ab-tri_asb-7082</t>
  </si>
  <si>
    <t>ab-tri_asb-7145</t>
  </si>
  <si>
    <t>heat shock protein cognate 3</t>
  </si>
  <si>
    <t>ab-tri_asb-719</t>
  </si>
  <si>
    <t>ab-tri_asb-721</t>
  </si>
  <si>
    <t>Vacuolar H+-ATPase V1 sector subunit A</t>
  </si>
  <si>
    <t>ab-tri_asb-724</t>
  </si>
  <si>
    <t>ab-tri_asb-7278</t>
  </si>
  <si>
    <t>ab-tri_asb-7291</t>
  </si>
  <si>
    <t>ab-tri_asb-7403</t>
  </si>
  <si>
    <t>Mitochondrial/chloroplast ribosomal protein L15/L10</t>
  </si>
  <si>
    <t>ab-tri_asb-7434</t>
  </si>
  <si>
    <t>ab-tri_asb-7536</t>
  </si>
  <si>
    <t>ab-tri_asb-7565</t>
  </si>
  <si>
    <t>ab-tri_asb-7620</t>
  </si>
  <si>
    <t>ab-tri_asb-7622</t>
  </si>
  <si>
    <t>beta-tubulin folding cofactor C</t>
  </si>
  <si>
    <t>ab-tri_asb-7624</t>
  </si>
  <si>
    <t>Branched chain aminotransferase BCAT1 pyridoxal phosphate enzymes type IV superfamily</t>
  </si>
  <si>
    <t>ab-tri_asb-7638</t>
  </si>
  <si>
    <t>ab-tri_asb-7672</t>
  </si>
  <si>
    <t>ab-tri_asb-768</t>
  </si>
  <si>
    <t>GL24382</t>
  </si>
  <si>
    <t>ab-tri_asb-7729</t>
  </si>
  <si>
    <t>heat shock protein Hsp40</t>
  </si>
  <si>
    <t>ab-tri_asb-7741</t>
  </si>
  <si>
    <t>ab-tri_asb-7795</t>
  </si>
  <si>
    <t>ab-tri_asb-7881</t>
  </si>
  <si>
    <t>ab-tri_asb-7960</t>
  </si>
  <si>
    <t>ab-tri_asb-7990</t>
  </si>
  <si>
    <t>translation initiation factor 1</t>
  </si>
  <si>
    <t>ab-tri_asb-8121</t>
  </si>
  <si>
    <t>ab-tri_asb-8141</t>
  </si>
  <si>
    <t>26S proteasome regulatory complex subunit RPN7/PSMD6</t>
  </si>
  <si>
    <t>ab-tri_asb-8146</t>
  </si>
  <si>
    <t>RNA polymerase I-associated factor PAF67</t>
  </si>
  <si>
    <t>ab-tri_asb-8166</t>
  </si>
  <si>
    <t>GF21271</t>
  </si>
  <si>
    <t>ab-tri_asb-8186</t>
  </si>
  <si>
    <t>20S proteasome regulatory subunit beta type PSMB4/PRE4</t>
  </si>
  <si>
    <t>ab-tri_asb-8205</t>
  </si>
  <si>
    <t>ab-tri_asb-8223</t>
  </si>
  <si>
    <t>chaperonin complex component TcP-1 zeta subunit</t>
  </si>
  <si>
    <t>ab-tri_asb-8226</t>
  </si>
  <si>
    <t>ab-tri_asb-8255</t>
  </si>
  <si>
    <t>ab-tri_asb-8262</t>
  </si>
  <si>
    <t>ab-tri_asb-827</t>
  </si>
  <si>
    <t>ab-tri_asb-8270</t>
  </si>
  <si>
    <t>39S ribosomal protein L23 mitochondrial</t>
  </si>
  <si>
    <t>ab-tri_asb-8290</t>
  </si>
  <si>
    <t>PDGF- and VEGF-related factor 1 - Malpighian tubule morphogenesis - salivary gland morphogenesis - heparin binding - growth factor - membrane - cell</t>
  </si>
  <si>
    <t>ab-tri_asb-8312</t>
  </si>
  <si>
    <t>ab-tri_asb-8380</t>
  </si>
  <si>
    <t>ab-tri_asb-8387</t>
  </si>
  <si>
    <t>farnesoic acid O-methyltransferase</t>
  </si>
  <si>
    <t>ab-tri_asb-8433</t>
  </si>
  <si>
    <t>ab-tri_asb-8517</t>
  </si>
  <si>
    <t>ab-tri_asb-853</t>
  </si>
  <si>
    <t>tipE homolog 2 - integral to membrane - positive regulation of sodium ion transport via voltage-gated sodium channel</t>
  </si>
  <si>
    <t>ab-tri_asb-854</t>
  </si>
  <si>
    <t>ab-tri_asb-8560</t>
  </si>
  <si>
    <t>ab-tri_asb-8569</t>
  </si>
  <si>
    <t>ab-tri_asb-8572</t>
  </si>
  <si>
    <t>ab-tri_asb-8575</t>
  </si>
  <si>
    <t>mitochondrial ribosomal protein L12 - chromatin binding - lipid particle - mitochondrion organization - cell growth - mitochondrial small ribosomal</t>
  </si>
  <si>
    <t>ab-tri_asb-8583</t>
  </si>
  <si>
    <t>ab-tri_asb-8591</t>
  </si>
  <si>
    <t>ab-tri_asb-8594</t>
  </si>
  <si>
    <t>cytochrome c oxidase subunit VIb COX12</t>
  </si>
  <si>
    <t>ab-tri_asb-8597</t>
  </si>
  <si>
    <t>ab-tri_asb-8602</t>
  </si>
  <si>
    <t>ab-tri_asb-8605</t>
  </si>
  <si>
    <t>ab-tri_asb-8623</t>
  </si>
  <si>
    <t>ab-tri_asb-8625</t>
  </si>
  <si>
    <t>Profilin</t>
  </si>
  <si>
    <t>ab-tri_asb-8652</t>
  </si>
  <si>
    <t>Cytochrome c oxidase subunit IV/COX5b</t>
  </si>
  <si>
    <t>ab-tri_asb-870</t>
  </si>
  <si>
    <t>hypothetical protein SGHV045 Glossina pallidipes salivary gland hypertrophy virus</t>
  </si>
  <si>
    <t>ab-tri_asb-871</t>
  </si>
  <si>
    <t>ab-tri_asb-8717</t>
  </si>
  <si>
    <t>ab-tri_asb-8727</t>
  </si>
  <si>
    <t>ab-tri_asb-874</t>
  </si>
  <si>
    <t>ab-tri_asb-8835</t>
  </si>
  <si>
    <t>ab-tri_asb-8837</t>
  </si>
  <si>
    <t>ab-tri_asb-8859</t>
  </si>
  <si>
    <t>ab-tri_asb-886</t>
  </si>
  <si>
    <t>NADH-ubiquinone oxidoreductase NUFS7/PSST/20 kDa subunit</t>
  </si>
  <si>
    <t>ab-tri_asb-8890</t>
  </si>
  <si>
    <t>ab-tri_asb-8891</t>
  </si>
  <si>
    <t>cytochrome c oxidase subunit Va COX6</t>
  </si>
  <si>
    <t>ab-tri_asb-8999</t>
  </si>
  <si>
    <t>ab-tri_asb-9002</t>
  </si>
  <si>
    <t>chaperonin complex component TcP-1 theta subunit CCT8</t>
  </si>
  <si>
    <t>ab-tri_asb-9033</t>
  </si>
  <si>
    <t>yorkie - stem cell proliferation - cell competition in a multicellular organism - regulation of growth - morphogenesis of an epithelial sheet -</t>
  </si>
  <si>
    <t>ab-tri_asb-9038</t>
  </si>
  <si>
    <t>ab-tri_asb-9116</t>
  </si>
  <si>
    <t>ab-tri_asb-912</t>
  </si>
  <si>
    <t>ab-tri_asb-9239</t>
  </si>
  <si>
    <t>CG14872 isoform A</t>
  </si>
  <si>
    <t>ab-tri_asb-9268</t>
  </si>
  <si>
    <t>ab-tri_asb-9310</t>
  </si>
  <si>
    <t>ab-tri_asb-9323</t>
  </si>
  <si>
    <t>Dihydropteridine reductase DHPR/QDPR</t>
  </si>
  <si>
    <t>ab-tri_asb-9378</t>
  </si>
  <si>
    <t>ab-tri_asb-9381</t>
  </si>
  <si>
    <t>Elongation factor 1 beta/delta chain</t>
  </si>
  <si>
    <t>ab-tri_asb-9410</t>
  </si>
  <si>
    <t>ab-tri_asb-942</t>
  </si>
  <si>
    <t>ab-tri_asb-9421</t>
  </si>
  <si>
    <t>ab-tri_asb-9433</t>
  </si>
  <si>
    <t>ab-tri_asb-9511</t>
  </si>
  <si>
    <t>vesicle transport protein GOT1B</t>
  </si>
  <si>
    <t>ab-tri_asb-9513</t>
  </si>
  <si>
    <t>ab-tri_asb-9565</t>
  </si>
  <si>
    <t>Cuticular protein 57A - structural constituent of chitin-based cuticle</t>
  </si>
  <si>
    <t>ab-tri_asb-9595</t>
  </si>
  <si>
    <t>26S proteasome regulatory complex subunit RPN1/PSMD2</t>
  </si>
  <si>
    <t>ab-tri_asb-9598</t>
  </si>
  <si>
    <t>Tyrosine kinase EPH (ephrin) receptor family</t>
  </si>
  <si>
    <t>ab-tri_asb-9633</t>
  </si>
  <si>
    <t>ab-tri_asb-9637</t>
  </si>
  <si>
    <t>ab-tri_asb-9649</t>
  </si>
  <si>
    <t>ab-tri_asb-9652</t>
  </si>
  <si>
    <t>ab-tri_asb-9674</t>
  </si>
  <si>
    <t>ab-tri_asb-9698</t>
  </si>
  <si>
    <t>ab-tri_asb-9712</t>
  </si>
  <si>
    <t>40S ribosomal protein S19</t>
  </si>
  <si>
    <t>ab-tri_asb-9728</t>
  </si>
  <si>
    <t>wings up A - nucleus - nuclear division - heart development - cardiac muscle tissue development - myofibril assembly - sarcomere organization</t>
  </si>
  <si>
    <t>ab-tri_asb-9730</t>
  </si>
  <si>
    <t>ab-tri_asb-9737</t>
  </si>
  <si>
    <t>ab-tri_asb-9738</t>
  </si>
  <si>
    <t>ab-tri_asb-9747</t>
  </si>
  <si>
    <t>inhibitor of apoptosis 1 protein</t>
  </si>
  <si>
    <t>ab-tri_asb-9757</t>
  </si>
  <si>
    <t>L-carnitine dehydratase/alpha-methylacyl-CoA racemase</t>
  </si>
  <si>
    <t>ab-tri_asb-976</t>
  </si>
  <si>
    <t>ab-tri_asb-9765</t>
  </si>
  <si>
    <t>ab-tri_asb-9786</t>
  </si>
  <si>
    <t>ab-tri_asb-9789</t>
  </si>
  <si>
    <t>H/ACA ribonucleoprotein complex subunit 4</t>
  </si>
  <si>
    <t>ab-tri_asb-9811</t>
  </si>
  <si>
    <t>ab-tri_asb-982</t>
  </si>
  <si>
    <t>ab-tri_asb-9900</t>
  </si>
  <si>
    <t>probable cathepsin B-like cysteine proteinase precursor Glossina morsitans morsitans</t>
  </si>
  <si>
    <t>ab-tri_asb-9905</t>
  </si>
  <si>
    <t>ab-tri_asb-991</t>
  </si>
  <si>
    <t>ab-tri_asb-9917</t>
  </si>
  <si>
    <t>Peroxisomal multifunctional beta-oxidation protein</t>
  </si>
  <si>
    <t>ab-tri_asb-9946</t>
  </si>
  <si>
    <t>ab-tri_asb-9954</t>
  </si>
  <si>
    <t>lysine ketoglutarate reductase - histone arginine methylation - regulation of histone methylation - nucleotide binding - oxidation-reduction process</t>
  </si>
  <si>
    <t>ab-tri_asb-9960</t>
  </si>
  <si>
    <t>Tiggrin - cell-substrate adhesion - regulation of cell adhesion mediated by integrin - phagocytosis engulfment - axon guidance - binding -</t>
  </si>
  <si>
    <t>ab-tri_asb-9970</t>
  </si>
  <si>
    <t>Na+/dicarboxylate Na+/tricarboxylate and phosphate transporters</t>
  </si>
  <si>
    <t>ab-tri_asb-9982</t>
  </si>
  <si>
    <t>Feature ID</t>
  </si>
  <si>
    <t>Kal's Z-test: Dry (48) vs Lactating (192) original values - Bonferroni</t>
  </si>
  <si>
    <t>Dry (48)   RNA-Seq - Unique gene reads</t>
  </si>
  <si>
    <t>Dry (48)   RNA-Seq - Total gene reads</t>
  </si>
  <si>
    <t>Dry (48)  RNA-Seq - RPKM</t>
  </si>
  <si>
    <t>Lactating (192)  RNA-Seq - Unique gene reads</t>
  </si>
  <si>
    <t>Lactating (192)  RNA-Seq - Total gene reads</t>
  </si>
  <si>
    <t>Lactating (192) -  RNA-Seq - RPKM</t>
  </si>
  <si>
    <t xml:space="preserve">Fold change (Lactaing/Dry)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</si>
</sst>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Border="1"/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0" fillId="0" borderId="1" xfId="0" applyBorder="1"/>
    <xf numFmtId="0" fontId="0" fillId="4" borderId="3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hua%20Benoit/Dropbox/Transcriptional%20Analysis%20of%20Partuition/Transcriptome%20paper/Transcriptome%20(CLC)/Removal%20of%20milk/48%20vs.%20192(milk%20only,over%2050,sig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8 vs. 192"/>
    </sheetNames>
    <sheetDataSet>
      <sheetData sheetId="0">
        <row r="2">
          <cell r="AE2">
            <v>3456</v>
          </cell>
          <cell r="AF2">
            <v>74.720544771039911</v>
          </cell>
        </row>
        <row r="3">
          <cell r="AE3">
            <v>6369</v>
          </cell>
          <cell r="AF3">
            <v>45.402920113602796</v>
          </cell>
        </row>
        <row r="4">
          <cell r="AE4">
            <v>154336</v>
          </cell>
          <cell r="AF4">
            <v>43.915985199119675</v>
          </cell>
        </row>
        <row r="5">
          <cell r="AE5">
            <v>3147</v>
          </cell>
          <cell r="AF5">
            <v>40.960444088124603</v>
          </cell>
        </row>
        <row r="6">
          <cell r="AE6">
            <v>1680</v>
          </cell>
          <cell r="AF6">
            <v>40.050211997277387</v>
          </cell>
        </row>
        <row r="7">
          <cell r="AE7">
            <v>134545</v>
          </cell>
          <cell r="AF7">
            <v>39.585306944234468</v>
          </cell>
        </row>
        <row r="8">
          <cell r="AE8">
            <v>1395</v>
          </cell>
          <cell r="AF8">
            <v>34.995586909824695</v>
          </cell>
        </row>
        <row r="9">
          <cell r="AE9">
            <v>2746</v>
          </cell>
          <cell r="AF9">
            <v>32.403809582374308</v>
          </cell>
        </row>
        <row r="10">
          <cell r="AE10">
            <v>1809</v>
          </cell>
          <cell r="AF10">
            <v>26.915265967791221</v>
          </cell>
        </row>
        <row r="11">
          <cell r="AE11">
            <v>238120</v>
          </cell>
          <cell r="AF11">
            <v>25.159869009766993</v>
          </cell>
        </row>
        <row r="12">
          <cell r="AE12">
            <v>24492</v>
          </cell>
          <cell r="AF12">
            <v>24.088459418586041</v>
          </cell>
        </row>
        <row r="13">
          <cell r="AE13">
            <v>126708</v>
          </cell>
          <cell r="AF13">
            <v>22.553067033110406</v>
          </cell>
        </row>
        <row r="14">
          <cell r="AE14">
            <v>2727</v>
          </cell>
          <cell r="AF14">
            <v>18.086016739214635</v>
          </cell>
        </row>
        <row r="15">
          <cell r="AE15">
            <v>6691</v>
          </cell>
          <cell r="AF15">
            <v>16.386894745968789</v>
          </cell>
        </row>
        <row r="16">
          <cell r="AE16">
            <v>838</v>
          </cell>
          <cell r="AF16">
            <v>14.90425799699676</v>
          </cell>
        </row>
        <row r="17">
          <cell r="AE17">
            <v>1754</v>
          </cell>
          <cell r="AF17">
            <v>14.504303053379477</v>
          </cell>
        </row>
        <row r="18">
          <cell r="AE18">
            <v>6411</v>
          </cell>
          <cell r="AF18">
            <v>14.020739801218953</v>
          </cell>
        </row>
        <row r="19">
          <cell r="AE19">
            <v>15491</v>
          </cell>
          <cell r="AF19">
            <v>13.954951266286596</v>
          </cell>
        </row>
        <row r="20">
          <cell r="AE20">
            <v>2178</v>
          </cell>
          <cell r="AF20">
            <v>13.463708160931754</v>
          </cell>
        </row>
        <row r="21">
          <cell r="AE21">
            <v>2056</v>
          </cell>
          <cell r="AF21">
            <v>12.553051521534703</v>
          </cell>
        </row>
        <row r="22">
          <cell r="AE22">
            <v>5353</v>
          </cell>
          <cell r="AF22">
            <v>11.557886101885918</v>
          </cell>
        </row>
        <row r="23">
          <cell r="AE23">
            <v>30431</v>
          </cell>
          <cell r="AF23">
            <v>11.331214272840008</v>
          </cell>
        </row>
        <row r="24">
          <cell r="AE24">
            <v>3992747</v>
          </cell>
          <cell r="AF24">
            <v>11.082178358883905</v>
          </cell>
        </row>
        <row r="25">
          <cell r="AE25">
            <v>10823</v>
          </cell>
          <cell r="AF25">
            <v>11.026265013584315</v>
          </cell>
        </row>
        <row r="26">
          <cell r="AE26">
            <v>9298</v>
          </cell>
          <cell r="AF26">
            <v>10.306880370159117</v>
          </cell>
        </row>
        <row r="27">
          <cell r="AE27">
            <v>3290</v>
          </cell>
          <cell r="AF27">
            <v>10.101735585013815</v>
          </cell>
        </row>
        <row r="28">
          <cell r="AE28">
            <v>3581</v>
          </cell>
          <cell r="AF28">
            <v>9.2029098361153405</v>
          </cell>
        </row>
        <row r="29">
          <cell r="AE29">
            <v>427</v>
          </cell>
          <cell r="AF29">
            <v>9.1457946799752854</v>
          </cell>
        </row>
        <row r="30">
          <cell r="AE30">
            <v>9146</v>
          </cell>
          <cell r="AF30">
            <v>8.9056361227698897</v>
          </cell>
        </row>
        <row r="31">
          <cell r="AE31">
            <v>4788</v>
          </cell>
          <cell r="AF31">
            <v>8.416323145149903</v>
          </cell>
        </row>
        <row r="32">
          <cell r="AE32">
            <v>4819</v>
          </cell>
          <cell r="AF32">
            <v>7.0883917415684143</v>
          </cell>
        </row>
        <row r="33">
          <cell r="AE33">
            <v>716</v>
          </cell>
          <cell r="AF33">
            <v>6.9413861183219101</v>
          </cell>
        </row>
        <row r="34">
          <cell r="AE34">
            <v>3749</v>
          </cell>
          <cell r="AF34">
            <v>6.7276901147461023</v>
          </cell>
        </row>
        <row r="35">
          <cell r="AE35">
            <v>1577</v>
          </cell>
          <cell r="AF35">
            <v>5.7682662262819901</v>
          </cell>
        </row>
        <row r="36">
          <cell r="AE36">
            <v>5302</v>
          </cell>
          <cell r="AF36">
            <v>5.7110793651361513</v>
          </cell>
        </row>
        <row r="37">
          <cell r="AE37">
            <v>6930</v>
          </cell>
          <cell r="AF37">
            <v>5.6261224516558519</v>
          </cell>
        </row>
        <row r="38">
          <cell r="AE38">
            <v>8335</v>
          </cell>
          <cell r="AF38">
            <v>5.5086599181666713</v>
          </cell>
        </row>
        <row r="39">
          <cell r="AE39">
            <v>1669</v>
          </cell>
          <cell r="AF39">
            <v>5.3499196733441456</v>
          </cell>
        </row>
        <row r="40">
          <cell r="AE40">
            <v>12192</v>
          </cell>
          <cell r="AF40">
            <v>5.1125278870757258</v>
          </cell>
        </row>
        <row r="41">
          <cell r="AE41">
            <v>9769</v>
          </cell>
          <cell r="AF41">
            <v>4.7459678604853117</v>
          </cell>
        </row>
        <row r="42">
          <cell r="AE42">
            <v>2386</v>
          </cell>
          <cell r="AF42">
            <v>4.7392218503329486</v>
          </cell>
        </row>
        <row r="43">
          <cell r="AE43">
            <v>6222</v>
          </cell>
          <cell r="AF43">
            <v>4.6863059438282866</v>
          </cell>
        </row>
        <row r="44">
          <cell r="AE44">
            <v>9622</v>
          </cell>
          <cell r="AF44">
            <v>4.6499727816887324</v>
          </cell>
        </row>
        <row r="45">
          <cell r="AE45">
            <v>4863</v>
          </cell>
          <cell r="AF45">
            <v>4.6379637258767596</v>
          </cell>
        </row>
        <row r="46">
          <cell r="AE46">
            <v>4062</v>
          </cell>
          <cell r="AF46">
            <v>4.5299330267442937</v>
          </cell>
        </row>
        <row r="47">
          <cell r="AE47">
            <v>2626</v>
          </cell>
          <cell r="AF47">
            <v>4.19803976728896</v>
          </cell>
        </row>
        <row r="48">
          <cell r="AE48">
            <v>4700</v>
          </cell>
          <cell r="AF48">
            <v>4.0802103750931611</v>
          </cell>
        </row>
        <row r="49">
          <cell r="AE49">
            <v>2186</v>
          </cell>
          <cell r="AF49">
            <v>4.0751779746983914</v>
          </cell>
        </row>
        <row r="50">
          <cell r="AE50">
            <v>568</v>
          </cell>
          <cell r="AF50">
            <v>4.0272238758882768</v>
          </cell>
        </row>
        <row r="51">
          <cell r="AE51">
            <v>10194</v>
          </cell>
          <cell r="AF51">
            <v>3.9862926357396007</v>
          </cell>
        </row>
        <row r="52">
          <cell r="AE52">
            <v>11263</v>
          </cell>
          <cell r="AF52">
            <v>3.9660054422185498</v>
          </cell>
        </row>
        <row r="53">
          <cell r="AE53">
            <v>2813</v>
          </cell>
          <cell r="AF53">
            <v>3.881097722550662</v>
          </cell>
        </row>
        <row r="54">
          <cell r="AE54">
            <v>8486</v>
          </cell>
          <cell r="AF54">
            <v>3.720433385730213</v>
          </cell>
        </row>
        <row r="55">
          <cell r="AE55">
            <v>9918</v>
          </cell>
          <cell r="AF55">
            <v>3.7182906605245343</v>
          </cell>
        </row>
        <row r="56">
          <cell r="AE56">
            <v>3880</v>
          </cell>
          <cell r="AF56">
            <v>3.5921381399526555</v>
          </cell>
        </row>
        <row r="57">
          <cell r="AE57">
            <v>1673</v>
          </cell>
          <cell r="AF57">
            <v>3.5451042807384487</v>
          </cell>
        </row>
        <row r="58">
          <cell r="AE58">
            <v>2196</v>
          </cell>
          <cell r="AF58">
            <v>3.2880896243503801</v>
          </cell>
        </row>
        <row r="59">
          <cell r="AE59">
            <v>21739</v>
          </cell>
          <cell r="AF59">
            <v>3.2854456105736349</v>
          </cell>
        </row>
        <row r="60">
          <cell r="AE60">
            <v>7875</v>
          </cell>
          <cell r="AF60">
            <v>3.2793301157703802</v>
          </cell>
        </row>
        <row r="61">
          <cell r="AE61">
            <v>3766</v>
          </cell>
          <cell r="AF61">
            <v>3.1835246989553747</v>
          </cell>
        </row>
        <row r="62">
          <cell r="AE62">
            <v>11307</v>
          </cell>
          <cell r="AF62">
            <v>3.0264751197968147</v>
          </cell>
        </row>
        <row r="63">
          <cell r="AE63">
            <v>2986</v>
          </cell>
          <cell r="AF63">
            <v>2.8030787027240582</v>
          </cell>
        </row>
        <row r="64">
          <cell r="AE64">
            <v>2464</v>
          </cell>
          <cell r="AF64">
            <v>2.7903937881301211</v>
          </cell>
        </row>
        <row r="65">
          <cell r="AE65">
            <v>6498</v>
          </cell>
          <cell r="AF65">
            <v>2.7532611190702334</v>
          </cell>
        </row>
        <row r="66">
          <cell r="AE66">
            <v>10282</v>
          </cell>
          <cell r="AF66">
            <v>2.7226607320245488</v>
          </cell>
        </row>
        <row r="67">
          <cell r="AE67">
            <v>5304</v>
          </cell>
          <cell r="AF67">
            <v>2.7145867677577415</v>
          </cell>
        </row>
        <row r="68">
          <cell r="AE68">
            <v>4467</v>
          </cell>
          <cell r="AF68">
            <v>2.6620129120432323</v>
          </cell>
        </row>
        <row r="69">
          <cell r="AE69">
            <v>1203</v>
          </cell>
          <cell r="AF69">
            <v>2.5915271869370429</v>
          </cell>
        </row>
        <row r="70">
          <cell r="AE70">
            <v>11676</v>
          </cell>
          <cell r="AF70">
            <v>2.5779991881087971</v>
          </cell>
        </row>
        <row r="71">
          <cell r="AE71">
            <v>8083</v>
          </cell>
          <cell r="AF71">
            <v>2.5478833020220186</v>
          </cell>
        </row>
        <row r="72">
          <cell r="AE72">
            <v>1275</v>
          </cell>
          <cell r="AF72">
            <v>2.4566115165616242</v>
          </cell>
        </row>
        <row r="73">
          <cell r="AE73">
            <v>18739</v>
          </cell>
          <cell r="AF73">
            <v>2.4331588086730576</v>
          </cell>
        </row>
        <row r="74">
          <cell r="AE74">
            <v>16048</v>
          </cell>
          <cell r="AF74">
            <v>2.3878441127179917</v>
          </cell>
        </row>
        <row r="75">
          <cell r="AE75">
            <v>2013</v>
          </cell>
          <cell r="AF75">
            <v>2.3751814739690373</v>
          </cell>
        </row>
        <row r="76">
          <cell r="AE76">
            <v>1829</v>
          </cell>
          <cell r="AF76">
            <v>2.1968930973558303</v>
          </cell>
        </row>
        <row r="77">
          <cell r="AE77">
            <v>4833</v>
          </cell>
          <cell r="AF77">
            <v>2.1480372706894313</v>
          </cell>
        </row>
        <row r="78">
          <cell r="AE78">
            <v>40977</v>
          </cell>
          <cell r="AF78">
            <v>2.1329609495380883</v>
          </cell>
        </row>
        <row r="79">
          <cell r="AE79">
            <v>12304</v>
          </cell>
          <cell r="AF79">
            <v>2.1307115473533029</v>
          </cell>
        </row>
        <row r="80">
          <cell r="AE80">
            <v>2557</v>
          </cell>
          <cell r="AF80">
            <v>2.1225484212330241</v>
          </cell>
        </row>
        <row r="81">
          <cell r="AE81">
            <v>6142</v>
          </cell>
          <cell r="AF81">
            <v>2.1097565582411266</v>
          </cell>
        </row>
        <row r="82">
          <cell r="AE82">
            <v>1332</v>
          </cell>
          <cell r="AF82">
            <v>2.1097565582411262</v>
          </cell>
        </row>
        <row r="83">
          <cell r="AE83">
            <v>43087</v>
          </cell>
          <cell r="AF83">
            <v>2.0936035853469019</v>
          </cell>
        </row>
        <row r="84">
          <cell r="AE84">
            <v>5761</v>
          </cell>
          <cell r="AF84">
            <v>2.0818612399072935</v>
          </cell>
        </row>
        <row r="85">
          <cell r="AE85">
            <v>5200</v>
          </cell>
          <cell r="AF85">
            <v>2.0552929706563217</v>
          </cell>
        </row>
        <row r="86">
          <cell r="AE86">
            <v>28192</v>
          </cell>
          <cell r="AF86">
            <v>2.0460537022602128</v>
          </cell>
        </row>
        <row r="87">
          <cell r="AE87">
            <v>10388</v>
          </cell>
          <cell r="AF87">
            <v>2.0201620857729337</v>
          </cell>
        </row>
        <row r="88">
          <cell r="AE88">
            <v>3490</v>
          </cell>
          <cell r="AF88">
            <v>1.997496041196013</v>
          </cell>
        </row>
        <row r="89">
          <cell r="AE89">
            <v>11263</v>
          </cell>
          <cell r="AF89">
            <v>1.9714524796701289</v>
          </cell>
        </row>
        <row r="90">
          <cell r="AE90">
            <v>7159</v>
          </cell>
          <cell r="AF90">
            <v>1.9550821431245291</v>
          </cell>
        </row>
        <row r="91">
          <cell r="AE91">
            <v>1976</v>
          </cell>
          <cell r="AF91">
            <v>1.9250144965567384</v>
          </cell>
        </row>
        <row r="92">
          <cell r="AE92">
            <v>7121</v>
          </cell>
          <cell r="AF92">
            <v>1.9156932698313198</v>
          </cell>
        </row>
        <row r="93">
          <cell r="AE93">
            <v>83573</v>
          </cell>
          <cell r="AF93">
            <v>1.8764151065822812</v>
          </cell>
        </row>
        <row r="94">
          <cell r="AE94">
            <v>25011</v>
          </cell>
          <cell r="AF94">
            <v>1.8264352029902806</v>
          </cell>
        </row>
        <row r="95">
          <cell r="AE95">
            <v>61796</v>
          </cell>
          <cell r="AF95">
            <v>1.8200734790868898</v>
          </cell>
        </row>
        <row r="96">
          <cell r="AE96">
            <v>1210</v>
          </cell>
          <cell r="AF96">
            <v>1.7873746155131922</v>
          </cell>
        </row>
        <row r="97">
          <cell r="AE97">
            <v>1740</v>
          </cell>
          <cell r="AF97">
            <v>1.7606134740583981</v>
          </cell>
        </row>
        <row r="98">
          <cell r="AE98">
            <v>4484</v>
          </cell>
          <cell r="AF98">
            <v>1.7521770075409993</v>
          </cell>
        </row>
        <row r="99">
          <cell r="AE99">
            <v>203153</v>
          </cell>
          <cell r="AF99">
            <v>1.7059132490560354</v>
          </cell>
        </row>
        <row r="100">
          <cell r="AE100">
            <v>133757</v>
          </cell>
          <cell r="AF100">
            <v>1.7009455084650571</v>
          </cell>
        </row>
        <row r="101">
          <cell r="AE101">
            <v>2299</v>
          </cell>
          <cell r="AF101">
            <v>1.6946771270914025</v>
          </cell>
        </row>
        <row r="102">
          <cell r="AE102">
            <v>6366</v>
          </cell>
          <cell r="AF102">
            <v>1.6925401200900227</v>
          </cell>
        </row>
        <row r="103">
          <cell r="AE103">
            <v>1729</v>
          </cell>
          <cell r="AF103">
            <v>1.6866213203537088</v>
          </cell>
        </row>
        <row r="104">
          <cell r="AE104">
            <v>7225</v>
          </cell>
          <cell r="AF104">
            <v>1.6821743244484542</v>
          </cell>
        </row>
        <row r="105">
          <cell r="AE105">
            <v>3806</v>
          </cell>
          <cell r="AF105">
            <v>1.6783617787838869</v>
          </cell>
        </row>
        <row r="106">
          <cell r="AE106">
            <v>1978</v>
          </cell>
          <cell r="AF106">
            <v>1.6572260902526359</v>
          </cell>
        </row>
        <row r="107">
          <cell r="AE107">
            <v>35463</v>
          </cell>
          <cell r="AF107">
            <v>1.6543677897024214</v>
          </cell>
        </row>
        <row r="108">
          <cell r="AE108">
            <v>6371</v>
          </cell>
          <cell r="AF108">
            <v>1.6459213076958508</v>
          </cell>
        </row>
        <row r="109">
          <cell r="AE109">
            <v>18599</v>
          </cell>
          <cell r="AF109">
            <v>1.6423741991577645</v>
          </cell>
        </row>
        <row r="110">
          <cell r="AE110">
            <v>32080</v>
          </cell>
          <cell r="AF110">
            <v>1.6043470052327604</v>
          </cell>
        </row>
        <row r="111">
          <cell r="AE111">
            <v>28710</v>
          </cell>
          <cell r="AF111">
            <v>1.6021724777628874</v>
          </cell>
        </row>
        <row r="112">
          <cell r="AE112">
            <v>7836</v>
          </cell>
          <cell r="AF112">
            <v>1.6001492176517311</v>
          </cell>
        </row>
        <row r="113">
          <cell r="AE113">
            <v>41007</v>
          </cell>
          <cell r="AF113">
            <v>1.5838627971930814</v>
          </cell>
        </row>
        <row r="114">
          <cell r="AE114">
            <v>35245</v>
          </cell>
          <cell r="AF114">
            <v>1.5767210236516531</v>
          </cell>
        </row>
        <row r="115">
          <cell r="AE115">
            <v>18730</v>
          </cell>
          <cell r="AF115">
            <v>1.572613257339702</v>
          </cell>
        </row>
        <row r="116">
          <cell r="AE116">
            <v>64000</v>
          </cell>
          <cell r="AF116">
            <v>1.533974182650411</v>
          </cell>
        </row>
        <row r="117">
          <cell r="AE117">
            <v>7689</v>
          </cell>
          <cell r="AF117">
            <v>1.5173024716819858</v>
          </cell>
        </row>
        <row r="118">
          <cell r="AE118">
            <v>14779</v>
          </cell>
          <cell r="AF118">
            <v>1.4270080613527298</v>
          </cell>
        </row>
        <row r="119">
          <cell r="AE119">
            <v>17005</v>
          </cell>
          <cell r="AF119">
            <v>1.406932419456298</v>
          </cell>
        </row>
        <row r="120">
          <cell r="AE120">
            <v>34956</v>
          </cell>
          <cell r="AF120">
            <v>1.3881093165017058</v>
          </cell>
        </row>
        <row r="121">
          <cell r="AE121">
            <v>46070</v>
          </cell>
          <cell r="AF121">
            <v>1.3762385737127742</v>
          </cell>
        </row>
        <row r="122">
          <cell r="AE122">
            <v>17691</v>
          </cell>
          <cell r="AF122">
            <v>1.3634380479892916</v>
          </cell>
        </row>
        <row r="123">
          <cell r="AE123">
            <v>3153</v>
          </cell>
          <cell r="AF123">
            <v>1.3619820727685532</v>
          </cell>
        </row>
        <row r="124">
          <cell r="AE124">
            <v>24841</v>
          </cell>
          <cell r="AF124">
            <v>1.3618307489795425</v>
          </cell>
        </row>
        <row r="125">
          <cell r="AE125">
            <v>12852</v>
          </cell>
          <cell r="AF125">
            <v>1.3574113128549488</v>
          </cell>
        </row>
        <row r="126">
          <cell r="AE126">
            <v>26290</v>
          </cell>
          <cell r="AF126">
            <v>1.3528981119305004</v>
          </cell>
        </row>
        <row r="127">
          <cell r="AE127">
            <v>27206</v>
          </cell>
          <cell r="AF127">
            <v>1.3397875435904623</v>
          </cell>
        </row>
        <row r="128">
          <cell r="AE128">
            <v>28527</v>
          </cell>
          <cell r="AF128">
            <v>1.3279559515110844</v>
          </cell>
        </row>
        <row r="129">
          <cell r="AE129">
            <v>6515</v>
          </cell>
          <cell r="AF129">
            <v>1.3214241690033868</v>
          </cell>
        </row>
        <row r="130">
          <cell r="AE130">
            <v>26393</v>
          </cell>
          <cell r="AF130">
            <v>1.3119676600055623</v>
          </cell>
        </row>
        <row r="131">
          <cell r="AE131">
            <v>34472</v>
          </cell>
          <cell r="AF131">
            <v>1.3063057454075422</v>
          </cell>
        </row>
        <row r="132">
          <cell r="AE132">
            <v>33348</v>
          </cell>
          <cell r="AF132">
            <v>1.3033689723359356</v>
          </cell>
        </row>
        <row r="133">
          <cell r="AE133">
            <v>17956</v>
          </cell>
          <cell r="AF133">
            <v>1.2910335965497377</v>
          </cell>
        </row>
        <row r="134">
          <cell r="AE134">
            <v>7330</v>
          </cell>
          <cell r="AF134">
            <v>1.2779308124392805</v>
          </cell>
        </row>
        <row r="135">
          <cell r="AE135">
            <v>14774</v>
          </cell>
          <cell r="AF135">
            <v>1.2657199589480206</v>
          </cell>
        </row>
        <row r="136">
          <cell r="AE136">
            <v>438886</v>
          </cell>
          <cell r="AF136">
            <v>1.2426429099776084</v>
          </cell>
        </row>
        <row r="137">
          <cell r="AE137">
            <v>903771</v>
          </cell>
          <cell r="AF137">
            <v>1.2378298558355545</v>
          </cell>
        </row>
        <row r="138">
          <cell r="AE138">
            <v>32819</v>
          </cell>
          <cell r="AF138">
            <v>1.2363623055103929</v>
          </cell>
        </row>
        <row r="139">
          <cell r="AE139">
            <v>116270</v>
          </cell>
          <cell r="AF139">
            <v>1.230683166197736</v>
          </cell>
        </row>
        <row r="140">
          <cell r="AE140">
            <v>53258</v>
          </cell>
          <cell r="AF140">
            <v>1.2294693815649573</v>
          </cell>
        </row>
        <row r="141">
          <cell r="AE141">
            <v>31391</v>
          </cell>
          <cell r="AF141">
            <v>1.2213945976304854</v>
          </cell>
        </row>
        <row r="142">
          <cell r="AE142">
            <v>20746</v>
          </cell>
          <cell r="AF142">
            <v>1.2079700848754755</v>
          </cell>
        </row>
        <row r="143">
          <cell r="AE143">
            <v>141331</v>
          </cell>
          <cell r="AF143">
            <v>1.1683426864221627</v>
          </cell>
        </row>
        <row r="144">
          <cell r="AE144">
            <v>134537</v>
          </cell>
          <cell r="AF144">
            <v>1.1502823237195279</v>
          </cell>
        </row>
        <row r="145">
          <cell r="AE145">
            <v>35192</v>
          </cell>
          <cell r="AF145">
            <v>1.1352252492991477</v>
          </cell>
        </row>
        <row r="146">
          <cell r="AE146">
            <v>58675</v>
          </cell>
          <cell r="AF146">
            <v>1.1300940048320911</v>
          </cell>
        </row>
        <row r="147">
          <cell r="AE147">
            <v>72553</v>
          </cell>
          <cell r="AF147">
            <v>1.1096898665369708</v>
          </cell>
        </row>
        <row r="148">
          <cell r="AE148">
            <v>197570</v>
          </cell>
          <cell r="AF148">
            <v>1.0698140127775178</v>
          </cell>
        </row>
        <row r="149">
          <cell r="AE149">
            <v>8128426</v>
          </cell>
          <cell r="AF149">
            <v>1.0385216232762262</v>
          </cell>
        </row>
        <row r="150">
          <cell r="AE150">
            <v>448600</v>
          </cell>
          <cell r="AF150">
            <v>1.0205470825542871</v>
          </cell>
        </row>
        <row r="151">
          <cell r="AE151">
            <v>915947</v>
          </cell>
          <cell r="AF151">
            <v>1.0070844068923528</v>
          </cell>
        </row>
        <row r="152">
          <cell r="AE152">
            <v>637911</v>
          </cell>
          <cell r="AF152">
            <v>1.0014987100213704</v>
          </cell>
        </row>
        <row r="153">
          <cell r="AE153">
            <v>306315</v>
          </cell>
          <cell r="AF153">
            <v>0.9988515266945549</v>
          </cell>
        </row>
        <row r="154">
          <cell r="AE154">
            <v>158454</v>
          </cell>
          <cell r="AF154">
            <v>0.70457048642304421</v>
          </cell>
        </row>
        <row r="155">
          <cell r="AE155">
            <v>48231</v>
          </cell>
          <cell r="AF155">
            <v>0.68677339937170523</v>
          </cell>
        </row>
        <row r="156">
          <cell r="AE156">
            <v>101746</v>
          </cell>
          <cell r="AF156">
            <v>0.66839603988496987</v>
          </cell>
        </row>
        <row r="157">
          <cell r="AE157">
            <v>84825</v>
          </cell>
          <cell r="AF157">
            <v>0.66741553859936531</v>
          </cell>
        </row>
        <row r="158">
          <cell r="AE158">
            <v>36603</v>
          </cell>
          <cell r="AF158">
            <v>0.66439400075732202</v>
          </cell>
        </row>
        <row r="159">
          <cell r="AE159">
            <v>26243</v>
          </cell>
          <cell r="AF159">
            <v>0.66332279197902233</v>
          </cell>
        </row>
        <row r="160">
          <cell r="AE160">
            <v>61582</v>
          </cell>
          <cell r="AF160">
            <v>0.65406474204863474</v>
          </cell>
        </row>
        <row r="161">
          <cell r="AE161">
            <v>101025</v>
          </cell>
          <cell r="AF161">
            <v>0.64535859936586415</v>
          </cell>
        </row>
        <row r="162">
          <cell r="AE162">
            <v>38713</v>
          </cell>
          <cell r="AF162">
            <v>0.64425317714738695</v>
          </cell>
        </row>
        <row r="163">
          <cell r="AE163">
            <v>15312</v>
          </cell>
          <cell r="AF163">
            <v>0.640143965269937</v>
          </cell>
        </row>
        <row r="164">
          <cell r="AE164">
            <v>30807</v>
          </cell>
          <cell r="AF164">
            <v>0.6371314447099572</v>
          </cell>
        </row>
        <row r="165">
          <cell r="AE165">
            <v>10792</v>
          </cell>
          <cell r="AF165">
            <v>0.63283439948996567</v>
          </cell>
        </row>
        <row r="166">
          <cell r="AE166">
            <v>78694</v>
          </cell>
          <cell r="AF166">
            <v>0.63159833235610285</v>
          </cell>
        </row>
        <row r="167">
          <cell r="AE167">
            <v>443982</v>
          </cell>
          <cell r="AF167">
            <v>0.60877609162326329</v>
          </cell>
        </row>
        <row r="168">
          <cell r="AE168">
            <v>67024</v>
          </cell>
          <cell r="AF168">
            <v>0.60167115905859159</v>
          </cell>
        </row>
        <row r="169">
          <cell r="AE169">
            <v>109487</v>
          </cell>
          <cell r="AF169">
            <v>0.59957834821358147</v>
          </cell>
        </row>
        <row r="170">
          <cell r="AE170">
            <v>84399</v>
          </cell>
          <cell r="AF170">
            <v>0.5965656391604498</v>
          </cell>
        </row>
        <row r="171">
          <cell r="AE171">
            <v>26830</v>
          </cell>
          <cell r="AF171">
            <v>0.59414567848308453</v>
          </cell>
        </row>
        <row r="172">
          <cell r="AE172">
            <v>6091</v>
          </cell>
          <cell r="AF172">
            <v>0.59371481815450411</v>
          </cell>
        </row>
        <row r="173">
          <cell r="AE173">
            <v>5833</v>
          </cell>
          <cell r="AF173">
            <v>0.59163134491761826</v>
          </cell>
        </row>
        <row r="174">
          <cell r="AE174">
            <v>48148</v>
          </cell>
          <cell r="AF174">
            <v>0.58813602749644067</v>
          </cell>
        </row>
        <row r="175">
          <cell r="AE175">
            <v>55692</v>
          </cell>
          <cell r="AF175">
            <v>0.58722077173926457</v>
          </cell>
        </row>
        <row r="176">
          <cell r="AE176">
            <v>16024</v>
          </cell>
          <cell r="AF176">
            <v>0.57120361156987498</v>
          </cell>
        </row>
        <row r="177">
          <cell r="AE177">
            <v>54837</v>
          </cell>
          <cell r="AF177">
            <v>0.56235327069286634</v>
          </cell>
        </row>
        <row r="178">
          <cell r="AE178">
            <v>21848</v>
          </cell>
          <cell r="AF178">
            <v>0.55745193610188915</v>
          </cell>
        </row>
        <row r="179">
          <cell r="AE179">
            <v>84585</v>
          </cell>
          <cell r="AF179">
            <v>0.55554624953229659</v>
          </cell>
        </row>
        <row r="180">
          <cell r="AE180">
            <v>9519</v>
          </cell>
          <cell r="AF180">
            <v>0.55540763768721246</v>
          </cell>
        </row>
        <row r="181">
          <cell r="AE181">
            <v>12009</v>
          </cell>
          <cell r="AF181">
            <v>0.55391744666452858</v>
          </cell>
        </row>
        <row r="182">
          <cell r="AE182">
            <v>67625</v>
          </cell>
          <cell r="AF182">
            <v>0.55229208977104249</v>
          </cell>
        </row>
        <row r="183">
          <cell r="AE183">
            <v>31221</v>
          </cell>
          <cell r="AF183">
            <v>0.54961202149534716</v>
          </cell>
        </row>
        <row r="184">
          <cell r="AE184">
            <v>27391</v>
          </cell>
          <cell r="AF184">
            <v>0.54743080463563298</v>
          </cell>
        </row>
        <row r="185">
          <cell r="AE185">
            <v>36029</v>
          </cell>
          <cell r="AF185">
            <v>0.54682123847364139</v>
          </cell>
        </row>
        <row r="186">
          <cell r="AE186">
            <v>58418</v>
          </cell>
          <cell r="AF186">
            <v>0.54668000627303237</v>
          </cell>
        </row>
        <row r="187">
          <cell r="AE187">
            <v>10472</v>
          </cell>
          <cell r="AF187">
            <v>0.54506641699247937</v>
          </cell>
        </row>
        <row r="188">
          <cell r="AE188">
            <v>11855</v>
          </cell>
          <cell r="AF188">
            <v>0.54445592464352199</v>
          </cell>
        </row>
        <row r="189">
          <cell r="AE189">
            <v>6839</v>
          </cell>
          <cell r="AF189">
            <v>0.54232515755358457</v>
          </cell>
        </row>
        <row r="190">
          <cell r="AE190">
            <v>72346</v>
          </cell>
          <cell r="AF190">
            <v>0.54196469725931018</v>
          </cell>
        </row>
        <row r="191">
          <cell r="AE191">
            <v>29724</v>
          </cell>
          <cell r="AF191">
            <v>0.53947906320118522</v>
          </cell>
        </row>
        <row r="192">
          <cell r="AE192">
            <v>23767</v>
          </cell>
          <cell r="AF192">
            <v>0.53828222646655921</v>
          </cell>
        </row>
        <row r="193">
          <cell r="AE193">
            <v>238701</v>
          </cell>
          <cell r="AF193">
            <v>0.52935029402882661</v>
          </cell>
        </row>
        <row r="194">
          <cell r="AE194">
            <v>68646</v>
          </cell>
          <cell r="AF194">
            <v>0.52619887794670939</v>
          </cell>
        </row>
        <row r="195">
          <cell r="AE195">
            <v>84972</v>
          </cell>
          <cell r="AF195">
            <v>0.52490352877556423</v>
          </cell>
        </row>
        <row r="196">
          <cell r="AE196">
            <v>11968</v>
          </cell>
          <cell r="AF196">
            <v>0.52393123079360993</v>
          </cell>
        </row>
        <row r="197">
          <cell r="AE197">
            <v>91574</v>
          </cell>
          <cell r="AF197">
            <v>0.51838107638000674</v>
          </cell>
        </row>
        <row r="198">
          <cell r="AE198">
            <v>3453</v>
          </cell>
          <cell r="AF198">
            <v>0.51638278758591105</v>
          </cell>
        </row>
        <row r="199">
          <cell r="AE199">
            <v>20587</v>
          </cell>
          <cell r="AF199">
            <v>0.51252945530789373</v>
          </cell>
        </row>
        <row r="200">
          <cell r="AE200">
            <v>21249</v>
          </cell>
          <cell r="AF200">
            <v>0.51222994946381328</v>
          </cell>
        </row>
        <row r="201">
          <cell r="AE201">
            <v>16103</v>
          </cell>
          <cell r="AF201">
            <v>0.5098970976718914</v>
          </cell>
        </row>
        <row r="202">
          <cell r="AE202">
            <v>12018</v>
          </cell>
          <cell r="AF202">
            <v>0.50900327945301493</v>
          </cell>
        </row>
        <row r="203">
          <cell r="AE203">
            <v>22257</v>
          </cell>
          <cell r="AF203">
            <v>0.50612644152550923</v>
          </cell>
        </row>
        <row r="204">
          <cell r="AE204">
            <v>31381</v>
          </cell>
          <cell r="AF204">
            <v>0.50534796671063242</v>
          </cell>
        </row>
        <row r="205">
          <cell r="AE205">
            <v>11035</v>
          </cell>
          <cell r="AF205">
            <v>0.50534661386328583</v>
          </cell>
        </row>
        <row r="206">
          <cell r="AE206">
            <v>26850</v>
          </cell>
          <cell r="AF206">
            <v>0.50492271712590064</v>
          </cell>
        </row>
        <row r="207">
          <cell r="AE207">
            <v>20609</v>
          </cell>
          <cell r="AF207">
            <v>0.50394567316241379</v>
          </cell>
        </row>
        <row r="208">
          <cell r="AE208">
            <v>13787</v>
          </cell>
          <cell r="AF208">
            <v>0.50171589404603567</v>
          </cell>
        </row>
        <row r="209">
          <cell r="AE209">
            <v>29621</v>
          </cell>
          <cell r="AF209">
            <v>0.50057634553698871</v>
          </cell>
        </row>
        <row r="210">
          <cell r="AE210">
            <v>19603</v>
          </cell>
          <cell r="AF210">
            <v>0.49910497828413175</v>
          </cell>
        </row>
        <row r="211">
          <cell r="AE211">
            <v>20150</v>
          </cell>
          <cell r="AF211">
            <v>0.49778322851779772</v>
          </cell>
        </row>
        <row r="212">
          <cell r="AE212">
            <v>39526</v>
          </cell>
          <cell r="AF212">
            <v>0.49638945490302616</v>
          </cell>
        </row>
        <row r="213">
          <cell r="AE213">
            <v>86853</v>
          </cell>
          <cell r="AF213">
            <v>0.49570938566756445</v>
          </cell>
        </row>
        <row r="214">
          <cell r="AE214">
            <v>10701</v>
          </cell>
          <cell r="AF214">
            <v>0.49259485763054595</v>
          </cell>
        </row>
        <row r="215">
          <cell r="AE215">
            <v>17496</v>
          </cell>
          <cell r="AF215">
            <v>0.49238155444082354</v>
          </cell>
        </row>
        <row r="216">
          <cell r="AE216">
            <v>21953</v>
          </cell>
          <cell r="AF216">
            <v>0.49223162010214455</v>
          </cell>
        </row>
        <row r="217">
          <cell r="AE217">
            <v>16218</v>
          </cell>
          <cell r="AF217">
            <v>0.49064183065613892</v>
          </cell>
        </row>
        <row r="218">
          <cell r="AE218">
            <v>180394</v>
          </cell>
          <cell r="AF218">
            <v>0.48843830047739034</v>
          </cell>
        </row>
        <row r="219">
          <cell r="AE219">
            <v>8103</v>
          </cell>
          <cell r="AF219">
            <v>0.48680323535125947</v>
          </cell>
        </row>
        <row r="220">
          <cell r="AE220">
            <v>2186</v>
          </cell>
          <cell r="AF220">
            <v>0.48585730972052921</v>
          </cell>
        </row>
        <row r="221">
          <cell r="AE221">
            <v>2623</v>
          </cell>
          <cell r="AF221">
            <v>0.48568354101175937</v>
          </cell>
        </row>
        <row r="222">
          <cell r="AE222">
            <v>78809</v>
          </cell>
          <cell r="AF222">
            <v>0.48526611789586793</v>
          </cell>
        </row>
        <row r="223">
          <cell r="AE223">
            <v>16559</v>
          </cell>
          <cell r="AF223">
            <v>0.48394158966126888</v>
          </cell>
        </row>
        <row r="224">
          <cell r="AE224">
            <v>26146</v>
          </cell>
          <cell r="AF224">
            <v>0.4810298167448786</v>
          </cell>
        </row>
        <row r="225">
          <cell r="AE225">
            <v>13294</v>
          </cell>
          <cell r="AF225">
            <v>0.48086872387994239</v>
          </cell>
        </row>
        <row r="226">
          <cell r="AE226">
            <v>97569</v>
          </cell>
          <cell r="AF226">
            <v>0.48066640286685614</v>
          </cell>
        </row>
        <row r="227">
          <cell r="AE227">
            <v>18043</v>
          </cell>
          <cell r="AF227">
            <v>0.48004262023915473</v>
          </cell>
        </row>
        <row r="228">
          <cell r="AE228">
            <v>103627</v>
          </cell>
          <cell r="AF228">
            <v>0.47870552478502126</v>
          </cell>
        </row>
        <row r="229">
          <cell r="AE229">
            <v>46467</v>
          </cell>
          <cell r="AF229">
            <v>0.47379119181950274</v>
          </cell>
        </row>
        <row r="230">
          <cell r="AE230">
            <v>49780</v>
          </cell>
          <cell r="AF230">
            <v>0.4737120869775146</v>
          </cell>
        </row>
        <row r="231">
          <cell r="AE231">
            <v>2878</v>
          </cell>
          <cell r="AF231">
            <v>0.47233355781517766</v>
          </cell>
        </row>
        <row r="232">
          <cell r="AE232">
            <v>13597</v>
          </cell>
          <cell r="AF232">
            <v>0.47071861853533103</v>
          </cell>
        </row>
        <row r="233">
          <cell r="AE233">
            <v>16441</v>
          </cell>
          <cell r="AF233">
            <v>0.468928320257262</v>
          </cell>
        </row>
        <row r="234">
          <cell r="AE234">
            <v>62137</v>
          </cell>
          <cell r="AF234">
            <v>0.46850718877021297</v>
          </cell>
        </row>
        <row r="235">
          <cell r="AE235">
            <v>44218</v>
          </cell>
          <cell r="AF235">
            <v>0.4680379346908507</v>
          </cell>
        </row>
        <row r="236">
          <cell r="AE236">
            <v>39864</v>
          </cell>
          <cell r="AF236">
            <v>0.46547766460419693</v>
          </cell>
        </row>
        <row r="237">
          <cell r="AE237">
            <v>22406</v>
          </cell>
          <cell r="AF237">
            <v>0.46530864710033076</v>
          </cell>
        </row>
        <row r="238">
          <cell r="AE238">
            <v>56267</v>
          </cell>
          <cell r="AF238">
            <v>0.46263657634396144</v>
          </cell>
        </row>
        <row r="239">
          <cell r="AE239">
            <v>38971</v>
          </cell>
          <cell r="AF239">
            <v>0.46263592276844384</v>
          </cell>
        </row>
        <row r="240">
          <cell r="AE240">
            <v>52251</v>
          </cell>
          <cell r="AF240">
            <v>0.46217959148672688</v>
          </cell>
        </row>
        <row r="241">
          <cell r="AE241">
            <v>14176</v>
          </cell>
          <cell r="AF241">
            <v>0.46160515364674359</v>
          </cell>
        </row>
        <row r="242">
          <cell r="AE242">
            <v>78940</v>
          </cell>
          <cell r="AF242">
            <v>0.46106722968202152</v>
          </cell>
        </row>
        <row r="243">
          <cell r="AE243">
            <v>17456</v>
          </cell>
          <cell r="AF243">
            <v>0.46039475188514611</v>
          </cell>
        </row>
        <row r="244">
          <cell r="AE244">
            <v>3856</v>
          </cell>
          <cell r="AF244">
            <v>0.45693084195814576</v>
          </cell>
        </row>
        <row r="245">
          <cell r="AE245">
            <v>44151</v>
          </cell>
          <cell r="AF245">
            <v>0.45257072910508334</v>
          </cell>
        </row>
        <row r="246">
          <cell r="AE246">
            <v>68056</v>
          </cell>
          <cell r="AF246">
            <v>0.44942722904367327</v>
          </cell>
        </row>
        <row r="247">
          <cell r="AE247">
            <v>12335</v>
          </cell>
          <cell r="AF247">
            <v>0.44877768102095483</v>
          </cell>
        </row>
        <row r="248">
          <cell r="AE248">
            <v>176472</v>
          </cell>
          <cell r="AF248">
            <v>0.44646074158222798</v>
          </cell>
        </row>
        <row r="249">
          <cell r="AE249">
            <v>5116</v>
          </cell>
          <cell r="AF249">
            <v>0.44602529727130874</v>
          </cell>
        </row>
        <row r="250">
          <cell r="AE250">
            <v>21018</v>
          </cell>
          <cell r="AF250">
            <v>0.44531438762874792</v>
          </cell>
        </row>
        <row r="251">
          <cell r="AE251">
            <v>46213</v>
          </cell>
          <cell r="AF251">
            <v>0.4439903565219202</v>
          </cell>
        </row>
        <row r="252">
          <cell r="AE252">
            <v>16052</v>
          </cell>
          <cell r="AF252">
            <v>0.4414666826531497</v>
          </cell>
        </row>
        <row r="253">
          <cell r="AE253">
            <v>18752</v>
          </cell>
          <cell r="AF253">
            <v>0.44141132030611135</v>
          </cell>
        </row>
        <row r="254">
          <cell r="AE254">
            <v>32014</v>
          </cell>
          <cell r="AF254">
            <v>0.44101260703626494</v>
          </cell>
        </row>
        <row r="255">
          <cell r="AE255">
            <v>11626</v>
          </cell>
          <cell r="AF255">
            <v>0.44058941603341556</v>
          </cell>
        </row>
        <row r="256">
          <cell r="AE256">
            <v>24585</v>
          </cell>
          <cell r="AF256">
            <v>0.439694680595548</v>
          </cell>
        </row>
        <row r="257">
          <cell r="AE257">
            <v>5724</v>
          </cell>
          <cell r="AF257">
            <v>0.43818726429208094</v>
          </cell>
        </row>
        <row r="258">
          <cell r="AE258">
            <v>12014</v>
          </cell>
          <cell r="AF258">
            <v>0.43699916121994514</v>
          </cell>
        </row>
        <row r="259">
          <cell r="AE259">
            <v>66108</v>
          </cell>
          <cell r="AF259">
            <v>0.43230661328248565</v>
          </cell>
        </row>
        <row r="260">
          <cell r="AE260">
            <v>22023</v>
          </cell>
          <cell r="AF260">
            <v>0.43082661800068422</v>
          </cell>
        </row>
        <row r="261">
          <cell r="AE261">
            <v>15557</v>
          </cell>
          <cell r="AF261">
            <v>0.42825974919894633</v>
          </cell>
        </row>
        <row r="262">
          <cell r="AE262">
            <v>96772</v>
          </cell>
          <cell r="AF262">
            <v>0.42711658049707374</v>
          </cell>
        </row>
        <row r="263">
          <cell r="AE263">
            <v>10009</v>
          </cell>
          <cell r="AF263">
            <v>0.42675273659215068</v>
          </cell>
        </row>
        <row r="264">
          <cell r="AE264">
            <v>10566</v>
          </cell>
          <cell r="AF264">
            <v>0.42387690270302064</v>
          </cell>
        </row>
        <row r="265">
          <cell r="AE265">
            <v>9834</v>
          </cell>
          <cell r="AF265">
            <v>0.42330371969837993</v>
          </cell>
        </row>
        <row r="266">
          <cell r="AE266">
            <v>31126</v>
          </cell>
          <cell r="AF266">
            <v>0.41609737186304863</v>
          </cell>
        </row>
        <row r="267">
          <cell r="AE267">
            <v>6117</v>
          </cell>
          <cell r="AF267">
            <v>0.41564243430431064</v>
          </cell>
        </row>
        <row r="268">
          <cell r="AE268">
            <v>41863</v>
          </cell>
          <cell r="AF268">
            <v>0.41401126756087525</v>
          </cell>
        </row>
        <row r="269">
          <cell r="AE269">
            <v>4816</v>
          </cell>
          <cell r="AF269">
            <v>0.4098955598868475</v>
          </cell>
        </row>
        <row r="270">
          <cell r="AE270">
            <v>9773</v>
          </cell>
          <cell r="AF270">
            <v>0.40900061953084921</v>
          </cell>
        </row>
        <row r="271">
          <cell r="AE271">
            <v>17557</v>
          </cell>
          <cell r="AF271">
            <v>0.40736719732586235</v>
          </cell>
        </row>
        <row r="272">
          <cell r="AE272">
            <v>282752</v>
          </cell>
          <cell r="AF272">
            <v>0.40654988832070071</v>
          </cell>
        </row>
        <row r="273">
          <cell r="AE273">
            <v>19927</v>
          </cell>
          <cell r="AF273">
            <v>0.40564551977602759</v>
          </cell>
        </row>
        <row r="274">
          <cell r="AE274">
            <v>27861</v>
          </cell>
          <cell r="AF274">
            <v>0.40481244017971574</v>
          </cell>
        </row>
        <row r="275">
          <cell r="AE275">
            <v>15051</v>
          </cell>
          <cell r="AF275">
            <v>0.40055022098184373</v>
          </cell>
        </row>
        <row r="276">
          <cell r="AE276">
            <v>16432</v>
          </cell>
          <cell r="AF276">
            <v>0.40052704165536579</v>
          </cell>
        </row>
        <row r="277">
          <cell r="AE277">
            <v>45925</v>
          </cell>
          <cell r="AF277">
            <v>0.39909304147108865</v>
          </cell>
        </row>
        <row r="278">
          <cell r="AE278">
            <v>17079</v>
          </cell>
          <cell r="AF278">
            <v>0.39815314898317711</v>
          </cell>
        </row>
        <row r="279">
          <cell r="AE279">
            <v>35587</v>
          </cell>
          <cell r="AF279">
            <v>0.39585074555568756</v>
          </cell>
        </row>
        <row r="280">
          <cell r="AE280">
            <v>2021</v>
          </cell>
          <cell r="AF280">
            <v>0.39130325073586175</v>
          </cell>
        </row>
        <row r="281">
          <cell r="AE281">
            <v>16472</v>
          </cell>
          <cell r="AF281">
            <v>0.38945454414912223</v>
          </cell>
        </row>
        <row r="282">
          <cell r="AE282">
            <v>54166</v>
          </cell>
          <cell r="AF282">
            <v>0.3888409209489565</v>
          </cell>
        </row>
        <row r="283">
          <cell r="AE283">
            <v>15345</v>
          </cell>
          <cell r="AF283">
            <v>0.3887767239470743</v>
          </cell>
        </row>
        <row r="284">
          <cell r="AE284">
            <v>55080</v>
          </cell>
          <cell r="AF284">
            <v>0.3839890871079919</v>
          </cell>
        </row>
        <row r="285">
          <cell r="AE285">
            <v>10455</v>
          </cell>
          <cell r="AF285">
            <v>0.38175090391143818</v>
          </cell>
        </row>
        <row r="286">
          <cell r="AE286">
            <v>17468</v>
          </cell>
          <cell r="AF286">
            <v>0.38010895320978605</v>
          </cell>
        </row>
        <row r="287">
          <cell r="AE287">
            <v>34203</v>
          </cell>
          <cell r="AF287">
            <v>0.37989297379765946</v>
          </cell>
        </row>
        <row r="288">
          <cell r="AE288">
            <v>119674</v>
          </cell>
          <cell r="AF288">
            <v>0.37131992058613428</v>
          </cell>
        </row>
        <row r="289">
          <cell r="AE289">
            <v>6767</v>
          </cell>
          <cell r="AF289">
            <v>0.37061816571883843</v>
          </cell>
        </row>
        <row r="290">
          <cell r="AE290">
            <v>17209</v>
          </cell>
          <cell r="AF290">
            <v>0.36964360331644808</v>
          </cell>
        </row>
        <row r="291">
          <cell r="AE291">
            <v>17009</v>
          </cell>
          <cell r="AF291">
            <v>0.36951781000577227</v>
          </cell>
        </row>
        <row r="292">
          <cell r="AE292">
            <v>7725</v>
          </cell>
          <cell r="AF292">
            <v>0.36351667180530201</v>
          </cell>
        </row>
        <row r="293">
          <cell r="AE293">
            <v>7616</v>
          </cell>
          <cell r="AF293">
            <v>0.36228142919292078</v>
          </cell>
        </row>
        <row r="294">
          <cell r="AE294">
            <v>21735</v>
          </cell>
          <cell r="AF294">
            <v>0.35943115913942847</v>
          </cell>
        </row>
        <row r="295">
          <cell r="AE295">
            <v>15618</v>
          </cell>
          <cell r="AF295">
            <v>0.35634628673676688</v>
          </cell>
        </row>
        <row r="296">
          <cell r="AE296">
            <v>12428</v>
          </cell>
          <cell r="AF296">
            <v>0.35547730053819837</v>
          </cell>
        </row>
        <row r="297">
          <cell r="AE297">
            <v>3080</v>
          </cell>
          <cell r="AF297">
            <v>0.35336167461096524</v>
          </cell>
        </row>
        <row r="298">
          <cell r="AE298">
            <v>9405</v>
          </cell>
          <cell r="AF298">
            <v>0.35031665677607016</v>
          </cell>
        </row>
        <row r="299">
          <cell r="AE299">
            <v>6654</v>
          </cell>
          <cell r="AF299">
            <v>0.34976944664374715</v>
          </cell>
        </row>
        <row r="300">
          <cell r="AE300">
            <v>22538</v>
          </cell>
          <cell r="AF300">
            <v>0.34813107051955949</v>
          </cell>
        </row>
        <row r="301">
          <cell r="AE301">
            <v>4904</v>
          </cell>
          <cell r="AF301">
            <v>0.34073003575282257</v>
          </cell>
        </row>
        <row r="302">
          <cell r="AE302">
            <v>13397</v>
          </cell>
          <cell r="AF302">
            <v>0.33882862580946532</v>
          </cell>
        </row>
        <row r="303">
          <cell r="AE303">
            <v>3343</v>
          </cell>
          <cell r="AF303">
            <v>0.33787605029777024</v>
          </cell>
        </row>
        <row r="304">
          <cell r="AE304">
            <v>2829</v>
          </cell>
          <cell r="AF304">
            <v>0.33741927651332254</v>
          </cell>
        </row>
        <row r="305">
          <cell r="AE305">
            <v>13852</v>
          </cell>
          <cell r="AF305">
            <v>0.33366091710756685</v>
          </cell>
        </row>
        <row r="306">
          <cell r="AE306">
            <v>13527</v>
          </cell>
          <cell r="AF306">
            <v>0.33347138444897551</v>
          </cell>
        </row>
        <row r="307">
          <cell r="AE307">
            <v>6282</v>
          </cell>
          <cell r="AF307">
            <v>0.33306915540069432</v>
          </cell>
        </row>
        <row r="308">
          <cell r="AE308">
            <v>8153</v>
          </cell>
          <cell r="AF308">
            <v>0.33057654147977789</v>
          </cell>
        </row>
        <row r="309">
          <cell r="AE309">
            <v>16770</v>
          </cell>
          <cell r="AF309">
            <v>0.33009355681948915</v>
          </cell>
        </row>
        <row r="310">
          <cell r="AE310">
            <v>11219</v>
          </cell>
          <cell r="AF310">
            <v>0.3294073900309275</v>
          </cell>
        </row>
        <row r="311">
          <cell r="AE311">
            <v>16304</v>
          </cell>
          <cell r="AF311">
            <v>0.32846674310961638</v>
          </cell>
        </row>
        <row r="312">
          <cell r="AE312">
            <v>72307</v>
          </cell>
          <cell r="AF312">
            <v>0.32573624858024913</v>
          </cell>
        </row>
        <row r="313">
          <cell r="AE313">
            <v>10701</v>
          </cell>
          <cell r="AF313">
            <v>0.32504550483907058</v>
          </cell>
        </row>
        <row r="314">
          <cell r="AE314">
            <v>11819</v>
          </cell>
          <cell r="AF314">
            <v>0.32365966696269061</v>
          </cell>
        </row>
        <row r="315">
          <cell r="AE315">
            <v>43407</v>
          </cell>
          <cell r="AF315">
            <v>0.32190685172087041</v>
          </cell>
        </row>
        <row r="316">
          <cell r="AE316">
            <v>39971</v>
          </cell>
          <cell r="AF316">
            <v>0.31679575331481458</v>
          </cell>
        </row>
        <row r="317">
          <cell r="AE317">
            <v>12181</v>
          </cell>
          <cell r="AF317">
            <v>0.31622917953124602</v>
          </cell>
        </row>
        <row r="318">
          <cell r="AE318">
            <v>3399</v>
          </cell>
          <cell r="AF318">
            <v>0.31365582291721694</v>
          </cell>
        </row>
        <row r="319">
          <cell r="AE319">
            <v>1683</v>
          </cell>
          <cell r="AF319">
            <v>0.30992103308517738</v>
          </cell>
        </row>
        <row r="320">
          <cell r="AE320">
            <v>8065</v>
          </cell>
          <cell r="AF320">
            <v>0.30338837604338731</v>
          </cell>
        </row>
        <row r="321">
          <cell r="AE321">
            <v>13621</v>
          </cell>
          <cell r="AF321">
            <v>0.30303759558018034</v>
          </cell>
        </row>
        <row r="322">
          <cell r="AE322">
            <v>22379</v>
          </cell>
          <cell r="AF322">
            <v>0.30248768241950041</v>
          </cell>
        </row>
        <row r="323">
          <cell r="AE323">
            <v>956</v>
          </cell>
          <cell r="AF323">
            <v>0.29997698560095137</v>
          </cell>
        </row>
        <row r="324">
          <cell r="AE324">
            <v>2010</v>
          </cell>
          <cell r="AF324">
            <v>0.29870871293263079</v>
          </cell>
        </row>
        <row r="325">
          <cell r="AE325">
            <v>10886</v>
          </cell>
          <cell r="AF325">
            <v>0.29325976955884836</v>
          </cell>
        </row>
        <row r="326">
          <cell r="AE326">
            <v>7181</v>
          </cell>
          <cell r="AF326">
            <v>0.2928299723150814</v>
          </cell>
        </row>
        <row r="327">
          <cell r="AE327">
            <v>4319</v>
          </cell>
          <cell r="AF327">
            <v>0.28819920950119982</v>
          </cell>
        </row>
        <row r="328">
          <cell r="AE328">
            <v>1929</v>
          </cell>
          <cell r="AF328">
            <v>0.2868406240639319</v>
          </cell>
        </row>
        <row r="329">
          <cell r="AE329">
            <v>12561</v>
          </cell>
          <cell r="AF329">
            <v>0.28547716440762755</v>
          </cell>
        </row>
        <row r="330">
          <cell r="AE330">
            <v>7782</v>
          </cell>
          <cell r="AF330">
            <v>0.2824776685855645</v>
          </cell>
        </row>
        <row r="331">
          <cell r="AE331">
            <v>17583</v>
          </cell>
          <cell r="AF331">
            <v>0.2763801863431336</v>
          </cell>
        </row>
        <row r="332">
          <cell r="AE332">
            <v>633</v>
          </cell>
          <cell r="AF332">
            <v>0.27438363981496622</v>
          </cell>
        </row>
        <row r="333">
          <cell r="AE333">
            <v>18521</v>
          </cell>
          <cell r="AF333">
            <v>0.27209968918550442</v>
          </cell>
        </row>
        <row r="334">
          <cell r="AE334">
            <v>29695</v>
          </cell>
          <cell r="AF334">
            <v>0.2705716587492365</v>
          </cell>
        </row>
        <row r="335">
          <cell r="AE335">
            <v>6479</v>
          </cell>
          <cell r="AF335">
            <v>0.27042732153724852</v>
          </cell>
        </row>
        <row r="336">
          <cell r="AE336">
            <v>5081</v>
          </cell>
          <cell r="AF336">
            <v>0.26771622464900968</v>
          </cell>
        </row>
        <row r="337">
          <cell r="AE337">
            <v>22243</v>
          </cell>
          <cell r="AF337">
            <v>0.26577247661076464</v>
          </cell>
        </row>
        <row r="338">
          <cell r="AE338">
            <v>17325</v>
          </cell>
          <cell r="AF338">
            <v>0.26152190669863962</v>
          </cell>
        </row>
        <row r="339">
          <cell r="AE339">
            <v>19558</v>
          </cell>
          <cell r="AF339">
            <v>0.25741299759747827</v>
          </cell>
        </row>
        <row r="340">
          <cell r="AE340">
            <v>1488</v>
          </cell>
          <cell r="AF340">
            <v>0.25618472492927968</v>
          </cell>
        </row>
        <row r="341">
          <cell r="AE341">
            <v>8681</v>
          </cell>
          <cell r="AF341">
            <v>0.25615099866217467</v>
          </cell>
        </row>
        <row r="342">
          <cell r="AE342">
            <v>4231</v>
          </cell>
          <cell r="AF342">
            <v>0.25570044378574608</v>
          </cell>
        </row>
        <row r="343">
          <cell r="AE343">
            <v>5449</v>
          </cell>
          <cell r="AF343">
            <v>0.25141376018378775</v>
          </cell>
        </row>
        <row r="344">
          <cell r="AE344">
            <v>35145</v>
          </cell>
          <cell r="AF344">
            <v>0.2415529237346942</v>
          </cell>
        </row>
        <row r="345">
          <cell r="AE345">
            <v>1749</v>
          </cell>
          <cell r="AF345">
            <v>0.23809914525486808</v>
          </cell>
        </row>
        <row r="346">
          <cell r="AE346">
            <v>8032</v>
          </cell>
          <cell r="AF346">
            <v>0.22799937208833729</v>
          </cell>
        </row>
        <row r="347">
          <cell r="AE347">
            <v>20994</v>
          </cell>
          <cell r="AF347">
            <v>0.22160629965383716</v>
          </cell>
        </row>
        <row r="348">
          <cell r="AE348">
            <v>14740</v>
          </cell>
          <cell r="AF348">
            <v>0.21820832707810875</v>
          </cell>
        </row>
        <row r="349">
          <cell r="AE349">
            <v>54026</v>
          </cell>
          <cell r="AF349">
            <v>0.20704659686649304</v>
          </cell>
        </row>
        <row r="350">
          <cell r="AE350">
            <v>11623</v>
          </cell>
          <cell r="AF350">
            <v>0.19824575646877854</v>
          </cell>
        </row>
        <row r="351">
          <cell r="AE351">
            <v>1964</v>
          </cell>
          <cell r="AF351">
            <v>0.18426312893565819</v>
          </cell>
        </row>
        <row r="352">
          <cell r="AE352">
            <v>4073</v>
          </cell>
          <cell r="AF352">
            <v>0.17758730662259026</v>
          </cell>
        </row>
        <row r="353">
          <cell r="AE353">
            <v>2977</v>
          </cell>
          <cell r="AF353">
            <v>0.16225032578854379</v>
          </cell>
        </row>
        <row r="354">
          <cell r="AE354">
            <v>7294</v>
          </cell>
          <cell r="AF354">
            <v>0.13652098354154002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1"/>
  <sheetViews>
    <sheetView tabSelected="1" topLeftCell="A1187" workbookViewId="0">
      <selection sqref="A1:XFD1048576"/>
    </sheetView>
  </sheetViews>
  <sheetFormatPr defaultRowHeight="15"/>
  <cols>
    <col min="11" max="11" width="142.42578125" bestFit="1" customWidth="1"/>
  </cols>
  <sheetData>
    <row r="1" spans="1:11" ht="135">
      <c r="A1" s="2" t="s">
        <v>2275</v>
      </c>
      <c r="B1" s="2" t="s">
        <v>2276</v>
      </c>
      <c r="C1" s="2" t="s">
        <v>2277</v>
      </c>
      <c r="D1" s="2" t="s">
        <v>2278</v>
      </c>
      <c r="E1" s="2" t="s">
        <v>2279</v>
      </c>
      <c r="F1" s="2" t="s">
        <v>2280</v>
      </c>
      <c r="G1" s="2" t="s">
        <v>2281</v>
      </c>
      <c r="H1" s="2" t="s">
        <v>2282</v>
      </c>
      <c r="I1" s="3" t="s">
        <v>0</v>
      </c>
      <c r="J1" s="3" t="s">
        <v>2283</v>
      </c>
      <c r="K1" s="4" t="s">
        <v>1</v>
      </c>
    </row>
    <row r="2" spans="1:11">
      <c r="A2" s="5" t="s">
        <v>1991</v>
      </c>
      <c r="B2" s="5">
        <v>0</v>
      </c>
      <c r="C2" s="5">
        <v>499</v>
      </c>
      <c r="D2" s="5">
        <v>1291</v>
      </c>
      <c r="E2" s="5">
        <v>50.472742784277429</v>
      </c>
      <c r="F2" s="5">
        <v>68805</v>
      </c>
      <c r="G2" s="5">
        <v>181928</v>
      </c>
      <c r="H2" s="5">
        <v>7061.9787868336725</v>
      </c>
      <c r="I2" s="1">
        <f t="shared" ref="I2:I65" si="0">D2+G2</f>
        <v>183219</v>
      </c>
      <c r="J2" s="1">
        <f t="shared" ref="J2:J65" si="1">H2/(E2+1)</f>
        <v>137.19841618758238</v>
      </c>
      <c r="K2" s="6" t="s">
        <v>83</v>
      </c>
    </row>
    <row r="3" spans="1:11">
      <c r="A3" s="5" t="s">
        <v>1671</v>
      </c>
      <c r="B3" s="5">
        <v>0</v>
      </c>
      <c r="C3" s="5">
        <v>941</v>
      </c>
      <c r="D3" s="5">
        <v>1180</v>
      </c>
      <c r="E3" s="5">
        <v>89.439108535568437</v>
      </c>
      <c r="F3" s="5">
        <v>94267</v>
      </c>
      <c r="G3" s="5">
        <v>117485</v>
      </c>
      <c r="H3" s="5">
        <v>8841.4618175301166</v>
      </c>
      <c r="I3" s="1">
        <f t="shared" si="0"/>
        <v>118665</v>
      </c>
      <c r="J3" s="1">
        <f t="shared" si="1"/>
        <v>97.761487930333743</v>
      </c>
      <c r="K3" s="6" t="s">
        <v>1672</v>
      </c>
    </row>
    <row r="4" spans="1:11">
      <c r="A4" s="5" t="s">
        <v>1831</v>
      </c>
      <c r="B4" s="5">
        <v>0</v>
      </c>
      <c r="C4" s="5">
        <v>4206</v>
      </c>
      <c r="D4" s="5">
        <v>5152</v>
      </c>
      <c r="E4" s="5">
        <v>252.59385111607</v>
      </c>
      <c r="F4" s="5">
        <v>326253</v>
      </c>
      <c r="G4" s="5">
        <v>409446</v>
      </c>
      <c r="H4" s="5">
        <v>19931.489386181431</v>
      </c>
      <c r="I4" s="1">
        <f t="shared" si="0"/>
        <v>414598</v>
      </c>
      <c r="J4" s="1">
        <f t="shared" si="1"/>
        <v>78.596106721289473</v>
      </c>
      <c r="K4" s="6" t="s">
        <v>2</v>
      </c>
    </row>
    <row r="5" spans="1:11">
      <c r="A5" s="5" t="s">
        <v>1727</v>
      </c>
      <c r="B5" s="5">
        <v>0</v>
      </c>
      <c r="C5" s="5">
        <v>1972</v>
      </c>
      <c r="D5" s="5">
        <v>2691</v>
      </c>
      <c r="E5" s="5">
        <v>217.92864745724393</v>
      </c>
      <c r="F5" s="5">
        <v>142862</v>
      </c>
      <c r="G5" s="5">
        <v>202711</v>
      </c>
      <c r="H5" s="5">
        <v>16299.494727065252</v>
      </c>
      <c r="I5" s="1">
        <f t="shared" si="0"/>
        <v>205402</v>
      </c>
      <c r="J5" s="1">
        <f t="shared" si="1"/>
        <v>74.451173550727262</v>
      </c>
      <c r="K5" s="6" t="s">
        <v>839</v>
      </c>
    </row>
    <row r="6" spans="1:11">
      <c r="A6" s="5" t="s">
        <v>1866</v>
      </c>
      <c r="B6" s="5">
        <v>0</v>
      </c>
      <c r="C6" s="5">
        <v>5966</v>
      </c>
      <c r="D6" s="5">
        <v>7200</v>
      </c>
      <c r="E6" s="5">
        <v>214.82140921678683</v>
      </c>
      <c r="F6" s="5">
        <v>328090</v>
      </c>
      <c r="G6" s="5">
        <v>399409</v>
      </c>
      <c r="H6" s="5">
        <v>11832.02589584935</v>
      </c>
      <c r="I6" s="1">
        <f t="shared" si="0"/>
        <v>406609</v>
      </c>
      <c r="J6" s="1">
        <f t="shared" si="1"/>
        <v>54.823226012598205</v>
      </c>
      <c r="K6" s="6" t="s">
        <v>839</v>
      </c>
    </row>
    <row r="7" spans="1:11">
      <c r="A7" s="5" t="s">
        <v>1013</v>
      </c>
      <c r="B7" s="5">
        <v>0</v>
      </c>
      <c r="C7" s="5">
        <v>10125</v>
      </c>
      <c r="D7" s="5">
        <v>10559</v>
      </c>
      <c r="E7" s="5">
        <v>85.435000373636612</v>
      </c>
      <c r="F7" s="5">
        <v>496681</v>
      </c>
      <c r="G7" s="5">
        <v>517608</v>
      </c>
      <c r="H7" s="5">
        <v>4158.2463580779859</v>
      </c>
      <c r="I7" s="1">
        <f t="shared" si="0"/>
        <v>528167</v>
      </c>
      <c r="J7" s="1">
        <f t="shared" si="1"/>
        <v>48.108362817179845</v>
      </c>
      <c r="K7" s="6" t="s">
        <v>208</v>
      </c>
    </row>
    <row r="8" spans="1:11">
      <c r="A8" s="5" t="s">
        <v>1726</v>
      </c>
      <c r="B8" s="5">
        <v>0</v>
      </c>
      <c r="C8" s="5">
        <v>13517</v>
      </c>
      <c r="D8" s="5">
        <v>17131</v>
      </c>
      <c r="E8" s="5">
        <v>1102.0016653201376</v>
      </c>
      <c r="F8" s="5">
        <v>592700</v>
      </c>
      <c r="G8" s="5">
        <v>795711</v>
      </c>
      <c r="H8" s="5">
        <v>50821.923432902317</v>
      </c>
      <c r="I8" s="1">
        <f t="shared" si="0"/>
        <v>812842</v>
      </c>
      <c r="J8" s="1">
        <f t="shared" si="1"/>
        <v>46.076016955198021</v>
      </c>
      <c r="K8" s="6" t="s">
        <v>839</v>
      </c>
    </row>
    <row r="9" spans="1:11">
      <c r="A9" s="5" t="s">
        <v>1725</v>
      </c>
      <c r="B9" s="5">
        <v>0</v>
      </c>
      <c r="C9" s="5">
        <v>356</v>
      </c>
      <c r="D9" s="5">
        <v>410</v>
      </c>
      <c r="E9" s="5">
        <v>39.145234568392262</v>
      </c>
      <c r="F9" s="5">
        <v>16582</v>
      </c>
      <c r="G9" s="5">
        <v>19277</v>
      </c>
      <c r="H9" s="5">
        <v>1827.3876708379664</v>
      </c>
      <c r="I9" s="1">
        <f t="shared" si="0"/>
        <v>19687</v>
      </c>
      <c r="J9" s="1">
        <f t="shared" si="1"/>
        <v>45.519416949097419</v>
      </c>
      <c r="K9" s="6" t="s">
        <v>839</v>
      </c>
    </row>
    <row r="10" spans="1:11">
      <c r="A10" s="5" t="s">
        <v>1837</v>
      </c>
      <c r="B10" s="5">
        <v>0</v>
      </c>
      <c r="C10" s="5">
        <v>28120</v>
      </c>
      <c r="D10" s="5">
        <v>29488</v>
      </c>
      <c r="E10" s="5">
        <v>1346.2910579944919</v>
      </c>
      <c r="F10" s="5">
        <v>1119496</v>
      </c>
      <c r="G10" s="5">
        <v>1163120</v>
      </c>
      <c r="H10" s="5">
        <v>52724.730300352792</v>
      </c>
      <c r="I10" s="1">
        <f t="shared" si="0"/>
        <v>1192608</v>
      </c>
      <c r="J10" s="1">
        <f t="shared" si="1"/>
        <v>39.133882754952822</v>
      </c>
      <c r="K10" s="6" t="s">
        <v>83</v>
      </c>
    </row>
    <row r="11" spans="1:11">
      <c r="A11" s="5" t="s">
        <v>1405</v>
      </c>
      <c r="B11" s="5">
        <v>0</v>
      </c>
      <c r="C11" s="5">
        <v>2271</v>
      </c>
      <c r="D11" s="5">
        <v>2354</v>
      </c>
      <c r="E11" s="5">
        <v>381.27390272341302</v>
      </c>
      <c r="F11" s="5">
        <v>81196</v>
      </c>
      <c r="G11" s="5">
        <v>84722</v>
      </c>
      <c r="H11" s="5">
        <v>13624.576784352326</v>
      </c>
      <c r="I11" s="1">
        <f t="shared" si="0"/>
        <v>87076</v>
      </c>
      <c r="J11" s="1">
        <f t="shared" si="1"/>
        <v>35.640876050621038</v>
      </c>
      <c r="K11" s="6" t="s">
        <v>2</v>
      </c>
    </row>
    <row r="12" spans="1:11">
      <c r="A12" s="5" t="s">
        <v>1496</v>
      </c>
      <c r="B12" s="5">
        <v>0</v>
      </c>
      <c r="C12" s="5">
        <v>2600</v>
      </c>
      <c r="D12" s="5">
        <v>2915</v>
      </c>
      <c r="E12" s="5">
        <v>216.71919397944879</v>
      </c>
      <c r="F12" s="5">
        <v>75235</v>
      </c>
      <c r="G12" s="5">
        <v>83947</v>
      </c>
      <c r="H12" s="5">
        <v>6196.696103640159</v>
      </c>
      <c r="I12" s="1">
        <f t="shared" si="0"/>
        <v>86862</v>
      </c>
      <c r="J12" s="1">
        <f t="shared" si="1"/>
        <v>28.461873252319155</v>
      </c>
      <c r="K12" s="6" t="s">
        <v>83</v>
      </c>
    </row>
    <row r="13" spans="1:11">
      <c r="A13" s="5" t="s">
        <v>1653</v>
      </c>
      <c r="B13" s="5">
        <v>2.549905075170944E-3</v>
      </c>
      <c r="C13" s="5">
        <v>8</v>
      </c>
      <c r="D13" s="5">
        <v>8</v>
      </c>
      <c r="E13" s="5">
        <v>0.3298268101106222</v>
      </c>
      <c r="F13" s="5">
        <v>874</v>
      </c>
      <c r="G13" s="5">
        <v>920</v>
      </c>
      <c r="H13" s="5">
        <v>37.659972183345737</v>
      </c>
      <c r="I13" s="1">
        <f t="shared" si="0"/>
        <v>928</v>
      </c>
      <c r="J13" s="1">
        <f t="shared" si="1"/>
        <v>28.319456260784044</v>
      </c>
      <c r="K13" s="6" t="s">
        <v>1014</v>
      </c>
    </row>
    <row r="14" spans="1:11">
      <c r="A14" s="5" t="s">
        <v>1665</v>
      </c>
      <c r="B14" s="5">
        <v>5.3387516629754828E-10</v>
      </c>
      <c r="C14" s="5">
        <v>118</v>
      </c>
      <c r="D14" s="5">
        <v>127</v>
      </c>
      <c r="E14" s="5">
        <v>20.817833752614721</v>
      </c>
      <c r="F14" s="5">
        <v>3257</v>
      </c>
      <c r="G14" s="5">
        <v>3773</v>
      </c>
      <c r="H14" s="5">
        <v>614.06567267891489</v>
      </c>
      <c r="I14" s="1">
        <f t="shared" si="0"/>
        <v>3900</v>
      </c>
      <c r="J14" s="1">
        <f t="shared" si="1"/>
        <v>28.145125663785169</v>
      </c>
      <c r="K14" s="6" t="s">
        <v>2</v>
      </c>
    </row>
    <row r="15" spans="1:11">
      <c r="A15" s="5" t="s">
        <v>1716</v>
      </c>
      <c r="B15" s="5">
        <v>0</v>
      </c>
      <c r="C15" s="5">
        <v>30547</v>
      </c>
      <c r="D15" s="5">
        <v>37391</v>
      </c>
      <c r="E15" s="5">
        <v>605.25623211767856</v>
      </c>
      <c r="F15" s="5">
        <v>901642</v>
      </c>
      <c r="G15" s="5">
        <v>1055569</v>
      </c>
      <c r="H15" s="5">
        <v>16965.045041265144</v>
      </c>
      <c r="I15" s="1">
        <f t="shared" si="0"/>
        <v>1092960</v>
      </c>
      <c r="J15" s="1">
        <f t="shared" si="1"/>
        <v>27.983291787377635</v>
      </c>
      <c r="K15" s="6" t="s">
        <v>83</v>
      </c>
    </row>
    <row r="16" spans="1:11">
      <c r="A16" s="5" t="s">
        <v>1668</v>
      </c>
      <c r="B16" s="5">
        <v>0</v>
      </c>
      <c r="C16" s="5">
        <v>13882</v>
      </c>
      <c r="D16" s="5">
        <v>18209</v>
      </c>
      <c r="E16" s="5">
        <v>933.10706551338296</v>
      </c>
      <c r="F16" s="5">
        <v>371355</v>
      </c>
      <c r="G16" s="5">
        <v>484576</v>
      </c>
      <c r="H16" s="5">
        <v>24654.913471860276</v>
      </c>
      <c r="I16" s="1">
        <f t="shared" si="0"/>
        <v>502785</v>
      </c>
      <c r="J16" s="1">
        <f t="shared" si="1"/>
        <v>26.394098045184997</v>
      </c>
      <c r="K16" s="6" t="s">
        <v>839</v>
      </c>
    </row>
    <row r="17" spans="1:11">
      <c r="A17" s="5" t="s">
        <v>1669</v>
      </c>
      <c r="B17" s="5">
        <v>0</v>
      </c>
      <c r="C17" s="5">
        <v>23427</v>
      </c>
      <c r="D17" s="5">
        <v>28301</v>
      </c>
      <c r="E17" s="5">
        <v>736.2240493476188</v>
      </c>
      <c r="F17" s="5">
        <v>617418</v>
      </c>
      <c r="G17" s="5">
        <v>749663</v>
      </c>
      <c r="H17" s="5">
        <v>19362.904127258211</v>
      </c>
      <c r="I17" s="1">
        <f t="shared" si="0"/>
        <v>777964</v>
      </c>
      <c r="J17" s="1">
        <f t="shared" si="1"/>
        <v>26.264612697310607</v>
      </c>
      <c r="K17" s="6" t="s">
        <v>839</v>
      </c>
    </row>
    <row r="18" spans="1:11">
      <c r="A18" s="5" t="s">
        <v>1600</v>
      </c>
      <c r="B18" s="5">
        <v>9.1807461632953391E-9</v>
      </c>
      <c r="C18" s="5">
        <v>9</v>
      </c>
      <c r="D18" s="5">
        <v>13</v>
      </c>
      <c r="E18" s="5">
        <v>1.8815917757640548</v>
      </c>
      <c r="F18" s="5">
        <v>387</v>
      </c>
      <c r="G18" s="5">
        <v>510</v>
      </c>
      <c r="H18" s="5">
        <v>73.290625791594451</v>
      </c>
      <c r="I18" s="1">
        <f t="shared" si="0"/>
        <v>523</v>
      </c>
      <c r="J18" s="1">
        <f t="shared" si="1"/>
        <v>25.434076543392901</v>
      </c>
      <c r="K18" s="6" t="s">
        <v>1014</v>
      </c>
    </row>
    <row r="19" spans="1:11">
      <c r="A19" s="5" t="s">
        <v>1012</v>
      </c>
      <c r="B19" s="5">
        <v>8.3355721818567652E-3</v>
      </c>
      <c r="C19" s="5">
        <v>5</v>
      </c>
      <c r="D19" s="5">
        <v>5</v>
      </c>
      <c r="E19" s="5">
        <v>0.37792655325175462</v>
      </c>
      <c r="F19" s="5">
        <v>407</v>
      </c>
      <c r="G19" s="5">
        <v>466</v>
      </c>
      <c r="H19" s="5">
        <v>34.971923444172148</v>
      </c>
      <c r="I19" s="1">
        <f t="shared" si="0"/>
        <v>471</v>
      </c>
      <c r="J19" s="1">
        <f t="shared" si="1"/>
        <v>25.380107061325052</v>
      </c>
      <c r="K19" s="6" t="s">
        <v>2</v>
      </c>
    </row>
    <row r="20" spans="1:11">
      <c r="A20" s="5" t="s">
        <v>1714</v>
      </c>
      <c r="B20" s="5">
        <v>0</v>
      </c>
      <c r="C20" s="5">
        <v>64</v>
      </c>
      <c r="D20" s="5">
        <v>89</v>
      </c>
      <c r="E20" s="5">
        <v>7.5209731466995136</v>
      </c>
      <c r="F20" s="5">
        <v>1945</v>
      </c>
      <c r="G20" s="5">
        <v>2514</v>
      </c>
      <c r="H20" s="5">
        <v>210.93347368854504</v>
      </c>
      <c r="I20" s="1">
        <f t="shared" si="0"/>
        <v>2603</v>
      </c>
      <c r="J20" s="1">
        <f t="shared" si="1"/>
        <v>24.754622512834384</v>
      </c>
      <c r="K20" s="6" t="s">
        <v>1672</v>
      </c>
    </row>
    <row r="21" spans="1:11">
      <c r="A21" s="5" t="s">
        <v>1635</v>
      </c>
      <c r="B21" s="5">
        <v>0</v>
      </c>
      <c r="C21" s="5">
        <v>63313</v>
      </c>
      <c r="D21" s="5">
        <v>66805</v>
      </c>
      <c r="E21" s="5">
        <v>2108.8301671447907</v>
      </c>
      <c r="F21" s="5">
        <v>1585924</v>
      </c>
      <c r="G21" s="5">
        <v>1649266</v>
      </c>
      <c r="H21" s="5">
        <v>51691.548611342441</v>
      </c>
      <c r="I21" s="1">
        <f t="shared" si="0"/>
        <v>1716071</v>
      </c>
      <c r="J21" s="1">
        <f t="shared" si="1"/>
        <v>24.500336290714824</v>
      </c>
      <c r="K21" s="6" t="s">
        <v>83</v>
      </c>
    </row>
    <row r="22" spans="1:11">
      <c r="A22" s="5" t="s">
        <v>1670</v>
      </c>
      <c r="B22" s="5">
        <v>0</v>
      </c>
      <c r="C22" s="5">
        <v>21313</v>
      </c>
      <c r="D22" s="5">
        <v>22900</v>
      </c>
      <c r="E22" s="5">
        <v>1224.2147367416364</v>
      </c>
      <c r="F22" s="5">
        <v>520483</v>
      </c>
      <c r="G22" s="5">
        <v>549093</v>
      </c>
      <c r="H22" s="5">
        <v>29145.011296673161</v>
      </c>
      <c r="I22" s="1">
        <f t="shared" si="0"/>
        <v>571993</v>
      </c>
      <c r="J22" s="1">
        <f t="shared" si="1"/>
        <v>23.787676088668391</v>
      </c>
      <c r="K22" s="6" t="s">
        <v>839</v>
      </c>
    </row>
    <row r="23" spans="1:11">
      <c r="A23" s="5" t="s">
        <v>1710</v>
      </c>
      <c r="B23" s="5">
        <v>1.7160273202421195E-10</v>
      </c>
      <c r="C23" s="5">
        <v>425</v>
      </c>
      <c r="D23" s="5">
        <v>465</v>
      </c>
      <c r="E23" s="5">
        <v>73.138618513692165</v>
      </c>
      <c r="F23" s="5">
        <v>10029</v>
      </c>
      <c r="G23" s="5">
        <v>10764</v>
      </c>
      <c r="H23" s="5">
        <v>1680.9844231202069</v>
      </c>
      <c r="I23" s="1">
        <f t="shared" si="0"/>
        <v>11229</v>
      </c>
      <c r="J23" s="1">
        <f t="shared" si="1"/>
        <v>22.673533130506836</v>
      </c>
      <c r="K23" s="6" t="s">
        <v>83</v>
      </c>
    </row>
    <row r="24" spans="1:11">
      <c r="A24" s="5" t="s">
        <v>1718</v>
      </c>
      <c r="B24" s="5">
        <v>3.4912150636889905E-4</v>
      </c>
      <c r="C24" s="5">
        <v>8</v>
      </c>
      <c r="D24" s="5">
        <v>9</v>
      </c>
      <c r="E24" s="5">
        <v>1.0421123681154765</v>
      </c>
      <c r="F24" s="5">
        <v>370</v>
      </c>
      <c r="G24" s="5">
        <v>390</v>
      </c>
      <c r="H24" s="5">
        <v>44.836618131328365</v>
      </c>
      <c r="I24" s="1">
        <f t="shared" si="0"/>
        <v>399</v>
      </c>
      <c r="J24" s="1">
        <f t="shared" si="1"/>
        <v>21.955999499040775</v>
      </c>
      <c r="K24" s="6" t="s">
        <v>2</v>
      </c>
    </row>
    <row r="25" spans="1:11">
      <c r="A25" s="5" t="s">
        <v>1667</v>
      </c>
      <c r="B25" s="5">
        <v>0</v>
      </c>
      <c r="C25" s="5">
        <v>86575</v>
      </c>
      <c r="D25" s="5">
        <v>92199</v>
      </c>
      <c r="E25" s="5">
        <v>2366.7928494288808</v>
      </c>
      <c r="F25" s="5">
        <v>1938871</v>
      </c>
      <c r="G25" s="5">
        <v>2037774</v>
      </c>
      <c r="H25" s="5">
        <v>51938.12348536076</v>
      </c>
      <c r="I25" s="1">
        <f t="shared" si="0"/>
        <v>2129973</v>
      </c>
      <c r="J25" s="1">
        <f t="shared" si="1"/>
        <v>21.935248050896178</v>
      </c>
      <c r="K25" s="6" t="s">
        <v>83</v>
      </c>
    </row>
    <row r="26" spans="1:11">
      <c r="A26" s="5" t="s">
        <v>1676</v>
      </c>
      <c r="B26" s="5">
        <v>0</v>
      </c>
      <c r="C26" s="5">
        <v>69847</v>
      </c>
      <c r="D26" s="5">
        <v>87034</v>
      </c>
      <c r="E26" s="5">
        <v>2646.0973114763697</v>
      </c>
      <c r="F26" s="5">
        <v>1575579</v>
      </c>
      <c r="G26" s="5">
        <v>1917907</v>
      </c>
      <c r="H26" s="5">
        <v>57894.940512947644</v>
      </c>
      <c r="I26" s="1">
        <f t="shared" si="0"/>
        <v>2004941</v>
      </c>
      <c r="J26" s="1">
        <f t="shared" si="1"/>
        <v>21.871103968088658</v>
      </c>
      <c r="K26" s="6" t="s">
        <v>1677</v>
      </c>
    </row>
    <row r="27" spans="1:11">
      <c r="A27" s="5" t="s">
        <v>1713</v>
      </c>
      <c r="B27" s="5">
        <v>0</v>
      </c>
      <c r="C27" s="5">
        <v>47</v>
      </c>
      <c r="D27" s="5">
        <v>49</v>
      </c>
      <c r="E27" s="5">
        <v>7.6627866659321278</v>
      </c>
      <c r="F27" s="5">
        <v>1156</v>
      </c>
      <c r="G27" s="5">
        <v>1191</v>
      </c>
      <c r="H27" s="5">
        <v>184.92627270390273</v>
      </c>
      <c r="I27" s="1">
        <f t="shared" si="0"/>
        <v>1240</v>
      </c>
      <c r="J27" s="1">
        <f t="shared" si="1"/>
        <v>21.347203831205558</v>
      </c>
      <c r="K27" s="6" t="s">
        <v>2</v>
      </c>
    </row>
    <row r="28" spans="1:11">
      <c r="A28" s="5" t="s">
        <v>2107</v>
      </c>
      <c r="B28" s="5">
        <v>1.7160273202421195E-10</v>
      </c>
      <c r="C28" s="5">
        <v>231</v>
      </c>
      <c r="D28" s="5">
        <v>233</v>
      </c>
      <c r="E28" s="5">
        <v>4.5286398981081675</v>
      </c>
      <c r="F28" s="5">
        <v>5951</v>
      </c>
      <c r="G28" s="5">
        <v>5961</v>
      </c>
      <c r="H28" s="5">
        <v>115.03425633699518</v>
      </c>
      <c r="I28" s="1">
        <f t="shared" si="0"/>
        <v>6194</v>
      </c>
      <c r="J28" s="1">
        <f t="shared" si="1"/>
        <v>20.80697214089825</v>
      </c>
      <c r="K28" s="6" t="s">
        <v>17</v>
      </c>
    </row>
    <row r="29" spans="1:11">
      <c r="A29" s="5" t="s">
        <v>1720</v>
      </c>
      <c r="B29" s="5">
        <v>1.8105694811465511E-3</v>
      </c>
      <c r="C29" s="5">
        <v>13</v>
      </c>
      <c r="D29" s="5">
        <v>13</v>
      </c>
      <c r="E29" s="5">
        <v>0.98809847442358179</v>
      </c>
      <c r="F29" s="5">
        <v>517</v>
      </c>
      <c r="G29" s="5">
        <v>539</v>
      </c>
      <c r="H29" s="5">
        <v>40.676337455985589</v>
      </c>
      <c r="I29" s="1">
        <f t="shared" si="0"/>
        <v>552</v>
      </c>
      <c r="J29" s="1">
        <f t="shared" si="1"/>
        <v>20.459920863718313</v>
      </c>
      <c r="K29" s="6" t="s">
        <v>839</v>
      </c>
    </row>
    <row r="30" spans="1:11">
      <c r="A30" s="5" t="s">
        <v>1784</v>
      </c>
      <c r="B30" s="5">
        <v>3.1469677803874774E-4</v>
      </c>
      <c r="C30" s="5">
        <v>10</v>
      </c>
      <c r="D30" s="5">
        <v>11</v>
      </c>
      <c r="E30" s="5">
        <v>1.2419826978231936</v>
      </c>
      <c r="F30" s="5">
        <v>315</v>
      </c>
      <c r="G30" s="5">
        <v>408</v>
      </c>
      <c r="H30" s="5">
        <v>45.738216261642343</v>
      </c>
      <c r="I30" s="1">
        <f t="shared" si="0"/>
        <v>419</v>
      </c>
      <c r="J30" s="1">
        <f t="shared" si="1"/>
        <v>20.400789134568662</v>
      </c>
      <c r="K30" s="6" t="s">
        <v>83</v>
      </c>
    </row>
    <row r="31" spans="1:11">
      <c r="A31" s="5" t="s">
        <v>1118</v>
      </c>
      <c r="B31" s="5">
        <v>7.0122624233937003E-3</v>
      </c>
      <c r="C31" s="5">
        <v>19</v>
      </c>
      <c r="D31" s="5">
        <v>82</v>
      </c>
      <c r="E31" s="5">
        <v>0.93280868327690603</v>
      </c>
      <c r="F31" s="5">
        <v>740</v>
      </c>
      <c r="G31" s="5">
        <v>3296</v>
      </c>
      <c r="H31" s="5">
        <v>37.227350720137316</v>
      </c>
      <c r="I31" s="1">
        <f t="shared" si="0"/>
        <v>3378</v>
      </c>
      <c r="J31" s="1">
        <f t="shared" si="1"/>
        <v>19.260753038951396</v>
      </c>
      <c r="K31" s="6" t="s">
        <v>1119</v>
      </c>
    </row>
    <row r="32" spans="1:11">
      <c r="A32" s="5" t="s">
        <v>1624</v>
      </c>
      <c r="B32" s="5">
        <v>9.8385919862176152E-3</v>
      </c>
      <c r="C32" s="5">
        <v>7</v>
      </c>
      <c r="D32" s="5">
        <v>7</v>
      </c>
      <c r="E32" s="5">
        <v>1.0408469007589307</v>
      </c>
      <c r="F32" s="5">
        <v>241</v>
      </c>
      <c r="G32" s="5">
        <v>249</v>
      </c>
      <c r="H32" s="5">
        <v>36.760749754163925</v>
      </c>
      <c r="I32" s="1">
        <f t="shared" si="0"/>
        <v>256</v>
      </c>
      <c r="J32" s="1">
        <f t="shared" si="1"/>
        <v>18.012497527616446</v>
      </c>
      <c r="K32" s="6" t="s">
        <v>2</v>
      </c>
    </row>
    <row r="33" spans="1:11">
      <c r="A33" s="5" t="s">
        <v>1709</v>
      </c>
      <c r="B33" s="5">
        <v>4.4577623037334035E-7</v>
      </c>
      <c r="C33" s="5">
        <v>19</v>
      </c>
      <c r="D33" s="5">
        <v>19</v>
      </c>
      <c r="E33" s="5">
        <v>3.2112020176919271</v>
      </c>
      <c r="F33" s="5">
        <v>390</v>
      </c>
      <c r="G33" s="5">
        <v>405</v>
      </c>
      <c r="H33" s="5">
        <v>67.961859064328351</v>
      </c>
      <c r="I33" s="1">
        <f t="shared" si="0"/>
        <v>424</v>
      </c>
      <c r="J33" s="1">
        <f t="shared" si="1"/>
        <v>16.138351657985016</v>
      </c>
      <c r="K33" s="6" t="s">
        <v>839</v>
      </c>
    </row>
    <row r="34" spans="1:11">
      <c r="A34" s="5" t="s">
        <v>1623</v>
      </c>
      <c r="B34" s="5">
        <v>5.2513877587534452E-5</v>
      </c>
      <c r="C34" s="5">
        <v>15</v>
      </c>
      <c r="D34" s="5">
        <v>15</v>
      </c>
      <c r="E34" s="5">
        <v>2.3869045468531871</v>
      </c>
      <c r="F34" s="5">
        <v>328</v>
      </c>
      <c r="G34" s="5">
        <v>340</v>
      </c>
      <c r="H34" s="5">
        <v>53.717885570447393</v>
      </c>
      <c r="I34" s="1">
        <f t="shared" si="0"/>
        <v>355</v>
      </c>
      <c r="J34" s="1">
        <f t="shared" si="1"/>
        <v>15.860466342447506</v>
      </c>
      <c r="K34" s="6" t="s">
        <v>2</v>
      </c>
    </row>
    <row r="35" spans="1:11">
      <c r="A35" s="5" t="s">
        <v>1787</v>
      </c>
      <c r="B35" s="5">
        <v>1.1342408074922483E-2</v>
      </c>
      <c r="C35" s="5">
        <v>12</v>
      </c>
      <c r="D35" s="5">
        <v>14</v>
      </c>
      <c r="E35" s="5">
        <v>1.3605355917063164</v>
      </c>
      <c r="F35" s="5">
        <v>372</v>
      </c>
      <c r="G35" s="5">
        <v>388</v>
      </c>
      <c r="H35" s="5">
        <v>37.437754956176924</v>
      </c>
      <c r="I35" s="1">
        <f t="shared" si="0"/>
        <v>402</v>
      </c>
      <c r="J35" s="1">
        <f t="shared" si="1"/>
        <v>15.859856164725308</v>
      </c>
      <c r="K35" s="6" t="s">
        <v>839</v>
      </c>
    </row>
    <row r="36" spans="1:11">
      <c r="A36" s="5" t="s">
        <v>1515</v>
      </c>
      <c r="B36" s="5">
        <v>6.1772558466266503E-3</v>
      </c>
      <c r="C36" s="5">
        <v>9</v>
      </c>
      <c r="D36" s="5">
        <v>9</v>
      </c>
      <c r="E36" s="5">
        <v>1.4842206454977998</v>
      </c>
      <c r="F36" s="5">
        <v>239</v>
      </c>
      <c r="G36" s="5">
        <v>240</v>
      </c>
      <c r="H36" s="5">
        <v>39.297362278273816</v>
      </c>
      <c r="I36" s="1">
        <f t="shared" si="0"/>
        <v>249</v>
      </c>
      <c r="J36" s="1">
        <f t="shared" si="1"/>
        <v>15.81878902322673</v>
      </c>
      <c r="K36" s="6" t="s">
        <v>1516</v>
      </c>
    </row>
    <row r="37" spans="1:11">
      <c r="A37" s="5" t="s">
        <v>2252</v>
      </c>
      <c r="B37" s="5">
        <v>1.0211737283993827E-3</v>
      </c>
      <c r="C37" s="5">
        <v>66</v>
      </c>
      <c r="D37" s="5">
        <v>67</v>
      </c>
      <c r="E37" s="5">
        <v>1.9666857528440822</v>
      </c>
      <c r="F37" s="5">
        <v>1403</v>
      </c>
      <c r="G37" s="5">
        <v>1550</v>
      </c>
      <c r="H37" s="5">
        <v>45.173950029973604</v>
      </c>
      <c r="I37" s="1">
        <f t="shared" si="0"/>
        <v>1617</v>
      </c>
      <c r="J37" s="1">
        <f t="shared" si="1"/>
        <v>15.22707620335809</v>
      </c>
      <c r="K37" s="6" t="s">
        <v>2253</v>
      </c>
    </row>
    <row r="38" spans="1:11">
      <c r="A38" s="5" t="s">
        <v>1883</v>
      </c>
      <c r="B38" s="5">
        <v>0</v>
      </c>
      <c r="C38" s="5">
        <v>4386</v>
      </c>
      <c r="D38" s="5">
        <v>4448</v>
      </c>
      <c r="E38" s="5">
        <v>440.12089541161424</v>
      </c>
      <c r="F38" s="5">
        <v>66575</v>
      </c>
      <c r="G38" s="5">
        <v>67219</v>
      </c>
      <c r="H38" s="5">
        <v>6603.8234874582186</v>
      </c>
      <c r="I38" s="1">
        <f t="shared" si="0"/>
        <v>71667</v>
      </c>
      <c r="J38" s="1">
        <f t="shared" si="1"/>
        <v>14.970552418053391</v>
      </c>
      <c r="K38" s="6" t="s">
        <v>2</v>
      </c>
    </row>
    <row r="39" spans="1:11">
      <c r="A39" s="5" t="s">
        <v>610</v>
      </c>
      <c r="B39" s="5">
        <v>5.5904506184489833E-3</v>
      </c>
      <c r="C39" s="5">
        <v>124</v>
      </c>
      <c r="D39" s="5">
        <v>124</v>
      </c>
      <c r="E39" s="5">
        <v>1.7223727756159597</v>
      </c>
      <c r="F39" s="5">
        <v>2921</v>
      </c>
      <c r="G39" s="5">
        <v>2921</v>
      </c>
      <c r="H39" s="5">
        <v>40.284059065952526</v>
      </c>
      <c r="I39" s="1">
        <f t="shared" si="0"/>
        <v>3045</v>
      </c>
      <c r="J39" s="1">
        <f t="shared" si="1"/>
        <v>14.797407403854866</v>
      </c>
      <c r="K39" s="6" t="s">
        <v>611</v>
      </c>
    </row>
    <row r="40" spans="1:11">
      <c r="A40" s="5" t="s">
        <v>1724</v>
      </c>
      <c r="B40" s="5">
        <v>6.7326120141153467E-5</v>
      </c>
      <c r="C40" s="5">
        <v>15</v>
      </c>
      <c r="D40" s="5">
        <v>16</v>
      </c>
      <c r="E40" s="5">
        <v>2.6874777120124773</v>
      </c>
      <c r="F40" s="5">
        <v>308</v>
      </c>
      <c r="G40" s="5">
        <v>324</v>
      </c>
      <c r="H40" s="5">
        <v>54.033873132626496</v>
      </c>
      <c r="I40" s="1">
        <f t="shared" si="0"/>
        <v>340</v>
      </c>
      <c r="J40" s="1">
        <f t="shared" si="1"/>
        <v>14.653342298613373</v>
      </c>
      <c r="K40" s="6" t="s">
        <v>2</v>
      </c>
    </row>
    <row r="41" spans="1:11">
      <c r="A41" s="5" t="s">
        <v>1717</v>
      </c>
      <c r="B41" s="5">
        <v>0</v>
      </c>
      <c r="C41" s="5">
        <v>12789</v>
      </c>
      <c r="D41" s="5">
        <v>13292</v>
      </c>
      <c r="E41" s="5">
        <v>1018.8303709836822</v>
      </c>
      <c r="F41" s="5">
        <v>189570</v>
      </c>
      <c r="G41" s="5">
        <v>193749</v>
      </c>
      <c r="H41" s="5">
        <v>14745.082937427112</v>
      </c>
      <c r="I41" s="1">
        <f t="shared" si="0"/>
        <v>207041</v>
      </c>
      <c r="J41" s="1">
        <f t="shared" si="1"/>
        <v>14.458368133520747</v>
      </c>
      <c r="K41" s="6" t="s">
        <v>2</v>
      </c>
    </row>
    <row r="42" spans="1:11">
      <c r="A42" s="5" t="s">
        <v>1902</v>
      </c>
      <c r="B42" s="5">
        <v>3.7349048620516356E-6</v>
      </c>
      <c r="C42" s="5">
        <v>48</v>
      </c>
      <c r="D42" s="5">
        <v>54</v>
      </c>
      <c r="E42" s="5">
        <v>3.5578170436872201</v>
      </c>
      <c r="F42" s="5">
        <v>930</v>
      </c>
      <c r="G42" s="5">
        <v>975</v>
      </c>
      <c r="H42" s="5">
        <v>63.780903516114805</v>
      </c>
      <c r="I42" s="1">
        <f t="shared" si="0"/>
        <v>1029</v>
      </c>
      <c r="J42" s="1">
        <f t="shared" si="1"/>
        <v>13.993739306507312</v>
      </c>
      <c r="K42" s="6" t="s">
        <v>2</v>
      </c>
    </row>
    <row r="43" spans="1:11">
      <c r="A43" s="5" t="s">
        <v>1697</v>
      </c>
      <c r="B43" s="5">
        <v>0</v>
      </c>
      <c r="C43" s="5">
        <v>53</v>
      </c>
      <c r="D43" s="5">
        <v>55</v>
      </c>
      <c r="E43" s="5">
        <v>9.1815285329874126</v>
      </c>
      <c r="F43" s="5">
        <v>823</v>
      </c>
      <c r="G43" s="5">
        <v>848</v>
      </c>
      <c r="H43" s="5">
        <v>140.55436937566645</v>
      </c>
      <c r="I43" s="1">
        <f t="shared" si="0"/>
        <v>903</v>
      </c>
      <c r="J43" s="1">
        <f t="shared" si="1"/>
        <v>13.80483970754298</v>
      </c>
      <c r="K43" s="6" t="s">
        <v>2</v>
      </c>
    </row>
    <row r="44" spans="1:11">
      <c r="A44" s="5" t="s">
        <v>209</v>
      </c>
      <c r="B44" s="5">
        <v>2.8726110770549429E-3</v>
      </c>
      <c r="C44" s="5">
        <v>65</v>
      </c>
      <c r="D44" s="5">
        <v>65</v>
      </c>
      <c r="E44" s="5">
        <v>2.1675199377674161</v>
      </c>
      <c r="F44" s="5">
        <v>1307</v>
      </c>
      <c r="G44" s="5">
        <v>1307</v>
      </c>
      <c r="H44" s="5">
        <v>43.273451093347319</v>
      </c>
      <c r="I44" s="1">
        <f t="shared" si="0"/>
        <v>1372</v>
      </c>
      <c r="J44" s="1">
        <f t="shared" si="1"/>
        <v>13.661619166901923</v>
      </c>
      <c r="K44" s="6" t="s">
        <v>2</v>
      </c>
    </row>
    <row r="45" spans="1:11">
      <c r="A45" s="5" t="s">
        <v>1734</v>
      </c>
      <c r="B45" s="5">
        <v>2.9326229606021492E-2</v>
      </c>
      <c r="C45" s="5">
        <v>6</v>
      </c>
      <c r="D45" s="5">
        <v>12</v>
      </c>
      <c r="E45" s="5">
        <v>1.6575052893884059</v>
      </c>
      <c r="F45" s="5">
        <v>131</v>
      </c>
      <c r="G45" s="5">
        <v>263</v>
      </c>
      <c r="H45" s="5">
        <v>36.068296025078091</v>
      </c>
      <c r="I45" s="1">
        <f t="shared" si="0"/>
        <v>275</v>
      </c>
      <c r="J45" s="1">
        <f t="shared" si="1"/>
        <v>13.572238658978845</v>
      </c>
      <c r="K45" s="6" t="s">
        <v>83</v>
      </c>
    </row>
    <row r="46" spans="1:11">
      <c r="A46" s="5" t="s">
        <v>1712</v>
      </c>
      <c r="B46" s="5">
        <v>1.5253576179929951E-10</v>
      </c>
      <c r="C46" s="5">
        <v>66</v>
      </c>
      <c r="D46" s="5">
        <v>76</v>
      </c>
      <c r="E46" s="5">
        <v>11.058898927238509</v>
      </c>
      <c r="F46" s="5">
        <v>1035</v>
      </c>
      <c r="G46" s="5">
        <v>1129</v>
      </c>
      <c r="H46" s="5">
        <v>163.11294857415859</v>
      </c>
      <c r="I46" s="1">
        <f t="shared" si="0"/>
        <v>1205</v>
      </c>
      <c r="J46" s="1">
        <f t="shared" si="1"/>
        <v>13.526355064285417</v>
      </c>
      <c r="K46" s="6" t="s">
        <v>839</v>
      </c>
    </row>
    <row r="47" spans="1:11">
      <c r="A47" s="5" t="s">
        <v>1637</v>
      </c>
      <c r="B47" s="5">
        <v>4.0117477362322518E-6</v>
      </c>
      <c r="C47" s="5">
        <v>51</v>
      </c>
      <c r="D47" s="5">
        <v>102</v>
      </c>
      <c r="E47" s="5">
        <v>4.0400183509183201</v>
      </c>
      <c r="F47" s="5">
        <v>494</v>
      </c>
      <c r="G47" s="5">
        <v>1654</v>
      </c>
      <c r="H47" s="5">
        <v>65.045142766640623</v>
      </c>
      <c r="I47" s="1">
        <f t="shared" si="0"/>
        <v>1756</v>
      </c>
      <c r="J47" s="1">
        <f t="shared" si="1"/>
        <v>12.905735304473451</v>
      </c>
      <c r="K47" s="6" t="s">
        <v>321</v>
      </c>
    </row>
    <row r="48" spans="1:11">
      <c r="A48" s="5" t="s">
        <v>1232</v>
      </c>
      <c r="B48" s="5">
        <v>0</v>
      </c>
      <c r="C48" s="5">
        <v>819</v>
      </c>
      <c r="D48" s="5">
        <v>1642</v>
      </c>
      <c r="E48" s="5">
        <v>24.428643428996956</v>
      </c>
      <c r="F48" s="5">
        <v>11885</v>
      </c>
      <c r="G48" s="5">
        <v>22166</v>
      </c>
      <c r="H48" s="5">
        <v>327.42340947452129</v>
      </c>
      <c r="I48" s="1">
        <f t="shared" si="0"/>
        <v>23808</v>
      </c>
      <c r="J48" s="1">
        <f t="shared" si="1"/>
        <v>12.876165037618629</v>
      </c>
      <c r="K48" s="6" t="s">
        <v>17</v>
      </c>
    </row>
    <row r="49" spans="1:11">
      <c r="A49" s="5" t="s">
        <v>1758</v>
      </c>
      <c r="B49" s="5">
        <v>0</v>
      </c>
      <c r="C49" s="5">
        <v>7204</v>
      </c>
      <c r="D49" s="5">
        <v>8881</v>
      </c>
      <c r="E49" s="5">
        <v>499.29407396461971</v>
      </c>
      <c r="F49" s="5">
        <v>83326</v>
      </c>
      <c r="G49" s="5">
        <v>113329</v>
      </c>
      <c r="H49" s="5">
        <v>6326.0380250489952</v>
      </c>
      <c r="I49" s="1">
        <f t="shared" si="0"/>
        <v>122210</v>
      </c>
      <c r="J49" s="1">
        <f t="shared" si="1"/>
        <v>12.644639131776657</v>
      </c>
      <c r="K49" s="6" t="s">
        <v>321</v>
      </c>
    </row>
    <row r="50" spans="1:11">
      <c r="A50" s="5" t="s">
        <v>1636</v>
      </c>
      <c r="B50" s="5">
        <v>0</v>
      </c>
      <c r="C50" s="5">
        <v>176947</v>
      </c>
      <c r="D50" s="5">
        <v>186626</v>
      </c>
      <c r="E50" s="5">
        <v>3973.5730099809552</v>
      </c>
      <c r="F50" s="5">
        <v>2132958</v>
      </c>
      <c r="G50" s="5">
        <v>2227463</v>
      </c>
      <c r="H50" s="5">
        <v>47088.596693904386</v>
      </c>
      <c r="I50" s="1">
        <f t="shared" si="0"/>
        <v>2414089</v>
      </c>
      <c r="J50" s="1">
        <f t="shared" si="1"/>
        <v>11.84746048837332</v>
      </c>
      <c r="K50" s="6" t="s">
        <v>83</v>
      </c>
    </row>
    <row r="51" spans="1:11">
      <c r="A51" s="5" t="s">
        <v>1938</v>
      </c>
      <c r="B51" s="5">
        <v>6.0060956208474181E-10</v>
      </c>
      <c r="C51" s="5">
        <v>1004</v>
      </c>
      <c r="D51" s="5">
        <v>1109</v>
      </c>
      <c r="E51" s="5">
        <v>74.694751049619057</v>
      </c>
      <c r="F51" s="5">
        <v>11713</v>
      </c>
      <c r="G51" s="5">
        <v>12710</v>
      </c>
      <c r="H51" s="5">
        <v>849.96352415307263</v>
      </c>
      <c r="I51" s="1">
        <f t="shared" si="0"/>
        <v>13819</v>
      </c>
      <c r="J51" s="1">
        <f t="shared" si="1"/>
        <v>11.228830432322958</v>
      </c>
      <c r="K51" s="6" t="s">
        <v>839</v>
      </c>
    </row>
    <row r="52" spans="1:11">
      <c r="A52" s="5" t="s">
        <v>2016</v>
      </c>
      <c r="B52" s="5">
        <v>0</v>
      </c>
      <c r="C52" s="5">
        <v>1630</v>
      </c>
      <c r="D52" s="5">
        <v>1878</v>
      </c>
      <c r="E52" s="5">
        <v>183.16027535659228</v>
      </c>
      <c r="F52" s="5">
        <v>16784</v>
      </c>
      <c r="G52" s="5">
        <v>19054</v>
      </c>
      <c r="H52" s="5">
        <v>1845.0921481524465</v>
      </c>
      <c r="I52" s="1">
        <f t="shared" si="0"/>
        <v>20932</v>
      </c>
      <c r="J52" s="1">
        <f t="shared" si="1"/>
        <v>10.018947596487719</v>
      </c>
      <c r="K52" s="6" t="s">
        <v>1406</v>
      </c>
    </row>
    <row r="53" spans="1:11">
      <c r="A53" s="5" t="s">
        <v>1789</v>
      </c>
      <c r="B53" s="5">
        <v>0</v>
      </c>
      <c r="C53" s="5">
        <v>7642</v>
      </c>
      <c r="D53" s="5">
        <v>12846</v>
      </c>
      <c r="E53" s="5">
        <v>388.38756024576315</v>
      </c>
      <c r="F53" s="5">
        <v>71922</v>
      </c>
      <c r="G53" s="5">
        <v>119350</v>
      </c>
      <c r="H53" s="5">
        <v>3582.7459768772064</v>
      </c>
      <c r="I53" s="1">
        <f t="shared" si="0"/>
        <v>132196</v>
      </c>
      <c r="J53" s="1">
        <f t="shared" si="1"/>
        <v>9.2009769768092884</v>
      </c>
      <c r="K53" s="6" t="s">
        <v>1742</v>
      </c>
    </row>
    <row r="54" spans="1:11">
      <c r="A54" s="5" t="s">
        <v>1761</v>
      </c>
      <c r="B54" s="5">
        <v>0</v>
      </c>
      <c r="C54" s="5">
        <v>218605</v>
      </c>
      <c r="D54" s="5">
        <v>264633</v>
      </c>
      <c r="E54" s="5">
        <v>3048.6250232008269</v>
      </c>
      <c r="F54" s="5">
        <v>1925962</v>
      </c>
      <c r="G54" s="5">
        <v>2292083</v>
      </c>
      <c r="H54" s="5">
        <v>26217.214655260359</v>
      </c>
      <c r="I54" s="1">
        <f t="shared" si="0"/>
        <v>2556716</v>
      </c>
      <c r="J54" s="1">
        <f t="shared" si="1"/>
        <v>8.5968650098966197</v>
      </c>
      <c r="K54" s="6" t="s">
        <v>1742</v>
      </c>
    </row>
    <row r="55" spans="1:11">
      <c r="A55" s="5" t="s">
        <v>1633</v>
      </c>
      <c r="B55" s="5">
        <v>6.2677897871843413E-7</v>
      </c>
      <c r="C55" s="5">
        <v>83</v>
      </c>
      <c r="D55" s="5">
        <v>88</v>
      </c>
      <c r="E55" s="5">
        <v>10.595321422137687</v>
      </c>
      <c r="F55" s="5">
        <v>698</v>
      </c>
      <c r="G55" s="5">
        <v>735</v>
      </c>
      <c r="H55" s="5">
        <v>87.86481582407184</v>
      </c>
      <c r="I55" s="1">
        <f t="shared" si="0"/>
        <v>823</v>
      </c>
      <c r="J55" s="1">
        <f t="shared" si="1"/>
        <v>7.5776093327021616</v>
      </c>
      <c r="K55" s="6" t="s">
        <v>321</v>
      </c>
    </row>
    <row r="56" spans="1:11">
      <c r="A56" s="5" t="s">
        <v>625</v>
      </c>
      <c r="B56" s="5">
        <v>2.5443384541468106E-5</v>
      </c>
      <c r="C56" s="5">
        <v>707</v>
      </c>
      <c r="D56" s="5">
        <v>707</v>
      </c>
      <c r="E56" s="5">
        <v>9.8757562970879444</v>
      </c>
      <c r="F56" s="5">
        <v>5509</v>
      </c>
      <c r="G56" s="5">
        <v>5509</v>
      </c>
      <c r="H56" s="5">
        <v>76.404673277114824</v>
      </c>
      <c r="I56" s="1">
        <f t="shared" si="0"/>
        <v>6216</v>
      </c>
      <c r="J56" s="1">
        <f t="shared" si="1"/>
        <v>7.0252285165283341</v>
      </c>
      <c r="K56" s="6" t="s">
        <v>153</v>
      </c>
    </row>
    <row r="57" spans="1:11">
      <c r="A57" s="5" t="s">
        <v>1540</v>
      </c>
      <c r="B57" s="5">
        <v>0</v>
      </c>
      <c r="C57" s="5">
        <v>409701</v>
      </c>
      <c r="D57" s="5">
        <v>532489</v>
      </c>
      <c r="E57" s="5">
        <v>1736.7139798444318</v>
      </c>
      <c r="F57" s="5">
        <v>2623574</v>
      </c>
      <c r="G57" s="5">
        <v>3327462</v>
      </c>
      <c r="H57" s="5">
        <v>10775.240294955987</v>
      </c>
      <c r="I57" s="1">
        <f t="shared" si="0"/>
        <v>3859951</v>
      </c>
      <c r="J57" s="1">
        <f t="shared" si="1"/>
        <v>6.2008134940139206</v>
      </c>
      <c r="K57" s="6" t="s">
        <v>1541</v>
      </c>
    </row>
    <row r="58" spans="1:11">
      <c r="A58" s="5" t="s">
        <v>599</v>
      </c>
      <c r="B58" s="5">
        <v>1.5890375642780841E-2</v>
      </c>
      <c r="C58" s="5">
        <v>247</v>
      </c>
      <c r="D58" s="5">
        <v>247</v>
      </c>
      <c r="E58" s="5">
        <v>7.8060927096738721</v>
      </c>
      <c r="F58" s="5">
        <v>1733</v>
      </c>
      <c r="G58" s="5">
        <v>1734</v>
      </c>
      <c r="H58" s="5">
        <v>54.410415802540264</v>
      </c>
      <c r="I58" s="1">
        <f t="shared" si="0"/>
        <v>1981</v>
      </c>
      <c r="J58" s="1">
        <f t="shared" si="1"/>
        <v>6.1787239353916945</v>
      </c>
      <c r="K58" s="6" t="s">
        <v>600</v>
      </c>
    </row>
    <row r="59" spans="1:11">
      <c r="A59" s="5" t="s">
        <v>381</v>
      </c>
      <c r="B59" s="5">
        <v>0</v>
      </c>
      <c r="C59" s="5">
        <v>3994</v>
      </c>
      <c r="D59" s="5">
        <v>3995</v>
      </c>
      <c r="E59" s="5">
        <v>24.599862814513394</v>
      </c>
      <c r="F59" s="5">
        <v>25513</v>
      </c>
      <c r="G59" s="5">
        <v>25529</v>
      </c>
      <c r="H59" s="5">
        <v>156.07951427956797</v>
      </c>
      <c r="I59" s="1">
        <f t="shared" si="0"/>
        <v>29524</v>
      </c>
      <c r="J59" s="1">
        <f t="shared" si="1"/>
        <v>6.0968886986019877</v>
      </c>
      <c r="K59" s="6" t="s">
        <v>382</v>
      </c>
    </row>
    <row r="60" spans="1:11">
      <c r="A60" s="5" t="s">
        <v>1838</v>
      </c>
      <c r="B60" s="5">
        <v>0</v>
      </c>
      <c r="C60" s="5">
        <v>276</v>
      </c>
      <c r="D60" s="5">
        <v>374</v>
      </c>
      <c r="E60" s="5">
        <v>63.209976558777939</v>
      </c>
      <c r="F60" s="5">
        <v>1313</v>
      </c>
      <c r="G60" s="5">
        <v>1620</v>
      </c>
      <c r="H60" s="5">
        <v>271.8474362573134</v>
      </c>
      <c r="I60" s="1">
        <f t="shared" si="0"/>
        <v>1994</v>
      </c>
      <c r="J60" s="1">
        <f t="shared" si="1"/>
        <v>4.233725829325973</v>
      </c>
      <c r="K60" s="6" t="s">
        <v>1742</v>
      </c>
    </row>
    <row r="61" spans="1:11">
      <c r="A61" s="5" t="s">
        <v>1629</v>
      </c>
      <c r="B61" s="5">
        <v>1.2850184583079738E-7</v>
      </c>
      <c r="C61" s="5">
        <v>1270</v>
      </c>
      <c r="D61" s="5">
        <v>1270</v>
      </c>
      <c r="E61" s="5">
        <v>116.74866226128528</v>
      </c>
      <c r="F61" s="5">
        <v>3340</v>
      </c>
      <c r="G61" s="5">
        <v>3340</v>
      </c>
      <c r="H61" s="5">
        <v>304.85327071448057</v>
      </c>
      <c r="I61" s="1">
        <f t="shared" si="0"/>
        <v>4610</v>
      </c>
      <c r="J61" s="1">
        <f t="shared" si="1"/>
        <v>2.5890168504675541</v>
      </c>
      <c r="K61" s="6" t="s">
        <v>1630</v>
      </c>
    </row>
    <row r="62" spans="1:11">
      <c r="A62" s="5" t="s">
        <v>1555</v>
      </c>
      <c r="B62" s="5">
        <v>1.9585226949487833E-2</v>
      </c>
      <c r="C62" s="5">
        <v>7344</v>
      </c>
      <c r="D62" s="5">
        <v>7344</v>
      </c>
      <c r="E62" s="5">
        <v>252.95628824028324</v>
      </c>
      <c r="F62" s="5">
        <v>13600</v>
      </c>
      <c r="G62" s="5">
        <v>13600</v>
      </c>
      <c r="H62" s="5">
        <v>465.10169278716472</v>
      </c>
      <c r="I62" s="1">
        <f t="shared" si="0"/>
        <v>20944</v>
      </c>
      <c r="J62" s="1">
        <f t="shared" si="1"/>
        <v>1.8314242029994712</v>
      </c>
      <c r="K62" s="6" t="s">
        <v>2</v>
      </c>
    </row>
    <row r="63" spans="1:11">
      <c r="A63" s="5" t="s">
        <v>1863</v>
      </c>
      <c r="B63" s="5">
        <v>1.2393530646193085E-10</v>
      </c>
      <c r="C63" s="5">
        <v>65782</v>
      </c>
      <c r="D63" s="5">
        <v>65791</v>
      </c>
      <c r="E63" s="5">
        <v>1797.4095806014111</v>
      </c>
      <c r="F63" s="5">
        <v>62916</v>
      </c>
      <c r="G63" s="5">
        <v>62944</v>
      </c>
      <c r="H63" s="5">
        <v>1707.3835895883744</v>
      </c>
      <c r="I63" s="1">
        <f t="shared" si="0"/>
        <v>128735</v>
      </c>
      <c r="J63" s="1">
        <f t="shared" si="1"/>
        <v>0.94938528353335594</v>
      </c>
      <c r="K63" s="6" t="s">
        <v>63</v>
      </c>
    </row>
    <row r="64" spans="1:11">
      <c r="A64" s="5" t="s">
        <v>1338</v>
      </c>
      <c r="B64" s="5">
        <v>3.949051199443665E-2</v>
      </c>
      <c r="C64" s="5">
        <v>17777</v>
      </c>
      <c r="D64" s="5">
        <v>17790</v>
      </c>
      <c r="E64" s="5">
        <v>566.8367254439197</v>
      </c>
      <c r="F64" s="5">
        <v>16546</v>
      </c>
      <c r="G64" s="5">
        <v>16562</v>
      </c>
      <c r="H64" s="5">
        <v>523.95140914669787</v>
      </c>
      <c r="I64" s="1">
        <f t="shared" si="0"/>
        <v>34352</v>
      </c>
      <c r="J64" s="1">
        <f t="shared" si="1"/>
        <v>0.92271490319173444</v>
      </c>
      <c r="K64" s="6" t="s">
        <v>1339</v>
      </c>
    </row>
    <row r="65" spans="1:11">
      <c r="A65" s="5" t="s">
        <v>1719</v>
      </c>
      <c r="B65" s="5">
        <v>1.3823553413061518E-10</v>
      </c>
      <c r="C65" s="5">
        <v>19422</v>
      </c>
      <c r="D65" s="5">
        <v>20346</v>
      </c>
      <c r="E65" s="5">
        <v>2493.8249683654699</v>
      </c>
      <c r="F65" s="5">
        <v>17793</v>
      </c>
      <c r="G65" s="5">
        <v>18338</v>
      </c>
      <c r="H65" s="5">
        <v>2231.696318707443</v>
      </c>
      <c r="I65" s="1">
        <f t="shared" si="0"/>
        <v>38684</v>
      </c>
      <c r="J65" s="1">
        <f t="shared" si="1"/>
        <v>0.89453021635003904</v>
      </c>
      <c r="K65" s="6" t="s">
        <v>273</v>
      </c>
    </row>
    <row r="66" spans="1:11">
      <c r="A66" s="5" t="s">
        <v>1610</v>
      </c>
      <c r="B66" s="5">
        <v>2.9328026215124647E-2</v>
      </c>
      <c r="C66" s="5">
        <v>16229</v>
      </c>
      <c r="D66" s="5">
        <v>16235</v>
      </c>
      <c r="E66" s="5">
        <v>482.27719064087444</v>
      </c>
      <c r="F66" s="5">
        <v>14648</v>
      </c>
      <c r="G66" s="5">
        <v>14651</v>
      </c>
      <c r="H66" s="5">
        <v>432.12351269984214</v>
      </c>
      <c r="I66" s="1">
        <f t="shared" ref="I66:I129" si="2">D66+G66</f>
        <v>30886</v>
      </c>
      <c r="J66" s="1">
        <f t="shared" ref="J66:J129" si="3">H66/(E66+1)</f>
        <v>0.89415250930175838</v>
      </c>
      <c r="K66" s="6" t="s">
        <v>76</v>
      </c>
    </row>
    <row r="67" spans="1:11">
      <c r="A67" s="5" t="s">
        <v>1366</v>
      </c>
      <c r="B67" s="5">
        <v>4.0725713712497225E-6</v>
      </c>
      <c r="C67" s="5">
        <v>7930</v>
      </c>
      <c r="D67" s="5">
        <v>7930</v>
      </c>
      <c r="E67" s="5">
        <v>471.13743415856288</v>
      </c>
      <c r="F67" s="5">
        <v>6367</v>
      </c>
      <c r="G67" s="5">
        <v>6368</v>
      </c>
      <c r="H67" s="5">
        <v>375.64159837179642</v>
      </c>
      <c r="I67" s="1">
        <f t="shared" si="2"/>
        <v>14298</v>
      </c>
      <c r="J67" s="1">
        <f t="shared" si="3"/>
        <v>0.79561918033730994</v>
      </c>
      <c r="K67" s="6" t="s">
        <v>444</v>
      </c>
    </row>
    <row r="68" spans="1:11">
      <c r="A68" s="5" t="s">
        <v>1930</v>
      </c>
      <c r="B68" s="5">
        <v>6.346584041638792E-7</v>
      </c>
      <c r="C68" s="5">
        <v>7381</v>
      </c>
      <c r="D68" s="5">
        <v>9107</v>
      </c>
      <c r="E68" s="5">
        <v>478.39373102970751</v>
      </c>
      <c r="F68" s="5">
        <v>5613</v>
      </c>
      <c r="G68" s="5">
        <v>7188</v>
      </c>
      <c r="H68" s="5">
        <v>374.89911204374442</v>
      </c>
      <c r="I68" s="1">
        <f t="shared" si="2"/>
        <v>16295</v>
      </c>
      <c r="J68" s="1">
        <f t="shared" si="3"/>
        <v>0.78202756477120539</v>
      </c>
      <c r="K68" s="6" t="s">
        <v>76</v>
      </c>
    </row>
    <row r="69" spans="1:11">
      <c r="A69" s="5" t="s">
        <v>1407</v>
      </c>
      <c r="B69" s="5">
        <v>1.2117266077986133E-2</v>
      </c>
      <c r="C69" s="5">
        <v>1586</v>
      </c>
      <c r="D69" s="5">
        <v>1764</v>
      </c>
      <c r="E69" s="5">
        <v>277.45488829710314</v>
      </c>
      <c r="F69" s="5">
        <v>1183</v>
      </c>
      <c r="G69" s="5">
        <v>1393</v>
      </c>
      <c r="H69" s="5">
        <v>217.54099790100781</v>
      </c>
      <c r="I69" s="1">
        <f t="shared" si="2"/>
        <v>3157</v>
      </c>
      <c r="J69" s="1">
        <f t="shared" si="3"/>
        <v>0.7812432355969201</v>
      </c>
      <c r="K69" s="6" t="s">
        <v>76</v>
      </c>
    </row>
    <row r="70" spans="1:11">
      <c r="A70" s="5" t="s">
        <v>1345</v>
      </c>
      <c r="B70" s="5">
        <v>3.3319548772325902E-3</v>
      </c>
      <c r="C70" s="5">
        <v>18912</v>
      </c>
      <c r="D70" s="5">
        <v>18923</v>
      </c>
      <c r="E70" s="5">
        <v>288.94966332052331</v>
      </c>
      <c r="F70" s="5">
        <v>14740</v>
      </c>
      <c r="G70" s="5">
        <v>14748</v>
      </c>
      <c r="H70" s="5">
        <v>223.59471407406721</v>
      </c>
      <c r="I70" s="1">
        <f t="shared" si="2"/>
        <v>33671</v>
      </c>
      <c r="J70" s="1">
        <f t="shared" si="3"/>
        <v>0.77115010762021696</v>
      </c>
      <c r="K70" s="6" t="s">
        <v>944</v>
      </c>
    </row>
    <row r="71" spans="1:11">
      <c r="A71" s="5" t="s">
        <v>1410</v>
      </c>
      <c r="B71" s="5">
        <v>1.1676612565736377E-7</v>
      </c>
      <c r="C71" s="5">
        <v>25089</v>
      </c>
      <c r="D71" s="5">
        <v>25090</v>
      </c>
      <c r="E71" s="5">
        <v>476.42481501621052</v>
      </c>
      <c r="F71" s="5">
        <v>19413</v>
      </c>
      <c r="G71" s="5">
        <v>19415</v>
      </c>
      <c r="H71" s="5">
        <v>366.03895564199001</v>
      </c>
      <c r="I71" s="1">
        <f t="shared" si="2"/>
        <v>44505</v>
      </c>
      <c r="J71" s="1">
        <f t="shared" si="3"/>
        <v>0.76669444932300279</v>
      </c>
      <c r="K71" s="6" t="s">
        <v>1411</v>
      </c>
    </row>
    <row r="72" spans="1:11">
      <c r="A72" s="5" t="s">
        <v>848</v>
      </c>
      <c r="B72" s="5">
        <v>2.652602713115737E-4</v>
      </c>
      <c r="C72" s="5">
        <v>9610</v>
      </c>
      <c r="D72" s="5">
        <v>9610</v>
      </c>
      <c r="E72" s="5">
        <v>327.27777312384734</v>
      </c>
      <c r="F72" s="5">
        <v>7424</v>
      </c>
      <c r="G72" s="5">
        <v>7424</v>
      </c>
      <c r="H72" s="5">
        <v>251.03096003543121</v>
      </c>
      <c r="I72" s="1">
        <f t="shared" si="2"/>
        <v>17034</v>
      </c>
      <c r="J72" s="1">
        <f t="shared" si="3"/>
        <v>0.7646906997286298</v>
      </c>
      <c r="K72" s="6" t="s">
        <v>849</v>
      </c>
    </row>
    <row r="73" spans="1:11">
      <c r="A73" s="5" t="s">
        <v>929</v>
      </c>
      <c r="B73" s="5">
        <v>8.2517557065120428E-6</v>
      </c>
      <c r="C73" s="5">
        <v>13609</v>
      </c>
      <c r="D73" s="5">
        <v>13609</v>
      </c>
      <c r="E73" s="5">
        <v>377.09834760756132</v>
      </c>
      <c r="F73" s="5">
        <v>10395</v>
      </c>
      <c r="G73" s="5">
        <v>10395</v>
      </c>
      <c r="H73" s="5">
        <v>285.988854996768</v>
      </c>
      <c r="I73" s="1">
        <f t="shared" si="2"/>
        <v>24004</v>
      </c>
      <c r="J73" s="1">
        <f t="shared" si="3"/>
        <v>0.7563874764499201</v>
      </c>
      <c r="K73" s="6" t="s">
        <v>930</v>
      </c>
    </row>
    <row r="74" spans="1:11">
      <c r="A74" s="5" t="s">
        <v>412</v>
      </c>
      <c r="B74" s="5">
        <v>2.2707703797697487E-4</v>
      </c>
      <c r="C74" s="5">
        <v>7048</v>
      </c>
      <c r="D74" s="5">
        <v>7050</v>
      </c>
      <c r="E74" s="5">
        <v>313.45672946174938</v>
      </c>
      <c r="F74" s="5">
        <v>5367</v>
      </c>
      <c r="G74" s="5">
        <v>5368</v>
      </c>
      <c r="H74" s="5">
        <v>236.97208413066912</v>
      </c>
      <c r="I74" s="1">
        <f t="shared" si="2"/>
        <v>12418</v>
      </c>
      <c r="J74" s="1">
        <f t="shared" si="3"/>
        <v>0.75359202691031768</v>
      </c>
      <c r="K74" s="6" t="s">
        <v>413</v>
      </c>
    </row>
    <row r="75" spans="1:11">
      <c r="A75" s="5" t="s">
        <v>641</v>
      </c>
      <c r="B75" s="5">
        <v>8.5801366012105973E-11</v>
      </c>
      <c r="C75" s="5">
        <v>2433</v>
      </c>
      <c r="D75" s="5">
        <v>14473</v>
      </c>
      <c r="E75" s="5">
        <v>637.25021419953134</v>
      </c>
      <c r="F75" s="5">
        <v>2005</v>
      </c>
      <c r="G75" s="5">
        <v>10994</v>
      </c>
      <c r="H75" s="5">
        <v>480.62168383502888</v>
      </c>
      <c r="I75" s="1">
        <f t="shared" si="2"/>
        <v>25467</v>
      </c>
      <c r="J75" s="1">
        <f t="shared" si="3"/>
        <v>0.75303019590491782</v>
      </c>
      <c r="K75" s="6" t="s">
        <v>640</v>
      </c>
    </row>
    <row r="76" spans="1:11">
      <c r="A76" s="5" t="s">
        <v>1008</v>
      </c>
      <c r="B76" s="5">
        <v>4.996928554268365E-7</v>
      </c>
      <c r="C76" s="5">
        <v>14854</v>
      </c>
      <c r="D76" s="5">
        <v>14854</v>
      </c>
      <c r="E76" s="5">
        <v>412.01622179827984</v>
      </c>
      <c r="F76" s="5">
        <v>11223</v>
      </c>
      <c r="G76" s="5">
        <v>11223</v>
      </c>
      <c r="H76" s="5">
        <v>309.08366879075794</v>
      </c>
      <c r="I76" s="1">
        <f t="shared" si="2"/>
        <v>26077</v>
      </c>
      <c r="J76" s="1">
        <f t="shared" si="3"/>
        <v>0.74835721329540583</v>
      </c>
      <c r="K76" s="6" t="s">
        <v>1009</v>
      </c>
    </row>
    <row r="77" spans="1:11">
      <c r="A77" s="5" t="s">
        <v>2042</v>
      </c>
      <c r="B77" s="5">
        <v>1.9025499564673254E-7</v>
      </c>
      <c r="C77" s="5">
        <v>3339</v>
      </c>
      <c r="D77" s="5">
        <v>15650</v>
      </c>
      <c r="E77" s="5">
        <v>419.96808698626933</v>
      </c>
      <c r="F77" s="5">
        <v>2524</v>
      </c>
      <c r="G77" s="5">
        <v>11752</v>
      </c>
      <c r="H77" s="5">
        <v>313.11936738393814</v>
      </c>
      <c r="I77" s="1">
        <f t="shared" si="2"/>
        <v>27402</v>
      </c>
      <c r="J77" s="1">
        <f t="shared" si="3"/>
        <v>0.74380784924951127</v>
      </c>
      <c r="K77" s="6" t="s">
        <v>324</v>
      </c>
    </row>
    <row r="78" spans="1:11">
      <c r="A78" s="5" t="s">
        <v>1579</v>
      </c>
      <c r="B78" s="5">
        <v>1.6683598946798384E-10</v>
      </c>
      <c r="C78" s="5">
        <v>3652</v>
      </c>
      <c r="D78" s="5">
        <v>3689</v>
      </c>
      <c r="E78" s="5">
        <v>514.77085105688218</v>
      </c>
      <c r="F78" s="5">
        <v>2714</v>
      </c>
      <c r="G78" s="5">
        <v>2737</v>
      </c>
      <c r="H78" s="5">
        <v>379.20695067691975</v>
      </c>
      <c r="I78" s="1">
        <f t="shared" si="2"/>
        <v>6426</v>
      </c>
      <c r="J78" s="1">
        <f t="shared" si="3"/>
        <v>0.73522369459203618</v>
      </c>
      <c r="K78" s="6" t="s">
        <v>76</v>
      </c>
    </row>
    <row r="79" spans="1:11">
      <c r="A79" s="5" t="s">
        <v>969</v>
      </c>
      <c r="B79" s="5">
        <v>4.9097448329149529E-10</v>
      </c>
      <c r="C79" s="5">
        <v>19058</v>
      </c>
      <c r="D79" s="5">
        <v>19058</v>
      </c>
      <c r="E79" s="5">
        <v>497.20205765558927</v>
      </c>
      <c r="F79" s="5">
        <v>14078</v>
      </c>
      <c r="G79" s="5">
        <v>14078</v>
      </c>
      <c r="H79" s="5">
        <v>364.66388588739972</v>
      </c>
      <c r="I79" s="1">
        <f t="shared" si="2"/>
        <v>33136</v>
      </c>
      <c r="J79" s="1">
        <f t="shared" si="3"/>
        <v>0.73195981486590833</v>
      </c>
      <c r="K79" s="6" t="s">
        <v>942</v>
      </c>
    </row>
    <row r="80" spans="1:11">
      <c r="A80" s="5" t="s">
        <v>417</v>
      </c>
      <c r="B80" s="5">
        <v>0</v>
      </c>
      <c r="C80" s="5">
        <v>14669</v>
      </c>
      <c r="D80" s="5">
        <v>14670</v>
      </c>
      <c r="E80" s="5">
        <v>603.90490560761464</v>
      </c>
      <c r="F80" s="5">
        <v>10793</v>
      </c>
      <c r="G80" s="5">
        <v>10798</v>
      </c>
      <c r="H80" s="5">
        <v>441.34475195620337</v>
      </c>
      <c r="I80" s="1">
        <f t="shared" si="2"/>
        <v>25468</v>
      </c>
      <c r="J80" s="1">
        <f t="shared" si="3"/>
        <v>0.72961013849421763</v>
      </c>
      <c r="K80" s="6" t="s">
        <v>418</v>
      </c>
    </row>
    <row r="81" spans="1:11">
      <c r="A81" s="5" t="s">
        <v>1843</v>
      </c>
      <c r="B81" s="5">
        <v>1.3823553413061518E-10</v>
      </c>
      <c r="C81" s="5">
        <v>18443</v>
      </c>
      <c r="D81" s="5">
        <v>18448</v>
      </c>
      <c r="E81" s="5">
        <v>674.70861816661636</v>
      </c>
      <c r="F81" s="5">
        <v>13574</v>
      </c>
      <c r="G81" s="5">
        <v>13574</v>
      </c>
      <c r="H81" s="5">
        <v>492.91383998808601</v>
      </c>
      <c r="I81" s="1">
        <f t="shared" si="2"/>
        <v>32022</v>
      </c>
      <c r="J81" s="1">
        <f t="shared" si="3"/>
        <v>0.72947691761797717</v>
      </c>
      <c r="K81" s="6" t="s">
        <v>325</v>
      </c>
    </row>
    <row r="82" spans="1:11">
      <c r="A82" s="5" t="s">
        <v>1418</v>
      </c>
      <c r="B82" s="5">
        <v>4.7992191359425007E-4</v>
      </c>
      <c r="C82" s="5">
        <v>6760</v>
      </c>
      <c r="D82" s="5">
        <v>6760</v>
      </c>
      <c r="E82" s="5">
        <v>264.66821870315681</v>
      </c>
      <c r="F82" s="5">
        <v>4960</v>
      </c>
      <c r="G82" s="5">
        <v>4960</v>
      </c>
      <c r="H82" s="5">
        <v>192.81151851642258</v>
      </c>
      <c r="I82" s="1">
        <f t="shared" si="2"/>
        <v>11720</v>
      </c>
      <c r="J82" s="1">
        <f t="shared" si="3"/>
        <v>0.72576057255783266</v>
      </c>
      <c r="K82" s="6" t="s">
        <v>1419</v>
      </c>
    </row>
    <row r="83" spans="1:11">
      <c r="A83" s="5" t="s">
        <v>959</v>
      </c>
      <c r="B83" s="5">
        <v>1.6988670470396983E-8</v>
      </c>
      <c r="C83" s="5">
        <v>10033</v>
      </c>
      <c r="D83" s="5">
        <v>10034</v>
      </c>
      <c r="E83" s="5">
        <v>416.20774777991403</v>
      </c>
      <c r="F83" s="5">
        <v>7303</v>
      </c>
      <c r="G83" s="5">
        <v>7303</v>
      </c>
      <c r="H83" s="5">
        <v>300.76934107284399</v>
      </c>
      <c r="I83" s="1">
        <f t="shared" si="2"/>
        <v>17337</v>
      </c>
      <c r="J83" s="1">
        <f t="shared" si="3"/>
        <v>0.7209102483674541</v>
      </c>
      <c r="K83" s="6" t="s">
        <v>960</v>
      </c>
    </row>
    <row r="84" spans="1:11">
      <c r="A84" s="5" t="s">
        <v>1041</v>
      </c>
      <c r="B84" s="5">
        <v>2.9548582835492443E-3</v>
      </c>
      <c r="C84" s="5">
        <v>12175</v>
      </c>
      <c r="D84" s="5">
        <v>12175</v>
      </c>
      <c r="E84" s="5">
        <v>222.19343835042795</v>
      </c>
      <c r="F84" s="5">
        <v>8765</v>
      </c>
      <c r="G84" s="5">
        <v>8765</v>
      </c>
      <c r="H84" s="5">
        <v>158.82189738681126</v>
      </c>
      <c r="I84" s="1">
        <f t="shared" si="2"/>
        <v>20940</v>
      </c>
      <c r="J84" s="1">
        <f t="shared" si="3"/>
        <v>0.7115885599533206</v>
      </c>
      <c r="K84" s="6" t="s">
        <v>606</v>
      </c>
    </row>
    <row r="85" spans="1:11">
      <c r="A85" s="5" t="s">
        <v>1812</v>
      </c>
      <c r="B85" s="5">
        <v>1.9543644480535249E-10</v>
      </c>
      <c r="C85" s="5">
        <v>3807</v>
      </c>
      <c r="D85" s="5">
        <v>4124</v>
      </c>
      <c r="E85" s="5">
        <v>517.12891983381098</v>
      </c>
      <c r="F85" s="5">
        <v>2714</v>
      </c>
      <c r="G85" s="5">
        <v>2949</v>
      </c>
      <c r="H85" s="5">
        <v>367.15643287584226</v>
      </c>
      <c r="I85" s="1">
        <f t="shared" si="2"/>
        <v>7073</v>
      </c>
      <c r="J85" s="1">
        <f t="shared" si="3"/>
        <v>0.70861984116541321</v>
      </c>
      <c r="K85" s="6" t="s">
        <v>2</v>
      </c>
    </row>
    <row r="86" spans="1:11">
      <c r="A86" s="5" t="s">
        <v>420</v>
      </c>
      <c r="B86" s="5">
        <v>2.8313974109739348E-7</v>
      </c>
      <c r="C86" s="5">
        <v>8292</v>
      </c>
      <c r="D86" s="5">
        <v>8292</v>
      </c>
      <c r="E86" s="5">
        <v>342.90459350847345</v>
      </c>
      <c r="F86" s="5">
        <v>5876</v>
      </c>
      <c r="G86" s="5">
        <v>5876</v>
      </c>
      <c r="H86" s="5">
        <v>241.26370708762406</v>
      </c>
      <c r="I86" s="1">
        <f t="shared" si="2"/>
        <v>14168</v>
      </c>
      <c r="J86" s="1">
        <f t="shared" si="3"/>
        <v>0.70154255465529158</v>
      </c>
      <c r="K86" s="6" t="s">
        <v>421</v>
      </c>
    </row>
    <row r="87" spans="1:11">
      <c r="A87" s="5" t="s">
        <v>838</v>
      </c>
      <c r="B87" s="5">
        <v>2.6083198940385355E-3</v>
      </c>
      <c r="C87" s="5">
        <v>8551</v>
      </c>
      <c r="D87" s="5">
        <v>8562</v>
      </c>
      <c r="E87" s="5">
        <v>209.51269309693313</v>
      </c>
      <c r="F87" s="5">
        <v>6027</v>
      </c>
      <c r="G87" s="5">
        <v>6030</v>
      </c>
      <c r="H87" s="5">
        <v>146.50371177596122</v>
      </c>
      <c r="I87" s="1">
        <f t="shared" si="2"/>
        <v>14592</v>
      </c>
      <c r="J87" s="1">
        <f t="shared" si="3"/>
        <v>0.69593766352369923</v>
      </c>
      <c r="K87" s="6" t="s">
        <v>736</v>
      </c>
    </row>
    <row r="88" spans="1:11">
      <c r="A88" s="5" t="s">
        <v>1675</v>
      </c>
      <c r="B88" s="5">
        <v>4.5760728539789852E-10</v>
      </c>
      <c r="C88" s="5">
        <v>233981</v>
      </c>
      <c r="D88" s="5">
        <v>248119</v>
      </c>
      <c r="E88" s="5">
        <v>5083.9567843159575</v>
      </c>
      <c r="F88" s="5">
        <v>163052</v>
      </c>
      <c r="G88" s="5">
        <v>173534</v>
      </c>
      <c r="H88" s="5">
        <v>3530.3893600140082</v>
      </c>
      <c r="I88" s="1">
        <f t="shared" si="2"/>
        <v>421653</v>
      </c>
      <c r="J88" s="1">
        <f t="shared" si="3"/>
        <v>0.69428109416841899</v>
      </c>
      <c r="K88" s="6" t="s">
        <v>273</v>
      </c>
    </row>
    <row r="89" spans="1:11">
      <c r="A89" s="5" t="s">
        <v>1046</v>
      </c>
      <c r="B89" s="5">
        <v>5.6093739381202212E-6</v>
      </c>
      <c r="C89" s="5">
        <v>11449</v>
      </c>
      <c r="D89" s="5">
        <v>11453</v>
      </c>
      <c r="E89" s="5">
        <v>291.52879573082214</v>
      </c>
      <c r="F89" s="5">
        <v>8035</v>
      </c>
      <c r="G89" s="5">
        <v>8035</v>
      </c>
      <c r="H89" s="5">
        <v>203.06930337729366</v>
      </c>
      <c r="I89" s="1">
        <f t="shared" si="2"/>
        <v>19488</v>
      </c>
      <c r="J89" s="1">
        <f t="shared" si="3"/>
        <v>0.69418568818145709</v>
      </c>
      <c r="K89" s="6" t="s">
        <v>336</v>
      </c>
    </row>
    <row r="90" spans="1:11">
      <c r="A90" s="5" t="s">
        <v>1660</v>
      </c>
      <c r="B90" s="5">
        <v>4.082300292806984E-6</v>
      </c>
      <c r="C90" s="5">
        <v>25214</v>
      </c>
      <c r="D90" s="5">
        <v>25240</v>
      </c>
      <c r="E90" s="5">
        <v>295.39714696488113</v>
      </c>
      <c r="F90" s="5">
        <v>17685</v>
      </c>
      <c r="G90" s="5">
        <v>17697</v>
      </c>
      <c r="H90" s="5">
        <v>205.64246297378301</v>
      </c>
      <c r="I90" s="1">
        <f t="shared" si="2"/>
        <v>42937</v>
      </c>
      <c r="J90" s="1">
        <f t="shared" si="3"/>
        <v>0.6938071606949332</v>
      </c>
      <c r="K90" s="6" t="s">
        <v>1661</v>
      </c>
    </row>
    <row r="91" spans="1:11">
      <c r="A91" s="5" t="s">
        <v>64</v>
      </c>
      <c r="B91" s="5">
        <v>1.6795355226029152E-5</v>
      </c>
      <c r="C91" s="5">
        <v>16135</v>
      </c>
      <c r="D91" s="5">
        <v>16135</v>
      </c>
      <c r="E91" s="5">
        <v>274.91849432913483</v>
      </c>
      <c r="F91" s="5">
        <v>11299</v>
      </c>
      <c r="G91" s="5">
        <v>11299</v>
      </c>
      <c r="H91" s="5">
        <v>191.14863260035904</v>
      </c>
      <c r="I91" s="1">
        <f t="shared" si="2"/>
        <v>27434</v>
      </c>
      <c r="J91" s="1">
        <f t="shared" si="3"/>
        <v>0.69277209222642255</v>
      </c>
      <c r="K91" s="6" t="s">
        <v>65</v>
      </c>
    </row>
    <row r="92" spans="1:11">
      <c r="A92" s="5" t="s">
        <v>1358</v>
      </c>
      <c r="B92" s="5">
        <v>6.122446525094194E-3</v>
      </c>
      <c r="C92" s="5">
        <v>7069</v>
      </c>
      <c r="D92" s="5">
        <v>19414</v>
      </c>
      <c r="E92" s="5">
        <v>195.07708993638425</v>
      </c>
      <c r="F92" s="5">
        <v>5857</v>
      </c>
      <c r="G92" s="5">
        <v>13611</v>
      </c>
      <c r="H92" s="5">
        <v>135.79302939589718</v>
      </c>
      <c r="I92" s="1">
        <f t="shared" si="2"/>
        <v>33025</v>
      </c>
      <c r="J92" s="1">
        <f t="shared" si="3"/>
        <v>0.69254918787276076</v>
      </c>
      <c r="K92" s="6" t="s">
        <v>1357</v>
      </c>
    </row>
    <row r="93" spans="1:11">
      <c r="A93" s="5" t="s">
        <v>1715</v>
      </c>
      <c r="B93" s="5">
        <v>6.3397675997833858E-10</v>
      </c>
      <c r="C93" s="5">
        <v>516996</v>
      </c>
      <c r="D93" s="5">
        <v>518170</v>
      </c>
      <c r="E93" s="5">
        <v>2108.5351504544997</v>
      </c>
      <c r="F93" s="5">
        <v>360087</v>
      </c>
      <c r="G93" s="5">
        <v>360619</v>
      </c>
      <c r="H93" s="5">
        <v>1456.9793102448507</v>
      </c>
      <c r="I93" s="1">
        <f t="shared" si="2"/>
        <v>878789</v>
      </c>
      <c r="J93" s="1">
        <f t="shared" si="3"/>
        <v>0.69066368006759415</v>
      </c>
      <c r="K93" s="6" t="s">
        <v>108</v>
      </c>
    </row>
    <row r="94" spans="1:11">
      <c r="A94" s="5" t="s">
        <v>807</v>
      </c>
      <c r="B94" s="5">
        <v>8.1034623455877863E-11</v>
      </c>
      <c r="C94" s="5">
        <v>18540</v>
      </c>
      <c r="D94" s="5">
        <v>18540</v>
      </c>
      <c r="E94" s="5">
        <v>543.62779892748074</v>
      </c>
      <c r="F94" s="5">
        <v>12906</v>
      </c>
      <c r="G94" s="5">
        <v>12906</v>
      </c>
      <c r="H94" s="5">
        <v>375.73338720349005</v>
      </c>
      <c r="I94" s="1">
        <f t="shared" si="2"/>
        <v>31446</v>
      </c>
      <c r="J94" s="1">
        <f t="shared" si="3"/>
        <v>0.68989021115596849</v>
      </c>
      <c r="K94" s="6" t="s">
        <v>808</v>
      </c>
    </row>
    <row r="95" spans="1:11">
      <c r="A95" s="5" t="s">
        <v>1424</v>
      </c>
      <c r="B95" s="5">
        <v>4.7524423285594253E-9</v>
      </c>
      <c r="C95" s="5">
        <v>10037</v>
      </c>
      <c r="D95" s="5">
        <v>10037</v>
      </c>
      <c r="E95" s="5">
        <v>378.79877209310121</v>
      </c>
      <c r="F95" s="5">
        <v>6975</v>
      </c>
      <c r="G95" s="5">
        <v>6975</v>
      </c>
      <c r="H95" s="5">
        <v>261.36356803056157</v>
      </c>
      <c r="I95" s="1">
        <f t="shared" si="2"/>
        <v>17012</v>
      </c>
      <c r="J95" s="1">
        <f t="shared" si="3"/>
        <v>0.68816327812269162</v>
      </c>
      <c r="K95" s="6" t="s">
        <v>1425</v>
      </c>
    </row>
    <row r="96" spans="1:11">
      <c r="A96" s="5" t="s">
        <v>1942</v>
      </c>
      <c r="B96" s="5">
        <v>2.1927015758649304E-10</v>
      </c>
      <c r="C96" s="5">
        <v>17710</v>
      </c>
      <c r="D96" s="5">
        <v>17718</v>
      </c>
      <c r="E96" s="5">
        <v>874.9898226443745</v>
      </c>
      <c r="F96" s="5">
        <v>12244</v>
      </c>
      <c r="G96" s="5">
        <v>12251</v>
      </c>
      <c r="H96" s="5">
        <v>600.69780376389031</v>
      </c>
      <c r="I96" s="1">
        <f t="shared" si="2"/>
        <v>29969</v>
      </c>
      <c r="J96" s="1">
        <f t="shared" si="3"/>
        <v>0.68573605336024035</v>
      </c>
      <c r="K96" s="6" t="s">
        <v>1943</v>
      </c>
    </row>
    <row r="97" spans="1:11">
      <c r="A97" s="5" t="s">
        <v>282</v>
      </c>
      <c r="B97" s="5">
        <v>1.8559788816929768E-7</v>
      </c>
      <c r="C97" s="5">
        <v>8721</v>
      </c>
      <c r="D97" s="5">
        <v>8740</v>
      </c>
      <c r="E97" s="5">
        <v>325.78304305515633</v>
      </c>
      <c r="F97" s="5">
        <v>6047</v>
      </c>
      <c r="G97" s="5">
        <v>6051</v>
      </c>
      <c r="H97" s="5">
        <v>223.94449748323487</v>
      </c>
      <c r="I97" s="1">
        <f t="shared" si="2"/>
        <v>14791</v>
      </c>
      <c r="J97" s="1">
        <f t="shared" si="3"/>
        <v>0.68530023892774705</v>
      </c>
      <c r="K97" s="6" t="s">
        <v>283</v>
      </c>
    </row>
    <row r="98" spans="1:11">
      <c r="A98" s="5" t="s">
        <v>1932</v>
      </c>
      <c r="B98" s="5">
        <v>0</v>
      </c>
      <c r="C98" s="5">
        <v>67312</v>
      </c>
      <c r="D98" s="5">
        <v>67377</v>
      </c>
      <c r="E98" s="5">
        <v>1054.8769454821229</v>
      </c>
      <c r="F98" s="5">
        <v>46491</v>
      </c>
      <c r="G98" s="5">
        <v>46520</v>
      </c>
      <c r="H98" s="5">
        <v>723.14608116507031</v>
      </c>
      <c r="I98" s="1">
        <f t="shared" si="2"/>
        <v>113897</v>
      </c>
      <c r="J98" s="1">
        <f t="shared" si="3"/>
        <v>0.68487723333600714</v>
      </c>
      <c r="K98" s="6" t="s">
        <v>128</v>
      </c>
    </row>
    <row r="99" spans="1:11">
      <c r="A99" s="5" t="s">
        <v>1417</v>
      </c>
      <c r="B99" s="5">
        <v>5.2434168118509206E-11</v>
      </c>
      <c r="C99" s="5">
        <v>30380</v>
      </c>
      <c r="D99" s="5">
        <v>30380</v>
      </c>
      <c r="E99" s="5">
        <v>446.36146086434013</v>
      </c>
      <c r="F99" s="5">
        <v>20992</v>
      </c>
      <c r="G99" s="5">
        <v>20992</v>
      </c>
      <c r="H99" s="5">
        <v>306.23084902810348</v>
      </c>
      <c r="I99" s="1">
        <f t="shared" si="2"/>
        <v>51372</v>
      </c>
      <c r="J99" s="1">
        <f t="shared" si="3"/>
        <v>0.68452666538695495</v>
      </c>
      <c r="K99" s="6" t="s">
        <v>690</v>
      </c>
    </row>
    <row r="100" spans="1:11">
      <c r="A100" s="5" t="s">
        <v>863</v>
      </c>
      <c r="B100" s="5">
        <v>5.0241466542644275E-9</v>
      </c>
      <c r="C100" s="5">
        <v>10637</v>
      </c>
      <c r="D100" s="5">
        <v>10637</v>
      </c>
      <c r="E100" s="5">
        <v>364.53443549068231</v>
      </c>
      <c r="F100" s="5">
        <v>7299</v>
      </c>
      <c r="G100" s="5">
        <v>7299</v>
      </c>
      <c r="H100" s="5">
        <v>248.35846347294759</v>
      </c>
      <c r="I100" s="1">
        <f t="shared" si="2"/>
        <v>17936</v>
      </c>
      <c r="J100" s="1">
        <f t="shared" si="3"/>
        <v>0.67943930683181397</v>
      </c>
      <c r="K100" s="6" t="s">
        <v>864</v>
      </c>
    </row>
    <row r="101" spans="1:11">
      <c r="A101" s="5" t="s">
        <v>1966</v>
      </c>
      <c r="B101" s="5">
        <v>3.8915686229046287E-8</v>
      </c>
      <c r="C101" s="5">
        <v>24430</v>
      </c>
      <c r="D101" s="5">
        <v>24623</v>
      </c>
      <c r="E101" s="5">
        <v>335.00467874584632</v>
      </c>
      <c r="F101" s="5">
        <v>16765</v>
      </c>
      <c r="G101" s="5">
        <v>16845</v>
      </c>
      <c r="H101" s="5">
        <v>227.55014822977333</v>
      </c>
      <c r="I101" s="1">
        <f t="shared" si="2"/>
        <v>41468</v>
      </c>
      <c r="J101" s="1">
        <f t="shared" si="3"/>
        <v>0.67722315379391518</v>
      </c>
      <c r="K101" s="6" t="s">
        <v>779</v>
      </c>
    </row>
    <row r="102" spans="1:11">
      <c r="A102" s="5" t="s">
        <v>1744</v>
      </c>
      <c r="B102" s="5">
        <v>5.5294213652246071E-10</v>
      </c>
      <c r="C102" s="5">
        <v>9122</v>
      </c>
      <c r="D102" s="5">
        <v>9123</v>
      </c>
      <c r="E102" s="5">
        <v>390.31969192253854</v>
      </c>
      <c r="F102" s="5">
        <v>6229</v>
      </c>
      <c r="G102" s="5">
        <v>6230</v>
      </c>
      <c r="H102" s="5">
        <v>264.64703586184203</v>
      </c>
      <c r="I102" s="1">
        <f t="shared" si="2"/>
        <v>15353</v>
      </c>
      <c r="J102" s="1">
        <f t="shared" si="3"/>
        <v>0.67629368346285201</v>
      </c>
      <c r="K102" s="6" t="s">
        <v>882</v>
      </c>
    </row>
    <row r="103" spans="1:11">
      <c r="A103" s="5" t="s">
        <v>1115</v>
      </c>
      <c r="B103" s="5">
        <v>4.8859111201338123E-9</v>
      </c>
      <c r="C103" s="5">
        <v>1905</v>
      </c>
      <c r="D103" s="5">
        <v>11869</v>
      </c>
      <c r="E103" s="5">
        <v>353.7392538436423</v>
      </c>
      <c r="F103" s="5">
        <v>858</v>
      </c>
      <c r="G103" s="5">
        <v>8053</v>
      </c>
      <c r="H103" s="5">
        <v>238.29944158655047</v>
      </c>
      <c r="I103" s="1">
        <f t="shared" si="2"/>
        <v>19922</v>
      </c>
      <c r="J103" s="1">
        <f t="shared" si="3"/>
        <v>0.67175943740239485</v>
      </c>
      <c r="K103" s="6" t="s">
        <v>746</v>
      </c>
    </row>
    <row r="104" spans="1:11">
      <c r="A104" s="5" t="s">
        <v>1730</v>
      </c>
      <c r="B104" s="5">
        <v>1.5253576179929951E-10</v>
      </c>
      <c r="C104" s="5">
        <v>9478</v>
      </c>
      <c r="D104" s="5">
        <v>11951</v>
      </c>
      <c r="E104" s="5">
        <v>489.75183302657194</v>
      </c>
      <c r="F104" s="5">
        <v>6243</v>
      </c>
      <c r="G104" s="5">
        <v>8089</v>
      </c>
      <c r="H104" s="5">
        <v>329.12650585076483</v>
      </c>
      <c r="I104" s="1">
        <f t="shared" si="2"/>
        <v>20040</v>
      </c>
      <c r="J104" s="1">
        <f t="shared" si="3"/>
        <v>0.67065772087079323</v>
      </c>
      <c r="K104" s="6" t="s">
        <v>91</v>
      </c>
    </row>
    <row r="105" spans="1:11">
      <c r="A105" s="5" t="s">
        <v>2185</v>
      </c>
      <c r="B105" s="5">
        <v>1.0181857434954367E-5</v>
      </c>
      <c r="C105" s="5">
        <v>22687</v>
      </c>
      <c r="D105" s="5">
        <v>41488</v>
      </c>
      <c r="E105" s="5">
        <v>254.83476581811132</v>
      </c>
      <c r="F105" s="5">
        <v>19371</v>
      </c>
      <c r="G105" s="5">
        <v>28045</v>
      </c>
      <c r="H105" s="5">
        <v>171.03611422172798</v>
      </c>
      <c r="I105" s="1">
        <f t="shared" si="2"/>
        <v>69533</v>
      </c>
      <c r="J105" s="1">
        <f t="shared" si="3"/>
        <v>0.66854132852033132</v>
      </c>
      <c r="K105" s="6" t="s">
        <v>957</v>
      </c>
    </row>
    <row r="106" spans="1:11">
      <c r="A106" s="5" t="s">
        <v>961</v>
      </c>
      <c r="B106" s="5">
        <v>5.2558627766652322E-6</v>
      </c>
      <c r="C106" s="5">
        <v>5771</v>
      </c>
      <c r="D106" s="5">
        <v>5791</v>
      </c>
      <c r="E106" s="5">
        <v>262.19173416210577</v>
      </c>
      <c r="F106" s="5">
        <v>3895</v>
      </c>
      <c r="G106" s="5">
        <v>3910</v>
      </c>
      <c r="H106" s="5">
        <v>175.7674242500579</v>
      </c>
      <c r="I106" s="1">
        <f t="shared" si="2"/>
        <v>9701</v>
      </c>
      <c r="J106" s="1">
        <f t="shared" si="3"/>
        <v>0.66783033597019714</v>
      </c>
      <c r="K106" s="6" t="s">
        <v>962</v>
      </c>
    </row>
    <row r="107" spans="1:11">
      <c r="A107" s="5" t="s">
        <v>344</v>
      </c>
      <c r="B107" s="5">
        <v>5.1239527289737019E-3</v>
      </c>
      <c r="C107" s="5">
        <v>4692</v>
      </c>
      <c r="D107" s="5">
        <v>4693</v>
      </c>
      <c r="E107" s="5">
        <v>178.10302738850052</v>
      </c>
      <c r="F107" s="5">
        <v>3173</v>
      </c>
      <c r="G107" s="5">
        <v>3173</v>
      </c>
      <c r="H107" s="5">
        <v>119.56030645036532</v>
      </c>
      <c r="I107" s="1">
        <f t="shared" si="2"/>
        <v>7866</v>
      </c>
      <c r="J107" s="1">
        <f t="shared" si="3"/>
        <v>0.66755044955784926</v>
      </c>
      <c r="K107" s="6" t="s">
        <v>345</v>
      </c>
    </row>
    <row r="108" spans="1:11">
      <c r="A108" s="5" t="s">
        <v>1286</v>
      </c>
      <c r="B108" s="5">
        <v>1.001015936807903E-10</v>
      </c>
      <c r="C108" s="5">
        <v>16313</v>
      </c>
      <c r="D108" s="5">
        <v>16315</v>
      </c>
      <c r="E108" s="5">
        <v>467.800593860665</v>
      </c>
      <c r="F108" s="5">
        <v>10844</v>
      </c>
      <c r="G108" s="5">
        <v>10909</v>
      </c>
      <c r="H108" s="5">
        <v>310.5666606974828</v>
      </c>
      <c r="I108" s="1">
        <f t="shared" si="2"/>
        <v>27224</v>
      </c>
      <c r="J108" s="1">
        <f t="shared" si="3"/>
        <v>0.66247070665995822</v>
      </c>
      <c r="K108" s="6" t="s">
        <v>946</v>
      </c>
    </row>
    <row r="109" spans="1:11">
      <c r="A109" s="5" t="s">
        <v>1404</v>
      </c>
      <c r="B109" s="5">
        <v>2.981711870742032E-6</v>
      </c>
      <c r="C109" s="5">
        <v>19009</v>
      </c>
      <c r="D109" s="5">
        <v>19018</v>
      </c>
      <c r="E109" s="5">
        <v>262.55368729650661</v>
      </c>
      <c r="F109" s="5">
        <v>12722</v>
      </c>
      <c r="G109" s="5">
        <v>12723</v>
      </c>
      <c r="H109" s="5">
        <v>174.39699844404029</v>
      </c>
      <c r="I109" s="1">
        <f t="shared" si="2"/>
        <v>31741</v>
      </c>
      <c r="J109" s="1">
        <f t="shared" si="3"/>
        <v>0.66171336942001457</v>
      </c>
      <c r="K109" s="6" t="s">
        <v>1018</v>
      </c>
    </row>
    <row r="110" spans="1:11">
      <c r="A110" s="5" t="s">
        <v>2070</v>
      </c>
      <c r="B110" s="5">
        <v>3.236999058409129E-5</v>
      </c>
      <c r="C110" s="5">
        <v>9042</v>
      </c>
      <c r="D110" s="5">
        <v>9042</v>
      </c>
      <c r="E110" s="5">
        <v>232.55128204552958</v>
      </c>
      <c r="F110" s="5">
        <v>6036</v>
      </c>
      <c r="G110" s="5">
        <v>6037</v>
      </c>
      <c r="H110" s="5">
        <v>154.15996791194053</v>
      </c>
      <c r="I110" s="1">
        <f t="shared" si="2"/>
        <v>15079</v>
      </c>
      <c r="J110" s="1">
        <f t="shared" si="3"/>
        <v>0.66006902878780971</v>
      </c>
      <c r="K110" s="6" t="s">
        <v>2071</v>
      </c>
    </row>
    <row r="111" spans="1:11">
      <c r="A111" s="5" t="s">
        <v>1375</v>
      </c>
      <c r="B111" s="5">
        <v>5.5008209098872385E-9</v>
      </c>
      <c r="C111" s="5">
        <v>20812</v>
      </c>
      <c r="D111" s="5">
        <v>20817</v>
      </c>
      <c r="E111" s="5">
        <v>333.98902609139611</v>
      </c>
      <c r="F111" s="5">
        <v>13851</v>
      </c>
      <c r="G111" s="5">
        <v>13854</v>
      </c>
      <c r="H111" s="5">
        <v>220.6914146165706</v>
      </c>
      <c r="I111" s="1">
        <f t="shared" si="2"/>
        <v>34671</v>
      </c>
      <c r="J111" s="1">
        <f t="shared" si="3"/>
        <v>0.65880192313033759</v>
      </c>
      <c r="K111" s="6" t="s">
        <v>1376</v>
      </c>
    </row>
    <row r="112" spans="1:11">
      <c r="A112" s="5" t="s">
        <v>948</v>
      </c>
      <c r="B112" s="5">
        <v>3.1794172850041491E-9</v>
      </c>
      <c r="C112" s="5">
        <v>12793</v>
      </c>
      <c r="D112" s="5">
        <v>12808</v>
      </c>
      <c r="E112" s="5">
        <v>340.34648161278324</v>
      </c>
      <c r="F112" s="5">
        <v>8499</v>
      </c>
      <c r="G112" s="5">
        <v>8520</v>
      </c>
      <c r="H112" s="5">
        <v>224.78935502440319</v>
      </c>
      <c r="I112" s="1">
        <f t="shared" si="2"/>
        <v>21328</v>
      </c>
      <c r="J112" s="1">
        <f t="shared" si="3"/>
        <v>0.6585371964647927</v>
      </c>
      <c r="K112" s="6" t="s">
        <v>949</v>
      </c>
    </row>
    <row r="113" spans="1:11">
      <c r="A113" s="5" t="s">
        <v>56</v>
      </c>
      <c r="B113" s="5">
        <v>2.1488856782880816E-6</v>
      </c>
      <c r="C113" s="5">
        <v>8486</v>
      </c>
      <c r="D113" s="5">
        <v>8487</v>
      </c>
      <c r="E113" s="5">
        <v>263.02655049684529</v>
      </c>
      <c r="F113" s="5">
        <v>5650</v>
      </c>
      <c r="G113" s="5">
        <v>5650</v>
      </c>
      <c r="H113" s="5">
        <v>173.85614077411142</v>
      </c>
      <c r="I113" s="1">
        <f t="shared" si="2"/>
        <v>14137</v>
      </c>
      <c r="J113" s="1">
        <f t="shared" si="3"/>
        <v>0.6584797644288003</v>
      </c>
      <c r="K113" s="6" t="s">
        <v>57</v>
      </c>
    </row>
    <row r="114" spans="1:11">
      <c r="A114" s="5" t="s">
        <v>1398</v>
      </c>
      <c r="B114" s="5">
        <v>1.8841434322471318E-2</v>
      </c>
      <c r="C114" s="5">
        <v>2151</v>
      </c>
      <c r="D114" s="5">
        <v>2178</v>
      </c>
      <c r="E114" s="5">
        <v>154.33575618418527</v>
      </c>
      <c r="F114" s="5">
        <v>1439</v>
      </c>
      <c r="G114" s="5">
        <v>1446</v>
      </c>
      <c r="H114" s="5">
        <v>101.73565175752331</v>
      </c>
      <c r="I114" s="1">
        <f t="shared" si="2"/>
        <v>3624</v>
      </c>
      <c r="J114" s="1">
        <f t="shared" si="3"/>
        <v>0.65494033219816405</v>
      </c>
      <c r="K114" s="6" t="s">
        <v>1399</v>
      </c>
    </row>
    <row r="115" spans="1:11">
      <c r="A115" s="5" t="s">
        <v>1702</v>
      </c>
      <c r="B115" s="5">
        <v>0</v>
      </c>
      <c r="C115" s="5">
        <v>81933</v>
      </c>
      <c r="D115" s="5">
        <v>81938</v>
      </c>
      <c r="E115" s="5">
        <v>908.55391453326945</v>
      </c>
      <c r="F115" s="5">
        <v>53860</v>
      </c>
      <c r="G115" s="5">
        <v>53864</v>
      </c>
      <c r="H115" s="5">
        <v>593.00744547999045</v>
      </c>
      <c r="I115" s="1">
        <f t="shared" si="2"/>
        <v>135802</v>
      </c>
      <c r="J115" s="1">
        <f t="shared" si="3"/>
        <v>0.65197613467947924</v>
      </c>
      <c r="K115" s="6" t="s">
        <v>1703</v>
      </c>
    </row>
    <row r="116" spans="1:11">
      <c r="A116" s="5" t="s">
        <v>1135</v>
      </c>
      <c r="B116" s="5">
        <v>1.0776522869071492E-5</v>
      </c>
      <c r="C116" s="5">
        <v>7441</v>
      </c>
      <c r="D116" s="5">
        <v>7441</v>
      </c>
      <c r="E116" s="5">
        <v>233.53507123152713</v>
      </c>
      <c r="F116" s="5">
        <v>4873</v>
      </c>
      <c r="G116" s="5">
        <v>4873</v>
      </c>
      <c r="H116" s="5">
        <v>151.84951774814814</v>
      </c>
      <c r="I116" s="1">
        <f t="shared" si="2"/>
        <v>12314</v>
      </c>
      <c r="J116" s="1">
        <f t="shared" si="3"/>
        <v>0.64744908704185278</v>
      </c>
      <c r="K116" s="6" t="s">
        <v>1136</v>
      </c>
    </row>
    <row r="117" spans="1:11">
      <c r="A117" s="5" t="s">
        <v>1679</v>
      </c>
      <c r="B117" s="5">
        <v>8.5801366012105973E-11</v>
      </c>
      <c r="C117" s="5">
        <v>14551</v>
      </c>
      <c r="D117" s="5">
        <v>14554</v>
      </c>
      <c r="E117" s="5">
        <v>365.33643914564078</v>
      </c>
      <c r="F117" s="5">
        <v>9490</v>
      </c>
      <c r="G117" s="5">
        <v>9491</v>
      </c>
      <c r="H117" s="5">
        <v>236.54773519453784</v>
      </c>
      <c r="I117" s="1">
        <f t="shared" si="2"/>
        <v>24045</v>
      </c>
      <c r="J117" s="1">
        <f t="shared" si="3"/>
        <v>0.64571172812130728</v>
      </c>
      <c r="K117" s="6" t="s">
        <v>1680</v>
      </c>
    </row>
    <row r="118" spans="1:11">
      <c r="A118" s="5" t="s">
        <v>1656</v>
      </c>
      <c r="B118" s="5">
        <v>0</v>
      </c>
      <c r="C118" s="5">
        <v>78303</v>
      </c>
      <c r="D118" s="5">
        <v>78313</v>
      </c>
      <c r="E118" s="5">
        <v>2203.6737082377822</v>
      </c>
      <c r="F118" s="5">
        <v>50674</v>
      </c>
      <c r="G118" s="5">
        <v>50683</v>
      </c>
      <c r="H118" s="5">
        <v>1416.0283309105007</v>
      </c>
      <c r="I118" s="1">
        <f t="shared" si="2"/>
        <v>128996</v>
      </c>
      <c r="J118" s="1">
        <f t="shared" si="3"/>
        <v>0.64228476332778806</v>
      </c>
      <c r="K118" s="6" t="s">
        <v>76</v>
      </c>
    </row>
    <row r="119" spans="1:11">
      <c r="A119" s="5" t="s">
        <v>1309</v>
      </c>
      <c r="B119" s="5">
        <v>1.0963507879324652E-10</v>
      </c>
      <c r="C119" s="5">
        <v>14153</v>
      </c>
      <c r="D119" s="5">
        <v>14153</v>
      </c>
      <c r="E119" s="5">
        <v>501.44948514113275</v>
      </c>
      <c r="F119" s="5">
        <v>9173</v>
      </c>
      <c r="G119" s="5">
        <v>9173</v>
      </c>
      <c r="H119" s="5">
        <v>322.69057177446797</v>
      </c>
      <c r="I119" s="1">
        <f t="shared" si="2"/>
        <v>23326</v>
      </c>
      <c r="J119" s="1">
        <f t="shared" si="3"/>
        <v>0.64223485408454062</v>
      </c>
      <c r="K119" s="6" t="s">
        <v>1310</v>
      </c>
    </row>
    <row r="120" spans="1:11">
      <c r="A120" s="5" t="s">
        <v>1189</v>
      </c>
      <c r="B120" s="5">
        <v>0</v>
      </c>
      <c r="C120" s="5">
        <v>24539</v>
      </c>
      <c r="D120" s="5">
        <v>24542</v>
      </c>
      <c r="E120" s="5">
        <v>538.55265309123263</v>
      </c>
      <c r="F120" s="5">
        <v>15898</v>
      </c>
      <c r="G120" s="5">
        <v>15900</v>
      </c>
      <c r="H120" s="5">
        <v>346.42684790675855</v>
      </c>
      <c r="I120" s="1">
        <f t="shared" si="2"/>
        <v>40442</v>
      </c>
      <c r="J120" s="1">
        <f t="shared" si="3"/>
        <v>0.6420630978681916</v>
      </c>
      <c r="K120" s="6" t="s">
        <v>546</v>
      </c>
    </row>
    <row r="121" spans="1:11">
      <c r="A121" s="5" t="s">
        <v>1868</v>
      </c>
      <c r="B121" s="5">
        <v>8.9992013171530383E-3</v>
      </c>
      <c r="C121" s="5">
        <v>6341</v>
      </c>
      <c r="D121" s="5">
        <v>10935</v>
      </c>
      <c r="E121" s="5">
        <v>153.13902928778765</v>
      </c>
      <c r="F121" s="5">
        <v>4103</v>
      </c>
      <c r="G121" s="5">
        <v>7088</v>
      </c>
      <c r="H121" s="5">
        <v>98.556894689669733</v>
      </c>
      <c r="I121" s="1">
        <f t="shared" si="2"/>
        <v>18023</v>
      </c>
      <c r="J121" s="1">
        <f t="shared" si="3"/>
        <v>0.63940259092755514</v>
      </c>
      <c r="K121" s="6" t="s">
        <v>2</v>
      </c>
    </row>
    <row r="122" spans="1:11">
      <c r="A122" s="5" t="s">
        <v>1053</v>
      </c>
      <c r="B122" s="5">
        <v>1.2393530646193085E-10</v>
      </c>
      <c r="C122" s="5">
        <v>25054</v>
      </c>
      <c r="D122" s="5">
        <v>25070</v>
      </c>
      <c r="E122" s="5">
        <v>651.54970934245182</v>
      </c>
      <c r="F122" s="5">
        <v>16085</v>
      </c>
      <c r="G122" s="5">
        <v>16093</v>
      </c>
      <c r="H122" s="5">
        <v>415.26605555079186</v>
      </c>
      <c r="I122" s="1">
        <f t="shared" si="2"/>
        <v>41163</v>
      </c>
      <c r="J122" s="1">
        <f t="shared" si="3"/>
        <v>0.6363745927788993</v>
      </c>
      <c r="K122" s="6" t="s">
        <v>223</v>
      </c>
    </row>
    <row r="123" spans="1:11">
      <c r="A123" s="5" t="s">
        <v>1649</v>
      </c>
      <c r="B123" s="5">
        <v>0</v>
      </c>
      <c r="C123" s="5">
        <v>20762</v>
      </c>
      <c r="D123" s="5">
        <v>20763</v>
      </c>
      <c r="E123" s="5">
        <v>1179.4906259122442</v>
      </c>
      <c r="F123" s="5">
        <v>13252</v>
      </c>
      <c r="G123" s="5">
        <v>13253</v>
      </c>
      <c r="H123" s="5">
        <v>747.506180194884</v>
      </c>
      <c r="I123" s="1">
        <f t="shared" si="2"/>
        <v>34016</v>
      </c>
      <c r="J123" s="1">
        <f t="shared" si="3"/>
        <v>0.63321653199680084</v>
      </c>
      <c r="K123" s="6" t="s">
        <v>8</v>
      </c>
    </row>
    <row r="124" spans="1:11">
      <c r="A124" s="5" t="s">
        <v>548</v>
      </c>
      <c r="B124" s="5">
        <v>5.5617004111274682E-4</v>
      </c>
      <c r="C124" s="5">
        <v>1917</v>
      </c>
      <c r="D124" s="5">
        <v>1922</v>
      </c>
      <c r="E124" s="5">
        <v>177.28470557691799</v>
      </c>
      <c r="F124" s="5">
        <v>1228</v>
      </c>
      <c r="G124" s="5">
        <v>1228</v>
      </c>
      <c r="H124" s="5">
        <v>112.46372238451751</v>
      </c>
      <c r="I124" s="1">
        <f t="shared" si="2"/>
        <v>3150</v>
      </c>
      <c r="J124" s="1">
        <f t="shared" si="3"/>
        <v>0.63080970417844895</v>
      </c>
      <c r="K124" s="6" t="s">
        <v>2</v>
      </c>
    </row>
    <row r="125" spans="1:11">
      <c r="A125" s="5" t="s">
        <v>1000</v>
      </c>
      <c r="B125" s="5">
        <v>1.0963507879324652E-10</v>
      </c>
      <c r="C125" s="5">
        <v>14115</v>
      </c>
      <c r="D125" s="5">
        <v>14115</v>
      </c>
      <c r="E125" s="5">
        <v>389.13799142724736</v>
      </c>
      <c r="F125" s="5">
        <v>8951</v>
      </c>
      <c r="G125" s="5">
        <v>8951</v>
      </c>
      <c r="H125" s="5">
        <v>245.01377832327242</v>
      </c>
      <c r="I125" s="1">
        <f t="shared" si="2"/>
        <v>23066</v>
      </c>
      <c r="J125" s="1">
        <f t="shared" si="3"/>
        <v>0.62801824920186577</v>
      </c>
      <c r="K125" s="6" t="s">
        <v>277</v>
      </c>
    </row>
    <row r="126" spans="1:11">
      <c r="A126" s="5" t="s">
        <v>1946</v>
      </c>
      <c r="B126" s="5">
        <v>0</v>
      </c>
      <c r="C126" s="5">
        <v>35110</v>
      </c>
      <c r="D126" s="5">
        <v>35110</v>
      </c>
      <c r="E126" s="5">
        <v>858.37205076026544</v>
      </c>
      <c r="F126" s="5">
        <v>22232</v>
      </c>
      <c r="G126" s="5">
        <v>22232</v>
      </c>
      <c r="H126" s="5">
        <v>539.65905996610616</v>
      </c>
      <c r="I126" s="1">
        <f t="shared" si="2"/>
        <v>57342</v>
      </c>
      <c r="J126" s="1">
        <f t="shared" si="3"/>
        <v>0.62796906123335405</v>
      </c>
      <c r="K126" s="6" t="s">
        <v>707</v>
      </c>
    </row>
    <row r="127" spans="1:11">
      <c r="A127" s="5" t="s">
        <v>1296</v>
      </c>
      <c r="B127" s="5">
        <v>1.5557460784632049E-5</v>
      </c>
      <c r="C127" s="5">
        <v>10163</v>
      </c>
      <c r="D127" s="5">
        <v>10166</v>
      </c>
      <c r="E127" s="5">
        <v>211.48631231324791</v>
      </c>
      <c r="F127" s="5">
        <v>6446</v>
      </c>
      <c r="G127" s="5">
        <v>6446</v>
      </c>
      <c r="H127" s="5">
        <v>133.14309870524096</v>
      </c>
      <c r="I127" s="1">
        <f t="shared" si="2"/>
        <v>16612</v>
      </c>
      <c r="J127" s="1">
        <f t="shared" si="3"/>
        <v>0.62659611932537584</v>
      </c>
      <c r="K127" s="6" t="s">
        <v>1150</v>
      </c>
    </row>
    <row r="128" spans="1:11">
      <c r="A128" s="5" t="s">
        <v>539</v>
      </c>
      <c r="B128" s="5">
        <v>6.7211070042816345E-10</v>
      </c>
      <c r="C128" s="5">
        <v>9990</v>
      </c>
      <c r="D128" s="5">
        <v>9990</v>
      </c>
      <c r="E128" s="5">
        <v>314.26012858141274</v>
      </c>
      <c r="F128" s="5">
        <v>6299</v>
      </c>
      <c r="G128" s="5">
        <v>6299</v>
      </c>
      <c r="H128" s="5">
        <v>196.73951841758051</v>
      </c>
      <c r="I128" s="1">
        <f t="shared" si="2"/>
        <v>16289</v>
      </c>
      <c r="J128" s="1">
        <f t="shared" si="3"/>
        <v>0.62405455235603802</v>
      </c>
      <c r="K128" s="6" t="s">
        <v>76</v>
      </c>
    </row>
    <row r="129" spans="1:11">
      <c r="A129" s="5" t="s">
        <v>1768</v>
      </c>
      <c r="B129" s="5">
        <v>3.6724902289878014E-2</v>
      </c>
      <c r="C129" s="5">
        <v>9044</v>
      </c>
      <c r="D129" s="5">
        <v>9050</v>
      </c>
      <c r="E129" s="5">
        <v>129.47262991526986</v>
      </c>
      <c r="F129" s="5">
        <v>5721</v>
      </c>
      <c r="G129" s="5">
        <v>5722</v>
      </c>
      <c r="H129" s="5">
        <v>81.278081510223132</v>
      </c>
      <c r="I129" s="1">
        <f t="shared" si="2"/>
        <v>14772</v>
      </c>
      <c r="J129" s="1">
        <f t="shared" si="3"/>
        <v>0.62295120105271018</v>
      </c>
      <c r="K129" s="6" t="s">
        <v>558</v>
      </c>
    </row>
    <row r="130" spans="1:11">
      <c r="A130" s="5" t="s">
        <v>975</v>
      </c>
      <c r="B130" s="5">
        <v>1.0486833623701841E-10</v>
      </c>
      <c r="C130" s="5">
        <v>15043</v>
      </c>
      <c r="D130" s="5">
        <v>15046</v>
      </c>
      <c r="E130" s="5">
        <v>521.54442070861751</v>
      </c>
      <c r="F130" s="5">
        <v>9433</v>
      </c>
      <c r="G130" s="5">
        <v>9437</v>
      </c>
      <c r="H130" s="5">
        <v>324.78831895069823</v>
      </c>
      <c r="I130" s="1">
        <f t="shared" ref="I130:I193" si="4">D130+G130</f>
        <v>24483</v>
      </c>
      <c r="J130" s="1">
        <f t="shared" ref="J130:J193" si="5">H130/(E130+1)</f>
        <v>0.62155159653270409</v>
      </c>
      <c r="K130" s="6" t="s">
        <v>718</v>
      </c>
    </row>
    <row r="131" spans="1:11">
      <c r="A131" s="5" t="s">
        <v>1650</v>
      </c>
      <c r="B131" s="5">
        <v>1.0979714804015828E-7</v>
      </c>
      <c r="C131" s="5">
        <v>3812</v>
      </c>
      <c r="D131" s="5">
        <v>3837</v>
      </c>
      <c r="E131" s="5">
        <v>257.16133326980969</v>
      </c>
      <c r="F131" s="5">
        <v>2372</v>
      </c>
      <c r="G131" s="5">
        <v>2408</v>
      </c>
      <c r="H131" s="5">
        <v>160.23838239330615</v>
      </c>
      <c r="I131" s="1">
        <f t="shared" si="4"/>
        <v>6245</v>
      </c>
      <c r="J131" s="1">
        <f t="shared" si="5"/>
        <v>0.62069086940234286</v>
      </c>
      <c r="K131" s="6" t="s">
        <v>1052</v>
      </c>
    </row>
    <row r="132" spans="1:11">
      <c r="A132" s="5" t="s">
        <v>1091</v>
      </c>
      <c r="B132" s="5">
        <v>0</v>
      </c>
      <c r="C132" s="5">
        <v>19175</v>
      </c>
      <c r="D132" s="5">
        <v>19184</v>
      </c>
      <c r="E132" s="5">
        <v>623.66821484573416</v>
      </c>
      <c r="F132" s="5">
        <v>11997</v>
      </c>
      <c r="G132" s="5">
        <v>11998</v>
      </c>
      <c r="H132" s="5">
        <v>387.27503574985224</v>
      </c>
      <c r="I132" s="1">
        <f t="shared" si="4"/>
        <v>31182</v>
      </c>
      <c r="J132" s="1">
        <f t="shared" si="5"/>
        <v>0.61996917170740362</v>
      </c>
      <c r="K132" s="6" t="s">
        <v>1092</v>
      </c>
    </row>
    <row r="133" spans="1:11">
      <c r="A133" s="5" t="s">
        <v>1651</v>
      </c>
      <c r="B133" s="5">
        <v>0</v>
      </c>
      <c r="C133" s="5">
        <v>43232</v>
      </c>
      <c r="D133" s="5">
        <v>43246</v>
      </c>
      <c r="E133" s="5">
        <v>978.99704157955682</v>
      </c>
      <c r="F133" s="5">
        <v>27009</v>
      </c>
      <c r="G133" s="5">
        <v>27023</v>
      </c>
      <c r="H133" s="5">
        <v>607.38658638226525</v>
      </c>
      <c r="I133" s="1">
        <f t="shared" si="4"/>
        <v>70269</v>
      </c>
      <c r="J133" s="1">
        <f t="shared" si="5"/>
        <v>0.61978410200430911</v>
      </c>
      <c r="K133" s="6" t="s">
        <v>675</v>
      </c>
    </row>
    <row r="134" spans="1:11">
      <c r="A134" s="5" t="s">
        <v>1368</v>
      </c>
      <c r="B134" s="5">
        <v>7.1501138343421644E-11</v>
      </c>
      <c r="C134" s="5">
        <v>16919</v>
      </c>
      <c r="D134" s="5">
        <v>16919</v>
      </c>
      <c r="E134" s="5">
        <v>440.55314212591713</v>
      </c>
      <c r="F134" s="5">
        <v>10535</v>
      </c>
      <c r="G134" s="5">
        <v>10535</v>
      </c>
      <c r="H134" s="5">
        <v>272.36691552737801</v>
      </c>
      <c r="I134" s="1">
        <f t="shared" si="4"/>
        <v>27454</v>
      </c>
      <c r="J134" s="1">
        <f t="shared" si="5"/>
        <v>0.61683835883497684</v>
      </c>
      <c r="K134" s="6" t="s">
        <v>1047</v>
      </c>
    </row>
    <row r="135" spans="1:11">
      <c r="A135" s="5" t="s">
        <v>1794</v>
      </c>
      <c r="B135" s="5">
        <v>1.3346879157438707E-10</v>
      </c>
      <c r="C135" s="5">
        <v>15387</v>
      </c>
      <c r="D135" s="5">
        <v>15387</v>
      </c>
      <c r="E135" s="5">
        <v>387.67705832564985</v>
      </c>
      <c r="F135" s="5">
        <v>9563</v>
      </c>
      <c r="G135" s="5">
        <v>9563</v>
      </c>
      <c r="H135" s="5">
        <v>239.22496702190145</v>
      </c>
      <c r="I135" s="1">
        <f t="shared" si="4"/>
        <v>24950</v>
      </c>
      <c r="J135" s="1">
        <f t="shared" si="5"/>
        <v>0.61548517438214423</v>
      </c>
      <c r="K135" s="6" t="s">
        <v>63</v>
      </c>
    </row>
    <row r="136" spans="1:11">
      <c r="A136" s="5" t="s">
        <v>1687</v>
      </c>
      <c r="B136" s="5">
        <v>2.0861287115974125E-2</v>
      </c>
      <c r="C136" s="5">
        <v>8595</v>
      </c>
      <c r="D136" s="5">
        <v>8669</v>
      </c>
      <c r="E136" s="5">
        <v>130.3257794972603</v>
      </c>
      <c r="F136" s="5">
        <v>5360</v>
      </c>
      <c r="G136" s="5">
        <v>5396</v>
      </c>
      <c r="H136" s="5">
        <v>80.543309233053193</v>
      </c>
      <c r="I136" s="1">
        <f t="shared" si="4"/>
        <v>14065</v>
      </c>
      <c r="J136" s="1">
        <f t="shared" si="5"/>
        <v>0.61330920358050089</v>
      </c>
      <c r="K136" s="6" t="s">
        <v>1390</v>
      </c>
    </row>
    <row r="137" spans="1:11">
      <c r="A137" s="5" t="s">
        <v>1814</v>
      </c>
      <c r="B137" s="5">
        <v>9.5334851124562192E-12</v>
      </c>
      <c r="C137" s="5">
        <v>34349</v>
      </c>
      <c r="D137" s="5">
        <v>34355</v>
      </c>
      <c r="E137" s="5">
        <v>619.49900931836316</v>
      </c>
      <c r="F137" s="5">
        <v>21243</v>
      </c>
      <c r="G137" s="5">
        <v>21247</v>
      </c>
      <c r="H137" s="5">
        <v>380.4034799366849</v>
      </c>
      <c r="I137" s="1">
        <f t="shared" si="4"/>
        <v>55602</v>
      </c>
      <c r="J137" s="1">
        <f t="shared" si="5"/>
        <v>0.61306057580103079</v>
      </c>
      <c r="K137" s="6" t="s">
        <v>303</v>
      </c>
    </row>
    <row r="138" spans="1:11">
      <c r="A138" s="5" t="s">
        <v>1589</v>
      </c>
      <c r="B138" s="5">
        <v>4.5538169472841838E-2</v>
      </c>
      <c r="C138" s="5">
        <v>6715</v>
      </c>
      <c r="D138" s="5">
        <v>6717</v>
      </c>
      <c r="E138" s="5">
        <v>122.58507806158723</v>
      </c>
      <c r="F138" s="5">
        <v>4181</v>
      </c>
      <c r="G138" s="5">
        <v>4181</v>
      </c>
      <c r="H138" s="5">
        <v>75.759766454564513</v>
      </c>
      <c r="I138" s="1">
        <f t="shared" si="4"/>
        <v>10898</v>
      </c>
      <c r="J138" s="1">
        <f t="shared" si="5"/>
        <v>0.61301710241110574</v>
      </c>
      <c r="K138" s="6" t="s">
        <v>1590</v>
      </c>
    </row>
    <row r="139" spans="1:11">
      <c r="A139" s="5" t="s">
        <v>1423</v>
      </c>
      <c r="B139" s="5">
        <v>9.0568108568334083E-11</v>
      </c>
      <c r="C139" s="5">
        <v>25414</v>
      </c>
      <c r="D139" s="5">
        <v>25425</v>
      </c>
      <c r="E139" s="5">
        <v>636.46030209996502</v>
      </c>
      <c r="F139" s="5">
        <v>15704</v>
      </c>
      <c r="G139" s="5">
        <v>15707</v>
      </c>
      <c r="H139" s="5">
        <v>390.39100519510777</v>
      </c>
      <c r="I139" s="1">
        <f t="shared" si="4"/>
        <v>41132</v>
      </c>
      <c r="J139" s="1">
        <f t="shared" si="5"/>
        <v>0.61241618326514635</v>
      </c>
      <c r="K139" s="6" t="s">
        <v>675</v>
      </c>
    </row>
    <row r="140" spans="1:11">
      <c r="A140" s="5" t="s">
        <v>2255</v>
      </c>
      <c r="B140" s="5">
        <v>2.0496992991780871E-10</v>
      </c>
      <c r="C140" s="5">
        <v>9206</v>
      </c>
      <c r="D140" s="5">
        <v>27551</v>
      </c>
      <c r="E140" s="5">
        <v>311.58866240316479</v>
      </c>
      <c r="F140" s="5">
        <v>5978</v>
      </c>
      <c r="G140" s="5">
        <v>16949</v>
      </c>
      <c r="H140" s="5">
        <v>190.32005729943609</v>
      </c>
      <c r="I140" s="1">
        <f t="shared" si="4"/>
        <v>44500</v>
      </c>
      <c r="J140" s="1">
        <f t="shared" si="5"/>
        <v>0.60885144021624371</v>
      </c>
      <c r="K140" s="6" t="s">
        <v>365</v>
      </c>
    </row>
    <row r="141" spans="1:11">
      <c r="A141" s="5" t="s">
        <v>1289</v>
      </c>
      <c r="B141" s="5">
        <v>3.7002188256612945E-3</v>
      </c>
      <c r="C141" s="5">
        <v>3008</v>
      </c>
      <c r="D141" s="5">
        <v>3008</v>
      </c>
      <c r="E141" s="5">
        <v>144.35594567381307</v>
      </c>
      <c r="F141" s="5">
        <v>1855</v>
      </c>
      <c r="G141" s="5">
        <v>1855</v>
      </c>
      <c r="H141" s="5">
        <v>88.388743087321117</v>
      </c>
      <c r="I141" s="1">
        <f t="shared" si="4"/>
        <v>4863</v>
      </c>
      <c r="J141" s="1">
        <f t="shared" si="5"/>
        <v>0.6080848133014829</v>
      </c>
      <c r="K141" s="6" t="s">
        <v>1290</v>
      </c>
    </row>
    <row r="142" spans="1:11">
      <c r="A142" s="5" t="s">
        <v>1586</v>
      </c>
      <c r="B142" s="5">
        <v>0</v>
      </c>
      <c r="C142" s="5">
        <v>13872</v>
      </c>
      <c r="D142" s="5">
        <v>13872</v>
      </c>
      <c r="E142" s="5">
        <v>453.1416501356548</v>
      </c>
      <c r="F142" s="5">
        <v>8485</v>
      </c>
      <c r="G142" s="5">
        <v>8485</v>
      </c>
      <c r="H142" s="5">
        <v>275.19652672889305</v>
      </c>
      <c r="I142" s="1">
        <f t="shared" si="4"/>
        <v>22357</v>
      </c>
      <c r="J142" s="1">
        <f t="shared" si="5"/>
        <v>0.60597068479997418</v>
      </c>
      <c r="K142" s="6" t="s">
        <v>873</v>
      </c>
    </row>
    <row r="143" spans="1:11">
      <c r="A143" s="5" t="s">
        <v>1869</v>
      </c>
      <c r="B143" s="5">
        <v>2.1049108575144082E-4</v>
      </c>
      <c r="C143" s="5">
        <v>19671</v>
      </c>
      <c r="D143" s="5">
        <v>29071</v>
      </c>
      <c r="E143" s="5">
        <v>169.17078779509978</v>
      </c>
      <c r="F143" s="5">
        <v>12209</v>
      </c>
      <c r="G143" s="5">
        <v>17782</v>
      </c>
      <c r="H143" s="5">
        <v>102.74062575324682</v>
      </c>
      <c r="I143" s="1">
        <f t="shared" si="4"/>
        <v>46853</v>
      </c>
      <c r="J143" s="1">
        <f t="shared" si="5"/>
        <v>0.60375007417227999</v>
      </c>
      <c r="K143" s="6" t="s">
        <v>39</v>
      </c>
    </row>
    <row r="144" spans="1:11">
      <c r="A144" s="5" t="s">
        <v>752</v>
      </c>
      <c r="B144" s="5">
        <v>2.307103397214405E-9</v>
      </c>
      <c r="C144" s="5">
        <v>28815</v>
      </c>
      <c r="D144" s="5">
        <v>28825</v>
      </c>
      <c r="E144" s="5">
        <v>275.11356317737335</v>
      </c>
      <c r="F144" s="5">
        <v>17500</v>
      </c>
      <c r="G144" s="5">
        <v>17507</v>
      </c>
      <c r="H144" s="5">
        <v>165.90161643859909</v>
      </c>
      <c r="I144" s="1">
        <f t="shared" si="4"/>
        <v>46332</v>
      </c>
      <c r="J144" s="1">
        <f t="shared" si="5"/>
        <v>0.60084558878415217</v>
      </c>
      <c r="K144" s="6" t="s">
        <v>2</v>
      </c>
    </row>
    <row r="145" spans="1:11">
      <c r="A145" s="5" t="s">
        <v>1658</v>
      </c>
      <c r="B145" s="5">
        <v>0</v>
      </c>
      <c r="C145" s="5">
        <v>18105</v>
      </c>
      <c r="D145" s="5">
        <v>18108</v>
      </c>
      <c r="E145" s="5">
        <v>746.5629846853933</v>
      </c>
      <c r="F145" s="5">
        <v>10952</v>
      </c>
      <c r="G145" s="5">
        <v>10954</v>
      </c>
      <c r="H145" s="5">
        <v>448.39927749605351</v>
      </c>
      <c r="I145" s="1">
        <f t="shared" si="4"/>
        <v>29062</v>
      </c>
      <c r="J145" s="1">
        <f t="shared" si="5"/>
        <v>0.59981471351843252</v>
      </c>
      <c r="K145" s="6" t="s">
        <v>1659</v>
      </c>
    </row>
    <row r="146" spans="1:11">
      <c r="A146" s="5" t="s">
        <v>704</v>
      </c>
      <c r="B146" s="5">
        <v>1.1520263409892095E-7</v>
      </c>
      <c r="C146" s="5">
        <v>10140</v>
      </c>
      <c r="D146" s="5">
        <v>10140</v>
      </c>
      <c r="E146" s="5">
        <v>235.02267291144889</v>
      </c>
      <c r="F146" s="5">
        <v>6126</v>
      </c>
      <c r="G146" s="5">
        <v>6126</v>
      </c>
      <c r="H146" s="5">
        <v>140.97593986817287</v>
      </c>
      <c r="I146" s="1">
        <f t="shared" si="4"/>
        <v>16266</v>
      </c>
      <c r="J146" s="1">
        <f t="shared" si="5"/>
        <v>0.5972982939696827</v>
      </c>
      <c r="K146" s="6" t="s">
        <v>705</v>
      </c>
    </row>
    <row r="147" spans="1:11">
      <c r="A147" s="5" t="s">
        <v>1929</v>
      </c>
      <c r="B147" s="5">
        <v>2.6217084059254603E-10</v>
      </c>
      <c r="C147" s="5">
        <v>118572</v>
      </c>
      <c r="D147" s="5">
        <v>118699</v>
      </c>
      <c r="E147" s="5">
        <v>1614.1350744622496</v>
      </c>
      <c r="F147" s="5">
        <v>71292</v>
      </c>
      <c r="G147" s="5">
        <v>71378</v>
      </c>
      <c r="H147" s="5">
        <v>963.72558632199241</v>
      </c>
      <c r="I147" s="1">
        <f t="shared" si="4"/>
        <v>190077</v>
      </c>
      <c r="J147" s="1">
        <f t="shared" si="5"/>
        <v>0.59668420403962785</v>
      </c>
      <c r="K147" s="6" t="s">
        <v>1127</v>
      </c>
    </row>
    <row r="148" spans="1:11">
      <c r="A148" s="5" t="s">
        <v>1934</v>
      </c>
      <c r="B148" s="5">
        <v>1.4915137458437755E-8</v>
      </c>
      <c r="C148" s="5">
        <v>25205</v>
      </c>
      <c r="D148" s="5">
        <v>33139</v>
      </c>
      <c r="E148" s="5">
        <v>253.08329482770486</v>
      </c>
      <c r="F148" s="5">
        <v>14837</v>
      </c>
      <c r="G148" s="5">
        <v>19977</v>
      </c>
      <c r="H148" s="5">
        <v>151.47834459310687</v>
      </c>
      <c r="I148" s="1">
        <f t="shared" si="4"/>
        <v>53116</v>
      </c>
      <c r="J148" s="1">
        <f t="shared" si="5"/>
        <v>0.59617593000683133</v>
      </c>
      <c r="K148" s="6" t="s">
        <v>824</v>
      </c>
    </row>
    <row r="149" spans="1:11">
      <c r="A149" s="5" t="s">
        <v>1087</v>
      </c>
      <c r="B149" s="5">
        <v>3.009724350291787E-2</v>
      </c>
      <c r="C149" s="5">
        <v>10113</v>
      </c>
      <c r="D149" s="5">
        <v>10113</v>
      </c>
      <c r="E149" s="5">
        <v>118.56179611310624</v>
      </c>
      <c r="F149" s="5">
        <v>6116</v>
      </c>
      <c r="G149" s="5">
        <v>6116</v>
      </c>
      <c r="H149" s="5">
        <v>71.191548487536323</v>
      </c>
      <c r="I149" s="1">
        <f t="shared" si="4"/>
        <v>16229</v>
      </c>
      <c r="J149" s="1">
        <f t="shared" si="5"/>
        <v>0.59543726175030576</v>
      </c>
      <c r="K149" s="6" t="s">
        <v>272</v>
      </c>
    </row>
    <row r="150" spans="1:11">
      <c r="A150" s="5" t="s">
        <v>1711</v>
      </c>
      <c r="B150" s="5">
        <v>8.2700650077743854E-3</v>
      </c>
      <c r="C150" s="5">
        <v>1411</v>
      </c>
      <c r="D150" s="5">
        <v>4031</v>
      </c>
      <c r="E150" s="5">
        <v>130.11432906686031</v>
      </c>
      <c r="F150" s="5">
        <v>909</v>
      </c>
      <c r="G150" s="5">
        <v>2434</v>
      </c>
      <c r="H150" s="5">
        <v>78.006196444135753</v>
      </c>
      <c r="I150" s="1">
        <f t="shared" si="4"/>
        <v>6465</v>
      </c>
      <c r="J150" s="1">
        <f t="shared" si="5"/>
        <v>0.59494791301076899</v>
      </c>
      <c r="K150" s="6" t="s">
        <v>745</v>
      </c>
    </row>
    <row r="151" spans="1:11">
      <c r="A151" s="5" t="s">
        <v>1371</v>
      </c>
      <c r="B151" s="5">
        <v>5.3249349736717022E-4</v>
      </c>
      <c r="C151" s="5">
        <v>2428</v>
      </c>
      <c r="D151" s="5">
        <v>2497</v>
      </c>
      <c r="E151" s="5">
        <v>154.7725454437664</v>
      </c>
      <c r="F151" s="5">
        <v>1460</v>
      </c>
      <c r="G151" s="5">
        <v>1504</v>
      </c>
      <c r="H151" s="5">
        <v>92.559163088234897</v>
      </c>
      <c r="I151" s="1">
        <f t="shared" si="4"/>
        <v>4001</v>
      </c>
      <c r="J151" s="1">
        <f t="shared" si="5"/>
        <v>0.59419432881803025</v>
      </c>
      <c r="K151" s="6" t="s">
        <v>23</v>
      </c>
    </row>
    <row r="152" spans="1:11">
      <c r="A152" s="5" t="s">
        <v>231</v>
      </c>
      <c r="B152" s="5">
        <v>1.9122488380129976E-3</v>
      </c>
      <c r="C152" s="5">
        <v>13503</v>
      </c>
      <c r="D152" s="5">
        <v>13509</v>
      </c>
      <c r="E152" s="5">
        <v>142.97530383788899</v>
      </c>
      <c r="F152" s="5">
        <v>8136</v>
      </c>
      <c r="G152" s="5">
        <v>8138</v>
      </c>
      <c r="H152" s="5">
        <v>85.516853277579614</v>
      </c>
      <c r="I152" s="1">
        <f t="shared" si="4"/>
        <v>21647</v>
      </c>
      <c r="J152" s="1">
        <f t="shared" si="5"/>
        <v>0.5939689029853934</v>
      </c>
      <c r="K152" s="6" t="s">
        <v>119</v>
      </c>
    </row>
    <row r="153" spans="1:11">
      <c r="A153" s="5" t="s">
        <v>504</v>
      </c>
      <c r="B153" s="5">
        <v>7.8794254454450652E-9</v>
      </c>
      <c r="C153" s="5">
        <v>19993</v>
      </c>
      <c r="D153" s="5">
        <v>19994</v>
      </c>
      <c r="E153" s="5">
        <v>255.3031311175607</v>
      </c>
      <c r="F153" s="5">
        <v>11975</v>
      </c>
      <c r="G153" s="5">
        <v>11975</v>
      </c>
      <c r="H153" s="5">
        <v>151.8197162748011</v>
      </c>
      <c r="I153" s="1">
        <f t="shared" si="4"/>
        <v>31969</v>
      </c>
      <c r="J153" s="1">
        <f t="shared" si="5"/>
        <v>0.59234436822063119</v>
      </c>
      <c r="K153" s="6" t="s">
        <v>505</v>
      </c>
    </row>
    <row r="154" spans="1:11">
      <c r="A154" s="5" t="s">
        <v>544</v>
      </c>
      <c r="B154" s="5">
        <v>1.8590295969289627E-10</v>
      </c>
      <c r="C154" s="5">
        <v>7849</v>
      </c>
      <c r="D154" s="5">
        <v>7850</v>
      </c>
      <c r="E154" s="5">
        <v>322.17811145986678</v>
      </c>
      <c r="F154" s="5">
        <v>4692</v>
      </c>
      <c r="G154" s="5">
        <v>4692</v>
      </c>
      <c r="H154" s="5">
        <v>191.19678185390913</v>
      </c>
      <c r="I154" s="1">
        <f t="shared" si="4"/>
        <v>12542</v>
      </c>
      <c r="J154" s="1">
        <f t="shared" si="5"/>
        <v>0.59161426802771733</v>
      </c>
      <c r="K154" s="6" t="s">
        <v>545</v>
      </c>
    </row>
    <row r="155" spans="1:11">
      <c r="A155" s="5" t="s">
        <v>1517</v>
      </c>
      <c r="B155" s="5">
        <v>8.5801366012105973E-11</v>
      </c>
      <c r="C155" s="5">
        <v>1525</v>
      </c>
      <c r="D155" s="5">
        <v>23022</v>
      </c>
      <c r="E155" s="5">
        <v>438.07343205961985</v>
      </c>
      <c r="F155" s="5">
        <v>664</v>
      </c>
      <c r="G155" s="5">
        <v>13720</v>
      </c>
      <c r="H155" s="5">
        <v>259.21144733553689</v>
      </c>
      <c r="I155" s="1">
        <f t="shared" si="4"/>
        <v>36742</v>
      </c>
      <c r="J155" s="1">
        <f t="shared" si="5"/>
        <v>0.59036012750673494</v>
      </c>
      <c r="K155" s="6" t="s">
        <v>1315</v>
      </c>
    </row>
    <row r="156" spans="1:11">
      <c r="A156" s="5" t="s">
        <v>1582</v>
      </c>
      <c r="B156" s="5">
        <v>1.4300227668684329E-11</v>
      </c>
      <c r="C156" s="5">
        <v>4435</v>
      </c>
      <c r="D156" s="5">
        <v>4435</v>
      </c>
      <c r="E156" s="5">
        <v>309.43463329320582</v>
      </c>
      <c r="F156" s="5">
        <v>2637</v>
      </c>
      <c r="G156" s="5">
        <v>2637</v>
      </c>
      <c r="H156" s="5">
        <v>182.67605570607188</v>
      </c>
      <c r="I156" s="1">
        <f t="shared" si="4"/>
        <v>7072</v>
      </c>
      <c r="J156" s="1">
        <f t="shared" si="5"/>
        <v>0.58845256332444762</v>
      </c>
      <c r="K156" s="6" t="s">
        <v>2</v>
      </c>
    </row>
    <row r="157" spans="1:11">
      <c r="A157" s="5" t="s">
        <v>2028</v>
      </c>
      <c r="B157" s="5">
        <v>1.42553750046015E-4</v>
      </c>
      <c r="C157" s="5">
        <v>1773</v>
      </c>
      <c r="D157" s="5">
        <v>16015</v>
      </c>
      <c r="E157" s="5">
        <v>162.12036831232632</v>
      </c>
      <c r="F157" s="5">
        <v>995</v>
      </c>
      <c r="G157" s="5">
        <v>9517</v>
      </c>
      <c r="H157" s="5">
        <v>95.654830841370227</v>
      </c>
      <c r="I157" s="1">
        <f t="shared" si="4"/>
        <v>25532</v>
      </c>
      <c r="J157" s="1">
        <f t="shared" si="5"/>
        <v>0.58640641773331503</v>
      </c>
      <c r="K157" s="6" t="s">
        <v>269</v>
      </c>
    </row>
    <row r="158" spans="1:11">
      <c r="A158" s="5" t="s">
        <v>1985</v>
      </c>
      <c r="B158" s="5">
        <v>6.1014304719719803E-10</v>
      </c>
      <c r="C158" s="5">
        <v>24345</v>
      </c>
      <c r="D158" s="5">
        <v>93676</v>
      </c>
      <c r="E158" s="5">
        <v>1923.7665220932968</v>
      </c>
      <c r="F158" s="5">
        <v>10997</v>
      </c>
      <c r="G158" s="5">
        <v>55219</v>
      </c>
      <c r="H158" s="5">
        <v>1125.9231850983028</v>
      </c>
      <c r="I158" s="1">
        <f t="shared" si="4"/>
        <v>148895</v>
      </c>
      <c r="J158" s="1">
        <f t="shared" si="5"/>
        <v>0.58496611000579701</v>
      </c>
      <c r="K158" s="6" t="s">
        <v>161</v>
      </c>
    </row>
    <row r="159" spans="1:11">
      <c r="A159" s="5" t="s">
        <v>1769</v>
      </c>
      <c r="B159" s="5">
        <v>8.5801366012105973E-11</v>
      </c>
      <c r="C159" s="5">
        <v>28707</v>
      </c>
      <c r="D159" s="5">
        <v>28778</v>
      </c>
      <c r="E159" s="5">
        <v>351.62544461719244</v>
      </c>
      <c r="F159" s="5">
        <v>16965</v>
      </c>
      <c r="G159" s="5">
        <v>16990</v>
      </c>
      <c r="H159" s="5">
        <v>206.11484160829011</v>
      </c>
      <c r="I159" s="1">
        <f t="shared" si="4"/>
        <v>45768</v>
      </c>
      <c r="J159" s="1">
        <f t="shared" si="5"/>
        <v>0.58451494285117978</v>
      </c>
      <c r="K159" s="6" t="s">
        <v>294</v>
      </c>
    </row>
    <row r="160" spans="1:11">
      <c r="A160" s="5" t="s">
        <v>770</v>
      </c>
      <c r="B160" s="5">
        <v>1.7905020479269673E-4</v>
      </c>
      <c r="C160" s="5">
        <v>9643</v>
      </c>
      <c r="D160" s="5">
        <v>9647</v>
      </c>
      <c r="E160" s="5">
        <v>157.84830851702748</v>
      </c>
      <c r="F160" s="5">
        <v>5696</v>
      </c>
      <c r="G160" s="5">
        <v>5696</v>
      </c>
      <c r="H160" s="5">
        <v>92.536663067781276</v>
      </c>
      <c r="I160" s="1">
        <f t="shared" si="4"/>
        <v>15343</v>
      </c>
      <c r="J160" s="1">
        <f t="shared" si="5"/>
        <v>0.58254736189313572</v>
      </c>
      <c r="K160" s="6" t="s">
        <v>528</v>
      </c>
    </row>
    <row r="161" spans="1:11">
      <c r="A161" s="5" t="s">
        <v>1923</v>
      </c>
      <c r="B161" s="5">
        <v>4.5791235692149712E-7</v>
      </c>
      <c r="C161" s="5">
        <v>12531</v>
      </c>
      <c r="D161" s="5">
        <v>12541</v>
      </c>
      <c r="E161" s="5">
        <v>208.33305073979139</v>
      </c>
      <c r="F161" s="5">
        <v>7357</v>
      </c>
      <c r="G161" s="5">
        <v>7359</v>
      </c>
      <c r="H161" s="5">
        <v>121.37828827319852</v>
      </c>
      <c r="I161" s="1">
        <f t="shared" si="4"/>
        <v>19900</v>
      </c>
      <c r="J161" s="1">
        <f t="shared" si="5"/>
        <v>0.57983337004951097</v>
      </c>
      <c r="K161" s="6" t="s">
        <v>188</v>
      </c>
    </row>
    <row r="162" spans="1:11">
      <c r="A162" s="5" t="s">
        <v>1490</v>
      </c>
      <c r="B162" s="5">
        <v>0</v>
      </c>
      <c r="C162" s="5">
        <v>29780</v>
      </c>
      <c r="D162" s="5">
        <v>31953</v>
      </c>
      <c r="E162" s="5">
        <v>556.99159207933292</v>
      </c>
      <c r="F162" s="5">
        <v>17449</v>
      </c>
      <c r="G162" s="5">
        <v>18693</v>
      </c>
      <c r="H162" s="5">
        <v>323.52824806796508</v>
      </c>
      <c r="I162" s="1">
        <f t="shared" si="4"/>
        <v>50646</v>
      </c>
      <c r="J162" s="1">
        <f t="shared" si="5"/>
        <v>0.57980846425006205</v>
      </c>
      <c r="K162" s="6" t="s">
        <v>1491</v>
      </c>
    </row>
    <row r="163" spans="1:11">
      <c r="A163" s="5" t="s">
        <v>2243</v>
      </c>
      <c r="B163" s="5">
        <v>1.7636947458044006E-10</v>
      </c>
      <c r="C163" s="5">
        <v>10356</v>
      </c>
      <c r="D163" s="5">
        <v>10356</v>
      </c>
      <c r="E163" s="5">
        <v>404.87662608363831</v>
      </c>
      <c r="F163" s="5">
        <v>6043</v>
      </c>
      <c r="G163" s="5">
        <v>6043</v>
      </c>
      <c r="H163" s="5">
        <v>234.57377538826285</v>
      </c>
      <c r="I163" s="1">
        <f t="shared" si="4"/>
        <v>16399</v>
      </c>
      <c r="J163" s="1">
        <f t="shared" si="5"/>
        <v>0.57794354321828978</v>
      </c>
      <c r="K163" s="6" t="s">
        <v>2244</v>
      </c>
    </row>
    <row r="164" spans="1:11">
      <c r="A164" s="5" t="s">
        <v>1903</v>
      </c>
      <c r="B164" s="5">
        <v>1.0486833623701841E-10</v>
      </c>
      <c r="C164" s="5">
        <v>24452</v>
      </c>
      <c r="D164" s="5">
        <v>24452</v>
      </c>
      <c r="E164" s="5">
        <v>431.48918662001103</v>
      </c>
      <c r="F164" s="5">
        <v>14256</v>
      </c>
      <c r="G164" s="5">
        <v>14258</v>
      </c>
      <c r="H164" s="5">
        <v>249.81029932716879</v>
      </c>
      <c r="I164" s="1">
        <f t="shared" si="4"/>
        <v>38710</v>
      </c>
      <c r="J164" s="1">
        <f t="shared" si="5"/>
        <v>0.57761050924645296</v>
      </c>
      <c r="K164" s="6" t="s">
        <v>1174</v>
      </c>
    </row>
    <row r="165" spans="1:11">
      <c r="A165" s="5" t="s">
        <v>1953</v>
      </c>
      <c r="B165" s="5">
        <v>0</v>
      </c>
      <c r="C165" s="5">
        <v>3642078</v>
      </c>
      <c r="D165" s="5">
        <v>5066134</v>
      </c>
      <c r="E165" s="5">
        <v>93081.102219493419</v>
      </c>
      <c r="F165" s="5">
        <v>2074984</v>
      </c>
      <c r="G165" s="5">
        <v>2939994</v>
      </c>
      <c r="H165" s="5">
        <v>53632.431737570252</v>
      </c>
      <c r="I165" s="1">
        <f t="shared" si="4"/>
        <v>8006128</v>
      </c>
      <c r="J165" s="1">
        <f t="shared" si="5"/>
        <v>0.57618414774412408</v>
      </c>
      <c r="K165" s="6" t="s">
        <v>187</v>
      </c>
    </row>
    <row r="166" spans="1:11">
      <c r="A166" s="5" t="s">
        <v>1628</v>
      </c>
      <c r="B166" s="5">
        <v>5.0151981437984716E-4</v>
      </c>
      <c r="C166" s="5">
        <v>1625</v>
      </c>
      <c r="D166" s="5">
        <v>1626</v>
      </c>
      <c r="E166" s="5">
        <v>145.06431948291612</v>
      </c>
      <c r="F166" s="5">
        <v>949</v>
      </c>
      <c r="G166" s="5">
        <v>949</v>
      </c>
      <c r="H166" s="5">
        <v>84.062533775184491</v>
      </c>
      <c r="I166" s="1">
        <f t="shared" si="4"/>
        <v>2575</v>
      </c>
      <c r="J166" s="1">
        <f t="shared" si="5"/>
        <v>0.57551723838357771</v>
      </c>
      <c r="K166" s="6" t="s">
        <v>2</v>
      </c>
    </row>
    <row r="167" spans="1:11">
      <c r="A167" s="5" t="s">
        <v>1547</v>
      </c>
      <c r="B167" s="5">
        <v>0</v>
      </c>
      <c r="C167" s="5">
        <v>9762</v>
      </c>
      <c r="D167" s="5">
        <v>9763</v>
      </c>
      <c r="E167" s="5">
        <v>319.68493337734702</v>
      </c>
      <c r="F167" s="5">
        <v>5648</v>
      </c>
      <c r="G167" s="5">
        <v>5648</v>
      </c>
      <c r="H167" s="5">
        <v>183.62413685503876</v>
      </c>
      <c r="I167" s="1">
        <f t="shared" si="4"/>
        <v>15411</v>
      </c>
      <c r="J167" s="1">
        <f t="shared" si="5"/>
        <v>0.5725998253836575</v>
      </c>
      <c r="K167" s="6" t="s">
        <v>1548</v>
      </c>
    </row>
    <row r="168" spans="1:11">
      <c r="A168" s="5" t="s">
        <v>917</v>
      </c>
      <c r="B168" s="5">
        <v>2.1264939766313384E-3</v>
      </c>
      <c r="C168" s="5">
        <v>3440</v>
      </c>
      <c r="D168" s="5">
        <v>3441</v>
      </c>
      <c r="E168" s="5">
        <v>131.13733812497017</v>
      </c>
      <c r="F168" s="5">
        <v>1998</v>
      </c>
      <c r="G168" s="5">
        <v>1998</v>
      </c>
      <c r="H168" s="5">
        <v>75.602015769599248</v>
      </c>
      <c r="I168" s="1">
        <f t="shared" si="4"/>
        <v>5439</v>
      </c>
      <c r="J168" s="1">
        <f t="shared" si="5"/>
        <v>0.57214725862040527</v>
      </c>
      <c r="K168" s="6" t="s">
        <v>918</v>
      </c>
    </row>
    <row r="169" spans="1:11">
      <c r="A169" s="5" t="s">
        <v>1332</v>
      </c>
      <c r="B169" s="5">
        <v>1.9066970224912438E-11</v>
      </c>
      <c r="C169" s="5">
        <v>8653</v>
      </c>
      <c r="D169" s="5">
        <v>8655</v>
      </c>
      <c r="E169" s="5">
        <v>297.73541204091453</v>
      </c>
      <c r="F169" s="5">
        <v>4998</v>
      </c>
      <c r="G169" s="5">
        <v>5001</v>
      </c>
      <c r="H169" s="5">
        <v>170.81125128714606</v>
      </c>
      <c r="I169" s="1">
        <f t="shared" si="4"/>
        <v>13656</v>
      </c>
      <c r="J169" s="1">
        <f t="shared" si="5"/>
        <v>0.57178106244649662</v>
      </c>
      <c r="K169" s="6" t="s">
        <v>1333</v>
      </c>
    </row>
    <row r="170" spans="1:11">
      <c r="A170" s="5" t="s">
        <v>907</v>
      </c>
      <c r="B170" s="5">
        <v>0</v>
      </c>
      <c r="C170" s="5">
        <v>18661</v>
      </c>
      <c r="D170" s="5">
        <v>18661</v>
      </c>
      <c r="E170" s="5">
        <v>483.59913670155379</v>
      </c>
      <c r="F170" s="5">
        <v>10720</v>
      </c>
      <c r="G170" s="5">
        <v>10720</v>
      </c>
      <c r="H170" s="5">
        <v>275.83005713416952</v>
      </c>
      <c r="I170" s="1">
        <f t="shared" si="4"/>
        <v>29381</v>
      </c>
      <c r="J170" s="1">
        <f t="shared" si="5"/>
        <v>0.56919221732754088</v>
      </c>
      <c r="K170" s="6" t="s">
        <v>908</v>
      </c>
    </row>
    <row r="171" spans="1:11">
      <c r="A171" s="5" t="s">
        <v>1464</v>
      </c>
      <c r="B171" s="5">
        <v>0</v>
      </c>
      <c r="C171" s="5">
        <v>2289</v>
      </c>
      <c r="D171" s="5">
        <v>2477</v>
      </c>
      <c r="E171" s="5">
        <v>394.15750417035628</v>
      </c>
      <c r="F171" s="5">
        <v>1288</v>
      </c>
      <c r="G171" s="5">
        <v>1423</v>
      </c>
      <c r="H171" s="5">
        <v>224.8251504904313</v>
      </c>
      <c r="I171" s="1">
        <f t="shared" si="4"/>
        <v>3900</v>
      </c>
      <c r="J171" s="1">
        <f t="shared" si="5"/>
        <v>0.56895073007017216</v>
      </c>
      <c r="K171" s="6" t="s">
        <v>2</v>
      </c>
    </row>
    <row r="172" spans="1:11">
      <c r="A172" s="5" t="s">
        <v>820</v>
      </c>
      <c r="B172" s="5">
        <v>1.7679198300570853E-2</v>
      </c>
      <c r="C172" s="5">
        <v>8197</v>
      </c>
      <c r="D172" s="5">
        <v>8200</v>
      </c>
      <c r="E172" s="5">
        <v>111.67559411403198</v>
      </c>
      <c r="F172" s="5">
        <v>4733</v>
      </c>
      <c r="G172" s="5">
        <v>4733</v>
      </c>
      <c r="H172" s="5">
        <v>63.999579964144445</v>
      </c>
      <c r="I172" s="1">
        <f t="shared" si="4"/>
        <v>12933</v>
      </c>
      <c r="J172" s="1">
        <f t="shared" si="5"/>
        <v>0.56799860224721277</v>
      </c>
      <c r="K172" s="6" t="s">
        <v>821</v>
      </c>
    </row>
    <row r="173" spans="1:11">
      <c r="A173" s="5" t="s">
        <v>986</v>
      </c>
      <c r="B173" s="5">
        <v>1.8656117057203048E-4</v>
      </c>
      <c r="C173" s="5">
        <v>2412</v>
      </c>
      <c r="D173" s="5">
        <v>2415</v>
      </c>
      <c r="E173" s="5">
        <v>149.01104099640611</v>
      </c>
      <c r="F173" s="5">
        <v>1387</v>
      </c>
      <c r="G173" s="5">
        <v>1389</v>
      </c>
      <c r="H173" s="5">
        <v>85.094160749680498</v>
      </c>
      <c r="I173" s="1">
        <f t="shared" si="4"/>
        <v>3804</v>
      </c>
      <c r="J173" s="1">
        <f t="shared" si="5"/>
        <v>0.56725265143463099</v>
      </c>
      <c r="K173" s="6" t="s">
        <v>2</v>
      </c>
    </row>
    <row r="174" spans="1:11">
      <c r="A174" s="5" t="s">
        <v>1383</v>
      </c>
      <c r="B174" s="5">
        <v>0</v>
      </c>
      <c r="C174" s="5">
        <v>188171</v>
      </c>
      <c r="D174" s="5">
        <v>278504</v>
      </c>
      <c r="E174" s="5">
        <v>4554.2620725069228</v>
      </c>
      <c r="F174" s="5">
        <v>119604</v>
      </c>
      <c r="G174" s="5">
        <v>158897</v>
      </c>
      <c r="H174" s="5">
        <v>2579.873899986464</v>
      </c>
      <c r="I174" s="1">
        <f t="shared" si="4"/>
        <v>437401</v>
      </c>
      <c r="J174" s="1">
        <f t="shared" si="5"/>
        <v>0.56635026896853546</v>
      </c>
      <c r="K174" s="6" t="s">
        <v>160</v>
      </c>
    </row>
    <row r="175" spans="1:11">
      <c r="A175" s="5" t="s">
        <v>1019</v>
      </c>
      <c r="B175" s="5">
        <v>1.7042326354632653E-4</v>
      </c>
      <c r="C175" s="5">
        <v>4131</v>
      </c>
      <c r="D175" s="5">
        <v>12396</v>
      </c>
      <c r="E175" s="5">
        <v>149.18353998046439</v>
      </c>
      <c r="F175" s="5">
        <v>1707</v>
      </c>
      <c r="G175" s="5">
        <v>7116</v>
      </c>
      <c r="H175" s="5">
        <v>85.029863160497598</v>
      </c>
      <c r="I175" s="1">
        <f t="shared" si="4"/>
        <v>19512</v>
      </c>
      <c r="J175" s="1">
        <f t="shared" si="5"/>
        <v>0.56617298521234838</v>
      </c>
      <c r="K175" s="6" t="s">
        <v>746</v>
      </c>
    </row>
    <row r="176" spans="1:11">
      <c r="A176" s="5" t="s">
        <v>1440</v>
      </c>
      <c r="B176" s="5">
        <v>2.1190840038265435E-6</v>
      </c>
      <c r="C176" s="5">
        <v>13954</v>
      </c>
      <c r="D176" s="5">
        <v>13980</v>
      </c>
      <c r="E176" s="5">
        <v>182.88738050052217</v>
      </c>
      <c r="F176" s="5">
        <v>7937</v>
      </c>
      <c r="G176" s="5">
        <v>7958</v>
      </c>
      <c r="H176" s="5">
        <v>103.36576018976962</v>
      </c>
      <c r="I176" s="1">
        <f t="shared" si="4"/>
        <v>21938</v>
      </c>
      <c r="J176" s="1">
        <f t="shared" si="5"/>
        <v>0.56211448500935113</v>
      </c>
      <c r="K176" s="6" t="s">
        <v>434</v>
      </c>
    </row>
    <row r="177" spans="1:11">
      <c r="A177" s="5" t="s">
        <v>2014</v>
      </c>
      <c r="B177" s="5">
        <v>2.1506032957936405E-2</v>
      </c>
      <c r="C177" s="5">
        <v>8243</v>
      </c>
      <c r="D177" s="5">
        <v>8243</v>
      </c>
      <c r="E177" s="5">
        <v>107.1145643021506</v>
      </c>
      <c r="F177" s="5">
        <v>4696</v>
      </c>
      <c r="G177" s="5">
        <v>4696</v>
      </c>
      <c r="H177" s="5">
        <v>60.588125174501911</v>
      </c>
      <c r="I177" s="1">
        <f t="shared" si="4"/>
        <v>12939</v>
      </c>
      <c r="J177" s="1">
        <f t="shared" si="5"/>
        <v>0.5604066904915298</v>
      </c>
      <c r="K177" s="6" t="s">
        <v>1195</v>
      </c>
    </row>
    <row r="178" spans="1:11">
      <c r="A178" s="5" t="s">
        <v>1870</v>
      </c>
      <c r="B178" s="5">
        <v>0</v>
      </c>
      <c r="C178" s="5">
        <v>546196</v>
      </c>
      <c r="D178" s="5">
        <v>569642</v>
      </c>
      <c r="E178" s="5">
        <v>6376.1268246052614</v>
      </c>
      <c r="F178" s="5">
        <v>308809</v>
      </c>
      <c r="G178" s="5">
        <v>321508</v>
      </c>
      <c r="H178" s="5">
        <v>3573.0815473312377</v>
      </c>
      <c r="I178" s="1">
        <f t="shared" si="4"/>
        <v>891150</v>
      </c>
      <c r="J178" s="1">
        <f t="shared" si="5"/>
        <v>0.56029645412491991</v>
      </c>
      <c r="K178" s="6" t="s">
        <v>1871</v>
      </c>
    </row>
    <row r="179" spans="1:11">
      <c r="A179" s="5" t="s">
        <v>1760</v>
      </c>
      <c r="B179" s="5">
        <v>5.2527071930930092E-6</v>
      </c>
      <c r="C179" s="5">
        <v>1520</v>
      </c>
      <c r="D179" s="5">
        <v>9682</v>
      </c>
      <c r="E179" s="5">
        <v>174.12697420886394</v>
      </c>
      <c r="F179" s="5">
        <v>905</v>
      </c>
      <c r="G179" s="5">
        <v>5492</v>
      </c>
      <c r="H179" s="5">
        <v>98.068086994178685</v>
      </c>
      <c r="I179" s="1">
        <f t="shared" si="4"/>
        <v>15174</v>
      </c>
      <c r="J179" s="1">
        <f t="shared" si="5"/>
        <v>0.5599827635759782</v>
      </c>
      <c r="K179" s="6" t="s">
        <v>16</v>
      </c>
    </row>
    <row r="180" spans="1:11">
      <c r="A180" s="5" t="s">
        <v>1936</v>
      </c>
      <c r="B180" s="5">
        <v>4.4697647374530858E-3</v>
      </c>
      <c r="C180" s="5">
        <v>13924</v>
      </c>
      <c r="D180" s="5">
        <v>13936</v>
      </c>
      <c r="E180" s="5">
        <v>119.5487011728829</v>
      </c>
      <c r="F180" s="5">
        <v>7921</v>
      </c>
      <c r="G180" s="5">
        <v>7925</v>
      </c>
      <c r="H180" s="5">
        <v>67.499754819682366</v>
      </c>
      <c r="I180" s="1">
        <f t="shared" si="4"/>
        <v>21861</v>
      </c>
      <c r="J180" s="1">
        <f t="shared" si="5"/>
        <v>0.55993763651487816</v>
      </c>
      <c r="K180" s="6" t="s">
        <v>1020</v>
      </c>
    </row>
    <row r="181" spans="1:11">
      <c r="A181" s="5" t="s">
        <v>510</v>
      </c>
      <c r="B181" s="5">
        <v>4.1785265247895609E-7</v>
      </c>
      <c r="C181" s="5">
        <v>7734</v>
      </c>
      <c r="D181" s="5">
        <v>7734</v>
      </c>
      <c r="E181" s="5">
        <v>194.4987479899566</v>
      </c>
      <c r="F181" s="5">
        <v>4382</v>
      </c>
      <c r="G181" s="5">
        <v>4382</v>
      </c>
      <c r="H181" s="5">
        <v>109.41609614933886</v>
      </c>
      <c r="I181" s="1">
        <f t="shared" si="4"/>
        <v>12116</v>
      </c>
      <c r="J181" s="1">
        <f t="shared" si="5"/>
        <v>0.55967671033351019</v>
      </c>
      <c r="K181" s="6" t="s">
        <v>511</v>
      </c>
    </row>
    <row r="182" spans="1:11">
      <c r="A182" s="5" t="s">
        <v>887</v>
      </c>
      <c r="B182" s="5">
        <v>1.8828957235594856E-3</v>
      </c>
      <c r="C182" s="5">
        <v>178</v>
      </c>
      <c r="D182" s="5">
        <v>4462</v>
      </c>
      <c r="E182" s="5">
        <v>126.07912378387506</v>
      </c>
      <c r="F182" s="5">
        <v>154</v>
      </c>
      <c r="G182" s="5">
        <v>2532</v>
      </c>
      <c r="H182" s="5">
        <v>71.035185239776879</v>
      </c>
      <c r="I182" s="1">
        <f t="shared" si="4"/>
        <v>6994</v>
      </c>
      <c r="J182" s="1">
        <f t="shared" si="5"/>
        <v>0.55898390801456299</v>
      </c>
      <c r="K182" s="6" t="s">
        <v>17</v>
      </c>
    </row>
    <row r="183" spans="1:11">
      <c r="A183" s="5" t="s">
        <v>1935</v>
      </c>
      <c r="B183" s="5">
        <v>0</v>
      </c>
      <c r="C183" s="5">
        <v>159647</v>
      </c>
      <c r="D183" s="5">
        <v>188360</v>
      </c>
      <c r="E183" s="5">
        <v>5850.9242934657941</v>
      </c>
      <c r="F183" s="5">
        <v>86993</v>
      </c>
      <c r="G183" s="5">
        <v>105791</v>
      </c>
      <c r="H183" s="5">
        <v>3262.7268679073568</v>
      </c>
      <c r="I183" s="1">
        <f t="shared" si="4"/>
        <v>294151</v>
      </c>
      <c r="J183" s="1">
        <f t="shared" si="5"/>
        <v>0.55754768932169685</v>
      </c>
      <c r="K183" s="6" t="s">
        <v>665</v>
      </c>
    </row>
    <row r="184" spans="1:11">
      <c r="A184" s="5" t="s">
        <v>1126</v>
      </c>
      <c r="B184" s="5">
        <v>0</v>
      </c>
      <c r="C184" s="5">
        <v>368298</v>
      </c>
      <c r="D184" s="5">
        <v>393014</v>
      </c>
      <c r="E184" s="5">
        <v>9497.5050628573044</v>
      </c>
      <c r="F184" s="5">
        <v>206157</v>
      </c>
      <c r="G184" s="5">
        <v>220717</v>
      </c>
      <c r="H184" s="5">
        <v>5295.823435263731</v>
      </c>
      <c r="I184" s="1">
        <f t="shared" si="4"/>
        <v>613731</v>
      </c>
      <c r="J184" s="1">
        <f t="shared" si="5"/>
        <v>0.55754283439531704</v>
      </c>
      <c r="K184" s="6" t="s">
        <v>1127</v>
      </c>
    </row>
    <row r="185" spans="1:11">
      <c r="A185" s="5" t="s">
        <v>1102</v>
      </c>
      <c r="B185" s="5">
        <v>1.1564131264962807E-4</v>
      </c>
      <c r="C185" s="5">
        <v>5509</v>
      </c>
      <c r="D185" s="5">
        <v>5509</v>
      </c>
      <c r="E185" s="5">
        <v>147.25325294125929</v>
      </c>
      <c r="F185" s="5">
        <v>3109</v>
      </c>
      <c r="G185" s="5">
        <v>3109</v>
      </c>
      <c r="H185" s="5">
        <v>82.510467371972382</v>
      </c>
      <c r="I185" s="1">
        <f t="shared" si="4"/>
        <v>8618</v>
      </c>
      <c r="J185" s="1">
        <f t="shared" si="5"/>
        <v>0.55655080569911386</v>
      </c>
      <c r="K185" s="6" t="s">
        <v>1103</v>
      </c>
    </row>
    <row r="186" spans="1:11">
      <c r="A186" s="5" t="s">
        <v>1056</v>
      </c>
      <c r="B186" s="5">
        <v>0</v>
      </c>
      <c r="C186" s="5">
        <v>26210</v>
      </c>
      <c r="D186" s="5">
        <v>26210</v>
      </c>
      <c r="E186" s="5">
        <v>547.76709460249697</v>
      </c>
      <c r="F186" s="5">
        <v>14714</v>
      </c>
      <c r="G186" s="5">
        <v>14714</v>
      </c>
      <c r="H186" s="5">
        <v>305.32043366876582</v>
      </c>
      <c r="I186" s="1">
        <f t="shared" si="4"/>
        <v>40924</v>
      </c>
      <c r="J186" s="1">
        <f t="shared" si="5"/>
        <v>0.5563752576854607</v>
      </c>
      <c r="K186" s="6" t="s">
        <v>1057</v>
      </c>
    </row>
    <row r="187" spans="1:11">
      <c r="A187" s="5" t="s">
        <v>1681</v>
      </c>
      <c r="B187" s="5">
        <v>1.2870204901815896E-10</v>
      </c>
      <c r="C187" s="5">
        <v>28194</v>
      </c>
      <c r="D187" s="5">
        <v>28347</v>
      </c>
      <c r="E187" s="5">
        <v>407.47070700579985</v>
      </c>
      <c r="F187" s="5">
        <v>15830</v>
      </c>
      <c r="G187" s="5">
        <v>15890</v>
      </c>
      <c r="H187" s="5">
        <v>226.78242051701926</v>
      </c>
      <c r="I187" s="1">
        <f t="shared" si="4"/>
        <v>44237</v>
      </c>
      <c r="J187" s="1">
        <f t="shared" si="5"/>
        <v>0.55519873672067066</v>
      </c>
      <c r="K187" s="6" t="s">
        <v>1682</v>
      </c>
    </row>
    <row r="188" spans="1:11">
      <c r="A188" s="5" t="s">
        <v>1094</v>
      </c>
      <c r="B188" s="5">
        <v>4.4237335091434349E-2</v>
      </c>
      <c r="C188" s="5">
        <v>4624</v>
      </c>
      <c r="D188" s="5">
        <v>4627</v>
      </c>
      <c r="E188" s="5">
        <v>99.450208259480675</v>
      </c>
      <c r="F188" s="5">
        <v>2611</v>
      </c>
      <c r="G188" s="5">
        <v>2613</v>
      </c>
      <c r="H188" s="5">
        <v>55.762444903456959</v>
      </c>
      <c r="I188" s="1">
        <f t="shared" si="4"/>
        <v>7240</v>
      </c>
      <c r="J188" s="1">
        <f t="shared" si="5"/>
        <v>0.55512522940134368</v>
      </c>
      <c r="K188" s="6" t="s">
        <v>619</v>
      </c>
    </row>
    <row r="189" spans="1:11">
      <c r="A189" s="5" t="s">
        <v>1543</v>
      </c>
      <c r="B189" s="5">
        <v>0</v>
      </c>
      <c r="C189" s="5">
        <v>8678</v>
      </c>
      <c r="D189" s="5">
        <v>8684</v>
      </c>
      <c r="E189" s="5">
        <v>434.37099552859019</v>
      </c>
      <c r="F189" s="5">
        <v>4837</v>
      </c>
      <c r="G189" s="5">
        <v>4841</v>
      </c>
      <c r="H189" s="5">
        <v>240.42093734838681</v>
      </c>
      <c r="I189" s="1">
        <f t="shared" si="4"/>
        <v>13525</v>
      </c>
      <c r="J189" s="1">
        <f t="shared" si="5"/>
        <v>0.55222084111618019</v>
      </c>
      <c r="K189" s="6" t="s">
        <v>1544</v>
      </c>
    </row>
    <row r="190" spans="1:11">
      <c r="A190" s="5" t="s">
        <v>726</v>
      </c>
      <c r="B190" s="5">
        <v>0</v>
      </c>
      <c r="C190" s="5">
        <v>17110</v>
      </c>
      <c r="D190" s="5">
        <v>17793</v>
      </c>
      <c r="E190" s="5">
        <v>886.7402851000179</v>
      </c>
      <c r="F190" s="5">
        <v>9678</v>
      </c>
      <c r="G190" s="5">
        <v>9907</v>
      </c>
      <c r="H190" s="5">
        <v>490.21390212905737</v>
      </c>
      <c r="I190" s="1">
        <f t="shared" si="4"/>
        <v>27700</v>
      </c>
      <c r="J190" s="1">
        <f t="shared" si="5"/>
        <v>0.55220418669388993</v>
      </c>
      <c r="K190" s="6" t="s">
        <v>76</v>
      </c>
    </row>
    <row r="191" spans="1:11">
      <c r="A191" s="5" t="s">
        <v>1557</v>
      </c>
      <c r="B191" s="5">
        <v>2.7647106826123036E-10</v>
      </c>
      <c r="C191" s="5">
        <v>12650</v>
      </c>
      <c r="D191" s="5">
        <v>12727</v>
      </c>
      <c r="E191" s="5">
        <v>243.53778446759901</v>
      </c>
      <c r="F191" s="5">
        <v>7034</v>
      </c>
      <c r="G191" s="5">
        <v>7051</v>
      </c>
      <c r="H191" s="5">
        <v>133.96372695434226</v>
      </c>
      <c r="I191" s="1">
        <f t="shared" si="4"/>
        <v>19778</v>
      </c>
      <c r="J191" s="1">
        <f t="shared" si="5"/>
        <v>0.54782424420015263</v>
      </c>
      <c r="K191" s="6" t="s">
        <v>1295</v>
      </c>
    </row>
    <row r="192" spans="1:11">
      <c r="A192" s="5" t="s">
        <v>602</v>
      </c>
      <c r="B192" s="5">
        <v>0</v>
      </c>
      <c r="C192" s="5">
        <v>26719</v>
      </c>
      <c r="D192" s="5">
        <v>26720</v>
      </c>
      <c r="E192" s="5">
        <v>565.37342162352684</v>
      </c>
      <c r="F192" s="5">
        <v>14753</v>
      </c>
      <c r="G192" s="5">
        <v>14753</v>
      </c>
      <c r="H192" s="5">
        <v>309.93846435678017</v>
      </c>
      <c r="I192" s="1">
        <f t="shared" si="4"/>
        <v>41473</v>
      </c>
      <c r="J192" s="1">
        <f t="shared" si="5"/>
        <v>0.54723341972568562</v>
      </c>
      <c r="K192" s="6" t="s">
        <v>559</v>
      </c>
    </row>
    <row r="193" spans="1:11">
      <c r="A193" s="5" t="s">
        <v>1551</v>
      </c>
      <c r="B193" s="5">
        <v>2.2479957895171765E-8</v>
      </c>
      <c r="C193" s="5">
        <v>12046</v>
      </c>
      <c r="D193" s="5">
        <v>12047</v>
      </c>
      <c r="E193" s="5">
        <v>208.79455125205089</v>
      </c>
      <c r="F193" s="5">
        <v>6670</v>
      </c>
      <c r="G193" s="5">
        <v>6670</v>
      </c>
      <c r="H193" s="5">
        <v>114.77895980720341</v>
      </c>
      <c r="I193" s="1">
        <f t="shared" si="4"/>
        <v>18717</v>
      </c>
      <c r="J193" s="1">
        <f t="shared" si="5"/>
        <v>0.54710171985975908</v>
      </c>
      <c r="K193" s="6" t="s">
        <v>127</v>
      </c>
    </row>
    <row r="194" spans="1:11">
      <c r="A194" s="5" t="s">
        <v>1354</v>
      </c>
      <c r="B194" s="5">
        <v>4.7667425562281096E-11</v>
      </c>
      <c r="C194" s="5">
        <v>86156</v>
      </c>
      <c r="D194" s="5">
        <v>86301</v>
      </c>
      <c r="E194" s="5">
        <v>445.938405240588</v>
      </c>
      <c r="F194" s="5">
        <v>47458</v>
      </c>
      <c r="G194" s="5">
        <v>47503</v>
      </c>
      <c r="H194" s="5">
        <v>243.71164787496735</v>
      </c>
      <c r="I194" s="1">
        <f t="shared" ref="I194:I257" si="6">D194+G194</f>
        <v>133804</v>
      </c>
      <c r="J194" s="1">
        <f t="shared" ref="J194:J257" si="7">H194/(E194+1)</f>
        <v>0.54529135338856549</v>
      </c>
      <c r="K194" s="6" t="s">
        <v>685</v>
      </c>
    </row>
    <row r="195" spans="1:11">
      <c r="A195" s="5" t="s">
        <v>2181</v>
      </c>
      <c r="B195" s="5">
        <v>2.3833712781140548E-11</v>
      </c>
      <c r="C195" s="5">
        <v>10668</v>
      </c>
      <c r="D195" s="5">
        <v>10739</v>
      </c>
      <c r="E195" s="5">
        <v>268.82781452316715</v>
      </c>
      <c r="F195" s="5">
        <v>5882</v>
      </c>
      <c r="G195" s="5">
        <v>5912</v>
      </c>
      <c r="H195" s="5">
        <v>146.94032104879844</v>
      </c>
      <c r="I195" s="1">
        <f t="shared" si="6"/>
        <v>16651</v>
      </c>
      <c r="J195" s="1">
        <f t="shared" si="7"/>
        <v>0.54457069708868833</v>
      </c>
      <c r="K195" s="6" t="s">
        <v>706</v>
      </c>
    </row>
    <row r="196" spans="1:11">
      <c r="A196" s="5" t="s">
        <v>2228</v>
      </c>
      <c r="B196" s="5">
        <v>2.2227425956203306E-2</v>
      </c>
      <c r="C196" s="5">
        <v>7553</v>
      </c>
      <c r="D196" s="5">
        <v>7554</v>
      </c>
      <c r="E196" s="5">
        <v>100.66097805827145</v>
      </c>
      <c r="F196" s="5">
        <v>4175</v>
      </c>
      <c r="G196" s="5">
        <v>4176</v>
      </c>
      <c r="H196" s="5">
        <v>55.251090646877628</v>
      </c>
      <c r="I196" s="1">
        <f t="shared" si="6"/>
        <v>11730</v>
      </c>
      <c r="J196" s="1">
        <f t="shared" si="7"/>
        <v>0.54348376045731173</v>
      </c>
      <c r="K196" s="6" t="s">
        <v>2229</v>
      </c>
    </row>
    <row r="197" spans="1:11">
      <c r="A197" s="5" t="s">
        <v>1445</v>
      </c>
      <c r="B197" s="5">
        <v>2.6855004822023965E-4</v>
      </c>
      <c r="C197" s="5">
        <v>2039</v>
      </c>
      <c r="D197" s="5">
        <v>2039</v>
      </c>
      <c r="E197" s="5">
        <v>132.73359193728132</v>
      </c>
      <c r="F197" s="5">
        <v>1118</v>
      </c>
      <c r="G197" s="5">
        <v>1118</v>
      </c>
      <c r="H197" s="5">
        <v>72.260610241957437</v>
      </c>
      <c r="I197" s="1">
        <f t="shared" si="6"/>
        <v>3157</v>
      </c>
      <c r="J197" s="1">
        <f t="shared" si="7"/>
        <v>0.5403325312300471</v>
      </c>
      <c r="K197" s="6" t="s">
        <v>1446</v>
      </c>
    </row>
    <row r="198" spans="1:11">
      <c r="A198" s="5" t="s">
        <v>1640</v>
      </c>
      <c r="B198" s="5">
        <v>2.6992419094079567E-3</v>
      </c>
      <c r="C198" s="5">
        <v>9288</v>
      </c>
      <c r="D198" s="5">
        <v>10765</v>
      </c>
      <c r="E198" s="5">
        <v>114.87188740955685</v>
      </c>
      <c r="F198" s="5">
        <v>5193</v>
      </c>
      <c r="G198" s="5">
        <v>5896</v>
      </c>
      <c r="H198" s="5">
        <v>62.467395292150158</v>
      </c>
      <c r="I198" s="1">
        <f t="shared" si="6"/>
        <v>16661</v>
      </c>
      <c r="J198" s="1">
        <f t="shared" si="7"/>
        <v>0.53910742880501306</v>
      </c>
      <c r="K198" s="6" t="s">
        <v>172</v>
      </c>
    </row>
    <row r="199" spans="1:11">
      <c r="A199" s="5" t="s">
        <v>1427</v>
      </c>
      <c r="B199" s="5">
        <v>0</v>
      </c>
      <c r="C199" s="5">
        <v>13246</v>
      </c>
      <c r="D199" s="5">
        <v>13247</v>
      </c>
      <c r="E199" s="5">
        <v>580.45136822330358</v>
      </c>
      <c r="F199" s="5">
        <v>7204</v>
      </c>
      <c r="G199" s="5">
        <v>7204</v>
      </c>
      <c r="H199" s="5">
        <v>313.41386638280295</v>
      </c>
      <c r="I199" s="1">
        <f t="shared" si="6"/>
        <v>20451</v>
      </c>
      <c r="J199" s="1">
        <f t="shared" si="7"/>
        <v>0.53901991380719882</v>
      </c>
      <c r="K199" s="6" t="s">
        <v>727</v>
      </c>
    </row>
    <row r="200" spans="1:11">
      <c r="A200" s="5" t="s">
        <v>1614</v>
      </c>
      <c r="B200" s="5">
        <v>0</v>
      </c>
      <c r="C200" s="5">
        <v>5521</v>
      </c>
      <c r="D200" s="5">
        <v>5582</v>
      </c>
      <c r="E200" s="5">
        <v>336.04025101348049</v>
      </c>
      <c r="F200" s="5">
        <v>2942</v>
      </c>
      <c r="G200" s="5">
        <v>2999</v>
      </c>
      <c r="H200" s="5">
        <v>179.2561786778173</v>
      </c>
      <c r="I200" s="1">
        <f t="shared" si="6"/>
        <v>8581</v>
      </c>
      <c r="J200" s="1">
        <f t="shared" si="7"/>
        <v>0.5318539199362502</v>
      </c>
      <c r="K200" s="6" t="s">
        <v>2</v>
      </c>
    </row>
    <row r="201" spans="1:11">
      <c r="A201" s="5" t="s">
        <v>993</v>
      </c>
      <c r="B201" s="5">
        <v>4.6506437745286178E-6</v>
      </c>
      <c r="C201" s="5">
        <v>1656</v>
      </c>
      <c r="D201" s="5">
        <v>4484</v>
      </c>
      <c r="E201" s="5">
        <v>157.4359120828677</v>
      </c>
      <c r="F201" s="5">
        <v>1052</v>
      </c>
      <c r="G201" s="5">
        <v>2407</v>
      </c>
      <c r="H201" s="5">
        <v>83.909375890472234</v>
      </c>
      <c r="I201" s="1">
        <f t="shared" si="6"/>
        <v>6891</v>
      </c>
      <c r="J201" s="1">
        <f t="shared" si="7"/>
        <v>0.52961083625147187</v>
      </c>
      <c r="K201" s="6" t="s">
        <v>992</v>
      </c>
    </row>
    <row r="202" spans="1:11">
      <c r="A202" s="5" t="s">
        <v>1770</v>
      </c>
      <c r="B202" s="5">
        <v>3.9659298067817872E-9</v>
      </c>
      <c r="C202" s="5">
        <v>19352</v>
      </c>
      <c r="D202" s="5">
        <v>19399</v>
      </c>
      <c r="E202" s="5">
        <v>206.51823116988135</v>
      </c>
      <c r="F202" s="5">
        <v>10310</v>
      </c>
      <c r="G202" s="5">
        <v>10321</v>
      </c>
      <c r="H202" s="5">
        <v>109.09303689394328</v>
      </c>
      <c r="I202" s="1">
        <f t="shared" si="6"/>
        <v>29720</v>
      </c>
      <c r="J202" s="1">
        <f t="shared" si="7"/>
        <v>0.525703386535885</v>
      </c>
      <c r="K202" s="6" t="s">
        <v>490</v>
      </c>
    </row>
    <row r="203" spans="1:11">
      <c r="A203" s="5" t="s">
        <v>1701</v>
      </c>
      <c r="B203" s="5">
        <v>5.8630933441605748E-10</v>
      </c>
      <c r="C203" s="5">
        <v>94365</v>
      </c>
      <c r="D203" s="5">
        <v>94447</v>
      </c>
      <c r="E203" s="5">
        <v>1889.6838974983305</v>
      </c>
      <c r="F203" s="5">
        <v>49773</v>
      </c>
      <c r="G203" s="5">
        <v>49815</v>
      </c>
      <c r="H203" s="5">
        <v>989.59462871389292</v>
      </c>
      <c r="I203" s="1">
        <f t="shared" si="6"/>
        <v>144262</v>
      </c>
      <c r="J203" s="1">
        <f t="shared" si="7"/>
        <v>0.52340564703770998</v>
      </c>
      <c r="K203" s="6" t="s">
        <v>63</v>
      </c>
    </row>
    <row r="204" spans="1:11">
      <c r="A204" s="5" t="s">
        <v>2133</v>
      </c>
      <c r="B204" s="5">
        <v>4.9259517576061285E-8</v>
      </c>
      <c r="C204" s="5">
        <v>13096</v>
      </c>
      <c r="D204" s="5">
        <v>13115</v>
      </c>
      <c r="E204" s="5">
        <v>185.19381717932893</v>
      </c>
      <c r="F204" s="5">
        <v>6905</v>
      </c>
      <c r="G204" s="5">
        <v>6920</v>
      </c>
      <c r="H204" s="5">
        <v>97.019824099059505</v>
      </c>
      <c r="I204" s="1">
        <f t="shared" si="6"/>
        <v>20035</v>
      </c>
      <c r="J204" s="1">
        <f t="shared" si="7"/>
        <v>0.52106898912554522</v>
      </c>
      <c r="K204" s="6" t="s">
        <v>2134</v>
      </c>
    </row>
    <row r="205" spans="1:11">
      <c r="A205" s="5" t="s">
        <v>2156</v>
      </c>
      <c r="B205" s="5">
        <v>5.7690852204916876E-4</v>
      </c>
      <c r="C205" s="5">
        <v>3846</v>
      </c>
      <c r="D205" s="5">
        <v>3851</v>
      </c>
      <c r="E205" s="5">
        <v>118.27138969889447</v>
      </c>
      <c r="F205" s="5">
        <v>2029</v>
      </c>
      <c r="G205" s="5">
        <v>2033</v>
      </c>
      <c r="H205" s="5">
        <v>61.992586951822609</v>
      </c>
      <c r="I205" s="1">
        <f t="shared" si="6"/>
        <v>5884</v>
      </c>
      <c r="J205" s="1">
        <f t="shared" si="7"/>
        <v>0.51976074990259979</v>
      </c>
      <c r="K205" s="6" t="s">
        <v>26</v>
      </c>
    </row>
    <row r="206" spans="1:11">
      <c r="A206" s="5" t="s">
        <v>131</v>
      </c>
      <c r="B206" s="5">
        <v>3.026409615691783E-6</v>
      </c>
      <c r="C206" s="5">
        <v>2534</v>
      </c>
      <c r="D206" s="5">
        <v>7584</v>
      </c>
      <c r="E206" s="5">
        <v>154.35006623037702</v>
      </c>
      <c r="F206" s="5">
        <v>1451</v>
      </c>
      <c r="G206" s="5">
        <v>3983</v>
      </c>
      <c r="H206" s="5">
        <v>80.485009980273489</v>
      </c>
      <c r="I206" s="1">
        <f t="shared" si="6"/>
        <v>11567</v>
      </c>
      <c r="J206" s="1">
        <f t="shared" si="7"/>
        <v>0.51808803132995074</v>
      </c>
      <c r="K206" s="6" t="s">
        <v>132</v>
      </c>
    </row>
    <row r="207" spans="1:11">
      <c r="A207" s="5" t="s">
        <v>1740</v>
      </c>
      <c r="B207" s="5">
        <v>1.4948123984270811E-3</v>
      </c>
      <c r="C207" s="5">
        <v>1752</v>
      </c>
      <c r="D207" s="5">
        <v>1752</v>
      </c>
      <c r="E207" s="5">
        <v>110.86783054276589</v>
      </c>
      <c r="F207" s="5">
        <v>922</v>
      </c>
      <c r="G207" s="5">
        <v>922</v>
      </c>
      <c r="H207" s="5">
        <v>57.929338404978637</v>
      </c>
      <c r="I207" s="1">
        <f t="shared" si="6"/>
        <v>2674</v>
      </c>
      <c r="J207" s="1">
        <f t="shared" si="7"/>
        <v>0.51783732753119638</v>
      </c>
      <c r="K207" s="6" t="s">
        <v>2</v>
      </c>
    </row>
    <row r="208" spans="1:11">
      <c r="A208" s="5" t="s">
        <v>1954</v>
      </c>
      <c r="B208" s="5">
        <v>0</v>
      </c>
      <c r="C208" s="5">
        <v>21169</v>
      </c>
      <c r="D208" s="5">
        <v>23149</v>
      </c>
      <c r="E208" s="5">
        <v>1999.6849785656839</v>
      </c>
      <c r="F208" s="5">
        <v>10676</v>
      </c>
      <c r="G208" s="5">
        <v>12019</v>
      </c>
      <c r="H208" s="5">
        <v>1030.8462240968854</v>
      </c>
      <c r="I208" s="1">
        <f t="shared" si="6"/>
        <v>35168</v>
      </c>
      <c r="J208" s="1">
        <f t="shared" si="7"/>
        <v>0.51524664559430644</v>
      </c>
      <c r="K208" s="6" t="s">
        <v>665</v>
      </c>
    </row>
    <row r="209" spans="1:11">
      <c r="A209" s="5" t="s">
        <v>1187</v>
      </c>
      <c r="B209" s="5">
        <v>3.0169439470256743E-3</v>
      </c>
      <c r="C209" s="5">
        <v>3744</v>
      </c>
      <c r="D209" s="5">
        <v>3744</v>
      </c>
      <c r="E209" s="5">
        <v>104.91957271572501</v>
      </c>
      <c r="F209" s="5">
        <v>1960</v>
      </c>
      <c r="G209" s="5">
        <v>1960</v>
      </c>
      <c r="H209" s="5">
        <v>54.534702028809434</v>
      </c>
      <c r="I209" s="1">
        <f t="shared" si="6"/>
        <v>5704</v>
      </c>
      <c r="J209" s="1">
        <f t="shared" si="7"/>
        <v>0.51486897681483113</v>
      </c>
      <c r="K209" s="6" t="s">
        <v>1188</v>
      </c>
    </row>
    <row r="210" spans="1:11">
      <c r="A210" s="5" t="s">
        <v>1595</v>
      </c>
      <c r="B210" s="5">
        <v>8.1996552103724696E-7</v>
      </c>
      <c r="C210" s="5">
        <v>10354</v>
      </c>
      <c r="D210" s="5">
        <v>10354</v>
      </c>
      <c r="E210" s="5">
        <v>161.45542139286189</v>
      </c>
      <c r="F210" s="5">
        <v>5397</v>
      </c>
      <c r="G210" s="5">
        <v>5397</v>
      </c>
      <c r="H210" s="5">
        <v>83.558972291342457</v>
      </c>
      <c r="I210" s="1">
        <f t="shared" si="6"/>
        <v>15751</v>
      </c>
      <c r="J210" s="1">
        <f t="shared" si="7"/>
        <v>0.51435016187778604</v>
      </c>
      <c r="K210" s="6" t="s">
        <v>97</v>
      </c>
    </row>
    <row r="211" spans="1:11">
      <c r="A211" s="5" t="s">
        <v>788</v>
      </c>
      <c r="B211" s="5">
        <v>2.2845567049234461E-7</v>
      </c>
      <c r="C211" s="5">
        <v>2848</v>
      </c>
      <c r="D211" s="5">
        <v>2848</v>
      </c>
      <c r="E211" s="5">
        <v>170.32111495294899</v>
      </c>
      <c r="F211" s="5">
        <v>1484</v>
      </c>
      <c r="G211" s="5">
        <v>1484</v>
      </c>
      <c r="H211" s="5">
        <v>88.116777723975517</v>
      </c>
      <c r="I211" s="1">
        <f t="shared" si="6"/>
        <v>4332</v>
      </c>
      <c r="J211" s="1">
        <f t="shared" si="7"/>
        <v>0.51433693825875226</v>
      </c>
      <c r="K211" s="6" t="s">
        <v>789</v>
      </c>
    </row>
    <row r="212" spans="1:11">
      <c r="A212" s="5" t="s">
        <v>2171</v>
      </c>
      <c r="B212" s="5">
        <v>4.6918903978676596E-6</v>
      </c>
      <c r="C212" s="5">
        <v>5036</v>
      </c>
      <c r="D212" s="5">
        <v>5036</v>
      </c>
      <c r="E212" s="5">
        <v>148.62597049529305</v>
      </c>
      <c r="F212" s="5">
        <v>2619</v>
      </c>
      <c r="G212" s="5">
        <v>2619</v>
      </c>
      <c r="H212" s="5">
        <v>76.743337166132747</v>
      </c>
      <c r="I212" s="1">
        <f t="shared" si="6"/>
        <v>7655</v>
      </c>
      <c r="J212" s="1">
        <f t="shared" si="7"/>
        <v>0.51290118227535209</v>
      </c>
      <c r="K212" s="6" t="s">
        <v>2086</v>
      </c>
    </row>
    <row r="213" spans="1:11">
      <c r="A213" s="5" t="s">
        <v>1737</v>
      </c>
      <c r="B213" s="5">
        <v>1.9066970224912438E-11</v>
      </c>
      <c r="C213" s="5">
        <v>8836</v>
      </c>
      <c r="D213" s="5">
        <v>8843</v>
      </c>
      <c r="E213" s="5">
        <v>232.93739085109306</v>
      </c>
      <c r="F213" s="5">
        <v>4581</v>
      </c>
      <c r="G213" s="5">
        <v>4584</v>
      </c>
      <c r="H213" s="5">
        <v>119.88929062921579</v>
      </c>
      <c r="I213" s="1">
        <f t="shared" si="6"/>
        <v>13427</v>
      </c>
      <c r="J213" s="1">
        <f t="shared" si="7"/>
        <v>0.5124845164470877</v>
      </c>
      <c r="K213" s="6" t="s">
        <v>1738</v>
      </c>
    </row>
    <row r="214" spans="1:11">
      <c r="A214" s="5" t="s">
        <v>2205</v>
      </c>
      <c r="B214" s="5">
        <v>6.580719762561138E-5</v>
      </c>
      <c r="C214" s="5">
        <v>12668</v>
      </c>
      <c r="D214" s="5">
        <v>12668</v>
      </c>
      <c r="E214" s="5">
        <v>129.63719349932771</v>
      </c>
      <c r="F214" s="5">
        <v>6571</v>
      </c>
      <c r="G214" s="5">
        <v>6571</v>
      </c>
      <c r="H214" s="5">
        <v>66.765058359249466</v>
      </c>
      <c r="I214" s="1">
        <f t="shared" si="6"/>
        <v>19239</v>
      </c>
      <c r="J214" s="1">
        <f t="shared" si="7"/>
        <v>0.51107235673731044</v>
      </c>
      <c r="K214" s="6" t="s">
        <v>2206</v>
      </c>
    </row>
    <row r="215" spans="1:11">
      <c r="A215" s="5" t="s">
        <v>2264</v>
      </c>
      <c r="B215" s="5">
        <v>1.1277779216056771E-6</v>
      </c>
      <c r="C215" s="5">
        <v>17047</v>
      </c>
      <c r="D215" s="5">
        <v>17047</v>
      </c>
      <c r="E215" s="5">
        <v>155.76259390072249</v>
      </c>
      <c r="F215" s="5">
        <v>8775</v>
      </c>
      <c r="G215" s="5">
        <v>8775</v>
      </c>
      <c r="H215" s="5">
        <v>79.608333905103677</v>
      </c>
      <c r="I215" s="1">
        <f t="shared" si="6"/>
        <v>25822</v>
      </c>
      <c r="J215" s="1">
        <f t="shared" si="7"/>
        <v>0.50782735807191037</v>
      </c>
      <c r="K215" s="6" t="s">
        <v>635</v>
      </c>
    </row>
    <row r="216" spans="1:11">
      <c r="A216" s="5" t="s">
        <v>673</v>
      </c>
      <c r="B216" s="5">
        <v>4.0240120404877455E-4</v>
      </c>
      <c r="C216" s="5">
        <v>3711</v>
      </c>
      <c r="D216" s="5">
        <v>3711</v>
      </c>
      <c r="E216" s="5">
        <v>115.53655791355013</v>
      </c>
      <c r="F216" s="5">
        <v>1910</v>
      </c>
      <c r="G216" s="5">
        <v>1910</v>
      </c>
      <c r="H216" s="5">
        <v>59.041589063682267</v>
      </c>
      <c r="I216" s="1">
        <f t="shared" si="6"/>
        <v>5621</v>
      </c>
      <c r="J216" s="1">
        <f t="shared" si="7"/>
        <v>0.50663577267728177</v>
      </c>
      <c r="K216" s="6" t="s">
        <v>674</v>
      </c>
    </row>
    <row r="217" spans="1:11">
      <c r="A217" s="5" t="s">
        <v>2063</v>
      </c>
      <c r="B217" s="5">
        <v>9.5334851124562192E-11</v>
      </c>
      <c r="C217" s="5">
        <v>13373</v>
      </c>
      <c r="D217" s="5">
        <v>13398</v>
      </c>
      <c r="E217" s="5">
        <v>441.90196018621162</v>
      </c>
      <c r="F217" s="5">
        <v>6836</v>
      </c>
      <c r="G217" s="5">
        <v>6845</v>
      </c>
      <c r="H217" s="5">
        <v>224.15870399565355</v>
      </c>
      <c r="I217" s="1">
        <f t="shared" si="6"/>
        <v>20243</v>
      </c>
      <c r="J217" s="1">
        <f t="shared" si="7"/>
        <v>0.50611359656527444</v>
      </c>
      <c r="K217" s="6" t="s">
        <v>27</v>
      </c>
    </row>
    <row r="218" spans="1:11">
      <c r="A218" s="5" t="s">
        <v>1693</v>
      </c>
      <c r="B218" s="5">
        <v>0</v>
      </c>
      <c r="C218" s="5">
        <v>12483</v>
      </c>
      <c r="D218" s="5">
        <v>12499</v>
      </c>
      <c r="E218" s="5">
        <v>373.7436123238956</v>
      </c>
      <c r="F218" s="5">
        <v>6379</v>
      </c>
      <c r="G218" s="5">
        <v>6385</v>
      </c>
      <c r="H218" s="5">
        <v>189.56389008341768</v>
      </c>
      <c r="I218" s="1">
        <f t="shared" si="6"/>
        <v>18884</v>
      </c>
      <c r="J218" s="1">
        <f t="shared" si="7"/>
        <v>0.50584955646842411</v>
      </c>
      <c r="K218" s="6" t="s">
        <v>1694</v>
      </c>
    </row>
    <row r="219" spans="1:11">
      <c r="A219" s="5" t="s">
        <v>1039</v>
      </c>
      <c r="B219" s="5">
        <v>1.459886408983202E-5</v>
      </c>
      <c r="C219" s="5">
        <v>12166</v>
      </c>
      <c r="D219" s="5">
        <v>12209</v>
      </c>
      <c r="E219" s="5">
        <v>137.27916561274725</v>
      </c>
      <c r="F219" s="5">
        <v>6249</v>
      </c>
      <c r="G219" s="5">
        <v>6260</v>
      </c>
      <c r="H219" s="5">
        <v>69.886786324430133</v>
      </c>
      <c r="I219" s="1">
        <f t="shared" si="6"/>
        <v>18469</v>
      </c>
      <c r="J219" s="1">
        <f t="shared" si="7"/>
        <v>0.50540358711846056</v>
      </c>
      <c r="K219" s="6" t="s">
        <v>1040</v>
      </c>
    </row>
    <row r="220" spans="1:11">
      <c r="A220" s="5" t="s">
        <v>2183</v>
      </c>
      <c r="B220" s="5">
        <v>0</v>
      </c>
      <c r="C220" s="5">
        <v>8444</v>
      </c>
      <c r="D220" s="5">
        <v>8518</v>
      </c>
      <c r="E220" s="5">
        <v>265.80371949895425</v>
      </c>
      <c r="F220" s="5">
        <v>4306</v>
      </c>
      <c r="G220" s="5">
        <v>4351</v>
      </c>
      <c r="H220" s="5">
        <v>134.80583830278547</v>
      </c>
      <c r="I220" s="1">
        <f t="shared" si="6"/>
        <v>12869</v>
      </c>
      <c r="J220" s="1">
        <f t="shared" si="7"/>
        <v>0.50526221506935876</v>
      </c>
      <c r="K220" s="6" t="s">
        <v>2184</v>
      </c>
    </row>
    <row r="221" spans="1:11">
      <c r="A221" s="5" t="s">
        <v>476</v>
      </c>
      <c r="B221" s="5">
        <v>7.1501138343421644E-11</v>
      </c>
      <c r="C221" s="5">
        <v>4915</v>
      </c>
      <c r="D221" s="5">
        <v>4915</v>
      </c>
      <c r="E221" s="5">
        <v>226.67906553344224</v>
      </c>
      <c r="F221" s="5">
        <v>2511</v>
      </c>
      <c r="G221" s="5">
        <v>2511</v>
      </c>
      <c r="H221" s="5">
        <v>114.98225036951281</v>
      </c>
      <c r="I221" s="1">
        <f t="shared" si="6"/>
        <v>7426</v>
      </c>
      <c r="J221" s="1">
        <f t="shared" si="7"/>
        <v>0.50501898406915169</v>
      </c>
      <c r="K221" s="6" t="s">
        <v>17</v>
      </c>
    </row>
    <row r="222" spans="1:11">
      <c r="A222" s="5" t="s">
        <v>1451</v>
      </c>
      <c r="B222" s="5">
        <v>1.8161289139229098E-9</v>
      </c>
      <c r="C222" s="5">
        <v>4113</v>
      </c>
      <c r="D222" s="5">
        <v>4113</v>
      </c>
      <c r="E222" s="5">
        <v>197.38563981263067</v>
      </c>
      <c r="F222" s="5">
        <v>2102</v>
      </c>
      <c r="G222" s="5">
        <v>2102</v>
      </c>
      <c r="H222" s="5">
        <v>100.15802585959514</v>
      </c>
      <c r="I222" s="1">
        <f t="shared" si="6"/>
        <v>6215</v>
      </c>
      <c r="J222" s="1">
        <f t="shared" si="7"/>
        <v>0.50486530151169917</v>
      </c>
      <c r="K222" s="6" t="s">
        <v>1452</v>
      </c>
    </row>
    <row r="223" spans="1:11">
      <c r="A223" s="5" t="s">
        <v>1826</v>
      </c>
      <c r="B223" s="5">
        <v>0</v>
      </c>
      <c r="C223" s="5">
        <v>4610</v>
      </c>
      <c r="D223" s="5">
        <v>4610</v>
      </c>
      <c r="E223" s="5">
        <v>325.82177027356465</v>
      </c>
      <c r="F223" s="5">
        <v>2349</v>
      </c>
      <c r="G223" s="5">
        <v>2349</v>
      </c>
      <c r="H223" s="5">
        <v>164.83839998511641</v>
      </c>
      <c r="I223" s="1">
        <f t="shared" si="6"/>
        <v>6959</v>
      </c>
      <c r="J223" s="1">
        <f t="shared" si="7"/>
        <v>0.50436786951842039</v>
      </c>
      <c r="K223" s="6" t="s">
        <v>23</v>
      </c>
    </row>
    <row r="224" spans="1:11">
      <c r="A224" s="5" t="s">
        <v>994</v>
      </c>
      <c r="B224" s="5">
        <v>1.1299563229538734E-7</v>
      </c>
      <c r="C224" s="5">
        <v>2887</v>
      </c>
      <c r="D224" s="5">
        <v>2887</v>
      </c>
      <c r="E224" s="5">
        <v>168.57795078352515</v>
      </c>
      <c r="F224" s="5">
        <v>1471</v>
      </c>
      <c r="G224" s="5">
        <v>1471</v>
      </c>
      <c r="H224" s="5">
        <v>85.283076585937309</v>
      </c>
      <c r="I224" s="1">
        <f t="shared" si="6"/>
        <v>4358</v>
      </c>
      <c r="J224" s="1">
        <f t="shared" si="7"/>
        <v>0.50291371131619278</v>
      </c>
      <c r="K224" s="6" t="s">
        <v>995</v>
      </c>
    </row>
    <row r="225" spans="1:11">
      <c r="A225" s="5" t="s">
        <v>2029</v>
      </c>
      <c r="B225" s="5">
        <v>0</v>
      </c>
      <c r="C225" s="5">
        <v>7022</v>
      </c>
      <c r="D225" s="5">
        <v>63592</v>
      </c>
      <c r="E225" s="5">
        <v>643.2652739612497</v>
      </c>
      <c r="F225" s="5">
        <v>3360</v>
      </c>
      <c r="G225" s="5">
        <v>32256</v>
      </c>
      <c r="H225" s="5">
        <v>323.96219549553905</v>
      </c>
      <c r="I225" s="1">
        <f t="shared" si="6"/>
        <v>95848</v>
      </c>
      <c r="J225" s="1">
        <f t="shared" si="7"/>
        <v>0.50283975962830529</v>
      </c>
      <c r="K225" s="6" t="s">
        <v>269</v>
      </c>
    </row>
    <row r="226" spans="1:11">
      <c r="A226" s="5" t="s">
        <v>1224</v>
      </c>
      <c r="B226" s="5">
        <v>1.477690192430714E-10</v>
      </c>
      <c r="C226" s="5">
        <v>29564</v>
      </c>
      <c r="D226" s="5">
        <v>29602</v>
      </c>
      <c r="E226" s="5">
        <v>285.12973158010891</v>
      </c>
      <c r="F226" s="5">
        <v>15020</v>
      </c>
      <c r="G226" s="5">
        <v>15041</v>
      </c>
      <c r="H226" s="5">
        <v>143.84486474120976</v>
      </c>
      <c r="I226" s="1">
        <f t="shared" si="6"/>
        <v>44643</v>
      </c>
      <c r="J226" s="1">
        <f t="shared" si="7"/>
        <v>0.50272603251276227</v>
      </c>
      <c r="K226" s="6" t="s">
        <v>1225</v>
      </c>
    </row>
    <row r="227" spans="1:11">
      <c r="A227" s="5" t="s">
        <v>1759</v>
      </c>
      <c r="B227" s="5">
        <v>4.6776726539121682E-3</v>
      </c>
      <c r="C227" s="5">
        <v>18618</v>
      </c>
      <c r="D227" s="5">
        <v>18821</v>
      </c>
      <c r="E227" s="5">
        <v>97.753923922521793</v>
      </c>
      <c r="F227" s="5">
        <v>9534</v>
      </c>
      <c r="G227" s="5">
        <v>9624</v>
      </c>
      <c r="H227" s="5">
        <v>49.629890726130689</v>
      </c>
      <c r="I227" s="1">
        <f t="shared" si="6"/>
        <v>28445</v>
      </c>
      <c r="J227" s="1">
        <f t="shared" si="7"/>
        <v>0.50256120217631284</v>
      </c>
      <c r="K227" s="6" t="s">
        <v>1390</v>
      </c>
    </row>
    <row r="228" spans="1:11">
      <c r="A228" s="5" t="s">
        <v>2020</v>
      </c>
      <c r="B228" s="5">
        <v>4.1470660239184554E-10</v>
      </c>
      <c r="C228" s="5">
        <v>73614</v>
      </c>
      <c r="D228" s="5">
        <v>83424</v>
      </c>
      <c r="E228" s="5">
        <v>1283.9515973134362</v>
      </c>
      <c r="F228" s="5">
        <v>37579</v>
      </c>
      <c r="G228" s="5">
        <v>42164</v>
      </c>
      <c r="H228" s="5">
        <v>644.31115010295912</v>
      </c>
      <c r="I228" s="1">
        <f t="shared" si="6"/>
        <v>125588</v>
      </c>
      <c r="J228" s="1">
        <f t="shared" si="7"/>
        <v>0.50142834286527083</v>
      </c>
      <c r="K228" s="6" t="s">
        <v>96</v>
      </c>
    </row>
    <row r="229" spans="1:11">
      <c r="A229" s="5" t="s">
        <v>1652</v>
      </c>
      <c r="B229" s="5">
        <v>2.8000609407441424E-3</v>
      </c>
      <c r="C229" s="5">
        <v>2151</v>
      </c>
      <c r="D229" s="5">
        <v>2151</v>
      </c>
      <c r="E229" s="5">
        <v>100.74051833942468</v>
      </c>
      <c r="F229" s="5">
        <v>1097</v>
      </c>
      <c r="G229" s="5">
        <v>1097</v>
      </c>
      <c r="H229" s="5">
        <v>51.011324291300568</v>
      </c>
      <c r="I229" s="1">
        <f t="shared" si="6"/>
        <v>3248</v>
      </c>
      <c r="J229" s="1">
        <f t="shared" si="7"/>
        <v>0.50138651860527783</v>
      </c>
      <c r="K229" s="6" t="s">
        <v>2</v>
      </c>
    </row>
    <row r="230" spans="1:11">
      <c r="A230" s="5" t="s">
        <v>1301</v>
      </c>
      <c r="B230" s="5">
        <v>0</v>
      </c>
      <c r="C230" s="5">
        <v>13708</v>
      </c>
      <c r="D230" s="5">
        <v>13714</v>
      </c>
      <c r="E230" s="5">
        <v>618.85191060233581</v>
      </c>
      <c r="F230" s="5">
        <v>6924</v>
      </c>
      <c r="G230" s="5">
        <v>6926</v>
      </c>
      <c r="H230" s="5">
        <v>310.31393475669245</v>
      </c>
      <c r="I230" s="1">
        <f t="shared" si="6"/>
        <v>20640</v>
      </c>
      <c r="J230" s="1">
        <f t="shared" si="7"/>
        <v>0.50062592281944818</v>
      </c>
      <c r="K230" s="6" t="s">
        <v>127</v>
      </c>
    </row>
    <row r="231" spans="1:11">
      <c r="A231" s="5" t="s">
        <v>586</v>
      </c>
      <c r="B231" s="5">
        <v>0</v>
      </c>
      <c r="C231" s="5">
        <v>15137</v>
      </c>
      <c r="D231" s="5">
        <v>15190</v>
      </c>
      <c r="E231" s="5">
        <v>504.67730495772764</v>
      </c>
      <c r="F231" s="5">
        <v>7648</v>
      </c>
      <c r="G231" s="5">
        <v>7664</v>
      </c>
      <c r="H231" s="5">
        <v>252.81782886962725</v>
      </c>
      <c r="I231" s="1">
        <f t="shared" si="6"/>
        <v>22854</v>
      </c>
      <c r="J231" s="1">
        <f t="shared" si="7"/>
        <v>0.49995882036027239</v>
      </c>
      <c r="K231" s="6" t="s">
        <v>587</v>
      </c>
    </row>
    <row r="232" spans="1:11">
      <c r="A232" s="5" t="s">
        <v>686</v>
      </c>
      <c r="B232" s="5">
        <v>0</v>
      </c>
      <c r="C232" s="5">
        <v>18357</v>
      </c>
      <c r="D232" s="5">
        <v>18357</v>
      </c>
      <c r="E232" s="5">
        <v>385.42209655791441</v>
      </c>
      <c r="F232" s="5">
        <v>9265</v>
      </c>
      <c r="G232" s="5">
        <v>9265</v>
      </c>
      <c r="H232" s="5">
        <v>193.14191148679956</v>
      </c>
      <c r="I232" s="1">
        <f t="shared" si="6"/>
        <v>27622</v>
      </c>
      <c r="J232" s="1">
        <f t="shared" si="7"/>
        <v>0.4998210847858508</v>
      </c>
      <c r="K232" s="6" t="s">
        <v>687</v>
      </c>
    </row>
    <row r="233" spans="1:11">
      <c r="A233" s="5" t="s">
        <v>1049</v>
      </c>
      <c r="B233" s="5">
        <v>1.4300227668684329E-11</v>
      </c>
      <c r="C233" s="5">
        <v>12189</v>
      </c>
      <c r="D233" s="5">
        <v>12189</v>
      </c>
      <c r="E233" s="5">
        <v>390.20160770137159</v>
      </c>
      <c r="F233" s="5">
        <v>6110</v>
      </c>
      <c r="G233" s="5">
        <v>6111</v>
      </c>
      <c r="H233" s="5">
        <v>194.235881596165</v>
      </c>
      <c r="I233" s="1">
        <f t="shared" si="6"/>
        <v>18300</v>
      </c>
      <c r="J233" s="1">
        <f t="shared" si="7"/>
        <v>0.49651094927104</v>
      </c>
      <c r="K233" s="6" t="s">
        <v>1050</v>
      </c>
    </row>
    <row r="234" spans="1:11">
      <c r="A234" s="5" t="s">
        <v>998</v>
      </c>
      <c r="B234" s="5">
        <v>4.6754260690784477E-6</v>
      </c>
      <c r="C234" s="5">
        <v>4392</v>
      </c>
      <c r="D234" s="5">
        <v>4393</v>
      </c>
      <c r="E234" s="5">
        <v>140.30124071281335</v>
      </c>
      <c r="F234" s="5">
        <v>2206</v>
      </c>
      <c r="G234" s="5">
        <v>2209</v>
      </c>
      <c r="H234" s="5">
        <v>70.047432951861452</v>
      </c>
      <c r="I234" s="1">
        <f t="shared" si="6"/>
        <v>6602</v>
      </c>
      <c r="J234" s="1">
        <f t="shared" si="7"/>
        <v>0.49573119527116422</v>
      </c>
      <c r="K234" s="6" t="s">
        <v>999</v>
      </c>
    </row>
    <row r="235" spans="1:11">
      <c r="A235" s="5" t="s">
        <v>2022</v>
      </c>
      <c r="B235" s="5">
        <v>3.7592242410715571E-2</v>
      </c>
      <c r="C235" s="5">
        <v>17127</v>
      </c>
      <c r="D235" s="5">
        <v>17135</v>
      </c>
      <c r="E235" s="5">
        <v>82.02947700171616</v>
      </c>
      <c r="F235" s="5">
        <v>8648</v>
      </c>
      <c r="G235" s="5">
        <v>8652</v>
      </c>
      <c r="H235" s="5">
        <v>41.124302458082724</v>
      </c>
      <c r="I235" s="1">
        <f t="shared" si="6"/>
        <v>25787</v>
      </c>
      <c r="J235" s="1">
        <f t="shared" si="7"/>
        <v>0.4952976213162551</v>
      </c>
      <c r="K235" s="6" t="s">
        <v>151</v>
      </c>
    </row>
    <row r="236" spans="1:11">
      <c r="A236" s="5" t="s">
        <v>329</v>
      </c>
      <c r="B236" s="5">
        <v>3.5621867122692663E-8</v>
      </c>
      <c r="C236" s="5">
        <v>16374</v>
      </c>
      <c r="D236" s="5">
        <v>16377</v>
      </c>
      <c r="E236" s="5">
        <v>171.85878430678247</v>
      </c>
      <c r="F236" s="5">
        <v>8216</v>
      </c>
      <c r="G236" s="5">
        <v>8217</v>
      </c>
      <c r="H236" s="5">
        <v>85.614411016350147</v>
      </c>
      <c r="I236" s="1">
        <f t="shared" si="6"/>
        <v>24594</v>
      </c>
      <c r="J236" s="1">
        <f t="shared" si="7"/>
        <v>0.49528527786245047</v>
      </c>
      <c r="K236" s="6" t="s">
        <v>17</v>
      </c>
    </row>
    <row r="237" spans="1:11">
      <c r="A237" s="5" t="s">
        <v>440</v>
      </c>
      <c r="B237" s="5">
        <v>0</v>
      </c>
      <c r="C237" s="5">
        <v>15495</v>
      </c>
      <c r="D237" s="5">
        <v>15529</v>
      </c>
      <c r="E237" s="5">
        <v>260.19405423161811</v>
      </c>
      <c r="F237" s="5">
        <v>7759</v>
      </c>
      <c r="G237" s="5">
        <v>7767</v>
      </c>
      <c r="H237" s="5">
        <v>129.21215905822351</v>
      </c>
      <c r="I237" s="1">
        <f t="shared" si="6"/>
        <v>23296</v>
      </c>
      <c r="J237" s="1">
        <f t="shared" si="7"/>
        <v>0.49469793421730229</v>
      </c>
      <c r="K237" s="6" t="s">
        <v>19</v>
      </c>
    </row>
    <row r="238" spans="1:11">
      <c r="A238" s="5" t="s">
        <v>1173</v>
      </c>
      <c r="B238" s="5">
        <v>4.7667425562281096E-12</v>
      </c>
      <c r="C238" s="5">
        <v>20108</v>
      </c>
      <c r="D238" s="5">
        <v>20110</v>
      </c>
      <c r="E238" s="5">
        <v>720.0097565582638</v>
      </c>
      <c r="F238" s="5">
        <v>10000</v>
      </c>
      <c r="G238" s="5">
        <v>10000</v>
      </c>
      <c r="H238" s="5">
        <v>355.48600745149008</v>
      </c>
      <c r="I238" s="1">
        <f t="shared" si="6"/>
        <v>30110</v>
      </c>
      <c r="J238" s="1">
        <f t="shared" si="7"/>
        <v>0.4930391083033337</v>
      </c>
      <c r="K238" s="6" t="s">
        <v>2</v>
      </c>
    </row>
    <row r="239" spans="1:11">
      <c r="A239" s="5" t="s">
        <v>1690</v>
      </c>
      <c r="B239" s="5">
        <v>6.7349691349422036E-3</v>
      </c>
      <c r="C239" s="5">
        <v>856</v>
      </c>
      <c r="D239" s="5">
        <v>865</v>
      </c>
      <c r="E239" s="5">
        <v>91.942444283278419</v>
      </c>
      <c r="F239" s="5">
        <v>422</v>
      </c>
      <c r="G239" s="5">
        <v>433</v>
      </c>
      <c r="H239" s="5">
        <v>45.696615364115765</v>
      </c>
      <c r="I239" s="1">
        <f t="shared" si="6"/>
        <v>1298</v>
      </c>
      <c r="J239" s="1">
        <f t="shared" si="7"/>
        <v>0.49166573696768157</v>
      </c>
      <c r="K239" s="6" t="s">
        <v>2</v>
      </c>
    </row>
    <row r="240" spans="1:11">
      <c r="A240" s="5" t="s">
        <v>1891</v>
      </c>
      <c r="B240" s="5">
        <v>4.7667425562281096E-11</v>
      </c>
      <c r="C240" s="5">
        <v>23268</v>
      </c>
      <c r="D240" s="5">
        <v>23268</v>
      </c>
      <c r="E240" s="5">
        <v>251.6450091241858</v>
      </c>
      <c r="F240" s="5">
        <v>11549</v>
      </c>
      <c r="G240" s="5">
        <v>11549</v>
      </c>
      <c r="H240" s="5">
        <v>124.01375214799351</v>
      </c>
      <c r="I240" s="1">
        <f t="shared" si="6"/>
        <v>34817</v>
      </c>
      <c r="J240" s="1">
        <f t="shared" si="7"/>
        <v>0.49086167416446158</v>
      </c>
      <c r="K240" s="6" t="s">
        <v>1892</v>
      </c>
    </row>
    <row r="241" spans="1:11">
      <c r="A241" s="5" t="s">
        <v>1067</v>
      </c>
      <c r="B241" s="5">
        <v>3.6028552951422044E-2</v>
      </c>
      <c r="C241" s="5">
        <v>5514</v>
      </c>
      <c r="D241" s="5">
        <v>5514</v>
      </c>
      <c r="E241" s="5">
        <v>81.015045925147191</v>
      </c>
      <c r="F241" s="5">
        <v>2758</v>
      </c>
      <c r="G241" s="5">
        <v>2758</v>
      </c>
      <c r="H241" s="5">
        <v>40.233645275319617</v>
      </c>
      <c r="I241" s="1">
        <f t="shared" si="6"/>
        <v>8272</v>
      </c>
      <c r="J241" s="1">
        <f t="shared" si="7"/>
        <v>0.49056419857448746</v>
      </c>
      <c r="K241" s="6" t="s">
        <v>651</v>
      </c>
    </row>
    <row r="242" spans="1:11">
      <c r="A242" s="5" t="s">
        <v>1322</v>
      </c>
      <c r="B242" s="5">
        <v>9.924760839480351E-4</v>
      </c>
      <c r="C242" s="5">
        <v>3106</v>
      </c>
      <c r="D242" s="5">
        <v>3106</v>
      </c>
      <c r="E242" s="5">
        <v>103.70119135803237</v>
      </c>
      <c r="F242" s="5">
        <v>1549</v>
      </c>
      <c r="G242" s="5">
        <v>1549</v>
      </c>
      <c r="H242" s="5">
        <v>51.348754283704565</v>
      </c>
      <c r="I242" s="1">
        <f t="shared" si="6"/>
        <v>4655</v>
      </c>
      <c r="J242" s="1">
        <f t="shared" si="7"/>
        <v>0.49043142315462523</v>
      </c>
      <c r="K242" s="6" t="s">
        <v>926</v>
      </c>
    </row>
    <row r="243" spans="1:11">
      <c r="A243" s="5" t="s">
        <v>1945</v>
      </c>
      <c r="B243" s="5">
        <v>0</v>
      </c>
      <c r="C243" s="5">
        <v>255862</v>
      </c>
      <c r="D243" s="5">
        <v>255935</v>
      </c>
      <c r="E243" s="5">
        <v>3686.698535345221</v>
      </c>
      <c r="F243" s="5">
        <v>126110</v>
      </c>
      <c r="G243" s="5">
        <v>126123</v>
      </c>
      <c r="H243" s="5">
        <v>1803.8417631302941</v>
      </c>
      <c r="I243" s="1">
        <f t="shared" si="6"/>
        <v>382058</v>
      </c>
      <c r="J243" s="1">
        <f t="shared" si="7"/>
        <v>0.48915109134901907</v>
      </c>
      <c r="K243" s="6" t="s">
        <v>2</v>
      </c>
    </row>
    <row r="244" spans="1:11">
      <c r="A244" s="5" t="s">
        <v>1691</v>
      </c>
      <c r="B244" s="5">
        <v>0</v>
      </c>
      <c r="C244" s="5">
        <v>106089</v>
      </c>
      <c r="D244" s="5">
        <v>106089</v>
      </c>
      <c r="E244" s="5">
        <v>971.31803760788296</v>
      </c>
      <c r="F244" s="5">
        <v>52266</v>
      </c>
      <c r="G244" s="5">
        <v>52266</v>
      </c>
      <c r="H244" s="5">
        <v>475.12355537514406</v>
      </c>
      <c r="I244" s="1">
        <f t="shared" si="6"/>
        <v>158355</v>
      </c>
      <c r="J244" s="1">
        <f t="shared" si="7"/>
        <v>0.48865035615718178</v>
      </c>
      <c r="K244" s="6" t="s">
        <v>1692</v>
      </c>
    </row>
    <row r="245" spans="1:11">
      <c r="A245" s="5" t="s">
        <v>1172</v>
      </c>
      <c r="B245" s="5">
        <v>9.080411199432481E-3</v>
      </c>
      <c r="C245" s="5">
        <v>755</v>
      </c>
      <c r="D245" s="5">
        <v>756</v>
      </c>
      <c r="E245" s="5">
        <v>89.053238729867985</v>
      </c>
      <c r="F245" s="5">
        <v>373</v>
      </c>
      <c r="G245" s="5">
        <v>376</v>
      </c>
      <c r="H245" s="5">
        <v>43.97561969235403</v>
      </c>
      <c r="I245" s="1">
        <f t="shared" si="6"/>
        <v>1132</v>
      </c>
      <c r="J245" s="1">
        <f t="shared" si="7"/>
        <v>0.48832912966370218</v>
      </c>
      <c r="K245" s="6" t="s">
        <v>2</v>
      </c>
    </row>
    <row r="246" spans="1:11">
      <c r="A246" s="5" t="s">
        <v>1254</v>
      </c>
      <c r="B246" s="5">
        <v>0</v>
      </c>
      <c r="C246" s="5">
        <v>10336</v>
      </c>
      <c r="D246" s="5">
        <v>10338</v>
      </c>
      <c r="E246" s="5">
        <v>460.39990006742715</v>
      </c>
      <c r="F246" s="5">
        <v>5094</v>
      </c>
      <c r="G246" s="5">
        <v>5095</v>
      </c>
      <c r="H246" s="5">
        <v>225.28852995968248</v>
      </c>
      <c r="I246" s="1">
        <f t="shared" si="6"/>
        <v>15433</v>
      </c>
      <c r="J246" s="1">
        <f t="shared" si="7"/>
        <v>0.48827173548750163</v>
      </c>
      <c r="K246" s="6" t="s">
        <v>1255</v>
      </c>
    </row>
    <row r="247" spans="1:11">
      <c r="A247" s="5" t="s">
        <v>2222</v>
      </c>
      <c r="B247" s="5">
        <v>0</v>
      </c>
      <c r="C247" s="5">
        <v>11046</v>
      </c>
      <c r="D247" s="5">
        <v>11047</v>
      </c>
      <c r="E247" s="5">
        <v>347.51067471860529</v>
      </c>
      <c r="F247" s="5">
        <v>5446</v>
      </c>
      <c r="G247" s="5">
        <v>5446</v>
      </c>
      <c r="H247" s="5">
        <v>170.09738328340109</v>
      </c>
      <c r="I247" s="1">
        <f t="shared" si="6"/>
        <v>16493</v>
      </c>
      <c r="J247" s="1">
        <f t="shared" si="7"/>
        <v>0.48806936378847282</v>
      </c>
      <c r="K247" s="6" t="s">
        <v>2223</v>
      </c>
    </row>
    <row r="248" spans="1:11">
      <c r="A248" s="5" t="s">
        <v>1226</v>
      </c>
      <c r="B248" s="5">
        <v>0</v>
      </c>
      <c r="C248" s="5">
        <v>28753</v>
      </c>
      <c r="D248" s="5">
        <v>28765</v>
      </c>
      <c r="E248" s="5">
        <v>625.67236283664579</v>
      </c>
      <c r="F248" s="5">
        <v>14135</v>
      </c>
      <c r="G248" s="5">
        <v>14138</v>
      </c>
      <c r="H248" s="5">
        <v>305.3280968621396</v>
      </c>
      <c r="I248" s="1">
        <f t="shared" si="6"/>
        <v>42903</v>
      </c>
      <c r="J248" s="1">
        <f t="shared" si="7"/>
        <v>0.4872212578197409</v>
      </c>
      <c r="K248" s="6" t="s">
        <v>1227</v>
      </c>
    </row>
    <row r="249" spans="1:11">
      <c r="A249" s="5" t="s">
        <v>1416</v>
      </c>
      <c r="B249" s="5">
        <v>0</v>
      </c>
      <c r="C249" s="5">
        <v>14069</v>
      </c>
      <c r="D249" s="5">
        <v>14097</v>
      </c>
      <c r="E249" s="5">
        <v>267.12354089531954</v>
      </c>
      <c r="F249" s="5">
        <v>6929</v>
      </c>
      <c r="G249" s="5">
        <v>6931</v>
      </c>
      <c r="H249" s="5">
        <v>130.39999118462194</v>
      </c>
      <c r="I249" s="1">
        <f t="shared" si="6"/>
        <v>21028</v>
      </c>
      <c r="J249" s="1">
        <f t="shared" si="7"/>
        <v>0.48634294008347645</v>
      </c>
      <c r="K249" s="6" t="s">
        <v>195</v>
      </c>
    </row>
    <row r="250" spans="1:11">
      <c r="A250" s="5" t="s">
        <v>578</v>
      </c>
      <c r="B250" s="5">
        <v>5.3864190885377639E-10</v>
      </c>
      <c r="C250" s="5">
        <v>5750</v>
      </c>
      <c r="D250" s="5">
        <v>5753</v>
      </c>
      <c r="E250" s="5">
        <v>194.22236374904315</v>
      </c>
      <c r="F250" s="5">
        <v>2831</v>
      </c>
      <c r="G250" s="5">
        <v>2832</v>
      </c>
      <c r="H250" s="5">
        <v>94.927995478658957</v>
      </c>
      <c r="I250" s="1">
        <f t="shared" si="6"/>
        <v>8585</v>
      </c>
      <c r="J250" s="1">
        <f t="shared" si="7"/>
        <v>0.48625574271136357</v>
      </c>
      <c r="K250" s="6" t="s">
        <v>579</v>
      </c>
    </row>
    <row r="251" spans="1:11">
      <c r="A251" s="5" t="s">
        <v>1699</v>
      </c>
      <c r="B251" s="5">
        <v>1.7193884638669887E-2</v>
      </c>
      <c r="C251" s="5">
        <v>5309</v>
      </c>
      <c r="D251" s="5">
        <v>5311</v>
      </c>
      <c r="E251" s="5">
        <v>84.265942012271097</v>
      </c>
      <c r="F251" s="5">
        <v>2628</v>
      </c>
      <c r="G251" s="5">
        <v>2628</v>
      </c>
      <c r="H251" s="5">
        <v>41.399713875376797</v>
      </c>
      <c r="I251" s="1">
        <f t="shared" si="6"/>
        <v>7939</v>
      </c>
      <c r="J251" s="1">
        <f t="shared" si="7"/>
        <v>0.48553634544281155</v>
      </c>
      <c r="K251" s="6" t="s">
        <v>1700</v>
      </c>
    </row>
    <row r="252" spans="1:11">
      <c r="A252" s="5" t="s">
        <v>850</v>
      </c>
      <c r="B252" s="5">
        <v>1.1848312014967055E-3</v>
      </c>
      <c r="C252" s="5">
        <v>4862</v>
      </c>
      <c r="D252" s="5">
        <v>4862</v>
      </c>
      <c r="E252" s="5">
        <v>100.91417310261039</v>
      </c>
      <c r="F252" s="5">
        <v>2401</v>
      </c>
      <c r="G252" s="5">
        <v>2401</v>
      </c>
      <c r="H252" s="5">
        <v>49.479530660349432</v>
      </c>
      <c r="I252" s="1">
        <f t="shared" si="6"/>
        <v>7263</v>
      </c>
      <c r="J252" s="1">
        <f t="shared" si="7"/>
        <v>0.48550195869746093</v>
      </c>
      <c r="K252" s="6" t="s">
        <v>851</v>
      </c>
    </row>
    <row r="253" spans="1:11">
      <c r="A253" s="5" t="s">
        <v>306</v>
      </c>
      <c r="B253" s="5">
        <v>1.1454482362616147E-8</v>
      </c>
      <c r="C253" s="5">
        <v>5474</v>
      </c>
      <c r="D253" s="5">
        <v>5489</v>
      </c>
      <c r="E253" s="5">
        <v>173.27099449828239</v>
      </c>
      <c r="F253" s="5">
        <v>2690</v>
      </c>
      <c r="G253" s="5">
        <v>2697</v>
      </c>
      <c r="H253" s="5">
        <v>84.529788769543885</v>
      </c>
      <c r="I253" s="1">
        <f t="shared" si="6"/>
        <v>8186</v>
      </c>
      <c r="J253" s="1">
        <f t="shared" si="7"/>
        <v>0.48504795082452468</v>
      </c>
      <c r="K253" s="6" t="s">
        <v>63</v>
      </c>
    </row>
    <row r="254" spans="1:11">
      <c r="A254" s="5" t="s">
        <v>525</v>
      </c>
      <c r="B254" s="5">
        <v>1.8825957286167094E-3</v>
      </c>
      <c r="C254" s="5">
        <v>6552</v>
      </c>
      <c r="D254" s="5">
        <v>6552</v>
      </c>
      <c r="E254" s="5">
        <v>97.851033994070093</v>
      </c>
      <c r="F254" s="5">
        <v>3233</v>
      </c>
      <c r="G254" s="5">
        <v>3233</v>
      </c>
      <c r="H254" s="5">
        <v>47.939492820466917</v>
      </c>
      <c r="I254" s="1">
        <f t="shared" si="6"/>
        <v>9785</v>
      </c>
      <c r="J254" s="1">
        <f t="shared" si="7"/>
        <v>0.48496703457186624</v>
      </c>
      <c r="K254" s="6" t="s">
        <v>526</v>
      </c>
    </row>
    <row r="255" spans="1:11">
      <c r="A255" s="5" t="s">
        <v>958</v>
      </c>
      <c r="B255" s="5">
        <v>0</v>
      </c>
      <c r="C255" s="5">
        <v>7074</v>
      </c>
      <c r="D255" s="5">
        <v>7076</v>
      </c>
      <c r="E255" s="5">
        <v>339.58200518214801</v>
      </c>
      <c r="F255" s="5">
        <v>3458</v>
      </c>
      <c r="G255" s="5">
        <v>3459</v>
      </c>
      <c r="H255" s="5">
        <v>164.81760772994272</v>
      </c>
      <c r="I255" s="1">
        <f t="shared" si="6"/>
        <v>10535</v>
      </c>
      <c r="J255" s="1">
        <f t="shared" si="7"/>
        <v>0.4839292893404511</v>
      </c>
      <c r="K255" s="6" t="s">
        <v>903</v>
      </c>
    </row>
    <row r="256" spans="1:11">
      <c r="A256" s="5" t="s">
        <v>809</v>
      </c>
      <c r="B256" s="5">
        <v>6.1967653230965425E-11</v>
      </c>
      <c r="C256" s="5">
        <v>11716</v>
      </c>
      <c r="D256" s="5">
        <v>11717</v>
      </c>
      <c r="E256" s="5">
        <v>351.9071860490709</v>
      </c>
      <c r="F256" s="5">
        <v>5725</v>
      </c>
      <c r="G256" s="5">
        <v>5725</v>
      </c>
      <c r="H256" s="5">
        <v>170.71960468227741</v>
      </c>
      <c r="I256" s="1">
        <f t="shared" si="6"/>
        <v>17442</v>
      </c>
      <c r="J256" s="1">
        <f t="shared" si="7"/>
        <v>0.48375213492688485</v>
      </c>
      <c r="K256" s="6" t="s">
        <v>810</v>
      </c>
    </row>
    <row r="257" spans="1:11">
      <c r="A257" s="5" t="s">
        <v>1986</v>
      </c>
      <c r="B257" s="5">
        <v>0</v>
      </c>
      <c r="C257" s="5">
        <v>133718</v>
      </c>
      <c r="D257" s="5">
        <v>399700</v>
      </c>
      <c r="E257" s="5">
        <v>4728.7484870001281</v>
      </c>
      <c r="F257" s="5">
        <v>51228</v>
      </c>
      <c r="G257" s="5">
        <v>194703</v>
      </c>
      <c r="H257" s="5">
        <v>2287.0776522916904</v>
      </c>
      <c r="I257" s="1">
        <f t="shared" si="6"/>
        <v>594403</v>
      </c>
      <c r="J257" s="1">
        <f t="shared" si="7"/>
        <v>0.48355164309007126</v>
      </c>
      <c r="K257" s="6" t="s">
        <v>161</v>
      </c>
    </row>
    <row r="258" spans="1:11">
      <c r="A258" s="5" t="s">
        <v>852</v>
      </c>
      <c r="B258" s="5">
        <v>2.900610512890367E-7</v>
      </c>
      <c r="C258" s="5">
        <v>3411</v>
      </c>
      <c r="D258" s="5">
        <v>3414</v>
      </c>
      <c r="E258" s="5">
        <v>152.04152242505285</v>
      </c>
      <c r="F258" s="5">
        <v>1672</v>
      </c>
      <c r="G258" s="5">
        <v>1673</v>
      </c>
      <c r="H258" s="5">
        <v>73.975998159479644</v>
      </c>
      <c r="I258" s="1">
        <f t="shared" ref="I258:I321" si="8">D258+G258</f>
        <v>5087</v>
      </c>
      <c r="J258" s="1">
        <f t="shared" ref="J258:J321" si="9">H258/(E258+1)</f>
        <v>0.48337207437090812</v>
      </c>
      <c r="K258" s="6" t="s">
        <v>291</v>
      </c>
    </row>
    <row r="259" spans="1:11">
      <c r="A259" s="5" t="s">
        <v>825</v>
      </c>
      <c r="B259" s="5">
        <v>3.2928228571593721E-6</v>
      </c>
      <c r="C259" s="5">
        <v>3889</v>
      </c>
      <c r="D259" s="5">
        <v>3889</v>
      </c>
      <c r="E259" s="5">
        <v>136.36914732334702</v>
      </c>
      <c r="F259" s="5">
        <v>1903</v>
      </c>
      <c r="G259" s="5">
        <v>1903</v>
      </c>
      <c r="H259" s="5">
        <v>66.254162739296532</v>
      </c>
      <c r="I259" s="1">
        <f t="shared" si="8"/>
        <v>5792</v>
      </c>
      <c r="J259" s="1">
        <f t="shared" si="9"/>
        <v>0.48230744697966171</v>
      </c>
      <c r="K259" s="6" t="s">
        <v>826</v>
      </c>
    </row>
    <row r="260" spans="1:11">
      <c r="A260" s="5" t="s">
        <v>1450</v>
      </c>
      <c r="B260" s="5">
        <v>0</v>
      </c>
      <c r="C260" s="5">
        <v>32825</v>
      </c>
      <c r="D260" s="5">
        <v>32825</v>
      </c>
      <c r="E260" s="5">
        <v>362.64377424084319</v>
      </c>
      <c r="F260" s="5">
        <v>15975</v>
      </c>
      <c r="G260" s="5">
        <v>15975</v>
      </c>
      <c r="H260" s="5">
        <v>175.23165312499151</v>
      </c>
      <c r="I260" s="1">
        <f t="shared" si="8"/>
        <v>48800</v>
      </c>
      <c r="J260" s="1">
        <f t="shared" si="9"/>
        <v>0.48187722583952358</v>
      </c>
      <c r="K260" s="6" t="s">
        <v>744</v>
      </c>
    </row>
    <row r="261" spans="1:11">
      <c r="A261" s="5" t="s">
        <v>694</v>
      </c>
      <c r="B261" s="5">
        <v>3.6496281332587532E-3</v>
      </c>
      <c r="C261" s="5">
        <v>3460</v>
      </c>
      <c r="D261" s="5">
        <v>3465</v>
      </c>
      <c r="E261" s="5">
        <v>92.709062443704752</v>
      </c>
      <c r="F261" s="5">
        <v>1697</v>
      </c>
      <c r="G261" s="5">
        <v>1699</v>
      </c>
      <c r="H261" s="5">
        <v>45.134488914617705</v>
      </c>
      <c r="I261" s="1">
        <f t="shared" si="8"/>
        <v>5164</v>
      </c>
      <c r="J261" s="1">
        <f t="shared" si="9"/>
        <v>0.48164486697038533</v>
      </c>
      <c r="K261" s="6" t="s">
        <v>695</v>
      </c>
    </row>
    <row r="262" spans="1:11">
      <c r="A262" s="5" t="s">
        <v>239</v>
      </c>
      <c r="B262" s="5">
        <v>0</v>
      </c>
      <c r="C262" s="5">
        <v>7395</v>
      </c>
      <c r="D262" s="5">
        <v>7705</v>
      </c>
      <c r="E262" s="5">
        <v>403.18948977296805</v>
      </c>
      <c r="F262" s="5">
        <v>3634</v>
      </c>
      <c r="G262" s="5">
        <v>3745</v>
      </c>
      <c r="H262" s="5">
        <v>194.57389892469828</v>
      </c>
      <c r="I262" s="1">
        <f t="shared" si="8"/>
        <v>11450</v>
      </c>
      <c r="J262" s="1">
        <f t="shared" si="9"/>
        <v>0.48139277207329123</v>
      </c>
      <c r="K262" s="6" t="s">
        <v>76</v>
      </c>
    </row>
    <row r="263" spans="1:11">
      <c r="A263" s="5" t="s">
        <v>1556</v>
      </c>
      <c r="B263" s="5">
        <v>8.9842372014148353E-6</v>
      </c>
      <c r="C263" s="5">
        <v>16718</v>
      </c>
      <c r="D263" s="5">
        <v>16718</v>
      </c>
      <c r="E263" s="5">
        <v>129.67750297688826</v>
      </c>
      <c r="F263" s="5">
        <v>8166</v>
      </c>
      <c r="G263" s="5">
        <v>8166</v>
      </c>
      <c r="H263" s="5">
        <v>62.890622577113447</v>
      </c>
      <c r="I263" s="1">
        <f t="shared" si="8"/>
        <v>24884</v>
      </c>
      <c r="J263" s="1">
        <f t="shared" si="9"/>
        <v>0.48126587319499314</v>
      </c>
      <c r="K263" s="6" t="s">
        <v>957</v>
      </c>
    </row>
    <row r="264" spans="1:11">
      <c r="A264" s="5" t="s">
        <v>1565</v>
      </c>
      <c r="B264" s="5">
        <v>1.3243531412077125E-5</v>
      </c>
      <c r="C264" s="5">
        <v>4209</v>
      </c>
      <c r="D264" s="5">
        <v>4267</v>
      </c>
      <c r="E264" s="5">
        <v>126.34179259653651</v>
      </c>
      <c r="F264" s="5">
        <v>2057</v>
      </c>
      <c r="G264" s="5">
        <v>2075</v>
      </c>
      <c r="H264" s="5">
        <v>61.001244151360162</v>
      </c>
      <c r="I264" s="1">
        <f t="shared" si="8"/>
        <v>6342</v>
      </c>
      <c r="J264" s="1">
        <f t="shared" si="9"/>
        <v>0.47903553819627398</v>
      </c>
      <c r="K264" s="6" t="s">
        <v>152</v>
      </c>
    </row>
    <row r="265" spans="1:11">
      <c r="A265" s="5" t="s">
        <v>2103</v>
      </c>
      <c r="B265" s="5">
        <v>3.6719926787831536E-3</v>
      </c>
      <c r="C265" s="5">
        <v>15145</v>
      </c>
      <c r="D265" s="5">
        <v>16860</v>
      </c>
      <c r="E265" s="5">
        <v>91.717833171405431</v>
      </c>
      <c r="F265" s="5">
        <v>7516</v>
      </c>
      <c r="G265" s="5">
        <v>8214</v>
      </c>
      <c r="H265" s="5">
        <v>44.365677120291288</v>
      </c>
      <c r="I265" s="1">
        <f t="shared" si="8"/>
        <v>25074</v>
      </c>
      <c r="J265" s="1">
        <f t="shared" si="9"/>
        <v>0.47850209180658299</v>
      </c>
      <c r="K265" s="6" t="s">
        <v>2104</v>
      </c>
    </row>
    <row r="266" spans="1:11">
      <c r="A266" s="5" t="s">
        <v>1113</v>
      </c>
      <c r="B266" s="5">
        <v>2.5784168500297966E-6</v>
      </c>
      <c r="C266" s="5">
        <v>4240</v>
      </c>
      <c r="D266" s="5">
        <v>4241</v>
      </c>
      <c r="E266" s="5">
        <v>135.7654457512115</v>
      </c>
      <c r="F266" s="5">
        <v>2053</v>
      </c>
      <c r="G266" s="5">
        <v>2055</v>
      </c>
      <c r="H266" s="5">
        <v>65.317417227969088</v>
      </c>
      <c r="I266" s="1">
        <f t="shared" si="8"/>
        <v>6296</v>
      </c>
      <c r="J266" s="1">
        <f t="shared" si="9"/>
        <v>0.47758713371787836</v>
      </c>
      <c r="K266" s="6" t="s">
        <v>1114</v>
      </c>
    </row>
    <row r="267" spans="1:11">
      <c r="A267" s="5" t="s">
        <v>1277</v>
      </c>
      <c r="B267" s="5">
        <v>3.1837046982291506E-3</v>
      </c>
      <c r="C267" s="5">
        <v>2904</v>
      </c>
      <c r="D267" s="5">
        <v>2904</v>
      </c>
      <c r="E267" s="5">
        <v>92.205259237226215</v>
      </c>
      <c r="F267" s="5">
        <v>1411</v>
      </c>
      <c r="G267" s="5">
        <v>1411</v>
      </c>
      <c r="H267" s="5">
        <v>44.481794043253196</v>
      </c>
      <c r="I267" s="1">
        <f t="shared" si="8"/>
        <v>4315</v>
      </c>
      <c r="J267" s="1">
        <f t="shared" si="9"/>
        <v>0.47724553750811466</v>
      </c>
      <c r="K267" s="6" t="s">
        <v>1278</v>
      </c>
    </row>
    <row r="268" spans="1:11">
      <c r="A268" s="5" t="s">
        <v>1673</v>
      </c>
      <c r="B268" s="5">
        <v>3.8133940449824877E-11</v>
      </c>
      <c r="C268" s="5">
        <v>22628</v>
      </c>
      <c r="D268" s="5">
        <v>22648</v>
      </c>
      <c r="E268" s="5">
        <v>265.28979837248949</v>
      </c>
      <c r="F268" s="5">
        <v>10919</v>
      </c>
      <c r="G268" s="5">
        <v>10927</v>
      </c>
      <c r="H268" s="5">
        <v>127.08311057258065</v>
      </c>
      <c r="I268" s="1">
        <f t="shared" si="8"/>
        <v>33575</v>
      </c>
      <c r="J268" s="1">
        <f t="shared" si="9"/>
        <v>0.47723612150854994</v>
      </c>
      <c r="K268" s="6" t="s">
        <v>208</v>
      </c>
    </row>
    <row r="269" spans="1:11">
      <c r="A269" s="5" t="s">
        <v>1434</v>
      </c>
      <c r="B269" s="5">
        <v>1.477690192430714E-10</v>
      </c>
      <c r="C269" s="5">
        <v>4890</v>
      </c>
      <c r="D269" s="5">
        <v>4894</v>
      </c>
      <c r="E269" s="5">
        <v>196.99589307132288</v>
      </c>
      <c r="F269" s="5">
        <v>2360</v>
      </c>
      <c r="G269" s="5">
        <v>2362</v>
      </c>
      <c r="H269" s="5">
        <v>94.399414452118179</v>
      </c>
      <c r="I269" s="1">
        <f t="shared" si="8"/>
        <v>7256</v>
      </c>
      <c r="J269" s="1">
        <f t="shared" si="9"/>
        <v>0.47677460874460281</v>
      </c>
      <c r="K269" s="6" t="s">
        <v>1435</v>
      </c>
    </row>
    <row r="270" spans="1:11">
      <c r="A270" s="5" t="s">
        <v>51</v>
      </c>
      <c r="B270" s="5">
        <v>0</v>
      </c>
      <c r="C270" s="5">
        <v>30759</v>
      </c>
      <c r="D270" s="5">
        <v>33018</v>
      </c>
      <c r="E270" s="5">
        <v>224.21843856730302</v>
      </c>
      <c r="F270" s="5">
        <v>14640</v>
      </c>
      <c r="G270" s="5">
        <v>15916</v>
      </c>
      <c r="H270" s="5">
        <v>107.3125935586328</v>
      </c>
      <c r="I270" s="1">
        <f t="shared" si="8"/>
        <v>48934</v>
      </c>
      <c r="J270" s="1">
        <f t="shared" si="9"/>
        <v>0.47648227312686969</v>
      </c>
      <c r="K270" s="6" t="s">
        <v>52</v>
      </c>
    </row>
    <row r="271" spans="1:11">
      <c r="A271" s="5" t="s">
        <v>1552</v>
      </c>
      <c r="B271" s="5">
        <v>5.2434168118509206E-11</v>
      </c>
      <c r="C271" s="5">
        <v>2731</v>
      </c>
      <c r="D271" s="5">
        <v>2823</v>
      </c>
      <c r="E271" s="5">
        <v>313.53403880709647</v>
      </c>
      <c r="F271" s="5">
        <v>1335</v>
      </c>
      <c r="G271" s="5">
        <v>1358</v>
      </c>
      <c r="H271" s="5">
        <v>149.7510198247077</v>
      </c>
      <c r="I271" s="1">
        <f t="shared" si="8"/>
        <v>4181</v>
      </c>
      <c r="J271" s="1">
        <f t="shared" si="9"/>
        <v>0.47610433641031108</v>
      </c>
      <c r="K271" s="6" t="s">
        <v>1295</v>
      </c>
    </row>
    <row r="272" spans="1:11">
      <c r="A272" s="5" t="s">
        <v>2241</v>
      </c>
      <c r="B272" s="5">
        <v>5.0289896647015553E-6</v>
      </c>
      <c r="C272" s="5">
        <v>2787</v>
      </c>
      <c r="D272" s="5">
        <v>2820</v>
      </c>
      <c r="E272" s="5">
        <v>130.94574636900384</v>
      </c>
      <c r="F272" s="5">
        <v>1344</v>
      </c>
      <c r="G272" s="5">
        <v>1362</v>
      </c>
      <c r="H272" s="5">
        <v>62.793630722386759</v>
      </c>
      <c r="I272" s="1">
        <f t="shared" si="8"/>
        <v>4182</v>
      </c>
      <c r="J272" s="1">
        <f t="shared" si="9"/>
        <v>0.47590492645951626</v>
      </c>
      <c r="K272" s="6" t="s">
        <v>2</v>
      </c>
    </row>
    <row r="273" spans="1:11">
      <c r="A273" s="5" t="s">
        <v>416</v>
      </c>
      <c r="B273" s="5">
        <v>0</v>
      </c>
      <c r="C273" s="5">
        <v>35008</v>
      </c>
      <c r="D273" s="5">
        <v>35219</v>
      </c>
      <c r="E273" s="5">
        <v>542.04415163240685</v>
      </c>
      <c r="F273" s="5">
        <v>16810</v>
      </c>
      <c r="G273" s="5">
        <v>16887</v>
      </c>
      <c r="H273" s="5">
        <v>258.05147499735961</v>
      </c>
      <c r="I273" s="1">
        <f t="shared" si="8"/>
        <v>52106</v>
      </c>
      <c r="J273" s="1">
        <f t="shared" si="9"/>
        <v>0.47519428065222541</v>
      </c>
      <c r="K273" s="6" t="s">
        <v>2</v>
      </c>
    </row>
    <row r="274" spans="1:11">
      <c r="A274" s="5" t="s">
        <v>955</v>
      </c>
      <c r="B274" s="5">
        <v>0</v>
      </c>
      <c r="C274" s="5">
        <v>26340</v>
      </c>
      <c r="D274" s="5">
        <v>26341</v>
      </c>
      <c r="E274" s="5">
        <v>573.86498032243526</v>
      </c>
      <c r="F274" s="5">
        <v>12628</v>
      </c>
      <c r="G274" s="5">
        <v>12628</v>
      </c>
      <c r="H274" s="5">
        <v>273.15442350632799</v>
      </c>
      <c r="I274" s="1">
        <f t="shared" si="8"/>
        <v>38969</v>
      </c>
      <c r="J274" s="1">
        <f t="shared" si="9"/>
        <v>0.47516274752572119</v>
      </c>
      <c r="K274" s="6" t="s">
        <v>956</v>
      </c>
    </row>
    <row r="275" spans="1:11">
      <c r="A275" s="5" t="s">
        <v>503</v>
      </c>
      <c r="B275" s="5">
        <v>0</v>
      </c>
      <c r="C275" s="5">
        <v>16331</v>
      </c>
      <c r="D275" s="5">
        <v>16331</v>
      </c>
      <c r="E275" s="5">
        <v>233.88322892795637</v>
      </c>
      <c r="F275" s="5">
        <v>7845</v>
      </c>
      <c r="G275" s="5">
        <v>7845</v>
      </c>
      <c r="H275" s="5">
        <v>111.55150913827759</v>
      </c>
      <c r="I275" s="1">
        <f t="shared" si="8"/>
        <v>24176</v>
      </c>
      <c r="J275" s="1">
        <f t="shared" si="9"/>
        <v>0.47492326143256824</v>
      </c>
      <c r="K275" s="6" t="s">
        <v>483</v>
      </c>
    </row>
    <row r="276" spans="1:11">
      <c r="A276" s="5" t="s">
        <v>1771</v>
      </c>
      <c r="B276" s="5">
        <v>1.4300227668684329E-10</v>
      </c>
      <c r="C276" s="5">
        <v>4126</v>
      </c>
      <c r="D276" s="5">
        <v>4129</v>
      </c>
      <c r="E276" s="5">
        <v>201.34951462922513</v>
      </c>
      <c r="F276" s="5">
        <v>1983</v>
      </c>
      <c r="G276" s="5">
        <v>1984</v>
      </c>
      <c r="H276" s="5">
        <v>96.060218902447104</v>
      </c>
      <c r="I276" s="1">
        <f t="shared" si="8"/>
        <v>6113</v>
      </c>
      <c r="J276" s="1">
        <f t="shared" si="9"/>
        <v>0.4747242368160009</v>
      </c>
      <c r="K276" s="6" t="s">
        <v>1772</v>
      </c>
    </row>
    <row r="277" spans="1:11">
      <c r="A277" s="5" t="s">
        <v>1248</v>
      </c>
      <c r="B277" s="5">
        <v>8.9650033952004549E-7</v>
      </c>
      <c r="C277" s="5">
        <v>3909</v>
      </c>
      <c r="D277" s="5">
        <v>3909</v>
      </c>
      <c r="E277" s="5">
        <v>140.883010012715</v>
      </c>
      <c r="F277" s="5">
        <v>1881</v>
      </c>
      <c r="G277" s="5">
        <v>1882</v>
      </c>
      <c r="H277" s="5">
        <v>67.345529295101358</v>
      </c>
      <c r="I277" s="1">
        <f t="shared" si="8"/>
        <v>5791</v>
      </c>
      <c r="J277" s="1">
        <f t="shared" si="9"/>
        <v>0.47465534660609549</v>
      </c>
      <c r="K277" s="6" t="s">
        <v>715</v>
      </c>
    </row>
    <row r="278" spans="1:11">
      <c r="A278" s="5" t="s">
        <v>2201</v>
      </c>
      <c r="B278" s="5">
        <v>8.2318879235376841E-6</v>
      </c>
      <c r="C278" s="5">
        <v>21037</v>
      </c>
      <c r="D278" s="5">
        <v>21038</v>
      </c>
      <c r="E278" s="5">
        <v>127.35460635513898</v>
      </c>
      <c r="F278" s="5">
        <v>10133</v>
      </c>
      <c r="G278" s="5">
        <v>10133</v>
      </c>
      <c r="H278" s="5">
        <v>60.903808281746855</v>
      </c>
      <c r="I278" s="1">
        <f t="shared" si="8"/>
        <v>31171</v>
      </c>
      <c r="J278" s="1">
        <f t="shared" si="9"/>
        <v>0.47449647512637499</v>
      </c>
      <c r="K278" s="6" t="s">
        <v>203</v>
      </c>
    </row>
    <row r="279" spans="1:11">
      <c r="A279" s="5" t="s">
        <v>1237</v>
      </c>
      <c r="B279" s="5">
        <v>3.3788125781435419E-2</v>
      </c>
      <c r="C279" s="5">
        <v>6908</v>
      </c>
      <c r="D279" s="5">
        <v>6910</v>
      </c>
      <c r="E279" s="5">
        <v>76.996731684608079</v>
      </c>
      <c r="F279" s="5">
        <v>3339</v>
      </c>
      <c r="G279" s="5">
        <v>3339</v>
      </c>
      <c r="H279" s="5">
        <v>36.940848155167863</v>
      </c>
      <c r="I279" s="1">
        <f t="shared" si="8"/>
        <v>10249</v>
      </c>
      <c r="J279" s="1">
        <f t="shared" si="9"/>
        <v>0.47362046277200348</v>
      </c>
      <c r="K279" s="6" t="s">
        <v>1238</v>
      </c>
    </row>
    <row r="280" spans="1:11">
      <c r="A280" s="5" t="s">
        <v>562</v>
      </c>
      <c r="B280" s="5">
        <v>3.6752653383193001E-2</v>
      </c>
      <c r="C280" s="5">
        <v>5566</v>
      </c>
      <c r="D280" s="5">
        <v>5566</v>
      </c>
      <c r="E280" s="5">
        <v>76.415147360619144</v>
      </c>
      <c r="F280" s="5">
        <v>2688</v>
      </c>
      <c r="G280" s="5">
        <v>2688</v>
      </c>
      <c r="H280" s="5">
        <v>36.640527492558029</v>
      </c>
      <c r="I280" s="1">
        <f t="shared" si="8"/>
        <v>8254</v>
      </c>
      <c r="J280" s="1">
        <f t="shared" si="9"/>
        <v>0.4732992023108511</v>
      </c>
      <c r="K280" s="6" t="s">
        <v>563</v>
      </c>
    </row>
    <row r="281" spans="1:11">
      <c r="A281" s="5" t="s">
        <v>1360</v>
      </c>
      <c r="B281" s="5">
        <v>1.243038786231665E-3</v>
      </c>
      <c r="C281" s="5">
        <v>1410</v>
      </c>
      <c r="D281" s="5">
        <v>7198</v>
      </c>
      <c r="E281" s="5">
        <v>96.579242496075608</v>
      </c>
      <c r="F281" s="5">
        <v>716</v>
      </c>
      <c r="G281" s="5">
        <v>3465</v>
      </c>
      <c r="H281" s="5">
        <v>46.160594281200886</v>
      </c>
      <c r="I281" s="1">
        <f t="shared" si="8"/>
        <v>10663</v>
      </c>
      <c r="J281" s="1">
        <f t="shared" si="9"/>
        <v>0.47305751818126024</v>
      </c>
      <c r="K281" s="6" t="s">
        <v>199</v>
      </c>
    </row>
    <row r="282" spans="1:11">
      <c r="A282" s="5" t="s">
        <v>1593</v>
      </c>
      <c r="B282" s="5">
        <v>0</v>
      </c>
      <c r="C282" s="5">
        <v>11146</v>
      </c>
      <c r="D282" s="5">
        <v>11146</v>
      </c>
      <c r="E282" s="5">
        <v>600.57543386766747</v>
      </c>
      <c r="F282" s="5">
        <v>5319</v>
      </c>
      <c r="G282" s="5">
        <v>5319</v>
      </c>
      <c r="H282" s="5">
        <v>284.56056553706964</v>
      </c>
      <c r="I282" s="1">
        <f t="shared" si="8"/>
        <v>16465</v>
      </c>
      <c r="J282" s="1">
        <f t="shared" si="9"/>
        <v>0.47302557504312304</v>
      </c>
      <c r="K282" s="6" t="s">
        <v>1594</v>
      </c>
    </row>
    <row r="283" spans="1:11">
      <c r="A283" s="5" t="s">
        <v>353</v>
      </c>
      <c r="B283" s="5">
        <v>2.0743638470833159E-2</v>
      </c>
      <c r="C283" s="5">
        <v>4582</v>
      </c>
      <c r="D283" s="5">
        <v>4586</v>
      </c>
      <c r="E283" s="5">
        <v>79.736948543963805</v>
      </c>
      <c r="F283" s="5">
        <v>2210</v>
      </c>
      <c r="G283" s="5">
        <v>2212</v>
      </c>
      <c r="H283" s="5">
        <v>38.186238776156486</v>
      </c>
      <c r="I283" s="1">
        <f t="shared" si="8"/>
        <v>6798</v>
      </c>
      <c r="J283" s="1">
        <f t="shared" si="9"/>
        <v>0.47297104318183242</v>
      </c>
      <c r="K283" s="6" t="s">
        <v>354</v>
      </c>
    </row>
    <row r="284" spans="1:11">
      <c r="A284" s="5" t="s">
        <v>1913</v>
      </c>
      <c r="B284" s="5">
        <v>0</v>
      </c>
      <c r="C284" s="5">
        <v>132572</v>
      </c>
      <c r="D284" s="5">
        <v>158534</v>
      </c>
      <c r="E284" s="5">
        <v>3576.9676533261886</v>
      </c>
      <c r="F284" s="5">
        <v>65770</v>
      </c>
      <c r="G284" s="5">
        <v>75505</v>
      </c>
      <c r="H284" s="5">
        <v>1691.4708088221241</v>
      </c>
      <c r="I284" s="1">
        <f t="shared" si="8"/>
        <v>234039</v>
      </c>
      <c r="J284" s="1">
        <f t="shared" si="9"/>
        <v>0.47274625505618556</v>
      </c>
      <c r="K284" s="6" t="s">
        <v>261</v>
      </c>
    </row>
    <row r="285" spans="1:11">
      <c r="A285" s="5" t="s">
        <v>1645</v>
      </c>
      <c r="B285" s="5">
        <v>1.5730250435552762E-10</v>
      </c>
      <c r="C285" s="5">
        <v>55788</v>
      </c>
      <c r="D285" s="5">
        <v>55851</v>
      </c>
      <c r="E285" s="5">
        <v>1038.7870585425767</v>
      </c>
      <c r="F285" s="5">
        <v>26548</v>
      </c>
      <c r="G285" s="5">
        <v>26570</v>
      </c>
      <c r="H285" s="5">
        <v>490.6630243109658</v>
      </c>
      <c r="I285" s="1">
        <f t="shared" si="8"/>
        <v>82421</v>
      </c>
      <c r="J285" s="1">
        <f t="shared" si="9"/>
        <v>0.47188798925686415</v>
      </c>
      <c r="K285" s="6" t="s">
        <v>1646</v>
      </c>
    </row>
    <row r="286" spans="1:11">
      <c r="A286" s="5" t="s">
        <v>1147</v>
      </c>
      <c r="B286" s="5">
        <v>8.6754714523351595E-10</v>
      </c>
      <c r="C286" s="5">
        <v>46135</v>
      </c>
      <c r="D286" s="5">
        <v>46150</v>
      </c>
      <c r="E286" s="5">
        <v>1384.5362195644213</v>
      </c>
      <c r="F286" s="5">
        <v>21876</v>
      </c>
      <c r="G286" s="5">
        <v>21881</v>
      </c>
      <c r="H286" s="5">
        <v>651.77242448456468</v>
      </c>
      <c r="I286" s="1">
        <f t="shared" si="8"/>
        <v>68031</v>
      </c>
      <c r="J286" s="1">
        <f t="shared" si="9"/>
        <v>0.47041168269817296</v>
      </c>
      <c r="K286" s="6" t="s">
        <v>237</v>
      </c>
    </row>
    <row r="287" spans="1:11">
      <c r="A287" s="5" t="s">
        <v>2226</v>
      </c>
      <c r="B287" s="5">
        <v>2.78237719102431E-2</v>
      </c>
      <c r="C287" s="5">
        <v>3121</v>
      </c>
      <c r="D287" s="5">
        <v>3121</v>
      </c>
      <c r="E287" s="5">
        <v>77.274460085812805</v>
      </c>
      <c r="F287" s="5">
        <v>1497</v>
      </c>
      <c r="G287" s="5">
        <v>1497</v>
      </c>
      <c r="H287" s="5">
        <v>36.801050081684195</v>
      </c>
      <c r="I287" s="1">
        <f t="shared" si="8"/>
        <v>4618</v>
      </c>
      <c r="J287" s="1">
        <f t="shared" si="9"/>
        <v>0.47015399456398627</v>
      </c>
      <c r="K287" s="6" t="s">
        <v>1141</v>
      </c>
    </row>
    <row r="288" spans="1:11">
      <c r="A288" s="5" t="s">
        <v>1177</v>
      </c>
      <c r="B288" s="5">
        <v>0</v>
      </c>
      <c r="C288" s="5">
        <v>5471</v>
      </c>
      <c r="D288" s="5">
        <v>5471</v>
      </c>
      <c r="E288" s="5">
        <v>206.76361728403495</v>
      </c>
      <c r="F288" s="5">
        <v>2600</v>
      </c>
      <c r="G288" s="5">
        <v>2600</v>
      </c>
      <c r="H288" s="5">
        <v>97.561159822797833</v>
      </c>
      <c r="I288" s="1">
        <f t="shared" si="8"/>
        <v>8071</v>
      </c>
      <c r="J288" s="1">
        <f t="shared" si="9"/>
        <v>0.4695776916967197</v>
      </c>
      <c r="K288" s="6" t="s">
        <v>1178</v>
      </c>
    </row>
    <row r="289" spans="1:11">
      <c r="A289" s="5" t="s">
        <v>1872</v>
      </c>
      <c r="B289" s="5">
        <v>0</v>
      </c>
      <c r="C289" s="5">
        <v>10907</v>
      </c>
      <c r="D289" s="5">
        <v>11162</v>
      </c>
      <c r="E289" s="5">
        <v>283.85604251637204</v>
      </c>
      <c r="F289" s="5">
        <v>5176</v>
      </c>
      <c r="G289" s="5">
        <v>5289</v>
      </c>
      <c r="H289" s="5">
        <v>133.54446495255212</v>
      </c>
      <c r="I289" s="1">
        <f t="shared" si="8"/>
        <v>16451</v>
      </c>
      <c r="J289" s="1">
        <f t="shared" si="9"/>
        <v>0.4688138744498519</v>
      </c>
      <c r="K289" s="6" t="s">
        <v>1390</v>
      </c>
    </row>
    <row r="290" spans="1:11">
      <c r="A290" s="5" t="s">
        <v>919</v>
      </c>
      <c r="B290" s="5">
        <v>9.5334851124562192E-12</v>
      </c>
      <c r="C290" s="5">
        <v>13395</v>
      </c>
      <c r="D290" s="5">
        <v>13412</v>
      </c>
      <c r="E290" s="5">
        <v>219.18922950108248</v>
      </c>
      <c r="F290" s="5">
        <v>6331</v>
      </c>
      <c r="G290" s="5">
        <v>6341</v>
      </c>
      <c r="H290" s="5">
        <v>102.89152838858396</v>
      </c>
      <c r="I290" s="1">
        <f t="shared" si="8"/>
        <v>19753</v>
      </c>
      <c r="J290" s="1">
        <f t="shared" si="9"/>
        <v>0.46728683606242483</v>
      </c>
      <c r="K290" s="6" t="s">
        <v>920</v>
      </c>
    </row>
    <row r="291" spans="1:11">
      <c r="A291" s="5" t="s">
        <v>2095</v>
      </c>
      <c r="B291" s="5">
        <v>2.3065313881076577E-7</v>
      </c>
      <c r="C291" s="5">
        <v>3527</v>
      </c>
      <c r="D291" s="5">
        <v>3527</v>
      </c>
      <c r="E291" s="5">
        <v>145.41239490752056</v>
      </c>
      <c r="F291" s="5">
        <v>1669</v>
      </c>
      <c r="G291" s="5">
        <v>1670</v>
      </c>
      <c r="H291" s="5">
        <v>68.36103646324716</v>
      </c>
      <c r="I291" s="1">
        <f t="shared" si="8"/>
        <v>5197</v>
      </c>
      <c r="J291" s="1">
        <f t="shared" si="9"/>
        <v>0.46690743981359295</v>
      </c>
      <c r="K291" s="6" t="s">
        <v>2096</v>
      </c>
    </row>
    <row r="292" spans="1:11">
      <c r="A292" s="5" t="s">
        <v>541</v>
      </c>
      <c r="B292" s="5">
        <v>6.9499106469805838E-8</v>
      </c>
      <c r="C292" s="5">
        <v>4456</v>
      </c>
      <c r="D292" s="5">
        <v>4456</v>
      </c>
      <c r="E292" s="5">
        <v>152.51689551304017</v>
      </c>
      <c r="F292" s="5">
        <v>2109</v>
      </c>
      <c r="G292" s="5">
        <v>2109</v>
      </c>
      <c r="H292" s="5">
        <v>71.67134492874797</v>
      </c>
      <c r="I292" s="1">
        <f t="shared" si="8"/>
        <v>6565</v>
      </c>
      <c r="J292" s="1">
        <f t="shared" si="9"/>
        <v>0.46686291231482074</v>
      </c>
      <c r="K292" s="6" t="s">
        <v>542</v>
      </c>
    </row>
    <row r="293" spans="1:11">
      <c r="A293" s="5" t="s">
        <v>2178</v>
      </c>
      <c r="B293" s="5">
        <v>1.9066970224912438E-11</v>
      </c>
      <c r="C293" s="5">
        <v>905</v>
      </c>
      <c r="D293" s="5">
        <v>10368</v>
      </c>
      <c r="E293" s="5">
        <v>251.44443876668609</v>
      </c>
      <c r="F293" s="5">
        <v>466</v>
      </c>
      <c r="G293" s="5">
        <v>4887</v>
      </c>
      <c r="H293" s="5">
        <v>117.67537343990449</v>
      </c>
      <c r="I293" s="1">
        <f t="shared" si="8"/>
        <v>15255</v>
      </c>
      <c r="J293" s="1">
        <f t="shared" si="9"/>
        <v>0.46614365527244706</v>
      </c>
      <c r="K293" s="6" t="s">
        <v>468</v>
      </c>
    </row>
    <row r="294" spans="1:11">
      <c r="A294" s="5" t="s">
        <v>1481</v>
      </c>
      <c r="B294" s="5">
        <v>0</v>
      </c>
      <c r="C294" s="5">
        <v>16679</v>
      </c>
      <c r="D294" s="5">
        <v>16714</v>
      </c>
      <c r="E294" s="5">
        <v>237.86602384706458</v>
      </c>
      <c r="F294" s="5">
        <v>7863</v>
      </c>
      <c r="G294" s="5">
        <v>7875</v>
      </c>
      <c r="H294" s="5">
        <v>111.27530097265524</v>
      </c>
      <c r="I294" s="1">
        <f t="shared" si="8"/>
        <v>24589</v>
      </c>
      <c r="J294" s="1">
        <f t="shared" si="9"/>
        <v>0.4658481737189209</v>
      </c>
      <c r="K294" s="6" t="s">
        <v>1271</v>
      </c>
    </row>
    <row r="295" spans="1:11">
      <c r="A295" s="5" t="s">
        <v>859</v>
      </c>
      <c r="B295" s="5">
        <v>0</v>
      </c>
      <c r="C295" s="5">
        <v>21822</v>
      </c>
      <c r="D295" s="5">
        <v>21825</v>
      </c>
      <c r="E295" s="5">
        <v>284.83155193276122</v>
      </c>
      <c r="F295" s="5">
        <v>10210</v>
      </c>
      <c r="G295" s="5">
        <v>10214</v>
      </c>
      <c r="H295" s="5">
        <v>132.35059476658202</v>
      </c>
      <c r="I295" s="1">
        <f t="shared" si="8"/>
        <v>32039</v>
      </c>
      <c r="J295" s="1">
        <f t="shared" si="9"/>
        <v>0.46303703657501066</v>
      </c>
      <c r="K295" s="6" t="s">
        <v>252</v>
      </c>
    </row>
    <row r="296" spans="1:11">
      <c r="A296" s="5" t="s">
        <v>2062</v>
      </c>
      <c r="B296" s="5">
        <v>6.4012288581188903E-3</v>
      </c>
      <c r="C296" s="5">
        <v>4643</v>
      </c>
      <c r="D296" s="5">
        <v>4645</v>
      </c>
      <c r="E296" s="5">
        <v>83.926797124513158</v>
      </c>
      <c r="F296" s="5">
        <v>2190</v>
      </c>
      <c r="G296" s="5">
        <v>2191</v>
      </c>
      <c r="H296" s="5">
        <v>39.305516611415882</v>
      </c>
      <c r="I296" s="1">
        <f t="shared" si="8"/>
        <v>6836</v>
      </c>
      <c r="J296" s="1">
        <f t="shared" si="9"/>
        <v>0.46281642475918583</v>
      </c>
      <c r="K296" s="6" t="s">
        <v>1303</v>
      </c>
    </row>
    <row r="297" spans="1:11">
      <c r="A297" s="5" t="s">
        <v>743</v>
      </c>
      <c r="B297" s="5">
        <v>0</v>
      </c>
      <c r="C297" s="5">
        <v>8038</v>
      </c>
      <c r="D297" s="5">
        <v>8320</v>
      </c>
      <c r="E297" s="5">
        <v>203.22542411124871</v>
      </c>
      <c r="F297" s="5">
        <v>3695</v>
      </c>
      <c r="G297" s="5">
        <v>3894</v>
      </c>
      <c r="H297" s="5">
        <v>94.438017045981852</v>
      </c>
      <c r="I297" s="1">
        <f t="shared" si="8"/>
        <v>12214</v>
      </c>
      <c r="J297" s="1">
        <f t="shared" si="9"/>
        <v>0.4624204721667669</v>
      </c>
      <c r="K297" s="6" t="s">
        <v>93</v>
      </c>
    </row>
    <row r="298" spans="1:11">
      <c r="A298" s="5" t="s">
        <v>1562</v>
      </c>
      <c r="B298" s="5">
        <v>1.5493200328231538E-6</v>
      </c>
      <c r="C298" s="5">
        <v>3446</v>
      </c>
      <c r="D298" s="5">
        <v>3467</v>
      </c>
      <c r="E298" s="5">
        <v>131.94340969079158</v>
      </c>
      <c r="F298" s="5">
        <v>1610</v>
      </c>
      <c r="G298" s="5">
        <v>1625</v>
      </c>
      <c r="H298" s="5">
        <v>61.402128559802833</v>
      </c>
      <c r="I298" s="1">
        <f t="shared" si="8"/>
        <v>5092</v>
      </c>
      <c r="J298" s="1">
        <f t="shared" si="9"/>
        <v>0.46186665967584173</v>
      </c>
      <c r="K298" s="6" t="s">
        <v>612</v>
      </c>
    </row>
    <row r="299" spans="1:11">
      <c r="A299" s="5" t="s">
        <v>1259</v>
      </c>
      <c r="B299" s="5">
        <v>1.2744227570510303E-3</v>
      </c>
      <c r="C299" s="5">
        <v>6585</v>
      </c>
      <c r="D299" s="5">
        <v>6585</v>
      </c>
      <c r="E299" s="5">
        <v>92.744584589918162</v>
      </c>
      <c r="F299" s="5">
        <v>3090</v>
      </c>
      <c r="G299" s="5">
        <v>3091</v>
      </c>
      <c r="H299" s="5">
        <v>43.224301721777557</v>
      </c>
      <c r="I299" s="1">
        <f t="shared" si="8"/>
        <v>9676</v>
      </c>
      <c r="J299" s="1">
        <f t="shared" si="9"/>
        <v>0.46108585270136393</v>
      </c>
      <c r="K299" s="6" t="s">
        <v>1260</v>
      </c>
    </row>
    <row r="300" spans="1:11">
      <c r="A300" s="5" t="s">
        <v>1311</v>
      </c>
      <c r="B300" s="5">
        <v>9.4380501597379762E-5</v>
      </c>
      <c r="C300" s="5">
        <v>5371</v>
      </c>
      <c r="D300" s="5">
        <v>5372</v>
      </c>
      <c r="E300" s="5">
        <v>107.71992923576025</v>
      </c>
      <c r="F300" s="5">
        <v>2517</v>
      </c>
      <c r="G300" s="5">
        <v>2517</v>
      </c>
      <c r="H300" s="5">
        <v>50.111738642159501</v>
      </c>
      <c r="I300" s="1">
        <f t="shared" si="8"/>
        <v>7889</v>
      </c>
      <c r="J300" s="1">
        <f t="shared" si="9"/>
        <v>0.46092504837352954</v>
      </c>
      <c r="K300" s="6" t="s">
        <v>1133</v>
      </c>
    </row>
    <row r="301" spans="1:11">
      <c r="A301" s="5" t="s">
        <v>708</v>
      </c>
      <c r="B301" s="5">
        <v>6.0062887215883709E-4</v>
      </c>
      <c r="C301" s="5">
        <v>23327</v>
      </c>
      <c r="D301" s="5">
        <v>25768</v>
      </c>
      <c r="E301" s="5">
        <v>96.939806794105806</v>
      </c>
      <c r="F301" s="5">
        <v>10929</v>
      </c>
      <c r="G301" s="5">
        <v>12078</v>
      </c>
      <c r="H301" s="5">
        <v>45.11413795768442</v>
      </c>
      <c r="I301" s="1">
        <f t="shared" si="8"/>
        <v>37846</v>
      </c>
      <c r="J301" s="1">
        <f t="shared" si="9"/>
        <v>0.46063127378355695</v>
      </c>
      <c r="K301" s="6" t="s">
        <v>357</v>
      </c>
    </row>
    <row r="302" spans="1:11">
      <c r="A302" s="5" t="s">
        <v>113</v>
      </c>
      <c r="B302" s="5">
        <v>1.7324326844259108E-3</v>
      </c>
      <c r="C302" s="5">
        <v>3552</v>
      </c>
      <c r="D302" s="5">
        <v>3552</v>
      </c>
      <c r="E302" s="5">
        <v>90.838767325955573</v>
      </c>
      <c r="F302" s="5">
        <v>1666</v>
      </c>
      <c r="G302" s="5">
        <v>1666</v>
      </c>
      <c r="H302" s="5">
        <v>42.302834886727318</v>
      </c>
      <c r="I302" s="1">
        <f t="shared" si="8"/>
        <v>5218</v>
      </c>
      <c r="J302" s="1">
        <f t="shared" si="9"/>
        <v>0.46062067380091726</v>
      </c>
      <c r="K302" s="6" t="s">
        <v>114</v>
      </c>
    </row>
    <row r="303" spans="1:11">
      <c r="A303" s="5" t="s">
        <v>1472</v>
      </c>
      <c r="B303" s="5">
        <v>8.0818838263774229E-3</v>
      </c>
      <c r="C303" s="5">
        <v>2972</v>
      </c>
      <c r="D303" s="5">
        <v>2972</v>
      </c>
      <c r="E303" s="5">
        <v>81.852465152857746</v>
      </c>
      <c r="F303" s="5">
        <v>1394</v>
      </c>
      <c r="G303" s="5">
        <v>1394</v>
      </c>
      <c r="H303" s="5">
        <v>38.119038029798247</v>
      </c>
      <c r="I303" s="1">
        <f t="shared" si="8"/>
        <v>4366</v>
      </c>
      <c r="J303" s="1">
        <f t="shared" si="9"/>
        <v>0.4600833295602122</v>
      </c>
      <c r="K303" s="6" t="s">
        <v>1473</v>
      </c>
    </row>
    <row r="304" spans="1:11">
      <c r="A304" s="5" t="s">
        <v>1807</v>
      </c>
      <c r="B304" s="5">
        <v>0</v>
      </c>
      <c r="C304" s="5">
        <v>15068</v>
      </c>
      <c r="D304" s="5">
        <v>15126</v>
      </c>
      <c r="E304" s="5">
        <v>405.90653570315078</v>
      </c>
      <c r="F304" s="5">
        <v>7014</v>
      </c>
      <c r="G304" s="5">
        <v>7023</v>
      </c>
      <c r="H304" s="5">
        <v>187.1202618394654</v>
      </c>
      <c r="I304" s="1">
        <f t="shared" si="8"/>
        <v>22149</v>
      </c>
      <c r="J304" s="1">
        <f t="shared" si="9"/>
        <v>0.45986054639332369</v>
      </c>
      <c r="K304" s="6" t="s">
        <v>880</v>
      </c>
    </row>
    <row r="305" spans="1:11">
      <c r="A305" s="5" t="s">
        <v>1875</v>
      </c>
      <c r="B305" s="5">
        <v>3.4962435957464066E-4</v>
      </c>
      <c r="C305" s="5">
        <v>4876</v>
      </c>
      <c r="D305" s="5">
        <v>4877</v>
      </c>
      <c r="E305" s="5">
        <v>99.779429785739936</v>
      </c>
      <c r="F305" s="5">
        <v>2281</v>
      </c>
      <c r="G305" s="5">
        <v>2281</v>
      </c>
      <c r="H305" s="5">
        <v>46.335061885534223</v>
      </c>
      <c r="I305" s="1">
        <f t="shared" si="8"/>
        <v>7158</v>
      </c>
      <c r="J305" s="1">
        <f t="shared" si="9"/>
        <v>0.4597670574644443</v>
      </c>
      <c r="K305" s="6" t="s">
        <v>1207</v>
      </c>
    </row>
    <row r="306" spans="1:11">
      <c r="A306" s="5" t="s">
        <v>1221</v>
      </c>
      <c r="B306" s="5">
        <v>1.826494085976349E-3</v>
      </c>
      <c r="C306" s="5">
        <v>4765</v>
      </c>
      <c r="D306" s="5">
        <v>4765</v>
      </c>
      <c r="E306" s="5">
        <v>90.166232190272581</v>
      </c>
      <c r="F306" s="5">
        <v>2228</v>
      </c>
      <c r="G306" s="5">
        <v>2229</v>
      </c>
      <c r="H306" s="5">
        <v>41.878130463360378</v>
      </c>
      <c r="I306" s="1">
        <f t="shared" si="8"/>
        <v>6994</v>
      </c>
      <c r="J306" s="1">
        <f t="shared" si="9"/>
        <v>0.45936011017716238</v>
      </c>
      <c r="K306" s="6" t="s">
        <v>1222</v>
      </c>
    </row>
    <row r="307" spans="1:11">
      <c r="A307" s="5" t="s">
        <v>1124</v>
      </c>
      <c r="B307" s="5">
        <v>1.3041807633840108E-7</v>
      </c>
      <c r="C307" s="5">
        <v>4001</v>
      </c>
      <c r="D307" s="5">
        <v>4002</v>
      </c>
      <c r="E307" s="5">
        <v>144.81019781937977</v>
      </c>
      <c r="F307" s="5">
        <v>1860</v>
      </c>
      <c r="G307" s="5">
        <v>1861</v>
      </c>
      <c r="H307" s="5">
        <v>66.859732646155521</v>
      </c>
      <c r="I307" s="1">
        <f t="shared" si="8"/>
        <v>5863</v>
      </c>
      <c r="J307" s="1">
        <f t="shared" si="9"/>
        <v>0.45853948246457377</v>
      </c>
      <c r="K307" s="6" t="s">
        <v>1125</v>
      </c>
    </row>
    <row r="308" spans="1:11">
      <c r="A308" s="5" t="s">
        <v>396</v>
      </c>
      <c r="B308" s="5">
        <v>3.8434006893739436E-6</v>
      </c>
      <c r="C308" s="5">
        <v>2243</v>
      </c>
      <c r="D308" s="5">
        <v>4543</v>
      </c>
      <c r="E308" s="5">
        <v>124.86693319437971</v>
      </c>
      <c r="F308" s="5">
        <v>949</v>
      </c>
      <c r="G308" s="5">
        <v>2110</v>
      </c>
      <c r="H308" s="5">
        <v>57.581551671637321</v>
      </c>
      <c r="I308" s="1">
        <f t="shared" si="8"/>
        <v>6653</v>
      </c>
      <c r="J308" s="1">
        <f t="shared" si="9"/>
        <v>0.45747957950729262</v>
      </c>
      <c r="K308" s="6" t="s">
        <v>397</v>
      </c>
    </row>
    <row r="309" spans="1:11">
      <c r="A309" s="5" t="s">
        <v>1584</v>
      </c>
      <c r="B309" s="5">
        <v>0</v>
      </c>
      <c r="C309" s="5">
        <v>16775</v>
      </c>
      <c r="D309" s="5">
        <v>16792</v>
      </c>
      <c r="E309" s="5">
        <v>511.09873950631919</v>
      </c>
      <c r="F309" s="5">
        <v>7423</v>
      </c>
      <c r="G309" s="5">
        <v>7730</v>
      </c>
      <c r="H309" s="5">
        <v>233.6028184089501</v>
      </c>
      <c r="I309" s="1">
        <f t="shared" si="8"/>
        <v>24522</v>
      </c>
      <c r="J309" s="1">
        <f t="shared" si="9"/>
        <v>0.4561675325234178</v>
      </c>
      <c r="K309" s="6" t="s">
        <v>248</v>
      </c>
    </row>
    <row r="310" spans="1:11">
      <c r="A310" s="5" t="s">
        <v>878</v>
      </c>
      <c r="B310" s="5">
        <v>1.0725170751513247E-9</v>
      </c>
      <c r="C310" s="5">
        <v>5948</v>
      </c>
      <c r="D310" s="5">
        <v>5948</v>
      </c>
      <c r="E310" s="5">
        <v>170.90740653577973</v>
      </c>
      <c r="F310" s="5">
        <v>2746</v>
      </c>
      <c r="G310" s="5">
        <v>2746</v>
      </c>
      <c r="H310" s="5">
        <v>78.340557350682332</v>
      </c>
      <c r="I310" s="1">
        <f t="shared" si="8"/>
        <v>8694</v>
      </c>
      <c r="J310" s="1">
        <f t="shared" si="9"/>
        <v>0.45571368290276093</v>
      </c>
      <c r="K310" s="6" t="s">
        <v>879</v>
      </c>
    </row>
    <row r="311" spans="1:11">
      <c r="A311" s="5" t="s">
        <v>1811</v>
      </c>
      <c r="B311" s="5">
        <v>0</v>
      </c>
      <c r="C311" s="5">
        <v>18654</v>
      </c>
      <c r="D311" s="5">
        <v>18658</v>
      </c>
      <c r="E311" s="5">
        <v>229.10535261783804</v>
      </c>
      <c r="F311" s="5">
        <v>8585</v>
      </c>
      <c r="G311" s="5">
        <v>8587</v>
      </c>
      <c r="H311" s="5">
        <v>104.69062919446382</v>
      </c>
      <c r="I311" s="1">
        <f t="shared" si="8"/>
        <v>27245</v>
      </c>
      <c r="J311" s="1">
        <f t="shared" si="9"/>
        <v>0.45496824825424803</v>
      </c>
      <c r="K311" s="6" t="s">
        <v>1242</v>
      </c>
    </row>
    <row r="312" spans="1:11">
      <c r="A312" s="5" t="s">
        <v>1731</v>
      </c>
      <c r="B312" s="5">
        <v>5.7200910674737315E-10</v>
      </c>
      <c r="C312" s="5">
        <v>41856</v>
      </c>
      <c r="D312" s="5">
        <v>41867</v>
      </c>
      <c r="E312" s="5">
        <v>906.30936544102394</v>
      </c>
      <c r="F312" s="5">
        <v>19161</v>
      </c>
      <c r="G312" s="5">
        <v>19168</v>
      </c>
      <c r="H312" s="5">
        <v>411.98141615202252</v>
      </c>
      <c r="I312" s="1">
        <f t="shared" si="8"/>
        <v>61035</v>
      </c>
      <c r="J312" s="1">
        <f t="shared" si="9"/>
        <v>0.45406939666247909</v>
      </c>
      <c r="K312" s="6" t="s">
        <v>791</v>
      </c>
    </row>
    <row r="313" spans="1:11">
      <c r="A313" s="5" t="s">
        <v>2145</v>
      </c>
      <c r="B313" s="5">
        <v>1.6136645745623568E-4</v>
      </c>
      <c r="C313" s="5">
        <v>3352</v>
      </c>
      <c r="D313" s="5">
        <v>3352</v>
      </c>
      <c r="E313" s="5">
        <v>102.13920052406658</v>
      </c>
      <c r="F313" s="5">
        <v>1546</v>
      </c>
      <c r="G313" s="5">
        <v>1546</v>
      </c>
      <c r="H313" s="5">
        <v>46.772882342127971</v>
      </c>
      <c r="I313" s="1">
        <f t="shared" si="8"/>
        <v>4898</v>
      </c>
      <c r="J313" s="1">
        <f t="shared" si="9"/>
        <v>0.45349277582594749</v>
      </c>
      <c r="K313" s="6" t="s">
        <v>2146</v>
      </c>
    </row>
    <row r="314" spans="1:11">
      <c r="A314" s="5" t="s">
        <v>1745</v>
      </c>
      <c r="B314" s="5">
        <v>1.6683598946798384E-10</v>
      </c>
      <c r="C314" s="5">
        <v>13291</v>
      </c>
      <c r="D314" s="5">
        <v>14297</v>
      </c>
      <c r="E314" s="5">
        <v>309.24606287162493</v>
      </c>
      <c r="F314" s="5">
        <v>5995</v>
      </c>
      <c r="G314" s="5">
        <v>6502</v>
      </c>
      <c r="H314" s="5">
        <v>139.63761649774938</v>
      </c>
      <c r="I314" s="1">
        <f t="shared" si="8"/>
        <v>20799</v>
      </c>
      <c r="J314" s="1">
        <f t="shared" si="9"/>
        <v>0.45008666735451625</v>
      </c>
      <c r="K314" s="6" t="s">
        <v>843</v>
      </c>
    </row>
    <row r="315" spans="1:11">
      <c r="A315" s="5" t="s">
        <v>134</v>
      </c>
      <c r="B315" s="5">
        <v>1.3265272524876082E-6</v>
      </c>
      <c r="C315" s="5">
        <v>7187</v>
      </c>
      <c r="D315" s="5">
        <v>10471</v>
      </c>
      <c r="E315" s="5">
        <v>127.82564540831621</v>
      </c>
      <c r="F315" s="5">
        <v>3165</v>
      </c>
      <c r="G315" s="5">
        <v>4782</v>
      </c>
      <c r="H315" s="5">
        <v>57.960964854244033</v>
      </c>
      <c r="I315" s="1">
        <f t="shared" si="8"/>
        <v>15253</v>
      </c>
      <c r="J315" s="1">
        <f t="shared" si="9"/>
        <v>0.44991790780892471</v>
      </c>
      <c r="K315" s="6" t="s">
        <v>135</v>
      </c>
    </row>
    <row r="316" spans="1:11">
      <c r="A316" s="5" t="s">
        <v>1706</v>
      </c>
      <c r="B316" s="5">
        <v>0</v>
      </c>
      <c r="C316" s="5">
        <v>7891</v>
      </c>
      <c r="D316" s="5">
        <v>7892</v>
      </c>
      <c r="E316" s="5">
        <v>221.16059505141607</v>
      </c>
      <c r="F316" s="5">
        <v>3592</v>
      </c>
      <c r="G316" s="5">
        <v>3592</v>
      </c>
      <c r="H316" s="5">
        <v>99.943188616063011</v>
      </c>
      <c r="I316" s="1">
        <f t="shared" si="8"/>
        <v>11484</v>
      </c>
      <c r="J316" s="1">
        <f t="shared" si="9"/>
        <v>0.44986910749375925</v>
      </c>
      <c r="K316" s="6" t="s">
        <v>1707</v>
      </c>
    </row>
    <row r="317" spans="1:11">
      <c r="A317" s="5" t="s">
        <v>287</v>
      </c>
      <c r="B317" s="5">
        <v>0</v>
      </c>
      <c r="C317" s="5">
        <v>8132</v>
      </c>
      <c r="D317" s="5">
        <v>8141</v>
      </c>
      <c r="E317" s="5">
        <v>235.91310441067355</v>
      </c>
      <c r="F317" s="5">
        <v>3687</v>
      </c>
      <c r="G317" s="5">
        <v>3697</v>
      </c>
      <c r="H317" s="5">
        <v>106.37019647035152</v>
      </c>
      <c r="I317" s="1">
        <f t="shared" si="8"/>
        <v>11838</v>
      </c>
      <c r="J317" s="1">
        <f t="shared" si="9"/>
        <v>0.44898401350549888</v>
      </c>
      <c r="K317" s="6" t="s">
        <v>288</v>
      </c>
    </row>
    <row r="318" spans="1:11">
      <c r="A318" s="5" t="s">
        <v>1746</v>
      </c>
      <c r="B318" s="5">
        <v>1.8113621713666817E-10</v>
      </c>
      <c r="C318" s="5">
        <v>14953</v>
      </c>
      <c r="D318" s="5">
        <v>14955</v>
      </c>
      <c r="E318" s="5">
        <v>194.61319726416033</v>
      </c>
      <c r="F318" s="5">
        <v>6793</v>
      </c>
      <c r="G318" s="5">
        <v>6793</v>
      </c>
      <c r="H318" s="5">
        <v>87.769512240538447</v>
      </c>
      <c r="I318" s="1">
        <f t="shared" si="8"/>
        <v>21748</v>
      </c>
      <c r="J318" s="1">
        <f t="shared" si="9"/>
        <v>0.44868911437510312</v>
      </c>
      <c r="K318" s="6" t="s">
        <v>738</v>
      </c>
    </row>
    <row r="319" spans="1:11">
      <c r="A319" s="5" t="s">
        <v>749</v>
      </c>
      <c r="B319" s="5">
        <v>0</v>
      </c>
      <c r="C319" s="5">
        <v>4552</v>
      </c>
      <c r="D319" s="5">
        <v>4552</v>
      </c>
      <c r="E319" s="5">
        <v>311.21397052498253</v>
      </c>
      <c r="F319" s="5">
        <v>2062</v>
      </c>
      <c r="G319" s="5">
        <v>2062</v>
      </c>
      <c r="H319" s="5">
        <v>139.9721688435626</v>
      </c>
      <c r="I319" s="1">
        <f t="shared" si="8"/>
        <v>6614</v>
      </c>
      <c r="J319" s="1">
        <f t="shared" si="9"/>
        <v>0.44832128622624334</v>
      </c>
      <c r="K319" s="6" t="s">
        <v>2</v>
      </c>
    </row>
    <row r="320" spans="1:11">
      <c r="A320" s="5" t="s">
        <v>2007</v>
      </c>
      <c r="B320" s="5">
        <v>9.5334851124562192E-12</v>
      </c>
      <c r="C320" s="5">
        <v>19691</v>
      </c>
      <c r="D320" s="5">
        <v>19754</v>
      </c>
      <c r="E320" s="5">
        <v>210.87501042421795</v>
      </c>
      <c r="F320" s="5">
        <v>8907</v>
      </c>
      <c r="G320" s="5">
        <v>8935</v>
      </c>
      <c r="H320" s="5">
        <v>94.7023649352722</v>
      </c>
      <c r="I320" s="1">
        <f t="shared" si="8"/>
        <v>28689</v>
      </c>
      <c r="J320" s="1">
        <f t="shared" si="9"/>
        <v>0.44697279186279837</v>
      </c>
      <c r="K320" s="6" t="s">
        <v>1785</v>
      </c>
    </row>
    <row r="321" spans="1:11">
      <c r="A321" s="5" t="s">
        <v>1686</v>
      </c>
      <c r="B321" s="5">
        <v>1.8764972234946442E-2</v>
      </c>
      <c r="C321" s="5">
        <v>13442</v>
      </c>
      <c r="D321" s="5">
        <v>13447</v>
      </c>
      <c r="E321" s="5">
        <v>73.651860312700634</v>
      </c>
      <c r="F321" s="5">
        <v>6123</v>
      </c>
      <c r="G321" s="5">
        <v>6124</v>
      </c>
      <c r="H321" s="5">
        <v>33.303486218217053</v>
      </c>
      <c r="I321" s="1">
        <f t="shared" si="8"/>
        <v>19571</v>
      </c>
      <c r="J321" s="1">
        <f t="shared" si="9"/>
        <v>0.44611729806485584</v>
      </c>
      <c r="K321" s="6" t="s">
        <v>250</v>
      </c>
    </row>
    <row r="322" spans="1:11">
      <c r="A322" s="5" t="s">
        <v>853</v>
      </c>
      <c r="B322" s="5">
        <v>0</v>
      </c>
      <c r="C322" s="5">
        <v>4035</v>
      </c>
      <c r="D322" s="5">
        <v>4035</v>
      </c>
      <c r="E322" s="5">
        <v>197.82922928054009</v>
      </c>
      <c r="F322" s="5">
        <v>1818</v>
      </c>
      <c r="G322" s="5">
        <v>1818</v>
      </c>
      <c r="H322" s="5">
        <v>88.498721941545014</v>
      </c>
      <c r="I322" s="1">
        <f t="shared" ref="I322:I385" si="10">D322+G322</f>
        <v>5853</v>
      </c>
      <c r="J322" s="1">
        <f t="shared" ref="J322:J385" si="11">H322/(E322+1)</f>
        <v>0.44509915499736136</v>
      </c>
      <c r="K322" s="6" t="s">
        <v>854</v>
      </c>
    </row>
    <row r="323" spans="1:11">
      <c r="A323" s="5" t="s">
        <v>649</v>
      </c>
      <c r="B323" s="5">
        <v>0</v>
      </c>
      <c r="C323" s="5">
        <v>23628</v>
      </c>
      <c r="D323" s="5">
        <v>23899</v>
      </c>
      <c r="E323" s="5">
        <v>284.35015396754926</v>
      </c>
      <c r="F323" s="5">
        <v>10642</v>
      </c>
      <c r="G323" s="5">
        <v>10750</v>
      </c>
      <c r="H323" s="5">
        <v>126.99259645293721</v>
      </c>
      <c r="I323" s="1">
        <f t="shared" si="10"/>
        <v>34649</v>
      </c>
      <c r="J323" s="1">
        <f t="shared" si="11"/>
        <v>0.44504127538469501</v>
      </c>
      <c r="K323" s="6" t="s">
        <v>624</v>
      </c>
    </row>
    <row r="324" spans="1:11">
      <c r="A324" s="5" t="s">
        <v>965</v>
      </c>
      <c r="B324" s="5">
        <v>2.8600455337368658E-11</v>
      </c>
      <c r="C324" s="5">
        <v>13624</v>
      </c>
      <c r="D324" s="5">
        <v>13624</v>
      </c>
      <c r="E324" s="5">
        <v>225.36093497151194</v>
      </c>
      <c r="F324" s="5">
        <v>6132</v>
      </c>
      <c r="G324" s="5">
        <v>6132</v>
      </c>
      <c r="H324" s="5">
        <v>100.70994226421449</v>
      </c>
      <c r="I324" s="1">
        <f t="shared" si="10"/>
        <v>19756</v>
      </c>
      <c r="J324" s="1">
        <f t="shared" si="11"/>
        <v>0.44490866887826325</v>
      </c>
      <c r="K324" s="6" t="s">
        <v>966</v>
      </c>
    </row>
    <row r="325" spans="1:11">
      <c r="A325" s="5" t="s">
        <v>996</v>
      </c>
      <c r="B325" s="5">
        <v>1.9116020005816026E-6</v>
      </c>
      <c r="C325" s="5">
        <v>1501</v>
      </c>
      <c r="D325" s="5">
        <v>1501</v>
      </c>
      <c r="E325" s="5">
        <v>123.76751049401098</v>
      </c>
      <c r="F325" s="5">
        <v>678</v>
      </c>
      <c r="G325" s="5">
        <v>678</v>
      </c>
      <c r="H325" s="5">
        <v>55.507524218061761</v>
      </c>
      <c r="I325" s="1">
        <f t="shared" si="10"/>
        <v>2179</v>
      </c>
      <c r="J325" s="1">
        <f t="shared" si="11"/>
        <v>0.44488764741944742</v>
      </c>
      <c r="K325" s="6" t="s">
        <v>997</v>
      </c>
    </row>
    <row r="326" spans="1:11">
      <c r="A326" s="5" t="s">
        <v>638</v>
      </c>
      <c r="B326" s="5">
        <v>3.0832553721089062E-2</v>
      </c>
      <c r="C326" s="5">
        <v>4746</v>
      </c>
      <c r="D326" s="5">
        <v>6513</v>
      </c>
      <c r="E326" s="5">
        <v>70.606918795085576</v>
      </c>
      <c r="F326" s="5">
        <v>2031</v>
      </c>
      <c r="G326" s="5">
        <v>2958</v>
      </c>
      <c r="H326" s="5">
        <v>31.839083013208999</v>
      </c>
      <c r="I326" s="1">
        <f t="shared" si="10"/>
        <v>9471</v>
      </c>
      <c r="J326" s="1">
        <f t="shared" si="11"/>
        <v>0.44463696454139473</v>
      </c>
      <c r="K326" s="6" t="s">
        <v>639</v>
      </c>
    </row>
    <row r="327" spans="1:11">
      <c r="A327" s="5" t="s">
        <v>1071</v>
      </c>
      <c r="B327" s="5">
        <v>0</v>
      </c>
      <c r="C327" s="5">
        <v>18301</v>
      </c>
      <c r="D327" s="5">
        <v>18303</v>
      </c>
      <c r="E327" s="5">
        <v>366.743489469819</v>
      </c>
      <c r="F327" s="5">
        <v>8215</v>
      </c>
      <c r="G327" s="5">
        <v>8217</v>
      </c>
      <c r="H327" s="5">
        <v>163.47435034270688</v>
      </c>
      <c r="I327" s="1">
        <f t="shared" si="10"/>
        <v>26520</v>
      </c>
      <c r="J327" s="1">
        <f t="shared" si="11"/>
        <v>0.44453363560124526</v>
      </c>
      <c r="K327" s="6" t="s">
        <v>407</v>
      </c>
    </row>
    <row r="328" spans="1:11">
      <c r="A328" s="5" t="s">
        <v>2202</v>
      </c>
      <c r="B328" s="5">
        <v>0</v>
      </c>
      <c r="C328" s="5">
        <v>8443</v>
      </c>
      <c r="D328" s="5">
        <v>8447</v>
      </c>
      <c r="E328" s="5">
        <v>192.82624401247074</v>
      </c>
      <c r="F328" s="5">
        <v>3798</v>
      </c>
      <c r="G328" s="5">
        <v>3801</v>
      </c>
      <c r="H328" s="5">
        <v>86.150483127983762</v>
      </c>
      <c r="I328" s="1">
        <f t="shared" si="10"/>
        <v>12248</v>
      </c>
      <c r="J328" s="1">
        <f t="shared" si="11"/>
        <v>0.44447274705710571</v>
      </c>
      <c r="K328" s="6" t="s">
        <v>2203</v>
      </c>
    </row>
    <row r="329" spans="1:11">
      <c r="A329" s="5" t="s">
        <v>741</v>
      </c>
      <c r="B329" s="5">
        <v>3.5893619020488376E-2</v>
      </c>
      <c r="C329" s="5">
        <v>6478</v>
      </c>
      <c r="D329" s="5">
        <v>6478</v>
      </c>
      <c r="E329" s="5">
        <v>69.727449074948723</v>
      </c>
      <c r="F329" s="5">
        <v>2941</v>
      </c>
      <c r="G329" s="5">
        <v>2941</v>
      </c>
      <c r="H329" s="5">
        <v>31.430700332882619</v>
      </c>
      <c r="I329" s="1">
        <f t="shared" si="10"/>
        <v>9419</v>
      </c>
      <c r="J329" s="1">
        <f t="shared" si="11"/>
        <v>0.44439182727452842</v>
      </c>
      <c r="K329" s="6" t="s">
        <v>9</v>
      </c>
    </row>
    <row r="330" spans="1:11">
      <c r="A330" s="5" t="s">
        <v>2218</v>
      </c>
      <c r="B330" s="5">
        <v>3.7290431033953908E-4</v>
      </c>
      <c r="C330" s="5">
        <v>2056</v>
      </c>
      <c r="D330" s="5">
        <v>2056</v>
      </c>
      <c r="E330" s="5">
        <v>94.183877998255454</v>
      </c>
      <c r="F330" s="5">
        <v>927</v>
      </c>
      <c r="G330" s="5">
        <v>927</v>
      </c>
      <c r="H330" s="5">
        <v>42.162794944397945</v>
      </c>
      <c r="I330" s="1">
        <f t="shared" si="10"/>
        <v>2983</v>
      </c>
      <c r="J330" s="1">
        <f t="shared" si="11"/>
        <v>0.44296151649936677</v>
      </c>
      <c r="K330" s="6" t="s">
        <v>2</v>
      </c>
    </row>
    <row r="331" spans="1:11">
      <c r="A331" s="5" t="s">
        <v>164</v>
      </c>
      <c r="B331" s="5">
        <v>3.2895439007563088E-3</v>
      </c>
      <c r="C331" s="5">
        <v>7469</v>
      </c>
      <c r="D331" s="5">
        <v>7470</v>
      </c>
      <c r="E331" s="5">
        <v>82.060564150554583</v>
      </c>
      <c r="F331" s="5">
        <v>3364</v>
      </c>
      <c r="G331" s="5">
        <v>3365</v>
      </c>
      <c r="H331" s="5">
        <v>36.702459243295955</v>
      </c>
      <c r="I331" s="1">
        <f t="shared" si="10"/>
        <v>10835</v>
      </c>
      <c r="J331" s="1">
        <f t="shared" si="11"/>
        <v>0.44187587236669279</v>
      </c>
      <c r="K331" s="6" t="s">
        <v>30</v>
      </c>
    </row>
    <row r="332" spans="1:11">
      <c r="A332" s="5" t="s">
        <v>1528</v>
      </c>
      <c r="B332" s="5">
        <v>1.3046574376396336E-8</v>
      </c>
      <c r="C332" s="5">
        <v>4150</v>
      </c>
      <c r="D332" s="5">
        <v>4157</v>
      </c>
      <c r="E332" s="5">
        <v>149.8210981383618</v>
      </c>
      <c r="F332" s="5">
        <v>1853</v>
      </c>
      <c r="G332" s="5">
        <v>1862</v>
      </c>
      <c r="H332" s="5">
        <v>66.629848856258633</v>
      </c>
      <c r="I332" s="1">
        <f t="shared" si="10"/>
        <v>6019</v>
      </c>
      <c r="J332" s="1">
        <f t="shared" si="11"/>
        <v>0.44178069035893813</v>
      </c>
      <c r="K332" s="6" t="s">
        <v>1529</v>
      </c>
    </row>
    <row r="333" spans="1:11">
      <c r="A333" s="5" t="s">
        <v>43</v>
      </c>
      <c r="B333" s="5">
        <v>3.4526460402423687E-2</v>
      </c>
      <c r="C333" s="5">
        <v>193</v>
      </c>
      <c r="D333" s="5">
        <v>2772</v>
      </c>
      <c r="E333" s="5">
        <v>69.263630123230655</v>
      </c>
      <c r="F333" s="5">
        <v>90</v>
      </c>
      <c r="G333" s="5">
        <v>1250</v>
      </c>
      <c r="H333" s="5">
        <v>31.011176040304463</v>
      </c>
      <c r="I333" s="1">
        <f t="shared" si="10"/>
        <v>4022</v>
      </c>
      <c r="J333" s="1">
        <f t="shared" si="11"/>
        <v>0.44135459534208588</v>
      </c>
      <c r="K333" s="6" t="s">
        <v>42</v>
      </c>
    </row>
    <row r="334" spans="1:11">
      <c r="A334" s="5" t="s">
        <v>215</v>
      </c>
      <c r="B334" s="5">
        <v>2.3601469857419399E-2</v>
      </c>
      <c r="C334" s="5">
        <v>8086</v>
      </c>
      <c r="D334" s="5">
        <v>8087</v>
      </c>
      <c r="E334" s="5">
        <v>71.07655898016138</v>
      </c>
      <c r="F334" s="5">
        <v>3636</v>
      </c>
      <c r="G334" s="5">
        <v>3637</v>
      </c>
      <c r="H334" s="5">
        <v>31.737919344858295</v>
      </c>
      <c r="I334" s="1">
        <f t="shared" si="10"/>
        <v>11724</v>
      </c>
      <c r="J334" s="1">
        <f t="shared" si="11"/>
        <v>0.44033621740452339</v>
      </c>
      <c r="K334" s="6" t="s">
        <v>46</v>
      </c>
    </row>
    <row r="335" spans="1:11">
      <c r="A335" s="5" t="s">
        <v>1777</v>
      </c>
      <c r="B335" s="5">
        <v>1.0486833623701841E-10</v>
      </c>
      <c r="C335" s="5">
        <v>13349</v>
      </c>
      <c r="D335" s="5">
        <v>13349</v>
      </c>
      <c r="E335" s="5">
        <v>218.81674233358578</v>
      </c>
      <c r="F335" s="5">
        <v>5941</v>
      </c>
      <c r="G335" s="5">
        <v>5941</v>
      </c>
      <c r="H335" s="5">
        <v>96.691337434016262</v>
      </c>
      <c r="I335" s="1">
        <f t="shared" si="10"/>
        <v>19290</v>
      </c>
      <c r="J335" s="1">
        <f t="shared" si="11"/>
        <v>0.43987248836251541</v>
      </c>
      <c r="K335" s="6" t="s">
        <v>337</v>
      </c>
    </row>
    <row r="336" spans="1:11">
      <c r="A336" s="5" t="s">
        <v>439</v>
      </c>
      <c r="B336" s="5">
        <v>2.2955078192721246E-5</v>
      </c>
      <c r="C336" s="5">
        <v>6458</v>
      </c>
      <c r="D336" s="5">
        <v>6463</v>
      </c>
      <c r="E336" s="5">
        <v>108.28992031031926</v>
      </c>
      <c r="F336" s="5">
        <v>2886</v>
      </c>
      <c r="G336" s="5">
        <v>2889</v>
      </c>
      <c r="H336" s="5">
        <v>48.06153309118163</v>
      </c>
      <c r="I336" s="1">
        <f t="shared" si="10"/>
        <v>9352</v>
      </c>
      <c r="J336" s="1">
        <f t="shared" si="11"/>
        <v>0.43976180927495484</v>
      </c>
      <c r="K336" s="6" t="s">
        <v>23</v>
      </c>
    </row>
    <row r="337" spans="1:11">
      <c r="A337" s="5" t="s">
        <v>2023</v>
      </c>
      <c r="B337" s="5">
        <v>2.8490610521902937E-4</v>
      </c>
      <c r="C337" s="5">
        <v>8451</v>
      </c>
      <c r="D337" s="5">
        <v>8451</v>
      </c>
      <c r="E337" s="5">
        <v>94.516122363420308</v>
      </c>
      <c r="F337" s="5">
        <v>3778</v>
      </c>
      <c r="G337" s="5">
        <v>3778</v>
      </c>
      <c r="H337" s="5">
        <v>41.952316624550534</v>
      </c>
      <c r="I337" s="1">
        <f t="shared" si="10"/>
        <v>12229</v>
      </c>
      <c r="J337" s="1">
        <f t="shared" si="11"/>
        <v>0.43921712467482832</v>
      </c>
      <c r="K337" s="6" t="s">
        <v>2024</v>
      </c>
    </row>
    <row r="338" spans="1:11">
      <c r="A338" s="5" t="s">
        <v>1835</v>
      </c>
      <c r="B338" s="5">
        <v>5.434086514100045E-10</v>
      </c>
      <c r="C338" s="5">
        <v>18205</v>
      </c>
      <c r="D338" s="5">
        <v>18205</v>
      </c>
      <c r="E338" s="5">
        <v>729.55965970584657</v>
      </c>
      <c r="F338" s="5">
        <v>8059</v>
      </c>
      <c r="G338" s="5">
        <v>8059</v>
      </c>
      <c r="H338" s="5">
        <v>320.66199085113175</v>
      </c>
      <c r="I338" s="1">
        <f t="shared" si="10"/>
        <v>26264</v>
      </c>
      <c r="J338" s="1">
        <f t="shared" si="11"/>
        <v>0.43892649503839765</v>
      </c>
      <c r="K338" s="6" t="s">
        <v>83</v>
      </c>
    </row>
    <row r="339" spans="1:11">
      <c r="A339" s="5" t="s">
        <v>1631</v>
      </c>
      <c r="B339" s="5">
        <v>2.9166828190516636E-2</v>
      </c>
      <c r="C339" s="5">
        <v>10044</v>
      </c>
      <c r="D339" s="5">
        <v>10045</v>
      </c>
      <c r="E339" s="5">
        <v>69.532332834850919</v>
      </c>
      <c r="F339" s="5">
        <v>4500</v>
      </c>
      <c r="G339" s="5">
        <v>4500</v>
      </c>
      <c r="H339" s="5">
        <v>30.927553942612466</v>
      </c>
      <c r="I339" s="1">
        <f t="shared" si="10"/>
        <v>14545</v>
      </c>
      <c r="J339" s="1">
        <f t="shared" si="11"/>
        <v>0.4384876084423337</v>
      </c>
      <c r="K339" s="6" t="s">
        <v>1632</v>
      </c>
    </row>
    <row r="340" spans="1:11">
      <c r="A340" s="5" t="s">
        <v>1950</v>
      </c>
      <c r="B340" s="5">
        <v>1.5368353286920877E-3</v>
      </c>
      <c r="C340" s="5">
        <v>5589</v>
      </c>
      <c r="D340" s="5">
        <v>5799</v>
      </c>
      <c r="E340" s="5">
        <v>85.018813537768636</v>
      </c>
      <c r="F340" s="5">
        <v>2454</v>
      </c>
      <c r="G340" s="5">
        <v>2586</v>
      </c>
      <c r="H340" s="5">
        <v>37.643210108020504</v>
      </c>
      <c r="I340" s="1">
        <f t="shared" si="10"/>
        <v>8385</v>
      </c>
      <c r="J340" s="1">
        <f t="shared" si="11"/>
        <v>0.43761601165880232</v>
      </c>
      <c r="K340" s="6" t="s">
        <v>97</v>
      </c>
    </row>
    <row r="341" spans="1:11">
      <c r="A341" s="5" t="s">
        <v>2119</v>
      </c>
      <c r="B341" s="5">
        <v>6.9494334436165373E-3</v>
      </c>
      <c r="C341" s="5">
        <v>3660</v>
      </c>
      <c r="D341" s="5">
        <v>3676</v>
      </c>
      <c r="E341" s="5">
        <v>76.884378710413827</v>
      </c>
      <c r="F341" s="5">
        <v>1633</v>
      </c>
      <c r="G341" s="5">
        <v>1640</v>
      </c>
      <c r="H341" s="5">
        <v>34.056707124330302</v>
      </c>
      <c r="I341" s="1">
        <f t="shared" si="10"/>
        <v>5316</v>
      </c>
      <c r="J341" s="1">
        <f t="shared" si="11"/>
        <v>0.43727263012469303</v>
      </c>
      <c r="K341" s="6" t="s">
        <v>1017</v>
      </c>
    </row>
    <row r="342" spans="1:11">
      <c r="A342" s="5" t="s">
        <v>2168</v>
      </c>
      <c r="B342" s="5">
        <v>1.3251544306314145E-9</v>
      </c>
      <c r="C342" s="5">
        <v>7292</v>
      </c>
      <c r="D342" s="5">
        <v>7292</v>
      </c>
      <c r="E342" s="5">
        <v>159.88759927030557</v>
      </c>
      <c r="F342" s="5">
        <v>3229</v>
      </c>
      <c r="G342" s="5">
        <v>3229</v>
      </c>
      <c r="H342" s="5">
        <v>70.296283781325926</v>
      </c>
      <c r="I342" s="1">
        <f t="shared" si="10"/>
        <v>10521</v>
      </c>
      <c r="J342" s="1">
        <f t="shared" si="11"/>
        <v>0.43692791800082664</v>
      </c>
      <c r="K342" s="6" t="s">
        <v>1520</v>
      </c>
    </row>
    <row r="343" spans="1:11">
      <c r="A343" s="5" t="s">
        <v>1064</v>
      </c>
      <c r="B343" s="5">
        <v>1.3335534310154884E-6</v>
      </c>
      <c r="C343" s="5">
        <v>3688</v>
      </c>
      <c r="D343" s="5">
        <v>3690</v>
      </c>
      <c r="E343" s="5">
        <v>122.5977126592505</v>
      </c>
      <c r="F343" s="5">
        <v>1636</v>
      </c>
      <c r="G343" s="5">
        <v>1637</v>
      </c>
      <c r="H343" s="5">
        <v>54.000885420091315</v>
      </c>
      <c r="I343" s="1">
        <f t="shared" si="10"/>
        <v>5327</v>
      </c>
      <c r="J343" s="1">
        <f t="shared" si="11"/>
        <v>0.43690845290128993</v>
      </c>
      <c r="K343" s="6" t="s">
        <v>2</v>
      </c>
    </row>
    <row r="344" spans="1:11">
      <c r="A344" s="5" t="s">
        <v>1982</v>
      </c>
      <c r="B344" s="5">
        <v>2.6763638760751718E-6</v>
      </c>
      <c r="C344" s="5">
        <v>8919</v>
      </c>
      <c r="D344" s="5">
        <v>18900</v>
      </c>
      <c r="E344" s="5">
        <v>118.71709456717167</v>
      </c>
      <c r="F344" s="5">
        <v>4007</v>
      </c>
      <c r="G344" s="5">
        <v>8380</v>
      </c>
      <c r="H344" s="5">
        <v>52.262679691990996</v>
      </c>
      <c r="I344" s="1">
        <f t="shared" si="10"/>
        <v>27280</v>
      </c>
      <c r="J344" s="1">
        <f t="shared" si="11"/>
        <v>0.43655152074098408</v>
      </c>
      <c r="K344" s="6" t="s">
        <v>1983</v>
      </c>
    </row>
    <row r="345" spans="1:11">
      <c r="A345" s="5" t="s">
        <v>618</v>
      </c>
      <c r="B345" s="5">
        <v>7.2454486854667266E-10</v>
      </c>
      <c r="C345" s="5">
        <v>89812</v>
      </c>
      <c r="D345" s="5">
        <v>101461</v>
      </c>
      <c r="E345" s="5">
        <v>1301.0490261085258</v>
      </c>
      <c r="F345" s="5">
        <v>40247</v>
      </c>
      <c r="G345" s="5">
        <v>44510</v>
      </c>
      <c r="H345" s="5">
        <v>566.69361289660822</v>
      </c>
      <c r="I345" s="1">
        <f t="shared" si="10"/>
        <v>145971</v>
      </c>
      <c r="J345" s="1">
        <f t="shared" si="11"/>
        <v>0.43523216217925598</v>
      </c>
      <c r="K345" s="6" t="s">
        <v>90</v>
      </c>
    </row>
    <row r="346" spans="1:11">
      <c r="A346" s="5" t="s">
        <v>1905</v>
      </c>
      <c r="B346" s="5">
        <v>0</v>
      </c>
      <c r="C346" s="5">
        <v>25090</v>
      </c>
      <c r="D346" s="5">
        <v>25092</v>
      </c>
      <c r="E346" s="5">
        <v>481.16362321486815</v>
      </c>
      <c r="F346" s="5">
        <v>11012</v>
      </c>
      <c r="G346" s="5">
        <v>11013</v>
      </c>
      <c r="H346" s="5">
        <v>209.68112924933601</v>
      </c>
      <c r="I346" s="1">
        <f t="shared" si="10"/>
        <v>36105</v>
      </c>
      <c r="J346" s="1">
        <f t="shared" si="11"/>
        <v>0.43487546375080877</v>
      </c>
      <c r="K346" s="6" t="s">
        <v>248</v>
      </c>
    </row>
    <row r="347" spans="1:11">
      <c r="A347" s="5" t="s">
        <v>990</v>
      </c>
      <c r="B347" s="5">
        <v>0</v>
      </c>
      <c r="C347" s="5">
        <v>981</v>
      </c>
      <c r="D347" s="5">
        <v>14000</v>
      </c>
      <c r="E347" s="5">
        <v>339.22525884039948</v>
      </c>
      <c r="F347" s="5">
        <v>435</v>
      </c>
      <c r="G347" s="5">
        <v>6143</v>
      </c>
      <c r="H347" s="5">
        <v>147.78721400432971</v>
      </c>
      <c r="I347" s="1">
        <f t="shared" si="10"/>
        <v>20143</v>
      </c>
      <c r="J347" s="1">
        <f t="shared" si="11"/>
        <v>0.43438048811554308</v>
      </c>
      <c r="K347" s="6" t="s">
        <v>991</v>
      </c>
    </row>
    <row r="348" spans="1:11">
      <c r="A348" s="5" t="s">
        <v>1851</v>
      </c>
      <c r="B348" s="5">
        <v>1.1678519262758869E-9</v>
      </c>
      <c r="C348" s="5">
        <v>30233</v>
      </c>
      <c r="D348" s="5">
        <v>33370</v>
      </c>
      <c r="E348" s="5">
        <v>1827.0049374341966</v>
      </c>
      <c r="F348" s="5">
        <v>13208</v>
      </c>
      <c r="G348" s="5">
        <v>14575</v>
      </c>
      <c r="H348" s="5">
        <v>792.29748582296895</v>
      </c>
      <c r="I348" s="1">
        <f t="shared" si="10"/>
        <v>47945</v>
      </c>
      <c r="J348" s="1">
        <f t="shared" si="11"/>
        <v>0.43342196161408869</v>
      </c>
      <c r="K348" s="6" t="s">
        <v>1757</v>
      </c>
    </row>
    <row r="349" spans="1:11">
      <c r="A349" s="5" t="s">
        <v>1163</v>
      </c>
      <c r="B349" s="5">
        <v>3.3367197893596767E-11</v>
      </c>
      <c r="C349" s="5">
        <v>12267</v>
      </c>
      <c r="D349" s="5">
        <v>12269</v>
      </c>
      <c r="E349" s="5">
        <v>171.7326252535473</v>
      </c>
      <c r="F349" s="5">
        <v>5370</v>
      </c>
      <c r="G349" s="5">
        <v>5370</v>
      </c>
      <c r="H349" s="5">
        <v>74.630117984106036</v>
      </c>
      <c r="I349" s="1">
        <f t="shared" si="10"/>
        <v>17639</v>
      </c>
      <c r="J349" s="1">
        <f t="shared" si="11"/>
        <v>0.43205571544205662</v>
      </c>
      <c r="K349" s="6" t="s">
        <v>1107</v>
      </c>
    </row>
    <row r="350" spans="1:11">
      <c r="A350" s="5" t="s">
        <v>2191</v>
      </c>
      <c r="B350" s="5">
        <v>0</v>
      </c>
      <c r="C350" s="5">
        <v>28758</v>
      </c>
      <c r="D350" s="5">
        <v>28766</v>
      </c>
      <c r="E350" s="5">
        <v>559.9022436484106</v>
      </c>
      <c r="F350" s="5">
        <v>12529</v>
      </c>
      <c r="G350" s="5">
        <v>12537</v>
      </c>
      <c r="H350" s="5">
        <v>242.28278521592929</v>
      </c>
      <c r="I350" s="1">
        <f t="shared" si="10"/>
        <v>41303</v>
      </c>
      <c r="J350" s="1">
        <f t="shared" si="11"/>
        <v>0.43195189172357634</v>
      </c>
      <c r="K350" s="6" t="s">
        <v>2192</v>
      </c>
    </row>
    <row r="351" spans="1:11">
      <c r="A351" s="5" t="s">
        <v>660</v>
      </c>
      <c r="B351" s="5">
        <v>0</v>
      </c>
      <c r="C351" s="5">
        <v>11264</v>
      </c>
      <c r="D351" s="5">
        <v>11264</v>
      </c>
      <c r="E351" s="5">
        <v>250.00118931451794</v>
      </c>
      <c r="F351" s="5">
        <v>4920</v>
      </c>
      <c r="G351" s="5">
        <v>4920</v>
      </c>
      <c r="H351" s="5">
        <v>108.42033271310046</v>
      </c>
      <c r="I351" s="1">
        <f t="shared" si="10"/>
        <v>16184</v>
      </c>
      <c r="J351" s="1">
        <f t="shared" si="11"/>
        <v>0.43195147006751422</v>
      </c>
      <c r="K351" s="6" t="s">
        <v>661</v>
      </c>
    </row>
    <row r="352" spans="1:11">
      <c r="A352" s="5" t="s">
        <v>2091</v>
      </c>
      <c r="B352" s="5">
        <v>3.7544771069875083E-7</v>
      </c>
      <c r="C352" s="5">
        <v>1241</v>
      </c>
      <c r="D352" s="5">
        <v>1244</v>
      </c>
      <c r="E352" s="5">
        <v>127.25611098365847</v>
      </c>
      <c r="F352" s="5">
        <v>543</v>
      </c>
      <c r="G352" s="5">
        <v>545</v>
      </c>
      <c r="H352" s="5">
        <v>55.354249731732025</v>
      </c>
      <c r="I352" s="1">
        <f t="shared" si="10"/>
        <v>1789</v>
      </c>
      <c r="J352" s="1">
        <f t="shared" si="11"/>
        <v>0.43159151877593493</v>
      </c>
      <c r="K352" s="6" t="s">
        <v>91</v>
      </c>
    </row>
    <row r="353" spans="1:11">
      <c r="A353" s="5" t="s">
        <v>2123</v>
      </c>
      <c r="B353" s="5">
        <v>2.7876831403483848E-4</v>
      </c>
      <c r="C353" s="5">
        <v>4713</v>
      </c>
      <c r="D353" s="5">
        <v>4713</v>
      </c>
      <c r="E353" s="5">
        <v>92.19560379168756</v>
      </c>
      <c r="F353" s="5">
        <v>2068</v>
      </c>
      <c r="G353" s="5">
        <v>2068</v>
      </c>
      <c r="H353" s="5">
        <v>40.166085419939463</v>
      </c>
      <c r="I353" s="1">
        <f t="shared" si="10"/>
        <v>6781</v>
      </c>
      <c r="J353" s="1">
        <f t="shared" si="11"/>
        <v>0.43098691124657978</v>
      </c>
      <c r="K353" s="6" t="s">
        <v>1509</v>
      </c>
    </row>
    <row r="354" spans="1:11">
      <c r="A354" s="5" t="s">
        <v>387</v>
      </c>
      <c r="B354" s="5">
        <v>6.1639576931116213E-4</v>
      </c>
      <c r="C354" s="5">
        <v>922</v>
      </c>
      <c r="D354" s="5">
        <v>5871</v>
      </c>
      <c r="E354" s="5">
        <v>87.873536401625785</v>
      </c>
      <c r="F354" s="5">
        <v>301</v>
      </c>
      <c r="G354" s="5">
        <v>2574</v>
      </c>
      <c r="H354" s="5">
        <v>38.251702267156375</v>
      </c>
      <c r="I354" s="1">
        <f t="shared" si="10"/>
        <v>8445</v>
      </c>
      <c r="J354" s="1">
        <f t="shared" si="11"/>
        <v>0.43040598828310639</v>
      </c>
      <c r="K354" s="6" t="s">
        <v>388</v>
      </c>
    </row>
    <row r="355" spans="1:11">
      <c r="A355" s="5" t="s">
        <v>1816</v>
      </c>
      <c r="B355" s="5">
        <v>0</v>
      </c>
      <c r="C355" s="5">
        <v>114791</v>
      </c>
      <c r="D355" s="5">
        <v>114851</v>
      </c>
      <c r="E355" s="5">
        <v>1181.0950358508101</v>
      </c>
      <c r="F355" s="5">
        <v>49772</v>
      </c>
      <c r="G355" s="5">
        <v>49797</v>
      </c>
      <c r="H355" s="5">
        <v>508.45139463065033</v>
      </c>
      <c r="I355" s="1">
        <f t="shared" si="10"/>
        <v>164648</v>
      </c>
      <c r="J355" s="1">
        <f t="shared" si="11"/>
        <v>0.43012734104300987</v>
      </c>
      <c r="K355" s="6" t="s">
        <v>513</v>
      </c>
    </row>
    <row r="356" spans="1:11">
      <c r="A356" s="5" t="s">
        <v>484</v>
      </c>
      <c r="B356" s="5">
        <v>0</v>
      </c>
      <c r="C356" s="5">
        <v>10129</v>
      </c>
      <c r="D356" s="5">
        <v>10129</v>
      </c>
      <c r="E356" s="5">
        <v>316.07488551360734</v>
      </c>
      <c r="F356" s="5">
        <v>4397</v>
      </c>
      <c r="G356" s="5">
        <v>4397</v>
      </c>
      <c r="H356" s="5">
        <v>136.23104367210934</v>
      </c>
      <c r="I356" s="1">
        <f t="shared" si="10"/>
        <v>14526</v>
      </c>
      <c r="J356" s="1">
        <f t="shared" si="11"/>
        <v>0.42964942950760115</v>
      </c>
      <c r="K356" s="6" t="s">
        <v>485</v>
      </c>
    </row>
    <row r="357" spans="1:11">
      <c r="A357" s="5" t="s">
        <v>174</v>
      </c>
      <c r="B357" s="5">
        <v>2.4026800651888447E-4</v>
      </c>
      <c r="C357" s="5">
        <v>1936</v>
      </c>
      <c r="D357" s="5">
        <v>1939</v>
      </c>
      <c r="E357" s="5">
        <v>92.564158326966592</v>
      </c>
      <c r="F357" s="5">
        <v>848</v>
      </c>
      <c r="G357" s="5">
        <v>848</v>
      </c>
      <c r="H357" s="5">
        <v>40.19361790918181</v>
      </c>
      <c r="I357" s="1">
        <f t="shared" si="10"/>
        <v>2787</v>
      </c>
      <c r="J357" s="1">
        <f t="shared" si="11"/>
        <v>0.42958349252416039</v>
      </c>
      <c r="K357" s="6" t="s">
        <v>175</v>
      </c>
    </row>
    <row r="358" spans="1:11">
      <c r="A358" s="5" t="s">
        <v>2053</v>
      </c>
      <c r="B358" s="5">
        <v>1.1264895492673066E-2</v>
      </c>
      <c r="C358" s="5">
        <v>205</v>
      </c>
      <c r="D358" s="5">
        <v>3623</v>
      </c>
      <c r="E358" s="5">
        <v>72.328986775524356</v>
      </c>
      <c r="F358" s="5">
        <v>97</v>
      </c>
      <c r="G358" s="5">
        <v>1586</v>
      </c>
      <c r="H358" s="5">
        <v>31.437169034609543</v>
      </c>
      <c r="I358" s="1">
        <f t="shared" si="10"/>
        <v>5209</v>
      </c>
      <c r="J358" s="1">
        <f t="shared" si="11"/>
        <v>0.42871407907006015</v>
      </c>
      <c r="K358" s="6" t="s">
        <v>1430</v>
      </c>
    </row>
    <row r="359" spans="1:11">
      <c r="A359" s="5" t="s">
        <v>827</v>
      </c>
      <c r="B359" s="5">
        <v>4.0816572149054431E-2</v>
      </c>
      <c r="C359" s="5">
        <v>3550</v>
      </c>
      <c r="D359" s="5">
        <v>3550</v>
      </c>
      <c r="E359" s="5">
        <v>65.6682712516305</v>
      </c>
      <c r="F359" s="5">
        <v>1556</v>
      </c>
      <c r="G359" s="5">
        <v>1556</v>
      </c>
      <c r="H359" s="5">
        <v>28.57807838013828</v>
      </c>
      <c r="I359" s="1">
        <f t="shared" si="10"/>
        <v>5106</v>
      </c>
      <c r="J359" s="1">
        <f t="shared" si="11"/>
        <v>0.42866085836055556</v>
      </c>
      <c r="K359" s="6" t="s">
        <v>828</v>
      </c>
    </row>
    <row r="360" spans="1:11">
      <c r="A360" s="5" t="s">
        <v>455</v>
      </c>
      <c r="B360" s="5">
        <v>3.5344929056663199E-3</v>
      </c>
      <c r="C360" s="5">
        <v>4051</v>
      </c>
      <c r="D360" s="5">
        <v>4060</v>
      </c>
      <c r="E360" s="5">
        <v>78.185060188643249</v>
      </c>
      <c r="F360" s="5">
        <v>1771</v>
      </c>
      <c r="G360" s="5">
        <v>1773</v>
      </c>
      <c r="H360" s="5">
        <v>33.900232506775218</v>
      </c>
      <c r="I360" s="1">
        <f t="shared" si="10"/>
        <v>5833</v>
      </c>
      <c r="J360" s="1">
        <f t="shared" si="11"/>
        <v>0.42811399556954816</v>
      </c>
      <c r="K360" s="6" t="s">
        <v>456</v>
      </c>
    </row>
    <row r="361" spans="1:11">
      <c r="A361" s="5" t="s">
        <v>1566</v>
      </c>
      <c r="B361" s="5">
        <v>4.0063222298547529E-5</v>
      </c>
      <c r="C361" s="5">
        <v>1964</v>
      </c>
      <c r="D361" s="5">
        <v>1999</v>
      </c>
      <c r="E361" s="5">
        <v>100.91690715476537</v>
      </c>
      <c r="F361" s="5">
        <v>856</v>
      </c>
      <c r="G361" s="5">
        <v>867</v>
      </c>
      <c r="H361" s="5">
        <v>43.457669764366578</v>
      </c>
      <c r="I361" s="1">
        <f t="shared" si="10"/>
        <v>2866</v>
      </c>
      <c r="J361" s="1">
        <f t="shared" si="11"/>
        <v>0.42640294900603848</v>
      </c>
      <c r="K361" s="6" t="s">
        <v>1567</v>
      </c>
    </row>
    <row r="362" spans="1:11">
      <c r="A362" s="5" t="s">
        <v>398</v>
      </c>
      <c r="B362" s="5">
        <v>1.1673569953962737E-4</v>
      </c>
      <c r="C362" s="5">
        <v>930</v>
      </c>
      <c r="D362" s="5">
        <v>2511</v>
      </c>
      <c r="E362" s="5">
        <v>95.294417594827365</v>
      </c>
      <c r="F362" s="5">
        <v>344</v>
      </c>
      <c r="G362" s="5">
        <v>1089</v>
      </c>
      <c r="H362" s="5">
        <v>41.034091939630578</v>
      </c>
      <c r="I362" s="1">
        <f t="shared" si="10"/>
        <v>3600</v>
      </c>
      <c r="J362" s="1">
        <f t="shared" si="11"/>
        <v>0.42613157610327351</v>
      </c>
      <c r="K362" s="6" t="s">
        <v>397</v>
      </c>
    </row>
    <row r="363" spans="1:11">
      <c r="A363" s="5" t="s">
        <v>168</v>
      </c>
      <c r="B363" s="5">
        <v>4.221808727859655E-2</v>
      </c>
      <c r="C363" s="5">
        <v>11955</v>
      </c>
      <c r="D363" s="5">
        <v>12003</v>
      </c>
      <c r="E363" s="5">
        <v>64.739380405355476</v>
      </c>
      <c r="F363" s="5">
        <v>5200</v>
      </c>
      <c r="G363" s="5">
        <v>5217</v>
      </c>
      <c r="H363" s="5">
        <v>27.938029349148902</v>
      </c>
      <c r="I363" s="1">
        <f t="shared" si="10"/>
        <v>17220</v>
      </c>
      <c r="J363" s="1">
        <f t="shared" si="11"/>
        <v>0.42498163470480355</v>
      </c>
      <c r="K363" s="6" t="s">
        <v>169</v>
      </c>
    </row>
    <row r="364" spans="1:11">
      <c r="A364" s="5" t="s">
        <v>2245</v>
      </c>
      <c r="B364" s="5">
        <v>0</v>
      </c>
      <c r="C364" s="5">
        <v>2617</v>
      </c>
      <c r="D364" s="5">
        <v>9583</v>
      </c>
      <c r="E364" s="5">
        <v>380.11698470325456</v>
      </c>
      <c r="F364" s="5">
        <v>1181</v>
      </c>
      <c r="G364" s="5">
        <v>4111</v>
      </c>
      <c r="H364" s="5">
        <v>161.90470295060314</v>
      </c>
      <c r="I364" s="1">
        <f t="shared" si="10"/>
        <v>13694</v>
      </c>
      <c r="J364" s="1">
        <f t="shared" si="11"/>
        <v>0.42481628856469211</v>
      </c>
      <c r="K364" s="6" t="s">
        <v>2246</v>
      </c>
    </row>
    <row r="365" spans="1:11">
      <c r="A365" s="5" t="s">
        <v>1075</v>
      </c>
      <c r="B365" s="5">
        <v>8.7231388778974406E-10</v>
      </c>
      <c r="C365" s="5">
        <v>3149</v>
      </c>
      <c r="D365" s="5">
        <v>3150</v>
      </c>
      <c r="E365" s="5">
        <v>155.84316777726897</v>
      </c>
      <c r="F365" s="5">
        <v>1355</v>
      </c>
      <c r="G365" s="5">
        <v>1355</v>
      </c>
      <c r="H365" s="5">
        <v>66.559907358826266</v>
      </c>
      <c r="I365" s="1">
        <f t="shared" si="10"/>
        <v>4505</v>
      </c>
      <c r="J365" s="1">
        <f t="shared" si="11"/>
        <v>0.42437237338477607</v>
      </c>
      <c r="K365" s="6" t="s">
        <v>1076</v>
      </c>
    </row>
    <row r="366" spans="1:11">
      <c r="A366" s="5" t="s">
        <v>1829</v>
      </c>
      <c r="B366" s="5">
        <v>1.4300227668684329E-10</v>
      </c>
      <c r="C366" s="5">
        <v>13290</v>
      </c>
      <c r="D366" s="5">
        <v>13290</v>
      </c>
      <c r="E366" s="5">
        <v>207.000778635111</v>
      </c>
      <c r="F366" s="5">
        <v>5704</v>
      </c>
      <c r="G366" s="5">
        <v>5704</v>
      </c>
      <c r="H366" s="5">
        <v>88.210993803234544</v>
      </c>
      <c r="I366" s="1">
        <f t="shared" si="10"/>
        <v>18994</v>
      </c>
      <c r="J366" s="1">
        <f t="shared" si="11"/>
        <v>0.42408972880808404</v>
      </c>
      <c r="K366" s="6" t="s">
        <v>1830</v>
      </c>
    </row>
    <row r="367" spans="1:11">
      <c r="A367" s="5" t="s">
        <v>973</v>
      </c>
      <c r="B367" s="5">
        <v>2.1856299106962074E-2</v>
      </c>
      <c r="C367" s="5">
        <v>10339</v>
      </c>
      <c r="D367" s="5">
        <v>10341</v>
      </c>
      <c r="E367" s="5">
        <v>67.885638377973549</v>
      </c>
      <c r="F367" s="5">
        <v>4481</v>
      </c>
      <c r="G367" s="5">
        <v>4481</v>
      </c>
      <c r="H367" s="5">
        <v>29.206970507514995</v>
      </c>
      <c r="I367" s="1">
        <f t="shared" si="10"/>
        <v>14822</v>
      </c>
      <c r="J367" s="1">
        <f t="shared" si="11"/>
        <v>0.42399215852885291</v>
      </c>
      <c r="K367" s="6" t="s">
        <v>44</v>
      </c>
    </row>
    <row r="368" spans="1:11">
      <c r="A368" s="5" t="s">
        <v>594</v>
      </c>
      <c r="B368" s="5">
        <v>1.0957846752862599E-3</v>
      </c>
      <c r="C368" s="5">
        <v>5723</v>
      </c>
      <c r="D368" s="5">
        <v>5723</v>
      </c>
      <c r="E368" s="5">
        <v>82.745432426516999</v>
      </c>
      <c r="F368" s="5">
        <v>2464</v>
      </c>
      <c r="G368" s="5">
        <v>2464</v>
      </c>
      <c r="H368" s="5">
        <v>35.371802178212455</v>
      </c>
      <c r="I368" s="1">
        <f t="shared" si="10"/>
        <v>8187</v>
      </c>
      <c r="J368" s="1">
        <f t="shared" si="11"/>
        <v>0.42237291220926804</v>
      </c>
      <c r="K368" s="6" t="s">
        <v>148</v>
      </c>
    </row>
    <row r="369" spans="1:11">
      <c r="A369" s="5" t="s">
        <v>2257</v>
      </c>
      <c r="B369" s="5">
        <v>2.4748145830194024E-2</v>
      </c>
      <c r="C369" s="5">
        <v>1986</v>
      </c>
      <c r="D369" s="5">
        <v>4904</v>
      </c>
      <c r="E369" s="5">
        <v>66.854374165608974</v>
      </c>
      <c r="F369" s="5">
        <v>895</v>
      </c>
      <c r="G369" s="5">
        <v>2116</v>
      </c>
      <c r="H369" s="5">
        <v>28.641201289738891</v>
      </c>
      <c r="I369" s="1">
        <f t="shared" si="10"/>
        <v>7020</v>
      </c>
      <c r="J369" s="1">
        <f t="shared" si="11"/>
        <v>0.42209808346084898</v>
      </c>
      <c r="K369" s="6" t="s">
        <v>2258</v>
      </c>
    </row>
    <row r="370" spans="1:11">
      <c r="A370" s="5" t="s">
        <v>1051</v>
      </c>
      <c r="B370" s="5">
        <v>2.5311402973571262E-9</v>
      </c>
      <c r="C370" s="5">
        <v>24942</v>
      </c>
      <c r="D370" s="5">
        <v>24943</v>
      </c>
      <c r="E370" s="5">
        <v>148.84140028039761</v>
      </c>
      <c r="F370" s="5">
        <v>10654</v>
      </c>
      <c r="G370" s="5">
        <v>10654</v>
      </c>
      <c r="H370" s="5">
        <v>63.122465389802926</v>
      </c>
      <c r="I370" s="1">
        <f t="shared" si="10"/>
        <v>35597</v>
      </c>
      <c r="J370" s="1">
        <f t="shared" si="11"/>
        <v>0.42126184933991617</v>
      </c>
      <c r="K370" s="6" t="s">
        <v>591</v>
      </c>
    </row>
    <row r="371" spans="1:11">
      <c r="A371" s="5" t="s">
        <v>1447</v>
      </c>
      <c r="B371" s="5">
        <v>6.0699213503268012E-5</v>
      </c>
      <c r="C371" s="5">
        <v>17503</v>
      </c>
      <c r="D371" s="5">
        <v>17579</v>
      </c>
      <c r="E371" s="5">
        <v>96.986436198723993</v>
      </c>
      <c r="F371" s="5">
        <v>7492</v>
      </c>
      <c r="G371" s="5">
        <v>7524</v>
      </c>
      <c r="H371" s="5">
        <v>41.21561855736838</v>
      </c>
      <c r="I371" s="1">
        <f t="shared" si="10"/>
        <v>25103</v>
      </c>
      <c r="J371" s="1">
        <f t="shared" si="11"/>
        <v>0.42062575348469611</v>
      </c>
      <c r="K371" s="6" t="s">
        <v>69</v>
      </c>
    </row>
    <row r="372" spans="1:11">
      <c r="A372" s="5" t="s">
        <v>1561</v>
      </c>
      <c r="B372" s="5">
        <v>0</v>
      </c>
      <c r="C372" s="5">
        <v>8043</v>
      </c>
      <c r="D372" s="5">
        <v>11885</v>
      </c>
      <c r="E372" s="5">
        <v>287.21075501651103</v>
      </c>
      <c r="F372" s="5">
        <v>3002</v>
      </c>
      <c r="G372" s="5">
        <v>5049</v>
      </c>
      <c r="H372" s="5">
        <v>121.14432746298009</v>
      </c>
      <c r="I372" s="1">
        <f t="shared" si="10"/>
        <v>16934</v>
      </c>
      <c r="J372" s="1">
        <f t="shared" si="11"/>
        <v>0.42033243157785688</v>
      </c>
      <c r="K372" s="6" t="s">
        <v>257</v>
      </c>
    </row>
    <row r="373" spans="1:11">
      <c r="A373" s="5" t="s">
        <v>1809</v>
      </c>
      <c r="B373" s="5">
        <v>1.0963507879324652E-10</v>
      </c>
      <c r="C373" s="5">
        <v>18632</v>
      </c>
      <c r="D373" s="5">
        <v>18648</v>
      </c>
      <c r="E373" s="5">
        <v>331.65055835476329</v>
      </c>
      <c r="F373" s="5">
        <v>7894</v>
      </c>
      <c r="G373" s="5">
        <v>7901</v>
      </c>
      <c r="H373" s="5">
        <v>139.51687307871958</v>
      </c>
      <c r="I373" s="1">
        <f t="shared" si="10"/>
        <v>26549</v>
      </c>
      <c r="J373" s="1">
        <f t="shared" si="11"/>
        <v>0.41940970659645915</v>
      </c>
      <c r="K373" s="6" t="s">
        <v>1810</v>
      </c>
    </row>
    <row r="374" spans="1:11">
      <c r="A374" s="5" t="s">
        <v>2117</v>
      </c>
      <c r="B374" s="5">
        <v>2.3833712781140548E-11</v>
      </c>
      <c r="C374" s="5">
        <v>22851</v>
      </c>
      <c r="D374" s="5">
        <v>22854</v>
      </c>
      <c r="E374" s="5">
        <v>215.92833620038999</v>
      </c>
      <c r="F374" s="5">
        <v>9691</v>
      </c>
      <c r="G374" s="5">
        <v>9692</v>
      </c>
      <c r="H374" s="5">
        <v>90.919496250245828</v>
      </c>
      <c r="I374" s="1">
        <f t="shared" si="10"/>
        <v>32546</v>
      </c>
      <c r="J374" s="1">
        <f t="shared" si="11"/>
        <v>0.41912226794685742</v>
      </c>
      <c r="K374" s="6" t="s">
        <v>2118</v>
      </c>
    </row>
    <row r="375" spans="1:11">
      <c r="A375" s="5" t="s">
        <v>1933</v>
      </c>
      <c r="B375" s="5">
        <v>1.4300227668684329E-10</v>
      </c>
      <c r="C375" s="5">
        <v>45159</v>
      </c>
      <c r="D375" s="5">
        <v>48971</v>
      </c>
      <c r="E375" s="5">
        <v>205.86061628750201</v>
      </c>
      <c r="F375" s="5">
        <v>11211</v>
      </c>
      <c r="G375" s="5">
        <v>20772</v>
      </c>
      <c r="H375" s="5">
        <v>86.697946293134365</v>
      </c>
      <c r="I375" s="1">
        <f t="shared" si="10"/>
        <v>69743</v>
      </c>
      <c r="J375" s="1">
        <f t="shared" si="11"/>
        <v>0.41911286860249208</v>
      </c>
      <c r="K375" s="6" t="s">
        <v>1146</v>
      </c>
    </row>
    <row r="376" spans="1:11">
      <c r="A376" s="5" t="s">
        <v>1111</v>
      </c>
      <c r="B376" s="5">
        <v>9.0698717314374733E-7</v>
      </c>
      <c r="C376" s="5">
        <v>6786</v>
      </c>
      <c r="D376" s="5">
        <v>6787</v>
      </c>
      <c r="E376" s="5">
        <v>117.85520179847825</v>
      </c>
      <c r="F376" s="5">
        <v>2887</v>
      </c>
      <c r="G376" s="5">
        <v>2889</v>
      </c>
      <c r="H376" s="5">
        <v>49.809782859016572</v>
      </c>
      <c r="I376" s="1">
        <f t="shared" si="10"/>
        <v>9676</v>
      </c>
      <c r="J376" s="1">
        <f t="shared" si="11"/>
        <v>0.41907953632075956</v>
      </c>
      <c r="K376" s="6" t="s">
        <v>881</v>
      </c>
    </row>
    <row r="377" spans="1:11">
      <c r="A377" s="5" t="s">
        <v>506</v>
      </c>
      <c r="B377" s="5">
        <v>3.8610614705447688E-10</v>
      </c>
      <c r="C377" s="5">
        <v>5581</v>
      </c>
      <c r="D377" s="5">
        <v>5581</v>
      </c>
      <c r="E377" s="5">
        <v>157.69780139798448</v>
      </c>
      <c r="F377" s="5">
        <v>2365</v>
      </c>
      <c r="G377" s="5">
        <v>2365</v>
      </c>
      <c r="H377" s="5">
        <v>66.350005170644678</v>
      </c>
      <c r="I377" s="1">
        <f t="shared" si="10"/>
        <v>7946</v>
      </c>
      <c r="J377" s="1">
        <f t="shared" si="11"/>
        <v>0.41809026077337547</v>
      </c>
      <c r="K377" s="6" t="s">
        <v>507</v>
      </c>
    </row>
    <row r="378" spans="1:11">
      <c r="A378" s="5" t="s">
        <v>219</v>
      </c>
      <c r="B378" s="5">
        <v>4.0082311195788201E-4</v>
      </c>
      <c r="C378" s="5">
        <v>5041</v>
      </c>
      <c r="D378" s="5">
        <v>5042</v>
      </c>
      <c r="E378" s="5">
        <v>86.668609644766235</v>
      </c>
      <c r="F378" s="5">
        <v>2147</v>
      </c>
      <c r="G378" s="5">
        <v>2147</v>
      </c>
      <c r="H378" s="5">
        <v>36.642680232390738</v>
      </c>
      <c r="I378" s="1">
        <f t="shared" si="10"/>
        <v>7189</v>
      </c>
      <c r="J378" s="1">
        <f t="shared" si="11"/>
        <v>0.41796807752360976</v>
      </c>
      <c r="K378" s="6" t="s">
        <v>220</v>
      </c>
    </row>
    <row r="379" spans="1:11">
      <c r="A379" s="5" t="s">
        <v>655</v>
      </c>
      <c r="B379" s="5">
        <v>1.0186676359041358E-2</v>
      </c>
      <c r="C379" s="5">
        <v>4316</v>
      </c>
      <c r="D379" s="5">
        <v>4317</v>
      </c>
      <c r="E379" s="5">
        <v>70.424845916021198</v>
      </c>
      <c r="F379" s="5">
        <v>1843</v>
      </c>
      <c r="G379" s="5">
        <v>1843</v>
      </c>
      <c r="H379" s="5">
        <v>29.851447297191434</v>
      </c>
      <c r="I379" s="1">
        <f t="shared" si="10"/>
        <v>6160</v>
      </c>
      <c r="J379" s="1">
        <f t="shared" si="11"/>
        <v>0.41794206083818097</v>
      </c>
      <c r="K379" s="6" t="s">
        <v>179</v>
      </c>
    </row>
    <row r="380" spans="1:11">
      <c r="A380" s="5" t="s">
        <v>840</v>
      </c>
      <c r="B380" s="5">
        <v>3.5343728790887541E-3</v>
      </c>
      <c r="C380" s="5">
        <v>2942</v>
      </c>
      <c r="D380" s="5">
        <v>2942</v>
      </c>
      <c r="E380" s="5">
        <v>75.665325345935415</v>
      </c>
      <c r="F380" s="5">
        <v>1254</v>
      </c>
      <c r="G380" s="5">
        <v>1254</v>
      </c>
      <c r="H380" s="5">
        <v>32.021964512435552</v>
      </c>
      <c r="I380" s="1">
        <f t="shared" si="10"/>
        <v>4196</v>
      </c>
      <c r="J380" s="1">
        <f t="shared" si="11"/>
        <v>0.41768510559295852</v>
      </c>
      <c r="K380" s="6" t="s">
        <v>841</v>
      </c>
    </row>
    <row r="381" spans="1:11">
      <c r="A381" s="5" t="s">
        <v>979</v>
      </c>
      <c r="B381" s="5">
        <v>3.7836495714316243E-7</v>
      </c>
      <c r="C381" s="5">
        <v>12361</v>
      </c>
      <c r="D381" s="5">
        <v>12363</v>
      </c>
      <c r="E381" s="5">
        <v>121.75390170296917</v>
      </c>
      <c r="F381" s="5">
        <v>5242</v>
      </c>
      <c r="G381" s="5">
        <v>5243</v>
      </c>
      <c r="H381" s="5">
        <v>51.266666093803963</v>
      </c>
      <c r="I381" s="1">
        <f t="shared" si="10"/>
        <v>17606</v>
      </c>
      <c r="J381" s="1">
        <f t="shared" si="11"/>
        <v>0.41763777267019386</v>
      </c>
      <c r="K381" s="6" t="s">
        <v>221</v>
      </c>
    </row>
    <row r="382" spans="1:11">
      <c r="A382" s="5" t="s">
        <v>588</v>
      </c>
      <c r="B382" s="5">
        <v>2.5247851188786585E-3</v>
      </c>
      <c r="C382" s="5">
        <v>4246</v>
      </c>
      <c r="D382" s="5">
        <v>4246</v>
      </c>
      <c r="E382" s="5">
        <v>77.333790125636142</v>
      </c>
      <c r="F382" s="5">
        <v>1809</v>
      </c>
      <c r="G382" s="5">
        <v>1809</v>
      </c>
      <c r="H382" s="5">
        <v>32.713278613427484</v>
      </c>
      <c r="I382" s="1">
        <f t="shared" si="10"/>
        <v>6055</v>
      </c>
      <c r="J382" s="1">
        <f t="shared" si="11"/>
        <v>0.41761388745469979</v>
      </c>
      <c r="K382" s="6" t="s">
        <v>221</v>
      </c>
    </row>
    <row r="383" spans="1:11">
      <c r="A383" s="5" t="s">
        <v>1914</v>
      </c>
      <c r="B383" s="5">
        <v>1.0243433567018734E-2</v>
      </c>
      <c r="C383" s="5">
        <v>14327</v>
      </c>
      <c r="D383" s="5">
        <v>17972</v>
      </c>
      <c r="E383" s="5">
        <v>70.182392807537084</v>
      </c>
      <c r="F383" s="5">
        <v>5939</v>
      </c>
      <c r="G383" s="5">
        <v>7655</v>
      </c>
      <c r="H383" s="5">
        <v>29.680632809289307</v>
      </c>
      <c r="I383" s="1">
        <f t="shared" si="10"/>
        <v>25627</v>
      </c>
      <c r="J383" s="1">
        <f t="shared" si="11"/>
        <v>0.41696593270669879</v>
      </c>
      <c r="K383" s="6" t="s">
        <v>1915</v>
      </c>
    </row>
    <row r="384" spans="1:11">
      <c r="A384" s="5" t="s">
        <v>1609</v>
      </c>
      <c r="B384" s="5">
        <v>3.2347906980839669E-3</v>
      </c>
      <c r="C384" s="5">
        <v>3549</v>
      </c>
      <c r="D384" s="5">
        <v>3549</v>
      </c>
      <c r="E384" s="5">
        <v>75.801268680780495</v>
      </c>
      <c r="F384" s="5">
        <v>1508</v>
      </c>
      <c r="G384" s="5">
        <v>1508</v>
      </c>
      <c r="H384" s="5">
        <v>31.979231037676904</v>
      </c>
      <c r="I384" s="1">
        <f t="shared" si="10"/>
        <v>5057</v>
      </c>
      <c r="J384" s="1">
        <f t="shared" si="11"/>
        <v>0.41638935901692598</v>
      </c>
      <c r="K384" s="6" t="s">
        <v>1442</v>
      </c>
    </row>
    <row r="385" spans="1:11">
      <c r="A385" s="5" t="s">
        <v>149</v>
      </c>
      <c r="B385" s="5">
        <v>1.7813316932624446E-8</v>
      </c>
      <c r="C385" s="5">
        <v>4641</v>
      </c>
      <c r="D385" s="5">
        <v>4646</v>
      </c>
      <c r="E385" s="5">
        <v>136.67131587173074</v>
      </c>
      <c r="F385" s="5">
        <v>1960</v>
      </c>
      <c r="G385" s="5">
        <v>1962</v>
      </c>
      <c r="H385" s="5">
        <v>57.305113019574691</v>
      </c>
      <c r="I385" s="1">
        <f t="shared" si="10"/>
        <v>6608</v>
      </c>
      <c r="J385" s="1">
        <f t="shared" si="11"/>
        <v>0.41624584363649314</v>
      </c>
      <c r="K385" s="6" t="s">
        <v>150</v>
      </c>
    </row>
    <row r="386" spans="1:11">
      <c r="A386" s="5" t="s">
        <v>898</v>
      </c>
      <c r="B386" s="5">
        <v>0</v>
      </c>
      <c r="C386" s="5">
        <v>4416</v>
      </c>
      <c r="D386" s="5">
        <v>4659</v>
      </c>
      <c r="E386" s="5">
        <v>451.15553891528316</v>
      </c>
      <c r="F386" s="5">
        <v>1885</v>
      </c>
      <c r="G386" s="5">
        <v>1957</v>
      </c>
      <c r="H386" s="5">
        <v>188.1570991468862</v>
      </c>
      <c r="I386" s="1">
        <f t="shared" ref="I386:I449" si="12">D386+G386</f>
        <v>6616</v>
      </c>
      <c r="J386" s="1">
        <f t="shared" ref="J386:J449" si="13">H386/(E386+1)</f>
        <v>0.4161335712004619</v>
      </c>
      <c r="K386" s="6" t="s">
        <v>91</v>
      </c>
    </row>
    <row r="387" spans="1:11">
      <c r="A387" s="5" t="s">
        <v>1467</v>
      </c>
      <c r="B387" s="5">
        <v>4.7370640353272542E-3</v>
      </c>
      <c r="C387" s="5">
        <v>9562</v>
      </c>
      <c r="D387" s="5">
        <v>9565</v>
      </c>
      <c r="E387" s="5">
        <v>73.835591118700236</v>
      </c>
      <c r="F387" s="5">
        <v>4060</v>
      </c>
      <c r="G387" s="5">
        <v>4063</v>
      </c>
      <c r="H387" s="5">
        <v>31.140372558561907</v>
      </c>
      <c r="I387" s="1">
        <f t="shared" si="12"/>
        <v>13628</v>
      </c>
      <c r="J387" s="1">
        <f t="shared" si="13"/>
        <v>0.41611714550592249</v>
      </c>
      <c r="K387" s="6" t="s">
        <v>1468</v>
      </c>
    </row>
    <row r="388" spans="1:11">
      <c r="A388" s="5" t="s">
        <v>1098</v>
      </c>
      <c r="B388" s="5">
        <v>3.8382170951811734E-3</v>
      </c>
      <c r="C388" s="5">
        <v>7945</v>
      </c>
      <c r="D388" s="5">
        <v>7947</v>
      </c>
      <c r="E388" s="5">
        <v>74.618194253209779</v>
      </c>
      <c r="F388" s="5">
        <v>3366</v>
      </c>
      <c r="G388" s="5">
        <v>3366</v>
      </c>
      <c r="H388" s="5">
        <v>31.379920111183708</v>
      </c>
      <c r="I388" s="1">
        <f t="shared" si="12"/>
        <v>11313</v>
      </c>
      <c r="J388" s="1">
        <f t="shared" si="13"/>
        <v>0.4149784376774075</v>
      </c>
      <c r="K388" s="6" t="s">
        <v>1099</v>
      </c>
    </row>
    <row r="389" spans="1:11">
      <c r="A389" s="5" t="s">
        <v>1853</v>
      </c>
      <c r="B389" s="5">
        <v>6.0970709522323308E-4</v>
      </c>
      <c r="C389" s="5">
        <v>3921</v>
      </c>
      <c r="D389" s="5">
        <v>3925</v>
      </c>
      <c r="E389" s="5">
        <v>83.635116639738328</v>
      </c>
      <c r="F389" s="5">
        <v>1657</v>
      </c>
      <c r="G389" s="5">
        <v>1658</v>
      </c>
      <c r="H389" s="5">
        <v>35.077588744672951</v>
      </c>
      <c r="I389" s="1">
        <f t="shared" si="12"/>
        <v>5583</v>
      </c>
      <c r="J389" s="1">
        <f t="shared" si="13"/>
        <v>0.41445667161995892</v>
      </c>
      <c r="K389" s="6" t="s">
        <v>1854</v>
      </c>
    </row>
    <row r="390" spans="1:11">
      <c r="A390" s="5" t="s">
        <v>393</v>
      </c>
      <c r="B390" s="5">
        <v>3.5588377514850222E-3</v>
      </c>
      <c r="C390" s="5">
        <v>616</v>
      </c>
      <c r="D390" s="5">
        <v>5212</v>
      </c>
      <c r="E390" s="5">
        <v>74.840226954863553</v>
      </c>
      <c r="F390" s="5">
        <v>251</v>
      </c>
      <c r="G390" s="5">
        <v>2204</v>
      </c>
      <c r="H390" s="5">
        <v>31.422336776862476</v>
      </c>
      <c r="I390" s="1">
        <f t="shared" si="12"/>
        <v>7416</v>
      </c>
      <c r="J390" s="1">
        <f t="shared" si="13"/>
        <v>0.41432282099529499</v>
      </c>
      <c r="K390" s="6" t="s">
        <v>39</v>
      </c>
    </row>
    <row r="391" spans="1:11">
      <c r="A391" s="5" t="s">
        <v>1213</v>
      </c>
      <c r="B391" s="5">
        <v>5.0050796840395151E-10</v>
      </c>
      <c r="C391" s="5">
        <v>28655</v>
      </c>
      <c r="D391" s="5">
        <v>42320</v>
      </c>
      <c r="E391" s="5">
        <v>1545.7145299600354</v>
      </c>
      <c r="F391" s="5">
        <v>12137</v>
      </c>
      <c r="G391" s="5">
        <v>17656</v>
      </c>
      <c r="H391" s="5">
        <v>640.28326444943184</v>
      </c>
      <c r="I391" s="1">
        <f t="shared" si="12"/>
        <v>59976</v>
      </c>
      <c r="J391" s="1">
        <f t="shared" si="13"/>
        <v>0.4139634380146256</v>
      </c>
      <c r="K391" s="6" t="s">
        <v>585</v>
      </c>
    </row>
    <row r="392" spans="1:11">
      <c r="A392" s="5" t="s">
        <v>2139</v>
      </c>
      <c r="B392" s="5">
        <v>1.9996526517870872E-2</v>
      </c>
      <c r="C392" s="5">
        <v>4057</v>
      </c>
      <c r="D392" s="5">
        <v>4057</v>
      </c>
      <c r="E392" s="5">
        <v>66.223070132603794</v>
      </c>
      <c r="F392" s="5">
        <v>1717</v>
      </c>
      <c r="G392" s="5">
        <v>1717</v>
      </c>
      <c r="H392" s="5">
        <v>27.827282594097088</v>
      </c>
      <c r="I392" s="1">
        <f t="shared" si="12"/>
        <v>5774</v>
      </c>
      <c r="J392" s="1">
        <f t="shared" si="13"/>
        <v>0.41395435434896338</v>
      </c>
      <c r="K392" s="6" t="s">
        <v>2140</v>
      </c>
    </row>
    <row r="393" spans="1:11">
      <c r="A393" s="5" t="s">
        <v>1908</v>
      </c>
      <c r="B393" s="5">
        <v>9.5334851124562192E-11</v>
      </c>
      <c r="C393" s="5">
        <v>875</v>
      </c>
      <c r="D393" s="5">
        <v>994</v>
      </c>
      <c r="E393" s="5">
        <v>160.99671168524745</v>
      </c>
      <c r="F393" s="5">
        <v>367</v>
      </c>
      <c r="G393" s="5">
        <v>416</v>
      </c>
      <c r="H393" s="5">
        <v>66.899081021347087</v>
      </c>
      <c r="I393" s="1">
        <f t="shared" si="12"/>
        <v>1410</v>
      </c>
      <c r="J393" s="1">
        <f t="shared" si="13"/>
        <v>0.41296567273124091</v>
      </c>
      <c r="K393" s="6" t="s">
        <v>1569</v>
      </c>
    </row>
    <row r="394" spans="1:11">
      <c r="A394" s="5" t="s">
        <v>1408</v>
      </c>
      <c r="B394" s="5">
        <v>0</v>
      </c>
      <c r="C394" s="5">
        <v>18475</v>
      </c>
      <c r="D394" s="5">
        <v>18475</v>
      </c>
      <c r="E394" s="5">
        <v>511.932689547336</v>
      </c>
      <c r="F394" s="5">
        <v>7687</v>
      </c>
      <c r="G394" s="5">
        <v>7687</v>
      </c>
      <c r="H394" s="5">
        <v>211.48593827418526</v>
      </c>
      <c r="I394" s="1">
        <f t="shared" si="12"/>
        <v>26162</v>
      </c>
      <c r="J394" s="1">
        <f t="shared" si="13"/>
        <v>0.4123073896125084</v>
      </c>
      <c r="K394" s="6" t="s">
        <v>1409</v>
      </c>
    </row>
    <row r="395" spans="1:11">
      <c r="A395" s="5" t="s">
        <v>845</v>
      </c>
      <c r="B395" s="5">
        <v>2.2575293542342334E-2</v>
      </c>
      <c r="C395" s="5">
        <v>3973</v>
      </c>
      <c r="D395" s="5">
        <v>3973</v>
      </c>
      <c r="E395" s="5">
        <v>65.28270417692265</v>
      </c>
      <c r="F395" s="5">
        <v>1675</v>
      </c>
      <c r="G395" s="5">
        <v>1675</v>
      </c>
      <c r="H395" s="5">
        <v>27.326913495516116</v>
      </c>
      <c r="I395" s="1">
        <f t="shared" si="12"/>
        <v>5648</v>
      </c>
      <c r="J395" s="1">
        <f t="shared" si="13"/>
        <v>0.41227819285367062</v>
      </c>
      <c r="K395" s="6" t="s">
        <v>672</v>
      </c>
    </row>
    <row r="396" spans="1:11">
      <c r="A396" s="5" t="s">
        <v>1220</v>
      </c>
      <c r="B396" s="5">
        <v>3.8587192338715437E-2</v>
      </c>
      <c r="C396" s="5">
        <v>2901</v>
      </c>
      <c r="D396" s="5">
        <v>2901</v>
      </c>
      <c r="E396" s="5">
        <v>62.599742292466679</v>
      </c>
      <c r="F396" s="5">
        <v>1223</v>
      </c>
      <c r="G396" s="5">
        <v>1223</v>
      </c>
      <c r="H396" s="5">
        <v>26.202786217764551</v>
      </c>
      <c r="I396" s="1">
        <f t="shared" si="12"/>
        <v>4124</v>
      </c>
      <c r="J396" s="1">
        <f t="shared" si="13"/>
        <v>0.41199516339656994</v>
      </c>
      <c r="K396" s="6" t="s">
        <v>2</v>
      </c>
    </row>
    <row r="397" spans="1:11">
      <c r="A397" s="5" t="s">
        <v>1036</v>
      </c>
      <c r="B397" s="5">
        <v>1.6492929244549259E-9</v>
      </c>
      <c r="C397" s="5">
        <v>5001</v>
      </c>
      <c r="D397" s="5">
        <v>5005</v>
      </c>
      <c r="E397" s="5">
        <v>146.28315008571673</v>
      </c>
      <c r="F397" s="5">
        <v>2085</v>
      </c>
      <c r="G397" s="5">
        <v>2086</v>
      </c>
      <c r="H397" s="5">
        <v>60.534188697453743</v>
      </c>
      <c r="I397" s="1">
        <f t="shared" si="12"/>
        <v>7091</v>
      </c>
      <c r="J397" s="1">
        <f t="shared" si="13"/>
        <v>0.41100552685235003</v>
      </c>
      <c r="K397" s="6" t="s">
        <v>1037</v>
      </c>
    </row>
    <row r="398" spans="1:11">
      <c r="A398" s="5" t="s">
        <v>1867</v>
      </c>
      <c r="B398" s="5">
        <v>0</v>
      </c>
      <c r="C398" s="5">
        <v>8507</v>
      </c>
      <c r="D398" s="5">
        <v>25013</v>
      </c>
      <c r="E398" s="5">
        <v>721.76196723966268</v>
      </c>
      <c r="F398" s="5">
        <v>4256</v>
      </c>
      <c r="G398" s="5">
        <v>10346</v>
      </c>
      <c r="H398" s="5">
        <v>296.41275261407935</v>
      </c>
      <c r="I398" s="1">
        <f t="shared" si="12"/>
        <v>35359</v>
      </c>
      <c r="J398" s="1">
        <f t="shared" si="13"/>
        <v>0.41011116529294495</v>
      </c>
      <c r="K398" s="6" t="s">
        <v>1482</v>
      </c>
    </row>
    <row r="399" spans="1:11">
      <c r="A399" s="5" t="s">
        <v>1179</v>
      </c>
      <c r="B399" s="5">
        <v>0</v>
      </c>
      <c r="C399" s="5">
        <v>10620</v>
      </c>
      <c r="D399" s="5">
        <v>10620</v>
      </c>
      <c r="E399" s="5">
        <v>400.8013310380328</v>
      </c>
      <c r="F399" s="5">
        <v>4397</v>
      </c>
      <c r="G399" s="5">
        <v>4397</v>
      </c>
      <c r="H399" s="5">
        <v>164.76209442729453</v>
      </c>
      <c r="I399" s="1">
        <f t="shared" si="12"/>
        <v>15017</v>
      </c>
      <c r="J399" s="1">
        <f t="shared" si="13"/>
        <v>0.41005860782402148</v>
      </c>
      <c r="K399" s="6" t="s">
        <v>1180</v>
      </c>
    </row>
    <row r="400" spans="1:11">
      <c r="A400" s="5" t="s">
        <v>1518</v>
      </c>
      <c r="B400" s="5">
        <v>4.2924701906782436E-3</v>
      </c>
      <c r="C400" s="5">
        <v>494</v>
      </c>
      <c r="D400" s="5">
        <v>5460</v>
      </c>
      <c r="E400" s="5">
        <v>72.650604701383742</v>
      </c>
      <c r="F400" s="5">
        <v>152</v>
      </c>
      <c r="G400" s="5">
        <v>2279</v>
      </c>
      <c r="H400" s="5">
        <v>30.108361092727574</v>
      </c>
      <c r="I400" s="1">
        <f t="shared" si="12"/>
        <v>7739</v>
      </c>
      <c r="J400" s="1">
        <f t="shared" si="13"/>
        <v>0.40879991705162333</v>
      </c>
      <c r="K400" s="6" t="s">
        <v>1315</v>
      </c>
    </row>
    <row r="401" spans="1:11">
      <c r="A401" s="5" t="s">
        <v>138</v>
      </c>
      <c r="B401" s="5">
        <v>5.0730926107483976E-3</v>
      </c>
      <c r="C401" s="5">
        <v>10354</v>
      </c>
      <c r="D401" s="5">
        <v>10354</v>
      </c>
      <c r="E401" s="5">
        <v>71.63481066121129</v>
      </c>
      <c r="F401" s="5">
        <v>4313</v>
      </c>
      <c r="G401" s="5">
        <v>4313</v>
      </c>
      <c r="H401" s="5">
        <v>29.627268601705829</v>
      </c>
      <c r="I401" s="1">
        <f t="shared" si="12"/>
        <v>14667</v>
      </c>
      <c r="J401" s="1">
        <f t="shared" si="13"/>
        <v>0.40789352009046392</v>
      </c>
      <c r="K401" s="6" t="s">
        <v>139</v>
      </c>
    </row>
    <row r="402" spans="1:11">
      <c r="A402" s="5" t="s">
        <v>1108</v>
      </c>
      <c r="B402" s="5">
        <v>4.2900683006052986E-11</v>
      </c>
      <c r="C402" s="5">
        <v>17563</v>
      </c>
      <c r="D402" s="5">
        <v>17565</v>
      </c>
      <c r="E402" s="5">
        <v>182.07853461578247</v>
      </c>
      <c r="F402" s="5">
        <v>7254</v>
      </c>
      <c r="G402" s="5">
        <v>7255</v>
      </c>
      <c r="H402" s="5">
        <v>74.669666586134326</v>
      </c>
      <c r="I402" s="1">
        <f t="shared" si="12"/>
        <v>24820</v>
      </c>
      <c r="J402" s="1">
        <f t="shared" si="13"/>
        <v>0.40785593320833446</v>
      </c>
      <c r="K402" s="6" t="s">
        <v>1109</v>
      </c>
    </row>
    <row r="403" spans="1:11">
      <c r="A403" s="5" t="s">
        <v>1841</v>
      </c>
      <c r="B403" s="5">
        <v>5.0107771664470446E-3</v>
      </c>
      <c r="C403" s="5">
        <v>5311</v>
      </c>
      <c r="D403" s="5">
        <v>5366</v>
      </c>
      <c r="E403" s="5">
        <v>71.645083268852744</v>
      </c>
      <c r="F403" s="5">
        <v>2223</v>
      </c>
      <c r="G403" s="5">
        <v>2234</v>
      </c>
      <c r="H403" s="5">
        <v>29.615228797420897</v>
      </c>
      <c r="I403" s="1">
        <f t="shared" si="12"/>
        <v>7600</v>
      </c>
      <c r="J403" s="1">
        <f t="shared" si="13"/>
        <v>0.40767010601140991</v>
      </c>
      <c r="K403" s="6" t="s">
        <v>481</v>
      </c>
    </row>
    <row r="404" spans="1:11">
      <c r="A404" s="5" t="s">
        <v>270</v>
      </c>
      <c r="B404" s="5">
        <v>0</v>
      </c>
      <c r="C404" s="5">
        <v>3263</v>
      </c>
      <c r="D404" s="5">
        <v>3263</v>
      </c>
      <c r="E404" s="5">
        <v>169.12105279000804</v>
      </c>
      <c r="F404" s="5">
        <v>1347</v>
      </c>
      <c r="G404" s="5">
        <v>1347</v>
      </c>
      <c r="H404" s="5">
        <v>69.317740104426562</v>
      </c>
      <c r="I404" s="1">
        <f t="shared" si="12"/>
        <v>4610</v>
      </c>
      <c r="J404" s="1">
        <f t="shared" si="13"/>
        <v>0.40746126929975063</v>
      </c>
      <c r="K404" s="6" t="s">
        <v>271</v>
      </c>
    </row>
    <row r="405" spans="1:11">
      <c r="A405" s="5" t="s">
        <v>556</v>
      </c>
      <c r="B405" s="5">
        <v>2.5681778870190186E-6</v>
      </c>
      <c r="C405" s="5">
        <v>6637</v>
      </c>
      <c r="D405" s="5">
        <v>6637</v>
      </c>
      <c r="E405" s="5">
        <v>108.46696362948737</v>
      </c>
      <c r="F405" s="5">
        <v>2747</v>
      </c>
      <c r="G405" s="5">
        <v>2747</v>
      </c>
      <c r="H405" s="5">
        <v>44.573888737334826</v>
      </c>
      <c r="I405" s="1">
        <f t="shared" si="12"/>
        <v>9384</v>
      </c>
      <c r="J405" s="1">
        <f t="shared" si="13"/>
        <v>0.40719032719500642</v>
      </c>
      <c r="K405" s="6" t="s">
        <v>557</v>
      </c>
    </row>
    <row r="406" spans="1:11">
      <c r="A406" s="5" t="s">
        <v>338</v>
      </c>
      <c r="B406" s="5">
        <v>8.6182705416604222E-9</v>
      </c>
      <c r="C406" s="5">
        <v>3641</v>
      </c>
      <c r="D406" s="5">
        <v>3641</v>
      </c>
      <c r="E406" s="5">
        <v>136.27813175798346</v>
      </c>
      <c r="F406" s="5">
        <v>1503</v>
      </c>
      <c r="G406" s="5">
        <v>1503</v>
      </c>
      <c r="H406" s="5">
        <v>55.854822089640727</v>
      </c>
      <c r="I406" s="1">
        <f t="shared" si="12"/>
        <v>5144</v>
      </c>
      <c r="J406" s="1">
        <f t="shared" si="13"/>
        <v>0.40687341366293378</v>
      </c>
      <c r="K406" s="6" t="s">
        <v>339</v>
      </c>
    </row>
    <row r="407" spans="1:11">
      <c r="A407" s="5" t="s">
        <v>517</v>
      </c>
      <c r="B407" s="5">
        <v>2.6312418910379165E-9</v>
      </c>
      <c r="C407" s="5">
        <v>7886</v>
      </c>
      <c r="D407" s="5">
        <v>7886</v>
      </c>
      <c r="E407" s="5">
        <v>142.20256694759459</v>
      </c>
      <c r="F407" s="5">
        <v>3253</v>
      </c>
      <c r="G407" s="5">
        <v>3253</v>
      </c>
      <c r="H407" s="5">
        <v>58.241282074365138</v>
      </c>
      <c r="I407" s="1">
        <f t="shared" si="12"/>
        <v>11139</v>
      </c>
      <c r="J407" s="1">
        <f t="shared" si="13"/>
        <v>0.40670557320162221</v>
      </c>
      <c r="K407" s="6" t="s">
        <v>17</v>
      </c>
    </row>
    <row r="408" spans="1:11">
      <c r="A408" s="5" t="s">
        <v>180</v>
      </c>
      <c r="B408" s="5">
        <v>6.6257721531570724E-10</v>
      </c>
      <c r="C408" s="5">
        <v>6157</v>
      </c>
      <c r="D408" s="5">
        <v>6157</v>
      </c>
      <c r="E408" s="5">
        <v>149.31938748905154</v>
      </c>
      <c r="F408" s="5">
        <v>2537</v>
      </c>
      <c r="G408" s="5">
        <v>2537</v>
      </c>
      <c r="H408" s="5">
        <v>61.089098100478346</v>
      </c>
      <c r="I408" s="1">
        <f t="shared" si="12"/>
        <v>8694</v>
      </c>
      <c r="J408" s="1">
        <f t="shared" si="13"/>
        <v>0.40639533676205108</v>
      </c>
      <c r="K408" s="6" t="s">
        <v>181</v>
      </c>
    </row>
    <row r="409" spans="1:11">
      <c r="A409" s="5" t="s">
        <v>2026</v>
      </c>
      <c r="B409" s="5">
        <v>5.4381573122430638E-6</v>
      </c>
      <c r="C409" s="5">
        <v>23551</v>
      </c>
      <c r="D409" s="5">
        <v>23556</v>
      </c>
      <c r="E409" s="5">
        <v>104.42742391083087</v>
      </c>
      <c r="F409" s="5">
        <v>9723</v>
      </c>
      <c r="G409" s="5">
        <v>9726</v>
      </c>
      <c r="H409" s="5">
        <v>42.809828127071135</v>
      </c>
      <c r="I409" s="1">
        <f t="shared" si="12"/>
        <v>33282</v>
      </c>
      <c r="J409" s="1">
        <f t="shared" si="13"/>
        <v>0.40605970001959951</v>
      </c>
      <c r="K409" s="6" t="s">
        <v>2027</v>
      </c>
    </row>
    <row r="410" spans="1:11">
      <c r="A410" s="5" t="s">
        <v>2052</v>
      </c>
      <c r="B410" s="5">
        <v>7.5564440545433653E-3</v>
      </c>
      <c r="C410" s="5">
        <v>5768</v>
      </c>
      <c r="D410" s="5">
        <v>5783</v>
      </c>
      <c r="E410" s="5">
        <v>69.260363792584755</v>
      </c>
      <c r="F410" s="5">
        <v>2396</v>
      </c>
      <c r="G410" s="5">
        <v>2398</v>
      </c>
      <c r="H410" s="5">
        <v>28.515234985043648</v>
      </c>
      <c r="I410" s="1">
        <f t="shared" si="12"/>
        <v>8181</v>
      </c>
      <c r="J410" s="1">
        <f t="shared" si="13"/>
        <v>0.40585094419982398</v>
      </c>
      <c r="K410" s="6" t="s">
        <v>643</v>
      </c>
    </row>
    <row r="411" spans="1:11">
      <c r="A411" s="5" t="s">
        <v>1241</v>
      </c>
      <c r="B411" s="5">
        <v>4.3341558548404269E-4</v>
      </c>
      <c r="C411" s="5">
        <v>2902</v>
      </c>
      <c r="D411" s="5">
        <v>2902</v>
      </c>
      <c r="E411" s="5">
        <v>83.034159561129982</v>
      </c>
      <c r="F411" s="5">
        <v>1200</v>
      </c>
      <c r="G411" s="5">
        <v>1200</v>
      </c>
      <c r="H411" s="5">
        <v>34.090771692508831</v>
      </c>
      <c r="I411" s="1">
        <f t="shared" si="12"/>
        <v>4102</v>
      </c>
      <c r="J411" s="1">
        <f t="shared" si="13"/>
        <v>0.40567754673276374</v>
      </c>
      <c r="K411" s="6" t="s">
        <v>460</v>
      </c>
    </row>
    <row r="412" spans="1:11">
      <c r="A412" s="5" t="s">
        <v>877</v>
      </c>
      <c r="B412" s="5">
        <v>6.1967653230965425E-11</v>
      </c>
      <c r="C412" s="5">
        <v>14194</v>
      </c>
      <c r="D412" s="5">
        <v>14196</v>
      </c>
      <c r="E412" s="5">
        <v>239.48125554696676</v>
      </c>
      <c r="F412" s="5">
        <v>5823</v>
      </c>
      <c r="G412" s="5">
        <v>5823</v>
      </c>
      <c r="H412" s="5">
        <v>97.532313469089914</v>
      </c>
      <c r="I412" s="1">
        <f t="shared" si="12"/>
        <v>20019</v>
      </c>
      <c r="J412" s="1">
        <f t="shared" si="13"/>
        <v>0.40557137497995782</v>
      </c>
      <c r="K412" s="6" t="s">
        <v>24</v>
      </c>
    </row>
    <row r="413" spans="1:11">
      <c r="A413" s="5" t="s">
        <v>163</v>
      </c>
      <c r="B413" s="5">
        <v>1.2018641326017598E-2</v>
      </c>
      <c r="C413" s="5">
        <v>7041</v>
      </c>
      <c r="D413" s="5">
        <v>7042</v>
      </c>
      <c r="E413" s="5">
        <v>66.952422339593852</v>
      </c>
      <c r="F413" s="5">
        <v>2919</v>
      </c>
      <c r="G413" s="5">
        <v>2919</v>
      </c>
      <c r="H413" s="5">
        <v>27.555009726438982</v>
      </c>
      <c r="I413" s="1">
        <f t="shared" si="12"/>
        <v>9961</v>
      </c>
      <c r="J413" s="1">
        <f t="shared" si="13"/>
        <v>0.40550445116926315</v>
      </c>
      <c r="K413" s="6" t="s">
        <v>159</v>
      </c>
    </row>
    <row r="414" spans="1:11">
      <c r="A414" s="5" t="s">
        <v>374</v>
      </c>
      <c r="B414" s="5">
        <v>0</v>
      </c>
      <c r="C414" s="5">
        <v>13639</v>
      </c>
      <c r="D414" s="5">
        <v>13642</v>
      </c>
      <c r="E414" s="5">
        <v>366.08336374867002</v>
      </c>
      <c r="F414" s="5">
        <v>5580</v>
      </c>
      <c r="G414" s="5">
        <v>5583</v>
      </c>
      <c r="H414" s="5">
        <v>148.75301464470104</v>
      </c>
      <c r="I414" s="1">
        <f t="shared" si="12"/>
        <v>19225</v>
      </c>
      <c r="J414" s="1">
        <f t="shared" si="13"/>
        <v>0.40522951823702741</v>
      </c>
      <c r="K414" s="6" t="s">
        <v>375</v>
      </c>
    </row>
    <row r="415" spans="1:11">
      <c r="A415" s="5" t="s">
        <v>1763</v>
      </c>
      <c r="B415" s="5">
        <v>0</v>
      </c>
      <c r="C415" s="5">
        <v>9204</v>
      </c>
      <c r="D415" s="5">
        <v>9204</v>
      </c>
      <c r="E415" s="5">
        <v>229.97923941349748</v>
      </c>
      <c r="F415" s="5">
        <v>3769</v>
      </c>
      <c r="G415" s="5">
        <v>3769</v>
      </c>
      <c r="H415" s="5">
        <v>93.504897996726015</v>
      </c>
      <c r="I415" s="1">
        <f t="shared" si="12"/>
        <v>12973</v>
      </c>
      <c r="J415" s="1">
        <f t="shared" si="13"/>
        <v>0.40481949041893839</v>
      </c>
      <c r="K415" s="6" t="s">
        <v>53</v>
      </c>
    </row>
    <row r="416" spans="1:11">
      <c r="A416" s="5" t="s">
        <v>2035</v>
      </c>
      <c r="B416" s="5">
        <v>0</v>
      </c>
      <c r="C416" s="5">
        <v>14212</v>
      </c>
      <c r="D416" s="5">
        <v>23970</v>
      </c>
      <c r="E416" s="5">
        <v>448.58374323521883</v>
      </c>
      <c r="F416" s="5">
        <v>4886</v>
      </c>
      <c r="G416" s="5">
        <v>9785</v>
      </c>
      <c r="H416" s="5">
        <v>181.81617902432953</v>
      </c>
      <c r="I416" s="1">
        <f t="shared" si="12"/>
        <v>33755</v>
      </c>
      <c r="J416" s="1">
        <f t="shared" si="13"/>
        <v>0.40441003875267945</v>
      </c>
      <c r="K416" s="6" t="s">
        <v>2013</v>
      </c>
    </row>
    <row r="417" spans="1:11">
      <c r="A417" s="5" t="s">
        <v>768</v>
      </c>
      <c r="B417" s="5">
        <v>1.4750096528881596E-3</v>
      </c>
      <c r="C417" s="5">
        <v>5010</v>
      </c>
      <c r="D417" s="5">
        <v>5015</v>
      </c>
      <c r="E417" s="5">
        <v>76.793314489669982</v>
      </c>
      <c r="F417" s="5">
        <v>2062</v>
      </c>
      <c r="G417" s="5">
        <v>2069</v>
      </c>
      <c r="H417" s="5">
        <v>31.456410667249358</v>
      </c>
      <c r="I417" s="1">
        <f t="shared" si="12"/>
        <v>7084</v>
      </c>
      <c r="J417" s="1">
        <f t="shared" si="13"/>
        <v>0.40435879192968943</v>
      </c>
      <c r="K417" s="6" t="s">
        <v>769</v>
      </c>
    </row>
    <row r="418" spans="1:11">
      <c r="A418" s="5" t="s">
        <v>1801</v>
      </c>
      <c r="B418" s="5">
        <v>0</v>
      </c>
      <c r="C418" s="5">
        <v>26474</v>
      </c>
      <c r="D418" s="5">
        <v>26475</v>
      </c>
      <c r="E418" s="5">
        <v>240.0545137649099</v>
      </c>
      <c r="F418" s="5">
        <v>10818</v>
      </c>
      <c r="G418" s="5">
        <v>10820</v>
      </c>
      <c r="H418" s="5">
        <v>97.408615010832833</v>
      </c>
      <c r="I418" s="1">
        <f t="shared" si="12"/>
        <v>37295</v>
      </c>
      <c r="J418" s="1">
        <f t="shared" si="13"/>
        <v>0.40409371925651333</v>
      </c>
      <c r="K418" s="6" t="s">
        <v>1802</v>
      </c>
    </row>
    <row r="419" spans="1:11">
      <c r="A419" s="5" t="s">
        <v>1088</v>
      </c>
      <c r="B419" s="5">
        <v>4.6023794097960202E-4</v>
      </c>
      <c r="C419" s="5">
        <v>4051</v>
      </c>
      <c r="D419" s="5">
        <v>4053</v>
      </c>
      <c r="E419" s="5">
        <v>82.302250047547773</v>
      </c>
      <c r="F419" s="5">
        <v>1669</v>
      </c>
      <c r="G419" s="5">
        <v>1669</v>
      </c>
      <c r="H419" s="5">
        <v>33.650199350131949</v>
      </c>
      <c r="I419" s="1">
        <f t="shared" si="12"/>
        <v>5722</v>
      </c>
      <c r="J419" s="1">
        <f t="shared" si="13"/>
        <v>0.40395306646488999</v>
      </c>
      <c r="K419" s="6" t="s">
        <v>49</v>
      </c>
    </row>
    <row r="420" spans="1:11">
      <c r="A420" s="5" t="s">
        <v>1862</v>
      </c>
      <c r="B420" s="5">
        <v>0</v>
      </c>
      <c r="C420" s="5">
        <v>27159</v>
      </c>
      <c r="D420" s="5">
        <v>28631</v>
      </c>
      <c r="E420" s="5">
        <v>507.86824675545694</v>
      </c>
      <c r="F420" s="5">
        <v>11229</v>
      </c>
      <c r="G420" s="5">
        <v>11668</v>
      </c>
      <c r="H420" s="5">
        <v>205.49779390856776</v>
      </c>
      <c r="I420" s="1">
        <f t="shared" si="12"/>
        <v>40299</v>
      </c>
      <c r="J420" s="1">
        <f t="shared" si="13"/>
        <v>0.40383300632102975</v>
      </c>
      <c r="K420" s="6" t="s">
        <v>1390</v>
      </c>
    </row>
    <row r="421" spans="1:11">
      <c r="A421" s="5" t="s">
        <v>1948</v>
      </c>
      <c r="B421" s="5">
        <v>2.8600455337368658E-11</v>
      </c>
      <c r="C421" s="5">
        <v>70672</v>
      </c>
      <c r="D421" s="5">
        <v>70885</v>
      </c>
      <c r="E421" s="5">
        <v>1206.2734886566884</v>
      </c>
      <c r="F421" s="5">
        <v>28712</v>
      </c>
      <c r="G421" s="5">
        <v>28791</v>
      </c>
      <c r="H421" s="5">
        <v>486.4569235026421</v>
      </c>
      <c r="I421" s="1">
        <f t="shared" si="12"/>
        <v>99676</v>
      </c>
      <c r="J421" s="1">
        <f t="shared" si="13"/>
        <v>0.40293846263775246</v>
      </c>
      <c r="K421" s="6" t="s">
        <v>1242</v>
      </c>
    </row>
    <row r="422" spans="1:11">
      <c r="A422" s="5" t="s">
        <v>924</v>
      </c>
      <c r="B422" s="5">
        <v>4.6241216189457646E-6</v>
      </c>
      <c r="C422" s="5">
        <v>3333</v>
      </c>
      <c r="D422" s="5">
        <v>3335</v>
      </c>
      <c r="E422" s="5">
        <v>104.06849078762765</v>
      </c>
      <c r="F422" s="5">
        <v>1364</v>
      </c>
      <c r="G422" s="5">
        <v>1365</v>
      </c>
      <c r="H422" s="5">
        <v>42.291420198414656</v>
      </c>
      <c r="I422" s="1">
        <f t="shared" si="12"/>
        <v>4700</v>
      </c>
      <c r="J422" s="1">
        <f t="shared" si="13"/>
        <v>0.40251287404420094</v>
      </c>
      <c r="K422" s="6" t="s">
        <v>39</v>
      </c>
    </row>
    <row r="423" spans="1:11">
      <c r="A423" s="5" t="s">
        <v>775</v>
      </c>
      <c r="B423" s="5">
        <v>9.0568108568334083E-11</v>
      </c>
      <c r="C423" s="5">
        <v>15140</v>
      </c>
      <c r="D423" s="5">
        <v>15140</v>
      </c>
      <c r="E423" s="5">
        <v>319.35672648734311</v>
      </c>
      <c r="F423" s="5">
        <v>6141</v>
      </c>
      <c r="G423" s="5">
        <v>6141</v>
      </c>
      <c r="H423" s="5">
        <v>128.61318407265864</v>
      </c>
      <c r="I423" s="1">
        <f t="shared" si="12"/>
        <v>21281</v>
      </c>
      <c r="J423" s="1">
        <f t="shared" si="13"/>
        <v>0.40146865490505002</v>
      </c>
      <c r="K423" s="6" t="s">
        <v>776</v>
      </c>
    </row>
    <row r="424" spans="1:11">
      <c r="A424" s="5" t="s">
        <v>1199</v>
      </c>
      <c r="B424" s="5">
        <v>0</v>
      </c>
      <c r="C424" s="5">
        <v>15267</v>
      </c>
      <c r="D424" s="5">
        <v>15273</v>
      </c>
      <c r="E424" s="5">
        <v>329.5711354818489</v>
      </c>
      <c r="F424" s="5">
        <v>6193</v>
      </c>
      <c r="G424" s="5">
        <v>6193</v>
      </c>
      <c r="H424" s="5">
        <v>132.68508180426483</v>
      </c>
      <c r="I424" s="1">
        <f t="shared" si="12"/>
        <v>21466</v>
      </c>
      <c r="J424" s="1">
        <f t="shared" si="13"/>
        <v>0.40138132934945958</v>
      </c>
      <c r="K424" s="6" t="s">
        <v>79</v>
      </c>
    </row>
    <row r="425" spans="1:11">
      <c r="A425" s="5" t="s">
        <v>722</v>
      </c>
      <c r="B425" s="5">
        <v>1.527078224722811E-2</v>
      </c>
      <c r="C425" s="5">
        <v>2914</v>
      </c>
      <c r="D425" s="5">
        <v>2914</v>
      </c>
      <c r="E425" s="5">
        <v>64.887082065993553</v>
      </c>
      <c r="F425" s="5">
        <v>1195</v>
      </c>
      <c r="G425" s="5">
        <v>1195</v>
      </c>
      <c r="H425" s="5">
        <v>26.4199993426713</v>
      </c>
      <c r="I425" s="1">
        <f t="shared" si="12"/>
        <v>4109</v>
      </c>
      <c r="J425" s="1">
        <f t="shared" si="13"/>
        <v>0.40098906362568321</v>
      </c>
      <c r="K425" s="6" t="s">
        <v>723</v>
      </c>
    </row>
    <row r="426" spans="1:11">
      <c r="A426" s="5" t="s">
        <v>1402</v>
      </c>
      <c r="B426" s="5">
        <v>1.7834460772581107E-4</v>
      </c>
      <c r="C426" s="5">
        <v>5092</v>
      </c>
      <c r="D426" s="5">
        <v>5092</v>
      </c>
      <c r="E426" s="5">
        <v>86.060214074143644</v>
      </c>
      <c r="F426" s="5">
        <v>2080</v>
      </c>
      <c r="G426" s="5">
        <v>2080</v>
      </c>
      <c r="H426" s="5">
        <v>34.903868358963699</v>
      </c>
      <c r="I426" s="1">
        <f t="shared" si="12"/>
        <v>7172</v>
      </c>
      <c r="J426" s="1">
        <f t="shared" si="13"/>
        <v>0.40091640860471922</v>
      </c>
      <c r="K426" s="6" t="s">
        <v>1403</v>
      </c>
    </row>
    <row r="427" spans="1:11">
      <c r="A427" s="5" t="s">
        <v>1503</v>
      </c>
      <c r="B427" s="5">
        <v>0</v>
      </c>
      <c r="C427" s="5">
        <v>20856</v>
      </c>
      <c r="D427" s="5">
        <v>20869</v>
      </c>
      <c r="E427" s="5">
        <v>493.36259362848165</v>
      </c>
      <c r="F427" s="5">
        <v>8425</v>
      </c>
      <c r="G427" s="5">
        <v>8437</v>
      </c>
      <c r="H427" s="5">
        <v>198.03813536923099</v>
      </c>
      <c r="I427" s="1">
        <f t="shared" si="12"/>
        <v>29306</v>
      </c>
      <c r="J427" s="1">
        <f t="shared" si="13"/>
        <v>0.40059288045174912</v>
      </c>
      <c r="K427" s="6" t="s">
        <v>1504</v>
      </c>
    </row>
    <row r="428" spans="1:11">
      <c r="A428" s="5" t="s">
        <v>341</v>
      </c>
      <c r="B428" s="5">
        <v>8.1217444382836179E-3</v>
      </c>
      <c r="C428" s="5">
        <v>4919</v>
      </c>
      <c r="D428" s="5">
        <v>4920</v>
      </c>
      <c r="E428" s="5">
        <v>67.785672012102054</v>
      </c>
      <c r="F428" s="5">
        <v>2014</v>
      </c>
      <c r="G428" s="5">
        <v>2014</v>
      </c>
      <c r="H428" s="5">
        <v>27.550435566863229</v>
      </c>
      <c r="I428" s="1">
        <f t="shared" si="12"/>
        <v>6934</v>
      </c>
      <c r="J428" s="1">
        <f t="shared" si="13"/>
        <v>0.40052578917911924</v>
      </c>
      <c r="K428" s="6" t="s">
        <v>275</v>
      </c>
    </row>
    <row r="429" spans="1:11">
      <c r="A429" s="5" t="s">
        <v>2129</v>
      </c>
      <c r="B429" s="5">
        <v>2.8388292964942607E-3</v>
      </c>
      <c r="C429" s="5">
        <v>3877</v>
      </c>
      <c r="D429" s="5">
        <v>3878</v>
      </c>
      <c r="E429" s="5">
        <v>72.724424874391389</v>
      </c>
      <c r="F429" s="5">
        <v>1585</v>
      </c>
      <c r="G429" s="5">
        <v>1585</v>
      </c>
      <c r="H429" s="5">
        <v>29.511953451141622</v>
      </c>
      <c r="I429" s="1">
        <f t="shared" si="12"/>
        <v>5463</v>
      </c>
      <c r="J429" s="1">
        <f t="shared" si="13"/>
        <v>0.40030089758479448</v>
      </c>
      <c r="K429" s="6" t="s">
        <v>976</v>
      </c>
    </row>
    <row r="430" spans="1:11">
      <c r="A430" s="5" t="s">
        <v>1987</v>
      </c>
      <c r="B430" s="5">
        <v>4.0950204549533575E-2</v>
      </c>
      <c r="C430" s="5">
        <v>8551</v>
      </c>
      <c r="D430" s="5">
        <v>9453</v>
      </c>
      <c r="E430" s="5">
        <v>60.056703004435256</v>
      </c>
      <c r="F430" s="5">
        <v>3386</v>
      </c>
      <c r="G430" s="5">
        <v>3873</v>
      </c>
      <c r="H430" s="5">
        <v>24.430678337924633</v>
      </c>
      <c r="I430" s="1">
        <f t="shared" si="12"/>
        <v>13326</v>
      </c>
      <c r="J430" s="1">
        <f t="shared" si="13"/>
        <v>0.40013097884027488</v>
      </c>
      <c r="K430" s="6" t="s">
        <v>725</v>
      </c>
    </row>
    <row r="431" spans="1:11">
      <c r="A431" s="5" t="s">
        <v>763</v>
      </c>
      <c r="B431" s="5">
        <v>3.3995841269264249E-2</v>
      </c>
      <c r="C431" s="5">
        <v>780</v>
      </c>
      <c r="D431" s="5">
        <v>780</v>
      </c>
      <c r="E431" s="5">
        <v>60.81477143443707</v>
      </c>
      <c r="F431" s="5">
        <v>319</v>
      </c>
      <c r="G431" s="5">
        <v>319</v>
      </c>
      <c r="H431" s="5">
        <v>24.694563795569987</v>
      </c>
      <c r="I431" s="1">
        <f t="shared" si="12"/>
        <v>1099</v>
      </c>
      <c r="J431" s="1">
        <f t="shared" si="13"/>
        <v>0.39949292414292775</v>
      </c>
      <c r="K431" s="6" t="s">
        <v>2</v>
      </c>
    </row>
    <row r="432" spans="1:11">
      <c r="A432" s="5" t="s">
        <v>1251</v>
      </c>
      <c r="B432" s="5">
        <v>5.7301550910326959E-5</v>
      </c>
      <c r="C432" s="5">
        <v>2937</v>
      </c>
      <c r="D432" s="5">
        <v>2937</v>
      </c>
      <c r="E432" s="5">
        <v>91.022620338074063</v>
      </c>
      <c r="F432" s="5">
        <v>1194</v>
      </c>
      <c r="G432" s="5">
        <v>1194</v>
      </c>
      <c r="H432" s="5">
        <v>36.740572050316651</v>
      </c>
      <c r="I432" s="1">
        <f t="shared" si="12"/>
        <v>4131</v>
      </c>
      <c r="J432" s="1">
        <f t="shared" si="13"/>
        <v>0.39925587768897031</v>
      </c>
      <c r="K432" s="6" t="s">
        <v>279</v>
      </c>
    </row>
    <row r="433" spans="1:11">
      <c r="A433" s="5" t="s">
        <v>2177</v>
      </c>
      <c r="B433" s="5">
        <v>1.1603688378370447E-2</v>
      </c>
      <c r="C433" s="5">
        <v>15656</v>
      </c>
      <c r="D433" s="5">
        <v>19683</v>
      </c>
      <c r="E433" s="5">
        <v>65.772865164080628</v>
      </c>
      <c r="F433" s="5">
        <v>6439</v>
      </c>
      <c r="G433" s="5">
        <v>8029</v>
      </c>
      <c r="H433" s="5">
        <v>26.638706090007251</v>
      </c>
      <c r="I433" s="1">
        <f t="shared" si="12"/>
        <v>27712</v>
      </c>
      <c r="J433" s="1">
        <f t="shared" si="13"/>
        <v>0.39894508082808927</v>
      </c>
      <c r="K433" s="6" t="s">
        <v>228</v>
      </c>
    </row>
    <row r="434" spans="1:11">
      <c r="A434" s="5" t="s">
        <v>1348</v>
      </c>
      <c r="B434" s="5">
        <v>0</v>
      </c>
      <c r="C434" s="5">
        <v>14180</v>
      </c>
      <c r="D434" s="5">
        <v>14742</v>
      </c>
      <c r="E434" s="5">
        <v>489.19550470571994</v>
      </c>
      <c r="F434" s="5">
        <v>5694</v>
      </c>
      <c r="G434" s="5">
        <v>5925</v>
      </c>
      <c r="H434" s="5">
        <v>195.21384043342192</v>
      </c>
      <c r="I434" s="1">
        <f t="shared" si="12"/>
        <v>20667</v>
      </c>
      <c r="J434" s="1">
        <f t="shared" si="13"/>
        <v>0.398236700580547</v>
      </c>
      <c r="K434" s="6" t="s">
        <v>1349</v>
      </c>
    </row>
    <row r="435" spans="1:11">
      <c r="A435" s="5" t="s">
        <v>1095</v>
      </c>
      <c r="B435" s="5">
        <v>1.1642292019331535E-7</v>
      </c>
      <c r="C435" s="5">
        <v>7949</v>
      </c>
      <c r="D435" s="5">
        <v>7950</v>
      </c>
      <c r="E435" s="5">
        <v>120.11391398184583</v>
      </c>
      <c r="F435" s="5">
        <v>3211</v>
      </c>
      <c r="G435" s="5">
        <v>3212</v>
      </c>
      <c r="H435" s="5">
        <v>48.183453776234394</v>
      </c>
      <c r="I435" s="1">
        <f t="shared" si="12"/>
        <v>11162</v>
      </c>
      <c r="J435" s="1">
        <f t="shared" si="13"/>
        <v>0.39783582407762641</v>
      </c>
      <c r="K435" s="6" t="s">
        <v>1096</v>
      </c>
    </row>
    <row r="436" spans="1:11">
      <c r="A436" s="5" t="s">
        <v>2089</v>
      </c>
      <c r="B436" s="5">
        <v>5.2958509799694298E-9</v>
      </c>
      <c r="C436" s="5">
        <v>2992</v>
      </c>
      <c r="D436" s="5">
        <v>2992</v>
      </c>
      <c r="E436" s="5">
        <v>134.56933852513384</v>
      </c>
      <c r="F436" s="5">
        <v>1206</v>
      </c>
      <c r="G436" s="5">
        <v>1206</v>
      </c>
      <c r="H436" s="5">
        <v>53.855248758634339</v>
      </c>
      <c r="I436" s="1">
        <f t="shared" si="12"/>
        <v>4198</v>
      </c>
      <c r="J436" s="1">
        <f t="shared" si="13"/>
        <v>0.39725242702021341</v>
      </c>
      <c r="K436" s="6" t="s">
        <v>2090</v>
      </c>
    </row>
    <row r="437" spans="1:11">
      <c r="A437" s="5" t="s">
        <v>1559</v>
      </c>
      <c r="B437" s="5">
        <v>8.0081274944632241E-10</v>
      </c>
      <c r="C437" s="5">
        <v>3164</v>
      </c>
      <c r="D437" s="5">
        <v>7336</v>
      </c>
      <c r="E437" s="5">
        <v>142.9926805266123</v>
      </c>
      <c r="F437" s="5">
        <v>1382</v>
      </c>
      <c r="G437" s="5">
        <v>2949</v>
      </c>
      <c r="H437" s="5">
        <v>57.072310841015593</v>
      </c>
      <c r="I437" s="1">
        <f t="shared" si="12"/>
        <v>10285</v>
      </c>
      <c r="J437" s="1">
        <f t="shared" si="13"/>
        <v>0.39635563858030726</v>
      </c>
      <c r="K437" s="6" t="s">
        <v>308</v>
      </c>
    </row>
    <row r="438" spans="1:11">
      <c r="A438" s="5" t="s">
        <v>298</v>
      </c>
      <c r="B438" s="5">
        <v>0</v>
      </c>
      <c r="C438" s="5">
        <v>10500</v>
      </c>
      <c r="D438" s="5">
        <v>10500</v>
      </c>
      <c r="E438" s="5">
        <v>551.56848312418242</v>
      </c>
      <c r="F438" s="5">
        <v>4198</v>
      </c>
      <c r="G438" s="5">
        <v>4198</v>
      </c>
      <c r="H438" s="5">
        <v>218.95192993317184</v>
      </c>
      <c r="I438" s="1">
        <f t="shared" si="12"/>
        <v>14698</v>
      </c>
      <c r="J438" s="1">
        <f t="shared" si="13"/>
        <v>0.39624397087440344</v>
      </c>
      <c r="K438" s="6" t="s">
        <v>299</v>
      </c>
    </row>
    <row r="439" spans="1:11">
      <c r="A439" s="5" t="s">
        <v>2163</v>
      </c>
      <c r="B439" s="5">
        <v>5.6624134825433714E-8</v>
      </c>
      <c r="C439" s="5">
        <v>6764</v>
      </c>
      <c r="D439" s="5">
        <v>6764</v>
      </c>
      <c r="E439" s="5">
        <v>122.86599121897898</v>
      </c>
      <c r="F439" s="5">
        <v>2720</v>
      </c>
      <c r="G439" s="5">
        <v>2720</v>
      </c>
      <c r="H439" s="5">
        <v>49.056119799981332</v>
      </c>
      <c r="I439" s="1">
        <f t="shared" si="12"/>
        <v>9484</v>
      </c>
      <c r="J439" s="1">
        <f t="shared" si="13"/>
        <v>0.39604187813954911</v>
      </c>
      <c r="K439" s="6" t="s">
        <v>2164</v>
      </c>
    </row>
    <row r="440" spans="1:11">
      <c r="A440" s="5" t="s">
        <v>1469</v>
      </c>
      <c r="B440" s="5">
        <v>1.1583184411634306E-9</v>
      </c>
      <c r="C440" s="5">
        <v>3779</v>
      </c>
      <c r="D440" s="5">
        <v>3779</v>
      </c>
      <c r="E440" s="5">
        <v>141.2490110180816</v>
      </c>
      <c r="F440" s="5">
        <v>1518</v>
      </c>
      <c r="G440" s="5">
        <v>1518</v>
      </c>
      <c r="H440" s="5">
        <v>56.334766081955365</v>
      </c>
      <c r="I440" s="1">
        <f t="shared" si="12"/>
        <v>5297</v>
      </c>
      <c r="J440" s="1">
        <f t="shared" si="13"/>
        <v>0.39602922845484334</v>
      </c>
      <c r="K440" s="6" t="s">
        <v>1470</v>
      </c>
    </row>
    <row r="441" spans="1:11">
      <c r="A441" s="5" t="s">
        <v>1268</v>
      </c>
      <c r="B441" s="5">
        <v>1.6629067411955134E-6</v>
      </c>
      <c r="C441" s="5">
        <v>6056</v>
      </c>
      <c r="D441" s="5">
        <v>6056</v>
      </c>
      <c r="E441" s="5">
        <v>106.72802517323126</v>
      </c>
      <c r="F441" s="5">
        <v>2436</v>
      </c>
      <c r="G441" s="5">
        <v>2436</v>
      </c>
      <c r="H441" s="5">
        <v>42.625166758768827</v>
      </c>
      <c r="I441" s="1">
        <f t="shared" si="12"/>
        <v>8492</v>
      </c>
      <c r="J441" s="1">
        <f t="shared" si="13"/>
        <v>0.39567388978147278</v>
      </c>
      <c r="K441" s="6" t="s">
        <v>1269</v>
      </c>
    </row>
    <row r="442" spans="1:11">
      <c r="A442" s="5" t="s">
        <v>1523</v>
      </c>
      <c r="B442" s="5">
        <v>0</v>
      </c>
      <c r="C442" s="5">
        <v>13025</v>
      </c>
      <c r="D442" s="5">
        <v>13025</v>
      </c>
      <c r="E442" s="5">
        <v>183.73225590435223</v>
      </c>
      <c r="F442" s="5">
        <v>5211</v>
      </c>
      <c r="G442" s="5">
        <v>5212</v>
      </c>
      <c r="H442" s="5">
        <v>72.997549706389137</v>
      </c>
      <c r="I442" s="1">
        <f t="shared" si="12"/>
        <v>18237</v>
      </c>
      <c r="J442" s="1">
        <f t="shared" si="13"/>
        <v>0.39515324137103952</v>
      </c>
      <c r="K442" s="6" t="s">
        <v>611</v>
      </c>
    </row>
    <row r="443" spans="1:11">
      <c r="A443" s="5" t="s">
        <v>1140</v>
      </c>
      <c r="B443" s="5">
        <v>0</v>
      </c>
      <c r="C443" s="5">
        <v>5607</v>
      </c>
      <c r="D443" s="5">
        <v>5607</v>
      </c>
      <c r="E443" s="5">
        <v>198.40111996612006</v>
      </c>
      <c r="F443" s="5">
        <v>2242</v>
      </c>
      <c r="G443" s="5">
        <v>2242</v>
      </c>
      <c r="H443" s="5">
        <v>78.767193474218857</v>
      </c>
      <c r="I443" s="1">
        <f t="shared" si="12"/>
        <v>7849</v>
      </c>
      <c r="J443" s="1">
        <f t="shared" si="13"/>
        <v>0.39501881176796833</v>
      </c>
      <c r="K443" s="6" t="s">
        <v>1141</v>
      </c>
    </row>
    <row r="444" spans="1:11">
      <c r="A444" s="5" t="s">
        <v>1302</v>
      </c>
      <c r="B444" s="5">
        <v>4.986277073543377E-2</v>
      </c>
      <c r="C444" s="5">
        <v>4354</v>
      </c>
      <c r="D444" s="5">
        <v>4354</v>
      </c>
      <c r="E444" s="5">
        <v>58.161727700434973</v>
      </c>
      <c r="F444" s="5">
        <v>1761</v>
      </c>
      <c r="G444" s="5">
        <v>1761</v>
      </c>
      <c r="H444" s="5">
        <v>23.356320713440169</v>
      </c>
      <c r="I444" s="1">
        <f t="shared" si="12"/>
        <v>6115</v>
      </c>
      <c r="J444" s="1">
        <f t="shared" si="13"/>
        <v>0.39478767137607523</v>
      </c>
      <c r="K444" s="6" t="s">
        <v>1303</v>
      </c>
    </row>
    <row r="445" spans="1:11">
      <c r="A445" s="5" t="s">
        <v>263</v>
      </c>
      <c r="B445" s="5">
        <v>1.4722899497887632E-5</v>
      </c>
      <c r="C445" s="5">
        <v>3333</v>
      </c>
      <c r="D445" s="5">
        <v>3333</v>
      </c>
      <c r="E445" s="5">
        <v>96.073413710956629</v>
      </c>
      <c r="F445" s="5">
        <v>1338</v>
      </c>
      <c r="G445" s="5">
        <v>1338</v>
      </c>
      <c r="H445" s="5">
        <v>38.293073226405852</v>
      </c>
      <c r="I445" s="1">
        <f t="shared" si="12"/>
        <v>4671</v>
      </c>
      <c r="J445" s="1">
        <f t="shared" si="13"/>
        <v>0.39447539509042456</v>
      </c>
      <c r="K445" s="6" t="s">
        <v>264</v>
      </c>
    </row>
    <row r="446" spans="1:11">
      <c r="A446" s="5" t="s">
        <v>784</v>
      </c>
      <c r="B446" s="5">
        <v>6.6734395787193534E-11</v>
      </c>
      <c r="C446" s="5">
        <v>12092</v>
      </c>
      <c r="D446" s="5">
        <v>12092</v>
      </c>
      <c r="E446" s="5">
        <v>215.33503108524582</v>
      </c>
      <c r="F446" s="5">
        <v>4826</v>
      </c>
      <c r="G446" s="5">
        <v>4826</v>
      </c>
      <c r="H446" s="5">
        <v>85.32967007135322</v>
      </c>
      <c r="I446" s="1">
        <f t="shared" si="12"/>
        <v>16918</v>
      </c>
      <c r="J446" s="1">
        <f t="shared" si="13"/>
        <v>0.39443297575661457</v>
      </c>
      <c r="K446" s="6" t="s">
        <v>785</v>
      </c>
    </row>
    <row r="447" spans="1:11">
      <c r="A447" s="5" t="s">
        <v>533</v>
      </c>
      <c r="B447" s="5">
        <v>0</v>
      </c>
      <c r="C447" s="5">
        <v>15605</v>
      </c>
      <c r="D447" s="5">
        <v>15605</v>
      </c>
      <c r="E447" s="5">
        <v>240.9893065672766</v>
      </c>
      <c r="F447" s="5">
        <v>6217</v>
      </c>
      <c r="G447" s="5">
        <v>6217</v>
      </c>
      <c r="H447" s="5">
        <v>95.325933389767002</v>
      </c>
      <c r="I447" s="1">
        <f t="shared" si="12"/>
        <v>21822</v>
      </c>
      <c r="J447" s="1">
        <f t="shared" si="13"/>
        <v>0.39392622236910696</v>
      </c>
      <c r="K447" s="6" t="s">
        <v>19</v>
      </c>
    </row>
    <row r="448" spans="1:11">
      <c r="A448" s="5" t="s">
        <v>1909</v>
      </c>
      <c r="B448" s="5">
        <v>0</v>
      </c>
      <c r="C448" s="5">
        <v>108340</v>
      </c>
      <c r="D448" s="5">
        <v>108399</v>
      </c>
      <c r="E448" s="5">
        <v>11941.756891123321</v>
      </c>
      <c r="F448" s="5">
        <v>42984</v>
      </c>
      <c r="G448" s="5">
        <v>42994</v>
      </c>
      <c r="H448" s="5">
        <v>4702.6970474982663</v>
      </c>
      <c r="I448" s="1">
        <f t="shared" si="12"/>
        <v>151393</v>
      </c>
      <c r="J448" s="1">
        <f t="shared" si="13"/>
        <v>0.39376980460798244</v>
      </c>
      <c r="K448" s="6" t="s">
        <v>2</v>
      </c>
    </row>
    <row r="449" spans="1:11">
      <c r="A449" s="5" t="s">
        <v>782</v>
      </c>
      <c r="B449" s="5">
        <v>8.7395434794024229E-4</v>
      </c>
      <c r="C449" s="5">
        <v>6089</v>
      </c>
      <c r="D449" s="5">
        <v>6089</v>
      </c>
      <c r="E449" s="5">
        <v>76.635533930617584</v>
      </c>
      <c r="F449" s="5">
        <v>2443</v>
      </c>
      <c r="G449" s="5">
        <v>2443</v>
      </c>
      <c r="H449" s="5">
        <v>30.528388543711035</v>
      </c>
      <c r="I449" s="1">
        <f t="shared" si="12"/>
        <v>8532</v>
      </c>
      <c r="J449" s="1">
        <f t="shared" si="13"/>
        <v>0.39322700570326563</v>
      </c>
      <c r="K449" s="6" t="s">
        <v>783</v>
      </c>
    </row>
    <row r="450" spans="1:11">
      <c r="A450" s="5" t="s">
        <v>968</v>
      </c>
      <c r="B450" s="5">
        <v>1.2870204901815896E-10</v>
      </c>
      <c r="C450" s="5">
        <v>12552</v>
      </c>
      <c r="D450" s="5">
        <v>12552</v>
      </c>
      <c r="E450" s="5">
        <v>211.22378165859845</v>
      </c>
      <c r="F450" s="5">
        <v>4988</v>
      </c>
      <c r="G450" s="5">
        <v>4988</v>
      </c>
      <c r="H450" s="5">
        <v>83.339814219400409</v>
      </c>
      <c r="I450" s="1">
        <f t="shared" ref="I450:I513" si="14">D450+G450</f>
        <v>17540</v>
      </c>
      <c r="J450" s="1">
        <f t="shared" ref="J450:J513" si="15">H450/(E450+1)</f>
        <v>0.39269780968029327</v>
      </c>
      <c r="K450" s="6" t="s">
        <v>361</v>
      </c>
    </row>
    <row r="451" spans="1:11">
      <c r="A451" s="5" t="s">
        <v>895</v>
      </c>
      <c r="B451" s="5">
        <v>1.3457585466286615E-3</v>
      </c>
      <c r="C451" s="5">
        <v>4337</v>
      </c>
      <c r="D451" s="5">
        <v>19632</v>
      </c>
      <c r="E451" s="5">
        <v>74.401210964842363</v>
      </c>
      <c r="F451" s="5">
        <v>1636</v>
      </c>
      <c r="G451" s="5">
        <v>7860</v>
      </c>
      <c r="H451" s="5">
        <v>29.575643650588038</v>
      </c>
      <c r="I451" s="1">
        <f t="shared" si="14"/>
        <v>27492</v>
      </c>
      <c r="J451" s="1">
        <f t="shared" si="15"/>
        <v>0.39224361614534808</v>
      </c>
      <c r="K451" s="6" t="s">
        <v>896</v>
      </c>
    </row>
    <row r="452" spans="1:11">
      <c r="A452" s="5" t="s">
        <v>536</v>
      </c>
      <c r="B452" s="5">
        <v>1.2816626715483892E-6</v>
      </c>
      <c r="C452" s="5">
        <v>1961</v>
      </c>
      <c r="D452" s="5">
        <v>1994</v>
      </c>
      <c r="E452" s="5">
        <v>106.80740038828327</v>
      </c>
      <c r="F452" s="5">
        <v>778</v>
      </c>
      <c r="G452" s="5">
        <v>795</v>
      </c>
      <c r="H452" s="5">
        <v>42.280442067360298</v>
      </c>
      <c r="I452" s="1">
        <f t="shared" si="14"/>
        <v>2789</v>
      </c>
      <c r="J452" s="1">
        <f t="shared" si="15"/>
        <v>0.39218496981729856</v>
      </c>
      <c r="K452" s="6" t="s">
        <v>537</v>
      </c>
    </row>
    <row r="453" spans="1:11">
      <c r="A453" s="5" t="s">
        <v>1791</v>
      </c>
      <c r="B453" s="5">
        <v>2.8600455337368658E-11</v>
      </c>
      <c r="C453" s="5">
        <v>3777</v>
      </c>
      <c r="D453" s="5">
        <v>3777</v>
      </c>
      <c r="E453" s="5">
        <v>230.4369026849667</v>
      </c>
      <c r="F453" s="5">
        <v>1496</v>
      </c>
      <c r="G453" s="5">
        <v>1496</v>
      </c>
      <c r="H453" s="5">
        <v>90.621832069965507</v>
      </c>
      <c r="I453" s="1">
        <f t="shared" si="14"/>
        <v>5273</v>
      </c>
      <c r="J453" s="1">
        <f t="shared" si="15"/>
        <v>0.39156172165560171</v>
      </c>
      <c r="K453" s="6" t="s">
        <v>839</v>
      </c>
    </row>
    <row r="454" spans="1:11">
      <c r="A454" s="5" t="s">
        <v>2099</v>
      </c>
      <c r="B454" s="5">
        <v>1.7534356776268689E-2</v>
      </c>
      <c r="C454" s="5">
        <v>7090</v>
      </c>
      <c r="D454" s="5">
        <v>7156</v>
      </c>
      <c r="E454" s="5">
        <v>62.330298938863002</v>
      </c>
      <c r="F454" s="5">
        <v>2824</v>
      </c>
      <c r="G454" s="5">
        <v>2865</v>
      </c>
      <c r="H454" s="5">
        <v>24.77705610194861</v>
      </c>
      <c r="I454" s="1">
        <f t="shared" si="14"/>
        <v>10021</v>
      </c>
      <c r="J454" s="1">
        <f t="shared" si="15"/>
        <v>0.39123541996647715</v>
      </c>
      <c r="K454" s="6" t="s">
        <v>1155</v>
      </c>
    </row>
    <row r="455" spans="1:11">
      <c r="A455" s="5" t="s">
        <v>700</v>
      </c>
      <c r="B455" s="5">
        <v>0</v>
      </c>
      <c r="C455" s="5">
        <v>22296</v>
      </c>
      <c r="D455" s="5">
        <v>22297</v>
      </c>
      <c r="E455" s="5">
        <v>300.50383445543082</v>
      </c>
      <c r="F455" s="5">
        <v>8800</v>
      </c>
      <c r="G455" s="5">
        <v>8801</v>
      </c>
      <c r="H455" s="5">
        <v>117.7692217534041</v>
      </c>
      <c r="I455" s="1">
        <f t="shared" si="14"/>
        <v>31098</v>
      </c>
      <c r="J455" s="1">
        <f t="shared" si="15"/>
        <v>0.39060604972442925</v>
      </c>
      <c r="K455" s="6" t="s">
        <v>701</v>
      </c>
    </row>
    <row r="456" spans="1:11">
      <c r="A456" s="5" t="s">
        <v>2135</v>
      </c>
      <c r="B456" s="5">
        <v>6.7102721984513281E-6</v>
      </c>
      <c r="C456" s="5">
        <v>5367</v>
      </c>
      <c r="D456" s="5">
        <v>5367</v>
      </c>
      <c r="E456" s="5">
        <v>98.542436176623497</v>
      </c>
      <c r="F456" s="5">
        <v>2131</v>
      </c>
      <c r="G456" s="5">
        <v>2132</v>
      </c>
      <c r="H456" s="5">
        <v>38.866470148029585</v>
      </c>
      <c r="I456" s="1">
        <f t="shared" si="14"/>
        <v>7499</v>
      </c>
      <c r="J456" s="1">
        <f t="shared" si="15"/>
        <v>0.39045126521784856</v>
      </c>
      <c r="K456" s="6" t="s">
        <v>438</v>
      </c>
    </row>
    <row r="457" spans="1:11">
      <c r="A457" s="5" t="s">
        <v>1016</v>
      </c>
      <c r="B457" s="5">
        <v>5.1004145351640773E-10</v>
      </c>
      <c r="C457" s="5">
        <v>12823</v>
      </c>
      <c r="D457" s="5">
        <v>12848</v>
      </c>
      <c r="E457" s="5">
        <v>143.45639131918551</v>
      </c>
      <c r="F457" s="5">
        <v>5078</v>
      </c>
      <c r="G457" s="5">
        <v>5084</v>
      </c>
      <c r="H457" s="5">
        <v>56.361963686145486</v>
      </c>
      <c r="I457" s="1">
        <f t="shared" si="14"/>
        <v>17932</v>
      </c>
      <c r="J457" s="1">
        <f t="shared" si="15"/>
        <v>0.39016593984831155</v>
      </c>
      <c r="K457" s="6" t="s">
        <v>400</v>
      </c>
    </row>
    <row r="458" spans="1:11">
      <c r="A458" s="5" t="s">
        <v>1495</v>
      </c>
      <c r="B458" s="5">
        <v>6.1967653230965425E-11</v>
      </c>
      <c r="C458" s="5">
        <v>6748</v>
      </c>
      <c r="D458" s="5">
        <v>33694</v>
      </c>
      <c r="E458" s="5">
        <v>271.57515537294211</v>
      </c>
      <c r="F458" s="5">
        <v>2865</v>
      </c>
      <c r="G458" s="5">
        <v>13270</v>
      </c>
      <c r="H458" s="5">
        <v>106.19512684685331</v>
      </c>
      <c r="I458" s="1">
        <f t="shared" si="14"/>
        <v>46964</v>
      </c>
      <c r="J458" s="1">
        <f t="shared" si="15"/>
        <v>0.38959943616855058</v>
      </c>
      <c r="K458" s="6" t="s">
        <v>1494</v>
      </c>
    </row>
    <row r="459" spans="1:11">
      <c r="A459" s="5" t="s">
        <v>1884</v>
      </c>
      <c r="B459" s="5">
        <v>4.1323606231324916E-6</v>
      </c>
      <c r="C459" s="5">
        <v>4395</v>
      </c>
      <c r="D459" s="5">
        <v>4395</v>
      </c>
      <c r="E459" s="5">
        <v>100.41232452643595</v>
      </c>
      <c r="F459" s="5">
        <v>1740</v>
      </c>
      <c r="G459" s="5">
        <v>1740</v>
      </c>
      <c r="H459" s="5">
        <v>39.470587426855623</v>
      </c>
      <c r="I459" s="1">
        <f t="shared" si="14"/>
        <v>6135</v>
      </c>
      <c r="J459" s="1">
        <f t="shared" si="15"/>
        <v>0.38920898037956436</v>
      </c>
      <c r="K459" s="6" t="s">
        <v>1885</v>
      </c>
    </row>
    <row r="460" spans="1:11">
      <c r="A460" s="5" t="s">
        <v>2237</v>
      </c>
      <c r="B460" s="5">
        <v>1.3823553413061518E-10</v>
      </c>
      <c r="C460" s="5">
        <v>17743</v>
      </c>
      <c r="D460" s="5">
        <v>17748</v>
      </c>
      <c r="E460" s="5">
        <v>268.4467557710251</v>
      </c>
      <c r="F460" s="5">
        <v>6980</v>
      </c>
      <c r="G460" s="5">
        <v>6982</v>
      </c>
      <c r="H460" s="5">
        <v>104.85394725180605</v>
      </c>
      <c r="I460" s="1">
        <f t="shared" si="14"/>
        <v>24730</v>
      </c>
      <c r="J460" s="1">
        <f t="shared" si="15"/>
        <v>0.3891453320778171</v>
      </c>
      <c r="K460" s="6" t="s">
        <v>653</v>
      </c>
    </row>
    <row r="461" spans="1:11">
      <c r="A461" s="5" t="s">
        <v>1534</v>
      </c>
      <c r="B461" s="5">
        <v>4.0643010729146667E-6</v>
      </c>
      <c r="C461" s="5">
        <v>322</v>
      </c>
      <c r="D461" s="5">
        <v>15336</v>
      </c>
      <c r="E461" s="5">
        <v>100.45822741650491</v>
      </c>
      <c r="F461" s="5">
        <v>118</v>
      </c>
      <c r="G461" s="5">
        <v>6070</v>
      </c>
      <c r="H461" s="5">
        <v>39.478287182840972</v>
      </c>
      <c r="I461" s="1">
        <f t="shared" si="14"/>
        <v>21406</v>
      </c>
      <c r="J461" s="1">
        <f t="shared" si="15"/>
        <v>0.38910878090522177</v>
      </c>
      <c r="K461" s="6" t="s">
        <v>369</v>
      </c>
    </row>
    <row r="462" spans="1:11">
      <c r="A462" s="5" t="s">
        <v>1581</v>
      </c>
      <c r="B462" s="5">
        <v>2.0418365573315889E-5</v>
      </c>
      <c r="C462" s="5">
        <v>6049</v>
      </c>
      <c r="D462" s="5">
        <v>6049</v>
      </c>
      <c r="E462" s="5">
        <v>92.940483277600322</v>
      </c>
      <c r="F462" s="5">
        <v>2395</v>
      </c>
      <c r="G462" s="5">
        <v>2395</v>
      </c>
      <c r="H462" s="5">
        <v>36.536173391485164</v>
      </c>
      <c r="I462" s="1">
        <f t="shared" si="14"/>
        <v>8444</v>
      </c>
      <c r="J462" s="1">
        <f t="shared" si="15"/>
        <v>0.38892894859310401</v>
      </c>
      <c r="K462" s="6" t="s">
        <v>1178</v>
      </c>
    </row>
    <row r="463" spans="1:11">
      <c r="A463" s="5" t="s">
        <v>327</v>
      </c>
      <c r="B463" s="5">
        <v>9.0568108568334083E-11</v>
      </c>
      <c r="C463" s="5">
        <v>10590</v>
      </c>
      <c r="D463" s="5">
        <v>10590</v>
      </c>
      <c r="E463" s="5">
        <v>179.98840619824975</v>
      </c>
      <c r="F463" s="5">
        <v>4171</v>
      </c>
      <c r="G463" s="5">
        <v>4171</v>
      </c>
      <c r="H463" s="5">
        <v>70.385785395435704</v>
      </c>
      <c r="I463" s="1">
        <f t="shared" si="14"/>
        <v>14761</v>
      </c>
      <c r="J463" s="1">
        <f t="shared" si="15"/>
        <v>0.38889665296205239</v>
      </c>
      <c r="K463" s="6" t="s">
        <v>328</v>
      </c>
    </row>
    <row r="464" spans="1:11">
      <c r="A464" s="5" t="s">
        <v>1931</v>
      </c>
      <c r="B464" s="5">
        <v>1.0381581088014791E-4</v>
      </c>
      <c r="C464" s="5">
        <v>568</v>
      </c>
      <c r="D464" s="5">
        <v>568</v>
      </c>
      <c r="E464" s="5">
        <v>85.390521114827379</v>
      </c>
      <c r="F464" s="5">
        <v>225</v>
      </c>
      <c r="G464" s="5">
        <v>225</v>
      </c>
      <c r="H464" s="5">
        <v>33.584589654256796</v>
      </c>
      <c r="I464" s="1">
        <f t="shared" si="14"/>
        <v>793</v>
      </c>
      <c r="J464" s="1">
        <f t="shared" si="15"/>
        <v>0.3887531782522447</v>
      </c>
      <c r="K464" s="6" t="s">
        <v>2</v>
      </c>
    </row>
    <row r="465" spans="1:11">
      <c r="A465" s="5" t="s">
        <v>1336</v>
      </c>
      <c r="B465" s="5">
        <v>4.4906528273713775E-6</v>
      </c>
      <c r="C465" s="5">
        <v>84194</v>
      </c>
      <c r="D465" s="5">
        <v>84636</v>
      </c>
      <c r="E465" s="5">
        <v>99.839849429623101</v>
      </c>
      <c r="F465" s="5">
        <v>33232</v>
      </c>
      <c r="G465" s="5">
        <v>33457</v>
      </c>
      <c r="H465" s="5">
        <v>39.186094711021902</v>
      </c>
      <c r="I465" s="1">
        <f t="shared" si="14"/>
        <v>118093</v>
      </c>
      <c r="J465" s="1">
        <f t="shared" si="15"/>
        <v>0.38859731477852094</v>
      </c>
      <c r="K465" s="6" t="s">
        <v>684</v>
      </c>
    </row>
    <row r="466" spans="1:11">
      <c r="A466" s="5" t="s">
        <v>2147</v>
      </c>
      <c r="B466" s="5">
        <v>3.8133940449824877E-11</v>
      </c>
      <c r="C466" s="5">
        <v>17932</v>
      </c>
      <c r="D466" s="5">
        <v>17946</v>
      </c>
      <c r="E466" s="5">
        <v>213.4280745521115</v>
      </c>
      <c r="F466" s="5">
        <v>7054</v>
      </c>
      <c r="G466" s="5">
        <v>7055</v>
      </c>
      <c r="H466" s="5">
        <v>83.306157113347879</v>
      </c>
      <c r="I466" s="1">
        <f t="shared" si="14"/>
        <v>25001</v>
      </c>
      <c r="J466" s="1">
        <f t="shared" si="15"/>
        <v>0.3885039647320172</v>
      </c>
      <c r="K466" s="6" t="s">
        <v>120</v>
      </c>
    </row>
    <row r="467" spans="1:11">
      <c r="A467" s="5" t="s">
        <v>535</v>
      </c>
      <c r="B467" s="5">
        <v>5.4201819260635276E-6</v>
      </c>
      <c r="C467" s="5">
        <v>3629</v>
      </c>
      <c r="D467" s="5">
        <v>3629</v>
      </c>
      <c r="E467" s="5">
        <v>98.747673246044457</v>
      </c>
      <c r="F467" s="5">
        <v>1432</v>
      </c>
      <c r="G467" s="5">
        <v>1432</v>
      </c>
      <c r="H467" s="5">
        <v>38.688253162960571</v>
      </c>
      <c r="I467" s="1">
        <f t="shared" si="14"/>
        <v>5061</v>
      </c>
      <c r="J467" s="1">
        <f t="shared" si="15"/>
        <v>0.38786120922870521</v>
      </c>
      <c r="K467" s="6" t="s">
        <v>59</v>
      </c>
    </row>
    <row r="468" spans="1:11">
      <c r="A468" s="5" t="s">
        <v>1963</v>
      </c>
      <c r="B468" s="5">
        <v>7.0788705767710347E-5</v>
      </c>
      <c r="C468" s="5">
        <v>3783</v>
      </c>
      <c r="D468" s="5">
        <v>3783</v>
      </c>
      <c r="E468" s="5">
        <v>86.721249257371454</v>
      </c>
      <c r="F468" s="5">
        <v>1492</v>
      </c>
      <c r="G468" s="5">
        <v>1492</v>
      </c>
      <c r="H468" s="5">
        <v>33.958946383268206</v>
      </c>
      <c r="I468" s="1">
        <f t="shared" si="14"/>
        <v>5275</v>
      </c>
      <c r="J468" s="1">
        <f t="shared" si="15"/>
        <v>0.3871233785514579</v>
      </c>
      <c r="K468" s="6" t="s">
        <v>1964</v>
      </c>
    </row>
    <row r="469" spans="1:11">
      <c r="A469" s="5" t="s">
        <v>1729</v>
      </c>
      <c r="B469" s="5">
        <v>4.5760728539789852E-10</v>
      </c>
      <c r="C469" s="5">
        <v>21384</v>
      </c>
      <c r="D469" s="5">
        <v>21628</v>
      </c>
      <c r="E469" s="5">
        <v>682.73001803768477</v>
      </c>
      <c r="F469" s="5">
        <v>8407</v>
      </c>
      <c r="G469" s="5">
        <v>8433</v>
      </c>
      <c r="H469" s="5">
        <v>264.3083829045471</v>
      </c>
      <c r="I469" s="1">
        <f t="shared" si="14"/>
        <v>30061</v>
      </c>
      <c r="J469" s="1">
        <f t="shared" si="15"/>
        <v>0.38656834705475718</v>
      </c>
      <c r="K469" s="6" t="s">
        <v>2</v>
      </c>
    </row>
    <row r="470" spans="1:11">
      <c r="A470" s="5" t="s">
        <v>2085</v>
      </c>
      <c r="B470" s="5">
        <v>1.1278112888035707E-8</v>
      </c>
      <c r="C470" s="5">
        <v>2921</v>
      </c>
      <c r="D470" s="5">
        <v>2921</v>
      </c>
      <c r="E470" s="5">
        <v>126.76633057014834</v>
      </c>
      <c r="F470" s="5">
        <v>1146</v>
      </c>
      <c r="G470" s="5">
        <v>1146</v>
      </c>
      <c r="H470" s="5">
        <v>49.380238125988804</v>
      </c>
      <c r="I470" s="1">
        <f t="shared" si="14"/>
        <v>4067</v>
      </c>
      <c r="J470" s="1">
        <f t="shared" si="15"/>
        <v>0.38648866180654118</v>
      </c>
      <c r="K470" s="6" t="s">
        <v>2086</v>
      </c>
    </row>
    <row r="471" spans="1:11">
      <c r="A471" s="5" t="s">
        <v>1721</v>
      </c>
      <c r="B471" s="5">
        <v>7.9127926433386619E-10</v>
      </c>
      <c r="C471" s="5">
        <v>33138</v>
      </c>
      <c r="D471" s="5">
        <v>33236</v>
      </c>
      <c r="E471" s="5">
        <v>1098.8763286986909</v>
      </c>
      <c r="F471" s="5">
        <v>12872</v>
      </c>
      <c r="G471" s="5">
        <v>12936</v>
      </c>
      <c r="H471" s="5">
        <v>424.65503210428693</v>
      </c>
      <c r="I471" s="1">
        <f t="shared" si="14"/>
        <v>46172</v>
      </c>
      <c r="J471" s="1">
        <f t="shared" si="15"/>
        <v>0.3860934370746153</v>
      </c>
      <c r="K471" s="6" t="s">
        <v>1370</v>
      </c>
    </row>
    <row r="472" spans="1:11">
      <c r="A472" s="5" t="s">
        <v>80</v>
      </c>
      <c r="B472" s="5">
        <v>1.5080877097117806E-6</v>
      </c>
      <c r="C472" s="5">
        <v>5911</v>
      </c>
      <c r="D472" s="5">
        <v>5911</v>
      </c>
      <c r="E472" s="5">
        <v>103.83635742512637</v>
      </c>
      <c r="F472" s="5">
        <v>2316</v>
      </c>
      <c r="G472" s="5">
        <v>2316</v>
      </c>
      <c r="H472" s="5">
        <v>40.394593342531621</v>
      </c>
      <c r="I472" s="1">
        <f t="shared" si="14"/>
        <v>8227</v>
      </c>
      <c r="J472" s="1">
        <f t="shared" si="15"/>
        <v>0.38531092012979612</v>
      </c>
      <c r="K472" s="6" t="s">
        <v>81</v>
      </c>
    </row>
    <row r="473" spans="1:11">
      <c r="A473" s="5" t="s">
        <v>679</v>
      </c>
      <c r="B473" s="5">
        <v>2.5412624990089894E-3</v>
      </c>
      <c r="C473" s="5">
        <v>6088</v>
      </c>
      <c r="D473" s="5">
        <v>6091</v>
      </c>
      <c r="E473" s="5">
        <v>69.932677545005689</v>
      </c>
      <c r="F473" s="5">
        <v>2396</v>
      </c>
      <c r="G473" s="5">
        <v>2397</v>
      </c>
      <c r="H473" s="5">
        <v>27.324724451245928</v>
      </c>
      <c r="I473" s="1">
        <f t="shared" si="14"/>
        <v>8488</v>
      </c>
      <c r="J473" s="1">
        <f t="shared" si="15"/>
        <v>0.38522054146213236</v>
      </c>
      <c r="K473" s="6" t="s">
        <v>680</v>
      </c>
    </row>
    <row r="474" spans="1:11">
      <c r="A474" s="5" t="s">
        <v>2074</v>
      </c>
      <c r="B474" s="5">
        <v>1.6134594139627367E-5</v>
      </c>
      <c r="C474" s="5">
        <v>2764</v>
      </c>
      <c r="D474" s="5">
        <v>2770</v>
      </c>
      <c r="E474" s="5">
        <v>92.939176054907449</v>
      </c>
      <c r="F474" s="5">
        <v>1086</v>
      </c>
      <c r="G474" s="5">
        <v>1086</v>
      </c>
      <c r="H474" s="5">
        <v>36.178043293484819</v>
      </c>
      <c r="I474" s="1">
        <f t="shared" si="14"/>
        <v>3856</v>
      </c>
      <c r="J474" s="1">
        <f t="shared" si="15"/>
        <v>0.38512199928535412</v>
      </c>
      <c r="K474" s="6" t="s">
        <v>2075</v>
      </c>
    </row>
    <row r="475" spans="1:11">
      <c r="A475" s="5" t="s">
        <v>801</v>
      </c>
      <c r="B475" s="5">
        <v>5.5604051918400899E-8</v>
      </c>
      <c r="C475" s="5">
        <v>6890</v>
      </c>
      <c r="D475" s="5">
        <v>7267</v>
      </c>
      <c r="E475" s="5">
        <v>118.83428058809858</v>
      </c>
      <c r="F475" s="5">
        <v>2437</v>
      </c>
      <c r="G475" s="5">
        <v>2841</v>
      </c>
      <c r="H475" s="5">
        <v>46.126873067846113</v>
      </c>
      <c r="I475" s="1">
        <f t="shared" si="14"/>
        <v>10108</v>
      </c>
      <c r="J475" s="1">
        <f t="shared" si="15"/>
        <v>0.38492218454914506</v>
      </c>
      <c r="K475" s="6" t="s">
        <v>802</v>
      </c>
    </row>
    <row r="476" spans="1:11">
      <c r="A476" s="5" t="s">
        <v>658</v>
      </c>
      <c r="B476" s="5">
        <v>9.6947440131334162E-7</v>
      </c>
      <c r="C476" s="5">
        <v>3750</v>
      </c>
      <c r="D476" s="5">
        <v>3760</v>
      </c>
      <c r="E476" s="5">
        <v>105.69450051272212</v>
      </c>
      <c r="F476" s="5">
        <v>1467</v>
      </c>
      <c r="G476" s="5">
        <v>1471</v>
      </c>
      <c r="H476" s="5">
        <v>41.055695959759078</v>
      </c>
      <c r="I476" s="1">
        <f t="shared" si="14"/>
        <v>5231</v>
      </c>
      <c r="J476" s="1">
        <f t="shared" si="15"/>
        <v>0.3847967398738012</v>
      </c>
      <c r="K476" s="6" t="s">
        <v>659</v>
      </c>
    </row>
    <row r="477" spans="1:11">
      <c r="A477" s="5" t="s">
        <v>1122</v>
      </c>
      <c r="B477" s="5">
        <v>0</v>
      </c>
      <c r="C477" s="5">
        <v>15606</v>
      </c>
      <c r="D477" s="5">
        <v>15606</v>
      </c>
      <c r="E477" s="5">
        <v>478.74900663289236</v>
      </c>
      <c r="F477" s="5">
        <v>6049</v>
      </c>
      <c r="G477" s="5">
        <v>6049</v>
      </c>
      <c r="H477" s="5">
        <v>184.24515139755223</v>
      </c>
      <c r="I477" s="1">
        <f t="shared" si="14"/>
        <v>21655</v>
      </c>
      <c r="J477" s="1">
        <f t="shared" si="15"/>
        <v>0.38404488357500249</v>
      </c>
      <c r="K477" s="6" t="s">
        <v>1123</v>
      </c>
    </row>
    <row r="478" spans="1:11">
      <c r="A478" s="5" t="s">
        <v>1245</v>
      </c>
      <c r="B478" s="5">
        <v>3.0406097417667866E-6</v>
      </c>
      <c r="C478" s="5">
        <v>3948</v>
      </c>
      <c r="D478" s="5">
        <v>3948</v>
      </c>
      <c r="E478" s="5">
        <v>100.21258425478615</v>
      </c>
      <c r="F478" s="5">
        <v>1542</v>
      </c>
      <c r="G478" s="5">
        <v>1542</v>
      </c>
      <c r="H478" s="5">
        <v>38.862048680275208</v>
      </c>
      <c r="I478" s="1">
        <f t="shared" si="14"/>
        <v>5490</v>
      </c>
      <c r="J478" s="1">
        <f t="shared" si="15"/>
        <v>0.38396459260882371</v>
      </c>
      <c r="K478" s="6" t="s">
        <v>936</v>
      </c>
    </row>
    <row r="479" spans="1:11">
      <c r="A479" s="5" t="s">
        <v>702</v>
      </c>
      <c r="B479" s="5">
        <v>2.6161394682644445E-4</v>
      </c>
      <c r="C479" s="5">
        <v>3644</v>
      </c>
      <c r="D479" s="5">
        <v>3644</v>
      </c>
      <c r="E479" s="5">
        <v>79.899946755484564</v>
      </c>
      <c r="F479" s="5">
        <v>1426</v>
      </c>
      <c r="G479" s="5">
        <v>1426</v>
      </c>
      <c r="H479" s="5">
        <v>31.044441211573481</v>
      </c>
      <c r="I479" s="1">
        <f t="shared" si="14"/>
        <v>5070</v>
      </c>
      <c r="J479" s="1">
        <f t="shared" si="15"/>
        <v>0.38373871005630594</v>
      </c>
      <c r="K479" s="6" t="s">
        <v>582</v>
      </c>
    </row>
    <row r="480" spans="1:11">
      <c r="A480" s="5" t="s">
        <v>1678</v>
      </c>
      <c r="B480" s="5">
        <v>0</v>
      </c>
      <c r="C480" s="5">
        <v>28806</v>
      </c>
      <c r="D480" s="5">
        <v>34261</v>
      </c>
      <c r="E480" s="5">
        <v>577.97036463050358</v>
      </c>
      <c r="F480" s="5">
        <v>11097</v>
      </c>
      <c r="G480" s="5">
        <v>13261</v>
      </c>
      <c r="H480" s="5">
        <v>222.11506249589581</v>
      </c>
      <c r="I480" s="1">
        <f t="shared" si="14"/>
        <v>47522</v>
      </c>
      <c r="J480" s="1">
        <f t="shared" si="15"/>
        <v>0.38363805138394036</v>
      </c>
      <c r="K480" s="6" t="s">
        <v>314</v>
      </c>
    </row>
    <row r="481" spans="1:11">
      <c r="A481" s="5" t="s">
        <v>1330</v>
      </c>
      <c r="B481" s="5">
        <v>1.4915137458437755E-7</v>
      </c>
      <c r="C481" s="5">
        <v>4095</v>
      </c>
      <c r="D481" s="5">
        <v>4096</v>
      </c>
      <c r="E481" s="5">
        <v>113.72966905365455</v>
      </c>
      <c r="F481" s="5">
        <v>1595</v>
      </c>
      <c r="G481" s="5">
        <v>1595</v>
      </c>
      <c r="H481" s="5">
        <v>43.971442676805744</v>
      </c>
      <c r="I481" s="1">
        <f t="shared" si="14"/>
        <v>5691</v>
      </c>
      <c r="J481" s="1">
        <f t="shared" si="15"/>
        <v>0.38326130493971905</v>
      </c>
      <c r="K481" s="6" t="s">
        <v>1331</v>
      </c>
    </row>
    <row r="482" spans="1:11">
      <c r="A482" s="5" t="s">
        <v>254</v>
      </c>
      <c r="B482" s="5">
        <v>0</v>
      </c>
      <c r="C482" s="5">
        <v>5668</v>
      </c>
      <c r="D482" s="5">
        <v>5805</v>
      </c>
      <c r="E482" s="5">
        <v>421.22181919227558</v>
      </c>
      <c r="F482" s="5">
        <v>2232</v>
      </c>
      <c r="G482" s="5">
        <v>2240</v>
      </c>
      <c r="H482" s="5">
        <v>161.38116775611113</v>
      </c>
      <c r="I482" s="1">
        <f t="shared" si="14"/>
        <v>8045</v>
      </c>
      <c r="J482" s="1">
        <f t="shared" si="15"/>
        <v>0.38221892005685232</v>
      </c>
      <c r="K482" s="6" t="s">
        <v>255</v>
      </c>
    </row>
    <row r="483" spans="1:11">
      <c r="A483" s="5" t="s">
        <v>1313</v>
      </c>
      <c r="B483" s="5">
        <v>4.7563594516891738E-3</v>
      </c>
      <c r="C483" s="5">
        <v>2479</v>
      </c>
      <c r="D483" s="5">
        <v>2479</v>
      </c>
      <c r="E483" s="5">
        <v>66.262627344596439</v>
      </c>
      <c r="F483" s="5">
        <v>966</v>
      </c>
      <c r="G483" s="5">
        <v>966</v>
      </c>
      <c r="H483" s="5">
        <v>25.636896584536931</v>
      </c>
      <c r="I483" s="1">
        <f t="shared" si="14"/>
        <v>3445</v>
      </c>
      <c r="J483" s="1">
        <f t="shared" si="15"/>
        <v>0.38114622631666317</v>
      </c>
      <c r="K483" s="6" t="s">
        <v>1314</v>
      </c>
    </row>
    <row r="484" spans="1:11">
      <c r="A484" s="5" t="s">
        <v>360</v>
      </c>
      <c r="B484" s="5">
        <v>0</v>
      </c>
      <c r="C484" s="5">
        <v>761</v>
      </c>
      <c r="D484" s="5">
        <v>13388</v>
      </c>
      <c r="E484" s="5">
        <v>211.80058722981587</v>
      </c>
      <c r="F484" s="5">
        <v>283</v>
      </c>
      <c r="G484" s="5">
        <v>5163</v>
      </c>
      <c r="H484" s="5">
        <v>81.097932262718189</v>
      </c>
      <c r="I484" s="1">
        <f t="shared" si="14"/>
        <v>18551</v>
      </c>
      <c r="J484" s="1">
        <f t="shared" si="15"/>
        <v>0.3810982540905104</v>
      </c>
      <c r="K484" s="6" t="s">
        <v>361</v>
      </c>
    </row>
    <row r="485" spans="1:11">
      <c r="A485" s="5" t="s">
        <v>1519</v>
      </c>
      <c r="B485" s="5">
        <v>1.0555276896695442E-4</v>
      </c>
      <c r="C485" s="5">
        <v>9068</v>
      </c>
      <c r="D485" s="5">
        <v>9068</v>
      </c>
      <c r="E485" s="5">
        <v>83.275982082975887</v>
      </c>
      <c r="F485" s="5">
        <v>3520</v>
      </c>
      <c r="G485" s="5">
        <v>3520</v>
      </c>
      <c r="H485" s="5">
        <v>32.095719444287084</v>
      </c>
      <c r="I485" s="1">
        <f t="shared" si="14"/>
        <v>12588</v>
      </c>
      <c r="J485" s="1">
        <f t="shared" si="15"/>
        <v>0.38084064582820876</v>
      </c>
      <c r="K485" s="6" t="s">
        <v>145</v>
      </c>
    </row>
    <row r="486" spans="1:11">
      <c r="A486" s="5" t="s">
        <v>1400</v>
      </c>
      <c r="B486" s="5">
        <v>1.2279590536294349E-2</v>
      </c>
      <c r="C486" s="5">
        <v>2589</v>
      </c>
      <c r="D486" s="5">
        <v>2589</v>
      </c>
      <c r="E486" s="5">
        <v>61.960011379554153</v>
      </c>
      <c r="F486" s="5">
        <v>1009</v>
      </c>
      <c r="G486" s="5">
        <v>1009</v>
      </c>
      <c r="H486" s="5">
        <v>23.975452062805687</v>
      </c>
      <c r="I486" s="1">
        <f t="shared" si="14"/>
        <v>3598</v>
      </c>
      <c r="J486" s="1">
        <f t="shared" si="15"/>
        <v>0.38080444297047183</v>
      </c>
      <c r="K486" s="6" t="s">
        <v>1401</v>
      </c>
    </row>
    <row r="487" spans="1:11">
      <c r="A487" s="5" t="s">
        <v>2047</v>
      </c>
      <c r="B487" s="5">
        <v>2.2252262520117139E-4</v>
      </c>
      <c r="C487" s="5">
        <v>2882</v>
      </c>
      <c r="D487" s="5">
        <v>4193</v>
      </c>
      <c r="E487" s="5">
        <v>79.898119552165056</v>
      </c>
      <c r="F487" s="5">
        <v>1046</v>
      </c>
      <c r="G487" s="5">
        <v>1628</v>
      </c>
      <c r="H487" s="5">
        <v>30.800821239466362</v>
      </c>
      <c r="I487" s="1">
        <f t="shared" si="14"/>
        <v>5821</v>
      </c>
      <c r="J487" s="1">
        <f t="shared" si="15"/>
        <v>0.38073593564316721</v>
      </c>
      <c r="K487" s="6" t="s">
        <v>2048</v>
      </c>
    </row>
    <row r="488" spans="1:11">
      <c r="A488" s="5" t="s">
        <v>1498</v>
      </c>
      <c r="B488" s="5">
        <v>0</v>
      </c>
      <c r="C488" s="5">
        <v>7497</v>
      </c>
      <c r="D488" s="5">
        <v>7498</v>
      </c>
      <c r="E488" s="5">
        <v>489.27078496949457</v>
      </c>
      <c r="F488" s="5">
        <v>2880</v>
      </c>
      <c r="G488" s="5">
        <v>2880</v>
      </c>
      <c r="H488" s="5">
        <v>186.59179211266704</v>
      </c>
      <c r="I488" s="1">
        <f t="shared" si="14"/>
        <v>10378</v>
      </c>
      <c r="J488" s="1">
        <f t="shared" si="15"/>
        <v>0.38058925359845186</v>
      </c>
      <c r="K488" s="6" t="s">
        <v>2</v>
      </c>
    </row>
    <row r="489" spans="1:11">
      <c r="A489" s="5" t="s">
        <v>1466</v>
      </c>
      <c r="B489" s="5">
        <v>6.6100075821751147E-5</v>
      </c>
      <c r="C489" s="5">
        <v>4517</v>
      </c>
      <c r="D489" s="5">
        <v>7584</v>
      </c>
      <c r="E489" s="5">
        <v>85.310474803643686</v>
      </c>
      <c r="F489" s="5">
        <v>1774</v>
      </c>
      <c r="G489" s="5">
        <v>2941</v>
      </c>
      <c r="H489" s="5">
        <v>32.846965870825656</v>
      </c>
      <c r="I489" s="1">
        <f t="shared" si="14"/>
        <v>10525</v>
      </c>
      <c r="J489" s="1">
        <f t="shared" si="15"/>
        <v>0.38056754925230685</v>
      </c>
      <c r="K489" s="6" t="s">
        <v>1216</v>
      </c>
    </row>
    <row r="490" spans="1:11">
      <c r="A490" s="5" t="s">
        <v>1621</v>
      </c>
      <c r="B490" s="5">
        <v>0</v>
      </c>
      <c r="C490" s="5">
        <v>7931</v>
      </c>
      <c r="D490" s="5">
        <v>8284</v>
      </c>
      <c r="E490" s="5">
        <v>317.03732325443394</v>
      </c>
      <c r="F490" s="5">
        <v>3082</v>
      </c>
      <c r="G490" s="5">
        <v>3184</v>
      </c>
      <c r="H490" s="5">
        <v>120.98723773156311</v>
      </c>
      <c r="I490" s="1">
        <f t="shared" si="14"/>
        <v>11468</v>
      </c>
      <c r="J490" s="1">
        <f t="shared" si="15"/>
        <v>0.3804183625164389</v>
      </c>
      <c r="K490" s="6" t="s">
        <v>1622</v>
      </c>
    </row>
    <row r="491" spans="1:11">
      <c r="A491" s="5" t="s">
        <v>358</v>
      </c>
      <c r="B491" s="5">
        <v>1.0248496495890436E-9</v>
      </c>
      <c r="C491" s="5">
        <v>8527</v>
      </c>
      <c r="D491" s="5">
        <v>8528</v>
      </c>
      <c r="E491" s="5">
        <v>135.07156607766552</v>
      </c>
      <c r="F491" s="5">
        <v>3286</v>
      </c>
      <c r="G491" s="5">
        <v>3286</v>
      </c>
      <c r="H491" s="5">
        <v>51.675002070375626</v>
      </c>
      <c r="I491" s="1">
        <f t="shared" si="14"/>
        <v>11814</v>
      </c>
      <c r="J491" s="1">
        <f t="shared" si="15"/>
        <v>0.37976341097508282</v>
      </c>
      <c r="K491" s="6" t="s">
        <v>359</v>
      </c>
    </row>
    <row r="492" spans="1:11">
      <c r="A492" s="5" t="s">
        <v>1773</v>
      </c>
      <c r="B492" s="5">
        <v>0</v>
      </c>
      <c r="C492" s="5">
        <v>11465</v>
      </c>
      <c r="D492" s="5">
        <v>11528</v>
      </c>
      <c r="E492" s="5">
        <v>414.37924177517613</v>
      </c>
      <c r="F492" s="5">
        <v>4388</v>
      </c>
      <c r="G492" s="5">
        <v>4411</v>
      </c>
      <c r="H492" s="5">
        <v>157.42629748217666</v>
      </c>
      <c r="I492" s="1">
        <f t="shared" si="14"/>
        <v>15939</v>
      </c>
      <c r="J492" s="1">
        <f t="shared" si="15"/>
        <v>0.37899413752453137</v>
      </c>
      <c r="K492" s="6" t="s">
        <v>1605</v>
      </c>
    </row>
    <row r="493" spans="1:11">
      <c r="A493" s="5" t="s">
        <v>1436</v>
      </c>
      <c r="B493" s="5">
        <v>0</v>
      </c>
      <c r="C493" s="5">
        <v>4758</v>
      </c>
      <c r="D493" s="5">
        <v>4793</v>
      </c>
      <c r="E493" s="5">
        <v>194.94909091325485</v>
      </c>
      <c r="F493" s="5">
        <v>1829</v>
      </c>
      <c r="G493" s="5">
        <v>1836</v>
      </c>
      <c r="H493" s="5">
        <v>74.145135329971779</v>
      </c>
      <c r="I493" s="1">
        <f t="shared" si="14"/>
        <v>6629</v>
      </c>
      <c r="J493" s="1">
        <f t="shared" si="15"/>
        <v>0.37838978983982763</v>
      </c>
      <c r="K493" s="6" t="s">
        <v>189</v>
      </c>
    </row>
    <row r="494" spans="1:11">
      <c r="A494" s="5" t="s">
        <v>37</v>
      </c>
      <c r="B494" s="5">
        <v>0</v>
      </c>
      <c r="C494" s="5">
        <v>15251</v>
      </c>
      <c r="D494" s="5">
        <v>15254</v>
      </c>
      <c r="E494" s="5">
        <v>205.4812862959223</v>
      </c>
      <c r="F494" s="5">
        <v>5841</v>
      </c>
      <c r="G494" s="5">
        <v>5841</v>
      </c>
      <c r="H494" s="5">
        <v>78.121745784077063</v>
      </c>
      <c r="I494" s="1">
        <f t="shared" si="14"/>
        <v>21095</v>
      </c>
      <c r="J494" s="1">
        <f t="shared" si="15"/>
        <v>0.37834782602097655</v>
      </c>
      <c r="K494" s="6" t="s">
        <v>38</v>
      </c>
    </row>
    <row r="495" spans="1:11">
      <c r="A495" s="5" t="s">
        <v>1015</v>
      </c>
      <c r="B495" s="5">
        <v>3.2610208191841128E-4</v>
      </c>
      <c r="C495" s="5">
        <v>5011</v>
      </c>
      <c r="D495" s="5">
        <v>5011</v>
      </c>
      <c r="E495" s="5">
        <v>77.517269471749316</v>
      </c>
      <c r="F495" s="5">
        <v>1932</v>
      </c>
      <c r="G495" s="5">
        <v>1932</v>
      </c>
      <c r="H495" s="5">
        <v>29.674088371868784</v>
      </c>
      <c r="I495" s="1">
        <f t="shared" si="14"/>
        <v>6943</v>
      </c>
      <c r="J495" s="1">
        <f t="shared" si="15"/>
        <v>0.37793072239407899</v>
      </c>
      <c r="K495" s="6" t="s">
        <v>737</v>
      </c>
    </row>
    <row r="496" spans="1:11">
      <c r="A496" s="5" t="s">
        <v>1606</v>
      </c>
      <c r="B496" s="5">
        <v>0</v>
      </c>
      <c r="C496" s="5">
        <v>4740</v>
      </c>
      <c r="D496" s="5">
        <v>4877</v>
      </c>
      <c r="E496" s="5">
        <v>449.85302242384444</v>
      </c>
      <c r="F496" s="5">
        <v>1803</v>
      </c>
      <c r="G496" s="5">
        <v>1860</v>
      </c>
      <c r="H496" s="5">
        <v>170.34407462150048</v>
      </c>
      <c r="I496" s="1">
        <f t="shared" si="14"/>
        <v>6737</v>
      </c>
      <c r="J496" s="1">
        <f t="shared" si="15"/>
        <v>0.3778261787083263</v>
      </c>
      <c r="K496" s="6" t="s">
        <v>1607</v>
      </c>
    </row>
    <row r="497" spans="1:11">
      <c r="A497" s="5" t="s">
        <v>1112</v>
      </c>
      <c r="B497" s="5">
        <v>1.1821521539445712E-9</v>
      </c>
      <c r="C497" s="5">
        <v>7301</v>
      </c>
      <c r="D497" s="5">
        <v>7307</v>
      </c>
      <c r="E497" s="5">
        <v>133.71127866305386</v>
      </c>
      <c r="F497" s="5">
        <v>2799</v>
      </c>
      <c r="G497" s="5">
        <v>2799</v>
      </c>
      <c r="H497" s="5">
        <v>50.854341256967572</v>
      </c>
      <c r="I497" s="1">
        <f t="shared" si="14"/>
        <v>10106</v>
      </c>
      <c r="J497" s="1">
        <f t="shared" si="15"/>
        <v>0.37750618776447681</v>
      </c>
      <c r="K497" s="6" t="s">
        <v>45</v>
      </c>
    </row>
    <row r="498" spans="1:11">
      <c r="A498" s="5" t="s">
        <v>1688</v>
      </c>
      <c r="B498" s="5">
        <v>0</v>
      </c>
      <c r="C498" s="5">
        <v>18627</v>
      </c>
      <c r="D498" s="5">
        <v>18627</v>
      </c>
      <c r="E498" s="5">
        <v>348.59279871683026</v>
      </c>
      <c r="F498" s="5">
        <v>7101</v>
      </c>
      <c r="G498" s="5">
        <v>7101</v>
      </c>
      <c r="H498" s="5">
        <v>131.94447493630699</v>
      </c>
      <c r="I498" s="1">
        <f t="shared" si="14"/>
        <v>25728</v>
      </c>
      <c r="J498" s="1">
        <f t="shared" si="15"/>
        <v>0.37742332056210876</v>
      </c>
      <c r="K498" s="6" t="s">
        <v>1689</v>
      </c>
    </row>
    <row r="499" spans="1:11">
      <c r="A499" s="5" t="s">
        <v>891</v>
      </c>
      <c r="B499" s="5">
        <v>0</v>
      </c>
      <c r="C499" s="5">
        <v>24337</v>
      </c>
      <c r="D499" s="5">
        <v>24584</v>
      </c>
      <c r="E499" s="5">
        <v>316.73680858435688</v>
      </c>
      <c r="F499" s="5">
        <v>9271</v>
      </c>
      <c r="G499" s="5">
        <v>9367</v>
      </c>
      <c r="H499" s="5">
        <v>119.8236954624319</v>
      </c>
      <c r="I499" s="1">
        <f t="shared" si="14"/>
        <v>33951</v>
      </c>
      <c r="J499" s="1">
        <f t="shared" si="15"/>
        <v>0.37711619247481537</v>
      </c>
      <c r="K499" s="6" t="s">
        <v>136</v>
      </c>
    </row>
    <row r="500" spans="1:11">
      <c r="A500" s="5" t="s">
        <v>1250</v>
      </c>
      <c r="B500" s="5">
        <v>1.4300227668684329E-11</v>
      </c>
      <c r="C500" s="5">
        <v>14554</v>
      </c>
      <c r="D500" s="5">
        <v>14554</v>
      </c>
      <c r="E500" s="5">
        <v>404.93323111848122</v>
      </c>
      <c r="F500" s="5">
        <v>5538</v>
      </c>
      <c r="G500" s="5">
        <v>5539</v>
      </c>
      <c r="H500" s="5">
        <v>153.01309983722808</v>
      </c>
      <c r="I500" s="1">
        <f t="shared" si="14"/>
        <v>20093</v>
      </c>
      <c r="J500" s="1">
        <f t="shared" si="15"/>
        <v>0.37694154631200322</v>
      </c>
      <c r="K500" s="6" t="s">
        <v>1168</v>
      </c>
    </row>
    <row r="501" spans="1:11">
      <c r="A501" s="5" t="s">
        <v>860</v>
      </c>
      <c r="B501" s="5">
        <v>3.2486303869205813E-7</v>
      </c>
      <c r="C501" s="5">
        <v>10520</v>
      </c>
      <c r="D501" s="5">
        <v>10522</v>
      </c>
      <c r="E501" s="5">
        <v>108.00117311153423</v>
      </c>
      <c r="F501" s="5">
        <v>4029</v>
      </c>
      <c r="G501" s="5">
        <v>4029</v>
      </c>
      <c r="H501" s="5">
        <v>41.060444143974372</v>
      </c>
      <c r="I501" s="1">
        <f t="shared" si="14"/>
        <v>14551</v>
      </c>
      <c r="J501" s="1">
        <f t="shared" si="15"/>
        <v>0.37669726822077165</v>
      </c>
      <c r="K501" s="6" t="s">
        <v>861</v>
      </c>
    </row>
    <row r="502" spans="1:11">
      <c r="A502" s="5" t="s">
        <v>1558</v>
      </c>
      <c r="B502" s="5">
        <v>5.5637841878691807E-3</v>
      </c>
      <c r="C502" s="5">
        <v>36302</v>
      </c>
      <c r="D502" s="5">
        <v>48337</v>
      </c>
      <c r="E502" s="5">
        <v>64.664905502761286</v>
      </c>
      <c r="F502" s="5">
        <v>12175</v>
      </c>
      <c r="G502" s="5">
        <v>18619</v>
      </c>
      <c r="H502" s="5">
        <v>24.730990261956062</v>
      </c>
      <c r="I502" s="1">
        <f t="shared" si="14"/>
        <v>66956</v>
      </c>
      <c r="J502" s="1">
        <f t="shared" si="15"/>
        <v>0.37662416587070385</v>
      </c>
      <c r="K502" s="6" t="s">
        <v>107</v>
      </c>
    </row>
    <row r="503" spans="1:11">
      <c r="A503" s="5" t="s">
        <v>2172</v>
      </c>
      <c r="B503" s="5">
        <v>4.6189735369850382E-9</v>
      </c>
      <c r="C503" s="5">
        <v>10443</v>
      </c>
      <c r="D503" s="5">
        <v>10444</v>
      </c>
      <c r="E503" s="5">
        <v>127.04008690014099</v>
      </c>
      <c r="F503" s="5">
        <v>3991</v>
      </c>
      <c r="G503" s="5">
        <v>3992</v>
      </c>
      <c r="H503" s="5">
        <v>48.212610984677013</v>
      </c>
      <c r="I503" s="1">
        <f t="shared" si="14"/>
        <v>14436</v>
      </c>
      <c r="J503" s="1">
        <f t="shared" si="15"/>
        <v>0.3765430979617988</v>
      </c>
      <c r="K503" s="6" t="s">
        <v>2121</v>
      </c>
    </row>
    <row r="504" spans="1:11">
      <c r="A504" s="5" t="s">
        <v>1282</v>
      </c>
      <c r="B504" s="5">
        <v>2.3357038525517737E-10</v>
      </c>
      <c r="C504" s="5">
        <v>7018</v>
      </c>
      <c r="D504" s="5">
        <v>7018</v>
      </c>
      <c r="E504" s="5">
        <v>201.86551337409998</v>
      </c>
      <c r="F504" s="5">
        <v>2674</v>
      </c>
      <c r="G504" s="5">
        <v>2674</v>
      </c>
      <c r="H504" s="5">
        <v>76.367112450657103</v>
      </c>
      <c r="I504" s="1">
        <f t="shared" si="14"/>
        <v>9692</v>
      </c>
      <c r="J504" s="1">
        <f t="shared" si="15"/>
        <v>0.37644206341681219</v>
      </c>
      <c r="K504" s="6" t="s">
        <v>127</v>
      </c>
    </row>
    <row r="505" spans="1:11">
      <c r="A505" s="5" t="s">
        <v>1654</v>
      </c>
      <c r="B505" s="5">
        <v>1.2912759995986622E-4</v>
      </c>
      <c r="C505" s="5">
        <v>5448</v>
      </c>
      <c r="D505" s="5">
        <v>5448</v>
      </c>
      <c r="E505" s="5">
        <v>81.18508109108447</v>
      </c>
      <c r="F505" s="5">
        <v>2089</v>
      </c>
      <c r="G505" s="5">
        <v>2089</v>
      </c>
      <c r="H505" s="5">
        <v>30.908203990705569</v>
      </c>
      <c r="I505" s="1">
        <f t="shared" si="14"/>
        <v>7537</v>
      </c>
      <c r="J505" s="1">
        <f t="shared" si="15"/>
        <v>0.37608047081501905</v>
      </c>
      <c r="K505" s="6" t="s">
        <v>1655</v>
      </c>
    </row>
    <row r="506" spans="1:11">
      <c r="A506" s="5" t="s">
        <v>1583</v>
      </c>
      <c r="B506" s="5">
        <v>5.9533648660070604E-3</v>
      </c>
      <c r="C506" s="5">
        <v>6786</v>
      </c>
      <c r="D506" s="5">
        <v>6786</v>
      </c>
      <c r="E506" s="5">
        <v>64.249092034231481</v>
      </c>
      <c r="F506" s="5">
        <v>2610</v>
      </c>
      <c r="G506" s="5">
        <v>2610</v>
      </c>
      <c r="H506" s="5">
        <v>24.535213791954618</v>
      </c>
      <c r="I506" s="1">
        <f t="shared" si="14"/>
        <v>9396</v>
      </c>
      <c r="J506" s="1">
        <f t="shared" si="15"/>
        <v>0.37602383461646893</v>
      </c>
      <c r="K506" s="6" t="s">
        <v>654</v>
      </c>
    </row>
    <row r="507" spans="1:11">
      <c r="A507" s="5" t="s">
        <v>1377</v>
      </c>
      <c r="B507" s="5">
        <v>5.2434168118509206E-11</v>
      </c>
      <c r="C507" s="5">
        <v>2555</v>
      </c>
      <c r="D507" s="5">
        <v>2555</v>
      </c>
      <c r="E507" s="5">
        <v>146.67377370504803</v>
      </c>
      <c r="F507" s="5">
        <v>974</v>
      </c>
      <c r="G507" s="5">
        <v>974</v>
      </c>
      <c r="H507" s="5">
        <v>55.515814800820891</v>
      </c>
      <c r="I507" s="1">
        <f t="shared" si="14"/>
        <v>3529</v>
      </c>
      <c r="J507" s="1">
        <f t="shared" si="15"/>
        <v>0.37593550572970258</v>
      </c>
      <c r="K507" s="6" t="s">
        <v>2</v>
      </c>
    </row>
    <row r="508" spans="1:11">
      <c r="A508" s="5" t="s">
        <v>182</v>
      </c>
      <c r="B508" s="5">
        <v>3.053513313866496E-6</v>
      </c>
      <c r="C508" s="5">
        <v>2859</v>
      </c>
      <c r="D508" s="5">
        <v>2859</v>
      </c>
      <c r="E508" s="5">
        <v>97.610320117650161</v>
      </c>
      <c r="F508" s="5">
        <v>1092</v>
      </c>
      <c r="G508" s="5">
        <v>1092</v>
      </c>
      <c r="H508" s="5">
        <v>37.016931907671349</v>
      </c>
      <c r="I508" s="1">
        <f t="shared" si="14"/>
        <v>3951</v>
      </c>
      <c r="J508" s="1">
        <f t="shared" si="15"/>
        <v>0.37538598255747602</v>
      </c>
      <c r="K508" s="6" t="s">
        <v>183</v>
      </c>
    </row>
    <row r="509" spans="1:11">
      <c r="A509" s="5" t="s">
        <v>1513</v>
      </c>
      <c r="B509" s="5">
        <v>5.1208960505427781E-3</v>
      </c>
      <c r="C509" s="5">
        <v>8944</v>
      </c>
      <c r="D509" s="5">
        <v>8946</v>
      </c>
      <c r="E509" s="5">
        <v>64.775686021312978</v>
      </c>
      <c r="F509" s="5">
        <v>3432</v>
      </c>
      <c r="G509" s="5">
        <v>3434</v>
      </c>
      <c r="H509" s="5">
        <v>24.687642407855158</v>
      </c>
      <c r="I509" s="1">
        <f t="shared" si="14"/>
        <v>12380</v>
      </c>
      <c r="J509" s="1">
        <f t="shared" si="15"/>
        <v>0.37533082360943737</v>
      </c>
      <c r="K509" s="6" t="s">
        <v>1514</v>
      </c>
    </row>
    <row r="510" spans="1:11">
      <c r="A510" s="5" t="s">
        <v>1563</v>
      </c>
      <c r="B510" s="5">
        <v>0</v>
      </c>
      <c r="C510" s="5">
        <v>7416</v>
      </c>
      <c r="D510" s="5">
        <v>7475</v>
      </c>
      <c r="E510" s="5">
        <v>423.75014783352981</v>
      </c>
      <c r="F510" s="5">
        <v>2805</v>
      </c>
      <c r="G510" s="5">
        <v>2827</v>
      </c>
      <c r="H510" s="5">
        <v>159.11849931868238</v>
      </c>
      <c r="I510" s="1">
        <f t="shared" si="14"/>
        <v>10302</v>
      </c>
      <c r="J510" s="1">
        <f t="shared" si="15"/>
        <v>0.37461670144266762</v>
      </c>
      <c r="K510" s="6" t="s">
        <v>612</v>
      </c>
    </row>
    <row r="511" spans="1:11">
      <c r="A511" s="5" t="s">
        <v>2049</v>
      </c>
      <c r="B511" s="5">
        <v>6.1967653230965425E-11</v>
      </c>
      <c r="C511" s="5">
        <v>10512</v>
      </c>
      <c r="D511" s="5">
        <v>10522</v>
      </c>
      <c r="E511" s="5">
        <v>293.65242042941259</v>
      </c>
      <c r="F511" s="5">
        <v>3971</v>
      </c>
      <c r="G511" s="5">
        <v>3974</v>
      </c>
      <c r="H511" s="5">
        <v>110.11826247643984</v>
      </c>
      <c r="I511" s="1">
        <f t="shared" si="14"/>
        <v>14496</v>
      </c>
      <c r="J511" s="1">
        <f t="shared" si="15"/>
        <v>0.37372257901685879</v>
      </c>
      <c r="K511" s="6" t="s">
        <v>2050</v>
      </c>
    </row>
    <row r="512" spans="1:11">
      <c r="A512" s="5" t="s">
        <v>1428</v>
      </c>
      <c r="B512" s="5">
        <v>0</v>
      </c>
      <c r="C512" s="5">
        <v>70975</v>
      </c>
      <c r="D512" s="5">
        <v>71007</v>
      </c>
      <c r="E512" s="5">
        <v>3456.4418876669201</v>
      </c>
      <c r="F512" s="5">
        <v>26713</v>
      </c>
      <c r="G512" s="5">
        <v>26720</v>
      </c>
      <c r="H512" s="5">
        <v>1291.3999017028443</v>
      </c>
      <c r="I512" s="1">
        <f t="shared" si="14"/>
        <v>97727</v>
      </c>
      <c r="J512" s="1">
        <f t="shared" si="15"/>
        <v>0.37351311856011565</v>
      </c>
      <c r="K512" s="6" t="s">
        <v>1429</v>
      </c>
    </row>
    <row r="513" spans="1:11">
      <c r="A513" s="5" t="s">
        <v>1060</v>
      </c>
      <c r="B513" s="5">
        <v>0</v>
      </c>
      <c r="C513" s="5">
        <v>7509</v>
      </c>
      <c r="D513" s="5">
        <v>7510</v>
      </c>
      <c r="E513" s="5">
        <v>281.09002183533528</v>
      </c>
      <c r="F513" s="5">
        <v>2835</v>
      </c>
      <c r="G513" s="5">
        <v>2835</v>
      </c>
      <c r="H513" s="5">
        <v>105.3549039415379</v>
      </c>
      <c r="I513" s="1">
        <f t="shared" si="14"/>
        <v>10345</v>
      </c>
      <c r="J513" s="1">
        <f t="shared" si="15"/>
        <v>0.37347972557156534</v>
      </c>
      <c r="K513" s="6" t="s">
        <v>1061</v>
      </c>
    </row>
    <row r="514" spans="1:11">
      <c r="A514" s="5" t="s">
        <v>811</v>
      </c>
      <c r="B514" s="5">
        <v>1.5706931530967694E-5</v>
      </c>
      <c r="C514" s="5">
        <v>4638</v>
      </c>
      <c r="D514" s="5">
        <v>4638</v>
      </c>
      <c r="E514" s="5">
        <v>89.760513148419577</v>
      </c>
      <c r="F514" s="5">
        <v>1763</v>
      </c>
      <c r="G514" s="5">
        <v>1763</v>
      </c>
      <c r="H514" s="5">
        <v>33.876855737133894</v>
      </c>
      <c r="I514" s="1">
        <f t="shared" ref="I514:I577" si="16">D514+G514</f>
        <v>6401</v>
      </c>
      <c r="J514" s="1">
        <f t="shared" ref="J514:J577" si="17">H514/(E514+1)</f>
        <v>0.37325544514865711</v>
      </c>
      <c r="K514" s="6" t="s">
        <v>812</v>
      </c>
    </row>
    <row r="515" spans="1:11">
      <c r="A515" s="5" t="s">
        <v>392</v>
      </c>
      <c r="B515" s="5">
        <v>7.7703719092436785E-6</v>
      </c>
      <c r="C515" s="5">
        <v>750</v>
      </c>
      <c r="D515" s="5">
        <v>6366</v>
      </c>
      <c r="E515" s="5">
        <v>92.732008316942299</v>
      </c>
      <c r="F515" s="5">
        <v>266</v>
      </c>
      <c r="G515" s="5">
        <v>2416</v>
      </c>
      <c r="H515" s="5">
        <v>34.942675987265957</v>
      </c>
      <c r="I515" s="1">
        <f t="shared" si="16"/>
        <v>8782</v>
      </c>
      <c r="J515" s="1">
        <f t="shared" si="17"/>
        <v>0.3727934204622177</v>
      </c>
      <c r="K515" s="6" t="s">
        <v>39</v>
      </c>
    </row>
    <row r="516" spans="1:11">
      <c r="A516" s="5" t="s">
        <v>1728</v>
      </c>
      <c r="B516" s="5">
        <v>8.5324691756483162E-10</v>
      </c>
      <c r="C516" s="5">
        <v>58866</v>
      </c>
      <c r="D516" s="5">
        <v>58899</v>
      </c>
      <c r="E516" s="5">
        <v>749.61820220683194</v>
      </c>
      <c r="F516" s="5">
        <v>22087</v>
      </c>
      <c r="G516" s="5">
        <v>22126</v>
      </c>
      <c r="H516" s="5">
        <v>279.59622940423145</v>
      </c>
      <c r="I516" s="1">
        <f t="shared" si="16"/>
        <v>81025</v>
      </c>
      <c r="J516" s="1">
        <f t="shared" si="17"/>
        <v>0.37248794204858499</v>
      </c>
      <c r="K516" s="6" t="s">
        <v>549</v>
      </c>
    </row>
    <row r="517" spans="1:11">
      <c r="A517" s="5" t="s">
        <v>1695</v>
      </c>
      <c r="B517" s="5">
        <v>3.90434349295532E-7</v>
      </c>
      <c r="C517" s="5">
        <v>1609</v>
      </c>
      <c r="D517" s="5">
        <v>1609</v>
      </c>
      <c r="E517" s="5">
        <v>105.75370855340402</v>
      </c>
      <c r="F517" s="5">
        <v>608</v>
      </c>
      <c r="G517" s="5">
        <v>609</v>
      </c>
      <c r="H517" s="5">
        <v>39.742305238852097</v>
      </c>
      <c r="I517" s="1">
        <f t="shared" si="16"/>
        <v>2218</v>
      </c>
      <c r="J517" s="1">
        <f t="shared" si="17"/>
        <v>0.37228032428466717</v>
      </c>
      <c r="K517" s="6" t="s">
        <v>2</v>
      </c>
    </row>
    <row r="518" spans="1:11">
      <c r="A518" s="5" t="s">
        <v>1647</v>
      </c>
      <c r="B518" s="5">
        <v>4.1470660239184554E-10</v>
      </c>
      <c r="C518" s="5">
        <v>18134</v>
      </c>
      <c r="D518" s="5">
        <v>18439</v>
      </c>
      <c r="E518" s="5">
        <v>892.7728033976075</v>
      </c>
      <c r="F518" s="5">
        <v>6845</v>
      </c>
      <c r="G518" s="5">
        <v>6917</v>
      </c>
      <c r="H518" s="5">
        <v>332.51984026546035</v>
      </c>
      <c r="I518" s="1">
        <f t="shared" si="16"/>
        <v>25356</v>
      </c>
      <c r="J518" s="1">
        <f t="shared" si="17"/>
        <v>0.37204067857224132</v>
      </c>
      <c r="K518" s="6" t="s">
        <v>2</v>
      </c>
    </row>
    <row r="519" spans="1:11">
      <c r="A519" s="5" t="s">
        <v>253</v>
      </c>
      <c r="B519" s="5">
        <v>2.4543957422018536E-8</v>
      </c>
      <c r="C519" s="5">
        <v>1674</v>
      </c>
      <c r="D519" s="5">
        <v>1684</v>
      </c>
      <c r="E519" s="5">
        <v>117.79650058783739</v>
      </c>
      <c r="F519" s="5">
        <v>628</v>
      </c>
      <c r="G519" s="5">
        <v>636</v>
      </c>
      <c r="H519" s="5">
        <v>44.171649501735793</v>
      </c>
      <c r="I519" s="1">
        <f t="shared" si="16"/>
        <v>2320</v>
      </c>
      <c r="J519" s="1">
        <f t="shared" si="17"/>
        <v>0.37182618413137136</v>
      </c>
      <c r="K519" s="6" t="s">
        <v>2</v>
      </c>
    </row>
    <row r="520" spans="1:11">
      <c r="A520" s="5" t="s">
        <v>2274</v>
      </c>
      <c r="B520" s="5">
        <v>0</v>
      </c>
      <c r="C520" s="5">
        <v>25150</v>
      </c>
      <c r="D520" s="5">
        <v>25150</v>
      </c>
      <c r="E520" s="5">
        <v>360.37356641826079</v>
      </c>
      <c r="F520" s="5">
        <v>9440</v>
      </c>
      <c r="G520" s="5">
        <v>9440</v>
      </c>
      <c r="H520" s="5">
        <v>134.30220178304216</v>
      </c>
      <c r="I520" s="1">
        <f t="shared" si="16"/>
        <v>34590</v>
      </c>
      <c r="J520" s="1">
        <f t="shared" si="17"/>
        <v>0.37164367918266106</v>
      </c>
      <c r="K520" s="6" t="s">
        <v>44</v>
      </c>
    </row>
    <row r="521" spans="1:11">
      <c r="A521" s="5" t="s">
        <v>1218</v>
      </c>
      <c r="B521" s="5">
        <v>0</v>
      </c>
      <c r="C521" s="5">
        <v>26698</v>
      </c>
      <c r="D521" s="5">
        <v>26708</v>
      </c>
      <c r="E521" s="5">
        <v>448.3304698740568</v>
      </c>
      <c r="F521" s="5">
        <v>9985</v>
      </c>
      <c r="G521" s="5">
        <v>9986</v>
      </c>
      <c r="H521" s="5">
        <v>166.4349960217175</v>
      </c>
      <c r="I521" s="1">
        <f t="shared" si="16"/>
        <v>36694</v>
      </c>
      <c r="J521" s="1">
        <f t="shared" si="17"/>
        <v>0.37040665430138242</v>
      </c>
      <c r="K521" s="6" t="s">
        <v>248</v>
      </c>
    </row>
    <row r="522" spans="1:11">
      <c r="A522" s="5" t="s">
        <v>2054</v>
      </c>
      <c r="B522" s="5">
        <v>4.2856352300280065E-7</v>
      </c>
      <c r="C522" s="5">
        <v>3656</v>
      </c>
      <c r="D522" s="5">
        <v>7024</v>
      </c>
      <c r="E522" s="5">
        <v>104.72769310844019</v>
      </c>
      <c r="F522" s="5">
        <v>1294</v>
      </c>
      <c r="G522" s="5">
        <v>2645</v>
      </c>
      <c r="H522" s="5">
        <v>39.156053270081387</v>
      </c>
      <c r="I522" s="1">
        <f t="shared" si="16"/>
        <v>9669</v>
      </c>
      <c r="J522" s="1">
        <f t="shared" si="17"/>
        <v>0.37034812846924375</v>
      </c>
      <c r="K522" s="6" t="s">
        <v>2055</v>
      </c>
    </row>
    <row r="523" spans="1:11">
      <c r="A523" s="5" t="s">
        <v>54</v>
      </c>
      <c r="B523" s="5">
        <v>0</v>
      </c>
      <c r="C523" s="5">
        <v>13476</v>
      </c>
      <c r="D523" s="5">
        <v>19551</v>
      </c>
      <c r="E523" s="5">
        <v>419.22508043262718</v>
      </c>
      <c r="F523" s="5">
        <v>5141</v>
      </c>
      <c r="G523" s="5">
        <v>7310</v>
      </c>
      <c r="H523" s="5">
        <v>155.62947698955858</v>
      </c>
      <c r="I523" s="1">
        <f t="shared" si="16"/>
        <v>26861</v>
      </c>
      <c r="J523" s="1">
        <f t="shared" si="17"/>
        <v>0.37034790219883118</v>
      </c>
      <c r="K523" s="6" t="s">
        <v>16</v>
      </c>
    </row>
    <row r="524" spans="1:11">
      <c r="A524" s="5" t="s">
        <v>1391</v>
      </c>
      <c r="B524" s="5">
        <v>0</v>
      </c>
      <c r="C524" s="5">
        <v>44705</v>
      </c>
      <c r="D524" s="5">
        <v>62652</v>
      </c>
      <c r="E524" s="5">
        <v>571.12412657677817</v>
      </c>
      <c r="F524" s="5">
        <v>17316</v>
      </c>
      <c r="G524" s="5">
        <v>23404</v>
      </c>
      <c r="H524" s="5">
        <v>211.82726411993139</v>
      </c>
      <c r="I524" s="1">
        <f t="shared" si="16"/>
        <v>86056</v>
      </c>
      <c r="J524" s="1">
        <f t="shared" si="17"/>
        <v>0.37024703954956267</v>
      </c>
      <c r="K524" s="6" t="s">
        <v>74</v>
      </c>
    </row>
    <row r="525" spans="1:11">
      <c r="A525" s="5" t="s">
        <v>1497</v>
      </c>
      <c r="B525" s="5">
        <v>2.3833712781140548E-11</v>
      </c>
      <c r="C525" s="5">
        <v>1740</v>
      </c>
      <c r="D525" s="5">
        <v>1746</v>
      </c>
      <c r="E525" s="5">
        <v>144.40699958171604</v>
      </c>
      <c r="F525" s="5">
        <v>650</v>
      </c>
      <c r="G525" s="5">
        <v>654</v>
      </c>
      <c r="H525" s="5">
        <v>53.705399739722985</v>
      </c>
      <c r="I525" s="1">
        <f t="shared" si="16"/>
        <v>2400</v>
      </c>
      <c r="J525" s="1">
        <f t="shared" si="17"/>
        <v>0.36934535403532309</v>
      </c>
      <c r="K525" s="6" t="s">
        <v>2</v>
      </c>
    </row>
    <row r="526" spans="1:11">
      <c r="A526" s="5" t="s">
        <v>1316</v>
      </c>
      <c r="B526" s="5">
        <v>8.505131907088348E-6</v>
      </c>
      <c r="C526" s="5">
        <v>1956</v>
      </c>
      <c r="D526" s="5">
        <v>1956</v>
      </c>
      <c r="E526" s="5">
        <v>91.293571779675986</v>
      </c>
      <c r="F526" s="5">
        <v>734</v>
      </c>
      <c r="G526" s="5">
        <v>735</v>
      </c>
      <c r="H526" s="5">
        <v>34.060803389777419</v>
      </c>
      <c r="I526" s="1">
        <f t="shared" si="16"/>
        <v>2691</v>
      </c>
      <c r="J526" s="1">
        <f t="shared" si="17"/>
        <v>0.36904849095111047</v>
      </c>
      <c r="K526" s="6" t="s">
        <v>158</v>
      </c>
    </row>
    <row r="527" spans="1:11">
      <c r="A527" s="5" t="s">
        <v>214</v>
      </c>
      <c r="B527" s="5">
        <v>1.5885741720739199E-3</v>
      </c>
      <c r="C527" s="5">
        <v>6949</v>
      </c>
      <c r="D527" s="5">
        <v>6953</v>
      </c>
      <c r="E527" s="5">
        <v>68.57414983061993</v>
      </c>
      <c r="F527" s="5">
        <v>2621</v>
      </c>
      <c r="G527" s="5">
        <v>2621</v>
      </c>
      <c r="H527" s="5">
        <v>25.665600123344333</v>
      </c>
      <c r="I527" s="1">
        <f t="shared" si="16"/>
        <v>9574</v>
      </c>
      <c r="J527" s="1">
        <f t="shared" si="17"/>
        <v>0.36889563416625143</v>
      </c>
      <c r="K527" s="6" t="s">
        <v>104</v>
      </c>
    </row>
    <row r="528" spans="1:11">
      <c r="A528" s="5" t="s">
        <v>1940</v>
      </c>
      <c r="B528" s="5">
        <v>4.3485238798884884E-3</v>
      </c>
      <c r="C528" s="5">
        <v>5814</v>
      </c>
      <c r="D528" s="5">
        <v>5815</v>
      </c>
      <c r="E528" s="5">
        <v>64.190786740545477</v>
      </c>
      <c r="F528" s="5">
        <v>2193</v>
      </c>
      <c r="G528" s="5">
        <v>2193</v>
      </c>
      <c r="H528" s="5">
        <v>24.035757358995923</v>
      </c>
      <c r="I528" s="1">
        <f t="shared" si="16"/>
        <v>8008</v>
      </c>
      <c r="J528" s="1">
        <f t="shared" si="17"/>
        <v>0.36869868520925303</v>
      </c>
      <c r="K528" s="6" t="s">
        <v>1941</v>
      </c>
    </row>
    <row r="529" spans="1:11">
      <c r="A529" s="5" t="s">
        <v>394</v>
      </c>
      <c r="B529" s="5">
        <v>2.0680666259975666E-3</v>
      </c>
      <c r="C529" s="5">
        <v>2712</v>
      </c>
      <c r="D529" s="5">
        <v>2712</v>
      </c>
      <c r="E529" s="5">
        <v>67.393105474110143</v>
      </c>
      <c r="F529" s="5">
        <v>1022</v>
      </c>
      <c r="G529" s="5">
        <v>1022</v>
      </c>
      <c r="H529" s="5">
        <v>25.215807461892364</v>
      </c>
      <c r="I529" s="1">
        <f t="shared" si="16"/>
        <v>3734</v>
      </c>
      <c r="J529" s="1">
        <f t="shared" si="17"/>
        <v>0.36868931871265415</v>
      </c>
      <c r="K529" s="6" t="s">
        <v>395</v>
      </c>
    </row>
    <row r="530" spans="1:11">
      <c r="A530" s="5" t="s">
        <v>105</v>
      </c>
      <c r="B530" s="5">
        <v>1.4300227668684329E-11</v>
      </c>
      <c r="C530" s="5">
        <v>8077</v>
      </c>
      <c r="D530" s="5">
        <v>8077</v>
      </c>
      <c r="E530" s="5">
        <v>190.94780146328267</v>
      </c>
      <c r="F530" s="5">
        <v>3014</v>
      </c>
      <c r="G530" s="5">
        <v>3014</v>
      </c>
      <c r="H530" s="5">
        <v>70.746348228382388</v>
      </c>
      <c r="I530" s="1">
        <f t="shared" si="16"/>
        <v>11091</v>
      </c>
      <c r="J530" s="1">
        <f t="shared" si="17"/>
        <v>0.36857076605753841</v>
      </c>
      <c r="K530" s="6" t="s">
        <v>106</v>
      </c>
    </row>
    <row r="531" spans="1:11">
      <c r="A531" s="5" t="s">
        <v>1326</v>
      </c>
      <c r="B531" s="5">
        <v>1.9066970224912438E-11</v>
      </c>
      <c r="C531" s="5">
        <v>4904</v>
      </c>
      <c r="D531" s="5">
        <v>4921</v>
      </c>
      <c r="E531" s="5">
        <v>251.22685353796561</v>
      </c>
      <c r="F531" s="5">
        <v>1827</v>
      </c>
      <c r="G531" s="5">
        <v>1834</v>
      </c>
      <c r="H531" s="5">
        <v>92.962592237558155</v>
      </c>
      <c r="I531" s="1">
        <f t="shared" si="16"/>
        <v>6755</v>
      </c>
      <c r="J531" s="1">
        <f t="shared" si="17"/>
        <v>0.36856738659496169</v>
      </c>
      <c r="K531" s="6" t="s">
        <v>1327</v>
      </c>
    </row>
    <row r="532" spans="1:11">
      <c r="A532" s="5" t="s">
        <v>912</v>
      </c>
      <c r="B532" s="5">
        <v>3.4802548925294552E-4</v>
      </c>
      <c r="C532" s="5">
        <v>2345</v>
      </c>
      <c r="D532" s="5">
        <v>2346</v>
      </c>
      <c r="E532" s="5">
        <v>74.925269909460525</v>
      </c>
      <c r="F532" s="5">
        <v>881</v>
      </c>
      <c r="G532" s="5">
        <v>881</v>
      </c>
      <c r="H532" s="5">
        <v>27.936527130190107</v>
      </c>
      <c r="I532" s="1">
        <f t="shared" si="16"/>
        <v>3227</v>
      </c>
      <c r="J532" s="1">
        <f t="shared" si="17"/>
        <v>0.36794768281369167</v>
      </c>
      <c r="K532" s="6" t="s">
        <v>913</v>
      </c>
    </row>
    <row r="533" spans="1:11">
      <c r="A533" s="5" t="s">
        <v>2102</v>
      </c>
      <c r="B533" s="5">
        <v>2.3540064732244237E-2</v>
      </c>
      <c r="C533" s="5">
        <v>158</v>
      </c>
      <c r="D533" s="5">
        <v>1822</v>
      </c>
      <c r="E533" s="5">
        <v>56.790282888634792</v>
      </c>
      <c r="F533" s="5">
        <v>67</v>
      </c>
      <c r="G533" s="5">
        <v>687</v>
      </c>
      <c r="H533" s="5">
        <v>21.260750768679497</v>
      </c>
      <c r="I533" s="1">
        <f t="shared" si="16"/>
        <v>2509</v>
      </c>
      <c r="J533" s="1">
        <f t="shared" si="17"/>
        <v>0.36789490734368252</v>
      </c>
      <c r="K533" s="6" t="s">
        <v>2101</v>
      </c>
    </row>
    <row r="534" spans="1:11">
      <c r="A534" s="5" t="s">
        <v>899</v>
      </c>
      <c r="B534" s="5">
        <v>7.3979844472660261E-9</v>
      </c>
      <c r="C534" s="5">
        <v>18212</v>
      </c>
      <c r="D534" s="5">
        <v>18216</v>
      </c>
      <c r="E534" s="5">
        <v>121.66674687541611</v>
      </c>
      <c r="F534" s="5">
        <v>6804</v>
      </c>
      <c r="G534" s="5">
        <v>6804</v>
      </c>
      <c r="H534" s="5">
        <v>45.121069316935525</v>
      </c>
      <c r="I534" s="1">
        <f t="shared" si="16"/>
        <v>25020</v>
      </c>
      <c r="J534" s="1">
        <f t="shared" si="17"/>
        <v>0.36783456369607476</v>
      </c>
      <c r="K534" s="6" t="s">
        <v>900</v>
      </c>
    </row>
    <row r="535" spans="1:11">
      <c r="A535" s="5" t="s">
        <v>1246</v>
      </c>
      <c r="B535" s="5">
        <v>2.2298821678035097E-8</v>
      </c>
      <c r="C535" s="5">
        <v>4526</v>
      </c>
      <c r="D535" s="5">
        <v>4526</v>
      </c>
      <c r="E535" s="5">
        <v>116.62469863755281</v>
      </c>
      <c r="F535" s="5">
        <v>1689</v>
      </c>
      <c r="G535" s="5">
        <v>1689</v>
      </c>
      <c r="H535" s="5">
        <v>43.211747973961245</v>
      </c>
      <c r="I535" s="1">
        <f t="shared" si="16"/>
        <v>6215</v>
      </c>
      <c r="J535" s="1">
        <f t="shared" si="17"/>
        <v>0.36736968064091158</v>
      </c>
      <c r="K535" s="6" t="s">
        <v>1247</v>
      </c>
    </row>
    <row r="536" spans="1:11">
      <c r="A536" s="5" t="s">
        <v>774</v>
      </c>
      <c r="B536" s="5">
        <v>2.3833712781140548E-11</v>
      </c>
      <c r="C536" s="5">
        <v>7242</v>
      </c>
      <c r="D536" s="5">
        <v>7247</v>
      </c>
      <c r="E536" s="5">
        <v>267.92938676890424</v>
      </c>
      <c r="F536" s="5">
        <v>2687</v>
      </c>
      <c r="G536" s="5">
        <v>2689</v>
      </c>
      <c r="H536" s="5">
        <v>98.707258732087396</v>
      </c>
      <c r="I536" s="1">
        <f t="shared" si="16"/>
        <v>9936</v>
      </c>
      <c r="J536" s="1">
        <f t="shared" si="17"/>
        <v>0.36703783070352325</v>
      </c>
      <c r="K536" s="6" t="s">
        <v>99</v>
      </c>
    </row>
    <row r="537" spans="1:11">
      <c r="A537" s="5" t="s">
        <v>1144</v>
      </c>
      <c r="B537" s="5">
        <v>3.4444962151286562E-3</v>
      </c>
      <c r="C537" s="5">
        <v>2351</v>
      </c>
      <c r="D537" s="5">
        <v>2365</v>
      </c>
      <c r="E537" s="5">
        <v>64.806982364258587</v>
      </c>
      <c r="F537" s="5">
        <v>883</v>
      </c>
      <c r="G537" s="5">
        <v>887</v>
      </c>
      <c r="H537" s="5">
        <v>24.132953408177091</v>
      </c>
      <c r="I537" s="1">
        <f t="shared" si="16"/>
        <v>3252</v>
      </c>
      <c r="J537" s="1">
        <f t="shared" si="17"/>
        <v>0.36672329502354295</v>
      </c>
      <c r="K537" s="6" t="s">
        <v>1145</v>
      </c>
    </row>
    <row r="538" spans="1:11">
      <c r="A538" s="5" t="s">
        <v>1906</v>
      </c>
      <c r="B538" s="5">
        <v>1.7504428144385908E-2</v>
      </c>
      <c r="C538" s="5">
        <v>1267</v>
      </c>
      <c r="D538" s="5">
        <v>1267</v>
      </c>
      <c r="E538" s="5">
        <v>57.845590425902785</v>
      </c>
      <c r="F538" s="5">
        <v>476</v>
      </c>
      <c r="G538" s="5">
        <v>476</v>
      </c>
      <c r="H538" s="5">
        <v>21.577284908666282</v>
      </c>
      <c r="I538" s="1">
        <f t="shared" si="16"/>
        <v>1743</v>
      </c>
      <c r="J538" s="1">
        <f t="shared" si="17"/>
        <v>0.36667632616985935</v>
      </c>
      <c r="K538" s="6" t="s">
        <v>1907</v>
      </c>
    </row>
    <row r="539" spans="1:11">
      <c r="A539" s="5" t="s">
        <v>1585</v>
      </c>
      <c r="B539" s="5">
        <v>1.0486833623701841E-10</v>
      </c>
      <c r="C539" s="5">
        <v>5043</v>
      </c>
      <c r="D539" s="5">
        <v>5043</v>
      </c>
      <c r="E539" s="5">
        <v>169.41187627098651</v>
      </c>
      <c r="F539" s="5">
        <v>1873</v>
      </c>
      <c r="G539" s="5">
        <v>1873</v>
      </c>
      <c r="H539" s="5">
        <v>62.472496529265072</v>
      </c>
      <c r="I539" s="1">
        <f t="shared" si="16"/>
        <v>6916</v>
      </c>
      <c r="J539" s="1">
        <f t="shared" si="17"/>
        <v>0.36659708170762823</v>
      </c>
      <c r="K539" s="6" t="s">
        <v>127</v>
      </c>
    </row>
    <row r="540" spans="1:11">
      <c r="A540" s="5" t="s">
        <v>666</v>
      </c>
      <c r="B540" s="5">
        <v>2.6764569562570673E-3</v>
      </c>
      <c r="C540" s="5">
        <v>5661</v>
      </c>
      <c r="D540" s="5">
        <v>5671</v>
      </c>
      <c r="E540" s="5">
        <v>65.804668149821069</v>
      </c>
      <c r="F540" s="5">
        <v>2121</v>
      </c>
      <c r="G540" s="5">
        <v>2124</v>
      </c>
      <c r="H540" s="5">
        <v>24.470777512515706</v>
      </c>
      <c r="I540" s="1">
        <f t="shared" si="16"/>
        <v>7795</v>
      </c>
      <c r="J540" s="1">
        <f t="shared" si="17"/>
        <v>0.3663034064870398</v>
      </c>
      <c r="K540" s="6" t="s">
        <v>667</v>
      </c>
    </row>
    <row r="541" spans="1:11">
      <c r="A541" s="5" t="s">
        <v>334</v>
      </c>
      <c r="B541" s="5">
        <v>1.1933134816399793E-5</v>
      </c>
      <c r="C541" s="5">
        <v>3409</v>
      </c>
      <c r="D541" s="5">
        <v>3409</v>
      </c>
      <c r="E541" s="5">
        <v>88.937024585365933</v>
      </c>
      <c r="F541" s="5">
        <v>1270</v>
      </c>
      <c r="G541" s="5">
        <v>1270</v>
      </c>
      <c r="H541" s="5">
        <v>32.896940977198298</v>
      </c>
      <c r="I541" s="1">
        <f t="shared" si="16"/>
        <v>4679</v>
      </c>
      <c r="J541" s="1">
        <f t="shared" si="17"/>
        <v>0.36577751075112963</v>
      </c>
      <c r="K541" s="6" t="s">
        <v>335</v>
      </c>
    </row>
    <row r="542" spans="1:11">
      <c r="A542" s="5" t="s">
        <v>1664</v>
      </c>
      <c r="B542" s="5">
        <v>0</v>
      </c>
      <c r="C542" s="5">
        <v>43256</v>
      </c>
      <c r="D542" s="5">
        <v>43256</v>
      </c>
      <c r="E542" s="5">
        <v>2132.2944766249429</v>
      </c>
      <c r="F542" s="5">
        <v>15929</v>
      </c>
      <c r="G542" s="5">
        <v>15929</v>
      </c>
      <c r="H542" s="5">
        <v>779.62460609565892</v>
      </c>
      <c r="I542" s="1">
        <f t="shared" si="16"/>
        <v>59185</v>
      </c>
      <c r="J542" s="1">
        <f t="shared" si="17"/>
        <v>0.36545569054727634</v>
      </c>
      <c r="K542" s="6" t="s">
        <v>614</v>
      </c>
    </row>
    <row r="543" spans="1:11">
      <c r="A543" s="5" t="s">
        <v>2127</v>
      </c>
      <c r="B543" s="5">
        <v>9.7206274252137348E-7</v>
      </c>
      <c r="C543" s="5">
        <v>10156</v>
      </c>
      <c r="D543" s="5">
        <v>10157</v>
      </c>
      <c r="E543" s="5">
        <v>99.596108143863475</v>
      </c>
      <c r="F543" s="5">
        <v>3773</v>
      </c>
      <c r="G543" s="5">
        <v>3774</v>
      </c>
      <c r="H543" s="5">
        <v>36.743033730186013</v>
      </c>
      <c r="I543" s="1">
        <f t="shared" si="16"/>
        <v>13931</v>
      </c>
      <c r="J543" s="1">
        <f t="shared" si="17"/>
        <v>0.36525303421917121</v>
      </c>
      <c r="K543" s="6" t="s">
        <v>530</v>
      </c>
    </row>
    <row r="544" spans="1:11">
      <c r="A544" s="5" t="s">
        <v>1797</v>
      </c>
      <c r="B544" s="5">
        <v>0</v>
      </c>
      <c r="C544" s="5">
        <v>1323</v>
      </c>
      <c r="D544" s="5">
        <v>1587</v>
      </c>
      <c r="E544" s="5">
        <v>263.31341268755176</v>
      </c>
      <c r="F544" s="5">
        <v>484</v>
      </c>
      <c r="G544" s="5">
        <v>585</v>
      </c>
      <c r="H544" s="5">
        <v>96.371389581056391</v>
      </c>
      <c r="I544" s="1">
        <f t="shared" si="16"/>
        <v>2172</v>
      </c>
      <c r="J544" s="1">
        <f t="shared" si="17"/>
        <v>0.36461028822240754</v>
      </c>
      <c r="K544" s="6" t="s">
        <v>409</v>
      </c>
    </row>
    <row r="545" spans="1:11">
      <c r="A545" s="5" t="s">
        <v>350</v>
      </c>
      <c r="B545" s="5">
        <v>2.1003459865054364E-4</v>
      </c>
      <c r="C545" s="5">
        <v>364</v>
      </c>
      <c r="D545" s="5">
        <v>7669</v>
      </c>
      <c r="E545" s="5">
        <v>76.299432927208343</v>
      </c>
      <c r="F545" s="5">
        <v>148</v>
      </c>
      <c r="G545" s="5">
        <v>2852</v>
      </c>
      <c r="H545" s="5">
        <v>28.172688514488254</v>
      </c>
      <c r="I545" s="1">
        <f t="shared" si="16"/>
        <v>10521</v>
      </c>
      <c r="J545" s="1">
        <f t="shared" si="17"/>
        <v>0.36446177478453212</v>
      </c>
      <c r="K545" s="6" t="s">
        <v>349</v>
      </c>
    </row>
    <row r="546" spans="1:11">
      <c r="A546" s="5" t="s">
        <v>1038</v>
      </c>
      <c r="B546" s="5">
        <v>3.8133940449824877E-11</v>
      </c>
      <c r="C546" s="5">
        <v>11166</v>
      </c>
      <c r="D546" s="5">
        <v>11166</v>
      </c>
      <c r="E546" s="5">
        <v>172.33965305720625</v>
      </c>
      <c r="F546" s="5">
        <v>4115</v>
      </c>
      <c r="G546" s="5">
        <v>4115</v>
      </c>
      <c r="H546" s="5">
        <v>63.059951202710728</v>
      </c>
      <c r="I546" s="1">
        <f t="shared" si="16"/>
        <v>15281</v>
      </c>
      <c r="J546" s="1">
        <f t="shared" si="17"/>
        <v>0.36379414687013034</v>
      </c>
      <c r="K546" s="6" t="s">
        <v>330</v>
      </c>
    </row>
    <row r="547" spans="1:11">
      <c r="A547" s="5" t="s">
        <v>1281</v>
      </c>
      <c r="B547" s="5">
        <v>1.1826956102634067E-4</v>
      </c>
      <c r="C547" s="5">
        <v>3346</v>
      </c>
      <c r="D547" s="5">
        <v>3346</v>
      </c>
      <c r="E547" s="5">
        <v>78.556550299384554</v>
      </c>
      <c r="F547" s="5">
        <v>1241</v>
      </c>
      <c r="G547" s="5">
        <v>1241</v>
      </c>
      <c r="H547" s="5">
        <v>28.928402311298306</v>
      </c>
      <c r="I547" s="1">
        <f t="shared" si="16"/>
        <v>4587</v>
      </c>
      <c r="J547" s="1">
        <f t="shared" si="17"/>
        <v>0.3636206220912786</v>
      </c>
      <c r="K547" s="6" t="s">
        <v>1160</v>
      </c>
    </row>
    <row r="548" spans="1:11">
      <c r="A548" s="5" t="s">
        <v>977</v>
      </c>
      <c r="B548" s="5">
        <v>0</v>
      </c>
      <c r="C548" s="5">
        <v>4902</v>
      </c>
      <c r="D548" s="5">
        <v>4911</v>
      </c>
      <c r="E548" s="5">
        <v>291.1368318461752</v>
      </c>
      <c r="F548" s="5">
        <v>1798</v>
      </c>
      <c r="G548" s="5">
        <v>1804</v>
      </c>
      <c r="H548" s="5">
        <v>106.18421256128343</v>
      </c>
      <c r="I548" s="1">
        <f t="shared" si="16"/>
        <v>6715</v>
      </c>
      <c r="J548" s="1">
        <f t="shared" si="17"/>
        <v>0.36347423873342605</v>
      </c>
      <c r="K548" s="6" t="s">
        <v>2</v>
      </c>
    </row>
    <row r="549" spans="1:11">
      <c r="A549" s="5" t="s">
        <v>2008</v>
      </c>
      <c r="B549" s="5">
        <v>3.1937175126728334E-10</v>
      </c>
      <c r="C549" s="5">
        <v>27072</v>
      </c>
      <c r="D549" s="5">
        <v>27391</v>
      </c>
      <c r="E549" s="5">
        <v>907.83021662430485</v>
      </c>
      <c r="F549" s="5">
        <v>9901</v>
      </c>
      <c r="G549" s="5">
        <v>10031</v>
      </c>
      <c r="H549" s="5">
        <v>330.09365492897462</v>
      </c>
      <c r="I549" s="1">
        <f t="shared" si="16"/>
        <v>37422</v>
      </c>
      <c r="J549" s="1">
        <f t="shared" si="17"/>
        <v>0.36320717433345395</v>
      </c>
      <c r="K549" s="6" t="s">
        <v>1605</v>
      </c>
    </row>
    <row r="550" spans="1:11">
      <c r="A550" s="5" t="s">
        <v>1792</v>
      </c>
      <c r="B550" s="5">
        <v>0</v>
      </c>
      <c r="C550" s="5">
        <v>11996</v>
      </c>
      <c r="D550" s="5">
        <v>11996</v>
      </c>
      <c r="E550" s="5">
        <v>273.61248881993248</v>
      </c>
      <c r="F550" s="5">
        <v>4404</v>
      </c>
      <c r="G550" s="5">
        <v>4404</v>
      </c>
      <c r="H550" s="5">
        <v>99.73393850632317</v>
      </c>
      <c r="I550" s="1">
        <f t="shared" si="16"/>
        <v>16400</v>
      </c>
      <c r="J550" s="1">
        <f t="shared" si="17"/>
        <v>0.36318063659413613</v>
      </c>
      <c r="K550" s="6" t="s">
        <v>1045</v>
      </c>
    </row>
    <row r="551" spans="1:11">
      <c r="A551" s="5" t="s">
        <v>1524</v>
      </c>
      <c r="B551" s="5">
        <v>2.7537046077219518E-4</v>
      </c>
      <c r="C551" s="5">
        <v>502</v>
      </c>
      <c r="D551" s="5">
        <v>508</v>
      </c>
      <c r="E551" s="5">
        <v>74.719143847222568</v>
      </c>
      <c r="F551" s="5">
        <v>188</v>
      </c>
      <c r="G551" s="5">
        <v>188</v>
      </c>
      <c r="H551" s="5">
        <v>27.455049051172381</v>
      </c>
      <c r="I551" s="1">
        <f t="shared" si="16"/>
        <v>696</v>
      </c>
      <c r="J551" s="1">
        <f t="shared" si="17"/>
        <v>0.36259059012299505</v>
      </c>
      <c r="K551" s="6" t="s">
        <v>140</v>
      </c>
    </row>
    <row r="552" spans="1:11">
      <c r="A552" s="5" t="s">
        <v>205</v>
      </c>
      <c r="B552" s="5">
        <v>2.2147484079877988E-2</v>
      </c>
      <c r="C552" s="5">
        <v>2262</v>
      </c>
      <c r="D552" s="5">
        <v>2264</v>
      </c>
      <c r="E552" s="5">
        <v>56.106604364719502</v>
      </c>
      <c r="F552" s="5">
        <v>841</v>
      </c>
      <c r="G552" s="5">
        <v>841</v>
      </c>
      <c r="H552" s="5">
        <v>20.693300229753589</v>
      </c>
      <c r="I552" s="1">
        <f t="shared" si="16"/>
        <v>3105</v>
      </c>
      <c r="J552" s="1">
        <f t="shared" si="17"/>
        <v>0.36236264544102231</v>
      </c>
      <c r="K552" s="6" t="s">
        <v>206</v>
      </c>
    </row>
    <row r="553" spans="1:11">
      <c r="A553" s="5" t="s">
        <v>196</v>
      </c>
      <c r="B553" s="5">
        <v>2.6981626092581479E-3</v>
      </c>
      <c r="C553" s="5">
        <v>3641</v>
      </c>
      <c r="D553" s="5">
        <v>3645</v>
      </c>
      <c r="E553" s="5">
        <v>64.952877953759312</v>
      </c>
      <c r="F553" s="5">
        <v>1350</v>
      </c>
      <c r="G553" s="5">
        <v>1350</v>
      </c>
      <c r="H553" s="5">
        <v>23.885307376897764</v>
      </c>
      <c r="I553" s="1">
        <f t="shared" si="16"/>
        <v>4995</v>
      </c>
      <c r="J553" s="1">
        <f t="shared" si="17"/>
        <v>0.36215716611554327</v>
      </c>
      <c r="K553" s="6" t="s">
        <v>197</v>
      </c>
    </row>
    <row r="554" spans="1:11">
      <c r="A554" s="5" t="s">
        <v>2124</v>
      </c>
      <c r="B554" s="5">
        <v>1.528996287089579E-3</v>
      </c>
      <c r="C554" s="5">
        <v>6663</v>
      </c>
      <c r="D554" s="5">
        <v>6665</v>
      </c>
      <c r="E554" s="5">
        <v>67.319745499054193</v>
      </c>
      <c r="F554" s="5">
        <v>2466</v>
      </c>
      <c r="G554" s="5">
        <v>2466</v>
      </c>
      <c r="H554" s="5">
        <v>24.730425231079607</v>
      </c>
      <c r="I554" s="1">
        <f t="shared" si="16"/>
        <v>9131</v>
      </c>
      <c r="J554" s="1">
        <f t="shared" si="17"/>
        <v>0.3619806404492823</v>
      </c>
      <c r="K554" s="6" t="s">
        <v>21</v>
      </c>
    </row>
    <row r="555" spans="1:11">
      <c r="A555" s="5" t="s">
        <v>2221</v>
      </c>
      <c r="B555" s="5">
        <v>1.0648609582477597E-2</v>
      </c>
      <c r="C555" s="5">
        <v>1504</v>
      </c>
      <c r="D555" s="5">
        <v>1504</v>
      </c>
      <c r="E555" s="5">
        <v>59.054705048378068</v>
      </c>
      <c r="F555" s="5">
        <v>557</v>
      </c>
      <c r="G555" s="5">
        <v>557</v>
      </c>
      <c r="H555" s="5">
        <v>21.714911497022335</v>
      </c>
      <c r="I555" s="1">
        <f t="shared" si="16"/>
        <v>2061</v>
      </c>
      <c r="J555" s="1">
        <f t="shared" si="17"/>
        <v>0.36158551573152387</v>
      </c>
      <c r="K555" s="6" t="s">
        <v>2</v>
      </c>
    </row>
    <row r="556" spans="1:11">
      <c r="A556" s="5" t="s">
        <v>988</v>
      </c>
      <c r="B556" s="5">
        <v>4.2069668175770403E-5</v>
      </c>
      <c r="C556" s="5">
        <v>4182</v>
      </c>
      <c r="D556" s="5">
        <v>5152</v>
      </c>
      <c r="E556" s="5">
        <v>82.464463158481678</v>
      </c>
      <c r="F556" s="5">
        <v>1511</v>
      </c>
      <c r="G556" s="5">
        <v>1899</v>
      </c>
      <c r="H556" s="5">
        <v>30.17950737613462</v>
      </c>
      <c r="I556" s="1">
        <f t="shared" si="16"/>
        <v>7051</v>
      </c>
      <c r="J556" s="1">
        <f t="shared" si="17"/>
        <v>0.36158511340125682</v>
      </c>
      <c r="K556" s="6" t="s">
        <v>989</v>
      </c>
    </row>
    <row r="557" spans="1:11">
      <c r="A557" s="5" t="s">
        <v>2043</v>
      </c>
      <c r="B557" s="5">
        <v>4.9955461989270589E-9</v>
      </c>
      <c r="C557" s="5">
        <v>7880</v>
      </c>
      <c r="D557" s="5">
        <v>7881</v>
      </c>
      <c r="E557" s="5">
        <v>120.8836640162061</v>
      </c>
      <c r="F557" s="5">
        <v>2890</v>
      </c>
      <c r="G557" s="5">
        <v>2891</v>
      </c>
      <c r="H557" s="5">
        <v>44.028164381742727</v>
      </c>
      <c r="I557" s="1">
        <f t="shared" si="16"/>
        <v>10772</v>
      </c>
      <c r="J557" s="1">
        <f t="shared" si="17"/>
        <v>0.36123105370288655</v>
      </c>
      <c r="K557" s="6" t="s">
        <v>316</v>
      </c>
    </row>
    <row r="558" spans="1:11">
      <c r="A558" s="5" t="s">
        <v>1855</v>
      </c>
      <c r="B558" s="5">
        <v>1.8616513053348882E-7</v>
      </c>
      <c r="C558" s="5">
        <v>5385</v>
      </c>
      <c r="D558" s="5">
        <v>5386</v>
      </c>
      <c r="E558" s="5">
        <v>105.43661434431972</v>
      </c>
      <c r="F558" s="5">
        <v>1974</v>
      </c>
      <c r="G558" s="5">
        <v>1978</v>
      </c>
      <c r="H558" s="5">
        <v>38.445683833214105</v>
      </c>
      <c r="I558" s="1">
        <f t="shared" si="16"/>
        <v>7364</v>
      </c>
      <c r="J558" s="1">
        <f t="shared" si="17"/>
        <v>0.36120731639248971</v>
      </c>
      <c r="K558" s="6" t="s">
        <v>40</v>
      </c>
    </row>
    <row r="559" spans="1:11">
      <c r="A559" s="5" t="s">
        <v>1839</v>
      </c>
      <c r="B559" s="5">
        <v>9.2474805590825326E-10</v>
      </c>
      <c r="C559" s="5">
        <v>70959</v>
      </c>
      <c r="D559" s="5">
        <v>70962</v>
      </c>
      <c r="E559" s="5">
        <v>738.68650848250672</v>
      </c>
      <c r="F559" s="5">
        <v>25844</v>
      </c>
      <c r="G559" s="5">
        <v>25844</v>
      </c>
      <c r="H559" s="5">
        <v>267.11006450642674</v>
      </c>
      <c r="I559" s="1">
        <f t="shared" si="16"/>
        <v>96806</v>
      </c>
      <c r="J559" s="1">
        <f t="shared" si="17"/>
        <v>0.36111252732514015</v>
      </c>
      <c r="K559" s="6" t="s">
        <v>1840</v>
      </c>
    </row>
    <row r="560" spans="1:11">
      <c r="A560" s="5" t="s">
        <v>1924</v>
      </c>
      <c r="B560" s="5">
        <v>5.8809733954889865E-6</v>
      </c>
      <c r="C560" s="5">
        <v>1800</v>
      </c>
      <c r="D560" s="5">
        <v>1962</v>
      </c>
      <c r="E560" s="5">
        <v>90.640775243728115</v>
      </c>
      <c r="F560" s="5">
        <v>664</v>
      </c>
      <c r="G560" s="5">
        <v>721</v>
      </c>
      <c r="H560" s="5">
        <v>33.071665983551526</v>
      </c>
      <c r="I560" s="1">
        <f t="shared" si="16"/>
        <v>2683</v>
      </c>
      <c r="J560" s="1">
        <f t="shared" si="17"/>
        <v>0.36088374302371418</v>
      </c>
      <c r="K560" s="6" t="s">
        <v>1925</v>
      </c>
    </row>
    <row r="561" spans="1:11">
      <c r="A561" s="5" t="s">
        <v>2204</v>
      </c>
      <c r="B561" s="5">
        <v>0</v>
      </c>
      <c r="C561" s="5">
        <v>13641</v>
      </c>
      <c r="D561" s="5">
        <v>13641</v>
      </c>
      <c r="E561" s="5">
        <v>163.80464259899261</v>
      </c>
      <c r="F561" s="5">
        <v>4985</v>
      </c>
      <c r="G561" s="5">
        <v>4985</v>
      </c>
      <c r="H561" s="5">
        <v>59.434875897207206</v>
      </c>
      <c r="I561" s="1">
        <f t="shared" si="16"/>
        <v>18626</v>
      </c>
      <c r="J561" s="1">
        <f t="shared" si="17"/>
        <v>0.36063835921070408</v>
      </c>
      <c r="K561" s="6" t="s">
        <v>1363</v>
      </c>
    </row>
    <row r="562" spans="1:11">
      <c r="A562" s="5" t="s">
        <v>846</v>
      </c>
      <c r="B562" s="5">
        <v>3.3367197893596767E-11</v>
      </c>
      <c r="C562" s="5">
        <v>13638</v>
      </c>
      <c r="D562" s="5">
        <v>13646</v>
      </c>
      <c r="E562" s="5">
        <v>219.84450780845938</v>
      </c>
      <c r="F562" s="5">
        <v>4974</v>
      </c>
      <c r="G562" s="5">
        <v>4976</v>
      </c>
      <c r="H562" s="5">
        <v>79.595190262862474</v>
      </c>
      <c r="I562" s="1">
        <f t="shared" si="16"/>
        <v>18622</v>
      </c>
      <c r="J562" s="1">
        <f t="shared" si="17"/>
        <v>0.36041281285517035</v>
      </c>
      <c r="K562" s="6" t="s">
        <v>847</v>
      </c>
    </row>
    <row r="563" spans="1:11">
      <c r="A563" s="5" t="s">
        <v>1035</v>
      </c>
      <c r="B563" s="5">
        <v>0</v>
      </c>
      <c r="C563" s="5">
        <v>22170</v>
      </c>
      <c r="D563" s="5">
        <v>22202</v>
      </c>
      <c r="E563" s="5">
        <v>306.66610362501154</v>
      </c>
      <c r="F563" s="5">
        <v>8071</v>
      </c>
      <c r="G563" s="5">
        <v>8083</v>
      </c>
      <c r="H563" s="5">
        <v>110.85172500787309</v>
      </c>
      <c r="I563" s="1">
        <f t="shared" si="16"/>
        <v>30285</v>
      </c>
      <c r="J563" s="1">
        <f t="shared" si="17"/>
        <v>0.36029879048028302</v>
      </c>
      <c r="K563" s="6" t="s">
        <v>603</v>
      </c>
    </row>
    <row r="564" spans="1:11">
      <c r="A564" s="5" t="s">
        <v>529</v>
      </c>
      <c r="B564" s="5">
        <v>5.2579967043053788E-4</v>
      </c>
      <c r="C564" s="5">
        <v>2041</v>
      </c>
      <c r="D564" s="5">
        <v>2041</v>
      </c>
      <c r="E564" s="5">
        <v>71.476271368663888</v>
      </c>
      <c r="F564" s="5">
        <v>751</v>
      </c>
      <c r="G564" s="5">
        <v>751</v>
      </c>
      <c r="H564" s="5">
        <v>26.112894930889638</v>
      </c>
      <c r="I564" s="1">
        <f t="shared" si="16"/>
        <v>2792</v>
      </c>
      <c r="J564" s="1">
        <f t="shared" si="17"/>
        <v>0.36029578285093605</v>
      </c>
      <c r="K564" s="6" t="s">
        <v>2</v>
      </c>
    </row>
    <row r="565" spans="1:11">
      <c r="A565" s="5" t="s">
        <v>2248</v>
      </c>
      <c r="B565" s="5">
        <v>1.2456400643789944E-4</v>
      </c>
      <c r="C565" s="5">
        <v>8000</v>
      </c>
      <c r="D565" s="5">
        <v>14011</v>
      </c>
      <c r="E565" s="5">
        <v>77.458204694828126</v>
      </c>
      <c r="F565" s="5">
        <v>3102</v>
      </c>
      <c r="G565" s="5">
        <v>5144</v>
      </c>
      <c r="H565" s="5">
        <v>28.235498109938103</v>
      </c>
      <c r="I565" s="1">
        <f t="shared" si="16"/>
        <v>19155</v>
      </c>
      <c r="J565" s="1">
        <f t="shared" si="17"/>
        <v>0.3598794825826464</v>
      </c>
      <c r="K565" s="6" t="s">
        <v>67</v>
      </c>
    </row>
    <row r="566" spans="1:11">
      <c r="A566" s="5" t="s">
        <v>1077</v>
      </c>
      <c r="B566" s="5">
        <v>1.0200829070328155E-9</v>
      </c>
      <c r="C566" s="5">
        <v>4212</v>
      </c>
      <c r="D566" s="5">
        <v>5831</v>
      </c>
      <c r="E566" s="5">
        <v>127.44229775485192</v>
      </c>
      <c r="F566" s="5">
        <v>1630</v>
      </c>
      <c r="G566" s="5">
        <v>2130</v>
      </c>
      <c r="H566" s="5">
        <v>46.221746896584108</v>
      </c>
      <c r="I566" s="1">
        <f t="shared" si="16"/>
        <v>7961</v>
      </c>
      <c r="J566" s="1">
        <f t="shared" si="17"/>
        <v>0.35986390546207803</v>
      </c>
      <c r="K566" s="6" t="s">
        <v>2</v>
      </c>
    </row>
    <row r="567" spans="1:11">
      <c r="A567" s="5" t="s">
        <v>970</v>
      </c>
      <c r="B567" s="5">
        <v>0</v>
      </c>
      <c r="C567" s="5">
        <v>16324</v>
      </c>
      <c r="D567" s="5">
        <v>16327</v>
      </c>
      <c r="E567" s="5">
        <v>352.31506115446518</v>
      </c>
      <c r="F567" s="5">
        <v>5933</v>
      </c>
      <c r="G567" s="5">
        <v>5934</v>
      </c>
      <c r="H567" s="5">
        <v>127.1360044286303</v>
      </c>
      <c r="I567" s="1">
        <f t="shared" si="16"/>
        <v>22261</v>
      </c>
      <c r="J567" s="1">
        <f t="shared" si="17"/>
        <v>0.35983748899129986</v>
      </c>
      <c r="K567" s="6" t="s">
        <v>554</v>
      </c>
    </row>
    <row r="568" spans="1:11">
      <c r="A568" s="5" t="s">
        <v>2072</v>
      </c>
      <c r="B568" s="5">
        <v>8.9307209827360623E-6</v>
      </c>
      <c r="C568" s="5">
        <v>5668</v>
      </c>
      <c r="D568" s="5">
        <v>5672</v>
      </c>
      <c r="E568" s="5">
        <v>88.547996284087517</v>
      </c>
      <c r="F568" s="5">
        <v>2078</v>
      </c>
      <c r="G568" s="5">
        <v>2078</v>
      </c>
      <c r="H568" s="5">
        <v>32.209520473206496</v>
      </c>
      <c r="I568" s="1">
        <f t="shared" si="16"/>
        <v>7750</v>
      </c>
      <c r="J568" s="1">
        <f t="shared" si="17"/>
        <v>0.35969001887013813</v>
      </c>
      <c r="K568" s="6" t="s">
        <v>2073</v>
      </c>
    </row>
    <row r="569" spans="1:11">
      <c r="A569" s="5" t="s">
        <v>631</v>
      </c>
      <c r="B569" s="5">
        <v>1.0778558268143001E-7</v>
      </c>
      <c r="C569" s="5">
        <v>5764</v>
      </c>
      <c r="D569" s="5">
        <v>5764</v>
      </c>
      <c r="E569" s="5">
        <v>107.13288457097279</v>
      </c>
      <c r="F569" s="5">
        <v>2105</v>
      </c>
      <c r="G569" s="5">
        <v>2105</v>
      </c>
      <c r="H569" s="5">
        <v>38.846073409897123</v>
      </c>
      <c r="I569" s="1">
        <f t="shared" si="16"/>
        <v>7869</v>
      </c>
      <c r="J569" s="1">
        <f t="shared" si="17"/>
        <v>0.35924384671714354</v>
      </c>
      <c r="K569" s="6" t="s">
        <v>632</v>
      </c>
    </row>
    <row r="570" spans="1:11">
      <c r="A570" s="5" t="s">
        <v>1554</v>
      </c>
      <c r="B570" s="5">
        <v>0</v>
      </c>
      <c r="C570" s="5">
        <v>9502</v>
      </c>
      <c r="D570" s="5">
        <v>9508</v>
      </c>
      <c r="E570" s="5">
        <v>348.67850150791531</v>
      </c>
      <c r="F570" s="5">
        <v>3444</v>
      </c>
      <c r="G570" s="5">
        <v>3448</v>
      </c>
      <c r="H570" s="5">
        <v>125.54500981219417</v>
      </c>
      <c r="I570" s="1">
        <f t="shared" si="16"/>
        <v>12956</v>
      </c>
      <c r="J570" s="1">
        <f t="shared" si="17"/>
        <v>0.35902982102361913</v>
      </c>
      <c r="K570" s="6" t="s">
        <v>844</v>
      </c>
    </row>
    <row r="571" spans="1:11">
      <c r="A571" s="5" t="s">
        <v>123</v>
      </c>
      <c r="B571" s="5">
        <v>3.5719709280401801E-5</v>
      </c>
      <c r="C571" s="5">
        <v>2680</v>
      </c>
      <c r="D571" s="5">
        <v>2685</v>
      </c>
      <c r="E571" s="5">
        <v>82.461355840439282</v>
      </c>
      <c r="F571" s="5">
        <v>982</v>
      </c>
      <c r="G571" s="5">
        <v>982</v>
      </c>
      <c r="H571" s="5">
        <v>29.94427958027044</v>
      </c>
      <c r="I571" s="1">
        <f t="shared" si="16"/>
        <v>3667</v>
      </c>
      <c r="J571" s="1">
        <f t="shared" si="17"/>
        <v>0.358780171718246</v>
      </c>
      <c r="K571" s="6" t="s">
        <v>124</v>
      </c>
    </row>
    <row r="572" spans="1:11">
      <c r="A572" s="5" t="s">
        <v>1553</v>
      </c>
      <c r="B572" s="5">
        <v>3.6034190353806395E-7</v>
      </c>
      <c r="C572" s="5">
        <v>4044</v>
      </c>
      <c r="D572" s="5">
        <v>4046</v>
      </c>
      <c r="E572" s="5">
        <v>101.84508795640623</v>
      </c>
      <c r="F572" s="5">
        <v>1474</v>
      </c>
      <c r="G572" s="5">
        <v>1476</v>
      </c>
      <c r="H572" s="5">
        <v>36.888990168250096</v>
      </c>
      <c r="I572" s="1">
        <f t="shared" si="16"/>
        <v>5522</v>
      </c>
      <c r="J572" s="1">
        <f t="shared" si="17"/>
        <v>0.35868499800288495</v>
      </c>
      <c r="K572" s="6" t="s">
        <v>676</v>
      </c>
    </row>
    <row r="573" spans="1:11">
      <c r="A573" s="5" t="s">
        <v>1857</v>
      </c>
      <c r="B573" s="5">
        <v>1.3346879157438707E-10</v>
      </c>
      <c r="C573" s="5">
        <v>2482</v>
      </c>
      <c r="D573" s="5">
        <v>2492</v>
      </c>
      <c r="E573" s="5">
        <v>226.78626719278535</v>
      </c>
      <c r="F573" s="5">
        <v>897</v>
      </c>
      <c r="G573" s="5">
        <v>904</v>
      </c>
      <c r="H573" s="5">
        <v>81.68331323059256</v>
      </c>
      <c r="I573" s="1">
        <f t="shared" si="16"/>
        <v>3396</v>
      </c>
      <c r="J573" s="1">
        <f t="shared" si="17"/>
        <v>0.35859630274137838</v>
      </c>
      <c r="K573" s="6" t="s">
        <v>2</v>
      </c>
    </row>
    <row r="574" spans="1:11">
      <c r="A574" s="5" t="s">
        <v>211</v>
      </c>
      <c r="B574" s="5">
        <v>1.0017428984149257E-3</v>
      </c>
      <c r="C574" s="5">
        <v>5074</v>
      </c>
      <c r="D574" s="5">
        <v>5074</v>
      </c>
      <c r="E574" s="5">
        <v>68.114036431355203</v>
      </c>
      <c r="F574" s="5">
        <v>1852</v>
      </c>
      <c r="G574" s="5">
        <v>1852</v>
      </c>
      <c r="H574" s="5">
        <v>24.684443276177667</v>
      </c>
      <c r="I574" s="1">
        <f t="shared" si="16"/>
        <v>6926</v>
      </c>
      <c r="J574" s="1">
        <f t="shared" si="17"/>
        <v>0.35715528351023917</v>
      </c>
      <c r="K574" s="6" t="s">
        <v>4</v>
      </c>
    </row>
    <row r="575" spans="1:11">
      <c r="A575" s="5" t="s">
        <v>703</v>
      </c>
      <c r="B575" s="5">
        <v>0</v>
      </c>
      <c r="C575" s="5">
        <v>7282</v>
      </c>
      <c r="D575" s="5">
        <v>10838</v>
      </c>
      <c r="E575" s="5">
        <v>589.81938971652232</v>
      </c>
      <c r="F575" s="5">
        <v>2838</v>
      </c>
      <c r="G575" s="5">
        <v>3902</v>
      </c>
      <c r="H575" s="5">
        <v>210.84017296350856</v>
      </c>
      <c r="I575" s="1">
        <f t="shared" si="16"/>
        <v>14740</v>
      </c>
      <c r="J575" s="1">
        <f t="shared" si="17"/>
        <v>0.35686061871576452</v>
      </c>
      <c r="K575" s="6" t="s">
        <v>90</v>
      </c>
    </row>
    <row r="576" spans="1:11">
      <c r="A576" s="5" t="s">
        <v>634</v>
      </c>
      <c r="B576" s="5">
        <v>1.1189901795425894E-2</v>
      </c>
      <c r="C576" s="5">
        <v>1520</v>
      </c>
      <c r="D576" s="5">
        <v>3557</v>
      </c>
      <c r="E576" s="5">
        <v>57.991912518866002</v>
      </c>
      <c r="F576" s="5">
        <v>630</v>
      </c>
      <c r="G576" s="5">
        <v>1300</v>
      </c>
      <c r="H576" s="5">
        <v>21.043749272742492</v>
      </c>
      <c r="I576" s="1">
        <f t="shared" si="16"/>
        <v>4857</v>
      </c>
      <c r="J576" s="1">
        <f t="shared" si="17"/>
        <v>0.35672261457894866</v>
      </c>
      <c r="K576" s="6" t="s">
        <v>365</v>
      </c>
    </row>
    <row r="577" spans="1:11">
      <c r="A577" s="5" t="s">
        <v>780</v>
      </c>
      <c r="B577" s="5">
        <v>7.6336961581457974E-3</v>
      </c>
      <c r="C577" s="5">
        <v>3630</v>
      </c>
      <c r="D577" s="5">
        <v>3630</v>
      </c>
      <c r="E577" s="5">
        <v>59.574718913075138</v>
      </c>
      <c r="F577" s="5">
        <v>1326</v>
      </c>
      <c r="G577" s="5">
        <v>1326</v>
      </c>
      <c r="H577" s="5">
        <v>21.607031294892259</v>
      </c>
      <c r="I577" s="1">
        <f t="shared" si="16"/>
        <v>4956</v>
      </c>
      <c r="J577" s="1">
        <f t="shared" si="17"/>
        <v>0.35670047971495172</v>
      </c>
      <c r="K577" s="6" t="s">
        <v>483</v>
      </c>
    </row>
    <row r="578" spans="1:11">
      <c r="A578" s="5" t="s">
        <v>1893</v>
      </c>
      <c r="B578" s="5">
        <v>8.8184737290220028E-10</v>
      </c>
      <c r="C578" s="5">
        <v>22044</v>
      </c>
      <c r="D578" s="5">
        <v>22055</v>
      </c>
      <c r="E578" s="5">
        <v>592.43065103816014</v>
      </c>
      <c r="F578" s="5">
        <v>7916</v>
      </c>
      <c r="G578" s="5">
        <v>7918</v>
      </c>
      <c r="H578" s="5">
        <v>211.17483092997855</v>
      </c>
      <c r="I578" s="1">
        <f t="shared" ref="I578:I641" si="18">D578+G578</f>
        <v>29973</v>
      </c>
      <c r="J578" s="1">
        <f t="shared" ref="J578:J641" si="19">H578/(E578+1)</f>
        <v>0.35585426967842804</v>
      </c>
      <c r="K578" s="6" t="s">
        <v>1538</v>
      </c>
    </row>
    <row r="579" spans="1:11">
      <c r="A579" s="5" t="s">
        <v>1928</v>
      </c>
      <c r="B579" s="5">
        <v>1.5778664189997071E-3</v>
      </c>
      <c r="C579" s="5">
        <v>7119</v>
      </c>
      <c r="D579" s="5">
        <v>7119</v>
      </c>
      <c r="E579" s="5">
        <v>65.956097224087628</v>
      </c>
      <c r="F579" s="5">
        <v>2590</v>
      </c>
      <c r="G579" s="5">
        <v>2590</v>
      </c>
      <c r="H579" s="5">
        <v>23.824945763279302</v>
      </c>
      <c r="I579" s="1">
        <f t="shared" si="18"/>
        <v>9709</v>
      </c>
      <c r="J579" s="1">
        <f t="shared" si="19"/>
        <v>0.35582936806400683</v>
      </c>
      <c r="K579" s="6" t="s">
        <v>685</v>
      </c>
    </row>
    <row r="580" spans="1:11">
      <c r="A580" s="5" t="s">
        <v>1817</v>
      </c>
      <c r="B580" s="5">
        <v>2.8600455337368658E-11</v>
      </c>
      <c r="C580" s="5">
        <v>895</v>
      </c>
      <c r="D580" s="5">
        <v>1292</v>
      </c>
      <c r="E580" s="5">
        <v>210.51640532749232</v>
      </c>
      <c r="F580" s="5">
        <v>326</v>
      </c>
      <c r="G580" s="5">
        <v>465</v>
      </c>
      <c r="H580" s="5">
        <v>75.22679942117162</v>
      </c>
      <c r="I580" s="1">
        <f t="shared" si="18"/>
        <v>1757</v>
      </c>
      <c r="J580" s="1">
        <f t="shared" si="19"/>
        <v>0.35565467985661653</v>
      </c>
      <c r="K580" s="6" t="s">
        <v>1818</v>
      </c>
    </row>
    <row r="581" spans="1:11">
      <c r="A581" s="5" t="s">
        <v>424</v>
      </c>
      <c r="B581" s="5">
        <v>3.3367197893596767E-10</v>
      </c>
      <c r="C581" s="5">
        <v>6712</v>
      </c>
      <c r="D581" s="5">
        <v>6717</v>
      </c>
      <c r="E581" s="5">
        <v>129.71919899916719</v>
      </c>
      <c r="F581" s="5">
        <v>2423</v>
      </c>
      <c r="G581" s="5">
        <v>2424</v>
      </c>
      <c r="H581" s="5">
        <v>46.47910165844096</v>
      </c>
      <c r="I581" s="1">
        <f t="shared" si="18"/>
        <v>9141</v>
      </c>
      <c r="J581" s="1">
        <f t="shared" si="19"/>
        <v>0.35556446194821834</v>
      </c>
      <c r="K581" s="6" t="s">
        <v>210</v>
      </c>
    </row>
    <row r="582" spans="1:11">
      <c r="A582" s="5" t="s">
        <v>1978</v>
      </c>
      <c r="B582" s="5">
        <v>3.7180591938579255E-10</v>
      </c>
      <c r="C582" s="5">
        <v>8902</v>
      </c>
      <c r="D582" s="5">
        <v>8906</v>
      </c>
      <c r="E582" s="5">
        <v>129.3852640655254</v>
      </c>
      <c r="F582" s="5">
        <v>3211</v>
      </c>
      <c r="G582" s="5">
        <v>3212</v>
      </c>
      <c r="H582" s="5">
        <v>46.331233449545195</v>
      </c>
      <c r="I582" s="1">
        <f t="shared" si="18"/>
        <v>12118</v>
      </c>
      <c r="J582" s="1">
        <f t="shared" si="19"/>
        <v>0.35534102554918578</v>
      </c>
      <c r="K582" s="6" t="s">
        <v>17</v>
      </c>
    </row>
    <row r="583" spans="1:11">
      <c r="A583" s="5" t="s">
        <v>1887</v>
      </c>
      <c r="B583" s="5">
        <v>4.3654855720260399E-2</v>
      </c>
      <c r="C583" s="5">
        <v>4005</v>
      </c>
      <c r="D583" s="5">
        <v>4006</v>
      </c>
      <c r="E583" s="5">
        <v>52.131091156150205</v>
      </c>
      <c r="F583" s="5">
        <v>1459</v>
      </c>
      <c r="G583" s="5">
        <v>1461</v>
      </c>
      <c r="H583" s="5">
        <v>18.876970025530202</v>
      </c>
      <c r="I583" s="1">
        <f t="shared" si="18"/>
        <v>5467</v>
      </c>
      <c r="J583" s="1">
        <f t="shared" si="19"/>
        <v>0.35529046392161462</v>
      </c>
      <c r="K583" s="6" t="s">
        <v>1888</v>
      </c>
    </row>
    <row r="584" spans="1:11">
      <c r="A584" s="5" t="s">
        <v>817</v>
      </c>
      <c r="B584" s="5">
        <v>0</v>
      </c>
      <c r="C584" s="5">
        <v>13353</v>
      </c>
      <c r="D584" s="5">
        <v>13370</v>
      </c>
      <c r="E584" s="5">
        <v>195.80582197108129</v>
      </c>
      <c r="F584" s="5">
        <v>4794</v>
      </c>
      <c r="G584" s="5">
        <v>4807</v>
      </c>
      <c r="H584" s="5">
        <v>69.897962365052621</v>
      </c>
      <c r="I584" s="1">
        <f t="shared" si="18"/>
        <v>18177</v>
      </c>
      <c r="J584" s="1">
        <f t="shared" si="19"/>
        <v>0.35516206616755197</v>
      </c>
      <c r="K584" s="6" t="s">
        <v>818</v>
      </c>
    </row>
    <row r="585" spans="1:11">
      <c r="A585" s="5" t="s">
        <v>1886</v>
      </c>
      <c r="B585" s="5">
        <v>6.5590377573698788E-9</v>
      </c>
      <c r="C585" s="5">
        <v>586</v>
      </c>
      <c r="D585" s="5">
        <v>657</v>
      </c>
      <c r="E585" s="5">
        <v>117.61472154619078</v>
      </c>
      <c r="F585" s="5">
        <v>202</v>
      </c>
      <c r="G585" s="5">
        <v>237</v>
      </c>
      <c r="H585" s="5">
        <v>42.125091883001573</v>
      </c>
      <c r="I585" s="1">
        <f t="shared" si="18"/>
        <v>894</v>
      </c>
      <c r="J585" s="1">
        <f t="shared" si="19"/>
        <v>0.35514218921466068</v>
      </c>
      <c r="K585" s="6" t="s">
        <v>1569</v>
      </c>
    </row>
    <row r="586" spans="1:11">
      <c r="A586" s="5" t="s">
        <v>2195</v>
      </c>
      <c r="B586" s="5">
        <v>8.1034623455877863E-11</v>
      </c>
      <c r="C586" s="5">
        <v>7317</v>
      </c>
      <c r="D586" s="5">
        <v>7319</v>
      </c>
      <c r="E586" s="5">
        <v>143.07126430601338</v>
      </c>
      <c r="F586" s="5">
        <v>2630</v>
      </c>
      <c r="G586" s="5">
        <v>2635</v>
      </c>
      <c r="H586" s="5">
        <v>51.141974031778311</v>
      </c>
      <c r="I586" s="1">
        <f t="shared" si="18"/>
        <v>9954</v>
      </c>
      <c r="J586" s="1">
        <f t="shared" si="19"/>
        <v>0.35497692255376218</v>
      </c>
      <c r="K586" s="6" t="s">
        <v>1153</v>
      </c>
    </row>
    <row r="587" spans="1:11">
      <c r="A587" s="5" t="s">
        <v>1944</v>
      </c>
      <c r="B587" s="5">
        <v>1.0915840453762371E-9</v>
      </c>
      <c r="C587" s="5">
        <v>6770</v>
      </c>
      <c r="D587" s="5">
        <v>7306</v>
      </c>
      <c r="E587" s="5">
        <v>1234.7916811188011</v>
      </c>
      <c r="F587" s="5">
        <v>2451</v>
      </c>
      <c r="G587" s="5">
        <v>2614</v>
      </c>
      <c r="H587" s="5">
        <v>438.64765331889953</v>
      </c>
      <c r="I587" s="1">
        <f t="shared" si="18"/>
        <v>9920</v>
      </c>
      <c r="J587" s="1">
        <f t="shared" si="19"/>
        <v>0.35495274812157501</v>
      </c>
      <c r="K587" s="6" t="s">
        <v>2</v>
      </c>
    </row>
    <row r="588" spans="1:11">
      <c r="A588" s="5" t="s">
        <v>495</v>
      </c>
      <c r="B588" s="5">
        <v>0</v>
      </c>
      <c r="C588" s="5">
        <v>34484</v>
      </c>
      <c r="D588" s="5">
        <v>34509</v>
      </c>
      <c r="E588" s="5">
        <v>310.52065300392377</v>
      </c>
      <c r="F588" s="5">
        <v>12369</v>
      </c>
      <c r="G588" s="5">
        <v>12374</v>
      </c>
      <c r="H588" s="5">
        <v>110.55144612154766</v>
      </c>
      <c r="I588" s="1">
        <f t="shared" si="18"/>
        <v>46883</v>
      </c>
      <c r="J588" s="1">
        <f t="shared" si="19"/>
        <v>0.35487677961485015</v>
      </c>
      <c r="K588" s="6" t="s">
        <v>496</v>
      </c>
    </row>
    <row r="589" spans="1:11">
      <c r="A589" s="5" t="s">
        <v>1823</v>
      </c>
      <c r="B589" s="5">
        <v>0</v>
      </c>
      <c r="C589" s="5">
        <v>8763</v>
      </c>
      <c r="D589" s="5">
        <v>8763</v>
      </c>
      <c r="E589" s="5">
        <v>378.48804413087146</v>
      </c>
      <c r="F589" s="5">
        <v>3138</v>
      </c>
      <c r="G589" s="5">
        <v>3138</v>
      </c>
      <c r="H589" s="5">
        <v>134.5700745160174</v>
      </c>
      <c r="I589" s="1">
        <f t="shared" si="18"/>
        <v>11901</v>
      </c>
      <c r="J589" s="1">
        <f t="shared" si="19"/>
        <v>0.35460952353378788</v>
      </c>
      <c r="K589" s="6" t="s">
        <v>1824</v>
      </c>
    </row>
    <row r="590" spans="1:11">
      <c r="A590" s="5" t="s">
        <v>458</v>
      </c>
      <c r="B590" s="5">
        <v>3.3948745166397787E-2</v>
      </c>
      <c r="C590" s="5">
        <v>3221</v>
      </c>
      <c r="D590" s="5">
        <v>3221</v>
      </c>
      <c r="E590" s="5">
        <v>53.054299526465442</v>
      </c>
      <c r="F590" s="5">
        <v>1172</v>
      </c>
      <c r="G590" s="5">
        <v>1172</v>
      </c>
      <c r="H590" s="5">
        <v>19.166979210483731</v>
      </c>
      <c r="I590" s="1">
        <f t="shared" si="18"/>
        <v>4393</v>
      </c>
      <c r="J590" s="1">
        <f t="shared" si="19"/>
        <v>0.35458750512712528</v>
      </c>
      <c r="K590" s="6" t="s">
        <v>459</v>
      </c>
    </row>
    <row r="591" spans="1:11">
      <c r="A591" s="5" t="s">
        <v>1574</v>
      </c>
      <c r="B591" s="5">
        <v>2.0731636065713932E-2</v>
      </c>
      <c r="C591" s="5">
        <v>2537</v>
      </c>
      <c r="D591" s="5">
        <v>2537</v>
      </c>
      <c r="E591" s="5">
        <v>55.050698503332136</v>
      </c>
      <c r="F591" s="5">
        <v>922</v>
      </c>
      <c r="G591" s="5">
        <v>922</v>
      </c>
      <c r="H591" s="5">
        <v>19.86412720425902</v>
      </c>
      <c r="I591" s="1">
        <f t="shared" si="18"/>
        <v>3459</v>
      </c>
      <c r="J591" s="1">
        <f t="shared" si="19"/>
        <v>0.35439571200130765</v>
      </c>
      <c r="K591" s="6" t="s">
        <v>1575</v>
      </c>
    </row>
    <row r="592" spans="1:11">
      <c r="A592" s="5" t="s">
        <v>1599</v>
      </c>
      <c r="B592" s="5">
        <v>0</v>
      </c>
      <c r="C592" s="5">
        <v>54909</v>
      </c>
      <c r="D592" s="5">
        <v>54914</v>
      </c>
      <c r="E592" s="5">
        <v>428.27429912846469</v>
      </c>
      <c r="F592" s="5">
        <v>19642</v>
      </c>
      <c r="G592" s="5">
        <v>19643</v>
      </c>
      <c r="H592" s="5">
        <v>152.10481082605077</v>
      </c>
      <c r="I592" s="1">
        <f t="shared" si="18"/>
        <v>74557</v>
      </c>
      <c r="J592" s="1">
        <f t="shared" si="19"/>
        <v>0.35433011278537285</v>
      </c>
      <c r="K592" s="6" t="s">
        <v>34</v>
      </c>
    </row>
    <row r="593" spans="1:11">
      <c r="A593" s="5" t="s">
        <v>1743</v>
      </c>
      <c r="B593" s="5">
        <v>1.2393530646193085E-10</v>
      </c>
      <c r="C593" s="5">
        <v>6250</v>
      </c>
      <c r="D593" s="5">
        <v>6284</v>
      </c>
      <c r="E593" s="5">
        <v>163.94258213389247</v>
      </c>
      <c r="F593" s="5">
        <v>2239</v>
      </c>
      <c r="G593" s="5">
        <v>2254</v>
      </c>
      <c r="H593" s="5">
        <v>58.385594458744066</v>
      </c>
      <c r="I593" s="1">
        <f t="shared" si="18"/>
        <v>8538</v>
      </c>
      <c r="J593" s="1">
        <f t="shared" si="19"/>
        <v>0.35397526644362487</v>
      </c>
      <c r="K593" s="6" t="s">
        <v>292</v>
      </c>
    </row>
    <row r="594" spans="1:11">
      <c r="A594" s="5" t="s">
        <v>41</v>
      </c>
      <c r="B594" s="5">
        <v>0</v>
      </c>
      <c r="C594" s="5">
        <v>2451</v>
      </c>
      <c r="D594" s="5">
        <v>22131</v>
      </c>
      <c r="E594" s="5">
        <v>452.10230000078815</v>
      </c>
      <c r="F594" s="5">
        <v>847</v>
      </c>
      <c r="G594" s="5">
        <v>7906</v>
      </c>
      <c r="H594" s="5">
        <v>160.35728265260701</v>
      </c>
      <c r="I594" s="1">
        <f t="shared" si="18"/>
        <v>30037</v>
      </c>
      <c r="J594" s="1">
        <f t="shared" si="19"/>
        <v>0.35390966378305316</v>
      </c>
      <c r="K594" s="6" t="s">
        <v>16</v>
      </c>
    </row>
    <row r="595" spans="1:11">
      <c r="A595" s="5" t="s">
        <v>592</v>
      </c>
      <c r="B595" s="5">
        <v>7.6248699050929236E-4</v>
      </c>
      <c r="C595" s="5">
        <v>3833</v>
      </c>
      <c r="D595" s="5">
        <v>3833</v>
      </c>
      <c r="E595" s="5">
        <v>68.572425023146764</v>
      </c>
      <c r="F595" s="5">
        <v>1386</v>
      </c>
      <c r="G595" s="5">
        <v>1386</v>
      </c>
      <c r="H595" s="5">
        <v>24.618983616640474</v>
      </c>
      <c r="I595" s="1">
        <f t="shared" si="18"/>
        <v>5219</v>
      </c>
      <c r="J595" s="1">
        <f t="shared" si="19"/>
        <v>0.35386122603099907</v>
      </c>
      <c r="K595" s="6" t="s">
        <v>593</v>
      </c>
    </row>
    <row r="596" spans="1:11">
      <c r="A596" s="5" t="s">
        <v>800</v>
      </c>
      <c r="B596" s="5">
        <v>0</v>
      </c>
      <c r="C596" s="5">
        <v>432</v>
      </c>
      <c r="D596" s="5">
        <v>5282</v>
      </c>
      <c r="E596" s="5">
        <v>185.21518029362792</v>
      </c>
      <c r="F596" s="5">
        <v>158</v>
      </c>
      <c r="G596" s="5">
        <v>1892</v>
      </c>
      <c r="H596" s="5">
        <v>65.87119070034106</v>
      </c>
      <c r="I596" s="1">
        <f t="shared" si="18"/>
        <v>7174</v>
      </c>
      <c r="J596" s="1">
        <f t="shared" si="19"/>
        <v>0.3537369541864096</v>
      </c>
      <c r="K596" s="6" t="s">
        <v>94</v>
      </c>
    </row>
    <row r="597" spans="1:11">
      <c r="A597" s="5" t="s">
        <v>1780</v>
      </c>
      <c r="B597" s="5">
        <v>3.5479382499947199E-2</v>
      </c>
      <c r="C597" s="5">
        <v>1157</v>
      </c>
      <c r="D597" s="5">
        <v>1157</v>
      </c>
      <c r="E597" s="5">
        <v>52.734997641682014</v>
      </c>
      <c r="F597" s="5">
        <v>420</v>
      </c>
      <c r="G597" s="5">
        <v>420</v>
      </c>
      <c r="H597" s="5">
        <v>19.006890046652536</v>
      </c>
      <c r="I597" s="1">
        <f t="shared" si="18"/>
        <v>1577</v>
      </c>
      <c r="J597" s="1">
        <f t="shared" si="19"/>
        <v>0.35371528576952932</v>
      </c>
      <c r="K597" s="6" t="s">
        <v>1577</v>
      </c>
    </row>
    <row r="598" spans="1:11">
      <c r="A598" s="5" t="s">
        <v>1568</v>
      </c>
      <c r="B598" s="5">
        <v>0</v>
      </c>
      <c r="C598" s="5">
        <v>53931</v>
      </c>
      <c r="D598" s="5">
        <v>55739</v>
      </c>
      <c r="E598" s="5">
        <v>3462.7805180875971</v>
      </c>
      <c r="F598" s="5">
        <v>19277</v>
      </c>
      <c r="G598" s="5">
        <v>19839</v>
      </c>
      <c r="H598" s="5">
        <v>1223.7191884454076</v>
      </c>
      <c r="I598" s="1">
        <f t="shared" si="18"/>
        <v>75578</v>
      </c>
      <c r="J598" s="1">
        <f t="shared" si="19"/>
        <v>0.3532900488513171</v>
      </c>
      <c r="K598" s="6" t="s">
        <v>1569</v>
      </c>
    </row>
    <row r="599" spans="1:11">
      <c r="A599" s="5" t="s">
        <v>871</v>
      </c>
      <c r="B599" s="5">
        <v>3.1155429347506924E-8</v>
      </c>
      <c r="C599" s="5">
        <v>7824</v>
      </c>
      <c r="D599" s="5">
        <v>7824</v>
      </c>
      <c r="E599" s="5">
        <v>110.36630865225735</v>
      </c>
      <c r="F599" s="5">
        <v>2807</v>
      </c>
      <c r="G599" s="5">
        <v>2808</v>
      </c>
      <c r="H599" s="5">
        <v>39.327920102751477</v>
      </c>
      <c r="I599" s="1">
        <f t="shared" si="18"/>
        <v>10632</v>
      </c>
      <c r="J599" s="1">
        <f t="shared" si="19"/>
        <v>0.35314019633669808</v>
      </c>
      <c r="K599" s="6" t="s">
        <v>872</v>
      </c>
    </row>
    <row r="600" spans="1:11">
      <c r="A600" s="5" t="s">
        <v>721</v>
      </c>
      <c r="B600" s="5">
        <v>5.456772585943348E-4</v>
      </c>
      <c r="C600" s="5">
        <v>3438</v>
      </c>
      <c r="D600" s="5">
        <v>3440</v>
      </c>
      <c r="E600" s="5">
        <v>69.802273459652923</v>
      </c>
      <c r="F600" s="5">
        <v>1241</v>
      </c>
      <c r="G600" s="5">
        <v>1241</v>
      </c>
      <c r="H600" s="5">
        <v>25.002250767184741</v>
      </c>
      <c r="I600" s="1">
        <f t="shared" si="18"/>
        <v>4681</v>
      </c>
      <c r="J600" s="1">
        <f t="shared" si="19"/>
        <v>0.3531277958388217</v>
      </c>
      <c r="K600" s="6" t="s">
        <v>605</v>
      </c>
    </row>
    <row r="601" spans="1:11">
      <c r="A601" s="5" t="s">
        <v>1065</v>
      </c>
      <c r="B601" s="5">
        <v>5.5698178114282904E-3</v>
      </c>
      <c r="C601" s="5">
        <v>3194</v>
      </c>
      <c r="D601" s="5">
        <v>3194</v>
      </c>
      <c r="E601" s="5">
        <v>60.187682547229571</v>
      </c>
      <c r="F601" s="5">
        <v>1154</v>
      </c>
      <c r="G601" s="5">
        <v>1154</v>
      </c>
      <c r="H601" s="5">
        <v>21.591097505211554</v>
      </c>
      <c r="I601" s="1">
        <f t="shared" si="18"/>
        <v>4348</v>
      </c>
      <c r="J601" s="1">
        <f t="shared" si="19"/>
        <v>0.35286673079252201</v>
      </c>
      <c r="K601" s="6" t="s">
        <v>9</v>
      </c>
    </row>
    <row r="602" spans="1:11">
      <c r="A602" s="5" t="s">
        <v>1438</v>
      </c>
      <c r="B602" s="5">
        <v>5.5809021848318707E-8</v>
      </c>
      <c r="C602" s="5">
        <v>1383</v>
      </c>
      <c r="D602" s="5">
        <v>1383</v>
      </c>
      <c r="E602" s="5">
        <v>107.82926781259803</v>
      </c>
      <c r="F602" s="5">
        <v>496</v>
      </c>
      <c r="G602" s="5">
        <v>496</v>
      </c>
      <c r="H602" s="5">
        <v>38.396563142955216</v>
      </c>
      <c r="I602" s="1">
        <f t="shared" si="18"/>
        <v>1879</v>
      </c>
      <c r="J602" s="1">
        <f t="shared" si="19"/>
        <v>0.35281467857592663</v>
      </c>
      <c r="K602" s="6" t="s">
        <v>2</v>
      </c>
    </row>
    <row r="603" spans="1:11">
      <c r="A603" s="5" t="s">
        <v>952</v>
      </c>
      <c r="B603" s="5">
        <v>3.4068862397873545E-7</v>
      </c>
      <c r="C603" s="5">
        <v>5373</v>
      </c>
      <c r="D603" s="5">
        <v>5377</v>
      </c>
      <c r="E603" s="5">
        <v>99.59972602593416</v>
      </c>
      <c r="F603" s="5">
        <v>1917</v>
      </c>
      <c r="G603" s="5">
        <v>1917</v>
      </c>
      <c r="H603" s="5">
        <v>35.256274606958812</v>
      </c>
      <c r="I603" s="1">
        <f t="shared" si="18"/>
        <v>7294</v>
      </c>
      <c r="J603" s="1">
        <f t="shared" si="19"/>
        <v>0.35046094059808774</v>
      </c>
      <c r="K603" s="6" t="s">
        <v>953</v>
      </c>
    </row>
    <row r="604" spans="1:11">
      <c r="A604" s="5" t="s">
        <v>1275</v>
      </c>
      <c r="B604" s="5">
        <v>1.6517987628827946E-3</v>
      </c>
      <c r="C604" s="5">
        <v>2804</v>
      </c>
      <c r="D604" s="5">
        <v>2804</v>
      </c>
      <c r="E604" s="5">
        <v>64.714873607201213</v>
      </c>
      <c r="F604" s="5">
        <v>1005</v>
      </c>
      <c r="G604" s="5">
        <v>1005</v>
      </c>
      <c r="H604" s="5">
        <v>23.029704197747932</v>
      </c>
      <c r="I604" s="1">
        <f t="shared" si="18"/>
        <v>3809</v>
      </c>
      <c r="J604" s="1">
        <f t="shared" si="19"/>
        <v>0.35044888521590756</v>
      </c>
      <c r="K604" s="6" t="s">
        <v>1276</v>
      </c>
    </row>
    <row r="605" spans="1:11">
      <c r="A605" s="5" t="s">
        <v>642</v>
      </c>
      <c r="B605" s="5">
        <v>3.4878255283921078E-8</v>
      </c>
      <c r="C605" s="5">
        <v>8866</v>
      </c>
      <c r="D605" s="5">
        <v>8871</v>
      </c>
      <c r="E605" s="5">
        <v>108.97797953974478</v>
      </c>
      <c r="F605" s="5">
        <v>3159</v>
      </c>
      <c r="G605" s="5">
        <v>3159</v>
      </c>
      <c r="H605" s="5">
        <v>38.53115242121153</v>
      </c>
      <c r="I605" s="1">
        <f t="shared" si="18"/>
        <v>12030</v>
      </c>
      <c r="J605" s="1">
        <f t="shared" si="19"/>
        <v>0.3503533396636625</v>
      </c>
      <c r="K605" s="6" t="s">
        <v>178</v>
      </c>
    </row>
    <row r="606" spans="1:11">
      <c r="A606" s="5" t="s">
        <v>1501</v>
      </c>
      <c r="B606" s="5">
        <v>1.6647650414808313E-3</v>
      </c>
      <c r="C606" s="5">
        <v>6301</v>
      </c>
      <c r="D606" s="5">
        <v>6312</v>
      </c>
      <c r="E606" s="5">
        <v>64.642082460295597</v>
      </c>
      <c r="F606" s="5">
        <v>2249</v>
      </c>
      <c r="G606" s="5">
        <v>2261</v>
      </c>
      <c r="H606" s="5">
        <v>22.990325019358018</v>
      </c>
      <c r="I606" s="1">
        <f t="shared" si="18"/>
        <v>8573</v>
      </c>
      <c r="J606" s="1">
        <f t="shared" si="19"/>
        <v>0.35023759389815201</v>
      </c>
      <c r="K606" s="6" t="s">
        <v>627</v>
      </c>
    </row>
    <row r="607" spans="1:11">
      <c r="A607" s="5" t="s">
        <v>712</v>
      </c>
      <c r="B607" s="5">
        <v>5.8630933441605748E-10</v>
      </c>
      <c r="C607" s="5">
        <v>11857</v>
      </c>
      <c r="D607" s="5">
        <v>11857</v>
      </c>
      <c r="E607" s="5">
        <v>126.03023836610777</v>
      </c>
      <c r="F607" s="5">
        <v>4215</v>
      </c>
      <c r="G607" s="5">
        <v>4215</v>
      </c>
      <c r="H607" s="5">
        <v>44.482963916800912</v>
      </c>
      <c r="I607" s="1">
        <f t="shared" si="18"/>
        <v>16072</v>
      </c>
      <c r="J607" s="1">
        <f t="shared" si="19"/>
        <v>0.35017618237162312</v>
      </c>
      <c r="K607" s="6" t="s">
        <v>713</v>
      </c>
    </row>
    <row r="608" spans="1:11">
      <c r="A608" s="5" t="s">
        <v>2046</v>
      </c>
      <c r="B608" s="5">
        <v>4.2900683006052986E-11</v>
      </c>
      <c r="C608" s="5">
        <v>10022</v>
      </c>
      <c r="D608" s="5">
        <v>35083</v>
      </c>
      <c r="E608" s="5">
        <v>165.9077864575346</v>
      </c>
      <c r="F608" s="5">
        <v>3632</v>
      </c>
      <c r="G608" s="5">
        <v>12444</v>
      </c>
      <c r="H608" s="5">
        <v>58.428703272714991</v>
      </c>
      <c r="I608" s="1">
        <f t="shared" si="18"/>
        <v>47527</v>
      </c>
      <c r="J608" s="1">
        <f t="shared" si="19"/>
        <v>0.35006577292055019</v>
      </c>
      <c r="K608" s="6" t="s">
        <v>514</v>
      </c>
    </row>
    <row r="609" spans="1:11">
      <c r="A609" s="5" t="s">
        <v>2254</v>
      </c>
      <c r="B609" s="5">
        <v>2.5648863702493196E-2</v>
      </c>
      <c r="C609" s="5">
        <v>3646</v>
      </c>
      <c r="D609" s="5">
        <v>3646</v>
      </c>
      <c r="E609" s="5">
        <v>53.367539186242389</v>
      </c>
      <c r="F609" s="5">
        <v>1307</v>
      </c>
      <c r="G609" s="5">
        <v>1307</v>
      </c>
      <c r="H609" s="5">
        <v>18.994693971044331</v>
      </c>
      <c r="I609" s="1">
        <f t="shared" si="18"/>
        <v>4953</v>
      </c>
      <c r="J609" s="1">
        <f t="shared" si="19"/>
        <v>0.34937564317516334</v>
      </c>
      <c r="K609" s="6" t="s">
        <v>101</v>
      </c>
    </row>
    <row r="610" spans="1:11">
      <c r="A610" s="5" t="s">
        <v>1549</v>
      </c>
      <c r="B610" s="5">
        <v>0</v>
      </c>
      <c r="C610" s="5">
        <v>18357</v>
      </c>
      <c r="D610" s="5">
        <v>18357</v>
      </c>
      <c r="E610" s="5">
        <v>308.33767724633151</v>
      </c>
      <c r="F610" s="5">
        <v>6480</v>
      </c>
      <c r="G610" s="5">
        <v>6480</v>
      </c>
      <c r="H610" s="5">
        <v>108.06774626525299</v>
      </c>
      <c r="I610" s="1">
        <f t="shared" si="18"/>
        <v>24837</v>
      </c>
      <c r="J610" s="1">
        <f t="shared" si="19"/>
        <v>0.34935203246902441</v>
      </c>
      <c r="K610" s="6" t="s">
        <v>1550</v>
      </c>
    </row>
    <row r="611" spans="1:11">
      <c r="A611" s="5" t="s">
        <v>1243</v>
      </c>
      <c r="B611" s="5">
        <v>3.3269962098907979E-2</v>
      </c>
      <c r="C611" s="5">
        <v>4496</v>
      </c>
      <c r="D611" s="5">
        <v>4496</v>
      </c>
      <c r="E611" s="5">
        <v>52.304130143750314</v>
      </c>
      <c r="F611" s="5">
        <v>1612</v>
      </c>
      <c r="G611" s="5">
        <v>1612</v>
      </c>
      <c r="H611" s="5">
        <v>18.619624516843501</v>
      </c>
      <c r="I611" s="1">
        <f t="shared" si="18"/>
        <v>6108</v>
      </c>
      <c r="J611" s="1">
        <f t="shared" si="19"/>
        <v>0.34930922738313502</v>
      </c>
      <c r="K611" s="6" t="s">
        <v>1244</v>
      </c>
    </row>
    <row r="612" spans="1:11">
      <c r="A612" s="5" t="s">
        <v>6</v>
      </c>
      <c r="B612" s="5">
        <v>4.7616327288064197E-2</v>
      </c>
      <c r="C612" s="5">
        <v>2766</v>
      </c>
      <c r="D612" s="5">
        <v>2766</v>
      </c>
      <c r="E612" s="5">
        <v>50.785984435353193</v>
      </c>
      <c r="F612" s="5">
        <v>991</v>
      </c>
      <c r="G612" s="5">
        <v>991</v>
      </c>
      <c r="H612" s="5">
        <v>18.065981199201367</v>
      </c>
      <c r="I612" s="1">
        <f t="shared" si="18"/>
        <v>3757</v>
      </c>
      <c r="J612" s="1">
        <f t="shared" si="19"/>
        <v>0.34885850672113716</v>
      </c>
      <c r="K612" s="6" t="s">
        <v>7</v>
      </c>
    </row>
    <row r="613" spans="1:11">
      <c r="A613" s="5" t="s">
        <v>858</v>
      </c>
      <c r="B613" s="5">
        <v>5.2434168118509206E-11</v>
      </c>
      <c r="C613" s="5">
        <v>17121</v>
      </c>
      <c r="D613" s="5">
        <v>17123</v>
      </c>
      <c r="E613" s="5">
        <v>164.58107337892801</v>
      </c>
      <c r="F613" s="5">
        <v>6046</v>
      </c>
      <c r="G613" s="5">
        <v>6048</v>
      </c>
      <c r="H613" s="5">
        <v>57.71756706219093</v>
      </c>
      <c r="I613" s="1">
        <f t="shared" si="18"/>
        <v>23171</v>
      </c>
      <c r="J613" s="1">
        <f t="shared" si="19"/>
        <v>0.34857587213549324</v>
      </c>
      <c r="K613" s="6" t="s">
        <v>589</v>
      </c>
    </row>
    <row r="614" spans="1:11">
      <c r="A614" s="5" t="s">
        <v>1819</v>
      </c>
      <c r="B614" s="5">
        <v>1.6401204280929726E-2</v>
      </c>
      <c r="C614" s="5">
        <v>3355</v>
      </c>
      <c r="D614" s="5">
        <v>3362</v>
      </c>
      <c r="E614" s="5">
        <v>55.010470947884983</v>
      </c>
      <c r="F614" s="5">
        <v>1197</v>
      </c>
      <c r="G614" s="5">
        <v>1201</v>
      </c>
      <c r="H614" s="5">
        <v>19.511329414397</v>
      </c>
      <c r="I614" s="1">
        <f t="shared" si="18"/>
        <v>4563</v>
      </c>
      <c r="J614" s="1">
        <f t="shared" si="19"/>
        <v>0.34835146150710539</v>
      </c>
      <c r="K614" s="6" t="s">
        <v>839</v>
      </c>
    </row>
    <row r="615" spans="1:11">
      <c r="A615" s="5" t="s">
        <v>1205</v>
      </c>
      <c r="B615" s="5">
        <v>2.620218056694823E-2</v>
      </c>
      <c r="C615" s="5">
        <v>2218</v>
      </c>
      <c r="D615" s="5">
        <v>2218</v>
      </c>
      <c r="E615" s="5">
        <v>52.988023571634947</v>
      </c>
      <c r="F615" s="5">
        <v>791</v>
      </c>
      <c r="G615" s="5">
        <v>791</v>
      </c>
      <c r="H615" s="5">
        <v>18.762420389775045</v>
      </c>
      <c r="I615" s="1">
        <f t="shared" si="18"/>
        <v>3009</v>
      </c>
      <c r="J615" s="1">
        <f t="shared" si="19"/>
        <v>0.34752930647442209</v>
      </c>
      <c r="K615" s="6" t="s">
        <v>1206</v>
      </c>
    </row>
    <row r="616" spans="1:11">
      <c r="A616" s="5" t="s">
        <v>794</v>
      </c>
      <c r="B616" s="5">
        <v>1.1440182134947463E-10</v>
      </c>
      <c r="C616" s="5">
        <v>3951</v>
      </c>
      <c r="D616" s="5">
        <v>3951</v>
      </c>
      <c r="E616" s="5">
        <v>133.55220180948214</v>
      </c>
      <c r="F616" s="5">
        <v>1393</v>
      </c>
      <c r="G616" s="5">
        <v>1393</v>
      </c>
      <c r="H616" s="5">
        <v>46.751046753881184</v>
      </c>
      <c r="I616" s="1">
        <f t="shared" si="18"/>
        <v>5344</v>
      </c>
      <c r="J616" s="1">
        <f t="shared" si="19"/>
        <v>0.34745657168864369</v>
      </c>
      <c r="K616" s="6" t="s">
        <v>795</v>
      </c>
    </row>
    <row r="617" spans="1:11">
      <c r="A617" s="5" t="s">
        <v>309</v>
      </c>
      <c r="B617" s="5">
        <v>0</v>
      </c>
      <c r="C617" s="5">
        <v>4551</v>
      </c>
      <c r="D617" s="5">
        <v>4551</v>
      </c>
      <c r="E617" s="5">
        <v>139.14151635630216</v>
      </c>
      <c r="F617" s="5">
        <v>1603</v>
      </c>
      <c r="G617" s="5">
        <v>1603</v>
      </c>
      <c r="H617" s="5">
        <v>48.66084192786532</v>
      </c>
      <c r="I617" s="1">
        <f t="shared" si="18"/>
        <v>6154</v>
      </c>
      <c r="J617" s="1">
        <f t="shared" si="19"/>
        <v>0.34722645503669153</v>
      </c>
      <c r="K617" s="6" t="s">
        <v>310</v>
      </c>
    </row>
    <row r="618" spans="1:11">
      <c r="A618" s="5" t="s">
        <v>117</v>
      </c>
      <c r="B618" s="5">
        <v>8.122444896802028E-4</v>
      </c>
      <c r="C618" s="5">
        <v>10009</v>
      </c>
      <c r="D618" s="5">
        <v>10012</v>
      </c>
      <c r="E618" s="5">
        <v>66.937013976234113</v>
      </c>
      <c r="F618" s="5">
        <v>3552</v>
      </c>
      <c r="G618" s="5">
        <v>3552</v>
      </c>
      <c r="H618" s="5">
        <v>23.578417366964288</v>
      </c>
      <c r="I618" s="1">
        <f t="shared" si="18"/>
        <v>13564</v>
      </c>
      <c r="J618" s="1">
        <f t="shared" si="19"/>
        <v>0.34706290410721535</v>
      </c>
      <c r="K618" s="6" t="s">
        <v>118</v>
      </c>
    </row>
    <row r="619" spans="1:11">
      <c r="A619" s="5" t="s">
        <v>982</v>
      </c>
      <c r="B619" s="5">
        <v>1.0963507879324652E-10</v>
      </c>
      <c r="C619" s="5">
        <v>8409</v>
      </c>
      <c r="D619" s="5">
        <v>8409</v>
      </c>
      <c r="E619" s="5">
        <v>140.29115623124974</v>
      </c>
      <c r="F619" s="5">
        <v>2959</v>
      </c>
      <c r="G619" s="5">
        <v>2959</v>
      </c>
      <c r="H619" s="5">
        <v>49.01478559149043</v>
      </c>
      <c r="I619" s="1">
        <f t="shared" si="18"/>
        <v>11368</v>
      </c>
      <c r="J619" s="1">
        <f t="shared" si="19"/>
        <v>0.34690625300898836</v>
      </c>
      <c r="K619" s="6" t="s">
        <v>983</v>
      </c>
    </row>
    <row r="620" spans="1:11">
      <c r="A620" s="5" t="s">
        <v>2087</v>
      </c>
      <c r="B620" s="5">
        <v>9.1923245809644172E-6</v>
      </c>
      <c r="C620" s="5">
        <v>2434</v>
      </c>
      <c r="D620" s="5">
        <v>2442</v>
      </c>
      <c r="E620" s="5">
        <v>85.081380664451345</v>
      </c>
      <c r="F620" s="5">
        <v>862</v>
      </c>
      <c r="G620" s="5">
        <v>863</v>
      </c>
      <c r="H620" s="5">
        <v>29.853541942033715</v>
      </c>
      <c r="I620" s="1">
        <f t="shared" si="18"/>
        <v>3305</v>
      </c>
      <c r="J620" s="1">
        <f t="shared" si="19"/>
        <v>0.34680603066073035</v>
      </c>
      <c r="K620" s="6" t="s">
        <v>2</v>
      </c>
    </row>
    <row r="621" spans="1:11">
      <c r="A621" s="5" t="s">
        <v>2078</v>
      </c>
      <c r="B621" s="5">
        <v>2.4753694094492573E-8</v>
      </c>
      <c r="C621" s="5">
        <v>8009</v>
      </c>
      <c r="D621" s="5">
        <v>8024</v>
      </c>
      <c r="E621" s="5">
        <v>109.06031556295189</v>
      </c>
      <c r="F621" s="5">
        <v>2817</v>
      </c>
      <c r="G621" s="5">
        <v>2824</v>
      </c>
      <c r="H621" s="5">
        <v>38.1098046270073</v>
      </c>
      <c r="I621" s="1">
        <f t="shared" si="18"/>
        <v>10848</v>
      </c>
      <c r="J621" s="1">
        <f t="shared" si="19"/>
        <v>0.34626290531767007</v>
      </c>
      <c r="K621" s="6" t="s">
        <v>2079</v>
      </c>
    </row>
    <row r="622" spans="1:11">
      <c r="A622" s="5" t="s">
        <v>897</v>
      </c>
      <c r="B622" s="5">
        <v>2.038585381027469E-2</v>
      </c>
      <c r="C622" s="5">
        <v>763</v>
      </c>
      <c r="D622" s="5">
        <v>763</v>
      </c>
      <c r="E622" s="5">
        <v>53.786977019270438</v>
      </c>
      <c r="F622" s="5">
        <v>271</v>
      </c>
      <c r="G622" s="5">
        <v>271</v>
      </c>
      <c r="H622" s="5">
        <v>18.967849247333913</v>
      </c>
      <c r="I622" s="1">
        <f t="shared" si="18"/>
        <v>1034</v>
      </c>
      <c r="J622" s="1">
        <f t="shared" si="19"/>
        <v>0.3462109114117079</v>
      </c>
      <c r="K622" s="6" t="s">
        <v>2</v>
      </c>
    </row>
    <row r="623" spans="1:11">
      <c r="A623" s="5" t="s">
        <v>1263</v>
      </c>
      <c r="B623" s="5">
        <v>1.6010534897858975E-7</v>
      </c>
      <c r="C623" s="5">
        <v>7479</v>
      </c>
      <c r="D623" s="5">
        <v>7479</v>
      </c>
      <c r="E623" s="5">
        <v>101.39955844914341</v>
      </c>
      <c r="F623" s="5">
        <v>2633</v>
      </c>
      <c r="G623" s="5">
        <v>2633</v>
      </c>
      <c r="H623" s="5">
        <v>35.44374388595056</v>
      </c>
      <c r="I623" s="1">
        <f t="shared" si="18"/>
        <v>10112</v>
      </c>
      <c r="J623" s="1">
        <f t="shared" si="19"/>
        <v>0.3461318039135261</v>
      </c>
      <c r="K623" s="6" t="s">
        <v>61</v>
      </c>
    </row>
    <row r="624" spans="1:11">
      <c r="A624" s="5" t="s">
        <v>2200</v>
      </c>
      <c r="B624" s="5">
        <v>1.0385667087299821E-2</v>
      </c>
      <c r="C624" s="5">
        <v>5629</v>
      </c>
      <c r="D624" s="5">
        <v>5635</v>
      </c>
      <c r="E624" s="5">
        <v>56.476007803057783</v>
      </c>
      <c r="F624" s="5">
        <v>1998</v>
      </c>
      <c r="G624" s="5">
        <v>1999</v>
      </c>
      <c r="H624" s="5">
        <v>19.89202806484721</v>
      </c>
      <c r="I624" s="1">
        <f t="shared" si="18"/>
        <v>7634</v>
      </c>
      <c r="J624" s="1">
        <f t="shared" si="19"/>
        <v>0.34609272329782331</v>
      </c>
      <c r="K624" s="6" t="s">
        <v>311</v>
      </c>
    </row>
    <row r="625" spans="1:11">
      <c r="A625" s="5" t="s">
        <v>765</v>
      </c>
      <c r="B625" s="5">
        <v>1.3844193408329986E-6</v>
      </c>
      <c r="C625" s="5">
        <v>1953</v>
      </c>
      <c r="D625" s="5">
        <v>1953</v>
      </c>
      <c r="E625" s="5">
        <v>92.582787825868863</v>
      </c>
      <c r="F625" s="5">
        <v>688</v>
      </c>
      <c r="G625" s="5">
        <v>688</v>
      </c>
      <c r="H625" s="5">
        <v>32.382669612584522</v>
      </c>
      <c r="I625" s="1">
        <f t="shared" si="18"/>
        <v>2641</v>
      </c>
      <c r="J625" s="1">
        <f t="shared" si="19"/>
        <v>0.34603232458558003</v>
      </c>
      <c r="K625" s="6" t="s">
        <v>766</v>
      </c>
    </row>
    <row r="626" spans="1:11">
      <c r="A626" s="5" t="s">
        <v>865</v>
      </c>
      <c r="B626" s="5">
        <v>0</v>
      </c>
      <c r="C626" s="5">
        <v>4133</v>
      </c>
      <c r="D626" s="5">
        <v>4133</v>
      </c>
      <c r="E626" s="5">
        <v>154.26868588538289</v>
      </c>
      <c r="F626" s="5">
        <v>1448</v>
      </c>
      <c r="G626" s="5">
        <v>1448</v>
      </c>
      <c r="H626" s="5">
        <v>53.663270436243593</v>
      </c>
      <c r="I626" s="1">
        <f t="shared" si="18"/>
        <v>5581</v>
      </c>
      <c r="J626" s="1">
        <f t="shared" si="19"/>
        <v>0.34561553818943924</v>
      </c>
      <c r="K626" s="6" t="s">
        <v>2</v>
      </c>
    </row>
    <row r="627" spans="1:11">
      <c r="A627" s="5" t="s">
        <v>1741</v>
      </c>
      <c r="B627" s="5">
        <v>0</v>
      </c>
      <c r="C627" s="5">
        <v>28586</v>
      </c>
      <c r="D627" s="5">
        <v>28622</v>
      </c>
      <c r="E627" s="5">
        <v>414.93073740882465</v>
      </c>
      <c r="F627" s="5">
        <v>9968</v>
      </c>
      <c r="G627" s="5">
        <v>9978</v>
      </c>
      <c r="H627" s="5">
        <v>143.62013482081704</v>
      </c>
      <c r="I627" s="1">
        <f t="shared" si="18"/>
        <v>38600</v>
      </c>
      <c r="J627" s="1">
        <f t="shared" si="19"/>
        <v>0.34529819968474851</v>
      </c>
      <c r="K627" s="6" t="s">
        <v>60</v>
      </c>
    </row>
    <row r="628" spans="1:11">
      <c r="A628" s="5" t="s">
        <v>1739</v>
      </c>
      <c r="B628" s="5">
        <v>4.2900683006052986E-11</v>
      </c>
      <c r="C628" s="5">
        <v>11147</v>
      </c>
      <c r="D628" s="5">
        <v>11147</v>
      </c>
      <c r="E628" s="5">
        <v>134.27082993138831</v>
      </c>
      <c r="F628" s="5">
        <v>3903</v>
      </c>
      <c r="G628" s="5">
        <v>3905</v>
      </c>
      <c r="H628" s="5">
        <v>46.702584015694214</v>
      </c>
      <c r="I628" s="1">
        <f t="shared" si="18"/>
        <v>15052</v>
      </c>
      <c r="J628" s="1">
        <f t="shared" si="19"/>
        <v>0.34525243941641054</v>
      </c>
      <c r="K628" s="6" t="s">
        <v>60</v>
      </c>
    </row>
    <row r="629" spans="1:11">
      <c r="A629" s="5" t="s">
        <v>1274</v>
      </c>
      <c r="B629" s="5">
        <v>3.0820571164685839E-3</v>
      </c>
      <c r="C629" s="5">
        <v>3820</v>
      </c>
      <c r="D629" s="5">
        <v>3822</v>
      </c>
      <c r="E629" s="5">
        <v>61.176082723547552</v>
      </c>
      <c r="F629" s="5">
        <v>1349</v>
      </c>
      <c r="G629" s="5">
        <v>1350</v>
      </c>
      <c r="H629" s="5">
        <v>21.454626096778167</v>
      </c>
      <c r="I629" s="1">
        <f t="shared" si="18"/>
        <v>5172</v>
      </c>
      <c r="J629" s="1">
        <f t="shared" si="19"/>
        <v>0.34506236412756175</v>
      </c>
      <c r="K629" s="6" t="s">
        <v>13</v>
      </c>
    </row>
    <row r="630" spans="1:11">
      <c r="A630" s="5" t="s">
        <v>2214</v>
      </c>
      <c r="B630" s="5">
        <v>5.6966029435279175E-5</v>
      </c>
      <c r="C630" s="5">
        <v>1995</v>
      </c>
      <c r="D630" s="5">
        <v>1995</v>
      </c>
      <c r="E630" s="5">
        <v>77.109900723127879</v>
      </c>
      <c r="F630" s="5">
        <v>701</v>
      </c>
      <c r="G630" s="5">
        <v>701</v>
      </c>
      <c r="H630" s="5">
        <v>26.901807575263614</v>
      </c>
      <c r="I630" s="1">
        <f t="shared" si="18"/>
        <v>2696</v>
      </c>
      <c r="J630" s="1">
        <f t="shared" si="19"/>
        <v>0.34440970128256926</v>
      </c>
      <c r="K630" s="6" t="s">
        <v>17</v>
      </c>
    </row>
    <row r="631" spans="1:11">
      <c r="A631" s="5" t="s">
        <v>792</v>
      </c>
      <c r="B631" s="5">
        <v>1.1141070469566916E-4</v>
      </c>
      <c r="C631" s="5">
        <v>4364</v>
      </c>
      <c r="D631" s="5">
        <v>4368</v>
      </c>
      <c r="E631" s="5">
        <v>74.378216077261456</v>
      </c>
      <c r="F631" s="5">
        <v>1534</v>
      </c>
      <c r="G631" s="5">
        <v>1535</v>
      </c>
      <c r="H631" s="5">
        <v>25.951813284912912</v>
      </c>
      <c r="I631" s="1">
        <f t="shared" si="18"/>
        <v>5903</v>
      </c>
      <c r="J631" s="1">
        <f t="shared" si="19"/>
        <v>0.34428797383998477</v>
      </c>
      <c r="K631" s="6" t="s">
        <v>793</v>
      </c>
    </row>
    <row r="632" spans="1:11">
      <c r="A632" s="5" t="s">
        <v>1233</v>
      </c>
      <c r="B632" s="5">
        <v>0</v>
      </c>
      <c r="C632" s="5">
        <v>2330</v>
      </c>
      <c r="D632" s="5">
        <v>2333</v>
      </c>
      <c r="E632" s="5">
        <v>186.16595515840683</v>
      </c>
      <c r="F632" s="5">
        <v>811</v>
      </c>
      <c r="G632" s="5">
        <v>813</v>
      </c>
      <c r="H632" s="5">
        <v>64.412813573057676</v>
      </c>
      <c r="I632" s="1">
        <f t="shared" si="18"/>
        <v>3146</v>
      </c>
      <c r="J632" s="1">
        <f t="shared" si="19"/>
        <v>0.34414813056435539</v>
      </c>
      <c r="K632" s="6" t="s">
        <v>1234</v>
      </c>
    </row>
    <row r="633" spans="1:11">
      <c r="A633" s="5" t="s">
        <v>28</v>
      </c>
      <c r="B633" s="5">
        <v>9.0898443827480691E-7</v>
      </c>
      <c r="C633" s="5">
        <v>2417</v>
      </c>
      <c r="D633" s="5">
        <v>2417</v>
      </c>
      <c r="E633" s="5">
        <v>93.687023508665732</v>
      </c>
      <c r="F633" s="5">
        <v>846</v>
      </c>
      <c r="G633" s="5">
        <v>846</v>
      </c>
      <c r="H633" s="5">
        <v>32.558872272223653</v>
      </c>
      <c r="I633" s="1">
        <f t="shared" si="18"/>
        <v>3263</v>
      </c>
      <c r="J633" s="1">
        <f t="shared" si="19"/>
        <v>0.34385780718140191</v>
      </c>
      <c r="K633" s="6" t="s">
        <v>2</v>
      </c>
    </row>
    <row r="634" spans="1:11">
      <c r="A634" s="5" t="s">
        <v>1535</v>
      </c>
      <c r="B634" s="5">
        <v>1.2260102371930426E-4</v>
      </c>
      <c r="C634" s="5">
        <v>4643</v>
      </c>
      <c r="D634" s="5">
        <v>4723</v>
      </c>
      <c r="E634" s="5">
        <v>73.859880455504978</v>
      </c>
      <c r="F634" s="5">
        <v>1629</v>
      </c>
      <c r="G634" s="5">
        <v>1657</v>
      </c>
      <c r="H634" s="5">
        <v>25.728197638150029</v>
      </c>
      <c r="I634" s="1">
        <f t="shared" si="18"/>
        <v>6380</v>
      </c>
      <c r="J634" s="1">
        <f t="shared" si="19"/>
        <v>0.3436847278088066</v>
      </c>
      <c r="K634" s="6" t="s">
        <v>1536</v>
      </c>
    </row>
    <row r="635" spans="1:11">
      <c r="A635" s="5" t="s">
        <v>835</v>
      </c>
      <c r="B635" s="5">
        <v>0</v>
      </c>
      <c r="C635" s="5">
        <v>3661</v>
      </c>
      <c r="D635" s="5">
        <v>31523</v>
      </c>
      <c r="E635" s="5">
        <v>301.60452501658381</v>
      </c>
      <c r="F635" s="5">
        <v>1334</v>
      </c>
      <c r="G635" s="5">
        <v>10933</v>
      </c>
      <c r="H635" s="5">
        <v>103.85941191262403</v>
      </c>
      <c r="I635" s="1">
        <f t="shared" si="18"/>
        <v>42456</v>
      </c>
      <c r="J635" s="1">
        <f t="shared" si="19"/>
        <v>0.343218304177481</v>
      </c>
      <c r="K635" s="6" t="s">
        <v>836</v>
      </c>
    </row>
    <row r="636" spans="1:11">
      <c r="A636" s="5" t="s">
        <v>1926</v>
      </c>
      <c r="B636" s="5">
        <v>3.1603503147792367E-9</v>
      </c>
      <c r="C636" s="5">
        <v>7268</v>
      </c>
      <c r="D636" s="5">
        <v>7914</v>
      </c>
      <c r="E636" s="5">
        <v>116.52898996497608</v>
      </c>
      <c r="F636" s="5">
        <v>2350</v>
      </c>
      <c r="G636" s="5">
        <v>2759</v>
      </c>
      <c r="H636" s="5">
        <v>40.33535064202286</v>
      </c>
      <c r="I636" s="1">
        <f t="shared" si="18"/>
        <v>10673</v>
      </c>
      <c r="J636" s="1">
        <f t="shared" si="19"/>
        <v>0.34319490581892087</v>
      </c>
      <c r="K636" s="6" t="s">
        <v>410</v>
      </c>
    </row>
    <row r="637" spans="1:11">
      <c r="A637" s="5" t="s">
        <v>1861</v>
      </c>
      <c r="B637" s="5">
        <v>8.055790153282949E-6</v>
      </c>
      <c r="C637" s="5">
        <v>5619</v>
      </c>
      <c r="D637" s="5">
        <v>5875</v>
      </c>
      <c r="E637" s="5">
        <v>84.673163149095444</v>
      </c>
      <c r="F637" s="5">
        <v>1948</v>
      </c>
      <c r="G637" s="5">
        <v>2054</v>
      </c>
      <c r="H637" s="5">
        <v>29.392366370342906</v>
      </c>
      <c r="I637" s="1">
        <f t="shared" si="18"/>
        <v>7929</v>
      </c>
      <c r="J637" s="1">
        <f t="shared" si="19"/>
        <v>0.34307553602511331</v>
      </c>
      <c r="K637" s="6" t="s">
        <v>1390</v>
      </c>
    </row>
    <row r="638" spans="1:11">
      <c r="A638" s="5" t="s">
        <v>391</v>
      </c>
      <c r="B638" s="5">
        <v>1.395120201197475E-4</v>
      </c>
      <c r="C638" s="5">
        <v>460</v>
      </c>
      <c r="D638" s="5">
        <v>4244</v>
      </c>
      <c r="E638" s="5">
        <v>73.18267492017246</v>
      </c>
      <c r="F638" s="5">
        <v>299</v>
      </c>
      <c r="G638" s="5">
        <v>1486</v>
      </c>
      <c r="H638" s="5">
        <v>25.441804649899545</v>
      </c>
      <c r="I638" s="1">
        <f t="shared" si="18"/>
        <v>5730</v>
      </c>
      <c r="J638" s="1">
        <f t="shared" si="19"/>
        <v>0.34296154293812298</v>
      </c>
      <c r="K638" s="6" t="s">
        <v>142</v>
      </c>
    </row>
    <row r="639" spans="1:11">
      <c r="A639" s="5" t="s">
        <v>2240</v>
      </c>
      <c r="B639" s="5">
        <v>1.6805747201475985E-4</v>
      </c>
      <c r="C639" s="5">
        <v>4538</v>
      </c>
      <c r="D639" s="5">
        <v>4538</v>
      </c>
      <c r="E639" s="5">
        <v>72.381131479053508</v>
      </c>
      <c r="F639" s="5">
        <v>1588</v>
      </c>
      <c r="G639" s="5">
        <v>1588</v>
      </c>
      <c r="H639" s="5">
        <v>25.148238726439295</v>
      </c>
      <c r="I639" s="1">
        <f t="shared" si="18"/>
        <v>6126</v>
      </c>
      <c r="J639" s="1">
        <f t="shared" si="19"/>
        <v>0.3427071539993603</v>
      </c>
      <c r="K639" s="6" t="s">
        <v>285</v>
      </c>
    </row>
    <row r="640" spans="1:11">
      <c r="A640" s="5" t="s">
        <v>1420</v>
      </c>
      <c r="B640" s="5">
        <v>4.7667425562281096E-11</v>
      </c>
      <c r="C640" s="5">
        <v>10640</v>
      </c>
      <c r="D640" s="5">
        <v>10715</v>
      </c>
      <c r="E640" s="5">
        <v>204.17561435760757</v>
      </c>
      <c r="F640" s="5">
        <v>3694</v>
      </c>
      <c r="G640" s="5">
        <v>3716</v>
      </c>
      <c r="H640" s="5">
        <v>70.304577227184893</v>
      </c>
      <c r="I640" s="1">
        <f t="shared" si="18"/>
        <v>14431</v>
      </c>
      <c r="J640" s="1">
        <f t="shared" si="19"/>
        <v>0.34265561941804962</v>
      </c>
      <c r="K640" s="6" t="s">
        <v>1421</v>
      </c>
    </row>
    <row r="641" spans="1:11">
      <c r="A641" s="5" t="s">
        <v>401</v>
      </c>
      <c r="B641" s="5">
        <v>1.9066970224912438E-10</v>
      </c>
      <c r="C641" s="5">
        <v>5239</v>
      </c>
      <c r="D641" s="5">
        <v>5244</v>
      </c>
      <c r="E641" s="5">
        <v>142.97893071959768</v>
      </c>
      <c r="F641" s="5">
        <v>1822</v>
      </c>
      <c r="G641" s="5">
        <v>1822</v>
      </c>
      <c r="H641" s="5">
        <v>49.323505434692116</v>
      </c>
      <c r="I641" s="1">
        <f t="shared" si="18"/>
        <v>7066</v>
      </c>
      <c r="J641" s="1">
        <f t="shared" si="19"/>
        <v>0.34257446689023402</v>
      </c>
      <c r="K641" s="6" t="s">
        <v>402</v>
      </c>
    </row>
    <row r="642" spans="1:11">
      <c r="A642" s="5" t="s">
        <v>778</v>
      </c>
      <c r="B642" s="5">
        <v>1.2870204901815896E-10</v>
      </c>
      <c r="C642" s="5">
        <v>15983</v>
      </c>
      <c r="D642" s="5">
        <v>15988</v>
      </c>
      <c r="E642" s="5">
        <v>157.96835904285103</v>
      </c>
      <c r="F642" s="5">
        <v>5548</v>
      </c>
      <c r="G642" s="5">
        <v>5549</v>
      </c>
      <c r="H642" s="5">
        <v>54.436086058994988</v>
      </c>
      <c r="I642" s="1">
        <f t="shared" ref="I642:I705" si="20">D642+G642</f>
        <v>21537</v>
      </c>
      <c r="J642" s="1">
        <f t="shared" ref="J642:J705" si="21">H642/(E642+1)</f>
        <v>0.34243346529306101</v>
      </c>
      <c r="K642" s="6" t="s">
        <v>723</v>
      </c>
    </row>
    <row r="643" spans="1:11">
      <c r="A643" s="5" t="s">
        <v>2261</v>
      </c>
      <c r="B643" s="5">
        <v>0</v>
      </c>
      <c r="C643" s="5">
        <v>16997</v>
      </c>
      <c r="D643" s="5">
        <v>17001</v>
      </c>
      <c r="E643" s="5">
        <v>244.12100891397455</v>
      </c>
      <c r="F643" s="5">
        <v>5886</v>
      </c>
      <c r="G643" s="5">
        <v>5886</v>
      </c>
      <c r="H643" s="5">
        <v>83.916458379588263</v>
      </c>
      <c r="I643" s="1">
        <f t="shared" si="20"/>
        <v>22887</v>
      </c>
      <c r="J643" s="1">
        <f t="shared" si="21"/>
        <v>0.34234706666468895</v>
      </c>
      <c r="K643" s="6" t="s">
        <v>2262</v>
      </c>
    </row>
    <row r="644" spans="1:11">
      <c r="A644" s="5" t="s">
        <v>1644</v>
      </c>
      <c r="B644" s="5">
        <v>0</v>
      </c>
      <c r="C644" s="5">
        <v>10735</v>
      </c>
      <c r="D644" s="5">
        <v>10848</v>
      </c>
      <c r="E644" s="5">
        <v>151.68643472590054</v>
      </c>
      <c r="F644" s="5">
        <v>3739</v>
      </c>
      <c r="G644" s="5">
        <v>3764</v>
      </c>
      <c r="H644" s="5">
        <v>52.256808445839191</v>
      </c>
      <c r="I644" s="1">
        <f t="shared" si="20"/>
        <v>14612</v>
      </c>
      <c r="J644" s="1">
        <f t="shared" si="21"/>
        <v>0.34224918893187539</v>
      </c>
      <c r="K644" s="6" t="s">
        <v>470</v>
      </c>
    </row>
    <row r="645" spans="1:11">
      <c r="A645" s="5" t="s">
        <v>1340</v>
      </c>
      <c r="B645" s="5">
        <v>1.5644434521442374E-2</v>
      </c>
      <c r="C645" s="5">
        <v>6651</v>
      </c>
      <c r="D645" s="5">
        <v>6666</v>
      </c>
      <c r="E645" s="5">
        <v>54.177600085509596</v>
      </c>
      <c r="F645" s="5">
        <v>2334</v>
      </c>
      <c r="G645" s="5">
        <v>2339</v>
      </c>
      <c r="H645" s="5">
        <v>18.874735552152533</v>
      </c>
      <c r="I645" s="1">
        <f t="shared" si="20"/>
        <v>9005</v>
      </c>
      <c r="J645" s="1">
        <f t="shared" si="21"/>
        <v>0.34207242654450459</v>
      </c>
      <c r="K645" s="6" t="s">
        <v>1341</v>
      </c>
    </row>
    <row r="646" spans="1:11">
      <c r="A646" s="5" t="s">
        <v>1359</v>
      </c>
      <c r="B646" s="5">
        <v>1.1940690103351415E-8</v>
      </c>
      <c r="C646" s="5">
        <v>2451</v>
      </c>
      <c r="D646" s="5">
        <v>10463</v>
      </c>
      <c r="E646" s="5">
        <v>110.56531181377235</v>
      </c>
      <c r="F646" s="5">
        <v>923</v>
      </c>
      <c r="G646" s="5">
        <v>3634</v>
      </c>
      <c r="H646" s="5">
        <v>38.127979604653333</v>
      </c>
      <c r="I646" s="1">
        <f t="shared" si="20"/>
        <v>14097</v>
      </c>
      <c r="J646" s="1">
        <f t="shared" si="21"/>
        <v>0.34175478905394469</v>
      </c>
      <c r="K646" s="6" t="s">
        <v>199</v>
      </c>
    </row>
    <row r="647" spans="1:11">
      <c r="A647" s="5" t="s">
        <v>1564</v>
      </c>
      <c r="B647" s="5">
        <v>1.9786748350902883E-8</v>
      </c>
      <c r="C647" s="5">
        <v>6977</v>
      </c>
      <c r="D647" s="5">
        <v>6980</v>
      </c>
      <c r="E647" s="5">
        <v>108.34613154717729</v>
      </c>
      <c r="F647" s="5">
        <v>2421</v>
      </c>
      <c r="G647" s="5">
        <v>2421</v>
      </c>
      <c r="H647" s="5">
        <v>37.312038463801692</v>
      </c>
      <c r="I647" s="1">
        <f t="shared" si="20"/>
        <v>9401</v>
      </c>
      <c r="J647" s="1">
        <f t="shared" si="21"/>
        <v>0.34122870133456384</v>
      </c>
      <c r="K647" s="6" t="s">
        <v>981</v>
      </c>
    </row>
    <row r="648" spans="1:11">
      <c r="A648" s="5" t="s">
        <v>2144</v>
      </c>
      <c r="B648" s="5">
        <v>4.2759240059558334E-2</v>
      </c>
      <c r="C648" s="5">
        <v>2973</v>
      </c>
      <c r="D648" s="5">
        <v>2973</v>
      </c>
      <c r="E648" s="5">
        <v>50.060300917609887</v>
      </c>
      <c r="F648" s="5">
        <v>1042</v>
      </c>
      <c r="G648" s="5">
        <v>1042</v>
      </c>
      <c r="H648" s="5">
        <v>17.42057419684307</v>
      </c>
      <c r="I648" s="1">
        <f t="shared" si="20"/>
        <v>4015</v>
      </c>
      <c r="J648" s="1">
        <f t="shared" si="21"/>
        <v>0.34117648904875514</v>
      </c>
      <c r="K648" s="6" t="s">
        <v>682</v>
      </c>
    </row>
    <row r="649" spans="1:11">
      <c r="A649" s="5" t="s">
        <v>2030</v>
      </c>
      <c r="B649" s="5">
        <v>0</v>
      </c>
      <c r="C649" s="5">
        <v>315137</v>
      </c>
      <c r="D649" s="5">
        <v>317293</v>
      </c>
      <c r="E649" s="5">
        <v>10364.667935156598</v>
      </c>
      <c r="F649" s="5">
        <v>108319</v>
      </c>
      <c r="G649" s="5">
        <v>109012</v>
      </c>
      <c r="H649" s="5">
        <v>3535.6185941980066</v>
      </c>
      <c r="I649" s="1">
        <f t="shared" si="20"/>
        <v>426305</v>
      </c>
      <c r="J649" s="1">
        <f t="shared" si="21"/>
        <v>0.34108931680190779</v>
      </c>
      <c r="K649" s="6" t="s">
        <v>2031</v>
      </c>
    </row>
    <row r="650" spans="1:11">
      <c r="A650" s="5" t="s">
        <v>1616</v>
      </c>
      <c r="B650" s="5">
        <v>0</v>
      </c>
      <c r="C650" s="5">
        <v>3375</v>
      </c>
      <c r="D650" s="5">
        <v>3706</v>
      </c>
      <c r="E650" s="5">
        <v>408.27084233713435</v>
      </c>
      <c r="F650" s="5">
        <v>1193</v>
      </c>
      <c r="G650" s="5">
        <v>1276</v>
      </c>
      <c r="H650" s="5">
        <v>139.56927554095427</v>
      </c>
      <c r="I650" s="1">
        <f t="shared" si="20"/>
        <v>4982</v>
      </c>
      <c r="J650" s="1">
        <f t="shared" si="21"/>
        <v>0.34101934734452677</v>
      </c>
      <c r="K650" s="6" t="s">
        <v>2</v>
      </c>
    </row>
    <row r="651" spans="1:11">
      <c r="A651" s="5" t="s">
        <v>435</v>
      </c>
      <c r="B651" s="5">
        <v>1.0486833623701841E-10</v>
      </c>
      <c r="C651" s="5">
        <v>6970</v>
      </c>
      <c r="D651" s="5">
        <v>6971</v>
      </c>
      <c r="E651" s="5">
        <v>132.18527679142485</v>
      </c>
      <c r="F651" s="5">
        <v>2411</v>
      </c>
      <c r="G651" s="5">
        <v>2411</v>
      </c>
      <c r="H651" s="5">
        <v>45.392218858105394</v>
      </c>
      <c r="I651" s="1">
        <f t="shared" si="20"/>
        <v>9382</v>
      </c>
      <c r="J651" s="1">
        <f t="shared" si="21"/>
        <v>0.34082009627229287</v>
      </c>
      <c r="K651" s="6" t="s">
        <v>436</v>
      </c>
    </row>
    <row r="652" spans="1:11">
      <c r="A652" s="5" t="s">
        <v>1272</v>
      </c>
      <c r="B652" s="5">
        <v>1.4058254660320735E-3</v>
      </c>
      <c r="C652" s="5">
        <v>2082</v>
      </c>
      <c r="D652" s="5">
        <v>2082</v>
      </c>
      <c r="E652" s="5">
        <v>63.440875743170238</v>
      </c>
      <c r="F652" s="5">
        <v>725</v>
      </c>
      <c r="G652" s="5">
        <v>725</v>
      </c>
      <c r="H652" s="5">
        <v>21.934243012964281</v>
      </c>
      <c r="I652" s="1">
        <f t="shared" si="20"/>
        <v>2807</v>
      </c>
      <c r="J652" s="1">
        <f t="shared" si="21"/>
        <v>0.34037779220107789</v>
      </c>
      <c r="K652" s="6" t="s">
        <v>1273</v>
      </c>
    </row>
    <row r="653" spans="1:11">
      <c r="A653" s="5" t="s">
        <v>2034</v>
      </c>
      <c r="B653" s="5">
        <v>5.501478720359998E-6</v>
      </c>
      <c r="C653" s="5">
        <v>7200</v>
      </c>
      <c r="D653" s="5">
        <v>11176</v>
      </c>
      <c r="E653" s="5">
        <v>85.49533749176156</v>
      </c>
      <c r="F653" s="5">
        <v>2436</v>
      </c>
      <c r="G653" s="5">
        <v>3875</v>
      </c>
      <c r="H653" s="5">
        <v>29.432282596138272</v>
      </c>
      <c r="I653" s="1">
        <f t="shared" si="20"/>
        <v>15051</v>
      </c>
      <c r="J653" s="1">
        <f t="shared" si="21"/>
        <v>0.3402759437633458</v>
      </c>
      <c r="K653" s="6" t="s">
        <v>799</v>
      </c>
    </row>
    <row r="654" spans="1:11">
      <c r="A654" s="5" t="s">
        <v>729</v>
      </c>
      <c r="B654" s="5">
        <v>3.3367197893596767E-11</v>
      </c>
      <c r="C654" s="5">
        <v>12880</v>
      </c>
      <c r="D654" s="5">
        <v>12882</v>
      </c>
      <c r="E654" s="5">
        <v>146.60325798712481</v>
      </c>
      <c r="F654" s="5">
        <v>4439</v>
      </c>
      <c r="G654" s="5">
        <v>4439</v>
      </c>
      <c r="H654" s="5">
        <v>50.158168723489965</v>
      </c>
      <c r="I654" s="1">
        <f t="shared" si="20"/>
        <v>17321</v>
      </c>
      <c r="J654" s="1">
        <f t="shared" si="21"/>
        <v>0.33981749053171428</v>
      </c>
      <c r="K654" s="6" t="s">
        <v>730</v>
      </c>
    </row>
    <row r="655" spans="1:11">
      <c r="A655" s="5" t="s">
        <v>1062</v>
      </c>
      <c r="B655" s="5">
        <v>7.62887606620688E-4</v>
      </c>
      <c r="C655" s="5">
        <v>767</v>
      </c>
      <c r="D655" s="5">
        <v>767</v>
      </c>
      <c r="E655" s="5">
        <v>65.630867851493377</v>
      </c>
      <c r="F655" s="5">
        <v>266</v>
      </c>
      <c r="G655" s="5">
        <v>266</v>
      </c>
      <c r="H655" s="5">
        <v>22.599072725280891</v>
      </c>
      <c r="I655" s="1">
        <f t="shared" si="20"/>
        <v>1033</v>
      </c>
      <c r="J655" s="1">
        <f t="shared" si="21"/>
        <v>0.33916821818454501</v>
      </c>
      <c r="K655" s="6" t="s">
        <v>1063</v>
      </c>
    </row>
    <row r="656" spans="1:11">
      <c r="A656" s="5" t="s">
        <v>1956</v>
      </c>
      <c r="B656" s="5">
        <v>2.8550300849577437E-2</v>
      </c>
      <c r="C656" s="5">
        <v>3949</v>
      </c>
      <c r="D656" s="5">
        <v>3957</v>
      </c>
      <c r="E656" s="5">
        <v>51.34610716625555</v>
      </c>
      <c r="F656" s="5">
        <v>1375</v>
      </c>
      <c r="G656" s="5">
        <v>1378</v>
      </c>
      <c r="H656" s="5">
        <v>17.753618783204413</v>
      </c>
      <c r="I656" s="1">
        <f t="shared" si="20"/>
        <v>5335</v>
      </c>
      <c r="J656" s="1">
        <f t="shared" si="21"/>
        <v>0.3391583394504859</v>
      </c>
      <c r="K656" s="6" t="s">
        <v>1957</v>
      </c>
    </row>
    <row r="657" spans="1:11">
      <c r="A657" s="5" t="s">
        <v>943</v>
      </c>
      <c r="B657" s="5">
        <v>8.9823543381051252E-7</v>
      </c>
      <c r="C657" s="5">
        <v>3761</v>
      </c>
      <c r="D657" s="5">
        <v>3763</v>
      </c>
      <c r="E657" s="5">
        <v>92.413274938463346</v>
      </c>
      <c r="F657" s="5">
        <v>1299</v>
      </c>
      <c r="G657" s="5">
        <v>1299</v>
      </c>
      <c r="H657" s="5">
        <v>31.674188266823922</v>
      </c>
      <c r="I657" s="1">
        <f t="shared" si="20"/>
        <v>5062</v>
      </c>
      <c r="J657" s="1">
        <f t="shared" si="21"/>
        <v>0.33907587853749394</v>
      </c>
      <c r="K657" s="6" t="s">
        <v>39</v>
      </c>
    </row>
    <row r="658" spans="1:11">
      <c r="A658" s="5" t="s">
        <v>2182</v>
      </c>
      <c r="B658" s="5">
        <v>7.6267880899649754E-11</v>
      </c>
      <c r="C658" s="5">
        <v>565</v>
      </c>
      <c r="D658" s="5">
        <v>6744</v>
      </c>
      <c r="E658" s="5">
        <v>151.41009951266335</v>
      </c>
      <c r="F658" s="5">
        <v>140</v>
      </c>
      <c r="G658" s="5">
        <v>2318</v>
      </c>
      <c r="H658" s="5">
        <v>51.671005743163455</v>
      </c>
      <c r="I658" s="1">
        <f t="shared" si="20"/>
        <v>9062</v>
      </c>
      <c r="J658" s="1">
        <f t="shared" si="21"/>
        <v>0.33902612693242318</v>
      </c>
      <c r="K658" s="6" t="s">
        <v>1168</v>
      </c>
    </row>
    <row r="659" spans="1:11">
      <c r="A659" s="5" t="s">
        <v>761</v>
      </c>
      <c r="B659" s="5">
        <v>1.7689934568299037E-5</v>
      </c>
      <c r="C659" s="5">
        <v>2759</v>
      </c>
      <c r="D659" s="5">
        <v>2759</v>
      </c>
      <c r="E659" s="5">
        <v>80.37939395112906</v>
      </c>
      <c r="F659" s="5">
        <v>952</v>
      </c>
      <c r="G659" s="5">
        <v>952</v>
      </c>
      <c r="H659" s="5">
        <v>27.537605579368535</v>
      </c>
      <c r="I659" s="1">
        <f t="shared" si="20"/>
        <v>3711</v>
      </c>
      <c r="J659" s="1">
        <f t="shared" si="21"/>
        <v>0.33838548362630655</v>
      </c>
      <c r="K659" s="6" t="s">
        <v>762</v>
      </c>
    </row>
    <row r="660" spans="1:11">
      <c r="A660" s="5" t="s">
        <v>2142</v>
      </c>
      <c r="B660" s="5">
        <v>0</v>
      </c>
      <c r="C660" s="5">
        <v>30450</v>
      </c>
      <c r="D660" s="5">
        <v>30652</v>
      </c>
      <c r="E660" s="5">
        <v>346.37156941014962</v>
      </c>
      <c r="F660" s="5">
        <v>10407</v>
      </c>
      <c r="G660" s="5">
        <v>10457</v>
      </c>
      <c r="H660" s="5">
        <v>117.32396415030632</v>
      </c>
      <c r="I660" s="1">
        <f t="shared" si="20"/>
        <v>41109</v>
      </c>
      <c r="J660" s="1">
        <f t="shared" si="21"/>
        <v>0.33774774472627961</v>
      </c>
      <c r="K660" s="6" t="s">
        <v>681</v>
      </c>
    </row>
    <row r="661" spans="1:11">
      <c r="A661" s="5" t="s">
        <v>1193</v>
      </c>
      <c r="B661" s="5">
        <v>2.3982911823150488E-7</v>
      </c>
      <c r="C661" s="5">
        <v>6013</v>
      </c>
      <c r="D661" s="5">
        <v>6013</v>
      </c>
      <c r="E661" s="5">
        <v>97.275868168015236</v>
      </c>
      <c r="F661" s="5">
        <v>2066</v>
      </c>
      <c r="G661" s="5">
        <v>2066</v>
      </c>
      <c r="H661" s="5">
        <v>33.184893546969775</v>
      </c>
      <c r="I661" s="1">
        <f t="shared" si="20"/>
        <v>8079</v>
      </c>
      <c r="J661" s="1">
        <f t="shared" si="21"/>
        <v>0.33767082566226664</v>
      </c>
      <c r="K661" s="6" t="s">
        <v>1194</v>
      </c>
    </row>
    <row r="662" spans="1:11">
      <c r="A662" s="5" t="s">
        <v>1235</v>
      </c>
      <c r="B662" s="5">
        <v>2.2499304105942364E-2</v>
      </c>
      <c r="C662" s="5">
        <v>526</v>
      </c>
      <c r="D662" s="5">
        <v>2726</v>
      </c>
      <c r="E662" s="5">
        <v>51.944258025089901</v>
      </c>
      <c r="F662" s="5">
        <v>186</v>
      </c>
      <c r="G662" s="5">
        <v>943</v>
      </c>
      <c r="H662" s="5">
        <v>17.841016233916942</v>
      </c>
      <c r="I662" s="1">
        <f t="shared" si="20"/>
        <v>3669</v>
      </c>
      <c r="J662" s="1">
        <f t="shared" si="21"/>
        <v>0.33697735881882063</v>
      </c>
      <c r="K662" s="6" t="s">
        <v>3</v>
      </c>
    </row>
    <row r="663" spans="1:11">
      <c r="A663" s="5" t="s">
        <v>1911</v>
      </c>
      <c r="B663" s="5">
        <v>6.6734395787193534E-11</v>
      </c>
      <c r="C663" s="5">
        <v>6330</v>
      </c>
      <c r="D663" s="5">
        <v>6372</v>
      </c>
      <c r="E663" s="5">
        <v>224.8854160921569</v>
      </c>
      <c r="F663" s="5">
        <v>2154</v>
      </c>
      <c r="G663" s="5">
        <v>2172</v>
      </c>
      <c r="H663" s="5">
        <v>76.109969159575058</v>
      </c>
      <c r="I663" s="1">
        <f t="shared" si="20"/>
        <v>8544</v>
      </c>
      <c r="J663" s="1">
        <f t="shared" si="21"/>
        <v>0.33694060677438181</v>
      </c>
      <c r="K663" s="6" t="s">
        <v>1571</v>
      </c>
    </row>
    <row r="664" spans="1:11">
      <c r="A664" s="5" t="s">
        <v>2009</v>
      </c>
      <c r="B664" s="5">
        <v>2.5337369760745632E-2</v>
      </c>
      <c r="C664" s="5">
        <v>3751</v>
      </c>
      <c r="D664" s="5">
        <v>3751</v>
      </c>
      <c r="E664" s="5">
        <v>51.367579310421675</v>
      </c>
      <c r="F664" s="5">
        <v>1295</v>
      </c>
      <c r="G664" s="5">
        <v>1295</v>
      </c>
      <c r="H664" s="5">
        <v>17.607917892992276</v>
      </c>
      <c r="I664" s="1">
        <f t="shared" si="20"/>
        <v>5046</v>
      </c>
      <c r="J664" s="1">
        <f t="shared" si="21"/>
        <v>0.33623700245178456</v>
      </c>
      <c r="K664" s="6" t="s">
        <v>362</v>
      </c>
    </row>
    <row r="665" spans="1:11">
      <c r="A665" s="5" t="s">
        <v>1573</v>
      </c>
      <c r="B665" s="5">
        <v>8.2711902354887235E-3</v>
      </c>
      <c r="C665" s="5">
        <v>5573</v>
      </c>
      <c r="D665" s="5">
        <v>5573</v>
      </c>
      <c r="E665" s="5">
        <v>55.670079681198985</v>
      </c>
      <c r="F665" s="5">
        <v>1919</v>
      </c>
      <c r="G665" s="5">
        <v>1919</v>
      </c>
      <c r="H665" s="5">
        <v>19.032856560482792</v>
      </c>
      <c r="I665" s="1">
        <f t="shared" si="20"/>
        <v>7492</v>
      </c>
      <c r="J665" s="1">
        <f t="shared" si="21"/>
        <v>0.33585371094505773</v>
      </c>
      <c r="K665" s="6" t="s">
        <v>262</v>
      </c>
    </row>
    <row r="666" spans="1:11">
      <c r="A666" s="5" t="s">
        <v>1506</v>
      </c>
      <c r="B666" s="5">
        <v>2.5432864817320766E-4</v>
      </c>
      <c r="C666" s="5">
        <v>3649</v>
      </c>
      <c r="D666" s="5">
        <v>3649</v>
      </c>
      <c r="E666" s="5">
        <v>69.289523714394264</v>
      </c>
      <c r="F666" s="5">
        <v>1252</v>
      </c>
      <c r="G666" s="5">
        <v>1252</v>
      </c>
      <c r="H666" s="5">
        <v>23.604469351726578</v>
      </c>
      <c r="I666" s="1">
        <f t="shared" si="20"/>
        <v>4901</v>
      </c>
      <c r="J666" s="1">
        <f t="shared" si="21"/>
        <v>0.33581774501187478</v>
      </c>
      <c r="K666" s="6" t="s">
        <v>1507</v>
      </c>
    </row>
    <row r="667" spans="1:11">
      <c r="A667" s="5" t="s">
        <v>1261</v>
      </c>
      <c r="B667" s="5">
        <v>1.4988438518770408E-3</v>
      </c>
      <c r="C667" s="5">
        <v>4245</v>
      </c>
      <c r="D667" s="5">
        <v>4245</v>
      </c>
      <c r="E667" s="5">
        <v>62.30284343897857</v>
      </c>
      <c r="F667" s="5">
        <v>1458</v>
      </c>
      <c r="G667" s="5">
        <v>1458</v>
      </c>
      <c r="H667" s="5">
        <v>21.246328756032746</v>
      </c>
      <c r="I667" s="1">
        <f t="shared" si="20"/>
        <v>5703</v>
      </c>
      <c r="J667" s="1">
        <f t="shared" si="21"/>
        <v>0.33562992753261334</v>
      </c>
      <c r="K667" s="6" t="s">
        <v>161</v>
      </c>
    </row>
    <row r="668" spans="1:11">
      <c r="A668" s="5" t="s">
        <v>1899</v>
      </c>
      <c r="B668" s="5">
        <v>1.8113621713666817E-10</v>
      </c>
      <c r="C668" s="5">
        <v>25381</v>
      </c>
      <c r="D668" s="5">
        <v>48056</v>
      </c>
      <c r="E668" s="5">
        <v>840.92473819985526</v>
      </c>
      <c r="F668" s="5">
        <v>9772</v>
      </c>
      <c r="G668" s="5">
        <v>16264</v>
      </c>
      <c r="H668" s="5">
        <v>282.57456997718242</v>
      </c>
      <c r="I668" s="1">
        <f t="shared" si="20"/>
        <v>64320</v>
      </c>
      <c r="J668" s="1">
        <f t="shared" si="21"/>
        <v>0.33562925182762021</v>
      </c>
      <c r="K668" s="6" t="s">
        <v>1900</v>
      </c>
    </row>
    <row r="669" spans="1:11">
      <c r="A669" s="5" t="s">
        <v>2039</v>
      </c>
      <c r="B669" s="5">
        <v>2.4310387036763359E-10</v>
      </c>
      <c r="C669" s="5">
        <v>1701</v>
      </c>
      <c r="D669" s="5">
        <v>18748</v>
      </c>
      <c r="E669" s="5">
        <v>123.49223564904392</v>
      </c>
      <c r="F669" s="5">
        <v>628</v>
      </c>
      <c r="G669" s="5">
        <v>6387</v>
      </c>
      <c r="H669" s="5">
        <v>41.771283914074729</v>
      </c>
      <c r="I669" s="1">
        <f t="shared" si="20"/>
        <v>25135</v>
      </c>
      <c r="J669" s="1">
        <f t="shared" si="21"/>
        <v>0.33553324587914191</v>
      </c>
      <c r="K669" s="6" t="s">
        <v>1223</v>
      </c>
    </row>
    <row r="670" spans="1:11">
      <c r="A670" s="5" t="s">
        <v>1952</v>
      </c>
      <c r="B670" s="5">
        <v>0</v>
      </c>
      <c r="C670" s="5">
        <v>16326</v>
      </c>
      <c r="D670" s="5">
        <v>24034</v>
      </c>
      <c r="E670" s="5">
        <v>132.2244739630797</v>
      </c>
      <c r="F670" s="5">
        <v>5836</v>
      </c>
      <c r="G670" s="5">
        <v>8175</v>
      </c>
      <c r="H670" s="5">
        <v>44.654964906916859</v>
      </c>
      <c r="I670" s="1">
        <f t="shared" si="20"/>
        <v>32209</v>
      </c>
      <c r="J670" s="1">
        <f t="shared" si="21"/>
        <v>0.33518589774497454</v>
      </c>
      <c r="K670" s="6" t="s">
        <v>241</v>
      </c>
    </row>
    <row r="671" spans="1:11">
      <c r="A671" s="5" t="s">
        <v>2249</v>
      </c>
      <c r="B671" s="5">
        <v>0</v>
      </c>
      <c r="C671" s="5">
        <v>78417</v>
      </c>
      <c r="D671" s="5">
        <v>78564</v>
      </c>
      <c r="E671" s="5">
        <v>658.18422553457549</v>
      </c>
      <c r="F671" s="5">
        <v>26500</v>
      </c>
      <c r="G671" s="5">
        <v>26541</v>
      </c>
      <c r="H671" s="5">
        <v>220.76863097491375</v>
      </c>
      <c r="I671" s="1">
        <f t="shared" si="20"/>
        <v>105105</v>
      </c>
      <c r="J671" s="1">
        <f t="shared" si="21"/>
        <v>0.33491188414874168</v>
      </c>
      <c r="K671" s="6" t="s">
        <v>34</v>
      </c>
    </row>
    <row r="672" spans="1:11">
      <c r="A672" s="5" t="s">
        <v>133</v>
      </c>
      <c r="B672" s="5">
        <v>7.402137233381012E-5</v>
      </c>
      <c r="C672" s="5">
        <v>1452</v>
      </c>
      <c r="D672" s="5">
        <v>4102</v>
      </c>
      <c r="E672" s="5">
        <v>73.919430426216039</v>
      </c>
      <c r="F672" s="5">
        <v>542</v>
      </c>
      <c r="G672" s="5">
        <v>1402</v>
      </c>
      <c r="H672" s="5">
        <v>25.084599381437862</v>
      </c>
      <c r="I672" s="1">
        <f t="shared" si="20"/>
        <v>5504</v>
      </c>
      <c r="J672" s="1">
        <f t="shared" si="21"/>
        <v>0.33482101023368405</v>
      </c>
      <c r="K672" s="6" t="s">
        <v>132</v>
      </c>
    </row>
    <row r="673" spans="1:11">
      <c r="A673" s="5" t="s">
        <v>663</v>
      </c>
      <c r="B673" s="5">
        <v>3.0678759620289542E-3</v>
      </c>
      <c r="C673" s="5">
        <v>3451</v>
      </c>
      <c r="D673" s="5">
        <v>3460</v>
      </c>
      <c r="E673" s="5">
        <v>59.287823013902461</v>
      </c>
      <c r="F673" s="5">
        <v>1184</v>
      </c>
      <c r="G673" s="5">
        <v>1185</v>
      </c>
      <c r="H673" s="5">
        <v>20.160623319320653</v>
      </c>
      <c r="I673" s="1">
        <f t="shared" si="20"/>
        <v>4645</v>
      </c>
      <c r="J673" s="1">
        <f t="shared" si="21"/>
        <v>0.33440622519528668</v>
      </c>
      <c r="K673" s="6" t="s">
        <v>87</v>
      </c>
    </row>
    <row r="674" spans="1:11">
      <c r="A674" s="5" t="s">
        <v>1181</v>
      </c>
      <c r="B674" s="5">
        <v>6.1967653230965425E-11</v>
      </c>
      <c r="C674" s="5">
        <v>3293</v>
      </c>
      <c r="D674" s="5">
        <v>3320</v>
      </c>
      <c r="E674" s="5">
        <v>246.8294078942607</v>
      </c>
      <c r="F674" s="5">
        <v>1113</v>
      </c>
      <c r="G674" s="5">
        <v>1122</v>
      </c>
      <c r="H674" s="5">
        <v>82.822412096730773</v>
      </c>
      <c r="I674" s="1">
        <f t="shared" si="20"/>
        <v>4442</v>
      </c>
      <c r="J674" s="1">
        <f t="shared" si="21"/>
        <v>0.3341912196799014</v>
      </c>
      <c r="K674" s="6" t="s">
        <v>2</v>
      </c>
    </row>
    <row r="675" spans="1:11">
      <c r="A675" s="5" t="s">
        <v>728</v>
      </c>
      <c r="B675" s="5">
        <v>0</v>
      </c>
      <c r="C675" s="5">
        <v>8601</v>
      </c>
      <c r="D675" s="5">
        <v>8630</v>
      </c>
      <c r="E675" s="5">
        <v>180.49841900730993</v>
      </c>
      <c r="F675" s="5">
        <v>2915</v>
      </c>
      <c r="G675" s="5">
        <v>2920</v>
      </c>
      <c r="H675" s="5">
        <v>60.637551709173465</v>
      </c>
      <c r="I675" s="1">
        <f t="shared" si="20"/>
        <v>11550</v>
      </c>
      <c r="J675" s="1">
        <f t="shared" si="21"/>
        <v>0.33409410418462798</v>
      </c>
      <c r="K675" s="6" t="s">
        <v>83</v>
      </c>
    </row>
    <row r="676" spans="1:11">
      <c r="A676" s="5" t="s">
        <v>1386</v>
      </c>
      <c r="B676" s="5">
        <v>2.3166368823268613E-8</v>
      </c>
      <c r="C676" s="5">
        <v>5304</v>
      </c>
      <c r="D676" s="5">
        <v>10849</v>
      </c>
      <c r="E676" s="5">
        <v>105.4317902458702</v>
      </c>
      <c r="F676" s="5">
        <v>2006</v>
      </c>
      <c r="G676" s="5">
        <v>3684</v>
      </c>
      <c r="H676" s="5">
        <v>35.546569396534998</v>
      </c>
      <c r="I676" s="1">
        <f t="shared" si="20"/>
        <v>14533</v>
      </c>
      <c r="J676" s="1">
        <f t="shared" si="21"/>
        <v>0.33398451077838831</v>
      </c>
      <c r="K676" s="6" t="s">
        <v>44</v>
      </c>
    </row>
    <row r="677" spans="1:11">
      <c r="A677" s="5" t="s">
        <v>2235</v>
      </c>
      <c r="B677" s="5">
        <v>1.0527623783773699E-2</v>
      </c>
      <c r="C677" s="5">
        <v>2752</v>
      </c>
      <c r="D677" s="5">
        <v>2757</v>
      </c>
      <c r="E677" s="5">
        <v>54.401691462426612</v>
      </c>
      <c r="F677" s="5">
        <v>944</v>
      </c>
      <c r="G677" s="5">
        <v>944</v>
      </c>
      <c r="H677" s="5">
        <v>18.494552660333362</v>
      </c>
      <c r="I677" s="1">
        <f t="shared" si="20"/>
        <v>3701</v>
      </c>
      <c r="J677" s="1">
        <f t="shared" si="21"/>
        <v>0.33382649829159738</v>
      </c>
      <c r="K677" s="6" t="s">
        <v>2236</v>
      </c>
    </row>
    <row r="678" spans="1:11">
      <c r="A678" s="5" t="s">
        <v>797</v>
      </c>
      <c r="B678" s="5">
        <v>0</v>
      </c>
      <c r="C678" s="5">
        <v>1901</v>
      </c>
      <c r="D678" s="5">
        <v>20013</v>
      </c>
      <c r="E678" s="5">
        <v>286.31334171207692</v>
      </c>
      <c r="F678" s="5">
        <v>522</v>
      </c>
      <c r="G678" s="5">
        <v>6750</v>
      </c>
      <c r="H678" s="5">
        <v>95.880295385181086</v>
      </c>
      <c r="I678" s="1">
        <f t="shared" si="20"/>
        <v>26763</v>
      </c>
      <c r="J678" s="1">
        <f t="shared" si="21"/>
        <v>0.33371334172592954</v>
      </c>
      <c r="K678" s="6" t="s">
        <v>798</v>
      </c>
    </row>
    <row r="679" spans="1:11">
      <c r="A679" s="5" t="s">
        <v>1844</v>
      </c>
      <c r="B679" s="5">
        <v>0</v>
      </c>
      <c r="C679" s="5">
        <v>60819</v>
      </c>
      <c r="D679" s="5">
        <v>60819</v>
      </c>
      <c r="E679" s="5">
        <v>1614.5641785753457</v>
      </c>
      <c r="F679" s="5">
        <v>20446</v>
      </c>
      <c r="G679" s="5">
        <v>20446</v>
      </c>
      <c r="H679" s="5">
        <v>538.91540003399086</v>
      </c>
      <c r="I679" s="1">
        <f t="shared" si="20"/>
        <v>81265</v>
      </c>
      <c r="J679" s="1">
        <f t="shared" si="21"/>
        <v>0.3335772154277542</v>
      </c>
      <c r="K679" s="6" t="s">
        <v>76</v>
      </c>
    </row>
    <row r="680" spans="1:11">
      <c r="A680" s="5" t="s">
        <v>441</v>
      </c>
      <c r="B680" s="5">
        <v>1.001015936807903E-10</v>
      </c>
      <c r="C680" s="5">
        <v>4290</v>
      </c>
      <c r="D680" s="5">
        <v>4290</v>
      </c>
      <c r="E680" s="5">
        <v>160.34883759395873</v>
      </c>
      <c r="F680" s="5">
        <v>1450</v>
      </c>
      <c r="G680" s="5">
        <v>1450</v>
      </c>
      <c r="H680" s="5">
        <v>53.81120607301402</v>
      </c>
      <c r="I680" s="1">
        <f t="shared" si="20"/>
        <v>5740</v>
      </c>
      <c r="J680" s="1">
        <f t="shared" si="21"/>
        <v>0.33350848308205494</v>
      </c>
      <c r="K680" s="6" t="s">
        <v>442</v>
      </c>
    </row>
    <row r="681" spans="1:11">
      <c r="A681" s="5" t="s">
        <v>1079</v>
      </c>
      <c r="B681" s="5">
        <v>0</v>
      </c>
      <c r="C681" s="5">
        <v>13987</v>
      </c>
      <c r="D681" s="5">
        <v>14056</v>
      </c>
      <c r="E681" s="5">
        <v>231.10197313624153</v>
      </c>
      <c r="F681" s="5">
        <v>4633</v>
      </c>
      <c r="G681" s="5">
        <v>4740</v>
      </c>
      <c r="H681" s="5">
        <v>77.377812280558786</v>
      </c>
      <c r="I681" s="1">
        <f t="shared" si="20"/>
        <v>18796</v>
      </c>
      <c r="J681" s="1">
        <f t="shared" si="21"/>
        <v>0.33337851994536377</v>
      </c>
      <c r="K681" s="6" t="s">
        <v>1080</v>
      </c>
    </row>
    <row r="682" spans="1:11">
      <c r="A682" s="5" t="s">
        <v>1751</v>
      </c>
      <c r="B682" s="5">
        <v>0</v>
      </c>
      <c r="C682" s="5">
        <v>4150</v>
      </c>
      <c r="D682" s="5">
        <v>4166</v>
      </c>
      <c r="E682" s="5">
        <v>421.41199070992673</v>
      </c>
      <c r="F682" s="5">
        <v>1400</v>
      </c>
      <c r="G682" s="5">
        <v>1401</v>
      </c>
      <c r="H682" s="5">
        <v>140.70902650336379</v>
      </c>
      <c r="I682" s="1">
        <f t="shared" si="20"/>
        <v>5567</v>
      </c>
      <c r="J682" s="1">
        <f t="shared" si="21"/>
        <v>0.33310850448842882</v>
      </c>
      <c r="K682" s="6" t="s">
        <v>2</v>
      </c>
    </row>
    <row r="683" spans="1:11">
      <c r="A683" s="5" t="s">
        <v>754</v>
      </c>
      <c r="B683" s="5">
        <v>3.9956733403310185E-2</v>
      </c>
      <c r="C683" s="5">
        <v>1338</v>
      </c>
      <c r="D683" s="5">
        <v>1338</v>
      </c>
      <c r="E683" s="5">
        <v>49.133512056762527</v>
      </c>
      <c r="F683" s="5">
        <v>458</v>
      </c>
      <c r="G683" s="5">
        <v>458</v>
      </c>
      <c r="H683" s="5">
        <v>16.698727324387946</v>
      </c>
      <c r="I683" s="1">
        <f t="shared" si="20"/>
        <v>1796</v>
      </c>
      <c r="J683" s="1">
        <f t="shared" si="21"/>
        <v>0.33308512887509639</v>
      </c>
      <c r="K683" s="6" t="s">
        <v>95</v>
      </c>
    </row>
    <row r="684" spans="1:11">
      <c r="A684" s="5" t="s">
        <v>2060</v>
      </c>
      <c r="B684" s="5">
        <v>0</v>
      </c>
      <c r="C684" s="5">
        <v>19230</v>
      </c>
      <c r="D684" s="5">
        <v>19230</v>
      </c>
      <c r="E684" s="5">
        <v>364.64250074581838</v>
      </c>
      <c r="F684" s="5">
        <v>6464</v>
      </c>
      <c r="G684" s="5">
        <v>6464</v>
      </c>
      <c r="H684" s="5">
        <v>121.69859091613158</v>
      </c>
      <c r="I684" s="1">
        <f t="shared" si="20"/>
        <v>25694</v>
      </c>
      <c r="J684" s="1">
        <f t="shared" si="21"/>
        <v>0.33283491571110357</v>
      </c>
      <c r="K684" s="6" t="s">
        <v>5</v>
      </c>
    </row>
    <row r="685" spans="1:11">
      <c r="A685" s="5" t="s">
        <v>1007</v>
      </c>
      <c r="B685" s="5">
        <v>1.349300365049988E-4</v>
      </c>
      <c r="C685" s="5">
        <v>243</v>
      </c>
      <c r="D685" s="5">
        <v>2201</v>
      </c>
      <c r="E685" s="5">
        <v>71.129188535525003</v>
      </c>
      <c r="F685" s="5">
        <v>106</v>
      </c>
      <c r="G685" s="5">
        <v>748</v>
      </c>
      <c r="H685" s="5">
        <v>24.000794004278276</v>
      </c>
      <c r="I685" s="1">
        <f t="shared" si="20"/>
        <v>2949</v>
      </c>
      <c r="J685" s="1">
        <f t="shared" si="21"/>
        <v>0.33274731757806242</v>
      </c>
      <c r="K685" s="6" t="s">
        <v>1006</v>
      </c>
    </row>
    <row r="686" spans="1:11">
      <c r="A686" s="5" t="s">
        <v>1284</v>
      </c>
      <c r="B686" s="5">
        <v>2.3438073148973615E-8</v>
      </c>
      <c r="C686" s="5">
        <v>4623</v>
      </c>
      <c r="D686" s="5">
        <v>4626</v>
      </c>
      <c r="E686" s="5">
        <v>104.98478143842236</v>
      </c>
      <c r="F686" s="5">
        <v>1564</v>
      </c>
      <c r="G686" s="5">
        <v>1565</v>
      </c>
      <c r="H686" s="5">
        <v>35.263974750859241</v>
      </c>
      <c r="I686" s="1">
        <f t="shared" si="20"/>
        <v>6191</v>
      </c>
      <c r="J686" s="1">
        <f t="shared" si="21"/>
        <v>0.33272677711137016</v>
      </c>
      <c r="K686" s="6" t="s">
        <v>1285</v>
      </c>
    </row>
    <row r="687" spans="1:11">
      <c r="A687" s="5" t="s">
        <v>1198</v>
      </c>
      <c r="B687" s="5">
        <v>2.2093518076138352E-6</v>
      </c>
      <c r="C687" s="5">
        <v>3938</v>
      </c>
      <c r="D687" s="5">
        <v>3938</v>
      </c>
      <c r="E687" s="5">
        <v>87.118522929097139</v>
      </c>
      <c r="F687" s="5">
        <v>1334</v>
      </c>
      <c r="G687" s="5">
        <v>1334</v>
      </c>
      <c r="H687" s="5">
        <v>29.301295430456804</v>
      </c>
      <c r="I687" s="1">
        <f t="shared" si="20"/>
        <v>5272</v>
      </c>
      <c r="J687" s="1">
        <f t="shared" si="21"/>
        <v>0.33252140930725227</v>
      </c>
      <c r="K687" s="6" t="s">
        <v>978</v>
      </c>
    </row>
    <row r="688" spans="1:11">
      <c r="A688" s="5" t="s">
        <v>1342</v>
      </c>
      <c r="B688" s="5">
        <v>3.2561492979064077E-2</v>
      </c>
      <c r="C688" s="5">
        <v>1104</v>
      </c>
      <c r="D688" s="5">
        <v>1104</v>
      </c>
      <c r="E688" s="5">
        <v>49.81861669133577</v>
      </c>
      <c r="F688" s="5">
        <v>377</v>
      </c>
      <c r="G688" s="5">
        <v>377</v>
      </c>
      <c r="H688" s="5">
        <v>16.891185879767985</v>
      </c>
      <c r="I688" s="1">
        <f t="shared" si="20"/>
        <v>1481</v>
      </c>
      <c r="J688" s="1">
        <f t="shared" si="21"/>
        <v>0.33238185097328354</v>
      </c>
      <c r="K688" s="6" t="s">
        <v>1343</v>
      </c>
    </row>
    <row r="689" spans="1:11">
      <c r="A689" s="5" t="s">
        <v>1033</v>
      </c>
      <c r="B689" s="5">
        <v>8.1034623455877863E-11</v>
      </c>
      <c r="C689" s="5">
        <v>1475</v>
      </c>
      <c r="D689" s="5">
        <v>1485</v>
      </c>
      <c r="E689" s="5">
        <v>126.27470960524251</v>
      </c>
      <c r="F689" s="5">
        <v>495</v>
      </c>
      <c r="G689" s="5">
        <v>501</v>
      </c>
      <c r="H689" s="5">
        <v>42.298391311634177</v>
      </c>
      <c r="I689" s="1">
        <f t="shared" si="20"/>
        <v>1986</v>
      </c>
      <c r="J689" s="1">
        <f t="shared" si="21"/>
        <v>0.33233932682170414</v>
      </c>
      <c r="K689" s="6" t="s">
        <v>2</v>
      </c>
    </row>
    <row r="690" spans="1:11">
      <c r="A690" s="5" t="s">
        <v>1796</v>
      </c>
      <c r="B690" s="5">
        <v>2.8476520030906727E-8</v>
      </c>
      <c r="C690" s="5">
        <v>25936</v>
      </c>
      <c r="D690" s="5">
        <v>25951</v>
      </c>
      <c r="E690" s="5">
        <v>104.07445583012711</v>
      </c>
      <c r="F690" s="5">
        <v>8763</v>
      </c>
      <c r="G690" s="5">
        <v>8768</v>
      </c>
      <c r="H690" s="5">
        <v>34.912969758796542</v>
      </c>
      <c r="I690" s="1">
        <f t="shared" si="20"/>
        <v>34719</v>
      </c>
      <c r="J690" s="1">
        <f t="shared" si="21"/>
        <v>0.33226886099929004</v>
      </c>
      <c r="K690" s="6" t="s">
        <v>3</v>
      </c>
    </row>
    <row r="691" spans="1:11">
      <c r="A691" s="5" t="s">
        <v>1638</v>
      </c>
      <c r="B691" s="5">
        <v>0</v>
      </c>
      <c r="C691" s="5">
        <v>4390</v>
      </c>
      <c r="D691" s="5">
        <v>4398</v>
      </c>
      <c r="E691" s="5">
        <v>359.37750944891172</v>
      </c>
      <c r="F691" s="5">
        <v>1475</v>
      </c>
      <c r="G691" s="5">
        <v>1475</v>
      </c>
      <c r="H691" s="5">
        <v>119.66961391985598</v>
      </c>
      <c r="I691" s="1">
        <f t="shared" si="20"/>
        <v>5873</v>
      </c>
      <c r="J691" s="1">
        <f t="shared" si="21"/>
        <v>0.33206737596598196</v>
      </c>
      <c r="K691" s="6" t="s">
        <v>759</v>
      </c>
    </row>
    <row r="692" spans="1:11">
      <c r="A692" s="5" t="s">
        <v>2064</v>
      </c>
      <c r="B692" s="5">
        <v>2.9793876404388131E-3</v>
      </c>
      <c r="C692" s="5">
        <v>2397</v>
      </c>
      <c r="D692" s="5">
        <v>2397</v>
      </c>
      <c r="E692" s="5">
        <v>58.972944183002546</v>
      </c>
      <c r="F692" s="5">
        <v>815</v>
      </c>
      <c r="G692" s="5">
        <v>815</v>
      </c>
      <c r="H692" s="5">
        <v>19.908502080963196</v>
      </c>
      <c r="I692" s="1">
        <f t="shared" si="20"/>
        <v>3212</v>
      </c>
      <c r="J692" s="1">
        <f t="shared" si="21"/>
        <v>0.3319580579571686</v>
      </c>
      <c r="K692" s="6" t="s">
        <v>2065</v>
      </c>
    </row>
    <row r="693" spans="1:11">
      <c r="A693" s="5" t="s">
        <v>184</v>
      </c>
      <c r="B693" s="5">
        <v>1.7160273202421195E-10</v>
      </c>
      <c r="C693" s="5">
        <v>4484</v>
      </c>
      <c r="D693" s="5">
        <v>4484</v>
      </c>
      <c r="E693" s="5">
        <v>161.8207319154144</v>
      </c>
      <c r="F693" s="5">
        <v>1506</v>
      </c>
      <c r="G693" s="5">
        <v>1508</v>
      </c>
      <c r="H693" s="5">
        <v>54.033873132626496</v>
      </c>
      <c r="I693" s="1">
        <f t="shared" si="20"/>
        <v>5992</v>
      </c>
      <c r="J693" s="1">
        <f t="shared" si="21"/>
        <v>0.33186113645955828</v>
      </c>
      <c r="K693" s="6" t="s">
        <v>185</v>
      </c>
    </row>
    <row r="694" spans="1:11">
      <c r="A694" s="5" t="s">
        <v>601</v>
      </c>
      <c r="B694" s="5">
        <v>8.9637720693303002E-3</v>
      </c>
      <c r="C694" s="5">
        <v>6131</v>
      </c>
      <c r="D694" s="5">
        <v>6138</v>
      </c>
      <c r="E694" s="5">
        <v>54.599329597210662</v>
      </c>
      <c r="F694" s="5">
        <v>2085</v>
      </c>
      <c r="G694" s="5">
        <v>2085</v>
      </c>
      <c r="H694" s="5">
        <v>18.414616783511971</v>
      </c>
      <c r="I694" s="1">
        <f t="shared" si="20"/>
        <v>8223</v>
      </c>
      <c r="J694" s="1">
        <f t="shared" si="21"/>
        <v>0.33120213709259916</v>
      </c>
      <c r="K694" s="6" t="s">
        <v>540</v>
      </c>
    </row>
    <row r="695" spans="1:11">
      <c r="A695" s="5" t="s">
        <v>1317</v>
      </c>
      <c r="B695" s="5">
        <v>2.4350952359122324E-2</v>
      </c>
      <c r="C695" s="5">
        <v>2463</v>
      </c>
      <c r="D695" s="5">
        <v>2473</v>
      </c>
      <c r="E695" s="5">
        <v>50.748182779633801</v>
      </c>
      <c r="F695" s="5">
        <v>841</v>
      </c>
      <c r="G695" s="5">
        <v>841</v>
      </c>
      <c r="H695" s="5">
        <v>17.135176208347993</v>
      </c>
      <c r="I695" s="1">
        <f t="shared" si="20"/>
        <v>3314</v>
      </c>
      <c r="J695" s="1">
        <f t="shared" si="21"/>
        <v>0.331126143720196</v>
      </c>
      <c r="K695" s="6" t="s">
        <v>140</v>
      </c>
    </row>
    <row r="696" spans="1:11">
      <c r="A696" s="5" t="s">
        <v>1483</v>
      </c>
      <c r="B696" s="5">
        <v>1.545302522095171E-3</v>
      </c>
      <c r="C696" s="5">
        <v>738</v>
      </c>
      <c r="D696" s="5">
        <v>6512</v>
      </c>
      <c r="E696" s="5">
        <v>61.356009509636657</v>
      </c>
      <c r="F696" s="5">
        <v>265</v>
      </c>
      <c r="G696" s="5">
        <v>2207</v>
      </c>
      <c r="H696" s="5">
        <v>20.646253116985228</v>
      </c>
      <c r="I696" s="1">
        <f t="shared" si="20"/>
        <v>8719</v>
      </c>
      <c r="J696" s="1">
        <f t="shared" si="21"/>
        <v>0.33110286048363158</v>
      </c>
      <c r="K696" s="6" t="s">
        <v>110</v>
      </c>
    </row>
    <row r="697" spans="1:11">
      <c r="A697" s="5" t="s">
        <v>553</v>
      </c>
      <c r="B697" s="5">
        <v>0</v>
      </c>
      <c r="C697" s="5">
        <v>11534</v>
      </c>
      <c r="D697" s="5">
        <v>11537</v>
      </c>
      <c r="E697" s="5">
        <v>349.9776838688021</v>
      </c>
      <c r="F697" s="5">
        <v>3856</v>
      </c>
      <c r="G697" s="5">
        <v>3858</v>
      </c>
      <c r="H697" s="5">
        <v>116.19993452936065</v>
      </c>
      <c r="I697" s="1">
        <f t="shared" si="20"/>
        <v>15395</v>
      </c>
      <c r="J697" s="1">
        <f t="shared" si="21"/>
        <v>0.33107499385287698</v>
      </c>
      <c r="K697" s="6" t="s">
        <v>554</v>
      </c>
    </row>
    <row r="698" spans="1:11">
      <c r="A698" s="5" t="s">
        <v>2143</v>
      </c>
      <c r="B698" s="5">
        <v>4.8737816670252343E-5</v>
      </c>
      <c r="C698" s="5">
        <v>5857</v>
      </c>
      <c r="D698" s="5">
        <v>5857</v>
      </c>
      <c r="E698" s="5">
        <v>74.682820624403902</v>
      </c>
      <c r="F698" s="5">
        <v>1977</v>
      </c>
      <c r="G698" s="5">
        <v>1978</v>
      </c>
      <c r="H698" s="5">
        <v>25.041940266245362</v>
      </c>
      <c r="I698" s="1">
        <f t="shared" si="20"/>
        <v>7835</v>
      </c>
      <c r="J698" s="1">
        <f t="shared" si="21"/>
        <v>0.33088011334200457</v>
      </c>
      <c r="K698" s="6" t="s">
        <v>757</v>
      </c>
    </row>
    <row r="699" spans="1:11">
      <c r="A699" s="5" t="s">
        <v>2259</v>
      </c>
      <c r="B699" s="5">
        <v>2.434694890551814E-4</v>
      </c>
      <c r="C699" s="5">
        <v>4247</v>
      </c>
      <c r="D699" s="5">
        <v>4248</v>
      </c>
      <c r="E699" s="5">
        <v>68.437598502882565</v>
      </c>
      <c r="F699" s="5">
        <v>1436</v>
      </c>
      <c r="G699" s="5">
        <v>1436</v>
      </c>
      <c r="H699" s="5">
        <v>22.969994617658866</v>
      </c>
      <c r="I699" s="1">
        <f t="shared" si="20"/>
        <v>5684</v>
      </c>
      <c r="J699" s="1">
        <f t="shared" si="21"/>
        <v>0.33080053332641268</v>
      </c>
      <c r="K699" s="6" t="s">
        <v>953</v>
      </c>
    </row>
    <row r="700" spans="1:11">
      <c r="A700" s="5" t="s">
        <v>1860</v>
      </c>
      <c r="B700" s="5">
        <v>3.6204865191724611E-3</v>
      </c>
      <c r="C700" s="5">
        <v>7963</v>
      </c>
      <c r="D700" s="5">
        <v>8012</v>
      </c>
      <c r="E700" s="5">
        <v>58.012832148754697</v>
      </c>
      <c r="F700" s="5">
        <v>2708</v>
      </c>
      <c r="G700" s="5">
        <v>2715</v>
      </c>
      <c r="H700" s="5">
        <v>19.518622346338603</v>
      </c>
      <c r="I700" s="1">
        <f t="shared" si="20"/>
        <v>10727</v>
      </c>
      <c r="J700" s="1">
        <f t="shared" si="21"/>
        <v>0.33075217093695258</v>
      </c>
      <c r="K700" s="6" t="s">
        <v>227</v>
      </c>
    </row>
    <row r="701" spans="1:11">
      <c r="A701" s="5" t="s">
        <v>2207</v>
      </c>
      <c r="B701" s="5">
        <v>0</v>
      </c>
      <c r="C701" s="5">
        <v>13144</v>
      </c>
      <c r="D701" s="5">
        <v>13147</v>
      </c>
      <c r="E701" s="5">
        <v>296.1417454331613</v>
      </c>
      <c r="F701" s="5">
        <v>4392</v>
      </c>
      <c r="G701" s="5">
        <v>4394</v>
      </c>
      <c r="H701" s="5">
        <v>98.271870258593054</v>
      </c>
      <c r="I701" s="1">
        <f t="shared" si="20"/>
        <v>17541</v>
      </c>
      <c r="J701" s="1">
        <f t="shared" si="21"/>
        <v>0.33072387764074102</v>
      </c>
      <c r="K701" s="6" t="s">
        <v>249</v>
      </c>
    </row>
    <row r="702" spans="1:11">
      <c r="A702" s="5" t="s">
        <v>1307</v>
      </c>
      <c r="B702" s="5">
        <v>1.6776776632412838E-2</v>
      </c>
      <c r="C702" s="5">
        <v>2233</v>
      </c>
      <c r="D702" s="5">
        <v>2233</v>
      </c>
      <c r="E702" s="5">
        <v>52.111080210638164</v>
      </c>
      <c r="F702" s="5">
        <v>758</v>
      </c>
      <c r="G702" s="5">
        <v>758</v>
      </c>
      <c r="H702" s="5">
        <v>17.563325829558696</v>
      </c>
      <c r="I702" s="1">
        <f t="shared" si="20"/>
        <v>2991</v>
      </c>
      <c r="J702" s="1">
        <f t="shared" si="21"/>
        <v>0.33069042768293683</v>
      </c>
      <c r="K702" s="6" t="s">
        <v>1308</v>
      </c>
    </row>
    <row r="703" spans="1:11">
      <c r="A703" s="5" t="s">
        <v>1128</v>
      </c>
      <c r="B703" s="5">
        <v>7.6287400710417508E-5</v>
      </c>
      <c r="C703" s="5">
        <v>1712</v>
      </c>
      <c r="D703" s="5">
        <v>1712</v>
      </c>
      <c r="E703" s="5">
        <v>72.902564413183541</v>
      </c>
      <c r="F703" s="5">
        <v>578</v>
      </c>
      <c r="G703" s="5">
        <v>578</v>
      </c>
      <c r="H703" s="5">
        <v>24.437854984865503</v>
      </c>
      <c r="I703" s="1">
        <f t="shared" si="20"/>
        <v>2290</v>
      </c>
      <c r="J703" s="1">
        <f t="shared" si="21"/>
        <v>0.33067668461726629</v>
      </c>
      <c r="K703" s="6" t="s">
        <v>1129</v>
      </c>
    </row>
    <row r="704" spans="1:11">
      <c r="A704" s="5" t="s">
        <v>883</v>
      </c>
      <c r="B704" s="5">
        <v>1.1508823227757148E-7</v>
      </c>
      <c r="C704" s="5">
        <v>1571</v>
      </c>
      <c r="D704" s="5">
        <v>1571</v>
      </c>
      <c r="E704" s="5">
        <v>98.045936448193729</v>
      </c>
      <c r="F704" s="5">
        <v>528</v>
      </c>
      <c r="G704" s="5">
        <v>528</v>
      </c>
      <c r="H704" s="5">
        <v>32.717758043608704</v>
      </c>
      <c r="I704" s="1">
        <f t="shared" si="20"/>
        <v>2099</v>
      </c>
      <c r="J704" s="1">
        <f t="shared" si="21"/>
        <v>0.33032913026898203</v>
      </c>
      <c r="K704" s="6" t="s">
        <v>2</v>
      </c>
    </row>
    <row r="705" spans="1:11">
      <c r="A705" s="5" t="s">
        <v>1005</v>
      </c>
      <c r="B705" s="5">
        <v>2.0446450705648989E-2</v>
      </c>
      <c r="C705" s="5">
        <v>550</v>
      </c>
      <c r="D705" s="5">
        <v>2943</v>
      </c>
      <c r="E705" s="5">
        <v>51.235524585946123</v>
      </c>
      <c r="F705" s="5">
        <v>239</v>
      </c>
      <c r="G705" s="5">
        <v>997</v>
      </c>
      <c r="H705" s="5">
        <v>17.233452179535703</v>
      </c>
      <c r="I705" s="1">
        <f t="shared" si="20"/>
        <v>3940</v>
      </c>
      <c r="J705" s="1">
        <f t="shared" si="21"/>
        <v>0.32991823698794315</v>
      </c>
      <c r="K705" s="6" t="s">
        <v>1006</v>
      </c>
    </row>
    <row r="706" spans="1:11">
      <c r="A706" s="5" t="s">
        <v>1202</v>
      </c>
      <c r="B706" s="5">
        <v>6.7160313768077629E-5</v>
      </c>
      <c r="C706" s="5">
        <v>2788</v>
      </c>
      <c r="D706" s="5">
        <v>2788</v>
      </c>
      <c r="E706" s="5">
        <v>73.227282426200972</v>
      </c>
      <c r="F706" s="5">
        <v>939</v>
      </c>
      <c r="G706" s="5">
        <v>939</v>
      </c>
      <c r="H706" s="5">
        <v>24.487358528733726</v>
      </c>
      <c r="I706" s="1">
        <f t="shared" ref="I706:I769" si="22">D706+G706</f>
        <v>3727</v>
      </c>
      <c r="J706" s="1">
        <f t="shared" ref="J706:J769" si="23">H706/(E706+1)</f>
        <v>0.32989700994482457</v>
      </c>
      <c r="K706" s="6" t="s">
        <v>1203</v>
      </c>
    </row>
    <row r="707" spans="1:11">
      <c r="A707" s="5" t="s">
        <v>947</v>
      </c>
      <c r="B707" s="5">
        <v>0</v>
      </c>
      <c r="C707" s="5">
        <v>10837</v>
      </c>
      <c r="D707" s="5">
        <v>10837</v>
      </c>
      <c r="E707" s="5">
        <v>143.98558796212259</v>
      </c>
      <c r="F707" s="5">
        <v>3616</v>
      </c>
      <c r="G707" s="5">
        <v>3616</v>
      </c>
      <c r="H707" s="5">
        <v>47.701778624896825</v>
      </c>
      <c r="I707" s="1">
        <f t="shared" si="22"/>
        <v>14453</v>
      </c>
      <c r="J707" s="1">
        <f t="shared" si="23"/>
        <v>0.32901048507910241</v>
      </c>
      <c r="K707" s="6" t="s">
        <v>851</v>
      </c>
    </row>
    <row r="708" spans="1:11">
      <c r="A708" s="5" t="s">
        <v>143</v>
      </c>
      <c r="B708" s="5">
        <v>5.3282162085777074E-5</v>
      </c>
      <c r="C708" s="5">
        <v>2432</v>
      </c>
      <c r="D708" s="5">
        <v>2432</v>
      </c>
      <c r="E708" s="5">
        <v>73.857646406914327</v>
      </c>
      <c r="F708" s="5">
        <v>816</v>
      </c>
      <c r="G708" s="5">
        <v>816</v>
      </c>
      <c r="H708" s="5">
        <v>24.604710087178134</v>
      </c>
      <c r="I708" s="1">
        <f t="shared" si="22"/>
        <v>3248</v>
      </c>
      <c r="J708" s="1">
        <f t="shared" si="23"/>
        <v>0.32868666419768022</v>
      </c>
      <c r="K708" s="6" t="s">
        <v>144</v>
      </c>
    </row>
    <row r="709" spans="1:11">
      <c r="A709" s="5" t="s">
        <v>2230</v>
      </c>
      <c r="B709" s="5">
        <v>5.7200910674737315E-11</v>
      </c>
      <c r="C709" s="5">
        <v>11507</v>
      </c>
      <c r="D709" s="5">
        <v>11508</v>
      </c>
      <c r="E709" s="5">
        <v>172.52940594332</v>
      </c>
      <c r="F709" s="5">
        <v>3827</v>
      </c>
      <c r="G709" s="5">
        <v>3827</v>
      </c>
      <c r="H709" s="5">
        <v>56.966289938997683</v>
      </c>
      <c r="I709" s="1">
        <f t="shared" si="22"/>
        <v>15335</v>
      </c>
      <c r="J709" s="1">
        <f t="shared" si="23"/>
        <v>0.3282803259155086</v>
      </c>
      <c r="K709" s="6" t="s">
        <v>238</v>
      </c>
    </row>
    <row r="710" spans="1:11">
      <c r="A710" s="5" t="s">
        <v>246</v>
      </c>
      <c r="B710" s="5">
        <v>7.934531182096638E-4</v>
      </c>
      <c r="C710" s="5">
        <v>7959</v>
      </c>
      <c r="D710" s="5">
        <v>7959</v>
      </c>
      <c r="E710" s="5">
        <v>63.398728187298438</v>
      </c>
      <c r="F710" s="5">
        <v>2673</v>
      </c>
      <c r="G710" s="5">
        <v>2673</v>
      </c>
      <c r="H710" s="5">
        <v>21.1405946843546</v>
      </c>
      <c r="I710" s="1">
        <f t="shared" si="22"/>
        <v>10632</v>
      </c>
      <c r="J710" s="1">
        <f t="shared" si="23"/>
        <v>0.32827658681191507</v>
      </c>
      <c r="K710" s="6" t="s">
        <v>247</v>
      </c>
    </row>
    <row r="711" spans="1:11">
      <c r="A711" s="5" t="s">
        <v>750</v>
      </c>
      <c r="B711" s="5">
        <v>1.0959170143598485E-6</v>
      </c>
      <c r="C711" s="5">
        <v>3785</v>
      </c>
      <c r="D711" s="5">
        <v>3788</v>
      </c>
      <c r="E711" s="5">
        <v>88.704110522952277</v>
      </c>
      <c r="F711" s="5">
        <v>1257</v>
      </c>
      <c r="G711" s="5">
        <v>1266</v>
      </c>
      <c r="H711" s="5">
        <v>29.434975639373985</v>
      </c>
      <c r="I711" s="1">
        <f t="shared" si="22"/>
        <v>5054</v>
      </c>
      <c r="J711" s="1">
        <f t="shared" si="23"/>
        <v>0.32813407844719178</v>
      </c>
      <c r="K711" s="6" t="s">
        <v>2</v>
      </c>
    </row>
    <row r="712" spans="1:11">
      <c r="A712" s="5" t="s">
        <v>1453</v>
      </c>
      <c r="B712" s="5">
        <v>4.7235784916288548E-3</v>
      </c>
      <c r="C712" s="5">
        <v>6752</v>
      </c>
      <c r="D712" s="5">
        <v>6752</v>
      </c>
      <c r="E712" s="5">
        <v>56.479165786664922</v>
      </c>
      <c r="F712" s="5">
        <v>2268</v>
      </c>
      <c r="G712" s="5">
        <v>2268</v>
      </c>
      <c r="H712" s="5">
        <v>18.836277938025958</v>
      </c>
      <c r="I712" s="1">
        <f t="shared" si="22"/>
        <v>9020</v>
      </c>
      <c r="J712" s="1">
        <f t="shared" si="23"/>
        <v>0.32770618153953701</v>
      </c>
      <c r="K712" s="6" t="s">
        <v>1454</v>
      </c>
    </row>
    <row r="713" spans="1:11">
      <c r="A713" s="5" t="s">
        <v>1030</v>
      </c>
      <c r="B713" s="5">
        <v>1.3823553413061518E-10</v>
      </c>
      <c r="C713" s="5">
        <v>39825</v>
      </c>
      <c r="D713" s="5">
        <v>40048</v>
      </c>
      <c r="E713" s="5">
        <v>567.86586114283023</v>
      </c>
      <c r="F713" s="5">
        <v>13171</v>
      </c>
      <c r="G713" s="5">
        <v>13235</v>
      </c>
      <c r="H713" s="5">
        <v>186.33098251962264</v>
      </c>
      <c r="I713" s="1">
        <f t="shared" si="22"/>
        <v>53283</v>
      </c>
      <c r="J713" s="1">
        <f t="shared" si="23"/>
        <v>0.3275481888564919</v>
      </c>
      <c r="K713" s="6" t="s">
        <v>1031</v>
      </c>
    </row>
    <row r="714" spans="1:11">
      <c r="A714" s="5" t="s">
        <v>1533</v>
      </c>
      <c r="B714" s="5">
        <v>4.9461434097533563E-2</v>
      </c>
      <c r="C714" s="5">
        <v>2329</v>
      </c>
      <c r="D714" s="5">
        <v>2332</v>
      </c>
      <c r="E714" s="5">
        <v>47.496541914058831</v>
      </c>
      <c r="F714" s="5">
        <v>785</v>
      </c>
      <c r="G714" s="5">
        <v>785</v>
      </c>
      <c r="H714" s="5">
        <v>15.874472458499923</v>
      </c>
      <c r="I714" s="1">
        <f t="shared" si="22"/>
        <v>3117</v>
      </c>
      <c r="J714" s="1">
        <f t="shared" si="23"/>
        <v>0.32733204950223505</v>
      </c>
      <c r="K714" s="6" t="s">
        <v>2</v>
      </c>
    </row>
    <row r="715" spans="1:11">
      <c r="A715" s="5" t="s">
        <v>1511</v>
      </c>
      <c r="B715" s="5">
        <v>3.0897234880654101E-2</v>
      </c>
      <c r="C715" s="5">
        <v>520</v>
      </c>
      <c r="D715" s="5">
        <v>6062</v>
      </c>
      <c r="E715" s="5">
        <v>49.253907177806454</v>
      </c>
      <c r="F715" s="5">
        <v>166</v>
      </c>
      <c r="G715" s="5">
        <v>2038</v>
      </c>
      <c r="H715" s="5">
        <v>16.440882867168227</v>
      </c>
      <c r="I715" s="1">
        <f t="shared" si="22"/>
        <v>8100</v>
      </c>
      <c r="J715" s="1">
        <f t="shared" si="23"/>
        <v>0.32715631063267825</v>
      </c>
      <c r="K715" s="6" t="s">
        <v>369</v>
      </c>
    </row>
    <row r="716" spans="1:11">
      <c r="A716" s="5" t="s">
        <v>1591</v>
      </c>
      <c r="B716" s="5">
        <v>5.8154259185982937E-10</v>
      </c>
      <c r="C716" s="5">
        <v>34433</v>
      </c>
      <c r="D716" s="5">
        <v>34434</v>
      </c>
      <c r="E716" s="5">
        <v>647.52843904374993</v>
      </c>
      <c r="F716" s="5">
        <v>11358</v>
      </c>
      <c r="G716" s="5">
        <v>11358</v>
      </c>
      <c r="H716" s="5">
        <v>212.06521459584371</v>
      </c>
      <c r="I716" s="1">
        <f t="shared" si="22"/>
        <v>45792</v>
      </c>
      <c r="J716" s="1">
        <f t="shared" si="23"/>
        <v>0.32699447214455574</v>
      </c>
      <c r="K716" s="6" t="s">
        <v>1592</v>
      </c>
    </row>
    <row r="717" spans="1:11">
      <c r="A717" s="5" t="s">
        <v>1916</v>
      </c>
      <c r="B717" s="5">
        <v>1.0486833623701841E-10</v>
      </c>
      <c r="C717" s="5">
        <v>13725</v>
      </c>
      <c r="D717" s="5">
        <v>19984</v>
      </c>
      <c r="E717" s="5">
        <v>139.03831891924841</v>
      </c>
      <c r="F717" s="5">
        <v>4471</v>
      </c>
      <c r="G717" s="5">
        <v>6628</v>
      </c>
      <c r="H717" s="5">
        <v>45.785797893511685</v>
      </c>
      <c r="I717" s="1">
        <f t="shared" si="22"/>
        <v>26612</v>
      </c>
      <c r="J717" s="1">
        <f t="shared" si="23"/>
        <v>0.32695192463652445</v>
      </c>
      <c r="K717" s="6" t="s">
        <v>1917</v>
      </c>
    </row>
    <row r="718" spans="1:11">
      <c r="A718" s="5" t="s">
        <v>2199</v>
      </c>
      <c r="B718" s="5">
        <v>1.891658488368253E-3</v>
      </c>
      <c r="C718" s="5">
        <v>6411</v>
      </c>
      <c r="D718" s="5">
        <v>6413</v>
      </c>
      <c r="E718" s="5">
        <v>59.69972459536509</v>
      </c>
      <c r="F718" s="5">
        <v>2141</v>
      </c>
      <c r="G718" s="5">
        <v>2142</v>
      </c>
      <c r="H718" s="5">
        <v>19.79824773350769</v>
      </c>
      <c r="I718" s="1">
        <f t="shared" si="22"/>
        <v>8555</v>
      </c>
      <c r="J718" s="1">
        <f t="shared" si="23"/>
        <v>0.32616701089644556</v>
      </c>
      <c r="K718" s="6" t="s">
        <v>1055</v>
      </c>
    </row>
    <row r="719" spans="1:11">
      <c r="A719" s="5" t="s">
        <v>1820</v>
      </c>
      <c r="B719" s="5">
        <v>0</v>
      </c>
      <c r="C719" s="5">
        <v>1279</v>
      </c>
      <c r="D719" s="5">
        <v>1857</v>
      </c>
      <c r="E719" s="5">
        <v>240.62043750463141</v>
      </c>
      <c r="F719" s="5">
        <v>420</v>
      </c>
      <c r="G719" s="5">
        <v>612</v>
      </c>
      <c r="H719" s="5">
        <v>78.735072278970037</v>
      </c>
      <c r="I719" s="1">
        <f t="shared" si="22"/>
        <v>2469</v>
      </c>
      <c r="J719" s="1">
        <f t="shared" si="23"/>
        <v>0.32586263435377166</v>
      </c>
      <c r="K719" s="6" t="s">
        <v>207</v>
      </c>
    </row>
    <row r="720" spans="1:11">
      <c r="A720" s="5" t="s">
        <v>1164</v>
      </c>
      <c r="B720" s="5">
        <v>7.7865193926551779E-3</v>
      </c>
      <c r="C720" s="5">
        <v>2436</v>
      </c>
      <c r="D720" s="5">
        <v>2436</v>
      </c>
      <c r="E720" s="5">
        <v>54.198932156935193</v>
      </c>
      <c r="F720" s="5">
        <v>813</v>
      </c>
      <c r="G720" s="5">
        <v>813</v>
      </c>
      <c r="H720" s="5">
        <v>17.959746057573728</v>
      </c>
      <c r="I720" s="1">
        <f t="shared" si="22"/>
        <v>3249</v>
      </c>
      <c r="J720" s="1">
        <f t="shared" si="23"/>
        <v>0.32536401259561804</v>
      </c>
      <c r="K720" s="6" t="s">
        <v>226</v>
      </c>
    </row>
    <row r="721" spans="1:11">
      <c r="A721" s="5" t="s">
        <v>1068</v>
      </c>
      <c r="B721" s="5">
        <v>1.2491688219257169E-3</v>
      </c>
      <c r="C721" s="5">
        <v>4204</v>
      </c>
      <c r="D721" s="5">
        <v>4229</v>
      </c>
      <c r="E721" s="5">
        <v>61.112108521784521</v>
      </c>
      <c r="F721" s="5">
        <v>1392</v>
      </c>
      <c r="G721" s="5">
        <v>1408</v>
      </c>
      <c r="H721" s="5">
        <v>20.201724208905496</v>
      </c>
      <c r="I721" s="1">
        <f t="shared" si="22"/>
        <v>5637</v>
      </c>
      <c r="J721" s="1">
        <f t="shared" si="23"/>
        <v>0.32524615070538404</v>
      </c>
      <c r="K721" s="6" t="s">
        <v>1069</v>
      </c>
    </row>
    <row r="722" spans="1:11">
      <c r="A722" s="5" t="s">
        <v>1374</v>
      </c>
      <c r="B722" s="5">
        <v>5.3864190885377639E-10</v>
      </c>
      <c r="C722" s="5">
        <v>2534</v>
      </c>
      <c r="D722" s="5">
        <v>2534</v>
      </c>
      <c r="E722" s="5">
        <v>117.86657057722414</v>
      </c>
      <c r="F722" s="5">
        <v>837</v>
      </c>
      <c r="G722" s="5">
        <v>837</v>
      </c>
      <c r="H722" s="5">
        <v>38.655001548725103</v>
      </c>
      <c r="I722" s="1">
        <f t="shared" si="22"/>
        <v>3371</v>
      </c>
      <c r="J722" s="1">
        <f t="shared" si="23"/>
        <v>0.32519657428504745</v>
      </c>
      <c r="K722" s="6" t="s">
        <v>2</v>
      </c>
    </row>
    <row r="723" spans="1:11">
      <c r="A723" s="5" t="s">
        <v>2058</v>
      </c>
      <c r="B723" s="5">
        <v>0</v>
      </c>
      <c r="C723" s="5">
        <v>14068</v>
      </c>
      <c r="D723" s="5">
        <v>14073</v>
      </c>
      <c r="E723" s="5">
        <v>247.37490157729965</v>
      </c>
      <c r="F723" s="5">
        <v>4625</v>
      </c>
      <c r="G723" s="5">
        <v>4625</v>
      </c>
      <c r="H723" s="5">
        <v>80.719206472350621</v>
      </c>
      <c r="I723" s="1">
        <f t="shared" si="22"/>
        <v>18698</v>
      </c>
      <c r="J723" s="1">
        <f t="shared" si="23"/>
        <v>0.32498938483616896</v>
      </c>
      <c r="K723" s="6" t="s">
        <v>678</v>
      </c>
    </row>
    <row r="724" spans="1:11">
      <c r="A724" s="5" t="s">
        <v>2092</v>
      </c>
      <c r="B724" s="5">
        <v>1.3857968851010427E-2</v>
      </c>
      <c r="C724" s="5">
        <v>5931</v>
      </c>
      <c r="D724" s="5">
        <v>5934</v>
      </c>
      <c r="E724" s="5">
        <v>51.919088110516284</v>
      </c>
      <c r="F724" s="5">
        <v>1977</v>
      </c>
      <c r="G724" s="5">
        <v>1978</v>
      </c>
      <c r="H724" s="5">
        <v>17.183119140889904</v>
      </c>
      <c r="I724" s="1">
        <f t="shared" si="22"/>
        <v>7912</v>
      </c>
      <c r="J724" s="1">
        <f t="shared" si="23"/>
        <v>0.32470550333378118</v>
      </c>
      <c r="K724" s="6" t="s">
        <v>2093</v>
      </c>
    </row>
    <row r="725" spans="1:11">
      <c r="A725" s="5" t="s">
        <v>615</v>
      </c>
      <c r="B725" s="5">
        <v>1.4544555638540402E-4</v>
      </c>
      <c r="C725" s="5">
        <v>5523</v>
      </c>
      <c r="D725" s="5">
        <v>5523</v>
      </c>
      <c r="E725" s="5">
        <v>69.128225142538966</v>
      </c>
      <c r="F725" s="5">
        <v>1831</v>
      </c>
      <c r="G725" s="5">
        <v>1831</v>
      </c>
      <c r="H725" s="5">
        <v>22.7543748173503</v>
      </c>
      <c r="I725" s="1">
        <f t="shared" si="22"/>
        <v>7354</v>
      </c>
      <c r="J725" s="1">
        <f t="shared" si="23"/>
        <v>0.32446814062527529</v>
      </c>
      <c r="K725" s="6" t="s">
        <v>14</v>
      </c>
    </row>
    <row r="726" spans="1:11">
      <c r="A726" s="5" t="s">
        <v>1988</v>
      </c>
      <c r="B726" s="5">
        <v>7.6267880899649754E-11</v>
      </c>
      <c r="C726" s="5">
        <v>5647</v>
      </c>
      <c r="D726" s="5">
        <v>5702</v>
      </c>
      <c r="E726" s="5">
        <v>206.32377510397384</v>
      </c>
      <c r="F726" s="5">
        <v>1853</v>
      </c>
      <c r="G726" s="5">
        <v>1870</v>
      </c>
      <c r="H726" s="5">
        <v>67.183073642294914</v>
      </c>
      <c r="I726" s="1">
        <f t="shared" si="22"/>
        <v>7572</v>
      </c>
      <c r="J726" s="1">
        <f t="shared" si="23"/>
        <v>0.32404905616156315</v>
      </c>
      <c r="K726" s="6" t="s">
        <v>274</v>
      </c>
    </row>
    <row r="727" spans="1:11">
      <c r="A727" s="5" t="s">
        <v>1083</v>
      </c>
      <c r="B727" s="5">
        <v>0</v>
      </c>
      <c r="C727" s="5">
        <v>8491</v>
      </c>
      <c r="D727" s="5">
        <v>8495</v>
      </c>
      <c r="E727" s="5">
        <v>271.94705533047431</v>
      </c>
      <c r="F727" s="5">
        <v>2782</v>
      </c>
      <c r="G727" s="5">
        <v>2782</v>
      </c>
      <c r="H727" s="5">
        <v>88.42484414998053</v>
      </c>
      <c r="I727" s="1">
        <f t="shared" si="22"/>
        <v>11277</v>
      </c>
      <c r="J727" s="1">
        <f t="shared" si="23"/>
        <v>0.32396335634732881</v>
      </c>
      <c r="K727" s="6" t="s">
        <v>1084</v>
      </c>
    </row>
    <row r="728" spans="1:11">
      <c r="A728" s="5" t="s">
        <v>315</v>
      </c>
      <c r="B728" s="5">
        <v>2.2656804044007828E-7</v>
      </c>
      <c r="C728" s="5">
        <v>13605</v>
      </c>
      <c r="D728" s="5">
        <v>13606</v>
      </c>
      <c r="E728" s="5">
        <v>93.53940000382083</v>
      </c>
      <c r="F728" s="5">
        <v>4482</v>
      </c>
      <c r="G728" s="5">
        <v>4482</v>
      </c>
      <c r="H728" s="5">
        <v>30.593711392171798</v>
      </c>
      <c r="I728" s="1">
        <f t="shared" si="22"/>
        <v>18088</v>
      </c>
      <c r="J728" s="1">
        <f t="shared" si="23"/>
        <v>0.32360805538151655</v>
      </c>
      <c r="K728" s="6" t="s">
        <v>17</v>
      </c>
    </row>
    <row r="729" spans="1:11">
      <c r="A729" s="5" t="s">
        <v>445</v>
      </c>
      <c r="B729" s="5">
        <v>4.422663681941108E-4</v>
      </c>
      <c r="C729" s="5">
        <v>3301</v>
      </c>
      <c r="D729" s="5">
        <v>3301</v>
      </c>
      <c r="E729" s="5">
        <v>64.713659772659241</v>
      </c>
      <c r="F729" s="5">
        <v>1092</v>
      </c>
      <c r="G729" s="5">
        <v>1092</v>
      </c>
      <c r="H729" s="5">
        <v>21.255399661681604</v>
      </c>
      <c r="I729" s="1">
        <f t="shared" si="22"/>
        <v>4393</v>
      </c>
      <c r="J729" s="1">
        <f t="shared" si="23"/>
        <v>0.32345481495348255</v>
      </c>
      <c r="K729" s="6" t="s">
        <v>446</v>
      </c>
    </row>
    <row r="730" spans="1:11">
      <c r="A730" s="5" t="s">
        <v>2152</v>
      </c>
      <c r="B730" s="5">
        <v>2.811711956379026E-2</v>
      </c>
      <c r="C730" s="5">
        <v>3846</v>
      </c>
      <c r="D730" s="5">
        <v>3849</v>
      </c>
      <c r="E730" s="5">
        <v>49.05575168597295</v>
      </c>
      <c r="F730" s="5">
        <v>1277</v>
      </c>
      <c r="G730" s="5">
        <v>1279</v>
      </c>
      <c r="H730" s="5">
        <v>16.18485333410522</v>
      </c>
      <c r="I730" s="1">
        <f t="shared" si="22"/>
        <v>5128</v>
      </c>
      <c r="J730" s="1">
        <f t="shared" si="23"/>
        <v>0.32333653554224173</v>
      </c>
      <c r="K730" s="6" t="s">
        <v>2153</v>
      </c>
    </row>
    <row r="731" spans="1:11">
      <c r="A731" s="5" t="s">
        <v>2189</v>
      </c>
      <c r="B731" s="5">
        <v>2.6693758314877414E-9</v>
      </c>
      <c r="C731" s="5">
        <v>3424</v>
      </c>
      <c r="D731" s="5">
        <v>3424</v>
      </c>
      <c r="E731" s="5">
        <v>110.39037597162151</v>
      </c>
      <c r="F731" s="5">
        <v>1125</v>
      </c>
      <c r="G731" s="5">
        <v>1125</v>
      </c>
      <c r="H731" s="5">
        <v>36.011911892301427</v>
      </c>
      <c r="I731" s="1">
        <f t="shared" si="22"/>
        <v>4549</v>
      </c>
      <c r="J731" s="1">
        <f t="shared" si="23"/>
        <v>0.32329464352895299</v>
      </c>
      <c r="K731" s="6" t="s">
        <v>2190</v>
      </c>
    </row>
    <row r="732" spans="1:11">
      <c r="A732" s="5" t="s">
        <v>751</v>
      </c>
      <c r="B732" s="5">
        <v>1.1440182134947463E-10</v>
      </c>
      <c r="C732" s="5">
        <v>4874</v>
      </c>
      <c r="D732" s="5">
        <v>4874</v>
      </c>
      <c r="E732" s="5">
        <v>218.13323927554561</v>
      </c>
      <c r="F732" s="5">
        <v>1593</v>
      </c>
      <c r="G732" s="5">
        <v>1593</v>
      </c>
      <c r="H732" s="5">
        <v>70.786151233777957</v>
      </c>
      <c r="I732" s="1">
        <f t="shared" si="22"/>
        <v>6467</v>
      </c>
      <c r="J732" s="1">
        <f t="shared" si="23"/>
        <v>0.32302790515850971</v>
      </c>
      <c r="K732" s="6" t="s">
        <v>461</v>
      </c>
    </row>
    <row r="733" spans="1:11">
      <c r="A733" s="5" t="s">
        <v>2111</v>
      </c>
      <c r="B733" s="5">
        <v>9.9626840422417651E-5</v>
      </c>
      <c r="C733" s="5">
        <v>4945</v>
      </c>
      <c r="D733" s="5">
        <v>4945</v>
      </c>
      <c r="E733" s="5">
        <v>70.154833169840828</v>
      </c>
      <c r="F733" s="5">
        <v>1629</v>
      </c>
      <c r="G733" s="5">
        <v>1629</v>
      </c>
      <c r="H733" s="5">
        <v>22.946084289115891</v>
      </c>
      <c r="I733" s="1">
        <f t="shared" si="22"/>
        <v>6574</v>
      </c>
      <c r="J733" s="1">
        <f t="shared" si="23"/>
        <v>0.32248103560787567</v>
      </c>
      <c r="K733" s="6" t="s">
        <v>1034</v>
      </c>
    </row>
    <row r="734" spans="1:11">
      <c r="A734" s="5" t="s">
        <v>1081</v>
      </c>
      <c r="B734" s="5">
        <v>1.3132582952707361E-2</v>
      </c>
      <c r="C734" s="5">
        <v>2896</v>
      </c>
      <c r="D734" s="5">
        <v>2896</v>
      </c>
      <c r="E734" s="5">
        <v>51.74144548367029</v>
      </c>
      <c r="F734" s="5">
        <v>958</v>
      </c>
      <c r="G734" s="5">
        <v>958</v>
      </c>
      <c r="H734" s="5">
        <v>16.994238496735449</v>
      </c>
      <c r="I734" s="1">
        <f t="shared" si="22"/>
        <v>3854</v>
      </c>
      <c r="J734" s="1">
        <f t="shared" si="23"/>
        <v>0.3222179130831212</v>
      </c>
      <c r="K734" s="6" t="s">
        <v>1082</v>
      </c>
    </row>
    <row r="735" spans="1:11">
      <c r="A735" s="5" t="s">
        <v>617</v>
      </c>
      <c r="B735" s="5">
        <v>2.4223579320829525E-2</v>
      </c>
      <c r="C735" s="5">
        <v>2685</v>
      </c>
      <c r="D735" s="5">
        <v>2685</v>
      </c>
      <c r="E735" s="5">
        <v>49.398756777977823</v>
      </c>
      <c r="F735" s="5">
        <v>888</v>
      </c>
      <c r="G735" s="5">
        <v>888</v>
      </c>
      <c r="H735" s="5">
        <v>16.22112215746191</v>
      </c>
      <c r="I735" s="1">
        <f t="shared" si="22"/>
        <v>3573</v>
      </c>
      <c r="J735" s="1">
        <f t="shared" si="23"/>
        <v>0.32185560109986422</v>
      </c>
      <c r="K735" s="6" t="s">
        <v>19</v>
      </c>
    </row>
    <row r="736" spans="1:11">
      <c r="A736" s="5" t="s">
        <v>1922</v>
      </c>
      <c r="B736" s="5">
        <v>0</v>
      </c>
      <c r="C736" s="5">
        <v>2366</v>
      </c>
      <c r="D736" s="5">
        <v>6413</v>
      </c>
      <c r="E736" s="5">
        <v>178.97671281256632</v>
      </c>
      <c r="F736" s="5">
        <v>726</v>
      </c>
      <c r="G736" s="5">
        <v>2090</v>
      </c>
      <c r="H736" s="5">
        <v>57.913228126763777</v>
      </c>
      <c r="I736" s="1">
        <f t="shared" si="22"/>
        <v>8503</v>
      </c>
      <c r="J736" s="1">
        <f t="shared" si="23"/>
        <v>0.32178178621962344</v>
      </c>
      <c r="K736" s="6" t="s">
        <v>226</v>
      </c>
    </row>
    <row r="737" spans="1:11">
      <c r="A737" s="5" t="s">
        <v>2141</v>
      </c>
      <c r="B737" s="5">
        <v>4.0362144724248594E-5</v>
      </c>
      <c r="C737" s="5">
        <v>8998</v>
      </c>
      <c r="D737" s="5">
        <v>8998</v>
      </c>
      <c r="E737" s="5">
        <v>73.32793803038895</v>
      </c>
      <c r="F737" s="5">
        <v>2952</v>
      </c>
      <c r="G737" s="5">
        <v>2952</v>
      </c>
      <c r="H737" s="5">
        <v>23.885593514152951</v>
      </c>
      <c r="I737" s="1">
        <f t="shared" si="22"/>
        <v>11950</v>
      </c>
      <c r="J737" s="1">
        <f t="shared" si="23"/>
        <v>0.32135417915652842</v>
      </c>
      <c r="K737" s="6" t="s">
        <v>1107</v>
      </c>
    </row>
    <row r="738" spans="1:11">
      <c r="A738" s="5" t="s">
        <v>662</v>
      </c>
      <c r="B738" s="5">
        <v>2.5740409803631792E-10</v>
      </c>
      <c r="C738" s="5">
        <v>9265</v>
      </c>
      <c r="D738" s="5">
        <v>9269</v>
      </c>
      <c r="E738" s="5">
        <v>118.13399905879014</v>
      </c>
      <c r="F738" s="5">
        <v>3021</v>
      </c>
      <c r="G738" s="5">
        <v>3024</v>
      </c>
      <c r="H738" s="5">
        <v>38.266611792286305</v>
      </c>
      <c r="I738" s="1">
        <f t="shared" si="22"/>
        <v>12293</v>
      </c>
      <c r="J738" s="1">
        <f t="shared" si="23"/>
        <v>0.32120647417705278</v>
      </c>
      <c r="K738" s="6" t="s">
        <v>221</v>
      </c>
    </row>
    <row r="739" spans="1:11">
      <c r="A739" s="5" t="s">
        <v>1264</v>
      </c>
      <c r="B739" s="5">
        <v>0</v>
      </c>
      <c r="C739" s="5">
        <v>11663</v>
      </c>
      <c r="D739" s="5">
        <v>11663</v>
      </c>
      <c r="E739" s="5">
        <v>415.39074885002015</v>
      </c>
      <c r="F739" s="5">
        <v>3778</v>
      </c>
      <c r="G739" s="5">
        <v>3778</v>
      </c>
      <c r="H739" s="5">
        <v>133.59945857006733</v>
      </c>
      <c r="I739" s="1">
        <f t="shared" si="22"/>
        <v>15441</v>
      </c>
      <c r="J739" s="1">
        <f t="shared" si="23"/>
        <v>0.32085116909787192</v>
      </c>
      <c r="K739" s="6" t="s">
        <v>1265</v>
      </c>
    </row>
    <row r="740" spans="1:11">
      <c r="A740" s="5" t="s">
        <v>1089</v>
      </c>
      <c r="B740" s="5">
        <v>1.3201789095179661E-3</v>
      </c>
      <c r="C740" s="5">
        <v>2344</v>
      </c>
      <c r="D740" s="5">
        <v>2344</v>
      </c>
      <c r="E740" s="5">
        <v>60.114899659936022</v>
      </c>
      <c r="F740" s="5">
        <v>770</v>
      </c>
      <c r="G740" s="5">
        <v>770</v>
      </c>
      <c r="H740" s="5">
        <v>19.607013342187749</v>
      </c>
      <c r="I740" s="1">
        <f t="shared" si="22"/>
        <v>3114</v>
      </c>
      <c r="J740" s="1">
        <f t="shared" si="23"/>
        <v>0.32082214732066655</v>
      </c>
      <c r="K740" s="6" t="s">
        <v>1090</v>
      </c>
    </row>
    <row r="741" spans="1:11">
      <c r="A741" s="5" t="s">
        <v>399</v>
      </c>
      <c r="B741" s="5">
        <v>1.4300227668684329E-11</v>
      </c>
      <c r="C741" s="5">
        <v>2854</v>
      </c>
      <c r="D741" s="5">
        <v>2855</v>
      </c>
      <c r="E741" s="5">
        <v>213.42467661107327</v>
      </c>
      <c r="F741" s="5">
        <v>926</v>
      </c>
      <c r="G741" s="5">
        <v>926</v>
      </c>
      <c r="H741" s="5">
        <v>68.729899067049629</v>
      </c>
      <c r="I741" s="1">
        <f t="shared" si="22"/>
        <v>3781</v>
      </c>
      <c r="J741" s="1">
        <f t="shared" si="23"/>
        <v>0.32053166712576164</v>
      </c>
      <c r="K741" s="6" t="s">
        <v>2</v>
      </c>
    </row>
    <row r="742" spans="1:11">
      <c r="A742" s="5" t="s">
        <v>193</v>
      </c>
      <c r="B742" s="5">
        <v>0</v>
      </c>
      <c r="C742" s="5">
        <v>15568</v>
      </c>
      <c r="D742" s="5">
        <v>15568</v>
      </c>
      <c r="E742" s="5">
        <v>197.58225831794715</v>
      </c>
      <c r="F742" s="5">
        <v>5044</v>
      </c>
      <c r="G742" s="5">
        <v>5044</v>
      </c>
      <c r="H742" s="5">
        <v>63.560367556195899</v>
      </c>
      <c r="I742" s="1">
        <f t="shared" si="22"/>
        <v>20612</v>
      </c>
      <c r="J742" s="1">
        <f t="shared" si="23"/>
        <v>0.32007072582702895</v>
      </c>
      <c r="K742" s="6" t="s">
        <v>194</v>
      </c>
    </row>
    <row r="743" spans="1:11">
      <c r="A743" s="5" t="s">
        <v>1291</v>
      </c>
      <c r="B743" s="5">
        <v>2.8600455337368658E-11</v>
      </c>
      <c r="C743" s="5">
        <v>10362</v>
      </c>
      <c r="D743" s="5">
        <v>10362</v>
      </c>
      <c r="E743" s="5">
        <v>181.20655271543512</v>
      </c>
      <c r="F743" s="5">
        <v>3358</v>
      </c>
      <c r="G743" s="5">
        <v>3358</v>
      </c>
      <c r="H743" s="5">
        <v>58.305188296709439</v>
      </c>
      <c r="I743" s="1">
        <f t="shared" si="22"/>
        <v>13720</v>
      </c>
      <c r="J743" s="1">
        <f t="shared" si="23"/>
        <v>0.31999501350409049</v>
      </c>
      <c r="K743" s="6" t="s">
        <v>492</v>
      </c>
    </row>
    <row r="744" spans="1:11">
      <c r="A744" s="5" t="s">
        <v>486</v>
      </c>
      <c r="B744" s="5">
        <v>4.886530796666122E-7</v>
      </c>
      <c r="C744" s="5">
        <v>3729</v>
      </c>
      <c r="D744" s="5">
        <v>3729</v>
      </c>
      <c r="E744" s="5">
        <v>89.636700026022154</v>
      </c>
      <c r="F744" s="5">
        <v>1215</v>
      </c>
      <c r="G744" s="5">
        <v>1215</v>
      </c>
      <c r="H744" s="5">
        <v>28.997860360486392</v>
      </c>
      <c r="I744" s="1">
        <f t="shared" si="22"/>
        <v>4944</v>
      </c>
      <c r="J744" s="1">
        <f t="shared" si="23"/>
        <v>0.31993508537006526</v>
      </c>
      <c r="K744" s="6" t="s">
        <v>487</v>
      </c>
    </row>
    <row r="745" spans="1:11">
      <c r="A745" s="5" t="s">
        <v>464</v>
      </c>
      <c r="B745" s="5">
        <v>2.9320839292504286E-2</v>
      </c>
      <c r="C745" s="5">
        <v>3163</v>
      </c>
      <c r="D745" s="5">
        <v>3164</v>
      </c>
      <c r="E745" s="5">
        <v>48.340646964163788</v>
      </c>
      <c r="F745" s="5">
        <v>1039</v>
      </c>
      <c r="G745" s="5">
        <v>1039</v>
      </c>
      <c r="H745" s="5">
        <v>15.76114379135287</v>
      </c>
      <c r="I745" s="1">
        <f t="shared" si="22"/>
        <v>4203</v>
      </c>
      <c r="J745" s="1">
        <f t="shared" si="23"/>
        <v>0.31943528836985502</v>
      </c>
      <c r="K745" s="6" t="s">
        <v>17</v>
      </c>
    </row>
    <row r="746" spans="1:11">
      <c r="A746" s="5" t="s">
        <v>1110</v>
      </c>
      <c r="B746" s="5">
        <v>1.5132837403358801E-3</v>
      </c>
      <c r="C746" s="5">
        <v>3899</v>
      </c>
      <c r="D746" s="5">
        <v>3899</v>
      </c>
      <c r="E746" s="5">
        <v>59.204556607845177</v>
      </c>
      <c r="F746" s="5">
        <v>1272</v>
      </c>
      <c r="G746" s="5">
        <v>1272</v>
      </c>
      <c r="H746" s="5">
        <v>19.177200509124134</v>
      </c>
      <c r="I746" s="1">
        <f t="shared" si="22"/>
        <v>5171</v>
      </c>
      <c r="J746" s="1">
        <f t="shared" si="23"/>
        <v>0.31853403778120637</v>
      </c>
      <c r="K746" s="6" t="s">
        <v>748</v>
      </c>
    </row>
    <row r="747" spans="1:11">
      <c r="A747" s="5" t="s">
        <v>1486</v>
      </c>
      <c r="B747" s="5">
        <v>1.6063922414488729E-9</v>
      </c>
      <c r="C747" s="5">
        <v>1325</v>
      </c>
      <c r="D747" s="5">
        <v>5445</v>
      </c>
      <c r="E747" s="5">
        <v>110.65147568096928</v>
      </c>
      <c r="F747" s="5">
        <v>521</v>
      </c>
      <c r="G747" s="5">
        <v>1762</v>
      </c>
      <c r="H747" s="5">
        <v>35.551786579420416</v>
      </c>
      <c r="I747" s="1">
        <f t="shared" si="22"/>
        <v>7207</v>
      </c>
      <c r="J747" s="1">
        <f t="shared" si="23"/>
        <v>0.31841752527306838</v>
      </c>
      <c r="K747" s="6" t="s">
        <v>1353</v>
      </c>
    </row>
    <row r="748" spans="1:11">
      <c r="A748" s="5" t="s">
        <v>1394</v>
      </c>
      <c r="B748" s="5">
        <v>4.7667425562281096E-12</v>
      </c>
      <c r="C748" s="5">
        <v>3928</v>
      </c>
      <c r="D748" s="5">
        <v>3953</v>
      </c>
      <c r="E748" s="5">
        <v>167.02475757810774</v>
      </c>
      <c r="F748" s="5">
        <v>1273</v>
      </c>
      <c r="G748" s="5">
        <v>1275</v>
      </c>
      <c r="H748" s="5">
        <v>53.488500189517687</v>
      </c>
      <c r="I748" s="1">
        <f t="shared" si="22"/>
        <v>5228</v>
      </c>
      <c r="J748" s="1">
        <f t="shared" si="23"/>
        <v>0.31833701747585086</v>
      </c>
      <c r="K748" s="6" t="s">
        <v>1395</v>
      </c>
    </row>
    <row r="749" spans="1:11">
      <c r="A749" s="5" t="s">
        <v>790</v>
      </c>
      <c r="B749" s="5">
        <v>7.8666553421369301E-6</v>
      </c>
      <c r="C749" s="5">
        <v>3591</v>
      </c>
      <c r="D749" s="5">
        <v>3591</v>
      </c>
      <c r="E749" s="5">
        <v>78.67444943345221</v>
      </c>
      <c r="F749" s="5">
        <v>1164</v>
      </c>
      <c r="G749" s="5">
        <v>1164</v>
      </c>
      <c r="H749" s="5">
        <v>25.320220743308067</v>
      </c>
      <c r="I749" s="1">
        <f t="shared" si="22"/>
        <v>4755</v>
      </c>
      <c r="J749" s="1">
        <f t="shared" si="23"/>
        <v>0.31779599260935826</v>
      </c>
      <c r="K749" s="6" t="s">
        <v>791</v>
      </c>
    </row>
    <row r="750" spans="1:11">
      <c r="A750" s="5" t="s">
        <v>621</v>
      </c>
      <c r="B750" s="5">
        <v>1.9066970224912438E-11</v>
      </c>
      <c r="C750" s="5">
        <v>3366</v>
      </c>
      <c r="D750" s="5">
        <v>3366</v>
      </c>
      <c r="E750" s="5">
        <v>139.83397867735761</v>
      </c>
      <c r="F750" s="5">
        <v>1084</v>
      </c>
      <c r="G750" s="5">
        <v>1084</v>
      </c>
      <c r="H750" s="5">
        <v>44.711998836463451</v>
      </c>
      <c r="I750" s="1">
        <f t="shared" si="22"/>
        <v>4450</v>
      </c>
      <c r="J750" s="1">
        <f t="shared" si="23"/>
        <v>0.31748019374568703</v>
      </c>
      <c r="K750" s="6" t="s">
        <v>622</v>
      </c>
    </row>
    <row r="751" spans="1:11">
      <c r="A751" s="5" t="s">
        <v>644</v>
      </c>
      <c r="B751" s="5">
        <v>1.1335123129008196E-6</v>
      </c>
      <c r="C751" s="5">
        <v>10936</v>
      </c>
      <c r="D751" s="5">
        <v>21886</v>
      </c>
      <c r="E751" s="5">
        <v>85.836500317337681</v>
      </c>
      <c r="F751" s="5">
        <v>3243</v>
      </c>
      <c r="G751" s="5">
        <v>7079</v>
      </c>
      <c r="H751" s="5">
        <v>27.565997975343251</v>
      </c>
      <c r="I751" s="1">
        <f t="shared" si="22"/>
        <v>28965</v>
      </c>
      <c r="J751" s="1">
        <f t="shared" si="23"/>
        <v>0.31744713196185148</v>
      </c>
      <c r="K751" s="6" t="s">
        <v>620</v>
      </c>
    </row>
    <row r="752" spans="1:11">
      <c r="A752" s="5" t="s">
        <v>2212</v>
      </c>
      <c r="B752" s="5">
        <v>9.5989610882085685E-6</v>
      </c>
      <c r="C752" s="5">
        <v>6671</v>
      </c>
      <c r="D752" s="5">
        <v>6671</v>
      </c>
      <c r="E752" s="5">
        <v>77.739896636169917</v>
      </c>
      <c r="F752" s="5">
        <v>2157</v>
      </c>
      <c r="G752" s="5">
        <v>2157</v>
      </c>
      <c r="H752" s="5">
        <v>24.957401359116776</v>
      </c>
      <c r="I752" s="1">
        <f t="shared" si="22"/>
        <v>8828</v>
      </c>
      <c r="J752" s="1">
        <f t="shared" si="23"/>
        <v>0.31696004726087434</v>
      </c>
      <c r="K752" s="6" t="s">
        <v>14</v>
      </c>
    </row>
    <row r="753" spans="1:11">
      <c r="A753" s="5" t="s">
        <v>1151</v>
      </c>
      <c r="B753" s="5">
        <v>1.9066970224912438E-11</v>
      </c>
      <c r="C753" s="5">
        <v>1566</v>
      </c>
      <c r="D753" s="5">
        <v>1567</v>
      </c>
      <c r="E753" s="5">
        <v>132.41983057166448</v>
      </c>
      <c r="F753" s="5">
        <v>504</v>
      </c>
      <c r="G753" s="5">
        <v>504</v>
      </c>
      <c r="H753" s="5">
        <v>42.287378973359864</v>
      </c>
      <c r="I753" s="1">
        <f t="shared" si="22"/>
        <v>2071</v>
      </c>
      <c r="J753" s="1">
        <f t="shared" si="23"/>
        <v>0.31694972772916113</v>
      </c>
      <c r="K753" s="6" t="s">
        <v>2</v>
      </c>
    </row>
    <row r="754" spans="1:11">
      <c r="A754" s="5" t="s">
        <v>1597</v>
      </c>
      <c r="B754" s="5">
        <v>0</v>
      </c>
      <c r="C754" s="5">
        <v>2563</v>
      </c>
      <c r="D754" s="5">
        <v>2564</v>
      </c>
      <c r="E754" s="5">
        <v>204.00077527105236</v>
      </c>
      <c r="F754" s="5">
        <v>822</v>
      </c>
      <c r="G754" s="5">
        <v>822</v>
      </c>
      <c r="H754" s="5">
        <v>64.935444027805516</v>
      </c>
      <c r="I754" s="1">
        <f t="shared" si="22"/>
        <v>3386</v>
      </c>
      <c r="J754" s="1">
        <f t="shared" si="23"/>
        <v>0.31675706563522876</v>
      </c>
      <c r="K754" s="6" t="s">
        <v>2</v>
      </c>
    </row>
    <row r="755" spans="1:11">
      <c r="A755" s="5" t="s">
        <v>1457</v>
      </c>
      <c r="B755" s="5">
        <v>0</v>
      </c>
      <c r="C755" s="5">
        <v>2148</v>
      </c>
      <c r="D755" s="5">
        <v>2149</v>
      </c>
      <c r="E755" s="5">
        <v>142.27693365337586</v>
      </c>
      <c r="F755" s="5">
        <v>690</v>
      </c>
      <c r="G755" s="5">
        <v>690</v>
      </c>
      <c r="H755" s="5">
        <v>45.356900804759462</v>
      </c>
      <c r="I755" s="1">
        <f t="shared" si="22"/>
        <v>2839</v>
      </c>
      <c r="J755" s="1">
        <f t="shared" si="23"/>
        <v>0.31656805913008712</v>
      </c>
      <c r="K755" s="6" t="s">
        <v>1234</v>
      </c>
    </row>
    <row r="756" spans="1:11">
      <c r="A756" s="5" t="s">
        <v>342</v>
      </c>
      <c r="B756" s="5">
        <v>0</v>
      </c>
      <c r="C756" s="5">
        <v>7236</v>
      </c>
      <c r="D756" s="5">
        <v>7236</v>
      </c>
      <c r="E756" s="5">
        <v>178.67215138996201</v>
      </c>
      <c r="F756" s="5">
        <v>2320</v>
      </c>
      <c r="G756" s="5">
        <v>2320</v>
      </c>
      <c r="H756" s="5">
        <v>56.877761192238417</v>
      </c>
      <c r="I756" s="1">
        <f t="shared" si="22"/>
        <v>9556</v>
      </c>
      <c r="J756" s="1">
        <f t="shared" si="23"/>
        <v>0.31656414615301415</v>
      </c>
      <c r="K756" s="6" t="s">
        <v>343</v>
      </c>
    </row>
    <row r="757" spans="1:11">
      <c r="A757" s="5" t="s">
        <v>428</v>
      </c>
      <c r="B757" s="5">
        <v>0</v>
      </c>
      <c r="C757" s="5">
        <v>7050</v>
      </c>
      <c r="D757" s="5">
        <v>7050</v>
      </c>
      <c r="E757" s="5">
        <v>159.59693713027508</v>
      </c>
      <c r="F757" s="5">
        <v>2260</v>
      </c>
      <c r="G757" s="5">
        <v>2260</v>
      </c>
      <c r="H757" s="5">
        <v>50.797235141321082</v>
      </c>
      <c r="I757" s="1">
        <f t="shared" si="22"/>
        <v>9310</v>
      </c>
      <c r="J757" s="1">
        <f t="shared" si="23"/>
        <v>0.31630263969551753</v>
      </c>
      <c r="K757" s="6" t="s">
        <v>429</v>
      </c>
    </row>
    <row r="758" spans="1:11">
      <c r="A758" s="5" t="s">
        <v>984</v>
      </c>
      <c r="B758" s="5">
        <v>3.3156337533066238E-2</v>
      </c>
      <c r="C758" s="5">
        <v>1927</v>
      </c>
      <c r="D758" s="5">
        <v>1937</v>
      </c>
      <c r="E758" s="5">
        <v>47.441178058238258</v>
      </c>
      <c r="F758" s="5">
        <v>628</v>
      </c>
      <c r="G758" s="5">
        <v>630</v>
      </c>
      <c r="H758" s="5">
        <v>15.320135046604271</v>
      </c>
      <c r="I758" s="1">
        <f t="shared" si="22"/>
        <v>2567</v>
      </c>
      <c r="J758" s="1">
        <f t="shared" si="23"/>
        <v>0.31626264390568054</v>
      </c>
      <c r="K758" s="6" t="s">
        <v>985</v>
      </c>
    </row>
    <row r="759" spans="1:11">
      <c r="A759" s="5" t="s">
        <v>566</v>
      </c>
      <c r="B759" s="5">
        <v>1.3514150140765402E-2</v>
      </c>
      <c r="C759" s="5">
        <v>1872</v>
      </c>
      <c r="D759" s="5">
        <v>1872</v>
      </c>
      <c r="E759" s="5">
        <v>50.735510511438733</v>
      </c>
      <c r="F759" s="5">
        <v>608</v>
      </c>
      <c r="G759" s="5">
        <v>608</v>
      </c>
      <c r="H759" s="5">
        <v>16.360854016253441</v>
      </c>
      <c r="I759" s="1">
        <f t="shared" si="22"/>
        <v>2480</v>
      </c>
      <c r="J759" s="1">
        <f t="shared" si="23"/>
        <v>0.31624031259218083</v>
      </c>
      <c r="K759" s="6" t="s">
        <v>567</v>
      </c>
    </row>
    <row r="760" spans="1:11">
      <c r="A760" s="5" t="s">
        <v>2116</v>
      </c>
      <c r="B760" s="5">
        <v>2.8492755808690595E-2</v>
      </c>
      <c r="C760" s="5">
        <v>1231</v>
      </c>
      <c r="D760" s="5">
        <v>1234</v>
      </c>
      <c r="E760" s="5">
        <v>47.968597719016991</v>
      </c>
      <c r="F760" s="5">
        <v>400</v>
      </c>
      <c r="G760" s="5">
        <v>401</v>
      </c>
      <c r="H760" s="5">
        <v>15.476845090130874</v>
      </c>
      <c r="I760" s="1">
        <f t="shared" si="22"/>
        <v>1635</v>
      </c>
      <c r="J760" s="1">
        <f t="shared" si="23"/>
        <v>0.31605653032862796</v>
      </c>
      <c r="K760" s="6" t="s">
        <v>295</v>
      </c>
    </row>
    <row r="761" spans="1:11">
      <c r="A761" s="5" t="s">
        <v>1641</v>
      </c>
      <c r="B761" s="5">
        <v>6.7175796147900257E-7</v>
      </c>
      <c r="C761" s="5">
        <v>13112</v>
      </c>
      <c r="D761" s="5">
        <v>13112</v>
      </c>
      <c r="E761" s="5">
        <v>87.426330205602653</v>
      </c>
      <c r="F761" s="5">
        <v>4220</v>
      </c>
      <c r="G761" s="5">
        <v>4221</v>
      </c>
      <c r="H761" s="5">
        <v>27.943761148348006</v>
      </c>
      <c r="I761" s="1">
        <f t="shared" si="22"/>
        <v>17333</v>
      </c>
      <c r="J761" s="1">
        <f t="shared" si="23"/>
        <v>0.31601177028804822</v>
      </c>
      <c r="K761" s="6" t="s">
        <v>1642</v>
      </c>
    </row>
    <row r="762" spans="1:11">
      <c r="A762" s="5" t="s">
        <v>1305</v>
      </c>
      <c r="B762" s="5">
        <v>4.6718079422589098E-2</v>
      </c>
      <c r="C762" s="5">
        <v>7563</v>
      </c>
      <c r="D762" s="5">
        <v>7569</v>
      </c>
      <c r="E762" s="5">
        <v>46.127184293953462</v>
      </c>
      <c r="F762" s="5">
        <v>2457</v>
      </c>
      <c r="G762" s="5">
        <v>2460</v>
      </c>
      <c r="H762" s="5">
        <v>14.885031120521967</v>
      </c>
      <c r="I762" s="1">
        <f t="shared" si="22"/>
        <v>10029</v>
      </c>
      <c r="J762" s="1">
        <f t="shared" si="23"/>
        <v>0.31584808945251913</v>
      </c>
      <c r="K762" s="6" t="s">
        <v>1306</v>
      </c>
    </row>
    <row r="763" spans="1:11">
      <c r="A763" s="5" t="s">
        <v>597</v>
      </c>
      <c r="B763" s="5">
        <v>0</v>
      </c>
      <c r="C763" s="5">
        <v>17675</v>
      </c>
      <c r="D763" s="5">
        <v>17681</v>
      </c>
      <c r="E763" s="5">
        <v>142.67870579453964</v>
      </c>
      <c r="F763" s="5">
        <v>5652</v>
      </c>
      <c r="G763" s="5">
        <v>5652</v>
      </c>
      <c r="H763" s="5">
        <v>45.284616095137153</v>
      </c>
      <c r="I763" s="1">
        <f t="shared" si="22"/>
        <v>23333</v>
      </c>
      <c r="J763" s="1">
        <f t="shared" si="23"/>
        <v>0.31517973275659994</v>
      </c>
      <c r="K763" s="6" t="s">
        <v>598</v>
      </c>
    </row>
    <row r="764" spans="1:11">
      <c r="A764" s="5" t="s">
        <v>465</v>
      </c>
      <c r="B764" s="5">
        <v>1.8590295969289627E-10</v>
      </c>
      <c r="C764" s="5">
        <v>12940</v>
      </c>
      <c r="D764" s="5">
        <v>12947</v>
      </c>
      <c r="E764" s="5">
        <v>118.06202617842949</v>
      </c>
      <c r="F764" s="5">
        <v>4133</v>
      </c>
      <c r="G764" s="5">
        <v>4134</v>
      </c>
      <c r="H764" s="5">
        <v>37.428959706816002</v>
      </c>
      <c r="I764" s="1">
        <f t="shared" si="22"/>
        <v>17081</v>
      </c>
      <c r="J764" s="1">
        <f t="shared" si="23"/>
        <v>0.31436521709049348</v>
      </c>
      <c r="K764" s="6" t="s">
        <v>466</v>
      </c>
    </row>
    <row r="765" spans="1:11">
      <c r="A765" s="5" t="s">
        <v>2210</v>
      </c>
      <c r="B765" s="5">
        <v>1.517191650305616E-2</v>
      </c>
      <c r="C765" s="5">
        <v>3078</v>
      </c>
      <c r="D765" s="5">
        <v>3078</v>
      </c>
      <c r="E765" s="5">
        <v>50.032599178877447</v>
      </c>
      <c r="F765" s="5">
        <v>992</v>
      </c>
      <c r="G765" s="5">
        <v>994</v>
      </c>
      <c r="H765" s="5">
        <v>16.042314783103564</v>
      </c>
      <c r="I765" s="1">
        <f t="shared" si="22"/>
        <v>4072</v>
      </c>
      <c r="J765" s="1">
        <f t="shared" si="23"/>
        <v>0.31435425671486333</v>
      </c>
      <c r="K765" s="6" t="s">
        <v>2211</v>
      </c>
    </row>
    <row r="766" spans="1:11">
      <c r="A766" s="5" t="s">
        <v>2015</v>
      </c>
      <c r="B766" s="5">
        <v>0</v>
      </c>
      <c r="C766" s="5">
        <v>39897</v>
      </c>
      <c r="D766" s="5">
        <v>39900</v>
      </c>
      <c r="E766" s="5">
        <v>453.13330641971646</v>
      </c>
      <c r="F766" s="5">
        <v>12646</v>
      </c>
      <c r="G766" s="5">
        <v>12646</v>
      </c>
      <c r="H766" s="5">
        <v>142.59439892220254</v>
      </c>
      <c r="I766" s="1">
        <f t="shared" si="22"/>
        <v>52546</v>
      </c>
      <c r="J766" s="1">
        <f t="shared" si="23"/>
        <v>0.3139923826472546</v>
      </c>
      <c r="K766" s="6" t="s">
        <v>322</v>
      </c>
    </row>
    <row r="767" spans="1:11">
      <c r="A767" s="5" t="s">
        <v>2224</v>
      </c>
      <c r="B767" s="5">
        <v>1.053926779182035E-8</v>
      </c>
      <c r="C767" s="5">
        <v>8553</v>
      </c>
      <c r="D767" s="5">
        <v>8554</v>
      </c>
      <c r="E767" s="5">
        <v>102.26732382650115</v>
      </c>
      <c r="F767" s="5">
        <v>2728</v>
      </c>
      <c r="G767" s="5">
        <v>2730</v>
      </c>
      <c r="H767" s="5">
        <v>32.406079449048839</v>
      </c>
      <c r="I767" s="1">
        <f t="shared" si="22"/>
        <v>11284</v>
      </c>
      <c r="J767" s="1">
        <f t="shared" si="23"/>
        <v>0.31380768134840126</v>
      </c>
      <c r="K767" s="6" t="s">
        <v>513</v>
      </c>
    </row>
    <row r="768" spans="1:11">
      <c r="A768" s="5" t="s">
        <v>265</v>
      </c>
      <c r="B768" s="5">
        <v>8.2533975251841696E-3</v>
      </c>
      <c r="C768" s="5">
        <v>1068</v>
      </c>
      <c r="D768" s="5">
        <v>1068</v>
      </c>
      <c r="E768" s="5">
        <v>52.174219459330196</v>
      </c>
      <c r="F768" s="5">
        <v>344</v>
      </c>
      <c r="G768" s="5">
        <v>344</v>
      </c>
      <c r="H768" s="5">
        <v>16.685504809356836</v>
      </c>
      <c r="I768" s="1">
        <f t="shared" si="22"/>
        <v>1412</v>
      </c>
      <c r="J768" s="1">
        <f t="shared" si="23"/>
        <v>0.31378936971737947</v>
      </c>
      <c r="K768" s="6" t="s">
        <v>2</v>
      </c>
    </row>
    <row r="769" spans="1:11">
      <c r="A769" s="5" t="s">
        <v>922</v>
      </c>
      <c r="B769" s="5">
        <v>7.4831265870828334E-3</v>
      </c>
      <c r="C769" s="5">
        <v>2351</v>
      </c>
      <c r="D769" s="5">
        <v>2351</v>
      </c>
      <c r="E769" s="5">
        <v>52.522482366199512</v>
      </c>
      <c r="F769" s="5">
        <v>757</v>
      </c>
      <c r="G769" s="5">
        <v>757</v>
      </c>
      <c r="H769" s="5">
        <v>16.791314434071534</v>
      </c>
      <c r="I769" s="1">
        <f t="shared" si="22"/>
        <v>3108</v>
      </c>
      <c r="J769" s="1">
        <f t="shared" si="23"/>
        <v>0.31372450775331706</v>
      </c>
      <c r="K769" s="6" t="s">
        <v>923</v>
      </c>
    </row>
    <row r="770" spans="1:11">
      <c r="A770" s="5" t="s">
        <v>1808</v>
      </c>
      <c r="B770" s="5">
        <v>4.5706335864924008E-2</v>
      </c>
      <c r="C770" s="5">
        <v>3048</v>
      </c>
      <c r="D770" s="5">
        <v>3064</v>
      </c>
      <c r="E770" s="5">
        <v>45.910584284010504</v>
      </c>
      <c r="F770" s="5">
        <v>988</v>
      </c>
      <c r="G770" s="5">
        <v>989</v>
      </c>
      <c r="H770" s="5">
        <v>14.713518867887556</v>
      </c>
      <c r="I770" s="1">
        <f t="shared" ref="I770:I833" si="24">D770+G770</f>
        <v>4053</v>
      </c>
      <c r="J770" s="1">
        <f t="shared" ref="J770:J833" si="25">H770/(E770+1)</f>
        <v>0.31365030072547329</v>
      </c>
      <c r="K770" s="6" t="s">
        <v>240</v>
      </c>
    </row>
    <row r="771" spans="1:11">
      <c r="A771" s="5" t="s">
        <v>450</v>
      </c>
      <c r="B771" s="5">
        <v>1.3330403865141616E-4</v>
      </c>
      <c r="C771" s="5">
        <v>6754</v>
      </c>
      <c r="D771" s="5">
        <v>6761</v>
      </c>
      <c r="E771" s="5">
        <v>67.216522729458575</v>
      </c>
      <c r="F771" s="5">
        <v>2163</v>
      </c>
      <c r="G771" s="5">
        <v>2165</v>
      </c>
      <c r="H771" s="5">
        <v>21.370722567069119</v>
      </c>
      <c r="I771" s="1">
        <f t="shared" si="24"/>
        <v>8926</v>
      </c>
      <c r="J771" s="1">
        <f t="shared" si="25"/>
        <v>0.31327780590376531</v>
      </c>
      <c r="K771" s="6" t="s">
        <v>242</v>
      </c>
    </row>
    <row r="772" spans="1:11">
      <c r="A772" s="5" t="s">
        <v>497</v>
      </c>
      <c r="B772" s="5">
        <v>5.2891775403907104E-7</v>
      </c>
      <c r="C772" s="5">
        <v>3318</v>
      </c>
      <c r="D772" s="5">
        <v>3343</v>
      </c>
      <c r="E772" s="5">
        <v>87.550923639542177</v>
      </c>
      <c r="F772" s="5">
        <v>1066</v>
      </c>
      <c r="G772" s="5">
        <v>1066</v>
      </c>
      <c r="H772" s="5">
        <v>27.719012877468643</v>
      </c>
      <c r="I772" s="1">
        <f t="shared" si="24"/>
        <v>4409</v>
      </c>
      <c r="J772" s="1">
        <f t="shared" si="25"/>
        <v>0.31302906551604609</v>
      </c>
      <c r="K772" s="6" t="s">
        <v>498</v>
      </c>
    </row>
    <row r="773" spans="1:11">
      <c r="A773" s="5" t="s">
        <v>1570</v>
      </c>
      <c r="B773" s="5">
        <v>5.5961557610118007E-9</v>
      </c>
      <c r="C773" s="5">
        <v>801</v>
      </c>
      <c r="D773" s="5">
        <v>881</v>
      </c>
      <c r="E773" s="5">
        <v>104.22885706897955</v>
      </c>
      <c r="F773" s="5">
        <v>251</v>
      </c>
      <c r="G773" s="5">
        <v>280</v>
      </c>
      <c r="H773" s="5">
        <v>32.890183645946564</v>
      </c>
      <c r="I773" s="1">
        <f t="shared" si="24"/>
        <v>1161</v>
      </c>
      <c r="J773" s="1">
        <f t="shared" si="25"/>
        <v>0.31255859430637373</v>
      </c>
      <c r="K773" s="6" t="s">
        <v>1571</v>
      </c>
    </row>
    <row r="774" spans="1:11">
      <c r="A774" s="5" t="s">
        <v>1806</v>
      </c>
      <c r="B774" s="5">
        <v>2.8600455337368658E-11</v>
      </c>
      <c r="C774" s="5">
        <v>16010</v>
      </c>
      <c r="D774" s="5">
        <v>16011</v>
      </c>
      <c r="E774" s="5">
        <v>438.74190047955358</v>
      </c>
      <c r="F774" s="5">
        <v>5048</v>
      </c>
      <c r="G774" s="5">
        <v>5050</v>
      </c>
      <c r="H774" s="5">
        <v>137.39731083573201</v>
      </c>
      <c r="I774" s="1">
        <f t="shared" si="24"/>
        <v>21061</v>
      </c>
      <c r="J774" s="1">
        <f t="shared" si="25"/>
        <v>0.31244989546344243</v>
      </c>
      <c r="K774" s="6" t="s">
        <v>273</v>
      </c>
    </row>
    <row r="775" spans="1:11">
      <c r="A775" s="5" t="s">
        <v>453</v>
      </c>
      <c r="B775" s="5">
        <v>0</v>
      </c>
      <c r="C775" s="5">
        <v>12426</v>
      </c>
      <c r="D775" s="5">
        <v>12426</v>
      </c>
      <c r="E775" s="5">
        <v>239.12327104020775</v>
      </c>
      <c r="F775" s="5">
        <v>3925</v>
      </c>
      <c r="G775" s="5">
        <v>3925</v>
      </c>
      <c r="H775" s="5">
        <v>74.99397172756683</v>
      </c>
      <c r="I775" s="1">
        <f t="shared" si="24"/>
        <v>16351</v>
      </c>
      <c r="J775" s="1">
        <f t="shared" si="25"/>
        <v>0.31231446832576826</v>
      </c>
      <c r="K775" s="6" t="s">
        <v>454</v>
      </c>
    </row>
    <row r="776" spans="1:11">
      <c r="A776" s="5" t="s">
        <v>1361</v>
      </c>
      <c r="B776" s="5">
        <v>2.4893983808660369E-3</v>
      </c>
      <c r="C776" s="5">
        <v>4516</v>
      </c>
      <c r="D776" s="5">
        <v>4516</v>
      </c>
      <c r="E776" s="5">
        <v>56.291147339860061</v>
      </c>
      <c r="F776" s="5">
        <v>1445</v>
      </c>
      <c r="G776" s="5">
        <v>1445</v>
      </c>
      <c r="H776" s="5">
        <v>17.883405102300799</v>
      </c>
      <c r="I776" s="1">
        <f t="shared" si="24"/>
        <v>5961</v>
      </c>
      <c r="J776" s="1">
        <f t="shared" si="25"/>
        <v>0.312149536755018</v>
      </c>
      <c r="K776" s="6" t="s">
        <v>936</v>
      </c>
    </row>
    <row r="777" spans="1:11">
      <c r="A777" s="5" t="s">
        <v>1078</v>
      </c>
      <c r="B777" s="5">
        <v>1.5736866483551104E-2</v>
      </c>
      <c r="C777" s="5">
        <v>1414</v>
      </c>
      <c r="D777" s="5">
        <v>1419</v>
      </c>
      <c r="E777" s="5">
        <v>49.566110516848859</v>
      </c>
      <c r="F777" s="5">
        <v>453</v>
      </c>
      <c r="G777" s="5">
        <v>455</v>
      </c>
      <c r="H777" s="5">
        <v>15.780110574675902</v>
      </c>
      <c r="I777" s="1">
        <f t="shared" si="24"/>
        <v>1874</v>
      </c>
      <c r="J777" s="1">
        <f t="shared" si="25"/>
        <v>0.31206890174829438</v>
      </c>
      <c r="K777" s="6" t="s">
        <v>2</v>
      </c>
    </row>
    <row r="778" spans="1:11">
      <c r="A778" s="5" t="s">
        <v>933</v>
      </c>
      <c r="B778" s="5">
        <v>0</v>
      </c>
      <c r="C778" s="5">
        <v>10519</v>
      </c>
      <c r="D778" s="5">
        <v>10522</v>
      </c>
      <c r="E778" s="5">
        <v>180.41027720143495</v>
      </c>
      <c r="F778" s="5">
        <v>3325</v>
      </c>
      <c r="G778" s="5">
        <v>3325</v>
      </c>
      <c r="H778" s="5">
        <v>56.604482724002231</v>
      </c>
      <c r="I778" s="1">
        <f t="shared" si="24"/>
        <v>13847</v>
      </c>
      <c r="J778" s="1">
        <f t="shared" si="25"/>
        <v>0.31202467466134542</v>
      </c>
      <c r="K778" s="6" t="s">
        <v>19</v>
      </c>
    </row>
    <row r="779" spans="1:11">
      <c r="A779" s="5" t="s">
        <v>909</v>
      </c>
      <c r="B779" s="5">
        <v>1.4134692999934195E-3</v>
      </c>
      <c r="C779" s="5">
        <v>9061</v>
      </c>
      <c r="D779" s="5">
        <v>9065</v>
      </c>
      <c r="E779" s="5">
        <v>58.230666377798677</v>
      </c>
      <c r="F779" s="5">
        <v>2892</v>
      </c>
      <c r="G779" s="5">
        <v>2892</v>
      </c>
      <c r="H779" s="5">
        <v>18.444990686916409</v>
      </c>
      <c r="I779" s="1">
        <f t="shared" si="24"/>
        <v>11957</v>
      </c>
      <c r="J779" s="1">
        <f t="shared" si="25"/>
        <v>0.31140947443113881</v>
      </c>
      <c r="K779" s="6" t="s">
        <v>910</v>
      </c>
    </row>
    <row r="780" spans="1:11">
      <c r="A780" s="5" t="s">
        <v>1217</v>
      </c>
      <c r="B780" s="5">
        <v>2.0463050305058461E-3</v>
      </c>
      <c r="C780" s="5">
        <v>2935</v>
      </c>
      <c r="D780" s="5">
        <v>2935</v>
      </c>
      <c r="E780" s="5">
        <v>56.842305504029028</v>
      </c>
      <c r="F780" s="5">
        <v>936</v>
      </c>
      <c r="G780" s="5">
        <v>936</v>
      </c>
      <c r="H780" s="5">
        <v>17.998471619978076</v>
      </c>
      <c r="I780" s="1">
        <f t="shared" si="24"/>
        <v>3871</v>
      </c>
      <c r="J780" s="1">
        <f t="shared" si="25"/>
        <v>0.31116449220241377</v>
      </c>
      <c r="K780" s="6" t="s">
        <v>433</v>
      </c>
    </row>
    <row r="781" spans="1:11">
      <c r="A781" s="5" t="s">
        <v>296</v>
      </c>
      <c r="B781" s="5">
        <v>9.9489796573926093E-5</v>
      </c>
      <c r="C781" s="5">
        <v>9866</v>
      </c>
      <c r="D781" s="5">
        <v>9866</v>
      </c>
      <c r="E781" s="5">
        <v>67.861699432631539</v>
      </c>
      <c r="F781" s="5">
        <v>3137</v>
      </c>
      <c r="G781" s="5">
        <v>3137</v>
      </c>
      <c r="H781" s="5">
        <v>21.423693126522917</v>
      </c>
      <c r="I781" s="1">
        <f t="shared" si="24"/>
        <v>13003</v>
      </c>
      <c r="J781" s="1">
        <f t="shared" si="25"/>
        <v>0.31111188517039207</v>
      </c>
      <c r="K781" s="6" t="s">
        <v>297</v>
      </c>
    </row>
    <row r="782" spans="1:11">
      <c r="A782" s="5" t="s">
        <v>1704</v>
      </c>
      <c r="B782" s="5">
        <v>2.1871721544997058E-7</v>
      </c>
      <c r="C782" s="5">
        <v>7653</v>
      </c>
      <c r="D782" s="5">
        <v>7653</v>
      </c>
      <c r="E782" s="5">
        <v>90.187777248405723</v>
      </c>
      <c r="F782" s="5">
        <v>2421</v>
      </c>
      <c r="G782" s="5">
        <v>2421</v>
      </c>
      <c r="H782" s="5">
        <v>28.32741594934793</v>
      </c>
      <c r="I782" s="1">
        <f t="shared" si="24"/>
        <v>10074</v>
      </c>
      <c r="J782" s="1">
        <f t="shared" si="25"/>
        <v>0.31064926467262027</v>
      </c>
      <c r="K782" s="6" t="s">
        <v>2</v>
      </c>
    </row>
    <row r="783" spans="1:11">
      <c r="A783" s="5" t="s">
        <v>2082</v>
      </c>
      <c r="B783" s="5">
        <v>5.2434168118509206E-11</v>
      </c>
      <c r="C783" s="5">
        <v>3790</v>
      </c>
      <c r="D783" s="5">
        <v>3790</v>
      </c>
      <c r="E783" s="5">
        <v>127.3192566065911</v>
      </c>
      <c r="F783" s="5">
        <v>1195</v>
      </c>
      <c r="G783" s="5">
        <v>1195</v>
      </c>
      <c r="H783" s="5">
        <v>39.858319995980651</v>
      </c>
      <c r="I783" s="1">
        <f t="shared" si="24"/>
        <v>4985</v>
      </c>
      <c r="J783" s="1">
        <f t="shared" si="25"/>
        <v>0.31061838300841071</v>
      </c>
      <c r="K783" s="6" t="s">
        <v>2083</v>
      </c>
    </row>
    <row r="784" spans="1:11">
      <c r="A784" s="5" t="s">
        <v>1074</v>
      </c>
      <c r="B784" s="5">
        <v>1.6683598946798384E-10</v>
      </c>
      <c r="C784" s="5">
        <v>4808</v>
      </c>
      <c r="D784" s="5">
        <v>4815</v>
      </c>
      <c r="E784" s="5">
        <v>179.72507199083441</v>
      </c>
      <c r="F784" s="5">
        <v>1510</v>
      </c>
      <c r="G784" s="5">
        <v>1514</v>
      </c>
      <c r="H784" s="5">
        <v>56.109248232370717</v>
      </c>
      <c r="I784" s="1">
        <f t="shared" si="24"/>
        <v>6329</v>
      </c>
      <c r="J784" s="1">
        <f t="shared" si="25"/>
        <v>0.31046742775798331</v>
      </c>
      <c r="K784" s="6" t="s">
        <v>17</v>
      </c>
    </row>
    <row r="785" spans="1:11">
      <c r="A785" s="5" t="s">
        <v>1846</v>
      </c>
      <c r="B785" s="5">
        <v>2.1927015758649304E-10</v>
      </c>
      <c r="C785" s="5">
        <v>61873</v>
      </c>
      <c r="D785" s="5">
        <v>61877</v>
      </c>
      <c r="E785" s="5">
        <v>615.39371935681106</v>
      </c>
      <c r="F785" s="5">
        <v>19372</v>
      </c>
      <c r="G785" s="5">
        <v>19374</v>
      </c>
      <c r="H785" s="5">
        <v>191.31071967681024</v>
      </c>
      <c r="I785" s="1">
        <f t="shared" si="24"/>
        <v>81251</v>
      </c>
      <c r="J785" s="1">
        <f t="shared" si="25"/>
        <v>0.31037097502621769</v>
      </c>
      <c r="K785" s="6" t="s">
        <v>1847</v>
      </c>
    </row>
    <row r="786" spans="1:11">
      <c r="A786" s="5" t="s">
        <v>1492</v>
      </c>
      <c r="B786" s="5">
        <v>1.2796839347456457E-3</v>
      </c>
      <c r="C786" s="5">
        <v>2558</v>
      </c>
      <c r="D786" s="5">
        <v>4015</v>
      </c>
      <c r="E786" s="5">
        <v>58.391773390709361</v>
      </c>
      <c r="F786" s="5">
        <v>863</v>
      </c>
      <c r="G786" s="5">
        <v>1276</v>
      </c>
      <c r="H786" s="5">
        <v>18.425233061793534</v>
      </c>
      <c r="I786" s="1">
        <f t="shared" si="24"/>
        <v>5291</v>
      </c>
      <c r="J786" s="1">
        <f t="shared" si="25"/>
        <v>0.31023207440840261</v>
      </c>
      <c r="K786" s="6" t="s">
        <v>74</v>
      </c>
    </row>
    <row r="787" spans="1:11">
      <c r="A787" s="5" t="s">
        <v>1937</v>
      </c>
      <c r="B787" s="5">
        <v>2.1876565985456953E-4</v>
      </c>
      <c r="C787" s="5">
        <v>9091</v>
      </c>
      <c r="D787" s="5">
        <v>9107</v>
      </c>
      <c r="E787" s="5">
        <v>64.786392855787838</v>
      </c>
      <c r="F787" s="5">
        <v>2884</v>
      </c>
      <c r="G787" s="5">
        <v>2888</v>
      </c>
      <c r="H787" s="5">
        <v>20.398670013990237</v>
      </c>
      <c r="I787" s="1">
        <f t="shared" si="24"/>
        <v>11995</v>
      </c>
      <c r="J787" s="1">
        <f t="shared" si="25"/>
        <v>0.31007430455575702</v>
      </c>
      <c r="K787" s="6" t="s">
        <v>967</v>
      </c>
    </row>
    <row r="788" spans="1:11">
      <c r="A788" s="5" t="s">
        <v>531</v>
      </c>
      <c r="B788" s="5">
        <v>4.5766157859561396E-4</v>
      </c>
      <c r="C788" s="5">
        <v>3955</v>
      </c>
      <c r="D788" s="5">
        <v>3955</v>
      </c>
      <c r="E788" s="5">
        <v>62.099460648568744</v>
      </c>
      <c r="F788" s="5">
        <v>1255</v>
      </c>
      <c r="G788" s="5">
        <v>1255</v>
      </c>
      <c r="H788" s="5">
        <v>19.565063699205496</v>
      </c>
      <c r="I788" s="1">
        <f t="shared" si="24"/>
        <v>5210</v>
      </c>
      <c r="J788" s="1">
        <f t="shared" si="25"/>
        <v>0.31006705125694733</v>
      </c>
      <c r="K788" s="6" t="s">
        <v>457</v>
      </c>
    </row>
    <row r="789" spans="1:11">
      <c r="A789" s="5" t="s">
        <v>2154</v>
      </c>
      <c r="B789" s="5">
        <v>1.3299211731876426E-9</v>
      </c>
      <c r="C789" s="5">
        <v>3637</v>
      </c>
      <c r="D789" s="5">
        <v>3637</v>
      </c>
      <c r="E789" s="5">
        <v>108.87278211300051</v>
      </c>
      <c r="F789" s="5">
        <v>1146</v>
      </c>
      <c r="G789" s="5">
        <v>1146</v>
      </c>
      <c r="H789" s="5">
        <v>34.060956331127592</v>
      </c>
      <c r="I789" s="1">
        <f t="shared" si="24"/>
        <v>4783</v>
      </c>
      <c r="J789" s="1">
        <f t="shared" si="25"/>
        <v>0.31000358483775381</v>
      </c>
      <c r="K789" s="6" t="s">
        <v>2155</v>
      </c>
    </row>
    <row r="790" spans="1:11">
      <c r="A790" s="5" t="s">
        <v>376</v>
      </c>
      <c r="B790" s="5">
        <v>0</v>
      </c>
      <c r="C790" s="5">
        <v>23822</v>
      </c>
      <c r="D790" s="5">
        <v>23823</v>
      </c>
      <c r="E790" s="5">
        <v>217.38457009536941</v>
      </c>
      <c r="F790" s="5">
        <v>7465</v>
      </c>
      <c r="G790" s="5">
        <v>7465</v>
      </c>
      <c r="H790" s="5">
        <v>67.632941471337489</v>
      </c>
      <c r="I790" s="1">
        <f t="shared" si="24"/>
        <v>31288</v>
      </c>
      <c r="J790" s="1">
        <f t="shared" si="25"/>
        <v>0.30969652041717927</v>
      </c>
      <c r="K790" s="6" t="s">
        <v>377</v>
      </c>
    </row>
    <row r="791" spans="1:11">
      <c r="A791" s="5" t="s">
        <v>1300</v>
      </c>
      <c r="B791" s="5">
        <v>1.841913315993593E-3</v>
      </c>
      <c r="C791" s="5">
        <v>2143</v>
      </c>
      <c r="D791" s="5">
        <v>2143</v>
      </c>
      <c r="E791" s="5">
        <v>56.890298010275828</v>
      </c>
      <c r="F791" s="5">
        <v>679</v>
      </c>
      <c r="G791" s="5">
        <v>679</v>
      </c>
      <c r="H791" s="5">
        <v>17.897073101001652</v>
      </c>
      <c r="I791" s="1">
        <f t="shared" si="24"/>
        <v>2822</v>
      </c>
      <c r="J791" s="1">
        <f t="shared" si="25"/>
        <v>0.30915496579106966</v>
      </c>
      <c r="K791" s="6" t="s">
        <v>411</v>
      </c>
    </row>
    <row r="792" spans="1:11">
      <c r="A792" s="5" t="s">
        <v>1951</v>
      </c>
      <c r="B792" s="5">
        <v>8.2411507530077976E-4</v>
      </c>
      <c r="C792" s="5">
        <v>640</v>
      </c>
      <c r="D792" s="5">
        <v>670</v>
      </c>
      <c r="E792" s="5">
        <v>59.77435058644145</v>
      </c>
      <c r="F792" s="5">
        <v>205</v>
      </c>
      <c r="G792" s="5">
        <v>212</v>
      </c>
      <c r="H792" s="5">
        <v>18.778985416584945</v>
      </c>
      <c r="I792" s="1">
        <f t="shared" si="24"/>
        <v>882</v>
      </c>
      <c r="J792" s="1">
        <f t="shared" si="25"/>
        <v>0.30899524610921097</v>
      </c>
      <c r="K792" s="6" t="s">
        <v>280</v>
      </c>
    </row>
    <row r="793" spans="1:11">
      <c r="A793" s="5" t="s">
        <v>1800</v>
      </c>
      <c r="B793" s="5">
        <v>1.1207989114254135E-2</v>
      </c>
      <c r="C793" s="5">
        <v>3196</v>
      </c>
      <c r="D793" s="5">
        <v>3196</v>
      </c>
      <c r="E793" s="5">
        <v>50.327219341358656</v>
      </c>
      <c r="F793" s="5">
        <v>1014</v>
      </c>
      <c r="G793" s="5">
        <v>1014</v>
      </c>
      <c r="H793" s="5">
        <v>15.853688471204649</v>
      </c>
      <c r="I793" s="1">
        <f t="shared" si="24"/>
        <v>4210</v>
      </c>
      <c r="J793" s="1">
        <f t="shared" si="25"/>
        <v>0.30887487525415191</v>
      </c>
      <c r="K793" s="6" t="s">
        <v>688</v>
      </c>
    </row>
    <row r="794" spans="1:11">
      <c r="A794" s="5" t="s">
        <v>1158</v>
      </c>
      <c r="B794" s="5">
        <v>2.4584302654340195E-2</v>
      </c>
      <c r="C794" s="5">
        <v>2493</v>
      </c>
      <c r="D794" s="5">
        <v>2494</v>
      </c>
      <c r="E794" s="5">
        <v>47.490213655920975</v>
      </c>
      <c r="F794" s="5">
        <v>792</v>
      </c>
      <c r="G794" s="5">
        <v>792</v>
      </c>
      <c r="H794" s="5">
        <v>14.973697523107132</v>
      </c>
      <c r="I794" s="1">
        <f t="shared" si="24"/>
        <v>3286</v>
      </c>
      <c r="J794" s="1">
        <f t="shared" si="25"/>
        <v>0.30879834082312285</v>
      </c>
      <c r="K794" s="6" t="s">
        <v>1159</v>
      </c>
    </row>
    <row r="795" spans="1:11">
      <c r="A795" s="5" t="s">
        <v>1396</v>
      </c>
      <c r="B795" s="5">
        <v>2.8089187877666788E-4</v>
      </c>
      <c r="C795" s="5">
        <v>3033</v>
      </c>
      <c r="D795" s="5">
        <v>3033</v>
      </c>
      <c r="E795" s="5">
        <v>63.631525823365585</v>
      </c>
      <c r="F795" s="5">
        <v>958</v>
      </c>
      <c r="G795" s="5">
        <v>958</v>
      </c>
      <c r="H795" s="5">
        <v>19.955455073653116</v>
      </c>
      <c r="I795" s="1">
        <f t="shared" si="24"/>
        <v>3991</v>
      </c>
      <c r="J795" s="1">
        <f t="shared" si="25"/>
        <v>0.30875729482528819</v>
      </c>
      <c r="K795" s="6" t="s">
        <v>1397</v>
      </c>
    </row>
    <row r="796" spans="1:11">
      <c r="A796" s="5" t="s">
        <v>2002</v>
      </c>
      <c r="B796" s="5">
        <v>0</v>
      </c>
      <c r="C796" s="5">
        <v>4506</v>
      </c>
      <c r="D796" s="5">
        <v>4506</v>
      </c>
      <c r="E796" s="5">
        <v>185.49389943203215</v>
      </c>
      <c r="F796" s="5">
        <v>1408</v>
      </c>
      <c r="G796" s="5">
        <v>1408</v>
      </c>
      <c r="H796" s="5">
        <v>57.54893598391687</v>
      </c>
      <c r="I796" s="1">
        <f t="shared" si="24"/>
        <v>5914</v>
      </c>
      <c r="J796" s="1">
        <f t="shared" si="25"/>
        <v>0.30858347731042335</v>
      </c>
      <c r="K796" s="6" t="s">
        <v>1269</v>
      </c>
    </row>
    <row r="797" spans="1:11">
      <c r="A797" s="5" t="s">
        <v>1749</v>
      </c>
      <c r="B797" s="5">
        <v>1.4300227668684329E-10</v>
      </c>
      <c r="C797" s="5">
        <v>3950</v>
      </c>
      <c r="D797" s="5">
        <v>3950</v>
      </c>
      <c r="E797" s="5">
        <v>116.07161095550649</v>
      </c>
      <c r="F797" s="5">
        <v>1237</v>
      </c>
      <c r="G797" s="5">
        <v>1237</v>
      </c>
      <c r="H797" s="5">
        <v>36.090659322386053</v>
      </c>
      <c r="I797" s="1">
        <f t="shared" si="24"/>
        <v>5187</v>
      </c>
      <c r="J797" s="1">
        <f t="shared" si="25"/>
        <v>0.30827848893360188</v>
      </c>
      <c r="K797" s="6" t="s">
        <v>1750</v>
      </c>
    </row>
    <row r="798" spans="1:11">
      <c r="A798" s="5" t="s">
        <v>1320</v>
      </c>
      <c r="B798" s="5">
        <v>0</v>
      </c>
      <c r="C798" s="5">
        <v>7031</v>
      </c>
      <c r="D798" s="5">
        <v>7038</v>
      </c>
      <c r="E798" s="5">
        <v>330.18791360100192</v>
      </c>
      <c r="F798" s="5">
        <v>2191</v>
      </c>
      <c r="G798" s="5">
        <v>2191</v>
      </c>
      <c r="H798" s="5">
        <v>102.058806925504</v>
      </c>
      <c r="I798" s="1">
        <f t="shared" si="24"/>
        <v>9229</v>
      </c>
      <c r="J798" s="1">
        <f t="shared" si="25"/>
        <v>0.3081598172343305</v>
      </c>
      <c r="K798" s="6" t="s">
        <v>1321</v>
      </c>
    </row>
    <row r="799" spans="1:11">
      <c r="A799" s="5" t="s">
        <v>1832</v>
      </c>
      <c r="B799" s="5">
        <v>0</v>
      </c>
      <c r="C799" s="5">
        <v>49510</v>
      </c>
      <c r="D799" s="5">
        <v>49510</v>
      </c>
      <c r="E799" s="5">
        <v>377.15631100436582</v>
      </c>
      <c r="F799" s="5">
        <v>15397</v>
      </c>
      <c r="G799" s="5">
        <v>15399</v>
      </c>
      <c r="H799" s="5">
        <v>116.47083039884033</v>
      </c>
      <c r="I799" s="1">
        <f t="shared" si="24"/>
        <v>64909</v>
      </c>
      <c r="J799" s="1">
        <f t="shared" si="25"/>
        <v>0.30799652685816387</v>
      </c>
      <c r="K799" s="6" t="s">
        <v>1833</v>
      </c>
    </row>
    <row r="800" spans="1:11">
      <c r="A800" s="5" t="s">
        <v>2080</v>
      </c>
      <c r="B800" s="5">
        <v>0</v>
      </c>
      <c r="C800" s="5">
        <v>8896</v>
      </c>
      <c r="D800" s="5">
        <v>8896</v>
      </c>
      <c r="E800" s="5">
        <v>313.55763274143504</v>
      </c>
      <c r="F800" s="5">
        <v>2766</v>
      </c>
      <c r="G800" s="5">
        <v>2766</v>
      </c>
      <c r="H800" s="5">
        <v>96.799024018681919</v>
      </c>
      <c r="I800" s="1">
        <f t="shared" si="24"/>
        <v>11662</v>
      </c>
      <c r="J800" s="1">
        <f t="shared" si="25"/>
        <v>0.30773064756069768</v>
      </c>
      <c r="K800" s="6" t="s">
        <v>2</v>
      </c>
    </row>
    <row r="801" spans="1:11">
      <c r="A801" s="5" t="s">
        <v>1608</v>
      </c>
      <c r="B801" s="5">
        <v>0</v>
      </c>
      <c r="C801" s="5">
        <v>23034</v>
      </c>
      <c r="D801" s="5">
        <v>23048</v>
      </c>
      <c r="E801" s="5">
        <v>920.92876116438129</v>
      </c>
      <c r="F801" s="5">
        <v>7140</v>
      </c>
      <c r="G801" s="5">
        <v>7142</v>
      </c>
      <c r="H801" s="5">
        <v>283.3406181448006</v>
      </c>
      <c r="I801" s="1">
        <f t="shared" si="24"/>
        <v>30190</v>
      </c>
      <c r="J801" s="1">
        <f t="shared" si="25"/>
        <v>0.3073346120441518</v>
      </c>
      <c r="K801" s="6" t="s">
        <v>17</v>
      </c>
    </row>
    <row r="802" spans="1:11">
      <c r="A802" s="5" t="s">
        <v>1560</v>
      </c>
      <c r="B802" s="5">
        <v>0</v>
      </c>
      <c r="C802" s="5">
        <v>3497</v>
      </c>
      <c r="D802" s="5">
        <v>9130</v>
      </c>
      <c r="E802" s="5">
        <v>225.23463195428232</v>
      </c>
      <c r="F802" s="5">
        <v>1163</v>
      </c>
      <c r="G802" s="5">
        <v>2837</v>
      </c>
      <c r="H802" s="5">
        <v>69.489618348713222</v>
      </c>
      <c r="I802" s="1">
        <f t="shared" si="24"/>
        <v>11967</v>
      </c>
      <c r="J802" s="1">
        <f t="shared" si="25"/>
        <v>0.30715729836957828</v>
      </c>
      <c r="K802" s="6" t="s">
        <v>308</v>
      </c>
    </row>
    <row r="803" spans="1:11">
      <c r="A803" s="5" t="s">
        <v>1381</v>
      </c>
      <c r="B803" s="5">
        <v>5.1064787850441107E-5</v>
      </c>
      <c r="C803" s="5">
        <v>7214</v>
      </c>
      <c r="D803" s="5">
        <v>7214</v>
      </c>
      <c r="E803" s="5">
        <v>69.38779610158619</v>
      </c>
      <c r="F803" s="5">
        <v>2260</v>
      </c>
      <c r="G803" s="5">
        <v>2260</v>
      </c>
      <c r="H803" s="5">
        <v>21.582989268246003</v>
      </c>
      <c r="I803" s="1">
        <f t="shared" si="24"/>
        <v>9474</v>
      </c>
      <c r="J803" s="1">
        <f t="shared" si="25"/>
        <v>0.30662970661983308</v>
      </c>
      <c r="K803" s="6" t="s">
        <v>1382</v>
      </c>
    </row>
    <row r="804" spans="1:11">
      <c r="A804" s="5" t="s">
        <v>2114</v>
      </c>
      <c r="B804" s="5">
        <v>1.6206924691175573E-10</v>
      </c>
      <c r="C804" s="5">
        <v>6629</v>
      </c>
      <c r="D804" s="5">
        <v>6636</v>
      </c>
      <c r="E804" s="5">
        <v>148.12984719545722</v>
      </c>
      <c r="F804" s="5">
        <v>2061</v>
      </c>
      <c r="G804" s="5">
        <v>2062</v>
      </c>
      <c r="H804" s="5">
        <v>45.700511238505264</v>
      </c>
      <c r="I804" s="1">
        <f t="shared" si="24"/>
        <v>8698</v>
      </c>
      <c r="J804" s="1">
        <f t="shared" si="25"/>
        <v>0.30644778424943891</v>
      </c>
      <c r="K804" s="6" t="s">
        <v>2115</v>
      </c>
    </row>
    <row r="805" spans="1:11">
      <c r="A805" s="5" t="s">
        <v>595</v>
      </c>
      <c r="B805" s="5">
        <v>0</v>
      </c>
      <c r="C805" s="5">
        <v>26261</v>
      </c>
      <c r="D805" s="5">
        <v>26282</v>
      </c>
      <c r="E805" s="5">
        <v>411.00685541638404</v>
      </c>
      <c r="F805" s="5">
        <v>8119</v>
      </c>
      <c r="G805" s="5">
        <v>8126</v>
      </c>
      <c r="H805" s="5">
        <v>126.17219915969048</v>
      </c>
      <c r="I805" s="1">
        <f t="shared" si="24"/>
        <v>34408</v>
      </c>
      <c r="J805" s="1">
        <f t="shared" si="25"/>
        <v>0.30623810623776593</v>
      </c>
      <c r="K805" s="6" t="s">
        <v>221</v>
      </c>
    </row>
    <row r="806" spans="1:11">
      <c r="A806" s="5" t="s">
        <v>1723</v>
      </c>
      <c r="B806" s="5">
        <v>9.8207833597596661E-4</v>
      </c>
      <c r="C806" s="5">
        <v>650</v>
      </c>
      <c r="D806" s="5">
        <v>5453</v>
      </c>
      <c r="E806" s="5">
        <v>58.648225941300744</v>
      </c>
      <c r="F806" s="5">
        <v>198</v>
      </c>
      <c r="G806" s="5">
        <v>1710</v>
      </c>
      <c r="H806" s="5">
        <v>18.260459102132668</v>
      </c>
      <c r="I806" s="1">
        <f t="shared" si="24"/>
        <v>7163</v>
      </c>
      <c r="J806" s="1">
        <f t="shared" si="25"/>
        <v>0.30613582908740006</v>
      </c>
      <c r="K806" s="6" t="s">
        <v>1134</v>
      </c>
    </row>
    <row r="807" spans="1:11">
      <c r="A807" s="5" t="s">
        <v>1228</v>
      </c>
      <c r="B807" s="5">
        <v>3.2788453236615167E-3</v>
      </c>
      <c r="C807" s="5">
        <v>2740</v>
      </c>
      <c r="D807" s="5">
        <v>2740</v>
      </c>
      <c r="E807" s="5">
        <v>54.302513055721882</v>
      </c>
      <c r="F807" s="5">
        <v>860</v>
      </c>
      <c r="G807" s="5">
        <v>860</v>
      </c>
      <c r="H807" s="5">
        <v>16.92248029645258</v>
      </c>
      <c r="I807" s="1">
        <f t="shared" si="24"/>
        <v>3600</v>
      </c>
      <c r="J807" s="1">
        <f t="shared" si="25"/>
        <v>0.30599839611993351</v>
      </c>
      <c r="K807" s="6" t="s">
        <v>273</v>
      </c>
    </row>
    <row r="808" spans="1:11">
      <c r="A808" s="5" t="s">
        <v>1484</v>
      </c>
      <c r="B808" s="5">
        <v>6.6734395787193534E-11</v>
      </c>
      <c r="C808" s="5">
        <v>33526</v>
      </c>
      <c r="D808" s="5">
        <v>33527</v>
      </c>
      <c r="E808" s="5">
        <v>117.76087978091564</v>
      </c>
      <c r="F808" s="5">
        <v>10415</v>
      </c>
      <c r="G808" s="5">
        <v>10418</v>
      </c>
      <c r="H808" s="5">
        <v>36.331798779895621</v>
      </c>
      <c r="I808" s="1">
        <f t="shared" si="24"/>
        <v>43945</v>
      </c>
      <c r="J808" s="1">
        <f t="shared" si="25"/>
        <v>0.30592396121449061</v>
      </c>
      <c r="K808" s="6" t="s">
        <v>1485</v>
      </c>
    </row>
    <row r="809" spans="1:11">
      <c r="A809" s="5" t="s">
        <v>1437</v>
      </c>
      <c r="B809" s="5">
        <v>2.4703658551228358E-4</v>
      </c>
      <c r="C809" s="5">
        <v>9365</v>
      </c>
      <c r="D809" s="5">
        <v>9365</v>
      </c>
      <c r="E809" s="5">
        <v>63.532365077684638</v>
      </c>
      <c r="F809" s="5">
        <v>2929</v>
      </c>
      <c r="G809" s="5">
        <v>2929</v>
      </c>
      <c r="H809" s="5">
        <v>19.728897333017077</v>
      </c>
      <c r="I809" s="1">
        <f t="shared" si="24"/>
        <v>12294</v>
      </c>
      <c r="J809" s="1">
        <f t="shared" si="25"/>
        <v>0.30572097131830295</v>
      </c>
      <c r="K809" s="6" t="s">
        <v>371</v>
      </c>
    </row>
    <row r="810" spans="1:11">
      <c r="A810" s="5" t="s">
        <v>2019</v>
      </c>
      <c r="B810" s="5">
        <v>1.8017437896159505E-2</v>
      </c>
      <c r="C810" s="5">
        <v>2633</v>
      </c>
      <c r="D810" s="5">
        <v>2905</v>
      </c>
      <c r="E810" s="5">
        <v>48.17009011464777</v>
      </c>
      <c r="F810" s="5">
        <v>791</v>
      </c>
      <c r="G810" s="5">
        <v>913</v>
      </c>
      <c r="H810" s="5">
        <v>15.031360807461301</v>
      </c>
      <c r="I810" s="1">
        <f t="shared" si="24"/>
        <v>3818</v>
      </c>
      <c r="J810" s="1">
        <f t="shared" si="25"/>
        <v>0.3057013068801242</v>
      </c>
      <c r="K810" s="6" t="s">
        <v>2018</v>
      </c>
    </row>
    <row r="811" spans="1:11">
      <c r="A811" s="5" t="s">
        <v>888</v>
      </c>
      <c r="B811" s="5">
        <v>1.571077829221057E-5</v>
      </c>
      <c r="C811" s="5">
        <v>5062</v>
      </c>
      <c r="D811" s="5">
        <v>5450</v>
      </c>
      <c r="E811" s="5">
        <v>73.41503935444976</v>
      </c>
      <c r="F811" s="5">
        <v>1542</v>
      </c>
      <c r="G811" s="5">
        <v>1700</v>
      </c>
      <c r="H811" s="5">
        <v>22.73702582313491</v>
      </c>
      <c r="I811" s="1">
        <f t="shared" si="24"/>
        <v>7150</v>
      </c>
      <c r="J811" s="1">
        <f t="shared" si="25"/>
        <v>0.30554342267878293</v>
      </c>
      <c r="K811" s="6" t="s">
        <v>831</v>
      </c>
    </row>
    <row r="812" spans="1:11">
      <c r="A812" s="5" t="s">
        <v>1252</v>
      </c>
      <c r="B812" s="5">
        <v>4.4217684505084565E-2</v>
      </c>
      <c r="C812" s="5">
        <v>4800</v>
      </c>
      <c r="D812" s="5">
        <v>4800</v>
      </c>
      <c r="E812" s="5">
        <v>44.89907762248415</v>
      </c>
      <c r="F812" s="5">
        <v>1508</v>
      </c>
      <c r="G812" s="5">
        <v>1508</v>
      </c>
      <c r="H812" s="5">
        <v>14.005342159505114</v>
      </c>
      <c r="I812" s="1">
        <f t="shared" si="24"/>
        <v>6308</v>
      </c>
      <c r="J812" s="1">
        <f t="shared" si="25"/>
        <v>0.30513341193254062</v>
      </c>
      <c r="K812" s="6" t="s">
        <v>1253</v>
      </c>
    </row>
    <row r="813" spans="1:11">
      <c r="A813" s="5" t="s">
        <v>2130</v>
      </c>
      <c r="B813" s="5">
        <v>0</v>
      </c>
      <c r="C813" s="5">
        <v>20118</v>
      </c>
      <c r="D813" s="5">
        <v>20166</v>
      </c>
      <c r="E813" s="5">
        <v>278.96858914437803</v>
      </c>
      <c r="F813" s="5">
        <v>6203</v>
      </c>
      <c r="G813" s="5">
        <v>6214</v>
      </c>
      <c r="H813" s="5">
        <v>85.349895182038892</v>
      </c>
      <c r="I813" s="1">
        <f t="shared" si="24"/>
        <v>26380</v>
      </c>
      <c r="J813" s="1">
        <f t="shared" si="25"/>
        <v>0.30485525337995861</v>
      </c>
      <c r="K813" s="6" t="s">
        <v>317</v>
      </c>
    </row>
    <row r="814" spans="1:11">
      <c r="A814" s="5" t="s">
        <v>217</v>
      </c>
      <c r="B814" s="5">
        <v>0</v>
      </c>
      <c r="C814" s="5">
        <v>11388</v>
      </c>
      <c r="D814" s="5">
        <v>11389</v>
      </c>
      <c r="E814" s="5">
        <v>122.29786782907055</v>
      </c>
      <c r="F814" s="5">
        <v>3521</v>
      </c>
      <c r="G814" s="5">
        <v>3524</v>
      </c>
      <c r="H814" s="5">
        <v>37.572093314793953</v>
      </c>
      <c r="I814" s="1">
        <f t="shared" si="24"/>
        <v>14913</v>
      </c>
      <c r="J814" s="1">
        <f t="shared" si="25"/>
        <v>0.30472622095039498</v>
      </c>
      <c r="K814" s="6" t="s">
        <v>218</v>
      </c>
    </row>
    <row r="815" spans="1:11">
      <c r="A815" s="5" t="s">
        <v>2150</v>
      </c>
      <c r="B815" s="5">
        <v>2.5171912117788464E-3</v>
      </c>
      <c r="C815" s="5">
        <v>3655</v>
      </c>
      <c r="D815" s="5">
        <v>3655</v>
      </c>
      <c r="E815" s="5">
        <v>55.038822221212918</v>
      </c>
      <c r="F815" s="5">
        <v>1142</v>
      </c>
      <c r="G815" s="5">
        <v>1142</v>
      </c>
      <c r="H815" s="5">
        <v>17.074345079540524</v>
      </c>
      <c r="I815" s="1">
        <f t="shared" si="24"/>
        <v>4797</v>
      </c>
      <c r="J815" s="1">
        <f t="shared" si="25"/>
        <v>0.30468779326124396</v>
      </c>
      <c r="K815" s="6" t="s">
        <v>2151</v>
      </c>
    </row>
    <row r="816" spans="1:11">
      <c r="A816" s="5" t="s">
        <v>1138</v>
      </c>
      <c r="B816" s="5">
        <v>6.0997959559494497E-5</v>
      </c>
      <c r="C816" s="5">
        <v>2661</v>
      </c>
      <c r="D816" s="5">
        <v>2661</v>
      </c>
      <c r="E816" s="5">
        <v>68.244773035447849</v>
      </c>
      <c r="F816" s="5">
        <v>827</v>
      </c>
      <c r="G816" s="5">
        <v>827</v>
      </c>
      <c r="H816" s="5">
        <v>21.058441602583464</v>
      </c>
      <c r="I816" s="1">
        <f t="shared" si="24"/>
        <v>3488</v>
      </c>
      <c r="J816" s="1">
        <f t="shared" si="25"/>
        <v>0.30411597409385988</v>
      </c>
      <c r="K816" s="6" t="s">
        <v>1139</v>
      </c>
    </row>
    <row r="817" spans="1:11">
      <c r="A817" s="5" t="s">
        <v>1572</v>
      </c>
      <c r="B817" s="5">
        <v>0</v>
      </c>
      <c r="C817" s="5">
        <v>42720</v>
      </c>
      <c r="D817" s="5">
        <v>42721</v>
      </c>
      <c r="E817" s="5">
        <v>1709.5129709789867</v>
      </c>
      <c r="F817" s="5">
        <v>13090</v>
      </c>
      <c r="G817" s="5">
        <v>13090</v>
      </c>
      <c r="H817" s="5">
        <v>520.07602890152998</v>
      </c>
      <c r="I817" s="1">
        <f t="shared" si="24"/>
        <v>55811</v>
      </c>
      <c r="J817" s="1">
        <f t="shared" si="25"/>
        <v>0.30404681971155834</v>
      </c>
      <c r="K817" s="6" t="s">
        <v>2</v>
      </c>
    </row>
    <row r="818" spans="1:11">
      <c r="A818" s="5" t="s">
        <v>1106</v>
      </c>
      <c r="B818" s="5">
        <v>1.7395750284698863E-6</v>
      </c>
      <c r="C818" s="5">
        <v>2539</v>
      </c>
      <c r="D818" s="5">
        <v>2539</v>
      </c>
      <c r="E818" s="5">
        <v>80.994135224908263</v>
      </c>
      <c r="F818" s="5">
        <v>787</v>
      </c>
      <c r="G818" s="5">
        <v>787</v>
      </c>
      <c r="H818" s="5">
        <v>24.926528813233908</v>
      </c>
      <c r="I818" s="1">
        <f t="shared" si="24"/>
        <v>3326</v>
      </c>
      <c r="J818" s="1">
        <f t="shared" si="25"/>
        <v>0.30400380155069556</v>
      </c>
      <c r="K818" s="6" t="s">
        <v>210</v>
      </c>
    </row>
    <row r="819" spans="1:11">
      <c r="A819" s="5" t="s">
        <v>1499</v>
      </c>
      <c r="B819" s="5">
        <v>2.8600455337368658E-11</v>
      </c>
      <c r="C819" s="5">
        <v>8716</v>
      </c>
      <c r="D819" s="5">
        <v>8716</v>
      </c>
      <c r="E819" s="5">
        <v>274.18331138294229</v>
      </c>
      <c r="F819" s="5">
        <v>2678</v>
      </c>
      <c r="G819" s="5">
        <v>2678</v>
      </c>
      <c r="H819" s="5">
        <v>83.643186271198701</v>
      </c>
      <c r="I819" s="1">
        <f t="shared" si="24"/>
        <v>11394</v>
      </c>
      <c r="J819" s="1">
        <f t="shared" si="25"/>
        <v>0.3039544289617247</v>
      </c>
      <c r="K819" s="6" t="s">
        <v>1500</v>
      </c>
    </row>
    <row r="820" spans="1:11">
      <c r="A820" s="5" t="s">
        <v>2120</v>
      </c>
      <c r="B820" s="5">
        <v>1.2693740092384331E-6</v>
      </c>
      <c r="C820" s="5">
        <v>12112</v>
      </c>
      <c r="D820" s="5">
        <v>14909</v>
      </c>
      <c r="E820" s="5">
        <v>82.072527358889232</v>
      </c>
      <c r="F820" s="5">
        <v>3353</v>
      </c>
      <c r="G820" s="5">
        <v>4617</v>
      </c>
      <c r="H820" s="5">
        <v>25.235119588644196</v>
      </c>
      <c r="I820" s="1">
        <f t="shared" si="24"/>
        <v>19526</v>
      </c>
      <c r="J820" s="1">
        <f t="shared" si="25"/>
        <v>0.30377214213820225</v>
      </c>
      <c r="K820" s="6" t="s">
        <v>70</v>
      </c>
    </row>
    <row r="821" spans="1:11">
      <c r="A821" s="5" t="s">
        <v>1904</v>
      </c>
      <c r="B821" s="5">
        <v>0</v>
      </c>
      <c r="C821" s="5">
        <v>7636</v>
      </c>
      <c r="D821" s="5">
        <v>7693</v>
      </c>
      <c r="E821" s="5">
        <v>411.26130872285631</v>
      </c>
      <c r="F821" s="5">
        <v>2355</v>
      </c>
      <c r="G821" s="5">
        <v>2358</v>
      </c>
      <c r="H821" s="5">
        <v>125.15901065494427</v>
      </c>
      <c r="I821" s="1">
        <f t="shared" si="24"/>
        <v>10051</v>
      </c>
      <c r="J821" s="1">
        <f t="shared" si="25"/>
        <v>0.30359145524151704</v>
      </c>
      <c r="K821" s="6" t="s">
        <v>2</v>
      </c>
    </row>
    <row r="822" spans="1:11">
      <c r="A822" s="5" t="s">
        <v>1267</v>
      </c>
      <c r="B822" s="5">
        <v>1.1750386010256353E-4</v>
      </c>
      <c r="C822" s="5">
        <v>1835</v>
      </c>
      <c r="D822" s="5">
        <v>1837</v>
      </c>
      <c r="E822" s="5">
        <v>65.771154788539562</v>
      </c>
      <c r="F822" s="5">
        <v>570</v>
      </c>
      <c r="G822" s="5">
        <v>570</v>
      </c>
      <c r="H822" s="5">
        <v>20.262702424734936</v>
      </c>
      <c r="I822" s="1">
        <f t="shared" si="24"/>
        <v>2407</v>
      </c>
      <c r="J822" s="1">
        <f t="shared" si="25"/>
        <v>0.30346490919478269</v>
      </c>
      <c r="K822" s="6" t="s">
        <v>2</v>
      </c>
    </row>
    <row r="823" spans="1:11">
      <c r="A823" s="5" t="s">
        <v>671</v>
      </c>
      <c r="B823" s="5">
        <v>2.8339482236178215E-3</v>
      </c>
      <c r="C823" s="5">
        <v>3216</v>
      </c>
      <c r="D823" s="5">
        <v>3216</v>
      </c>
      <c r="E823" s="5">
        <v>54.421423668252665</v>
      </c>
      <c r="F823" s="5">
        <v>1001</v>
      </c>
      <c r="G823" s="5">
        <v>1001</v>
      </c>
      <c r="H823" s="5">
        <v>16.818379044079329</v>
      </c>
      <c r="I823" s="1">
        <f t="shared" si="24"/>
        <v>4217</v>
      </c>
      <c r="J823" s="1">
        <f t="shared" si="25"/>
        <v>0.30346349716226229</v>
      </c>
      <c r="K823" s="6" t="s">
        <v>672</v>
      </c>
    </row>
    <row r="824" spans="1:11">
      <c r="A824" s="5" t="s">
        <v>2233</v>
      </c>
      <c r="B824" s="5">
        <v>2.99145490185726E-3</v>
      </c>
      <c r="C824" s="5">
        <v>6035</v>
      </c>
      <c r="D824" s="5">
        <v>6035</v>
      </c>
      <c r="E824" s="5">
        <v>54.214805519627731</v>
      </c>
      <c r="F824" s="5">
        <v>1877</v>
      </c>
      <c r="G824" s="5">
        <v>1878</v>
      </c>
      <c r="H824" s="5">
        <v>16.7506790596026</v>
      </c>
      <c r="I824" s="1">
        <f t="shared" si="24"/>
        <v>7913</v>
      </c>
      <c r="J824" s="1">
        <f t="shared" si="25"/>
        <v>0.3033729613273396</v>
      </c>
      <c r="K824" s="6" t="s">
        <v>2234</v>
      </c>
    </row>
    <row r="825" spans="1:11">
      <c r="A825" s="5" t="s">
        <v>2110</v>
      </c>
      <c r="B825" s="5">
        <v>1.1985473783135969E-2</v>
      </c>
      <c r="C825" s="5">
        <v>1725</v>
      </c>
      <c r="D825" s="5">
        <v>1726</v>
      </c>
      <c r="E825" s="5">
        <v>49.281939796119673</v>
      </c>
      <c r="F825" s="5">
        <v>538</v>
      </c>
      <c r="G825" s="5">
        <v>538</v>
      </c>
      <c r="H825" s="5">
        <v>15.251953696407687</v>
      </c>
      <c r="I825" s="1">
        <f t="shared" si="24"/>
        <v>2264</v>
      </c>
      <c r="J825" s="1">
        <f t="shared" si="25"/>
        <v>0.30332866548606585</v>
      </c>
      <c r="K825" s="6" t="s">
        <v>854</v>
      </c>
    </row>
    <row r="826" spans="1:11">
      <c r="A826" s="5" t="s">
        <v>2108</v>
      </c>
      <c r="B826" s="5">
        <v>8.323989769657425E-3</v>
      </c>
      <c r="C826" s="5">
        <v>4015</v>
      </c>
      <c r="D826" s="5">
        <v>4016</v>
      </c>
      <c r="E826" s="5">
        <v>50.568356652406912</v>
      </c>
      <c r="F826" s="5">
        <v>1248</v>
      </c>
      <c r="G826" s="5">
        <v>1251</v>
      </c>
      <c r="H826" s="5">
        <v>15.640068322284993</v>
      </c>
      <c r="I826" s="1">
        <f t="shared" si="24"/>
        <v>5267</v>
      </c>
      <c r="J826" s="1">
        <f t="shared" si="25"/>
        <v>0.30328808861810036</v>
      </c>
      <c r="K826" s="6" t="s">
        <v>609</v>
      </c>
    </row>
    <row r="827" spans="1:11">
      <c r="A827" s="5" t="s">
        <v>1120</v>
      </c>
      <c r="B827" s="5">
        <v>2.971104467132113E-3</v>
      </c>
      <c r="C827" s="5">
        <v>4725</v>
      </c>
      <c r="D827" s="5">
        <v>15047</v>
      </c>
      <c r="E827" s="5">
        <v>54.173006214355503</v>
      </c>
      <c r="F827" s="5">
        <v>1678</v>
      </c>
      <c r="G827" s="5">
        <v>4676</v>
      </c>
      <c r="H827" s="5">
        <v>16.714897510463185</v>
      </c>
      <c r="I827" s="1">
        <f t="shared" si="24"/>
        <v>19723</v>
      </c>
      <c r="J827" s="1">
        <f t="shared" si="25"/>
        <v>0.30295426436477418</v>
      </c>
      <c r="K827" s="6" t="s">
        <v>711</v>
      </c>
    </row>
    <row r="828" spans="1:11">
      <c r="A828" s="5" t="s">
        <v>1287</v>
      </c>
      <c r="B828" s="5">
        <v>3.3031619217638308E-7</v>
      </c>
      <c r="C828" s="5">
        <v>4630</v>
      </c>
      <c r="D828" s="5">
        <v>4630</v>
      </c>
      <c r="E828" s="5">
        <v>86.70722353200614</v>
      </c>
      <c r="F828" s="5">
        <v>1429</v>
      </c>
      <c r="G828" s="5">
        <v>1429</v>
      </c>
      <c r="H828" s="5">
        <v>26.570682968521425</v>
      </c>
      <c r="I828" s="1">
        <f t="shared" si="24"/>
        <v>6059</v>
      </c>
      <c r="J828" s="1">
        <f t="shared" si="25"/>
        <v>0.30294748708839525</v>
      </c>
      <c r="K828" s="6" t="s">
        <v>88</v>
      </c>
    </row>
    <row r="829" spans="1:11">
      <c r="A829" s="5" t="s">
        <v>2044</v>
      </c>
      <c r="B829" s="5">
        <v>1.6781563609791217E-4</v>
      </c>
      <c r="C829" s="5">
        <v>4002</v>
      </c>
      <c r="D829" s="5">
        <v>4002</v>
      </c>
      <c r="E829" s="5">
        <v>64.398148291054753</v>
      </c>
      <c r="F829" s="5">
        <v>1240</v>
      </c>
      <c r="G829" s="5">
        <v>1240</v>
      </c>
      <c r="H829" s="5">
        <v>19.811355022015626</v>
      </c>
      <c r="I829" s="1">
        <f t="shared" si="24"/>
        <v>5242</v>
      </c>
      <c r="J829" s="1">
        <f t="shared" si="25"/>
        <v>0.30293449493164704</v>
      </c>
      <c r="K829" s="6" t="s">
        <v>1154</v>
      </c>
    </row>
    <row r="830" spans="1:11">
      <c r="A830" s="5" t="s">
        <v>173</v>
      </c>
      <c r="B830" s="5">
        <v>8.5801366012105973E-11</v>
      </c>
      <c r="C830" s="5">
        <v>8609</v>
      </c>
      <c r="D830" s="5">
        <v>8610</v>
      </c>
      <c r="E830" s="5">
        <v>161.46397580415416</v>
      </c>
      <c r="F830" s="5">
        <v>2640</v>
      </c>
      <c r="G830" s="5">
        <v>2641</v>
      </c>
      <c r="H830" s="5">
        <v>49.174176065908533</v>
      </c>
      <c r="I830" s="1">
        <f t="shared" si="24"/>
        <v>11251</v>
      </c>
      <c r="J830" s="1">
        <f t="shared" si="25"/>
        <v>0.30267741400830078</v>
      </c>
      <c r="K830" s="6" t="s">
        <v>161</v>
      </c>
    </row>
    <row r="831" spans="1:11">
      <c r="A831" s="5" t="s">
        <v>462</v>
      </c>
      <c r="B831" s="5">
        <v>6.8241336141972031E-4</v>
      </c>
      <c r="C831" s="5">
        <v>3186</v>
      </c>
      <c r="D831" s="5">
        <v>3189</v>
      </c>
      <c r="E831" s="5">
        <v>59.272513687861249</v>
      </c>
      <c r="F831" s="5">
        <v>986</v>
      </c>
      <c r="G831" s="5">
        <v>987</v>
      </c>
      <c r="H831" s="5">
        <v>18.214287152289053</v>
      </c>
      <c r="I831" s="1">
        <f t="shared" si="24"/>
        <v>4176</v>
      </c>
      <c r="J831" s="1">
        <f t="shared" si="25"/>
        <v>0.30219889694027097</v>
      </c>
      <c r="K831" s="6" t="s">
        <v>323</v>
      </c>
    </row>
    <row r="832" spans="1:11">
      <c r="A832" s="5" t="s">
        <v>971</v>
      </c>
      <c r="B832" s="5">
        <v>2.0268626287771596E-2</v>
      </c>
      <c r="C832" s="5">
        <v>1430</v>
      </c>
      <c r="D832" s="5">
        <v>1430</v>
      </c>
      <c r="E832" s="5">
        <v>47.222473207282349</v>
      </c>
      <c r="F832" s="5">
        <v>444</v>
      </c>
      <c r="G832" s="5">
        <v>444</v>
      </c>
      <c r="H832" s="5">
        <v>14.557669703207623</v>
      </c>
      <c r="I832" s="1">
        <f t="shared" si="24"/>
        <v>1874</v>
      </c>
      <c r="J832" s="1">
        <f t="shared" si="25"/>
        <v>0.30188558850210917</v>
      </c>
      <c r="K832" s="6" t="s">
        <v>972</v>
      </c>
    </row>
    <row r="833" spans="1:11">
      <c r="A833" s="5" t="s">
        <v>1546</v>
      </c>
      <c r="B833" s="5">
        <v>0</v>
      </c>
      <c r="C833" s="5">
        <v>5065</v>
      </c>
      <c r="D833" s="5">
        <v>5073</v>
      </c>
      <c r="E833" s="5">
        <v>314.44177934971043</v>
      </c>
      <c r="F833" s="5">
        <v>1546</v>
      </c>
      <c r="G833" s="5">
        <v>1547</v>
      </c>
      <c r="H833" s="5">
        <v>95.205468947805443</v>
      </c>
      <c r="I833" s="1">
        <f t="shared" si="24"/>
        <v>6620</v>
      </c>
      <c r="J833" s="1">
        <f t="shared" si="25"/>
        <v>0.30181629441754176</v>
      </c>
      <c r="K833" s="6" t="s">
        <v>508</v>
      </c>
    </row>
    <row r="834" spans="1:11">
      <c r="A834" s="5" t="s">
        <v>68</v>
      </c>
      <c r="B834" s="5">
        <v>1.2020771378296047E-7</v>
      </c>
      <c r="C834" s="5">
        <v>1234</v>
      </c>
      <c r="D834" s="5">
        <v>1237</v>
      </c>
      <c r="E834" s="5">
        <v>89.999065611802862</v>
      </c>
      <c r="F834" s="5">
        <v>380</v>
      </c>
      <c r="G834" s="5">
        <v>380</v>
      </c>
      <c r="H834" s="5">
        <v>27.45036335614715</v>
      </c>
      <c r="I834" s="1">
        <f t="shared" ref="I834:I897" si="26">D834+G834</f>
        <v>1617</v>
      </c>
      <c r="J834" s="1">
        <f t="shared" ref="J834:J897" si="27">H834/(E834+1)</f>
        <v>0.30165544197177724</v>
      </c>
      <c r="K834" s="6" t="s">
        <v>22</v>
      </c>
    </row>
    <row r="835" spans="1:11">
      <c r="A835" s="5" t="s">
        <v>1362</v>
      </c>
      <c r="B835" s="5">
        <v>2.1489065961844411E-2</v>
      </c>
      <c r="C835" s="5">
        <v>1783</v>
      </c>
      <c r="D835" s="5">
        <v>1783</v>
      </c>
      <c r="E835" s="5">
        <v>46.966794966357455</v>
      </c>
      <c r="F835" s="5">
        <v>553</v>
      </c>
      <c r="G835" s="5">
        <v>553</v>
      </c>
      <c r="H835" s="5">
        <v>14.463084144405833</v>
      </c>
      <c r="I835" s="1">
        <f t="shared" si="26"/>
        <v>2336</v>
      </c>
      <c r="J835" s="1">
        <f t="shared" si="27"/>
        <v>0.30152283792464829</v>
      </c>
      <c r="K835" s="6" t="s">
        <v>210</v>
      </c>
    </row>
    <row r="836" spans="1:11">
      <c r="A836" s="5" t="s">
        <v>819</v>
      </c>
      <c r="B836" s="5">
        <v>0</v>
      </c>
      <c r="C836" s="5">
        <v>53533</v>
      </c>
      <c r="D836" s="5">
        <v>53598</v>
      </c>
      <c r="E836" s="5">
        <v>302.32996121175438</v>
      </c>
      <c r="F836" s="5">
        <v>16318</v>
      </c>
      <c r="G836" s="5">
        <v>16329</v>
      </c>
      <c r="H836" s="5">
        <v>91.450986150773005</v>
      </c>
      <c r="I836" s="1">
        <f t="shared" si="26"/>
        <v>69927</v>
      </c>
      <c r="J836" s="1">
        <f t="shared" si="27"/>
        <v>0.3014901191608011</v>
      </c>
      <c r="K836" s="6" t="s">
        <v>293</v>
      </c>
    </row>
    <row r="837" spans="1:11">
      <c r="A837" s="5" t="s">
        <v>2112</v>
      </c>
      <c r="B837" s="5">
        <v>0</v>
      </c>
      <c r="C837" s="5">
        <v>21878</v>
      </c>
      <c r="D837" s="5">
        <v>21880</v>
      </c>
      <c r="E837" s="5">
        <v>289.57703060830937</v>
      </c>
      <c r="F837" s="5">
        <v>6662</v>
      </c>
      <c r="G837" s="5">
        <v>6663</v>
      </c>
      <c r="H837" s="5">
        <v>87.555373706879948</v>
      </c>
      <c r="I837" s="1">
        <f t="shared" si="26"/>
        <v>28543</v>
      </c>
      <c r="J837" s="1">
        <f t="shared" si="27"/>
        <v>0.30131553593065108</v>
      </c>
      <c r="K837" s="6" t="s">
        <v>534</v>
      </c>
    </row>
    <row r="838" spans="1:11">
      <c r="A838" s="5" t="s">
        <v>1086</v>
      </c>
      <c r="B838" s="5">
        <v>3.2359819995235739E-2</v>
      </c>
      <c r="C838" s="5">
        <v>4256</v>
      </c>
      <c r="D838" s="5">
        <v>4256</v>
      </c>
      <c r="E838" s="5">
        <v>45.468704187688125</v>
      </c>
      <c r="F838" s="5">
        <v>1319</v>
      </c>
      <c r="G838" s="5">
        <v>1319</v>
      </c>
      <c r="H838" s="5">
        <v>13.991102996060924</v>
      </c>
      <c r="I838" s="1">
        <f t="shared" si="26"/>
        <v>5575</v>
      </c>
      <c r="J838" s="1">
        <f t="shared" si="27"/>
        <v>0.30108657516143661</v>
      </c>
      <c r="K838" s="6" t="s">
        <v>236</v>
      </c>
    </row>
    <row r="839" spans="1:11">
      <c r="A839" s="5" t="s">
        <v>1166</v>
      </c>
      <c r="B839" s="5">
        <v>8.5801366012105973E-11</v>
      </c>
      <c r="C839" s="5">
        <v>4913</v>
      </c>
      <c r="D839" s="5">
        <v>4913</v>
      </c>
      <c r="E839" s="5">
        <v>163.23104669238421</v>
      </c>
      <c r="F839" s="5">
        <v>1498</v>
      </c>
      <c r="G839" s="5">
        <v>1498</v>
      </c>
      <c r="H839" s="5">
        <v>49.41559337770115</v>
      </c>
      <c r="I839" s="1">
        <f t="shared" si="26"/>
        <v>6411</v>
      </c>
      <c r="J839" s="1">
        <f t="shared" si="27"/>
        <v>0.30089069255132911</v>
      </c>
      <c r="K839" s="6" t="s">
        <v>1167</v>
      </c>
    </row>
    <row r="840" spans="1:11">
      <c r="A840" s="5" t="s">
        <v>347</v>
      </c>
      <c r="B840" s="5">
        <v>1.4874454898045619E-2</v>
      </c>
      <c r="C840" s="5">
        <v>933</v>
      </c>
      <c r="D840" s="5">
        <v>933</v>
      </c>
      <c r="E840" s="5">
        <v>48.082564661439143</v>
      </c>
      <c r="F840" s="5">
        <v>288</v>
      </c>
      <c r="G840" s="5">
        <v>288</v>
      </c>
      <c r="H840" s="5">
        <v>14.73651085435268</v>
      </c>
      <c r="I840" s="1">
        <f t="shared" si="26"/>
        <v>1221</v>
      </c>
      <c r="J840" s="1">
        <f t="shared" si="27"/>
        <v>0.30023921846794127</v>
      </c>
      <c r="K840" s="6" t="s">
        <v>2</v>
      </c>
    </row>
    <row r="841" spans="1:11">
      <c r="A841" s="5" t="s">
        <v>363</v>
      </c>
      <c r="B841" s="5">
        <v>2.8600455337368658E-11</v>
      </c>
      <c r="C841" s="5">
        <v>11584</v>
      </c>
      <c r="D841" s="5">
        <v>11635</v>
      </c>
      <c r="E841" s="5">
        <v>196.15652552048317</v>
      </c>
      <c r="F841" s="5">
        <v>3525</v>
      </c>
      <c r="G841" s="5">
        <v>3536</v>
      </c>
      <c r="H841" s="5">
        <v>59.189521498440918</v>
      </c>
      <c r="I841" s="1">
        <f t="shared" si="26"/>
        <v>15171</v>
      </c>
      <c r="J841" s="1">
        <f t="shared" si="27"/>
        <v>0.30021588857981546</v>
      </c>
      <c r="K841" s="6" t="s">
        <v>364</v>
      </c>
    </row>
    <row r="842" spans="1:11">
      <c r="A842" s="5" t="s">
        <v>1698</v>
      </c>
      <c r="B842" s="5">
        <v>0</v>
      </c>
      <c r="C842" s="5">
        <v>21142</v>
      </c>
      <c r="D842" s="5">
        <v>21158</v>
      </c>
      <c r="E842" s="5">
        <v>226.48475255170925</v>
      </c>
      <c r="F842" s="5">
        <v>6425</v>
      </c>
      <c r="G842" s="5">
        <v>6425</v>
      </c>
      <c r="H842" s="5">
        <v>68.2863168523063</v>
      </c>
      <c r="I842" s="1">
        <f t="shared" si="26"/>
        <v>27583</v>
      </c>
      <c r="J842" s="1">
        <f t="shared" si="27"/>
        <v>0.30017975308821732</v>
      </c>
      <c r="K842" s="6" t="s">
        <v>1426</v>
      </c>
    </row>
    <row r="843" spans="1:11">
      <c r="A843" s="5" t="s">
        <v>1617</v>
      </c>
      <c r="B843" s="5">
        <v>1.381172235803696E-5</v>
      </c>
      <c r="C843" s="5">
        <v>5476</v>
      </c>
      <c r="D843" s="5">
        <v>5476</v>
      </c>
      <c r="E843" s="5">
        <v>72.685784392036965</v>
      </c>
      <c r="F843" s="5">
        <v>1677</v>
      </c>
      <c r="G843" s="5">
        <v>1677</v>
      </c>
      <c r="H843" s="5">
        <v>22.101172010588932</v>
      </c>
      <c r="I843" s="1">
        <f t="shared" si="26"/>
        <v>7153</v>
      </c>
      <c r="J843" s="1">
        <f t="shared" si="27"/>
        <v>0.29993807072748419</v>
      </c>
      <c r="K843" s="6" t="s">
        <v>1618</v>
      </c>
    </row>
    <row r="844" spans="1:11">
      <c r="A844" s="5" t="s">
        <v>1026</v>
      </c>
      <c r="B844" s="5">
        <v>0</v>
      </c>
      <c r="C844" s="5">
        <v>17617</v>
      </c>
      <c r="D844" s="5">
        <v>17632</v>
      </c>
      <c r="E844" s="5">
        <v>255.60962762883082</v>
      </c>
      <c r="F844" s="5">
        <v>5340</v>
      </c>
      <c r="G844" s="5">
        <v>5345</v>
      </c>
      <c r="H844" s="5">
        <v>76.934217339874422</v>
      </c>
      <c r="I844" s="1">
        <f t="shared" si="26"/>
        <v>22977</v>
      </c>
      <c r="J844" s="1">
        <f t="shared" si="27"/>
        <v>0.29981033077665653</v>
      </c>
      <c r="K844" s="6" t="s">
        <v>210</v>
      </c>
    </row>
    <row r="845" spans="1:11">
      <c r="A845" s="5" t="s">
        <v>473</v>
      </c>
      <c r="B845" s="5">
        <v>5.2940348510555069E-6</v>
      </c>
      <c r="C845" s="5">
        <v>3907</v>
      </c>
      <c r="D845" s="5">
        <v>3907</v>
      </c>
      <c r="E845" s="5">
        <v>76.045959324700689</v>
      </c>
      <c r="F845" s="5">
        <v>1195</v>
      </c>
      <c r="G845" s="5">
        <v>1195</v>
      </c>
      <c r="H845" s="5">
        <v>23.093876392520979</v>
      </c>
      <c r="I845" s="1">
        <f t="shared" si="26"/>
        <v>5102</v>
      </c>
      <c r="J845" s="1">
        <f t="shared" si="27"/>
        <v>0.29974156457958667</v>
      </c>
      <c r="K845" s="6" t="s">
        <v>474</v>
      </c>
    </row>
    <row r="846" spans="1:11">
      <c r="A846" s="5" t="s">
        <v>668</v>
      </c>
      <c r="B846" s="5">
        <v>1.4449275271283257E-3</v>
      </c>
      <c r="C846" s="5">
        <v>2891</v>
      </c>
      <c r="D846" s="5">
        <v>2891</v>
      </c>
      <c r="E846" s="5">
        <v>56.190119937470875</v>
      </c>
      <c r="F846" s="5">
        <v>888</v>
      </c>
      <c r="G846" s="5">
        <v>888</v>
      </c>
      <c r="H846" s="5">
        <v>17.13645690777583</v>
      </c>
      <c r="I846" s="1">
        <f t="shared" si="26"/>
        <v>3779</v>
      </c>
      <c r="J846" s="1">
        <f t="shared" si="27"/>
        <v>0.29964016383445369</v>
      </c>
      <c r="K846" s="6" t="s">
        <v>669</v>
      </c>
    </row>
    <row r="847" spans="1:11">
      <c r="A847" s="5" t="s">
        <v>518</v>
      </c>
      <c r="B847" s="5">
        <v>1.4300227668684329E-11</v>
      </c>
      <c r="C847" s="5">
        <v>7631</v>
      </c>
      <c r="D847" s="5">
        <v>7631</v>
      </c>
      <c r="E847" s="5">
        <v>152.34405136186209</v>
      </c>
      <c r="F847" s="5">
        <v>2317</v>
      </c>
      <c r="G847" s="5">
        <v>2317</v>
      </c>
      <c r="H847" s="5">
        <v>45.926809995706378</v>
      </c>
      <c r="I847" s="1">
        <f t="shared" si="26"/>
        <v>9948</v>
      </c>
      <c r="J847" s="1">
        <f t="shared" si="27"/>
        <v>0.29950173865778501</v>
      </c>
      <c r="K847" s="6" t="s">
        <v>519</v>
      </c>
    </row>
    <row r="848" spans="1:11">
      <c r="A848" s="5" t="s">
        <v>200</v>
      </c>
      <c r="B848" s="5">
        <v>8.5801366012105973E-11</v>
      </c>
      <c r="C848" s="5">
        <v>2649</v>
      </c>
      <c r="D848" s="5">
        <v>6312</v>
      </c>
      <c r="E848" s="5">
        <v>221.9044096860535</v>
      </c>
      <c r="F848" s="5">
        <v>677</v>
      </c>
      <c r="G848" s="5">
        <v>1910</v>
      </c>
      <c r="H848" s="5">
        <v>66.66970134581176</v>
      </c>
      <c r="I848" s="1">
        <f t="shared" si="26"/>
        <v>8222</v>
      </c>
      <c r="J848" s="1">
        <f t="shared" si="27"/>
        <v>0.29909547971577477</v>
      </c>
      <c r="K848" s="6" t="s">
        <v>201</v>
      </c>
    </row>
    <row r="849" spans="1:11">
      <c r="A849" s="5" t="s">
        <v>645</v>
      </c>
      <c r="B849" s="5">
        <v>1.7589280032481724E-9</v>
      </c>
      <c r="C849" s="5">
        <v>9854</v>
      </c>
      <c r="D849" s="5">
        <v>9856</v>
      </c>
      <c r="E849" s="5">
        <v>104.35360927515529</v>
      </c>
      <c r="F849" s="5">
        <v>2996</v>
      </c>
      <c r="G849" s="5">
        <v>2997</v>
      </c>
      <c r="H849" s="5">
        <v>31.505742758459455</v>
      </c>
      <c r="I849" s="1">
        <f t="shared" si="26"/>
        <v>12853</v>
      </c>
      <c r="J849" s="1">
        <f t="shared" si="27"/>
        <v>0.29904758816733967</v>
      </c>
      <c r="K849" s="6" t="s">
        <v>646</v>
      </c>
    </row>
    <row r="850" spans="1:11">
      <c r="A850" s="5" t="s">
        <v>2084</v>
      </c>
      <c r="B850" s="5">
        <v>8.1339694979476462E-8</v>
      </c>
      <c r="C850" s="5">
        <v>3061</v>
      </c>
      <c r="D850" s="5">
        <v>3061</v>
      </c>
      <c r="E850" s="5">
        <v>90.53477056984859</v>
      </c>
      <c r="F850" s="5">
        <v>930</v>
      </c>
      <c r="G850" s="5">
        <v>930</v>
      </c>
      <c r="H850" s="5">
        <v>27.310598920294911</v>
      </c>
      <c r="I850" s="1">
        <f t="shared" si="26"/>
        <v>3991</v>
      </c>
      <c r="J850" s="1">
        <f t="shared" si="27"/>
        <v>0.29836311109180819</v>
      </c>
      <c r="K850" s="6" t="s">
        <v>543</v>
      </c>
    </row>
    <row r="851" spans="1:11">
      <c r="A851" s="5" t="s">
        <v>426</v>
      </c>
      <c r="B851" s="5">
        <v>3.1903293120638665E-5</v>
      </c>
      <c r="C851" s="5">
        <v>1580</v>
      </c>
      <c r="D851" s="5">
        <v>2379</v>
      </c>
      <c r="E851" s="5">
        <v>69.382940464508621</v>
      </c>
      <c r="F851" s="5">
        <v>513</v>
      </c>
      <c r="G851" s="5">
        <v>725</v>
      </c>
      <c r="H851" s="5">
        <v>20.99386817853923</v>
      </c>
      <c r="I851" s="1">
        <f t="shared" si="26"/>
        <v>3104</v>
      </c>
      <c r="J851" s="1">
        <f t="shared" si="27"/>
        <v>0.29828063505141023</v>
      </c>
      <c r="K851" s="6" t="s">
        <v>427</v>
      </c>
    </row>
    <row r="852" spans="1:11">
      <c r="A852" s="5" t="s">
        <v>2231</v>
      </c>
      <c r="B852" s="5">
        <v>8.1296794296470409E-8</v>
      </c>
      <c r="C852" s="5">
        <v>2651</v>
      </c>
      <c r="D852" s="5">
        <v>2651</v>
      </c>
      <c r="E852" s="5">
        <v>90.395485052968553</v>
      </c>
      <c r="F852" s="5">
        <v>804</v>
      </c>
      <c r="G852" s="5">
        <v>804</v>
      </c>
      <c r="H852" s="5">
        <v>27.2200714277141</v>
      </c>
      <c r="I852" s="1">
        <f t="shared" si="26"/>
        <v>3455</v>
      </c>
      <c r="J852" s="1">
        <f t="shared" si="27"/>
        <v>0.29782730965253501</v>
      </c>
      <c r="K852" s="6" t="s">
        <v>2232</v>
      </c>
    </row>
    <row r="853" spans="1:11">
      <c r="A853" s="5" t="s">
        <v>2036</v>
      </c>
      <c r="B853" s="5">
        <v>8.9692738245217285E-4</v>
      </c>
      <c r="C853" s="5">
        <v>9059</v>
      </c>
      <c r="D853" s="5">
        <v>9059</v>
      </c>
      <c r="E853" s="5">
        <v>57.446245282067217</v>
      </c>
      <c r="F853" s="5">
        <v>2758</v>
      </c>
      <c r="G853" s="5">
        <v>2758</v>
      </c>
      <c r="H853" s="5">
        <v>17.36488255648845</v>
      </c>
      <c r="I853" s="1">
        <f t="shared" si="26"/>
        <v>11817</v>
      </c>
      <c r="J853" s="1">
        <f t="shared" si="27"/>
        <v>0.2971086076219927</v>
      </c>
      <c r="K853" s="6" t="s">
        <v>2037</v>
      </c>
    </row>
    <row r="854" spans="1:11">
      <c r="A854" s="5" t="s">
        <v>1795</v>
      </c>
      <c r="B854" s="5">
        <v>0</v>
      </c>
      <c r="C854" s="5">
        <v>6874</v>
      </c>
      <c r="D854" s="5">
        <v>6885</v>
      </c>
      <c r="E854" s="5">
        <v>174.59995431310324</v>
      </c>
      <c r="F854" s="5">
        <v>2069</v>
      </c>
      <c r="G854" s="5">
        <v>2069</v>
      </c>
      <c r="H854" s="5">
        <v>52.095099492732622</v>
      </c>
      <c r="I854" s="1">
        <f t="shared" si="26"/>
        <v>8954</v>
      </c>
      <c r="J854" s="1">
        <f t="shared" si="27"/>
        <v>0.29666920869378205</v>
      </c>
      <c r="K854" s="6" t="s">
        <v>854</v>
      </c>
    </row>
    <row r="855" spans="1:11">
      <c r="A855" s="5" t="s">
        <v>2137</v>
      </c>
      <c r="B855" s="5">
        <v>2.2809878400048555E-3</v>
      </c>
      <c r="C855" s="5">
        <v>1362</v>
      </c>
      <c r="D855" s="5">
        <v>1364</v>
      </c>
      <c r="E855" s="5">
        <v>54.10409758272349</v>
      </c>
      <c r="F855" s="5">
        <v>413</v>
      </c>
      <c r="G855" s="5">
        <v>415</v>
      </c>
      <c r="H855" s="5">
        <v>16.344065123935856</v>
      </c>
      <c r="I855" s="1">
        <f t="shared" si="26"/>
        <v>1779</v>
      </c>
      <c r="J855" s="1">
        <f t="shared" si="27"/>
        <v>0.29660344404333605</v>
      </c>
      <c r="K855" s="6" t="s">
        <v>2138</v>
      </c>
    </row>
    <row r="856" spans="1:11">
      <c r="A856" s="5" t="s">
        <v>390</v>
      </c>
      <c r="B856" s="5">
        <v>0</v>
      </c>
      <c r="C856" s="5">
        <v>3252</v>
      </c>
      <c r="D856" s="5">
        <v>8842</v>
      </c>
      <c r="E856" s="5">
        <v>374.76185987125393</v>
      </c>
      <c r="F856" s="5">
        <v>886</v>
      </c>
      <c r="G856" s="5">
        <v>2648</v>
      </c>
      <c r="H856" s="5">
        <v>111.43434272211445</v>
      </c>
      <c r="I856" s="1">
        <f t="shared" si="26"/>
        <v>11490</v>
      </c>
      <c r="J856" s="1">
        <f t="shared" si="27"/>
        <v>0.29655575677716423</v>
      </c>
      <c r="K856" s="6" t="s">
        <v>82</v>
      </c>
    </row>
    <row r="857" spans="1:11">
      <c r="A857" s="5" t="s">
        <v>437</v>
      </c>
      <c r="B857" s="5">
        <v>8.4460248904671964E-3</v>
      </c>
      <c r="C857" s="5">
        <v>2829</v>
      </c>
      <c r="D857" s="5">
        <v>2829</v>
      </c>
      <c r="E857" s="5">
        <v>49.536102817724192</v>
      </c>
      <c r="F857" s="5">
        <v>862</v>
      </c>
      <c r="G857" s="5">
        <v>862</v>
      </c>
      <c r="H857" s="5">
        <v>14.986228648752908</v>
      </c>
      <c r="I857" s="1">
        <f t="shared" si="26"/>
        <v>3691</v>
      </c>
      <c r="J857" s="1">
        <f t="shared" si="27"/>
        <v>0.29654500076521312</v>
      </c>
      <c r="K857" s="6" t="s">
        <v>438</v>
      </c>
    </row>
    <row r="858" spans="1:11">
      <c r="A858" s="5" t="s">
        <v>893</v>
      </c>
      <c r="B858" s="5">
        <v>2.4931016917584259E-6</v>
      </c>
      <c r="C858" s="5">
        <v>8575</v>
      </c>
      <c r="D858" s="5">
        <v>8703</v>
      </c>
      <c r="E858" s="5">
        <v>77.976564073889179</v>
      </c>
      <c r="F858" s="5">
        <v>2554</v>
      </c>
      <c r="G858" s="5">
        <v>2632</v>
      </c>
      <c r="H858" s="5">
        <v>23.414085295533905</v>
      </c>
      <c r="I858" s="1">
        <f t="shared" si="26"/>
        <v>11335</v>
      </c>
      <c r="J858" s="1">
        <f t="shared" si="27"/>
        <v>0.29646877615020162</v>
      </c>
      <c r="K858" s="6" t="s">
        <v>2</v>
      </c>
    </row>
    <row r="859" spans="1:11">
      <c r="A859" s="5" t="s">
        <v>815</v>
      </c>
      <c r="B859" s="5">
        <v>1.0597240914789197E-5</v>
      </c>
      <c r="C859" s="5">
        <v>892</v>
      </c>
      <c r="D859" s="5">
        <v>892</v>
      </c>
      <c r="E859" s="5">
        <v>72.888753621743803</v>
      </c>
      <c r="F859" s="5">
        <v>270</v>
      </c>
      <c r="G859" s="5">
        <v>270</v>
      </c>
      <c r="H859" s="5">
        <v>21.905624242956687</v>
      </c>
      <c r="I859" s="1">
        <f t="shared" si="26"/>
        <v>1162</v>
      </c>
      <c r="J859" s="1">
        <f t="shared" si="27"/>
        <v>0.29646763775577278</v>
      </c>
      <c r="K859" s="6" t="s">
        <v>816</v>
      </c>
    </row>
    <row r="860" spans="1:11">
      <c r="A860" s="5" t="s">
        <v>471</v>
      </c>
      <c r="B860" s="5">
        <v>4.8957576372299361E-4</v>
      </c>
      <c r="C860" s="5">
        <v>2041</v>
      </c>
      <c r="D860" s="5">
        <v>2041</v>
      </c>
      <c r="E860" s="5">
        <v>59.39792818550999</v>
      </c>
      <c r="F860" s="5">
        <v>619</v>
      </c>
      <c r="G860" s="5">
        <v>619</v>
      </c>
      <c r="H860" s="5">
        <v>17.886078860479039</v>
      </c>
      <c r="I860" s="1">
        <f t="shared" si="26"/>
        <v>2660</v>
      </c>
      <c r="J860" s="1">
        <f t="shared" si="27"/>
        <v>0.29613729142401396</v>
      </c>
      <c r="K860" s="6" t="s">
        <v>472</v>
      </c>
    </row>
    <row r="861" spans="1:11">
      <c r="A861" s="5" t="s">
        <v>1032</v>
      </c>
      <c r="B861" s="5">
        <v>9.4709166113260412E-4</v>
      </c>
      <c r="C861" s="5">
        <v>2675</v>
      </c>
      <c r="D861" s="5">
        <v>2675</v>
      </c>
      <c r="E861" s="5">
        <v>57.044399809003082</v>
      </c>
      <c r="F861" s="5">
        <v>811</v>
      </c>
      <c r="G861" s="5">
        <v>811</v>
      </c>
      <c r="H861" s="5">
        <v>17.171422848965552</v>
      </c>
      <c r="I861" s="1">
        <f t="shared" si="26"/>
        <v>3486</v>
      </c>
      <c r="J861" s="1">
        <f t="shared" si="27"/>
        <v>0.29583255069341152</v>
      </c>
      <c r="K861" s="6" t="s">
        <v>89</v>
      </c>
    </row>
    <row r="862" spans="1:11">
      <c r="A862" s="5" t="s">
        <v>1612</v>
      </c>
      <c r="B862" s="5">
        <v>5.7586859519287437E-5</v>
      </c>
      <c r="C862" s="5">
        <v>3330</v>
      </c>
      <c r="D862" s="5">
        <v>3330</v>
      </c>
      <c r="E862" s="5">
        <v>66.822765787345631</v>
      </c>
      <c r="F862" s="5">
        <v>1007</v>
      </c>
      <c r="G862" s="5">
        <v>1007</v>
      </c>
      <c r="H862" s="5">
        <v>20.063462479555632</v>
      </c>
      <c r="I862" s="1">
        <f t="shared" si="26"/>
        <v>4337</v>
      </c>
      <c r="J862" s="1">
        <f t="shared" si="27"/>
        <v>0.29582194483875018</v>
      </c>
      <c r="K862" s="6" t="s">
        <v>1613</v>
      </c>
    </row>
    <row r="863" spans="1:11">
      <c r="A863" s="5" t="s">
        <v>1323</v>
      </c>
      <c r="B863" s="5">
        <v>4.7667425562281096E-12</v>
      </c>
      <c r="C863" s="5">
        <v>17726</v>
      </c>
      <c r="D863" s="5">
        <v>17728</v>
      </c>
      <c r="E863" s="5">
        <v>193.73152586160305</v>
      </c>
      <c r="F863" s="5">
        <v>5308</v>
      </c>
      <c r="G863" s="5">
        <v>5309</v>
      </c>
      <c r="H863" s="5">
        <v>57.603580815484747</v>
      </c>
      <c r="I863" s="1">
        <f t="shared" si="26"/>
        <v>23037</v>
      </c>
      <c r="J863" s="1">
        <f t="shared" si="27"/>
        <v>0.29581024726537597</v>
      </c>
      <c r="K863" s="6" t="s">
        <v>225</v>
      </c>
    </row>
    <row r="864" spans="1:11">
      <c r="A864" s="5" t="s">
        <v>2238</v>
      </c>
      <c r="B864" s="5">
        <v>3.4057123340980322E-4</v>
      </c>
      <c r="C864" s="5">
        <v>4102</v>
      </c>
      <c r="D864" s="5">
        <v>4102</v>
      </c>
      <c r="E864" s="5">
        <v>60.596275756561461</v>
      </c>
      <c r="F864" s="5">
        <v>1242</v>
      </c>
      <c r="G864" s="5">
        <v>1242</v>
      </c>
      <c r="H864" s="5">
        <v>18.216631495852905</v>
      </c>
      <c r="I864" s="1">
        <f t="shared" si="26"/>
        <v>5344</v>
      </c>
      <c r="J864" s="1">
        <f t="shared" si="27"/>
        <v>0.29574241741250734</v>
      </c>
      <c r="K864" s="6" t="s">
        <v>167</v>
      </c>
    </row>
    <row r="865" spans="1:11">
      <c r="A865" s="5" t="s">
        <v>1190</v>
      </c>
      <c r="B865" s="5">
        <v>4.0627493599770803E-3</v>
      </c>
      <c r="C865" s="5">
        <v>1549</v>
      </c>
      <c r="D865" s="5">
        <v>1552</v>
      </c>
      <c r="E865" s="5">
        <v>51.944679909672899</v>
      </c>
      <c r="F865" s="5">
        <v>470</v>
      </c>
      <c r="G865" s="5">
        <v>471</v>
      </c>
      <c r="H865" s="5">
        <v>15.65187837974605</v>
      </c>
      <c r="I865" s="1">
        <f t="shared" si="26"/>
        <v>2023</v>
      </c>
      <c r="J865" s="1">
        <f t="shared" si="27"/>
        <v>0.29562702818204173</v>
      </c>
      <c r="K865" s="6" t="s">
        <v>550</v>
      </c>
    </row>
    <row r="866" spans="1:11">
      <c r="A866" s="5" t="s">
        <v>1813</v>
      </c>
      <c r="B866" s="5">
        <v>0</v>
      </c>
      <c r="C866" s="5">
        <v>169293</v>
      </c>
      <c r="D866" s="5">
        <v>176653</v>
      </c>
      <c r="E866" s="5">
        <v>3219.5940238673265</v>
      </c>
      <c r="F866" s="5">
        <v>50722</v>
      </c>
      <c r="G866" s="5">
        <v>52551</v>
      </c>
      <c r="H866" s="5">
        <v>950.94911821589244</v>
      </c>
      <c r="I866" s="1">
        <f t="shared" si="26"/>
        <v>229204</v>
      </c>
      <c r="J866" s="1">
        <f t="shared" si="27"/>
        <v>0.29527134161230967</v>
      </c>
      <c r="K866" s="6" t="s">
        <v>482</v>
      </c>
    </row>
    <row r="867" spans="1:11">
      <c r="A867" s="5" t="s">
        <v>355</v>
      </c>
      <c r="B867" s="5">
        <v>1.9480056134835166E-6</v>
      </c>
      <c r="C867" s="5">
        <v>10384</v>
      </c>
      <c r="D867" s="5">
        <v>10394</v>
      </c>
      <c r="E867" s="5">
        <v>78.519749806748777</v>
      </c>
      <c r="F867" s="5">
        <v>3124</v>
      </c>
      <c r="G867" s="5">
        <v>3128</v>
      </c>
      <c r="H867" s="5">
        <v>23.461681726659588</v>
      </c>
      <c r="I867" s="1">
        <f t="shared" si="26"/>
        <v>13522</v>
      </c>
      <c r="J867" s="1">
        <f t="shared" si="27"/>
        <v>0.29504219748775434</v>
      </c>
      <c r="K867" s="6" t="s">
        <v>356</v>
      </c>
    </row>
    <row r="868" spans="1:11">
      <c r="A868" s="5" t="s">
        <v>911</v>
      </c>
      <c r="B868" s="5">
        <v>1.8136387676115362E-4</v>
      </c>
      <c r="C868" s="5">
        <v>2217</v>
      </c>
      <c r="D868" s="5">
        <v>2217</v>
      </c>
      <c r="E868" s="5">
        <v>62.643975219374951</v>
      </c>
      <c r="F868" s="5">
        <v>669</v>
      </c>
      <c r="G868" s="5">
        <v>669</v>
      </c>
      <c r="H868" s="5">
        <v>18.768775247002662</v>
      </c>
      <c r="I868" s="1">
        <f t="shared" si="26"/>
        <v>2886</v>
      </c>
      <c r="J868" s="1">
        <f t="shared" si="27"/>
        <v>0.29490262326179995</v>
      </c>
      <c r="K868" s="6" t="s">
        <v>425</v>
      </c>
    </row>
    <row r="869" spans="1:11">
      <c r="A869" s="5" t="s">
        <v>1525</v>
      </c>
      <c r="B869" s="5">
        <v>8.4609680373048946E-9</v>
      </c>
      <c r="C869" s="5">
        <v>6680</v>
      </c>
      <c r="D869" s="5">
        <v>6680</v>
      </c>
      <c r="E869" s="5">
        <v>97.514782753199512</v>
      </c>
      <c r="F869" s="5">
        <v>2003</v>
      </c>
      <c r="G869" s="5">
        <v>2003</v>
      </c>
      <c r="H869" s="5">
        <v>29.03161155704154</v>
      </c>
      <c r="I869" s="1">
        <f t="shared" si="26"/>
        <v>8683</v>
      </c>
      <c r="J869" s="1">
        <f t="shared" si="27"/>
        <v>0.29469294602995677</v>
      </c>
      <c r="K869" s="6" t="s">
        <v>1526</v>
      </c>
    </row>
    <row r="870" spans="1:11">
      <c r="A870" s="5" t="s">
        <v>2113</v>
      </c>
      <c r="B870" s="5">
        <v>6.9901052025700405E-4</v>
      </c>
      <c r="C870" s="5">
        <v>5540</v>
      </c>
      <c r="D870" s="5">
        <v>5540</v>
      </c>
      <c r="E870" s="5">
        <v>57.890684931282593</v>
      </c>
      <c r="F870" s="5">
        <v>1672</v>
      </c>
      <c r="G870" s="5">
        <v>1672</v>
      </c>
      <c r="H870" s="5">
        <v>17.347280314468414</v>
      </c>
      <c r="I870" s="1">
        <f t="shared" si="26"/>
        <v>7212</v>
      </c>
      <c r="J870" s="1">
        <f t="shared" si="27"/>
        <v>0.29456747420598567</v>
      </c>
      <c r="K870" s="6" t="s">
        <v>234</v>
      </c>
    </row>
    <row r="871" spans="1:11">
      <c r="A871" s="5" t="s">
        <v>583</v>
      </c>
      <c r="B871" s="5">
        <v>2.3709777474678617E-8</v>
      </c>
      <c r="C871" s="5">
        <v>5076</v>
      </c>
      <c r="D871" s="5">
        <v>5076</v>
      </c>
      <c r="E871" s="5">
        <v>93.832590536701943</v>
      </c>
      <c r="F871" s="5">
        <v>1521</v>
      </c>
      <c r="G871" s="5">
        <v>1521</v>
      </c>
      <c r="H871" s="5">
        <v>27.916277525382096</v>
      </c>
      <c r="I871" s="1">
        <f t="shared" si="26"/>
        <v>6597</v>
      </c>
      <c r="J871" s="1">
        <f t="shared" si="27"/>
        <v>0.29437430072711118</v>
      </c>
      <c r="K871" s="6" t="s">
        <v>584</v>
      </c>
    </row>
    <row r="872" spans="1:11">
      <c r="A872" s="5" t="s">
        <v>1369</v>
      </c>
      <c r="B872" s="5">
        <v>3.3796204723657297E-9</v>
      </c>
      <c r="C872" s="5">
        <v>7498</v>
      </c>
      <c r="D872" s="5">
        <v>7518</v>
      </c>
      <c r="E872" s="5">
        <v>100.62475728920893</v>
      </c>
      <c r="F872" s="5">
        <v>2239</v>
      </c>
      <c r="G872" s="5">
        <v>2249</v>
      </c>
      <c r="H872" s="5">
        <v>29.887403019005653</v>
      </c>
      <c r="I872" s="1">
        <f t="shared" si="26"/>
        <v>9767</v>
      </c>
      <c r="J872" s="1">
        <f t="shared" si="27"/>
        <v>0.2940956890450479</v>
      </c>
      <c r="K872" s="6" t="s">
        <v>522</v>
      </c>
    </row>
    <row r="873" spans="1:11">
      <c r="A873" s="5" t="s">
        <v>568</v>
      </c>
      <c r="B873" s="5">
        <v>8.3870835276833589E-8</v>
      </c>
      <c r="C873" s="5">
        <v>5486</v>
      </c>
      <c r="D873" s="5">
        <v>5487</v>
      </c>
      <c r="E873" s="5">
        <v>89.243978382457371</v>
      </c>
      <c r="F873" s="5">
        <v>1641</v>
      </c>
      <c r="G873" s="5">
        <v>1642</v>
      </c>
      <c r="H873" s="5">
        <v>26.516323874409057</v>
      </c>
      <c r="I873" s="1">
        <f t="shared" si="26"/>
        <v>7129</v>
      </c>
      <c r="J873" s="1">
        <f t="shared" si="27"/>
        <v>0.29382928755680388</v>
      </c>
      <c r="K873" s="6" t="s">
        <v>569</v>
      </c>
    </row>
    <row r="874" spans="1:11">
      <c r="A874" s="5" t="s">
        <v>2038</v>
      </c>
      <c r="B874" s="5">
        <v>4.2424008750430175E-10</v>
      </c>
      <c r="C874" s="5">
        <v>35675</v>
      </c>
      <c r="D874" s="5">
        <v>50748</v>
      </c>
      <c r="E874" s="5">
        <v>753.76048261912831</v>
      </c>
      <c r="F874" s="5">
        <v>9872</v>
      </c>
      <c r="G874" s="5">
        <v>15037</v>
      </c>
      <c r="H874" s="5">
        <v>221.75418949107657</v>
      </c>
      <c r="I874" s="1">
        <f t="shared" si="26"/>
        <v>65785</v>
      </c>
      <c r="J874" s="1">
        <f t="shared" si="27"/>
        <v>0.29380736617470671</v>
      </c>
      <c r="K874" s="6" t="s">
        <v>777</v>
      </c>
    </row>
    <row r="875" spans="1:11">
      <c r="A875" s="5" t="s">
        <v>2260</v>
      </c>
      <c r="B875" s="5">
        <v>1.971334051553697E-7</v>
      </c>
      <c r="C875" s="5">
        <v>1080</v>
      </c>
      <c r="D875" s="5">
        <v>1080</v>
      </c>
      <c r="E875" s="5">
        <v>86.180553609549662</v>
      </c>
      <c r="F875" s="5">
        <v>323</v>
      </c>
      <c r="G875" s="5">
        <v>323</v>
      </c>
      <c r="H875" s="5">
        <v>25.590822612666212</v>
      </c>
      <c r="I875" s="1">
        <f t="shared" si="26"/>
        <v>1403</v>
      </c>
      <c r="J875" s="1">
        <f t="shared" si="27"/>
        <v>0.29353819806281917</v>
      </c>
      <c r="K875" s="6" t="s">
        <v>17</v>
      </c>
    </row>
    <row r="876" spans="1:11">
      <c r="A876" s="5" t="s">
        <v>212</v>
      </c>
      <c r="B876" s="5">
        <v>8.3595019158999584E-4</v>
      </c>
      <c r="C876" s="5">
        <v>3046</v>
      </c>
      <c r="D876" s="5">
        <v>3046</v>
      </c>
      <c r="E876" s="5">
        <v>57.082526340736088</v>
      </c>
      <c r="F876" s="5">
        <v>916</v>
      </c>
      <c r="G876" s="5">
        <v>916</v>
      </c>
      <c r="H876" s="5">
        <v>17.04374235175133</v>
      </c>
      <c r="I876" s="1">
        <f t="shared" si="26"/>
        <v>3962</v>
      </c>
      <c r="J876" s="1">
        <f t="shared" si="27"/>
        <v>0.29344010024229489</v>
      </c>
      <c r="K876" s="6" t="s">
        <v>213</v>
      </c>
    </row>
    <row r="877" spans="1:11">
      <c r="A877" s="5" t="s">
        <v>491</v>
      </c>
      <c r="B877" s="5">
        <v>9.888140292124703E-3</v>
      </c>
      <c r="C877" s="5">
        <v>3323</v>
      </c>
      <c r="D877" s="5">
        <v>3323</v>
      </c>
      <c r="E877" s="5">
        <v>48.535263244660115</v>
      </c>
      <c r="F877" s="5">
        <v>1002</v>
      </c>
      <c r="G877" s="5">
        <v>1002</v>
      </c>
      <c r="H877" s="5">
        <v>14.530848330352052</v>
      </c>
      <c r="I877" s="1">
        <f t="shared" si="26"/>
        <v>4325</v>
      </c>
      <c r="J877" s="1">
        <f t="shared" si="27"/>
        <v>0.29334351689184718</v>
      </c>
      <c r="K877" s="6" t="s">
        <v>38</v>
      </c>
    </row>
    <row r="878" spans="1:11">
      <c r="A878" s="5" t="s">
        <v>2161</v>
      </c>
      <c r="B878" s="5">
        <v>1.4438751957778773E-2</v>
      </c>
      <c r="C878" s="5">
        <v>2107</v>
      </c>
      <c r="D878" s="5">
        <v>2107</v>
      </c>
      <c r="E878" s="5">
        <v>47.187629493419074</v>
      </c>
      <c r="F878" s="5">
        <v>635</v>
      </c>
      <c r="G878" s="5">
        <v>635</v>
      </c>
      <c r="H878" s="5">
        <v>14.119962732188405</v>
      </c>
      <c r="I878" s="1">
        <f t="shared" si="26"/>
        <v>2742</v>
      </c>
      <c r="J878" s="1">
        <f t="shared" si="27"/>
        <v>0.29302048846616852</v>
      </c>
      <c r="K878" s="6" t="s">
        <v>2061</v>
      </c>
    </row>
    <row r="879" spans="1:11">
      <c r="A879" s="5" t="s">
        <v>862</v>
      </c>
      <c r="B879" s="5">
        <v>2.9547988422695681E-6</v>
      </c>
      <c r="C879" s="5">
        <v>5170</v>
      </c>
      <c r="D879" s="5">
        <v>5170</v>
      </c>
      <c r="E879" s="5">
        <v>76.5810452816729</v>
      </c>
      <c r="F879" s="5">
        <v>1545</v>
      </c>
      <c r="G879" s="5">
        <v>1545</v>
      </c>
      <c r="H879" s="5">
        <v>22.722464341292305</v>
      </c>
      <c r="I879" s="1">
        <f t="shared" si="26"/>
        <v>6715</v>
      </c>
      <c r="J879" s="1">
        <f t="shared" si="27"/>
        <v>0.29288680319779181</v>
      </c>
      <c r="K879" s="6" t="s">
        <v>58</v>
      </c>
    </row>
    <row r="880" spans="1:11">
      <c r="A880" s="5" t="s">
        <v>2148</v>
      </c>
      <c r="B880" s="5">
        <v>1.707147260199271E-3</v>
      </c>
      <c r="C880" s="5">
        <v>2650</v>
      </c>
      <c r="D880" s="5">
        <v>2650</v>
      </c>
      <c r="E880" s="5">
        <v>54.462527462564033</v>
      </c>
      <c r="F880" s="5">
        <v>795</v>
      </c>
      <c r="G880" s="5">
        <v>795</v>
      </c>
      <c r="H880" s="5">
        <v>16.222405264515885</v>
      </c>
      <c r="I880" s="1">
        <f t="shared" si="26"/>
        <v>3445</v>
      </c>
      <c r="J880" s="1">
        <f t="shared" si="27"/>
        <v>0.29249307607673752</v>
      </c>
      <c r="K880" s="6" t="s">
        <v>2149</v>
      </c>
    </row>
    <row r="881" spans="1:11">
      <c r="A881" s="5" t="s">
        <v>1367</v>
      </c>
      <c r="B881" s="5">
        <v>0</v>
      </c>
      <c r="C881" s="5">
        <v>63232</v>
      </c>
      <c r="D881" s="5">
        <v>63276</v>
      </c>
      <c r="E881" s="5">
        <v>320.33209339835867</v>
      </c>
      <c r="F881" s="5">
        <v>18656</v>
      </c>
      <c r="G881" s="5">
        <v>18678</v>
      </c>
      <c r="H881" s="5">
        <v>93.883226267088148</v>
      </c>
      <c r="I881" s="1">
        <f t="shared" si="26"/>
        <v>81954</v>
      </c>
      <c r="J881" s="1">
        <f t="shared" si="27"/>
        <v>0.29216884399623338</v>
      </c>
      <c r="K881" s="6" t="s">
        <v>635</v>
      </c>
    </row>
    <row r="882" spans="1:11">
      <c r="A882" s="5" t="s">
        <v>2250</v>
      </c>
      <c r="B882" s="5">
        <v>1.3346879157438707E-10</v>
      </c>
      <c r="C882" s="5">
        <v>12645</v>
      </c>
      <c r="D882" s="5">
        <v>12658</v>
      </c>
      <c r="E882" s="5">
        <v>157.70750476024318</v>
      </c>
      <c r="F882" s="5">
        <v>3742</v>
      </c>
      <c r="G882" s="5">
        <v>3744</v>
      </c>
      <c r="H882" s="5">
        <v>46.314748399394134</v>
      </c>
      <c r="I882" s="1">
        <f t="shared" si="26"/>
        <v>16402</v>
      </c>
      <c r="J882" s="1">
        <f t="shared" si="27"/>
        <v>0.2918245641210292</v>
      </c>
      <c r="K882" s="6" t="s">
        <v>2251</v>
      </c>
    </row>
    <row r="883" spans="1:11">
      <c r="A883" s="5" t="s">
        <v>974</v>
      </c>
      <c r="B883" s="5">
        <v>2.5764535226757146E-2</v>
      </c>
      <c r="C883" s="5">
        <v>2527</v>
      </c>
      <c r="D883" s="5">
        <v>2527</v>
      </c>
      <c r="E883" s="5">
        <v>45.030431437352483</v>
      </c>
      <c r="F883" s="5">
        <v>759</v>
      </c>
      <c r="G883" s="5">
        <v>759</v>
      </c>
      <c r="H883" s="5">
        <v>13.428850591900297</v>
      </c>
      <c r="I883" s="1">
        <f t="shared" si="26"/>
        <v>3286</v>
      </c>
      <c r="J883" s="1">
        <f t="shared" si="27"/>
        <v>0.29173853410817996</v>
      </c>
      <c r="K883" s="6" t="s">
        <v>96</v>
      </c>
    </row>
    <row r="884" spans="1:11">
      <c r="A884" s="5" t="s">
        <v>1662</v>
      </c>
      <c r="B884" s="5">
        <v>4.6831815592174308E-7</v>
      </c>
      <c r="C884" s="5">
        <v>3448</v>
      </c>
      <c r="D884" s="5">
        <v>3449</v>
      </c>
      <c r="E884" s="5">
        <v>82.541552432631235</v>
      </c>
      <c r="F884" s="5">
        <v>1023</v>
      </c>
      <c r="G884" s="5">
        <v>1023</v>
      </c>
      <c r="H884" s="5">
        <v>24.308114430376826</v>
      </c>
      <c r="I884" s="1">
        <f t="shared" si="26"/>
        <v>4472</v>
      </c>
      <c r="J884" s="1">
        <f t="shared" si="27"/>
        <v>0.29097034616371464</v>
      </c>
      <c r="K884" s="6" t="s">
        <v>1663</v>
      </c>
    </row>
    <row r="885" spans="1:11">
      <c r="A885" s="5" t="s">
        <v>1100</v>
      </c>
      <c r="B885" s="5">
        <v>1.2383412844244601E-2</v>
      </c>
      <c r="C885" s="5">
        <v>1749</v>
      </c>
      <c r="D885" s="5">
        <v>1750</v>
      </c>
      <c r="E885" s="5">
        <v>47.381836527085653</v>
      </c>
      <c r="F885" s="5">
        <v>523</v>
      </c>
      <c r="G885" s="5">
        <v>523</v>
      </c>
      <c r="H885" s="5">
        <v>14.05956002406152</v>
      </c>
      <c r="I885" s="1">
        <f t="shared" si="26"/>
        <v>2273</v>
      </c>
      <c r="J885" s="1">
        <f t="shared" si="27"/>
        <v>0.290595831685524</v>
      </c>
      <c r="K885" s="6" t="s">
        <v>1101</v>
      </c>
    </row>
    <row r="886" spans="1:11">
      <c r="A886" s="5" t="s">
        <v>1266</v>
      </c>
      <c r="B886" s="5">
        <v>4.7371887523794953E-8</v>
      </c>
      <c r="C886" s="5">
        <v>4890</v>
      </c>
      <c r="D886" s="5">
        <v>4890</v>
      </c>
      <c r="E886" s="5">
        <v>90.394280481574569</v>
      </c>
      <c r="F886" s="5">
        <v>1447</v>
      </c>
      <c r="G886" s="5">
        <v>1447</v>
      </c>
      <c r="H886" s="5">
        <v>26.558089138216893</v>
      </c>
      <c r="I886" s="1">
        <f t="shared" si="26"/>
        <v>6337</v>
      </c>
      <c r="J886" s="1">
        <f t="shared" si="27"/>
        <v>0.29058808711307821</v>
      </c>
      <c r="K886" s="6" t="s">
        <v>1186</v>
      </c>
    </row>
    <row r="887" spans="1:11">
      <c r="A887" s="5" t="s">
        <v>2159</v>
      </c>
      <c r="B887" s="5">
        <v>6.1967653230965425E-11</v>
      </c>
      <c r="C887" s="5">
        <v>10630</v>
      </c>
      <c r="D887" s="5">
        <v>40102</v>
      </c>
      <c r="E887" s="5">
        <v>151.38789760989653</v>
      </c>
      <c r="F887" s="5">
        <v>3679</v>
      </c>
      <c r="G887" s="5">
        <v>11813</v>
      </c>
      <c r="H887" s="5">
        <v>44.277340685052494</v>
      </c>
      <c r="I887" s="1">
        <f t="shared" si="26"/>
        <v>51915</v>
      </c>
      <c r="J887" s="1">
        <f t="shared" si="27"/>
        <v>0.2905568052287178</v>
      </c>
      <c r="K887" s="6" t="s">
        <v>1545</v>
      </c>
    </row>
    <row r="888" spans="1:11">
      <c r="A888" s="5" t="s">
        <v>1170</v>
      </c>
      <c r="B888" s="5">
        <v>6.8631559324572322E-7</v>
      </c>
      <c r="C888" s="5">
        <v>5593</v>
      </c>
      <c r="D888" s="5">
        <v>5593</v>
      </c>
      <c r="E888" s="5">
        <v>81.08125268421341</v>
      </c>
      <c r="F888" s="5">
        <v>1656</v>
      </c>
      <c r="G888" s="5">
        <v>1656</v>
      </c>
      <c r="H888" s="5">
        <v>23.835933379762778</v>
      </c>
      <c r="I888" s="1">
        <f t="shared" si="26"/>
        <v>7249</v>
      </c>
      <c r="J888" s="1">
        <f t="shared" si="27"/>
        <v>0.2903943665609664</v>
      </c>
      <c r="K888" s="6" t="s">
        <v>1171</v>
      </c>
    </row>
    <row r="889" spans="1:11">
      <c r="A889" s="5" t="s">
        <v>1022</v>
      </c>
      <c r="B889" s="5">
        <v>4.7667425562281096E-11</v>
      </c>
      <c r="C889" s="5">
        <v>14630</v>
      </c>
      <c r="D889" s="5">
        <v>15295</v>
      </c>
      <c r="E889" s="5">
        <v>156.93357371906569</v>
      </c>
      <c r="F889" s="5">
        <v>4263</v>
      </c>
      <c r="G889" s="5">
        <v>4497</v>
      </c>
      <c r="H889" s="5">
        <v>45.812656010071898</v>
      </c>
      <c r="I889" s="1">
        <f t="shared" si="26"/>
        <v>19792</v>
      </c>
      <c r="J889" s="1">
        <f t="shared" si="27"/>
        <v>0.2900754724360512</v>
      </c>
      <c r="K889" s="6" t="s">
        <v>1023</v>
      </c>
    </row>
    <row r="890" spans="1:11">
      <c r="A890" s="5" t="s">
        <v>267</v>
      </c>
      <c r="B890" s="5">
        <v>4.9712698940995725E-4</v>
      </c>
      <c r="C890" s="5">
        <v>6334</v>
      </c>
      <c r="D890" s="5">
        <v>6339</v>
      </c>
      <c r="E890" s="5">
        <v>58.214209354210873</v>
      </c>
      <c r="F890" s="5">
        <v>1879</v>
      </c>
      <c r="G890" s="5">
        <v>1880</v>
      </c>
      <c r="H890" s="5">
        <v>17.142031975926056</v>
      </c>
      <c r="I890" s="1">
        <f t="shared" si="26"/>
        <v>8219</v>
      </c>
      <c r="J890" s="1">
        <f t="shared" si="27"/>
        <v>0.28949186627461138</v>
      </c>
      <c r="K890" s="6" t="s">
        <v>268</v>
      </c>
    </row>
    <row r="891" spans="1:11">
      <c r="A891" s="5" t="s">
        <v>1919</v>
      </c>
      <c r="B891" s="5">
        <v>0</v>
      </c>
      <c r="C891" s="5">
        <v>1872</v>
      </c>
      <c r="D891" s="5">
        <v>15203</v>
      </c>
      <c r="E891" s="5">
        <v>344.7370433451855</v>
      </c>
      <c r="F891" s="5">
        <v>684</v>
      </c>
      <c r="G891" s="5">
        <v>4439</v>
      </c>
      <c r="H891" s="5">
        <v>99.940151181553745</v>
      </c>
      <c r="I891" s="1">
        <f t="shared" si="26"/>
        <v>19642</v>
      </c>
      <c r="J891" s="1">
        <f t="shared" si="27"/>
        <v>0.28906405346265723</v>
      </c>
      <c r="K891" s="6" t="s">
        <v>25</v>
      </c>
    </row>
    <row r="892" spans="1:11">
      <c r="A892" s="5" t="s">
        <v>1256</v>
      </c>
      <c r="B892" s="5">
        <v>0</v>
      </c>
      <c r="C892" s="5">
        <v>11873</v>
      </c>
      <c r="D892" s="5">
        <v>11873</v>
      </c>
      <c r="E892" s="5">
        <v>178.39468890479398</v>
      </c>
      <c r="F892" s="5">
        <v>3475</v>
      </c>
      <c r="G892" s="5">
        <v>3475</v>
      </c>
      <c r="H892" s="5">
        <v>51.840891533925195</v>
      </c>
      <c r="I892" s="1">
        <f t="shared" si="26"/>
        <v>15348</v>
      </c>
      <c r="J892" s="1">
        <f t="shared" si="27"/>
        <v>0.28897673532262441</v>
      </c>
      <c r="K892" s="6" t="s">
        <v>1257</v>
      </c>
    </row>
    <row r="893" spans="1:11">
      <c r="A893" s="5" t="s">
        <v>607</v>
      </c>
      <c r="B893" s="5">
        <v>6.7126984704124482E-6</v>
      </c>
      <c r="C893" s="5">
        <v>13856</v>
      </c>
      <c r="D893" s="5">
        <v>13857</v>
      </c>
      <c r="E893" s="5">
        <v>72.861610412654798</v>
      </c>
      <c r="F893" s="5">
        <v>4086</v>
      </c>
      <c r="G893" s="5">
        <v>4086</v>
      </c>
      <c r="H893" s="5">
        <v>21.331633393228199</v>
      </c>
      <c r="I893" s="1">
        <f t="shared" si="26"/>
        <v>17943</v>
      </c>
      <c r="J893" s="1">
        <f t="shared" si="27"/>
        <v>0.2888054196767611</v>
      </c>
      <c r="K893" s="6" t="s">
        <v>608</v>
      </c>
    </row>
    <row r="894" spans="1:11">
      <c r="A894" s="5" t="s">
        <v>833</v>
      </c>
      <c r="B894" s="5">
        <v>0</v>
      </c>
      <c r="C894" s="5">
        <v>9373</v>
      </c>
      <c r="D894" s="5">
        <v>9373</v>
      </c>
      <c r="E894" s="5">
        <v>140.52121323485736</v>
      </c>
      <c r="F894" s="5">
        <v>2744</v>
      </c>
      <c r="G894" s="5">
        <v>2744</v>
      </c>
      <c r="H894" s="5">
        <v>40.845440186205813</v>
      </c>
      <c r="I894" s="1">
        <f t="shared" si="26"/>
        <v>12117</v>
      </c>
      <c r="J894" s="1">
        <f t="shared" si="27"/>
        <v>0.28861708610723941</v>
      </c>
      <c r="K894" s="6" t="s">
        <v>834</v>
      </c>
    </row>
    <row r="895" spans="1:11">
      <c r="A895" s="5" t="s">
        <v>1130</v>
      </c>
      <c r="B895" s="5">
        <v>7.4144608263804201E-3</v>
      </c>
      <c r="C895" s="5">
        <v>3181</v>
      </c>
      <c r="D895" s="5">
        <v>4659</v>
      </c>
      <c r="E895" s="5">
        <v>48.853451420113515</v>
      </c>
      <c r="F895" s="5">
        <v>977</v>
      </c>
      <c r="G895" s="5">
        <v>1382</v>
      </c>
      <c r="H895" s="5">
        <v>14.388210533581852</v>
      </c>
      <c r="I895" s="1">
        <f t="shared" si="26"/>
        <v>6041</v>
      </c>
      <c r="J895" s="1">
        <f t="shared" si="27"/>
        <v>0.28861011873245929</v>
      </c>
      <c r="K895" s="6" t="s">
        <v>281</v>
      </c>
    </row>
    <row r="896" spans="1:11">
      <c r="A896" s="5" t="s">
        <v>1328</v>
      </c>
      <c r="B896" s="5">
        <v>7.3407835365912888E-10</v>
      </c>
      <c r="C896" s="5">
        <v>3493</v>
      </c>
      <c r="D896" s="5">
        <v>3493</v>
      </c>
      <c r="E896" s="5">
        <v>104.33261957914739</v>
      </c>
      <c r="F896" s="5">
        <v>1025</v>
      </c>
      <c r="G896" s="5">
        <v>1025</v>
      </c>
      <c r="H896" s="5">
        <v>30.397760681087902</v>
      </c>
      <c r="I896" s="1">
        <f t="shared" si="26"/>
        <v>4518</v>
      </c>
      <c r="J896" s="1">
        <f t="shared" si="27"/>
        <v>0.28858829109672801</v>
      </c>
      <c r="K896" s="6" t="s">
        <v>1329</v>
      </c>
    </row>
    <row r="897" spans="1:11">
      <c r="A897" s="5" t="s">
        <v>98</v>
      </c>
      <c r="B897" s="5">
        <v>3.3164636169685791E-3</v>
      </c>
      <c r="C897" s="5">
        <v>4056</v>
      </c>
      <c r="D897" s="5">
        <v>4057</v>
      </c>
      <c r="E897" s="5">
        <v>51.585914911705849</v>
      </c>
      <c r="F897" s="5">
        <v>1201</v>
      </c>
      <c r="G897" s="5">
        <v>1202</v>
      </c>
      <c r="H897" s="5">
        <v>15.174933529303047</v>
      </c>
      <c r="I897" s="1">
        <f t="shared" si="26"/>
        <v>5259</v>
      </c>
      <c r="J897" s="1">
        <f t="shared" si="27"/>
        <v>0.28857410876624384</v>
      </c>
      <c r="K897" s="6" t="s">
        <v>70</v>
      </c>
    </row>
    <row r="898" spans="1:11">
      <c r="A898" s="5" t="s">
        <v>1858</v>
      </c>
      <c r="B898" s="5">
        <v>4.8144099817903907E-10</v>
      </c>
      <c r="C898" s="5">
        <v>55612</v>
      </c>
      <c r="D898" s="5">
        <v>68597</v>
      </c>
      <c r="E898" s="5">
        <v>923.13214623420572</v>
      </c>
      <c r="F898" s="5">
        <v>16335</v>
      </c>
      <c r="G898" s="5">
        <v>19951</v>
      </c>
      <c r="H898" s="5">
        <v>266.57512434941424</v>
      </c>
      <c r="I898" s="1">
        <f t="shared" ref="I898:I961" si="28">D898+G898</f>
        <v>88548</v>
      </c>
      <c r="J898" s="1">
        <f t="shared" ref="J898:J961" si="29">H898/(E898+1)</f>
        <v>0.2884599626099959</v>
      </c>
      <c r="K898" s="6" t="s">
        <v>1859</v>
      </c>
    </row>
    <row r="899" spans="1:11">
      <c r="A899" s="5" t="s">
        <v>1603</v>
      </c>
      <c r="B899" s="5">
        <v>7.6533712598525483E-5</v>
      </c>
      <c r="C899" s="5">
        <v>2802</v>
      </c>
      <c r="D899" s="5">
        <v>2802</v>
      </c>
      <c r="E899" s="5">
        <v>64.395620404748286</v>
      </c>
      <c r="F899" s="5">
        <v>826</v>
      </c>
      <c r="G899" s="5">
        <v>826</v>
      </c>
      <c r="H899" s="5">
        <v>18.847964192377315</v>
      </c>
      <c r="I899" s="1">
        <f t="shared" si="28"/>
        <v>3628</v>
      </c>
      <c r="J899" s="1">
        <f t="shared" si="29"/>
        <v>0.28821447179066428</v>
      </c>
      <c r="K899" s="6" t="s">
        <v>71</v>
      </c>
    </row>
    <row r="900" spans="1:11">
      <c r="A900" s="5" t="s">
        <v>2162</v>
      </c>
      <c r="B900" s="5">
        <v>0</v>
      </c>
      <c r="C900" s="5">
        <v>5328</v>
      </c>
      <c r="D900" s="5">
        <v>5328</v>
      </c>
      <c r="E900" s="5">
        <v>136.13020906312215</v>
      </c>
      <c r="F900" s="5">
        <v>1557</v>
      </c>
      <c r="G900" s="5">
        <v>1557</v>
      </c>
      <c r="H900" s="5">
        <v>39.498000219483309</v>
      </c>
      <c r="I900" s="1">
        <f t="shared" si="28"/>
        <v>6885</v>
      </c>
      <c r="J900" s="1">
        <f t="shared" si="29"/>
        <v>0.28803281559427985</v>
      </c>
      <c r="K900" s="6" t="s">
        <v>532</v>
      </c>
    </row>
    <row r="901" spans="1:11">
      <c r="A901" s="5" t="s">
        <v>1615</v>
      </c>
      <c r="B901" s="5">
        <v>0</v>
      </c>
      <c r="C901" s="5">
        <v>2509</v>
      </c>
      <c r="D901" s="5">
        <v>2534</v>
      </c>
      <c r="E901" s="5">
        <v>283.75285509331735</v>
      </c>
      <c r="F901" s="5">
        <v>733</v>
      </c>
      <c r="G901" s="5">
        <v>737</v>
      </c>
      <c r="H901" s="5">
        <v>81.940256170258692</v>
      </c>
      <c r="I901" s="1">
        <f t="shared" si="28"/>
        <v>3271</v>
      </c>
      <c r="J901" s="1">
        <f t="shared" si="29"/>
        <v>0.28775920839636804</v>
      </c>
      <c r="K901" s="6" t="s">
        <v>2</v>
      </c>
    </row>
    <row r="902" spans="1:11">
      <c r="A902" s="5" t="s">
        <v>945</v>
      </c>
      <c r="B902" s="5">
        <v>1.5245096144922421E-4</v>
      </c>
      <c r="C902" s="5">
        <v>3267</v>
      </c>
      <c r="D902" s="5">
        <v>3267</v>
      </c>
      <c r="E902" s="5">
        <v>61.94940457288552</v>
      </c>
      <c r="F902" s="5">
        <v>962</v>
      </c>
      <c r="G902" s="5">
        <v>962</v>
      </c>
      <c r="H902" s="5">
        <v>18.111702422852503</v>
      </c>
      <c r="I902" s="1">
        <f t="shared" si="28"/>
        <v>4229</v>
      </c>
      <c r="J902" s="1">
        <f t="shared" si="29"/>
        <v>0.28771840727868991</v>
      </c>
      <c r="K902" s="6" t="s">
        <v>474</v>
      </c>
    </row>
    <row r="903" spans="1:11">
      <c r="A903" s="5" t="s">
        <v>1297</v>
      </c>
      <c r="B903" s="5">
        <v>0</v>
      </c>
      <c r="C903" s="5">
        <v>7577</v>
      </c>
      <c r="D903" s="5">
        <v>7582</v>
      </c>
      <c r="E903" s="5">
        <v>170.64649886380963</v>
      </c>
      <c r="F903" s="5">
        <v>2201</v>
      </c>
      <c r="G903" s="5">
        <v>2208</v>
      </c>
      <c r="H903" s="5">
        <v>49.341104994557192</v>
      </c>
      <c r="I903" s="1">
        <f t="shared" si="28"/>
        <v>9790</v>
      </c>
      <c r="J903" s="1">
        <f t="shared" si="29"/>
        <v>0.28745768379293402</v>
      </c>
      <c r="K903" s="6" t="s">
        <v>936</v>
      </c>
    </row>
    <row r="904" spans="1:11">
      <c r="A904" s="5" t="s">
        <v>733</v>
      </c>
      <c r="B904" s="5">
        <v>5.0854417201207092E-4</v>
      </c>
      <c r="C904" s="5">
        <v>1587</v>
      </c>
      <c r="D904" s="5">
        <v>1607</v>
      </c>
      <c r="E904" s="5">
        <v>57.764351277993413</v>
      </c>
      <c r="F904" s="5">
        <v>469</v>
      </c>
      <c r="G904" s="5">
        <v>473</v>
      </c>
      <c r="H904" s="5">
        <v>16.881124168911711</v>
      </c>
      <c r="I904" s="1">
        <f t="shared" si="28"/>
        <v>2080</v>
      </c>
      <c r="J904" s="1">
        <f t="shared" si="29"/>
        <v>0.28726811071312724</v>
      </c>
      <c r="K904" s="6" t="s">
        <v>734</v>
      </c>
    </row>
    <row r="905" spans="1:11">
      <c r="A905" s="5" t="s">
        <v>1502</v>
      </c>
      <c r="B905" s="5">
        <v>1.2421177753019208E-7</v>
      </c>
      <c r="C905" s="5">
        <v>3769</v>
      </c>
      <c r="D905" s="5">
        <v>3778</v>
      </c>
      <c r="E905" s="5">
        <v>86.171055582002751</v>
      </c>
      <c r="F905" s="5">
        <v>1099</v>
      </c>
      <c r="G905" s="5">
        <v>1105</v>
      </c>
      <c r="H905" s="5">
        <v>25.02406949352568</v>
      </c>
      <c r="I905" s="1">
        <f t="shared" si="28"/>
        <v>4883</v>
      </c>
      <c r="J905" s="1">
        <f t="shared" si="29"/>
        <v>0.28706856107742401</v>
      </c>
      <c r="K905" s="6" t="s">
        <v>2</v>
      </c>
    </row>
    <row r="906" spans="1:11">
      <c r="A906" s="5" t="s">
        <v>2088</v>
      </c>
      <c r="B906" s="5">
        <v>7.436118387715851E-10</v>
      </c>
      <c r="C906" s="5">
        <v>3051</v>
      </c>
      <c r="D906" s="5">
        <v>3063</v>
      </c>
      <c r="E906" s="5">
        <v>104.18301293491119</v>
      </c>
      <c r="F906" s="5">
        <v>892</v>
      </c>
      <c r="G906" s="5">
        <v>894</v>
      </c>
      <c r="H906" s="5">
        <v>30.191426612855054</v>
      </c>
      <c r="I906" s="1">
        <f t="shared" si="28"/>
        <v>3957</v>
      </c>
      <c r="J906" s="1">
        <f t="shared" si="29"/>
        <v>0.28703709629936114</v>
      </c>
      <c r="K906" s="6" t="s">
        <v>1002</v>
      </c>
    </row>
    <row r="907" spans="1:11">
      <c r="A907" s="5" t="s">
        <v>367</v>
      </c>
      <c r="B907" s="5">
        <v>1.001015936807903E-10</v>
      </c>
      <c r="C907" s="5">
        <v>2718</v>
      </c>
      <c r="D907" s="5">
        <v>2719</v>
      </c>
      <c r="E907" s="5">
        <v>122.90020843353736</v>
      </c>
      <c r="F907" s="5">
        <v>792</v>
      </c>
      <c r="G907" s="5">
        <v>792</v>
      </c>
      <c r="H907" s="5">
        <v>35.543876678604803</v>
      </c>
      <c r="I907" s="1">
        <f t="shared" si="28"/>
        <v>3511</v>
      </c>
      <c r="J907" s="1">
        <f t="shared" si="29"/>
        <v>0.28687503538520098</v>
      </c>
      <c r="K907" s="6" t="s">
        <v>368</v>
      </c>
    </row>
    <row r="908" spans="1:11">
      <c r="A908" s="5" t="s">
        <v>1070</v>
      </c>
      <c r="B908" s="5">
        <v>1.2393530646193085E-9</v>
      </c>
      <c r="C908" s="5">
        <v>213</v>
      </c>
      <c r="D908" s="5">
        <v>6834</v>
      </c>
      <c r="E908" s="5">
        <v>101.67195444200074</v>
      </c>
      <c r="F908" s="5">
        <v>74</v>
      </c>
      <c r="G908" s="5">
        <v>1991</v>
      </c>
      <c r="H908" s="5">
        <v>29.409907437687082</v>
      </c>
      <c r="I908" s="1">
        <f t="shared" si="28"/>
        <v>8825</v>
      </c>
      <c r="J908" s="1">
        <f t="shared" si="29"/>
        <v>0.28644538420957694</v>
      </c>
      <c r="K908" s="6" t="s">
        <v>1027</v>
      </c>
    </row>
    <row r="909" spans="1:11">
      <c r="A909" s="5" t="s">
        <v>408</v>
      </c>
      <c r="B909" s="5">
        <v>0</v>
      </c>
      <c r="C909" s="5">
        <v>15385</v>
      </c>
      <c r="D909" s="5">
        <v>15385</v>
      </c>
      <c r="E909" s="5">
        <v>295.43881550319941</v>
      </c>
      <c r="F909" s="5">
        <v>4453</v>
      </c>
      <c r="G909" s="5">
        <v>4453</v>
      </c>
      <c r="H909" s="5">
        <v>84.902200797313256</v>
      </c>
      <c r="I909" s="1">
        <f t="shared" si="28"/>
        <v>19838</v>
      </c>
      <c r="J909" s="1">
        <f t="shared" si="29"/>
        <v>0.28640716517907189</v>
      </c>
      <c r="K909" s="6" t="s">
        <v>111</v>
      </c>
    </row>
    <row r="910" spans="1:11">
      <c r="A910" s="5" t="s">
        <v>523</v>
      </c>
      <c r="B910" s="5">
        <v>4.1906340508823803E-7</v>
      </c>
      <c r="C910" s="5">
        <v>4366</v>
      </c>
      <c r="D910" s="5">
        <v>4580</v>
      </c>
      <c r="E910" s="5">
        <v>81.828667235915034</v>
      </c>
      <c r="F910" s="5">
        <v>1287</v>
      </c>
      <c r="G910" s="5">
        <v>1337</v>
      </c>
      <c r="H910" s="5">
        <v>23.717428883230998</v>
      </c>
      <c r="I910" s="1">
        <f t="shared" si="28"/>
        <v>5917</v>
      </c>
      <c r="J910" s="1">
        <f t="shared" si="29"/>
        <v>0.28634323929996752</v>
      </c>
      <c r="K910" s="6" t="s">
        <v>278</v>
      </c>
    </row>
    <row r="911" spans="1:11">
      <c r="A911" s="5" t="s">
        <v>1182</v>
      </c>
      <c r="B911" s="5">
        <v>2.9151300107166378E-5</v>
      </c>
      <c r="C911" s="5">
        <v>2456</v>
      </c>
      <c r="D911" s="5">
        <v>2457</v>
      </c>
      <c r="E911" s="5">
        <v>67.328015082022546</v>
      </c>
      <c r="F911" s="5">
        <v>719</v>
      </c>
      <c r="G911" s="5">
        <v>719</v>
      </c>
      <c r="H911" s="5">
        <v>19.562112176414121</v>
      </c>
      <c r="I911" s="1">
        <f t="shared" si="28"/>
        <v>3176</v>
      </c>
      <c r="J911" s="1">
        <f t="shared" si="29"/>
        <v>0.28629709428747935</v>
      </c>
      <c r="K911" s="6" t="s">
        <v>1183</v>
      </c>
    </row>
    <row r="912" spans="1:11">
      <c r="A912" s="5" t="s">
        <v>1443</v>
      </c>
      <c r="B912" s="5">
        <v>1.4904860838160783E-4</v>
      </c>
      <c r="C912" s="5">
        <v>15468</v>
      </c>
      <c r="D912" s="5">
        <v>15470</v>
      </c>
      <c r="E912" s="5">
        <v>61.749994436546039</v>
      </c>
      <c r="F912" s="5">
        <v>4531</v>
      </c>
      <c r="G912" s="5">
        <v>4531</v>
      </c>
      <c r="H912" s="5">
        <v>17.95712770749088</v>
      </c>
      <c r="I912" s="1">
        <f t="shared" si="28"/>
        <v>20001</v>
      </c>
      <c r="J912" s="1">
        <f t="shared" si="29"/>
        <v>0.28616939122838425</v>
      </c>
      <c r="K912" s="6" t="s">
        <v>63</v>
      </c>
    </row>
    <row r="913" spans="1:11">
      <c r="A913" s="5" t="s">
        <v>1493</v>
      </c>
      <c r="B913" s="5">
        <v>3.8133940449824877E-10</v>
      </c>
      <c r="C913" s="5">
        <v>3579</v>
      </c>
      <c r="D913" s="5">
        <v>15555</v>
      </c>
      <c r="E913" s="5">
        <v>105.73635337992383</v>
      </c>
      <c r="F913" s="5">
        <v>1132</v>
      </c>
      <c r="G913" s="5">
        <v>4523</v>
      </c>
      <c r="H913" s="5">
        <v>30.526506142751639</v>
      </c>
      <c r="I913" s="1">
        <f t="shared" si="28"/>
        <v>20078</v>
      </c>
      <c r="J913" s="1">
        <f t="shared" si="29"/>
        <v>0.28599914814490379</v>
      </c>
      <c r="K913" s="6" t="s">
        <v>1494</v>
      </c>
    </row>
    <row r="914" spans="1:11">
      <c r="A914" s="5" t="s">
        <v>1981</v>
      </c>
      <c r="B914" s="5">
        <v>4.8766446240853245E-2</v>
      </c>
      <c r="C914" s="5">
        <v>1861</v>
      </c>
      <c r="D914" s="5">
        <v>1869</v>
      </c>
      <c r="E914" s="5">
        <v>42.134896783746569</v>
      </c>
      <c r="F914" s="5">
        <v>551</v>
      </c>
      <c r="G914" s="5">
        <v>551</v>
      </c>
      <c r="H914" s="5">
        <v>12.333332268466114</v>
      </c>
      <c r="I914" s="1">
        <f t="shared" si="28"/>
        <v>2420</v>
      </c>
      <c r="J914" s="1">
        <f t="shared" si="29"/>
        <v>0.28592469643078805</v>
      </c>
      <c r="K914" s="6" t="s">
        <v>2</v>
      </c>
    </row>
    <row r="915" spans="1:11">
      <c r="A915" s="5" t="s">
        <v>1262</v>
      </c>
      <c r="B915" s="5">
        <v>8.2904468791666908E-5</v>
      </c>
      <c r="C915" s="5">
        <v>1822</v>
      </c>
      <c r="D915" s="5">
        <v>1823</v>
      </c>
      <c r="E915" s="5">
        <v>63.677955935317456</v>
      </c>
      <c r="F915" s="5">
        <v>531</v>
      </c>
      <c r="G915" s="5">
        <v>533</v>
      </c>
      <c r="H915" s="5">
        <v>18.485272387477483</v>
      </c>
      <c r="I915" s="1">
        <f t="shared" si="28"/>
        <v>2356</v>
      </c>
      <c r="J915" s="1">
        <f t="shared" si="29"/>
        <v>0.28580483288562902</v>
      </c>
      <c r="K915" s="6" t="s">
        <v>842</v>
      </c>
    </row>
    <row r="916" spans="1:11">
      <c r="A916" s="5" t="s">
        <v>2219</v>
      </c>
      <c r="B916" s="5">
        <v>1.3346879157438707E-10</v>
      </c>
      <c r="C916" s="5">
        <v>5981</v>
      </c>
      <c r="D916" s="5">
        <v>5982</v>
      </c>
      <c r="E916" s="5">
        <v>167.6359198679132</v>
      </c>
      <c r="F916" s="5">
        <v>1732</v>
      </c>
      <c r="G916" s="5">
        <v>1732</v>
      </c>
      <c r="H916" s="5">
        <v>48.190869343825483</v>
      </c>
      <c r="I916" s="1">
        <f t="shared" si="28"/>
        <v>7714</v>
      </c>
      <c r="J916" s="1">
        <f t="shared" si="29"/>
        <v>0.28576871037660162</v>
      </c>
      <c r="K916" s="6" t="s">
        <v>2220</v>
      </c>
    </row>
    <row r="917" spans="1:11">
      <c r="A917" s="5" t="s">
        <v>2025</v>
      </c>
      <c r="B917" s="5">
        <v>0</v>
      </c>
      <c r="C917" s="5">
        <v>15864</v>
      </c>
      <c r="D917" s="5">
        <v>15864</v>
      </c>
      <c r="E917" s="5">
        <v>311.67561915998562</v>
      </c>
      <c r="F917" s="5">
        <v>4577</v>
      </c>
      <c r="G917" s="5">
        <v>4577</v>
      </c>
      <c r="H917" s="5">
        <v>89.282684955968037</v>
      </c>
      <c r="I917" s="1">
        <f t="shared" si="28"/>
        <v>20441</v>
      </c>
      <c r="J917" s="1">
        <f t="shared" si="29"/>
        <v>0.2855441213991331</v>
      </c>
      <c r="K917" s="6" t="s">
        <v>1459</v>
      </c>
    </row>
    <row r="918" spans="1:11">
      <c r="A918" s="5" t="s">
        <v>2094</v>
      </c>
      <c r="B918" s="5">
        <v>1.7372166844968895E-2</v>
      </c>
      <c r="C918" s="5">
        <v>589</v>
      </c>
      <c r="D918" s="5">
        <v>589</v>
      </c>
      <c r="E918" s="5">
        <v>45.531560426989799</v>
      </c>
      <c r="F918" s="5">
        <v>173</v>
      </c>
      <c r="G918" s="5">
        <v>173</v>
      </c>
      <c r="H918" s="5">
        <v>13.278210301057362</v>
      </c>
      <c r="I918" s="1">
        <f t="shared" si="28"/>
        <v>762</v>
      </c>
      <c r="J918" s="1">
        <f t="shared" si="29"/>
        <v>0.28535923100819921</v>
      </c>
      <c r="K918" s="6" t="s">
        <v>2</v>
      </c>
    </row>
    <row r="919" spans="1:11">
      <c r="A919" s="5" t="s">
        <v>1104</v>
      </c>
      <c r="B919" s="5">
        <v>3.8138409676144458E-2</v>
      </c>
      <c r="C919" s="5">
        <v>7731</v>
      </c>
      <c r="D919" s="5">
        <v>7734</v>
      </c>
      <c r="E919" s="5">
        <v>42.817425295042327</v>
      </c>
      <c r="F919" s="5">
        <v>2269</v>
      </c>
      <c r="G919" s="5">
        <v>2270</v>
      </c>
      <c r="H919" s="5">
        <v>12.47781200519452</v>
      </c>
      <c r="I919" s="1">
        <f t="shared" si="28"/>
        <v>10004</v>
      </c>
      <c r="J919" s="1">
        <f t="shared" si="29"/>
        <v>0.28476826105540959</v>
      </c>
      <c r="K919" s="6" t="s">
        <v>1105</v>
      </c>
    </row>
    <row r="920" spans="1:11">
      <c r="A920" s="5" t="s">
        <v>1834</v>
      </c>
      <c r="B920" s="5">
        <v>2.1450341503026493E-10</v>
      </c>
      <c r="C920" s="5">
        <v>5468</v>
      </c>
      <c r="D920" s="5">
        <v>5471</v>
      </c>
      <c r="E920" s="5">
        <v>109.6243037146577</v>
      </c>
      <c r="F920" s="5">
        <v>1583</v>
      </c>
      <c r="G920" s="5">
        <v>1583</v>
      </c>
      <c r="H920" s="5">
        <v>31.493233125533042</v>
      </c>
      <c r="I920" s="1">
        <f t="shared" si="28"/>
        <v>7054</v>
      </c>
      <c r="J920" s="1">
        <f t="shared" si="29"/>
        <v>0.28468638507109711</v>
      </c>
      <c r="K920" s="6" t="s">
        <v>45</v>
      </c>
    </row>
    <row r="921" spans="1:11">
      <c r="A921" s="5" t="s">
        <v>716</v>
      </c>
      <c r="B921" s="5">
        <v>2.7092369620155266E-2</v>
      </c>
      <c r="C921" s="5">
        <v>3052</v>
      </c>
      <c r="D921" s="5">
        <v>3052</v>
      </c>
      <c r="E921" s="5">
        <v>43.870624679214771</v>
      </c>
      <c r="F921" s="5">
        <v>892</v>
      </c>
      <c r="G921" s="5">
        <v>893</v>
      </c>
      <c r="H921" s="5">
        <v>12.74491513667075</v>
      </c>
      <c r="I921" s="1">
        <f t="shared" si="28"/>
        <v>3945</v>
      </c>
      <c r="J921" s="1">
        <f t="shared" si="29"/>
        <v>0.28403694461099233</v>
      </c>
      <c r="K921" s="6" t="s">
        <v>95</v>
      </c>
    </row>
    <row r="922" spans="1:11">
      <c r="A922" s="5" t="s">
        <v>331</v>
      </c>
      <c r="B922" s="5">
        <v>2.9578371639749079E-5</v>
      </c>
      <c r="C922" s="5">
        <v>1458</v>
      </c>
      <c r="D922" s="5">
        <v>1461</v>
      </c>
      <c r="E922" s="5">
        <v>66.814873932199276</v>
      </c>
      <c r="F922" s="5">
        <v>424</v>
      </c>
      <c r="G922" s="5">
        <v>424</v>
      </c>
      <c r="H922" s="5">
        <v>19.252405217003052</v>
      </c>
      <c r="I922" s="1">
        <f t="shared" si="28"/>
        <v>1885</v>
      </c>
      <c r="J922" s="1">
        <f t="shared" si="29"/>
        <v>0.2838964979312863</v>
      </c>
      <c r="K922" s="6" t="s">
        <v>332</v>
      </c>
    </row>
    <row r="923" spans="1:11">
      <c r="A923" s="5" t="s">
        <v>803</v>
      </c>
      <c r="B923" s="5">
        <v>1.970454168078728E-3</v>
      </c>
      <c r="C923" s="5">
        <v>4457</v>
      </c>
      <c r="D923" s="5">
        <v>7335</v>
      </c>
      <c r="E923" s="5">
        <v>52.620767546352923</v>
      </c>
      <c r="F923" s="5">
        <v>1311</v>
      </c>
      <c r="G923" s="5">
        <v>2136</v>
      </c>
      <c r="H923" s="5">
        <v>15.21438874390854</v>
      </c>
      <c r="I923" s="1">
        <f t="shared" si="28"/>
        <v>9471</v>
      </c>
      <c r="J923" s="1">
        <f t="shared" si="29"/>
        <v>0.28374059977333099</v>
      </c>
      <c r="K923" s="6" t="s">
        <v>186</v>
      </c>
    </row>
    <row r="924" spans="1:11">
      <c r="A924" s="5" t="s">
        <v>935</v>
      </c>
      <c r="B924" s="5">
        <v>6.3694644059086869E-7</v>
      </c>
      <c r="C924" s="5">
        <v>3176</v>
      </c>
      <c r="D924" s="5">
        <v>3176</v>
      </c>
      <c r="E924" s="5">
        <v>79.724373418067557</v>
      </c>
      <c r="F924" s="5">
        <v>918</v>
      </c>
      <c r="G924" s="5">
        <v>918</v>
      </c>
      <c r="H924" s="5">
        <v>22.879656612431329</v>
      </c>
      <c r="I924" s="1">
        <f t="shared" si="28"/>
        <v>4094</v>
      </c>
      <c r="J924" s="1">
        <f t="shared" si="29"/>
        <v>0.28342934907575823</v>
      </c>
      <c r="K924" s="6" t="s">
        <v>130</v>
      </c>
    </row>
    <row r="925" spans="1:11">
      <c r="A925" s="5" t="s">
        <v>1775</v>
      </c>
      <c r="B925" s="5">
        <v>0</v>
      </c>
      <c r="C925" s="5">
        <v>12019</v>
      </c>
      <c r="D925" s="5">
        <v>12035</v>
      </c>
      <c r="E925" s="5">
        <v>295.29388361019875</v>
      </c>
      <c r="F925" s="5">
        <v>3433</v>
      </c>
      <c r="G925" s="5">
        <v>3441</v>
      </c>
      <c r="H925" s="5">
        <v>83.828024098001691</v>
      </c>
      <c r="I925" s="1">
        <f t="shared" si="28"/>
        <v>15476</v>
      </c>
      <c r="J925" s="1">
        <f t="shared" si="29"/>
        <v>0.28292188511148952</v>
      </c>
      <c r="K925" s="6" t="s">
        <v>1776</v>
      </c>
    </row>
    <row r="926" spans="1:11">
      <c r="A926" s="5" t="s">
        <v>857</v>
      </c>
      <c r="B926" s="5">
        <v>1.9867782974358761E-8</v>
      </c>
      <c r="C926" s="5">
        <v>7236</v>
      </c>
      <c r="D926" s="5">
        <v>7236</v>
      </c>
      <c r="E926" s="5">
        <v>91.282666125052444</v>
      </c>
      <c r="F926" s="5">
        <v>2082</v>
      </c>
      <c r="G926" s="5">
        <v>2082</v>
      </c>
      <c r="H926" s="5">
        <v>26.077543778889282</v>
      </c>
      <c r="I926" s="1">
        <f t="shared" si="28"/>
        <v>9318</v>
      </c>
      <c r="J926" s="1">
        <f t="shared" si="29"/>
        <v>0.28258333741194197</v>
      </c>
      <c r="K926" s="6" t="s">
        <v>633</v>
      </c>
    </row>
    <row r="927" spans="1:11">
      <c r="A927" s="5" t="s">
        <v>2059</v>
      </c>
      <c r="B927" s="5">
        <v>1.1440182134947463E-10</v>
      </c>
      <c r="C927" s="5">
        <v>16480</v>
      </c>
      <c r="D927" s="5">
        <v>16480</v>
      </c>
      <c r="E927" s="5">
        <v>218.10920769766631</v>
      </c>
      <c r="F927" s="5">
        <v>4708</v>
      </c>
      <c r="G927" s="5">
        <v>4708</v>
      </c>
      <c r="H927" s="5">
        <v>61.865631008853484</v>
      </c>
      <c r="I927" s="1">
        <f t="shared" si="28"/>
        <v>21188</v>
      </c>
      <c r="J927" s="1">
        <f t="shared" si="29"/>
        <v>0.28235066731753966</v>
      </c>
      <c r="K927" s="6" t="s">
        <v>616</v>
      </c>
    </row>
    <row r="928" spans="1:11">
      <c r="A928" s="5" t="s">
        <v>1786</v>
      </c>
      <c r="B928" s="5">
        <v>2.3553989364433203E-4</v>
      </c>
      <c r="C928" s="5">
        <v>935</v>
      </c>
      <c r="D928" s="5">
        <v>938</v>
      </c>
      <c r="E928" s="5">
        <v>59.495682285339157</v>
      </c>
      <c r="F928" s="5">
        <v>269</v>
      </c>
      <c r="G928" s="5">
        <v>271</v>
      </c>
      <c r="H928" s="5">
        <v>17.066642912519555</v>
      </c>
      <c r="I928" s="1">
        <f t="shared" si="28"/>
        <v>1209</v>
      </c>
      <c r="J928" s="1">
        <f t="shared" si="29"/>
        <v>0.28211340492072728</v>
      </c>
      <c r="K928" s="6" t="s">
        <v>524</v>
      </c>
    </row>
    <row r="929" spans="1:11">
      <c r="A929" s="5" t="s">
        <v>1596</v>
      </c>
      <c r="B929" s="5">
        <v>7.1501138343421644E-11</v>
      </c>
      <c r="C929" s="5">
        <v>20158</v>
      </c>
      <c r="D929" s="5">
        <v>20158</v>
      </c>
      <c r="E929" s="5">
        <v>756.57038503768081</v>
      </c>
      <c r="F929" s="5">
        <v>5733</v>
      </c>
      <c r="G929" s="5">
        <v>5733</v>
      </c>
      <c r="H929" s="5">
        <v>213.63875494437772</v>
      </c>
      <c r="I929" s="1">
        <f t="shared" si="28"/>
        <v>25891</v>
      </c>
      <c r="J929" s="1">
        <f t="shared" si="29"/>
        <v>0.28200515643672047</v>
      </c>
      <c r="K929" s="6" t="s">
        <v>273</v>
      </c>
    </row>
    <row r="930" spans="1:11">
      <c r="A930" s="5" t="s">
        <v>629</v>
      </c>
      <c r="B930" s="5">
        <v>0</v>
      </c>
      <c r="C930" s="5">
        <v>8269</v>
      </c>
      <c r="D930" s="5">
        <v>8276</v>
      </c>
      <c r="E930" s="5">
        <v>259.14367219704201</v>
      </c>
      <c r="F930" s="5">
        <v>2356</v>
      </c>
      <c r="G930" s="5">
        <v>2359</v>
      </c>
      <c r="H930" s="5">
        <v>73.34056773294931</v>
      </c>
      <c r="I930" s="1">
        <f t="shared" si="28"/>
        <v>10635</v>
      </c>
      <c r="J930" s="1">
        <f t="shared" si="29"/>
        <v>0.28192331996220371</v>
      </c>
      <c r="K930" s="6" t="s">
        <v>630</v>
      </c>
    </row>
    <row r="931" spans="1:11">
      <c r="A931" s="5" t="s">
        <v>146</v>
      </c>
      <c r="B931" s="5">
        <v>0</v>
      </c>
      <c r="C931" s="5">
        <v>23340</v>
      </c>
      <c r="D931" s="5">
        <v>23378</v>
      </c>
      <c r="E931" s="5">
        <v>317.74826236673596</v>
      </c>
      <c r="F931" s="5">
        <v>6651</v>
      </c>
      <c r="G931" s="5">
        <v>6655</v>
      </c>
      <c r="H931" s="5">
        <v>89.809047377030296</v>
      </c>
      <c r="I931" s="1">
        <f t="shared" si="28"/>
        <v>30033</v>
      </c>
      <c r="J931" s="1">
        <f t="shared" si="29"/>
        <v>0.28175541008502958</v>
      </c>
      <c r="K931" s="6" t="s">
        <v>147</v>
      </c>
    </row>
    <row r="932" spans="1:11">
      <c r="A932" s="5" t="s">
        <v>1685</v>
      </c>
      <c r="B932" s="5">
        <v>6.1967653230965425E-11</v>
      </c>
      <c r="C932" s="5">
        <v>8856</v>
      </c>
      <c r="D932" s="5">
        <v>9063</v>
      </c>
      <c r="E932" s="5">
        <v>211.32020681464175</v>
      </c>
      <c r="F932" s="5">
        <v>2524</v>
      </c>
      <c r="G932" s="5">
        <v>2578</v>
      </c>
      <c r="H932" s="5">
        <v>59.682658498676567</v>
      </c>
      <c r="I932" s="1">
        <f t="shared" si="28"/>
        <v>11641</v>
      </c>
      <c r="J932" s="1">
        <f t="shared" si="29"/>
        <v>0.28109740186331056</v>
      </c>
      <c r="K932" s="6" t="s">
        <v>1622</v>
      </c>
    </row>
    <row r="933" spans="1:11">
      <c r="A933" s="5" t="s">
        <v>709</v>
      </c>
      <c r="B933" s="5">
        <v>0</v>
      </c>
      <c r="C933" s="5">
        <v>5331</v>
      </c>
      <c r="D933" s="5">
        <v>5599</v>
      </c>
      <c r="E933" s="5">
        <v>143.32340127871433</v>
      </c>
      <c r="F933" s="5">
        <v>1514</v>
      </c>
      <c r="G933" s="5">
        <v>1596</v>
      </c>
      <c r="H933" s="5">
        <v>40.563528466449618</v>
      </c>
      <c r="I933" s="1">
        <f t="shared" si="28"/>
        <v>7195</v>
      </c>
      <c r="J933" s="1">
        <f t="shared" si="29"/>
        <v>0.28105995359764407</v>
      </c>
      <c r="K933" s="6" t="s">
        <v>710</v>
      </c>
    </row>
    <row r="934" spans="1:11">
      <c r="A934" s="5" t="s">
        <v>1093</v>
      </c>
      <c r="B934" s="5">
        <v>1.8590295969289627E-10</v>
      </c>
      <c r="C934" s="5">
        <v>3929</v>
      </c>
      <c r="D934" s="5">
        <v>3929</v>
      </c>
      <c r="E934" s="5">
        <v>175.26374884636451</v>
      </c>
      <c r="F934" s="5">
        <v>1118</v>
      </c>
      <c r="G934" s="5">
        <v>1118</v>
      </c>
      <c r="H934" s="5">
        <v>49.516287018259362</v>
      </c>
      <c r="I934" s="1">
        <f t="shared" si="28"/>
        <v>5047</v>
      </c>
      <c r="J934" s="1">
        <f t="shared" si="29"/>
        <v>0.28092155841652322</v>
      </c>
      <c r="K934" s="6" t="s">
        <v>2</v>
      </c>
    </row>
    <row r="935" spans="1:11">
      <c r="A935" s="5" t="s">
        <v>954</v>
      </c>
      <c r="B935" s="5">
        <v>3.2091032963642574E-2</v>
      </c>
      <c r="C935" s="5">
        <v>3441</v>
      </c>
      <c r="D935" s="5">
        <v>3441</v>
      </c>
      <c r="E935" s="5">
        <v>42.87182207931717</v>
      </c>
      <c r="F935" s="5">
        <v>995</v>
      </c>
      <c r="G935" s="5">
        <v>995</v>
      </c>
      <c r="H935" s="5">
        <v>12.308540239689414</v>
      </c>
      <c r="I935" s="1">
        <f t="shared" si="28"/>
        <v>4436</v>
      </c>
      <c r="J935" s="1">
        <f t="shared" si="29"/>
        <v>0.28055685076029985</v>
      </c>
      <c r="K935" s="6" t="s">
        <v>236</v>
      </c>
    </row>
    <row r="936" spans="1:11">
      <c r="A936" s="5" t="s">
        <v>1258</v>
      </c>
      <c r="B936" s="5">
        <v>8.0557949200255052E-10</v>
      </c>
      <c r="C936" s="5">
        <v>15002</v>
      </c>
      <c r="D936" s="5">
        <v>15008</v>
      </c>
      <c r="E936" s="5">
        <v>623.47841710926411</v>
      </c>
      <c r="F936" s="5">
        <v>4240</v>
      </c>
      <c r="G936" s="5">
        <v>4242</v>
      </c>
      <c r="H936" s="5">
        <v>174.97075559435234</v>
      </c>
      <c r="I936" s="1">
        <f t="shared" si="28"/>
        <v>19250</v>
      </c>
      <c r="J936" s="1">
        <f t="shared" si="29"/>
        <v>0.28018703417213209</v>
      </c>
      <c r="K936" s="6" t="s">
        <v>261</v>
      </c>
    </row>
    <row r="937" spans="1:11">
      <c r="A937" s="5" t="s">
        <v>564</v>
      </c>
      <c r="B937" s="5">
        <v>1.565874929720934E-8</v>
      </c>
      <c r="C937" s="5">
        <v>6270</v>
      </c>
      <c r="D937" s="5">
        <v>6270</v>
      </c>
      <c r="E937" s="5">
        <v>91.382519121570482</v>
      </c>
      <c r="F937" s="5">
        <v>1787</v>
      </c>
      <c r="G937" s="5">
        <v>1787</v>
      </c>
      <c r="H937" s="5">
        <v>25.85927458168279</v>
      </c>
      <c r="I937" s="1">
        <f t="shared" si="28"/>
        <v>8057</v>
      </c>
      <c r="J937" s="1">
        <f t="shared" si="29"/>
        <v>0.27991523534504792</v>
      </c>
      <c r="K937" s="6" t="s">
        <v>565</v>
      </c>
    </row>
    <row r="938" spans="1:11">
      <c r="A938" s="5" t="s">
        <v>515</v>
      </c>
      <c r="B938" s="5">
        <v>5.4677947247561143E-4</v>
      </c>
      <c r="C938" s="5">
        <v>1597</v>
      </c>
      <c r="D938" s="5">
        <v>1597</v>
      </c>
      <c r="E938" s="5">
        <v>56.289516579144752</v>
      </c>
      <c r="F938" s="5">
        <v>458</v>
      </c>
      <c r="G938" s="5">
        <v>458</v>
      </c>
      <c r="H938" s="5">
        <v>16.028182574315373</v>
      </c>
      <c r="I938" s="1">
        <f t="shared" si="28"/>
        <v>2055</v>
      </c>
      <c r="J938" s="1">
        <f t="shared" si="29"/>
        <v>0.27977514092255673</v>
      </c>
      <c r="K938" s="6" t="s">
        <v>516</v>
      </c>
    </row>
    <row r="939" spans="1:11">
      <c r="A939" s="5" t="s">
        <v>822</v>
      </c>
      <c r="B939" s="5">
        <v>1.3216446256530956E-3</v>
      </c>
      <c r="C939" s="5">
        <v>1633</v>
      </c>
      <c r="D939" s="5">
        <v>1633</v>
      </c>
      <c r="E939" s="5">
        <v>53.279487320297719</v>
      </c>
      <c r="F939" s="5">
        <v>468</v>
      </c>
      <c r="G939" s="5">
        <v>468</v>
      </c>
      <c r="H939" s="5">
        <v>15.160583109154196</v>
      </c>
      <c r="I939" s="1">
        <f t="shared" si="28"/>
        <v>2101</v>
      </c>
      <c r="J939" s="1">
        <f t="shared" si="29"/>
        <v>0.27930593779733293</v>
      </c>
      <c r="K939" s="6" t="s">
        <v>823</v>
      </c>
    </row>
    <row r="940" spans="1:11">
      <c r="A940" s="5" t="s">
        <v>1542</v>
      </c>
      <c r="B940" s="5">
        <v>0</v>
      </c>
      <c r="C940" s="5">
        <v>22241</v>
      </c>
      <c r="D940" s="5">
        <v>22243</v>
      </c>
      <c r="E940" s="5">
        <v>225.586233069874</v>
      </c>
      <c r="F940" s="5">
        <v>6275</v>
      </c>
      <c r="G940" s="5">
        <v>6276</v>
      </c>
      <c r="H940" s="5">
        <v>63.197276887879958</v>
      </c>
      <c r="I940" s="1">
        <f t="shared" si="28"/>
        <v>28519</v>
      </c>
      <c r="J940" s="1">
        <f t="shared" si="29"/>
        <v>0.27891048821307413</v>
      </c>
      <c r="K940" s="6" t="s">
        <v>1422</v>
      </c>
    </row>
    <row r="941" spans="1:11">
      <c r="A941" s="5" t="s">
        <v>889</v>
      </c>
      <c r="B941" s="5">
        <v>0</v>
      </c>
      <c r="C941" s="5">
        <v>10271</v>
      </c>
      <c r="D941" s="5">
        <v>10388</v>
      </c>
      <c r="E941" s="5">
        <v>212.2108667664447</v>
      </c>
      <c r="F941" s="5">
        <v>2889</v>
      </c>
      <c r="G941" s="5">
        <v>2924</v>
      </c>
      <c r="H941" s="5">
        <v>59.307449339264217</v>
      </c>
      <c r="I941" s="1">
        <f t="shared" si="28"/>
        <v>13312</v>
      </c>
      <c r="J941" s="1">
        <f t="shared" si="29"/>
        <v>0.27816335179684226</v>
      </c>
      <c r="K941" s="6" t="s">
        <v>890</v>
      </c>
    </row>
    <row r="942" spans="1:11">
      <c r="A942" s="5" t="s">
        <v>1471</v>
      </c>
      <c r="B942" s="5">
        <v>8.1034623455877863E-11</v>
      </c>
      <c r="C942" s="5">
        <v>1817</v>
      </c>
      <c r="D942" s="5">
        <v>1825</v>
      </c>
      <c r="E942" s="5">
        <v>144.78002652268384</v>
      </c>
      <c r="F942" s="5">
        <v>502</v>
      </c>
      <c r="G942" s="5">
        <v>514</v>
      </c>
      <c r="H942" s="5">
        <v>40.486021560014599</v>
      </c>
      <c r="I942" s="1">
        <f t="shared" si="28"/>
        <v>2339</v>
      </c>
      <c r="J942" s="1">
        <f t="shared" si="29"/>
        <v>0.27771994919835497</v>
      </c>
      <c r="K942" s="6" t="s">
        <v>33</v>
      </c>
    </row>
    <row r="943" spans="1:11">
      <c r="A943" s="5" t="s">
        <v>2005</v>
      </c>
      <c r="B943" s="5">
        <v>1.1392514709385182E-9</v>
      </c>
      <c r="C943" s="5">
        <v>58784</v>
      </c>
      <c r="D943" s="5">
        <v>65306</v>
      </c>
      <c r="E943" s="5">
        <v>1037.3746334147427</v>
      </c>
      <c r="F943" s="5">
        <v>16320</v>
      </c>
      <c r="G943" s="5">
        <v>18283</v>
      </c>
      <c r="H943" s="5">
        <v>288.35414550023648</v>
      </c>
      <c r="I943" s="1">
        <f t="shared" si="28"/>
        <v>83589</v>
      </c>
      <c r="J943" s="1">
        <f t="shared" si="29"/>
        <v>0.27769760182986236</v>
      </c>
      <c r="K943" s="6" t="s">
        <v>1972</v>
      </c>
    </row>
    <row r="944" spans="1:11">
      <c r="A944" s="5" t="s">
        <v>932</v>
      </c>
      <c r="B944" s="5">
        <v>5.7200910674737315E-11</v>
      </c>
      <c r="C944" s="5">
        <v>14739</v>
      </c>
      <c r="D944" s="5">
        <v>14740</v>
      </c>
      <c r="E944" s="5">
        <v>215.29033410360822</v>
      </c>
      <c r="F944" s="5">
        <v>4140</v>
      </c>
      <c r="G944" s="5">
        <v>4141</v>
      </c>
      <c r="H944" s="5">
        <v>60.052138658670508</v>
      </c>
      <c r="I944" s="1">
        <f t="shared" si="28"/>
        <v>18881</v>
      </c>
      <c r="J944" s="1">
        <f t="shared" si="29"/>
        <v>0.27764596558394561</v>
      </c>
      <c r="K944" s="6" t="s">
        <v>346</v>
      </c>
    </row>
    <row r="945" spans="1:11">
      <c r="A945" s="5" t="s">
        <v>1196</v>
      </c>
      <c r="B945" s="5">
        <v>1.741386390641253E-7</v>
      </c>
      <c r="C945" s="5">
        <v>8895</v>
      </c>
      <c r="D945" s="5">
        <v>8896</v>
      </c>
      <c r="E945" s="5">
        <v>82.644756734854155</v>
      </c>
      <c r="F945" s="5">
        <v>2514</v>
      </c>
      <c r="G945" s="5">
        <v>2514</v>
      </c>
      <c r="H945" s="5">
        <v>23.188999155927451</v>
      </c>
      <c r="I945" s="1">
        <f t="shared" si="28"/>
        <v>11410</v>
      </c>
      <c r="J945" s="1">
        <f t="shared" si="29"/>
        <v>0.27723195166236603</v>
      </c>
      <c r="K945" s="6" t="s">
        <v>1197</v>
      </c>
    </row>
    <row r="946" spans="1:11">
      <c r="A946" s="5" t="s">
        <v>2187</v>
      </c>
      <c r="B946" s="5">
        <v>5.0050796840395151E-10</v>
      </c>
      <c r="C946" s="5">
        <v>13784</v>
      </c>
      <c r="D946" s="5">
        <v>29800</v>
      </c>
      <c r="E946" s="5">
        <v>455.80619036366761</v>
      </c>
      <c r="F946" s="5">
        <v>3819</v>
      </c>
      <c r="G946" s="5">
        <v>8339</v>
      </c>
      <c r="H946" s="5">
        <v>126.6409409929658</v>
      </c>
      <c r="I946" s="1">
        <f t="shared" si="28"/>
        <v>38139</v>
      </c>
      <c r="J946" s="1">
        <f t="shared" si="29"/>
        <v>0.27723122773827952</v>
      </c>
      <c r="K946" s="6" t="s">
        <v>1413</v>
      </c>
    </row>
    <row r="947" spans="1:11">
      <c r="A947" s="5" t="s">
        <v>1214</v>
      </c>
      <c r="B947" s="5">
        <v>5.7844583465749277E-4</v>
      </c>
      <c r="C947" s="5">
        <v>2497</v>
      </c>
      <c r="D947" s="5">
        <v>2497</v>
      </c>
      <c r="E947" s="5">
        <v>55.647131408528622</v>
      </c>
      <c r="F947" s="5">
        <v>709</v>
      </c>
      <c r="G947" s="5">
        <v>709</v>
      </c>
      <c r="H947" s="5">
        <v>15.687967260864941</v>
      </c>
      <c r="I947" s="1">
        <f t="shared" si="28"/>
        <v>3206</v>
      </c>
      <c r="J947" s="1">
        <f t="shared" si="29"/>
        <v>0.27694195400162852</v>
      </c>
      <c r="K947" s="6" t="s">
        <v>1215</v>
      </c>
    </row>
    <row r="948" spans="1:11">
      <c r="A948" s="5" t="s">
        <v>443</v>
      </c>
      <c r="B948" s="5">
        <v>2.5222178085387847E-3</v>
      </c>
      <c r="C948" s="5">
        <v>3183</v>
      </c>
      <c r="D948" s="5">
        <v>3232</v>
      </c>
      <c r="E948" s="5">
        <v>50.776570812873153</v>
      </c>
      <c r="F948" s="5">
        <v>897</v>
      </c>
      <c r="G948" s="5">
        <v>919</v>
      </c>
      <c r="H948" s="5">
        <v>14.335199021040342</v>
      </c>
      <c r="I948" s="1">
        <f t="shared" si="28"/>
        <v>4151</v>
      </c>
      <c r="J948" s="1">
        <f t="shared" si="29"/>
        <v>0.27686652082173424</v>
      </c>
      <c r="K948" s="6" t="s">
        <v>348</v>
      </c>
    </row>
    <row r="949" spans="1:11">
      <c r="A949" s="5" t="s">
        <v>2247</v>
      </c>
      <c r="B949" s="5">
        <v>2.4595091890111664E-3</v>
      </c>
      <c r="C949" s="5">
        <v>2718</v>
      </c>
      <c r="D949" s="5">
        <v>2742</v>
      </c>
      <c r="E949" s="5">
        <v>50.825457662925338</v>
      </c>
      <c r="F949" s="5">
        <v>773</v>
      </c>
      <c r="G949" s="5">
        <v>779</v>
      </c>
      <c r="H949" s="5">
        <v>14.336644131579032</v>
      </c>
      <c r="I949" s="1">
        <f t="shared" si="28"/>
        <v>3521</v>
      </c>
      <c r="J949" s="1">
        <f t="shared" si="29"/>
        <v>0.27663323737197049</v>
      </c>
      <c r="K949" s="6" t="s">
        <v>1508</v>
      </c>
    </row>
    <row r="950" spans="1:11">
      <c r="A950" s="5" t="s">
        <v>156</v>
      </c>
      <c r="B950" s="5">
        <v>6.7467749595984117E-5</v>
      </c>
      <c r="C950" s="5">
        <v>827</v>
      </c>
      <c r="D950" s="5">
        <v>827</v>
      </c>
      <c r="E950" s="5">
        <v>62.683171829589071</v>
      </c>
      <c r="F950" s="5">
        <v>234</v>
      </c>
      <c r="G950" s="5">
        <v>234</v>
      </c>
      <c r="H950" s="5">
        <v>17.609925227067688</v>
      </c>
      <c r="I950" s="1">
        <f t="shared" si="28"/>
        <v>1061</v>
      </c>
      <c r="J950" s="1">
        <f t="shared" si="29"/>
        <v>0.27652399717448745</v>
      </c>
      <c r="K950" s="6" t="s">
        <v>157</v>
      </c>
    </row>
    <row r="951" spans="1:11">
      <c r="A951" s="5" t="s">
        <v>383</v>
      </c>
      <c r="B951" s="5">
        <v>2.8120224901129198E-3</v>
      </c>
      <c r="C951" s="5">
        <v>5221</v>
      </c>
      <c r="D951" s="5">
        <v>5458</v>
      </c>
      <c r="E951" s="5">
        <v>50.361500573299935</v>
      </c>
      <c r="F951" s="5">
        <v>1493</v>
      </c>
      <c r="G951" s="5">
        <v>1550</v>
      </c>
      <c r="H951" s="5">
        <v>14.200153163033413</v>
      </c>
      <c r="I951" s="1">
        <f t="shared" si="28"/>
        <v>7008</v>
      </c>
      <c r="J951" s="1">
        <f t="shared" si="29"/>
        <v>0.27647465522873182</v>
      </c>
      <c r="K951" s="6" t="s">
        <v>384</v>
      </c>
    </row>
    <row r="952" spans="1:11">
      <c r="A952" s="5" t="s">
        <v>939</v>
      </c>
      <c r="B952" s="5">
        <v>7.0709379068112366E-4</v>
      </c>
      <c r="C952" s="5">
        <v>4480</v>
      </c>
      <c r="D952" s="5">
        <v>4480</v>
      </c>
      <c r="E952" s="5">
        <v>54.76369677308444</v>
      </c>
      <c r="F952" s="5">
        <v>1266</v>
      </c>
      <c r="G952" s="5">
        <v>1266</v>
      </c>
      <c r="H952" s="5">
        <v>15.365427535019125</v>
      </c>
      <c r="I952" s="1">
        <f t="shared" si="28"/>
        <v>5746</v>
      </c>
      <c r="J952" s="1">
        <f t="shared" si="29"/>
        <v>0.27554535341415137</v>
      </c>
      <c r="K952" s="6" t="s">
        <v>266</v>
      </c>
    </row>
    <row r="953" spans="1:11">
      <c r="A953" s="5" t="s">
        <v>276</v>
      </c>
      <c r="B953" s="5">
        <v>0</v>
      </c>
      <c r="C953" s="5">
        <v>6229</v>
      </c>
      <c r="D953" s="5">
        <v>6232</v>
      </c>
      <c r="E953" s="5">
        <v>131.86404055231361</v>
      </c>
      <c r="F953" s="5">
        <v>1742</v>
      </c>
      <c r="G953" s="5">
        <v>1742</v>
      </c>
      <c r="H953" s="5">
        <v>36.5968145400604</v>
      </c>
      <c r="I953" s="1">
        <f t="shared" si="28"/>
        <v>7974</v>
      </c>
      <c r="J953" s="1">
        <f t="shared" si="29"/>
        <v>0.27544559376583799</v>
      </c>
      <c r="K953" s="6" t="s">
        <v>75</v>
      </c>
    </row>
    <row r="954" spans="1:11">
      <c r="A954" s="5" t="s">
        <v>772</v>
      </c>
      <c r="B954" s="5">
        <v>4.3544094674907718E-3</v>
      </c>
      <c r="C954" s="5">
        <v>618</v>
      </c>
      <c r="D954" s="5">
        <v>629</v>
      </c>
      <c r="E954" s="5">
        <v>48.762215793918692</v>
      </c>
      <c r="F954" s="5">
        <v>175</v>
      </c>
      <c r="G954" s="5">
        <v>178</v>
      </c>
      <c r="H954" s="5">
        <v>13.700896606278512</v>
      </c>
      <c r="I954" s="1">
        <f t="shared" si="28"/>
        <v>807</v>
      </c>
      <c r="J954" s="1">
        <f t="shared" si="29"/>
        <v>0.27532730180300496</v>
      </c>
      <c r="K954" s="6" t="s">
        <v>773</v>
      </c>
    </row>
    <row r="955" spans="1:11">
      <c r="A955" s="5" t="s">
        <v>2167</v>
      </c>
      <c r="B955" s="5">
        <v>4.4684874744849168E-7</v>
      </c>
      <c r="C955" s="5">
        <v>2563</v>
      </c>
      <c r="D955" s="5">
        <v>2565</v>
      </c>
      <c r="E955" s="5">
        <v>79.043574014194832</v>
      </c>
      <c r="F955" s="5">
        <v>720</v>
      </c>
      <c r="G955" s="5">
        <v>720</v>
      </c>
      <c r="H955" s="5">
        <v>22.029665150334697</v>
      </c>
      <c r="I955" s="1">
        <f t="shared" si="28"/>
        <v>3285</v>
      </c>
      <c r="J955" s="1">
        <f t="shared" si="29"/>
        <v>0.2752209083820768</v>
      </c>
      <c r="K955" s="6" t="s">
        <v>170</v>
      </c>
    </row>
    <row r="956" spans="1:11">
      <c r="A956" s="5" t="s">
        <v>1531</v>
      </c>
      <c r="B956" s="5">
        <v>2.7255688001487366E-3</v>
      </c>
      <c r="C956" s="5">
        <v>460</v>
      </c>
      <c r="D956" s="5">
        <v>460</v>
      </c>
      <c r="E956" s="5">
        <v>50.268784914450251</v>
      </c>
      <c r="F956" s="5">
        <v>130</v>
      </c>
      <c r="G956" s="5">
        <v>130</v>
      </c>
      <c r="H956" s="5">
        <v>14.105227926187638</v>
      </c>
      <c r="I956" s="1">
        <f t="shared" si="28"/>
        <v>590</v>
      </c>
      <c r="J956" s="1">
        <f t="shared" si="29"/>
        <v>0.27512311730664868</v>
      </c>
      <c r="K956" s="6" t="s">
        <v>2</v>
      </c>
    </row>
    <row r="957" spans="1:11">
      <c r="A957" s="5" t="s">
        <v>35</v>
      </c>
      <c r="B957" s="5">
        <v>2.3548482823432249E-4</v>
      </c>
      <c r="C957" s="5">
        <v>330</v>
      </c>
      <c r="D957" s="5">
        <v>330</v>
      </c>
      <c r="E957" s="5">
        <v>58.308668215984994</v>
      </c>
      <c r="F957" s="5">
        <v>93</v>
      </c>
      <c r="G957" s="5">
        <v>93</v>
      </c>
      <c r="H957" s="5">
        <v>16.315422731604752</v>
      </c>
      <c r="I957" s="1">
        <f t="shared" si="28"/>
        <v>423</v>
      </c>
      <c r="J957" s="1">
        <f t="shared" si="29"/>
        <v>0.27509339228776319</v>
      </c>
      <c r="K957" s="6" t="s">
        <v>2</v>
      </c>
    </row>
    <row r="958" spans="1:11">
      <c r="A958" s="5" t="s">
        <v>677</v>
      </c>
      <c r="B958" s="5">
        <v>0</v>
      </c>
      <c r="C958" s="5">
        <v>8071</v>
      </c>
      <c r="D958" s="5">
        <v>8071</v>
      </c>
      <c r="E958" s="5">
        <v>297.1822127377992</v>
      </c>
      <c r="F958" s="5">
        <v>2243</v>
      </c>
      <c r="G958" s="5">
        <v>2243</v>
      </c>
      <c r="H958" s="5">
        <v>82.001337913722068</v>
      </c>
      <c r="I958" s="1">
        <f t="shared" si="28"/>
        <v>10314</v>
      </c>
      <c r="J958" s="1">
        <f t="shared" si="29"/>
        <v>0.27500412301866028</v>
      </c>
      <c r="K958" s="6" t="s">
        <v>2</v>
      </c>
    </row>
    <row r="959" spans="1:11">
      <c r="A959" s="5" t="s">
        <v>2256</v>
      </c>
      <c r="B959" s="5">
        <v>3.3101599765106293E-5</v>
      </c>
      <c r="C959" s="5">
        <v>7172</v>
      </c>
      <c r="D959" s="5">
        <v>9430</v>
      </c>
      <c r="E959" s="5">
        <v>64.715513895538791</v>
      </c>
      <c r="F959" s="5">
        <v>1945</v>
      </c>
      <c r="G959" s="5">
        <v>2650</v>
      </c>
      <c r="H959" s="5">
        <v>18.056716746716294</v>
      </c>
      <c r="I959" s="1">
        <f t="shared" si="28"/>
        <v>12080</v>
      </c>
      <c r="J959" s="1">
        <f t="shared" si="29"/>
        <v>0.27477098901515407</v>
      </c>
      <c r="K959" s="6" t="s">
        <v>278</v>
      </c>
    </row>
    <row r="960" spans="1:11">
      <c r="A960" s="5" t="s">
        <v>202</v>
      </c>
      <c r="B960" s="5">
        <v>2.9954210223337441E-8</v>
      </c>
      <c r="C960" s="5">
        <v>1439</v>
      </c>
      <c r="D960" s="5">
        <v>1439</v>
      </c>
      <c r="E960" s="5">
        <v>87.597794920151657</v>
      </c>
      <c r="F960" s="5">
        <v>400</v>
      </c>
      <c r="G960" s="5">
        <v>401</v>
      </c>
      <c r="H960" s="5">
        <v>24.23667016351591</v>
      </c>
      <c r="I960" s="1">
        <f t="shared" si="28"/>
        <v>1840</v>
      </c>
      <c r="J960" s="1">
        <f t="shared" si="29"/>
        <v>0.27355839031162227</v>
      </c>
      <c r="K960" s="6" t="s">
        <v>2</v>
      </c>
    </row>
    <row r="961" spans="1:11">
      <c r="A961" s="5" t="s">
        <v>647</v>
      </c>
      <c r="B961" s="5">
        <v>7.0778765202783589E-3</v>
      </c>
      <c r="C961" s="5">
        <v>2812</v>
      </c>
      <c r="D961" s="5">
        <v>3465</v>
      </c>
      <c r="E961" s="5">
        <v>46.931367100670847</v>
      </c>
      <c r="F961" s="5">
        <v>818</v>
      </c>
      <c r="G961" s="5">
        <v>975</v>
      </c>
      <c r="H961" s="5">
        <v>13.111753684497469</v>
      </c>
      <c r="I961" s="1">
        <f t="shared" si="28"/>
        <v>4440</v>
      </c>
      <c r="J961" s="1">
        <f t="shared" si="29"/>
        <v>0.27355267495205571</v>
      </c>
      <c r="K961" s="6" t="s">
        <v>648</v>
      </c>
    </row>
    <row r="962" spans="1:11">
      <c r="A962" s="5" t="s">
        <v>1352</v>
      </c>
      <c r="B962" s="5">
        <v>0</v>
      </c>
      <c r="C962" s="5">
        <v>884</v>
      </c>
      <c r="D962" s="5">
        <v>16476</v>
      </c>
      <c r="E962" s="5">
        <v>298.08755862969775</v>
      </c>
      <c r="F962" s="5">
        <v>312</v>
      </c>
      <c r="G962" s="5">
        <v>4549</v>
      </c>
      <c r="H962" s="5">
        <v>81.715455079892919</v>
      </c>
      <c r="I962" s="1">
        <f t="shared" ref="I962:I1025" si="30">D962+G962</f>
        <v>21025</v>
      </c>
      <c r="J962" s="1">
        <f t="shared" ref="J962:J1025" si="31">H962/(E962+1)</f>
        <v>0.27321582834899982</v>
      </c>
      <c r="K962" s="6" t="s">
        <v>915</v>
      </c>
    </row>
    <row r="963" spans="1:11">
      <c r="A963" s="5" t="s">
        <v>1066</v>
      </c>
      <c r="B963" s="5">
        <v>0</v>
      </c>
      <c r="C963" s="5">
        <v>13167</v>
      </c>
      <c r="D963" s="5">
        <v>13168</v>
      </c>
      <c r="E963" s="5">
        <v>200.50959901050672</v>
      </c>
      <c r="F963" s="5">
        <v>3641</v>
      </c>
      <c r="G963" s="5">
        <v>3641</v>
      </c>
      <c r="H963" s="5">
        <v>55.046819271374666</v>
      </c>
      <c r="I963" s="1">
        <f t="shared" si="30"/>
        <v>16809</v>
      </c>
      <c r="J963" s="1">
        <f t="shared" si="31"/>
        <v>0.27317219398816095</v>
      </c>
      <c r="K963" s="6" t="s">
        <v>162</v>
      </c>
    </row>
    <row r="964" spans="1:11">
      <c r="A964" s="5" t="s">
        <v>2160</v>
      </c>
      <c r="B964" s="5">
        <v>0</v>
      </c>
      <c r="C964" s="5">
        <v>12240</v>
      </c>
      <c r="D964" s="5">
        <v>12240</v>
      </c>
      <c r="E964" s="5">
        <v>267.73240582773815</v>
      </c>
      <c r="F964" s="5">
        <v>3378</v>
      </c>
      <c r="G964" s="5">
        <v>3379</v>
      </c>
      <c r="H964" s="5">
        <v>73.384428181328346</v>
      </c>
      <c r="I964" s="1">
        <f t="shared" si="30"/>
        <v>15619</v>
      </c>
      <c r="J964" s="1">
        <f t="shared" si="31"/>
        <v>0.27307621481411126</v>
      </c>
      <c r="K964" s="6" t="s">
        <v>1011</v>
      </c>
    </row>
    <row r="965" spans="1:11">
      <c r="A965" s="5" t="s">
        <v>1849</v>
      </c>
      <c r="B965" s="5">
        <v>0</v>
      </c>
      <c r="C965" s="5">
        <v>133580</v>
      </c>
      <c r="D965" s="5">
        <v>135851</v>
      </c>
      <c r="E965" s="5">
        <v>1419.5861802526483</v>
      </c>
      <c r="F965" s="5">
        <v>36782</v>
      </c>
      <c r="G965" s="5">
        <v>37332</v>
      </c>
      <c r="H965" s="5">
        <v>387.32575879170741</v>
      </c>
      <c r="I965" s="1">
        <f t="shared" si="30"/>
        <v>173183</v>
      </c>
      <c r="J965" s="1">
        <f t="shared" si="31"/>
        <v>0.27265206727748281</v>
      </c>
      <c r="K965" s="6" t="s">
        <v>1850</v>
      </c>
    </row>
    <row r="966" spans="1:11">
      <c r="A966" s="5" t="s">
        <v>868</v>
      </c>
      <c r="B966" s="5">
        <v>6.8977624834154483E-6</v>
      </c>
      <c r="C966" s="5">
        <v>3982</v>
      </c>
      <c r="D966" s="5">
        <v>3982</v>
      </c>
      <c r="E966" s="5">
        <v>69.457086233007075</v>
      </c>
      <c r="F966" s="5">
        <v>1108</v>
      </c>
      <c r="G966" s="5">
        <v>1109</v>
      </c>
      <c r="H966" s="5">
        <v>19.206270930795764</v>
      </c>
      <c r="I966" s="1">
        <f t="shared" si="30"/>
        <v>5091</v>
      </c>
      <c r="J966" s="1">
        <f t="shared" si="31"/>
        <v>0.27259530527957299</v>
      </c>
      <c r="K966" s="6" t="s">
        <v>869</v>
      </c>
    </row>
    <row r="967" spans="1:11">
      <c r="A967" s="5" t="s">
        <v>1156</v>
      </c>
      <c r="B967" s="5">
        <v>2.6825435178289836E-2</v>
      </c>
      <c r="C967" s="5">
        <v>4325</v>
      </c>
      <c r="D967" s="5">
        <v>4325</v>
      </c>
      <c r="E967" s="5">
        <v>42.470706850449794</v>
      </c>
      <c r="F967" s="5">
        <v>1215</v>
      </c>
      <c r="G967" s="5">
        <v>1215</v>
      </c>
      <c r="H967" s="5">
        <v>11.84611256877322</v>
      </c>
      <c r="I967" s="1">
        <f t="shared" si="30"/>
        <v>5540</v>
      </c>
      <c r="J967" s="1">
        <f t="shared" si="31"/>
        <v>0.27250793527528405</v>
      </c>
      <c r="K967" s="6" t="s">
        <v>1157</v>
      </c>
    </row>
    <row r="968" spans="1:11">
      <c r="A968" s="5" t="s">
        <v>1896</v>
      </c>
      <c r="B968" s="5">
        <v>0</v>
      </c>
      <c r="C968" s="5">
        <v>58837</v>
      </c>
      <c r="D968" s="5">
        <v>59552</v>
      </c>
      <c r="E968" s="5">
        <v>2555.9184718389452</v>
      </c>
      <c r="F968" s="5">
        <v>16042</v>
      </c>
      <c r="G968" s="5">
        <v>16304</v>
      </c>
      <c r="H968" s="5">
        <v>694.7699270933299</v>
      </c>
      <c r="I968" s="1">
        <f t="shared" si="30"/>
        <v>75856</v>
      </c>
      <c r="J968" s="1">
        <f t="shared" si="31"/>
        <v>0.27172157999767932</v>
      </c>
      <c r="K968" s="6" t="s">
        <v>2</v>
      </c>
    </row>
    <row r="969" spans="1:11">
      <c r="A969" s="5" t="s">
        <v>1279</v>
      </c>
      <c r="B969" s="5">
        <v>8.6857676162566122E-7</v>
      </c>
      <c r="C969" s="5">
        <v>5791</v>
      </c>
      <c r="D969" s="5">
        <v>5791</v>
      </c>
      <c r="E969" s="5">
        <v>76.050787756479522</v>
      </c>
      <c r="F969" s="5">
        <v>1605</v>
      </c>
      <c r="G969" s="5">
        <v>1605</v>
      </c>
      <c r="H969" s="5">
        <v>20.927694589253264</v>
      </c>
      <c r="I969" s="1">
        <f t="shared" si="30"/>
        <v>7396</v>
      </c>
      <c r="J969" s="1">
        <f t="shared" si="31"/>
        <v>0.27160909315289078</v>
      </c>
      <c r="K969" s="6" t="s">
        <v>1280</v>
      </c>
    </row>
    <row r="970" spans="1:11">
      <c r="A970" s="5" t="s">
        <v>874</v>
      </c>
      <c r="B970" s="5">
        <v>6.987215174225625E-6</v>
      </c>
      <c r="C970" s="5">
        <v>6071</v>
      </c>
      <c r="D970" s="5">
        <v>6072</v>
      </c>
      <c r="E970" s="5">
        <v>69.218031946717673</v>
      </c>
      <c r="F970" s="5">
        <v>1684</v>
      </c>
      <c r="G970" s="5">
        <v>1685</v>
      </c>
      <c r="H970" s="5">
        <v>19.071444538851203</v>
      </c>
      <c r="I970" s="1">
        <f t="shared" si="30"/>
        <v>7757</v>
      </c>
      <c r="J970" s="1">
        <f t="shared" si="31"/>
        <v>0.27160323367255373</v>
      </c>
      <c r="K970" s="6" t="s">
        <v>875</v>
      </c>
    </row>
    <row r="971" spans="1:11">
      <c r="A971" s="5" t="s">
        <v>2057</v>
      </c>
      <c r="B971" s="5">
        <v>0</v>
      </c>
      <c r="C971" s="5">
        <v>4345</v>
      </c>
      <c r="D971" s="5">
        <v>12507</v>
      </c>
      <c r="E971" s="5">
        <v>225.52973685183434</v>
      </c>
      <c r="F971" s="5">
        <v>1146</v>
      </c>
      <c r="G971" s="5">
        <v>3431</v>
      </c>
      <c r="H971" s="5">
        <v>61.428170549384191</v>
      </c>
      <c r="I971" s="1">
        <f t="shared" si="30"/>
        <v>15938</v>
      </c>
      <c r="J971" s="1">
        <f t="shared" si="31"/>
        <v>0.27117044942122692</v>
      </c>
      <c r="K971" s="6" t="s">
        <v>552</v>
      </c>
    </row>
    <row r="972" spans="1:11">
      <c r="A972" s="5" t="s">
        <v>580</v>
      </c>
      <c r="B972" s="5">
        <v>1.3281540273202275E-3</v>
      </c>
      <c r="C972" s="5">
        <v>1193</v>
      </c>
      <c r="D972" s="5">
        <v>1193</v>
      </c>
      <c r="E972" s="5">
        <v>52.023043618770373</v>
      </c>
      <c r="F972" s="5">
        <v>332</v>
      </c>
      <c r="G972" s="5">
        <v>332</v>
      </c>
      <c r="H972" s="5">
        <v>14.374395737205125</v>
      </c>
      <c r="I972" s="1">
        <f t="shared" si="30"/>
        <v>1525</v>
      </c>
      <c r="J972" s="1">
        <f t="shared" si="31"/>
        <v>0.27109714486696368</v>
      </c>
      <c r="K972" s="6" t="s">
        <v>581</v>
      </c>
    </row>
    <row r="973" spans="1:11">
      <c r="A973" s="5" t="s">
        <v>190</v>
      </c>
      <c r="B973" s="5">
        <v>9.0568108568334083E-11</v>
      </c>
      <c r="C973" s="5">
        <v>3080</v>
      </c>
      <c r="D973" s="5">
        <v>6862</v>
      </c>
      <c r="E973" s="5">
        <v>105.07591705445969</v>
      </c>
      <c r="F973" s="5">
        <v>1127</v>
      </c>
      <c r="G973" s="5">
        <v>1890</v>
      </c>
      <c r="H973" s="5">
        <v>28.734952228661811</v>
      </c>
      <c r="I973" s="1">
        <f t="shared" si="30"/>
        <v>8752</v>
      </c>
      <c r="J973" s="1">
        <f t="shared" si="31"/>
        <v>0.27089044362359083</v>
      </c>
      <c r="K973" s="6" t="s">
        <v>191</v>
      </c>
    </row>
    <row r="974" spans="1:11">
      <c r="A974" s="5" t="s">
        <v>1480</v>
      </c>
      <c r="B974" s="5">
        <v>5.6771903844676785E-8</v>
      </c>
      <c r="C974" s="5">
        <v>8441</v>
      </c>
      <c r="D974" s="5">
        <v>8442</v>
      </c>
      <c r="E974" s="5">
        <v>84.764881661879883</v>
      </c>
      <c r="F974" s="5">
        <v>2328</v>
      </c>
      <c r="G974" s="5">
        <v>2328</v>
      </c>
      <c r="H974" s="5">
        <v>23.208645138884588</v>
      </c>
      <c r="I974" s="1">
        <f t="shared" si="30"/>
        <v>10770</v>
      </c>
      <c r="J974" s="1">
        <f t="shared" si="31"/>
        <v>0.27060779061507395</v>
      </c>
      <c r="K974" s="6" t="s">
        <v>60</v>
      </c>
    </row>
    <row r="975" spans="1:11">
      <c r="A975" s="5" t="s">
        <v>1965</v>
      </c>
      <c r="B975" s="5">
        <v>0</v>
      </c>
      <c r="C975" s="5">
        <v>73977</v>
      </c>
      <c r="D975" s="5">
        <v>75645</v>
      </c>
      <c r="E975" s="5">
        <v>7484.9247152454045</v>
      </c>
      <c r="F975" s="5">
        <v>20278</v>
      </c>
      <c r="G975" s="5">
        <v>20605</v>
      </c>
      <c r="H975" s="5">
        <v>2024.3053743595799</v>
      </c>
      <c r="I975" s="1">
        <f t="shared" si="30"/>
        <v>96250</v>
      </c>
      <c r="J975" s="1">
        <f t="shared" si="31"/>
        <v>0.27041487209148601</v>
      </c>
      <c r="K975" s="6" t="s">
        <v>951</v>
      </c>
    </row>
    <row r="976" spans="1:11">
      <c r="A976" s="5" t="s">
        <v>714</v>
      </c>
      <c r="B976" s="5">
        <v>0</v>
      </c>
      <c r="C976" s="5">
        <v>1971</v>
      </c>
      <c r="D976" s="5">
        <v>1976</v>
      </c>
      <c r="E976" s="5">
        <v>180.43076034977727</v>
      </c>
      <c r="F976" s="5">
        <v>539</v>
      </c>
      <c r="G976" s="5">
        <v>541</v>
      </c>
      <c r="H976" s="5">
        <v>49.047525779783442</v>
      </c>
      <c r="I976" s="1">
        <f t="shared" si="30"/>
        <v>2517</v>
      </c>
      <c r="J976" s="1">
        <f t="shared" si="31"/>
        <v>0.27033743167490204</v>
      </c>
      <c r="K976" s="6" t="s">
        <v>2</v>
      </c>
    </row>
    <row r="977" spans="1:11">
      <c r="A977" s="5" t="s">
        <v>1505</v>
      </c>
      <c r="B977" s="5">
        <v>1.4300227668684329E-10</v>
      </c>
      <c r="C977" s="5">
        <v>2953</v>
      </c>
      <c r="D977" s="5">
        <v>2953</v>
      </c>
      <c r="E977" s="5">
        <v>103.28178926243581</v>
      </c>
      <c r="F977" s="5">
        <v>811</v>
      </c>
      <c r="G977" s="5">
        <v>811</v>
      </c>
      <c r="H977" s="5">
        <v>28.162899171311111</v>
      </c>
      <c r="I977" s="1">
        <f t="shared" si="30"/>
        <v>3764</v>
      </c>
      <c r="J977" s="1">
        <f t="shared" si="31"/>
        <v>0.2700653620397353</v>
      </c>
      <c r="K977" s="6" t="s">
        <v>210</v>
      </c>
    </row>
    <row r="978" spans="1:11">
      <c r="A978" s="5" t="s">
        <v>938</v>
      </c>
      <c r="B978" s="5">
        <v>2.4815185073467916E-7</v>
      </c>
      <c r="C978" s="5">
        <v>2643</v>
      </c>
      <c r="D978" s="5">
        <v>2643</v>
      </c>
      <c r="E978" s="5">
        <v>79.731609066070831</v>
      </c>
      <c r="F978" s="5">
        <v>727</v>
      </c>
      <c r="G978" s="5">
        <v>727</v>
      </c>
      <c r="H978" s="5">
        <v>21.775291445354469</v>
      </c>
      <c r="I978" s="1">
        <f t="shared" si="30"/>
        <v>3370</v>
      </c>
      <c r="J978" s="1">
        <f t="shared" si="31"/>
        <v>0.26972448211125766</v>
      </c>
      <c r="K978" s="6" t="s">
        <v>171</v>
      </c>
    </row>
    <row r="979" spans="1:11">
      <c r="A979" s="5" t="s">
        <v>1881</v>
      </c>
      <c r="B979" s="5">
        <v>5.434086514100045E-10</v>
      </c>
      <c r="C979" s="5">
        <v>19915</v>
      </c>
      <c r="D979" s="5">
        <v>19921</v>
      </c>
      <c r="E979" s="5">
        <v>589.20064179090286</v>
      </c>
      <c r="F979" s="5">
        <v>5402</v>
      </c>
      <c r="G979" s="5">
        <v>5418</v>
      </c>
      <c r="H979" s="5">
        <v>159.10626338726649</v>
      </c>
      <c r="I979" s="1">
        <f t="shared" si="30"/>
        <v>25339</v>
      </c>
      <c r="J979" s="1">
        <f t="shared" si="31"/>
        <v>0.26957995657963874</v>
      </c>
      <c r="K979" s="6" t="s">
        <v>1882</v>
      </c>
    </row>
    <row r="980" spans="1:11">
      <c r="A980" s="5" t="s">
        <v>1968</v>
      </c>
      <c r="B980" s="5">
        <v>9.5334851124562192E-12</v>
      </c>
      <c r="C980" s="5">
        <v>8345</v>
      </c>
      <c r="D980" s="5">
        <v>8345</v>
      </c>
      <c r="E980" s="5">
        <v>114.51003038617459</v>
      </c>
      <c r="F980" s="5">
        <v>2282</v>
      </c>
      <c r="G980" s="5">
        <v>2282</v>
      </c>
      <c r="H980" s="5">
        <v>31.09059467691721</v>
      </c>
      <c r="I980" s="1">
        <f t="shared" si="30"/>
        <v>10627</v>
      </c>
      <c r="J980" s="1">
        <f t="shared" si="31"/>
        <v>0.26915926325163919</v>
      </c>
      <c r="K980" s="6" t="s">
        <v>1969</v>
      </c>
    </row>
    <row r="981" spans="1:11">
      <c r="A981" s="5" t="s">
        <v>1479</v>
      </c>
      <c r="B981" s="5">
        <v>3.0728395948864673E-5</v>
      </c>
      <c r="C981" s="5">
        <v>6735</v>
      </c>
      <c r="D981" s="5">
        <v>6736</v>
      </c>
      <c r="E981" s="5">
        <v>63.909119565786249</v>
      </c>
      <c r="F981" s="5">
        <v>1854</v>
      </c>
      <c r="G981" s="5">
        <v>1854</v>
      </c>
      <c r="H981" s="5">
        <v>17.46492342885103</v>
      </c>
      <c r="I981" s="1">
        <f t="shared" si="30"/>
        <v>8590</v>
      </c>
      <c r="J981" s="1">
        <f t="shared" si="31"/>
        <v>0.26906732899296376</v>
      </c>
      <c r="K981" s="6" t="s">
        <v>10</v>
      </c>
    </row>
    <row r="982" spans="1:11">
      <c r="A982" s="5" t="s">
        <v>2032</v>
      </c>
      <c r="B982" s="5">
        <v>6.5507908160733486E-5</v>
      </c>
      <c r="C982" s="5">
        <v>4051</v>
      </c>
      <c r="D982" s="5">
        <v>4212</v>
      </c>
      <c r="E982" s="5">
        <v>61.453897182487992</v>
      </c>
      <c r="F982" s="5">
        <v>1126</v>
      </c>
      <c r="G982" s="5">
        <v>1160</v>
      </c>
      <c r="H982" s="5">
        <v>16.804099955454888</v>
      </c>
      <c r="I982" s="1">
        <f t="shared" si="30"/>
        <v>5372</v>
      </c>
      <c r="J982" s="1">
        <f t="shared" si="31"/>
        <v>0.26906407307703994</v>
      </c>
      <c r="K982" s="6" t="s">
        <v>628</v>
      </c>
    </row>
    <row r="983" spans="1:11">
      <c r="A983" s="5" t="s">
        <v>1001</v>
      </c>
      <c r="B983" s="5">
        <v>0</v>
      </c>
      <c r="C983" s="5">
        <v>6144</v>
      </c>
      <c r="D983" s="5">
        <v>6157</v>
      </c>
      <c r="E983" s="5">
        <v>202.58325606132505</v>
      </c>
      <c r="F983" s="5">
        <v>1676</v>
      </c>
      <c r="G983" s="5">
        <v>1676</v>
      </c>
      <c r="H983" s="5">
        <v>54.752582448779926</v>
      </c>
      <c r="I983" s="1">
        <f t="shared" si="30"/>
        <v>7833</v>
      </c>
      <c r="J983" s="1">
        <f t="shared" si="31"/>
        <v>0.26894442847641115</v>
      </c>
      <c r="K983" s="6" t="s">
        <v>1002</v>
      </c>
    </row>
    <row r="984" spans="1:11">
      <c r="A984" s="5" t="s">
        <v>372</v>
      </c>
      <c r="B984" s="5">
        <v>1.306087460406502E-9</v>
      </c>
      <c r="C984" s="5">
        <v>5207</v>
      </c>
      <c r="D984" s="5">
        <v>5212</v>
      </c>
      <c r="E984" s="5">
        <v>96.675003462485634</v>
      </c>
      <c r="F984" s="5">
        <v>1424</v>
      </c>
      <c r="G984" s="5">
        <v>1426</v>
      </c>
      <c r="H984" s="5">
        <v>26.261861992885269</v>
      </c>
      <c r="I984" s="1">
        <f t="shared" si="30"/>
        <v>6638</v>
      </c>
      <c r="J984" s="1">
        <f t="shared" si="31"/>
        <v>0.26886983426595679</v>
      </c>
      <c r="K984" s="6" t="s">
        <v>373</v>
      </c>
    </row>
    <row r="985" spans="1:11">
      <c r="A985" s="5" t="s">
        <v>1601</v>
      </c>
      <c r="B985" s="5">
        <v>1.5253576179929951E-10</v>
      </c>
      <c r="C985" s="5">
        <v>986</v>
      </c>
      <c r="D985" s="5">
        <v>989</v>
      </c>
      <c r="E985" s="5">
        <v>107.64557601580377</v>
      </c>
      <c r="F985" s="5">
        <v>269</v>
      </c>
      <c r="G985" s="5">
        <v>270</v>
      </c>
      <c r="H985" s="5">
        <v>29.178291491618307</v>
      </c>
      <c r="I985" s="1">
        <f t="shared" si="30"/>
        <v>1259</v>
      </c>
      <c r="J985" s="1">
        <f t="shared" si="31"/>
        <v>0.26856400933779379</v>
      </c>
      <c r="K985" s="6" t="s">
        <v>1602</v>
      </c>
    </row>
    <row r="986" spans="1:11">
      <c r="A986" s="5" t="s">
        <v>2109</v>
      </c>
      <c r="B986" s="5">
        <v>1.3346879157438707E-10</v>
      </c>
      <c r="C986" s="5">
        <v>13654</v>
      </c>
      <c r="D986" s="5">
        <v>13657</v>
      </c>
      <c r="E986" s="5">
        <v>189.02171491285009</v>
      </c>
      <c r="F986" s="5">
        <v>3711</v>
      </c>
      <c r="G986" s="5">
        <v>3712</v>
      </c>
      <c r="H986" s="5">
        <v>51.01061471727099</v>
      </c>
      <c r="I986" s="1">
        <f t="shared" si="30"/>
        <v>17369</v>
      </c>
      <c r="J986" s="1">
        <f t="shared" si="31"/>
        <v>0.26844623910833587</v>
      </c>
      <c r="K986" s="6" t="s">
        <v>256</v>
      </c>
    </row>
    <row r="987" spans="1:11">
      <c r="A987" s="5" t="s">
        <v>560</v>
      </c>
      <c r="B987" s="5">
        <v>1.6677220034708728E-2</v>
      </c>
      <c r="C987" s="5">
        <v>2542</v>
      </c>
      <c r="D987" s="5">
        <v>2542</v>
      </c>
      <c r="E987" s="5">
        <v>43.448259725093678</v>
      </c>
      <c r="F987" s="5">
        <v>702</v>
      </c>
      <c r="G987" s="5">
        <v>702</v>
      </c>
      <c r="H987" s="5">
        <v>11.913247154241143</v>
      </c>
      <c r="I987" s="1">
        <f t="shared" si="30"/>
        <v>3244</v>
      </c>
      <c r="J987" s="1">
        <f t="shared" si="31"/>
        <v>0.26802505267749344</v>
      </c>
      <c r="K987" s="6" t="s">
        <v>561</v>
      </c>
    </row>
    <row r="988" spans="1:11">
      <c r="A988" s="5" t="s">
        <v>2041</v>
      </c>
      <c r="B988" s="5">
        <v>0</v>
      </c>
      <c r="C988" s="5">
        <v>10015</v>
      </c>
      <c r="D988" s="5">
        <v>10093</v>
      </c>
      <c r="E988" s="5">
        <v>260.07359331613355</v>
      </c>
      <c r="F988" s="5">
        <v>2730</v>
      </c>
      <c r="G988" s="5">
        <v>2735</v>
      </c>
      <c r="H988" s="5">
        <v>69.972842337941984</v>
      </c>
      <c r="I988" s="1">
        <f t="shared" si="30"/>
        <v>12828</v>
      </c>
      <c r="J988" s="1">
        <f t="shared" si="31"/>
        <v>0.26801960875917463</v>
      </c>
      <c r="K988" s="6" t="s">
        <v>2040</v>
      </c>
    </row>
    <row r="989" spans="1:11">
      <c r="A989" s="5" t="s">
        <v>1530</v>
      </c>
      <c r="B989" s="5">
        <v>1.1310507765782685E-3</v>
      </c>
      <c r="C989" s="5">
        <v>2907</v>
      </c>
      <c r="D989" s="5">
        <v>2921</v>
      </c>
      <c r="E989" s="5">
        <v>52.051400961023582</v>
      </c>
      <c r="F989" s="5">
        <v>800</v>
      </c>
      <c r="G989" s="5">
        <v>803</v>
      </c>
      <c r="H989" s="5">
        <v>14.207334684184373</v>
      </c>
      <c r="I989" s="1">
        <f t="shared" si="30"/>
        <v>3724</v>
      </c>
      <c r="J989" s="1">
        <f t="shared" si="31"/>
        <v>0.2678031951431854</v>
      </c>
      <c r="K989" s="6" t="s">
        <v>40</v>
      </c>
    </row>
    <row r="990" spans="1:11">
      <c r="A990" s="5" t="s">
        <v>796</v>
      </c>
      <c r="B990" s="5">
        <v>1.0023833322043707E-2</v>
      </c>
      <c r="C990" s="5">
        <v>3691</v>
      </c>
      <c r="D990" s="5">
        <v>3725</v>
      </c>
      <c r="E990" s="5">
        <v>45.04884514760915</v>
      </c>
      <c r="F990" s="5">
        <v>1019</v>
      </c>
      <c r="G990" s="5">
        <v>1027</v>
      </c>
      <c r="H990" s="5">
        <v>12.331730601601647</v>
      </c>
      <c r="I990" s="1">
        <f t="shared" si="30"/>
        <v>4752</v>
      </c>
      <c r="J990" s="1">
        <f t="shared" si="31"/>
        <v>0.26779673978950824</v>
      </c>
      <c r="K990" s="6" t="s">
        <v>17</v>
      </c>
    </row>
    <row r="991" spans="1:11">
      <c r="A991" s="5" t="s">
        <v>1736</v>
      </c>
      <c r="B991" s="5">
        <v>0</v>
      </c>
      <c r="C991" s="5">
        <v>74267</v>
      </c>
      <c r="D991" s="5">
        <v>74341</v>
      </c>
      <c r="E991" s="5">
        <v>1894.0744648509228</v>
      </c>
      <c r="F991" s="5">
        <v>20027</v>
      </c>
      <c r="G991" s="5">
        <v>20047</v>
      </c>
      <c r="H991" s="5">
        <v>507.12408927423377</v>
      </c>
      <c r="I991" s="1">
        <f t="shared" si="30"/>
        <v>94388</v>
      </c>
      <c r="J991" s="1">
        <f t="shared" si="31"/>
        <v>0.26760114110562244</v>
      </c>
      <c r="K991" s="6" t="s">
        <v>2</v>
      </c>
    </row>
    <row r="992" spans="1:11">
      <c r="A992" s="5" t="s">
        <v>499</v>
      </c>
      <c r="B992" s="5">
        <v>0</v>
      </c>
      <c r="C992" s="5">
        <v>2957</v>
      </c>
      <c r="D992" s="5">
        <v>5780</v>
      </c>
      <c r="E992" s="5">
        <v>114.4671866093524</v>
      </c>
      <c r="F992" s="5">
        <v>617</v>
      </c>
      <c r="G992" s="5">
        <v>1570</v>
      </c>
      <c r="H992" s="5">
        <v>30.870880938218193</v>
      </c>
      <c r="I992" s="1">
        <f t="shared" si="30"/>
        <v>7350</v>
      </c>
      <c r="J992" s="1">
        <f t="shared" si="31"/>
        <v>0.26735631000225452</v>
      </c>
      <c r="K992" s="6" t="s">
        <v>500</v>
      </c>
    </row>
    <row r="993" spans="1:11">
      <c r="A993" s="5" t="s">
        <v>2267</v>
      </c>
      <c r="B993" s="5">
        <v>6.464588157072404E-3</v>
      </c>
      <c r="C993" s="5">
        <v>20199</v>
      </c>
      <c r="D993" s="5">
        <v>20219</v>
      </c>
      <c r="E993" s="5">
        <v>46.377255548697654</v>
      </c>
      <c r="F993" s="5">
        <v>5554</v>
      </c>
      <c r="G993" s="5">
        <v>5559</v>
      </c>
      <c r="H993" s="5">
        <v>12.66013237563309</v>
      </c>
      <c r="I993" s="1">
        <f t="shared" si="30"/>
        <v>25778</v>
      </c>
      <c r="J993" s="1">
        <f t="shared" si="31"/>
        <v>0.26721962319282344</v>
      </c>
      <c r="K993" s="6" t="s">
        <v>107</v>
      </c>
    </row>
    <row r="994" spans="1:11">
      <c r="A994" s="5" t="s">
        <v>691</v>
      </c>
      <c r="B994" s="5">
        <v>7.8991291571406386E-4</v>
      </c>
      <c r="C994" s="5">
        <v>1439</v>
      </c>
      <c r="D994" s="5">
        <v>1439</v>
      </c>
      <c r="E994" s="5">
        <v>53.057200988221936</v>
      </c>
      <c r="F994" s="5">
        <v>394</v>
      </c>
      <c r="G994" s="5">
        <v>394</v>
      </c>
      <c r="H994" s="5">
        <v>14.423676161419268</v>
      </c>
      <c r="I994" s="1">
        <f t="shared" si="30"/>
        <v>1833</v>
      </c>
      <c r="J994" s="1">
        <f t="shared" si="31"/>
        <v>0.2668224750401324</v>
      </c>
      <c r="K994" s="6" t="s">
        <v>692</v>
      </c>
    </row>
    <row r="995" spans="1:11">
      <c r="A995" s="5" t="s">
        <v>109</v>
      </c>
      <c r="B995" s="5">
        <v>2.1092359137053762E-7</v>
      </c>
      <c r="C995" s="5">
        <v>1821</v>
      </c>
      <c r="D995" s="5">
        <v>1821</v>
      </c>
      <c r="E995" s="5">
        <v>79.535644060905369</v>
      </c>
      <c r="F995" s="5">
        <v>495</v>
      </c>
      <c r="G995" s="5">
        <v>495</v>
      </c>
      <c r="H995" s="5">
        <v>21.466105297472001</v>
      </c>
      <c r="I995" s="1">
        <f t="shared" si="30"/>
        <v>2316</v>
      </c>
      <c r="J995" s="1">
        <f t="shared" si="31"/>
        <v>0.26654167291737535</v>
      </c>
      <c r="K995" s="6" t="s">
        <v>12</v>
      </c>
    </row>
    <row r="996" spans="1:11">
      <c r="A996" s="5" t="s">
        <v>1898</v>
      </c>
      <c r="B996" s="5">
        <v>0</v>
      </c>
      <c r="C996" s="5">
        <v>4146</v>
      </c>
      <c r="D996" s="5">
        <v>37520</v>
      </c>
      <c r="E996" s="5">
        <v>1849.5396884355434</v>
      </c>
      <c r="F996" s="5">
        <v>816</v>
      </c>
      <c r="G996" s="5">
        <v>10058</v>
      </c>
      <c r="H996" s="5">
        <v>492.27599272459895</v>
      </c>
      <c r="I996" s="1">
        <f t="shared" si="30"/>
        <v>47578</v>
      </c>
      <c r="J996" s="1">
        <f t="shared" si="31"/>
        <v>0.26601752764393388</v>
      </c>
      <c r="K996" s="6" t="s">
        <v>192</v>
      </c>
    </row>
    <row r="997" spans="1:11">
      <c r="A997" s="5" t="s">
        <v>165</v>
      </c>
      <c r="B997" s="5">
        <v>0</v>
      </c>
      <c r="C997" s="5">
        <v>11882</v>
      </c>
      <c r="D997" s="5">
        <v>11882</v>
      </c>
      <c r="E997" s="5">
        <v>152.07792945112374</v>
      </c>
      <c r="F997" s="5">
        <v>3197</v>
      </c>
      <c r="G997" s="5">
        <v>3197</v>
      </c>
      <c r="H997" s="5">
        <v>40.627067828082524</v>
      </c>
      <c r="I997" s="1">
        <f t="shared" si="30"/>
        <v>15079</v>
      </c>
      <c r="J997" s="1">
        <f t="shared" si="31"/>
        <v>0.26540121083264551</v>
      </c>
      <c r="K997" s="6" t="s">
        <v>166</v>
      </c>
    </row>
    <row r="998" spans="1:11">
      <c r="A998" s="5" t="s">
        <v>447</v>
      </c>
      <c r="B998" s="5">
        <v>1.0629835900388684E-9</v>
      </c>
      <c r="C998" s="5">
        <v>3129</v>
      </c>
      <c r="D998" s="5">
        <v>41659</v>
      </c>
      <c r="E998" s="5">
        <v>96.655102685698225</v>
      </c>
      <c r="F998" s="5">
        <v>955</v>
      </c>
      <c r="G998" s="5">
        <v>11248</v>
      </c>
      <c r="H998" s="5">
        <v>25.911195642726074</v>
      </c>
      <c r="I998" s="1">
        <f t="shared" si="30"/>
        <v>52907</v>
      </c>
      <c r="J998" s="1">
        <f t="shared" si="31"/>
        <v>0.26533376065479081</v>
      </c>
      <c r="K998" s="6" t="s">
        <v>370</v>
      </c>
    </row>
    <row r="999" spans="1:11">
      <c r="A999" s="5" t="s">
        <v>855</v>
      </c>
      <c r="B999" s="5">
        <v>1.4505066656184118E-3</v>
      </c>
      <c r="C999" s="5">
        <v>3843</v>
      </c>
      <c r="D999" s="5">
        <v>3844</v>
      </c>
      <c r="E999" s="5">
        <v>50.874502086761488</v>
      </c>
      <c r="F999" s="5">
        <v>1047</v>
      </c>
      <c r="G999" s="5">
        <v>1047</v>
      </c>
      <c r="H999" s="5">
        <v>13.758138416794733</v>
      </c>
      <c r="I999" s="1">
        <f t="shared" si="30"/>
        <v>4891</v>
      </c>
      <c r="J999" s="1">
        <f t="shared" si="31"/>
        <v>0.26521967177215272</v>
      </c>
      <c r="K999" s="6" t="s">
        <v>856</v>
      </c>
    </row>
    <row r="1000" spans="1:11">
      <c r="A1000" s="5" t="s">
        <v>1230</v>
      </c>
      <c r="B1000" s="5">
        <v>0</v>
      </c>
      <c r="C1000" s="5">
        <v>10777</v>
      </c>
      <c r="D1000" s="5">
        <v>11794</v>
      </c>
      <c r="E1000" s="5">
        <v>710.00693666302197</v>
      </c>
      <c r="F1000" s="5">
        <v>2914</v>
      </c>
      <c r="G1000" s="5">
        <v>3154</v>
      </c>
      <c r="H1000" s="5">
        <v>188.52083612865482</v>
      </c>
      <c r="I1000" s="1">
        <f t="shared" si="30"/>
        <v>14948</v>
      </c>
      <c r="J1000" s="1">
        <f t="shared" si="31"/>
        <v>0.26514626849274087</v>
      </c>
      <c r="K1000" s="6" t="s">
        <v>1231</v>
      </c>
    </row>
    <row r="1001" spans="1:11">
      <c r="A1001" s="5" t="s">
        <v>934</v>
      </c>
      <c r="B1001" s="5">
        <v>0</v>
      </c>
      <c r="C1001" s="5">
        <v>35121</v>
      </c>
      <c r="D1001" s="5">
        <v>35183</v>
      </c>
      <c r="E1001" s="5">
        <v>252.46689727322433</v>
      </c>
      <c r="F1001" s="5">
        <v>9401</v>
      </c>
      <c r="G1001" s="5">
        <v>9418</v>
      </c>
      <c r="H1001" s="5">
        <v>67.100608803148248</v>
      </c>
      <c r="I1001" s="1">
        <f t="shared" si="30"/>
        <v>44601</v>
      </c>
      <c r="J1001" s="1">
        <f t="shared" si="31"/>
        <v>0.26473125100362604</v>
      </c>
      <c r="K1001" s="6" t="s">
        <v>148</v>
      </c>
    </row>
    <row r="1002" spans="1:11">
      <c r="A1002" s="5" t="s">
        <v>1901</v>
      </c>
      <c r="B1002" s="5">
        <v>0</v>
      </c>
      <c r="C1002" s="5">
        <v>38693</v>
      </c>
      <c r="D1002" s="5">
        <v>40231</v>
      </c>
      <c r="E1002" s="5">
        <v>1280.3674243260075</v>
      </c>
      <c r="F1002" s="5">
        <v>10351</v>
      </c>
      <c r="G1002" s="5">
        <v>10685</v>
      </c>
      <c r="H1002" s="5">
        <v>337.63271018837082</v>
      </c>
      <c r="I1002" s="1">
        <f t="shared" si="30"/>
        <v>50916</v>
      </c>
      <c r="J1002" s="1">
        <f t="shared" si="31"/>
        <v>0.2634940640589204</v>
      </c>
      <c r="K1002" s="6" t="s">
        <v>981</v>
      </c>
    </row>
    <row r="1003" spans="1:11">
      <c r="A1003" s="5" t="s">
        <v>1364</v>
      </c>
      <c r="B1003" s="5">
        <v>2.4377121432550553E-8</v>
      </c>
      <c r="C1003" s="5">
        <v>3782</v>
      </c>
      <c r="D1003" s="5">
        <v>3782</v>
      </c>
      <c r="E1003" s="5">
        <v>85.759093463888149</v>
      </c>
      <c r="F1003" s="5">
        <v>1015</v>
      </c>
      <c r="G1003" s="5">
        <v>1015</v>
      </c>
      <c r="H1003" s="5">
        <v>22.851825512339953</v>
      </c>
      <c r="I1003" s="1">
        <f t="shared" si="30"/>
        <v>4797</v>
      </c>
      <c r="J1003" s="1">
        <f t="shared" si="31"/>
        <v>0.26339400978009986</v>
      </c>
      <c r="K1003" s="6" t="s">
        <v>1365</v>
      </c>
    </row>
    <row r="1004" spans="1:11">
      <c r="A1004" s="5" t="s">
        <v>1304</v>
      </c>
      <c r="B1004" s="5">
        <v>2.2403690014272115E-10</v>
      </c>
      <c r="C1004" s="5">
        <v>47004</v>
      </c>
      <c r="D1004" s="5">
        <v>47005</v>
      </c>
      <c r="E1004" s="5">
        <v>625.14150037297566</v>
      </c>
      <c r="F1004" s="5">
        <v>12485</v>
      </c>
      <c r="G1004" s="5">
        <v>12486</v>
      </c>
      <c r="H1004" s="5">
        <v>164.87461875219316</v>
      </c>
      <c r="I1004" s="1">
        <f t="shared" si="30"/>
        <v>59491</v>
      </c>
      <c r="J1004" s="1">
        <f t="shared" si="31"/>
        <v>0.26331846500189138</v>
      </c>
      <c r="K1004" s="6" t="s">
        <v>366</v>
      </c>
    </row>
    <row r="1005" spans="1:11">
      <c r="A1005" s="5" t="s">
        <v>1211</v>
      </c>
      <c r="B1005" s="5">
        <v>1.3857980639164769E-3</v>
      </c>
      <c r="C1005" s="5">
        <v>1067</v>
      </c>
      <c r="D1005" s="5">
        <v>1067</v>
      </c>
      <c r="E1005" s="5">
        <v>50.66985955848655</v>
      </c>
      <c r="F1005" s="5">
        <v>288</v>
      </c>
      <c r="G1005" s="5">
        <v>288</v>
      </c>
      <c r="H1005" s="5">
        <v>13.579193247989904</v>
      </c>
      <c r="I1005" s="1">
        <f t="shared" si="30"/>
        <v>1355</v>
      </c>
      <c r="J1005" s="1">
        <f t="shared" si="31"/>
        <v>0.26280685420906241</v>
      </c>
      <c r="K1005" s="6" t="s">
        <v>1212</v>
      </c>
    </row>
    <row r="1006" spans="1:11">
      <c r="A1006" s="5" t="s">
        <v>141</v>
      </c>
      <c r="B1006" s="5">
        <v>2.2928031695457207E-9</v>
      </c>
      <c r="C1006" s="5">
        <v>4350</v>
      </c>
      <c r="D1006" s="5">
        <v>4352</v>
      </c>
      <c r="E1006" s="5">
        <v>93.244895985919527</v>
      </c>
      <c r="F1006" s="5">
        <v>1162</v>
      </c>
      <c r="G1006" s="5">
        <v>1164</v>
      </c>
      <c r="H1006" s="5">
        <v>24.761979656054031</v>
      </c>
      <c r="I1006" s="1">
        <f t="shared" si="30"/>
        <v>5516</v>
      </c>
      <c r="J1006" s="1">
        <f t="shared" si="31"/>
        <v>0.2627408030643224</v>
      </c>
      <c r="K1006" s="6" t="s">
        <v>142</v>
      </c>
    </row>
    <row r="1007" spans="1:11">
      <c r="A1007" s="5" t="s">
        <v>876</v>
      </c>
      <c r="B1007" s="5">
        <v>4.1392485661262413E-6</v>
      </c>
      <c r="C1007" s="5">
        <v>6945</v>
      </c>
      <c r="D1007" s="5">
        <v>6945</v>
      </c>
      <c r="E1007" s="5">
        <v>69.121577793711552</v>
      </c>
      <c r="F1007" s="5">
        <v>1862</v>
      </c>
      <c r="G1007" s="5">
        <v>1863</v>
      </c>
      <c r="H1007" s="5">
        <v>18.409858384433644</v>
      </c>
      <c r="I1007" s="1">
        <f t="shared" si="30"/>
        <v>8808</v>
      </c>
      <c r="J1007" s="1">
        <f t="shared" si="31"/>
        <v>0.26254198726949673</v>
      </c>
      <c r="K1007" s="6" t="s">
        <v>9</v>
      </c>
    </row>
    <row r="1008" spans="1:11">
      <c r="A1008" s="5" t="s">
        <v>2045</v>
      </c>
      <c r="B1008" s="5">
        <v>6.7939714309961374E-6</v>
      </c>
      <c r="C1008" s="5">
        <v>519</v>
      </c>
      <c r="D1008" s="5">
        <v>8663</v>
      </c>
      <c r="E1008" s="5">
        <v>67.504695480823713</v>
      </c>
      <c r="F1008" s="5">
        <v>133</v>
      </c>
      <c r="G1008" s="5">
        <v>2323</v>
      </c>
      <c r="H1008" s="5">
        <v>17.972606999869896</v>
      </c>
      <c r="I1008" s="1">
        <f t="shared" si="30"/>
        <v>10986</v>
      </c>
      <c r="J1008" s="1">
        <f t="shared" si="31"/>
        <v>0.26235584106641135</v>
      </c>
      <c r="K1008" s="6" t="s">
        <v>380</v>
      </c>
    </row>
    <row r="1009" spans="1:11">
      <c r="A1009" s="5" t="s">
        <v>2272</v>
      </c>
      <c r="B1009" s="5">
        <v>6.4552030892561785E-4</v>
      </c>
      <c r="C1009" s="5">
        <v>4729</v>
      </c>
      <c r="D1009" s="5">
        <v>4729</v>
      </c>
      <c r="E1009" s="5">
        <v>53.019965497974212</v>
      </c>
      <c r="F1009" s="5">
        <v>1273</v>
      </c>
      <c r="G1009" s="5">
        <v>1273</v>
      </c>
      <c r="H1009" s="5">
        <v>14.17081180425083</v>
      </c>
      <c r="I1009" s="1">
        <f t="shared" si="30"/>
        <v>6002</v>
      </c>
      <c r="J1009" s="1">
        <f t="shared" si="31"/>
        <v>0.26232545085172715</v>
      </c>
      <c r="K1009" s="6" t="s">
        <v>2273</v>
      </c>
    </row>
    <row r="1010" spans="1:11">
      <c r="A1010" s="5" t="s">
        <v>1512</v>
      </c>
      <c r="B1010" s="5">
        <v>1.3346879157438707E-10</v>
      </c>
      <c r="C1010" s="5">
        <v>15449</v>
      </c>
      <c r="D1010" s="5">
        <v>15449</v>
      </c>
      <c r="E1010" s="5">
        <v>155.98452212445926</v>
      </c>
      <c r="F1010" s="5">
        <v>4107</v>
      </c>
      <c r="G1010" s="5">
        <v>4107</v>
      </c>
      <c r="H1010" s="5">
        <v>41.172006856344531</v>
      </c>
      <c r="I1010" s="1">
        <f t="shared" si="30"/>
        <v>19556</v>
      </c>
      <c r="J1010" s="1">
        <f t="shared" si="31"/>
        <v>0.26226793762319356</v>
      </c>
      <c r="K1010" s="6" t="s">
        <v>346</v>
      </c>
    </row>
    <row r="1011" spans="1:11">
      <c r="A1011" s="5" t="s">
        <v>1116</v>
      </c>
      <c r="B1011" s="5">
        <v>2.6796459937818984E-2</v>
      </c>
      <c r="C1011" s="5">
        <v>1020</v>
      </c>
      <c r="D1011" s="5">
        <v>1021</v>
      </c>
      <c r="E1011" s="5">
        <v>41.219787511339739</v>
      </c>
      <c r="F1011" s="5">
        <v>276</v>
      </c>
      <c r="G1011" s="5">
        <v>276</v>
      </c>
      <c r="H1011" s="5">
        <v>11.063315270478421</v>
      </c>
      <c r="I1011" s="1">
        <f t="shared" si="30"/>
        <v>1297</v>
      </c>
      <c r="J1011" s="1">
        <f t="shared" si="31"/>
        <v>0.2620409983708929</v>
      </c>
      <c r="K1011" s="6" t="s">
        <v>1117</v>
      </c>
    </row>
    <row r="1012" spans="1:11">
      <c r="A1012" s="5" t="s">
        <v>2017</v>
      </c>
      <c r="B1012" s="5">
        <v>0</v>
      </c>
      <c r="C1012" s="5">
        <v>33466</v>
      </c>
      <c r="D1012" s="5">
        <v>33476</v>
      </c>
      <c r="E1012" s="5">
        <v>271.50694168679973</v>
      </c>
      <c r="F1012" s="5">
        <v>8863</v>
      </c>
      <c r="G1012" s="5">
        <v>8864</v>
      </c>
      <c r="H1012" s="5">
        <v>71.379471154635056</v>
      </c>
      <c r="I1012" s="1">
        <f t="shared" si="30"/>
        <v>42340</v>
      </c>
      <c r="J1012" s="1">
        <f t="shared" si="31"/>
        <v>0.26193634082420397</v>
      </c>
      <c r="K1012" s="6" t="s">
        <v>1169</v>
      </c>
    </row>
    <row r="1013" spans="1:11">
      <c r="A1013" s="5" t="s">
        <v>1455</v>
      </c>
      <c r="B1013" s="5">
        <v>2.3833712781140548E-11</v>
      </c>
      <c r="C1013" s="5">
        <v>2813</v>
      </c>
      <c r="D1013" s="5">
        <v>2814</v>
      </c>
      <c r="E1013" s="5">
        <v>108.45742648899645</v>
      </c>
      <c r="F1013" s="5">
        <v>749</v>
      </c>
      <c r="G1013" s="5">
        <v>749</v>
      </c>
      <c r="H1013" s="5">
        <v>28.662444034233175</v>
      </c>
      <c r="I1013" s="1">
        <f t="shared" si="30"/>
        <v>3563</v>
      </c>
      <c r="J1013" s="1">
        <f t="shared" si="31"/>
        <v>0.26185929044398426</v>
      </c>
      <c r="K1013" s="6" t="s">
        <v>1456</v>
      </c>
    </row>
    <row r="1014" spans="1:11">
      <c r="A1014" s="5" t="s">
        <v>764</v>
      </c>
      <c r="B1014" s="5">
        <v>1.6206924691175573E-10</v>
      </c>
      <c r="C1014" s="5">
        <v>10414</v>
      </c>
      <c r="D1014" s="5">
        <v>10422</v>
      </c>
      <c r="E1014" s="5">
        <v>184.14937580211989</v>
      </c>
      <c r="F1014" s="5">
        <v>2753</v>
      </c>
      <c r="G1014" s="5">
        <v>2755</v>
      </c>
      <c r="H1014" s="5">
        <v>48.332246909216231</v>
      </c>
      <c r="I1014" s="1">
        <f t="shared" si="30"/>
        <v>13177</v>
      </c>
      <c r="J1014" s="1">
        <f t="shared" si="31"/>
        <v>0.26104461168085041</v>
      </c>
      <c r="K1014" s="6" t="s">
        <v>155</v>
      </c>
    </row>
    <row r="1015" spans="1:11">
      <c r="A1015" s="5" t="s">
        <v>1576</v>
      </c>
      <c r="B1015" s="5">
        <v>2.2880364269894926E-10</v>
      </c>
      <c r="C1015" s="5">
        <v>5032</v>
      </c>
      <c r="D1015" s="5">
        <v>5033</v>
      </c>
      <c r="E1015" s="5">
        <v>101.52076550122892</v>
      </c>
      <c r="F1015" s="5">
        <v>1334</v>
      </c>
      <c r="G1015" s="5">
        <v>1335</v>
      </c>
      <c r="H1015" s="5">
        <v>26.736553236492352</v>
      </c>
      <c r="I1015" s="1">
        <f t="shared" si="30"/>
        <v>6368</v>
      </c>
      <c r="J1015" s="1">
        <f t="shared" si="31"/>
        <v>0.26079158798489327</v>
      </c>
      <c r="K1015" s="6" t="s">
        <v>724</v>
      </c>
    </row>
    <row r="1016" spans="1:11">
      <c r="A1016" s="5" t="s">
        <v>1387</v>
      </c>
      <c r="B1016" s="5">
        <v>6.0701646162664158E-3</v>
      </c>
      <c r="C1016" s="5">
        <v>2404</v>
      </c>
      <c r="D1016" s="5">
        <v>2439</v>
      </c>
      <c r="E1016" s="5">
        <v>45.644378379253176</v>
      </c>
      <c r="F1016" s="5">
        <v>631</v>
      </c>
      <c r="G1016" s="5">
        <v>653</v>
      </c>
      <c r="H1016" s="5">
        <v>12.133466009492812</v>
      </c>
      <c r="I1016" s="1">
        <f t="shared" si="30"/>
        <v>3092</v>
      </c>
      <c r="J1016" s="1">
        <f t="shared" si="31"/>
        <v>0.26012708135670265</v>
      </c>
      <c r="K1016" s="6" t="s">
        <v>1388</v>
      </c>
    </row>
    <row r="1017" spans="1:11">
      <c r="A1017" s="5" t="s">
        <v>1779</v>
      </c>
      <c r="B1017" s="5">
        <v>1.7839119310081308E-5</v>
      </c>
      <c r="C1017" s="5">
        <v>6647</v>
      </c>
      <c r="D1017" s="5">
        <v>6650</v>
      </c>
      <c r="E1017" s="5">
        <v>64.008218499094482</v>
      </c>
      <c r="F1017" s="5">
        <v>1769</v>
      </c>
      <c r="G1017" s="5">
        <v>1769</v>
      </c>
      <c r="H1017" s="5">
        <v>16.905893450940265</v>
      </c>
      <c r="I1017" s="1">
        <f t="shared" si="30"/>
        <v>8419</v>
      </c>
      <c r="J1017" s="1">
        <f t="shared" si="31"/>
        <v>0.26005778717310568</v>
      </c>
      <c r="K1017" s="6" t="s">
        <v>110</v>
      </c>
    </row>
    <row r="1018" spans="1:11">
      <c r="A1018" s="5" t="s">
        <v>1527</v>
      </c>
      <c r="B1018" s="5">
        <v>1.4300227668684329E-11</v>
      </c>
      <c r="C1018" s="5">
        <v>8535</v>
      </c>
      <c r="D1018" s="5">
        <v>8537</v>
      </c>
      <c r="E1018" s="5">
        <v>124.82420576460854</v>
      </c>
      <c r="F1018" s="5">
        <v>2253</v>
      </c>
      <c r="G1018" s="5">
        <v>2253</v>
      </c>
      <c r="H1018" s="5">
        <v>32.707768986514637</v>
      </c>
      <c r="I1018" s="1">
        <f t="shared" si="30"/>
        <v>10790</v>
      </c>
      <c r="J1018" s="1">
        <f t="shared" si="31"/>
        <v>0.25994814580991049</v>
      </c>
      <c r="K1018" s="6" t="s">
        <v>1244</v>
      </c>
    </row>
    <row r="1019" spans="1:11">
      <c r="A1019" s="5" t="s">
        <v>1532</v>
      </c>
      <c r="B1019" s="5">
        <v>3.47972206604652E-10</v>
      </c>
      <c r="C1019" s="5">
        <v>2882</v>
      </c>
      <c r="D1019" s="5">
        <v>2915</v>
      </c>
      <c r="E1019" s="5">
        <v>445.61362357572051</v>
      </c>
      <c r="F1019" s="5">
        <v>753</v>
      </c>
      <c r="G1019" s="5">
        <v>764</v>
      </c>
      <c r="H1019" s="5">
        <v>115.96033447563663</v>
      </c>
      <c r="I1019" s="1">
        <f t="shared" si="30"/>
        <v>3679</v>
      </c>
      <c r="J1019" s="1">
        <f t="shared" si="31"/>
        <v>0.25964352262079238</v>
      </c>
      <c r="K1019" s="6" t="s">
        <v>1169</v>
      </c>
    </row>
    <row r="1020" spans="1:11">
      <c r="A1020" s="5" t="s">
        <v>1288</v>
      </c>
      <c r="B1020" s="5">
        <v>0</v>
      </c>
      <c r="C1020" s="5">
        <v>30599</v>
      </c>
      <c r="D1020" s="5">
        <v>30603</v>
      </c>
      <c r="E1020" s="5">
        <v>832.72941425976808</v>
      </c>
      <c r="F1020" s="5">
        <v>8012</v>
      </c>
      <c r="G1020" s="5">
        <v>8012</v>
      </c>
      <c r="H1020" s="5">
        <v>216.45969576930173</v>
      </c>
      <c r="I1020" s="1">
        <f t="shared" si="30"/>
        <v>38615</v>
      </c>
      <c r="J1020" s="1">
        <f t="shared" si="31"/>
        <v>0.25962823437324306</v>
      </c>
      <c r="K1020" s="6" t="s">
        <v>2</v>
      </c>
    </row>
    <row r="1021" spans="1:11">
      <c r="A1021" s="5" t="s">
        <v>1626</v>
      </c>
      <c r="B1021" s="5">
        <v>0</v>
      </c>
      <c r="C1021" s="5">
        <v>2113</v>
      </c>
      <c r="D1021" s="5">
        <v>2197</v>
      </c>
      <c r="E1021" s="5">
        <v>323.14558864635433</v>
      </c>
      <c r="F1021" s="5">
        <v>549</v>
      </c>
      <c r="G1021" s="5">
        <v>576</v>
      </c>
      <c r="H1021" s="5">
        <v>84.117597092953673</v>
      </c>
      <c r="I1021" s="1">
        <f t="shared" si="30"/>
        <v>2773</v>
      </c>
      <c r="J1021" s="1">
        <f t="shared" si="31"/>
        <v>0.25950560500987324</v>
      </c>
      <c r="K1021" s="6" t="s">
        <v>2</v>
      </c>
    </row>
    <row r="1022" spans="1:11">
      <c r="A1022" s="5" t="s">
        <v>2098</v>
      </c>
      <c r="B1022" s="5">
        <v>0</v>
      </c>
      <c r="C1022" s="5">
        <v>17039</v>
      </c>
      <c r="D1022" s="5">
        <v>17041</v>
      </c>
      <c r="E1022" s="5">
        <v>260.94414201764027</v>
      </c>
      <c r="F1022" s="5">
        <v>4471</v>
      </c>
      <c r="G1022" s="5">
        <v>4471</v>
      </c>
      <c r="H1022" s="5">
        <v>67.975646250977221</v>
      </c>
      <c r="I1022" s="1">
        <f t="shared" si="30"/>
        <v>21512</v>
      </c>
      <c r="J1022" s="1">
        <f t="shared" si="31"/>
        <v>0.25950435740761668</v>
      </c>
      <c r="K1022" s="6" t="s">
        <v>683</v>
      </c>
    </row>
    <row r="1023" spans="1:11">
      <c r="A1023" s="5" t="s">
        <v>1462</v>
      </c>
      <c r="B1023" s="5">
        <v>9.3449819900337516E-4</v>
      </c>
      <c r="C1023" s="5">
        <v>4602</v>
      </c>
      <c r="D1023" s="5">
        <v>4602</v>
      </c>
      <c r="E1023" s="5">
        <v>51.426569141950459</v>
      </c>
      <c r="F1023" s="5">
        <v>1226</v>
      </c>
      <c r="G1023" s="5">
        <v>1226</v>
      </c>
      <c r="H1023" s="5">
        <v>13.602777917987696</v>
      </c>
      <c r="I1023" s="1">
        <f t="shared" si="30"/>
        <v>5828</v>
      </c>
      <c r="J1023" s="1">
        <f t="shared" si="31"/>
        <v>0.25946343887498613</v>
      </c>
      <c r="K1023" s="6" t="s">
        <v>1463</v>
      </c>
    </row>
    <row r="1024" spans="1:11">
      <c r="A1024" s="5" t="s">
        <v>47</v>
      </c>
      <c r="B1024" s="5">
        <v>9.2033973282829029E-3</v>
      </c>
      <c r="C1024" s="5">
        <v>6115</v>
      </c>
      <c r="D1024" s="5">
        <v>6115</v>
      </c>
      <c r="E1024" s="5">
        <v>44.253591187681522</v>
      </c>
      <c r="F1024" s="5">
        <v>1634</v>
      </c>
      <c r="G1024" s="5">
        <v>1634</v>
      </c>
      <c r="H1024" s="5">
        <v>11.74087083759464</v>
      </c>
      <c r="I1024" s="1">
        <f t="shared" si="30"/>
        <v>7749</v>
      </c>
      <c r="J1024" s="1">
        <f t="shared" si="31"/>
        <v>0.25944616834720119</v>
      </c>
      <c r="K1024" s="6" t="s">
        <v>48</v>
      </c>
    </row>
    <row r="1025" spans="1:11">
      <c r="A1025" s="5" t="s">
        <v>1619</v>
      </c>
      <c r="B1025" s="5">
        <v>0</v>
      </c>
      <c r="C1025" s="5">
        <v>28246</v>
      </c>
      <c r="D1025" s="5">
        <v>59926</v>
      </c>
      <c r="E1025" s="5">
        <v>860.03645431004986</v>
      </c>
      <c r="F1025" s="5">
        <v>8733</v>
      </c>
      <c r="G1025" s="5">
        <v>15642</v>
      </c>
      <c r="H1025" s="5">
        <v>222.88972667208429</v>
      </c>
      <c r="I1025" s="1">
        <f t="shared" si="30"/>
        <v>75568</v>
      </c>
      <c r="J1025" s="1">
        <f t="shared" si="31"/>
        <v>0.25886212547259252</v>
      </c>
      <c r="K1025" s="6" t="s">
        <v>314</v>
      </c>
    </row>
    <row r="1026" spans="1:11">
      <c r="A1026" s="5" t="s">
        <v>2033</v>
      </c>
      <c r="B1026" s="5">
        <v>0</v>
      </c>
      <c r="C1026" s="5">
        <v>15621</v>
      </c>
      <c r="D1026" s="5">
        <v>29727</v>
      </c>
      <c r="E1026" s="5">
        <v>374.14099477015424</v>
      </c>
      <c r="F1026" s="5">
        <v>3898</v>
      </c>
      <c r="G1026" s="5">
        <v>7763</v>
      </c>
      <c r="H1026" s="5">
        <v>97.008546977007271</v>
      </c>
      <c r="I1026" s="1">
        <f t="shared" ref="I1026:I1089" si="32">D1026+G1026</f>
        <v>37490</v>
      </c>
      <c r="J1026" s="1">
        <f t="shared" ref="J1026:J1089" si="33">H1026/(E1026+1)</f>
        <v>0.25859223153268973</v>
      </c>
      <c r="K1026" s="6" t="s">
        <v>494</v>
      </c>
    </row>
    <row r="1027" spans="1:11">
      <c r="A1027" s="5" t="s">
        <v>475</v>
      </c>
      <c r="B1027" s="5">
        <v>4.8633890766686116E-3</v>
      </c>
      <c r="C1027" s="5">
        <v>4199</v>
      </c>
      <c r="D1027" s="5">
        <v>4199</v>
      </c>
      <c r="E1027" s="5">
        <v>46.127484453571441</v>
      </c>
      <c r="F1027" s="5">
        <v>1117</v>
      </c>
      <c r="G1027" s="5">
        <v>1117</v>
      </c>
      <c r="H1027" s="5">
        <v>12.183253187150543</v>
      </c>
      <c r="I1027" s="1">
        <f t="shared" si="32"/>
        <v>5316</v>
      </c>
      <c r="J1027" s="1">
        <f t="shared" si="33"/>
        <v>0.25851694246810714</v>
      </c>
      <c r="K1027" s="6" t="s">
        <v>20</v>
      </c>
    </row>
    <row r="1028" spans="1:11">
      <c r="A1028" s="5" t="s">
        <v>1137</v>
      </c>
      <c r="B1028" s="5">
        <v>2.5263735548008981E-10</v>
      </c>
      <c r="C1028" s="5">
        <v>10829</v>
      </c>
      <c r="D1028" s="5">
        <v>10830</v>
      </c>
      <c r="E1028" s="5">
        <v>440.49627677666393</v>
      </c>
      <c r="F1028" s="5">
        <v>2826</v>
      </c>
      <c r="G1028" s="5">
        <v>2826</v>
      </c>
      <c r="H1028" s="5">
        <v>114.12535536083891</v>
      </c>
      <c r="I1028" s="1">
        <f t="shared" si="32"/>
        <v>13656</v>
      </c>
      <c r="J1028" s="1">
        <f t="shared" si="33"/>
        <v>0.25849675606340516</v>
      </c>
      <c r="K1028" s="6" t="s">
        <v>1011</v>
      </c>
    </row>
    <row r="1029" spans="1:11">
      <c r="A1029" s="5" t="s">
        <v>1648</v>
      </c>
      <c r="B1029" s="5">
        <v>6.0976170779269978E-8</v>
      </c>
      <c r="C1029" s="5">
        <v>9232</v>
      </c>
      <c r="D1029" s="5">
        <v>9234</v>
      </c>
      <c r="E1029" s="5">
        <v>81.605622954310661</v>
      </c>
      <c r="F1029" s="5">
        <v>2431</v>
      </c>
      <c r="G1029" s="5">
        <v>2431</v>
      </c>
      <c r="H1029" s="5">
        <v>21.331007727413933</v>
      </c>
      <c r="I1029" s="1">
        <f t="shared" si="32"/>
        <v>11665</v>
      </c>
      <c r="J1029" s="1">
        <f t="shared" si="33"/>
        <v>0.25822706692996139</v>
      </c>
      <c r="K1029" s="6" t="s">
        <v>198</v>
      </c>
    </row>
    <row r="1030" spans="1:11">
      <c r="A1030" s="5" t="s">
        <v>1722</v>
      </c>
      <c r="B1030" s="5">
        <v>6.1967653230965425E-10</v>
      </c>
      <c r="C1030" s="5">
        <v>11004</v>
      </c>
      <c r="D1030" s="5">
        <v>39711</v>
      </c>
      <c r="E1030" s="5">
        <v>514.06497509276437</v>
      </c>
      <c r="F1030" s="5">
        <v>3057</v>
      </c>
      <c r="G1030" s="5">
        <v>10342</v>
      </c>
      <c r="H1030" s="5">
        <v>132.92538438097603</v>
      </c>
      <c r="I1030" s="1">
        <f t="shared" si="32"/>
        <v>50053</v>
      </c>
      <c r="J1030" s="1">
        <f t="shared" si="33"/>
        <v>0.25807498239816418</v>
      </c>
      <c r="K1030" s="6" t="s">
        <v>154</v>
      </c>
    </row>
    <row r="1031" spans="1:11">
      <c r="A1031" s="5" t="s">
        <v>1236</v>
      </c>
      <c r="B1031" s="5">
        <v>2.0353990715094028E-9</v>
      </c>
      <c r="C1031" s="5">
        <v>1548</v>
      </c>
      <c r="D1031" s="5">
        <v>6538</v>
      </c>
      <c r="E1031" s="5">
        <v>92.417472192996343</v>
      </c>
      <c r="F1031" s="5">
        <v>411</v>
      </c>
      <c r="G1031" s="5">
        <v>1717</v>
      </c>
      <c r="H1031" s="5">
        <v>24.097703939927193</v>
      </c>
      <c r="I1031" s="1">
        <f t="shared" si="32"/>
        <v>8255</v>
      </c>
      <c r="J1031" s="1">
        <f t="shared" si="33"/>
        <v>0.25795713986075763</v>
      </c>
      <c r="K1031" s="6" t="s">
        <v>3</v>
      </c>
    </row>
    <row r="1032" spans="1:11">
      <c r="A1032" s="5" t="s">
        <v>1131</v>
      </c>
      <c r="B1032" s="5">
        <v>4.5042802231314849E-2</v>
      </c>
      <c r="C1032" s="5">
        <v>690</v>
      </c>
      <c r="D1032" s="5">
        <v>1393</v>
      </c>
      <c r="E1032" s="5">
        <v>39.117153338429283</v>
      </c>
      <c r="F1032" s="5">
        <v>153</v>
      </c>
      <c r="G1032" s="5">
        <v>371</v>
      </c>
      <c r="H1032" s="5">
        <v>10.343945785451202</v>
      </c>
      <c r="I1032" s="1">
        <f t="shared" si="32"/>
        <v>1764</v>
      </c>
      <c r="J1032" s="1">
        <f t="shared" si="33"/>
        <v>0.25784346407107761</v>
      </c>
      <c r="K1032" s="6" t="s">
        <v>1132</v>
      </c>
    </row>
    <row r="1033" spans="1:11">
      <c r="A1033" s="5" t="s">
        <v>670</v>
      </c>
      <c r="B1033" s="5">
        <v>1.3412972326250494E-2</v>
      </c>
      <c r="C1033" s="5">
        <v>3942</v>
      </c>
      <c r="D1033" s="5">
        <v>3944</v>
      </c>
      <c r="E1033" s="5">
        <v>42.876167588411604</v>
      </c>
      <c r="F1033" s="5">
        <v>1047</v>
      </c>
      <c r="G1033" s="5">
        <v>1048</v>
      </c>
      <c r="H1033" s="5">
        <v>11.311925498000912</v>
      </c>
      <c r="I1033" s="1">
        <f t="shared" si="32"/>
        <v>4992</v>
      </c>
      <c r="J1033" s="1">
        <f t="shared" si="33"/>
        <v>0.25781480288147529</v>
      </c>
      <c r="K1033" s="6" t="s">
        <v>547</v>
      </c>
    </row>
    <row r="1034" spans="1:11">
      <c r="A1034" s="5" t="s">
        <v>2122</v>
      </c>
      <c r="B1034" s="5">
        <v>6.2933014410126997E-3</v>
      </c>
      <c r="C1034" s="5">
        <v>5772</v>
      </c>
      <c r="D1034" s="5">
        <v>5782</v>
      </c>
      <c r="E1034" s="5">
        <v>45.197453554989501</v>
      </c>
      <c r="F1034" s="5">
        <v>1531</v>
      </c>
      <c r="G1034" s="5">
        <v>1533</v>
      </c>
      <c r="H1034" s="5">
        <v>11.898007399068717</v>
      </c>
      <c r="I1034" s="1">
        <f t="shared" si="32"/>
        <v>7315</v>
      </c>
      <c r="J1034" s="1">
        <f t="shared" si="33"/>
        <v>0.25754682311453264</v>
      </c>
      <c r="K1034" s="6" t="s">
        <v>832</v>
      </c>
    </row>
    <row r="1035" spans="1:11">
      <c r="A1035" s="5" t="s">
        <v>2100</v>
      </c>
      <c r="B1035" s="5">
        <v>1.2986122261293698E-2</v>
      </c>
      <c r="C1035" s="5">
        <v>144</v>
      </c>
      <c r="D1035" s="5">
        <v>1490</v>
      </c>
      <c r="E1035" s="5">
        <v>42.903662045342045</v>
      </c>
      <c r="F1035" s="5">
        <v>39</v>
      </c>
      <c r="G1035" s="5">
        <v>395</v>
      </c>
      <c r="H1035" s="5">
        <v>11.292793591210298</v>
      </c>
      <c r="I1035" s="1">
        <f t="shared" si="32"/>
        <v>1885</v>
      </c>
      <c r="J1035" s="1">
        <f t="shared" si="33"/>
        <v>0.25721757742093421</v>
      </c>
      <c r="K1035" s="6" t="s">
        <v>2101</v>
      </c>
    </row>
    <row r="1036" spans="1:11">
      <c r="A1036" s="5" t="s">
        <v>1073</v>
      </c>
      <c r="B1036" s="5">
        <v>1.3299211731876426E-9</v>
      </c>
      <c r="C1036" s="5">
        <v>458</v>
      </c>
      <c r="D1036" s="5">
        <v>8862</v>
      </c>
      <c r="E1036" s="5">
        <v>93.574438600709172</v>
      </c>
      <c r="F1036" s="5">
        <v>149</v>
      </c>
      <c r="G1036" s="5">
        <v>2316</v>
      </c>
      <c r="H1036" s="5">
        <v>24.280646134102241</v>
      </c>
      <c r="I1036" s="1">
        <f t="shared" si="32"/>
        <v>11178</v>
      </c>
      <c r="J1036" s="1">
        <f t="shared" si="33"/>
        <v>0.25673582094010095</v>
      </c>
      <c r="K1036" s="6" t="s">
        <v>925</v>
      </c>
    </row>
    <row r="1037" spans="1:11">
      <c r="A1037" s="5" t="s">
        <v>1350</v>
      </c>
      <c r="B1037" s="5">
        <v>4.7667425562281096E-10</v>
      </c>
      <c r="C1037" s="5">
        <v>12624</v>
      </c>
      <c r="D1037" s="5">
        <v>13351</v>
      </c>
      <c r="E1037" s="5">
        <v>709.55119862777474</v>
      </c>
      <c r="F1037" s="5">
        <v>3216</v>
      </c>
      <c r="G1037" s="5">
        <v>3453</v>
      </c>
      <c r="H1037" s="5">
        <v>182.20601945992118</v>
      </c>
      <c r="I1037" s="1">
        <f t="shared" si="32"/>
        <v>16804</v>
      </c>
      <c r="J1037" s="1">
        <f t="shared" si="33"/>
        <v>0.25642912123967943</v>
      </c>
      <c r="K1037" s="6" t="s">
        <v>1351</v>
      </c>
    </row>
    <row r="1038" spans="1:11">
      <c r="A1038" s="5" t="s">
        <v>1798</v>
      </c>
      <c r="B1038" s="5">
        <v>6.7735411724001438E-9</v>
      </c>
      <c r="C1038" s="5">
        <v>1444</v>
      </c>
      <c r="D1038" s="5">
        <v>1444</v>
      </c>
      <c r="E1038" s="5">
        <v>88.099255355332787</v>
      </c>
      <c r="F1038" s="5">
        <v>377</v>
      </c>
      <c r="G1038" s="5">
        <v>377</v>
      </c>
      <c r="H1038" s="5">
        <v>22.837186290358954</v>
      </c>
      <c r="I1038" s="1">
        <f t="shared" si="32"/>
        <v>1821</v>
      </c>
      <c r="J1038" s="1">
        <f t="shared" si="33"/>
        <v>0.25631175254252109</v>
      </c>
      <c r="K1038" s="6" t="s">
        <v>1799</v>
      </c>
    </row>
    <row r="1039" spans="1:11">
      <c r="A1039" s="5" t="s">
        <v>1208</v>
      </c>
      <c r="B1039" s="5">
        <v>4.2241426017597394E-3</v>
      </c>
      <c r="C1039" s="5">
        <v>1101</v>
      </c>
      <c r="D1039" s="5">
        <v>1101</v>
      </c>
      <c r="E1039" s="5">
        <v>46.233015014464648</v>
      </c>
      <c r="F1039" s="5">
        <v>290</v>
      </c>
      <c r="G1039" s="5">
        <v>290</v>
      </c>
      <c r="H1039" s="5">
        <v>12.09091296949204</v>
      </c>
      <c r="I1039" s="1">
        <f t="shared" si="32"/>
        <v>1391</v>
      </c>
      <c r="J1039" s="1">
        <f t="shared" si="33"/>
        <v>0.2559843568273022</v>
      </c>
      <c r="K1039" s="6" t="s">
        <v>2</v>
      </c>
    </row>
    <row r="1040" spans="1:11">
      <c r="A1040" s="5" t="s">
        <v>980</v>
      </c>
      <c r="B1040" s="5">
        <v>3.5130554534351655E-3</v>
      </c>
      <c r="C1040" s="5">
        <v>9565</v>
      </c>
      <c r="D1040" s="5">
        <v>9569</v>
      </c>
      <c r="E1040" s="5">
        <v>46.780327262083155</v>
      </c>
      <c r="F1040" s="5">
        <v>2517</v>
      </c>
      <c r="G1040" s="5">
        <v>2518</v>
      </c>
      <c r="H1040" s="5">
        <v>12.222178633484864</v>
      </c>
      <c r="I1040" s="1">
        <f t="shared" si="32"/>
        <v>12087</v>
      </c>
      <c r="J1040" s="1">
        <f t="shared" si="33"/>
        <v>0.2557993913780488</v>
      </c>
      <c r="K1040" s="6" t="s">
        <v>129</v>
      </c>
    </row>
    <row r="1041" spans="1:11">
      <c r="A1041" s="5" t="s">
        <v>488</v>
      </c>
      <c r="B1041" s="5">
        <v>6.9876556212378205E-5</v>
      </c>
      <c r="C1041" s="5">
        <v>10111</v>
      </c>
      <c r="D1041" s="5">
        <v>10124</v>
      </c>
      <c r="E1041" s="5">
        <v>58.964307921381632</v>
      </c>
      <c r="F1041" s="5">
        <v>2651</v>
      </c>
      <c r="G1041" s="5">
        <v>2652</v>
      </c>
      <c r="H1041" s="5">
        <v>15.335812451597331</v>
      </c>
      <c r="I1041" s="1">
        <f t="shared" si="32"/>
        <v>12776</v>
      </c>
      <c r="J1041" s="1">
        <f t="shared" si="33"/>
        <v>0.25574901109012882</v>
      </c>
      <c r="K1041" s="6" t="s">
        <v>489</v>
      </c>
    </row>
    <row r="1042" spans="1:11">
      <c r="A1042" s="5" t="s">
        <v>829</v>
      </c>
      <c r="B1042" s="5">
        <v>5.6010178384191533E-7</v>
      </c>
      <c r="C1042" s="5">
        <v>5275</v>
      </c>
      <c r="D1042" s="5">
        <v>5275</v>
      </c>
      <c r="E1042" s="5">
        <v>74.064244027356239</v>
      </c>
      <c r="F1042" s="5">
        <v>1377</v>
      </c>
      <c r="G1042" s="5">
        <v>1377</v>
      </c>
      <c r="H1042" s="5">
        <v>19.196244402380465</v>
      </c>
      <c r="I1042" s="1">
        <f t="shared" si="32"/>
        <v>6652</v>
      </c>
      <c r="J1042" s="1">
        <f t="shared" si="33"/>
        <v>0.25573086961862468</v>
      </c>
      <c r="K1042" s="6" t="s">
        <v>830</v>
      </c>
    </row>
    <row r="1043" spans="1:11">
      <c r="A1043" s="5" t="s">
        <v>31</v>
      </c>
      <c r="B1043" s="5">
        <v>1.0534501049264122E-9</v>
      </c>
      <c r="C1043" s="5">
        <v>4675</v>
      </c>
      <c r="D1043" s="5">
        <v>4675</v>
      </c>
      <c r="E1043" s="5">
        <v>93.743609303272365</v>
      </c>
      <c r="F1043" s="5">
        <v>1216</v>
      </c>
      <c r="G1043" s="5">
        <v>1216</v>
      </c>
      <c r="H1043" s="5">
        <v>24.209723555369866</v>
      </c>
      <c r="I1043" s="1">
        <f t="shared" si="32"/>
        <v>5891</v>
      </c>
      <c r="J1043" s="1">
        <f t="shared" si="33"/>
        <v>0.25552882915696229</v>
      </c>
      <c r="K1043" s="6" t="s">
        <v>32</v>
      </c>
    </row>
    <row r="1044" spans="1:11">
      <c r="A1044" s="5" t="s">
        <v>1209</v>
      </c>
      <c r="B1044" s="5">
        <v>8.5801366012105973E-10</v>
      </c>
      <c r="C1044" s="5">
        <v>6558</v>
      </c>
      <c r="D1044" s="5">
        <v>6558</v>
      </c>
      <c r="E1044" s="5">
        <v>94.667293479151439</v>
      </c>
      <c r="F1044" s="5">
        <v>1705</v>
      </c>
      <c r="G1044" s="5">
        <v>1705</v>
      </c>
      <c r="H1044" s="5">
        <v>24.437069944596331</v>
      </c>
      <c r="I1044" s="1">
        <f t="shared" si="32"/>
        <v>8263</v>
      </c>
      <c r="J1044" s="1">
        <f t="shared" si="33"/>
        <v>0.25543808187614137</v>
      </c>
      <c r="K1044" s="6" t="s">
        <v>1210</v>
      </c>
    </row>
    <row r="1045" spans="1:11">
      <c r="A1045" s="5" t="s">
        <v>739</v>
      </c>
      <c r="B1045" s="5">
        <v>5.4040962101020718E-3</v>
      </c>
      <c r="C1045" s="5">
        <v>5562</v>
      </c>
      <c r="D1045" s="5">
        <v>5565</v>
      </c>
      <c r="E1045" s="5">
        <v>45.32403811939929</v>
      </c>
      <c r="F1045" s="5">
        <v>1460</v>
      </c>
      <c r="G1045" s="5">
        <v>1460</v>
      </c>
      <c r="H1045" s="5">
        <v>11.806263809283848</v>
      </c>
      <c r="I1045" s="1">
        <f t="shared" si="32"/>
        <v>7025</v>
      </c>
      <c r="J1045" s="1">
        <f t="shared" si="33"/>
        <v>0.25486257866495654</v>
      </c>
      <c r="K1045" s="6" t="s">
        <v>740</v>
      </c>
    </row>
    <row r="1046" spans="1:11">
      <c r="A1046" s="5" t="s">
        <v>1021</v>
      </c>
      <c r="B1046" s="5">
        <v>4.3679950079145158E-5</v>
      </c>
      <c r="C1046" s="5">
        <v>5522</v>
      </c>
      <c r="D1046" s="5">
        <v>5569</v>
      </c>
      <c r="E1046" s="5">
        <v>60.181276490964869</v>
      </c>
      <c r="F1046" s="5">
        <v>1436</v>
      </c>
      <c r="G1046" s="5">
        <v>1450</v>
      </c>
      <c r="H1046" s="5">
        <v>15.55780699807554</v>
      </c>
      <c r="I1046" s="1">
        <f t="shared" si="32"/>
        <v>7019</v>
      </c>
      <c r="J1046" s="1">
        <f t="shared" si="33"/>
        <v>0.25429033015309982</v>
      </c>
      <c r="K1046" s="6" t="s">
        <v>260</v>
      </c>
    </row>
    <row r="1047" spans="1:11">
      <c r="A1047" s="5" t="s">
        <v>813</v>
      </c>
      <c r="B1047" s="5">
        <v>1.3463228297990737E-2</v>
      </c>
      <c r="C1047" s="5">
        <v>4036</v>
      </c>
      <c r="D1047" s="5">
        <v>4036</v>
      </c>
      <c r="E1047" s="5">
        <v>42.435252303915718</v>
      </c>
      <c r="F1047" s="5">
        <v>1058</v>
      </c>
      <c r="G1047" s="5">
        <v>1058</v>
      </c>
      <c r="H1047" s="5">
        <v>11.044790914667471</v>
      </c>
      <c r="I1047" s="1">
        <f t="shared" si="32"/>
        <v>5094</v>
      </c>
      <c r="J1047" s="1">
        <f t="shared" si="33"/>
        <v>0.25428172576015579</v>
      </c>
      <c r="K1047" s="6" t="s">
        <v>814</v>
      </c>
    </row>
    <row r="1048" spans="1:11">
      <c r="A1048" s="5" t="s">
        <v>1392</v>
      </c>
      <c r="B1048" s="5">
        <v>9.0091434312711272E-9</v>
      </c>
      <c r="C1048" s="5">
        <v>4003</v>
      </c>
      <c r="D1048" s="5">
        <v>4004</v>
      </c>
      <c r="E1048" s="5">
        <v>86.675966733366607</v>
      </c>
      <c r="F1048" s="5">
        <v>1037</v>
      </c>
      <c r="G1048" s="5">
        <v>1037</v>
      </c>
      <c r="H1048" s="5">
        <v>22.288435337523339</v>
      </c>
      <c r="I1048" s="1">
        <f t="shared" si="32"/>
        <v>5041</v>
      </c>
      <c r="J1048" s="1">
        <f t="shared" si="33"/>
        <v>0.25421373915733614</v>
      </c>
      <c r="K1048" s="6" t="s">
        <v>1393</v>
      </c>
    </row>
    <row r="1049" spans="1:11">
      <c r="A1049" s="5" t="s">
        <v>102</v>
      </c>
      <c r="B1049" s="5">
        <v>1.5706416722771621E-8</v>
      </c>
      <c r="C1049" s="5">
        <v>6497</v>
      </c>
      <c r="D1049" s="5">
        <v>6509</v>
      </c>
      <c r="E1049" s="5">
        <v>84.703263189061829</v>
      </c>
      <c r="F1049" s="5">
        <v>1669</v>
      </c>
      <c r="G1049" s="5">
        <v>1680</v>
      </c>
      <c r="H1049" s="5">
        <v>21.706577442088118</v>
      </c>
      <c r="I1049" s="1">
        <f t="shared" si="32"/>
        <v>8189</v>
      </c>
      <c r="J1049" s="1">
        <f t="shared" si="33"/>
        <v>0.25327597380047595</v>
      </c>
      <c r="K1049" s="6" t="s">
        <v>103</v>
      </c>
    </row>
    <row r="1050" spans="1:11">
      <c r="A1050" s="5" t="s">
        <v>2265</v>
      </c>
      <c r="B1050" s="5">
        <v>2.4983451085702768E-6</v>
      </c>
      <c r="C1050" s="5">
        <v>5283</v>
      </c>
      <c r="D1050" s="5">
        <v>5283</v>
      </c>
      <c r="E1050" s="5">
        <v>68.81483514585419</v>
      </c>
      <c r="F1050" s="5">
        <v>1365</v>
      </c>
      <c r="G1050" s="5">
        <v>1365</v>
      </c>
      <c r="H1050" s="5">
        <v>17.653479374350205</v>
      </c>
      <c r="I1050" s="1">
        <f t="shared" si="32"/>
        <v>6648</v>
      </c>
      <c r="J1050" s="1">
        <f t="shared" si="33"/>
        <v>0.25286143464307126</v>
      </c>
      <c r="K1050" s="6" t="s">
        <v>2266</v>
      </c>
    </row>
    <row r="1051" spans="1:11">
      <c r="A1051" s="5" t="s">
        <v>1864</v>
      </c>
      <c r="B1051" s="5">
        <v>6.0537630464096992E-10</v>
      </c>
      <c r="C1051" s="5">
        <v>15999</v>
      </c>
      <c r="D1051" s="5">
        <v>33736</v>
      </c>
      <c r="E1051" s="5">
        <v>749.98412944124664</v>
      </c>
      <c r="F1051" s="5">
        <v>4121</v>
      </c>
      <c r="G1051" s="5">
        <v>8598</v>
      </c>
      <c r="H1051" s="5">
        <v>189.78073578199451</v>
      </c>
      <c r="I1051" s="1">
        <f t="shared" si="32"/>
        <v>42334</v>
      </c>
      <c r="J1051" s="1">
        <f t="shared" si="33"/>
        <v>0.25270938271784349</v>
      </c>
      <c r="K1051" s="6" t="s">
        <v>1865</v>
      </c>
    </row>
    <row r="1052" spans="1:11">
      <c r="A1052" s="5" t="s">
        <v>1097</v>
      </c>
      <c r="B1052" s="5">
        <v>0</v>
      </c>
      <c r="C1052" s="5">
        <v>51586</v>
      </c>
      <c r="D1052" s="5">
        <v>51885</v>
      </c>
      <c r="E1052" s="5">
        <v>856.6916162097358</v>
      </c>
      <c r="F1052" s="5">
        <v>13095</v>
      </c>
      <c r="G1052" s="5">
        <v>13176</v>
      </c>
      <c r="H1052" s="5">
        <v>216.0043423529996</v>
      </c>
      <c r="I1052" s="1">
        <f t="shared" si="32"/>
        <v>65061</v>
      </c>
      <c r="J1052" s="1">
        <f t="shared" si="33"/>
        <v>0.25184383089525142</v>
      </c>
      <c r="K1052" s="6" t="s">
        <v>362</v>
      </c>
    </row>
    <row r="1053" spans="1:11">
      <c r="A1053" s="5" t="s">
        <v>1961</v>
      </c>
      <c r="B1053" s="5">
        <v>1.3140426389246507E-3</v>
      </c>
      <c r="C1053" s="5">
        <v>322</v>
      </c>
      <c r="D1053" s="5">
        <v>344</v>
      </c>
      <c r="E1053" s="5">
        <v>49.265709847049777</v>
      </c>
      <c r="F1053" s="5">
        <v>87</v>
      </c>
      <c r="G1053" s="5">
        <v>89</v>
      </c>
      <c r="H1053" s="5">
        <v>12.655301865273048</v>
      </c>
      <c r="I1053" s="1">
        <f t="shared" si="32"/>
        <v>433</v>
      </c>
      <c r="J1053" s="1">
        <f t="shared" si="33"/>
        <v>0.25176809208068551</v>
      </c>
      <c r="K1053" s="6" t="s">
        <v>187</v>
      </c>
    </row>
    <row r="1054" spans="1:11">
      <c r="A1054" s="5" t="s">
        <v>1487</v>
      </c>
      <c r="B1054" s="5">
        <v>1.1298324548584815E-2</v>
      </c>
      <c r="C1054" s="5">
        <v>163</v>
      </c>
      <c r="D1054" s="5">
        <v>2457</v>
      </c>
      <c r="E1054" s="5">
        <v>42.638213632939028</v>
      </c>
      <c r="F1054" s="5">
        <v>52</v>
      </c>
      <c r="G1054" s="5">
        <v>637</v>
      </c>
      <c r="H1054" s="5">
        <v>10.975630480064757</v>
      </c>
      <c r="I1054" s="1">
        <f t="shared" si="32"/>
        <v>3094</v>
      </c>
      <c r="J1054" s="1">
        <f t="shared" si="33"/>
        <v>0.25151420203369929</v>
      </c>
      <c r="K1054" s="6" t="s">
        <v>1488</v>
      </c>
    </row>
    <row r="1055" spans="1:11">
      <c r="A1055" s="5" t="s">
        <v>1539</v>
      </c>
      <c r="B1055" s="5">
        <v>1.2029473114499867E-3</v>
      </c>
      <c r="C1055" s="5">
        <v>865</v>
      </c>
      <c r="D1055" s="5">
        <v>2602</v>
      </c>
      <c r="E1055" s="5">
        <v>49.477478820682535</v>
      </c>
      <c r="F1055" s="5">
        <v>257</v>
      </c>
      <c r="G1055" s="5">
        <v>672</v>
      </c>
      <c r="H1055" s="5">
        <v>12.687198722964711</v>
      </c>
      <c r="I1055" s="1">
        <f t="shared" si="32"/>
        <v>3274</v>
      </c>
      <c r="J1055" s="1">
        <f t="shared" si="33"/>
        <v>0.25134374813042931</v>
      </c>
      <c r="K1055" s="6" t="s">
        <v>512</v>
      </c>
    </row>
    <row r="1056" spans="1:11">
      <c r="A1056" s="5" t="s">
        <v>2175</v>
      </c>
      <c r="B1056" s="5">
        <v>0</v>
      </c>
      <c r="C1056" s="5">
        <v>1652</v>
      </c>
      <c r="D1056" s="5">
        <v>1654</v>
      </c>
      <c r="E1056" s="5">
        <v>248.65479211958535</v>
      </c>
      <c r="F1056" s="5">
        <v>419</v>
      </c>
      <c r="G1056" s="5">
        <v>419</v>
      </c>
      <c r="H1056" s="5">
        <v>62.541969178371545</v>
      </c>
      <c r="I1056" s="1">
        <f t="shared" si="32"/>
        <v>2073</v>
      </c>
      <c r="J1056" s="1">
        <f t="shared" si="33"/>
        <v>0.25051379405693031</v>
      </c>
      <c r="K1056" s="6" t="s">
        <v>2</v>
      </c>
    </row>
    <row r="1057" spans="1:11">
      <c r="A1057" s="5" t="s">
        <v>406</v>
      </c>
      <c r="B1057" s="5">
        <v>2.1568964942253466E-3</v>
      </c>
      <c r="C1057" s="5">
        <v>2535</v>
      </c>
      <c r="D1057" s="5">
        <v>2536</v>
      </c>
      <c r="E1057" s="5">
        <v>47.55779821595064</v>
      </c>
      <c r="F1057" s="5">
        <v>653</v>
      </c>
      <c r="G1057" s="5">
        <v>653</v>
      </c>
      <c r="H1057" s="5">
        <v>12.158552431290524</v>
      </c>
      <c r="I1057" s="1">
        <f t="shared" si="32"/>
        <v>3189</v>
      </c>
      <c r="J1057" s="1">
        <f t="shared" si="33"/>
        <v>0.25039340493195156</v>
      </c>
      <c r="K1057" s="6" t="s">
        <v>63</v>
      </c>
    </row>
    <row r="1058" spans="1:11">
      <c r="A1058" s="5" t="s">
        <v>735</v>
      </c>
      <c r="B1058" s="5">
        <v>3.4458781938973004E-8</v>
      </c>
      <c r="C1058" s="5">
        <v>5718</v>
      </c>
      <c r="D1058" s="5">
        <v>5718</v>
      </c>
      <c r="E1058" s="5">
        <v>81.503850323485779</v>
      </c>
      <c r="F1058" s="5">
        <v>1458</v>
      </c>
      <c r="G1058" s="5">
        <v>1458</v>
      </c>
      <c r="H1058" s="5">
        <v>20.634202993024992</v>
      </c>
      <c r="I1058" s="1">
        <f t="shared" si="32"/>
        <v>7176</v>
      </c>
      <c r="J1058" s="1">
        <f t="shared" si="33"/>
        <v>0.250099879122262</v>
      </c>
      <c r="K1058" s="6" t="s">
        <v>45</v>
      </c>
    </row>
    <row r="1059" spans="1:11">
      <c r="A1059" s="5" t="s">
        <v>1344</v>
      </c>
      <c r="B1059" s="5">
        <v>5.2683528815156144E-4</v>
      </c>
      <c r="C1059" s="5">
        <v>6297</v>
      </c>
      <c r="D1059" s="5">
        <v>6297</v>
      </c>
      <c r="E1059" s="5">
        <v>51.766118555738217</v>
      </c>
      <c r="F1059" s="5">
        <v>1614</v>
      </c>
      <c r="G1059" s="5">
        <v>1614</v>
      </c>
      <c r="H1059" s="5">
        <v>13.173817407259692</v>
      </c>
      <c r="I1059" s="1">
        <f t="shared" si="32"/>
        <v>7911</v>
      </c>
      <c r="J1059" s="1">
        <f t="shared" si="33"/>
        <v>0.2496643256665515</v>
      </c>
      <c r="K1059" s="6" t="s">
        <v>921</v>
      </c>
    </row>
    <row r="1060" spans="1:11">
      <c r="A1060" s="5" t="s">
        <v>1897</v>
      </c>
      <c r="B1060" s="5">
        <v>0</v>
      </c>
      <c r="C1060" s="5">
        <v>104147</v>
      </c>
      <c r="D1060" s="5">
        <v>136518</v>
      </c>
      <c r="E1060" s="5">
        <v>2899.8844326083204</v>
      </c>
      <c r="F1060" s="5">
        <v>24148</v>
      </c>
      <c r="G1060" s="5">
        <v>34315</v>
      </c>
      <c r="H1060" s="5">
        <v>723.72067000237246</v>
      </c>
      <c r="I1060" s="1">
        <f t="shared" si="32"/>
        <v>170833</v>
      </c>
      <c r="J1060" s="1">
        <f t="shared" si="33"/>
        <v>0.24948276527915367</v>
      </c>
      <c r="K1060" s="6" t="s">
        <v>192</v>
      </c>
    </row>
    <row r="1061" spans="1:11">
      <c r="A1061" s="5" t="s">
        <v>1752</v>
      </c>
      <c r="B1061" s="5">
        <v>3.1474801098774208E-8</v>
      </c>
      <c r="C1061" s="5">
        <v>3424</v>
      </c>
      <c r="D1061" s="5">
        <v>3424</v>
      </c>
      <c r="E1061" s="5">
        <v>81.584481015804343</v>
      </c>
      <c r="F1061" s="5">
        <v>870</v>
      </c>
      <c r="G1061" s="5">
        <v>870</v>
      </c>
      <c r="H1061" s="5">
        <v>20.582079520746518</v>
      </c>
      <c r="I1061" s="1">
        <f t="shared" si="32"/>
        <v>4294</v>
      </c>
      <c r="J1061" s="1">
        <f t="shared" si="33"/>
        <v>0.24922454276618494</v>
      </c>
      <c r="K1061" s="6" t="s">
        <v>1753</v>
      </c>
    </row>
    <row r="1062" spans="1:11">
      <c r="A1062" s="5" t="s">
        <v>527</v>
      </c>
      <c r="B1062" s="5">
        <v>2.6675168018908124E-7</v>
      </c>
      <c r="C1062" s="5">
        <v>4862</v>
      </c>
      <c r="D1062" s="5">
        <v>4864</v>
      </c>
      <c r="E1062" s="5">
        <v>74.945018324569915</v>
      </c>
      <c r="F1062" s="5">
        <v>1235</v>
      </c>
      <c r="G1062" s="5">
        <v>1236</v>
      </c>
      <c r="H1062" s="5">
        <v>18.908795920703948</v>
      </c>
      <c r="I1062" s="1">
        <f t="shared" si="32"/>
        <v>6100</v>
      </c>
      <c r="J1062" s="1">
        <f t="shared" si="33"/>
        <v>0.24898006923762278</v>
      </c>
      <c r="K1062" s="6" t="s">
        <v>528</v>
      </c>
    </row>
    <row r="1063" spans="1:11">
      <c r="A1063" s="5" t="s">
        <v>422</v>
      </c>
      <c r="B1063" s="5">
        <v>7.6267880899649754E-11</v>
      </c>
      <c r="C1063" s="5">
        <v>9484</v>
      </c>
      <c r="D1063" s="5">
        <v>9484</v>
      </c>
      <c r="E1063" s="5">
        <v>182.63721941603265</v>
      </c>
      <c r="F1063" s="5">
        <v>2389</v>
      </c>
      <c r="G1063" s="5">
        <v>2389</v>
      </c>
      <c r="H1063" s="5">
        <v>45.67831667156571</v>
      </c>
      <c r="I1063" s="1">
        <f t="shared" si="32"/>
        <v>11873</v>
      </c>
      <c r="J1063" s="1">
        <f t="shared" si="33"/>
        <v>0.24874214942277501</v>
      </c>
      <c r="K1063" s="6" t="s">
        <v>423</v>
      </c>
    </row>
    <row r="1064" spans="1:11">
      <c r="A1064" s="5" t="s">
        <v>1666</v>
      </c>
      <c r="B1064" s="5">
        <v>0</v>
      </c>
      <c r="C1064" s="5">
        <v>34872</v>
      </c>
      <c r="D1064" s="5">
        <v>35380</v>
      </c>
      <c r="E1064" s="5">
        <v>703.22497055616475</v>
      </c>
      <c r="F1064" s="5">
        <v>8700</v>
      </c>
      <c r="G1064" s="5">
        <v>8848</v>
      </c>
      <c r="H1064" s="5">
        <v>174.61348045196465</v>
      </c>
      <c r="I1064" s="1">
        <f t="shared" si="32"/>
        <v>44228</v>
      </c>
      <c r="J1064" s="1">
        <f t="shared" si="33"/>
        <v>0.24795127658433197</v>
      </c>
      <c r="K1064" s="6" t="s">
        <v>189</v>
      </c>
    </row>
    <row r="1065" spans="1:11">
      <c r="A1065" s="5" t="s">
        <v>1384</v>
      </c>
      <c r="B1065" s="5">
        <v>0</v>
      </c>
      <c r="C1065" s="5">
        <v>14084</v>
      </c>
      <c r="D1065" s="5">
        <v>14300</v>
      </c>
      <c r="E1065" s="5">
        <v>222.6047936086994</v>
      </c>
      <c r="F1065" s="5">
        <v>3513</v>
      </c>
      <c r="G1065" s="5">
        <v>3585</v>
      </c>
      <c r="H1065" s="5">
        <v>55.409449422330084</v>
      </c>
      <c r="I1065" s="1">
        <f t="shared" si="32"/>
        <v>17885</v>
      </c>
      <c r="J1065" s="1">
        <f t="shared" si="33"/>
        <v>0.24780081199553661</v>
      </c>
      <c r="K1065" s="6" t="s">
        <v>758</v>
      </c>
    </row>
    <row r="1066" spans="1:11">
      <c r="A1066" s="5" t="s">
        <v>1748</v>
      </c>
      <c r="B1066" s="5">
        <v>0</v>
      </c>
      <c r="C1066" s="5">
        <v>12268</v>
      </c>
      <c r="D1066" s="5">
        <v>12271</v>
      </c>
      <c r="E1066" s="5">
        <v>127.5411172332178</v>
      </c>
      <c r="F1066" s="5">
        <v>3083</v>
      </c>
      <c r="G1066" s="5">
        <v>3085</v>
      </c>
      <c r="H1066" s="5">
        <v>31.83622968184735</v>
      </c>
      <c r="I1066" s="1">
        <f t="shared" si="32"/>
        <v>15356</v>
      </c>
      <c r="J1066" s="1">
        <f t="shared" si="33"/>
        <v>0.24767350997957704</v>
      </c>
      <c r="K1066" s="6" t="s">
        <v>689</v>
      </c>
    </row>
    <row r="1067" spans="1:11">
      <c r="A1067" s="5" t="s">
        <v>1460</v>
      </c>
      <c r="B1067" s="5">
        <v>1.5253576179929951E-10</v>
      </c>
      <c r="C1067" s="5">
        <v>16132</v>
      </c>
      <c r="D1067" s="5">
        <v>16132</v>
      </c>
      <c r="E1067" s="5">
        <v>205.50711765361703</v>
      </c>
      <c r="F1067" s="5">
        <v>4043</v>
      </c>
      <c r="G1067" s="5">
        <v>4043</v>
      </c>
      <c r="H1067" s="5">
        <v>51.137394446444034</v>
      </c>
      <c r="I1067" s="1">
        <f t="shared" si="32"/>
        <v>20175</v>
      </c>
      <c r="J1067" s="1">
        <f t="shared" si="33"/>
        <v>0.24763017869543322</v>
      </c>
      <c r="K1067" s="6" t="s">
        <v>1461</v>
      </c>
    </row>
    <row r="1068" spans="1:11">
      <c r="A1068" s="5" t="s">
        <v>574</v>
      </c>
      <c r="B1068" s="5">
        <v>2.787705448703548E-6</v>
      </c>
      <c r="C1068" s="5">
        <v>2376</v>
      </c>
      <c r="D1068" s="5">
        <v>7751</v>
      </c>
      <c r="E1068" s="5">
        <v>67.448105988587528</v>
      </c>
      <c r="F1068" s="5">
        <v>636</v>
      </c>
      <c r="G1068" s="5">
        <v>1961</v>
      </c>
      <c r="H1068" s="5">
        <v>16.942824626332037</v>
      </c>
      <c r="I1068" s="1">
        <f t="shared" si="32"/>
        <v>9712</v>
      </c>
      <c r="J1068" s="1">
        <f t="shared" si="33"/>
        <v>0.24752802698670645</v>
      </c>
      <c r="K1068" s="6" t="s">
        <v>573</v>
      </c>
    </row>
    <row r="1069" spans="1:11">
      <c r="A1069" s="5" t="s">
        <v>1643</v>
      </c>
      <c r="B1069" s="5">
        <v>0</v>
      </c>
      <c r="C1069" s="5">
        <v>3950</v>
      </c>
      <c r="D1069" s="5">
        <v>3950</v>
      </c>
      <c r="E1069" s="5">
        <v>217.13598332282626</v>
      </c>
      <c r="F1069" s="5">
        <v>989</v>
      </c>
      <c r="G1069" s="5">
        <v>989</v>
      </c>
      <c r="H1069" s="5">
        <v>53.97929346279556</v>
      </c>
      <c r="I1069" s="1">
        <f t="shared" si="32"/>
        <v>4939</v>
      </c>
      <c r="J1069" s="1">
        <f t="shared" si="33"/>
        <v>0.24745707993948854</v>
      </c>
      <c r="K1069" s="6" t="s">
        <v>2</v>
      </c>
    </row>
    <row r="1070" spans="1:11">
      <c r="A1070" s="5" t="s">
        <v>2186</v>
      </c>
      <c r="B1070" s="5">
        <v>6.1967653230965425E-11</v>
      </c>
      <c r="C1070" s="5">
        <v>6414</v>
      </c>
      <c r="D1070" s="5">
        <v>6502</v>
      </c>
      <c r="E1070" s="5">
        <v>111.48333229079357</v>
      </c>
      <c r="F1070" s="5">
        <v>1610</v>
      </c>
      <c r="G1070" s="5">
        <v>1634</v>
      </c>
      <c r="H1070" s="5">
        <v>27.81706008150967</v>
      </c>
      <c r="I1070" s="1">
        <f t="shared" si="32"/>
        <v>8136</v>
      </c>
      <c r="J1070" s="1">
        <f t="shared" si="33"/>
        <v>0.24729939551929878</v>
      </c>
      <c r="K1070" s="6" t="s">
        <v>204</v>
      </c>
    </row>
    <row r="1071" spans="1:11">
      <c r="A1071" s="5" t="s">
        <v>1783</v>
      </c>
      <c r="B1071" s="5">
        <v>8.0497599856121926E-4</v>
      </c>
      <c r="C1071" s="5">
        <v>453</v>
      </c>
      <c r="D1071" s="5">
        <v>453</v>
      </c>
      <c r="E1071" s="5">
        <v>50.107530328696051</v>
      </c>
      <c r="F1071" s="5">
        <v>115</v>
      </c>
      <c r="G1071" s="5">
        <v>115</v>
      </c>
      <c r="H1071" s="5">
        <v>12.629868720024485</v>
      </c>
      <c r="I1071" s="1">
        <f t="shared" si="32"/>
        <v>568</v>
      </c>
      <c r="J1071" s="1">
        <f t="shared" si="33"/>
        <v>0.24712344029922764</v>
      </c>
      <c r="K1071" s="6" t="s">
        <v>2</v>
      </c>
    </row>
    <row r="1072" spans="1:11">
      <c r="A1072" s="5" t="s">
        <v>1152</v>
      </c>
      <c r="B1072" s="5">
        <v>1.7636947458044006E-10</v>
      </c>
      <c r="C1072" s="5">
        <v>8941</v>
      </c>
      <c r="D1072" s="5">
        <v>8941</v>
      </c>
      <c r="E1072" s="5">
        <v>185.57663959490733</v>
      </c>
      <c r="F1072" s="5">
        <v>2236</v>
      </c>
      <c r="G1072" s="5">
        <v>2236</v>
      </c>
      <c r="H1072" s="5">
        <v>46.079229719509094</v>
      </c>
      <c r="I1072" s="1">
        <f t="shared" si="32"/>
        <v>11177</v>
      </c>
      <c r="J1072" s="1">
        <f t="shared" si="33"/>
        <v>0.24697212801964755</v>
      </c>
      <c r="K1072" s="6" t="s">
        <v>1153</v>
      </c>
    </row>
    <row r="1073" spans="1:11">
      <c r="A1073" s="5" t="s">
        <v>1475</v>
      </c>
      <c r="B1073" s="5">
        <v>0</v>
      </c>
      <c r="C1073" s="5">
        <v>12334</v>
      </c>
      <c r="D1073" s="5">
        <v>12334</v>
      </c>
      <c r="E1073" s="5">
        <v>683.5375147904565</v>
      </c>
      <c r="F1073" s="5">
        <v>3070</v>
      </c>
      <c r="G1073" s="5">
        <v>3070</v>
      </c>
      <c r="H1073" s="5">
        <v>168.9246339278649</v>
      </c>
      <c r="I1073" s="1">
        <f t="shared" si="32"/>
        <v>15404</v>
      </c>
      <c r="J1073" s="1">
        <f t="shared" si="33"/>
        <v>0.24677191575040902</v>
      </c>
      <c r="K1073" s="6" t="s">
        <v>1476</v>
      </c>
    </row>
    <row r="1074" spans="1:11">
      <c r="A1074" s="5" t="s">
        <v>1385</v>
      </c>
      <c r="B1074" s="5">
        <v>0</v>
      </c>
      <c r="C1074" s="5">
        <v>23832</v>
      </c>
      <c r="D1074" s="5">
        <v>24410</v>
      </c>
      <c r="E1074" s="5">
        <v>448.18723068220226</v>
      </c>
      <c r="F1074" s="5">
        <v>5938</v>
      </c>
      <c r="G1074" s="5">
        <v>6074</v>
      </c>
      <c r="H1074" s="5">
        <v>110.72933380822312</v>
      </c>
      <c r="I1074" s="1">
        <f t="shared" si="32"/>
        <v>30484</v>
      </c>
      <c r="J1074" s="1">
        <f t="shared" si="33"/>
        <v>0.24651042203504572</v>
      </c>
      <c r="K1074" s="6" t="s">
        <v>758</v>
      </c>
    </row>
    <row r="1075" spans="1:11">
      <c r="A1075" s="5" t="s">
        <v>2006</v>
      </c>
      <c r="B1075" s="5">
        <v>9.0097718786097403E-4</v>
      </c>
      <c r="C1075" s="5">
        <v>12813</v>
      </c>
      <c r="D1075" s="5">
        <v>12820</v>
      </c>
      <c r="E1075" s="5">
        <v>49.635931376422818</v>
      </c>
      <c r="F1075" s="5">
        <v>3242</v>
      </c>
      <c r="G1075" s="5">
        <v>3243</v>
      </c>
      <c r="H1075" s="5">
        <v>12.466693979020185</v>
      </c>
      <c r="I1075" s="1">
        <f t="shared" si="32"/>
        <v>16063</v>
      </c>
      <c r="J1075" s="1">
        <f t="shared" si="33"/>
        <v>0.24620252141397259</v>
      </c>
      <c r="K1075" s="6" t="s">
        <v>17</v>
      </c>
    </row>
    <row r="1076" spans="1:11">
      <c r="A1076" s="5" t="s">
        <v>1085</v>
      </c>
      <c r="B1076" s="5">
        <v>6.0772673963471746E-3</v>
      </c>
      <c r="C1076" s="5">
        <v>1999</v>
      </c>
      <c r="D1076" s="5">
        <v>2016</v>
      </c>
      <c r="E1076" s="5">
        <v>43.850355761469771</v>
      </c>
      <c r="F1076" s="5">
        <v>511</v>
      </c>
      <c r="G1076" s="5">
        <v>511</v>
      </c>
      <c r="H1076" s="5">
        <v>11.035695112219081</v>
      </c>
      <c r="I1076" s="1">
        <f t="shared" si="32"/>
        <v>2527</v>
      </c>
      <c r="J1076" s="1">
        <f t="shared" si="33"/>
        <v>0.24605591025656193</v>
      </c>
      <c r="K1076" s="6" t="s">
        <v>2</v>
      </c>
    </row>
    <row r="1077" spans="1:11">
      <c r="A1077" s="5" t="s">
        <v>1334</v>
      </c>
      <c r="B1077" s="5">
        <v>2.6239091432759265E-2</v>
      </c>
      <c r="C1077" s="5">
        <v>1980</v>
      </c>
      <c r="D1077" s="5">
        <v>1980</v>
      </c>
      <c r="E1077" s="5">
        <v>39.441588163667738</v>
      </c>
      <c r="F1077" s="5">
        <v>503</v>
      </c>
      <c r="G1077" s="5">
        <v>503</v>
      </c>
      <c r="H1077" s="5">
        <v>9.9484034354725939</v>
      </c>
      <c r="I1077" s="1">
        <f t="shared" si="32"/>
        <v>2483</v>
      </c>
      <c r="J1077" s="1">
        <f t="shared" si="33"/>
        <v>0.24599438071549637</v>
      </c>
      <c r="K1077" s="6" t="s">
        <v>1335</v>
      </c>
    </row>
    <row r="1078" spans="1:11">
      <c r="A1078" s="5" t="s">
        <v>430</v>
      </c>
      <c r="B1078" s="5">
        <v>4.9857977813927423E-4</v>
      </c>
      <c r="C1078" s="5">
        <v>2023</v>
      </c>
      <c r="D1078" s="5">
        <v>2028</v>
      </c>
      <c r="E1078" s="5">
        <v>51.381120670026256</v>
      </c>
      <c r="F1078" s="5">
        <v>511</v>
      </c>
      <c r="G1078" s="5">
        <v>512</v>
      </c>
      <c r="H1078" s="5">
        <v>12.879582422674471</v>
      </c>
      <c r="I1078" s="1">
        <f t="shared" si="32"/>
        <v>2540</v>
      </c>
      <c r="J1078" s="1">
        <f t="shared" si="33"/>
        <v>0.24588214719209853</v>
      </c>
      <c r="K1078" s="6" t="s">
        <v>313</v>
      </c>
    </row>
    <row r="1079" spans="1:11">
      <c r="A1079" s="5" t="s">
        <v>2076</v>
      </c>
      <c r="B1079" s="5">
        <v>9.0091434312711272E-10</v>
      </c>
      <c r="C1079" s="5">
        <v>3721</v>
      </c>
      <c r="D1079" s="5">
        <v>3721</v>
      </c>
      <c r="E1079" s="5">
        <v>91.38182196280151</v>
      </c>
      <c r="F1079" s="5">
        <v>930</v>
      </c>
      <c r="G1079" s="5">
        <v>930</v>
      </c>
      <c r="H1079" s="5">
        <v>22.676670583638376</v>
      </c>
      <c r="I1079" s="1">
        <f t="shared" si="32"/>
        <v>4651</v>
      </c>
      <c r="J1079" s="1">
        <f t="shared" si="33"/>
        <v>0.24546680398627957</v>
      </c>
      <c r="K1079" s="6" t="s">
        <v>2077</v>
      </c>
    </row>
    <row r="1080" spans="1:11">
      <c r="A1080" s="5" t="s">
        <v>771</v>
      </c>
      <c r="B1080" s="5">
        <v>3.4425965838486561E-2</v>
      </c>
      <c r="C1080" s="5">
        <v>9850</v>
      </c>
      <c r="D1080" s="5">
        <v>9850</v>
      </c>
      <c r="E1080" s="5">
        <v>38.564821808078328</v>
      </c>
      <c r="F1080" s="5">
        <v>2498</v>
      </c>
      <c r="G1080" s="5">
        <v>2498</v>
      </c>
      <c r="H1080" s="5">
        <v>9.7105478478633795</v>
      </c>
      <c r="I1080" s="1">
        <f t="shared" si="32"/>
        <v>12348</v>
      </c>
      <c r="J1080" s="1">
        <f t="shared" si="33"/>
        <v>0.24543388303294933</v>
      </c>
      <c r="K1080" s="6" t="s">
        <v>12</v>
      </c>
    </row>
    <row r="1081" spans="1:11">
      <c r="A1081" s="5" t="s">
        <v>1620</v>
      </c>
      <c r="B1081" s="5">
        <v>4.3297733594016563E-5</v>
      </c>
      <c r="C1081" s="5">
        <v>1558</v>
      </c>
      <c r="D1081" s="5">
        <v>1733</v>
      </c>
      <c r="E1081" s="5">
        <v>58.651944786742455</v>
      </c>
      <c r="F1081" s="5">
        <v>398</v>
      </c>
      <c r="G1081" s="5">
        <v>435</v>
      </c>
      <c r="H1081" s="5">
        <v>14.617372395953062</v>
      </c>
      <c r="I1081" s="1">
        <f t="shared" si="32"/>
        <v>2168</v>
      </c>
      <c r="J1081" s="1">
        <f t="shared" si="33"/>
        <v>0.24504435602578625</v>
      </c>
      <c r="K1081" s="6" t="s">
        <v>931</v>
      </c>
    </row>
    <row r="1082" spans="1:11">
      <c r="A1082" s="5" t="s">
        <v>50</v>
      </c>
      <c r="B1082" s="5">
        <v>2.1999088906099473E-6</v>
      </c>
      <c r="C1082" s="5">
        <v>5220</v>
      </c>
      <c r="D1082" s="5">
        <v>5225</v>
      </c>
      <c r="E1082" s="5">
        <v>67.638424992059981</v>
      </c>
      <c r="F1082" s="5">
        <v>1304</v>
      </c>
      <c r="G1082" s="5">
        <v>1307</v>
      </c>
      <c r="H1082" s="5">
        <v>16.798827826913136</v>
      </c>
      <c r="I1082" s="1">
        <f t="shared" si="32"/>
        <v>6532</v>
      </c>
      <c r="J1082" s="1">
        <f t="shared" si="33"/>
        <v>0.24474378351275405</v>
      </c>
      <c r="K1082" s="6" t="s">
        <v>45</v>
      </c>
    </row>
    <row r="1083" spans="1:11">
      <c r="A1083" s="5" t="s">
        <v>1989</v>
      </c>
      <c r="B1083" s="5">
        <v>0</v>
      </c>
      <c r="C1083" s="5">
        <v>18172</v>
      </c>
      <c r="D1083" s="5">
        <v>19005</v>
      </c>
      <c r="E1083" s="5">
        <v>1283.2247603165531</v>
      </c>
      <c r="F1083" s="5">
        <v>4499</v>
      </c>
      <c r="G1083" s="5">
        <v>4688</v>
      </c>
      <c r="H1083" s="5">
        <v>314.28138616098386</v>
      </c>
      <c r="I1083" s="1">
        <f t="shared" si="32"/>
        <v>23693</v>
      </c>
      <c r="J1083" s="1">
        <f t="shared" si="33"/>
        <v>0.24472459640438293</v>
      </c>
      <c r="K1083" s="6" t="s">
        <v>1990</v>
      </c>
    </row>
    <row r="1084" spans="1:11">
      <c r="A1084" s="5" t="s">
        <v>2131</v>
      </c>
      <c r="B1084" s="5">
        <v>2.3786379027557203E-6</v>
      </c>
      <c r="C1084" s="5">
        <v>512</v>
      </c>
      <c r="D1084" s="5">
        <v>5452</v>
      </c>
      <c r="E1084" s="5">
        <v>67.3718441960294</v>
      </c>
      <c r="F1084" s="5">
        <v>116</v>
      </c>
      <c r="G1084" s="5">
        <v>1363</v>
      </c>
      <c r="H1084" s="5">
        <v>16.723017502218418</v>
      </c>
      <c r="I1084" s="1">
        <f t="shared" si="32"/>
        <v>6815</v>
      </c>
      <c r="J1084" s="1">
        <f t="shared" si="33"/>
        <v>0.24458924135893917</v>
      </c>
      <c r="K1084" s="6" t="s">
        <v>2132</v>
      </c>
    </row>
    <row r="1085" spans="1:11">
      <c r="A1085" s="5" t="s">
        <v>1895</v>
      </c>
      <c r="B1085" s="5">
        <v>6.1988674565638391E-6</v>
      </c>
      <c r="C1085" s="5">
        <v>14243</v>
      </c>
      <c r="D1085" s="5">
        <v>17512</v>
      </c>
      <c r="E1085" s="5">
        <v>64.446035385342213</v>
      </c>
      <c r="F1085" s="5">
        <v>3389</v>
      </c>
      <c r="G1085" s="5">
        <v>4379</v>
      </c>
      <c r="H1085" s="5">
        <v>16.00042808004946</v>
      </c>
      <c r="I1085" s="1">
        <f t="shared" si="32"/>
        <v>21891</v>
      </c>
      <c r="J1085" s="1">
        <f t="shared" si="33"/>
        <v>0.24448277097061613</v>
      </c>
      <c r="K1085" s="6" t="s">
        <v>604</v>
      </c>
    </row>
    <row r="1086" spans="1:11">
      <c r="A1086" s="5" t="s">
        <v>1298</v>
      </c>
      <c r="B1086" s="5">
        <v>1.0364423674857903E-6</v>
      </c>
      <c r="C1086" s="5">
        <v>3401</v>
      </c>
      <c r="D1086" s="5">
        <v>3401</v>
      </c>
      <c r="E1086" s="5">
        <v>69.79157688375841</v>
      </c>
      <c r="F1086" s="5">
        <v>848</v>
      </c>
      <c r="G1086" s="5">
        <v>848</v>
      </c>
      <c r="H1086" s="5">
        <v>17.277799553720687</v>
      </c>
      <c r="I1086" s="1">
        <f t="shared" si="32"/>
        <v>4249</v>
      </c>
      <c r="J1086" s="1">
        <f t="shared" si="33"/>
        <v>0.24406575350187887</v>
      </c>
      <c r="K1086" s="6" t="s">
        <v>1299</v>
      </c>
    </row>
    <row r="1087" spans="1:11">
      <c r="A1087" s="5" t="s">
        <v>351</v>
      </c>
      <c r="B1087" s="5">
        <v>3.9879852385849013E-4</v>
      </c>
      <c r="C1087" s="5">
        <v>4744</v>
      </c>
      <c r="D1087" s="5">
        <v>6769</v>
      </c>
      <c r="E1087" s="5">
        <v>51.767652727712516</v>
      </c>
      <c r="F1087" s="5">
        <v>1248</v>
      </c>
      <c r="G1087" s="5">
        <v>1695</v>
      </c>
      <c r="H1087" s="5">
        <v>12.870631669449397</v>
      </c>
      <c r="I1087" s="1">
        <f t="shared" si="32"/>
        <v>8464</v>
      </c>
      <c r="J1087" s="1">
        <f t="shared" si="33"/>
        <v>0.24391139275918555</v>
      </c>
      <c r="K1087" s="6" t="s">
        <v>352</v>
      </c>
    </row>
    <row r="1088" spans="1:11">
      <c r="A1088" s="5" t="s">
        <v>755</v>
      </c>
      <c r="B1088" s="5">
        <v>2.7303560301644714E-3</v>
      </c>
      <c r="C1088" s="5">
        <v>4069</v>
      </c>
      <c r="D1088" s="5">
        <v>4069</v>
      </c>
      <c r="E1088" s="5">
        <v>45.942069067659766</v>
      </c>
      <c r="F1088" s="5">
        <v>1020</v>
      </c>
      <c r="G1088" s="5">
        <v>1020</v>
      </c>
      <c r="H1088" s="5">
        <v>11.434554065410586</v>
      </c>
      <c r="I1088" s="1">
        <f t="shared" si="32"/>
        <v>5089</v>
      </c>
      <c r="J1088" s="1">
        <f t="shared" si="33"/>
        <v>0.24358862513983856</v>
      </c>
      <c r="K1088" s="6" t="s">
        <v>756</v>
      </c>
    </row>
    <row r="1089" spans="1:11">
      <c r="A1089" s="5" t="s">
        <v>304</v>
      </c>
      <c r="B1089" s="5">
        <v>0</v>
      </c>
      <c r="C1089" s="5">
        <v>9253</v>
      </c>
      <c r="D1089" s="5">
        <v>9253</v>
      </c>
      <c r="E1089" s="5">
        <v>156.09467861200926</v>
      </c>
      <c r="F1089" s="5">
        <v>2281</v>
      </c>
      <c r="G1089" s="5">
        <v>2281</v>
      </c>
      <c r="H1089" s="5">
        <v>38.205599694829829</v>
      </c>
      <c r="I1089" s="1">
        <f t="shared" si="32"/>
        <v>11534</v>
      </c>
      <c r="J1089" s="1">
        <f t="shared" si="33"/>
        <v>0.24320110669814352</v>
      </c>
      <c r="K1089" s="6" t="s">
        <v>305</v>
      </c>
    </row>
    <row r="1090" spans="1:11">
      <c r="A1090" s="5" t="s">
        <v>572</v>
      </c>
      <c r="B1090" s="5">
        <v>0</v>
      </c>
      <c r="C1090" s="5">
        <v>18134</v>
      </c>
      <c r="D1090" s="5">
        <v>50749</v>
      </c>
      <c r="E1090" s="5">
        <v>341.98029095346141</v>
      </c>
      <c r="F1090" s="5">
        <v>4618</v>
      </c>
      <c r="G1090" s="5">
        <v>12456</v>
      </c>
      <c r="H1090" s="5">
        <v>83.339019779593315</v>
      </c>
      <c r="I1090" s="1">
        <f t="shared" ref="I1090:I1153" si="34">D1090+G1090</f>
        <v>63205</v>
      </c>
      <c r="J1090" s="1">
        <f t="shared" ref="J1090:J1153" si="35">H1090/(E1090+1)</f>
        <v>0.24298486524667823</v>
      </c>
      <c r="K1090" s="6" t="s">
        <v>573</v>
      </c>
    </row>
    <row r="1091" spans="1:11">
      <c r="A1091" s="5" t="s">
        <v>115</v>
      </c>
      <c r="B1091" s="5">
        <v>1.6444537274118431E-5</v>
      </c>
      <c r="C1091" s="5">
        <v>2590</v>
      </c>
      <c r="D1091" s="5">
        <v>2591</v>
      </c>
      <c r="E1091" s="5">
        <v>61.200481217206011</v>
      </c>
      <c r="F1091" s="5">
        <v>641</v>
      </c>
      <c r="G1091" s="5">
        <v>644</v>
      </c>
      <c r="H1091" s="5">
        <v>15.103218011029281</v>
      </c>
      <c r="I1091" s="1">
        <f t="shared" si="34"/>
        <v>3235</v>
      </c>
      <c r="J1091" s="1">
        <f t="shared" si="35"/>
        <v>0.24281513125739934</v>
      </c>
      <c r="K1091" s="6" t="s">
        <v>116</v>
      </c>
    </row>
    <row r="1092" spans="1:11">
      <c r="A1092" s="5" t="s">
        <v>1378</v>
      </c>
      <c r="B1092" s="5">
        <v>1.7160273202421195E-10</v>
      </c>
      <c r="C1092" s="5">
        <v>3380</v>
      </c>
      <c r="D1092" s="5">
        <v>3399</v>
      </c>
      <c r="E1092" s="5">
        <v>105.34078533507449</v>
      </c>
      <c r="F1092" s="5">
        <v>836</v>
      </c>
      <c r="G1092" s="5">
        <v>839</v>
      </c>
      <c r="H1092" s="5">
        <v>25.81686762999637</v>
      </c>
      <c r="I1092" s="1">
        <f t="shared" si="34"/>
        <v>4238</v>
      </c>
      <c r="J1092" s="1">
        <f t="shared" si="35"/>
        <v>0.2427748445589217</v>
      </c>
      <c r="K1092" s="6" t="s">
        <v>1379</v>
      </c>
    </row>
    <row r="1093" spans="1:11">
      <c r="A1093" s="5" t="s">
        <v>1674</v>
      </c>
      <c r="B1093" s="5">
        <v>0</v>
      </c>
      <c r="C1093" s="5">
        <v>70288</v>
      </c>
      <c r="D1093" s="5">
        <v>71815</v>
      </c>
      <c r="E1093" s="5">
        <v>1388.8679959970025</v>
      </c>
      <c r="F1093" s="5">
        <v>17176</v>
      </c>
      <c r="G1093" s="5">
        <v>17520</v>
      </c>
      <c r="H1093" s="5">
        <v>336.41558538863404</v>
      </c>
      <c r="I1093" s="1">
        <f t="shared" si="34"/>
        <v>89335</v>
      </c>
      <c r="J1093" s="1">
        <f t="shared" si="35"/>
        <v>0.24204858760512074</v>
      </c>
      <c r="K1093" s="6" t="s">
        <v>981</v>
      </c>
    </row>
    <row r="1094" spans="1:11">
      <c r="A1094" s="5" t="s">
        <v>732</v>
      </c>
      <c r="B1094" s="5">
        <v>4.0890976676921653E-6</v>
      </c>
      <c r="C1094" s="5">
        <v>2155</v>
      </c>
      <c r="D1094" s="5">
        <v>2158</v>
      </c>
      <c r="E1094" s="5">
        <v>65.245240153382909</v>
      </c>
      <c r="F1094" s="5">
        <v>534</v>
      </c>
      <c r="G1094" s="5">
        <v>534</v>
      </c>
      <c r="H1094" s="5">
        <v>16.030049029345861</v>
      </c>
      <c r="I1094" s="1">
        <f t="shared" si="34"/>
        <v>2692</v>
      </c>
      <c r="J1094" s="1">
        <f t="shared" si="35"/>
        <v>0.24198038971902291</v>
      </c>
      <c r="K1094" s="6" t="s">
        <v>226</v>
      </c>
    </row>
    <row r="1095" spans="1:11">
      <c r="A1095" s="5" t="s">
        <v>1175</v>
      </c>
      <c r="B1095" s="5">
        <v>7.1501138343421644E-11</v>
      </c>
      <c r="C1095" s="5">
        <v>4430</v>
      </c>
      <c r="D1095" s="5">
        <v>4430</v>
      </c>
      <c r="E1095" s="5">
        <v>141.31706145976511</v>
      </c>
      <c r="F1095" s="5">
        <v>1087</v>
      </c>
      <c r="G1095" s="5">
        <v>1087</v>
      </c>
      <c r="H1095" s="5">
        <v>34.428382236321802</v>
      </c>
      <c r="I1095" s="1">
        <f t="shared" si="34"/>
        <v>5517</v>
      </c>
      <c r="J1095" s="1">
        <f t="shared" si="35"/>
        <v>0.24191324556019697</v>
      </c>
      <c r="K1095" s="6" t="s">
        <v>1176</v>
      </c>
    </row>
    <row r="1096" spans="1:11">
      <c r="A1096" s="5" t="s">
        <v>747</v>
      </c>
      <c r="B1096" s="5">
        <v>1.9066970224912438E-9</v>
      </c>
      <c r="C1096" s="5">
        <v>4007</v>
      </c>
      <c r="D1096" s="5">
        <v>4008</v>
      </c>
      <c r="E1096" s="5">
        <v>88.308123911885289</v>
      </c>
      <c r="F1096" s="5">
        <v>986</v>
      </c>
      <c r="G1096" s="5">
        <v>986</v>
      </c>
      <c r="H1096" s="5">
        <v>21.569797129056568</v>
      </c>
      <c r="I1096" s="1">
        <f t="shared" si="34"/>
        <v>4994</v>
      </c>
      <c r="J1096" s="1">
        <f t="shared" si="35"/>
        <v>0.24152110899046686</v>
      </c>
      <c r="K1096" s="6" t="s">
        <v>84</v>
      </c>
    </row>
    <row r="1097" spans="1:11">
      <c r="A1097" s="5" t="s">
        <v>2056</v>
      </c>
      <c r="B1097" s="5">
        <v>6.1967653230965425E-11</v>
      </c>
      <c r="C1097" s="5">
        <v>3441</v>
      </c>
      <c r="D1097" s="5">
        <v>8335</v>
      </c>
      <c r="E1097" s="5">
        <v>115.24455443975761</v>
      </c>
      <c r="F1097" s="5">
        <v>811</v>
      </c>
      <c r="G1097" s="5">
        <v>2045</v>
      </c>
      <c r="H1097" s="5">
        <v>28.0740016657066</v>
      </c>
      <c r="I1097" s="1">
        <f t="shared" si="34"/>
        <v>10380</v>
      </c>
      <c r="J1097" s="1">
        <f t="shared" si="35"/>
        <v>0.241508101613961</v>
      </c>
      <c r="K1097" s="6" t="s">
        <v>1927</v>
      </c>
    </row>
    <row r="1098" spans="1:11">
      <c r="A1098" s="5" t="s">
        <v>1042</v>
      </c>
      <c r="B1098" s="5">
        <v>2.0661493277396303E-6</v>
      </c>
      <c r="C1098" s="5">
        <v>3949</v>
      </c>
      <c r="D1098" s="5">
        <v>4267</v>
      </c>
      <c r="E1098" s="5">
        <v>67.153329899489336</v>
      </c>
      <c r="F1098" s="5">
        <v>958</v>
      </c>
      <c r="G1098" s="5">
        <v>1052</v>
      </c>
      <c r="H1098" s="5">
        <v>16.438298014899672</v>
      </c>
      <c r="I1098" s="1">
        <f t="shared" si="34"/>
        <v>5319</v>
      </c>
      <c r="J1098" s="1">
        <f t="shared" si="35"/>
        <v>0.24119581595121506</v>
      </c>
      <c r="K1098" s="6" t="s">
        <v>1043</v>
      </c>
    </row>
    <row r="1099" spans="1:11">
      <c r="A1099" s="5" t="s">
        <v>1412</v>
      </c>
      <c r="B1099" s="5">
        <v>1.5253576179929951E-10</v>
      </c>
      <c r="C1099" s="5">
        <v>7688</v>
      </c>
      <c r="D1099" s="5">
        <v>7710</v>
      </c>
      <c r="E1099" s="5">
        <v>718.47461726408903</v>
      </c>
      <c r="F1099" s="5">
        <v>1867</v>
      </c>
      <c r="G1099" s="5">
        <v>1870</v>
      </c>
      <c r="H1099" s="5">
        <v>173.01942253084169</v>
      </c>
      <c r="I1099" s="1">
        <f t="shared" si="34"/>
        <v>9580</v>
      </c>
      <c r="J1099" s="1">
        <f t="shared" si="35"/>
        <v>0.2404802315177903</v>
      </c>
      <c r="K1099" s="6" t="s">
        <v>1121</v>
      </c>
    </row>
    <row r="1100" spans="1:11">
      <c r="A1100" s="5" t="s">
        <v>2000</v>
      </c>
      <c r="B1100" s="5">
        <v>1.2023822093532033E-6</v>
      </c>
      <c r="C1100" s="5">
        <v>13365</v>
      </c>
      <c r="D1100" s="5">
        <v>13367</v>
      </c>
      <c r="E1100" s="5">
        <v>68.575713628726746</v>
      </c>
      <c r="F1100" s="5">
        <v>3280</v>
      </c>
      <c r="G1100" s="5">
        <v>3280</v>
      </c>
      <c r="H1100" s="5">
        <v>16.707306172229909</v>
      </c>
      <c r="I1100" s="1">
        <f t="shared" si="34"/>
        <v>16647</v>
      </c>
      <c r="J1100" s="1">
        <f t="shared" si="35"/>
        <v>0.24013129439655101</v>
      </c>
      <c r="K1100" s="6" t="s">
        <v>2001</v>
      </c>
    </row>
    <row r="1101" spans="1:11">
      <c r="A1101" s="5" t="s">
        <v>1355</v>
      </c>
      <c r="B1101" s="5">
        <v>3.1068407695400424E-5</v>
      </c>
      <c r="C1101" s="5">
        <v>2067</v>
      </c>
      <c r="D1101" s="5">
        <v>2443</v>
      </c>
      <c r="E1101" s="5">
        <v>58.776099921105768</v>
      </c>
      <c r="F1101" s="5">
        <v>485</v>
      </c>
      <c r="G1101" s="5">
        <v>600</v>
      </c>
      <c r="H1101" s="5">
        <v>14.332592342871749</v>
      </c>
      <c r="I1101" s="1">
        <f t="shared" si="34"/>
        <v>3043</v>
      </c>
      <c r="J1101" s="1">
        <f t="shared" si="35"/>
        <v>0.23977128587827443</v>
      </c>
      <c r="K1101" s="6" t="s">
        <v>1356</v>
      </c>
    </row>
    <row r="1102" spans="1:11">
      <c r="A1102" s="5" t="s">
        <v>1890</v>
      </c>
      <c r="B1102" s="5">
        <v>2.8600455337368658E-11</v>
      </c>
      <c r="C1102" s="5">
        <v>7890</v>
      </c>
      <c r="D1102" s="5">
        <v>7890</v>
      </c>
      <c r="E1102" s="5">
        <v>169.04922548917855</v>
      </c>
      <c r="F1102" s="5">
        <v>1914</v>
      </c>
      <c r="G1102" s="5">
        <v>1914</v>
      </c>
      <c r="H1102" s="5">
        <v>40.716863455057918</v>
      </c>
      <c r="I1102" s="1">
        <f t="shared" si="34"/>
        <v>9804</v>
      </c>
      <c r="J1102" s="1">
        <f t="shared" si="35"/>
        <v>0.23944162837512614</v>
      </c>
      <c r="K1102" s="6" t="s">
        <v>710</v>
      </c>
    </row>
    <row r="1103" spans="1:11">
      <c r="A1103" s="5" t="s">
        <v>1949</v>
      </c>
      <c r="B1103" s="5">
        <v>7.2838569090499794E-3</v>
      </c>
      <c r="C1103" s="5">
        <v>3421</v>
      </c>
      <c r="D1103" s="5">
        <v>3421</v>
      </c>
      <c r="E1103" s="5">
        <v>42.486465168665532</v>
      </c>
      <c r="F1103" s="5">
        <v>844</v>
      </c>
      <c r="G1103" s="5">
        <v>844</v>
      </c>
      <c r="H1103" s="5">
        <v>10.407254432664709</v>
      </c>
      <c r="I1103" s="1">
        <f t="shared" si="34"/>
        <v>4265</v>
      </c>
      <c r="J1103" s="1">
        <f t="shared" si="35"/>
        <v>0.23932169221617322</v>
      </c>
      <c r="K1103" s="6" t="s">
        <v>73</v>
      </c>
    </row>
    <row r="1104" spans="1:11">
      <c r="A1104" s="5" t="s">
        <v>1827</v>
      </c>
      <c r="B1104" s="5">
        <v>1.6737414164170739E-2</v>
      </c>
      <c r="C1104" s="5">
        <v>8436</v>
      </c>
      <c r="D1104" s="5">
        <v>8436</v>
      </c>
      <c r="E1104" s="5">
        <v>40.026079343101955</v>
      </c>
      <c r="F1104" s="5">
        <v>2084</v>
      </c>
      <c r="G1104" s="5">
        <v>2084</v>
      </c>
      <c r="H1104" s="5">
        <v>9.8174883703917715</v>
      </c>
      <c r="I1104" s="1">
        <f t="shared" si="34"/>
        <v>10520</v>
      </c>
      <c r="J1104" s="1">
        <f t="shared" si="35"/>
        <v>0.23929872236359492</v>
      </c>
      <c r="K1104" s="6" t="s">
        <v>1828</v>
      </c>
    </row>
    <row r="1105" spans="1:11">
      <c r="A1105" s="5" t="s">
        <v>229</v>
      </c>
      <c r="B1105" s="5">
        <v>4.8144099817903907E-10</v>
      </c>
      <c r="C1105" s="5">
        <v>8542</v>
      </c>
      <c r="D1105" s="5">
        <v>8551</v>
      </c>
      <c r="E1105" s="5">
        <v>92.259633978435474</v>
      </c>
      <c r="F1105" s="5">
        <v>2074</v>
      </c>
      <c r="G1105" s="5">
        <v>2079</v>
      </c>
      <c r="H1105" s="5">
        <v>22.271297034641254</v>
      </c>
      <c r="I1105" s="1">
        <f t="shared" si="34"/>
        <v>10630</v>
      </c>
      <c r="J1105" s="1">
        <f t="shared" si="35"/>
        <v>0.23880961231084255</v>
      </c>
      <c r="K1105" s="6" t="s">
        <v>230</v>
      </c>
    </row>
    <row r="1106" spans="1:11">
      <c r="A1106" s="5" t="s">
        <v>452</v>
      </c>
      <c r="B1106" s="5">
        <v>3.7874596730875232E-2</v>
      </c>
      <c r="C1106" s="5">
        <v>2238</v>
      </c>
      <c r="D1106" s="5">
        <v>2704</v>
      </c>
      <c r="E1106" s="5">
        <v>37.501409174045669</v>
      </c>
      <c r="F1106" s="5">
        <v>566</v>
      </c>
      <c r="G1106" s="5">
        <v>666</v>
      </c>
      <c r="H1106" s="5">
        <v>9.1708867243448626</v>
      </c>
      <c r="I1106" s="1">
        <f t="shared" si="34"/>
        <v>3370</v>
      </c>
      <c r="J1106" s="1">
        <f t="shared" si="35"/>
        <v>0.23819613154645478</v>
      </c>
      <c r="K1106" s="6" t="s">
        <v>451</v>
      </c>
    </row>
    <row r="1107" spans="1:11">
      <c r="A1107" s="5" t="s">
        <v>1448</v>
      </c>
      <c r="B1107" s="5">
        <v>3.9320885510975567E-2</v>
      </c>
      <c r="C1107" s="5">
        <v>3902</v>
      </c>
      <c r="D1107" s="5">
        <v>3902</v>
      </c>
      <c r="E1107" s="5">
        <v>37.280968250267186</v>
      </c>
      <c r="F1107" s="5">
        <v>957</v>
      </c>
      <c r="G1107" s="5">
        <v>957</v>
      </c>
      <c r="H1107" s="5">
        <v>9.0783736987225332</v>
      </c>
      <c r="I1107" s="1">
        <f t="shared" si="34"/>
        <v>4859</v>
      </c>
      <c r="J1107" s="1">
        <f t="shared" si="35"/>
        <v>0.23715109919298266</v>
      </c>
      <c r="K1107" s="6" t="s">
        <v>1449</v>
      </c>
    </row>
    <row r="1108" spans="1:11">
      <c r="A1108" s="5" t="s">
        <v>570</v>
      </c>
      <c r="B1108" s="5">
        <v>2.002031873615806E-10</v>
      </c>
      <c r="C1108" s="5">
        <v>7679</v>
      </c>
      <c r="D1108" s="5">
        <v>7694</v>
      </c>
      <c r="E1108" s="5">
        <v>422.94791283185452</v>
      </c>
      <c r="F1108" s="5">
        <v>1831</v>
      </c>
      <c r="G1108" s="5">
        <v>1840</v>
      </c>
      <c r="H1108" s="5">
        <v>100.42659248892197</v>
      </c>
      <c r="I1108" s="1">
        <f t="shared" si="34"/>
        <v>9534</v>
      </c>
      <c r="J1108" s="1">
        <f t="shared" si="35"/>
        <v>0.23688427150896951</v>
      </c>
      <c r="K1108" s="6" t="s">
        <v>571</v>
      </c>
    </row>
    <row r="1109" spans="1:11">
      <c r="A1109" s="5" t="s">
        <v>414</v>
      </c>
      <c r="B1109" s="5">
        <v>1.4083245118517995E-3</v>
      </c>
      <c r="C1109" s="5">
        <v>6267</v>
      </c>
      <c r="D1109" s="5">
        <v>6269</v>
      </c>
      <c r="E1109" s="5">
        <v>47.01873001326846</v>
      </c>
      <c r="F1109" s="5">
        <v>1527</v>
      </c>
      <c r="G1109" s="5">
        <v>1527</v>
      </c>
      <c r="H1109" s="5">
        <v>11.371240941775174</v>
      </c>
      <c r="I1109" s="1">
        <f t="shared" si="34"/>
        <v>7796</v>
      </c>
      <c r="J1109" s="1">
        <f t="shared" si="35"/>
        <v>0.23680844825827527</v>
      </c>
      <c r="K1109" s="6" t="s">
        <v>415</v>
      </c>
    </row>
    <row r="1110" spans="1:11">
      <c r="A1110" s="5" t="s">
        <v>431</v>
      </c>
      <c r="B1110" s="5">
        <v>5.465030776752311E-5</v>
      </c>
      <c r="C1110" s="5">
        <v>5277</v>
      </c>
      <c r="D1110" s="5">
        <v>5279</v>
      </c>
      <c r="E1110" s="5">
        <v>56.575560367212645</v>
      </c>
      <c r="F1110" s="5">
        <v>1280</v>
      </c>
      <c r="G1110" s="5">
        <v>1280</v>
      </c>
      <c r="H1110" s="5">
        <v>13.620196457219754</v>
      </c>
      <c r="I1110" s="1">
        <f t="shared" si="34"/>
        <v>6559</v>
      </c>
      <c r="J1110" s="1">
        <f t="shared" si="35"/>
        <v>0.23656211716136419</v>
      </c>
      <c r="K1110" s="6" t="s">
        <v>432</v>
      </c>
    </row>
    <row r="1111" spans="1:11">
      <c r="A1111" s="5" t="s">
        <v>1537</v>
      </c>
      <c r="B1111" s="5">
        <v>2.4537093312737568E-6</v>
      </c>
      <c r="C1111" s="5">
        <v>3859</v>
      </c>
      <c r="D1111" s="5">
        <v>3859</v>
      </c>
      <c r="E1111" s="5">
        <v>65.752120831492491</v>
      </c>
      <c r="F1111" s="5">
        <v>933</v>
      </c>
      <c r="G1111" s="5">
        <v>933</v>
      </c>
      <c r="H1111" s="5">
        <v>15.783845846193024</v>
      </c>
      <c r="I1111" s="1">
        <f t="shared" si="34"/>
        <v>4792</v>
      </c>
      <c r="J1111" s="1">
        <f t="shared" si="35"/>
        <v>0.23645459724099852</v>
      </c>
      <c r="K1111" s="6" t="s">
        <v>19</v>
      </c>
    </row>
    <row r="1112" spans="1:11">
      <c r="A1112" s="5" t="s">
        <v>300</v>
      </c>
      <c r="B1112" s="5">
        <v>1.3228868435299912E-4</v>
      </c>
      <c r="C1112" s="5">
        <v>2759</v>
      </c>
      <c r="D1112" s="5">
        <v>2759</v>
      </c>
      <c r="E1112" s="5">
        <v>53.932725539047809</v>
      </c>
      <c r="F1112" s="5">
        <v>669</v>
      </c>
      <c r="G1112" s="5">
        <v>669</v>
      </c>
      <c r="H1112" s="5">
        <v>12.984432875620374</v>
      </c>
      <c r="I1112" s="1">
        <f t="shared" si="34"/>
        <v>3428</v>
      </c>
      <c r="J1112" s="1">
        <f t="shared" si="35"/>
        <v>0.23636971856403985</v>
      </c>
      <c r="K1112" s="6" t="s">
        <v>301</v>
      </c>
    </row>
    <row r="1113" spans="1:11">
      <c r="A1113" s="5" t="s">
        <v>1191</v>
      </c>
      <c r="B1113" s="5">
        <v>1.0486833623701841E-10</v>
      </c>
      <c r="C1113" s="5">
        <v>7197</v>
      </c>
      <c r="D1113" s="5">
        <v>7199</v>
      </c>
      <c r="E1113" s="5">
        <v>103.37198654030367</v>
      </c>
      <c r="F1113" s="5">
        <v>1728</v>
      </c>
      <c r="G1113" s="5">
        <v>1730</v>
      </c>
      <c r="H1113" s="5">
        <v>24.664538395631617</v>
      </c>
      <c r="I1113" s="1">
        <f t="shared" si="34"/>
        <v>8929</v>
      </c>
      <c r="J1113" s="1">
        <f t="shared" si="35"/>
        <v>0.23631377741485551</v>
      </c>
      <c r="K1113" s="6" t="s">
        <v>1192</v>
      </c>
    </row>
    <row r="1114" spans="1:11">
      <c r="A1114" s="5" t="s">
        <v>1639</v>
      </c>
      <c r="B1114" s="5">
        <v>6.9117767065307589E-10</v>
      </c>
      <c r="C1114" s="5">
        <v>11037</v>
      </c>
      <c r="D1114" s="5">
        <v>12097</v>
      </c>
      <c r="E1114" s="5">
        <v>649.24651096139291</v>
      </c>
      <c r="F1114" s="5">
        <v>2636</v>
      </c>
      <c r="G1114" s="5">
        <v>2883</v>
      </c>
      <c r="H1114" s="5">
        <v>153.62885230903569</v>
      </c>
      <c r="I1114" s="1">
        <f t="shared" si="34"/>
        <v>14980</v>
      </c>
      <c r="J1114" s="1">
        <f t="shared" si="35"/>
        <v>0.23626247848972634</v>
      </c>
      <c r="K1114" s="6" t="s">
        <v>1622</v>
      </c>
    </row>
    <row r="1115" spans="1:11">
      <c r="A1115" s="5" t="s">
        <v>806</v>
      </c>
      <c r="B1115" s="5">
        <v>1.5887874695030835E-4</v>
      </c>
      <c r="C1115" s="5">
        <v>2322</v>
      </c>
      <c r="D1115" s="5">
        <v>2326</v>
      </c>
      <c r="E1115" s="5">
        <v>53.32107474825429</v>
      </c>
      <c r="F1115" s="5">
        <v>561</v>
      </c>
      <c r="G1115" s="5">
        <v>563</v>
      </c>
      <c r="H1115" s="5">
        <v>12.814267301461127</v>
      </c>
      <c r="I1115" s="1">
        <f t="shared" si="34"/>
        <v>2889</v>
      </c>
      <c r="J1115" s="1">
        <f t="shared" si="35"/>
        <v>0.2358986334649599</v>
      </c>
      <c r="K1115" s="6" t="s">
        <v>805</v>
      </c>
    </row>
    <row r="1116" spans="1:11">
      <c r="A1116" s="5" t="s">
        <v>509</v>
      </c>
      <c r="B1116" s="5">
        <v>4.6696957867153888E-3</v>
      </c>
      <c r="C1116" s="5">
        <v>2090</v>
      </c>
      <c r="D1116" s="5">
        <v>2090</v>
      </c>
      <c r="E1116" s="5">
        <v>43.379395677592704</v>
      </c>
      <c r="F1116" s="5">
        <v>508</v>
      </c>
      <c r="G1116" s="5">
        <v>508</v>
      </c>
      <c r="H1116" s="5">
        <v>10.468805320890258</v>
      </c>
      <c r="I1116" s="1">
        <f t="shared" si="34"/>
        <v>2598</v>
      </c>
      <c r="J1116" s="1">
        <f t="shared" si="35"/>
        <v>0.23589337261246193</v>
      </c>
      <c r="K1116" s="6" t="s">
        <v>251</v>
      </c>
    </row>
    <row r="1117" spans="1:11">
      <c r="A1117" s="5" t="s">
        <v>449</v>
      </c>
      <c r="B1117" s="5">
        <v>1.1916856390570274E-10</v>
      </c>
      <c r="C1117" s="5">
        <v>706</v>
      </c>
      <c r="D1117" s="5">
        <v>10100</v>
      </c>
      <c r="E1117" s="5">
        <v>119.69868881736757</v>
      </c>
      <c r="F1117" s="5">
        <v>169</v>
      </c>
      <c r="G1117" s="5">
        <v>2419</v>
      </c>
      <c r="H1117" s="5">
        <v>28.464272453794312</v>
      </c>
      <c r="I1117" s="1">
        <f t="shared" si="34"/>
        <v>12519</v>
      </c>
      <c r="J1117" s="1">
        <f t="shared" si="35"/>
        <v>0.23582917704155318</v>
      </c>
      <c r="K1117" s="6" t="s">
        <v>15</v>
      </c>
    </row>
    <row r="1118" spans="1:11">
      <c r="A1118" s="5" t="s">
        <v>1441</v>
      </c>
      <c r="B1118" s="5">
        <v>4.5675578787485183E-4</v>
      </c>
      <c r="C1118" s="5">
        <v>608</v>
      </c>
      <c r="D1118" s="5">
        <v>608</v>
      </c>
      <c r="E1118" s="5">
        <v>50.133675136814574</v>
      </c>
      <c r="F1118" s="5">
        <v>147</v>
      </c>
      <c r="G1118" s="5">
        <v>147</v>
      </c>
      <c r="H1118" s="5">
        <v>12.034817197721356</v>
      </c>
      <c r="I1118" s="1">
        <f t="shared" si="34"/>
        <v>755</v>
      </c>
      <c r="J1118" s="1">
        <f t="shared" si="35"/>
        <v>0.23535991038235937</v>
      </c>
      <c r="K1118" s="6" t="s">
        <v>2</v>
      </c>
    </row>
    <row r="1119" spans="1:11">
      <c r="A1119" s="5" t="s">
        <v>1165</v>
      </c>
      <c r="B1119" s="5">
        <v>1.1963983777568132E-2</v>
      </c>
      <c r="C1119" s="5">
        <v>805</v>
      </c>
      <c r="D1119" s="5">
        <v>805</v>
      </c>
      <c r="E1119" s="5">
        <v>40.489136832664876</v>
      </c>
      <c r="F1119" s="5">
        <v>195</v>
      </c>
      <c r="G1119" s="5">
        <v>195</v>
      </c>
      <c r="H1119" s="5">
        <v>9.7380824961757551</v>
      </c>
      <c r="I1119" s="1">
        <f t="shared" si="34"/>
        <v>1000</v>
      </c>
      <c r="J1119" s="1">
        <f t="shared" si="35"/>
        <v>0.23471402973389532</v>
      </c>
      <c r="K1119" s="6" t="s">
        <v>2</v>
      </c>
    </row>
    <row r="1120" spans="1:11">
      <c r="A1120" s="5" t="s">
        <v>1918</v>
      </c>
      <c r="B1120" s="5">
        <v>3.3367197893596767E-11</v>
      </c>
      <c r="C1120" s="5">
        <v>1835</v>
      </c>
      <c r="D1120" s="5">
        <v>17128</v>
      </c>
      <c r="E1120" s="5">
        <v>408.47070315067117</v>
      </c>
      <c r="F1120" s="5">
        <v>523</v>
      </c>
      <c r="G1120" s="5">
        <v>4056</v>
      </c>
      <c r="H1120" s="5">
        <v>96.03917152757802</v>
      </c>
      <c r="I1120" s="1">
        <f t="shared" si="34"/>
        <v>21184</v>
      </c>
      <c r="J1120" s="1">
        <f t="shared" si="35"/>
        <v>0.23454467142241162</v>
      </c>
      <c r="K1120" s="6" t="s">
        <v>25</v>
      </c>
    </row>
    <row r="1121" spans="1:11">
      <c r="A1121" s="5" t="s">
        <v>2239</v>
      </c>
      <c r="B1121" s="5">
        <v>2.8840222487946932E-7</v>
      </c>
      <c r="C1121" s="5">
        <v>3266</v>
      </c>
      <c r="D1121" s="5">
        <v>3267</v>
      </c>
      <c r="E1121" s="5">
        <v>71.633678938026364</v>
      </c>
      <c r="F1121" s="5">
        <v>781</v>
      </c>
      <c r="G1121" s="5">
        <v>781</v>
      </c>
      <c r="H1121" s="5">
        <v>17.002600691612123</v>
      </c>
      <c r="I1121" s="1">
        <f t="shared" si="34"/>
        <v>4048</v>
      </c>
      <c r="J1121" s="1">
        <f t="shared" si="35"/>
        <v>0.2340870095003634</v>
      </c>
      <c r="K1121" s="6" t="s">
        <v>20</v>
      </c>
    </row>
    <row r="1122" spans="1:11">
      <c r="A1122" s="5" t="s">
        <v>1992</v>
      </c>
      <c r="B1122" s="5">
        <v>9.388623806172447E-7</v>
      </c>
      <c r="C1122" s="5">
        <v>3261</v>
      </c>
      <c r="D1122" s="5">
        <v>3309</v>
      </c>
      <c r="E1122" s="5">
        <v>68.057630732520053</v>
      </c>
      <c r="F1122" s="5">
        <v>772</v>
      </c>
      <c r="G1122" s="5">
        <v>790</v>
      </c>
      <c r="H1122" s="5">
        <v>16.132562273157571</v>
      </c>
      <c r="I1122" s="1">
        <f t="shared" si="34"/>
        <v>4099</v>
      </c>
      <c r="J1122" s="1">
        <f t="shared" si="35"/>
        <v>0.23361013261001665</v>
      </c>
      <c r="K1122" s="6" t="s">
        <v>516</v>
      </c>
    </row>
    <row r="1123" spans="1:11">
      <c r="A1123" s="5" t="s">
        <v>1346</v>
      </c>
      <c r="B1123" s="5">
        <v>4.3273628176909718E-5</v>
      </c>
      <c r="C1123" s="5">
        <v>2040</v>
      </c>
      <c r="D1123" s="5">
        <v>2040</v>
      </c>
      <c r="E1123" s="5">
        <v>56.758540022104</v>
      </c>
      <c r="F1123" s="5">
        <v>488</v>
      </c>
      <c r="G1123" s="5">
        <v>488</v>
      </c>
      <c r="H1123" s="5">
        <v>13.480843603640965</v>
      </c>
      <c r="I1123" s="1">
        <f t="shared" si="34"/>
        <v>2528</v>
      </c>
      <c r="J1123" s="1">
        <f t="shared" si="35"/>
        <v>0.23340000627581464</v>
      </c>
      <c r="K1123" s="6" t="s">
        <v>1347</v>
      </c>
    </row>
    <row r="1124" spans="1:11">
      <c r="A1124" s="5" t="s">
        <v>1845</v>
      </c>
      <c r="B1124" s="5">
        <v>5.9348790570346033E-5</v>
      </c>
      <c r="C1124" s="5">
        <v>6552</v>
      </c>
      <c r="D1124" s="5">
        <v>6571</v>
      </c>
      <c r="E1124" s="5">
        <v>55.753535223587193</v>
      </c>
      <c r="F1124" s="5">
        <v>1565</v>
      </c>
      <c r="G1124" s="5">
        <v>1569</v>
      </c>
      <c r="H1124" s="5">
        <v>13.217827712050353</v>
      </c>
      <c r="I1124" s="1">
        <f t="shared" si="34"/>
        <v>8140</v>
      </c>
      <c r="J1124" s="1">
        <f t="shared" si="35"/>
        <v>0.23289875529299053</v>
      </c>
      <c r="K1124" s="6" t="s">
        <v>227</v>
      </c>
    </row>
    <row r="1125" spans="1:11">
      <c r="A1125" s="5" t="s">
        <v>1815</v>
      </c>
      <c r="B1125" s="5">
        <v>0</v>
      </c>
      <c r="C1125" s="5">
        <v>4214</v>
      </c>
      <c r="D1125" s="5">
        <v>4786</v>
      </c>
      <c r="E1125" s="5">
        <v>340.91745245583405</v>
      </c>
      <c r="F1125" s="5">
        <v>1000</v>
      </c>
      <c r="G1125" s="5">
        <v>1124</v>
      </c>
      <c r="H1125" s="5">
        <v>79.494860472607556</v>
      </c>
      <c r="I1125" s="1">
        <f t="shared" si="34"/>
        <v>5910</v>
      </c>
      <c r="J1125" s="1">
        <f t="shared" si="35"/>
        <v>0.23249722967234618</v>
      </c>
      <c r="K1125" s="6" t="s">
        <v>1622</v>
      </c>
    </row>
    <row r="1126" spans="1:11">
      <c r="A1126" s="5" t="s">
        <v>289</v>
      </c>
      <c r="B1126" s="5">
        <v>1.197635963789967E-5</v>
      </c>
      <c r="C1126" s="5">
        <v>2278</v>
      </c>
      <c r="D1126" s="5">
        <v>2278</v>
      </c>
      <c r="E1126" s="5">
        <v>60.356379316591806</v>
      </c>
      <c r="F1126" s="5">
        <v>542</v>
      </c>
      <c r="G1126" s="5">
        <v>542</v>
      </c>
      <c r="H1126" s="5">
        <v>14.258208002864439</v>
      </c>
      <c r="I1126" s="1">
        <f t="shared" si="34"/>
        <v>2820</v>
      </c>
      <c r="J1126" s="1">
        <f t="shared" si="35"/>
        <v>0.2323834646319943</v>
      </c>
      <c r="K1126" s="6" t="s">
        <v>290</v>
      </c>
    </row>
    <row r="1127" spans="1:11">
      <c r="A1127" s="5" t="s">
        <v>1293</v>
      </c>
      <c r="B1127" s="5">
        <v>2.2422756984497028E-8</v>
      </c>
      <c r="C1127" s="5">
        <v>2054</v>
      </c>
      <c r="D1127" s="5">
        <v>2054</v>
      </c>
      <c r="E1127" s="5">
        <v>78.719439587740112</v>
      </c>
      <c r="F1127" s="5">
        <v>486</v>
      </c>
      <c r="G1127" s="5">
        <v>486</v>
      </c>
      <c r="H1127" s="5">
        <v>18.493283339758083</v>
      </c>
      <c r="I1127" s="1">
        <f t="shared" si="34"/>
        <v>2540</v>
      </c>
      <c r="J1127" s="1">
        <f t="shared" si="35"/>
        <v>0.23197959538343427</v>
      </c>
      <c r="K1127" s="6" t="s">
        <v>1294</v>
      </c>
    </row>
    <row r="1128" spans="1:11">
      <c r="A1128" s="5" t="s">
        <v>1683</v>
      </c>
      <c r="B1128" s="5">
        <v>0</v>
      </c>
      <c r="C1128" s="5">
        <v>24233</v>
      </c>
      <c r="D1128" s="5">
        <v>24300</v>
      </c>
      <c r="E1128" s="5">
        <v>1640.745155258734</v>
      </c>
      <c r="F1128" s="5">
        <v>5671</v>
      </c>
      <c r="G1128" s="5">
        <v>5679</v>
      </c>
      <c r="H1128" s="5">
        <v>380.71757508707924</v>
      </c>
      <c r="I1128" s="1">
        <f t="shared" si="34"/>
        <v>29979</v>
      </c>
      <c r="J1128" s="1">
        <f t="shared" si="35"/>
        <v>0.23189809567434314</v>
      </c>
      <c r="K1128" s="6" t="s">
        <v>665</v>
      </c>
    </row>
    <row r="1129" spans="1:11">
      <c r="A1129" s="5" t="s">
        <v>176</v>
      </c>
      <c r="B1129" s="5">
        <v>2.7170432570500225E-10</v>
      </c>
      <c r="C1129" s="5">
        <v>6339</v>
      </c>
      <c r="D1129" s="5">
        <v>6339</v>
      </c>
      <c r="E1129" s="5">
        <v>93.489811553673064</v>
      </c>
      <c r="F1129" s="5">
        <v>1496</v>
      </c>
      <c r="G1129" s="5">
        <v>1496</v>
      </c>
      <c r="H1129" s="5">
        <v>21.906415774094643</v>
      </c>
      <c r="I1129" s="1">
        <f t="shared" si="34"/>
        <v>7835</v>
      </c>
      <c r="J1129" s="1">
        <f t="shared" si="35"/>
        <v>0.23183891907384258</v>
      </c>
      <c r="K1129" s="6" t="s">
        <v>177</v>
      </c>
    </row>
    <row r="1130" spans="1:11">
      <c r="A1130" s="5" t="s">
        <v>590</v>
      </c>
      <c r="B1130" s="5">
        <v>2.8171448507308128E-9</v>
      </c>
      <c r="C1130" s="5">
        <v>4907</v>
      </c>
      <c r="D1130" s="5">
        <v>4907</v>
      </c>
      <c r="E1130" s="5">
        <v>84.722692239884452</v>
      </c>
      <c r="F1130" s="5">
        <v>1158</v>
      </c>
      <c r="G1130" s="5">
        <v>1158</v>
      </c>
      <c r="H1130" s="5">
        <v>19.851276994791078</v>
      </c>
      <c r="I1130" s="1">
        <f t="shared" si="34"/>
        <v>6065</v>
      </c>
      <c r="J1130" s="1">
        <f t="shared" si="35"/>
        <v>0.23157551957467354</v>
      </c>
      <c r="K1130" s="6" t="s">
        <v>591</v>
      </c>
    </row>
    <row r="1131" spans="1:11">
      <c r="A1131" s="5" t="s">
        <v>1029</v>
      </c>
      <c r="B1131" s="5">
        <v>8.0557949200255052E-10</v>
      </c>
      <c r="C1131" s="5">
        <v>6934</v>
      </c>
      <c r="D1131" s="5">
        <v>6934</v>
      </c>
      <c r="E1131" s="5">
        <v>536.02010186884081</v>
      </c>
      <c r="F1131" s="5">
        <v>1620</v>
      </c>
      <c r="G1131" s="5">
        <v>1620</v>
      </c>
      <c r="H1131" s="5">
        <v>124.33931033360074</v>
      </c>
      <c r="I1131" s="1">
        <f t="shared" si="34"/>
        <v>8554</v>
      </c>
      <c r="J1131" s="1">
        <f t="shared" si="35"/>
        <v>0.2315356723163573</v>
      </c>
      <c r="K1131" s="6" t="s">
        <v>40</v>
      </c>
    </row>
    <row r="1132" spans="1:11">
      <c r="A1132" s="5" t="s">
        <v>2215</v>
      </c>
      <c r="B1132" s="5">
        <v>2.002031873615806E-10</v>
      </c>
      <c r="C1132" s="5">
        <v>3619</v>
      </c>
      <c r="D1132" s="5">
        <v>3619</v>
      </c>
      <c r="E1132" s="5">
        <v>92.813917179739107</v>
      </c>
      <c r="F1132" s="5">
        <v>851</v>
      </c>
      <c r="G1132" s="5">
        <v>851</v>
      </c>
      <c r="H1132" s="5">
        <v>21.669569291171133</v>
      </c>
      <c r="I1132" s="1">
        <f t="shared" si="34"/>
        <v>4470</v>
      </c>
      <c r="J1132" s="1">
        <f t="shared" si="35"/>
        <v>0.23098459101387023</v>
      </c>
      <c r="K1132" s="6" t="s">
        <v>2216</v>
      </c>
    </row>
    <row r="1133" spans="1:11">
      <c r="A1133" s="5" t="s">
        <v>243</v>
      </c>
      <c r="B1133" s="5">
        <v>1.2870204901815896E-10</v>
      </c>
      <c r="C1133" s="5">
        <v>6314</v>
      </c>
      <c r="D1133" s="5">
        <v>6329</v>
      </c>
      <c r="E1133" s="5">
        <v>107.50099575417325</v>
      </c>
      <c r="F1133" s="5">
        <v>1485</v>
      </c>
      <c r="G1133" s="5">
        <v>1486</v>
      </c>
      <c r="H1133" s="5">
        <v>25.060654018440378</v>
      </c>
      <c r="I1133" s="1">
        <f t="shared" si="34"/>
        <v>7815</v>
      </c>
      <c r="J1133" s="1">
        <f t="shared" si="35"/>
        <v>0.23097165002263564</v>
      </c>
      <c r="K1133" s="6" t="s">
        <v>63</v>
      </c>
    </row>
    <row r="1134" spans="1:11">
      <c r="A1134" s="5" t="s">
        <v>2010</v>
      </c>
      <c r="B1134" s="5">
        <v>4.5407989590628972E-8</v>
      </c>
      <c r="C1134" s="5">
        <v>3970</v>
      </c>
      <c r="D1134" s="5">
        <v>3975</v>
      </c>
      <c r="E1134" s="5">
        <v>76.386002500460563</v>
      </c>
      <c r="F1134" s="5">
        <v>934</v>
      </c>
      <c r="G1134" s="5">
        <v>936</v>
      </c>
      <c r="H1134" s="5">
        <v>17.858652984512148</v>
      </c>
      <c r="I1134" s="1">
        <f t="shared" si="34"/>
        <v>4911</v>
      </c>
      <c r="J1134" s="1">
        <f t="shared" si="35"/>
        <v>0.23077368525924133</v>
      </c>
      <c r="K1134" s="6" t="s">
        <v>2011</v>
      </c>
    </row>
    <row r="1135" spans="1:11">
      <c r="A1135" s="5" t="s">
        <v>1979</v>
      </c>
      <c r="B1135" s="5">
        <v>0</v>
      </c>
      <c r="C1135" s="5">
        <v>32567</v>
      </c>
      <c r="D1135" s="5">
        <v>32635</v>
      </c>
      <c r="E1135" s="5">
        <v>259.50367641926147</v>
      </c>
      <c r="F1135" s="5">
        <v>7600</v>
      </c>
      <c r="G1135" s="5">
        <v>7611</v>
      </c>
      <c r="H1135" s="5">
        <v>60.089393397489808</v>
      </c>
      <c r="I1135" s="1">
        <f t="shared" si="34"/>
        <v>40246</v>
      </c>
      <c r="J1135" s="1">
        <f t="shared" si="35"/>
        <v>0.23066620104347532</v>
      </c>
      <c r="K1135" s="6" t="s">
        <v>100</v>
      </c>
    </row>
    <row r="1136" spans="1:11">
      <c r="A1136" s="5" t="s">
        <v>760</v>
      </c>
      <c r="B1136" s="5">
        <v>0</v>
      </c>
      <c r="C1136" s="5">
        <v>3498</v>
      </c>
      <c r="D1136" s="5">
        <v>3498</v>
      </c>
      <c r="E1136" s="5">
        <v>101.15097767882455</v>
      </c>
      <c r="F1136" s="5">
        <v>819</v>
      </c>
      <c r="G1136" s="5">
        <v>819</v>
      </c>
      <c r="H1136" s="5">
        <v>23.51420940256169</v>
      </c>
      <c r="I1136" s="1">
        <f t="shared" si="34"/>
        <v>4317</v>
      </c>
      <c r="J1136" s="1">
        <f t="shared" si="35"/>
        <v>0.23019074253496924</v>
      </c>
      <c r="K1136" s="6" t="s">
        <v>340</v>
      </c>
    </row>
    <row r="1137" spans="1:11">
      <c r="A1137" s="5" t="s">
        <v>1142</v>
      </c>
      <c r="B1137" s="5">
        <v>1.9737174228318111E-7</v>
      </c>
      <c r="C1137" s="5">
        <v>6729</v>
      </c>
      <c r="D1137" s="5">
        <v>7516</v>
      </c>
      <c r="E1137" s="5">
        <v>71.810291483600253</v>
      </c>
      <c r="F1137" s="5">
        <v>1605</v>
      </c>
      <c r="G1137" s="5">
        <v>1761</v>
      </c>
      <c r="H1137" s="5">
        <v>16.705345959718269</v>
      </c>
      <c r="I1137" s="1">
        <f t="shared" si="34"/>
        <v>9277</v>
      </c>
      <c r="J1137" s="1">
        <f t="shared" si="35"/>
        <v>0.22943660325107984</v>
      </c>
      <c r="K1137" s="6" t="s">
        <v>1143</v>
      </c>
    </row>
    <row r="1138" spans="1:11">
      <c r="A1138" s="5" t="s">
        <v>2197</v>
      </c>
      <c r="B1138" s="5">
        <v>5.5319587022872874E-5</v>
      </c>
      <c r="C1138" s="5">
        <v>4466</v>
      </c>
      <c r="D1138" s="5">
        <v>4467</v>
      </c>
      <c r="E1138" s="5">
        <v>55.250113528655596</v>
      </c>
      <c r="F1138" s="5">
        <v>1046</v>
      </c>
      <c r="G1138" s="5">
        <v>1046</v>
      </c>
      <c r="H1138" s="5">
        <v>12.845325294710753</v>
      </c>
      <c r="I1138" s="1">
        <f t="shared" si="34"/>
        <v>5513</v>
      </c>
      <c r="J1138" s="1">
        <f t="shared" si="35"/>
        <v>0.22836087767479679</v>
      </c>
      <c r="K1138" s="6" t="s">
        <v>967</v>
      </c>
    </row>
    <row r="1139" spans="1:11">
      <c r="A1139" s="5" t="s">
        <v>2157</v>
      </c>
      <c r="B1139" s="5">
        <v>1.6651185097416032E-7</v>
      </c>
      <c r="C1139" s="5">
        <v>7539</v>
      </c>
      <c r="D1139" s="5">
        <v>7539</v>
      </c>
      <c r="E1139" s="5">
        <v>71.954246410900879</v>
      </c>
      <c r="F1139" s="5">
        <v>1753</v>
      </c>
      <c r="G1139" s="5">
        <v>1753</v>
      </c>
      <c r="H1139" s="5">
        <v>16.611957138108426</v>
      </c>
      <c r="I1139" s="1">
        <f t="shared" si="34"/>
        <v>9292</v>
      </c>
      <c r="J1139" s="1">
        <f t="shared" si="35"/>
        <v>0.22770377264326391</v>
      </c>
      <c r="K1139" s="6" t="s">
        <v>2158</v>
      </c>
    </row>
    <row r="1140" spans="1:11">
      <c r="A1140" s="5" t="s">
        <v>1044</v>
      </c>
      <c r="B1140" s="5">
        <v>0</v>
      </c>
      <c r="C1140" s="5">
        <v>3784</v>
      </c>
      <c r="D1140" s="5">
        <v>3784</v>
      </c>
      <c r="E1140" s="5">
        <v>263.33844905456277</v>
      </c>
      <c r="F1140" s="5">
        <v>871</v>
      </c>
      <c r="G1140" s="5">
        <v>871</v>
      </c>
      <c r="H1140" s="5">
        <v>60.183508310124907</v>
      </c>
      <c r="I1140" s="1">
        <f t="shared" si="34"/>
        <v>4655</v>
      </c>
      <c r="J1140" s="1">
        <f t="shared" si="35"/>
        <v>0.22767595302680418</v>
      </c>
      <c r="K1140" s="6" t="s">
        <v>614</v>
      </c>
    </row>
    <row r="1141" spans="1:11">
      <c r="A1141" s="5" t="s">
        <v>1880</v>
      </c>
      <c r="B1141" s="5">
        <v>1.2393530646193085E-10</v>
      </c>
      <c r="C1141" s="5">
        <v>221004</v>
      </c>
      <c r="D1141" s="5">
        <v>221036</v>
      </c>
      <c r="E1141" s="5">
        <v>663.3447558142658</v>
      </c>
      <c r="F1141" s="5">
        <v>50636</v>
      </c>
      <c r="G1141" s="5">
        <v>50644</v>
      </c>
      <c r="H1141" s="5">
        <v>150.9039081795928</v>
      </c>
      <c r="I1141" s="1">
        <f t="shared" si="34"/>
        <v>271680</v>
      </c>
      <c r="J1141" s="1">
        <f t="shared" si="35"/>
        <v>0.22714698484318549</v>
      </c>
      <c r="K1141" s="6" t="s">
        <v>1390</v>
      </c>
    </row>
    <row r="1142" spans="1:11">
      <c r="A1142" s="5" t="s">
        <v>1439</v>
      </c>
      <c r="B1142" s="5">
        <v>1.6258000814339812E-4</v>
      </c>
      <c r="C1142" s="5">
        <v>1790</v>
      </c>
      <c r="D1142" s="5">
        <v>1790</v>
      </c>
      <c r="E1142" s="5">
        <v>51.926624928663252</v>
      </c>
      <c r="F1142" s="5">
        <v>417</v>
      </c>
      <c r="G1142" s="5">
        <v>417</v>
      </c>
      <c r="H1142" s="5">
        <v>12.010727663275718</v>
      </c>
      <c r="I1142" s="1">
        <f t="shared" si="34"/>
        <v>2207</v>
      </c>
      <c r="J1142" s="1">
        <f t="shared" si="35"/>
        <v>0.22693167530452368</v>
      </c>
      <c r="K1142" s="6" t="s">
        <v>403</v>
      </c>
    </row>
    <row r="1143" spans="1:11">
      <c r="A1143" s="5" t="s">
        <v>477</v>
      </c>
      <c r="B1143" s="5">
        <v>2.5636971490161642E-7</v>
      </c>
      <c r="C1143" s="5">
        <v>2068</v>
      </c>
      <c r="D1143" s="5">
        <v>2068</v>
      </c>
      <c r="E1143" s="5">
        <v>70.515980041319864</v>
      </c>
      <c r="F1143" s="5">
        <v>479</v>
      </c>
      <c r="G1143" s="5">
        <v>479</v>
      </c>
      <c r="H1143" s="5">
        <v>16.216933101834641</v>
      </c>
      <c r="I1143" s="1">
        <f t="shared" si="34"/>
        <v>2547</v>
      </c>
      <c r="J1143" s="1">
        <f t="shared" si="35"/>
        <v>0.22675957306975261</v>
      </c>
      <c r="K1143" s="6" t="s">
        <v>478</v>
      </c>
    </row>
    <row r="1144" spans="1:11">
      <c r="A1144" s="5" t="s">
        <v>1825</v>
      </c>
      <c r="B1144" s="5">
        <v>9.307064841035384E-8</v>
      </c>
      <c r="C1144" s="5">
        <v>3741</v>
      </c>
      <c r="D1144" s="5">
        <v>3741</v>
      </c>
      <c r="E1144" s="5">
        <v>73.392410217351554</v>
      </c>
      <c r="F1144" s="5">
        <v>865</v>
      </c>
      <c r="G1144" s="5">
        <v>865</v>
      </c>
      <c r="H1144" s="5">
        <v>16.849062818933639</v>
      </c>
      <c r="I1144" s="1">
        <f t="shared" si="34"/>
        <v>4606</v>
      </c>
      <c r="J1144" s="1">
        <f t="shared" si="35"/>
        <v>0.22648900297363539</v>
      </c>
      <c r="K1144" s="6" t="s">
        <v>492</v>
      </c>
    </row>
    <row r="1145" spans="1:11">
      <c r="A1145" s="5" t="s">
        <v>1489</v>
      </c>
      <c r="B1145" s="5">
        <v>1.1440182134947463E-10</v>
      </c>
      <c r="C1145" s="5">
        <v>13644</v>
      </c>
      <c r="D1145" s="5">
        <v>13673</v>
      </c>
      <c r="E1145" s="5">
        <v>128.16123420875277</v>
      </c>
      <c r="F1145" s="5">
        <v>3137</v>
      </c>
      <c r="G1145" s="5">
        <v>3142</v>
      </c>
      <c r="H1145" s="5">
        <v>29.241203820653194</v>
      </c>
      <c r="I1145" s="1">
        <f t="shared" si="34"/>
        <v>16815</v>
      </c>
      <c r="J1145" s="1">
        <f t="shared" si="35"/>
        <v>0.22639303502932637</v>
      </c>
      <c r="K1145" s="6" t="s">
        <v>620</v>
      </c>
    </row>
    <row r="1146" spans="1:11">
      <c r="A1146" s="5" t="s">
        <v>804</v>
      </c>
      <c r="B1146" s="5">
        <v>4.7667425562281096E-11</v>
      </c>
      <c r="C1146" s="5">
        <v>3840</v>
      </c>
      <c r="D1146" s="5">
        <v>4564</v>
      </c>
      <c r="E1146" s="5">
        <v>115.52529191716518</v>
      </c>
      <c r="F1146" s="5">
        <v>855</v>
      </c>
      <c r="G1146" s="5">
        <v>1047</v>
      </c>
      <c r="H1146" s="5">
        <v>26.313239613888342</v>
      </c>
      <c r="I1146" s="1">
        <f t="shared" si="34"/>
        <v>5611</v>
      </c>
      <c r="J1146" s="1">
        <f t="shared" si="35"/>
        <v>0.22581569358001477</v>
      </c>
      <c r="K1146" s="6" t="s">
        <v>17</v>
      </c>
    </row>
    <row r="1147" spans="1:11">
      <c r="A1147" s="5" t="s">
        <v>1604</v>
      </c>
      <c r="B1147" s="5">
        <v>0</v>
      </c>
      <c r="C1147" s="5">
        <v>15506</v>
      </c>
      <c r="D1147" s="5">
        <v>15508</v>
      </c>
      <c r="E1147" s="5">
        <v>331.22740904523636</v>
      </c>
      <c r="F1147" s="5">
        <v>3536</v>
      </c>
      <c r="G1147" s="5">
        <v>3537</v>
      </c>
      <c r="H1147" s="5">
        <v>75.006989509458364</v>
      </c>
      <c r="I1147" s="1">
        <f t="shared" si="34"/>
        <v>19045</v>
      </c>
      <c r="J1147" s="1">
        <f t="shared" si="35"/>
        <v>0.22577002218153935</v>
      </c>
      <c r="K1147" s="6" t="s">
        <v>72</v>
      </c>
    </row>
    <row r="1148" spans="1:11">
      <c r="A1148" s="5" t="s">
        <v>1510</v>
      </c>
      <c r="B1148" s="5">
        <v>0</v>
      </c>
      <c r="C1148" s="5">
        <v>21866</v>
      </c>
      <c r="D1148" s="5">
        <v>21867</v>
      </c>
      <c r="E1148" s="5">
        <v>206.10205600167663</v>
      </c>
      <c r="F1148" s="5">
        <v>4968</v>
      </c>
      <c r="G1148" s="5">
        <v>4970</v>
      </c>
      <c r="H1148" s="5">
        <v>46.509932363899146</v>
      </c>
      <c r="I1148" s="1">
        <f t="shared" si="34"/>
        <v>26837</v>
      </c>
      <c r="J1148" s="1">
        <f t="shared" si="35"/>
        <v>0.22457494272061992</v>
      </c>
      <c r="K1148" s="6" t="s">
        <v>36</v>
      </c>
    </row>
    <row r="1149" spans="1:11">
      <c r="A1149" s="5" t="s">
        <v>927</v>
      </c>
      <c r="B1149" s="5">
        <v>1.0486833623701841E-10</v>
      </c>
      <c r="C1149" s="5">
        <v>12944</v>
      </c>
      <c r="D1149" s="5">
        <v>12944</v>
      </c>
      <c r="E1149" s="5">
        <v>164.66360634919647</v>
      </c>
      <c r="F1149" s="5">
        <v>2942</v>
      </c>
      <c r="G1149" s="5">
        <v>2943</v>
      </c>
      <c r="H1149" s="5">
        <v>37.171970226582459</v>
      </c>
      <c r="I1149" s="1">
        <f t="shared" si="34"/>
        <v>15887</v>
      </c>
      <c r="J1149" s="1">
        <f t="shared" si="35"/>
        <v>0.22438223485385786</v>
      </c>
      <c r="K1149" s="6" t="s">
        <v>928</v>
      </c>
    </row>
    <row r="1150" spans="1:11">
      <c r="A1150" s="5" t="s">
        <v>121</v>
      </c>
      <c r="B1150" s="5">
        <v>1.2393530646193085E-10</v>
      </c>
      <c r="C1150" s="5">
        <v>6619</v>
      </c>
      <c r="D1150" s="5">
        <v>6619</v>
      </c>
      <c r="E1150" s="5">
        <v>92.886901304838673</v>
      </c>
      <c r="F1150" s="5">
        <v>1511</v>
      </c>
      <c r="G1150" s="5">
        <v>1511</v>
      </c>
      <c r="H1150" s="5">
        <v>21.053425039556121</v>
      </c>
      <c r="I1150" s="1">
        <f t="shared" si="34"/>
        <v>8130</v>
      </c>
      <c r="J1150" s="1">
        <f t="shared" si="35"/>
        <v>0.22424241025058822</v>
      </c>
      <c r="K1150" s="6" t="s">
        <v>122</v>
      </c>
    </row>
    <row r="1151" spans="1:11">
      <c r="A1151" s="5" t="s">
        <v>2169</v>
      </c>
      <c r="B1151" s="5">
        <v>1.5253576179929951E-10</v>
      </c>
      <c r="C1151" s="5">
        <v>11652</v>
      </c>
      <c r="D1151" s="5">
        <v>11652</v>
      </c>
      <c r="E1151" s="5">
        <v>190.1974890769286</v>
      </c>
      <c r="F1151" s="5">
        <v>2640</v>
      </c>
      <c r="G1151" s="5">
        <v>2640</v>
      </c>
      <c r="H1151" s="5">
        <v>42.786270266986783</v>
      </c>
      <c r="I1151" s="1">
        <f t="shared" si="34"/>
        <v>14292</v>
      </c>
      <c r="J1151" s="1">
        <f t="shared" si="35"/>
        <v>0.22378050294254473</v>
      </c>
      <c r="K1151" s="6" t="s">
        <v>2170</v>
      </c>
    </row>
    <row r="1152" spans="1:11">
      <c r="A1152" s="5" t="s">
        <v>1072</v>
      </c>
      <c r="B1152" s="5">
        <v>0</v>
      </c>
      <c r="C1152" s="5">
        <v>2819</v>
      </c>
      <c r="D1152" s="5">
        <v>8614</v>
      </c>
      <c r="E1152" s="5">
        <v>108.06503999039383</v>
      </c>
      <c r="F1152" s="5">
        <v>646</v>
      </c>
      <c r="G1152" s="5">
        <v>1959</v>
      </c>
      <c r="H1152" s="5">
        <v>24.401188904291217</v>
      </c>
      <c r="I1152" s="1">
        <f t="shared" si="34"/>
        <v>10573</v>
      </c>
      <c r="J1152" s="1">
        <f t="shared" si="35"/>
        <v>0.22373061896314725</v>
      </c>
      <c r="K1152" s="6" t="s">
        <v>742</v>
      </c>
    </row>
    <row r="1153" spans="1:11">
      <c r="A1153" s="5" t="s">
        <v>1764</v>
      </c>
      <c r="B1153" s="5">
        <v>5.2749483371861139E-4</v>
      </c>
      <c r="C1153" s="5">
        <v>1539</v>
      </c>
      <c r="D1153" s="5">
        <v>1539</v>
      </c>
      <c r="E1153" s="5">
        <v>48.024409991651858</v>
      </c>
      <c r="F1153" s="5">
        <v>353</v>
      </c>
      <c r="G1153" s="5">
        <v>353</v>
      </c>
      <c r="H1153" s="5">
        <v>10.936902073289652</v>
      </c>
      <c r="I1153" s="1">
        <f t="shared" si="34"/>
        <v>1892</v>
      </c>
      <c r="J1153" s="1">
        <f t="shared" si="35"/>
        <v>0.22309094745152561</v>
      </c>
      <c r="K1153" s="6" t="s">
        <v>1765</v>
      </c>
    </row>
    <row r="1154" spans="1:11">
      <c r="A1154" s="5" t="s">
        <v>2176</v>
      </c>
      <c r="B1154" s="5">
        <v>2.5592022714248652E-2</v>
      </c>
      <c r="C1154" s="5">
        <v>369</v>
      </c>
      <c r="D1154" s="5">
        <v>469</v>
      </c>
      <c r="E1154" s="5">
        <v>36.990793768710866</v>
      </c>
      <c r="F1154" s="5">
        <v>80</v>
      </c>
      <c r="G1154" s="5">
        <v>108</v>
      </c>
      <c r="H1154" s="5">
        <v>8.4574757946719732</v>
      </c>
      <c r="I1154" s="1">
        <f t="shared" ref="I1154:I1217" si="36">D1154+G1154</f>
        <v>577</v>
      </c>
      <c r="J1154" s="1">
        <f t="shared" ref="J1154:J1217" si="37">H1154/(E1154+1)</f>
        <v>0.22261908624919366</v>
      </c>
      <c r="K1154" s="6" t="s">
        <v>1415</v>
      </c>
    </row>
    <row r="1155" spans="1:11">
      <c r="A1155" s="5" t="s">
        <v>448</v>
      </c>
      <c r="B1155" s="5">
        <v>1.2870204901815896E-10</v>
      </c>
      <c r="C1155" s="5">
        <v>36017</v>
      </c>
      <c r="D1155" s="5">
        <v>36107</v>
      </c>
      <c r="E1155" s="5">
        <v>419.15408370085299</v>
      </c>
      <c r="F1155" s="5">
        <v>8095</v>
      </c>
      <c r="G1155" s="5">
        <v>8113</v>
      </c>
      <c r="H1155" s="5">
        <v>93.51041227069085</v>
      </c>
      <c r="I1155" s="1">
        <f t="shared" si="36"/>
        <v>44220</v>
      </c>
      <c r="J1155" s="1">
        <f t="shared" si="37"/>
        <v>0.22256218825013174</v>
      </c>
      <c r="K1155" s="6" t="s">
        <v>29</v>
      </c>
    </row>
    <row r="1156" spans="1:11">
      <c r="A1156" s="5" t="s">
        <v>1477</v>
      </c>
      <c r="B1156" s="5">
        <v>1.5591410955140272E-4</v>
      </c>
      <c r="C1156" s="5">
        <v>1602</v>
      </c>
      <c r="D1156" s="5">
        <v>1602</v>
      </c>
      <c r="E1156" s="5">
        <v>51.405141931922621</v>
      </c>
      <c r="F1156" s="5">
        <v>366</v>
      </c>
      <c r="G1156" s="5">
        <v>366</v>
      </c>
      <c r="H1156" s="5">
        <v>11.66061177272482</v>
      </c>
      <c r="I1156" s="1">
        <f t="shared" si="36"/>
        <v>1968</v>
      </c>
      <c r="J1156" s="1">
        <f t="shared" si="37"/>
        <v>0.22250892456073576</v>
      </c>
      <c r="K1156" s="6" t="s">
        <v>1478</v>
      </c>
    </row>
    <row r="1157" spans="1:11">
      <c r="A1157" s="5" t="s">
        <v>652</v>
      </c>
      <c r="B1157" s="5">
        <v>0</v>
      </c>
      <c r="C1157" s="5">
        <v>13438</v>
      </c>
      <c r="D1157" s="5">
        <v>13438</v>
      </c>
      <c r="E1157" s="5">
        <v>305.22332690065912</v>
      </c>
      <c r="F1157" s="5">
        <v>3020</v>
      </c>
      <c r="G1157" s="5">
        <v>3020</v>
      </c>
      <c r="H1157" s="5">
        <v>68.106133915080136</v>
      </c>
      <c r="I1157" s="1">
        <f t="shared" si="36"/>
        <v>16458</v>
      </c>
      <c r="J1157" s="1">
        <f t="shared" si="37"/>
        <v>0.22240674675046626</v>
      </c>
      <c r="K1157" s="6" t="s">
        <v>653</v>
      </c>
    </row>
    <row r="1158" spans="1:11">
      <c r="A1158" s="5" t="s">
        <v>1588</v>
      </c>
      <c r="B1158" s="5">
        <v>1.086817302820009E-9</v>
      </c>
      <c r="C1158" s="5">
        <v>26733</v>
      </c>
      <c r="D1158" s="5">
        <v>26746</v>
      </c>
      <c r="E1158" s="5">
        <v>1424.222502378753</v>
      </c>
      <c r="F1158" s="5">
        <v>5989</v>
      </c>
      <c r="G1158" s="5">
        <v>5994</v>
      </c>
      <c r="H1158" s="5">
        <v>316.90707980133385</v>
      </c>
      <c r="I1158" s="1">
        <f t="shared" si="36"/>
        <v>32740</v>
      </c>
      <c r="J1158" s="1">
        <f t="shared" si="37"/>
        <v>0.22235621404545841</v>
      </c>
      <c r="K1158" s="6" t="s">
        <v>40</v>
      </c>
    </row>
    <row r="1159" spans="1:11">
      <c r="A1159" s="5" t="s">
        <v>1754</v>
      </c>
      <c r="B1159" s="5">
        <v>4.1098854319798761E-8</v>
      </c>
      <c r="C1159" s="5">
        <v>308</v>
      </c>
      <c r="D1159" s="5">
        <v>432</v>
      </c>
      <c r="E1159" s="5">
        <v>74.872786702818942</v>
      </c>
      <c r="F1159" s="5">
        <v>59</v>
      </c>
      <c r="G1159" s="5">
        <v>98</v>
      </c>
      <c r="H1159" s="5">
        <v>16.864075054131835</v>
      </c>
      <c r="I1159" s="1">
        <f t="shared" si="36"/>
        <v>530</v>
      </c>
      <c r="J1159" s="1">
        <f t="shared" si="37"/>
        <v>0.22226776934114212</v>
      </c>
      <c r="K1159" s="6" t="s">
        <v>302</v>
      </c>
    </row>
    <row r="1160" spans="1:11">
      <c r="A1160" s="5" t="s">
        <v>1324</v>
      </c>
      <c r="B1160" s="5">
        <v>5.5072197850947191E-5</v>
      </c>
      <c r="C1160" s="5">
        <v>437</v>
      </c>
      <c r="D1160" s="5">
        <v>439</v>
      </c>
      <c r="E1160" s="5">
        <v>54.297738614461181</v>
      </c>
      <c r="F1160" s="5">
        <v>97</v>
      </c>
      <c r="G1160" s="5">
        <v>100</v>
      </c>
      <c r="H1160" s="5">
        <v>12.280425711960566</v>
      </c>
      <c r="I1160" s="1">
        <f t="shared" si="36"/>
        <v>539</v>
      </c>
      <c r="J1160" s="1">
        <f t="shared" si="37"/>
        <v>0.2220782625050973</v>
      </c>
      <c r="K1160" s="6" t="s">
        <v>575</v>
      </c>
    </row>
    <row r="1161" spans="1:11">
      <c r="A1161" s="5" t="s">
        <v>2125</v>
      </c>
      <c r="B1161" s="5">
        <v>1.001015936807903E-10</v>
      </c>
      <c r="C1161" s="5">
        <v>27620</v>
      </c>
      <c r="D1161" s="5">
        <v>27620</v>
      </c>
      <c r="E1161" s="5">
        <v>108.74835202699599</v>
      </c>
      <c r="F1161" s="5">
        <v>6227</v>
      </c>
      <c r="G1161" s="5">
        <v>6227</v>
      </c>
      <c r="H1161" s="5">
        <v>24.342998697501461</v>
      </c>
      <c r="I1161" s="1">
        <f t="shared" si="36"/>
        <v>33847</v>
      </c>
      <c r="J1161" s="1">
        <f t="shared" si="37"/>
        <v>0.2218074189534395</v>
      </c>
      <c r="K1161" s="6" t="s">
        <v>2126</v>
      </c>
    </row>
    <row r="1162" spans="1:11">
      <c r="A1162" s="5" t="s">
        <v>904</v>
      </c>
      <c r="B1162" s="5">
        <v>5.3468551253210705E-6</v>
      </c>
      <c r="C1162" s="5">
        <v>1998</v>
      </c>
      <c r="D1162" s="5">
        <v>1998</v>
      </c>
      <c r="E1162" s="5">
        <v>60.745253904563583</v>
      </c>
      <c r="F1162" s="5">
        <v>452</v>
      </c>
      <c r="G1162" s="5">
        <v>452</v>
      </c>
      <c r="H1162" s="5">
        <v>13.644307629020767</v>
      </c>
      <c r="I1162" s="1">
        <f t="shared" si="36"/>
        <v>2450</v>
      </c>
      <c r="J1162" s="1">
        <f t="shared" si="37"/>
        <v>0.22097743172471299</v>
      </c>
      <c r="K1162" s="6" t="s">
        <v>905</v>
      </c>
    </row>
    <row r="1163" spans="1:11">
      <c r="A1163" s="5" t="s">
        <v>1947</v>
      </c>
      <c r="B1163" s="5">
        <v>6.3385425469464352E-6</v>
      </c>
      <c r="C1163" s="5">
        <v>10661</v>
      </c>
      <c r="D1163" s="5">
        <v>10661</v>
      </c>
      <c r="E1163" s="5">
        <v>60.260365364275202</v>
      </c>
      <c r="F1163" s="5">
        <v>2412</v>
      </c>
      <c r="G1163" s="5">
        <v>2412</v>
      </c>
      <c r="H1163" s="5">
        <v>13.536529081418269</v>
      </c>
      <c r="I1163" s="1">
        <f t="shared" si="36"/>
        <v>13073</v>
      </c>
      <c r="J1163" s="1">
        <f t="shared" si="37"/>
        <v>0.22096716206188799</v>
      </c>
      <c r="K1163" s="6" t="s">
        <v>963</v>
      </c>
    </row>
    <row r="1164" spans="1:11">
      <c r="A1164" s="5" t="s">
        <v>258</v>
      </c>
      <c r="B1164" s="5">
        <v>3.2912576019061834E-4</v>
      </c>
      <c r="C1164" s="5">
        <v>2556</v>
      </c>
      <c r="D1164" s="5">
        <v>2556</v>
      </c>
      <c r="E1164" s="5">
        <v>49.048363503545062</v>
      </c>
      <c r="F1164" s="5">
        <v>580</v>
      </c>
      <c r="G1164" s="5">
        <v>580</v>
      </c>
      <c r="H1164" s="5">
        <v>11.050651063795263</v>
      </c>
      <c r="I1164" s="1">
        <f t="shared" si="36"/>
        <v>3136</v>
      </c>
      <c r="J1164" s="1">
        <f t="shared" si="37"/>
        <v>0.22079944857762462</v>
      </c>
      <c r="K1164" s="6" t="s">
        <v>259</v>
      </c>
    </row>
    <row r="1165" spans="1:11">
      <c r="A1165" s="5" t="s">
        <v>576</v>
      </c>
      <c r="B1165" s="5">
        <v>7.4998568381390296E-4</v>
      </c>
      <c r="C1165" s="5">
        <v>2048</v>
      </c>
      <c r="D1165" s="5">
        <v>2048</v>
      </c>
      <c r="E1165" s="5">
        <v>46.71210212597714</v>
      </c>
      <c r="F1165" s="5">
        <v>465</v>
      </c>
      <c r="G1165" s="5">
        <v>465</v>
      </c>
      <c r="H1165" s="5">
        <v>10.530490782343387</v>
      </c>
      <c r="I1165" s="1">
        <f t="shared" si="36"/>
        <v>2513</v>
      </c>
      <c r="J1165" s="1">
        <f t="shared" si="37"/>
        <v>0.22070900910085867</v>
      </c>
      <c r="K1165" s="6" t="s">
        <v>577</v>
      </c>
    </row>
    <row r="1166" spans="1:11">
      <c r="A1166" s="5" t="s">
        <v>1836</v>
      </c>
      <c r="B1166" s="5">
        <v>0</v>
      </c>
      <c r="C1166" s="5">
        <v>40932</v>
      </c>
      <c r="D1166" s="5">
        <v>40956</v>
      </c>
      <c r="E1166" s="5">
        <v>1624.5508948665861</v>
      </c>
      <c r="F1166" s="5">
        <v>9067</v>
      </c>
      <c r="G1166" s="5">
        <v>9075</v>
      </c>
      <c r="H1166" s="5">
        <v>357.40335180654915</v>
      </c>
      <c r="I1166" s="1">
        <f t="shared" si="36"/>
        <v>50031</v>
      </c>
      <c r="J1166" s="1">
        <f t="shared" si="37"/>
        <v>0.21986598693108428</v>
      </c>
      <c r="K1166" s="6" t="s">
        <v>1283</v>
      </c>
    </row>
    <row r="1167" spans="1:11">
      <c r="A1167" s="5" t="s">
        <v>1474</v>
      </c>
      <c r="B1167" s="5">
        <v>3.1642211480720217E-4</v>
      </c>
      <c r="C1167" s="5">
        <v>1273</v>
      </c>
      <c r="D1167" s="5">
        <v>1273</v>
      </c>
      <c r="E1167" s="5">
        <v>48.856468497662647</v>
      </c>
      <c r="F1167" s="5">
        <v>286</v>
      </c>
      <c r="G1167" s="5">
        <v>286</v>
      </c>
      <c r="H1167" s="5">
        <v>10.898228290501535</v>
      </c>
      <c r="I1167" s="1">
        <f t="shared" si="36"/>
        <v>1559</v>
      </c>
      <c r="J1167" s="1">
        <f t="shared" si="37"/>
        <v>0.21859206275335089</v>
      </c>
      <c r="K1167" s="6" t="s">
        <v>964</v>
      </c>
    </row>
    <row r="1168" spans="1:11">
      <c r="A1168" s="5" t="s">
        <v>1755</v>
      </c>
      <c r="B1168" s="5">
        <v>1.1440182134947463E-10</v>
      </c>
      <c r="C1168" s="5">
        <v>1549</v>
      </c>
      <c r="D1168" s="5">
        <v>1579</v>
      </c>
      <c r="E1168" s="5">
        <v>118.36284844651647</v>
      </c>
      <c r="F1168" s="5">
        <v>334</v>
      </c>
      <c r="G1168" s="5">
        <v>350</v>
      </c>
      <c r="H1168" s="5">
        <v>26.049387873855746</v>
      </c>
      <c r="I1168" s="1">
        <f t="shared" si="36"/>
        <v>1929</v>
      </c>
      <c r="J1168" s="1">
        <f t="shared" si="37"/>
        <v>0.21823698255263932</v>
      </c>
      <c r="K1168" s="6" t="s">
        <v>1756</v>
      </c>
    </row>
    <row r="1169" spans="1:11">
      <c r="A1169" s="5" t="s">
        <v>937</v>
      </c>
      <c r="B1169" s="5">
        <v>0</v>
      </c>
      <c r="C1169" s="5">
        <v>11811</v>
      </c>
      <c r="D1169" s="5">
        <v>11863</v>
      </c>
      <c r="E1169" s="5">
        <v>513.19662080801379</v>
      </c>
      <c r="F1169" s="5">
        <v>2600</v>
      </c>
      <c r="G1169" s="5">
        <v>2611</v>
      </c>
      <c r="H1169" s="5">
        <v>112.14820568305865</v>
      </c>
      <c r="I1169" s="1">
        <f t="shared" si="36"/>
        <v>14474</v>
      </c>
      <c r="J1169" s="1">
        <f t="shared" si="37"/>
        <v>0.218103739201607</v>
      </c>
      <c r="K1169" s="6" t="s">
        <v>2</v>
      </c>
    </row>
    <row r="1170" spans="1:11">
      <c r="A1170" s="5" t="s">
        <v>386</v>
      </c>
      <c r="B1170" s="5">
        <v>7.0732939646545034E-5</v>
      </c>
      <c r="C1170" s="5">
        <v>827</v>
      </c>
      <c r="D1170" s="5">
        <v>2684</v>
      </c>
      <c r="E1170" s="5">
        <v>52.846273923874868</v>
      </c>
      <c r="F1170" s="5">
        <v>180</v>
      </c>
      <c r="G1170" s="5">
        <v>598</v>
      </c>
      <c r="H1170" s="5">
        <v>11.690396575003851</v>
      </c>
      <c r="I1170" s="1">
        <f t="shared" si="36"/>
        <v>3282</v>
      </c>
      <c r="J1170" s="1">
        <f t="shared" si="37"/>
        <v>0.21710688081279572</v>
      </c>
      <c r="K1170" s="6" t="s">
        <v>385</v>
      </c>
    </row>
    <row r="1171" spans="1:11">
      <c r="A1171" s="5" t="s">
        <v>786</v>
      </c>
      <c r="B1171" s="5">
        <v>0</v>
      </c>
      <c r="C1171" s="5">
        <v>3522</v>
      </c>
      <c r="D1171" s="5">
        <v>3522</v>
      </c>
      <c r="E1171" s="5">
        <v>98.192753155525551</v>
      </c>
      <c r="F1171" s="5">
        <v>775</v>
      </c>
      <c r="G1171" s="5">
        <v>775</v>
      </c>
      <c r="H1171" s="5">
        <v>21.452997785750785</v>
      </c>
      <c r="I1171" s="1">
        <f t="shared" si="36"/>
        <v>4297</v>
      </c>
      <c r="J1171" s="1">
        <f t="shared" si="37"/>
        <v>0.21627585789573117</v>
      </c>
      <c r="K1171" s="6" t="s">
        <v>787</v>
      </c>
    </row>
    <row r="1172" spans="1:11">
      <c r="A1172" s="5" t="s">
        <v>987</v>
      </c>
      <c r="B1172" s="5">
        <v>6.6493246281273954E-6</v>
      </c>
      <c r="C1172" s="5">
        <v>549</v>
      </c>
      <c r="D1172" s="5">
        <v>3070</v>
      </c>
      <c r="E1172" s="5">
        <v>59.288066239011947</v>
      </c>
      <c r="F1172" s="5">
        <v>121</v>
      </c>
      <c r="G1172" s="5">
        <v>679</v>
      </c>
      <c r="H1172" s="5">
        <v>13.019517337492331</v>
      </c>
      <c r="I1172" s="1">
        <f t="shared" si="36"/>
        <v>3749</v>
      </c>
      <c r="J1172" s="1">
        <f t="shared" si="37"/>
        <v>0.21595513257758964</v>
      </c>
      <c r="K1172" s="6" t="s">
        <v>44</v>
      </c>
    </row>
    <row r="1173" spans="1:11">
      <c r="A1173" s="5" t="s">
        <v>1657</v>
      </c>
      <c r="B1173" s="5">
        <v>0</v>
      </c>
      <c r="C1173" s="5">
        <v>12842</v>
      </c>
      <c r="D1173" s="5">
        <v>12973</v>
      </c>
      <c r="E1173" s="5">
        <v>117.23831438861538</v>
      </c>
      <c r="F1173" s="5">
        <v>2816</v>
      </c>
      <c r="G1173" s="5">
        <v>2841</v>
      </c>
      <c r="H1173" s="5">
        <v>25.491569838889383</v>
      </c>
      <c r="I1173" s="1">
        <f t="shared" si="36"/>
        <v>15814</v>
      </c>
      <c r="J1173" s="1">
        <f t="shared" si="37"/>
        <v>0.21559483464138296</v>
      </c>
      <c r="K1173" s="6" t="s">
        <v>1444</v>
      </c>
    </row>
    <row r="1174" spans="1:11">
      <c r="A1174" s="5" t="s">
        <v>664</v>
      </c>
      <c r="B1174" s="5">
        <v>6.9117767065307589E-10</v>
      </c>
      <c r="C1174" s="5">
        <v>42792</v>
      </c>
      <c r="D1174" s="5">
        <v>43452</v>
      </c>
      <c r="E1174" s="5">
        <v>957.37639726028931</v>
      </c>
      <c r="F1174" s="5">
        <v>9400</v>
      </c>
      <c r="G1174" s="5">
        <v>9434</v>
      </c>
      <c r="H1174" s="5">
        <v>206.37876887983739</v>
      </c>
      <c r="I1174" s="1">
        <f t="shared" si="36"/>
        <v>52886</v>
      </c>
      <c r="J1174" s="1">
        <f t="shared" si="37"/>
        <v>0.21534208216084244</v>
      </c>
      <c r="K1174" s="6" t="s">
        <v>665</v>
      </c>
    </row>
    <row r="1175" spans="1:11">
      <c r="A1175" s="5" t="s">
        <v>1219</v>
      </c>
      <c r="B1175" s="5">
        <v>2.4277927479086636E-2</v>
      </c>
      <c r="C1175" s="5">
        <v>1332</v>
      </c>
      <c r="D1175" s="5">
        <v>1333</v>
      </c>
      <c r="E1175" s="5">
        <v>36.308187061952353</v>
      </c>
      <c r="F1175" s="5">
        <v>296</v>
      </c>
      <c r="G1175" s="5">
        <v>296</v>
      </c>
      <c r="H1175" s="5">
        <v>8.0050182418705909</v>
      </c>
      <c r="I1175" s="1">
        <f t="shared" si="36"/>
        <v>1629</v>
      </c>
      <c r="J1175" s="1">
        <f t="shared" si="37"/>
        <v>0.21456465382726334</v>
      </c>
      <c r="K1175" s="6" t="s">
        <v>87</v>
      </c>
    </row>
    <row r="1176" spans="1:11">
      <c r="A1176" s="5" t="s">
        <v>1292</v>
      </c>
      <c r="B1176" s="5">
        <v>2.3194969278605981E-8</v>
      </c>
      <c r="C1176" s="5">
        <v>1261</v>
      </c>
      <c r="D1176" s="5">
        <v>1262</v>
      </c>
      <c r="E1176" s="5">
        <v>74.814636894700286</v>
      </c>
      <c r="F1176" s="5">
        <v>276</v>
      </c>
      <c r="G1176" s="5">
        <v>276</v>
      </c>
      <c r="H1176" s="5">
        <v>16.245478196737377</v>
      </c>
      <c r="I1176" s="1">
        <f t="shared" si="36"/>
        <v>1538</v>
      </c>
      <c r="J1176" s="1">
        <f t="shared" si="37"/>
        <v>0.21427891581543662</v>
      </c>
      <c r="K1176" s="6" t="s">
        <v>550</v>
      </c>
    </row>
    <row r="1177" spans="1:11">
      <c r="A1177" s="5" t="s">
        <v>1270</v>
      </c>
      <c r="B1177" s="5">
        <v>4.8144099817903907E-9</v>
      </c>
      <c r="C1177" s="5">
        <v>1328</v>
      </c>
      <c r="D1177" s="5">
        <v>1328</v>
      </c>
      <c r="E1177" s="5">
        <v>79.245230955525798</v>
      </c>
      <c r="F1177" s="5">
        <v>290</v>
      </c>
      <c r="G1177" s="5">
        <v>290</v>
      </c>
      <c r="H1177" s="5">
        <v>17.181823693488688</v>
      </c>
      <c r="I1177" s="1">
        <f t="shared" si="36"/>
        <v>1618</v>
      </c>
      <c r="J1177" s="1">
        <f t="shared" si="37"/>
        <v>0.21411644640927441</v>
      </c>
      <c r="K1177" s="6" t="s">
        <v>508</v>
      </c>
    </row>
    <row r="1178" spans="1:11">
      <c r="A1178" s="5" t="s">
        <v>1793</v>
      </c>
      <c r="B1178" s="5">
        <v>0</v>
      </c>
      <c r="C1178" s="5">
        <v>26610</v>
      </c>
      <c r="D1178" s="5">
        <v>26724</v>
      </c>
      <c r="E1178" s="5">
        <v>2120.0555774203849</v>
      </c>
      <c r="F1178" s="5">
        <v>5738</v>
      </c>
      <c r="G1178" s="5">
        <v>5755</v>
      </c>
      <c r="H1178" s="5">
        <v>453.30166163012461</v>
      </c>
      <c r="I1178" s="1">
        <f t="shared" si="36"/>
        <v>32479</v>
      </c>
      <c r="J1178" s="1">
        <f t="shared" si="37"/>
        <v>0.21371512677731311</v>
      </c>
      <c r="K1178" s="6" t="s">
        <v>1433</v>
      </c>
    </row>
    <row r="1179" spans="1:11">
      <c r="A1179" s="5" t="s">
        <v>870</v>
      </c>
      <c r="B1179" s="5">
        <v>1.9066970224912438E-10</v>
      </c>
      <c r="C1179" s="5">
        <v>7430</v>
      </c>
      <c r="D1179" s="5">
        <v>7430</v>
      </c>
      <c r="E1179" s="5">
        <v>90.25695934266011</v>
      </c>
      <c r="F1179" s="5">
        <v>1608</v>
      </c>
      <c r="G1179" s="5">
        <v>1608</v>
      </c>
      <c r="H1179" s="5">
        <v>19.394300892246296</v>
      </c>
      <c r="I1179" s="1">
        <f t="shared" si="36"/>
        <v>9038</v>
      </c>
      <c r="J1179" s="1">
        <f t="shared" si="37"/>
        <v>0.21252407522611808</v>
      </c>
      <c r="K1179" s="6" t="s">
        <v>326</v>
      </c>
    </row>
    <row r="1180" spans="1:11">
      <c r="A1180" s="5" t="s">
        <v>2208</v>
      </c>
      <c r="B1180" s="5">
        <v>7.6267880899649754E-11</v>
      </c>
      <c r="C1180" s="5">
        <v>7982</v>
      </c>
      <c r="D1180" s="5">
        <v>7982</v>
      </c>
      <c r="E1180" s="5">
        <v>104.4211066634598</v>
      </c>
      <c r="F1180" s="5">
        <v>1717</v>
      </c>
      <c r="G1180" s="5">
        <v>1717</v>
      </c>
      <c r="H1180" s="5">
        <v>22.301961579019157</v>
      </c>
      <c r="I1180" s="1">
        <f t="shared" si="36"/>
        <v>9699</v>
      </c>
      <c r="J1180" s="1">
        <f t="shared" si="37"/>
        <v>0.21155119961142735</v>
      </c>
      <c r="K1180" s="6" t="s">
        <v>2209</v>
      </c>
    </row>
    <row r="1181" spans="1:11">
      <c r="A1181" s="5" t="s">
        <v>85</v>
      </c>
      <c r="B1181" s="5">
        <v>0</v>
      </c>
      <c r="C1181" s="5">
        <v>8262</v>
      </c>
      <c r="D1181" s="5">
        <v>8262</v>
      </c>
      <c r="E1181" s="5">
        <v>112.29515543134453</v>
      </c>
      <c r="F1181" s="5">
        <v>1775</v>
      </c>
      <c r="G1181" s="5">
        <v>1775</v>
      </c>
      <c r="H1181" s="5">
        <v>23.953577624978028</v>
      </c>
      <c r="I1181" s="1">
        <f t="shared" si="36"/>
        <v>10037</v>
      </c>
      <c r="J1181" s="1">
        <f t="shared" si="37"/>
        <v>0.21142631857276195</v>
      </c>
      <c r="K1181" s="6" t="s">
        <v>86</v>
      </c>
    </row>
    <row r="1182" spans="1:11">
      <c r="A1182" s="5" t="s">
        <v>2179</v>
      </c>
      <c r="B1182" s="5">
        <v>5.6240607486102157E-5</v>
      </c>
      <c r="C1182" s="5">
        <v>800</v>
      </c>
      <c r="D1182" s="5">
        <v>2800</v>
      </c>
      <c r="E1182" s="5">
        <v>52.617398574277438</v>
      </c>
      <c r="F1182" s="5">
        <v>255</v>
      </c>
      <c r="G1182" s="5">
        <v>607</v>
      </c>
      <c r="H1182" s="5">
        <v>11.325469955629931</v>
      </c>
      <c r="I1182" s="1">
        <f t="shared" si="36"/>
        <v>3407</v>
      </c>
      <c r="J1182" s="1">
        <f t="shared" si="37"/>
        <v>0.21122751675354953</v>
      </c>
      <c r="K1182" s="6" t="s">
        <v>2180</v>
      </c>
    </row>
    <row r="1183" spans="1:11">
      <c r="A1183" s="5" t="s">
        <v>866</v>
      </c>
      <c r="B1183" s="5">
        <v>0</v>
      </c>
      <c r="C1183" s="5">
        <v>13883</v>
      </c>
      <c r="D1183" s="5">
        <v>13883</v>
      </c>
      <c r="E1183" s="5">
        <v>355.04352668531567</v>
      </c>
      <c r="F1183" s="5">
        <v>2956</v>
      </c>
      <c r="G1183" s="5">
        <v>2956</v>
      </c>
      <c r="H1183" s="5">
        <v>75.058331287614621</v>
      </c>
      <c r="I1183" s="1">
        <f t="shared" si="36"/>
        <v>16839</v>
      </c>
      <c r="J1183" s="1">
        <f t="shared" si="37"/>
        <v>0.21081223407258834</v>
      </c>
      <c r="K1183" s="6" t="s">
        <v>650</v>
      </c>
    </row>
    <row r="1184" spans="1:11">
      <c r="A1184" s="5" t="s">
        <v>2188</v>
      </c>
      <c r="B1184" s="5">
        <v>2.4655928204664335E-5</v>
      </c>
      <c r="C1184" s="5">
        <v>2866</v>
      </c>
      <c r="D1184" s="5">
        <v>2867</v>
      </c>
      <c r="E1184" s="5">
        <v>54.784487941320357</v>
      </c>
      <c r="F1184" s="5">
        <v>619</v>
      </c>
      <c r="G1184" s="5">
        <v>619</v>
      </c>
      <c r="H1184" s="5">
        <v>11.744019476508356</v>
      </c>
      <c r="I1184" s="1">
        <f t="shared" si="36"/>
        <v>3486</v>
      </c>
      <c r="J1184" s="1">
        <f t="shared" si="37"/>
        <v>0.21052482347533383</v>
      </c>
      <c r="K1184" s="6" t="s">
        <v>11</v>
      </c>
    </row>
    <row r="1185" spans="1:11">
      <c r="A1185" s="5" t="s">
        <v>1521</v>
      </c>
      <c r="B1185" s="5">
        <v>1.1666845248067825E-2</v>
      </c>
      <c r="C1185" s="5">
        <v>1546</v>
      </c>
      <c r="D1185" s="5">
        <v>1546</v>
      </c>
      <c r="E1185" s="5">
        <v>37.864770923095683</v>
      </c>
      <c r="F1185" s="5">
        <v>336</v>
      </c>
      <c r="G1185" s="5">
        <v>336</v>
      </c>
      <c r="H1185" s="5">
        <v>8.1707386915222777</v>
      </c>
      <c r="I1185" s="1">
        <f t="shared" si="36"/>
        <v>1882</v>
      </c>
      <c r="J1185" s="1">
        <f t="shared" si="37"/>
        <v>0.21023509202434934</v>
      </c>
      <c r="K1185" s="6" t="s">
        <v>1522</v>
      </c>
    </row>
    <row r="1186" spans="1:11">
      <c r="A1186" s="5" t="s">
        <v>1580</v>
      </c>
      <c r="B1186" s="5">
        <v>8.956709263152618E-9</v>
      </c>
      <c r="C1186" s="5">
        <v>5781</v>
      </c>
      <c r="D1186" s="5">
        <v>5784</v>
      </c>
      <c r="E1186" s="5">
        <v>76.40133847018771</v>
      </c>
      <c r="F1186" s="5">
        <v>1234</v>
      </c>
      <c r="G1186" s="5">
        <v>1235</v>
      </c>
      <c r="H1186" s="5">
        <v>16.197046922037309</v>
      </c>
      <c r="I1186" s="1">
        <f t="shared" si="36"/>
        <v>7019</v>
      </c>
      <c r="J1186" s="1">
        <f t="shared" si="37"/>
        <v>0.20926055339825739</v>
      </c>
      <c r="K1186" s="6" t="s">
        <v>611</v>
      </c>
    </row>
    <row r="1187" spans="1:11">
      <c r="A1187" s="5" t="s">
        <v>1003</v>
      </c>
      <c r="B1187" s="5">
        <v>1.7160273202421195E-10</v>
      </c>
      <c r="C1187" s="5">
        <v>18745</v>
      </c>
      <c r="D1187" s="5">
        <v>19558</v>
      </c>
      <c r="E1187" s="5">
        <v>100.31802112193078</v>
      </c>
      <c r="F1187" s="5">
        <v>3983</v>
      </c>
      <c r="G1187" s="5">
        <v>4163</v>
      </c>
      <c r="H1187" s="5">
        <v>21.201038063253918</v>
      </c>
      <c r="I1187" s="1">
        <f t="shared" si="36"/>
        <v>23721</v>
      </c>
      <c r="J1187" s="1">
        <f t="shared" si="37"/>
        <v>0.20925238993505024</v>
      </c>
      <c r="K1187" s="6" t="s">
        <v>1004</v>
      </c>
    </row>
    <row r="1188" spans="1:11">
      <c r="A1188" s="5" t="s">
        <v>1627</v>
      </c>
      <c r="B1188" s="5">
        <v>1.3227233919277381E-7</v>
      </c>
      <c r="C1188" s="5">
        <v>597</v>
      </c>
      <c r="D1188" s="5">
        <v>600</v>
      </c>
      <c r="E1188" s="5">
        <v>68.88787806107932</v>
      </c>
      <c r="F1188" s="5">
        <v>126</v>
      </c>
      <c r="G1188" s="5">
        <v>128</v>
      </c>
      <c r="H1188" s="5">
        <v>14.591425656067914</v>
      </c>
      <c r="I1188" s="1">
        <f t="shared" si="36"/>
        <v>728</v>
      </c>
      <c r="J1188" s="1">
        <f t="shared" si="37"/>
        <v>0.20878335500922732</v>
      </c>
      <c r="K1188" s="6" t="s">
        <v>2</v>
      </c>
    </row>
    <row r="1189" spans="1:11">
      <c r="A1189" s="5" t="s">
        <v>1414</v>
      </c>
      <c r="B1189" s="5">
        <v>1.1056419652205607E-3</v>
      </c>
      <c r="C1189" s="5">
        <v>518</v>
      </c>
      <c r="D1189" s="5">
        <v>537</v>
      </c>
      <c r="E1189" s="5">
        <v>44.012506791945299</v>
      </c>
      <c r="F1189" s="5">
        <v>110</v>
      </c>
      <c r="G1189" s="5">
        <v>115</v>
      </c>
      <c r="H1189" s="5">
        <v>9.358276220259107</v>
      </c>
      <c r="I1189" s="1">
        <f t="shared" si="36"/>
        <v>652</v>
      </c>
      <c r="J1189" s="1">
        <f t="shared" si="37"/>
        <v>0.20790391131768096</v>
      </c>
      <c r="K1189" s="6" t="s">
        <v>1415</v>
      </c>
    </row>
    <row r="1190" spans="1:11">
      <c r="A1190" s="5" t="s">
        <v>2263</v>
      </c>
      <c r="B1190" s="5">
        <v>1.2202338170521076E-2</v>
      </c>
      <c r="C1190" s="5">
        <v>3441</v>
      </c>
      <c r="D1190" s="5">
        <v>3444</v>
      </c>
      <c r="E1190" s="5">
        <v>37.485476622692431</v>
      </c>
      <c r="F1190" s="5">
        <v>740</v>
      </c>
      <c r="G1190" s="5">
        <v>740</v>
      </c>
      <c r="H1190" s="5">
        <v>7.9970132236287208</v>
      </c>
      <c r="I1190" s="1">
        <f t="shared" si="36"/>
        <v>4184</v>
      </c>
      <c r="J1190" s="1">
        <f t="shared" si="37"/>
        <v>0.2077930150646333</v>
      </c>
      <c r="K1190" s="6" t="s">
        <v>222</v>
      </c>
    </row>
    <row r="1191" spans="1:11">
      <c r="A1191" s="5" t="s">
        <v>1876</v>
      </c>
      <c r="B1191" s="5">
        <v>0</v>
      </c>
      <c r="C1191" s="5">
        <v>13410</v>
      </c>
      <c r="D1191" s="5">
        <v>13447</v>
      </c>
      <c r="E1191" s="5">
        <v>360.85053454979959</v>
      </c>
      <c r="F1191" s="5">
        <v>2814</v>
      </c>
      <c r="G1191" s="5">
        <v>2820</v>
      </c>
      <c r="H1191" s="5">
        <v>75.135859089746901</v>
      </c>
      <c r="I1191" s="1">
        <f t="shared" si="36"/>
        <v>16267</v>
      </c>
      <c r="J1191" s="1">
        <f t="shared" si="37"/>
        <v>0.20764335524121313</v>
      </c>
      <c r="K1191" s="6" t="s">
        <v>1877</v>
      </c>
    </row>
    <row r="1192" spans="1:11">
      <c r="A1192" s="5" t="s">
        <v>1889</v>
      </c>
      <c r="B1192" s="5">
        <v>0</v>
      </c>
      <c r="C1192" s="5">
        <v>93036</v>
      </c>
      <c r="D1192" s="5">
        <v>95029</v>
      </c>
      <c r="E1192" s="5">
        <v>2114.3145828987663</v>
      </c>
      <c r="F1192" s="5">
        <v>19832</v>
      </c>
      <c r="G1192" s="5">
        <v>19878</v>
      </c>
      <c r="H1192" s="5">
        <v>439.11910471396135</v>
      </c>
      <c r="I1192" s="1">
        <f t="shared" si="36"/>
        <v>114907</v>
      </c>
      <c r="J1192" s="1">
        <f t="shared" si="37"/>
        <v>0.20759044931851467</v>
      </c>
      <c r="K1192" s="6" t="s">
        <v>2</v>
      </c>
    </row>
    <row r="1193" spans="1:11">
      <c r="A1193" s="5" t="s">
        <v>1781</v>
      </c>
      <c r="B1193" s="5">
        <v>0</v>
      </c>
      <c r="C1193" s="5">
        <v>5387</v>
      </c>
      <c r="D1193" s="5">
        <v>5394</v>
      </c>
      <c r="E1193" s="5">
        <v>199.69330562350672</v>
      </c>
      <c r="F1193" s="5">
        <v>1128</v>
      </c>
      <c r="G1193" s="5">
        <v>1130</v>
      </c>
      <c r="H1193" s="5">
        <v>41.536242612155057</v>
      </c>
      <c r="I1193" s="1">
        <f t="shared" si="36"/>
        <v>6524</v>
      </c>
      <c r="J1193" s="1">
        <f t="shared" si="37"/>
        <v>0.20696376734197366</v>
      </c>
      <c r="K1193" s="6" t="s">
        <v>1782</v>
      </c>
    </row>
    <row r="1194" spans="1:11">
      <c r="A1194" s="5" t="s">
        <v>1708</v>
      </c>
      <c r="B1194" s="5">
        <v>1.5887386103918821E-4</v>
      </c>
      <c r="C1194" s="5">
        <v>2211</v>
      </c>
      <c r="D1194" s="5">
        <v>2211</v>
      </c>
      <c r="E1194" s="5">
        <v>49.152682896448788</v>
      </c>
      <c r="F1194" s="5">
        <v>470</v>
      </c>
      <c r="G1194" s="5">
        <v>470</v>
      </c>
      <c r="H1194" s="5">
        <v>10.374150478894792</v>
      </c>
      <c r="I1194" s="1">
        <f t="shared" si="36"/>
        <v>2681</v>
      </c>
      <c r="J1194" s="1">
        <f t="shared" si="37"/>
        <v>0.20685135629363041</v>
      </c>
      <c r="K1194" s="6" t="s">
        <v>2</v>
      </c>
    </row>
    <row r="1195" spans="1:11">
      <c r="A1195" s="5" t="s">
        <v>520</v>
      </c>
      <c r="B1195" s="5">
        <v>0</v>
      </c>
      <c r="C1195" s="5">
        <v>13871</v>
      </c>
      <c r="D1195" s="5">
        <v>13871</v>
      </c>
      <c r="E1195" s="5">
        <v>266.36540850470453</v>
      </c>
      <c r="F1195" s="5">
        <v>2894</v>
      </c>
      <c r="G1195" s="5">
        <v>2894</v>
      </c>
      <c r="H1195" s="5">
        <v>55.177850686598823</v>
      </c>
      <c r="I1195" s="1">
        <f t="shared" si="36"/>
        <v>16765</v>
      </c>
      <c r="J1195" s="1">
        <f t="shared" si="37"/>
        <v>0.2063761763168698</v>
      </c>
      <c r="K1195" s="6" t="s">
        <v>521</v>
      </c>
    </row>
    <row r="1196" spans="1:11">
      <c r="A1196" s="5" t="s">
        <v>1249</v>
      </c>
      <c r="B1196" s="5">
        <v>8.052232733313236E-5</v>
      </c>
      <c r="C1196" s="5">
        <v>304</v>
      </c>
      <c r="D1196" s="5">
        <v>355</v>
      </c>
      <c r="E1196" s="5">
        <v>50.841066847972883</v>
      </c>
      <c r="F1196" s="5">
        <v>68</v>
      </c>
      <c r="G1196" s="5">
        <v>75</v>
      </c>
      <c r="H1196" s="5">
        <v>10.664580223544702</v>
      </c>
      <c r="I1196" s="1">
        <f t="shared" si="36"/>
        <v>430</v>
      </c>
      <c r="J1196" s="1">
        <f t="shared" si="37"/>
        <v>0.20571683555084311</v>
      </c>
      <c r="K1196" s="6" t="s">
        <v>21</v>
      </c>
    </row>
    <row r="1197" spans="1:11">
      <c r="A1197" s="5" t="s">
        <v>781</v>
      </c>
      <c r="B1197" s="5">
        <v>1.8540346513395978E-3</v>
      </c>
      <c r="C1197" s="5">
        <v>2791</v>
      </c>
      <c r="D1197" s="5">
        <v>2791</v>
      </c>
      <c r="E1197" s="5">
        <v>42.309246088605342</v>
      </c>
      <c r="F1197" s="5">
        <v>591</v>
      </c>
      <c r="G1197" s="5">
        <v>591</v>
      </c>
      <c r="H1197" s="5">
        <v>8.8952699223906002</v>
      </c>
      <c r="I1197" s="1">
        <f t="shared" si="36"/>
        <v>3382</v>
      </c>
      <c r="J1197" s="1">
        <f t="shared" si="37"/>
        <v>0.20538962752184561</v>
      </c>
      <c r="K1197" s="6" t="s">
        <v>137</v>
      </c>
    </row>
    <row r="1198" spans="1:11">
      <c r="A1198" s="5" t="s">
        <v>950</v>
      </c>
      <c r="B1198" s="5">
        <v>1.081893314960336E-3</v>
      </c>
      <c r="C1198" s="5">
        <v>3724</v>
      </c>
      <c r="D1198" s="5">
        <v>3730</v>
      </c>
      <c r="E1198" s="5">
        <v>43.691758562759887</v>
      </c>
      <c r="F1198" s="5">
        <v>786</v>
      </c>
      <c r="G1198" s="5">
        <v>787</v>
      </c>
      <c r="H1198" s="5">
        <v>9.1529612904384532</v>
      </c>
      <c r="I1198" s="1">
        <f t="shared" si="36"/>
        <v>4517</v>
      </c>
      <c r="J1198" s="1">
        <f t="shared" si="37"/>
        <v>0.20480199447925287</v>
      </c>
      <c r="K1198" s="6" t="s">
        <v>463</v>
      </c>
    </row>
    <row r="1199" spans="1:11">
      <c r="A1199" s="5" t="s">
        <v>284</v>
      </c>
      <c r="B1199" s="5">
        <v>3.8962300061501365E-3</v>
      </c>
      <c r="C1199" s="5">
        <v>2796</v>
      </c>
      <c r="D1199" s="5">
        <v>2797</v>
      </c>
      <c r="E1199" s="5">
        <v>39.993883867604488</v>
      </c>
      <c r="F1199" s="5">
        <v>585</v>
      </c>
      <c r="G1199" s="5">
        <v>585</v>
      </c>
      <c r="H1199" s="5">
        <v>8.3052590075109034</v>
      </c>
      <c r="I1199" s="1">
        <f t="shared" si="36"/>
        <v>3382</v>
      </c>
      <c r="J1199" s="1">
        <f t="shared" si="37"/>
        <v>0.20259751513991464</v>
      </c>
      <c r="K1199" s="6" t="s">
        <v>224</v>
      </c>
    </row>
    <row r="1200" spans="1:11">
      <c r="A1200" s="5" t="s">
        <v>1747</v>
      </c>
      <c r="B1200" s="5">
        <v>0</v>
      </c>
      <c r="C1200" s="5">
        <v>6144</v>
      </c>
      <c r="D1200" s="5">
        <v>6156</v>
      </c>
      <c r="E1200" s="5">
        <v>262.55351418633495</v>
      </c>
      <c r="F1200" s="5">
        <v>1260</v>
      </c>
      <c r="G1200" s="5">
        <v>1260</v>
      </c>
      <c r="H1200" s="5">
        <v>53.356332403690736</v>
      </c>
      <c r="I1200" s="1">
        <f t="shared" si="36"/>
        <v>7416</v>
      </c>
      <c r="J1200" s="1">
        <f t="shared" si="37"/>
        <v>0.2024497095719516</v>
      </c>
      <c r="K1200" s="6" t="s">
        <v>637</v>
      </c>
    </row>
    <row r="1201" spans="1:11">
      <c r="A1201" s="5" t="s">
        <v>1696</v>
      </c>
      <c r="B1201" s="5">
        <v>4.7667425562281096E-12</v>
      </c>
      <c r="C1201" s="5">
        <v>2222</v>
      </c>
      <c r="D1201" s="5">
        <v>2222</v>
      </c>
      <c r="E1201" s="5">
        <v>91.332630959862101</v>
      </c>
      <c r="F1201" s="5">
        <v>457</v>
      </c>
      <c r="G1201" s="5">
        <v>458</v>
      </c>
      <c r="H1201" s="5">
        <v>18.691475751316414</v>
      </c>
      <c r="I1201" s="1">
        <f t="shared" si="36"/>
        <v>2680</v>
      </c>
      <c r="J1201" s="1">
        <f t="shared" si="37"/>
        <v>0.20243629534873517</v>
      </c>
      <c r="K1201" s="6" t="s">
        <v>17</v>
      </c>
    </row>
    <row r="1202" spans="1:11">
      <c r="A1202" s="5" t="s">
        <v>1958</v>
      </c>
      <c r="B1202" s="5">
        <v>1.415293532369688E-7</v>
      </c>
      <c r="C1202" s="5">
        <v>2919</v>
      </c>
      <c r="D1202" s="5">
        <v>3014</v>
      </c>
      <c r="E1202" s="5">
        <v>67.278987258455089</v>
      </c>
      <c r="F1202" s="5">
        <v>601</v>
      </c>
      <c r="G1202" s="5">
        <v>620</v>
      </c>
      <c r="H1202" s="5">
        <v>13.741181846689264</v>
      </c>
      <c r="I1202" s="1">
        <f t="shared" si="36"/>
        <v>3634</v>
      </c>
      <c r="J1202" s="1">
        <f t="shared" si="37"/>
        <v>0.20125052228257342</v>
      </c>
      <c r="K1202" s="6" t="s">
        <v>2</v>
      </c>
    </row>
    <row r="1203" spans="1:11">
      <c r="A1203" s="5" t="s">
        <v>1229</v>
      </c>
      <c r="B1203" s="5">
        <v>4.6870402373166975E-4</v>
      </c>
      <c r="C1203" s="5">
        <v>647</v>
      </c>
      <c r="D1203" s="5">
        <v>647</v>
      </c>
      <c r="E1203" s="5">
        <v>45.491810223978646</v>
      </c>
      <c r="F1203" s="5">
        <v>134</v>
      </c>
      <c r="G1203" s="5">
        <v>134</v>
      </c>
      <c r="H1203" s="5">
        <v>9.3547015500929582</v>
      </c>
      <c r="I1203" s="1">
        <f t="shared" si="36"/>
        <v>781</v>
      </c>
      <c r="J1203" s="1">
        <f t="shared" si="37"/>
        <v>0.20121181569454508</v>
      </c>
      <c r="K1203" s="6" t="s">
        <v>2</v>
      </c>
    </row>
    <row r="1204" spans="1:11">
      <c r="A1204" s="5" t="s">
        <v>1184</v>
      </c>
      <c r="B1204" s="5">
        <v>6.1967653230965425E-11</v>
      </c>
      <c r="C1204" s="5">
        <v>2341</v>
      </c>
      <c r="D1204" s="5">
        <v>2341</v>
      </c>
      <c r="E1204" s="5">
        <v>152.02929929281561</v>
      </c>
      <c r="F1204" s="5">
        <v>477</v>
      </c>
      <c r="G1204" s="5">
        <v>477</v>
      </c>
      <c r="H1204" s="5">
        <v>30.756751174537992</v>
      </c>
      <c r="I1204" s="1">
        <f t="shared" si="36"/>
        <v>2818</v>
      </c>
      <c r="J1204" s="1">
        <f t="shared" si="37"/>
        <v>0.2009860289282652</v>
      </c>
      <c r="K1204" s="6" t="s">
        <v>1185</v>
      </c>
    </row>
    <row r="1205" spans="1:11">
      <c r="A1205" s="5" t="s">
        <v>77</v>
      </c>
      <c r="B1205" s="5">
        <v>1.6683598946798384E-10</v>
      </c>
      <c r="C1205" s="5">
        <v>6094</v>
      </c>
      <c r="D1205" s="5">
        <v>6104</v>
      </c>
      <c r="E1205" s="5">
        <v>114.54771381759112</v>
      </c>
      <c r="F1205" s="5">
        <v>1241</v>
      </c>
      <c r="G1205" s="5">
        <v>1244</v>
      </c>
      <c r="H1205" s="5">
        <v>23.178668336892191</v>
      </c>
      <c r="I1205" s="1">
        <f t="shared" si="36"/>
        <v>7348</v>
      </c>
      <c r="J1205" s="1">
        <f t="shared" si="37"/>
        <v>0.20059824267473689</v>
      </c>
      <c r="K1205" s="6" t="s">
        <v>78</v>
      </c>
    </row>
    <row r="1206" spans="1:11">
      <c r="A1206" s="5" t="s">
        <v>1995</v>
      </c>
      <c r="B1206" s="5">
        <v>1.4270389147302831E-3</v>
      </c>
      <c r="C1206" s="5">
        <v>2682</v>
      </c>
      <c r="D1206" s="5">
        <v>2682</v>
      </c>
      <c r="E1206" s="5">
        <v>42.331281403205814</v>
      </c>
      <c r="F1206" s="5">
        <v>552</v>
      </c>
      <c r="G1206" s="5">
        <v>552</v>
      </c>
      <c r="H1206" s="5">
        <v>8.6504344458265159</v>
      </c>
      <c r="I1206" s="1">
        <f t="shared" si="36"/>
        <v>3234</v>
      </c>
      <c r="J1206" s="1">
        <f t="shared" si="37"/>
        <v>0.19963486344501513</v>
      </c>
      <c r="K1206" s="6" t="s">
        <v>9</v>
      </c>
    </row>
    <row r="1207" spans="1:11">
      <c r="A1207" s="5" t="s">
        <v>1380</v>
      </c>
      <c r="B1207" s="5">
        <v>7.6267880899649754E-11</v>
      </c>
      <c r="C1207" s="5">
        <v>12898</v>
      </c>
      <c r="D1207" s="5">
        <v>17479</v>
      </c>
      <c r="E1207" s="5">
        <v>146.20843287694257</v>
      </c>
      <c r="F1207" s="5">
        <v>2709</v>
      </c>
      <c r="G1207" s="5">
        <v>3536</v>
      </c>
      <c r="H1207" s="5">
        <v>29.367318689973452</v>
      </c>
      <c r="I1207" s="1">
        <f t="shared" si="36"/>
        <v>21015</v>
      </c>
      <c r="J1207" s="1">
        <f t="shared" si="37"/>
        <v>0.19949481232860328</v>
      </c>
      <c r="K1207" s="6" t="s">
        <v>635</v>
      </c>
    </row>
    <row r="1208" spans="1:11">
      <c r="A1208" s="5" t="s">
        <v>1611</v>
      </c>
      <c r="B1208" s="5">
        <v>5.7582250079235564E-9</v>
      </c>
      <c r="C1208" s="5">
        <v>3300</v>
      </c>
      <c r="D1208" s="5">
        <v>3301</v>
      </c>
      <c r="E1208" s="5">
        <v>75.481142659202533</v>
      </c>
      <c r="F1208" s="5">
        <v>671</v>
      </c>
      <c r="G1208" s="5">
        <v>671</v>
      </c>
      <c r="H1208" s="5">
        <v>15.233919694114444</v>
      </c>
      <c r="I1208" s="1">
        <f t="shared" si="36"/>
        <v>3972</v>
      </c>
      <c r="J1208" s="1">
        <f t="shared" si="37"/>
        <v>0.19918530456581032</v>
      </c>
      <c r="K1208" s="6" t="s">
        <v>66</v>
      </c>
    </row>
    <row r="1209" spans="1:11">
      <c r="A1209" s="5" t="s">
        <v>2242</v>
      </c>
      <c r="B1209" s="5">
        <v>9.3400554662670388E-6</v>
      </c>
      <c r="C1209" s="5">
        <v>7868</v>
      </c>
      <c r="D1209" s="5">
        <v>7869</v>
      </c>
      <c r="E1209" s="5">
        <v>55.27131941733095</v>
      </c>
      <c r="F1209" s="5">
        <v>1586</v>
      </c>
      <c r="G1209" s="5">
        <v>1586</v>
      </c>
      <c r="H1209" s="5">
        <v>11.060625037215489</v>
      </c>
      <c r="I1209" s="1">
        <f t="shared" si="36"/>
        <v>9455</v>
      </c>
      <c r="J1209" s="1">
        <f t="shared" si="37"/>
        <v>0.19655883586424203</v>
      </c>
      <c r="K1209" s="6" t="s">
        <v>906</v>
      </c>
    </row>
    <row r="1210" spans="1:11">
      <c r="A1210" s="5" t="s">
        <v>1389</v>
      </c>
      <c r="B1210" s="5">
        <v>1.690642781137508E-3</v>
      </c>
      <c r="C1210" s="5">
        <v>2543</v>
      </c>
      <c r="D1210" s="5">
        <v>2551</v>
      </c>
      <c r="E1210" s="5">
        <v>41.515864766062364</v>
      </c>
      <c r="F1210" s="5">
        <v>515</v>
      </c>
      <c r="G1210" s="5">
        <v>517</v>
      </c>
      <c r="H1210" s="5">
        <v>8.3539211751100169</v>
      </c>
      <c r="I1210" s="1">
        <f t="shared" si="36"/>
        <v>3068</v>
      </c>
      <c r="J1210" s="1">
        <f t="shared" si="37"/>
        <v>0.19648950388463945</v>
      </c>
      <c r="K1210" s="6" t="s">
        <v>1390</v>
      </c>
    </row>
    <row r="1211" spans="1:11">
      <c r="A1211" s="5" t="s">
        <v>656</v>
      </c>
      <c r="B1211" s="5">
        <v>3.8982039285428982E-6</v>
      </c>
      <c r="C1211" s="5">
        <v>2524</v>
      </c>
      <c r="D1211" s="5">
        <v>2524</v>
      </c>
      <c r="E1211" s="5">
        <v>57.569016487288231</v>
      </c>
      <c r="F1211" s="5">
        <v>507</v>
      </c>
      <c r="G1211" s="5">
        <v>508</v>
      </c>
      <c r="H1211" s="5">
        <v>11.504278102000946</v>
      </c>
      <c r="I1211" s="1">
        <f t="shared" si="36"/>
        <v>3032</v>
      </c>
      <c r="J1211" s="1">
        <f t="shared" si="37"/>
        <v>0.19642259324087891</v>
      </c>
      <c r="K1211" s="6" t="s">
        <v>657</v>
      </c>
    </row>
    <row r="1212" spans="1:11">
      <c r="A1212" s="5" t="s">
        <v>1842</v>
      </c>
      <c r="B1212" s="5">
        <v>0</v>
      </c>
      <c r="C1212" s="5">
        <v>12009</v>
      </c>
      <c r="D1212" s="5">
        <v>12338</v>
      </c>
      <c r="E1212" s="5">
        <v>106.14156263340205</v>
      </c>
      <c r="F1212" s="5">
        <v>2370</v>
      </c>
      <c r="G1212" s="5">
        <v>2463</v>
      </c>
      <c r="H1212" s="5">
        <v>21.037848486509493</v>
      </c>
      <c r="I1212" s="1">
        <f t="shared" si="36"/>
        <v>14801</v>
      </c>
      <c r="J1212" s="1">
        <f t="shared" si="37"/>
        <v>0.19635562492674355</v>
      </c>
      <c r="K1212" s="6" t="s">
        <v>689</v>
      </c>
    </row>
    <row r="1213" spans="1:11">
      <c r="A1213" s="5" t="s">
        <v>2105</v>
      </c>
      <c r="B1213" s="5">
        <v>2.3934372083700417E-5</v>
      </c>
      <c r="C1213" s="5">
        <v>2097</v>
      </c>
      <c r="D1213" s="5">
        <v>2103</v>
      </c>
      <c r="E1213" s="5">
        <v>52.6925662865264</v>
      </c>
      <c r="F1213" s="5">
        <v>421</v>
      </c>
      <c r="G1213" s="5">
        <v>423</v>
      </c>
      <c r="H1213" s="5">
        <v>10.523171425000463</v>
      </c>
      <c r="I1213" s="1">
        <f t="shared" si="36"/>
        <v>2526</v>
      </c>
      <c r="J1213" s="1">
        <f t="shared" si="37"/>
        <v>0.19598935481765462</v>
      </c>
      <c r="K1213" s="6" t="s">
        <v>941</v>
      </c>
    </row>
    <row r="1214" spans="1:11">
      <c r="A1214" s="5" t="s">
        <v>613</v>
      </c>
      <c r="B1214" s="5">
        <v>0</v>
      </c>
      <c r="C1214" s="5">
        <v>5355</v>
      </c>
      <c r="D1214" s="5">
        <v>5355</v>
      </c>
      <c r="E1214" s="5">
        <v>170.42498464531755</v>
      </c>
      <c r="F1214" s="5">
        <v>1063</v>
      </c>
      <c r="G1214" s="5">
        <v>1063</v>
      </c>
      <c r="H1214" s="5">
        <v>33.589477859638578</v>
      </c>
      <c r="I1214" s="1">
        <f t="shared" si="36"/>
        <v>6418</v>
      </c>
      <c r="J1214" s="1">
        <f t="shared" si="37"/>
        <v>0.19594272053829273</v>
      </c>
      <c r="K1214" s="6" t="s">
        <v>614</v>
      </c>
    </row>
    <row r="1215" spans="1:11">
      <c r="A1215" s="5" t="s">
        <v>2165</v>
      </c>
      <c r="B1215" s="5">
        <v>3.897438389688368E-5</v>
      </c>
      <c r="C1215" s="5">
        <v>2105</v>
      </c>
      <c r="D1215" s="5">
        <v>2106</v>
      </c>
      <c r="E1215" s="5">
        <v>51.349246525690013</v>
      </c>
      <c r="F1215" s="5">
        <v>423</v>
      </c>
      <c r="G1215" s="5">
        <v>423</v>
      </c>
      <c r="H1215" s="5">
        <v>10.240290472715504</v>
      </c>
      <c r="I1215" s="1">
        <f t="shared" si="36"/>
        <v>2529</v>
      </c>
      <c r="J1215" s="1">
        <f t="shared" si="37"/>
        <v>0.19561485890136271</v>
      </c>
      <c r="K1215" s="6" t="s">
        <v>2166</v>
      </c>
    </row>
    <row r="1216" spans="1:11">
      <c r="A1216" s="5" t="s">
        <v>378</v>
      </c>
      <c r="B1216" s="5">
        <v>2.8773922332873125E-2</v>
      </c>
      <c r="C1216" s="5">
        <v>3057</v>
      </c>
      <c r="D1216" s="5">
        <v>3060</v>
      </c>
      <c r="E1216" s="5">
        <v>33.971757736608147</v>
      </c>
      <c r="F1216" s="5">
        <v>620</v>
      </c>
      <c r="G1216" s="5">
        <v>620</v>
      </c>
      <c r="H1216" s="5">
        <v>6.8341496006177938</v>
      </c>
      <c r="I1216" s="1">
        <f t="shared" si="36"/>
        <v>3680</v>
      </c>
      <c r="J1216" s="1">
        <f t="shared" si="37"/>
        <v>0.19541910509873692</v>
      </c>
      <c r="K1216" s="6" t="s">
        <v>379</v>
      </c>
    </row>
    <row r="1217" spans="1:11">
      <c r="A1217" s="5" t="s">
        <v>2097</v>
      </c>
      <c r="B1217" s="5">
        <v>0</v>
      </c>
      <c r="C1217" s="5">
        <v>18080</v>
      </c>
      <c r="D1217" s="5">
        <v>18080</v>
      </c>
      <c r="E1217" s="5">
        <v>314.96137641549558</v>
      </c>
      <c r="F1217" s="5">
        <v>3561</v>
      </c>
      <c r="G1217" s="5">
        <v>3561</v>
      </c>
      <c r="H1217" s="5">
        <v>61.59238867646701</v>
      </c>
      <c r="I1217" s="1">
        <f t="shared" si="36"/>
        <v>21641</v>
      </c>
      <c r="J1217" s="1">
        <f t="shared" si="37"/>
        <v>0.19493644880022226</v>
      </c>
      <c r="K1217" s="6" t="s">
        <v>717</v>
      </c>
    </row>
    <row r="1218" spans="1:11">
      <c r="A1218" s="5" t="s">
        <v>698</v>
      </c>
      <c r="B1218" s="5">
        <v>1.4300227668684329E-10</v>
      </c>
      <c r="C1218" s="5">
        <v>2763</v>
      </c>
      <c r="D1218" s="5">
        <v>2765</v>
      </c>
      <c r="E1218" s="5">
        <v>84.631741531337795</v>
      </c>
      <c r="F1218" s="5">
        <v>549</v>
      </c>
      <c r="G1218" s="5">
        <v>549</v>
      </c>
      <c r="H1218" s="5">
        <v>16.684249915529776</v>
      </c>
      <c r="I1218" s="1">
        <f t="shared" ref="I1218:I1281" si="38">D1218+G1218</f>
        <v>3314</v>
      </c>
      <c r="J1218" s="1">
        <f t="shared" ref="J1218:J1281" si="39">H1218/(E1218+1)</f>
        <v>0.19483721359823106</v>
      </c>
      <c r="K1218" s="6" t="s">
        <v>699</v>
      </c>
    </row>
    <row r="1219" spans="1:11">
      <c r="A1219" s="5" t="s">
        <v>1921</v>
      </c>
      <c r="B1219" s="5">
        <v>0</v>
      </c>
      <c r="C1219" s="5">
        <v>4538</v>
      </c>
      <c r="D1219" s="5">
        <v>10076</v>
      </c>
      <c r="E1219" s="5">
        <v>200.86090288692813</v>
      </c>
      <c r="F1219" s="5">
        <v>852</v>
      </c>
      <c r="G1219" s="5">
        <v>1976</v>
      </c>
      <c r="H1219" s="5">
        <v>39.110231981710605</v>
      </c>
      <c r="I1219" s="1">
        <f t="shared" si="38"/>
        <v>12052</v>
      </c>
      <c r="J1219" s="1">
        <f t="shared" si="39"/>
        <v>0.19374842489245231</v>
      </c>
      <c r="K1219" s="6" t="s">
        <v>226</v>
      </c>
    </row>
    <row r="1220" spans="1:11">
      <c r="A1220" s="5" t="s">
        <v>894</v>
      </c>
      <c r="B1220" s="5">
        <v>0</v>
      </c>
      <c r="C1220" s="5">
        <v>7515</v>
      </c>
      <c r="D1220" s="5">
        <v>7515</v>
      </c>
      <c r="E1220" s="5">
        <v>129.17782655303813</v>
      </c>
      <c r="F1220" s="5">
        <v>1476</v>
      </c>
      <c r="G1220" s="5">
        <v>1476</v>
      </c>
      <c r="H1220" s="5">
        <v>25.190775977181524</v>
      </c>
      <c r="I1220" s="1">
        <f t="shared" si="38"/>
        <v>8991</v>
      </c>
      <c r="J1220" s="1">
        <f t="shared" si="39"/>
        <v>0.19351049748029162</v>
      </c>
      <c r="K1220" s="6" t="s">
        <v>63</v>
      </c>
    </row>
    <row r="1221" spans="1:11">
      <c r="A1221" s="5" t="s">
        <v>1058</v>
      </c>
      <c r="B1221" s="5">
        <v>1.5253576179929951E-10</v>
      </c>
      <c r="C1221" s="5">
        <v>6697</v>
      </c>
      <c r="D1221" s="5">
        <v>6697</v>
      </c>
      <c r="E1221" s="5">
        <v>86.487962578616063</v>
      </c>
      <c r="F1221" s="5">
        <v>1319</v>
      </c>
      <c r="G1221" s="5">
        <v>1319</v>
      </c>
      <c r="H1221" s="5">
        <v>16.912833094906109</v>
      </c>
      <c r="I1221" s="1">
        <f t="shared" si="38"/>
        <v>8016</v>
      </c>
      <c r="J1221" s="1">
        <f t="shared" si="39"/>
        <v>0.19331611568515333</v>
      </c>
      <c r="K1221" s="6" t="s">
        <v>1059</v>
      </c>
    </row>
    <row r="1222" spans="1:11">
      <c r="A1222" s="5" t="s">
        <v>1028</v>
      </c>
      <c r="B1222" s="5">
        <v>8.6140901084386101E-6</v>
      </c>
      <c r="C1222" s="5">
        <v>1877</v>
      </c>
      <c r="D1222" s="5">
        <v>1877</v>
      </c>
      <c r="E1222" s="5">
        <v>54.742235919244507</v>
      </c>
      <c r="F1222" s="5">
        <v>369</v>
      </c>
      <c r="G1222" s="5">
        <v>369</v>
      </c>
      <c r="H1222" s="5">
        <v>10.685154976387555</v>
      </c>
      <c r="I1222" s="1">
        <f t="shared" si="38"/>
        <v>2246</v>
      </c>
      <c r="J1222" s="1">
        <f t="shared" si="39"/>
        <v>0.19168866838903748</v>
      </c>
      <c r="K1222" s="6" t="s">
        <v>226</v>
      </c>
    </row>
    <row r="1223" spans="1:11">
      <c r="A1223" s="5" t="s">
        <v>1998</v>
      </c>
      <c r="B1223" s="5">
        <v>4.8144099817903907E-10</v>
      </c>
      <c r="C1223" s="5">
        <v>10515</v>
      </c>
      <c r="D1223" s="5">
        <v>10524</v>
      </c>
      <c r="E1223" s="5">
        <v>417.44246551362318</v>
      </c>
      <c r="F1223" s="5">
        <v>2030</v>
      </c>
      <c r="G1223" s="5">
        <v>2030</v>
      </c>
      <c r="H1223" s="5">
        <v>79.948077594192256</v>
      </c>
      <c r="I1223" s="1">
        <f t="shared" si="38"/>
        <v>12554</v>
      </c>
      <c r="J1223" s="1">
        <f t="shared" si="39"/>
        <v>0.19106109963303761</v>
      </c>
      <c r="K1223" s="6" t="s">
        <v>1999</v>
      </c>
    </row>
    <row r="1224" spans="1:11">
      <c r="A1224" s="5" t="s">
        <v>1993</v>
      </c>
      <c r="B1224" s="5">
        <v>8.5801366012105973E-11</v>
      </c>
      <c r="C1224" s="5">
        <v>3931</v>
      </c>
      <c r="D1224" s="5">
        <v>3933</v>
      </c>
      <c r="E1224" s="5">
        <v>103.20128220213969</v>
      </c>
      <c r="F1224" s="5">
        <v>759</v>
      </c>
      <c r="G1224" s="5">
        <v>760</v>
      </c>
      <c r="H1224" s="5">
        <v>19.800262092958601</v>
      </c>
      <c r="I1224" s="1">
        <f t="shared" si="38"/>
        <v>4693</v>
      </c>
      <c r="J1224" s="1">
        <f t="shared" si="39"/>
        <v>0.19001937091856647</v>
      </c>
      <c r="K1224" s="6" t="s">
        <v>1994</v>
      </c>
    </row>
    <row r="1225" spans="1:11">
      <c r="A1225" s="5" t="s">
        <v>1980</v>
      </c>
      <c r="B1225" s="5">
        <v>4.9154966228204255E-3</v>
      </c>
      <c r="C1225" s="5">
        <v>3527</v>
      </c>
      <c r="D1225" s="5">
        <v>3528</v>
      </c>
      <c r="E1225" s="5">
        <v>37.98947026149493</v>
      </c>
      <c r="F1225" s="5">
        <v>692</v>
      </c>
      <c r="G1225" s="5">
        <v>692</v>
      </c>
      <c r="H1225" s="5">
        <v>7.3983854783889065</v>
      </c>
      <c r="I1225" s="1">
        <f t="shared" si="38"/>
        <v>4220</v>
      </c>
      <c r="J1225" s="1">
        <f t="shared" si="39"/>
        <v>0.18975342390571989</v>
      </c>
      <c r="K1225" s="6" t="s">
        <v>235</v>
      </c>
    </row>
    <row r="1226" spans="1:11">
      <c r="A1226" s="5" t="s">
        <v>767</v>
      </c>
      <c r="B1226" s="5">
        <v>2.257200369393253E-6</v>
      </c>
      <c r="C1226" s="5">
        <v>3903</v>
      </c>
      <c r="D1226" s="5">
        <v>3906</v>
      </c>
      <c r="E1226" s="5">
        <v>57.763608926139916</v>
      </c>
      <c r="F1226" s="5">
        <v>753</v>
      </c>
      <c r="G1226" s="5">
        <v>755</v>
      </c>
      <c r="H1226" s="5">
        <v>11.085753862807881</v>
      </c>
      <c r="I1226" s="1">
        <f t="shared" si="38"/>
        <v>4661</v>
      </c>
      <c r="J1226" s="1">
        <f t="shared" si="39"/>
        <v>0.18864998364449645</v>
      </c>
      <c r="K1226" s="6" t="s">
        <v>403</v>
      </c>
    </row>
    <row r="1227" spans="1:11">
      <c r="A1227" s="5" t="s">
        <v>696</v>
      </c>
      <c r="B1227" s="5">
        <v>7.6267880899649754E-11</v>
      </c>
      <c r="C1227" s="5">
        <v>2271</v>
      </c>
      <c r="D1227" s="5">
        <v>2274</v>
      </c>
      <c r="E1227" s="5">
        <v>99.003453937285244</v>
      </c>
      <c r="F1227" s="5">
        <v>436</v>
      </c>
      <c r="G1227" s="5">
        <v>436</v>
      </c>
      <c r="H1227" s="5">
        <v>18.847014948660121</v>
      </c>
      <c r="I1227" s="1">
        <f t="shared" si="38"/>
        <v>2710</v>
      </c>
      <c r="J1227" s="1">
        <f t="shared" si="39"/>
        <v>0.18846364007066768</v>
      </c>
      <c r="K1227" s="6" t="s">
        <v>697</v>
      </c>
    </row>
    <row r="1228" spans="1:11">
      <c r="A1228" s="5" t="s">
        <v>753</v>
      </c>
      <c r="B1228" s="5">
        <v>2.7027430293813381E-9</v>
      </c>
      <c r="C1228" s="5">
        <v>2520</v>
      </c>
      <c r="D1228" s="5">
        <v>2524</v>
      </c>
      <c r="E1228" s="5">
        <v>75.059930786158318</v>
      </c>
      <c r="F1228" s="5">
        <v>482</v>
      </c>
      <c r="G1228" s="5">
        <v>483</v>
      </c>
      <c r="H1228" s="5">
        <v>14.261399302217812</v>
      </c>
      <c r="I1228" s="1">
        <f t="shared" si="38"/>
        <v>3007</v>
      </c>
      <c r="J1228" s="1">
        <f t="shared" si="39"/>
        <v>0.18750213357823825</v>
      </c>
      <c r="K1228" s="6" t="s">
        <v>2</v>
      </c>
    </row>
    <row r="1229" spans="1:11">
      <c r="A1229" s="5" t="s">
        <v>940</v>
      </c>
      <c r="B1229" s="5">
        <v>0</v>
      </c>
      <c r="C1229" s="5">
        <v>2664</v>
      </c>
      <c r="D1229" s="5">
        <v>2689</v>
      </c>
      <c r="E1229" s="5">
        <v>155.34947796595691</v>
      </c>
      <c r="F1229" s="5">
        <v>509</v>
      </c>
      <c r="G1229" s="5">
        <v>511</v>
      </c>
      <c r="H1229" s="5">
        <v>29.311368546467239</v>
      </c>
      <c r="I1229" s="1">
        <f t="shared" si="38"/>
        <v>3200</v>
      </c>
      <c r="J1229" s="1">
        <f t="shared" si="39"/>
        <v>0.18747340207205176</v>
      </c>
      <c r="K1229" s="6" t="s">
        <v>204</v>
      </c>
    </row>
    <row r="1230" spans="1:11">
      <c r="A1230" s="5" t="s">
        <v>1912</v>
      </c>
      <c r="B1230" s="5">
        <v>2.5109960433145062E-6</v>
      </c>
      <c r="C1230" s="5">
        <v>4111</v>
      </c>
      <c r="D1230" s="5">
        <v>4114</v>
      </c>
      <c r="E1230" s="5">
        <v>57.173068685186784</v>
      </c>
      <c r="F1230" s="5">
        <v>785</v>
      </c>
      <c r="G1230" s="5">
        <v>787</v>
      </c>
      <c r="H1230" s="5">
        <v>10.859207904846029</v>
      </c>
      <c r="I1230" s="1">
        <f t="shared" si="38"/>
        <v>4901</v>
      </c>
      <c r="J1230" s="1">
        <f t="shared" si="39"/>
        <v>0.18667070777394321</v>
      </c>
      <c r="K1230" s="6" t="s">
        <v>62</v>
      </c>
    </row>
    <row r="1231" spans="1:11">
      <c r="A1231" s="5" t="s">
        <v>623</v>
      </c>
      <c r="B1231" s="5">
        <v>8.4612540418582682E-7</v>
      </c>
      <c r="C1231" s="5">
        <v>314</v>
      </c>
      <c r="D1231" s="5">
        <v>335</v>
      </c>
      <c r="E1231" s="5">
        <v>59.970976739686321</v>
      </c>
      <c r="F1231" s="5">
        <v>62</v>
      </c>
      <c r="G1231" s="5">
        <v>64</v>
      </c>
      <c r="H1231" s="5">
        <v>11.375552238447682</v>
      </c>
      <c r="I1231" s="1">
        <f t="shared" si="38"/>
        <v>399</v>
      </c>
      <c r="J1231" s="1">
        <f t="shared" si="39"/>
        <v>0.18657323281887456</v>
      </c>
      <c r="K1231" s="6" t="s">
        <v>624</v>
      </c>
    </row>
    <row r="1232" spans="1:11">
      <c r="A1232" s="5" t="s">
        <v>1959</v>
      </c>
      <c r="B1232" s="5">
        <v>1.4097765045351096E-4</v>
      </c>
      <c r="C1232" s="5">
        <v>1837</v>
      </c>
      <c r="D1232" s="5">
        <v>4983</v>
      </c>
      <c r="E1232" s="5">
        <v>46.707191549931622</v>
      </c>
      <c r="F1232" s="5">
        <v>382</v>
      </c>
      <c r="G1232" s="5">
        <v>954</v>
      </c>
      <c r="H1232" s="5">
        <v>8.8784559022607095</v>
      </c>
      <c r="I1232" s="1">
        <f t="shared" si="38"/>
        <v>5937</v>
      </c>
      <c r="J1232" s="1">
        <f t="shared" si="39"/>
        <v>0.18610309292611116</v>
      </c>
      <c r="K1232" s="6" t="s">
        <v>1960</v>
      </c>
    </row>
    <row r="1233" spans="1:11">
      <c r="A1233" s="5" t="s">
        <v>1894</v>
      </c>
      <c r="B1233" s="5">
        <v>5.5770887907868882E-10</v>
      </c>
      <c r="C1233" s="5">
        <v>894</v>
      </c>
      <c r="D1233" s="5">
        <v>901</v>
      </c>
      <c r="E1233" s="5">
        <v>78.579651803037891</v>
      </c>
      <c r="F1233" s="5">
        <v>171</v>
      </c>
      <c r="G1233" s="5">
        <v>171</v>
      </c>
      <c r="H1233" s="5">
        <v>14.807359464229375</v>
      </c>
      <c r="I1233" s="1">
        <f t="shared" si="38"/>
        <v>1072</v>
      </c>
      <c r="J1233" s="1">
        <f t="shared" si="39"/>
        <v>0.18606966892589641</v>
      </c>
      <c r="K1233" s="6" t="s">
        <v>2</v>
      </c>
    </row>
    <row r="1234" spans="1:11">
      <c r="A1234" s="5" t="s">
        <v>2068</v>
      </c>
      <c r="B1234" s="5">
        <v>7.6267880899649754E-11</v>
      </c>
      <c r="C1234" s="5">
        <v>1264</v>
      </c>
      <c r="D1234" s="5">
        <v>11290</v>
      </c>
      <c r="E1234" s="5">
        <v>93.947687035867361</v>
      </c>
      <c r="F1234" s="5">
        <v>341</v>
      </c>
      <c r="G1234" s="5">
        <v>2135</v>
      </c>
      <c r="H1234" s="5">
        <v>17.639498339167822</v>
      </c>
      <c r="I1234" s="1">
        <f t="shared" si="38"/>
        <v>13425</v>
      </c>
      <c r="J1234" s="1">
        <f t="shared" si="39"/>
        <v>0.18578123269610916</v>
      </c>
      <c r="K1234" s="6" t="s">
        <v>2069</v>
      </c>
    </row>
    <row r="1235" spans="1:11">
      <c r="A1235" s="5" t="s">
        <v>1804</v>
      </c>
      <c r="B1235" s="5">
        <v>7.1024464087798833E-10</v>
      </c>
      <c r="C1235" s="5">
        <v>10944</v>
      </c>
      <c r="D1235" s="5">
        <v>10944</v>
      </c>
      <c r="E1235" s="5">
        <v>399.72353062104503</v>
      </c>
      <c r="F1235" s="5">
        <v>2049</v>
      </c>
      <c r="G1235" s="5">
        <v>2049</v>
      </c>
      <c r="H1235" s="5">
        <v>74.305641643457506</v>
      </c>
      <c r="I1235" s="1">
        <f t="shared" si="38"/>
        <v>12993</v>
      </c>
      <c r="J1235" s="1">
        <f t="shared" si="39"/>
        <v>0.18542869576013651</v>
      </c>
      <c r="K1235" s="6" t="s">
        <v>1805</v>
      </c>
    </row>
    <row r="1236" spans="1:11">
      <c r="A1236" s="5" t="s">
        <v>1458</v>
      </c>
      <c r="B1236" s="5">
        <v>2.9691229036510336E-6</v>
      </c>
      <c r="C1236" s="5">
        <v>3889</v>
      </c>
      <c r="D1236" s="5">
        <v>3890</v>
      </c>
      <c r="E1236" s="5">
        <v>56.453156818534097</v>
      </c>
      <c r="F1236" s="5">
        <v>737</v>
      </c>
      <c r="G1236" s="5">
        <v>737</v>
      </c>
      <c r="H1236" s="5">
        <v>10.619457199665527</v>
      </c>
      <c r="I1236" s="1">
        <f t="shared" si="38"/>
        <v>4627</v>
      </c>
      <c r="J1236" s="1">
        <f t="shared" si="39"/>
        <v>0.18483679205316955</v>
      </c>
      <c r="K1236" s="6" t="s">
        <v>1312</v>
      </c>
    </row>
    <row r="1237" spans="1:11">
      <c r="A1237" s="5" t="s">
        <v>216</v>
      </c>
      <c r="B1237" s="5">
        <v>0</v>
      </c>
      <c r="C1237" s="5">
        <v>5082</v>
      </c>
      <c r="D1237" s="5">
        <v>5095</v>
      </c>
      <c r="E1237" s="5">
        <v>145.78188937420995</v>
      </c>
      <c r="F1237" s="5">
        <v>954</v>
      </c>
      <c r="G1237" s="5">
        <v>955</v>
      </c>
      <c r="H1237" s="5">
        <v>27.130572471954942</v>
      </c>
      <c r="I1237" s="1">
        <f t="shared" si="38"/>
        <v>6050</v>
      </c>
      <c r="J1237" s="1">
        <f t="shared" si="39"/>
        <v>0.18483596707756966</v>
      </c>
      <c r="K1237" s="6" t="s">
        <v>17</v>
      </c>
    </row>
    <row r="1238" spans="1:11">
      <c r="A1238" s="5" t="s">
        <v>1587</v>
      </c>
      <c r="B1238" s="5">
        <v>8.9582578824742853E-4</v>
      </c>
      <c r="C1238" s="5">
        <v>809</v>
      </c>
      <c r="D1238" s="5">
        <v>845</v>
      </c>
      <c r="E1238" s="5">
        <v>41.80554818152136</v>
      </c>
      <c r="F1238" s="5">
        <v>156</v>
      </c>
      <c r="G1238" s="5">
        <v>161</v>
      </c>
      <c r="H1238" s="5">
        <v>7.9085941585026047</v>
      </c>
      <c r="I1238" s="1">
        <f t="shared" si="38"/>
        <v>1006</v>
      </c>
      <c r="J1238" s="1">
        <f t="shared" si="39"/>
        <v>0.18475628731503196</v>
      </c>
      <c r="K1238" s="6" t="s">
        <v>931</v>
      </c>
    </row>
    <row r="1239" spans="1:11">
      <c r="A1239" s="5" t="s">
        <v>1598</v>
      </c>
      <c r="B1239" s="5">
        <v>0</v>
      </c>
      <c r="C1239" s="5">
        <v>13569</v>
      </c>
      <c r="D1239" s="5">
        <v>13569</v>
      </c>
      <c r="E1239" s="5">
        <v>755.05551917640116</v>
      </c>
      <c r="F1239" s="5">
        <v>2528</v>
      </c>
      <c r="G1239" s="5">
        <v>2528</v>
      </c>
      <c r="H1239" s="5">
        <v>139.67037963116542</v>
      </c>
      <c r="I1239" s="1">
        <f t="shared" si="38"/>
        <v>16097</v>
      </c>
      <c r="J1239" s="1">
        <f t="shared" si="39"/>
        <v>0.18473561278054482</v>
      </c>
      <c r="K1239" s="6" t="s">
        <v>524</v>
      </c>
    </row>
    <row r="1240" spans="1:11">
      <c r="A1240" s="5" t="s">
        <v>2270</v>
      </c>
      <c r="B1240" s="5">
        <v>3.0030478104237091E-9</v>
      </c>
      <c r="C1240" s="5">
        <v>20586</v>
      </c>
      <c r="D1240" s="5">
        <v>20586</v>
      </c>
      <c r="E1240" s="5">
        <v>74.016875504403359</v>
      </c>
      <c r="F1240" s="5">
        <v>3858</v>
      </c>
      <c r="G1240" s="5">
        <v>3858</v>
      </c>
      <c r="H1240" s="5">
        <v>13.772640231611589</v>
      </c>
      <c r="I1240" s="1">
        <f t="shared" si="38"/>
        <v>24444</v>
      </c>
      <c r="J1240" s="1">
        <f t="shared" si="39"/>
        <v>0.18359389322743999</v>
      </c>
      <c r="K1240" s="6" t="s">
        <v>2271</v>
      </c>
    </row>
    <row r="1241" spans="1:11">
      <c r="A1241" s="5" t="s">
        <v>636</v>
      </c>
      <c r="B1241" s="5">
        <v>6.1967653230965425E-10</v>
      </c>
      <c r="C1241" s="5">
        <v>9090</v>
      </c>
      <c r="D1241" s="5">
        <v>9100</v>
      </c>
      <c r="E1241" s="5">
        <v>454.34399576247637</v>
      </c>
      <c r="F1241" s="5">
        <v>1682</v>
      </c>
      <c r="G1241" s="5">
        <v>1685</v>
      </c>
      <c r="H1241" s="5">
        <v>83.529427732546452</v>
      </c>
      <c r="I1241" s="1">
        <f t="shared" si="38"/>
        <v>10785</v>
      </c>
      <c r="J1241" s="1">
        <f t="shared" si="39"/>
        <v>0.18344247098872118</v>
      </c>
      <c r="K1241" s="6" t="s">
        <v>637</v>
      </c>
    </row>
    <row r="1242" spans="1:11">
      <c r="A1242" s="5" t="s">
        <v>319</v>
      </c>
      <c r="B1242" s="5">
        <v>3.7850763337465843E-3</v>
      </c>
      <c r="C1242" s="5">
        <v>1540</v>
      </c>
      <c r="D1242" s="5">
        <v>1540</v>
      </c>
      <c r="E1242" s="5">
        <v>37.991383703131959</v>
      </c>
      <c r="F1242" s="5">
        <v>292</v>
      </c>
      <c r="G1242" s="5">
        <v>292</v>
      </c>
      <c r="H1242" s="5">
        <v>7.1522624454791188</v>
      </c>
      <c r="I1242" s="1">
        <f t="shared" si="38"/>
        <v>1832</v>
      </c>
      <c r="J1242" s="1">
        <f t="shared" si="39"/>
        <v>0.18343187048539183</v>
      </c>
      <c r="K1242" s="6" t="s">
        <v>320</v>
      </c>
    </row>
    <row r="1243" spans="1:11">
      <c r="A1243" s="5" t="s">
        <v>901</v>
      </c>
      <c r="B1243" s="5">
        <v>0</v>
      </c>
      <c r="C1243" s="5">
        <v>13234</v>
      </c>
      <c r="D1243" s="5">
        <v>13249</v>
      </c>
      <c r="E1243" s="5">
        <v>242.44433160076647</v>
      </c>
      <c r="F1243" s="5">
        <v>2454</v>
      </c>
      <c r="G1243" s="5">
        <v>2456</v>
      </c>
      <c r="H1243" s="5">
        <v>44.622458780676084</v>
      </c>
      <c r="I1243" s="1">
        <f t="shared" si="38"/>
        <v>15705</v>
      </c>
      <c r="J1243" s="1">
        <f t="shared" si="39"/>
        <v>0.18329635562784075</v>
      </c>
      <c r="K1243" s="6" t="s">
        <v>902</v>
      </c>
    </row>
    <row r="1244" spans="1:11">
      <c r="A1244" s="5" t="s">
        <v>1319</v>
      </c>
      <c r="B1244" s="5">
        <v>0</v>
      </c>
      <c r="C1244" s="5">
        <v>6650</v>
      </c>
      <c r="D1244" s="5">
        <v>6651</v>
      </c>
      <c r="E1244" s="5">
        <v>101.67328337571585</v>
      </c>
      <c r="F1244" s="5">
        <v>1238</v>
      </c>
      <c r="G1244" s="5">
        <v>1238</v>
      </c>
      <c r="H1244" s="5">
        <v>18.79043116241337</v>
      </c>
      <c r="I1244" s="1">
        <f t="shared" si="38"/>
        <v>7889</v>
      </c>
      <c r="J1244" s="1">
        <f t="shared" si="39"/>
        <v>0.18301188531833448</v>
      </c>
      <c r="K1244" s="6" t="s">
        <v>17</v>
      </c>
    </row>
    <row r="1245" spans="1:11">
      <c r="A1245" s="5" t="s">
        <v>1788</v>
      </c>
      <c r="B1245" s="5">
        <v>4.2424008750430175E-10</v>
      </c>
      <c r="C1245" s="5">
        <v>58313</v>
      </c>
      <c r="D1245" s="5">
        <v>58321</v>
      </c>
      <c r="E1245" s="5">
        <v>1206.8105892608987</v>
      </c>
      <c r="F1245" s="5">
        <v>10749</v>
      </c>
      <c r="G1245" s="5">
        <v>10749</v>
      </c>
      <c r="H1245" s="5">
        <v>220.84034308083733</v>
      </c>
      <c r="I1245" s="1">
        <f t="shared" si="38"/>
        <v>69070</v>
      </c>
      <c r="J1245" s="1">
        <f t="shared" si="39"/>
        <v>0.18284352285400743</v>
      </c>
      <c r="K1245" s="6" t="s">
        <v>2</v>
      </c>
    </row>
    <row r="1246" spans="1:11">
      <c r="A1246" s="5" t="s">
        <v>2128</v>
      </c>
      <c r="B1246" s="5">
        <v>3.3220873197348233E-5</v>
      </c>
      <c r="C1246" s="5">
        <v>3088</v>
      </c>
      <c r="D1246" s="5">
        <v>3088</v>
      </c>
      <c r="E1246" s="5">
        <v>49.926724981451045</v>
      </c>
      <c r="F1246" s="5">
        <v>579</v>
      </c>
      <c r="G1246" s="5">
        <v>579</v>
      </c>
      <c r="H1246" s="5">
        <v>9.2945967153270175</v>
      </c>
      <c r="I1246" s="1">
        <f t="shared" si="38"/>
        <v>3667</v>
      </c>
      <c r="J1246" s="1">
        <f t="shared" si="39"/>
        <v>0.18250921728645172</v>
      </c>
      <c r="K1246" s="6" t="s">
        <v>333</v>
      </c>
    </row>
    <row r="1247" spans="1:11">
      <c r="A1247" s="5" t="s">
        <v>1634</v>
      </c>
      <c r="B1247" s="5">
        <v>3.6806447788967356E-3</v>
      </c>
      <c r="C1247" s="5">
        <v>348</v>
      </c>
      <c r="D1247" s="5">
        <v>351</v>
      </c>
      <c r="E1247" s="5">
        <v>37.900634340390248</v>
      </c>
      <c r="F1247" s="5">
        <v>65</v>
      </c>
      <c r="G1247" s="5">
        <v>66</v>
      </c>
      <c r="H1247" s="5">
        <v>7.0758643387963263</v>
      </c>
      <c r="I1247" s="1">
        <f t="shared" si="38"/>
        <v>417</v>
      </c>
      <c r="J1247" s="1">
        <f t="shared" si="39"/>
        <v>0.18189586002327748</v>
      </c>
      <c r="K1247" s="6" t="s">
        <v>8</v>
      </c>
    </row>
    <row r="1248" spans="1:11">
      <c r="A1248" s="5" t="s">
        <v>1955</v>
      </c>
      <c r="B1248" s="5">
        <v>3.5019098235763435E-2</v>
      </c>
      <c r="C1248" s="5">
        <v>1666</v>
      </c>
      <c r="D1248" s="5">
        <v>1667</v>
      </c>
      <c r="E1248" s="5">
        <v>32.124827639864442</v>
      </c>
      <c r="F1248" s="5">
        <v>313</v>
      </c>
      <c r="G1248" s="5">
        <v>313</v>
      </c>
      <c r="H1248" s="5">
        <v>5.9888818309178795</v>
      </c>
      <c r="I1248" s="1">
        <f t="shared" si="38"/>
        <v>1980</v>
      </c>
      <c r="J1248" s="1">
        <f t="shared" si="39"/>
        <v>0.18079737337894833</v>
      </c>
      <c r="K1248" s="6" t="s">
        <v>403</v>
      </c>
    </row>
    <row r="1249" spans="1:11">
      <c r="A1249" s="5" t="s">
        <v>1161</v>
      </c>
      <c r="B1249" s="5">
        <v>2.1450341503026493E-10</v>
      </c>
      <c r="C1249" s="5">
        <v>2264</v>
      </c>
      <c r="D1249" s="5">
        <v>2264</v>
      </c>
      <c r="E1249" s="5">
        <v>79.799289627541469</v>
      </c>
      <c r="F1249" s="5">
        <v>417</v>
      </c>
      <c r="G1249" s="5">
        <v>417</v>
      </c>
      <c r="H1249" s="5">
        <v>14.593345269627751</v>
      </c>
      <c r="I1249" s="1">
        <f t="shared" si="38"/>
        <v>2681</v>
      </c>
      <c r="J1249" s="1">
        <f t="shared" si="39"/>
        <v>0.18061229667857653</v>
      </c>
      <c r="K1249" s="6" t="s">
        <v>1162</v>
      </c>
    </row>
    <row r="1250" spans="1:11">
      <c r="A1250" s="5" t="s">
        <v>493</v>
      </c>
      <c r="B1250" s="5">
        <v>1.4300227668684329E-10</v>
      </c>
      <c r="C1250" s="5">
        <v>8651</v>
      </c>
      <c r="D1250" s="5">
        <v>8687</v>
      </c>
      <c r="E1250" s="5">
        <v>120.29488738068979</v>
      </c>
      <c r="F1250" s="5">
        <v>1587</v>
      </c>
      <c r="G1250" s="5">
        <v>1591</v>
      </c>
      <c r="H1250" s="5">
        <v>21.874781718577289</v>
      </c>
      <c r="I1250" s="1">
        <f t="shared" si="38"/>
        <v>10278</v>
      </c>
      <c r="J1250" s="1">
        <f t="shared" si="39"/>
        <v>0.18034380665956878</v>
      </c>
      <c r="K1250" s="6" t="s">
        <v>312</v>
      </c>
    </row>
    <row r="1251" spans="1:11">
      <c r="A1251" s="5" t="s">
        <v>2066</v>
      </c>
      <c r="B1251" s="5">
        <v>4.0584522797981748E-7</v>
      </c>
      <c r="C1251" s="5">
        <v>8260</v>
      </c>
      <c r="D1251" s="5">
        <v>8260</v>
      </c>
      <c r="E1251" s="5">
        <v>60.778929083256756</v>
      </c>
      <c r="F1251" s="5">
        <v>1523</v>
      </c>
      <c r="G1251" s="5">
        <v>1523</v>
      </c>
      <c r="H1251" s="5">
        <v>11.126769710788285</v>
      </c>
      <c r="I1251" s="1">
        <f t="shared" si="38"/>
        <v>9783</v>
      </c>
      <c r="J1251" s="1">
        <f t="shared" si="39"/>
        <v>0.18010622514665517</v>
      </c>
      <c r="K1251" s="6" t="s">
        <v>2067</v>
      </c>
    </row>
    <row r="1252" spans="1:11">
      <c r="A1252" s="5" t="s">
        <v>2196</v>
      </c>
      <c r="B1252" s="5">
        <v>1.4300227668684329E-11</v>
      </c>
      <c r="C1252" s="5">
        <v>9558</v>
      </c>
      <c r="D1252" s="5">
        <v>9573</v>
      </c>
      <c r="E1252" s="5">
        <v>164.34583242150876</v>
      </c>
      <c r="F1252" s="5">
        <v>1742</v>
      </c>
      <c r="G1252" s="5">
        <v>1747</v>
      </c>
      <c r="H1252" s="5">
        <v>29.778289073406462</v>
      </c>
      <c r="I1252" s="1">
        <f t="shared" si="38"/>
        <v>11320</v>
      </c>
      <c r="J1252" s="1">
        <f t="shared" si="39"/>
        <v>0.1800970041838974</v>
      </c>
      <c r="K1252" s="6" t="s">
        <v>720</v>
      </c>
    </row>
    <row r="1253" spans="1:11">
      <c r="A1253" s="5" t="s">
        <v>307</v>
      </c>
      <c r="B1253" s="5">
        <v>8.2941320478369107E-10</v>
      </c>
      <c r="C1253" s="5">
        <v>35400</v>
      </c>
      <c r="D1253" s="5">
        <v>35400</v>
      </c>
      <c r="E1253" s="5">
        <v>430.79570613956713</v>
      </c>
      <c r="F1253" s="5">
        <v>6395</v>
      </c>
      <c r="G1253" s="5">
        <v>6395</v>
      </c>
      <c r="H1253" s="5">
        <v>77.268921888002325</v>
      </c>
      <c r="I1253" s="1">
        <f t="shared" si="38"/>
        <v>41795</v>
      </c>
      <c r="J1253" s="1">
        <f t="shared" si="39"/>
        <v>0.17894786999810294</v>
      </c>
      <c r="K1253" s="6" t="s">
        <v>20</v>
      </c>
    </row>
    <row r="1254" spans="1:11">
      <c r="A1254" s="5" t="s">
        <v>1054</v>
      </c>
      <c r="B1254" s="5">
        <v>1.9287422463151738E-2</v>
      </c>
      <c r="C1254" s="5">
        <v>2439</v>
      </c>
      <c r="D1254" s="5">
        <v>2441</v>
      </c>
      <c r="E1254" s="5">
        <v>33.444787304683977</v>
      </c>
      <c r="F1254" s="5">
        <v>453</v>
      </c>
      <c r="G1254" s="5">
        <v>453</v>
      </c>
      <c r="H1254" s="5">
        <v>6.1624734463947135</v>
      </c>
      <c r="I1254" s="1">
        <f t="shared" si="38"/>
        <v>2894</v>
      </c>
      <c r="J1254" s="1">
        <f t="shared" si="39"/>
        <v>0.1789087385526317</v>
      </c>
      <c r="K1254" s="6" t="s">
        <v>551</v>
      </c>
    </row>
    <row r="1255" spans="1:11">
      <c r="A1255" s="5" t="s">
        <v>1337</v>
      </c>
      <c r="B1255" s="5">
        <v>5.4819967956620808E-3</v>
      </c>
      <c r="C1255" s="5">
        <v>331</v>
      </c>
      <c r="D1255" s="5">
        <v>3134</v>
      </c>
      <c r="E1255" s="5">
        <v>36.490530974818967</v>
      </c>
      <c r="F1255" s="5">
        <v>74</v>
      </c>
      <c r="G1255" s="5">
        <v>577</v>
      </c>
      <c r="H1255" s="5">
        <v>6.6704203674637323</v>
      </c>
      <c r="I1255" s="1">
        <f t="shared" si="38"/>
        <v>3711</v>
      </c>
      <c r="J1255" s="1">
        <f t="shared" si="39"/>
        <v>0.17792280327915366</v>
      </c>
      <c r="K1255" s="6" t="s">
        <v>126</v>
      </c>
    </row>
    <row r="1256" spans="1:11">
      <c r="A1256" s="5" t="s">
        <v>892</v>
      </c>
      <c r="B1256" s="5">
        <v>0</v>
      </c>
      <c r="C1256" s="5">
        <v>32475</v>
      </c>
      <c r="D1256" s="5">
        <v>32488</v>
      </c>
      <c r="E1256" s="5">
        <v>559.15345102283129</v>
      </c>
      <c r="F1256" s="5">
        <v>5783</v>
      </c>
      <c r="G1256" s="5">
        <v>5784</v>
      </c>
      <c r="H1256" s="5">
        <v>98.839950094595707</v>
      </c>
      <c r="I1256" s="1">
        <f t="shared" si="38"/>
        <v>38272</v>
      </c>
      <c r="J1256" s="1">
        <f t="shared" si="39"/>
        <v>0.17645155968264684</v>
      </c>
      <c r="K1256" s="6" t="s">
        <v>314</v>
      </c>
    </row>
    <row r="1257" spans="1:11">
      <c r="A1257" s="5" t="s">
        <v>1962</v>
      </c>
      <c r="B1257" s="5">
        <v>4.9416197829843522E-3</v>
      </c>
      <c r="C1257" s="5">
        <v>3084</v>
      </c>
      <c r="D1257" s="5">
        <v>3084</v>
      </c>
      <c r="E1257" s="5">
        <v>36.470158755517431</v>
      </c>
      <c r="F1257" s="5">
        <v>559</v>
      </c>
      <c r="G1257" s="5">
        <v>559</v>
      </c>
      <c r="H1257" s="5">
        <v>6.5634365669574555</v>
      </c>
      <c r="I1257" s="1">
        <f t="shared" si="38"/>
        <v>3643</v>
      </c>
      <c r="J1257" s="1">
        <f t="shared" si="39"/>
        <v>0.17516436505599267</v>
      </c>
      <c r="K1257" s="6" t="s">
        <v>112</v>
      </c>
    </row>
    <row r="1258" spans="1:11">
      <c r="A1258" s="5" t="s">
        <v>2217</v>
      </c>
      <c r="B1258" s="5">
        <v>2.1704451252848034E-2</v>
      </c>
      <c r="C1258" s="5">
        <v>3505</v>
      </c>
      <c r="D1258" s="5">
        <v>3506</v>
      </c>
      <c r="E1258" s="5">
        <v>32.772502813619688</v>
      </c>
      <c r="F1258" s="5">
        <v>635</v>
      </c>
      <c r="G1258" s="5">
        <v>636</v>
      </c>
      <c r="H1258" s="5">
        <v>5.9027041072398569</v>
      </c>
      <c r="I1258" s="1">
        <f t="shared" si="38"/>
        <v>4142</v>
      </c>
      <c r="J1258" s="1">
        <f t="shared" si="39"/>
        <v>0.17477840300480868</v>
      </c>
      <c r="K1258" s="6" t="s">
        <v>1318</v>
      </c>
    </row>
    <row r="1259" spans="1:11">
      <c r="A1259" s="5" t="s">
        <v>1762</v>
      </c>
      <c r="B1259" s="5">
        <v>1.8590295969289627E-10</v>
      </c>
      <c r="C1259" s="5">
        <v>10041</v>
      </c>
      <c r="D1259" s="5">
        <v>10041</v>
      </c>
      <c r="E1259" s="5">
        <v>103.65051499486437</v>
      </c>
      <c r="F1259" s="5">
        <v>1784</v>
      </c>
      <c r="G1259" s="5">
        <v>1784</v>
      </c>
      <c r="H1259" s="5">
        <v>18.284603503149786</v>
      </c>
      <c r="I1259" s="1">
        <f t="shared" si="38"/>
        <v>11825</v>
      </c>
      <c r="J1259" s="1">
        <f t="shared" si="39"/>
        <v>0.17472062611490338</v>
      </c>
      <c r="K1259" s="6" t="s">
        <v>880</v>
      </c>
    </row>
    <row r="1260" spans="1:11">
      <c r="A1260" s="5" t="s">
        <v>914</v>
      </c>
      <c r="B1260" s="5">
        <v>4.2529820453619527E-2</v>
      </c>
      <c r="C1260" s="5">
        <v>649</v>
      </c>
      <c r="D1260" s="5">
        <v>651</v>
      </c>
      <c r="E1260" s="5">
        <v>31.077497200028493</v>
      </c>
      <c r="F1260" s="5">
        <v>118</v>
      </c>
      <c r="G1260" s="5">
        <v>118</v>
      </c>
      <c r="H1260" s="5">
        <v>5.5929798505701109</v>
      </c>
      <c r="I1260" s="1">
        <f t="shared" si="38"/>
        <v>769</v>
      </c>
      <c r="J1260" s="1">
        <f t="shared" si="39"/>
        <v>0.17435836142992925</v>
      </c>
      <c r="K1260" s="6" t="s">
        <v>2</v>
      </c>
    </row>
    <row r="1261" spans="1:11">
      <c r="A1261" s="5" t="s">
        <v>1200</v>
      </c>
      <c r="B1261" s="5">
        <v>6.1967653230965425E-11</v>
      </c>
      <c r="C1261" s="5">
        <v>2774</v>
      </c>
      <c r="D1261" s="5">
        <v>2774</v>
      </c>
      <c r="E1261" s="5">
        <v>103.40070496968005</v>
      </c>
      <c r="F1261" s="5">
        <v>491</v>
      </c>
      <c r="G1261" s="5">
        <v>491</v>
      </c>
      <c r="H1261" s="5">
        <v>18.171665553506582</v>
      </c>
      <c r="I1261" s="1">
        <f t="shared" si="38"/>
        <v>3265</v>
      </c>
      <c r="J1261" s="1">
        <f t="shared" si="39"/>
        <v>0.1740569238376693</v>
      </c>
      <c r="K1261" s="6" t="s">
        <v>1201</v>
      </c>
    </row>
    <row r="1262" spans="1:11">
      <c r="A1262" s="5" t="s">
        <v>1625</v>
      </c>
      <c r="B1262" s="5">
        <v>1.4300227668684329E-10</v>
      </c>
      <c r="C1262" s="5">
        <v>1405</v>
      </c>
      <c r="D1262" s="5">
        <v>1405</v>
      </c>
      <c r="E1262" s="5">
        <v>129.59678009134743</v>
      </c>
      <c r="F1262" s="5">
        <v>242</v>
      </c>
      <c r="G1262" s="5">
        <v>242</v>
      </c>
      <c r="H1262" s="5">
        <v>22.163046267958663</v>
      </c>
      <c r="I1262" s="1">
        <f t="shared" si="38"/>
        <v>1647</v>
      </c>
      <c r="J1262" s="1">
        <f t="shared" si="39"/>
        <v>0.169705916581224</v>
      </c>
      <c r="K1262" s="6" t="s">
        <v>2</v>
      </c>
    </row>
    <row r="1263" spans="1:11">
      <c r="A1263" s="5" t="s">
        <v>1148</v>
      </c>
      <c r="B1263" s="5">
        <v>1.2769121359168523E-4</v>
      </c>
      <c r="C1263" s="5">
        <v>1241</v>
      </c>
      <c r="D1263" s="5">
        <v>1242</v>
      </c>
      <c r="E1263" s="5">
        <v>44.881413144734267</v>
      </c>
      <c r="F1263" s="5">
        <v>217</v>
      </c>
      <c r="G1263" s="5">
        <v>217</v>
      </c>
      <c r="H1263" s="5">
        <v>7.7857572840504305</v>
      </c>
      <c r="I1263" s="1">
        <f t="shared" si="38"/>
        <v>1459</v>
      </c>
      <c r="J1263" s="1">
        <f t="shared" si="39"/>
        <v>0.16969305761115139</v>
      </c>
      <c r="K1263" s="6" t="s">
        <v>1149</v>
      </c>
    </row>
    <row r="1264" spans="1:11">
      <c r="A1264" s="5" t="s">
        <v>1239</v>
      </c>
      <c r="B1264" s="5">
        <v>1.4300227668684329E-11</v>
      </c>
      <c r="C1264" s="5">
        <v>6626</v>
      </c>
      <c r="D1264" s="5">
        <v>6626</v>
      </c>
      <c r="E1264" s="5">
        <v>93.807584085807008</v>
      </c>
      <c r="F1264" s="5">
        <v>1141</v>
      </c>
      <c r="G1264" s="5">
        <v>1141</v>
      </c>
      <c r="H1264" s="5">
        <v>16.038670458982004</v>
      </c>
      <c r="I1264" s="1">
        <f t="shared" si="38"/>
        <v>7767</v>
      </c>
      <c r="J1264" s="1">
        <f t="shared" si="39"/>
        <v>0.16917075372858323</v>
      </c>
      <c r="K1264" s="6" t="s">
        <v>1240</v>
      </c>
    </row>
    <row r="1265" spans="1:11">
      <c r="A1265" s="5" t="s">
        <v>731</v>
      </c>
      <c r="B1265" s="5">
        <v>3.53393996829654E-3</v>
      </c>
      <c r="C1265" s="5">
        <v>447</v>
      </c>
      <c r="D1265" s="5">
        <v>447</v>
      </c>
      <c r="E1265" s="5">
        <v>36.636109005585752</v>
      </c>
      <c r="F1265" s="5">
        <v>78</v>
      </c>
      <c r="G1265" s="5">
        <v>78</v>
      </c>
      <c r="H1265" s="5">
        <v>6.347352566784437</v>
      </c>
      <c r="I1265" s="1">
        <f t="shared" si="38"/>
        <v>525</v>
      </c>
      <c r="J1265" s="1">
        <f t="shared" si="39"/>
        <v>0.16865060534930421</v>
      </c>
      <c r="K1265" s="6" t="s">
        <v>2</v>
      </c>
    </row>
    <row r="1266" spans="1:11">
      <c r="A1266" s="5" t="s">
        <v>1975</v>
      </c>
      <c r="B1266" s="5">
        <v>5.6118116979309018E-4</v>
      </c>
      <c r="C1266" s="5">
        <v>4131</v>
      </c>
      <c r="D1266" s="5">
        <v>4131</v>
      </c>
      <c r="E1266" s="5">
        <v>41.054583851999951</v>
      </c>
      <c r="F1266" s="5">
        <v>716</v>
      </c>
      <c r="G1266" s="5">
        <v>716</v>
      </c>
      <c r="H1266" s="5">
        <v>7.0650571882689128</v>
      </c>
      <c r="I1266" s="1">
        <f t="shared" si="38"/>
        <v>4847</v>
      </c>
      <c r="J1266" s="1">
        <f t="shared" si="39"/>
        <v>0.16799731542065721</v>
      </c>
      <c r="K1266" s="6" t="s">
        <v>17</v>
      </c>
    </row>
    <row r="1267" spans="1:11">
      <c r="A1267" s="5" t="s">
        <v>1910</v>
      </c>
      <c r="B1267" s="5">
        <v>1.2202860943943961E-9</v>
      </c>
      <c r="C1267" s="5">
        <v>18206</v>
      </c>
      <c r="D1267" s="5">
        <v>18307</v>
      </c>
      <c r="E1267" s="5">
        <v>688.04765407092646</v>
      </c>
      <c r="F1267" s="5">
        <v>3077</v>
      </c>
      <c r="G1267" s="5">
        <v>3089</v>
      </c>
      <c r="H1267" s="5">
        <v>115.26977493555472</v>
      </c>
      <c r="I1267" s="1">
        <f t="shared" si="38"/>
        <v>21396</v>
      </c>
      <c r="J1267" s="1">
        <f t="shared" si="39"/>
        <v>0.16728853839721444</v>
      </c>
      <c r="K1267" s="6" t="s">
        <v>2</v>
      </c>
    </row>
    <row r="1268" spans="1:11">
      <c r="A1268" s="5" t="s">
        <v>1976</v>
      </c>
      <c r="B1268" s="5">
        <v>1.5684837679219577E-5</v>
      </c>
      <c r="C1268" s="5">
        <v>3416</v>
      </c>
      <c r="D1268" s="5">
        <v>3416</v>
      </c>
      <c r="E1268" s="5">
        <v>49.706840441377295</v>
      </c>
      <c r="F1268" s="5">
        <v>587</v>
      </c>
      <c r="G1268" s="5">
        <v>587</v>
      </c>
      <c r="H1268" s="5">
        <v>8.4807175210833563</v>
      </c>
      <c r="I1268" s="1">
        <f t="shared" si="38"/>
        <v>4003</v>
      </c>
      <c r="J1268" s="1">
        <f t="shared" si="39"/>
        <v>0.16724996957536728</v>
      </c>
      <c r="K1268" s="6" t="s">
        <v>1977</v>
      </c>
    </row>
    <row r="1269" spans="1:11">
      <c r="A1269" s="5" t="s">
        <v>1803</v>
      </c>
      <c r="B1269" s="5">
        <v>4.1947334494807365E-10</v>
      </c>
      <c r="C1269" s="5">
        <v>3131</v>
      </c>
      <c r="D1269" s="5">
        <v>3455</v>
      </c>
      <c r="E1269" s="5">
        <v>598.80897698666547</v>
      </c>
      <c r="F1269" s="5">
        <v>563</v>
      </c>
      <c r="G1269" s="5">
        <v>577</v>
      </c>
      <c r="H1269" s="5">
        <v>99.291543941163965</v>
      </c>
      <c r="I1269" s="1">
        <f t="shared" si="38"/>
        <v>4032</v>
      </c>
      <c r="J1269" s="1">
        <f t="shared" si="39"/>
        <v>0.16553860937525006</v>
      </c>
      <c r="K1269" s="6" t="s">
        <v>665</v>
      </c>
    </row>
    <row r="1270" spans="1:11">
      <c r="A1270" s="5" t="s">
        <v>1878</v>
      </c>
      <c r="B1270" s="5">
        <v>0</v>
      </c>
      <c r="C1270" s="5">
        <v>368</v>
      </c>
      <c r="D1270" s="5">
        <v>1566</v>
      </c>
      <c r="E1270" s="5">
        <v>117.06586464901602</v>
      </c>
      <c r="F1270" s="5">
        <v>88</v>
      </c>
      <c r="G1270" s="5">
        <v>263</v>
      </c>
      <c r="H1270" s="5">
        <v>19.520478892693362</v>
      </c>
      <c r="I1270" s="1">
        <f t="shared" si="38"/>
        <v>1829</v>
      </c>
      <c r="J1270" s="1">
        <f t="shared" si="39"/>
        <v>0.16533550108427592</v>
      </c>
      <c r="K1270" s="6" t="s">
        <v>1879</v>
      </c>
    </row>
    <row r="1271" spans="1:11">
      <c r="A1271" s="5" t="s">
        <v>1010</v>
      </c>
      <c r="B1271" s="5">
        <v>1.2393530646193085E-10</v>
      </c>
      <c r="C1271" s="5">
        <v>9000</v>
      </c>
      <c r="D1271" s="5">
        <v>9000</v>
      </c>
      <c r="E1271" s="5">
        <v>158.61166224555504</v>
      </c>
      <c r="F1271" s="5">
        <v>1498</v>
      </c>
      <c r="G1271" s="5">
        <v>1498</v>
      </c>
      <c r="H1271" s="5">
        <v>26.212027834415313</v>
      </c>
      <c r="I1271" s="1">
        <f t="shared" si="38"/>
        <v>10498</v>
      </c>
      <c r="J1271" s="1">
        <f t="shared" si="39"/>
        <v>0.16422376326166782</v>
      </c>
      <c r="K1271" s="6" t="s">
        <v>442</v>
      </c>
    </row>
    <row r="1272" spans="1:11">
      <c r="A1272" s="5" t="s">
        <v>469</v>
      </c>
      <c r="B1272" s="5">
        <v>0</v>
      </c>
      <c r="C1272" s="5">
        <v>692</v>
      </c>
      <c r="D1272" s="5">
        <v>11181</v>
      </c>
      <c r="E1272" s="5">
        <v>194.77782907641901</v>
      </c>
      <c r="F1272" s="5">
        <v>122</v>
      </c>
      <c r="G1272" s="5">
        <v>1854</v>
      </c>
      <c r="H1272" s="5">
        <v>32.067477845035057</v>
      </c>
      <c r="I1272" s="1">
        <f t="shared" si="38"/>
        <v>13035</v>
      </c>
      <c r="J1272" s="1">
        <f t="shared" si="39"/>
        <v>0.1637952468689291</v>
      </c>
      <c r="K1272" s="6" t="s">
        <v>468</v>
      </c>
    </row>
    <row r="1273" spans="1:11">
      <c r="A1273" s="5" t="s">
        <v>1873</v>
      </c>
      <c r="B1273" s="5">
        <v>0</v>
      </c>
      <c r="C1273" s="5">
        <v>1671</v>
      </c>
      <c r="D1273" s="5">
        <v>1677</v>
      </c>
      <c r="E1273" s="5">
        <v>84.192553036586446</v>
      </c>
      <c r="F1273" s="5">
        <v>277</v>
      </c>
      <c r="G1273" s="5">
        <v>278</v>
      </c>
      <c r="H1273" s="5">
        <v>13.857395508182808</v>
      </c>
      <c r="I1273" s="1">
        <f t="shared" si="38"/>
        <v>1955</v>
      </c>
      <c r="J1273" s="1">
        <f t="shared" si="39"/>
        <v>0.16265970456633302</v>
      </c>
      <c r="K1273" s="6" t="s">
        <v>1874</v>
      </c>
    </row>
    <row r="1274" spans="1:11">
      <c r="A1274" s="5" t="s">
        <v>596</v>
      </c>
      <c r="B1274" s="5">
        <v>2.8600455337368658E-11</v>
      </c>
      <c r="C1274" s="5">
        <v>5955</v>
      </c>
      <c r="D1274" s="5">
        <v>5958</v>
      </c>
      <c r="E1274" s="5">
        <v>87.208940886350021</v>
      </c>
      <c r="F1274" s="5">
        <v>980</v>
      </c>
      <c r="G1274" s="5">
        <v>980</v>
      </c>
      <c r="H1274" s="5">
        <v>14.24238721623829</v>
      </c>
      <c r="I1274" s="1">
        <f t="shared" si="38"/>
        <v>6938</v>
      </c>
      <c r="J1274" s="1">
        <f t="shared" si="39"/>
        <v>0.16146194561601682</v>
      </c>
      <c r="K1274" s="6" t="s">
        <v>17</v>
      </c>
    </row>
    <row r="1275" spans="1:11">
      <c r="A1275" s="5" t="s">
        <v>467</v>
      </c>
      <c r="B1275" s="5">
        <v>4.3949366368423171E-9</v>
      </c>
      <c r="C1275" s="5">
        <v>285</v>
      </c>
      <c r="D1275" s="5">
        <v>4264</v>
      </c>
      <c r="E1275" s="5">
        <v>68.614119018754977</v>
      </c>
      <c r="F1275" s="5">
        <v>47</v>
      </c>
      <c r="G1275" s="5">
        <v>700</v>
      </c>
      <c r="H1275" s="5">
        <v>11.183829447912048</v>
      </c>
      <c r="I1275" s="1">
        <f t="shared" si="38"/>
        <v>4964</v>
      </c>
      <c r="J1275" s="1">
        <f t="shared" si="39"/>
        <v>0.16065461440227341</v>
      </c>
      <c r="K1275" s="6" t="s">
        <v>468</v>
      </c>
    </row>
    <row r="1276" spans="1:11">
      <c r="A1276" s="5" t="s">
        <v>1684</v>
      </c>
      <c r="B1276" s="5">
        <v>0</v>
      </c>
      <c r="C1276" s="5">
        <v>798</v>
      </c>
      <c r="D1276" s="5">
        <v>807</v>
      </c>
      <c r="E1276" s="5">
        <v>100.72956169788968</v>
      </c>
      <c r="F1276" s="5">
        <v>130</v>
      </c>
      <c r="G1276" s="5">
        <v>130</v>
      </c>
      <c r="H1276" s="5">
        <v>16.111017218443678</v>
      </c>
      <c r="I1276" s="1">
        <f t="shared" si="38"/>
        <v>937</v>
      </c>
      <c r="J1276" s="1">
        <f t="shared" si="39"/>
        <v>0.15837104721132295</v>
      </c>
      <c r="K1276" s="6" t="s">
        <v>2</v>
      </c>
    </row>
    <row r="1277" spans="1:11">
      <c r="A1277" s="5" t="s">
        <v>884</v>
      </c>
      <c r="B1277" s="5">
        <v>0</v>
      </c>
      <c r="C1277" s="5">
        <v>10400</v>
      </c>
      <c r="D1277" s="5">
        <v>10400</v>
      </c>
      <c r="E1277" s="5">
        <v>97.583242439625465</v>
      </c>
      <c r="F1277" s="5">
        <v>1675</v>
      </c>
      <c r="G1277" s="5">
        <v>1675</v>
      </c>
      <c r="H1277" s="5">
        <v>15.604609913301616</v>
      </c>
      <c r="I1277" s="1">
        <f t="shared" si="38"/>
        <v>12075</v>
      </c>
      <c r="J1277" s="1">
        <f t="shared" si="39"/>
        <v>0.15828866577256495</v>
      </c>
      <c r="K1277" s="6" t="s">
        <v>293</v>
      </c>
    </row>
    <row r="1278" spans="1:11">
      <c r="A1278" s="5" t="s">
        <v>2136</v>
      </c>
      <c r="B1278" s="5">
        <v>1.2870204901815896E-10</v>
      </c>
      <c r="C1278" s="5">
        <v>513</v>
      </c>
      <c r="D1278" s="5">
        <v>534</v>
      </c>
      <c r="E1278" s="5">
        <v>78.543351996883572</v>
      </c>
      <c r="F1278" s="5">
        <v>83</v>
      </c>
      <c r="G1278" s="5">
        <v>86</v>
      </c>
      <c r="H1278" s="5">
        <v>12.559224565961834</v>
      </c>
      <c r="I1278" s="1">
        <f t="shared" si="38"/>
        <v>620</v>
      </c>
      <c r="J1278" s="1">
        <f t="shared" si="39"/>
        <v>0.15789156793962986</v>
      </c>
      <c r="K1278" s="6" t="s">
        <v>2</v>
      </c>
    </row>
    <row r="1279" spans="1:11">
      <c r="A1279" s="5" t="s">
        <v>232</v>
      </c>
      <c r="B1279" s="5">
        <v>0</v>
      </c>
      <c r="C1279" s="5">
        <v>6409</v>
      </c>
      <c r="D1279" s="5">
        <v>6414</v>
      </c>
      <c r="E1279" s="5">
        <v>97.230922397819654</v>
      </c>
      <c r="F1279" s="5">
        <v>1012</v>
      </c>
      <c r="G1279" s="5">
        <v>1013</v>
      </c>
      <c r="H1279" s="5">
        <v>15.246883978649203</v>
      </c>
      <c r="I1279" s="1">
        <f t="shared" si="38"/>
        <v>7427</v>
      </c>
      <c r="J1279" s="1">
        <f t="shared" si="39"/>
        <v>0.15521470842859178</v>
      </c>
      <c r="K1279" s="6" t="s">
        <v>233</v>
      </c>
    </row>
    <row r="1280" spans="1:11">
      <c r="A1280" s="5" t="s">
        <v>2081</v>
      </c>
      <c r="B1280" s="5">
        <v>0</v>
      </c>
      <c r="C1280" s="5">
        <v>14610</v>
      </c>
      <c r="D1280" s="5">
        <v>14610</v>
      </c>
      <c r="E1280" s="5">
        <v>297.78913849931513</v>
      </c>
      <c r="F1280" s="5">
        <v>2286</v>
      </c>
      <c r="G1280" s="5">
        <v>2286</v>
      </c>
      <c r="H1280" s="5">
        <v>46.262709356248749</v>
      </c>
      <c r="I1280" s="1">
        <f t="shared" si="38"/>
        <v>16896</v>
      </c>
      <c r="J1280" s="1">
        <f t="shared" si="39"/>
        <v>0.15483397284320893</v>
      </c>
      <c r="K1280" s="6" t="s">
        <v>318</v>
      </c>
    </row>
    <row r="1281" spans="1:11">
      <c r="A1281" s="5" t="s">
        <v>867</v>
      </c>
      <c r="B1281" s="5">
        <v>3.1168429274540665E-2</v>
      </c>
      <c r="C1281" s="5">
        <v>359</v>
      </c>
      <c r="D1281" s="5">
        <v>361</v>
      </c>
      <c r="E1281" s="5">
        <v>30.132107276440507</v>
      </c>
      <c r="F1281" s="5">
        <v>58</v>
      </c>
      <c r="G1281" s="5">
        <v>58</v>
      </c>
      <c r="H1281" s="5">
        <v>4.8066942357244429</v>
      </c>
      <c r="I1281" s="1">
        <f t="shared" si="38"/>
        <v>419</v>
      </c>
      <c r="J1281" s="1">
        <f t="shared" si="39"/>
        <v>0.15439668741479479</v>
      </c>
      <c r="K1281" s="6" t="s">
        <v>2</v>
      </c>
    </row>
    <row r="1282" spans="1:11">
      <c r="A1282" s="5" t="s">
        <v>1920</v>
      </c>
      <c r="B1282" s="5">
        <v>1.1630851837196587E-9</v>
      </c>
      <c r="C1282" s="5">
        <v>24616</v>
      </c>
      <c r="D1282" s="5">
        <v>24728</v>
      </c>
      <c r="E1282" s="5">
        <v>979.42719393635502</v>
      </c>
      <c r="F1282" s="5">
        <v>3763</v>
      </c>
      <c r="G1282" s="5">
        <v>3777</v>
      </c>
      <c r="H1282" s="5">
        <v>148.53416217025492</v>
      </c>
      <c r="I1282" s="1">
        <f t="shared" ref="I1282:I1331" si="40">D1282+G1282</f>
        <v>28505</v>
      </c>
      <c r="J1282" s="1">
        <f t="shared" ref="J1282:J1331" si="41">H1282/(E1282+1)</f>
        <v>0.15149943115500436</v>
      </c>
      <c r="K1282" s="6" t="s">
        <v>2</v>
      </c>
    </row>
    <row r="1283" spans="1:11">
      <c r="A1283" s="5" t="s">
        <v>1790</v>
      </c>
      <c r="B1283" s="5">
        <v>0</v>
      </c>
      <c r="C1283" s="5">
        <v>15504</v>
      </c>
      <c r="D1283" s="5">
        <v>15580</v>
      </c>
      <c r="E1283" s="5">
        <v>1656.0269155300321</v>
      </c>
      <c r="F1283" s="5">
        <v>2364</v>
      </c>
      <c r="G1283" s="5">
        <v>2371</v>
      </c>
      <c r="H1283" s="5">
        <v>250.22326796378402</v>
      </c>
      <c r="I1283" s="1">
        <f t="shared" si="40"/>
        <v>17951</v>
      </c>
      <c r="J1283" s="1">
        <f t="shared" si="41"/>
        <v>0.15100736482831678</v>
      </c>
      <c r="K1283" s="6" t="s">
        <v>2</v>
      </c>
    </row>
    <row r="1284" spans="1:11">
      <c r="A1284" s="5" t="s">
        <v>2225</v>
      </c>
      <c r="B1284" s="5">
        <v>0</v>
      </c>
      <c r="C1284" s="5">
        <v>5267</v>
      </c>
      <c r="D1284" s="5">
        <v>5454</v>
      </c>
      <c r="E1284" s="5">
        <v>140.0068135314387</v>
      </c>
      <c r="F1284" s="5">
        <v>814</v>
      </c>
      <c r="G1284" s="5">
        <v>831</v>
      </c>
      <c r="H1284" s="5">
        <v>21.180258760949346</v>
      </c>
      <c r="I1284" s="1">
        <f t="shared" si="40"/>
        <v>6285</v>
      </c>
      <c r="J1284" s="1">
        <f t="shared" si="41"/>
        <v>0.15020734268438046</v>
      </c>
      <c r="K1284" s="6" t="s">
        <v>17</v>
      </c>
    </row>
    <row r="1285" spans="1:11">
      <c r="A1285" s="5" t="s">
        <v>2198</v>
      </c>
      <c r="B1285" s="5">
        <v>0</v>
      </c>
      <c r="C1285" s="5">
        <v>18534</v>
      </c>
      <c r="D1285" s="5">
        <v>18540</v>
      </c>
      <c r="E1285" s="5">
        <v>169.23401456045025</v>
      </c>
      <c r="F1285" s="5">
        <v>2785</v>
      </c>
      <c r="G1285" s="5">
        <v>2785</v>
      </c>
      <c r="H1285" s="5">
        <v>25.240579784361756</v>
      </c>
      <c r="I1285" s="1">
        <f t="shared" si="40"/>
        <v>21325</v>
      </c>
      <c r="J1285" s="1">
        <f t="shared" si="41"/>
        <v>0.14826989688009035</v>
      </c>
      <c r="K1285" s="6" t="s">
        <v>148</v>
      </c>
    </row>
    <row r="1286" spans="1:11">
      <c r="A1286" s="5" t="s">
        <v>555</v>
      </c>
      <c r="B1286" s="5">
        <v>6.9218902565448825E-4</v>
      </c>
      <c r="C1286" s="5">
        <v>3361</v>
      </c>
      <c r="D1286" s="5">
        <v>3361</v>
      </c>
      <c r="E1286" s="5">
        <v>38.249771005645584</v>
      </c>
      <c r="F1286" s="5">
        <v>510</v>
      </c>
      <c r="G1286" s="5">
        <v>510</v>
      </c>
      <c r="H1286" s="5">
        <v>5.762709179765686</v>
      </c>
      <c r="I1286" s="1">
        <f t="shared" si="40"/>
        <v>3871</v>
      </c>
      <c r="J1286" s="1">
        <f t="shared" si="41"/>
        <v>0.14682147263831916</v>
      </c>
      <c r="K1286" s="6" t="s">
        <v>12</v>
      </c>
    </row>
    <row r="1287" spans="1:11">
      <c r="A1287" s="5" t="s">
        <v>719</v>
      </c>
      <c r="B1287" s="5">
        <v>1.9829649033908936E-5</v>
      </c>
      <c r="C1287" s="5">
        <v>3306</v>
      </c>
      <c r="D1287" s="5">
        <v>3306</v>
      </c>
      <c r="E1287" s="5">
        <v>46.442237131451549</v>
      </c>
      <c r="F1287" s="5">
        <v>499</v>
      </c>
      <c r="G1287" s="5">
        <v>499</v>
      </c>
      <c r="H1287" s="5">
        <v>6.9599645568354722</v>
      </c>
      <c r="I1287" s="1">
        <f t="shared" si="40"/>
        <v>3805</v>
      </c>
      <c r="J1287" s="1">
        <f t="shared" si="41"/>
        <v>0.14670397050524847</v>
      </c>
      <c r="K1287" s="6" t="s">
        <v>9</v>
      </c>
    </row>
    <row r="1288" spans="1:11">
      <c r="A1288" s="5" t="s">
        <v>125</v>
      </c>
      <c r="B1288" s="5">
        <v>5.8504614763865703E-7</v>
      </c>
      <c r="C1288" s="5">
        <v>3478</v>
      </c>
      <c r="D1288" s="5">
        <v>3478</v>
      </c>
      <c r="E1288" s="5">
        <v>54.515469907310703</v>
      </c>
      <c r="F1288" s="5">
        <v>521</v>
      </c>
      <c r="G1288" s="5">
        <v>521</v>
      </c>
      <c r="H1288" s="5">
        <v>8.1081935201896318</v>
      </c>
      <c r="I1288" s="1">
        <f t="shared" si="40"/>
        <v>3999</v>
      </c>
      <c r="J1288" s="1">
        <f t="shared" si="41"/>
        <v>0.14605286659245018</v>
      </c>
      <c r="K1288" s="6" t="s">
        <v>126</v>
      </c>
    </row>
    <row r="1289" spans="1:11">
      <c r="A1289" s="5" t="s">
        <v>1431</v>
      </c>
      <c r="B1289" s="5">
        <v>0</v>
      </c>
      <c r="C1289" s="5">
        <v>7263</v>
      </c>
      <c r="D1289" s="5">
        <v>7263</v>
      </c>
      <c r="E1289" s="5">
        <v>292.78725933519934</v>
      </c>
      <c r="F1289" s="5">
        <v>1065</v>
      </c>
      <c r="G1289" s="5">
        <v>1065</v>
      </c>
      <c r="H1289" s="5">
        <v>42.626722137960897</v>
      </c>
      <c r="I1289" s="1">
        <f t="shared" si="40"/>
        <v>8328</v>
      </c>
      <c r="J1289" s="1">
        <f t="shared" si="41"/>
        <v>0.1450938418310562</v>
      </c>
      <c r="K1289" s="6" t="s">
        <v>1432</v>
      </c>
    </row>
    <row r="1290" spans="1:11">
      <c r="A1290" s="5" t="s">
        <v>1325</v>
      </c>
      <c r="B1290" s="5">
        <v>0</v>
      </c>
      <c r="C1290" s="5">
        <v>14524</v>
      </c>
      <c r="D1290" s="5">
        <v>14543</v>
      </c>
      <c r="E1290" s="5">
        <v>200.46878531089121</v>
      </c>
      <c r="F1290" s="5">
        <v>2129</v>
      </c>
      <c r="G1290" s="5">
        <v>2130</v>
      </c>
      <c r="H1290" s="5">
        <v>29.152013620186025</v>
      </c>
      <c r="I1290" s="1">
        <f t="shared" si="40"/>
        <v>16673</v>
      </c>
      <c r="J1290" s="1">
        <f t="shared" si="41"/>
        <v>0.1446974208694457</v>
      </c>
      <c r="K1290" s="6" t="s">
        <v>286</v>
      </c>
    </row>
    <row r="1291" spans="1:11">
      <c r="A1291" s="5" t="s">
        <v>2173</v>
      </c>
      <c r="B1291" s="5">
        <v>2.1942203143842098E-2</v>
      </c>
      <c r="C1291" s="5">
        <v>2265</v>
      </c>
      <c r="D1291" s="5">
        <v>2265</v>
      </c>
      <c r="E1291" s="5">
        <v>29.991368517905663</v>
      </c>
      <c r="F1291" s="5">
        <v>336</v>
      </c>
      <c r="G1291" s="5">
        <v>337</v>
      </c>
      <c r="H1291" s="5">
        <v>4.4305146583199821</v>
      </c>
      <c r="I1291" s="1">
        <f t="shared" si="40"/>
        <v>2602</v>
      </c>
      <c r="J1291" s="1">
        <f t="shared" si="41"/>
        <v>0.14295963263965564</v>
      </c>
      <c r="K1291" s="6" t="s">
        <v>2174</v>
      </c>
    </row>
    <row r="1292" spans="1:11">
      <c r="A1292" s="5" t="s">
        <v>1578</v>
      </c>
      <c r="B1292" s="5">
        <v>0</v>
      </c>
      <c r="C1292" s="5">
        <v>1302</v>
      </c>
      <c r="D1292" s="5">
        <v>1304</v>
      </c>
      <c r="E1292" s="5">
        <v>148.46346540460559</v>
      </c>
      <c r="F1292" s="5">
        <v>189</v>
      </c>
      <c r="G1292" s="5">
        <v>189</v>
      </c>
      <c r="H1292" s="5">
        <v>21.364857786749806</v>
      </c>
      <c r="I1292" s="1">
        <f t="shared" si="40"/>
        <v>1493</v>
      </c>
      <c r="J1292" s="1">
        <f t="shared" si="41"/>
        <v>0.14294368010880781</v>
      </c>
      <c r="K1292" s="6" t="s">
        <v>2</v>
      </c>
    </row>
    <row r="1293" spans="1:11">
      <c r="A1293" s="5" t="s">
        <v>1778</v>
      </c>
      <c r="B1293" s="5">
        <v>4.957412258477234E-10</v>
      </c>
      <c r="C1293" s="5">
        <v>16453</v>
      </c>
      <c r="D1293" s="5">
        <v>16475</v>
      </c>
      <c r="E1293" s="5">
        <v>406.80261113178881</v>
      </c>
      <c r="F1293" s="5">
        <v>2369</v>
      </c>
      <c r="G1293" s="5">
        <v>2370</v>
      </c>
      <c r="H1293" s="5">
        <v>58.103575011036654</v>
      </c>
      <c r="I1293" s="1">
        <f t="shared" si="40"/>
        <v>18845</v>
      </c>
      <c r="J1293" s="1">
        <f t="shared" si="41"/>
        <v>0.1424796541880391</v>
      </c>
      <c r="K1293" s="6" t="s">
        <v>18</v>
      </c>
    </row>
    <row r="1294" spans="1:11">
      <c r="A1294" s="5" t="s">
        <v>1024</v>
      </c>
      <c r="B1294" s="5">
        <v>5.7200910674737315E-11</v>
      </c>
      <c r="C1294" s="5">
        <v>3570</v>
      </c>
      <c r="D1294" s="5">
        <v>3570</v>
      </c>
      <c r="E1294" s="5">
        <v>104.22987258350966</v>
      </c>
      <c r="F1294" s="5">
        <v>510</v>
      </c>
      <c r="G1294" s="5">
        <v>510</v>
      </c>
      <c r="H1294" s="5">
        <v>14.783945975128493</v>
      </c>
      <c r="I1294" s="1">
        <f t="shared" si="40"/>
        <v>4080</v>
      </c>
      <c r="J1294" s="1">
        <f t="shared" si="41"/>
        <v>0.14049191177529993</v>
      </c>
      <c r="K1294" s="6" t="s">
        <v>1025</v>
      </c>
    </row>
    <row r="1295" spans="1:11">
      <c r="A1295" s="5" t="s">
        <v>501</v>
      </c>
      <c r="B1295" s="5">
        <v>2.0667231482085491E-4</v>
      </c>
      <c r="C1295" s="5">
        <v>2821</v>
      </c>
      <c r="D1295" s="5">
        <v>2823</v>
      </c>
      <c r="E1295" s="5">
        <v>40.280985583502165</v>
      </c>
      <c r="F1295" s="5">
        <v>408</v>
      </c>
      <c r="G1295" s="5">
        <v>408</v>
      </c>
      <c r="H1295" s="5">
        <v>5.7802360351629805</v>
      </c>
      <c r="I1295" s="1">
        <f t="shared" si="40"/>
        <v>3231</v>
      </c>
      <c r="J1295" s="1">
        <f t="shared" si="41"/>
        <v>0.14002175465192954</v>
      </c>
      <c r="K1295" s="6" t="s">
        <v>502</v>
      </c>
    </row>
    <row r="1296" spans="1:11">
      <c r="A1296" s="5" t="s">
        <v>1821</v>
      </c>
      <c r="B1296" s="5">
        <v>0</v>
      </c>
      <c r="C1296" s="5">
        <v>4603</v>
      </c>
      <c r="D1296" s="5">
        <v>4603</v>
      </c>
      <c r="E1296" s="5">
        <v>79.574908877054327</v>
      </c>
      <c r="F1296" s="5">
        <v>651</v>
      </c>
      <c r="G1296" s="5">
        <v>652</v>
      </c>
      <c r="H1296" s="5">
        <v>11.191259619591001</v>
      </c>
      <c r="I1296" s="1">
        <f t="shared" si="40"/>
        <v>5255</v>
      </c>
      <c r="J1296" s="1">
        <f t="shared" si="41"/>
        <v>0.13889261279422913</v>
      </c>
      <c r="K1296" s="6" t="s">
        <v>1822</v>
      </c>
    </row>
    <row r="1297" spans="1:11">
      <c r="A1297" s="5" t="s">
        <v>2012</v>
      </c>
      <c r="B1297" s="5">
        <v>4.7667425562281096E-12</v>
      </c>
      <c r="C1297" s="5">
        <v>29612</v>
      </c>
      <c r="D1297" s="5">
        <v>29621</v>
      </c>
      <c r="E1297" s="5">
        <v>101.53798125959386</v>
      </c>
      <c r="F1297" s="5">
        <v>4053</v>
      </c>
      <c r="G1297" s="5">
        <v>4055</v>
      </c>
      <c r="H1297" s="5">
        <v>13.80116878009577</v>
      </c>
      <c r="I1297" s="1">
        <f t="shared" si="40"/>
        <v>33676</v>
      </c>
      <c r="J1297" s="1">
        <f t="shared" si="41"/>
        <v>0.13459567479835163</v>
      </c>
      <c r="K1297" s="6" t="s">
        <v>55</v>
      </c>
    </row>
    <row r="1298" spans="1:11">
      <c r="A1298" s="5" t="s">
        <v>1970</v>
      </c>
      <c r="B1298" s="5">
        <v>0</v>
      </c>
      <c r="C1298" s="5">
        <v>1398</v>
      </c>
      <c r="D1298" s="5">
        <v>1499</v>
      </c>
      <c r="E1298" s="5">
        <v>220.48030832083984</v>
      </c>
      <c r="F1298" s="5">
        <v>200</v>
      </c>
      <c r="G1298" s="5">
        <v>204</v>
      </c>
      <c r="H1298" s="5">
        <v>29.791648970421093</v>
      </c>
      <c r="I1298" s="1">
        <f t="shared" si="40"/>
        <v>1703</v>
      </c>
      <c r="J1298" s="1">
        <f t="shared" si="41"/>
        <v>0.13451150215695223</v>
      </c>
      <c r="K1298" s="6" t="s">
        <v>2</v>
      </c>
    </row>
    <row r="1299" spans="1:11">
      <c r="A1299" s="5" t="s">
        <v>916</v>
      </c>
      <c r="B1299" s="5">
        <v>5.434086514100045E-10</v>
      </c>
      <c r="C1299" s="5">
        <v>12545</v>
      </c>
      <c r="D1299" s="5">
        <v>12569</v>
      </c>
      <c r="E1299" s="5">
        <v>393.56897243168453</v>
      </c>
      <c r="F1299" s="5">
        <v>1682</v>
      </c>
      <c r="G1299" s="5">
        <v>1683</v>
      </c>
      <c r="H1299" s="5">
        <v>52.323940438556036</v>
      </c>
      <c r="I1299" s="1">
        <f t="shared" si="40"/>
        <v>14252</v>
      </c>
      <c r="J1299" s="1">
        <f t="shared" si="41"/>
        <v>0.13261037763838709</v>
      </c>
      <c r="K1299" s="6" t="s">
        <v>2</v>
      </c>
    </row>
    <row r="1300" spans="1:11">
      <c r="A1300" s="5" t="s">
        <v>404</v>
      </c>
      <c r="B1300" s="5">
        <v>2.0994879251778897E-6</v>
      </c>
      <c r="C1300" s="5">
        <v>1872</v>
      </c>
      <c r="D1300" s="5">
        <v>1872</v>
      </c>
      <c r="E1300" s="5">
        <v>49.696051271692184</v>
      </c>
      <c r="F1300" s="5">
        <v>255</v>
      </c>
      <c r="G1300" s="5">
        <v>255</v>
      </c>
      <c r="H1300" s="5">
        <v>6.7212866579608566</v>
      </c>
      <c r="I1300" s="1">
        <f t="shared" si="40"/>
        <v>2127</v>
      </c>
      <c r="J1300" s="1">
        <f t="shared" si="41"/>
        <v>0.13258008245928041</v>
      </c>
      <c r="K1300" s="6" t="s">
        <v>405</v>
      </c>
    </row>
    <row r="1301" spans="1:11">
      <c r="A1301" s="5" t="s">
        <v>837</v>
      </c>
      <c r="B1301" s="5">
        <v>3.1391621178997187E-2</v>
      </c>
      <c r="C1301" s="5">
        <v>840</v>
      </c>
      <c r="D1301" s="5">
        <v>840</v>
      </c>
      <c r="E1301" s="5">
        <v>28.079850049958374</v>
      </c>
      <c r="F1301" s="5">
        <v>113</v>
      </c>
      <c r="G1301" s="5">
        <v>113</v>
      </c>
      <c r="H1301" s="5">
        <v>3.7505083931122813</v>
      </c>
      <c r="I1301" s="1">
        <f t="shared" si="40"/>
        <v>953</v>
      </c>
      <c r="J1301" s="1">
        <f t="shared" si="41"/>
        <v>0.12897275559086488</v>
      </c>
      <c r="K1301" s="6" t="s">
        <v>17</v>
      </c>
    </row>
    <row r="1302" spans="1:11">
      <c r="A1302" s="5" t="s">
        <v>2268</v>
      </c>
      <c r="B1302" s="5">
        <v>7.0541486291819666E-4</v>
      </c>
      <c r="C1302" s="5">
        <v>306</v>
      </c>
      <c r="D1302" s="5">
        <v>338</v>
      </c>
      <c r="E1302" s="5">
        <v>36.35265059262727</v>
      </c>
      <c r="F1302" s="5">
        <v>40</v>
      </c>
      <c r="G1302" s="5">
        <v>45</v>
      </c>
      <c r="H1302" s="5">
        <v>4.8053839742454389</v>
      </c>
      <c r="I1302" s="1">
        <f t="shared" si="40"/>
        <v>383</v>
      </c>
      <c r="J1302" s="1">
        <f t="shared" si="41"/>
        <v>0.12864907571496234</v>
      </c>
      <c r="K1302" s="6" t="s">
        <v>2269</v>
      </c>
    </row>
    <row r="1303" spans="1:11">
      <c r="A1303" s="5" t="s">
        <v>1848</v>
      </c>
      <c r="B1303" s="5">
        <v>3.2565908469894822E-7</v>
      </c>
      <c r="C1303" s="5">
        <v>6452</v>
      </c>
      <c r="D1303" s="5">
        <v>6476</v>
      </c>
      <c r="E1303" s="5">
        <v>53.20548606213832</v>
      </c>
      <c r="F1303" s="5">
        <v>846</v>
      </c>
      <c r="G1303" s="5">
        <v>851</v>
      </c>
      <c r="H1303" s="5">
        <v>6.941851756622154</v>
      </c>
      <c r="I1303" s="1">
        <f t="shared" si="40"/>
        <v>7327</v>
      </c>
      <c r="J1303" s="1">
        <f t="shared" si="41"/>
        <v>0.12806548305210988</v>
      </c>
      <c r="K1303" s="6" t="s">
        <v>419</v>
      </c>
    </row>
    <row r="1304" spans="1:11">
      <c r="A1304" s="5" t="s">
        <v>1996</v>
      </c>
      <c r="B1304" s="5">
        <v>1.2896898660130773E-6</v>
      </c>
      <c r="C1304" s="5">
        <v>3831</v>
      </c>
      <c r="D1304" s="5">
        <v>3836</v>
      </c>
      <c r="E1304" s="5">
        <v>50.038490218460502</v>
      </c>
      <c r="F1304" s="5">
        <v>501</v>
      </c>
      <c r="G1304" s="5">
        <v>501</v>
      </c>
      <c r="H1304" s="5">
        <v>6.4887273344788765</v>
      </c>
      <c r="I1304" s="1">
        <f t="shared" si="40"/>
        <v>4337</v>
      </c>
      <c r="J1304" s="1">
        <f t="shared" si="41"/>
        <v>0.12713399841384648</v>
      </c>
      <c r="K1304" s="6" t="s">
        <v>1997</v>
      </c>
    </row>
    <row r="1305" spans="1:11">
      <c r="A1305" s="5" t="s">
        <v>1852</v>
      </c>
      <c r="B1305" s="5">
        <v>6.741445598418272E-4</v>
      </c>
      <c r="C1305" s="5">
        <v>3064</v>
      </c>
      <c r="D1305" s="5">
        <v>3064</v>
      </c>
      <c r="E1305" s="5">
        <v>36.014523135966769</v>
      </c>
      <c r="F1305" s="5">
        <v>394</v>
      </c>
      <c r="G1305" s="5">
        <v>394</v>
      </c>
      <c r="H1305" s="5">
        <v>4.5981308886079564</v>
      </c>
      <c r="I1305" s="1">
        <f t="shared" si="40"/>
        <v>3458</v>
      </c>
      <c r="J1305" s="1">
        <f t="shared" si="41"/>
        <v>0.1242250473339202</v>
      </c>
      <c r="K1305" s="6" t="s">
        <v>21</v>
      </c>
    </row>
    <row r="1306" spans="1:11">
      <c r="A1306" s="5" t="s">
        <v>2003</v>
      </c>
      <c r="B1306" s="5">
        <v>1.0727580816549676E-4</v>
      </c>
      <c r="C1306" s="5">
        <v>2508</v>
      </c>
      <c r="D1306" s="5">
        <v>2508</v>
      </c>
      <c r="E1306" s="5">
        <v>39.979182940825332</v>
      </c>
      <c r="F1306" s="5">
        <v>321</v>
      </c>
      <c r="G1306" s="5">
        <v>321</v>
      </c>
      <c r="H1306" s="5">
        <v>5.0805135546494151</v>
      </c>
      <c r="I1306" s="1">
        <f t="shared" si="40"/>
        <v>2829</v>
      </c>
      <c r="J1306" s="1">
        <f t="shared" si="41"/>
        <v>0.12397791244363673</v>
      </c>
      <c r="K1306" s="6" t="s">
        <v>2004</v>
      </c>
    </row>
    <row r="1307" spans="1:11">
      <c r="A1307" s="5" t="s">
        <v>480</v>
      </c>
      <c r="B1307" s="5">
        <v>1.9952534703659985E-4</v>
      </c>
      <c r="C1307" s="5">
        <v>5945</v>
      </c>
      <c r="D1307" s="5">
        <v>7449</v>
      </c>
      <c r="E1307" s="5">
        <v>38.600760322301852</v>
      </c>
      <c r="F1307" s="5">
        <v>747</v>
      </c>
      <c r="G1307" s="5">
        <v>952</v>
      </c>
      <c r="H1307" s="5">
        <v>4.8981381853228356</v>
      </c>
      <c r="I1307" s="1">
        <f t="shared" si="40"/>
        <v>8401</v>
      </c>
      <c r="J1307" s="1">
        <f t="shared" si="41"/>
        <v>0.12368798339875219</v>
      </c>
      <c r="K1307" s="6" t="s">
        <v>479</v>
      </c>
    </row>
    <row r="1308" spans="1:11">
      <c r="A1308" s="5" t="s">
        <v>1735</v>
      </c>
      <c r="B1308" s="5">
        <v>4.9812411263412404E-2</v>
      </c>
      <c r="C1308" s="5">
        <v>2555</v>
      </c>
      <c r="D1308" s="5">
        <v>2555</v>
      </c>
      <c r="E1308" s="5">
        <v>26.678192147426238</v>
      </c>
      <c r="F1308" s="5">
        <v>330</v>
      </c>
      <c r="G1308" s="5">
        <v>330</v>
      </c>
      <c r="H1308" s="5">
        <v>3.4211776925876327</v>
      </c>
      <c r="I1308" s="1">
        <f t="shared" si="40"/>
        <v>2885</v>
      </c>
      <c r="J1308" s="1">
        <f t="shared" si="41"/>
        <v>0.12360553299019438</v>
      </c>
      <c r="K1308" s="6" t="s">
        <v>293</v>
      </c>
    </row>
    <row r="1309" spans="1:11">
      <c r="A1309" s="5" t="s">
        <v>2213</v>
      </c>
      <c r="B1309" s="5">
        <v>0</v>
      </c>
      <c r="C1309" s="5">
        <v>17962</v>
      </c>
      <c r="D1309" s="5">
        <v>17963</v>
      </c>
      <c r="E1309" s="5">
        <v>213.81715515153599</v>
      </c>
      <c r="F1309" s="5">
        <v>2245</v>
      </c>
      <c r="G1309" s="5">
        <v>2245</v>
      </c>
      <c r="H1309" s="5">
        <v>26.532380836121277</v>
      </c>
      <c r="I1309" s="1">
        <f t="shared" si="40"/>
        <v>20208</v>
      </c>
      <c r="J1309" s="1">
        <f t="shared" si="41"/>
        <v>0.12351146172383135</v>
      </c>
      <c r="K1309" s="6" t="s">
        <v>2</v>
      </c>
    </row>
    <row r="1310" spans="1:11">
      <c r="A1310" s="5" t="s">
        <v>1732</v>
      </c>
      <c r="B1310" s="5">
        <v>1.4146482917970493E-3</v>
      </c>
      <c r="C1310" s="5">
        <v>1194</v>
      </c>
      <c r="D1310" s="5">
        <v>1194</v>
      </c>
      <c r="E1310" s="5">
        <v>34.199568347312464</v>
      </c>
      <c r="F1310" s="5">
        <v>151</v>
      </c>
      <c r="G1310" s="5">
        <v>151</v>
      </c>
      <c r="H1310" s="5">
        <v>4.2942709700139998</v>
      </c>
      <c r="I1310" s="1">
        <f t="shared" si="40"/>
        <v>1345</v>
      </c>
      <c r="J1310" s="1">
        <f t="shared" si="41"/>
        <v>0.12199783041776628</v>
      </c>
      <c r="K1310" s="6" t="s">
        <v>1733</v>
      </c>
    </row>
    <row r="1311" spans="1:11">
      <c r="A1311" s="5" t="s">
        <v>2051</v>
      </c>
      <c r="B1311" s="5">
        <v>0</v>
      </c>
      <c r="C1311" s="5">
        <v>1036</v>
      </c>
      <c r="D1311" s="5">
        <v>6851</v>
      </c>
      <c r="E1311" s="5">
        <v>161.40310543341948</v>
      </c>
      <c r="F1311" s="5">
        <v>135</v>
      </c>
      <c r="G1311" s="5">
        <v>839</v>
      </c>
      <c r="H1311" s="5">
        <v>19.625289852066505</v>
      </c>
      <c r="I1311" s="1">
        <f t="shared" si="40"/>
        <v>7690</v>
      </c>
      <c r="J1311" s="1">
        <f t="shared" si="41"/>
        <v>0.12084307008594918</v>
      </c>
      <c r="K1311" s="6" t="s">
        <v>438</v>
      </c>
    </row>
    <row r="1312" spans="1:11">
      <c r="A1312" s="5" t="s">
        <v>2106</v>
      </c>
      <c r="B1312" s="5">
        <v>1.1195239031264737E-2</v>
      </c>
      <c r="C1312" s="5">
        <v>2455</v>
      </c>
      <c r="D1312" s="5">
        <v>2457</v>
      </c>
      <c r="E1312" s="5">
        <v>29.465279407866195</v>
      </c>
      <c r="F1312" s="5">
        <v>303</v>
      </c>
      <c r="G1312" s="5">
        <v>303</v>
      </c>
      <c r="H1312" s="5">
        <v>3.6078147992917202</v>
      </c>
      <c r="I1312" s="1">
        <f t="shared" si="40"/>
        <v>2760</v>
      </c>
      <c r="J1312" s="1">
        <f t="shared" si="41"/>
        <v>0.11842382113062699</v>
      </c>
      <c r="K1312" s="6" t="s">
        <v>293</v>
      </c>
    </row>
    <row r="1313" spans="1:11">
      <c r="A1313" s="5" t="s">
        <v>1204</v>
      </c>
      <c r="B1313" s="5">
        <v>4.7145476733425062E-2</v>
      </c>
      <c r="C1313" s="5">
        <v>928</v>
      </c>
      <c r="D1313" s="5">
        <v>928</v>
      </c>
      <c r="E1313" s="5">
        <v>26.276316942839994</v>
      </c>
      <c r="F1313" s="5">
        <v>113</v>
      </c>
      <c r="G1313" s="5">
        <v>113</v>
      </c>
      <c r="H1313" s="5">
        <v>3.1768093985363128</v>
      </c>
      <c r="I1313" s="1">
        <f t="shared" si="40"/>
        <v>1041</v>
      </c>
      <c r="J1313" s="1">
        <f t="shared" si="41"/>
        <v>0.11646768165927997</v>
      </c>
      <c r="K1313" s="6" t="s">
        <v>403</v>
      </c>
    </row>
    <row r="1314" spans="1:11">
      <c r="A1314" s="5" t="s">
        <v>1705</v>
      </c>
      <c r="B1314" s="5">
        <v>0</v>
      </c>
      <c r="C1314" s="5">
        <v>46583</v>
      </c>
      <c r="D1314" s="5">
        <v>46609</v>
      </c>
      <c r="E1314" s="5">
        <v>1706.9502932392923</v>
      </c>
      <c r="F1314" s="5">
        <v>5405</v>
      </c>
      <c r="G1314" s="5">
        <v>5410</v>
      </c>
      <c r="H1314" s="5">
        <v>196.71820568473038</v>
      </c>
      <c r="I1314" s="1">
        <f t="shared" si="40"/>
        <v>52019</v>
      </c>
      <c r="J1314" s="1">
        <f t="shared" si="41"/>
        <v>0.11517794543753106</v>
      </c>
      <c r="K1314" s="6" t="s">
        <v>2</v>
      </c>
    </row>
    <row r="1315" spans="1:11">
      <c r="A1315" s="5" t="s">
        <v>1984</v>
      </c>
      <c r="B1315" s="5">
        <v>0</v>
      </c>
      <c r="C1315" s="5">
        <v>1393</v>
      </c>
      <c r="D1315" s="5">
        <v>1547</v>
      </c>
      <c r="E1315" s="5">
        <v>232.56890169830626</v>
      </c>
      <c r="F1315" s="5">
        <v>159</v>
      </c>
      <c r="G1315" s="5">
        <v>178</v>
      </c>
      <c r="H1315" s="5">
        <v>26.569142037589824</v>
      </c>
      <c r="I1315" s="1">
        <f t="shared" si="40"/>
        <v>1725</v>
      </c>
      <c r="J1315" s="1">
        <f t="shared" si="41"/>
        <v>0.11375290907480638</v>
      </c>
      <c r="K1315" s="6" t="s">
        <v>187</v>
      </c>
    </row>
    <row r="1316" spans="1:11">
      <c r="A1316" s="5" t="s">
        <v>389</v>
      </c>
      <c r="B1316" s="5">
        <v>4.5468141114946015E-5</v>
      </c>
      <c r="C1316" s="5">
        <v>618</v>
      </c>
      <c r="D1316" s="5">
        <v>1388</v>
      </c>
      <c r="E1316" s="5">
        <v>40.394083450018556</v>
      </c>
      <c r="F1316" s="5">
        <v>70</v>
      </c>
      <c r="G1316" s="5">
        <v>159</v>
      </c>
      <c r="H1316" s="5">
        <v>4.5943239722393647</v>
      </c>
      <c r="I1316" s="1">
        <f t="shared" si="40"/>
        <v>1547</v>
      </c>
      <c r="J1316" s="1">
        <f t="shared" si="41"/>
        <v>0.11098987075741872</v>
      </c>
      <c r="K1316" s="6" t="s">
        <v>2</v>
      </c>
    </row>
    <row r="1317" spans="1:11">
      <c r="A1317" s="5" t="s">
        <v>1939</v>
      </c>
      <c r="B1317" s="5">
        <v>8.2464646222746296E-10</v>
      </c>
      <c r="C1317" s="5">
        <v>10059</v>
      </c>
      <c r="D1317" s="5">
        <v>10077</v>
      </c>
      <c r="E1317" s="5">
        <v>331.56268821341115</v>
      </c>
      <c r="F1317" s="5">
        <v>1108</v>
      </c>
      <c r="G1317" s="5">
        <v>1111</v>
      </c>
      <c r="H1317" s="5">
        <v>36.294820465748508</v>
      </c>
      <c r="I1317" s="1">
        <f t="shared" si="40"/>
        <v>11188</v>
      </c>
      <c r="J1317" s="1">
        <f t="shared" si="41"/>
        <v>0.10913677857468335</v>
      </c>
      <c r="K1317" s="6" t="s">
        <v>1048</v>
      </c>
    </row>
    <row r="1318" spans="1:11">
      <c r="A1318" s="5" t="s">
        <v>1372</v>
      </c>
      <c r="B1318" s="5">
        <v>1.0805972519595253E-2</v>
      </c>
      <c r="C1318" s="5">
        <v>892</v>
      </c>
      <c r="D1318" s="5">
        <v>892</v>
      </c>
      <c r="E1318" s="5">
        <v>28.421492922764269</v>
      </c>
      <c r="F1318" s="5">
        <v>97</v>
      </c>
      <c r="G1318" s="5">
        <v>97</v>
      </c>
      <c r="H1318" s="5">
        <v>3.0686684390308958</v>
      </c>
      <c r="I1318" s="1">
        <f t="shared" si="40"/>
        <v>989</v>
      </c>
      <c r="J1318" s="1">
        <f t="shared" si="41"/>
        <v>0.1043002286487161</v>
      </c>
      <c r="K1318" s="6" t="s">
        <v>1373</v>
      </c>
    </row>
    <row r="1319" spans="1:11">
      <c r="A1319" s="5" t="s">
        <v>1973</v>
      </c>
      <c r="B1319" s="5">
        <v>1.5722948095794886E-2</v>
      </c>
      <c r="C1319" s="5">
        <v>4107</v>
      </c>
      <c r="D1319" s="5">
        <v>4107</v>
      </c>
      <c r="E1319" s="5">
        <v>27.51215989728135</v>
      </c>
      <c r="F1319" s="5">
        <v>439</v>
      </c>
      <c r="G1319" s="5">
        <v>439</v>
      </c>
      <c r="H1319" s="5">
        <v>2.919851096162362</v>
      </c>
      <c r="I1319" s="1">
        <f t="shared" si="40"/>
        <v>4546</v>
      </c>
      <c r="J1319" s="1">
        <f t="shared" si="41"/>
        <v>0.10240722227574107</v>
      </c>
      <c r="K1319" s="6" t="s">
        <v>1974</v>
      </c>
    </row>
    <row r="1320" spans="1:11">
      <c r="A1320" s="5" t="s">
        <v>885</v>
      </c>
      <c r="B1320" s="5">
        <v>9.4190189400822355E-5</v>
      </c>
      <c r="C1320" s="5">
        <v>1945</v>
      </c>
      <c r="D1320" s="5">
        <v>1945</v>
      </c>
      <c r="E1320" s="5">
        <v>37.615376344972077</v>
      </c>
      <c r="F1320" s="5">
        <v>199</v>
      </c>
      <c r="G1320" s="5">
        <v>199</v>
      </c>
      <c r="H1320" s="5">
        <v>3.8211587609782063</v>
      </c>
      <c r="I1320" s="1">
        <f t="shared" si="40"/>
        <v>2144</v>
      </c>
      <c r="J1320" s="1">
        <f t="shared" si="41"/>
        <v>9.8954331736708326E-2</v>
      </c>
      <c r="K1320" s="6" t="s">
        <v>886</v>
      </c>
    </row>
    <row r="1321" spans="1:11">
      <c r="A1321" s="5" t="s">
        <v>1465</v>
      </c>
      <c r="B1321" s="5">
        <v>7.3479232589268584E-3</v>
      </c>
      <c r="C1321" s="5">
        <v>1810</v>
      </c>
      <c r="D1321" s="5">
        <v>1810</v>
      </c>
      <c r="E1321" s="5">
        <v>28.718010740389889</v>
      </c>
      <c r="F1321" s="5">
        <v>185</v>
      </c>
      <c r="G1321" s="5">
        <v>185</v>
      </c>
      <c r="H1321" s="5">
        <v>2.9143634196897672</v>
      </c>
      <c r="I1321" s="1">
        <f t="shared" si="40"/>
        <v>1995</v>
      </c>
      <c r="J1321" s="1">
        <f t="shared" si="41"/>
        <v>9.8067244310159771E-2</v>
      </c>
      <c r="K1321" s="6" t="s">
        <v>538</v>
      </c>
    </row>
    <row r="1322" spans="1:11">
      <c r="A1322" s="5" t="s">
        <v>2227</v>
      </c>
      <c r="B1322" s="5">
        <v>2.4310387036763359E-10</v>
      </c>
      <c r="C1322" s="5">
        <v>3578</v>
      </c>
      <c r="D1322" s="5">
        <v>3578</v>
      </c>
      <c r="E1322" s="5">
        <v>63.509410921398569</v>
      </c>
      <c r="F1322" s="5">
        <v>357</v>
      </c>
      <c r="G1322" s="5">
        <v>357</v>
      </c>
      <c r="H1322" s="5">
        <v>6.2916153647578792</v>
      </c>
      <c r="I1322" s="1">
        <f t="shared" si="40"/>
        <v>3935</v>
      </c>
      <c r="J1322" s="1">
        <f t="shared" si="41"/>
        <v>9.7530194042910912E-2</v>
      </c>
      <c r="K1322" s="6" t="s">
        <v>626</v>
      </c>
    </row>
    <row r="1323" spans="1:11">
      <c r="A1323" s="5" t="s">
        <v>1856</v>
      </c>
      <c r="B1323" s="5">
        <v>1.5034782696599081E-7</v>
      </c>
      <c r="C1323" s="5">
        <v>253</v>
      </c>
      <c r="D1323" s="5">
        <v>303</v>
      </c>
      <c r="E1323" s="5">
        <v>49.968761731759258</v>
      </c>
      <c r="F1323" s="5">
        <v>24</v>
      </c>
      <c r="G1323" s="5">
        <v>29</v>
      </c>
      <c r="H1323" s="5">
        <v>4.7484312752914191</v>
      </c>
      <c r="I1323" s="1">
        <f t="shared" si="40"/>
        <v>332</v>
      </c>
      <c r="J1323" s="1">
        <f t="shared" si="41"/>
        <v>9.316355967762531E-2</v>
      </c>
      <c r="K1323" s="6" t="s">
        <v>2</v>
      </c>
    </row>
    <row r="1324" spans="1:11">
      <c r="A1324" s="5" t="s">
        <v>2021</v>
      </c>
      <c r="B1324" s="5">
        <v>8.1286346550135669E-4</v>
      </c>
      <c r="C1324" s="5">
        <v>3003</v>
      </c>
      <c r="D1324" s="5">
        <v>3003</v>
      </c>
      <c r="E1324" s="5">
        <v>32.310702901495205</v>
      </c>
      <c r="F1324" s="5">
        <v>276</v>
      </c>
      <c r="G1324" s="5">
        <v>276</v>
      </c>
      <c r="H1324" s="5">
        <v>2.9484675730733318</v>
      </c>
      <c r="I1324" s="1">
        <f t="shared" si="40"/>
        <v>3279</v>
      </c>
      <c r="J1324" s="1">
        <f t="shared" si="41"/>
        <v>8.8514120575371738E-2</v>
      </c>
      <c r="K1324" s="6" t="s">
        <v>70</v>
      </c>
    </row>
    <row r="1325" spans="1:11">
      <c r="A1325" s="5" t="s">
        <v>1971</v>
      </c>
      <c r="B1325" s="5">
        <v>1.2393530646193085E-10</v>
      </c>
      <c r="C1325" s="5">
        <v>2039</v>
      </c>
      <c r="D1325" s="5">
        <v>2697</v>
      </c>
      <c r="E1325" s="5">
        <v>116.48776161371224</v>
      </c>
      <c r="F1325" s="5">
        <v>177</v>
      </c>
      <c r="G1325" s="5">
        <v>235</v>
      </c>
      <c r="H1325" s="5">
        <v>10.077746179497797</v>
      </c>
      <c r="I1325" s="1">
        <f t="shared" si="40"/>
        <v>2932</v>
      </c>
      <c r="J1325" s="1">
        <f t="shared" si="41"/>
        <v>8.57769868204009E-2</v>
      </c>
      <c r="K1325" s="6" t="s">
        <v>1972</v>
      </c>
    </row>
    <row r="1326" spans="1:11">
      <c r="A1326" s="5" t="s">
        <v>244</v>
      </c>
      <c r="B1326" s="5">
        <v>2.6214399858853765E-3</v>
      </c>
      <c r="C1326" s="5">
        <v>4116</v>
      </c>
      <c r="D1326" s="5">
        <v>4117</v>
      </c>
      <c r="E1326" s="5">
        <v>29.280319033219577</v>
      </c>
      <c r="F1326" s="5">
        <v>341</v>
      </c>
      <c r="G1326" s="5">
        <v>341</v>
      </c>
      <c r="H1326" s="5">
        <v>2.4079391973635174</v>
      </c>
      <c r="I1326" s="1">
        <f t="shared" si="40"/>
        <v>4458</v>
      </c>
      <c r="J1326" s="1">
        <f t="shared" si="41"/>
        <v>7.9521592712475844E-2</v>
      </c>
      <c r="K1326" s="6" t="s">
        <v>245</v>
      </c>
    </row>
    <row r="1327" spans="1:11">
      <c r="A1327" s="5" t="s">
        <v>1967</v>
      </c>
      <c r="B1327" s="5">
        <v>2.8600455337368658E-11</v>
      </c>
      <c r="C1327" s="5">
        <v>6533</v>
      </c>
      <c r="D1327" s="5">
        <v>6533</v>
      </c>
      <c r="E1327" s="5">
        <v>106.57528801699479</v>
      </c>
      <c r="F1327" s="5">
        <v>504</v>
      </c>
      <c r="G1327" s="5">
        <v>504</v>
      </c>
      <c r="H1327" s="5">
        <v>8.163390904929182</v>
      </c>
      <c r="I1327" s="1">
        <f t="shared" si="40"/>
        <v>7037</v>
      </c>
      <c r="J1327" s="1">
        <f t="shared" si="41"/>
        <v>7.5885373447845433E-2</v>
      </c>
      <c r="K1327" s="6" t="s">
        <v>92</v>
      </c>
    </row>
    <row r="1328" spans="1:11">
      <c r="A1328" s="5" t="s">
        <v>1767</v>
      </c>
      <c r="B1328" s="5">
        <v>6.4290422813595427E-3</v>
      </c>
      <c r="C1328" s="5">
        <v>104</v>
      </c>
      <c r="D1328" s="5">
        <v>134</v>
      </c>
      <c r="E1328" s="5">
        <v>23.524099263051152</v>
      </c>
      <c r="F1328" s="5">
        <v>2</v>
      </c>
      <c r="G1328" s="5">
        <v>3</v>
      </c>
      <c r="H1328" s="5">
        <v>0.52290844967057892</v>
      </c>
      <c r="I1328" s="1">
        <f t="shared" si="40"/>
        <v>137</v>
      </c>
      <c r="J1328" s="1">
        <f t="shared" si="41"/>
        <v>2.1322228558192581E-2</v>
      </c>
      <c r="K1328" s="6" t="s">
        <v>1766</v>
      </c>
    </row>
    <row r="1329" spans="1:11">
      <c r="A1329" s="5" t="s">
        <v>693</v>
      </c>
      <c r="B1329" s="5">
        <v>5.2741098671704734E-6</v>
      </c>
      <c r="C1329" s="5">
        <v>1847</v>
      </c>
      <c r="D1329" s="5">
        <v>1847</v>
      </c>
      <c r="E1329" s="5">
        <v>35.145583746595335</v>
      </c>
      <c r="F1329" s="5">
        <v>38</v>
      </c>
      <c r="G1329" s="5">
        <v>38</v>
      </c>
      <c r="H1329" s="5">
        <v>0.71793258008384853</v>
      </c>
      <c r="I1329" s="1">
        <f t="shared" si="40"/>
        <v>1885</v>
      </c>
      <c r="J1329" s="1">
        <f t="shared" si="41"/>
        <v>1.9862248874358623E-2</v>
      </c>
      <c r="K1329" s="6" t="s">
        <v>63</v>
      </c>
    </row>
    <row r="1330" spans="1:11">
      <c r="A1330" s="5" t="s">
        <v>1774</v>
      </c>
      <c r="B1330" s="5">
        <v>4.7667425562281096E-11</v>
      </c>
      <c r="C1330" s="5">
        <v>449</v>
      </c>
      <c r="D1330" s="5">
        <v>513</v>
      </c>
      <c r="E1330" s="5">
        <v>87.244344818167548</v>
      </c>
      <c r="F1330" s="5">
        <v>7</v>
      </c>
      <c r="G1330" s="5">
        <v>7</v>
      </c>
      <c r="H1330" s="5">
        <v>1.1819909747762045</v>
      </c>
      <c r="I1330" s="1">
        <f t="shared" si="40"/>
        <v>520</v>
      </c>
      <c r="J1330" s="1">
        <f t="shared" si="41"/>
        <v>1.3394523776132778E-2</v>
      </c>
      <c r="K1330" s="6" t="s">
        <v>2</v>
      </c>
    </row>
    <row r="1331" spans="1:11">
      <c r="A1331" s="5" t="s">
        <v>2193</v>
      </c>
      <c r="B1331" s="5">
        <v>3.8117123382086504E-5</v>
      </c>
      <c r="C1331" s="5">
        <v>8545</v>
      </c>
      <c r="D1331" s="5">
        <v>8545</v>
      </c>
      <c r="E1331" s="5">
        <v>30.212517232667555</v>
      </c>
      <c r="F1331" s="5">
        <v>0</v>
      </c>
      <c r="G1331" s="5">
        <v>0</v>
      </c>
      <c r="H1331" s="5">
        <v>0</v>
      </c>
      <c r="I1331" s="1">
        <f t="shared" si="40"/>
        <v>8545</v>
      </c>
      <c r="J1331" s="1">
        <f t="shared" si="41"/>
        <v>0</v>
      </c>
      <c r="K1331" s="6" t="s">
        <v>2194</v>
      </c>
    </row>
  </sheetData>
  <autoFilter ref="A1:K1331">
    <sortState ref="A2:K1331">
      <sortCondition descending="1" ref="J1:J13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Benoit</dc:creator>
  <cp:lastModifiedBy>Joshua Benoit</cp:lastModifiedBy>
  <dcterms:created xsi:type="dcterms:W3CDTF">2012-05-23T21:19:36Z</dcterms:created>
  <dcterms:modified xsi:type="dcterms:W3CDTF">2013-05-07T20:39:15Z</dcterms:modified>
</cp:coreProperties>
</file>