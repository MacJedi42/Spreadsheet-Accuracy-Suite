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Fund 51 BS" sheetId="1" r:id="rId1"/>
    <sheet name="Fund 51 Income" sheetId="2" r:id="rId2"/>
    <sheet name="Fund 51 Cash Flows" sheetId="3" r:id="rId3"/>
    <sheet name="Potential Footnote" sheetId="4" r:id="rId4"/>
  </sheets>
  <calcPr calcId="145621"/>
</workbook>
</file>

<file path=xl/calcChain.xml><?xml version="1.0" encoding="utf-8"?>
<calcChain xmlns="http://schemas.openxmlformats.org/spreadsheetml/2006/main">
  <c r="I49" i="2" l="1"/>
  <c r="G46" i="2"/>
  <c r="I46" i="2"/>
  <c r="I22" i="2"/>
  <c r="I25" i="2" s="1"/>
  <c r="I28" i="2" s="1"/>
  <c r="I23" i="2"/>
  <c r="I21" i="2"/>
  <c r="I20" i="2"/>
  <c r="I19" i="2"/>
  <c r="I18" i="2"/>
  <c r="I15" i="2"/>
  <c r="I7" i="2"/>
  <c r="G39" i="2"/>
  <c r="G25" i="2"/>
  <c r="G15" i="2"/>
  <c r="G28" i="2" s="1"/>
  <c r="H37" i="1"/>
  <c r="I37" i="1"/>
  <c r="I34" i="1"/>
  <c r="I29" i="1"/>
  <c r="I19" i="1"/>
  <c r="I21" i="1" s="1"/>
  <c r="I12" i="1"/>
  <c r="I9" i="1"/>
  <c r="I10" i="1"/>
  <c r="I16" i="1"/>
  <c r="I17" i="1"/>
  <c r="I25" i="1"/>
  <c r="I26" i="1"/>
  <c r="I27" i="1"/>
  <c r="I32" i="1"/>
  <c r="I38" i="1"/>
  <c r="I8" i="1"/>
  <c r="G40" i="1"/>
  <c r="G34" i="1"/>
  <c r="G29" i="1"/>
  <c r="G21" i="1"/>
  <c r="G19" i="1"/>
  <c r="G12" i="1"/>
  <c r="G9" i="1"/>
  <c r="G51" i="2" l="1"/>
  <c r="I51" i="2"/>
  <c r="I40" i="1"/>
</calcChain>
</file>

<file path=xl/sharedStrings.xml><?xml version="1.0" encoding="utf-8"?>
<sst xmlns="http://schemas.openxmlformats.org/spreadsheetml/2006/main" count="85" uniqueCount="68">
  <si>
    <t>FPP Food Service Fund Discussion</t>
  </si>
  <si>
    <t>Assets</t>
  </si>
  <si>
    <t>Current Assets:</t>
  </si>
  <si>
    <t>Cash</t>
  </si>
  <si>
    <t>Receivable</t>
  </si>
  <si>
    <t>Inventory</t>
  </si>
  <si>
    <t>Total Current Assets</t>
  </si>
  <si>
    <t>Noncurrent Assets:</t>
  </si>
  <si>
    <t>Capital Assets</t>
  </si>
  <si>
    <t>Equipment</t>
  </si>
  <si>
    <t>Accumulated Deprec.</t>
  </si>
  <si>
    <t>Total Noncurrent Assets</t>
  </si>
  <si>
    <t>Total Assets</t>
  </si>
  <si>
    <t>Liabilities</t>
  </si>
  <si>
    <t>Current Liabilities:</t>
  </si>
  <si>
    <t>Accounts Payable</t>
  </si>
  <si>
    <t>Accrued Salary and Benefits</t>
  </si>
  <si>
    <t>Compensated Absences Payable</t>
  </si>
  <si>
    <t>Total Current Liabilities</t>
  </si>
  <si>
    <t>Noncurrent Liabilities</t>
  </si>
  <si>
    <t>Compensated Absences Payable (net)</t>
  </si>
  <si>
    <t>Total Liabilities</t>
  </si>
  <si>
    <t>Net Investment in Capital Assets</t>
  </si>
  <si>
    <t>Total Net Position</t>
  </si>
  <si>
    <t>Enterprise Fund</t>
  </si>
  <si>
    <t>Statement of Net Position</t>
  </si>
  <si>
    <t>Adjustments</t>
  </si>
  <si>
    <t>As of 7/1/2014</t>
  </si>
  <si>
    <t>Special Revenue</t>
  </si>
  <si>
    <t>Balance Sheet</t>
  </si>
  <si>
    <t>Net Position/Fund Balance</t>
  </si>
  <si>
    <t>Unrestricted Net Position/Assigned Fund Balance</t>
  </si>
  <si>
    <t>During the Fiscal Year</t>
  </si>
  <si>
    <t>Statement of Revenues, Expenditures and Changes in Fund Balances</t>
  </si>
  <si>
    <t>Statement of Revenues, Expenses, and Changes in Net Position</t>
  </si>
  <si>
    <t>Operating Revenues/Revenues</t>
  </si>
  <si>
    <t>Student lunches</t>
  </si>
  <si>
    <t>Federal school breakfast and lunch programs</t>
  </si>
  <si>
    <t>USDA Foods program</t>
  </si>
  <si>
    <t>Summer food service program</t>
  </si>
  <si>
    <t>Fresh fruits and vegetables program</t>
  </si>
  <si>
    <t xml:space="preserve">State match </t>
  </si>
  <si>
    <t>Interest on Investment</t>
  </si>
  <si>
    <t>(Loss) on disposal of capital assets</t>
  </si>
  <si>
    <t>Total Operating Revenues/Revenues</t>
  </si>
  <si>
    <t>Operating Expenses/Expenditures</t>
  </si>
  <si>
    <t>Salaries and benefits</t>
  </si>
  <si>
    <t>Purchased services</t>
  </si>
  <si>
    <t>Material and supplies</t>
  </si>
  <si>
    <t>Indirect costs</t>
  </si>
  <si>
    <t>Total Operating Expenses/Expenditures</t>
  </si>
  <si>
    <t>Income (loss) form Operations/Excess of Revenues</t>
  </si>
  <si>
    <t>over (under) expenditures</t>
  </si>
  <si>
    <t>Non-operating Revenues (Expenses)</t>
  </si>
  <si>
    <t>Total Non-operating revenues (expenses)</t>
  </si>
  <si>
    <t>Other Financing Sources (Uses)</t>
  </si>
  <si>
    <t>Transfers In</t>
  </si>
  <si>
    <t>Change in Net Position/Net Change in Fund Balances</t>
  </si>
  <si>
    <t>Net Position Beginning of Year/Beginning Fund Balance</t>
  </si>
  <si>
    <t>as restated</t>
  </si>
  <si>
    <t>Net Position Ending of Year/Ending Fund Balance</t>
  </si>
  <si>
    <t>Depreciation</t>
  </si>
  <si>
    <t>Contributed Capital</t>
  </si>
  <si>
    <t>(Loss) on disposal of equipment</t>
  </si>
  <si>
    <t>Statement of Cash Flows</t>
  </si>
  <si>
    <t>N/A</t>
  </si>
  <si>
    <t>Restatement of Net Position and Fund Balance</t>
  </si>
  <si>
    <t>The District previously reported the activity of the Food Service Fund in a proprietary fund.   Beginning in fiscal year 2014-2015, such activity has been more appropriately reported in a special revenue fund.  Accordingly, the newly established special revenue fund reports a restated beginning balance of $1,076,936, which is equal to the net current assets and current liabilities previously reported in the proprietary fund.  All remaining assets and liabilities, including net position of $1,203,541, previously reported in the proprietary fund are not recognized at the fund level under modified accrual, and have been reclassified as assets and liabilities of the governmental activities as of July 1, 2014.</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</si>
</sst>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bottom style="double">
        <color auto="1"/>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applyAlignment="1">
      <alignment horizontal="center" wrapText="1"/>
    </xf>
    <xf numFmtId="3" fontId="0" fillId="0" borderId="0" xfId="0" applyNumberFormat="1"/>
    <xf numFmtId="37" fontId="0" fillId="0" borderId="0" xfId="0" applyNumberFormat="1"/>
    <xf numFmtId="14" fontId="0" fillId="0" borderId="0" xfId="0" applyNumberFormat="1" applyAlignment="1">
      <alignment horizontal="left"/>
    </xf>
    <xf numFmtId="0" fontId="0" fillId="0" borderId="0" xfId="0" applyAlignment="1">
      <alignment horizontal="left"/>
    </xf>
    <xf numFmtId="37" fontId="0" fillId="0" borderId="1" xfId="0" applyNumberFormat="1" applyBorder="1"/>
    <xf numFmtId="37" fontId="0" fillId="0" borderId="2" xfId="0" applyNumberFormat="1" applyBorder="1"/>
    <xf numFmtId="14" fontId="0" fillId="0" borderId="0" xfId="0" applyNumberFormat="1" applyAlignment="1">
      <alignment horizontal="left"/>
    </xf>
    <xf numFmtId="0" fontId="0" fillId="0" borderId="0" xfId="0" applyAlignment="1">
      <alignment horizontal="left"/>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8"/>
  <sheetViews>
    <sheetView tabSelected="1" workbookViewId="0">
      <pane xSplit="5" ySplit="4" topLeftCell="F5" activePane="bottomRight" state="frozen"/>
      <selection pane="topRight" activeCell="F1" sqref="F1"/>
      <selection pane="bottomLeft" activeCell="A5" sqref="A5"/>
      <selection pane="bottomRight" activeCell="F5" sqref="F5"/>
    </sheetView>
  </sheetViews>
  <sheetFormatPr defaultRowHeight="15" x14ac:dyDescent="0.25"/>
  <cols>
    <col min="1" max="1" width="5.85546875" customWidth="1"/>
    <col min="7" max="7" width="18.5703125" customWidth="1"/>
    <col min="8" max="9" width="18.42578125" customWidth="1"/>
  </cols>
  <sheetData>
    <row r="1" spans="1:9" x14ac:dyDescent="0.25">
      <c r="A1" t="s">
        <v>0</v>
      </c>
    </row>
    <row r="2" spans="1:9" x14ac:dyDescent="0.25">
      <c r="A2" s="9">
        <v>41698</v>
      </c>
      <c r="B2" s="10"/>
    </row>
    <row r="3" spans="1:9" x14ac:dyDescent="0.25">
      <c r="G3" s="1" t="s">
        <v>24</v>
      </c>
      <c r="H3" s="1" t="s">
        <v>26</v>
      </c>
      <c r="I3" s="1" t="s">
        <v>28</v>
      </c>
    </row>
    <row r="4" spans="1:9" ht="30" x14ac:dyDescent="0.25">
      <c r="G4" s="2" t="s">
        <v>25</v>
      </c>
      <c r="H4" s="2" t="s">
        <v>27</v>
      </c>
      <c r="I4" s="2" t="s">
        <v>29</v>
      </c>
    </row>
    <row r="5" spans="1:9" x14ac:dyDescent="0.25">
      <c r="G5" s="4"/>
      <c r="H5" s="4"/>
      <c r="I5" s="4"/>
    </row>
    <row r="6" spans="1:9" x14ac:dyDescent="0.25">
      <c r="A6" t="s">
        <v>1</v>
      </c>
      <c r="G6" s="4"/>
      <c r="H6" s="4"/>
      <c r="I6" s="4"/>
    </row>
    <row r="7" spans="1:9" x14ac:dyDescent="0.25">
      <c r="A7" t="s">
        <v>2</v>
      </c>
      <c r="G7" s="4"/>
      <c r="H7" s="4"/>
      <c r="I7" s="4"/>
    </row>
    <row r="8" spans="1:9" x14ac:dyDescent="0.25">
      <c r="B8" t="s">
        <v>3</v>
      </c>
      <c r="G8" s="4">
        <v>708232</v>
      </c>
      <c r="H8" s="4"/>
      <c r="I8" s="4">
        <f>+G8+H8</f>
        <v>708232</v>
      </c>
    </row>
    <row r="9" spans="1:9" x14ac:dyDescent="0.25">
      <c r="B9" t="s">
        <v>4</v>
      </c>
      <c r="G9" s="4">
        <f>2893+289852</f>
        <v>292745</v>
      </c>
      <c r="H9" s="4"/>
      <c r="I9" s="4">
        <f t="shared" ref="I9:I38" si="0">+G9+H9</f>
        <v>292745</v>
      </c>
    </row>
    <row r="10" spans="1:9" x14ac:dyDescent="0.25">
      <c r="B10" t="s">
        <v>5</v>
      </c>
      <c r="G10" s="7">
        <v>198986</v>
      </c>
      <c r="H10" s="4"/>
      <c r="I10" s="7">
        <f t="shared" si="0"/>
        <v>198986</v>
      </c>
    </row>
    <row r="11" spans="1:9" x14ac:dyDescent="0.25">
      <c r="G11" s="4"/>
      <c r="H11" s="4"/>
      <c r="I11" s="4"/>
    </row>
    <row r="12" spans="1:9" x14ac:dyDescent="0.25">
      <c r="A12" t="s">
        <v>6</v>
      </c>
      <c r="G12" s="7">
        <f>SUM(G8:G11)</f>
        <v>1199963</v>
      </c>
      <c r="H12" s="4"/>
      <c r="I12" s="7">
        <f>SUM(I8:I11)</f>
        <v>1199963</v>
      </c>
    </row>
    <row r="13" spans="1:9" x14ac:dyDescent="0.25">
      <c r="G13" s="4"/>
      <c r="H13" s="4"/>
      <c r="I13" s="4"/>
    </row>
    <row r="14" spans="1:9" x14ac:dyDescent="0.25">
      <c r="A14" t="s">
        <v>7</v>
      </c>
      <c r="G14" s="4"/>
      <c r="H14" s="4"/>
      <c r="I14" s="4"/>
    </row>
    <row r="15" spans="1:9" x14ac:dyDescent="0.25">
      <c r="A15" t="s">
        <v>8</v>
      </c>
      <c r="G15" s="4"/>
      <c r="H15" s="4"/>
      <c r="I15" s="4"/>
    </row>
    <row r="16" spans="1:9" x14ac:dyDescent="0.25">
      <c r="B16" t="s">
        <v>9</v>
      </c>
      <c r="G16" s="4">
        <v>447596</v>
      </c>
      <c r="H16" s="4">
        <v>-447596</v>
      </c>
      <c r="I16" s="4">
        <f t="shared" si="0"/>
        <v>0</v>
      </c>
    </row>
    <row r="17" spans="1:9" x14ac:dyDescent="0.25">
      <c r="B17" t="s">
        <v>10</v>
      </c>
      <c r="G17" s="7">
        <v>293856</v>
      </c>
      <c r="H17" s="4">
        <v>-293856</v>
      </c>
      <c r="I17" s="7">
        <f t="shared" si="0"/>
        <v>0</v>
      </c>
    </row>
    <row r="18" spans="1:9" x14ac:dyDescent="0.25">
      <c r="G18" s="4"/>
      <c r="H18" s="4"/>
      <c r="I18" s="4"/>
    </row>
    <row r="19" spans="1:9" x14ac:dyDescent="0.25">
      <c r="A19" t="s">
        <v>11</v>
      </c>
      <c r="G19" s="7">
        <f>+G16-G17</f>
        <v>153740</v>
      </c>
      <c r="H19" s="4"/>
      <c r="I19" s="7">
        <f>+I16-I17</f>
        <v>0</v>
      </c>
    </row>
    <row r="20" spans="1:9" x14ac:dyDescent="0.25">
      <c r="G20" s="4"/>
      <c r="H20" s="4"/>
      <c r="I20" s="4"/>
    </row>
    <row r="21" spans="1:9" x14ac:dyDescent="0.25">
      <c r="A21" t="s">
        <v>12</v>
      </c>
      <c r="G21" s="7">
        <f>+G12+G19</f>
        <v>1353703</v>
      </c>
      <c r="H21" s="4"/>
      <c r="I21" s="7">
        <f>+I12+I19</f>
        <v>1199963</v>
      </c>
    </row>
    <row r="22" spans="1:9" x14ac:dyDescent="0.25">
      <c r="G22" s="4"/>
      <c r="H22" s="4"/>
      <c r="I22" s="4"/>
    </row>
    <row r="23" spans="1:9" x14ac:dyDescent="0.25">
      <c r="A23" t="s">
        <v>13</v>
      </c>
      <c r="G23" s="4"/>
      <c r="H23" s="4"/>
      <c r="I23" s="4"/>
    </row>
    <row r="24" spans="1:9" x14ac:dyDescent="0.25">
      <c r="A24" t="s">
        <v>14</v>
      </c>
      <c r="G24" s="4"/>
      <c r="H24" s="4"/>
      <c r="I24" s="4"/>
    </row>
    <row r="25" spans="1:9" x14ac:dyDescent="0.25">
      <c r="B25" t="s">
        <v>15</v>
      </c>
      <c r="G25" s="4">
        <v>48263</v>
      </c>
      <c r="H25" s="4"/>
      <c r="I25" s="4">
        <f t="shared" si="0"/>
        <v>48263</v>
      </c>
    </row>
    <row r="26" spans="1:9" x14ac:dyDescent="0.25">
      <c r="B26" t="s">
        <v>16</v>
      </c>
      <c r="G26" s="4">
        <v>74897</v>
      </c>
      <c r="H26" s="4"/>
      <c r="I26" s="4">
        <f t="shared" si="0"/>
        <v>74897</v>
      </c>
    </row>
    <row r="27" spans="1:9" x14ac:dyDescent="0.25">
      <c r="B27" t="s">
        <v>17</v>
      </c>
      <c r="G27" s="7">
        <v>55873</v>
      </c>
      <c r="H27" s="4"/>
      <c r="I27" s="7">
        <f t="shared" si="0"/>
        <v>55873</v>
      </c>
    </row>
    <row r="28" spans="1:9" x14ac:dyDescent="0.25">
      <c r="G28" s="4"/>
      <c r="H28" s="4"/>
      <c r="I28" s="4"/>
    </row>
    <row r="29" spans="1:9" x14ac:dyDescent="0.25">
      <c r="A29" t="s">
        <v>18</v>
      </c>
      <c r="G29" s="7">
        <f>SUM(G25:G28)</f>
        <v>179033</v>
      </c>
      <c r="H29" s="4"/>
      <c r="I29" s="7">
        <f>SUM(I25:I28)</f>
        <v>179033</v>
      </c>
    </row>
    <row r="30" spans="1:9" x14ac:dyDescent="0.25">
      <c r="G30" s="4"/>
      <c r="H30" s="4"/>
      <c r="I30" s="4"/>
    </row>
    <row r="31" spans="1:9" x14ac:dyDescent="0.25">
      <c r="A31" t="s">
        <v>19</v>
      </c>
      <c r="G31" s="4"/>
      <c r="H31" s="4"/>
      <c r="I31" s="4"/>
    </row>
    <row r="32" spans="1:9" x14ac:dyDescent="0.25">
      <c r="B32" t="s">
        <v>20</v>
      </c>
      <c r="G32" s="7">
        <v>37249</v>
      </c>
      <c r="H32" s="4">
        <v>-37249</v>
      </c>
      <c r="I32" s="7">
        <f t="shared" si="0"/>
        <v>0</v>
      </c>
    </row>
    <row r="33" spans="1:9" x14ac:dyDescent="0.25">
      <c r="G33" s="4"/>
      <c r="H33" s="4"/>
      <c r="I33" s="4"/>
    </row>
    <row r="34" spans="1:9" x14ac:dyDescent="0.25">
      <c r="A34" t="s">
        <v>21</v>
      </c>
      <c r="G34" s="7">
        <f>+G29+G32</f>
        <v>216282</v>
      </c>
      <c r="H34" s="4"/>
      <c r="I34" s="7">
        <f>+I29+I32</f>
        <v>179033</v>
      </c>
    </row>
    <row r="35" spans="1:9" x14ac:dyDescent="0.25">
      <c r="G35" s="4"/>
      <c r="H35" s="4"/>
      <c r="I35" s="4"/>
    </row>
    <row r="36" spans="1:9" x14ac:dyDescent="0.25">
      <c r="A36" t="s">
        <v>30</v>
      </c>
      <c r="G36" s="4"/>
      <c r="H36" s="4"/>
      <c r="I36" s="4"/>
    </row>
    <row r="37" spans="1:9" x14ac:dyDescent="0.25">
      <c r="B37" t="s">
        <v>22</v>
      </c>
      <c r="G37" s="4">
        <v>153740</v>
      </c>
      <c r="H37" s="4">
        <f>-G16+G17</f>
        <v>-153740</v>
      </c>
      <c r="I37" s="4">
        <f t="shared" si="0"/>
        <v>0</v>
      </c>
    </row>
    <row r="38" spans="1:9" x14ac:dyDescent="0.25">
      <c r="B38" t="s">
        <v>31</v>
      </c>
      <c r="G38" s="7">
        <v>983681</v>
      </c>
      <c r="H38" s="4">
        <v>37249</v>
      </c>
      <c r="I38" s="7">
        <f t="shared" si="0"/>
        <v>1020930</v>
      </c>
    </row>
    <row r="39" spans="1:9" x14ac:dyDescent="0.25">
      <c r="G39" s="4"/>
      <c r="H39" s="4"/>
      <c r="I39" s="4"/>
    </row>
    <row r="40" spans="1:9" ht="15.75" thickBot="1" x14ac:dyDescent="0.3">
      <c r="A40" t="s">
        <v>23</v>
      </c>
      <c r="G40" s="8">
        <f>SUM(G37:G39)</f>
        <v>1137421</v>
      </c>
      <c r="H40" s="4"/>
      <c r="I40" s="8">
        <f>SUM(I37:I39)</f>
        <v>1020930</v>
      </c>
    </row>
    <row r="41" spans="1:9" ht="15.75" thickTop="1" x14ac:dyDescent="0.25">
      <c r="G41" s="4"/>
      <c r="H41" s="4"/>
      <c r="I41" s="4"/>
    </row>
    <row r="42" spans="1:9" x14ac:dyDescent="0.25">
      <c r="G42" s="4"/>
      <c r="H42" s="4"/>
      <c r="I42" s="4"/>
    </row>
    <row r="43" spans="1:9" x14ac:dyDescent="0.25">
      <c r="G43" s="4"/>
      <c r="H43" s="4"/>
      <c r="I43" s="4"/>
    </row>
    <row r="44" spans="1:9" x14ac:dyDescent="0.25">
      <c r="G44" s="4"/>
      <c r="H44" s="4"/>
      <c r="I44" s="4"/>
    </row>
    <row r="45" spans="1:9" x14ac:dyDescent="0.25">
      <c r="G45" s="4"/>
      <c r="H45" s="4"/>
      <c r="I45" s="4"/>
    </row>
    <row r="46" spans="1:9" x14ac:dyDescent="0.25">
      <c r="G46" s="4"/>
      <c r="H46" s="4"/>
      <c r="I46" s="4"/>
    </row>
    <row r="47" spans="1:9" x14ac:dyDescent="0.25">
      <c r="G47" s="4"/>
      <c r="H47" s="4"/>
      <c r="I47" s="4"/>
    </row>
    <row r="48" spans="1:9" x14ac:dyDescent="0.25">
      <c r="G48" s="4"/>
      <c r="H48" s="4"/>
      <c r="I48" s="4"/>
    </row>
    <row r="49" spans="7:9" x14ac:dyDescent="0.25">
      <c r="G49" s="4"/>
      <c r="H49" s="4"/>
      <c r="I49" s="4"/>
    </row>
    <row r="50" spans="7:9" x14ac:dyDescent="0.25">
      <c r="G50" s="4"/>
      <c r="H50" s="4"/>
      <c r="I50" s="4"/>
    </row>
    <row r="51" spans="7:9" x14ac:dyDescent="0.25">
      <c r="G51" s="4"/>
      <c r="H51" s="4"/>
      <c r="I51" s="4"/>
    </row>
    <row r="52" spans="7:9" x14ac:dyDescent="0.25">
      <c r="G52" s="4"/>
      <c r="H52" s="4"/>
      <c r="I52" s="4"/>
    </row>
    <row r="53" spans="7:9" x14ac:dyDescent="0.25">
      <c r="G53" s="4"/>
      <c r="H53" s="4"/>
      <c r="I53" s="4"/>
    </row>
    <row r="54" spans="7:9" x14ac:dyDescent="0.25">
      <c r="G54" s="4"/>
      <c r="H54" s="4"/>
      <c r="I54" s="4"/>
    </row>
    <row r="55" spans="7:9" x14ac:dyDescent="0.25">
      <c r="G55" s="4"/>
      <c r="H55" s="4"/>
      <c r="I55" s="4"/>
    </row>
    <row r="56" spans="7:9" x14ac:dyDescent="0.25">
      <c r="G56" s="4"/>
      <c r="H56" s="4"/>
      <c r="I56" s="4"/>
    </row>
    <row r="57" spans="7:9" x14ac:dyDescent="0.25">
      <c r="G57" s="4"/>
      <c r="H57" s="4"/>
      <c r="I57" s="4"/>
    </row>
    <row r="58" spans="7:9" x14ac:dyDescent="0.25">
      <c r="G58" s="4"/>
      <c r="H58" s="4"/>
      <c r="I58" s="4"/>
    </row>
    <row r="59" spans="7:9" x14ac:dyDescent="0.25">
      <c r="G59" s="4"/>
      <c r="H59" s="4"/>
      <c r="I59" s="4"/>
    </row>
    <row r="60" spans="7:9" x14ac:dyDescent="0.25">
      <c r="G60" s="4"/>
      <c r="H60" s="4"/>
      <c r="I60" s="4"/>
    </row>
    <row r="61" spans="7:9" x14ac:dyDescent="0.25">
      <c r="G61" s="4"/>
      <c r="H61" s="4"/>
      <c r="I61" s="4"/>
    </row>
    <row r="62" spans="7:9" x14ac:dyDescent="0.25">
      <c r="G62" s="3"/>
      <c r="H62" s="3"/>
      <c r="I62" s="3"/>
    </row>
    <row r="63" spans="7:9" x14ac:dyDescent="0.25">
      <c r="G63" s="3"/>
      <c r="H63" s="3"/>
      <c r="I63" s="3"/>
    </row>
    <row r="64" spans="7:9" x14ac:dyDescent="0.25">
      <c r="G64" s="3"/>
      <c r="H64" s="3"/>
      <c r="I64" s="3"/>
    </row>
    <row r="65" spans="7:9" x14ac:dyDescent="0.25">
      <c r="G65" s="3"/>
      <c r="H65" s="3"/>
      <c r="I65" s="3"/>
    </row>
    <row r="66" spans="7:9" x14ac:dyDescent="0.25">
      <c r="G66" s="3"/>
      <c r="H66" s="3"/>
      <c r="I66" s="3"/>
    </row>
    <row r="67" spans="7:9" x14ac:dyDescent="0.25">
      <c r="G67" s="3"/>
      <c r="H67" s="3"/>
      <c r="I67" s="3"/>
    </row>
    <row r="68" spans="7:9" x14ac:dyDescent="0.25">
      <c r="G68" s="3"/>
      <c r="H68" s="3"/>
      <c r="I68" s="3"/>
    </row>
    <row r="69" spans="7:9" x14ac:dyDescent="0.25">
      <c r="G69" s="3"/>
      <c r="H69" s="3"/>
      <c r="I69" s="3"/>
    </row>
    <row r="70" spans="7:9" x14ac:dyDescent="0.25">
      <c r="G70" s="3"/>
      <c r="H70" s="3"/>
      <c r="I70" s="3"/>
    </row>
    <row r="71" spans="7:9" x14ac:dyDescent="0.25">
      <c r="G71" s="3"/>
      <c r="H71" s="3"/>
      <c r="I71" s="3"/>
    </row>
    <row r="72" spans="7:9" x14ac:dyDescent="0.25">
      <c r="G72" s="3"/>
      <c r="H72" s="3"/>
      <c r="I72" s="3"/>
    </row>
    <row r="73" spans="7:9" x14ac:dyDescent="0.25">
      <c r="G73" s="3"/>
      <c r="H73" s="3"/>
      <c r="I73" s="3"/>
    </row>
    <row r="74" spans="7:9" x14ac:dyDescent="0.25">
      <c r="G74" s="3"/>
      <c r="H74" s="3"/>
      <c r="I74" s="3"/>
    </row>
    <row r="75" spans="7:9" x14ac:dyDescent="0.25">
      <c r="G75" s="3"/>
      <c r="H75" s="3"/>
      <c r="I75" s="3"/>
    </row>
    <row r="76" spans="7:9" x14ac:dyDescent="0.25">
      <c r="G76" s="3"/>
      <c r="H76" s="3"/>
      <c r="I76" s="3"/>
    </row>
    <row r="77" spans="7:9" x14ac:dyDescent="0.25">
      <c r="G77" s="3"/>
      <c r="H77" s="3"/>
      <c r="I77" s="3"/>
    </row>
    <row r="78" spans="7:9" x14ac:dyDescent="0.25">
      <c r="G78" s="3"/>
      <c r="H78" s="3"/>
      <c r="I78" s="3"/>
    </row>
    <row r="79" spans="7:9" x14ac:dyDescent="0.25">
      <c r="G79" s="3"/>
      <c r="H79" s="3"/>
      <c r="I79" s="3"/>
    </row>
    <row r="80" spans="7:9" x14ac:dyDescent="0.25">
      <c r="G80" s="3"/>
      <c r="H80" s="3"/>
      <c r="I80" s="3"/>
    </row>
    <row r="81" spans="7:9" x14ac:dyDescent="0.25">
      <c r="G81" s="3"/>
      <c r="H81" s="3"/>
      <c r="I81" s="3"/>
    </row>
    <row r="82" spans="7:9" x14ac:dyDescent="0.25">
      <c r="G82" s="3"/>
      <c r="H82" s="3"/>
      <c r="I82" s="3"/>
    </row>
    <row r="83" spans="7:9" x14ac:dyDescent="0.25">
      <c r="G83" s="3"/>
      <c r="H83" s="3"/>
      <c r="I83" s="3"/>
    </row>
    <row r="84" spans="7:9" x14ac:dyDescent="0.25">
      <c r="G84" s="3"/>
      <c r="H84" s="3"/>
      <c r="I84" s="3"/>
    </row>
    <row r="85" spans="7:9" x14ac:dyDescent="0.25">
      <c r="G85" s="3"/>
      <c r="H85" s="3"/>
      <c r="I85" s="3"/>
    </row>
    <row r="86" spans="7:9" x14ac:dyDescent="0.25">
      <c r="G86" s="3"/>
      <c r="H86" s="3"/>
      <c r="I86" s="3"/>
    </row>
    <row r="87" spans="7:9" x14ac:dyDescent="0.25">
      <c r="G87" s="3"/>
      <c r="H87" s="3"/>
      <c r="I87" s="3"/>
    </row>
    <row r="88" spans="7:9" x14ac:dyDescent="0.25">
      <c r="G88" s="3"/>
      <c r="H88" s="3"/>
      <c r="I88" s="3"/>
    </row>
    <row r="89" spans="7:9" x14ac:dyDescent="0.25">
      <c r="G89" s="3"/>
      <c r="H89" s="3"/>
      <c r="I89" s="3"/>
    </row>
    <row r="90" spans="7:9" x14ac:dyDescent="0.25">
      <c r="G90" s="3"/>
      <c r="H90" s="3"/>
      <c r="I90" s="3"/>
    </row>
    <row r="91" spans="7:9" x14ac:dyDescent="0.25">
      <c r="G91" s="3"/>
      <c r="H91" s="3"/>
      <c r="I91" s="3"/>
    </row>
    <row r="92" spans="7:9" x14ac:dyDescent="0.25">
      <c r="G92" s="3"/>
      <c r="H92" s="3"/>
      <c r="I92" s="3"/>
    </row>
    <row r="93" spans="7:9" x14ac:dyDescent="0.25">
      <c r="G93" s="3"/>
      <c r="H93" s="3"/>
      <c r="I93" s="3"/>
    </row>
    <row r="94" spans="7:9" x14ac:dyDescent="0.25">
      <c r="G94" s="3"/>
      <c r="H94" s="3"/>
      <c r="I94" s="3"/>
    </row>
    <row r="95" spans="7:9" x14ac:dyDescent="0.25">
      <c r="G95" s="3"/>
      <c r="H95" s="3"/>
      <c r="I95" s="3"/>
    </row>
    <row r="96" spans="7:9" x14ac:dyDescent="0.25">
      <c r="G96" s="3"/>
      <c r="H96" s="3"/>
      <c r="I96" s="3"/>
    </row>
    <row r="97" spans="7:9" x14ac:dyDescent="0.25">
      <c r="G97" s="3"/>
      <c r="H97" s="3"/>
      <c r="I97" s="3"/>
    </row>
    <row r="98" spans="7:9" x14ac:dyDescent="0.25">
      <c r="G98" s="3"/>
      <c r="H98" s="3"/>
      <c r="I98" s="3"/>
    </row>
    <row r="99" spans="7:9" x14ac:dyDescent="0.25">
      <c r="G99" s="3"/>
      <c r="H99" s="3"/>
      <c r="I99" s="3"/>
    </row>
    <row r="100" spans="7:9" x14ac:dyDescent="0.25">
      <c r="G100" s="3"/>
      <c r="H100" s="3"/>
      <c r="I100" s="3"/>
    </row>
    <row r="101" spans="7:9" x14ac:dyDescent="0.25">
      <c r="G101" s="3"/>
      <c r="H101" s="3"/>
      <c r="I101" s="3"/>
    </row>
    <row r="102" spans="7:9" x14ac:dyDescent="0.25">
      <c r="G102" s="3"/>
      <c r="H102" s="3"/>
      <c r="I102" s="3"/>
    </row>
    <row r="103" spans="7:9" x14ac:dyDescent="0.25">
      <c r="G103" s="3"/>
      <c r="H103" s="3"/>
      <c r="I103" s="3"/>
    </row>
    <row r="104" spans="7:9" x14ac:dyDescent="0.25">
      <c r="G104" s="3"/>
      <c r="H104" s="3"/>
      <c r="I104" s="3"/>
    </row>
    <row r="105" spans="7:9" x14ac:dyDescent="0.25">
      <c r="G105" s="3"/>
      <c r="H105" s="3"/>
      <c r="I105" s="3"/>
    </row>
    <row r="106" spans="7:9" x14ac:dyDescent="0.25">
      <c r="G106" s="3"/>
      <c r="H106" s="3"/>
      <c r="I106" s="3"/>
    </row>
    <row r="107" spans="7:9" x14ac:dyDescent="0.25">
      <c r="G107" s="3"/>
      <c r="H107" s="3"/>
      <c r="I107" s="3"/>
    </row>
    <row r="108" spans="7:9" x14ac:dyDescent="0.25">
      <c r="G108" s="3"/>
      <c r="H108" s="3"/>
      <c r="I108" s="3"/>
    </row>
    <row r="109" spans="7:9" x14ac:dyDescent="0.25">
      <c r="G109" s="3"/>
      <c r="H109" s="3"/>
      <c r="I109" s="3"/>
    </row>
    <row r="110" spans="7:9" x14ac:dyDescent="0.25">
      <c r="G110" s="3"/>
      <c r="H110" s="3"/>
      <c r="I110" s="3"/>
    </row>
    <row r="111" spans="7:9" x14ac:dyDescent="0.25">
      <c r="G111" s="3"/>
      <c r="H111" s="3"/>
      <c r="I111" s="3"/>
    </row>
    <row r="112" spans="7:9" x14ac:dyDescent="0.25">
      <c r="G112" s="3"/>
      <c r="H112" s="3"/>
      <c r="I112" s="3"/>
    </row>
    <row r="113" spans="7:9" x14ac:dyDescent="0.25">
      <c r="G113" s="3"/>
      <c r="H113" s="3"/>
      <c r="I113" s="3"/>
    </row>
    <row r="114" spans="7:9" x14ac:dyDescent="0.25">
      <c r="G114" s="3"/>
      <c r="H114" s="3"/>
      <c r="I114" s="3"/>
    </row>
    <row r="115" spans="7:9" x14ac:dyDescent="0.25">
      <c r="G115" s="3"/>
      <c r="H115" s="3"/>
      <c r="I115" s="3"/>
    </row>
    <row r="116" spans="7:9" x14ac:dyDescent="0.25">
      <c r="G116" s="3"/>
      <c r="H116" s="3"/>
      <c r="I116" s="3"/>
    </row>
    <row r="117" spans="7:9" x14ac:dyDescent="0.25">
      <c r="G117" s="3"/>
      <c r="H117" s="3"/>
      <c r="I117" s="3"/>
    </row>
    <row r="118" spans="7:9" x14ac:dyDescent="0.25">
      <c r="G118" s="3"/>
      <c r="H118" s="3"/>
      <c r="I118" s="3"/>
    </row>
    <row r="119" spans="7:9" x14ac:dyDescent="0.25">
      <c r="G119" s="3"/>
      <c r="H119" s="3"/>
      <c r="I119" s="3"/>
    </row>
    <row r="120" spans="7:9" x14ac:dyDescent="0.25">
      <c r="G120" s="3"/>
      <c r="H120" s="3"/>
      <c r="I120" s="3"/>
    </row>
    <row r="121" spans="7:9" x14ac:dyDescent="0.25">
      <c r="G121" s="3"/>
      <c r="H121" s="3"/>
      <c r="I121" s="3"/>
    </row>
    <row r="122" spans="7:9" x14ac:dyDescent="0.25">
      <c r="G122" s="3"/>
      <c r="H122" s="3"/>
      <c r="I122" s="3"/>
    </row>
    <row r="123" spans="7:9" x14ac:dyDescent="0.25">
      <c r="G123" s="3"/>
      <c r="H123" s="3"/>
      <c r="I123" s="3"/>
    </row>
    <row r="124" spans="7:9" x14ac:dyDescent="0.25">
      <c r="G124" s="3"/>
      <c r="H124" s="3"/>
      <c r="I124" s="3"/>
    </row>
    <row r="125" spans="7:9" x14ac:dyDescent="0.25">
      <c r="G125" s="3"/>
      <c r="H125" s="3"/>
      <c r="I125" s="3"/>
    </row>
    <row r="126" spans="7:9" x14ac:dyDescent="0.25">
      <c r="G126" s="3"/>
      <c r="H126" s="3"/>
      <c r="I126" s="3"/>
    </row>
    <row r="127" spans="7:9" x14ac:dyDescent="0.25">
      <c r="G127" s="3"/>
      <c r="H127" s="3"/>
      <c r="I127" s="3"/>
    </row>
    <row r="128" spans="7:9" x14ac:dyDescent="0.25">
      <c r="G128" s="3"/>
      <c r="H128" s="3"/>
      <c r="I128" s="3"/>
    </row>
    <row r="129" spans="7:9" x14ac:dyDescent="0.25">
      <c r="G129" s="3"/>
      <c r="H129" s="3"/>
      <c r="I129" s="3"/>
    </row>
    <row r="130" spans="7:9" x14ac:dyDescent="0.25">
      <c r="G130" s="3"/>
      <c r="H130" s="3"/>
      <c r="I130" s="3"/>
    </row>
    <row r="131" spans="7:9" x14ac:dyDescent="0.25">
      <c r="G131" s="3"/>
      <c r="H131" s="3"/>
      <c r="I131" s="3"/>
    </row>
    <row r="132" spans="7:9" x14ac:dyDescent="0.25">
      <c r="G132" s="3"/>
      <c r="H132" s="3"/>
      <c r="I132" s="3"/>
    </row>
    <row r="133" spans="7:9" x14ac:dyDescent="0.25">
      <c r="G133" s="3"/>
      <c r="H133" s="3"/>
      <c r="I133" s="3"/>
    </row>
    <row r="134" spans="7:9" x14ac:dyDescent="0.25">
      <c r="G134" s="3"/>
      <c r="H134" s="3"/>
      <c r="I134" s="3"/>
    </row>
    <row r="135" spans="7:9" x14ac:dyDescent="0.25">
      <c r="G135" s="3"/>
      <c r="H135" s="3"/>
      <c r="I135" s="3"/>
    </row>
    <row r="136" spans="7:9" x14ac:dyDescent="0.25">
      <c r="G136" s="3"/>
      <c r="H136" s="3"/>
      <c r="I136" s="3"/>
    </row>
    <row r="137" spans="7:9" x14ac:dyDescent="0.25">
      <c r="G137" s="3"/>
      <c r="H137" s="3"/>
      <c r="I137" s="3"/>
    </row>
    <row r="138" spans="7:9" x14ac:dyDescent="0.25">
      <c r="G138" s="3"/>
      <c r="H138" s="3"/>
      <c r="I138" s="3"/>
    </row>
    <row r="139" spans="7:9" x14ac:dyDescent="0.25">
      <c r="G139" s="3"/>
      <c r="H139" s="3"/>
      <c r="I139" s="3"/>
    </row>
    <row r="140" spans="7:9" x14ac:dyDescent="0.25">
      <c r="G140" s="3"/>
      <c r="H140" s="3"/>
      <c r="I140" s="3"/>
    </row>
    <row r="141" spans="7:9" x14ac:dyDescent="0.25">
      <c r="G141" s="3"/>
      <c r="H141" s="3"/>
      <c r="I141" s="3"/>
    </row>
    <row r="142" spans="7:9" x14ac:dyDescent="0.25">
      <c r="G142" s="3"/>
      <c r="H142" s="3"/>
      <c r="I142" s="3"/>
    </row>
    <row r="143" spans="7:9" x14ac:dyDescent="0.25">
      <c r="G143" s="3"/>
      <c r="H143" s="3"/>
      <c r="I143" s="3"/>
    </row>
    <row r="144" spans="7:9" x14ac:dyDescent="0.25">
      <c r="G144" s="3"/>
      <c r="H144" s="3"/>
      <c r="I144" s="3"/>
    </row>
    <row r="145" spans="7:9" x14ac:dyDescent="0.25">
      <c r="G145" s="3"/>
      <c r="H145" s="3"/>
      <c r="I145" s="3"/>
    </row>
    <row r="146" spans="7:9" x14ac:dyDescent="0.25">
      <c r="G146" s="3"/>
      <c r="H146" s="3"/>
      <c r="I146" s="3"/>
    </row>
    <row r="147" spans="7:9" x14ac:dyDescent="0.25">
      <c r="G147" s="3"/>
      <c r="H147" s="3"/>
      <c r="I147" s="3"/>
    </row>
    <row r="148" spans="7:9" x14ac:dyDescent="0.25">
      <c r="G148" s="3"/>
      <c r="H148" s="3"/>
      <c r="I148" s="3"/>
    </row>
    <row r="149" spans="7:9" x14ac:dyDescent="0.25">
      <c r="G149" s="3"/>
      <c r="H149" s="3"/>
      <c r="I149" s="3"/>
    </row>
    <row r="150" spans="7:9" x14ac:dyDescent="0.25">
      <c r="G150" s="3"/>
      <c r="H150" s="3"/>
      <c r="I150" s="3"/>
    </row>
    <row r="151" spans="7:9" x14ac:dyDescent="0.25">
      <c r="G151" s="3"/>
      <c r="H151" s="3"/>
      <c r="I151" s="3"/>
    </row>
    <row r="152" spans="7:9" x14ac:dyDescent="0.25">
      <c r="G152" s="3"/>
      <c r="H152" s="3"/>
      <c r="I152" s="3"/>
    </row>
    <row r="153" spans="7:9" x14ac:dyDescent="0.25">
      <c r="G153" s="3"/>
      <c r="H153" s="3"/>
      <c r="I153" s="3"/>
    </row>
    <row r="154" spans="7:9" x14ac:dyDescent="0.25">
      <c r="G154" s="3"/>
      <c r="H154" s="3"/>
      <c r="I154" s="3"/>
    </row>
    <row r="155" spans="7:9" x14ac:dyDescent="0.25">
      <c r="G155" s="3"/>
      <c r="H155" s="3"/>
      <c r="I155" s="3"/>
    </row>
    <row r="156" spans="7:9" x14ac:dyDescent="0.25">
      <c r="G156" s="3"/>
      <c r="H156" s="3"/>
      <c r="I156" s="3"/>
    </row>
    <row r="157" spans="7:9" x14ac:dyDescent="0.25">
      <c r="G157" s="3"/>
      <c r="H157" s="3"/>
      <c r="I157" s="3"/>
    </row>
    <row r="158" spans="7:9" x14ac:dyDescent="0.25">
      <c r="G158" s="3"/>
      <c r="H158" s="3"/>
      <c r="I158" s="3"/>
    </row>
    <row r="159" spans="7:9" x14ac:dyDescent="0.25">
      <c r="G159" s="3"/>
      <c r="H159" s="3"/>
      <c r="I159" s="3"/>
    </row>
    <row r="160" spans="7:9" x14ac:dyDescent="0.25">
      <c r="G160" s="3"/>
      <c r="H160" s="3"/>
      <c r="I160" s="3"/>
    </row>
    <row r="161" spans="7:9" x14ac:dyDescent="0.25">
      <c r="G161" s="3"/>
      <c r="H161" s="3"/>
      <c r="I161" s="3"/>
    </row>
    <row r="162" spans="7:9" x14ac:dyDescent="0.25">
      <c r="G162" s="3"/>
      <c r="H162" s="3"/>
      <c r="I162" s="3"/>
    </row>
    <row r="163" spans="7:9" x14ac:dyDescent="0.25">
      <c r="G163" s="3"/>
      <c r="H163" s="3"/>
      <c r="I163" s="3"/>
    </row>
    <row r="164" spans="7:9" x14ac:dyDescent="0.25">
      <c r="G164" s="3"/>
      <c r="H164" s="3"/>
      <c r="I164" s="3"/>
    </row>
    <row r="165" spans="7:9" x14ac:dyDescent="0.25">
      <c r="G165" s="3"/>
      <c r="H165" s="3"/>
      <c r="I165" s="3"/>
    </row>
    <row r="166" spans="7:9" x14ac:dyDescent="0.25">
      <c r="G166" s="3"/>
      <c r="H166" s="3"/>
      <c r="I166" s="3"/>
    </row>
    <row r="167" spans="7:9" x14ac:dyDescent="0.25">
      <c r="G167" s="3"/>
      <c r="H167" s="3"/>
      <c r="I167" s="3"/>
    </row>
    <row r="168" spans="7:9" x14ac:dyDescent="0.25">
      <c r="G168" s="3"/>
      <c r="H168" s="3"/>
      <c r="I168" s="3"/>
    </row>
    <row r="169" spans="7:9" x14ac:dyDescent="0.25">
      <c r="G169" s="3"/>
      <c r="H169" s="3"/>
      <c r="I169" s="3"/>
    </row>
    <row r="170" spans="7:9" x14ac:dyDescent="0.25">
      <c r="G170" s="3"/>
      <c r="H170" s="3"/>
      <c r="I170" s="3"/>
    </row>
    <row r="171" spans="7:9" x14ac:dyDescent="0.25">
      <c r="G171" s="3"/>
      <c r="H171" s="3"/>
      <c r="I171" s="3"/>
    </row>
    <row r="172" spans="7:9" x14ac:dyDescent="0.25">
      <c r="G172" s="3"/>
      <c r="H172" s="3"/>
      <c r="I172" s="3"/>
    </row>
    <row r="173" spans="7:9" x14ac:dyDescent="0.25">
      <c r="G173" s="3"/>
      <c r="H173" s="3"/>
      <c r="I173" s="3"/>
    </row>
    <row r="174" spans="7:9" x14ac:dyDescent="0.25">
      <c r="G174" s="3"/>
      <c r="H174" s="3"/>
      <c r="I174" s="3"/>
    </row>
    <row r="175" spans="7:9" x14ac:dyDescent="0.25">
      <c r="G175" s="3"/>
      <c r="H175" s="3"/>
      <c r="I175" s="3"/>
    </row>
    <row r="176" spans="7:9" x14ac:dyDescent="0.25">
      <c r="G176" s="3"/>
      <c r="H176" s="3"/>
      <c r="I176" s="3"/>
    </row>
    <row r="177" spans="7:9" x14ac:dyDescent="0.25">
      <c r="G177" s="3"/>
      <c r="H177" s="3"/>
      <c r="I177" s="3"/>
    </row>
    <row r="178" spans="7:9" x14ac:dyDescent="0.25">
      <c r="G178" s="3"/>
      <c r="H178" s="3"/>
      <c r="I178" s="3"/>
    </row>
    <row r="179" spans="7:9" x14ac:dyDescent="0.25">
      <c r="G179" s="3"/>
      <c r="H179" s="3"/>
      <c r="I179" s="3"/>
    </row>
    <row r="180" spans="7:9" x14ac:dyDescent="0.25">
      <c r="G180" s="3"/>
      <c r="H180" s="3"/>
      <c r="I180" s="3"/>
    </row>
    <row r="181" spans="7:9" x14ac:dyDescent="0.25">
      <c r="G181" s="3"/>
      <c r="H181" s="3"/>
      <c r="I181" s="3"/>
    </row>
    <row r="182" spans="7:9" x14ac:dyDescent="0.25">
      <c r="G182" s="3"/>
      <c r="H182" s="3"/>
      <c r="I182" s="3"/>
    </row>
    <row r="183" spans="7:9" x14ac:dyDescent="0.25">
      <c r="G183" s="3"/>
      <c r="H183" s="3"/>
      <c r="I183" s="3"/>
    </row>
    <row r="184" spans="7:9" x14ac:dyDescent="0.25">
      <c r="G184" s="3"/>
      <c r="H184" s="3"/>
      <c r="I184" s="3"/>
    </row>
    <row r="185" spans="7:9" x14ac:dyDescent="0.25">
      <c r="G185" s="3"/>
      <c r="H185" s="3"/>
      <c r="I185" s="3"/>
    </row>
    <row r="186" spans="7:9" x14ac:dyDescent="0.25">
      <c r="G186" s="3"/>
      <c r="H186" s="3"/>
      <c r="I186" s="3"/>
    </row>
    <row r="187" spans="7:9" x14ac:dyDescent="0.25">
      <c r="G187" s="3"/>
      <c r="H187" s="3"/>
      <c r="I187" s="3"/>
    </row>
    <row r="188" spans="7:9" x14ac:dyDescent="0.25">
      <c r="G188" s="3"/>
      <c r="H188" s="3"/>
      <c r="I188" s="3"/>
    </row>
    <row r="189" spans="7:9" x14ac:dyDescent="0.25">
      <c r="G189" s="3"/>
      <c r="H189" s="3"/>
      <c r="I189" s="3"/>
    </row>
    <row r="190" spans="7:9" x14ac:dyDescent="0.25">
      <c r="G190" s="3"/>
      <c r="H190" s="3"/>
      <c r="I190" s="3"/>
    </row>
    <row r="191" spans="7:9" x14ac:dyDescent="0.25">
      <c r="G191" s="3"/>
      <c r="H191" s="3"/>
      <c r="I191" s="3"/>
    </row>
    <row r="192" spans="7:9" x14ac:dyDescent="0.25">
      <c r="G192" s="3"/>
      <c r="H192" s="3"/>
      <c r="I192" s="3"/>
    </row>
    <row r="193" spans="7:9" x14ac:dyDescent="0.25">
      <c r="G193" s="3"/>
      <c r="H193" s="3"/>
      <c r="I193" s="3"/>
    </row>
    <row r="194" spans="7:9" x14ac:dyDescent="0.25">
      <c r="G194" s="3"/>
      <c r="H194" s="3"/>
      <c r="I194" s="3"/>
    </row>
    <row r="195" spans="7:9" x14ac:dyDescent="0.25">
      <c r="G195" s="3"/>
      <c r="H195" s="3"/>
      <c r="I195" s="3"/>
    </row>
    <row r="196" spans="7:9" x14ac:dyDescent="0.25">
      <c r="G196" s="3"/>
      <c r="H196" s="3"/>
      <c r="I196" s="3"/>
    </row>
    <row r="197" spans="7:9" x14ac:dyDescent="0.25">
      <c r="G197" s="3"/>
      <c r="H197" s="3"/>
      <c r="I197" s="3"/>
    </row>
    <row r="198" spans="7:9" x14ac:dyDescent="0.25">
      <c r="G198" s="3"/>
      <c r="H198" s="3"/>
      <c r="I198" s="3"/>
    </row>
    <row r="199" spans="7:9" x14ac:dyDescent="0.25">
      <c r="G199" s="3"/>
      <c r="H199" s="3"/>
      <c r="I199" s="3"/>
    </row>
    <row r="200" spans="7:9" x14ac:dyDescent="0.25">
      <c r="G200" s="3"/>
      <c r="H200" s="3"/>
      <c r="I200" s="3"/>
    </row>
    <row r="201" spans="7:9" x14ac:dyDescent="0.25">
      <c r="G201" s="3"/>
      <c r="H201" s="3"/>
      <c r="I201" s="3"/>
    </row>
    <row r="202" spans="7:9" x14ac:dyDescent="0.25">
      <c r="G202" s="3"/>
      <c r="H202" s="3"/>
      <c r="I202" s="3"/>
    </row>
    <row r="203" spans="7:9" x14ac:dyDescent="0.25">
      <c r="G203" s="3"/>
      <c r="H203" s="3"/>
      <c r="I203" s="3"/>
    </row>
    <row r="204" spans="7:9" x14ac:dyDescent="0.25">
      <c r="G204" s="3"/>
      <c r="H204" s="3"/>
      <c r="I204" s="3"/>
    </row>
    <row r="205" spans="7:9" x14ac:dyDescent="0.25">
      <c r="G205" s="3"/>
      <c r="H205" s="3"/>
      <c r="I205" s="3"/>
    </row>
    <row r="206" spans="7:9" x14ac:dyDescent="0.25">
      <c r="G206" s="3"/>
      <c r="H206" s="3"/>
      <c r="I206" s="3"/>
    </row>
    <row r="207" spans="7:9" x14ac:dyDescent="0.25">
      <c r="G207" s="3"/>
      <c r="H207" s="3"/>
      <c r="I207" s="3"/>
    </row>
    <row r="208" spans="7:9" x14ac:dyDescent="0.25">
      <c r="G208" s="3"/>
      <c r="H208" s="3"/>
      <c r="I208" s="3"/>
    </row>
    <row r="209" spans="7:9" x14ac:dyDescent="0.25">
      <c r="G209" s="3"/>
      <c r="H209" s="3"/>
      <c r="I209" s="3"/>
    </row>
    <row r="210" spans="7:9" x14ac:dyDescent="0.25">
      <c r="G210" s="3"/>
      <c r="H210" s="3"/>
      <c r="I210" s="3"/>
    </row>
    <row r="211" spans="7:9" x14ac:dyDescent="0.25">
      <c r="G211" s="3"/>
      <c r="H211" s="3"/>
      <c r="I211" s="3"/>
    </row>
    <row r="212" spans="7:9" x14ac:dyDescent="0.25">
      <c r="G212" s="3"/>
      <c r="H212" s="3"/>
      <c r="I212" s="3"/>
    </row>
    <row r="213" spans="7:9" x14ac:dyDescent="0.25">
      <c r="G213" s="3"/>
      <c r="H213" s="3"/>
      <c r="I213" s="3"/>
    </row>
    <row r="214" spans="7:9" x14ac:dyDescent="0.25">
      <c r="G214" s="3"/>
      <c r="H214" s="3"/>
      <c r="I214" s="3"/>
    </row>
    <row r="215" spans="7:9" x14ac:dyDescent="0.25">
      <c r="G215" s="3"/>
      <c r="H215" s="3"/>
      <c r="I215" s="3"/>
    </row>
    <row r="216" spans="7:9" x14ac:dyDescent="0.25">
      <c r="G216" s="3"/>
      <c r="H216" s="3"/>
      <c r="I216" s="3"/>
    </row>
    <row r="217" spans="7:9" x14ac:dyDescent="0.25">
      <c r="G217" s="3"/>
      <c r="H217" s="3"/>
      <c r="I217" s="3"/>
    </row>
    <row r="218" spans="7:9" x14ac:dyDescent="0.25">
      <c r="G218" s="3"/>
      <c r="H218" s="3"/>
      <c r="I218" s="3"/>
    </row>
    <row r="219" spans="7:9" x14ac:dyDescent="0.25">
      <c r="G219" s="3"/>
      <c r="H219" s="3"/>
      <c r="I219" s="3"/>
    </row>
    <row r="220" spans="7:9" x14ac:dyDescent="0.25">
      <c r="G220" s="3"/>
      <c r="H220" s="3"/>
      <c r="I220" s="3"/>
    </row>
    <row r="221" spans="7:9" x14ac:dyDescent="0.25">
      <c r="G221" s="3"/>
      <c r="H221" s="3"/>
      <c r="I221" s="3"/>
    </row>
    <row r="222" spans="7:9" x14ac:dyDescent="0.25">
      <c r="G222" s="3"/>
      <c r="H222" s="3"/>
      <c r="I222" s="3"/>
    </row>
    <row r="223" spans="7:9" x14ac:dyDescent="0.25">
      <c r="G223" s="3"/>
      <c r="H223" s="3"/>
      <c r="I223" s="3"/>
    </row>
    <row r="224" spans="7:9" x14ac:dyDescent="0.25">
      <c r="G224" s="3"/>
      <c r="H224" s="3"/>
      <c r="I224" s="3"/>
    </row>
    <row r="225" spans="7:9" x14ac:dyDescent="0.25">
      <c r="G225" s="3"/>
      <c r="H225" s="3"/>
      <c r="I225" s="3"/>
    </row>
    <row r="226" spans="7:9" x14ac:dyDescent="0.25">
      <c r="G226" s="3"/>
      <c r="H226" s="3"/>
      <c r="I226" s="3"/>
    </row>
    <row r="227" spans="7:9" x14ac:dyDescent="0.25">
      <c r="G227" s="3"/>
      <c r="H227" s="3"/>
      <c r="I227" s="3"/>
    </row>
    <row r="228" spans="7:9" x14ac:dyDescent="0.25">
      <c r="G228" s="3"/>
      <c r="H228" s="3"/>
      <c r="I228" s="3"/>
    </row>
    <row r="229" spans="7:9" x14ac:dyDescent="0.25">
      <c r="G229" s="3"/>
      <c r="H229" s="3"/>
      <c r="I229" s="3"/>
    </row>
    <row r="230" spans="7:9" x14ac:dyDescent="0.25">
      <c r="G230" s="3"/>
      <c r="H230" s="3"/>
      <c r="I230" s="3"/>
    </row>
    <row r="231" spans="7:9" x14ac:dyDescent="0.25">
      <c r="G231" s="3"/>
      <c r="H231" s="3"/>
      <c r="I231" s="3"/>
    </row>
    <row r="232" spans="7:9" x14ac:dyDescent="0.25">
      <c r="G232" s="3"/>
      <c r="H232" s="3"/>
      <c r="I232" s="3"/>
    </row>
    <row r="233" spans="7:9" x14ac:dyDescent="0.25">
      <c r="G233" s="3"/>
      <c r="H233" s="3"/>
      <c r="I233" s="3"/>
    </row>
    <row r="234" spans="7:9" x14ac:dyDescent="0.25">
      <c r="G234" s="3"/>
      <c r="H234" s="3"/>
      <c r="I234" s="3"/>
    </row>
    <row r="235" spans="7:9" x14ac:dyDescent="0.25">
      <c r="G235" s="3"/>
      <c r="H235" s="3"/>
      <c r="I235" s="3"/>
    </row>
    <row r="236" spans="7:9" x14ac:dyDescent="0.25">
      <c r="G236" s="3"/>
      <c r="H236" s="3"/>
      <c r="I236" s="3"/>
    </row>
    <row r="237" spans="7:9" x14ac:dyDescent="0.25">
      <c r="G237" s="3"/>
      <c r="H237" s="3"/>
      <c r="I237" s="3"/>
    </row>
    <row r="238" spans="7:9" x14ac:dyDescent="0.25">
      <c r="G238" s="3"/>
      <c r="H238" s="3"/>
      <c r="I238" s="3"/>
    </row>
    <row r="239" spans="7:9" x14ac:dyDescent="0.25">
      <c r="G239" s="3"/>
      <c r="H239" s="3"/>
      <c r="I239" s="3"/>
    </row>
    <row r="240" spans="7:9" x14ac:dyDescent="0.25">
      <c r="G240" s="3"/>
      <c r="H240" s="3"/>
      <c r="I240" s="3"/>
    </row>
    <row r="241" spans="7:9" x14ac:dyDescent="0.25">
      <c r="G241" s="3"/>
      <c r="H241" s="3"/>
      <c r="I241" s="3"/>
    </row>
    <row r="242" spans="7:9" x14ac:dyDescent="0.25">
      <c r="G242" s="3"/>
      <c r="H242" s="3"/>
      <c r="I242" s="3"/>
    </row>
    <row r="243" spans="7:9" x14ac:dyDescent="0.25">
      <c r="G243" s="3"/>
      <c r="H243" s="3"/>
      <c r="I243" s="3"/>
    </row>
    <row r="244" spans="7:9" x14ac:dyDescent="0.25">
      <c r="G244" s="3"/>
      <c r="H244" s="3"/>
      <c r="I244" s="3"/>
    </row>
    <row r="245" spans="7:9" x14ac:dyDescent="0.25">
      <c r="G245" s="3"/>
      <c r="H245" s="3"/>
      <c r="I245" s="3"/>
    </row>
    <row r="246" spans="7:9" x14ac:dyDescent="0.25">
      <c r="G246" s="3"/>
      <c r="H246" s="3"/>
      <c r="I246" s="3"/>
    </row>
    <row r="247" spans="7:9" x14ac:dyDescent="0.25">
      <c r="G247" s="3"/>
      <c r="H247" s="3"/>
      <c r="I247" s="3"/>
    </row>
    <row r="248" spans="7:9" x14ac:dyDescent="0.25">
      <c r="G248" s="3"/>
      <c r="H248" s="3"/>
      <c r="I248" s="3"/>
    </row>
    <row r="249" spans="7:9" x14ac:dyDescent="0.25">
      <c r="G249" s="3"/>
      <c r="H249" s="3"/>
      <c r="I249" s="3"/>
    </row>
    <row r="250" spans="7:9" x14ac:dyDescent="0.25">
      <c r="G250" s="3"/>
      <c r="H250" s="3"/>
      <c r="I250" s="3"/>
    </row>
    <row r="251" spans="7:9" x14ac:dyDescent="0.25">
      <c r="G251" s="3"/>
      <c r="H251" s="3"/>
      <c r="I251" s="3"/>
    </row>
    <row r="252" spans="7:9" x14ac:dyDescent="0.25">
      <c r="G252" s="3"/>
      <c r="H252" s="3"/>
      <c r="I252" s="3"/>
    </row>
    <row r="253" spans="7:9" x14ac:dyDescent="0.25">
      <c r="G253" s="3"/>
      <c r="H253" s="3"/>
      <c r="I253" s="3"/>
    </row>
    <row r="254" spans="7:9" x14ac:dyDescent="0.25">
      <c r="G254" s="3"/>
      <c r="H254" s="3"/>
      <c r="I254" s="3"/>
    </row>
    <row r="255" spans="7:9" x14ac:dyDescent="0.25">
      <c r="G255" s="3"/>
      <c r="H255" s="3"/>
      <c r="I255" s="3"/>
    </row>
    <row r="256" spans="7:9" x14ac:dyDescent="0.25">
      <c r="G256" s="3"/>
      <c r="H256" s="3"/>
      <c r="I256" s="3"/>
    </row>
    <row r="257" spans="7:9" x14ac:dyDescent="0.25">
      <c r="G257" s="3"/>
      <c r="H257" s="3"/>
      <c r="I257" s="3"/>
    </row>
    <row r="258" spans="7:9" x14ac:dyDescent="0.25">
      <c r="G258" s="3"/>
      <c r="H258" s="3"/>
      <c r="I258" s="3"/>
    </row>
    <row r="259" spans="7:9" x14ac:dyDescent="0.25">
      <c r="G259" s="3"/>
      <c r="H259" s="3"/>
      <c r="I259" s="3"/>
    </row>
    <row r="260" spans="7:9" x14ac:dyDescent="0.25">
      <c r="G260" s="3"/>
      <c r="H260" s="3"/>
      <c r="I260" s="3"/>
    </row>
    <row r="261" spans="7:9" x14ac:dyDescent="0.25">
      <c r="G261" s="3"/>
      <c r="H261" s="3"/>
      <c r="I261" s="3"/>
    </row>
    <row r="262" spans="7:9" x14ac:dyDescent="0.25">
      <c r="G262" s="3"/>
      <c r="H262" s="3"/>
      <c r="I262" s="3"/>
    </row>
    <row r="263" spans="7:9" x14ac:dyDescent="0.25">
      <c r="G263" s="3"/>
      <c r="H263" s="3"/>
      <c r="I263" s="3"/>
    </row>
    <row r="264" spans="7:9" x14ac:dyDescent="0.25">
      <c r="G264" s="3"/>
      <c r="H264" s="3"/>
      <c r="I264" s="3"/>
    </row>
    <row r="265" spans="7:9" x14ac:dyDescent="0.25">
      <c r="G265" s="3"/>
      <c r="H265" s="3"/>
      <c r="I265" s="3"/>
    </row>
    <row r="266" spans="7:9" x14ac:dyDescent="0.25">
      <c r="G266" s="3"/>
      <c r="H266" s="3"/>
      <c r="I266" s="3"/>
    </row>
    <row r="267" spans="7:9" x14ac:dyDescent="0.25">
      <c r="G267" s="3"/>
      <c r="H267" s="3"/>
      <c r="I267" s="3"/>
    </row>
    <row r="268" spans="7:9" x14ac:dyDescent="0.25">
      <c r="G268" s="3"/>
      <c r="H268" s="3"/>
      <c r="I268" s="3"/>
    </row>
    <row r="269" spans="7:9" x14ac:dyDescent="0.25">
      <c r="G269" s="3"/>
      <c r="H269" s="3"/>
      <c r="I269" s="3"/>
    </row>
    <row r="270" spans="7:9" x14ac:dyDescent="0.25">
      <c r="G270" s="3"/>
      <c r="H270" s="3"/>
      <c r="I270" s="3"/>
    </row>
    <row r="271" spans="7:9" x14ac:dyDescent="0.25">
      <c r="G271" s="3"/>
      <c r="H271" s="3"/>
      <c r="I271" s="3"/>
    </row>
    <row r="272" spans="7:9" x14ac:dyDescent="0.25">
      <c r="G272" s="3"/>
      <c r="H272" s="3"/>
      <c r="I272" s="3"/>
    </row>
    <row r="273" spans="7:9" x14ac:dyDescent="0.25">
      <c r="G273" s="3"/>
      <c r="H273" s="3"/>
      <c r="I273" s="3"/>
    </row>
    <row r="274" spans="7:9" x14ac:dyDescent="0.25">
      <c r="G274" s="3"/>
      <c r="H274" s="3"/>
      <c r="I274" s="3"/>
    </row>
    <row r="275" spans="7:9" x14ac:dyDescent="0.25">
      <c r="G275" s="3"/>
      <c r="H275" s="3"/>
      <c r="I275" s="3"/>
    </row>
    <row r="276" spans="7:9" x14ac:dyDescent="0.25">
      <c r="G276" s="3"/>
      <c r="H276" s="3"/>
      <c r="I276" s="3"/>
    </row>
    <row r="277" spans="7:9" x14ac:dyDescent="0.25">
      <c r="G277" s="3"/>
      <c r="H277" s="3"/>
      <c r="I277" s="3"/>
    </row>
    <row r="278" spans="7:9" x14ac:dyDescent="0.25">
      <c r="G278" s="3"/>
      <c r="H278" s="3"/>
      <c r="I278" s="3"/>
    </row>
    <row r="279" spans="7:9" x14ac:dyDescent="0.25">
      <c r="G279" s="3"/>
      <c r="H279" s="3"/>
      <c r="I279" s="3"/>
    </row>
    <row r="280" spans="7:9" x14ac:dyDescent="0.25">
      <c r="G280" s="3"/>
      <c r="H280" s="3"/>
      <c r="I280" s="3"/>
    </row>
    <row r="281" spans="7:9" x14ac:dyDescent="0.25">
      <c r="G281" s="3"/>
      <c r="H281" s="3"/>
      <c r="I281" s="3"/>
    </row>
    <row r="282" spans="7:9" x14ac:dyDescent="0.25">
      <c r="G282" s="3"/>
      <c r="H282" s="3"/>
      <c r="I282" s="3"/>
    </row>
    <row r="283" spans="7:9" x14ac:dyDescent="0.25">
      <c r="G283" s="3"/>
      <c r="H283" s="3"/>
      <c r="I283" s="3"/>
    </row>
    <row r="284" spans="7:9" x14ac:dyDescent="0.25">
      <c r="G284" s="3"/>
      <c r="H284" s="3"/>
      <c r="I284" s="3"/>
    </row>
    <row r="285" spans="7:9" x14ac:dyDescent="0.25">
      <c r="G285" s="3"/>
      <c r="H285" s="3"/>
      <c r="I285" s="3"/>
    </row>
    <row r="286" spans="7:9" x14ac:dyDescent="0.25">
      <c r="G286" s="3"/>
      <c r="H286" s="3"/>
      <c r="I286" s="3"/>
    </row>
    <row r="287" spans="7:9" x14ac:dyDescent="0.25">
      <c r="G287" s="3"/>
      <c r="H287" s="3"/>
      <c r="I287" s="3"/>
    </row>
    <row r="288" spans="7:9" x14ac:dyDescent="0.25">
      <c r="G288" s="3"/>
      <c r="H288" s="3"/>
      <c r="I288" s="3"/>
    </row>
    <row r="289" spans="7:9" x14ac:dyDescent="0.25">
      <c r="G289" s="3"/>
      <c r="H289" s="3"/>
      <c r="I289" s="3"/>
    </row>
    <row r="290" spans="7:9" x14ac:dyDescent="0.25">
      <c r="G290" s="3"/>
      <c r="H290" s="3"/>
      <c r="I290" s="3"/>
    </row>
    <row r="291" spans="7:9" x14ac:dyDescent="0.25">
      <c r="G291" s="3"/>
      <c r="H291" s="3"/>
      <c r="I291" s="3"/>
    </row>
    <row r="292" spans="7:9" x14ac:dyDescent="0.25">
      <c r="G292" s="3"/>
      <c r="H292" s="3"/>
      <c r="I292" s="3"/>
    </row>
    <row r="293" spans="7:9" x14ac:dyDescent="0.25">
      <c r="G293" s="3"/>
      <c r="H293" s="3"/>
      <c r="I293" s="3"/>
    </row>
    <row r="294" spans="7:9" x14ac:dyDescent="0.25">
      <c r="G294" s="3"/>
      <c r="H294" s="3"/>
      <c r="I294" s="3"/>
    </row>
    <row r="295" spans="7:9" x14ac:dyDescent="0.25">
      <c r="G295" s="3"/>
      <c r="H295" s="3"/>
      <c r="I295" s="3"/>
    </row>
    <row r="296" spans="7:9" x14ac:dyDescent="0.25">
      <c r="G296" s="3"/>
      <c r="H296" s="3"/>
      <c r="I296" s="3"/>
    </row>
    <row r="297" spans="7:9" x14ac:dyDescent="0.25">
      <c r="G297" s="3"/>
      <c r="H297" s="3"/>
      <c r="I297" s="3"/>
    </row>
    <row r="298" spans="7:9" x14ac:dyDescent="0.25">
      <c r="G298" s="3"/>
      <c r="H298" s="3"/>
      <c r="I298" s="3"/>
    </row>
    <row r="299" spans="7:9" x14ac:dyDescent="0.25">
      <c r="G299" s="3"/>
      <c r="H299" s="3"/>
      <c r="I299" s="3"/>
    </row>
    <row r="300" spans="7:9" x14ac:dyDescent="0.25">
      <c r="G300" s="3"/>
      <c r="H300" s="3"/>
      <c r="I300" s="3"/>
    </row>
    <row r="301" spans="7:9" x14ac:dyDescent="0.25">
      <c r="G301" s="3"/>
      <c r="H301" s="3"/>
      <c r="I301" s="3"/>
    </row>
    <row r="302" spans="7:9" x14ac:dyDescent="0.25">
      <c r="G302" s="3"/>
      <c r="H302" s="3"/>
      <c r="I302" s="3"/>
    </row>
    <row r="303" spans="7:9" x14ac:dyDescent="0.25">
      <c r="G303" s="3"/>
      <c r="H303" s="3"/>
      <c r="I303" s="3"/>
    </row>
    <row r="304" spans="7:9" x14ac:dyDescent="0.25">
      <c r="G304" s="3"/>
      <c r="H304" s="3"/>
      <c r="I304" s="3"/>
    </row>
    <row r="305" spans="7:9" x14ac:dyDescent="0.25">
      <c r="G305" s="3"/>
      <c r="H305" s="3"/>
      <c r="I305" s="3"/>
    </row>
    <row r="306" spans="7:9" x14ac:dyDescent="0.25">
      <c r="G306" s="3"/>
      <c r="H306" s="3"/>
      <c r="I306" s="3"/>
    </row>
    <row r="307" spans="7:9" x14ac:dyDescent="0.25">
      <c r="G307" s="3"/>
      <c r="H307" s="3"/>
      <c r="I307" s="3"/>
    </row>
    <row r="308" spans="7:9" x14ac:dyDescent="0.25">
      <c r="G308" s="3"/>
      <c r="H308" s="3"/>
      <c r="I308" s="3"/>
    </row>
    <row r="309" spans="7:9" x14ac:dyDescent="0.25">
      <c r="G309" s="3"/>
      <c r="H309" s="3"/>
      <c r="I309" s="3"/>
    </row>
    <row r="310" spans="7:9" x14ac:dyDescent="0.25">
      <c r="G310" s="3"/>
      <c r="H310" s="3"/>
      <c r="I310" s="3"/>
    </row>
    <row r="311" spans="7:9" x14ac:dyDescent="0.25">
      <c r="G311" s="3"/>
      <c r="H311" s="3"/>
      <c r="I311" s="3"/>
    </row>
    <row r="312" spans="7:9" x14ac:dyDescent="0.25">
      <c r="G312" s="3"/>
      <c r="H312" s="3"/>
      <c r="I312" s="3"/>
    </row>
    <row r="313" spans="7:9" x14ac:dyDescent="0.25">
      <c r="G313" s="3"/>
      <c r="H313" s="3"/>
      <c r="I313" s="3"/>
    </row>
    <row r="314" spans="7:9" x14ac:dyDescent="0.25">
      <c r="G314" s="3"/>
      <c r="H314" s="3"/>
      <c r="I314" s="3"/>
    </row>
    <row r="315" spans="7:9" x14ac:dyDescent="0.25">
      <c r="G315" s="3"/>
      <c r="H315" s="3"/>
      <c r="I315" s="3"/>
    </row>
    <row r="316" spans="7:9" x14ac:dyDescent="0.25">
      <c r="G316" s="3"/>
      <c r="H316" s="3"/>
      <c r="I316" s="3"/>
    </row>
    <row r="317" spans="7:9" x14ac:dyDescent="0.25">
      <c r="G317" s="3"/>
      <c r="H317" s="3"/>
      <c r="I317" s="3"/>
    </row>
    <row r="318" spans="7:9" x14ac:dyDescent="0.25">
      <c r="G318" s="3"/>
      <c r="H318" s="3"/>
      <c r="I318" s="3"/>
    </row>
    <row r="319" spans="7:9" x14ac:dyDescent="0.25">
      <c r="G319" s="3"/>
      <c r="H319" s="3"/>
      <c r="I319" s="3"/>
    </row>
    <row r="320" spans="7:9" x14ac:dyDescent="0.25">
      <c r="G320" s="3"/>
      <c r="H320" s="3"/>
      <c r="I320" s="3"/>
    </row>
    <row r="321" spans="7:9" x14ac:dyDescent="0.25">
      <c r="G321" s="3"/>
      <c r="H321" s="3"/>
      <c r="I321" s="3"/>
    </row>
    <row r="322" spans="7:9" x14ac:dyDescent="0.25">
      <c r="G322" s="3"/>
      <c r="H322" s="3"/>
      <c r="I322" s="3"/>
    </row>
    <row r="323" spans="7:9" x14ac:dyDescent="0.25">
      <c r="G323" s="3"/>
      <c r="H323" s="3"/>
      <c r="I323" s="3"/>
    </row>
    <row r="324" spans="7:9" x14ac:dyDescent="0.25">
      <c r="G324" s="3"/>
      <c r="H324" s="3"/>
      <c r="I324" s="3"/>
    </row>
    <row r="325" spans="7:9" x14ac:dyDescent="0.25">
      <c r="G325" s="3"/>
      <c r="H325" s="3"/>
      <c r="I325" s="3"/>
    </row>
    <row r="326" spans="7:9" x14ac:dyDescent="0.25">
      <c r="G326" s="3"/>
      <c r="H326" s="3"/>
      <c r="I326" s="3"/>
    </row>
    <row r="327" spans="7:9" x14ac:dyDescent="0.25">
      <c r="G327" s="3"/>
      <c r="H327" s="3"/>
      <c r="I327" s="3"/>
    </row>
    <row r="328" spans="7:9" x14ac:dyDescent="0.25">
      <c r="G328" s="3"/>
      <c r="H328" s="3"/>
      <c r="I328" s="3"/>
    </row>
    <row r="329" spans="7:9" x14ac:dyDescent="0.25">
      <c r="G329" s="3"/>
      <c r="H329" s="3"/>
      <c r="I329" s="3"/>
    </row>
    <row r="330" spans="7:9" x14ac:dyDescent="0.25">
      <c r="G330" s="3"/>
      <c r="H330" s="3"/>
      <c r="I330" s="3"/>
    </row>
    <row r="331" spans="7:9" x14ac:dyDescent="0.25">
      <c r="G331" s="3"/>
      <c r="H331" s="3"/>
      <c r="I331" s="3"/>
    </row>
    <row r="332" spans="7:9" x14ac:dyDescent="0.25">
      <c r="G332" s="3"/>
      <c r="H332" s="3"/>
      <c r="I332" s="3"/>
    </row>
    <row r="333" spans="7:9" x14ac:dyDescent="0.25">
      <c r="G333" s="3"/>
      <c r="H333" s="3"/>
      <c r="I333" s="3"/>
    </row>
    <row r="334" spans="7:9" x14ac:dyDescent="0.25">
      <c r="G334" s="3"/>
      <c r="H334" s="3"/>
      <c r="I334" s="3"/>
    </row>
    <row r="335" spans="7:9" x14ac:dyDescent="0.25">
      <c r="G335" s="3"/>
      <c r="H335" s="3"/>
      <c r="I335" s="3"/>
    </row>
    <row r="336" spans="7:9" x14ac:dyDescent="0.25">
      <c r="G336" s="3"/>
      <c r="H336" s="3"/>
      <c r="I336" s="3"/>
    </row>
    <row r="337" spans="7:9" x14ac:dyDescent="0.25">
      <c r="G337" s="3"/>
      <c r="H337" s="3"/>
      <c r="I337" s="3"/>
    </row>
    <row r="338" spans="7:9" x14ac:dyDescent="0.25">
      <c r="G338" s="3"/>
      <c r="H338" s="3"/>
      <c r="I338" s="3"/>
    </row>
  </sheetData>
  <mergeCells count="1">
    <mergeCell ref="A2:B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9"/>
  <sheetViews>
    <sheetView workbookViewId="0">
      <pane xSplit="5" ySplit="4" topLeftCell="F5" activePane="bottomRight" state="frozen"/>
      <selection pane="topRight" activeCell="F1" sqref="F1"/>
      <selection pane="bottomLeft" activeCell="A5" sqref="A5"/>
      <selection pane="bottomRight" activeCell="F5" sqref="F5"/>
    </sheetView>
  </sheetViews>
  <sheetFormatPr defaultRowHeight="15" x14ac:dyDescent="0.25"/>
  <cols>
    <col min="1" max="1" width="5.85546875" customWidth="1"/>
    <col min="7" max="7" width="18.5703125" customWidth="1"/>
    <col min="8" max="9" width="18.42578125" customWidth="1"/>
  </cols>
  <sheetData>
    <row r="1" spans="1:9" x14ac:dyDescent="0.25">
      <c r="A1" t="s">
        <v>0</v>
      </c>
    </row>
    <row r="2" spans="1:9" x14ac:dyDescent="0.25">
      <c r="A2" s="9">
        <v>41698</v>
      </c>
      <c r="B2" s="10"/>
    </row>
    <row r="3" spans="1:9" x14ac:dyDescent="0.25">
      <c r="G3" s="1" t="s">
        <v>24</v>
      </c>
      <c r="H3" s="1" t="s">
        <v>26</v>
      </c>
      <c r="I3" s="1" t="s">
        <v>28</v>
      </c>
    </row>
    <row r="4" spans="1:9" ht="75" x14ac:dyDescent="0.25">
      <c r="G4" s="2" t="s">
        <v>34</v>
      </c>
      <c r="H4" s="2" t="s">
        <v>32</v>
      </c>
      <c r="I4" s="2" t="s">
        <v>33</v>
      </c>
    </row>
    <row r="5" spans="1:9" x14ac:dyDescent="0.25">
      <c r="G5" s="4"/>
      <c r="H5" s="4"/>
      <c r="I5" s="4"/>
    </row>
    <row r="6" spans="1:9" x14ac:dyDescent="0.25">
      <c r="A6" t="s">
        <v>35</v>
      </c>
      <c r="G6" s="4"/>
      <c r="H6" s="4"/>
      <c r="I6" s="4"/>
    </row>
    <row r="7" spans="1:9" x14ac:dyDescent="0.25">
      <c r="B7" t="s">
        <v>36</v>
      </c>
      <c r="G7" s="4">
        <v>1593635</v>
      </c>
      <c r="H7" s="4"/>
      <c r="I7" s="4">
        <f>+G7+H7</f>
        <v>1593635</v>
      </c>
    </row>
    <row r="8" spans="1:9" x14ac:dyDescent="0.25">
      <c r="B8" t="s">
        <v>37</v>
      </c>
      <c r="G8" s="4"/>
      <c r="H8" s="4"/>
      <c r="I8" s="4">
        <v>2642092</v>
      </c>
    </row>
    <row r="9" spans="1:9" x14ac:dyDescent="0.25">
      <c r="B9" t="s">
        <v>38</v>
      </c>
      <c r="G9" s="4"/>
      <c r="H9" s="4"/>
      <c r="I9" s="4">
        <v>314856</v>
      </c>
    </row>
    <row r="10" spans="1:9" x14ac:dyDescent="0.25">
      <c r="B10" t="s">
        <v>39</v>
      </c>
      <c r="G10" s="4"/>
      <c r="H10" s="4"/>
      <c r="I10" s="4">
        <v>66802</v>
      </c>
    </row>
    <row r="11" spans="1:9" x14ac:dyDescent="0.25">
      <c r="B11" t="s">
        <v>40</v>
      </c>
      <c r="G11" s="4"/>
      <c r="H11" s="4"/>
      <c r="I11" s="4">
        <v>21120</v>
      </c>
    </row>
    <row r="12" spans="1:9" x14ac:dyDescent="0.25">
      <c r="B12" t="s">
        <v>41</v>
      </c>
      <c r="G12" s="4"/>
      <c r="H12" s="4"/>
      <c r="I12" s="4">
        <v>74091</v>
      </c>
    </row>
    <row r="13" spans="1:9" x14ac:dyDescent="0.25">
      <c r="B13" t="s">
        <v>42</v>
      </c>
      <c r="G13" s="7"/>
      <c r="H13" s="4"/>
      <c r="I13" s="7">
        <v>291</v>
      </c>
    </row>
    <row r="14" spans="1:9" x14ac:dyDescent="0.25">
      <c r="G14" s="4"/>
      <c r="H14" s="4"/>
      <c r="I14" s="4"/>
    </row>
    <row r="15" spans="1:9" x14ac:dyDescent="0.25">
      <c r="A15" t="s">
        <v>44</v>
      </c>
      <c r="G15" s="7">
        <f>SUM(G7:G14)</f>
        <v>1593635</v>
      </c>
      <c r="H15" s="4"/>
      <c r="I15" s="7">
        <f>SUM(I7:I14)</f>
        <v>4712887</v>
      </c>
    </row>
    <row r="16" spans="1:9" x14ac:dyDescent="0.25">
      <c r="G16" s="4"/>
      <c r="H16" s="4"/>
      <c r="I16" s="4"/>
    </row>
    <row r="17" spans="1:9" x14ac:dyDescent="0.25">
      <c r="A17" t="s">
        <v>45</v>
      </c>
      <c r="G17" s="4"/>
      <c r="H17" s="4"/>
      <c r="I17" s="4"/>
    </row>
    <row r="18" spans="1:9" x14ac:dyDescent="0.25">
      <c r="B18" t="s">
        <v>46</v>
      </c>
      <c r="G18" s="4">
        <v>1979414</v>
      </c>
      <c r="H18" s="4">
        <v>-37249</v>
      </c>
      <c r="I18" s="4">
        <f t="shared" ref="I18:I23" si="0">+G18+H18</f>
        <v>1942165</v>
      </c>
    </row>
    <row r="19" spans="1:9" x14ac:dyDescent="0.25">
      <c r="B19" t="s">
        <v>47</v>
      </c>
      <c r="G19" s="4">
        <v>80629</v>
      </c>
      <c r="H19" s="4"/>
      <c r="I19" s="4">
        <f t="shared" si="0"/>
        <v>80629</v>
      </c>
    </row>
    <row r="20" spans="1:9" x14ac:dyDescent="0.25">
      <c r="B20" t="s">
        <v>48</v>
      </c>
      <c r="G20" s="4">
        <v>2606061</v>
      </c>
      <c r="H20" s="4"/>
      <c r="I20" s="4">
        <f t="shared" si="0"/>
        <v>2606061</v>
      </c>
    </row>
    <row r="21" spans="1:9" x14ac:dyDescent="0.25">
      <c r="B21" t="s">
        <v>49</v>
      </c>
      <c r="G21" s="4">
        <v>79827</v>
      </c>
      <c r="H21" s="4"/>
      <c r="I21" s="4">
        <f t="shared" si="0"/>
        <v>79827</v>
      </c>
    </row>
    <row r="22" spans="1:9" x14ac:dyDescent="0.25">
      <c r="B22" t="s">
        <v>9</v>
      </c>
      <c r="G22" s="4">
        <v>0</v>
      </c>
      <c r="H22" s="4">
        <v>59949</v>
      </c>
      <c r="I22" s="4">
        <f t="shared" si="0"/>
        <v>59949</v>
      </c>
    </row>
    <row r="23" spans="1:9" x14ac:dyDescent="0.25">
      <c r="B23" t="s">
        <v>61</v>
      </c>
      <c r="G23" s="7">
        <v>32814</v>
      </c>
      <c r="H23" s="4">
        <v>-32814</v>
      </c>
      <c r="I23" s="7">
        <f t="shared" si="0"/>
        <v>0</v>
      </c>
    </row>
    <row r="24" spans="1:9" x14ac:dyDescent="0.25">
      <c r="G24" s="4"/>
      <c r="H24" s="4"/>
      <c r="I24" s="4"/>
    </row>
    <row r="25" spans="1:9" x14ac:dyDescent="0.25">
      <c r="A25" t="s">
        <v>50</v>
      </c>
      <c r="G25" s="7">
        <f>SUM(G18:G24)</f>
        <v>4778745</v>
      </c>
      <c r="H25" s="4"/>
      <c r="I25" s="7">
        <f>SUM(I18:I24)</f>
        <v>4768631</v>
      </c>
    </row>
    <row r="26" spans="1:9" x14ac:dyDescent="0.25">
      <c r="G26" s="4"/>
      <c r="H26" s="4"/>
      <c r="I26" s="4"/>
    </row>
    <row r="27" spans="1:9" x14ac:dyDescent="0.25">
      <c r="A27" t="s">
        <v>51</v>
      </c>
      <c r="G27" s="4"/>
      <c r="H27" s="4"/>
      <c r="I27" s="4"/>
    </row>
    <row r="28" spans="1:9" x14ac:dyDescent="0.25">
      <c r="B28" t="s">
        <v>52</v>
      </c>
      <c r="G28" s="7">
        <f>+G15-G25</f>
        <v>-3185110</v>
      </c>
      <c r="H28" s="4"/>
      <c r="I28" s="7">
        <f>+I15-I25</f>
        <v>-55744</v>
      </c>
    </row>
    <row r="29" spans="1:9" x14ac:dyDescent="0.25">
      <c r="G29" s="4"/>
      <c r="H29" s="4"/>
      <c r="I29" s="4"/>
    </row>
    <row r="30" spans="1:9" x14ac:dyDescent="0.25">
      <c r="A30" t="s">
        <v>53</v>
      </c>
      <c r="G30" s="4"/>
      <c r="H30" s="4"/>
      <c r="I30" s="4"/>
    </row>
    <row r="31" spans="1:9" x14ac:dyDescent="0.25">
      <c r="B31" t="s">
        <v>37</v>
      </c>
      <c r="G31" s="4">
        <v>2642092</v>
      </c>
      <c r="H31" s="4"/>
      <c r="I31" s="4"/>
    </row>
    <row r="32" spans="1:9" x14ac:dyDescent="0.25">
      <c r="B32" t="s">
        <v>38</v>
      </c>
      <c r="G32" s="4">
        <v>314856</v>
      </c>
      <c r="H32" s="4"/>
      <c r="I32" s="4"/>
    </row>
    <row r="33" spans="1:9" x14ac:dyDescent="0.25">
      <c r="B33" t="s">
        <v>39</v>
      </c>
      <c r="G33" s="4">
        <v>66802</v>
      </c>
      <c r="H33" s="4"/>
      <c r="I33" s="4"/>
    </row>
    <row r="34" spans="1:9" x14ac:dyDescent="0.25">
      <c r="B34" t="s">
        <v>40</v>
      </c>
      <c r="G34" s="4">
        <v>21120</v>
      </c>
      <c r="H34" s="4"/>
      <c r="I34" s="4"/>
    </row>
    <row r="35" spans="1:9" x14ac:dyDescent="0.25">
      <c r="B35" t="s">
        <v>41</v>
      </c>
      <c r="G35" s="4">
        <v>74091</v>
      </c>
      <c r="H35" s="4"/>
      <c r="I35" s="4"/>
    </row>
    <row r="36" spans="1:9" x14ac:dyDescent="0.25">
      <c r="B36" t="s">
        <v>42</v>
      </c>
      <c r="G36" s="4">
        <v>291</v>
      </c>
      <c r="H36" s="4"/>
      <c r="I36" s="4"/>
    </row>
    <row r="37" spans="1:9" x14ac:dyDescent="0.25">
      <c r="B37" t="s">
        <v>43</v>
      </c>
      <c r="G37" s="7">
        <v>-262</v>
      </c>
      <c r="H37" s="4"/>
      <c r="I37" s="4"/>
    </row>
    <row r="38" spans="1:9" x14ac:dyDescent="0.25">
      <c r="G38" s="4"/>
      <c r="H38" s="4"/>
      <c r="I38" s="4"/>
    </row>
    <row r="39" spans="1:9" x14ac:dyDescent="0.25">
      <c r="A39" t="s">
        <v>54</v>
      </c>
      <c r="G39" s="7">
        <f>SUM(G31:G38)</f>
        <v>3118990</v>
      </c>
      <c r="H39" s="4"/>
      <c r="I39" s="7">
        <v>0</v>
      </c>
    </row>
    <row r="40" spans="1:9" x14ac:dyDescent="0.25">
      <c r="G40" s="4"/>
      <c r="H40" s="4"/>
      <c r="I40" s="4"/>
    </row>
    <row r="41" spans="1:9" x14ac:dyDescent="0.25">
      <c r="A41" t="s">
        <v>55</v>
      </c>
      <c r="G41" s="4"/>
      <c r="H41" s="4"/>
      <c r="I41" s="4"/>
    </row>
    <row r="42" spans="1:9" x14ac:dyDescent="0.25">
      <c r="B42" t="s">
        <v>63</v>
      </c>
      <c r="G42" s="4"/>
      <c r="H42" s="4"/>
      <c r="I42" s="4">
        <v>-262</v>
      </c>
    </row>
    <row r="43" spans="1:9" x14ac:dyDescent="0.25">
      <c r="B43" t="s">
        <v>62</v>
      </c>
      <c r="G43" s="4">
        <v>0</v>
      </c>
      <c r="H43" s="4">
        <v>0</v>
      </c>
      <c r="I43" s="4"/>
    </row>
    <row r="44" spans="1:9" x14ac:dyDescent="0.25">
      <c r="B44" t="s">
        <v>56</v>
      </c>
      <c r="G44" s="7">
        <v>0</v>
      </c>
      <c r="H44" s="4"/>
      <c r="I44" s="7">
        <v>0</v>
      </c>
    </row>
    <row r="45" spans="1:9" x14ac:dyDescent="0.25">
      <c r="G45" s="4"/>
      <c r="H45" s="4"/>
      <c r="I45" s="4"/>
    </row>
    <row r="46" spans="1:9" x14ac:dyDescent="0.25">
      <c r="A46" t="s">
        <v>57</v>
      </c>
      <c r="G46" s="4">
        <f>+G28+G39+G44+G43+G42</f>
        <v>-66120</v>
      </c>
      <c r="H46" s="4"/>
      <c r="I46" s="4">
        <f>+I28+I39+I44+I42+I43</f>
        <v>-56006</v>
      </c>
    </row>
    <row r="47" spans="1:9" x14ac:dyDescent="0.25">
      <c r="G47" s="4"/>
      <c r="H47" s="4"/>
      <c r="I47" s="4"/>
    </row>
    <row r="48" spans="1:9" x14ac:dyDescent="0.25">
      <c r="A48" t="s">
        <v>58</v>
      </c>
      <c r="G48" s="4"/>
      <c r="H48" s="4"/>
      <c r="I48" s="4"/>
    </row>
    <row r="49" spans="1:9" x14ac:dyDescent="0.25">
      <c r="B49" t="s">
        <v>59</v>
      </c>
      <c r="G49" s="7">
        <v>1203541</v>
      </c>
      <c r="H49" s="4"/>
      <c r="I49" s="7">
        <f>1113923-37249+262</f>
        <v>1076936</v>
      </c>
    </row>
    <row r="50" spans="1:9" x14ac:dyDescent="0.25">
      <c r="G50" s="4"/>
      <c r="H50" s="4"/>
      <c r="I50" s="4"/>
    </row>
    <row r="51" spans="1:9" ht="15.75" thickBot="1" x14ac:dyDescent="0.3">
      <c r="A51" t="s">
        <v>60</v>
      </c>
      <c r="G51" s="8">
        <f>+G46+G49</f>
        <v>1137421</v>
      </c>
      <c r="H51" s="4"/>
      <c r="I51" s="8">
        <f>+I46+I49</f>
        <v>1020930</v>
      </c>
    </row>
    <row r="52" spans="1:9" ht="15.75" thickTop="1" x14ac:dyDescent="0.25">
      <c r="G52" s="4"/>
      <c r="H52" s="4"/>
      <c r="I52" s="4"/>
    </row>
    <row r="53" spans="1:9" x14ac:dyDescent="0.25">
      <c r="G53" s="4"/>
      <c r="H53" s="4"/>
      <c r="I53" s="4"/>
    </row>
    <row r="54" spans="1:9" x14ac:dyDescent="0.25">
      <c r="G54" s="4"/>
      <c r="H54" s="4"/>
      <c r="I54" s="4"/>
    </row>
    <row r="55" spans="1:9" x14ac:dyDescent="0.25">
      <c r="G55" s="4"/>
      <c r="H55" s="4"/>
      <c r="I55" s="4"/>
    </row>
    <row r="56" spans="1:9" x14ac:dyDescent="0.25">
      <c r="G56" s="4"/>
      <c r="H56" s="4"/>
      <c r="I56" s="4"/>
    </row>
    <row r="57" spans="1:9" x14ac:dyDescent="0.25">
      <c r="G57" s="4"/>
      <c r="H57" s="4"/>
      <c r="I57" s="4"/>
    </row>
    <row r="58" spans="1:9" x14ac:dyDescent="0.25">
      <c r="G58" s="4"/>
      <c r="H58" s="4"/>
      <c r="I58" s="4"/>
    </row>
    <row r="59" spans="1:9" x14ac:dyDescent="0.25">
      <c r="G59" s="4"/>
      <c r="H59" s="4"/>
      <c r="I59" s="4"/>
    </row>
    <row r="60" spans="1:9" x14ac:dyDescent="0.25">
      <c r="G60" s="4"/>
      <c r="H60" s="4"/>
      <c r="I60" s="4"/>
    </row>
    <row r="61" spans="1:9" x14ac:dyDescent="0.25">
      <c r="G61" s="4"/>
      <c r="H61" s="4"/>
      <c r="I61" s="4"/>
    </row>
    <row r="62" spans="1:9" x14ac:dyDescent="0.25">
      <c r="G62" s="4"/>
      <c r="H62" s="4"/>
      <c r="I62" s="4"/>
    </row>
    <row r="63" spans="1:9" x14ac:dyDescent="0.25">
      <c r="G63" s="4"/>
      <c r="H63" s="4"/>
      <c r="I63" s="4"/>
    </row>
    <row r="64" spans="1:9" x14ac:dyDescent="0.25">
      <c r="G64" s="4"/>
      <c r="H64" s="4"/>
      <c r="I64" s="4"/>
    </row>
    <row r="65" spans="7:9" x14ac:dyDescent="0.25">
      <c r="G65" s="4"/>
      <c r="H65" s="4"/>
      <c r="I65" s="4"/>
    </row>
    <row r="66" spans="7:9" x14ac:dyDescent="0.25">
      <c r="G66" s="4"/>
      <c r="H66" s="4"/>
      <c r="I66" s="4"/>
    </row>
    <row r="67" spans="7:9" x14ac:dyDescent="0.25">
      <c r="G67" s="4"/>
      <c r="H67" s="4"/>
      <c r="I67" s="4"/>
    </row>
    <row r="68" spans="7:9" x14ac:dyDescent="0.25">
      <c r="G68" s="4"/>
      <c r="H68" s="4"/>
      <c r="I68" s="4"/>
    </row>
    <row r="69" spans="7:9" x14ac:dyDescent="0.25">
      <c r="G69" s="4"/>
      <c r="H69" s="4"/>
      <c r="I69" s="4"/>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pane ySplit="4" topLeftCell="A5" activePane="bottomLeft" state="frozen"/>
      <selection pane="bottomLeft" activeCell="H12" sqref="H12"/>
    </sheetView>
  </sheetViews>
  <sheetFormatPr defaultRowHeight="15" x14ac:dyDescent="0.25"/>
  <cols>
    <col min="1" max="1" width="5.85546875" customWidth="1"/>
    <col min="7" max="7" width="18.5703125" customWidth="1"/>
    <col min="8" max="9" width="18.42578125" customWidth="1"/>
  </cols>
  <sheetData>
    <row r="1" spans="1:9" x14ac:dyDescent="0.25">
      <c r="A1" t="s">
        <v>0</v>
      </c>
    </row>
    <row r="2" spans="1:9" x14ac:dyDescent="0.25">
      <c r="A2" s="9">
        <v>41698</v>
      </c>
      <c r="B2" s="10"/>
    </row>
    <row r="3" spans="1:9" x14ac:dyDescent="0.25">
      <c r="G3" s="1" t="s">
        <v>24</v>
      </c>
      <c r="H3" s="1" t="s">
        <v>26</v>
      </c>
      <c r="I3" s="1" t="s">
        <v>28</v>
      </c>
    </row>
    <row r="4" spans="1:9" ht="30" x14ac:dyDescent="0.25">
      <c r="G4" s="2" t="s">
        <v>64</v>
      </c>
      <c r="H4" s="2" t="s">
        <v>27</v>
      </c>
      <c r="I4" s="2" t="s">
        <v>65</v>
      </c>
    </row>
  </sheetData>
  <mergeCells count="1">
    <mergeCell ref="A2: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showGridLines="0" workbookViewId="0">
      <selection activeCell="H45" sqref="H45"/>
    </sheetView>
  </sheetViews>
  <sheetFormatPr defaultRowHeight="15" x14ac:dyDescent="0.25"/>
  <sheetData>
    <row r="1" spans="1:11" x14ac:dyDescent="0.25">
      <c r="A1" t="s">
        <v>0</v>
      </c>
    </row>
    <row r="2" spans="1:11" x14ac:dyDescent="0.25">
      <c r="A2" s="9">
        <v>41698</v>
      </c>
      <c r="B2" s="10"/>
    </row>
    <row r="3" spans="1:11" x14ac:dyDescent="0.25">
      <c r="A3" s="5"/>
      <c r="B3" s="6"/>
    </row>
    <row r="4" spans="1:11" x14ac:dyDescent="0.25">
      <c r="A4" t="s">
        <v>66</v>
      </c>
      <c r="B4" s="6"/>
    </row>
    <row r="6" spans="1:11" x14ac:dyDescent="0.25">
      <c r="A6" s="11" t="s">
        <v>67</v>
      </c>
      <c r="B6" s="11"/>
      <c r="C6" s="11"/>
      <c r="D6" s="11"/>
      <c r="E6" s="11"/>
      <c r="F6" s="11"/>
      <c r="G6" s="11"/>
      <c r="H6" s="11"/>
      <c r="I6" s="11"/>
      <c r="J6" s="11"/>
      <c r="K6" s="11"/>
    </row>
    <row r="7" spans="1:11" x14ac:dyDescent="0.25">
      <c r="A7" s="11"/>
      <c r="B7" s="11"/>
      <c r="C7" s="11"/>
      <c r="D7" s="11"/>
      <c r="E7" s="11"/>
      <c r="F7" s="11"/>
      <c r="G7" s="11"/>
      <c r="H7" s="11"/>
      <c r="I7" s="11"/>
      <c r="J7" s="11"/>
      <c r="K7" s="11"/>
    </row>
    <row r="8" spans="1:11" x14ac:dyDescent="0.25">
      <c r="A8" s="11"/>
      <c r="B8" s="11"/>
      <c r="C8" s="11"/>
      <c r="D8" s="11"/>
      <c r="E8" s="11"/>
      <c r="F8" s="11"/>
      <c r="G8" s="11"/>
      <c r="H8" s="11"/>
      <c r="I8" s="11"/>
      <c r="J8" s="11"/>
      <c r="K8" s="11"/>
    </row>
    <row r="9" spans="1:11" x14ac:dyDescent="0.25">
      <c r="A9" s="11"/>
      <c r="B9" s="11"/>
      <c r="C9" s="11"/>
      <c r="D9" s="11"/>
      <c r="E9" s="11"/>
      <c r="F9" s="11"/>
      <c r="G9" s="11"/>
      <c r="H9" s="11"/>
      <c r="I9" s="11"/>
      <c r="J9" s="11"/>
      <c r="K9" s="11"/>
    </row>
    <row r="10" spans="1:11" x14ac:dyDescent="0.25">
      <c r="A10" s="11"/>
      <c r="B10" s="11"/>
      <c r="C10" s="11"/>
      <c r="D10" s="11"/>
      <c r="E10" s="11"/>
      <c r="F10" s="11"/>
      <c r="G10" s="11"/>
      <c r="H10" s="11"/>
      <c r="I10" s="11"/>
      <c r="J10" s="11"/>
      <c r="K10" s="11"/>
    </row>
    <row r="11" spans="1:11" x14ac:dyDescent="0.25">
      <c r="A11" s="11"/>
      <c r="B11" s="11"/>
      <c r="C11" s="11"/>
      <c r="D11" s="11"/>
      <c r="E11" s="11"/>
      <c r="F11" s="11"/>
      <c r="G11" s="11"/>
      <c r="H11" s="11"/>
      <c r="I11" s="11"/>
      <c r="J11" s="11"/>
      <c r="K11" s="11"/>
    </row>
    <row r="12" spans="1:11" x14ac:dyDescent="0.25">
      <c r="A12" s="11"/>
      <c r="B12" s="11"/>
      <c r="C12" s="11"/>
      <c r="D12" s="11"/>
      <c r="E12" s="11"/>
      <c r="F12" s="11"/>
      <c r="G12" s="11"/>
      <c r="H12" s="11"/>
      <c r="I12" s="11"/>
      <c r="J12" s="11"/>
      <c r="K12" s="11"/>
    </row>
    <row r="13" spans="1:11" x14ac:dyDescent="0.25">
      <c r="A13" s="11"/>
      <c r="B13" s="11"/>
      <c r="C13" s="11"/>
      <c r="D13" s="11"/>
      <c r="E13" s="11"/>
      <c r="F13" s="11"/>
      <c r="G13" s="11"/>
      <c r="H13" s="11"/>
      <c r="I13" s="11"/>
      <c r="J13" s="11"/>
      <c r="K13" s="11"/>
    </row>
    <row r="14" spans="1:11" x14ac:dyDescent="0.25">
      <c r="A14" s="11"/>
      <c r="B14" s="11"/>
      <c r="C14" s="11"/>
      <c r="D14" s="11"/>
      <c r="E14" s="11"/>
      <c r="F14" s="11"/>
      <c r="G14" s="11"/>
      <c r="H14" s="11"/>
      <c r="I14" s="11"/>
      <c r="J14" s="11"/>
      <c r="K14" s="11"/>
    </row>
    <row r="15" spans="1:11" x14ac:dyDescent="0.25">
      <c r="A15" s="11"/>
      <c r="B15" s="11"/>
      <c r="C15" s="11"/>
      <c r="D15" s="11"/>
      <c r="E15" s="11"/>
      <c r="F15" s="11"/>
      <c r="G15" s="11"/>
      <c r="H15" s="11"/>
      <c r="I15" s="11"/>
      <c r="J15" s="11"/>
      <c r="K15" s="11"/>
    </row>
    <row r="16" spans="1:11" x14ac:dyDescent="0.25">
      <c r="A16" s="11"/>
      <c r="B16" s="11"/>
      <c r="C16" s="11"/>
      <c r="D16" s="11"/>
      <c r="E16" s="11"/>
      <c r="F16" s="11"/>
      <c r="G16" s="11"/>
      <c r="H16" s="11"/>
      <c r="I16" s="11"/>
      <c r="J16" s="11"/>
      <c r="K16" s="11"/>
    </row>
    <row r="17" spans="1:11" ht="3.75" customHeight="1" x14ac:dyDescent="0.25">
      <c r="A17" s="11"/>
      <c r="B17" s="11"/>
      <c r="C17" s="11"/>
      <c r="D17" s="11"/>
      <c r="E17" s="11"/>
      <c r="F17" s="11"/>
      <c r="G17" s="11"/>
      <c r="H17" s="11"/>
      <c r="I17" s="11"/>
      <c r="J17" s="11"/>
      <c r="K17" s="11"/>
    </row>
    <row r="18" spans="1:11" hidden="1" x14ac:dyDescent="0.25">
      <c r="A18" s="11"/>
      <c r="B18" s="11"/>
      <c r="C18" s="11"/>
      <c r="D18" s="11"/>
      <c r="E18" s="11"/>
      <c r="F18" s="11"/>
      <c r="G18" s="11"/>
      <c r="H18" s="11"/>
      <c r="I18" s="11"/>
      <c r="J18" s="11"/>
      <c r="K18" s="11"/>
    </row>
    <row r="19" spans="1:11" hidden="1" x14ac:dyDescent="0.25">
      <c r="A19" s="11"/>
      <c r="B19" s="11"/>
      <c r="C19" s="11"/>
      <c r="D19" s="11"/>
      <c r="E19" s="11"/>
      <c r="F19" s="11"/>
      <c r="G19" s="11"/>
      <c r="H19" s="11"/>
      <c r="I19" s="11"/>
      <c r="J19" s="11"/>
      <c r="K19" s="11"/>
    </row>
    <row r="20" spans="1:11" hidden="1" x14ac:dyDescent="0.25">
      <c r="A20" s="11"/>
      <c r="B20" s="11"/>
      <c r="C20" s="11"/>
      <c r="D20" s="11"/>
      <c r="E20" s="11"/>
      <c r="F20" s="11"/>
      <c r="G20" s="11"/>
      <c r="H20" s="11"/>
      <c r="I20" s="11"/>
      <c r="J20" s="11"/>
      <c r="K20" s="11"/>
    </row>
    <row r="21" spans="1:11" hidden="1" x14ac:dyDescent="0.25">
      <c r="A21" s="11"/>
      <c r="B21" s="11"/>
      <c r="C21" s="11"/>
      <c r="D21" s="11"/>
      <c r="E21" s="11"/>
      <c r="F21" s="11"/>
      <c r="G21" s="11"/>
      <c r="H21" s="11"/>
      <c r="I21" s="11"/>
      <c r="J21" s="11"/>
      <c r="K21" s="11"/>
    </row>
    <row r="22" spans="1:11" hidden="1" x14ac:dyDescent="0.25">
      <c r="A22" s="11"/>
      <c r="B22" s="11"/>
      <c r="C22" s="11"/>
      <c r="D22" s="11"/>
      <c r="E22" s="11"/>
      <c r="F22" s="11"/>
      <c r="G22" s="11"/>
      <c r="H22" s="11"/>
      <c r="I22" s="11"/>
      <c r="J22" s="11"/>
      <c r="K22" s="11"/>
    </row>
    <row r="23" spans="1:11" hidden="1" x14ac:dyDescent="0.25">
      <c r="A23" s="11"/>
      <c r="B23" s="11"/>
      <c r="C23" s="11"/>
      <c r="D23" s="11"/>
      <c r="E23" s="11"/>
      <c r="F23" s="11"/>
      <c r="G23" s="11"/>
      <c r="H23" s="11"/>
      <c r="I23" s="11"/>
      <c r="J23" s="11"/>
      <c r="K23" s="11"/>
    </row>
    <row r="24" spans="1:11" hidden="1" x14ac:dyDescent="0.25">
      <c r="A24" s="11"/>
      <c r="B24" s="11"/>
      <c r="C24" s="11"/>
      <c r="D24" s="11"/>
      <c r="E24" s="11"/>
      <c r="F24" s="11"/>
      <c r="G24" s="11"/>
      <c r="H24" s="11"/>
      <c r="I24" s="11"/>
      <c r="J24" s="11"/>
      <c r="K24" s="11"/>
    </row>
    <row r="25" spans="1:11" hidden="1" x14ac:dyDescent="0.25">
      <c r="A25" s="11"/>
      <c r="B25" s="11"/>
      <c r="C25" s="11"/>
      <c r="D25" s="11"/>
      <c r="E25" s="11"/>
      <c r="F25" s="11"/>
      <c r="G25" s="11"/>
      <c r="H25" s="11"/>
      <c r="I25" s="11"/>
      <c r="J25" s="11"/>
      <c r="K25" s="11"/>
    </row>
    <row r="26" spans="1:11" hidden="1" x14ac:dyDescent="0.25">
      <c r="A26" s="11"/>
      <c r="B26" s="11"/>
      <c r="C26" s="11"/>
      <c r="D26" s="11"/>
      <c r="E26" s="11"/>
      <c r="F26" s="11"/>
      <c r="G26" s="11"/>
      <c r="H26" s="11"/>
      <c r="I26" s="11"/>
      <c r="J26" s="11"/>
      <c r="K26" s="11"/>
    </row>
    <row r="27" spans="1:11" hidden="1" x14ac:dyDescent="0.25">
      <c r="A27" s="11"/>
      <c r="B27" s="11"/>
      <c r="C27" s="11"/>
      <c r="D27" s="11"/>
      <c r="E27" s="11"/>
      <c r="F27" s="11"/>
      <c r="G27" s="11"/>
      <c r="H27" s="11"/>
      <c r="I27" s="11"/>
      <c r="J27" s="11"/>
      <c r="K27" s="11"/>
    </row>
    <row r="28" spans="1:11" hidden="1" x14ac:dyDescent="0.25">
      <c r="A28" s="11"/>
      <c r="B28" s="11"/>
      <c r="C28" s="11"/>
      <c r="D28" s="11"/>
      <c r="E28" s="11"/>
      <c r="F28" s="11"/>
      <c r="G28" s="11"/>
      <c r="H28" s="11"/>
      <c r="I28" s="11"/>
      <c r="J28" s="11"/>
      <c r="K28" s="11"/>
    </row>
    <row r="29" spans="1:11" hidden="1" x14ac:dyDescent="0.25">
      <c r="A29" s="11"/>
      <c r="B29" s="11"/>
      <c r="C29" s="11"/>
      <c r="D29" s="11"/>
      <c r="E29" s="11"/>
      <c r="F29" s="11"/>
      <c r="G29" s="11"/>
      <c r="H29" s="11"/>
      <c r="I29" s="11"/>
      <c r="J29" s="11"/>
      <c r="K29" s="11"/>
    </row>
    <row r="30" spans="1:11" hidden="1" x14ac:dyDescent="0.25">
      <c r="A30" s="11"/>
      <c r="B30" s="11"/>
      <c r="C30" s="11"/>
      <c r="D30" s="11"/>
      <c r="E30" s="11"/>
      <c r="F30" s="11"/>
      <c r="G30" s="11"/>
      <c r="H30" s="11"/>
      <c r="I30" s="11"/>
      <c r="J30" s="11"/>
      <c r="K30" s="11"/>
    </row>
    <row r="31" spans="1:11" hidden="1" x14ac:dyDescent="0.25">
      <c r="A31" s="11"/>
      <c r="B31" s="11"/>
      <c r="C31" s="11"/>
      <c r="D31" s="11"/>
      <c r="E31" s="11"/>
      <c r="F31" s="11"/>
      <c r="G31" s="11"/>
      <c r="H31" s="11"/>
      <c r="I31" s="11"/>
      <c r="J31" s="11"/>
      <c r="K31" s="11"/>
    </row>
    <row r="32" spans="1:11" hidden="1" x14ac:dyDescent="0.25">
      <c r="A32" s="11"/>
      <c r="B32" s="11"/>
      <c r="C32" s="11"/>
      <c r="D32" s="11"/>
      <c r="E32" s="11"/>
      <c r="F32" s="11"/>
      <c r="G32" s="11"/>
      <c r="H32" s="11"/>
      <c r="I32" s="11"/>
      <c r="J32" s="11"/>
      <c r="K32" s="11"/>
    </row>
    <row r="33" spans="1:11" hidden="1" x14ac:dyDescent="0.25">
      <c r="A33" s="11"/>
      <c r="B33" s="11"/>
      <c r="C33" s="11"/>
      <c r="D33" s="11"/>
      <c r="E33" s="11"/>
      <c r="F33" s="11"/>
      <c r="G33" s="11"/>
      <c r="H33" s="11"/>
      <c r="I33" s="11"/>
      <c r="J33" s="11"/>
      <c r="K33" s="11"/>
    </row>
    <row r="34" spans="1:11" hidden="1" x14ac:dyDescent="0.25">
      <c r="A34" s="11"/>
      <c r="B34" s="11"/>
      <c r="C34" s="11"/>
      <c r="D34" s="11"/>
      <c r="E34" s="11"/>
      <c r="F34" s="11"/>
      <c r="G34" s="11"/>
      <c r="H34" s="11"/>
      <c r="I34" s="11"/>
      <c r="J34" s="11"/>
      <c r="K34" s="11"/>
    </row>
    <row r="35" spans="1:11" hidden="1" x14ac:dyDescent="0.25">
      <c r="A35" s="11"/>
      <c r="B35" s="11"/>
      <c r="C35" s="11"/>
      <c r="D35" s="11"/>
      <c r="E35" s="11"/>
      <c r="F35" s="11"/>
      <c r="G35" s="11"/>
      <c r="H35" s="11"/>
      <c r="I35" s="11"/>
      <c r="J35" s="11"/>
      <c r="K35" s="11"/>
    </row>
    <row r="36" spans="1:11" hidden="1" x14ac:dyDescent="0.25">
      <c r="A36" s="11"/>
      <c r="B36" s="11"/>
      <c r="C36" s="11"/>
      <c r="D36" s="11"/>
      <c r="E36" s="11"/>
      <c r="F36" s="11"/>
      <c r="G36" s="11"/>
      <c r="H36" s="11"/>
      <c r="I36" s="11"/>
      <c r="J36" s="11"/>
      <c r="K36" s="11"/>
    </row>
    <row r="37" spans="1:11" hidden="1" x14ac:dyDescent="0.25">
      <c r="A37" s="11"/>
      <c r="B37" s="11"/>
      <c r="C37" s="11"/>
      <c r="D37" s="11"/>
      <c r="E37" s="11"/>
      <c r="F37" s="11"/>
      <c r="G37" s="11"/>
      <c r="H37" s="11"/>
      <c r="I37" s="11"/>
      <c r="J37" s="11"/>
      <c r="K37" s="11"/>
    </row>
    <row r="38" spans="1:11" hidden="1" x14ac:dyDescent="0.25">
      <c r="A38" s="11"/>
      <c r="B38" s="11"/>
      <c r="C38" s="11"/>
      <c r="D38" s="11"/>
      <c r="E38" s="11"/>
      <c r="F38" s="11"/>
      <c r="G38" s="11"/>
      <c r="H38" s="11"/>
      <c r="I38" s="11"/>
      <c r="J38" s="11"/>
      <c r="K38" s="11"/>
    </row>
    <row r="39" spans="1:11" hidden="1" x14ac:dyDescent="0.25">
      <c r="A39" s="11"/>
      <c r="B39" s="11"/>
      <c r="C39" s="11"/>
      <c r="D39" s="11"/>
      <c r="E39" s="11"/>
      <c r="F39" s="11"/>
      <c r="G39" s="11"/>
      <c r="H39" s="11"/>
      <c r="I39" s="11"/>
      <c r="J39" s="11"/>
      <c r="K39" s="11"/>
    </row>
    <row r="40" spans="1:11" hidden="1" x14ac:dyDescent="0.25">
      <c r="A40" s="11"/>
      <c r="B40" s="11"/>
      <c r="C40" s="11"/>
      <c r="D40" s="11"/>
      <c r="E40" s="11"/>
      <c r="F40" s="11"/>
      <c r="G40" s="11"/>
      <c r="H40" s="11"/>
      <c r="I40" s="11"/>
      <c r="J40" s="11"/>
      <c r="K40" s="11"/>
    </row>
    <row r="41" spans="1:11" hidden="1" x14ac:dyDescent="0.25">
      <c r="A41" s="11"/>
      <c r="B41" s="11"/>
      <c r="C41" s="11"/>
      <c r="D41" s="11"/>
      <c r="E41" s="11"/>
      <c r="F41" s="11"/>
      <c r="G41" s="11"/>
      <c r="H41" s="11"/>
      <c r="I41" s="11"/>
      <c r="J41" s="11"/>
      <c r="K41" s="11"/>
    </row>
    <row r="42" spans="1:11" hidden="1" x14ac:dyDescent="0.25">
      <c r="A42" s="11"/>
      <c r="B42" s="11"/>
      <c r="C42" s="11"/>
      <c r="D42" s="11"/>
      <c r="E42" s="11"/>
      <c r="F42" s="11"/>
      <c r="G42" s="11"/>
      <c r="H42" s="11"/>
      <c r="I42" s="11"/>
      <c r="J42" s="11"/>
      <c r="K42" s="11"/>
    </row>
    <row r="43" spans="1:11" hidden="1" x14ac:dyDescent="0.25">
      <c r="A43" s="11"/>
      <c r="B43" s="11"/>
      <c r="C43" s="11"/>
      <c r="D43" s="11"/>
      <c r="E43" s="11"/>
      <c r="F43" s="11"/>
      <c r="G43" s="11"/>
      <c r="H43" s="11"/>
      <c r="I43" s="11"/>
      <c r="J43" s="11"/>
      <c r="K43" s="11"/>
    </row>
  </sheetData>
  <mergeCells count="2">
    <mergeCell ref="A2:B2"/>
    <mergeCell ref="A6:K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Fund 51 BS</vt:lpstr>
      <vt:lpstr>Fund 51 Income</vt:lpstr>
      <vt:lpstr>Fund 51 Cash Flows</vt:lpstr>
      <vt:lpstr>Potential Footnote</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Weber, Kirk</dc:creator>
  <cp:lastModifiedBy>Lucero, Yolanda (6847)</cp:lastModifiedBy>
  <dcterms:created xsi:type="dcterms:W3CDTF">2014-02-27T19:48:39Z</dcterms:created>
  <dcterms:modified xsi:type="dcterms:W3CDTF">2014-02-27T21:04:01Z</dcterms:modified>
</cp:coreProperties>
</file>