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20" yWindow="105" windowWidth="15360" windowHeight="7605"/>
  </bookViews>
  <sheets>
    <sheet name="Segment Revenue Drivers" sheetId="1" r:id="rId1"/>
    <sheet name="Segment Non-GAAP Reconcilation" sheetId="7" r:id="rId2"/>
    <sheet name="LTM Non-GAAP EBITDA" sheetId="8" r:id="rId3"/>
    <sheet name="LTM Non-GAAP EPS" sheetId="9" r:id="rId4"/>
  </sheets>
  <definedNames>
    <definedName name="_xlnm.Print_Area" localSheetId="2">'LTM Non-GAAP EBITDA'!$A$1:$H$20</definedName>
    <definedName name="_xlnm.Print_Area" localSheetId="3">'LTM Non-GAAP EPS'!$A$1:$B$18</definedName>
    <definedName name="_xlnm.Print_Area" localSheetId="1">'Segment Non-GAAP Reconcilation'!$A$1:$W$48</definedName>
    <definedName name="_xlnm.Print_Area" localSheetId="0">'Segment Revenue Drivers'!$A$1:$S$65</definedName>
  </definedNames>
  <calcPr calcId="124519"/>
</workbook>
</file>

<file path=xl/calcChain.xml><?xml version="1.0" encoding="utf-8"?>
<calcChain xmlns="http://schemas.openxmlformats.org/spreadsheetml/2006/main">
  <c r="B10" i="9"/>
  <c r="B8" s="1"/>
  <c r="B5" s="1"/>
  <c r="G19" i="1"/>
  <c r="B12" i="8"/>
  <c r="B9" s="1"/>
  <c r="B6" s="1"/>
  <c r="D34" i="7"/>
  <c r="D37" s="1"/>
  <c r="D44" s="1"/>
  <c r="D27"/>
  <c r="D18"/>
  <c r="D17"/>
  <c r="D16"/>
  <c r="D15"/>
  <c r="D19" s="1"/>
  <c r="D12"/>
  <c r="K17"/>
  <c r="K16"/>
  <c r="K15"/>
  <c r="J18"/>
  <c r="I18"/>
  <c r="H18"/>
  <c r="G18"/>
  <c r="J17"/>
  <c r="I17"/>
  <c r="H17"/>
  <c r="G17"/>
  <c r="J16"/>
  <c r="I16"/>
  <c r="H16"/>
  <c r="G16"/>
  <c r="J15"/>
  <c r="I15"/>
  <c r="H15"/>
  <c r="G15"/>
  <c r="I34"/>
  <c r="J34"/>
  <c r="H34"/>
  <c r="G34"/>
  <c r="J27"/>
  <c r="I27"/>
  <c r="H27"/>
  <c r="G27"/>
  <c r="K42"/>
  <c r="K41"/>
  <c r="K40"/>
  <c r="W44"/>
  <c r="V44"/>
  <c r="U44"/>
  <c r="T44"/>
  <c r="S44"/>
  <c r="Q44"/>
  <c r="P44"/>
  <c r="O44"/>
  <c r="N44"/>
  <c r="M44"/>
  <c r="E18"/>
  <c r="E17"/>
  <c r="E19" s="1"/>
  <c r="E16"/>
  <c r="E15"/>
  <c r="C34"/>
  <c r="C37"/>
  <c r="C44"/>
  <c r="C27"/>
  <c r="C19"/>
  <c r="C12"/>
  <c r="E27"/>
  <c r="E12"/>
  <c r="W43"/>
  <c r="Q43"/>
  <c r="K43"/>
  <c r="W42"/>
  <c r="Q42"/>
  <c r="W39"/>
  <c r="Q39"/>
  <c r="K39"/>
  <c r="W38"/>
  <c r="Q38"/>
  <c r="K38"/>
  <c r="V34"/>
  <c r="V37"/>
  <c r="U34"/>
  <c r="U37"/>
  <c r="T34"/>
  <c r="T37"/>
  <c r="S34"/>
  <c r="S37"/>
  <c r="P34"/>
  <c r="P37"/>
  <c r="O34"/>
  <c r="O37"/>
  <c r="N34"/>
  <c r="N37"/>
  <c r="M34"/>
  <c r="M37"/>
  <c r="J37"/>
  <c r="J44"/>
  <c r="I37"/>
  <c r="I44"/>
  <c r="H37"/>
  <c r="H44"/>
  <c r="G37"/>
  <c r="G44"/>
  <c r="W33"/>
  <c r="Q33"/>
  <c r="Q34"/>
  <c r="Q37"/>
  <c r="K33"/>
  <c r="K18"/>
  <c r="W32"/>
  <c r="K32"/>
  <c r="W31"/>
  <c r="K31"/>
  <c r="W30"/>
  <c r="K30"/>
  <c r="V27"/>
  <c r="U27"/>
  <c r="T27"/>
  <c r="S27"/>
  <c r="W27"/>
  <c r="P27"/>
  <c r="O27"/>
  <c r="N27"/>
  <c r="M27"/>
  <c r="Q27"/>
  <c r="W26"/>
  <c r="K26"/>
  <c r="K27"/>
  <c r="W25"/>
  <c r="Q25"/>
  <c r="K25"/>
  <c r="W24"/>
  <c r="Q24"/>
  <c r="K24"/>
  <c r="W23"/>
  <c r="W22"/>
  <c r="Q22"/>
  <c r="K22"/>
  <c r="W18"/>
  <c r="V18"/>
  <c r="U18"/>
  <c r="T18"/>
  <c r="S18"/>
  <c r="Q18"/>
  <c r="P18"/>
  <c r="O18"/>
  <c r="N18"/>
  <c r="M18"/>
  <c r="V17"/>
  <c r="U17"/>
  <c r="T17"/>
  <c r="S17"/>
  <c r="Q17"/>
  <c r="P17"/>
  <c r="O17"/>
  <c r="N17"/>
  <c r="M17"/>
  <c r="V16"/>
  <c r="U16"/>
  <c r="T16"/>
  <c r="S16"/>
  <c r="W16"/>
  <c r="Q16"/>
  <c r="P16"/>
  <c r="O16"/>
  <c r="N16"/>
  <c r="M16"/>
  <c r="W15"/>
  <c r="V15"/>
  <c r="V19"/>
  <c r="U15"/>
  <c r="U19"/>
  <c r="T15"/>
  <c r="T19"/>
  <c r="S15"/>
  <c r="S19"/>
  <c r="Q15"/>
  <c r="Q19"/>
  <c r="P15"/>
  <c r="P19"/>
  <c r="O15"/>
  <c r="O19"/>
  <c r="N15"/>
  <c r="N19"/>
  <c r="M15"/>
  <c r="M19"/>
  <c r="J19"/>
  <c r="I19"/>
  <c r="H19"/>
  <c r="G19"/>
  <c r="V12"/>
  <c r="U12"/>
  <c r="T12"/>
  <c r="S12"/>
  <c r="P12"/>
  <c r="O12"/>
  <c r="N12"/>
  <c r="M12"/>
  <c r="J12"/>
  <c r="I12"/>
  <c r="H12"/>
  <c r="G12"/>
  <c r="W11"/>
  <c r="W12"/>
  <c r="Q11"/>
  <c r="Q12"/>
  <c r="K11"/>
  <c r="K10"/>
  <c r="K9"/>
  <c r="K8"/>
  <c r="K12"/>
  <c r="W34"/>
  <c r="E34"/>
  <c r="E37" s="1"/>
  <c r="E44" s="1"/>
  <c r="K34"/>
  <c r="W17"/>
  <c r="W19"/>
  <c r="K19"/>
  <c r="K37"/>
  <c r="K44"/>
  <c r="W37"/>
</calcChain>
</file>

<file path=xl/sharedStrings.xml><?xml version="1.0" encoding="utf-8"?>
<sst xmlns="http://schemas.openxmlformats.org/spreadsheetml/2006/main" count="171" uniqueCount="81">
  <si>
    <t>Historical Revenue Drivers</t>
  </si>
  <si>
    <t>Q1</t>
  </si>
  <si>
    <t>Q2</t>
  </si>
  <si>
    <t>Q3</t>
  </si>
  <si>
    <t>Q4</t>
  </si>
  <si>
    <t>Full Year</t>
  </si>
  <si>
    <t>Domestic Car</t>
  </si>
  <si>
    <t>Average Fleet</t>
  </si>
  <si>
    <t>International Car</t>
  </si>
  <si>
    <t>Truck</t>
  </si>
  <si>
    <t>Revenue</t>
  </si>
  <si>
    <t>Historical Segment Financial Information</t>
  </si>
  <si>
    <t>($ millions)</t>
  </si>
  <si>
    <t>Less:  Non-vehicle related depreciation and amortization</t>
  </si>
  <si>
    <t>Avis Budget Group, Inc.</t>
  </si>
  <si>
    <t>Adjusted EBITDA</t>
  </si>
  <si>
    <t>Total Company Adjusted EBITDA</t>
  </si>
  <si>
    <t>Certain Items</t>
  </si>
  <si>
    <t>Adjusted EBITDA Excluding Certain Items</t>
  </si>
  <si>
    <t xml:space="preserve">Adjusted EBITDA excluding certain items, amortization of deferred financing fees and stock-based compensation </t>
  </si>
  <si>
    <t xml:space="preserve">          Amortization of deferred financing fees </t>
  </si>
  <si>
    <t xml:space="preserve">          Stock-based compensation </t>
  </si>
  <si>
    <t>Adjusted EBITDA excluding certain items</t>
  </si>
  <si>
    <t xml:space="preserve">          Interest expense related to corporate debt, net </t>
  </si>
  <si>
    <t>Less certain items:</t>
  </si>
  <si>
    <t xml:space="preserve">          Early extinguishment of debt </t>
  </si>
  <si>
    <t xml:space="preserve">          Restructuring charges</t>
  </si>
  <si>
    <t xml:space="preserve">          Acquisition-related interest </t>
  </si>
  <si>
    <t xml:space="preserve">          Litigation costs </t>
  </si>
  <si>
    <t>Domestic car</t>
  </si>
  <si>
    <t>International car</t>
  </si>
  <si>
    <t>Corporate and other</t>
  </si>
  <si>
    <t>Domestic car restructuring costs</t>
  </si>
  <si>
    <t>Truck restructuring costs</t>
  </si>
  <si>
    <t>International car restructuring costs</t>
  </si>
  <si>
    <t>Income before income taxes, excluding certain items</t>
  </si>
  <si>
    <t>Income before income taxes</t>
  </si>
  <si>
    <t>Pretax Income (Loss)</t>
  </si>
  <si>
    <t xml:space="preserve">   Total Revenue</t>
  </si>
  <si>
    <t xml:space="preserve">   Total Adjusted EBITDA</t>
  </si>
  <si>
    <t xml:space="preserve">   Total Certain Items</t>
  </si>
  <si>
    <t>Reconciliation of Adjusted EBITDA to Pretax Income (Loss)</t>
  </si>
  <si>
    <t>(a) Domestic car other items reflects a $1 million charge for separation costs and $5 million charge related to the settlement of a litigation claim in second quarter 2008 and third quarter 2008 respectively.</t>
  </si>
  <si>
    <t>Reconciliation of Adjusted EBITDA excluding certain items, amortization of deferred financing fees and stock-based compensation to income before income taxes</t>
  </si>
  <si>
    <r>
      <t>Q1</t>
    </r>
    <r>
      <rPr>
        <b/>
        <vertAlign val="superscript"/>
        <sz val="8"/>
        <rFont val="Verdana"/>
        <family val="2"/>
      </rPr>
      <t>(C)</t>
    </r>
  </si>
  <si>
    <r>
      <t>Q2</t>
    </r>
    <r>
      <rPr>
        <b/>
        <vertAlign val="superscript"/>
        <sz val="8"/>
        <rFont val="Verdana"/>
        <family val="2"/>
      </rPr>
      <t>(C)</t>
    </r>
  </si>
  <si>
    <r>
      <t>Q3</t>
    </r>
    <r>
      <rPr>
        <b/>
        <vertAlign val="superscript"/>
        <sz val="8"/>
        <rFont val="Verdana"/>
        <family val="2"/>
      </rPr>
      <t>(C)</t>
    </r>
  </si>
  <si>
    <r>
      <t>Q4</t>
    </r>
    <r>
      <rPr>
        <b/>
        <vertAlign val="superscript"/>
        <sz val="8"/>
        <rFont val="Verdana"/>
        <family val="2"/>
      </rPr>
      <t>(C)</t>
    </r>
  </si>
  <si>
    <r>
      <t>Full Year</t>
    </r>
    <r>
      <rPr>
        <b/>
        <vertAlign val="superscript"/>
        <sz val="8"/>
        <rFont val="Verdana"/>
        <family val="2"/>
      </rPr>
      <t>(C)</t>
    </r>
  </si>
  <si>
    <r>
      <t>Domestic car other items</t>
    </r>
    <r>
      <rPr>
        <vertAlign val="superscript"/>
        <sz val="8"/>
        <rFont val="Verdana"/>
        <family val="2"/>
      </rPr>
      <t>(a)</t>
    </r>
  </si>
  <si>
    <t>(b) Rental days and time and mileage revenue per day are calculated based on the actual usage of the vehicle during a 24-hour period.  Our calculation of rental days and time and mileage revenue per day may not be comparable to the calculation of similarly-titled statistics by other companies.</t>
  </si>
  <si>
    <t>(c) Amounts presented for rental days and time and mileage per day for Domestic Car Rental were adjusted, by less than 1%, to conform to the current year's presentation.</t>
  </si>
  <si>
    <r>
      <t>T&amp;M per day</t>
    </r>
    <r>
      <rPr>
        <vertAlign val="superscript"/>
        <sz val="8"/>
        <rFont val="Verdana"/>
        <family val="2"/>
      </rPr>
      <t>(b)</t>
    </r>
  </si>
  <si>
    <t>(a) In thousands; full year numbers may not add due to rounding.</t>
  </si>
  <si>
    <r>
      <t>Rental Days</t>
    </r>
    <r>
      <rPr>
        <vertAlign val="superscript"/>
        <sz val="8"/>
        <rFont val="Verdana"/>
        <family val="2"/>
      </rPr>
      <t>(a)</t>
    </r>
  </si>
  <si>
    <r>
      <t>Corporate and other</t>
    </r>
    <r>
      <rPr>
        <vertAlign val="superscript"/>
        <sz val="8"/>
        <rFont val="Verdana"/>
        <family val="2"/>
      </rPr>
      <t>(b)</t>
    </r>
  </si>
  <si>
    <t>Trailing twelve months ending March 31, 2011</t>
  </si>
  <si>
    <t>Y-T-D</t>
  </si>
  <si>
    <t>Trailing twelve months ending June 30, 2011</t>
  </si>
  <si>
    <t xml:space="preserve">   Total Adjusted EBITDA excluding Certain Items</t>
  </si>
  <si>
    <t xml:space="preserve">             Early extinguishment of debt</t>
  </si>
  <si>
    <t xml:space="preserve">             Impairment</t>
  </si>
  <si>
    <t xml:space="preserve">             Transaction-related expenses</t>
  </si>
  <si>
    <t xml:space="preserve">             Acquisition-related interest</t>
  </si>
  <si>
    <r>
      <t xml:space="preserve">             Interest expense related to corporate debt, net</t>
    </r>
    <r>
      <rPr>
        <vertAlign val="superscript"/>
        <sz val="8"/>
        <rFont val="Verdana"/>
        <family val="2"/>
      </rPr>
      <t>(c)</t>
    </r>
  </si>
  <si>
    <t>-</t>
  </si>
  <si>
    <t>(b) The Corporate and Other reporting segment for the quarter ended September 30, 2009 reflects an $18 million charge recorded in third quarter 2009 for an adverse litigation judgment against the Company for a breach-of-contract claim filed in 2003 related to the acquisition of the Budget vehicle rental business in 2002.  The quarter ended June 30, 2010 includes an additional $1 million charge.</t>
  </si>
  <si>
    <t>Trailing twelve months ending Sept. 30, 2011</t>
  </si>
  <si>
    <t xml:space="preserve">          Transaction-related expenses </t>
  </si>
  <si>
    <t>(c) Excludes interest expense related to the acquisition of Avis Europe.</t>
  </si>
  <si>
    <t>Reconciliation of net income, excluding certain items to net income</t>
  </si>
  <si>
    <t>Net income, excluding certain items</t>
  </si>
  <si>
    <t>Less certain items, net of tax:</t>
  </si>
  <si>
    <t xml:space="preserve">          Transaction-related expenses</t>
  </si>
  <si>
    <t>Net income</t>
  </si>
  <si>
    <t>Earnings per share, excluding certain items (diluted)</t>
  </si>
  <si>
    <t xml:space="preserve">          Early extinguishment of debt</t>
  </si>
  <si>
    <t>Net income, excluding certain items used to calculate Earnings per share, excluding certain items (diluted)</t>
  </si>
  <si>
    <t>Less: Convertible debt interest, net of tax</t>
  </si>
  <si>
    <t xml:space="preserve">          Shares used to calculate Earnings per share, excluding certain items (diluted)</t>
  </si>
  <si>
    <t>($ millions, except EPS)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</si>
</sst>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?_);_(@_)"/>
    <numFmt numFmtId="168" formatCode="_(&quot;$&quot;* #,##0.00_);_(&quot;$&quot;* \(#,##0.00\);_(&quot;$&quot;* &quot;-&quot;_);_(@_)"/>
  </numFmts>
  <fonts count="14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Verdana"/>
      <family val="2"/>
    </font>
    <font>
      <u/>
      <sz val="10"/>
      <name val="Verdana"/>
      <family val="2"/>
    </font>
    <font>
      <u val="singleAccounting"/>
      <sz val="1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i/>
      <sz val="10"/>
      <name val="Verdana"/>
      <family val="2"/>
    </font>
    <font>
      <b/>
      <vertAlign val="superscript"/>
      <sz val="8"/>
      <name val="Verdana"/>
      <family val="2"/>
    </font>
    <font>
      <vertAlign val="superscript"/>
      <sz val="8"/>
      <name val="Verdana"/>
      <family val="2"/>
    </font>
    <font>
      <b/>
      <sz val="10"/>
      <color theme="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 applyFill="1"/>
    <xf numFmtId="0" fontId="3" fillId="0" borderId="0" xfId="0" applyFont="1" applyFill="1"/>
    <xf numFmtId="164" fontId="3" fillId="0" borderId="0" xfId="1" applyNumberFormat="1" applyFont="1"/>
    <xf numFmtId="44" fontId="3" fillId="0" borderId="0" xfId="3" applyFont="1"/>
    <xf numFmtId="44" fontId="3" fillId="0" borderId="0" xfId="3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Border="1"/>
    <xf numFmtId="0" fontId="7" fillId="0" borderId="0" xfId="0" applyFont="1" applyFill="1"/>
    <xf numFmtId="0" fontId="11" fillId="2" borderId="0" xfId="0" applyFont="1" applyFill="1" applyBorder="1"/>
    <xf numFmtId="0" fontId="11" fillId="0" borderId="0" xfId="0" applyFont="1" applyFill="1" applyBorder="1"/>
    <xf numFmtId="0" fontId="3" fillId="0" borderId="0" xfId="5" applyFont="1"/>
    <xf numFmtId="0" fontId="3" fillId="0" borderId="0" xfId="5" applyFont="1" applyBorder="1"/>
    <xf numFmtId="165" fontId="3" fillId="0" borderId="0" xfId="4" applyNumberFormat="1" applyFont="1" applyFill="1"/>
    <xf numFmtId="0" fontId="3" fillId="0" borderId="0" xfId="5" applyFont="1" applyFill="1" applyBorder="1"/>
    <xf numFmtId="165" fontId="3" fillId="0" borderId="0" xfId="4" applyNumberFormat="1" applyFont="1"/>
    <xf numFmtId="44" fontId="3" fillId="0" borderId="0" xfId="4" applyFont="1"/>
    <xf numFmtId="165" fontId="3" fillId="0" borderId="0" xfId="5" applyNumberFormat="1" applyFont="1"/>
    <xf numFmtId="0" fontId="7" fillId="0" borderId="0" xfId="5" applyFont="1" applyBorder="1"/>
    <xf numFmtId="0" fontId="8" fillId="0" borderId="0" xfId="5" applyFont="1" applyBorder="1"/>
    <xf numFmtId="164" fontId="3" fillId="0" borderId="0" xfId="2" applyNumberFormat="1" applyFont="1" applyFill="1" applyAlignment="1">
      <alignment horizontal="right"/>
    </xf>
    <xf numFmtId="0" fontId="12" fillId="0" borderId="0" xfId="5" applyFont="1" applyAlignment="1">
      <alignment horizontal="left" readingOrder="1"/>
    </xf>
    <xf numFmtId="0" fontId="12" fillId="0" borderId="0" xfId="5" applyFont="1" applyAlignment="1">
      <alignment vertical="center" wrapText="1"/>
    </xf>
    <xf numFmtId="0" fontId="13" fillId="0" borderId="0" xfId="5" applyFont="1" applyBorder="1" applyAlignment="1">
      <alignment horizontal="center" vertical="center" wrapText="1" readingOrder="1"/>
    </xf>
    <xf numFmtId="0" fontId="13" fillId="0" borderId="0" xfId="5" applyFont="1" applyAlignment="1">
      <alignment horizontal="left" vertical="center" wrapText="1" readingOrder="1"/>
    </xf>
    <xf numFmtId="42" fontId="13" fillId="0" borderId="0" xfId="5" applyNumberFormat="1" applyFont="1" applyBorder="1" applyAlignment="1">
      <alignment horizontal="right" vertical="center" wrapText="1" readingOrder="1"/>
    </xf>
    <xf numFmtId="0" fontId="12" fillId="0" borderId="0" xfId="5" applyFont="1" applyAlignment="1">
      <alignment horizontal="left" vertical="center" wrapText="1" readingOrder="1"/>
    </xf>
    <xf numFmtId="0" fontId="12" fillId="0" borderId="0" xfId="5" applyFont="1" applyAlignment="1">
      <alignment horizontal="right" vertical="center" wrapText="1" readingOrder="1"/>
    </xf>
    <xf numFmtId="0" fontId="12" fillId="0" borderId="1" xfId="5" applyFont="1" applyBorder="1" applyAlignment="1">
      <alignment horizontal="right" vertical="center" wrapText="1" readingOrder="1"/>
    </xf>
    <xf numFmtId="42" fontId="13" fillId="0" borderId="2" xfId="5" applyNumberFormat="1" applyFont="1" applyBorder="1" applyAlignment="1">
      <alignment horizontal="right" vertical="center" wrapText="1" readingOrder="1"/>
    </xf>
    <xf numFmtId="0" fontId="13" fillId="0" borderId="0" xfId="5" applyFont="1" applyAlignment="1">
      <alignment horizontal="right" vertical="center" wrapText="1"/>
    </xf>
    <xf numFmtId="42" fontId="13" fillId="0" borderId="3" xfId="5" applyNumberFormat="1" applyFont="1" applyBorder="1" applyAlignment="1">
      <alignment horizontal="right" vertical="center" wrapText="1" readingOrder="1"/>
    </xf>
    <xf numFmtId="0" fontId="13" fillId="0" borderId="0" xfId="5" applyFont="1" applyAlignment="1">
      <alignment vertical="center" wrapText="1"/>
    </xf>
    <xf numFmtId="0" fontId="13" fillId="0" borderId="3" xfId="5" applyFont="1" applyBorder="1" applyAlignment="1">
      <alignment horizontal="right" vertical="center" wrapText="1"/>
    </xf>
    <xf numFmtId="0" fontId="3" fillId="0" borderId="0" xfId="5" applyFont="1" applyBorder="1" applyAlignment="1">
      <alignment vertical="center"/>
    </xf>
    <xf numFmtId="0" fontId="3" fillId="0" borderId="0" xfId="5" applyFont="1" applyFill="1" applyBorder="1" applyAlignment="1">
      <alignment vertical="center"/>
    </xf>
    <xf numFmtId="0" fontId="3" fillId="0" borderId="0" xfId="0" applyFont="1" applyFill="1" applyAlignment="1">
      <alignment vertical="top" wrapText="1"/>
    </xf>
    <xf numFmtId="0" fontId="11" fillId="2" borderId="0" xfId="5" applyFont="1" applyFill="1" applyBorder="1" applyAlignment="1">
      <alignment vertical="center"/>
    </xf>
    <xf numFmtId="0" fontId="11" fillId="0" borderId="0" xfId="5" applyFont="1" applyFill="1" applyBorder="1" applyAlignment="1">
      <alignment vertical="center"/>
    </xf>
    <xf numFmtId="0" fontId="3" fillId="0" borderId="0" xfId="5" applyFont="1" applyAlignment="1">
      <alignment vertical="center"/>
    </xf>
    <xf numFmtId="0" fontId="4" fillId="0" borderId="0" xfId="5" applyFont="1" applyAlignment="1">
      <alignment vertical="center"/>
    </xf>
    <xf numFmtId="164" fontId="3" fillId="0" borderId="0" xfId="2" applyNumberFormat="1" applyFont="1" applyAlignment="1">
      <alignment vertical="center"/>
    </xf>
    <xf numFmtId="165" fontId="3" fillId="0" borderId="0" xfId="4" applyNumberFormat="1" applyFont="1" applyFill="1" applyAlignment="1">
      <alignment vertical="center"/>
    </xf>
    <xf numFmtId="165" fontId="3" fillId="0" borderId="0" xfId="4" applyNumberFormat="1" applyFont="1" applyAlignment="1">
      <alignment vertical="center"/>
    </xf>
    <xf numFmtId="164" fontId="3" fillId="0" borderId="0" xfId="2" applyNumberFormat="1" applyFont="1" applyFill="1" applyAlignment="1">
      <alignment vertical="center"/>
    </xf>
    <xf numFmtId="164" fontId="5" fillId="0" borderId="0" xfId="2" applyNumberFormat="1" applyFont="1" applyFill="1" applyAlignment="1">
      <alignment vertical="center"/>
    </xf>
    <xf numFmtId="0" fontId="3" fillId="0" borderId="0" xfId="5" applyFont="1" applyFill="1" applyAlignment="1">
      <alignment vertical="center"/>
    </xf>
    <xf numFmtId="0" fontId="6" fillId="0" borderId="0" xfId="5" applyFont="1" applyFill="1" applyAlignment="1">
      <alignment vertical="center"/>
    </xf>
    <xf numFmtId="164" fontId="3" fillId="0" borderId="0" xfId="2" applyNumberFormat="1" applyFont="1" applyBorder="1" applyAlignment="1">
      <alignment vertical="center"/>
    </xf>
    <xf numFmtId="164" fontId="5" fillId="0" borderId="0" xfId="2" applyNumberFormat="1" applyFont="1" applyBorder="1" applyAlignment="1">
      <alignment vertical="center"/>
    </xf>
    <xf numFmtId="0" fontId="7" fillId="0" borderId="0" xfId="5" applyFont="1" applyBorder="1" applyAlignment="1">
      <alignment vertical="center"/>
    </xf>
    <xf numFmtId="0" fontId="7" fillId="0" borderId="0" xfId="5" applyFont="1" applyFill="1" applyBorder="1" applyAlignment="1">
      <alignment vertical="center"/>
    </xf>
    <xf numFmtId="0" fontId="8" fillId="0" borderId="0" xfId="5" applyFont="1" applyBorder="1" applyAlignment="1">
      <alignment vertical="center"/>
    </xf>
    <xf numFmtId="0" fontId="8" fillId="0" borderId="0" xfId="5" applyFont="1" applyFill="1" applyBorder="1" applyAlignment="1">
      <alignment vertical="center"/>
    </xf>
    <xf numFmtId="0" fontId="11" fillId="0" borderId="0" xfId="5" applyFont="1" applyBorder="1" applyAlignment="1">
      <alignment vertical="center"/>
    </xf>
    <xf numFmtId="44" fontId="3" fillId="0" borderId="0" xfId="4" applyFont="1" applyAlignment="1">
      <alignment vertical="center"/>
    </xf>
    <xf numFmtId="0" fontId="11" fillId="0" borderId="0" xfId="5" applyFont="1" applyBorder="1" applyAlignment="1">
      <alignment horizontal="center" vertical="center"/>
    </xf>
    <xf numFmtId="0" fontId="7" fillId="0" borderId="0" xfId="5" applyFont="1" applyBorder="1" applyAlignment="1">
      <alignment horizontal="center" vertical="center"/>
    </xf>
    <xf numFmtId="0" fontId="11" fillId="3" borderId="0" xfId="5" applyFont="1" applyFill="1" applyBorder="1" applyAlignment="1">
      <alignment horizontal="center" vertical="center"/>
    </xf>
    <xf numFmtId="0" fontId="11" fillId="3" borderId="0" xfId="5" applyFont="1" applyFill="1" applyBorder="1" applyAlignment="1">
      <alignment horizontal="center" vertical="center" wrapText="1"/>
    </xf>
    <xf numFmtId="0" fontId="7" fillId="0" borderId="0" xfId="5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3" fillId="0" borderId="4" xfId="5" applyFont="1" applyBorder="1"/>
    <xf numFmtId="0" fontId="3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/>
    </xf>
    <xf numFmtId="0" fontId="11" fillId="3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3" borderId="0" xfId="5" applyFont="1" applyFill="1" applyBorder="1" applyAlignment="1">
      <alignment horizontal="center" vertical="center"/>
    </xf>
    <xf numFmtId="0" fontId="3" fillId="0" borderId="0" xfId="5" applyNumberFormat="1" applyFont="1" applyAlignment="1">
      <alignment horizontal="left" wrapText="1"/>
    </xf>
    <xf numFmtId="42" fontId="12" fillId="0" borderId="0" xfId="5" applyNumberFormat="1" applyFont="1" applyBorder="1" applyAlignment="1">
      <alignment horizontal="right" vertical="center" wrapText="1" readingOrder="1"/>
    </xf>
    <xf numFmtId="166" fontId="12" fillId="0" borderId="0" xfId="1" applyNumberFormat="1" applyFont="1" applyBorder="1" applyAlignment="1">
      <alignment horizontal="right" vertical="center" wrapText="1" readingOrder="1"/>
    </xf>
    <xf numFmtId="168" fontId="13" fillId="0" borderId="0" xfId="5" applyNumberFormat="1" applyFont="1" applyBorder="1" applyAlignment="1">
      <alignment horizontal="right" vertical="center" wrapText="1" readingOrder="1"/>
    </xf>
    <xf numFmtId="164" fontId="12" fillId="0" borderId="0" xfId="1" applyNumberFormat="1" applyFont="1" applyBorder="1" applyAlignment="1">
      <alignment horizontal="right" vertical="center" wrapText="1" readingOrder="1"/>
    </xf>
  </cellXfs>
  <cellStyles count="6">
    <cellStyle name="Comma" xfId="1" builtinId="3"/>
    <cellStyle name="Comma 2" xfId="2"/>
    <cellStyle name="Currency" xfId="3" builtinId="4"/>
    <cellStyle name="Currency 2" xfId="4"/>
    <cellStyle name="Normal" xfId="0" builtinId="0"/>
    <cellStyle name="Normal 2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5"/>
  <sheetViews>
    <sheetView tabSelected="1" view="pageBreakPreview" zoomScale="82" zoomScaleNormal="75" zoomScaleSheetLayoutView="82" workbookViewId="0"/>
  </sheetViews>
  <sheetFormatPr defaultRowHeight="12.75"/>
  <cols>
    <col min="1" max="1" width="26.140625" style="1" customWidth="1"/>
    <col min="2" max="2" width="3.140625" style="4" customWidth="1"/>
    <col min="3" max="6" width="10.7109375" style="1" customWidth="1"/>
    <col min="7" max="7" width="12.7109375" style="1" bestFit="1" customWidth="1"/>
    <col min="8" max="8" width="3" style="1" customWidth="1"/>
    <col min="9" max="12" width="10.7109375" style="1" customWidth="1"/>
    <col min="13" max="13" width="12.7109375" style="1" customWidth="1"/>
    <col min="14" max="14" width="3" style="1" customWidth="1"/>
    <col min="15" max="18" width="10.7109375" style="1" customWidth="1"/>
    <col min="19" max="19" width="12.7109375" style="1" customWidth="1"/>
    <col min="20" max="20" width="3" style="1" customWidth="1"/>
    <col min="21" max="16384" width="9.140625" style="1"/>
  </cols>
  <sheetData>
    <row r="1" spans="1:19">
      <c r="A1" s="8" t="s">
        <v>14</v>
      </c>
      <c r="B1" s="11"/>
    </row>
    <row r="2" spans="1:19">
      <c r="A2" s="1" t="s">
        <v>0</v>
      </c>
    </row>
    <row r="4" spans="1:19">
      <c r="C4" s="68">
        <v>2011</v>
      </c>
      <c r="D4" s="68"/>
      <c r="E4" s="68"/>
      <c r="F4" s="68"/>
      <c r="G4" s="68"/>
      <c r="H4" s="4"/>
      <c r="I4" s="69"/>
      <c r="J4" s="69"/>
      <c r="K4" s="69"/>
      <c r="L4" s="69"/>
      <c r="M4" s="69"/>
      <c r="N4" s="10"/>
      <c r="O4" s="69"/>
      <c r="P4" s="69"/>
      <c r="Q4" s="69"/>
      <c r="R4" s="69"/>
      <c r="S4" s="69"/>
    </row>
    <row r="5" spans="1:19" ht="12.75" customHeight="1">
      <c r="A5" s="12" t="s">
        <v>6</v>
      </c>
      <c r="B5" s="13"/>
      <c r="C5" s="9" t="s">
        <v>1</v>
      </c>
      <c r="D5" s="9" t="s">
        <v>2</v>
      </c>
      <c r="E5" s="9" t="s">
        <v>3</v>
      </c>
      <c r="F5" s="9" t="s">
        <v>4</v>
      </c>
      <c r="G5" s="9" t="s">
        <v>57</v>
      </c>
      <c r="I5" s="9"/>
      <c r="J5" s="9"/>
      <c r="K5" s="9"/>
      <c r="L5" s="9"/>
      <c r="M5" s="9"/>
      <c r="N5" s="8"/>
      <c r="O5" s="64"/>
      <c r="P5" s="64"/>
      <c r="Q5" s="64"/>
      <c r="R5" s="64"/>
      <c r="S5" s="64"/>
    </row>
    <row r="6" spans="1:19" ht="6" customHeight="1">
      <c r="O6" s="4"/>
      <c r="P6" s="4"/>
      <c r="Q6" s="4"/>
      <c r="R6" s="4"/>
      <c r="S6" s="4"/>
    </row>
    <row r="7" spans="1:19">
      <c r="A7" s="1" t="s">
        <v>54</v>
      </c>
      <c r="C7" s="5">
        <v>17189</v>
      </c>
      <c r="D7" s="5">
        <v>19973</v>
      </c>
      <c r="E7" s="5">
        <v>21112</v>
      </c>
      <c r="F7" s="5"/>
      <c r="G7" s="5">
        <v>58275</v>
      </c>
      <c r="I7" s="5"/>
      <c r="J7" s="5"/>
      <c r="K7" s="5"/>
      <c r="L7" s="5"/>
      <c r="M7" s="5"/>
      <c r="O7" s="3"/>
      <c r="P7" s="3"/>
      <c r="Q7" s="3"/>
      <c r="R7" s="3"/>
      <c r="S7" s="3"/>
    </row>
    <row r="8" spans="1:19">
      <c r="A8" s="1" t="s">
        <v>52</v>
      </c>
      <c r="C8" s="6">
        <v>40.74</v>
      </c>
      <c r="D8" s="6">
        <v>39.25</v>
      </c>
      <c r="E8" s="6">
        <v>42.84</v>
      </c>
      <c r="F8" s="6"/>
      <c r="G8" s="6">
        <v>40.99</v>
      </c>
      <c r="I8" s="6"/>
      <c r="J8" s="6"/>
      <c r="K8" s="6"/>
      <c r="L8" s="6"/>
      <c r="M8" s="6"/>
      <c r="O8" s="7"/>
      <c r="P8" s="7"/>
      <c r="Q8" s="7"/>
      <c r="R8" s="7"/>
      <c r="S8" s="7"/>
    </row>
    <row r="9" spans="1:19">
      <c r="A9" s="1" t="s">
        <v>7</v>
      </c>
      <c r="C9" s="5">
        <v>263050</v>
      </c>
      <c r="D9" s="5">
        <v>310456</v>
      </c>
      <c r="E9" s="5">
        <v>314259</v>
      </c>
      <c r="F9" s="5"/>
      <c r="G9" s="5">
        <v>295879</v>
      </c>
      <c r="I9" s="5"/>
      <c r="J9" s="5"/>
      <c r="K9" s="5"/>
      <c r="L9" s="5"/>
      <c r="M9" s="5"/>
      <c r="O9" s="3"/>
      <c r="P9" s="3"/>
      <c r="Q9" s="3"/>
      <c r="R9" s="3"/>
      <c r="S9" s="3"/>
    </row>
    <row r="10" spans="1:19">
      <c r="O10" s="4"/>
      <c r="P10" s="4"/>
      <c r="Q10" s="4"/>
      <c r="R10" s="4"/>
      <c r="S10" s="4"/>
    </row>
    <row r="11" spans="1:19">
      <c r="A11" s="12" t="s">
        <v>8</v>
      </c>
      <c r="B11" s="13"/>
      <c r="N11" s="2"/>
      <c r="O11" s="4"/>
      <c r="P11" s="4"/>
      <c r="Q11" s="4"/>
      <c r="R11" s="4"/>
      <c r="S11" s="4"/>
    </row>
    <row r="12" spans="1:19" ht="6" customHeight="1">
      <c r="O12" s="4"/>
      <c r="P12" s="4"/>
      <c r="Q12" s="4"/>
      <c r="R12" s="4"/>
      <c r="S12" s="4"/>
    </row>
    <row r="13" spans="1:19">
      <c r="A13" s="1" t="s">
        <v>54</v>
      </c>
      <c r="C13" s="5">
        <v>3123</v>
      </c>
      <c r="D13" s="5">
        <v>3226</v>
      </c>
      <c r="E13" s="5">
        <v>4114</v>
      </c>
      <c r="F13" s="5"/>
      <c r="G13" s="5">
        <v>10462</v>
      </c>
      <c r="I13" s="5"/>
      <c r="J13" s="5"/>
      <c r="K13" s="5"/>
      <c r="L13" s="5"/>
      <c r="M13" s="5"/>
      <c r="O13" s="3"/>
      <c r="P13" s="3"/>
      <c r="Q13" s="3"/>
      <c r="R13" s="3"/>
      <c r="S13" s="3"/>
    </row>
    <row r="14" spans="1:19">
      <c r="A14" s="1" t="s">
        <v>52</v>
      </c>
      <c r="C14" s="6">
        <v>50.57</v>
      </c>
      <c r="D14" s="6">
        <v>51.61</v>
      </c>
      <c r="E14" s="6">
        <v>52.46</v>
      </c>
      <c r="F14" s="6"/>
      <c r="G14" s="6">
        <v>51.64</v>
      </c>
      <c r="I14" s="6"/>
      <c r="J14" s="6"/>
      <c r="K14" s="6"/>
      <c r="L14" s="6"/>
      <c r="M14" s="6"/>
      <c r="O14" s="7"/>
      <c r="P14" s="7"/>
      <c r="Q14" s="7"/>
      <c r="R14" s="7"/>
      <c r="S14" s="7"/>
    </row>
    <row r="15" spans="1:19">
      <c r="A15" s="1" t="s">
        <v>7</v>
      </c>
      <c r="C15" s="5">
        <v>50082</v>
      </c>
      <c r="D15" s="5">
        <v>52613</v>
      </c>
      <c r="E15" s="5">
        <v>60396</v>
      </c>
      <c r="F15" s="5"/>
      <c r="G15" s="5">
        <v>54364</v>
      </c>
      <c r="I15" s="5"/>
      <c r="J15" s="5"/>
      <c r="K15" s="5"/>
      <c r="L15" s="5"/>
      <c r="M15" s="5"/>
      <c r="O15" s="3"/>
      <c r="P15" s="3"/>
      <c r="Q15" s="3"/>
      <c r="R15" s="3"/>
      <c r="S15" s="3"/>
    </row>
    <row r="16" spans="1:19">
      <c r="O16" s="4"/>
      <c r="P16" s="4"/>
      <c r="Q16" s="4"/>
      <c r="R16" s="4"/>
      <c r="S16" s="4"/>
    </row>
    <row r="17" spans="1:19">
      <c r="A17" s="12" t="s">
        <v>9</v>
      </c>
      <c r="B17" s="13"/>
      <c r="N17" s="2"/>
      <c r="O17" s="4"/>
      <c r="P17" s="4"/>
      <c r="Q17" s="4"/>
      <c r="R17" s="4"/>
      <c r="S17" s="4"/>
    </row>
    <row r="18" spans="1:19" ht="6" customHeight="1">
      <c r="O18" s="4"/>
      <c r="P18" s="4"/>
      <c r="Q18" s="4"/>
      <c r="R18" s="4"/>
      <c r="S18" s="4"/>
    </row>
    <row r="19" spans="1:19">
      <c r="A19" s="1" t="s">
        <v>54</v>
      </c>
      <c r="C19" s="5">
        <v>910</v>
      </c>
      <c r="D19" s="5">
        <v>1123</v>
      </c>
      <c r="E19" s="5">
        <v>1188</v>
      </c>
      <c r="F19" s="5"/>
      <c r="G19" s="5">
        <f>SUM(C19:F19)</f>
        <v>3221</v>
      </c>
      <c r="I19" s="5"/>
      <c r="J19" s="5"/>
      <c r="K19" s="5"/>
      <c r="L19" s="5"/>
      <c r="M19" s="5"/>
      <c r="O19" s="3"/>
      <c r="P19" s="3"/>
      <c r="Q19" s="3"/>
      <c r="R19" s="3"/>
      <c r="S19" s="3"/>
    </row>
    <row r="20" spans="1:19">
      <c r="A20" s="1" t="s">
        <v>52</v>
      </c>
      <c r="C20" s="6">
        <v>66.040000000000006</v>
      </c>
      <c r="D20" s="6">
        <v>74.12</v>
      </c>
      <c r="E20" s="6">
        <v>76.77</v>
      </c>
      <c r="F20" s="6"/>
      <c r="G20" s="6">
        <v>72.819999999999993</v>
      </c>
      <c r="I20" s="6"/>
      <c r="J20" s="6"/>
      <c r="K20" s="6"/>
      <c r="L20" s="6"/>
      <c r="M20" s="6"/>
      <c r="O20" s="7"/>
      <c r="P20" s="7"/>
      <c r="Q20" s="7"/>
      <c r="R20" s="7"/>
      <c r="S20" s="7"/>
    </row>
    <row r="21" spans="1:19">
      <c r="A21" s="1" t="s">
        <v>7</v>
      </c>
      <c r="C21" s="5">
        <v>26003</v>
      </c>
      <c r="D21" s="5">
        <v>25958</v>
      </c>
      <c r="E21" s="5">
        <v>26115</v>
      </c>
      <c r="F21" s="5"/>
      <c r="G21" s="5">
        <v>26025</v>
      </c>
      <c r="I21" s="5"/>
      <c r="J21" s="5"/>
      <c r="K21" s="5"/>
      <c r="L21" s="5"/>
      <c r="M21" s="5"/>
      <c r="O21" s="3"/>
      <c r="P21" s="3"/>
      <c r="Q21" s="3"/>
      <c r="R21" s="3"/>
      <c r="S21" s="3"/>
    </row>
    <row r="24" spans="1:19">
      <c r="C24" s="68">
        <v>2010</v>
      </c>
      <c r="D24" s="68"/>
      <c r="E24" s="68"/>
      <c r="F24" s="68"/>
      <c r="G24" s="68"/>
      <c r="I24" s="68">
        <v>2009</v>
      </c>
      <c r="J24" s="68"/>
      <c r="K24" s="68"/>
      <c r="L24" s="68"/>
      <c r="M24" s="68"/>
      <c r="N24" s="10"/>
      <c r="O24" s="68">
        <v>2008</v>
      </c>
      <c r="P24" s="68"/>
      <c r="Q24" s="68"/>
      <c r="R24" s="68"/>
      <c r="S24" s="68"/>
    </row>
    <row r="25" spans="1:19" ht="12.75" customHeight="1">
      <c r="A25" s="12" t="s">
        <v>6</v>
      </c>
      <c r="B25" s="13"/>
      <c r="C25" s="9" t="s">
        <v>1</v>
      </c>
      <c r="D25" s="9" t="s">
        <v>2</v>
      </c>
      <c r="E25" s="9" t="s">
        <v>3</v>
      </c>
      <c r="F25" s="9" t="s">
        <v>4</v>
      </c>
      <c r="G25" s="9" t="s">
        <v>5</v>
      </c>
      <c r="I25" s="9" t="s">
        <v>1</v>
      </c>
      <c r="J25" s="9" t="s">
        <v>2</v>
      </c>
      <c r="K25" s="9" t="s">
        <v>3</v>
      </c>
      <c r="L25" s="9" t="s">
        <v>4</v>
      </c>
      <c r="M25" s="9" t="s">
        <v>5</v>
      </c>
      <c r="N25" s="8"/>
      <c r="O25" s="9" t="s">
        <v>44</v>
      </c>
      <c r="P25" s="9" t="s">
        <v>45</v>
      </c>
      <c r="Q25" s="9" t="s">
        <v>46</v>
      </c>
      <c r="R25" s="9" t="s">
        <v>4</v>
      </c>
      <c r="S25" s="9" t="s">
        <v>5</v>
      </c>
    </row>
    <row r="26" spans="1:19" ht="6" customHeight="1"/>
    <row r="27" spans="1:19">
      <c r="A27" s="1" t="s">
        <v>54</v>
      </c>
      <c r="C27" s="5">
        <v>16078</v>
      </c>
      <c r="D27" s="5">
        <v>18461</v>
      </c>
      <c r="E27" s="5">
        <v>20018</v>
      </c>
      <c r="F27" s="5">
        <v>16600</v>
      </c>
      <c r="G27" s="5">
        <v>71158</v>
      </c>
      <c r="I27" s="5">
        <v>18459</v>
      </c>
      <c r="J27" s="5">
        <v>19604</v>
      </c>
      <c r="K27" s="5">
        <v>19167</v>
      </c>
      <c r="L27" s="5">
        <v>15581</v>
      </c>
      <c r="M27" s="5">
        <v>72811</v>
      </c>
      <c r="O27" s="5">
        <v>22575</v>
      </c>
      <c r="P27" s="5">
        <v>25225</v>
      </c>
      <c r="Q27" s="5">
        <v>24783</v>
      </c>
      <c r="R27" s="5">
        <v>19707</v>
      </c>
      <c r="S27" s="5">
        <v>92291</v>
      </c>
    </row>
    <row r="28" spans="1:19">
      <c r="A28" s="1" t="s">
        <v>52</v>
      </c>
      <c r="C28" s="6">
        <v>41.82</v>
      </c>
      <c r="D28" s="6">
        <v>40.21</v>
      </c>
      <c r="E28" s="6">
        <v>43.38</v>
      </c>
      <c r="F28" s="6">
        <v>41.2</v>
      </c>
      <c r="G28" s="6">
        <v>41.7</v>
      </c>
      <c r="I28" s="6">
        <v>40.69</v>
      </c>
      <c r="J28" s="6">
        <v>40.51</v>
      </c>
      <c r="K28" s="6">
        <v>45.06</v>
      </c>
      <c r="L28" s="6">
        <v>42.69</v>
      </c>
      <c r="M28" s="6">
        <v>42.22</v>
      </c>
      <c r="O28" s="6">
        <v>39.54</v>
      </c>
      <c r="P28" s="6">
        <v>37.82</v>
      </c>
      <c r="Q28" s="6">
        <v>41.17</v>
      </c>
      <c r="R28" s="6">
        <v>39.06</v>
      </c>
      <c r="S28" s="6">
        <v>39.409999999999997</v>
      </c>
    </row>
    <row r="29" spans="1:19">
      <c r="A29" s="1" t="s">
        <v>7</v>
      </c>
      <c r="C29" s="5">
        <v>248919</v>
      </c>
      <c r="D29" s="5">
        <v>278311</v>
      </c>
      <c r="E29" s="5">
        <v>290939</v>
      </c>
      <c r="F29" s="5">
        <v>251919</v>
      </c>
      <c r="G29" s="5">
        <v>267522</v>
      </c>
      <c r="I29" s="5">
        <v>279939</v>
      </c>
      <c r="J29" s="5">
        <v>286991</v>
      </c>
      <c r="K29" s="5">
        <v>278189</v>
      </c>
      <c r="L29" s="5">
        <v>235771</v>
      </c>
      <c r="M29" s="5">
        <v>270223</v>
      </c>
      <c r="O29" s="5">
        <v>332039</v>
      </c>
      <c r="P29" s="5">
        <v>369558</v>
      </c>
      <c r="Q29" s="5">
        <v>359771</v>
      </c>
      <c r="R29" s="5">
        <v>291003</v>
      </c>
      <c r="S29" s="5">
        <v>338093</v>
      </c>
    </row>
    <row r="31" spans="1:19">
      <c r="A31" s="12" t="s">
        <v>8</v>
      </c>
      <c r="B31" s="13"/>
      <c r="N31" s="2"/>
    </row>
    <row r="32" spans="1:19" ht="6" customHeight="1"/>
    <row r="33" spans="1:40">
      <c r="A33" s="1" t="s">
        <v>54</v>
      </c>
      <c r="C33" s="5">
        <v>2924</v>
      </c>
      <c r="D33" s="5">
        <v>3039</v>
      </c>
      <c r="E33" s="5">
        <v>3896</v>
      </c>
      <c r="F33" s="5">
        <v>3149</v>
      </c>
      <c r="G33" s="5">
        <v>13008</v>
      </c>
      <c r="I33" s="5">
        <v>3235</v>
      </c>
      <c r="J33" s="5">
        <v>3057</v>
      </c>
      <c r="K33" s="5">
        <v>3774</v>
      </c>
      <c r="L33" s="5">
        <v>2955</v>
      </c>
      <c r="M33" s="5">
        <v>13021</v>
      </c>
      <c r="O33" s="5">
        <v>3511</v>
      </c>
      <c r="P33" s="5">
        <v>3396</v>
      </c>
      <c r="Q33" s="5">
        <v>4139</v>
      </c>
      <c r="R33" s="5">
        <v>3300</v>
      </c>
      <c r="S33" s="5">
        <v>14346</v>
      </c>
    </row>
    <row r="34" spans="1:40">
      <c r="A34" s="1" t="s">
        <v>52</v>
      </c>
      <c r="C34" s="6">
        <v>47.31</v>
      </c>
      <c r="D34" s="6">
        <v>45.78</v>
      </c>
      <c r="E34" s="6">
        <v>48.02</v>
      </c>
      <c r="F34" s="6">
        <v>49.7</v>
      </c>
      <c r="G34" s="6">
        <v>47.75</v>
      </c>
      <c r="I34" s="6">
        <v>34.869999999999997</v>
      </c>
      <c r="J34" s="6">
        <v>40.4</v>
      </c>
      <c r="K34" s="6">
        <v>46.28</v>
      </c>
      <c r="L34" s="6">
        <v>47.6</v>
      </c>
      <c r="M34" s="6">
        <v>42.36</v>
      </c>
      <c r="O34" s="6">
        <v>46.66</v>
      </c>
      <c r="P34" s="6">
        <v>46.12</v>
      </c>
      <c r="Q34" s="6">
        <v>44.6</v>
      </c>
      <c r="R34" s="6">
        <v>35.64</v>
      </c>
      <c r="S34" s="6">
        <v>43.4</v>
      </c>
    </row>
    <row r="35" spans="1:40">
      <c r="A35" s="1" t="s">
        <v>7</v>
      </c>
      <c r="C35" s="5">
        <v>47408</v>
      </c>
      <c r="D35" s="5">
        <v>49226</v>
      </c>
      <c r="E35" s="5">
        <v>57330</v>
      </c>
      <c r="F35" s="5">
        <v>50068</v>
      </c>
      <c r="G35" s="5">
        <v>51008</v>
      </c>
      <c r="I35" s="5">
        <v>51836</v>
      </c>
      <c r="J35" s="5">
        <v>49595</v>
      </c>
      <c r="K35" s="5">
        <v>55101</v>
      </c>
      <c r="L35" s="5">
        <v>47905</v>
      </c>
      <c r="M35" s="5">
        <v>51109</v>
      </c>
      <c r="O35" s="5">
        <v>54348</v>
      </c>
      <c r="P35" s="5">
        <v>55058</v>
      </c>
      <c r="Q35" s="5">
        <v>62675</v>
      </c>
      <c r="R35" s="5">
        <v>54825</v>
      </c>
      <c r="S35" s="5">
        <v>56726</v>
      </c>
    </row>
    <row r="37" spans="1:40">
      <c r="A37" s="12" t="s">
        <v>9</v>
      </c>
      <c r="B37" s="13"/>
      <c r="N37" s="2"/>
    </row>
    <row r="38" spans="1:40" ht="6" customHeight="1"/>
    <row r="39" spans="1:40">
      <c r="A39" s="1" t="s">
        <v>54</v>
      </c>
      <c r="C39" s="5">
        <v>780</v>
      </c>
      <c r="D39" s="5">
        <v>1019</v>
      </c>
      <c r="E39" s="5">
        <v>1143</v>
      </c>
      <c r="F39" s="5">
        <v>1080</v>
      </c>
      <c r="G39" s="5">
        <v>4022</v>
      </c>
      <c r="I39" s="5">
        <v>785</v>
      </c>
      <c r="J39" s="5">
        <v>1008</v>
      </c>
      <c r="K39" s="5">
        <v>1089</v>
      </c>
      <c r="L39" s="5">
        <v>958</v>
      </c>
      <c r="M39" s="5">
        <v>3840</v>
      </c>
      <c r="O39" s="5">
        <v>862</v>
      </c>
      <c r="P39" s="5">
        <v>1094</v>
      </c>
      <c r="Q39" s="5">
        <v>1195</v>
      </c>
      <c r="R39" s="5">
        <v>978</v>
      </c>
      <c r="S39" s="5">
        <v>4129</v>
      </c>
    </row>
    <row r="40" spans="1:40">
      <c r="A40" s="1" t="s">
        <v>52</v>
      </c>
      <c r="C40" s="6">
        <v>70.73</v>
      </c>
      <c r="D40" s="6">
        <v>78.08</v>
      </c>
      <c r="E40" s="6">
        <v>78.48</v>
      </c>
      <c r="F40" s="6">
        <v>64.260000000000005</v>
      </c>
      <c r="G40" s="6">
        <v>73.06</v>
      </c>
      <c r="I40" s="6">
        <v>69.84</v>
      </c>
      <c r="J40" s="6">
        <v>76.349999999999994</v>
      </c>
      <c r="K40" s="6">
        <v>77.5</v>
      </c>
      <c r="L40" s="6">
        <v>67.27</v>
      </c>
      <c r="M40" s="6">
        <v>73.08</v>
      </c>
      <c r="O40" s="6">
        <v>71.849999999999994</v>
      </c>
      <c r="P40" s="6">
        <v>76.47</v>
      </c>
      <c r="Q40" s="6">
        <v>77.739999999999995</v>
      </c>
      <c r="R40" s="6">
        <v>67.13</v>
      </c>
      <c r="S40" s="6">
        <v>73.66</v>
      </c>
    </row>
    <row r="41" spans="1:40">
      <c r="A41" s="1" t="s">
        <v>7</v>
      </c>
      <c r="C41" s="5">
        <v>27368</v>
      </c>
      <c r="D41" s="5">
        <v>26572</v>
      </c>
      <c r="E41" s="5">
        <v>26034</v>
      </c>
      <c r="F41" s="5">
        <v>26517</v>
      </c>
      <c r="G41" s="5">
        <v>26623</v>
      </c>
      <c r="I41" s="5">
        <v>29517</v>
      </c>
      <c r="J41" s="5">
        <v>29197</v>
      </c>
      <c r="K41" s="5">
        <v>28871</v>
      </c>
      <c r="L41" s="5">
        <v>28366</v>
      </c>
      <c r="M41" s="5">
        <v>28988</v>
      </c>
      <c r="O41" s="5">
        <v>29113</v>
      </c>
      <c r="P41" s="5">
        <v>30110</v>
      </c>
      <c r="Q41" s="5">
        <v>30068</v>
      </c>
      <c r="R41" s="5">
        <v>29686</v>
      </c>
      <c r="S41" s="5">
        <v>29744</v>
      </c>
    </row>
    <row r="44" spans="1:40">
      <c r="C44" s="68">
        <v>2007</v>
      </c>
      <c r="D44" s="68"/>
      <c r="E44" s="68"/>
      <c r="F44" s="68"/>
      <c r="G44" s="68"/>
      <c r="H44" s="10"/>
      <c r="I44" s="68">
        <v>2006</v>
      </c>
      <c r="J44" s="68"/>
      <c r="K44" s="68"/>
      <c r="L44" s="68"/>
      <c r="M44" s="68"/>
      <c r="N44" s="10"/>
      <c r="O44" s="68">
        <v>2005</v>
      </c>
      <c r="P44" s="68"/>
      <c r="Q44" s="68"/>
      <c r="R44" s="68"/>
      <c r="S44" s="68"/>
    </row>
    <row r="45" spans="1:40">
      <c r="A45" s="12" t="s">
        <v>6</v>
      </c>
      <c r="B45" s="13"/>
      <c r="C45" s="9" t="s">
        <v>1</v>
      </c>
      <c r="D45" s="9" t="s">
        <v>2</v>
      </c>
      <c r="E45" s="9" t="s">
        <v>3</v>
      </c>
      <c r="F45" s="9" t="s">
        <v>47</v>
      </c>
      <c r="G45" s="9" t="s">
        <v>48</v>
      </c>
      <c r="H45" s="8"/>
      <c r="I45" s="9" t="s">
        <v>1</v>
      </c>
      <c r="J45" s="9" t="s">
        <v>2</v>
      </c>
      <c r="K45" s="9" t="s">
        <v>3</v>
      </c>
      <c r="L45" s="9" t="s">
        <v>4</v>
      </c>
      <c r="M45" s="9" t="s">
        <v>5</v>
      </c>
      <c r="N45" s="8"/>
      <c r="O45" s="9" t="s">
        <v>1</v>
      </c>
      <c r="P45" s="9" t="s">
        <v>2</v>
      </c>
      <c r="Q45" s="9" t="s">
        <v>3</v>
      </c>
      <c r="R45" s="9" t="s">
        <v>4</v>
      </c>
      <c r="S45" s="9" t="s">
        <v>5</v>
      </c>
    </row>
    <row r="46" spans="1:40" ht="6" customHeight="1"/>
    <row r="47" spans="1:40">
      <c r="A47" s="1" t="s">
        <v>54</v>
      </c>
      <c r="C47" s="5">
        <v>21598</v>
      </c>
      <c r="D47" s="5">
        <v>24593</v>
      </c>
      <c r="E47" s="5">
        <v>25586</v>
      </c>
      <c r="F47" s="3">
        <v>20967</v>
      </c>
      <c r="G47" s="5">
        <v>92743</v>
      </c>
      <c r="I47" s="5">
        <v>21637</v>
      </c>
      <c r="J47" s="5">
        <v>23308</v>
      </c>
      <c r="K47" s="5">
        <v>24305</v>
      </c>
      <c r="L47" s="5">
        <v>20193</v>
      </c>
      <c r="M47" s="5">
        <v>89444</v>
      </c>
      <c r="N47" s="5"/>
      <c r="O47" s="5">
        <v>19258</v>
      </c>
      <c r="P47" s="5">
        <v>23054</v>
      </c>
      <c r="Q47" s="5">
        <v>25122</v>
      </c>
      <c r="R47" s="5">
        <v>21341</v>
      </c>
      <c r="S47" s="5">
        <v>88774</v>
      </c>
      <c r="T47" s="5"/>
    </row>
    <row r="48" spans="1:40">
      <c r="A48" s="1" t="s">
        <v>52</v>
      </c>
      <c r="C48" s="6">
        <v>40.270000000000003</v>
      </c>
      <c r="D48" s="6">
        <v>38.25</v>
      </c>
      <c r="E48" s="6">
        <v>41.41</v>
      </c>
      <c r="F48" s="7">
        <v>40.1</v>
      </c>
      <c r="G48" s="6">
        <v>40.01</v>
      </c>
      <c r="I48" s="6">
        <v>39.4</v>
      </c>
      <c r="J48" s="6">
        <v>39.32</v>
      </c>
      <c r="K48" s="6">
        <v>40.14</v>
      </c>
      <c r="L48" s="6">
        <v>41.31</v>
      </c>
      <c r="M48" s="6">
        <v>40.01</v>
      </c>
      <c r="N48" s="6"/>
      <c r="O48" s="6">
        <v>38.700000000000003</v>
      </c>
      <c r="P48" s="6">
        <v>35.880000000000003</v>
      </c>
      <c r="Q48" s="6">
        <v>38.11</v>
      </c>
      <c r="R48" s="6">
        <v>38.770000000000003</v>
      </c>
      <c r="S48" s="6">
        <v>37.82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</row>
    <row r="49" spans="1:21">
      <c r="A49" s="1" t="s">
        <v>7</v>
      </c>
      <c r="C49" s="5">
        <v>323581</v>
      </c>
      <c r="D49" s="5">
        <v>362254</v>
      </c>
      <c r="E49" s="5">
        <v>368595</v>
      </c>
      <c r="F49" s="5">
        <v>309122</v>
      </c>
      <c r="G49" s="5">
        <v>340889</v>
      </c>
      <c r="I49" s="5">
        <v>326792</v>
      </c>
      <c r="J49" s="5">
        <v>344389</v>
      </c>
      <c r="K49" s="5">
        <v>344853</v>
      </c>
      <c r="L49" s="5">
        <v>301194</v>
      </c>
      <c r="M49" s="5">
        <v>329348</v>
      </c>
      <c r="N49" s="5"/>
      <c r="O49" s="5">
        <v>291667</v>
      </c>
      <c r="P49" s="5">
        <v>338046</v>
      </c>
      <c r="Q49" s="5">
        <v>353755</v>
      </c>
      <c r="R49" s="5">
        <v>315488</v>
      </c>
      <c r="S49" s="5">
        <v>324739</v>
      </c>
      <c r="T49" s="5"/>
      <c r="U49" s="5"/>
    </row>
    <row r="51" spans="1:21">
      <c r="A51" s="12" t="s">
        <v>8</v>
      </c>
      <c r="B51" s="13"/>
      <c r="H51" s="2"/>
    </row>
    <row r="52" spans="1:21" ht="6" customHeight="1"/>
    <row r="53" spans="1:21">
      <c r="A53" s="1" t="s">
        <v>54</v>
      </c>
      <c r="C53" s="5">
        <v>3391</v>
      </c>
      <c r="D53" s="5">
        <v>3306</v>
      </c>
      <c r="E53" s="5">
        <v>4143</v>
      </c>
      <c r="F53" s="5">
        <v>3400</v>
      </c>
      <c r="G53" s="5">
        <v>14241</v>
      </c>
      <c r="I53" s="5">
        <v>3282</v>
      </c>
      <c r="J53" s="5">
        <v>3217</v>
      </c>
      <c r="K53" s="5">
        <v>4019</v>
      </c>
      <c r="L53" s="5">
        <v>3286</v>
      </c>
      <c r="M53" s="5">
        <v>13803</v>
      </c>
      <c r="N53" s="5"/>
      <c r="O53" s="5">
        <v>2787</v>
      </c>
      <c r="P53" s="5">
        <v>2755</v>
      </c>
      <c r="Q53" s="5">
        <v>3598</v>
      </c>
      <c r="R53" s="5">
        <v>3119</v>
      </c>
      <c r="S53" s="5">
        <v>12259</v>
      </c>
      <c r="T53" s="5"/>
    </row>
    <row r="54" spans="1:21">
      <c r="A54" s="1" t="s">
        <v>52</v>
      </c>
      <c r="C54" s="6">
        <v>41.31</v>
      </c>
      <c r="D54" s="6">
        <v>42.81</v>
      </c>
      <c r="E54" s="6">
        <v>44.39</v>
      </c>
      <c r="F54" s="6">
        <v>45.45</v>
      </c>
      <c r="G54" s="6">
        <v>43.54</v>
      </c>
      <c r="I54" s="6">
        <v>39.1</v>
      </c>
      <c r="J54" s="6">
        <v>39.130000000000003</v>
      </c>
      <c r="K54" s="6">
        <v>40.090000000000003</v>
      </c>
      <c r="L54" s="6">
        <v>40</v>
      </c>
      <c r="M54" s="6">
        <v>39.61</v>
      </c>
      <c r="N54" s="6"/>
      <c r="O54" s="6">
        <v>39.82</v>
      </c>
      <c r="P54" s="6">
        <v>38</v>
      </c>
      <c r="Q54" s="6">
        <v>39.1</v>
      </c>
      <c r="R54" s="6">
        <v>39.049999999999997</v>
      </c>
      <c r="S54" s="6">
        <v>39.01</v>
      </c>
      <c r="T54" s="6"/>
    </row>
    <row r="55" spans="1:21">
      <c r="A55" s="1" t="s">
        <v>7</v>
      </c>
      <c r="C55" s="5">
        <v>52384</v>
      </c>
      <c r="D55" s="5">
        <v>54016</v>
      </c>
      <c r="E55" s="5">
        <v>61710</v>
      </c>
      <c r="F55" s="5">
        <v>54703</v>
      </c>
      <c r="G55" s="5">
        <v>55703</v>
      </c>
      <c r="I55" s="5">
        <v>50114</v>
      </c>
      <c r="J55" s="5">
        <v>51174</v>
      </c>
      <c r="K55" s="5">
        <v>59491</v>
      </c>
      <c r="L55" s="5">
        <v>52462</v>
      </c>
      <c r="M55" s="5">
        <v>53310</v>
      </c>
      <c r="N55" s="5"/>
      <c r="O55" s="5">
        <v>41641</v>
      </c>
      <c r="P55" s="5">
        <v>43630</v>
      </c>
      <c r="Q55" s="5">
        <v>52895</v>
      </c>
      <c r="R55" s="5">
        <v>50333</v>
      </c>
      <c r="S55" s="5">
        <v>47125</v>
      </c>
      <c r="T55" s="5"/>
    </row>
    <row r="57" spans="1:21">
      <c r="A57" s="12" t="s">
        <v>9</v>
      </c>
      <c r="B57" s="13"/>
      <c r="H57" s="2"/>
    </row>
    <row r="58" spans="1:21" ht="6" customHeight="1"/>
    <row r="59" spans="1:21">
      <c r="A59" s="1" t="s">
        <v>54</v>
      </c>
      <c r="C59" s="5">
        <v>842</v>
      </c>
      <c r="D59" s="5">
        <v>1091</v>
      </c>
      <c r="E59" s="5">
        <v>1229</v>
      </c>
      <c r="F59" s="5">
        <v>1086</v>
      </c>
      <c r="G59" s="5">
        <v>4249</v>
      </c>
      <c r="I59" s="5">
        <v>1009</v>
      </c>
      <c r="J59" s="5">
        <v>1204</v>
      </c>
      <c r="K59" s="5">
        <v>1271</v>
      </c>
      <c r="L59" s="5">
        <v>1069</v>
      </c>
      <c r="M59" s="5">
        <v>4552</v>
      </c>
      <c r="N59" s="5"/>
      <c r="O59" s="5">
        <v>1088</v>
      </c>
      <c r="P59" s="5">
        <v>1346</v>
      </c>
      <c r="Q59" s="5">
        <v>1509</v>
      </c>
      <c r="R59" s="5">
        <v>1352</v>
      </c>
      <c r="S59" s="5">
        <v>5295</v>
      </c>
      <c r="T59" s="5"/>
    </row>
    <row r="60" spans="1:21">
      <c r="A60" s="1" t="s">
        <v>52</v>
      </c>
      <c r="C60" s="6">
        <v>79.510000000000005</v>
      </c>
      <c r="D60" s="6">
        <v>85.41</v>
      </c>
      <c r="E60" s="6">
        <v>84.74</v>
      </c>
      <c r="F60" s="6">
        <v>66.33</v>
      </c>
      <c r="G60" s="6">
        <v>79.17</v>
      </c>
      <c r="I60" s="6">
        <v>83.94</v>
      </c>
      <c r="J60" s="6">
        <v>89.36</v>
      </c>
      <c r="K60" s="6">
        <v>91.6</v>
      </c>
      <c r="L60" s="6">
        <v>78.69</v>
      </c>
      <c r="M60" s="6">
        <v>86.28</v>
      </c>
      <c r="N60" s="6"/>
      <c r="O60" s="6">
        <v>81.709999999999994</v>
      </c>
      <c r="P60" s="6">
        <v>92.62</v>
      </c>
      <c r="Q60" s="6">
        <v>95.53</v>
      </c>
      <c r="R60" s="6">
        <v>80.59</v>
      </c>
      <c r="S60" s="6">
        <v>88.14</v>
      </c>
      <c r="T60" s="6"/>
    </row>
    <row r="61" spans="1:21">
      <c r="A61" s="1" t="s">
        <v>7</v>
      </c>
      <c r="C61" s="5">
        <v>28103</v>
      </c>
      <c r="D61" s="5">
        <v>28552</v>
      </c>
      <c r="E61" s="5">
        <v>29365</v>
      </c>
      <c r="F61" s="5">
        <v>28894</v>
      </c>
      <c r="G61" s="5">
        <v>28728</v>
      </c>
      <c r="I61" s="5">
        <v>30144</v>
      </c>
      <c r="J61" s="5">
        <v>31356</v>
      </c>
      <c r="K61" s="5">
        <v>30997</v>
      </c>
      <c r="L61" s="5">
        <v>29483</v>
      </c>
      <c r="M61" s="5">
        <v>30495</v>
      </c>
      <c r="N61" s="5"/>
      <c r="O61" s="5">
        <v>30717</v>
      </c>
      <c r="P61" s="5">
        <v>33207</v>
      </c>
      <c r="Q61" s="5">
        <v>32819</v>
      </c>
      <c r="R61" s="5">
        <v>31662</v>
      </c>
      <c r="S61" s="5">
        <v>32101</v>
      </c>
      <c r="T61" s="5"/>
    </row>
    <row r="63" spans="1:21">
      <c r="A63" s="67" t="s">
        <v>53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</row>
    <row r="64" spans="1:21" ht="25.5" customHeight="1">
      <c r="A64" s="66" t="s">
        <v>50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39"/>
    </row>
    <row r="65" spans="1:20">
      <c r="A65" s="66" t="s">
        <v>51</v>
      </c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</row>
  </sheetData>
  <mergeCells count="12">
    <mergeCell ref="C4:G4"/>
    <mergeCell ref="I4:M4"/>
    <mergeCell ref="O4:S4"/>
    <mergeCell ref="I24:M24"/>
    <mergeCell ref="O24:S24"/>
    <mergeCell ref="C24:G24"/>
    <mergeCell ref="A65:T65"/>
    <mergeCell ref="A63:T63"/>
    <mergeCell ref="O44:S44"/>
    <mergeCell ref="A64:S64"/>
    <mergeCell ref="I44:M44"/>
    <mergeCell ref="C44:G44"/>
  </mergeCells>
  <phoneticPr fontId="0" type="noConversion"/>
  <printOptions horizontalCentered="1"/>
  <pageMargins left="0.25" right="0.25" top="0.5" bottom="0.5" header="0.5" footer="0.5"/>
  <pageSetup scale="67" orientation="landscape" r:id="rId1"/>
  <headerFooter scaleWithDoc="0" alignWithMargins="0"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R48"/>
  <sheetViews>
    <sheetView view="pageBreakPreview" zoomScale="67" zoomScaleNormal="75" zoomScaleSheetLayoutView="67" workbookViewId="0"/>
  </sheetViews>
  <sheetFormatPr defaultRowHeight="12.75"/>
  <cols>
    <col min="1" max="1" width="66.140625" style="15" customWidth="1"/>
    <col min="2" max="2" width="3.140625" style="17" customWidth="1"/>
    <col min="3" max="5" width="11.28515625" style="17" customWidth="1"/>
    <col min="6" max="6" width="3.140625" style="17" customWidth="1"/>
    <col min="7" max="11" width="11.28515625" style="14" customWidth="1"/>
    <col min="12" max="12" width="3.140625" style="14" customWidth="1"/>
    <col min="13" max="17" width="11.28515625" style="14" customWidth="1"/>
    <col min="18" max="18" width="3.140625" style="14" customWidth="1"/>
    <col min="19" max="19" width="11.28515625" style="14" bestFit="1" customWidth="1"/>
    <col min="20" max="22" width="11.28515625" style="14" customWidth="1"/>
    <col min="23" max="23" width="11.28515625" style="14" bestFit="1" customWidth="1"/>
    <col min="24" max="24" width="3.140625" style="14" customWidth="1"/>
    <col min="25" max="16384" width="9.140625" style="14"/>
  </cols>
  <sheetData>
    <row r="1" spans="1:44" s="42" customFormat="1" ht="14.1" customHeight="1">
      <c r="A1" s="53" t="s">
        <v>14</v>
      </c>
      <c r="B1" s="54"/>
      <c r="C1" s="54"/>
      <c r="D1" s="54"/>
      <c r="E1" s="54"/>
      <c r="F1" s="54"/>
    </row>
    <row r="2" spans="1:44" s="42" customFormat="1" ht="14.1" customHeight="1">
      <c r="A2" s="37" t="s">
        <v>11</v>
      </c>
      <c r="B2" s="38"/>
      <c r="C2" s="38"/>
      <c r="D2" s="38"/>
      <c r="E2" s="38"/>
      <c r="F2" s="38"/>
    </row>
    <row r="3" spans="1:44" s="42" customFormat="1" ht="14.1" customHeight="1">
      <c r="A3" s="55" t="s">
        <v>12</v>
      </c>
      <c r="B3" s="56"/>
      <c r="C3" s="56"/>
      <c r="D3" s="56"/>
      <c r="E3" s="56"/>
      <c r="F3" s="56"/>
    </row>
    <row r="4" spans="1:44" s="42" customFormat="1" ht="14.1" customHeight="1">
      <c r="A4" s="37"/>
      <c r="B4" s="38"/>
      <c r="C4" s="38"/>
      <c r="D4" s="38"/>
      <c r="E4" s="38"/>
      <c r="F4" s="38"/>
    </row>
    <row r="5" spans="1:44" s="57" customFormat="1" ht="14.1" customHeight="1">
      <c r="B5" s="41"/>
      <c r="C5" s="70">
        <v>2011</v>
      </c>
      <c r="D5" s="70"/>
      <c r="E5" s="70"/>
      <c r="F5" s="41"/>
      <c r="G5" s="70">
        <v>2010</v>
      </c>
      <c r="H5" s="70"/>
      <c r="I5" s="70"/>
      <c r="J5" s="70"/>
      <c r="K5" s="70"/>
      <c r="L5" s="59"/>
      <c r="M5" s="70">
        <v>2009</v>
      </c>
      <c r="N5" s="70"/>
      <c r="O5" s="70"/>
      <c r="P5" s="70"/>
      <c r="Q5" s="70"/>
      <c r="R5" s="59"/>
      <c r="S5" s="70">
        <v>2008</v>
      </c>
      <c r="T5" s="70"/>
      <c r="U5" s="70"/>
      <c r="V5" s="70"/>
      <c r="W5" s="70"/>
    </row>
    <row r="6" spans="1:44" s="53" customFormat="1" ht="14.1" customHeight="1">
      <c r="B6" s="54"/>
      <c r="C6" s="63" t="s">
        <v>1</v>
      </c>
      <c r="D6" s="63" t="s">
        <v>2</v>
      </c>
      <c r="E6" s="63" t="s">
        <v>3</v>
      </c>
      <c r="F6" s="54"/>
      <c r="G6" s="60" t="s">
        <v>1</v>
      </c>
      <c r="H6" s="60" t="s">
        <v>2</v>
      </c>
      <c r="I6" s="60" t="s">
        <v>3</v>
      </c>
      <c r="J6" s="60" t="s">
        <v>4</v>
      </c>
      <c r="K6" s="60" t="s">
        <v>5</v>
      </c>
      <c r="L6" s="60"/>
      <c r="M6" s="60" t="s">
        <v>1</v>
      </c>
      <c r="N6" s="60" t="s">
        <v>2</v>
      </c>
      <c r="O6" s="60" t="s">
        <v>3</v>
      </c>
      <c r="P6" s="60" t="s">
        <v>4</v>
      </c>
      <c r="Q6" s="60" t="s">
        <v>5</v>
      </c>
      <c r="R6" s="60"/>
      <c r="S6" s="60" t="s">
        <v>1</v>
      </c>
      <c r="T6" s="60" t="s">
        <v>2</v>
      </c>
      <c r="U6" s="60" t="s">
        <v>3</v>
      </c>
      <c r="V6" s="60" t="s">
        <v>4</v>
      </c>
      <c r="W6" s="60" t="s">
        <v>5</v>
      </c>
    </row>
    <row r="7" spans="1:44" s="42" customFormat="1" ht="14.1" customHeight="1">
      <c r="A7" s="40" t="s">
        <v>10</v>
      </c>
      <c r="B7" s="41"/>
      <c r="C7" s="41"/>
      <c r="D7" s="41"/>
      <c r="E7" s="41"/>
      <c r="F7" s="4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1:44" s="42" customFormat="1" ht="14.1" customHeight="1">
      <c r="A8" s="37" t="s">
        <v>29</v>
      </c>
      <c r="B8" s="38"/>
      <c r="C8" s="45">
        <v>929</v>
      </c>
      <c r="D8" s="45">
        <v>1055</v>
      </c>
      <c r="E8" s="45">
        <v>1193</v>
      </c>
      <c r="F8" s="38"/>
      <c r="G8" s="45">
        <v>880</v>
      </c>
      <c r="H8" s="45">
        <v>981</v>
      </c>
      <c r="I8" s="45">
        <v>1127</v>
      </c>
      <c r="J8" s="45">
        <v>905</v>
      </c>
      <c r="K8" s="45">
        <f>SUM(G8:J8)</f>
        <v>3893</v>
      </c>
      <c r="M8" s="45">
        <v>960</v>
      </c>
      <c r="N8" s="45">
        <v>1031</v>
      </c>
      <c r="O8" s="45">
        <v>1109</v>
      </c>
      <c r="P8" s="45">
        <v>867</v>
      </c>
      <c r="Q8" s="45">
        <v>3967</v>
      </c>
      <c r="S8" s="45">
        <v>1136</v>
      </c>
      <c r="T8" s="45">
        <v>1241</v>
      </c>
      <c r="U8" s="45">
        <v>1319</v>
      </c>
      <c r="V8" s="45">
        <v>999</v>
      </c>
      <c r="W8" s="45">
        <v>4695</v>
      </c>
      <c r="X8" s="45"/>
    </row>
    <row r="9" spans="1:44" s="42" customFormat="1" ht="14.1" customHeight="1">
      <c r="A9" s="37" t="s">
        <v>30</v>
      </c>
      <c r="B9" s="38"/>
      <c r="C9" s="47">
        <v>231</v>
      </c>
      <c r="D9" s="47">
        <v>254</v>
      </c>
      <c r="E9" s="47">
        <v>318</v>
      </c>
      <c r="F9" s="38"/>
      <c r="G9" s="47">
        <v>201</v>
      </c>
      <c r="H9" s="47">
        <v>212</v>
      </c>
      <c r="I9" s="47">
        <v>274</v>
      </c>
      <c r="J9" s="47">
        <v>235</v>
      </c>
      <c r="K9" s="47">
        <f>SUM(G9:J9)</f>
        <v>922</v>
      </c>
      <c r="M9" s="47">
        <v>164</v>
      </c>
      <c r="N9" s="47">
        <v>183</v>
      </c>
      <c r="O9" s="47">
        <v>250</v>
      </c>
      <c r="P9" s="47">
        <v>211</v>
      </c>
      <c r="Q9" s="47">
        <v>808</v>
      </c>
      <c r="S9" s="47">
        <v>230</v>
      </c>
      <c r="T9" s="47">
        <v>230</v>
      </c>
      <c r="U9" s="47">
        <v>265</v>
      </c>
      <c r="V9" s="47">
        <v>179</v>
      </c>
      <c r="W9" s="47">
        <v>904</v>
      </c>
      <c r="X9" s="47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</row>
    <row r="10" spans="1:44" s="42" customFormat="1" ht="14.1" customHeight="1">
      <c r="A10" s="37" t="s">
        <v>9</v>
      </c>
      <c r="B10" s="38"/>
      <c r="C10" s="47">
        <v>75</v>
      </c>
      <c r="D10" s="47">
        <v>103</v>
      </c>
      <c r="E10" s="47">
        <v>112</v>
      </c>
      <c r="F10" s="38"/>
      <c r="G10" s="47">
        <v>71</v>
      </c>
      <c r="H10" s="47">
        <v>100</v>
      </c>
      <c r="I10" s="47">
        <v>111</v>
      </c>
      <c r="J10" s="47">
        <v>85</v>
      </c>
      <c r="K10" s="47">
        <f>SUM(G10:J10)</f>
        <v>367</v>
      </c>
      <c r="M10" s="47">
        <v>70</v>
      </c>
      <c r="N10" s="47">
        <v>97</v>
      </c>
      <c r="O10" s="47">
        <v>106</v>
      </c>
      <c r="P10" s="47">
        <v>81</v>
      </c>
      <c r="Q10" s="47">
        <v>354</v>
      </c>
      <c r="S10" s="47">
        <v>78</v>
      </c>
      <c r="T10" s="47">
        <v>105</v>
      </c>
      <c r="U10" s="47">
        <v>116</v>
      </c>
      <c r="V10" s="47">
        <v>83</v>
      </c>
      <c r="W10" s="47">
        <v>382</v>
      </c>
      <c r="X10" s="47"/>
      <c r="Y10" s="44"/>
    </row>
    <row r="11" spans="1:44" s="42" customFormat="1" ht="14.1" customHeight="1">
      <c r="A11" s="37" t="s">
        <v>31</v>
      </c>
      <c r="B11" s="38"/>
      <c r="C11" s="48">
        <v>0</v>
      </c>
      <c r="D11" s="48">
        <v>0</v>
      </c>
      <c r="E11" s="48">
        <v>0</v>
      </c>
      <c r="F11" s="38"/>
      <c r="G11" s="48">
        <v>1</v>
      </c>
      <c r="H11" s="48">
        <v>1</v>
      </c>
      <c r="I11" s="48">
        <v>0</v>
      </c>
      <c r="J11" s="48">
        <v>1</v>
      </c>
      <c r="K11" s="48">
        <f>SUM(G11:J11)</f>
        <v>3</v>
      </c>
      <c r="M11" s="48">
        <v>0</v>
      </c>
      <c r="N11" s="48">
        <v>1</v>
      </c>
      <c r="O11" s="48">
        <v>0</v>
      </c>
      <c r="P11" s="48">
        <v>1</v>
      </c>
      <c r="Q11" s="48">
        <f>SUM(M11:P11)</f>
        <v>2</v>
      </c>
      <c r="S11" s="48">
        <v>1</v>
      </c>
      <c r="T11" s="48">
        <v>1</v>
      </c>
      <c r="U11" s="48">
        <v>1</v>
      </c>
      <c r="V11" s="48">
        <v>0</v>
      </c>
      <c r="W11" s="48">
        <f>SUM(S11:V11)</f>
        <v>3</v>
      </c>
      <c r="X11" s="47"/>
      <c r="Y11" s="44"/>
    </row>
    <row r="12" spans="1:44" s="42" customFormat="1" ht="14.1" customHeight="1">
      <c r="A12" s="37" t="s">
        <v>38</v>
      </c>
      <c r="B12" s="38"/>
      <c r="C12" s="45">
        <f>SUM(C8:C11)</f>
        <v>1235</v>
      </c>
      <c r="D12" s="45">
        <f>SUM(D8:D11)</f>
        <v>1412</v>
      </c>
      <c r="E12" s="45">
        <f>SUM(E8:E11)</f>
        <v>1623</v>
      </c>
      <c r="F12" s="38"/>
      <c r="G12" s="45">
        <f>SUM(G8:G11)</f>
        <v>1153</v>
      </c>
      <c r="H12" s="45">
        <f>SUM(H8:H11)</f>
        <v>1294</v>
      </c>
      <c r="I12" s="45">
        <f>SUM(I8:I11)</f>
        <v>1512</v>
      </c>
      <c r="J12" s="45">
        <f>SUM(J8:J11)</f>
        <v>1226</v>
      </c>
      <c r="K12" s="45">
        <f>SUM(K8:K11)</f>
        <v>5185</v>
      </c>
      <c r="L12" s="45"/>
      <c r="M12" s="45">
        <f>SUM(M8:M11)</f>
        <v>1194</v>
      </c>
      <c r="N12" s="45">
        <f>SUM(N8:N11)</f>
        <v>1312</v>
      </c>
      <c r="O12" s="45">
        <f>SUM(O8:O11)</f>
        <v>1465</v>
      </c>
      <c r="P12" s="45">
        <f>SUM(P8:P11)</f>
        <v>1160</v>
      </c>
      <c r="Q12" s="45">
        <f>SUM(Q8:Q11)</f>
        <v>5131</v>
      </c>
      <c r="S12" s="45">
        <f>SUM(S8:S11)</f>
        <v>1445</v>
      </c>
      <c r="T12" s="45">
        <f>SUM(T8:T11)</f>
        <v>1577</v>
      </c>
      <c r="U12" s="45">
        <f>SUM(U8:U11)</f>
        <v>1701</v>
      </c>
      <c r="V12" s="45">
        <f>SUM(V8:V11)</f>
        <v>1261</v>
      </c>
      <c r="W12" s="45">
        <f>SUM(W8:W11)</f>
        <v>5984</v>
      </c>
      <c r="X12" s="45"/>
    </row>
    <row r="13" spans="1:44" ht="6" customHeight="1"/>
    <row r="14" spans="1:44" s="42" customFormat="1" ht="14.1" customHeight="1">
      <c r="A14" s="40" t="s">
        <v>18</v>
      </c>
      <c r="B14" s="41"/>
      <c r="C14" s="41"/>
      <c r="D14" s="41"/>
      <c r="E14" s="41"/>
      <c r="F14" s="41"/>
      <c r="L14" s="43"/>
      <c r="M14" s="44"/>
      <c r="N14" s="44"/>
      <c r="O14" s="44"/>
      <c r="P14" s="44"/>
      <c r="Q14" s="44"/>
      <c r="R14" s="43"/>
      <c r="X14" s="44"/>
    </row>
    <row r="15" spans="1:44" s="42" customFormat="1" ht="14.1" customHeight="1">
      <c r="A15" s="37" t="s">
        <v>29</v>
      </c>
      <c r="B15" s="38"/>
      <c r="C15" s="45">
        <v>57</v>
      </c>
      <c r="D15" s="45">
        <f>D30+D22+D23</f>
        <v>144</v>
      </c>
      <c r="E15" s="45">
        <f>E30+E22+E23</f>
        <v>179</v>
      </c>
      <c r="F15" s="38"/>
      <c r="G15" s="45">
        <f>G30+G22+G23</f>
        <v>17</v>
      </c>
      <c r="H15" s="45">
        <f>H30+H22+H23</f>
        <v>54</v>
      </c>
      <c r="I15" s="45">
        <f>I30+I22+I23</f>
        <v>143</v>
      </c>
      <c r="J15" s="45">
        <f>J30+J22+J23</f>
        <v>22</v>
      </c>
      <c r="K15" s="45">
        <f>K30+K22+K23</f>
        <v>236</v>
      </c>
      <c r="L15" s="45"/>
      <c r="M15" s="45">
        <f t="shared" ref="M15:W15" si="0">M30+M22+M23</f>
        <v>-6</v>
      </c>
      <c r="N15" s="45">
        <f t="shared" si="0"/>
        <v>43</v>
      </c>
      <c r="O15" s="45">
        <f t="shared" si="0"/>
        <v>103</v>
      </c>
      <c r="P15" s="45">
        <f t="shared" si="0"/>
        <v>-16</v>
      </c>
      <c r="Q15" s="45">
        <f t="shared" si="0"/>
        <v>124</v>
      </c>
      <c r="R15" s="45"/>
      <c r="S15" s="45">
        <f t="shared" si="0"/>
        <v>15</v>
      </c>
      <c r="T15" s="45">
        <f t="shared" si="0"/>
        <v>47</v>
      </c>
      <c r="U15" s="45">
        <f t="shared" si="0"/>
        <v>77</v>
      </c>
      <c r="V15" s="45">
        <f t="shared" si="0"/>
        <v>-98</v>
      </c>
      <c r="W15" s="45">
        <f t="shared" si="0"/>
        <v>41</v>
      </c>
      <c r="X15" s="46"/>
      <c r="Y15" s="46"/>
    </row>
    <row r="16" spans="1:44" s="42" customFormat="1" ht="14.1" customHeight="1">
      <c r="A16" s="37" t="s">
        <v>30</v>
      </c>
      <c r="B16" s="38"/>
      <c r="C16" s="47">
        <v>30</v>
      </c>
      <c r="D16" s="47">
        <f t="shared" ref="D16:E18" si="1">D24+D31</f>
        <v>32</v>
      </c>
      <c r="E16" s="47">
        <f t="shared" si="1"/>
        <v>74</v>
      </c>
      <c r="F16" s="38"/>
      <c r="G16" s="47">
        <f t="shared" ref="G16:K18" si="2">G24+G31</f>
        <v>29</v>
      </c>
      <c r="H16" s="47">
        <f t="shared" si="2"/>
        <v>32</v>
      </c>
      <c r="I16" s="47">
        <f t="shared" si="2"/>
        <v>62</v>
      </c>
      <c r="J16" s="47">
        <f t="shared" si="2"/>
        <v>32</v>
      </c>
      <c r="K16" s="47">
        <f t="shared" si="2"/>
        <v>155</v>
      </c>
      <c r="M16" s="47">
        <f t="shared" ref="M16:Q18" si="3">M31+M24</f>
        <v>19</v>
      </c>
      <c r="N16" s="47">
        <f t="shared" si="3"/>
        <v>19</v>
      </c>
      <c r="O16" s="47">
        <f t="shared" si="3"/>
        <v>56</v>
      </c>
      <c r="P16" s="47">
        <f t="shared" si="3"/>
        <v>34</v>
      </c>
      <c r="Q16" s="47">
        <f t="shared" si="3"/>
        <v>128</v>
      </c>
      <c r="S16" s="47">
        <f t="shared" ref="S16:V18" si="4">S31+S24</f>
        <v>30</v>
      </c>
      <c r="T16" s="47">
        <f t="shared" si="4"/>
        <v>25</v>
      </c>
      <c r="U16" s="47">
        <f t="shared" si="4"/>
        <v>61</v>
      </c>
      <c r="V16" s="47">
        <f t="shared" si="4"/>
        <v>28</v>
      </c>
      <c r="W16" s="47">
        <f>SUM(S16:V16)</f>
        <v>144</v>
      </c>
      <c r="X16" s="44"/>
      <c r="Y16" s="46"/>
    </row>
    <row r="17" spans="1:25" s="42" customFormat="1" ht="14.1" customHeight="1">
      <c r="A17" s="37" t="s">
        <v>9</v>
      </c>
      <c r="B17" s="38"/>
      <c r="C17" s="47">
        <v>0</v>
      </c>
      <c r="D17" s="47">
        <f t="shared" si="1"/>
        <v>18</v>
      </c>
      <c r="E17" s="47">
        <f t="shared" si="1"/>
        <v>22</v>
      </c>
      <c r="F17" s="38"/>
      <c r="G17" s="47">
        <f t="shared" si="2"/>
        <v>-4</v>
      </c>
      <c r="H17" s="47">
        <f t="shared" si="2"/>
        <v>16</v>
      </c>
      <c r="I17" s="47">
        <f t="shared" si="2"/>
        <v>19</v>
      </c>
      <c r="J17" s="47">
        <f t="shared" si="2"/>
        <v>3</v>
      </c>
      <c r="K17" s="47">
        <f t="shared" si="2"/>
        <v>34</v>
      </c>
      <c r="M17" s="47">
        <f t="shared" si="3"/>
        <v>-9</v>
      </c>
      <c r="N17" s="47">
        <f t="shared" si="3"/>
        <v>10</v>
      </c>
      <c r="O17" s="47">
        <f t="shared" si="3"/>
        <v>13</v>
      </c>
      <c r="P17" s="47">
        <f t="shared" si="3"/>
        <v>1</v>
      </c>
      <c r="Q17" s="47">
        <f t="shared" si="3"/>
        <v>15</v>
      </c>
      <c r="S17" s="47">
        <f t="shared" si="4"/>
        <v>-10</v>
      </c>
      <c r="T17" s="47">
        <f t="shared" si="4"/>
        <v>8</v>
      </c>
      <c r="U17" s="47">
        <f t="shared" si="4"/>
        <v>6</v>
      </c>
      <c r="V17" s="47">
        <f t="shared" si="4"/>
        <v>-6</v>
      </c>
      <c r="W17" s="47">
        <f>SUM(S17:V17)</f>
        <v>-2</v>
      </c>
      <c r="X17" s="44"/>
      <c r="Y17" s="46"/>
    </row>
    <row r="18" spans="1:25" s="42" customFormat="1" ht="14.1" customHeight="1">
      <c r="A18" s="37" t="s">
        <v>31</v>
      </c>
      <c r="B18" s="38"/>
      <c r="C18" s="48">
        <v>-4</v>
      </c>
      <c r="D18" s="48">
        <f t="shared" si="1"/>
        <v>-3</v>
      </c>
      <c r="E18" s="48">
        <f t="shared" si="1"/>
        <v>-3</v>
      </c>
      <c r="F18" s="38"/>
      <c r="G18" s="48">
        <f t="shared" si="2"/>
        <v>-3</v>
      </c>
      <c r="H18" s="48">
        <f t="shared" si="2"/>
        <v>-4</v>
      </c>
      <c r="I18" s="48">
        <f t="shared" si="2"/>
        <v>-5</v>
      </c>
      <c r="J18" s="48">
        <f t="shared" si="2"/>
        <v>-3</v>
      </c>
      <c r="K18" s="48">
        <f t="shared" si="2"/>
        <v>-15</v>
      </c>
      <c r="M18" s="48">
        <f t="shared" si="3"/>
        <v>-7</v>
      </c>
      <c r="N18" s="48">
        <f t="shared" si="3"/>
        <v>-5</v>
      </c>
      <c r="O18" s="48">
        <f t="shared" si="3"/>
        <v>-7</v>
      </c>
      <c r="P18" s="48">
        <f t="shared" si="3"/>
        <v>-5</v>
      </c>
      <c r="Q18" s="48">
        <f t="shared" si="3"/>
        <v>-24</v>
      </c>
      <c r="S18" s="48">
        <f t="shared" si="4"/>
        <v>-4</v>
      </c>
      <c r="T18" s="48">
        <f t="shared" si="4"/>
        <v>-2</v>
      </c>
      <c r="U18" s="48">
        <f t="shared" si="4"/>
        <v>-3</v>
      </c>
      <c r="V18" s="48">
        <f t="shared" si="4"/>
        <v>-5</v>
      </c>
      <c r="W18" s="48">
        <f>W33+W26</f>
        <v>-14</v>
      </c>
      <c r="X18" s="44"/>
      <c r="Y18" s="46"/>
    </row>
    <row r="19" spans="1:25" s="42" customFormat="1" ht="14.1" customHeight="1">
      <c r="A19" s="37" t="s">
        <v>59</v>
      </c>
      <c r="B19" s="38"/>
      <c r="C19" s="45">
        <f>SUM(C15:C18)</f>
        <v>83</v>
      </c>
      <c r="D19" s="45">
        <f>SUM(D15:D18)</f>
        <v>191</v>
      </c>
      <c r="E19" s="45">
        <f>SUM(E15:E18)</f>
        <v>272</v>
      </c>
      <c r="F19" s="38"/>
      <c r="G19" s="45">
        <f>SUM(G15:G18)</f>
        <v>39</v>
      </c>
      <c r="H19" s="45">
        <f>SUM(H15:H18)</f>
        <v>98</v>
      </c>
      <c r="I19" s="45">
        <f>SUM(I15:I18)</f>
        <v>219</v>
      </c>
      <c r="J19" s="45">
        <f>SUM(J15:J18)</f>
        <v>54</v>
      </c>
      <c r="K19" s="45">
        <f>SUM(K15:K18)</f>
        <v>410</v>
      </c>
      <c r="M19" s="45">
        <f>SUM(M15:M18)</f>
        <v>-3</v>
      </c>
      <c r="N19" s="45">
        <f>SUM(N15:N18)</f>
        <v>67</v>
      </c>
      <c r="O19" s="45">
        <f>SUM(O15:O18)</f>
        <v>165</v>
      </c>
      <c r="P19" s="45">
        <f>SUM(P15:P18)</f>
        <v>14</v>
      </c>
      <c r="Q19" s="45">
        <f>SUM(Q15:Q18)</f>
        <v>243</v>
      </c>
      <c r="S19" s="45">
        <f>SUM(S15:S18)</f>
        <v>31</v>
      </c>
      <c r="T19" s="45">
        <f>SUM(T15:T18)</f>
        <v>78</v>
      </c>
      <c r="U19" s="45">
        <f>SUM(U15:U18)</f>
        <v>141</v>
      </c>
      <c r="V19" s="45">
        <f>SUM(V15:V18)</f>
        <v>-81</v>
      </c>
      <c r="W19" s="45">
        <f>SUM(W15:W18)</f>
        <v>169</v>
      </c>
      <c r="X19" s="46"/>
      <c r="Y19" s="46"/>
    </row>
    <row r="20" spans="1:25" ht="6" customHeight="1">
      <c r="G20" s="16"/>
      <c r="H20" s="16"/>
      <c r="I20" s="16"/>
      <c r="J20" s="16"/>
      <c r="K20" s="16"/>
      <c r="M20" s="19"/>
      <c r="N20" s="19"/>
      <c r="O20" s="19"/>
      <c r="P20" s="19"/>
      <c r="Q20" s="19"/>
      <c r="S20" s="16"/>
      <c r="T20" s="16"/>
      <c r="U20" s="16"/>
      <c r="V20" s="16"/>
      <c r="W20" s="16"/>
      <c r="X20" s="19"/>
    </row>
    <row r="21" spans="1:25" s="42" customFormat="1" ht="14.1" customHeight="1">
      <c r="A21" s="40" t="s">
        <v>17</v>
      </c>
      <c r="B21" s="41"/>
      <c r="C21" s="41"/>
      <c r="D21" s="41"/>
      <c r="E21" s="41"/>
      <c r="F21" s="41"/>
      <c r="L21" s="43"/>
      <c r="M21" s="44"/>
      <c r="N21" s="44"/>
      <c r="O21" s="44"/>
      <c r="P21" s="44"/>
      <c r="Q21" s="44"/>
      <c r="R21" s="43"/>
      <c r="X21" s="44"/>
    </row>
    <row r="22" spans="1:25" s="42" customFormat="1" ht="14.1" customHeight="1">
      <c r="A22" s="37" t="s">
        <v>32</v>
      </c>
      <c r="B22" s="38"/>
      <c r="C22" s="45">
        <v>0</v>
      </c>
      <c r="D22" s="45">
        <v>0</v>
      </c>
      <c r="E22" s="45">
        <v>0</v>
      </c>
      <c r="F22" s="38"/>
      <c r="G22" s="45">
        <v>1</v>
      </c>
      <c r="H22" s="45">
        <v>2</v>
      </c>
      <c r="I22" s="45">
        <v>6</v>
      </c>
      <c r="J22" s="45">
        <v>2</v>
      </c>
      <c r="K22" s="45">
        <f>SUM(G22:J22)</f>
        <v>11</v>
      </c>
      <c r="M22" s="45">
        <v>5</v>
      </c>
      <c r="N22" s="45">
        <v>6</v>
      </c>
      <c r="O22" s="45">
        <v>1</v>
      </c>
      <c r="P22" s="45">
        <v>4</v>
      </c>
      <c r="Q22" s="45">
        <f>SUM(M22:P22)</f>
        <v>16</v>
      </c>
      <c r="S22" s="45">
        <v>0</v>
      </c>
      <c r="T22" s="45">
        <v>0</v>
      </c>
      <c r="U22" s="45">
        <v>5</v>
      </c>
      <c r="V22" s="45">
        <v>18</v>
      </c>
      <c r="W22" s="45">
        <f t="shared" ref="W22:W27" si="5">SUM(S22:V22)</f>
        <v>23</v>
      </c>
      <c r="X22" s="46"/>
      <c r="Y22" s="46"/>
    </row>
    <row r="23" spans="1:25" s="42" customFormat="1" ht="14.1" customHeight="1">
      <c r="A23" s="37" t="s">
        <v>49</v>
      </c>
      <c r="B23" s="38"/>
      <c r="C23" s="47">
        <v>0</v>
      </c>
      <c r="D23" s="47">
        <v>0</v>
      </c>
      <c r="E23" s="47">
        <v>0</v>
      </c>
      <c r="F23" s="38"/>
      <c r="G23" s="47">
        <v>0</v>
      </c>
      <c r="H23" s="47">
        <v>0</v>
      </c>
      <c r="I23" s="47">
        <v>0</v>
      </c>
      <c r="J23" s="47">
        <v>0</v>
      </c>
      <c r="K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S23" s="47">
        <v>0</v>
      </c>
      <c r="T23" s="47">
        <v>1</v>
      </c>
      <c r="U23" s="47">
        <v>5</v>
      </c>
      <c r="V23" s="47">
        <v>0</v>
      </c>
      <c r="W23" s="47">
        <f t="shared" si="5"/>
        <v>6</v>
      </c>
      <c r="X23" s="46"/>
      <c r="Y23" s="46"/>
    </row>
    <row r="24" spans="1:25" s="42" customFormat="1" ht="14.1" customHeight="1">
      <c r="A24" s="37" t="s">
        <v>34</v>
      </c>
      <c r="B24" s="38"/>
      <c r="C24" s="47">
        <v>0</v>
      </c>
      <c r="D24" s="47">
        <v>0</v>
      </c>
      <c r="E24" s="47">
        <v>0</v>
      </c>
      <c r="F24" s="38"/>
      <c r="G24" s="47">
        <v>0</v>
      </c>
      <c r="H24" s="47">
        <v>0</v>
      </c>
      <c r="I24" s="47">
        <v>0</v>
      </c>
      <c r="J24" s="47">
        <v>0</v>
      </c>
      <c r="K24" s="47">
        <f>SUM(G24:J24)</f>
        <v>0</v>
      </c>
      <c r="M24" s="47">
        <v>0</v>
      </c>
      <c r="N24" s="47">
        <v>1</v>
      </c>
      <c r="O24" s="47">
        <v>0</v>
      </c>
      <c r="P24" s="47">
        <v>1</v>
      </c>
      <c r="Q24" s="47">
        <f>SUM(M24:P24)</f>
        <v>2</v>
      </c>
      <c r="S24" s="47">
        <v>0</v>
      </c>
      <c r="T24" s="47">
        <v>0</v>
      </c>
      <c r="U24" s="47">
        <v>1</v>
      </c>
      <c r="V24" s="47">
        <v>2</v>
      </c>
      <c r="W24" s="47">
        <f t="shared" si="5"/>
        <v>3</v>
      </c>
      <c r="X24" s="44"/>
      <c r="Y24" s="46"/>
    </row>
    <row r="25" spans="1:25" s="42" customFormat="1" ht="14.1" customHeight="1">
      <c r="A25" s="37" t="s">
        <v>33</v>
      </c>
      <c r="B25" s="38"/>
      <c r="C25" s="47">
        <v>0</v>
      </c>
      <c r="D25" s="47">
        <v>0</v>
      </c>
      <c r="E25" s="47">
        <v>0</v>
      </c>
      <c r="F25" s="38"/>
      <c r="G25" s="47">
        <v>0</v>
      </c>
      <c r="H25" s="47">
        <v>0</v>
      </c>
      <c r="I25" s="47">
        <v>0</v>
      </c>
      <c r="J25" s="47">
        <v>0</v>
      </c>
      <c r="K25" s="47">
        <f>SUM(G25:J25)</f>
        <v>0</v>
      </c>
      <c r="M25" s="47">
        <v>1</v>
      </c>
      <c r="N25" s="47">
        <v>1</v>
      </c>
      <c r="O25" s="47">
        <v>0</v>
      </c>
      <c r="P25" s="47">
        <v>0</v>
      </c>
      <c r="Q25" s="47">
        <f>SUM(M25:P25)</f>
        <v>2</v>
      </c>
      <c r="S25" s="47">
        <v>0</v>
      </c>
      <c r="T25" s="47">
        <v>0</v>
      </c>
      <c r="U25" s="47">
        <v>0</v>
      </c>
      <c r="V25" s="47">
        <v>2</v>
      </c>
      <c r="W25" s="47">
        <f t="shared" si="5"/>
        <v>2</v>
      </c>
      <c r="X25" s="44"/>
      <c r="Y25" s="46"/>
    </row>
    <row r="26" spans="1:25" s="42" customFormat="1" ht="14.1" customHeight="1">
      <c r="A26" s="37" t="s">
        <v>55</v>
      </c>
      <c r="B26" s="38"/>
      <c r="C26" s="48">
        <v>0</v>
      </c>
      <c r="D26" s="48">
        <v>0</v>
      </c>
      <c r="E26" s="48">
        <v>0</v>
      </c>
      <c r="F26" s="38"/>
      <c r="G26" s="48">
        <v>0</v>
      </c>
      <c r="H26" s="48">
        <v>1</v>
      </c>
      <c r="I26" s="48">
        <v>0</v>
      </c>
      <c r="J26" s="48">
        <v>0</v>
      </c>
      <c r="K26" s="48">
        <f>SUM(G26:J26)</f>
        <v>1</v>
      </c>
      <c r="M26" s="48">
        <v>0</v>
      </c>
      <c r="N26" s="48">
        <v>0</v>
      </c>
      <c r="O26" s="48">
        <v>18</v>
      </c>
      <c r="P26" s="48">
        <v>0</v>
      </c>
      <c r="Q26" s="48">
        <v>18</v>
      </c>
      <c r="S26" s="48">
        <v>0</v>
      </c>
      <c r="T26" s="48">
        <v>0</v>
      </c>
      <c r="U26" s="48">
        <v>0</v>
      </c>
      <c r="V26" s="48">
        <v>-1</v>
      </c>
      <c r="W26" s="48">
        <f t="shared" si="5"/>
        <v>-1</v>
      </c>
      <c r="X26" s="44"/>
      <c r="Y26" s="46"/>
    </row>
    <row r="27" spans="1:25" s="42" customFormat="1" ht="14.1" customHeight="1">
      <c r="A27" s="37" t="s">
        <v>40</v>
      </c>
      <c r="B27" s="38"/>
      <c r="C27" s="45">
        <f>SUM(C22:C26)</f>
        <v>0</v>
      </c>
      <c r="D27" s="45">
        <f>SUM(D22:D26)</f>
        <v>0</v>
      </c>
      <c r="E27" s="45">
        <f>SUM(E22:E26)</f>
        <v>0</v>
      </c>
      <c r="F27" s="38"/>
      <c r="G27" s="45">
        <f>SUM(G22:G26)</f>
        <v>1</v>
      </c>
      <c r="H27" s="45">
        <f>SUM(H22:H26)</f>
        <v>3</v>
      </c>
      <c r="I27" s="45">
        <f>SUM(I22:I26)</f>
        <v>6</v>
      </c>
      <c r="J27" s="45">
        <f>SUM(J22:J26)</f>
        <v>2</v>
      </c>
      <c r="K27" s="45">
        <f>SUM(K22:K26)</f>
        <v>12</v>
      </c>
      <c r="M27" s="45">
        <f>SUM(M22:M26)</f>
        <v>6</v>
      </c>
      <c r="N27" s="45">
        <f>SUM(N22:N26)</f>
        <v>8</v>
      </c>
      <c r="O27" s="45">
        <f>SUM(O22:O26)</f>
        <v>19</v>
      </c>
      <c r="P27" s="45">
        <f>SUM(P22:P26)</f>
        <v>5</v>
      </c>
      <c r="Q27" s="45">
        <f>SUM(M27:P27)</f>
        <v>38</v>
      </c>
      <c r="S27" s="45">
        <f>SUM(S22:S26)</f>
        <v>0</v>
      </c>
      <c r="T27" s="45">
        <f>SUM(T22:T26)</f>
        <v>1</v>
      </c>
      <c r="U27" s="45">
        <f>SUM(U22:U26)</f>
        <v>11</v>
      </c>
      <c r="V27" s="45">
        <f>SUM(V22:V26)</f>
        <v>21</v>
      </c>
      <c r="W27" s="45">
        <f t="shared" si="5"/>
        <v>33</v>
      </c>
      <c r="X27" s="44"/>
      <c r="Y27" s="46"/>
    </row>
    <row r="28" spans="1:25" ht="6" customHeight="1">
      <c r="G28" s="16"/>
      <c r="H28" s="16"/>
      <c r="I28" s="16"/>
      <c r="J28" s="16"/>
      <c r="K28" s="16"/>
      <c r="M28" s="19"/>
      <c r="N28" s="19"/>
      <c r="O28" s="19"/>
      <c r="P28" s="19"/>
      <c r="Q28" s="19"/>
      <c r="S28" s="23"/>
      <c r="T28" s="23"/>
      <c r="U28" s="23"/>
      <c r="V28" s="23"/>
      <c r="W28" s="23"/>
      <c r="X28" s="19"/>
    </row>
    <row r="29" spans="1:25" s="42" customFormat="1" ht="14.1" customHeight="1">
      <c r="A29" s="40" t="s">
        <v>15</v>
      </c>
      <c r="B29" s="41"/>
      <c r="C29" s="41"/>
      <c r="D29" s="41"/>
      <c r="E29" s="41"/>
      <c r="F29" s="41"/>
      <c r="L29" s="43"/>
      <c r="M29" s="44"/>
      <c r="N29" s="44"/>
      <c r="O29" s="44"/>
      <c r="P29" s="44"/>
      <c r="Q29" s="44"/>
      <c r="R29" s="43"/>
      <c r="S29" s="44"/>
      <c r="T29" s="44"/>
      <c r="U29" s="44"/>
      <c r="V29" s="44"/>
      <c r="W29" s="44"/>
      <c r="X29" s="44"/>
    </row>
    <row r="30" spans="1:25" s="42" customFormat="1" ht="14.1" customHeight="1">
      <c r="A30" s="37" t="s">
        <v>29</v>
      </c>
      <c r="B30" s="38"/>
      <c r="C30" s="45">
        <v>57</v>
      </c>
      <c r="D30" s="45">
        <v>144</v>
      </c>
      <c r="E30" s="45">
        <v>179</v>
      </c>
      <c r="F30" s="38"/>
      <c r="G30" s="45">
        <v>16</v>
      </c>
      <c r="H30" s="45">
        <v>52</v>
      </c>
      <c r="I30" s="45">
        <v>137</v>
      </c>
      <c r="J30" s="45">
        <v>20</v>
      </c>
      <c r="K30" s="45">
        <f>SUM(G30:J30)</f>
        <v>225</v>
      </c>
      <c r="M30" s="45">
        <v>-11</v>
      </c>
      <c r="N30" s="45">
        <v>37</v>
      </c>
      <c r="O30" s="45">
        <v>102</v>
      </c>
      <c r="P30" s="45">
        <v>-20</v>
      </c>
      <c r="Q30" s="45">
        <v>108</v>
      </c>
      <c r="S30" s="45">
        <v>15</v>
      </c>
      <c r="T30" s="45">
        <v>46</v>
      </c>
      <c r="U30" s="45">
        <v>67</v>
      </c>
      <c r="V30" s="45">
        <v>-116</v>
      </c>
      <c r="W30" s="45">
        <f>SUM(S30:V30)</f>
        <v>12</v>
      </c>
      <c r="X30" s="46"/>
      <c r="Y30" s="46"/>
    </row>
    <row r="31" spans="1:25" s="42" customFormat="1" ht="14.1" customHeight="1">
      <c r="A31" s="37" t="s">
        <v>30</v>
      </c>
      <c r="B31" s="38"/>
      <c r="C31" s="47">
        <v>30</v>
      </c>
      <c r="D31" s="47">
        <v>32</v>
      </c>
      <c r="E31" s="47">
        <v>74</v>
      </c>
      <c r="F31" s="38"/>
      <c r="G31" s="47">
        <v>29</v>
      </c>
      <c r="H31" s="47">
        <v>32</v>
      </c>
      <c r="I31" s="47">
        <v>62</v>
      </c>
      <c r="J31" s="47">
        <v>32</v>
      </c>
      <c r="K31" s="47">
        <f>SUM(G31:J31)</f>
        <v>155</v>
      </c>
      <c r="M31" s="47">
        <v>19</v>
      </c>
      <c r="N31" s="47">
        <v>18</v>
      </c>
      <c r="O31" s="47">
        <v>56</v>
      </c>
      <c r="P31" s="47">
        <v>33</v>
      </c>
      <c r="Q31" s="47">
        <v>126</v>
      </c>
      <c r="S31" s="47">
        <v>30</v>
      </c>
      <c r="T31" s="47">
        <v>25</v>
      </c>
      <c r="U31" s="47">
        <v>60</v>
      </c>
      <c r="V31" s="47">
        <v>26</v>
      </c>
      <c r="W31" s="47">
        <f>SUM(S31:V31)</f>
        <v>141</v>
      </c>
      <c r="X31" s="44"/>
      <c r="Y31" s="46"/>
    </row>
    <row r="32" spans="1:25" s="42" customFormat="1" ht="14.1" customHeight="1">
      <c r="A32" s="37" t="s">
        <v>9</v>
      </c>
      <c r="B32" s="38"/>
      <c r="C32" s="47">
        <v>0</v>
      </c>
      <c r="D32" s="47">
        <v>18</v>
      </c>
      <c r="E32" s="47">
        <v>22</v>
      </c>
      <c r="F32" s="38"/>
      <c r="G32" s="47">
        <v>-4</v>
      </c>
      <c r="H32" s="47">
        <v>16</v>
      </c>
      <c r="I32" s="47">
        <v>19</v>
      </c>
      <c r="J32" s="47">
        <v>3</v>
      </c>
      <c r="K32" s="47">
        <f>SUM(G32:J32)</f>
        <v>34</v>
      </c>
      <c r="M32" s="47">
        <v>-10</v>
      </c>
      <c r="N32" s="47">
        <v>9</v>
      </c>
      <c r="O32" s="47">
        <v>13</v>
      </c>
      <c r="P32" s="47">
        <v>1</v>
      </c>
      <c r="Q32" s="47">
        <v>13</v>
      </c>
      <c r="S32" s="47">
        <v>-10</v>
      </c>
      <c r="T32" s="47">
        <v>8</v>
      </c>
      <c r="U32" s="47">
        <v>6</v>
      </c>
      <c r="V32" s="47">
        <v>-8</v>
      </c>
      <c r="W32" s="47">
        <f>SUM(S32:V32)</f>
        <v>-4</v>
      </c>
      <c r="X32" s="44"/>
      <c r="Y32" s="46"/>
    </row>
    <row r="33" spans="1:25" s="42" customFormat="1" ht="14.1" customHeight="1">
      <c r="A33" s="37" t="s">
        <v>55</v>
      </c>
      <c r="B33" s="38"/>
      <c r="C33" s="48">
        <v>-4</v>
      </c>
      <c r="D33" s="48">
        <v>-3</v>
      </c>
      <c r="E33" s="48">
        <v>-3</v>
      </c>
      <c r="F33" s="38"/>
      <c r="G33" s="48">
        <v>-3</v>
      </c>
      <c r="H33" s="48">
        <v>-5</v>
      </c>
      <c r="I33" s="48">
        <v>-5</v>
      </c>
      <c r="J33" s="48">
        <v>-3</v>
      </c>
      <c r="K33" s="48">
        <f>SUM(G33:J33)</f>
        <v>-16</v>
      </c>
      <c r="M33" s="48">
        <v>-7</v>
      </c>
      <c r="N33" s="48">
        <v>-5</v>
      </c>
      <c r="O33" s="48">
        <v>-25</v>
      </c>
      <c r="P33" s="48">
        <v>-5</v>
      </c>
      <c r="Q33" s="48">
        <f>SUM(M33:P33)</f>
        <v>-42</v>
      </c>
      <c r="S33" s="48">
        <v>-4</v>
      </c>
      <c r="T33" s="48">
        <v>-2</v>
      </c>
      <c r="U33" s="48">
        <v>-3</v>
      </c>
      <c r="V33" s="48">
        <v>-4</v>
      </c>
      <c r="W33" s="48">
        <f>SUM(S33:V33)</f>
        <v>-13</v>
      </c>
      <c r="X33" s="44"/>
      <c r="Y33" s="46"/>
    </row>
    <row r="34" spans="1:25" s="42" customFormat="1" ht="14.1" customHeight="1">
      <c r="A34" s="37" t="s">
        <v>39</v>
      </c>
      <c r="B34" s="38"/>
      <c r="C34" s="45">
        <f>SUM(C30:C33)</f>
        <v>83</v>
      </c>
      <c r="D34" s="45">
        <f>SUM(D30:D33)</f>
        <v>191</v>
      </c>
      <c r="E34" s="45">
        <f>SUM(E30:E33)</f>
        <v>272</v>
      </c>
      <c r="F34" s="38"/>
      <c r="G34" s="45">
        <f>SUM(G30:G33)</f>
        <v>38</v>
      </c>
      <c r="H34" s="45">
        <f>SUM(H30:H33)</f>
        <v>95</v>
      </c>
      <c r="I34" s="45">
        <f>SUM(I30:I33)</f>
        <v>213</v>
      </c>
      <c r="J34" s="45">
        <f>SUM(J30:J33)</f>
        <v>52</v>
      </c>
      <c r="K34" s="45">
        <f>SUM(K30:K33)</f>
        <v>398</v>
      </c>
      <c r="M34" s="45">
        <f>SUM(M30:M33)</f>
        <v>-9</v>
      </c>
      <c r="N34" s="45">
        <f>SUM(N30:N33)</f>
        <v>59</v>
      </c>
      <c r="O34" s="45">
        <f>SUM(O30:O33)</f>
        <v>146</v>
      </c>
      <c r="P34" s="45">
        <f>SUM(P30:P33)</f>
        <v>9</v>
      </c>
      <c r="Q34" s="45">
        <f>SUM(Q30:Q33)</f>
        <v>205</v>
      </c>
      <c r="S34" s="45">
        <f>SUM(S30:S33)</f>
        <v>31</v>
      </c>
      <c r="T34" s="45">
        <f>SUM(T30:T33)</f>
        <v>77</v>
      </c>
      <c r="U34" s="45">
        <f>SUM(U30:U33)</f>
        <v>130</v>
      </c>
      <c r="V34" s="45">
        <f>SUM(V30:V33)</f>
        <v>-102</v>
      </c>
      <c r="W34" s="45">
        <f>SUM(S34:V34)</f>
        <v>136</v>
      </c>
      <c r="X34" s="46"/>
      <c r="Y34" s="46"/>
    </row>
    <row r="35" spans="1:25" ht="6" customHeight="1">
      <c r="G35" s="16"/>
      <c r="H35" s="16"/>
      <c r="I35" s="16"/>
      <c r="J35" s="16"/>
      <c r="K35" s="16"/>
      <c r="M35" s="19"/>
      <c r="N35" s="19"/>
      <c r="O35" s="19"/>
      <c r="P35" s="19"/>
      <c r="Q35" s="19"/>
      <c r="S35" s="19"/>
      <c r="T35" s="19"/>
      <c r="U35" s="19"/>
      <c r="V35" s="19"/>
      <c r="W35" s="19"/>
      <c r="X35" s="19"/>
    </row>
    <row r="36" spans="1:25" s="42" customFormat="1" ht="14.1" customHeight="1">
      <c r="A36" s="40" t="s">
        <v>41</v>
      </c>
      <c r="B36" s="41"/>
      <c r="C36" s="41"/>
      <c r="D36" s="41"/>
      <c r="E36" s="41"/>
      <c r="F36" s="41"/>
      <c r="G36" s="49"/>
      <c r="H36" s="49"/>
      <c r="I36" s="49"/>
      <c r="J36" s="49"/>
      <c r="K36" s="49"/>
      <c r="L36" s="50"/>
      <c r="M36" s="49"/>
      <c r="N36" s="49"/>
      <c r="O36" s="49"/>
      <c r="P36" s="49"/>
      <c r="Q36" s="49"/>
      <c r="R36" s="50"/>
      <c r="S36" s="49"/>
      <c r="T36" s="49"/>
      <c r="U36" s="49"/>
      <c r="V36" s="49"/>
      <c r="W36" s="49"/>
      <c r="X36" s="44"/>
    </row>
    <row r="37" spans="1:25" s="42" customFormat="1" ht="14.1" customHeight="1">
      <c r="A37" s="38" t="s">
        <v>16</v>
      </c>
      <c r="B37" s="38"/>
      <c r="C37" s="46">
        <f>C34</f>
        <v>83</v>
      </c>
      <c r="D37" s="46">
        <f>D34</f>
        <v>191</v>
      </c>
      <c r="E37" s="46">
        <f>E34</f>
        <v>272</v>
      </c>
      <c r="F37" s="38"/>
      <c r="G37" s="46">
        <f>G34</f>
        <v>38</v>
      </c>
      <c r="H37" s="46">
        <f>H34</f>
        <v>95</v>
      </c>
      <c r="I37" s="46">
        <f>I34</f>
        <v>213</v>
      </c>
      <c r="J37" s="46">
        <f>J34</f>
        <v>52</v>
      </c>
      <c r="K37" s="46">
        <f t="shared" ref="K37:K43" si="6">SUM(G37:J37)</f>
        <v>398</v>
      </c>
      <c r="L37" s="49"/>
      <c r="M37" s="46">
        <f>M34</f>
        <v>-9</v>
      </c>
      <c r="N37" s="46">
        <f>N34</f>
        <v>59</v>
      </c>
      <c r="O37" s="46">
        <f>O34</f>
        <v>146</v>
      </c>
      <c r="P37" s="46">
        <f>P34</f>
        <v>9</v>
      </c>
      <c r="Q37" s="46">
        <f>Q34</f>
        <v>205</v>
      </c>
      <c r="R37" s="49"/>
      <c r="S37" s="46">
        <f>S34</f>
        <v>31</v>
      </c>
      <c r="T37" s="46">
        <f>T34</f>
        <v>77</v>
      </c>
      <c r="U37" s="46">
        <f>U34</f>
        <v>130</v>
      </c>
      <c r="V37" s="46">
        <f>V34</f>
        <v>-102</v>
      </c>
      <c r="W37" s="46">
        <f>SUM(S37:V37)</f>
        <v>136</v>
      </c>
      <c r="X37" s="46"/>
    </row>
    <row r="38" spans="1:25" s="42" customFormat="1" ht="14.1" customHeight="1">
      <c r="A38" s="38" t="s">
        <v>13</v>
      </c>
      <c r="B38" s="38"/>
      <c r="C38" s="44">
        <v>23</v>
      </c>
      <c r="D38" s="44">
        <v>21</v>
      </c>
      <c r="E38" s="44">
        <v>22</v>
      </c>
      <c r="F38" s="38"/>
      <c r="G38" s="44">
        <v>23</v>
      </c>
      <c r="H38" s="44">
        <v>23</v>
      </c>
      <c r="I38" s="44">
        <v>24</v>
      </c>
      <c r="J38" s="44">
        <v>20</v>
      </c>
      <c r="K38" s="44">
        <f t="shared" si="6"/>
        <v>90</v>
      </c>
      <c r="L38" s="49"/>
      <c r="M38" s="44">
        <v>22</v>
      </c>
      <c r="N38" s="44">
        <v>24</v>
      </c>
      <c r="O38" s="44">
        <v>26</v>
      </c>
      <c r="P38" s="44">
        <v>24</v>
      </c>
      <c r="Q38" s="44">
        <f>SUM(M38:P38)</f>
        <v>96</v>
      </c>
      <c r="R38" s="49"/>
      <c r="S38" s="44">
        <v>19</v>
      </c>
      <c r="T38" s="44">
        <v>20</v>
      </c>
      <c r="U38" s="44">
        <v>23</v>
      </c>
      <c r="V38" s="44">
        <v>26</v>
      </c>
      <c r="W38" s="44">
        <f>SUM(S38:V38)</f>
        <v>88</v>
      </c>
      <c r="X38" s="44"/>
    </row>
    <row r="39" spans="1:25" s="42" customFormat="1" ht="14.1" customHeight="1">
      <c r="A39" s="38" t="s">
        <v>64</v>
      </c>
      <c r="B39" s="38"/>
      <c r="C39" s="51">
        <v>40</v>
      </c>
      <c r="D39" s="51">
        <v>40</v>
      </c>
      <c r="E39" s="51">
        <v>48</v>
      </c>
      <c r="F39" s="38"/>
      <c r="G39" s="51">
        <v>41</v>
      </c>
      <c r="H39" s="51">
        <v>41</v>
      </c>
      <c r="I39" s="51">
        <v>40</v>
      </c>
      <c r="J39" s="44">
        <v>40</v>
      </c>
      <c r="K39" s="51">
        <f t="shared" si="6"/>
        <v>162</v>
      </c>
      <c r="L39" s="49"/>
      <c r="M39" s="51">
        <v>38</v>
      </c>
      <c r="N39" s="51">
        <v>37</v>
      </c>
      <c r="O39" s="51">
        <v>37</v>
      </c>
      <c r="P39" s="51">
        <v>41</v>
      </c>
      <c r="Q39" s="44">
        <f>SUM(M39:P39)</f>
        <v>153</v>
      </c>
      <c r="R39" s="49"/>
      <c r="S39" s="51">
        <v>30</v>
      </c>
      <c r="T39" s="51">
        <v>32</v>
      </c>
      <c r="U39" s="51">
        <v>31</v>
      </c>
      <c r="V39" s="51">
        <v>36</v>
      </c>
      <c r="W39" s="51">
        <f>SUM(S39:V39)</f>
        <v>129</v>
      </c>
      <c r="X39" s="51"/>
    </row>
    <row r="40" spans="1:25" s="42" customFormat="1" ht="14.1" customHeight="1">
      <c r="A40" s="38" t="s">
        <v>62</v>
      </c>
      <c r="B40" s="38"/>
      <c r="C40" s="51">
        <v>2</v>
      </c>
      <c r="D40" s="51">
        <v>34</v>
      </c>
      <c r="E40" s="51">
        <v>66</v>
      </c>
      <c r="F40" s="38"/>
      <c r="G40" s="51">
        <v>0</v>
      </c>
      <c r="H40" s="51">
        <v>2</v>
      </c>
      <c r="I40" s="51">
        <v>5</v>
      </c>
      <c r="J40" s="51">
        <v>7</v>
      </c>
      <c r="K40" s="51">
        <f t="shared" si="6"/>
        <v>14</v>
      </c>
      <c r="L40" s="49"/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49"/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/>
    </row>
    <row r="41" spans="1:25" s="42" customFormat="1" ht="14.1" customHeight="1">
      <c r="A41" s="38" t="s">
        <v>63</v>
      </c>
      <c r="B41" s="38"/>
      <c r="C41" s="51">
        <v>7</v>
      </c>
      <c r="D41" s="51">
        <v>7</v>
      </c>
      <c r="E41" s="51">
        <v>0</v>
      </c>
      <c r="F41" s="38"/>
      <c r="G41" s="51">
        <v>0</v>
      </c>
      <c r="H41" s="51">
        <v>0</v>
      </c>
      <c r="I41" s="51">
        <v>0</v>
      </c>
      <c r="J41" s="51">
        <v>8</v>
      </c>
      <c r="K41" s="51">
        <f t="shared" si="6"/>
        <v>8</v>
      </c>
      <c r="L41" s="49"/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49"/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/>
    </row>
    <row r="42" spans="1:25" s="42" customFormat="1" ht="14.1" customHeight="1">
      <c r="A42" s="38" t="s">
        <v>60</v>
      </c>
      <c r="B42" s="38"/>
      <c r="C42" s="51">
        <v>0</v>
      </c>
      <c r="D42" s="51">
        <v>0</v>
      </c>
      <c r="E42" s="51">
        <v>0</v>
      </c>
      <c r="F42" s="38"/>
      <c r="G42" s="51">
        <v>40</v>
      </c>
      <c r="H42" s="51">
        <v>0</v>
      </c>
      <c r="I42" s="51">
        <v>0</v>
      </c>
      <c r="J42" s="44">
        <v>12</v>
      </c>
      <c r="K42" s="51">
        <f t="shared" si="6"/>
        <v>52</v>
      </c>
      <c r="L42" s="49"/>
      <c r="M42" s="51">
        <v>0</v>
      </c>
      <c r="N42" s="51">
        <v>0</v>
      </c>
      <c r="O42" s="51">
        <v>0</v>
      </c>
      <c r="P42" s="51">
        <v>0</v>
      </c>
      <c r="Q42" s="51">
        <f>SUM(M42:P42)</f>
        <v>0</v>
      </c>
      <c r="R42" s="49"/>
      <c r="S42" s="51">
        <v>0</v>
      </c>
      <c r="T42" s="51">
        <v>0</v>
      </c>
      <c r="U42" s="51">
        <v>0</v>
      </c>
      <c r="V42" s="51">
        <v>0</v>
      </c>
      <c r="W42" s="51">
        <f>SUM(S42:V42)</f>
        <v>0</v>
      </c>
      <c r="X42" s="51"/>
    </row>
    <row r="43" spans="1:25" s="42" customFormat="1" ht="14.1" customHeight="1">
      <c r="A43" s="38" t="s">
        <v>61</v>
      </c>
      <c r="B43" s="38"/>
      <c r="C43" s="52">
        <v>0</v>
      </c>
      <c r="D43" s="52">
        <v>0</v>
      </c>
      <c r="E43" s="52">
        <v>0</v>
      </c>
      <c r="F43" s="38"/>
      <c r="G43" s="52">
        <v>0</v>
      </c>
      <c r="H43" s="52">
        <v>0</v>
      </c>
      <c r="I43" s="52">
        <v>0</v>
      </c>
      <c r="J43" s="52">
        <v>0</v>
      </c>
      <c r="K43" s="52">
        <f t="shared" si="6"/>
        <v>0</v>
      </c>
      <c r="L43" s="49"/>
      <c r="M43" s="52">
        <v>1</v>
      </c>
      <c r="N43" s="52">
        <v>0</v>
      </c>
      <c r="O43" s="52">
        <v>0</v>
      </c>
      <c r="P43" s="52">
        <v>32</v>
      </c>
      <c r="Q43" s="52">
        <f>SUM(M43:P43)</f>
        <v>33</v>
      </c>
      <c r="R43" s="49"/>
      <c r="S43" s="52">
        <v>0</v>
      </c>
      <c r="T43" s="52">
        <v>0</v>
      </c>
      <c r="U43" s="52">
        <v>1262</v>
      </c>
      <c r="V43" s="52">
        <v>0</v>
      </c>
      <c r="W43" s="52">
        <f>SUM(S43:V43)</f>
        <v>1262</v>
      </c>
      <c r="X43" s="51"/>
    </row>
    <row r="44" spans="1:25" s="42" customFormat="1" ht="14.1" customHeight="1">
      <c r="A44" s="38" t="s">
        <v>37</v>
      </c>
      <c r="B44" s="38"/>
      <c r="C44" s="46">
        <f>C37-C38-C39-C40-C41-C42-C43</f>
        <v>11</v>
      </c>
      <c r="D44" s="46">
        <f>D37-D38-D39-D40-D41-D42-D43</f>
        <v>89</v>
      </c>
      <c r="E44" s="46">
        <f>E37-E38-E39-E40-E41-E42-E43</f>
        <v>136</v>
      </c>
      <c r="F44" s="38"/>
      <c r="G44" s="46">
        <f>G37-G38-G39-G40-G41-G42-G43</f>
        <v>-66</v>
      </c>
      <c r="H44" s="46">
        <f>H37-H38-H39-H40-H41-H42-H43</f>
        <v>29</v>
      </c>
      <c r="I44" s="46">
        <f>I37-I38-I39-I40-I41-I42-I43</f>
        <v>144</v>
      </c>
      <c r="J44" s="46">
        <f>J37-J38-J39-J40-J41-J42-J43</f>
        <v>-35</v>
      </c>
      <c r="K44" s="46">
        <f>K37-K38-K39-K40-K41-K42-K43</f>
        <v>72</v>
      </c>
      <c r="L44" s="46"/>
      <c r="M44" s="46">
        <f>M37-M38-M39-M40-M41-M42-M43</f>
        <v>-70</v>
      </c>
      <c r="N44" s="46">
        <f>N37-N38-N39-N40-N41-N42-N43</f>
        <v>-2</v>
      </c>
      <c r="O44" s="46">
        <f>O37-O38-O39-O40-O41-O42-O43</f>
        <v>83</v>
      </c>
      <c r="P44" s="46">
        <f>P37-P38-P39-P40-P41-P42-P43</f>
        <v>-88</v>
      </c>
      <c r="Q44" s="46">
        <f>Q37-Q38-Q39-Q40-Q41-Q42-Q43</f>
        <v>-77</v>
      </c>
      <c r="R44" s="46"/>
      <c r="S44" s="46">
        <f>S37-S38-S39-S40-S41-S42-S43</f>
        <v>-18</v>
      </c>
      <c r="T44" s="46">
        <f>T37-T38-T39-T40-T41-T42-T43</f>
        <v>25</v>
      </c>
      <c r="U44" s="46">
        <f>U37-U38-U39-U40-U41-U42-U43</f>
        <v>-1186</v>
      </c>
      <c r="V44" s="46">
        <f>V37-V38-V39-V40-V41-V42-V43</f>
        <v>-164</v>
      </c>
      <c r="W44" s="46">
        <f>W37-W38-W39-W40-W41-W42-W43</f>
        <v>-1343</v>
      </c>
      <c r="X44" s="46"/>
    </row>
    <row r="45" spans="1:25" ht="14.1" customHeight="1">
      <c r="G45" s="20"/>
      <c r="H45" s="20"/>
      <c r="I45" s="20"/>
      <c r="J45" s="20"/>
      <c r="K45" s="20"/>
      <c r="M45" s="20"/>
      <c r="N45" s="20"/>
      <c r="O45" s="20"/>
      <c r="P45" s="20"/>
      <c r="Q45" s="20"/>
      <c r="S45" s="18"/>
      <c r="T45" s="18"/>
      <c r="U45" s="18"/>
      <c r="V45" s="18"/>
      <c r="W45" s="18"/>
    </row>
    <row r="46" spans="1:25">
      <c r="A46" s="71" t="s">
        <v>42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</row>
    <row r="47" spans="1:25" ht="26.25" customHeight="1">
      <c r="A47" s="71" t="s">
        <v>66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</row>
    <row r="48" spans="1:25">
      <c r="A48" s="71" t="s">
        <v>69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</row>
  </sheetData>
  <mergeCells count="7">
    <mergeCell ref="A48:W48"/>
    <mergeCell ref="C5:E5"/>
    <mergeCell ref="G5:K5"/>
    <mergeCell ref="M5:Q5"/>
    <mergeCell ref="S5:W5"/>
    <mergeCell ref="A46:W46"/>
    <mergeCell ref="A47:W47"/>
  </mergeCells>
  <printOptions horizontalCentered="1"/>
  <pageMargins left="0.25" right="0.25" top="1" bottom="1" header="0.5" footer="0.5"/>
  <pageSetup scale="47" fitToHeight="3" orientation="landscape" horizontalDpi="300" r:id="rId1"/>
  <headerFooter scaleWithDoc="0" alignWithMargins="0">
    <oddFooter>&amp;C&amp;A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view="pageBreakPreview" zoomScaleNormal="82" zoomScaleSheetLayoutView="100" workbookViewId="0"/>
  </sheetViews>
  <sheetFormatPr defaultRowHeight="12.75"/>
  <cols>
    <col min="1" max="1" width="127.42578125" style="14" customWidth="1"/>
    <col min="2" max="2" width="16.85546875" style="14" customWidth="1"/>
    <col min="3" max="3" width="2.7109375" style="14" customWidth="1"/>
    <col min="4" max="4" width="16.85546875" style="14" customWidth="1"/>
    <col min="5" max="5" width="2.7109375" style="14" customWidth="1"/>
    <col min="6" max="6" width="16.85546875" style="14" customWidth="1"/>
    <col min="7" max="7" width="2.7109375" style="14" customWidth="1"/>
    <col min="8" max="8" width="16.85546875" style="14" customWidth="1"/>
    <col min="9" max="9" width="9.140625" style="14"/>
    <col min="10" max="10" width="2.7109375" style="14" customWidth="1"/>
    <col min="11" max="16384" width="9.140625" style="14"/>
  </cols>
  <sheetData>
    <row r="1" spans="1:8">
      <c r="A1" s="21" t="s">
        <v>14</v>
      </c>
      <c r="C1" s="21"/>
    </row>
    <row r="2" spans="1:8">
      <c r="A2" s="24" t="s">
        <v>43</v>
      </c>
      <c r="C2" s="24"/>
    </row>
    <row r="3" spans="1:8">
      <c r="A3" s="22" t="s">
        <v>12</v>
      </c>
      <c r="C3" s="22"/>
    </row>
    <row r="4" spans="1:8" ht="12.75" customHeight="1">
      <c r="A4" s="25"/>
      <c r="B4" s="26"/>
      <c r="C4" s="25"/>
      <c r="D4" s="26"/>
      <c r="F4" s="26"/>
    </row>
    <row r="5" spans="1:8" s="42" customFormat="1" ht="51.75" customHeight="1">
      <c r="A5" s="25"/>
      <c r="B5" s="62" t="s">
        <v>67</v>
      </c>
      <c r="C5" s="25"/>
      <c r="D5" s="62" t="s">
        <v>58</v>
      </c>
      <c r="F5" s="62" t="s">
        <v>56</v>
      </c>
      <c r="H5" s="61">
        <v>2010</v>
      </c>
    </row>
    <row r="6" spans="1:8">
      <c r="A6" s="27" t="s">
        <v>19</v>
      </c>
      <c r="B6" s="28">
        <f>B7+B8+B9</f>
        <v>642</v>
      </c>
      <c r="C6" s="27"/>
      <c r="D6" s="28">
        <v>588</v>
      </c>
      <c r="F6" s="28">
        <v>493</v>
      </c>
      <c r="H6" s="28">
        <v>450</v>
      </c>
    </row>
    <row r="7" spans="1:8">
      <c r="A7" s="29" t="s">
        <v>20</v>
      </c>
      <c r="B7" s="30">
        <v>24</v>
      </c>
      <c r="C7" s="29"/>
      <c r="D7" s="30">
        <v>23</v>
      </c>
      <c r="F7" s="30">
        <v>24</v>
      </c>
      <c r="H7" s="30">
        <v>25</v>
      </c>
    </row>
    <row r="8" spans="1:8">
      <c r="A8" s="29" t="s">
        <v>21</v>
      </c>
      <c r="B8" s="31">
        <v>17</v>
      </c>
      <c r="C8" s="29"/>
      <c r="D8" s="31">
        <v>17</v>
      </c>
      <c r="F8" s="31">
        <v>15</v>
      </c>
      <c r="H8" s="31">
        <v>15</v>
      </c>
    </row>
    <row r="9" spans="1:8">
      <c r="A9" s="27" t="s">
        <v>22</v>
      </c>
      <c r="B9" s="32">
        <f>B10+B11+B12</f>
        <v>601</v>
      </c>
      <c r="C9" s="27"/>
      <c r="D9" s="32">
        <v>548</v>
      </c>
      <c r="F9" s="32">
        <v>454</v>
      </c>
      <c r="H9" s="32">
        <v>410</v>
      </c>
    </row>
    <row r="10" spans="1:8">
      <c r="A10" s="29" t="s">
        <v>13</v>
      </c>
      <c r="B10" s="30">
        <v>85</v>
      </c>
      <c r="C10" s="29"/>
      <c r="D10" s="30">
        <v>88</v>
      </c>
      <c r="F10" s="30">
        <v>90</v>
      </c>
      <c r="H10" s="30">
        <v>90</v>
      </c>
    </row>
    <row r="11" spans="1:8">
      <c r="A11" s="29" t="s">
        <v>23</v>
      </c>
      <c r="B11" s="31">
        <v>161</v>
      </c>
      <c r="C11" s="29"/>
      <c r="D11" s="31">
        <v>161</v>
      </c>
      <c r="F11" s="31">
        <v>161</v>
      </c>
      <c r="H11" s="31">
        <v>162</v>
      </c>
    </row>
    <row r="12" spans="1:8">
      <c r="A12" s="27" t="s">
        <v>35</v>
      </c>
      <c r="B12" s="32">
        <f>SUM(B14:B19)</f>
        <v>355</v>
      </c>
      <c r="C12" s="27"/>
      <c r="D12" s="32">
        <v>299</v>
      </c>
      <c r="F12" s="32">
        <v>203</v>
      </c>
      <c r="H12" s="32">
        <v>158</v>
      </c>
    </row>
    <row r="13" spans="1:8">
      <c r="A13" s="27" t="s">
        <v>24</v>
      </c>
      <c r="B13" s="33"/>
      <c r="C13" s="27"/>
      <c r="D13" s="33"/>
      <c r="F13" s="33"/>
      <c r="H13" s="33"/>
    </row>
    <row r="14" spans="1:8">
      <c r="A14" s="29" t="s">
        <v>68</v>
      </c>
      <c r="B14" s="30">
        <v>109</v>
      </c>
      <c r="C14" s="29"/>
      <c r="D14" s="30">
        <v>48</v>
      </c>
      <c r="F14" s="30">
        <v>16</v>
      </c>
      <c r="H14" s="30">
        <v>14</v>
      </c>
    </row>
    <row r="15" spans="1:8">
      <c r="A15" s="29" t="s">
        <v>27</v>
      </c>
      <c r="B15" s="30">
        <v>30</v>
      </c>
      <c r="C15" s="29"/>
      <c r="D15" s="30">
        <v>22</v>
      </c>
      <c r="F15" s="30">
        <v>15</v>
      </c>
      <c r="H15" s="30">
        <v>8</v>
      </c>
    </row>
    <row r="16" spans="1:8">
      <c r="A16" s="29" t="s">
        <v>26</v>
      </c>
      <c r="B16" s="30">
        <v>3</v>
      </c>
      <c r="C16" s="29"/>
      <c r="D16" s="30">
        <v>8</v>
      </c>
      <c r="F16" s="30">
        <v>10</v>
      </c>
      <c r="H16" s="30">
        <v>11</v>
      </c>
    </row>
    <row r="17" spans="1:8">
      <c r="A17" s="29" t="s">
        <v>25</v>
      </c>
      <c r="B17" s="30">
        <v>12</v>
      </c>
      <c r="C17" s="29"/>
      <c r="D17" s="30">
        <v>12</v>
      </c>
      <c r="F17" s="30">
        <v>12</v>
      </c>
      <c r="H17" s="30">
        <v>52</v>
      </c>
    </row>
    <row r="18" spans="1:8">
      <c r="A18" s="29" t="s">
        <v>28</v>
      </c>
      <c r="B18" s="30" t="s">
        <v>65</v>
      </c>
      <c r="C18" s="29"/>
      <c r="D18" s="30" t="s">
        <v>65</v>
      </c>
      <c r="F18" s="30">
        <v>1</v>
      </c>
      <c r="H18" s="30">
        <v>1</v>
      </c>
    </row>
    <row r="19" spans="1:8">
      <c r="A19" s="27" t="s">
        <v>36</v>
      </c>
      <c r="B19" s="34">
        <v>201</v>
      </c>
      <c r="C19" s="27"/>
      <c r="D19" s="34">
        <v>209</v>
      </c>
      <c r="F19" s="34">
        <v>149</v>
      </c>
      <c r="H19" s="34">
        <v>72</v>
      </c>
    </row>
    <row r="20" spans="1:8" ht="2.25" customHeight="1">
      <c r="A20" s="35"/>
      <c r="B20" s="36"/>
      <c r="C20" s="35"/>
      <c r="D20" s="36"/>
      <c r="F20" s="36"/>
      <c r="H20" s="65"/>
    </row>
  </sheetData>
  <printOptions horizontalCentered="1"/>
  <pageMargins left="0.5" right="0.5" top="0.75" bottom="0.75" header="0.3" footer="0.3"/>
  <pageSetup scale="64" orientation="landscape" r:id="rId1"/>
  <headerFooter scaleWithDoc="0" alignWithMargins="0">
    <oddFooter>&amp;C&amp;A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view="pageBreakPreview" zoomScaleSheetLayoutView="100" workbookViewId="0"/>
  </sheetViews>
  <sheetFormatPr defaultRowHeight="12.75"/>
  <cols>
    <col min="1" max="1" width="127.42578125" style="14" customWidth="1"/>
    <col min="2" max="2" width="16.85546875" style="14" customWidth="1"/>
    <col min="3" max="3" width="2.7109375" style="14" customWidth="1"/>
    <col min="4" max="4" width="9.140625" style="14"/>
    <col min="5" max="5" width="4.28515625" style="14" bestFit="1" customWidth="1"/>
    <col min="6" max="16384" width="9.140625" style="14"/>
  </cols>
  <sheetData>
    <row r="1" spans="1:3">
      <c r="A1" s="21" t="s">
        <v>14</v>
      </c>
      <c r="C1" s="21"/>
    </row>
    <row r="2" spans="1:3">
      <c r="A2" s="24" t="s">
        <v>70</v>
      </c>
      <c r="C2" s="24"/>
    </row>
    <row r="3" spans="1:3" ht="12.75" customHeight="1">
      <c r="A3" s="22" t="s">
        <v>80</v>
      </c>
      <c r="B3" s="26"/>
      <c r="C3" s="25"/>
    </row>
    <row r="4" spans="1:3" s="42" customFormat="1" ht="51.75" customHeight="1">
      <c r="A4" s="25"/>
      <c r="B4" s="62" t="s">
        <v>67</v>
      </c>
      <c r="C4" s="25"/>
    </row>
    <row r="5" spans="1:3">
      <c r="A5" s="27" t="s">
        <v>75</v>
      </c>
      <c r="B5" s="74">
        <f>B8/B6</f>
        <v>1.7256029991234516</v>
      </c>
      <c r="C5" s="27"/>
    </row>
    <row r="6" spans="1:3">
      <c r="A6" s="29" t="s">
        <v>79</v>
      </c>
      <c r="B6" s="73">
        <v>128.28849766392901</v>
      </c>
      <c r="C6" s="29"/>
    </row>
    <row r="7" spans="1:3">
      <c r="A7" s="29"/>
      <c r="B7" s="73"/>
      <c r="C7" s="29"/>
    </row>
    <row r="8" spans="1:3">
      <c r="A8" s="27" t="s">
        <v>77</v>
      </c>
      <c r="B8" s="28">
        <f>B9+B10</f>
        <v>221.3750163219178</v>
      </c>
      <c r="C8" s="27"/>
    </row>
    <row r="9" spans="1:3">
      <c r="A9" s="29" t="s">
        <v>78</v>
      </c>
      <c r="B9" s="75">
        <v>7.3750163219178102</v>
      </c>
      <c r="C9" s="29"/>
    </row>
    <row r="10" spans="1:3">
      <c r="A10" s="27" t="s">
        <v>71</v>
      </c>
      <c r="B10" s="28">
        <f>SUM(B12:B16)</f>
        <v>214</v>
      </c>
      <c r="C10" s="27"/>
    </row>
    <row r="11" spans="1:3">
      <c r="A11" s="29" t="s">
        <v>72</v>
      </c>
      <c r="B11" s="72"/>
      <c r="C11" s="29"/>
    </row>
    <row r="12" spans="1:3">
      <c r="A12" s="29" t="s">
        <v>76</v>
      </c>
      <c r="B12" s="72">
        <v>8</v>
      </c>
      <c r="C12" s="29"/>
    </row>
    <row r="13" spans="1:3">
      <c r="A13" s="29" t="s">
        <v>73</v>
      </c>
      <c r="B13" s="30">
        <v>69</v>
      </c>
      <c r="C13" s="29"/>
    </row>
    <row r="14" spans="1:3">
      <c r="A14" s="29" t="s">
        <v>27</v>
      </c>
      <c r="B14" s="30">
        <v>18</v>
      </c>
      <c r="C14" s="29"/>
    </row>
    <row r="15" spans="1:3">
      <c r="A15" s="29" t="s">
        <v>26</v>
      </c>
      <c r="B15" s="30">
        <v>2</v>
      </c>
      <c r="C15" s="29"/>
    </row>
    <row r="16" spans="1:3">
      <c r="A16" s="27" t="s">
        <v>74</v>
      </c>
      <c r="B16" s="32">
        <v>117</v>
      </c>
      <c r="C16" s="27"/>
    </row>
    <row r="17" spans="1:3" ht="2.25" customHeight="1">
      <c r="A17" s="35"/>
      <c r="B17" s="36"/>
      <c r="C17" s="35"/>
    </row>
  </sheetData>
  <pageMargins left="0.7" right="0.7" top="0.75" bottom="0.75" header="0.3" footer="0.3"/>
  <pageSetup scale="86" orientation="landscape" verticalDpi="0" r:id="rId1"/>
  <headerFoot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Segment Revenue Drivers</vt:lpstr>
      <vt:lpstr>Segment Non-GAAP Reconcilation</vt:lpstr>
      <vt:lpstr>LTM Non-GAAP EBITDA</vt:lpstr>
      <vt:lpstr>LTM Non-GAAP EPS</vt:lpstr>
      <vt:lpstr>'LTM Non-GAAP EBITDA'!Print_Area</vt:lpstr>
      <vt:lpstr>'LTM Non-GAAP EPS'!Print_Area</vt:lpstr>
      <vt:lpstr>'Segment Non-GAAP Reconcilation'!Print_Area</vt:lpstr>
      <vt:lpstr>'Segment Revenue Drivers'!Print_Area</vt:lpstr>
    </vt:vector>
  </TitlesOfParts>
  <Company>Cendant Corp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Cendant User</dc:creator>
  <cp:lastModifiedBy>stewaper</cp:lastModifiedBy>
  <cp:lastPrinted>2011-11-03T12:51:14Z</cp:lastPrinted>
  <dcterms:created xsi:type="dcterms:W3CDTF">2006-06-23T16:43:12Z</dcterms:created>
  <dcterms:modified xsi:type="dcterms:W3CDTF">2011-11-03T14:48:03Z</dcterms:modified>
</cp:coreProperties>
</file>