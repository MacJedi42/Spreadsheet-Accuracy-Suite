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570" yWindow="75" windowWidth="23955" windowHeight="11430" tabRatio="916"/>
  </bookViews>
  <sheets>
    <sheet name="COVER" sheetId="1" r:id="rId1"/>
    <sheet name="SUMMARY" sheetId="2" r:id="rId2"/>
    <sheet name="COMPUTERS (Pg. 3)" sheetId="19" r:id="rId3"/>
    <sheet name="OFFICE EQUIPMENT (Pg. 4)" sheetId="7" r:id="rId4"/>
    <sheet name="FURNITURE &amp; FIXTURES (Pg. 5)" sheetId="12" r:id="rId5"/>
    <sheet name="MACHINERY &amp; EQUIPMENT (Pg. 6)" sheetId="13" r:id="rId6"/>
    <sheet name="LEASED OR SOLD ASSETS (Pg. 7)" sheetId="14" r:id="rId7"/>
    <sheet name="AIRCRAFT (Pg. 8)" sheetId="9" r:id="rId8"/>
    <sheet name="OFFICE USE" sheetId="18" r:id="rId9"/>
  </sheets>
  <definedNames>
    <definedName name="_xlnm.Print_Area" localSheetId="7">'AIRCRAFT (Pg. 8)'!$A$1:$E$47</definedName>
    <definedName name="_xlnm.Print_Area" localSheetId="2">'COMPUTERS (Pg. 3)'!$A$1:$F$50</definedName>
    <definedName name="_xlnm.Print_Area" localSheetId="0">COVER!$A$1:$F$22</definedName>
    <definedName name="_xlnm.Print_Area" localSheetId="4">'FURNITURE &amp; FIXTURES (Pg. 5)'!$A$1:$G$50</definedName>
    <definedName name="_xlnm.Print_Area" localSheetId="6">'LEASED OR SOLD ASSETS (Pg. 7)'!$A$1:$D$57</definedName>
    <definedName name="_xlnm.Print_Area" localSheetId="5">'MACHINERY &amp; EQUIPMENT (Pg. 6)'!$A$1:$F$51</definedName>
    <definedName name="_xlnm.Print_Area" localSheetId="3">'OFFICE EQUIPMENT (Pg. 4)'!$A$1:$F$50</definedName>
    <definedName name="_xlnm.Print_Area" localSheetId="1">SUMMARY!$A$1:$F$36</definedName>
  </definedNames>
  <calcPr calcId="145621"/>
</workbook>
</file>

<file path=xl/calcChain.xml><?xml version="1.0" encoding="utf-8"?>
<calcChain xmlns="http://schemas.openxmlformats.org/spreadsheetml/2006/main">
  <c r="C14" i="2" l="1"/>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l="1"/>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3" i="19"/>
  <c r="E12" i="19"/>
  <c r="E11" i="19"/>
  <c r="E10" i="19"/>
  <c r="E9" i="19"/>
  <c r="E8" i="19"/>
  <c r="E7" i="19"/>
  <c r="E6" i="19"/>
  <c r="E5" i="19"/>
  <c r="E4" i="19"/>
  <c r="E3" i="19"/>
  <c r="F50" i="19" l="1"/>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C53" i="18" l="1"/>
  <c r="D53" i="18" s="1"/>
  <c r="C54" i="18"/>
  <c r="D54" i="18" s="1"/>
  <c r="C55" i="18"/>
  <c r="D55" i="18" s="1"/>
  <c r="C56" i="18"/>
  <c r="D56" i="18" s="1"/>
  <c r="C57" i="18"/>
  <c r="D57" i="18" s="1"/>
  <c r="C58" i="18"/>
  <c r="D58" i="18" s="1"/>
  <c r="C59" i="18"/>
  <c r="D59" i="18" s="1"/>
  <c r="C60" i="18"/>
  <c r="D60" i="18" s="1"/>
  <c r="C61" i="18"/>
  <c r="D61" i="18" s="1"/>
  <c r="C62" i="18"/>
  <c r="D62" i="18" s="1"/>
  <c r="C63" i="18"/>
  <c r="D63" i="18" s="1"/>
  <c r="C64" i="18"/>
  <c r="D64" i="18" s="1"/>
  <c r="C65" i="18"/>
  <c r="D65" i="18" s="1"/>
  <c r="C66" i="18"/>
  <c r="D66" i="18" s="1"/>
  <c r="C67" i="18"/>
  <c r="D67" i="18" s="1"/>
  <c r="C68" i="18"/>
  <c r="D68" i="18" s="1"/>
  <c r="C69" i="18"/>
  <c r="D69" i="18" s="1"/>
  <c r="C70" i="18"/>
  <c r="D70" i="18" s="1"/>
  <c r="C71" i="18"/>
  <c r="D71" i="18" s="1"/>
  <c r="C72" i="18"/>
  <c r="D72" i="18" s="1"/>
  <c r="C73" i="18"/>
  <c r="D73" i="18" s="1"/>
  <c r="C74" i="18"/>
  <c r="D74" i="18" s="1"/>
  <c r="C75" i="18"/>
  <c r="D75" i="18" s="1"/>
  <c r="C76" i="18"/>
  <c r="D76" i="18" s="1"/>
  <c r="C77" i="18"/>
  <c r="D77" i="18" s="1"/>
  <c r="C78" i="18"/>
  <c r="D78" i="18" s="1"/>
  <c r="C79" i="18"/>
  <c r="D79" i="18" s="1"/>
  <c r="C80" i="18"/>
  <c r="D80" i="18" s="1"/>
  <c r="C81" i="18"/>
  <c r="D81" i="18" s="1"/>
  <c r="C82" i="18"/>
  <c r="D82" i="18" s="1"/>
  <c r="C83" i="18"/>
  <c r="D83" i="18" s="1"/>
  <c r="C84" i="18"/>
  <c r="D84" i="18" s="1"/>
  <c r="C85" i="18"/>
  <c r="D85" i="18" s="1"/>
  <c r="C86" i="18"/>
  <c r="D86" i="18" s="1"/>
  <c r="C87" i="18"/>
  <c r="D87" i="18" s="1"/>
  <c r="C88" i="18"/>
  <c r="D88" i="18" s="1"/>
  <c r="C89" i="18"/>
  <c r="D89" i="18" s="1"/>
  <c r="C90" i="18"/>
  <c r="D90" i="18" s="1"/>
  <c r="C91" i="18"/>
  <c r="D91" i="18" s="1"/>
  <c r="C92" i="18"/>
  <c r="D92" i="18" s="1"/>
  <c r="C93" i="18"/>
  <c r="D93" i="18" s="1"/>
  <c r="C94" i="18"/>
  <c r="D94" i="18" s="1"/>
  <c r="C95" i="18"/>
  <c r="D95" i="18" s="1"/>
  <c r="C96" i="18"/>
  <c r="D96" i="18" s="1"/>
  <c r="C97" i="18"/>
  <c r="D97" i="18" s="1"/>
  <c r="C98" i="18"/>
  <c r="D98" i="18" s="1"/>
  <c r="C99" i="18"/>
  <c r="D99" i="18" s="1"/>
  <c r="C100" i="18"/>
  <c r="D100" i="18" s="1"/>
  <c r="C101" i="18"/>
  <c r="D101" i="18" s="1"/>
  <c r="C102" i="18"/>
  <c r="D102" i="18" s="1"/>
  <c r="C3" i="18"/>
  <c r="D3" i="18" s="1"/>
  <c r="C4" i="18"/>
  <c r="D4" i="18" s="1"/>
  <c r="C5" i="18"/>
  <c r="D5" i="18" s="1"/>
  <c r="C6" i="18"/>
  <c r="D6" i="18" s="1"/>
  <c r="C7" i="18"/>
  <c r="D7" i="18" s="1"/>
  <c r="C8" i="18"/>
  <c r="D8" i="18" s="1"/>
  <c r="C9" i="18"/>
  <c r="D9" i="18" s="1"/>
  <c r="C10" i="18"/>
  <c r="D10" i="18" s="1"/>
  <c r="C11" i="18"/>
  <c r="D11" i="18" s="1"/>
  <c r="C12" i="18"/>
  <c r="D12" i="18" s="1"/>
  <c r="C13" i="18"/>
  <c r="D13" i="18" s="1"/>
  <c r="C14" i="18"/>
  <c r="D14" i="18" s="1"/>
  <c r="C15" i="18"/>
  <c r="D15" i="18" s="1"/>
  <c r="C16" i="18"/>
  <c r="D16" i="18" s="1"/>
  <c r="C17" i="18"/>
  <c r="D17" i="18" s="1"/>
  <c r="C18" i="18"/>
  <c r="D18" i="18" s="1"/>
  <c r="C19" i="18"/>
  <c r="D19" i="18" s="1"/>
  <c r="C20" i="18"/>
  <c r="D20" i="18" s="1"/>
  <c r="C21" i="18"/>
  <c r="D21" i="18" s="1"/>
  <c r="C22" i="18"/>
  <c r="D22" i="18" s="1"/>
  <c r="C23" i="18"/>
  <c r="D23" i="18" s="1"/>
  <c r="C24" i="18"/>
  <c r="D24" i="18" s="1"/>
  <c r="C25" i="18"/>
  <c r="D25" i="18" s="1"/>
  <c r="C26" i="18"/>
  <c r="D26" i="18" s="1"/>
  <c r="C27" i="18"/>
  <c r="D27" i="18" s="1"/>
  <c r="C28" i="18"/>
  <c r="D28" i="18" s="1"/>
  <c r="C29" i="18"/>
  <c r="D29" i="18" s="1"/>
  <c r="C30" i="18"/>
  <c r="D30" i="18" s="1"/>
  <c r="C31" i="18"/>
  <c r="D31" i="18" s="1"/>
  <c r="C32" i="18"/>
  <c r="D32" i="18" s="1"/>
  <c r="C33" i="18"/>
  <c r="D33" i="18" s="1"/>
  <c r="C34" i="18"/>
  <c r="D34" i="18" s="1"/>
  <c r="C35" i="18"/>
  <c r="D35" i="18" s="1"/>
  <c r="C36" i="18"/>
  <c r="D36" i="18" s="1"/>
  <c r="C37" i="18"/>
  <c r="D37" i="18" s="1"/>
  <c r="C38" i="18"/>
  <c r="D38" i="18" s="1"/>
  <c r="C39" i="18"/>
  <c r="D39" i="18" s="1"/>
  <c r="C40" i="18"/>
  <c r="D40" i="18" s="1"/>
  <c r="C41" i="18"/>
  <c r="D41" i="18" s="1"/>
  <c r="C42" i="18"/>
  <c r="D42" i="18" s="1"/>
  <c r="C43" i="18"/>
  <c r="D43" i="18" s="1"/>
  <c r="C44" i="18"/>
  <c r="D44" i="18" s="1"/>
  <c r="C45" i="18"/>
  <c r="D45" i="18" s="1"/>
  <c r="C46" i="18"/>
  <c r="D46" i="18" s="1"/>
  <c r="C47" i="18"/>
  <c r="D47" i="18" s="1"/>
  <c r="C48" i="18"/>
  <c r="D48" i="18" s="1"/>
  <c r="C49" i="18"/>
  <c r="D49" i="18" s="1"/>
  <c r="C50" i="18"/>
  <c r="D50" i="18" s="1"/>
  <c r="C51" i="18"/>
  <c r="D51" i="18" s="1"/>
  <c r="C52" i="18"/>
  <c r="D52" i="18" s="1"/>
  <c r="C2" i="18"/>
  <c r="D2" i="18" s="1"/>
  <c r="G4" i="12" l="1"/>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G5" i="12"/>
  <c r="F4"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3" i="7"/>
  <c r="E14" i="2" s="1"/>
  <c r="G3" i="12" l="1"/>
  <c r="F27" i="2" l="1"/>
  <c r="C18" i="2"/>
  <c r="C16" i="2"/>
  <c r="C19" i="2" l="1"/>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F7" i="13"/>
  <c r="F6" i="13"/>
  <c r="F5" i="13"/>
  <c r="F4" i="13"/>
  <c r="F3" i="13"/>
  <c r="F101" i="13"/>
  <c r="E101" i="13"/>
  <c r="F100" i="13"/>
  <c r="E100" i="13"/>
  <c r="F99" i="13"/>
  <c r="E99" i="13"/>
  <c r="F98" i="13"/>
  <c r="E98" i="13"/>
  <c r="F97" i="13"/>
  <c r="E97" i="13"/>
  <c r="F96" i="13"/>
  <c r="E96" i="13"/>
  <c r="F95" i="13"/>
  <c r="E95" i="13"/>
  <c r="F94" i="13"/>
  <c r="E94" i="13"/>
  <c r="F93" i="13"/>
  <c r="E93" i="13"/>
  <c r="F92" i="13"/>
  <c r="E92" i="13"/>
  <c r="F91" i="13"/>
  <c r="E91" i="13"/>
  <c r="F90" i="13"/>
  <c r="E90" i="13"/>
  <c r="F89" i="13"/>
  <c r="E89" i="13"/>
  <c r="F88" i="13"/>
  <c r="E88" i="13"/>
  <c r="F87" i="13"/>
  <c r="E87" i="13"/>
  <c r="F86" i="13"/>
  <c r="E86" i="13"/>
  <c r="F85" i="13"/>
  <c r="E85" i="13"/>
  <c r="F84" i="13"/>
  <c r="E84" i="13"/>
  <c r="F83" i="13"/>
  <c r="E83" i="13"/>
  <c r="F82" i="13"/>
  <c r="E82" i="13"/>
  <c r="F81" i="13"/>
  <c r="E81" i="13"/>
  <c r="F80" i="13"/>
  <c r="E80" i="13"/>
  <c r="F79" i="13"/>
  <c r="E79" i="13"/>
  <c r="F78" i="13"/>
  <c r="E78" i="13"/>
  <c r="F77" i="13"/>
  <c r="E77" i="13"/>
  <c r="F76" i="13"/>
  <c r="E76" i="13"/>
  <c r="F75" i="13"/>
  <c r="E75" i="13"/>
  <c r="F74" i="13"/>
  <c r="E74" i="13"/>
  <c r="F73" i="13"/>
  <c r="E73" i="13"/>
  <c r="F72" i="13"/>
  <c r="E72" i="13"/>
  <c r="F71" i="13"/>
  <c r="E71" i="13"/>
  <c r="F70" i="13"/>
  <c r="E70" i="13"/>
  <c r="F69" i="13"/>
  <c r="E69" i="13"/>
  <c r="F68" i="13"/>
  <c r="E68" i="13"/>
  <c r="F67" i="13"/>
  <c r="E67" i="13"/>
  <c r="F66" i="13"/>
  <c r="E66" i="13"/>
  <c r="F65" i="13"/>
  <c r="E65" i="13"/>
  <c r="F64" i="13"/>
  <c r="E64" i="13"/>
  <c r="F63" i="13"/>
  <c r="E63" i="13"/>
  <c r="F62" i="13"/>
  <c r="E62" i="13"/>
  <c r="F61" i="13"/>
  <c r="E61" i="13"/>
  <c r="F60" i="13"/>
  <c r="E60" i="13"/>
  <c r="F59" i="13"/>
  <c r="E59" i="13"/>
  <c r="F58" i="13"/>
  <c r="E58" i="13"/>
  <c r="F57" i="13"/>
  <c r="E57" i="13"/>
  <c r="F56" i="13"/>
  <c r="E56" i="13"/>
  <c r="F55" i="13"/>
  <c r="E55" i="13"/>
  <c r="F54" i="13"/>
  <c r="E54" i="13"/>
  <c r="F53" i="13"/>
  <c r="E53" i="13"/>
  <c r="F52" i="13"/>
  <c r="E52" i="13"/>
  <c r="F51" i="13"/>
  <c r="E51" i="13"/>
  <c r="D14" i="2" l="1"/>
  <c r="E16" i="2"/>
  <c r="D16" i="2" s="1"/>
  <c r="E18" i="2"/>
  <c r="E19" i="2" l="1"/>
  <c r="D18" i="2"/>
  <c r="D19" i="2" s="1"/>
</calcChain>
</file>

<file path=xl/sharedStrings.xml><?xml version="1.0" encoding="utf-8"?>
<sst xmlns="http://schemas.openxmlformats.org/spreadsheetml/2006/main" count="111" uniqueCount="81">
  <si>
    <t>KETCHIKAN GATEWAY BOROUGH</t>
  </si>
  <si>
    <t>Department of Assessment, 1900 First Avenue, Suite 219, Ketchikan, AK 99901</t>
  </si>
  <si>
    <t>Phone: 907.228.6640 Fax: 907.228.6655 Email: bp@kgbak.us</t>
  </si>
  <si>
    <t>Person to Contact Concerning This Report</t>
  </si>
  <si>
    <t>ITEMIZATION IS REQUIRED; A PRINTOUT OF ASSETS MAY BE ATTACHED TO THIS FORM.</t>
  </si>
  <si>
    <t>Fair market value should be given for each category of assets listed. IRS depreciation is not acceptable. Note separately any assets sold or discarded during the preceding year. All returns are subject to the Department of Assessment review and/or revision. Incomplete forms may be returned.</t>
  </si>
  <si>
    <t>I HEREBY DECLARE OWNERSHIP OR CONTROL OF THE FOLLOWING TAXABLE BUSINESS PROPERTY</t>
  </si>
  <si>
    <t>ASSETS</t>
  </si>
  <si>
    <t>FOR OFFICE USE ONLY</t>
  </si>
  <si>
    <t>MARKET VALUE</t>
  </si>
  <si>
    <t>ACQUISITION COST</t>
  </si>
  <si>
    <t>SIGNATURE/TITLE OF PERSON PREPARING RETURN</t>
  </si>
  <si>
    <t>DATE</t>
  </si>
  <si>
    <t>TRANSFER DATE</t>
  </si>
  <si>
    <t>TRANSFER PRICE (AIRCRAFT)</t>
  </si>
  <si>
    <t>BUYERS NAME</t>
  </si>
  <si>
    <t>MAILING ADDRESS</t>
  </si>
  <si>
    <t xml:space="preserve">AIRCRAFT </t>
  </si>
  <si>
    <t>DEPRECIATION</t>
  </si>
  <si>
    <t>OFFICE USE ONLY</t>
  </si>
  <si>
    <t>TAX YEAR</t>
  </si>
  <si>
    <t>YEAR BUILT</t>
  </si>
  <si>
    <t>ACCRUED DEPRECIATION</t>
  </si>
  <si>
    <r>
      <rPr>
        <b/>
        <sz val="12"/>
        <color theme="1"/>
        <rFont val="Arial"/>
        <family val="2"/>
      </rPr>
      <t xml:space="preserve">Who must file? </t>
    </r>
    <r>
      <rPr>
        <sz val="12"/>
        <color theme="1"/>
        <rFont val="Arial"/>
        <family val="2"/>
      </rPr>
      <t xml:space="preserve">  Every person, firm, association, or corporation - regardless of residency - who owns or controls personal property which is not specifically exempt in the City of Ketchikan.
</t>
    </r>
  </si>
  <si>
    <r>
      <rPr>
        <b/>
        <sz val="12"/>
        <color theme="1"/>
        <rFont val="Arial"/>
        <family val="2"/>
      </rPr>
      <t>What must be listed?</t>
    </r>
    <r>
      <rPr>
        <sz val="12"/>
        <color theme="1"/>
        <rFont val="Arial"/>
        <family val="2"/>
      </rPr>
      <t xml:space="preserve">  All personal property located in the City of Ketchikan that was in the control of, or use by, the taxpayer on January 1.  This includes assets owned, leased by, loaned to, or borrowed by the taxpayer.
</t>
    </r>
  </si>
  <si>
    <r>
      <rPr>
        <b/>
        <sz val="12"/>
        <color theme="1"/>
        <rFont val="Arial"/>
        <family val="2"/>
      </rPr>
      <t>Instructions for filing Business/Personal Property Return:</t>
    </r>
    <r>
      <rPr>
        <sz val="12"/>
        <color theme="1"/>
        <rFont val="Arial"/>
        <family val="2"/>
      </rPr>
      <t xml:space="preserve"> This return should be used for any retail, wholesale, industrial, hotel, service, professional, or other enterprises and aircraft are to be declared on this return. Property that is temporarily out of the City of Ketchikan on January 1st is taxable. Licensed vehicles, boats, and inventory are not to be declared on this form. Include a leased equipment listing, so that the lessor may be contacted.
</t>
    </r>
  </si>
  <si>
    <t>The Department of Assessment will declare a value for returns not received by the due date and the property assessment will be based upon the Department’s declared value.</t>
  </si>
  <si>
    <t>MACHINERY AND EQUIPMENT</t>
  </si>
  <si>
    <t>FURNITURE, FIXTURES AND LEASEHOLD</t>
  </si>
  <si>
    <t>OFFICE EQUIPMENT</t>
  </si>
  <si>
    <t>MACHINERY &amp; EQUIPMENT</t>
  </si>
  <si>
    <t>ITEM            DESCRIPTION</t>
  </si>
  <si>
    <t>ACQUISTION          COST</t>
  </si>
  <si>
    <t>YEAR                ACQUIRED</t>
  </si>
  <si>
    <t>LEASED ASSETS</t>
  </si>
  <si>
    <t>SOLD OR DISPOSED ASSETS</t>
  </si>
  <si>
    <t>SOLD AIRCRAFT</t>
  </si>
  <si>
    <t>ADDRESS</t>
  </si>
  <si>
    <t>SEE PAGE 6</t>
  </si>
  <si>
    <t>LESSOR / BUYER</t>
  </si>
  <si>
    <t>LEASED / SOLD                             ITEM DESCRIPTION</t>
  </si>
  <si>
    <t>LEASE (L)   SOLD (S)</t>
  </si>
  <si>
    <t xml:space="preserve"> TAIL NUMBER</t>
  </si>
  <si>
    <t>AIRCRAFT &amp; HELICOPTERS</t>
  </si>
  <si>
    <t>LEASED AND SOLD ASSETS</t>
  </si>
  <si>
    <t xml:space="preserve">        FURNITURE, FIXTURES &amp; LEASEHOLD </t>
  </si>
  <si>
    <t xml:space="preserve">            AIRCRAFT AND HELICOPTERS</t>
  </si>
  <si>
    <t xml:space="preserve">The Business Personal Return is also available for electronic filing (Excel) at www.kgbak.us </t>
  </si>
  <si>
    <t xml:space="preserve">                       NO CHANGE FROM PREVIOUS YEAR?</t>
  </si>
  <si>
    <t xml:space="preserve">                       NO LONGER IN BUSINESS?</t>
  </si>
  <si>
    <t>(Enter "No Change" at right, sign &amp; date return)</t>
  </si>
  <si>
    <t>(Complete lines 1,2,&amp;3 below, sign &amp; date return)</t>
  </si>
  <si>
    <r>
      <rPr>
        <b/>
        <sz val="12"/>
        <color theme="1"/>
        <rFont val="Arial"/>
        <family val="2"/>
      </rPr>
      <t>When and where do I file?</t>
    </r>
    <r>
      <rPr>
        <sz val="12"/>
        <color theme="1"/>
        <rFont val="Arial"/>
        <family val="2"/>
      </rPr>
      <t xml:space="preserve">   Upon formal request by the taxpayer, the Assessor may grant an extension of up to 30 days to submit the return by January 15 of the assessment year. 
</t>
    </r>
  </si>
  <si>
    <r>
      <rPr>
        <b/>
        <sz val="12"/>
        <color theme="1"/>
        <rFont val="Arial"/>
        <family val="2"/>
      </rPr>
      <t>How Do I File?</t>
    </r>
    <r>
      <rPr>
        <sz val="12"/>
        <color theme="1"/>
        <rFont val="Arial"/>
        <family val="2"/>
      </rPr>
      <t xml:space="preserve">  Complete this report by reviewing steps 1 through 10 on the BPP Summary page. The electronic form will self calculate depreciation and value for assets.  </t>
    </r>
  </si>
  <si>
    <t>TOTAL (RND $100)</t>
  </si>
  <si>
    <t>DEPRECIATE YES / NO</t>
  </si>
  <si>
    <t>YES</t>
  </si>
  <si>
    <t>NO</t>
  </si>
  <si>
    <t>ECON LIFE</t>
  </si>
  <si>
    <t>ECONOMIC LIFE</t>
  </si>
  <si>
    <t>DEPR</t>
  </si>
  <si>
    <t xml:space="preserve">KGB 4.45.190. Failure to file return; penalty. 
      (a) If a taxpayer fails to file a return as provided in 4.45.170 (a) by January 15th of the tax year and, as allowed under 4.45.180, the Assessor prepares a valuation based upon information available or obtained by the Assessor of the taxable property (also referred to as a “forced filing”) the taxpayer shall be subject to a fee of two hundred dollars ($200) for the costs of the Assessor’s preparation of the forced filing return.  Upon formal request by the taxpayer, the Assessor may grant an extension of up to 30 days to submit the return.  The Assessor shall notify the taxpayer of the fee as of the date of mailing of Personal Property assessment notices. 
</t>
  </si>
  <si>
    <t>COMPUTERS &amp; SOFTWARE</t>
  </si>
  <si>
    <t>AGE</t>
  </si>
  <si>
    <t>% USED</t>
  </si>
  <si>
    <t>CUBE</t>
  </si>
  <si>
    <t>SQUARE</t>
  </si>
  <si>
    <t>SINGLE</t>
  </si>
  <si>
    <t>OFFICE EQUIPMENT AND COMPUTERS</t>
  </si>
  <si>
    <t>Pages 3 &amp; 4</t>
  </si>
  <si>
    <t>Page 5</t>
  </si>
  <si>
    <t>Page 6</t>
  </si>
  <si>
    <t>Page 7</t>
  </si>
  <si>
    <t>Page 8</t>
  </si>
  <si>
    <t>MODEL</t>
  </si>
  <si>
    <t>MANUFACTURER</t>
  </si>
  <si>
    <t>ACQUISTION COST</t>
  </si>
  <si>
    <t>YEAR  ACQUIRED</t>
  </si>
  <si>
    <t>2015 - BUSINESS/PERSONAL PROPERTY RETURN</t>
  </si>
  <si>
    <t xml:space="preserve">THIS FORM IS TO BE FILED ON OR BEFORE JANUARY 15th 2015.
</t>
  </si>
  <si>
    <t>2015 BUSINESS/PERSONAL PROPERTY RETURN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</si>
</sst>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_(&quot;$&quot;* \(#,##0\);_(&quot;$&quot;* &quot;-&quot;_);_(@_)"/>
    <numFmt numFmtId="44" formatCode="_(&quot;$&quot;* #,##0.00_);_(&quot;$&quot;* \(#,##0.00\);_(&quot;$&quot;* &quot;-&quot;??_);_(@_)"/>
    <numFmt numFmtId="164" formatCode="&quot;$&quot;#,##0"/>
    <numFmt numFmtId="165" formatCode="_([$$-409]* #,##0.00_);_([$$-409]* \(#,##0.00\);_([$$-409]* &quot;-&quot;??_);_(@_)"/>
    <numFmt numFmtId="166" formatCode="0.0%"/>
    <numFmt numFmtId="167" formatCode="[$-409]dd\-mmm\-yy;@"/>
  </numFmts>
  <fonts count="33" x14ac:knownFonts="1">
    <font>
      <sz val="11"/>
      <color theme="1"/>
      <name val="Calibri"/>
      <family val="2"/>
      <scheme val="minor"/>
    </font>
    <font>
      <b/>
      <sz val="18"/>
      <color rgb="FF000000"/>
      <name val="Arial"/>
      <family val="2"/>
    </font>
    <font>
      <u/>
      <sz val="11"/>
      <color theme="10"/>
      <name val="Calibri"/>
      <family val="2"/>
      <scheme val="minor"/>
    </font>
    <font>
      <sz val="11"/>
      <color theme="1"/>
      <name val="Arial"/>
      <family val="2"/>
    </font>
    <font>
      <u/>
      <sz val="11"/>
      <color theme="10"/>
      <name val="Arial"/>
      <family val="2"/>
    </font>
    <font>
      <b/>
      <sz val="11"/>
      <color theme="1"/>
      <name val="Arial"/>
      <family val="2"/>
    </font>
    <font>
      <b/>
      <sz val="11"/>
      <color theme="1"/>
      <name val="Calibri"/>
      <family val="2"/>
      <scheme val="minor"/>
    </font>
    <font>
      <sz val="14"/>
      <color theme="1"/>
      <name val="Arial"/>
      <family val="2"/>
    </font>
    <font>
      <b/>
      <sz val="18"/>
      <color theme="0"/>
      <name val="Arial"/>
      <family val="2"/>
    </font>
    <font>
      <b/>
      <sz val="11"/>
      <color theme="0"/>
      <name val="Arial"/>
      <family val="2"/>
    </font>
    <font>
      <b/>
      <sz val="12"/>
      <color theme="1"/>
      <name val="Arial"/>
      <family val="2"/>
    </font>
    <font>
      <b/>
      <sz val="16"/>
      <color theme="1"/>
      <name val="Arial"/>
      <family val="2"/>
    </font>
    <font>
      <b/>
      <sz val="11"/>
      <name val="Arial"/>
      <family val="2"/>
    </font>
    <font>
      <sz val="12"/>
      <color theme="1"/>
      <name val="Calibri"/>
      <family val="2"/>
      <scheme val="minor"/>
    </font>
    <font>
      <sz val="11"/>
      <color theme="1"/>
      <name val="Calibri"/>
      <family val="2"/>
      <scheme val="minor"/>
    </font>
    <font>
      <b/>
      <sz val="14"/>
      <color theme="1"/>
      <name val="Arial"/>
      <family val="2"/>
    </font>
    <font>
      <sz val="12"/>
      <color rgb="FF000000"/>
      <name val="Arial"/>
      <family val="2"/>
    </font>
    <font>
      <sz val="12"/>
      <color theme="1"/>
      <name val="Arial"/>
      <family val="2"/>
    </font>
    <font>
      <b/>
      <sz val="13"/>
      <color theme="1"/>
      <name val="Arial"/>
      <family val="2"/>
    </font>
    <font>
      <sz val="13"/>
      <color rgb="FF000000"/>
      <name val="Arial"/>
      <family val="2"/>
    </font>
    <font>
      <sz val="13"/>
      <color theme="1"/>
      <name val="Arial"/>
      <family val="2"/>
    </font>
    <font>
      <b/>
      <sz val="12"/>
      <name val="Arial"/>
      <family val="2"/>
    </font>
    <font>
      <b/>
      <sz val="24"/>
      <color theme="1"/>
      <name val="Arial"/>
      <family val="2"/>
    </font>
    <font>
      <b/>
      <u/>
      <sz val="13"/>
      <color theme="3" tint="-0.249977111117893"/>
      <name val="Arial"/>
      <family val="2"/>
    </font>
    <font>
      <b/>
      <sz val="14"/>
      <color theme="3" tint="-0.249977111117893"/>
      <name val="Arial"/>
      <family val="2"/>
    </font>
    <font>
      <b/>
      <sz val="12"/>
      <color theme="1"/>
      <name val="Calibri"/>
      <family val="2"/>
      <scheme val="minor"/>
    </font>
    <font>
      <sz val="12.5"/>
      <name val="Arial"/>
      <family val="2"/>
    </font>
    <font>
      <b/>
      <u/>
      <sz val="18"/>
      <name val="Arial"/>
      <family val="2"/>
    </font>
    <font>
      <sz val="11"/>
      <color theme="0"/>
      <name val="Calibri"/>
      <family val="2"/>
      <scheme val="minor"/>
    </font>
    <font>
      <sz val="10"/>
      <name val="Arial"/>
      <family val="2"/>
    </font>
    <font>
      <u/>
      <sz val="14"/>
      <color theme="1"/>
      <name val="Arial"/>
      <family val="2"/>
    </font>
    <font>
      <b/>
      <u/>
      <sz val="14"/>
      <color theme="1"/>
      <name val="Arial"/>
      <family val="2"/>
    </font>
    <font>
      <u/>
      <sz val="14"/>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double">
        <color indexed="64"/>
      </bottom>
      <diagonal/>
    </border>
    <border>
      <left style="thin">
        <color indexed="64"/>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top style="medium">
        <color indexed="64"/>
      </top>
      <bottom style="thick">
        <color indexed="64"/>
      </bottom>
      <diagonal/>
    </border>
    <border>
      <left style="medium">
        <color auto="1"/>
      </left>
      <right/>
      <top/>
      <bottom style="thick">
        <color auto="1"/>
      </bottom>
      <diagonal/>
    </border>
    <border>
      <left/>
      <right/>
      <top/>
      <bottom style="thick">
        <color auto="1"/>
      </bottom>
      <diagonal/>
    </border>
    <border>
      <left/>
      <right/>
      <top style="thick">
        <color indexed="64"/>
      </top>
      <bottom style="double">
        <color indexed="64"/>
      </bottom>
      <diagonal/>
    </border>
    <border>
      <left style="thick">
        <color indexed="64"/>
      </left>
      <right style="thick">
        <color indexed="64"/>
      </right>
      <top style="thick">
        <color indexed="64"/>
      </top>
      <bottom style="thick">
        <color indexed="64"/>
      </bottom>
      <diagonal/>
    </border>
    <border>
      <left/>
      <right/>
      <top style="thick">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s>
  <cellStyleXfs count="5">
    <xf numFmtId="0" fontId="0" fillId="0" borderId="0"/>
    <xf numFmtId="0" fontId="2" fillId="0" borderId="0" applyNumberFormat="0" applyFill="0" applyBorder="0" applyAlignment="0" applyProtection="0"/>
    <xf numFmtId="44" fontId="14" fillId="0" borderId="0" applyFont="0" applyFill="0" applyBorder="0" applyAlignment="0" applyProtection="0"/>
    <xf numFmtId="0" fontId="29" fillId="0" borderId="0"/>
    <xf numFmtId="9" fontId="29" fillId="0" borderId="0" applyFont="0" applyFill="0" applyBorder="0" applyAlignment="0" applyProtection="0"/>
  </cellStyleXfs>
  <cellXfs count="159">
    <xf numFmtId="0" fontId="0" fillId="0" borderId="0" xfId="0"/>
    <xf numFmtId="0" fontId="0" fillId="0" borderId="0" xfId="0" applyAlignment="1">
      <alignment horizontal="center"/>
    </xf>
    <xf numFmtId="0" fontId="3" fillId="0" borderId="0" xfId="0" applyFont="1"/>
    <xf numFmtId="0" fontId="3" fillId="0" borderId="0" xfId="0" applyFont="1" applyBorder="1"/>
    <xf numFmtId="0" fontId="3" fillId="0" borderId="0" xfId="0" applyFont="1" applyBorder="1" applyAlignment="1">
      <alignment vertical="top"/>
    </xf>
    <xf numFmtId="0" fontId="0" fillId="0" borderId="0" xfId="0" applyBorder="1"/>
    <xf numFmtId="0" fontId="3" fillId="4" borderId="0" xfId="0" applyFont="1" applyFill="1" applyBorder="1" applyAlignment="1">
      <alignment vertical="top" wrapText="1"/>
    </xf>
    <xf numFmtId="0" fontId="0" fillId="4" borderId="0" xfId="0" applyFill="1" applyBorder="1"/>
    <xf numFmtId="0" fontId="5" fillId="0" borderId="0" xfId="0" applyFont="1" applyAlignment="1">
      <alignment horizontal="center" vertical="justify" wrapText="1"/>
    </xf>
    <xf numFmtId="0" fontId="3" fillId="0" borderId="0" xfId="0" applyFont="1" applyAlignment="1">
      <alignment horizontal="center" vertical="justify" wrapText="1"/>
    </xf>
    <xf numFmtId="0" fontId="7" fillId="0" borderId="0" xfId="0" applyFont="1"/>
    <xf numFmtId="0" fontId="7" fillId="0" borderId="0" xfId="0" applyFont="1" applyAlignment="1">
      <alignment horizontal="center"/>
    </xf>
    <xf numFmtId="0" fontId="0" fillId="4" borderId="6" xfId="0" applyFill="1" applyBorder="1" applyAlignment="1">
      <alignment vertical="center"/>
    </xf>
    <xf numFmtId="0" fontId="10" fillId="0" borderId="12" xfId="0" applyFont="1" applyBorder="1" applyAlignment="1">
      <alignment wrapText="1"/>
    </xf>
    <xf numFmtId="0" fontId="0" fillId="0" borderId="12" xfId="0" applyBorder="1"/>
    <xf numFmtId="0" fontId="8" fillId="4" borderId="0" xfId="0" applyFont="1" applyFill="1" applyAlignment="1">
      <alignment horizontal="center" vertical="center"/>
    </xf>
    <xf numFmtId="0" fontId="7" fillId="0" borderId="0" xfId="0" applyFont="1" applyBorder="1"/>
    <xf numFmtId="0" fontId="7" fillId="4" borderId="0" xfId="0" applyFont="1" applyFill="1" applyBorder="1"/>
    <xf numFmtId="0" fontId="12" fillId="4" borderId="0" xfId="0" applyFont="1" applyFill="1" applyBorder="1" applyAlignment="1">
      <alignment horizontal="right" vertical="center" wrapText="1"/>
    </xf>
    <xf numFmtId="0" fontId="11" fillId="0" borderId="0" xfId="0" applyFont="1" applyAlignment="1">
      <alignment horizontal="right"/>
    </xf>
    <xf numFmtId="0" fontId="0" fillId="0" borderId="0" xfId="0"/>
    <xf numFmtId="0" fontId="0" fillId="4" borderId="0" xfId="0" applyFill="1"/>
    <xf numFmtId="0" fontId="11" fillId="4" borderId="0" xfId="0" applyFont="1" applyFill="1" applyBorder="1" applyAlignment="1">
      <alignment horizontal="right"/>
    </xf>
    <xf numFmtId="0" fontId="0" fillId="0" borderId="3" xfId="0" applyBorder="1" applyAlignment="1">
      <alignment horizontal="left"/>
    </xf>
    <xf numFmtId="0" fontId="15" fillId="0" borderId="0" xfId="0" applyFont="1" applyAlignment="1">
      <alignment horizontal="center"/>
    </xf>
    <xf numFmtId="164" fontId="0" fillId="0" borderId="0" xfId="0" applyNumberFormat="1"/>
    <xf numFmtId="9" fontId="0" fillId="0" borderId="0" xfId="0" applyNumberFormat="1"/>
    <xf numFmtId="49" fontId="0" fillId="0" borderId="0" xfId="0" applyNumberFormat="1" applyAlignment="1">
      <alignment horizontal="center"/>
    </xf>
    <xf numFmtId="0" fontId="7" fillId="4" borderId="0" xfId="0" applyFont="1" applyFill="1" applyAlignment="1">
      <alignment horizontal="center"/>
    </xf>
    <xf numFmtId="0" fontId="7" fillId="2" borderId="0" xfId="0" applyFont="1" applyFill="1" applyAlignment="1">
      <alignment horizontal="center"/>
    </xf>
    <xf numFmtId="0" fontId="12" fillId="2" borderId="0" xfId="0" applyFont="1" applyFill="1" applyBorder="1" applyAlignment="1">
      <alignment horizontal="right" vertical="center" wrapText="1"/>
    </xf>
    <xf numFmtId="164" fontId="3" fillId="2" borderId="0" xfId="0" applyNumberFormat="1" applyFont="1" applyFill="1" applyBorder="1"/>
    <xf numFmtId="0" fontId="12" fillId="2" borderId="0" xfId="0" applyFont="1" applyFill="1" applyBorder="1" applyAlignment="1">
      <alignment horizontal="left" vertical="center" wrapText="1"/>
    </xf>
    <xf numFmtId="0" fontId="0" fillId="2" borderId="0" xfId="0" applyFill="1" applyBorder="1" applyAlignment="1">
      <alignment horizontal="left"/>
    </xf>
    <xf numFmtId="0" fontId="18" fillId="0" borderId="17" xfId="0" applyFont="1" applyBorder="1"/>
    <xf numFmtId="0" fontId="20" fillId="0" borderId="0" xfId="0" applyFont="1"/>
    <xf numFmtId="0" fontId="10" fillId="0" borderId="0" xfId="0" applyFont="1" applyAlignment="1">
      <alignment vertical="justify" wrapText="1"/>
    </xf>
    <xf numFmtId="0" fontId="10" fillId="3" borderId="9" xfId="0" applyFont="1" applyFill="1" applyBorder="1" applyAlignment="1">
      <alignment vertical="justify" wrapText="1"/>
    </xf>
    <xf numFmtId="0" fontId="10" fillId="4" borderId="0" xfId="0" applyFont="1" applyFill="1" applyBorder="1" applyAlignment="1">
      <alignment vertical="justify" wrapText="1"/>
    </xf>
    <xf numFmtId="0" fontId="10" fillId="3" borderId="0" xfId="0" applyFont="1" applyFill="1" applyAlignment="1">
      <alignment horizontal="center" vertical="center" wrapText="1"/>
    </xf>
    <xf numFmtId="0" fontId="21" fillId="4" borderId="0" xfId="0" applyFont="1" applyFill="1" applyBorder="1" applyAlignment="1">
      <alignment horizontal="right" vertical="center" wrapText="1"/>
    </xf>
    <xf numFmtId="164" fontId="17" fillId="4" borderId="0" xfId="0" applyNumberFormat="1" applyFont="1" applyFill="1" applyBorder="1"/>
    <xf numFmtId="165" fontId="17" fillId="3" borderId="11" xfId="0" applyNumberFormat="1" applyFont="1" applyFill="1" applyBorder="1" applyAlignment="1">
      <alignment vertical="center"/>
    </xf>
    <xf numFmtId="164" fontId="17" fillId="0" borderId="0" xfId="0" applyNumberFormat="1" applyFont="1"/>
    <xf numFmtId="3" fontId="17" fillId="0" borderId="0" xfId="0" applyNumberFormat="1" applyFont="1" applyAlignment="1">
      <alignment vertical="center"/>
    </xf>
    <xf numFmtId="44" fontId="17" fillId="3" borderId="11" xfId="2" applyFont="1" applyFill="1" applyBorder="1" applyAlignment="1">
      <alignment horizontal="center" vertical="center"/>
    </xf>
    <xf numFmtId="0" fontId="0" fillId="0" borderId="8" xfId="0" applyBorder="1"/>
    <xf numFmtId="164" fontId="0" fillId="0" borderId="8" xfId="0" applyNumberFormat="1" applyBorder="1"/>
    <xf numFmtId="1" fontId="0" fillId="0" borderId="8" xfId="0" applyNumberFormat="1" applyBorder="1"/>
    <xf numFmtId="0" fontId="10" fillId="0" borderId="8" xfId="0" applyFont="1" applyBorder="1" applyAlignment="1">
      <alignment horizontal="center" wrapText="1"/>
    </xf>
    <xf numFmtId="0" fontId="10" fillId="0" borderId="8" xfId="0" applyFont="1" applyBorder="1" applyAlignment="1">
      <alignment horizontal="center" vertical="center" wrapText="1"/>
    </xf>
    <xf numFmtId="164" fontId="22" fillId="0" borderId="0" xfId="0" applyNumberFormat="1" applyFont="1" applyAlignment="1">
      <alignment vertical="center"/>
    </xf>
    <xf numFmtId="0" fontId="22" fillId="0" borderId="0" xfId="0" applyFont="1" applyAlignment="1">
      <alignment horizontal="left"/>
    </xf>
    <xf numFmtId="0" fontId="5" fillId="3" borderId="9" xfId="0" applyFont="1" applyFill="1" applyBorder="1" applyAlignment="1">
      <alignment vertical="justify" wrapText="1"/>
    </xf>
    <xf numFmtId="0" fontId="10" fillId="3" borderId="9" xfId="0" applyFont="1" applyFill="1" applyBorder="1" applyAlignment="1">
      <alignment horizontal="left" vertical="center" wrapText="1"/>
    </xf>
    <xf numFmtId="0" fontId="21" fillId="3" borderId="8" xfId="0" applyFont="1" applyFill="1" applyBorder="1" applyAlignment="1">
      <alignment horizontal="left" vertical="center" wrapText="1"/>
    </xf>
    <xf numFmtId="0" fontId="10" fillId="3" borderId="8" xfId="0" applyFont="1" applyFill="1" applyBorder="1" applyAlignment="1">
      <alignment horizontal="center" vertical="center"/>
    </xf>
    <xf numFmtId="0" fontId="17" fillId="4" borderId="0" xfId="0" applyFont="1" applyFill="1" applyBorder="1" applyAlignment="1">
      <alignment horizontal="right"/>
    </xf>
    <xf numFmtId="42" fontId="17" fillId="3" borderId="8" xfId="0" applyNumberFormat="1" applyFont="1" applyFill="1" applyBorder="1"/>
    <xf numFmtId="0" fontId="22" fillId="0" borderId="0" xfId="0" applyFont="1"/>
    <xf numFmtId="0" fontId="0" fillId="0" borderId="8" xfId="0" applyBorder="1" applyProtection="1">
      <protection locked="0"/>
    </xf>
    <xf numFmtId="164" fontId="0" fillId="0" borderId="8" xfId="0" applyNumberFormat="1" applyBorder="1" applyAlignment="1" applyProtection="1">
      <alignment horizontal="center"/>
      <protection locked="0"/>
    </xf>
    <xf numFmtId="1" fontId="0" fillId="0" borderId="8" xfId="0" applyNumberFormat="1" applyBorder="1" applyAlignment="1" applyProtection="1">
      <alignment horizontal="center"/>
      <protection locked="0"/>
    </xf>
    <xf numFmtId="164" fontId="0" fillId="0" borderId="8" xfId="0" applyNumberFormat="1" applyBorder="1" applyProtection="1">
      <protection locked="0"/>
    </xf>
    <xf numFmtId="1" fontId="0" fillId="0" borderId="8" xfId="0" applyNumberFormat="1" applyBorder="1" applyProtection="1">
      <protection locked="0"/>
    </xf>
    <xf numFmtId="0" fontId="15" fillId="0" borderId="8" xfId="0" applyFont="1" applyBorder="1" applyAlignment="1">
      <alignment horizontal="center"/>
    </xf>
    <xf numFmtId="49" fontId="15" fillId="0" borderId="8" xfId="0" applyNumberFormat="1" applyFont="1" applyBorder="1" applyAlignment="1">
      <alignment horizontal="center"/>
    </xf>
    <xf numFmtId="42" fontId="0" fillId="0" borderId="8" xfId="0" applyNumberFormat="1" applyBorder="1"/>
    <xf numFmtId="0" fontId="0" fillId="0" borderId="18" xfId="0" applyBorder="1"/>
    <xf numFmtId="0" fontId="18" fillId="0" borderId="22" xfId="0" applyFont="1" applyBorder="1" applyAlignment="1">
      <alignment wrapText="1"/>
    </xf>
    <xf numFmtId="42" fontId="17" fillId="3" borderId="8" xfId="2" applyNumberFormat="1" applyFont="1" applyFill="1" applyBorder="1" applyAlignment="1" applyProtection="1">
      <alignment horizontal="center"/>
      <protection hidden="1"/>
    </xf>
    <xf numFmtId="49" fontId="0" fillId="0" borderId="8" xfId="0" applyNumberFormat="1" applyBorder="1"/>
    <xf numFmtId="0" fontId="25" fillId="4" borderId="6" xfId="0" applyFont="1" applyFill="1" applyBorder="1" applyAlignment="1">
      <alignment vertical="center"/>
    </xf>
    <xf numFmtId="0" fontId="6" fillId="0" borderId="23" xfId="0" applyFont="1" applyBorder="1" applyAlignment="1" applyProtection="1">
      <alignment horizontal="center" vertical="center"/>
      <protection locked="0"/>
    </xf>
    <xf numFmtId="0" fontId="0" fillId="0" borderId="24" xfId="0" applyBorder="1" applyAlignment="1">
      <alignment vertical="center"/>
    </xf>
    <xf numFmtId="42" fontId="17" fillId="3" borderId="10" xfId="2" applyNumberFormat="1" applyFont="1" applyFill="1" applyBorder="1" applyAlignment="1" applyProtection="1">
      <alignment horizontal="center" vertical="center"/>
      <protection hidden="1"/>
    </xf>
    <xf numFmtId="42" fontId="17" fillId="3" borderId="10" xfId="0" applyNumberFormat="1" applyFont="1" applyFill="1" applyBorder="1" applyAlignment="1" applyProtection="1">
      <alignment vertical="center"/>
      <protection hidden="1"/>
    </xf>
    <xf numFmtId="0" fontId="21" fillId="4" borderId="19" xfId="0" applyFont="1" applyFill="1" applyBorder="1" applyAlignment="1" applyProtection="1">
      <alignment horizontal="left" vertical="center" wrapText="1"/>
      <protection locked="0"/>
    </xf>
    <xf numFmtId="164" fontId="17" fillId="3" borderId="8" xfId="0" applyNumberFormat="1" applyFont="1" applyFill="1" applyBorder="1" applyAlignment="1" applyProtection="1">
      <alignment horizontal="center" vertical="center"/>
      <protection locked="0"/>
    </xf>
    <xf numFmtId="167" fontId="17" fillId="3" borderId="16" xfId="0" applyNumberFormat="1" applyFont="1" applyFill="1" applyBorder="1" applyAlignment="1" applyProtection="1">
      <alignment horizontal="center" vertical="center"/>
      <protection locked="0"/>
    </xf>
    <xf numFmtId="0" fontId="28" fillId="0" borderId="0" xfId="0" applyFont="1" applyAlignment="1" applyProtection="1">
      <alignment horizontal="center" vertical="center"/>
      <protection hidden="1"/>
    </xf>
    <xf numFmtId="1" fontId="0" fillId="0" borderId="8" xfId="0" applyNumberFormat="1" applyBorder="1" applyAlignment="1" applyProtection="1">
      <alignment horizontal="center" vertical="center"/>
      <protection locked="0"/>
    </xf>
    <xf numFmtId="1" fontId="0" fillId="0" borderId="0" xfId="0" applyNumberFormat="1"/>
    <xf numFmtId="0" fontId="0" fillId="0" borderId="0" xfId="0"/>
    <xf numFmtId="166" fontId="0" fillId="0" borderId="0" xfId="0" applyNumberFormat="1"/>
    <xf numFmtId="0" fontId="0" fillId="0" borderId="0" xfId="0" applyAlignment="1">
      <alignment horizontal="center"/>
    </xf>
    <xf numFmtId="0" fontId="10" fillId="3" borderId="8" xfId="0" applyFont="1" applyFill="1" applyBorder="1" applyAlignment="1">
      <alignment horizontal="center" vertical="center" wrapText="1"/>
    </xf>
    <xf numFmtId="166" fontId="0" fillId="3" borderId="8" xfId="0" applyNumberFormat="1" applyFill="1" applyBorder="1" applyAlignment="1" applyProtection="1">
      <alignment horizontal="center"/>
      <protection hidden="1"/>
    </xf>
    <xf numFmtId="164" fontId="0" fillId="3" borderId="8" xfId="0" applyNumberFormat="1" applyFill="1" applyBorder="1" applyAlignment="1" applyProtection="1">
      <alignment horizontal="center"/>
      <protection hidden="1"/>
    </xf>
    <xf numFmtId="164" fontId="0" fillId="3" borderId="8" xfId="0" applyNumberFormat="1" applyFill="1" applyBorder="1" applyProtection="1">
      <protection hidden="1"/>
    </xf>
    <xf numFmtId="166" fontId="0" fillId="3" borderId="8" xfId="0" applyNumberFormat="1" applyFill="1" applyBorder="1" applyProtection="1">
      <protection hidden="1"/>
    </xf>
    <xf numFmtId="0" fontId="5" fillId="3" borderId="9" xfId="0" applyFont="1" applyFill="1" applyBorder="1" applyAlignment="1">
      <alignment horizontal="center" vertical="center" wrapText="1"/>
    </xf>
    <xf numFmtId="0" fontId="5" fillId="3" borderId="9" xfId="0" applyFont="1" applyFill="1" applyBorder="1" applyAlignment="1">
      <alignment horizontal="center" vertical="justify" wrapText="1"/>
    </xf>
    <xf numFmtId="49" fontId="5" fillId="3" borderId="9" xfId="0" applyNumberFormat="1" applyFont="1" applyFill="1" applyBorder="1" applyAlignment="1">
      <alignment horizontal="center" vertical="center" wrapText="1"/>
    </xf>
    <xf numFmtId="0" fontId="30" fillId="0" borderId="0" xfId="0" applyFont="1" applyAlignment="1">
      <alignment horizontal="right"/>
    </xf>
    <xf numFmtId="0" fontId="30" fillId="0" borderId="0" xfId="0" applyFont="1" applyAlignment="1">
      <alignment horizontal="center" vertical="center"/>
    </xf>
    <xf numFmtId="0" fontId="31" fillId="0" borderId="0" xfId="0" applyFont="1" applyAlignment="1">
      <alignment horizontal="center" vertical="center"/>
    </xf>
    <xf numFmtId="0" fontId="32" fillId="0" borderId="0" xfId="0" applyFont="1"/>
    <xf numFmtId="0" fontId="15" fillId="0" borderId="8" xfId="0" applyFont="1" applyBorder="1" applyAlignment="1">
      <alignment horizontal="center" wrapText="1"/>
    </xf>
    <xf numFmtId="0" fontId="28" fillId="0" borderId="0" xfId="0" applyFont="1" applyAlignment="1">
      <alignment horizontal="center"/>
    </xf>
    <xf numFmtId="0" fontId="28" fillId="0" borderId="0" xfId="0" applyFont="1" applyProtection="1">
      <protection hidden="1"/>
    </xf>
    <xf numFmtId="166" fontId="28" fillId="0" borderId="0" xfId="0" applyNumberFormat="1" applyFont="1" applyAlignment="1">
      <alignment horizontal="center"/>
    </xf>
    <xf numFmtId="0" fontId="28" fillId="0" borderId="0" xfId="0" applyFont="1" applyAlignment="1" applyProtection="1">
      <alignment horizontal="center"/>
      <protection hidden="1"/>
    </xf>
    <xf numFmtId="0" fontId="28" fillId="0" borderId="0" xfId="0" applyFont="1"/>
    <xf numFmtId="0" fontId="17" fillId="3" borderId="1" xfId="0" applyFont="1" applyFill="1" applyBorder="1" applyAlignment="1">
      <alignment vertical="top" wrapText="1"/>
    </xf>
    <xf numFmtId="0" fontId="17" fillId="3" borderId="2" xfId="0" applyFont="1" applyFill="1" applyBorder="1" applyAlignment="1">
      <alignment vertical="top" wrapText="1"/>
    </xf>
    <xf numFmtId="0" fontId="17" fillId="3" borderId="3" xfId="0" applyFont="1" applyFill="1" applyBorder="1" applyAlignment="1">
      <alignment vertical="top" wrapText="1"/>
    </xf>
    <xf numFmtId="0" fontId="17" fillId="3" borderId="5" xfId="0" applyFont="1" applyFill="1" applyBorder="1" applyAlignment="1">
      <alignment vertical="top" wrapText="1"/>
    </xf>
    <xf numFmtId="0" fontId="17" fillId="3" borderId="6" xfId="0" applyFont="1" applyFill="1" applyBorder="1" applyAlignment="1">
      <alignment vertical="top" wrapText="1"/>
    </xf>
    <xf numFmtId="0" fontId="17" fillId="3" borderId="7" xfId="0" applyFont="1" applyFill="1" applyBorder="1" applyAlignment="1">
      <alignment vertical="top" wrapText="1"/>
    </xf>
    <xf numFmtId="0" fontId="26" fillId="0" borderId="0" xfId="0" applyFont="1" applyBorder="1" applyAlignment="1">
      <alignment vertical="top" wrapText="1"/>
    </xf>
    <xf numFmtId="49" fontId="5" fillId="3" borderId="5" xfId="0" applyNumberFormat="1" applyFont="1" applyFill="1" applyBorder="1" applyAlignment="1" applyProtection="1">
      <alignment horizontal="left" vertical="center" wrapText="1"/>
      <protection locked="0"/>
    </xf>
    <xf numFmtId="49" fontId="3" fillId="3" borderId="6" xfId="0" applyNumberFormat="1" applyFont="1" applyFill="1" applyBorder="1" applyAlignment="1" applyProtection="1">
      <alignment horizontal="left" vertical="center" wrapText="1"/>
      <protection locked="0"/>
    </xf>
    <xf numFmtId="49" fontId="3" fillId="3" borderId="7" xfId="0" applyNumberFormat="1" applyFont="1" applyFill="1" applyBorder="1" applyAlignment="1" applyProtection="1">
      <alignment horizontal="left" vertical="center" wrapText="1"/>
      <protection locked="0"/>
    </xf>
    <xf numFmtId="0" fontId="5" fillId="3" borderId="5" xfId="0" applyFont="1" applyFill="1" applyBorder="1" applyAlignment="1" applyProtection="1">
      <alignment horizontal="left" vertical="center" wrapText="1"/>
      <protection locked="0"/>
    </xf>
    <xf numFmtId="0" fontId="3" fillId="3" borderId="6" xfId="0" applyFont="1" applyFill="1" applyBorder="1" applyAlignment="1" applyProtection="1">
      <alignment horizontal="left" vertical="center" wrapText="1"/>
      <protection locked="0"/>
    </xf>
    <xf numFmtId="0" fontId="3" fillId="3" borderId="7" xfId="0" applyFont="1" applyFill="1" applyBorder="1" applyAlignment="1" applyProtection="1">
      <alignment horizontal="left" vertical="center" wrapText="1"/>
      <protection locked="0"/>
    </xf>
    <xf numFmtId="0" fontId="10" fillId="0" borderId="0" xfId="0" applyFont="1" applyAlignment="1">
      <alignment horizontal="center" wrapText="1"/>
    </xf>
    <xf numFmtId="0" fontId="17" fillId="0" borderId="0" xfId="0" applyFont="1" applyAlignment="1">
      <alignment vertical="top" wrapText="1"/>
    </xf>
    <xf numFmtId="0" fontId="5"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7" fillId="0" borderId="0" xfId="0" applyFont="1" applyBorder="1" applyAlignment="1">
      <alignment vertical="top" wrapText="1"/>
    </xf>
    <xf numFmtId="0" fontId="17" fillId="0" borderId="0" xfId="0" applyFont="1" applyAlignment="1">
      <alignment vertical="top"/>
    </xf>
    <xf numFmtId="0" fontId="5" fillId="3" borderId="5" xfId="0" applyFont="1" applyFill="1" applyBorder="1" applyAlignment="1" applyProtection="1">
      <alignment horizontal="center" wrapText="1"/>
      <protection locked="0"/>
    </xf>
    <xf numFmtId="0" fontId="0" fillId="3" borderId="6" xfId="0" applyFill="1" applyBorder="1" applyAlignment="1" applyProtection="1">
      <alignment horizontal="center" wrapText="1"/>
      <protection locked="0"/>
    </xf>
    <xf numFmtId="0" fontId="0" fillId="3" borderId="7" xfId="0" applyFill="1" applyBorder="1" applyAlignment="1" applyProtection="1">
      <alignment horizontal="center" wrapText="1"/>
      <protection locked="0"/>
    </xf>
    <xf numFmtId="0" fontId="5" fillId="3" borderId="6" xfId="0" applyFont="1" applyFill="1" applyBorder="1" applyAlignment="1" applyProtection="1">
      <alignment horizontal="center" wrapText="1"/>
      <protection locked="0"/>
    </xf>
    <xf numFmtId="0" fontId="27" fillId="0" borderId="4" xfId="0" applyFont="1" applyBorder="1" applyAlignment="1">
      <alignment horizontal="center" vertical="top" wrapText="1"/>
    </xf>
    <xf numFmtId="0" fontId="27" fillId="0" borderId="4" xfId="0" applyFont="1" applyBorder="1" applyAlignment="1">
      <alignment horizontal="center" vertical="top"/>
    </xf>
    <xf numFmtId="0" fontId="1" fillId="0" borderId="0" xfId="0" applyFont="1" applyAlignment="1">
      <alignment horizontal="center" vertical="center"/>
    </xf>
    <xf numFmtId="0" fontId="3" fillId="0" borderId="0" xfId="0" applyFont="1" applyAlignment="1">
      <alignment horizontal="center"/>
    </xf>
    <xf numFmtId="0" fontId="16" fillId="0" borderId="0" xfId="0" applyFont="1" applyAlignment="1">
      <alignment horizontal="center" vertical="center"/>
    </xf>
    <xf numFmtId="0" fontId="17" fillId="0" borderId="0" xfId="0" applyFont="1" applyAlignment="1">
      <alignment horizontal="center"/>
    </xf>
    <xf numFmtId="0" fontId="4" fillId="0" borderId="0" xfId="1" applyFont="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xf>
    <xf numFmtId="0" fontId="24" fillId="0" borderId="0" xfId="0" applyFont="1" applyAlignment="1">
      <alignment horizontal="center"/>
    </xf>
    <xf numFmtId="0" fontId="19" fillId="0" borderId="0" xfId="0" applyFont="1" applyAlignment="1">
      <alignment horizontal="center" vertical="center"/>
    </xf>
    <xf numFmtId="0" fontId="23" fillId="0" borderId="0" xfId="1" applyFont="1" applyAlignment="1">
      <alignment horizontal="center" vertical="center"/>
    </xf>
    <xf numFmtId="0" fontId="18" fillId="0" borderId="4" xfId="0" applyFont="1" applyBorder="1" applyAlignment="1" applyProtection="1">
      <alignment horizontal="center" vertical="center" wrapText="1"/>
    </xf>
    <xf numFmtId="0" fontId="18" fillId="0" borderId="0" xfId="0" applyFont="1" applyBorder="1" applyAlignment="1" applyProtection="1">
      <alignment horizontal="center" vertical="center" wrapText="1"/>
    </xf>
    <xf numFmtId="0" fontId="18" fillId="4" borderId="6" xfId="0" applyFont="1" applyFill="1" applyBorder="1" applyAlignment="1">
      <alignment horizontal="left" vertical="center"/>
    </xf>
    <xf numFmtId="0" fontId="10" fillId="0" borderId="25" xfId="0" applyFont="1" applyBorder="1" applyAlignment="1">
      <alignment wrapText="1"/>
    </xf>
    <xf numFmtId="0" fontId="10" fillId="0" borderId="26" xfId="0" applyFont="1" applyBorder="1" applyAlignment="1">
      <alignment wrapText="1"/>
    </xf>
    <xf numFmtId="0" fontId="10" fillId="0" borderId="27" xfId="0" applyFont="1" applyBorder="1" applyAlignment="1">
      <alignment wrapText="1"/>
    </xf>
    <xf numFmtId="14" fontId="6" fillId="0" borderId="14" xfId="0" applyNumberFormat="1" applyFont="1" applyBorder="1" applyAlignment="1" applyProtection="1">
      <alignment horizontal="left" vertical="center" wrapText="1"/>
      <protection locked="0"/>
    </xf>
    <xf numFmtId="0" fontId="6" fillId="0" borderId="14" xfId="0" applyFont="1" applyBorder="1" applyAlignment="1" applyProtection="1">
      <alignment horizontal="left" vertical="center" wrapText="1"/>
      <protection locked="0"/>
    </xf>
    <xf numFmtId="14" fontId="6" fillId="0" borderId="15" xfId="0" applyNumberFormat="1" applyFont="1" applyBorder="1" applyAlignment="1" applyProtection="1">
      <alignment horizontal="left" vertical="center" wrapText="1"/>
      <protection locked="0"/>
    </xf>
    <xf numFmtId="0" fontId="6" fillId="0" borderId="15" xfId="0" applyFont="1" applyBorder="1" applyAlignment="1" applyProtection="1">
      <alignment horizontal="left" vertical="center" wrapText="1"/>
      <protection locked="0"/>
    </xf>
    <xf numFmtId="0" fontId="21" fillId="4" borderId="0" xfId="0" applyFont="1" applyFill="1" applyBorder="1" applyAlignment="1">
      <alignment horizontal="left" vertical="center" wrapText="1"/>
    </xf>
    <xf numFmtId="0" fontId="13" fillId="4" borderId="0" xfId="0" applyFont="1" applyFill="1" applyBorder="1" applyAlignment="1">
      <alignment horizontal="left"/>
    </xf>
    <xf numFmtId="44" fontId="10" fillId="3" borderId="13" xfId="2" applyFont="1" applyFill="1" applyBorder="1" applyAlignment="1">
      <alignment horizontal="center" vertical="center"/>
    </xf>
    <xf numFmtId="44" fontId="10" fillId="3" borderId="6" xfId="2" applyFont="1" applyFill="1" applyBorder="1" applyAlignment="1">
      <alignment horizontal="center" vertical="center"/>
    </xf>
    <xf numFmtId="44" fontId="10" fillId="3" borderId="7" xfId="2" applyFont="1" applyFill="1" applyBorder="1" applyAlignment="1">
      <alignment horizontal="center" vertical="center"/>
    </xf>
    <xf numFmtId="0" fontId="10" fillId="0" borderId="20" xfId="0" applyFont="1" applyBorder="1" applyAlignment="1" applyProtection="1">
      <alignment horizontal="center"/>
      <protection locked="0"/>
    </xf>
    <xf numFmtId="0" fontId="10" fillId="0" borderId="21" xfId="0" applyFont="1" applyBorder="1" applyAlignment="1" applyProtection="1">
      <alignment horizontal="center"/>
      <protection locked="0"/>
    </xf>
    <xf numFmtId="0" fontId="21" fillId="3" borderId="6" xfId="0" applyFont="1" applyFill="1" applyBorder="1" applyAlignment="1" applyProtection="1">
      <alignment horizontal="center" vertical="center" wrapText="1"/>
      <protection locked="0"/>
    </xf>
    <xf numFmtId="0" fontId="21" fillId="3" borderId="7" xfId="0" applyFont="1" applyFill="1" applyBorder="1" applyAlignment="1" applyProtection="1">
      <alignment horizontal="center" vertical="center" wrapText="1"/>
      <protection locked="0"/>
    </xf>
  </cellXfs>
  <cellStyles count="5">
    <cellStyle name="Currency" xfId="2" builtinId="4"/>
    <cellStyle name="Hyperlink" xfId="1" builtinId="8"/>
    <cellStyle name="Normal" xfId="0" builtinId="0"/>
    <cellStyle name="Normal 2" xfId="3"/>
    <cellStyle name="Percent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53340</xdr:colOff>
      <xdr:row>6</xdr:row>
      <xdr:rowOff>30480</xdr:rowOff>
    </xdr:from>
    <xdr:to>
      <xdr:col>1</xdr:col>
      <xdr:colOff>38100</xdr:colOff>
      <xdr:row>6</xdr:row>
      <xdr:rowOff>304800</xdr:rowOff>
    </xdr:to>
    <xdr:sp macro="" textlink="">
      <xdr:nvSpPr>
        <xdr:cNvPr id="2" name="TextBox 1"/>
        <xdr:cNvSpPr txBox="1"/>
      </xdr:nvSpPr>
      <xdr:spPr>
        <a:xfrm>
          <a:off x="53340" y="1577340"/>
          <a:ext cx="140970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latin typeface="Arial" pitchFamily="34" charset="0"/>
              <a:cs typeface="Arial" pitchFamily="34" charset="0"/>
            </a:rPr>
            <a:t>Account Number:</a:t>
          </a:r>
        </a:p>
      </xdr:txBody>
    </xdr:sp>
    <xdr:clientData/>
  </xdr:twoCellAnchor>
  <xdr:twoCellAnchor>
    <xdr:from>
      <xdr:col>0</xdr:col>
      <xdr:colOff>60960</xdr:colOff>
      <xdr:row>7</xdr:row>
      <xdr:rowOff>30480</xdr:rowOff>
    </xdr:from>
    <xdr:to>
      <xdr:col>1</xdr:col>
      <xdr:colOff>45720</xdr:colOff>
      <xdr:row>7</xdr:row>
      <xdr:rowOff>304800</xdr:rowOff>
    </xdr:to>
    <xdr:sp macro="" textlink="">
      <xdr:nvSpPr>
        <xdr:cNvPr id="3" name="TextBox 2"/>
        <xdr:cNvSpPr txBox="1"/>
      </xdr:nvSpPr>
      <xdr:spPr>
        <a:xfrm>
          <a:off x="60960" y="2461260"/>
          <a:ext cx="140970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latin typeface="Arial" pitchFamily="34" charset="0"/>
              <a:cs typeface="Arial" pitchFamily="34" charset="0"/>
            </a:rPr>
            <a:t>Owner</a:t>
          </a:r>
          <a:r>
            <a:rPr lang="en-US" sz="1100" b="1" baseline="0">
              <a:latin typeface="Arial" pitchFamily="34" charset="0"/>
              <a:cs typeface="Arial" pitchFamily="34" charset="0"/>
            </a:rPr>
            <a:t> Name</a:t>
          </a:r>
          <a:r>
            <a:rPr lang="en-US" sz="1100" b="1">
              <a:latin typeface="Arial" pitchFamily="34" charset="0"/>
              <a:cs typeface="Arial" pitchFamily="34" charset="0"/>
            </a:rPr>
            <a:t>:</a:t>
          </a:r>
        </a:p>
      </xdr:txBody>
    </xdr:sp>
    <xdr:clientData/>
  </xdr:twoCellAnchor>
  <xdr:twoCellAnchor>
    <xdr:from>
      <xdr:col>0</xdr:col>
      <xdr:colOff>22860</xdr:colOff>
      <xdr:row>8</xdr:row>
      <xdr:rowOff>45720</xdr:rowOff>
    </xdr:from>
    <xdr:to>
      <xdr:col>1</xdr:col>
      <xdr:colOff>7620</xdr:colOff>
      <xdr:row>8</xdr:row>
      <xdr:rowOff>320040</xdr:rowOff>
    </xdr:to>
    <xdr:sp macro="" textlink="">
      <xdr:nvSpPr>
        <xdr:cNvPr id="4" name="TextBox 3"/>
        <xdr:cNvSpPr txBox="1"/>
      </xdr:nvSpPr>
      <xdr:spPr>
        <a:xfrm>
          <a:off x="22860" y="3360420"/>
          <a:ext cx="140970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latin typeface="Arial" pitchFamily="34" charset="0"/>
              <a:cs typeface="Arial" pitchFamily="34" charset="0"/>
            </a:rPr>
            <a:t>Mailing</a:t>
          </a:r>
          <a:r>
            <a:rPr lang="en-US" sz="1100" b="1" baseline="0">
              <a:latin typeface="Arial" pitchFamily="34" charset="0"/>
              <a:cs typeface="Arial" pitchFamily="34" charset="0"/>
            </a:rPr>
            <a:t> Address</a:t>
          </a:r>
          <a:r>
            <a:rPr lang="en-US" sz="1100" b="1">
              <a:latin typeface="Arial" pitchFamily="34" charset="0"/>
              <a:cs typeface="Arial" pitchFamily="34" charset="0"/>
            </a:rPr>
            <a:t>:</a:t>
          </a:r>
        </a:p>
      </xdr:txBody>
    </xdr:sp>
    <xdr:clientData/>
  </xdr:twoCellAnchor>
  <xdr:twoCellAnchor>
    <xdr:from>
      <xdr:col>3</xdr:col>
      <xdr:colOff>68580</xdr:colOff>
      <xdr:row>8</xdr:row>
      <xdr:rowOff>83820</xdr:rowOff>
    </xdr:from>
    <xdr:to>
      <xdr:col>4</xdr:col>
      <xdr:colOff>876300</xdr:colOff>
      <xdr:row>8</xdr:row>
      <xdr:rowOff>358140</xdr:rowOff>
    </xdr:to>
    <xdr:sp macro="" textlink="">
      <xdr:nvSpPr>
        <xdr:cNvPr id="5" name="TextBox 4"/>
        <xdr:cNvSpPr txBox="1"/>
      </xdr:nvSpPr>
      <xdr:spPr>
        <a:xfrm>
          <a:off x="4343400" y="3398520"/>
          <a:ext cx="223266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latin typeface="Arial" pitchFamily="34" charset="0"/>
              <a:cs typeface="Arial" pitchFamily="34" charset="0"/>
            </a:rPr>
            <a:t>Location/Address of Property:</a:t>
          </a:r>
        </a:p>
      </xdr:txBody>
    </xdr:sp>
    <xdr:clientData/>
  </xdr:twoCellAnchor>
  <xdr:twoCellAnchor>
    <xdr:from>
      <xdr:col>3</xdr:col>
      <xdr:colOff>30480</xdr:colOff>
      <xdr:row>7</xdr:row>
      <xdr:rowOff>76200</xdr:rowOff>
    </xdr:from>
    <xdr:to>
      <xdr:col>5</xdr:col>
      <xdr:colOff>838200</xdr:colOff>
      <xdr:row>7</xdr:row>
      <xdr:rowOff>350520</xdr:rowOff>
    </xdr:to>
    <xdr:sp macro="" textlink="">
      <xdr:nvSpPr>
        <xdr:cNvPr id="6" name="TextBox 5"/>
        <xdr:cNvSpPr txBox="1"/>
      </xdr:nvSpPr>
      <xdr:spPr>
        <a:xfrm>
          <a:off x="4305300" y="2506980"/>
          <a:ext cx="365760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latin typeface="Arial" pitchFamily="34" charset="0"/>
              <a:cs typeface="Arial" pitchFamily="34" charset="0"/>
            </a:rPr>
            <a:t>Business Name &amp; Subsidiary/Alias</a:t>
          </a:r>
          <a:r>
            <a:rPr lang="en-US" sz="1100" b="1" baseline="0">
              <a:latin typeface="Arial" pitchFamily="34" charset="0"/>
              <a:cs typeface="Arial" pitchFamily="34" charset="0"/>
            </a:rPr>
            <a:t> (If Applicable):</a:t>
          </a:r>
          <a:endParaRPr lang="en-US" sz="1100" b="1">
            <a:latin typeface="Arial" pitchFamily="34" charset="0"/>
            <a:cs typeface="Arial" pitchFamily="34" charset="0"/>
          </a:endParaRPr>
        </a:p>
      </xdr:txBody>
    </xdr:sp>
    <xdr:clientData/>
  </xdr:twoCellAnchor>
  <xdr:twoCellAnchor>
    <xdr:from>
      <xdr:col>3</xdr:col>
      <xdr:colOff>68580</xdr:colOff>
      <xdr:row>6</xdr:row>
      <xdr:rowOff>53340</xdr:rowOff>
    </xdr:from>
    <xdr:to>
      <xdr:col>4</xdr:col>
      <xdr:colOff>876300</xdr:colOff>
      <xdr:row>6</xdr:row>
      <xdr:rowOff>327660</xdr:rowOff>
    </xdr:to>
    <xdr:sp macro="" textlink="">
      <xdr:nvSpPr>
        <xdr:cNvPr id="7" name="TextBox 6"/>
        <xdr:cNvSpPr txBox="1"/>
      </xdr:nvSpPr>
      <xdr:spPr>
        <a:xfrm>
          <a:off x="4343400" y="1600200"/>
          <a:ext cx="223266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latin typeface="Arial" pitchFamily="34" charset="0"/>
              <a:cs typeface="Arial" pitchFamily="34" charset="0"/>
            </a:rPr>
            <a:t>Type of Business:</a:t>
          </a:r>
        </a:p>
      </xdr:txBody>
    </xdr:sp>
    <xdr:clientData/>
  </xdr:twoCellAnchor>
  <xdr:twoCellAnchor>
    <xdr:from>
      <xdr:col>0</xdr:col>
      <xdr:colOff>68580</xdr:colOff>
      <xdr:row>11</xdr:row>
      <xdr:rowOff>38100</xdr:rowOff>
    </xdr:from>
    <xdr:to>
      <xdr:col>1</xdr:col>
      <xdr:colOff>53340</xdr:colOff>
      <xdr:row>11</xdr:row>
      <xdr:rowOff>312420</xdr:rowOff>
    </xdr:to>
    <xdr:sp macro="" textlink="">
      <xdr:nvSpPr>
        <xdr:cNvPr id="8" name="TextBox 7"/>
        <xdr:cNvSpPr txBox="1"/>
      </xdr:nvSpPr>
      <xdr:spPr>
        <a:xfrm>
          <a:off x="68580" y="4617720"/>
          <a:ext cx="140970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latin typeface="Arial" pitchFamily="34" charset="0"/>
              <a:cs typeface="Arial" pitchFamily="34" charset="0"/>
            </a:rPr>
            <a:t>Name</a:t>
          </a:r>
          <a:r>
            <a:rPr lang="en-US" sz="1100" b="1">
              <a:latin typeface="Arial" pitchFamily="34" charset="0"/>
              <a:cs typeface="Arial" pitchFamily="34" charset="0"/>
            </a:rPr>
            <a:t>:</a:t>
          </a:r>
        </a:p>
      </xdr:txBody>
    </xdr:sp>
    <xdr:clientData/>
  </xdr:twoCellAnchor>
  <xdr:twoCellAnchor>
    <xdr:from>
      <xdr:col>0</xdr:col>
      <xdr:colOff>53340</xdr:colOff>
      <xdr:row>12</xdr:row>
      <xdr:rowOff>53340</xdr:rowOff>
    </xdr:from>
    <xdr:to>
      <xdr:col>1</xdr:col>
      <xdr:colOff>38100</xdr:colOff>
      <xdr:row>12</xdr:row>
      <xdr:rowOff>327660</xdr:rowOff>
    </xdr:to>
    <xdr:sp macro="" textlink="">
      <xdr:nvSpPr>
        <xdr:cNvPr id="9" name="TextBox 8"/>
        <xdr:cNvSpPr txBox="1"/>
      </xdr:nvSpPr>
      <xdr:spPr>
        <a:xfrm>
          <a:off x="53340" y="5265420"/>
          <a:ext cx="140970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latin typeface="Arial" pitchFamily="34" charset="0"/>
              <a:cs typeface="Arial" pitchFamily="34" charset="0"/>
            </a:rPr>
            <a:t>Phone</a:t>
          </a:r>
          <a:r>
            <a:rPr lang="en-US" sz="1100" b="1">
              <a:latin typeface="Arial" pitchFamily="34" charset="0"/>
              <a:cs typeface="Arial" pitchFamily="34" charset="0"/>
            </a:rPr>
            <a:t>:</a:t>
          </a:r>
        </a:p>
      </xdr:txBody>
    </xdr:sp>
    <xdr:clientData/>
  </xdr:twoCellAnchor>
  <xdr:twoCellAnchor>
    <xdr:from>
      <xdr:col>3</xdr:col>
      <xdr:colOff>60960</xdr:colOff>
      <xdr:row>11</xdr:row>
      <xdr:rowOff>38100</xdr:rowOff>
    </xdr:from>
    <xdr:to>
      <xdr:col>4</xdr:col>
      <xdr:colOff>45720</xdr:colOff>
      <xdr:row>11</xdr:row>
      <xdr:rowOff>312420</xdr:rowOff>
    </xdr:to>
    <xdr:sp macro="" textlink="">
      <xdr:nvSpPr>
        <xdr:cNvPr id="10" name="TextBox 9"/>
        <xdr:cNvSpPr txBox="1"/>
      </xdr:nvSpPr>
      <xdr:spPr>
        <a:xfrm>
          <a:off x="4335780" y="4617720"/>
          <a:ext cx="140970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latin typeface="Arial" pitchFamily="34" charset="0"/>
              <a:cs typeface="Arial" pitchFamily="34" charset="0"/>
            </a:rPr>
            <a:t>Title</a:t>
          </a:r>
          <a:r>
            <a:rPr lang="en-US" sz="1100" b="1">
              <a:latin typeface="Arial" pitchFamily="34" charset="0"/>
              <a:cs typeface="Arial" pitchFamily="34" charset="0"/>
            </a:rPr>
            <a:t>:</a:t>
          </a:r>
        </a:p>
      </xdr:txBody>
    </xdr:sp>
    <xdr:clientData/>
  </xdr:twoCellAnchor>
  <xdr:twoCellAnchor>
    <xdr:from>
      <xdr:col>3</xdr:col>
      <xdr:colOff>76200</xdr:colOff>
      <xdr:row>12</xdr:row>
      <xdr:rowOff>22860</xdr:rowOff>
    </xdr:from>
    <xdr:to>
      <xdr:col>4</xdr:col>
      <xdr:colOff>60960</xdr:colOff>
      <xdr:row>12</xdr:row>
      <xdr:rowOff>297180</xdr:rowOff>
    </xdr:to>
    <xdr:sp macro="" textlink="">
      <xdr:nvSpPr>
        <xdr:cNvPr id="11" name="TextBox 10"/>
        <xdr:cNvSpPr txBox="1"/>
      </xdr:nvSpPr>
      <xdr:spPr>
        <a:xfrm>
          <a:off x="4351020" y="5234940"/>
          <a:ext cx="1409700" cy="2743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latin typeface="Arial" pitchFamily="34" charset="0"/>
              <a:cs typeface="Arial" pitchFamily="34" charset="0"/>
            </a:rPr>
            <a:t>E-Mail</a:t>
          </a:r>
          <a:r>
            <a:rPr lang="en-US" sz="1100" b="1">
              <a:latin typeface="Arial" pitchFamily="34" charset="0"/>
              <a:cs typeface="Arial" pitchFamily="34" charset="0"/>
            </a:rPr>
            <a:t>:</a:t>
          </a:r>
        </a:p>
      </xdr:txBody>
    </xdr:sp>
    <xdr:clientData/>
  </xdr:twoCellAnchor>
  <xdr:twoCellAnchor editAs="oneCell">
    <xdr:from>
      <xdr:col>0</xdr:col>
      <xdr:colOff>400747</xdr:colOff>
      <xdr:row>0</xdr:row>
      <xdr:rowOff>0</xdr:rowOff>
    </xdr:from>
    <xdr:to>
      <xdr:col>0</xdr:col>
      <xdr:colOff>1137024</xdr:colOff>
      <xdr:row>3</xdr:row>
      <xdr:rowOff>30479</xdr:rowOff>
    </xdr:to>
    <xdr:pic>
      <xdr:nvPicPr>
        <xdr:cNvPr id="14" name="Picture 13"/>
        <xdr:cNvPicPr>
          <a:picLocks noChangeAspect="1"/>
        </xdr:cNvPicPr>
      </xdr:nvPicPr>
      <xdr:blipFill>
        <a:blip xmlns:r="http://schemas.openxmlformats.org/officeDocument/2006/relationships" r:embed="rId1"/>
        <a:stretch>
          <a:fillRect/>
        </a:stretch>
      </xdr:blipFill>
      <xdr:spPr>
        <a:xfrm>
          <a:off x="400747" y="0"/>
          <a:ext cx="736277" cy="7619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26</xdr:row>
      <xdr:rowOff>114301</xdr:rowOff>
    </xdr:from>
    <xdr:to>
      <xdr:col>4</xdr:col>
      <xdr:colOff>1371600</xdr:colOff>
      <xdr:row>26</xdr:row>
      <xdr:rowOff>243841</xdr:rowOff>
    </xdr:to>
    <xdr:sp macro="" textlink="">
      <xdr:nvSpPr>
        <xdr:cNvPr id="2" name="Right Arrow 1"/>
        <xdr:cNvSpPr/>
      </xdr:nvSpPr>
      <xdr:spPr>
        <a:xfrm>
          <a:off x="3869055" y="9182101"/>
          <a:ext cx="4573905" cy="12954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xdr:colOff>
      <xdr:row>8</xdr:row>
      <xdr:rowOff>45720</xdr:rowOff>
    </xdr:from>
    <xdr:to>
      <xdr:col>4</xdr:col>
      <xdr:colOff>1188720</xdr:colOff>
      <xdr:row>8</xdr:row>
      <xdr:rowOff>236220</xdr:rowOff>
    </xdr:to>
    <xdr:sp macro="" textlink="">
      <xdr:nvSpPr>
        <xdr:cNvPr id="4" name="TextBox 3"/>
        <xdr:cNvSpPr txBox="1"/>
      </xdr:nvSpPr>
      <xdr:spPr>
        <a:xfrm>
          <a:off x="1805940" y="2400300"/>
          <a:ext cx="645414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baseline="0">
              <a:latin typeface="Arial" pitchFamily="34" charset="0"/>
              <a:cs typeface="Arial" pitchFamily="34" charset="0"/>
            </a:rPr>
            <a:t>When did your business close or cease conducting business in the City of Ketchikan:</a:t>
          </a:r>
        </a:p>
      </xdr:txBody>
    </xdr:sp>
    <xdr:clientData/>
  </xdr:twoCellAnchor>
  <xdr:twoCellAnchor>
    <xdr:from>
      <xdr:col>1</xdr:col>
      <xdr:colOff>22860</xdr:colOff>
      <xdr:row>9</xdr:row>
      <xdr:rowOff>22860</xdr:rowOff>
    </xdr:from>
    <xdr:to>
      <xdr:col>3</xdr:col>
      <xdr:colOff>480060</xdr:colOff>
      <xdr:row>9</xdr:row>
      <xdr:rowOff>251460</xdr:rowOff>
    </xdr:to>
    <xdr:sp macro="" textlink="">
      <xdr:nvSpPr>
        <xdr:cNvPr id="6" name="TextBox 5"/>
        <xdr:cNvSpPr txBox="1"/>
      </xdr:nvSpPr>
      <xdr:spPr>
        <a:xfrm>
          <a:off x="1790700" y="3009900"/>
          <a:ext cx="39928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baseline="0">
              <a:latin typeface="Arial" pitchFamily="34" charset="0"/>
              <a:cs typeface="Arial" pitchFamily="34" charset="0"/>
            </a:rPr>
            <a:t>Did you sell your business:</a:t>
          </a:r>
        </a:p>
      </xdr:txBody>
    </xdr:sp>
    <xdr:clientData/>
  </xdr:twoCellAnchor>
  <xdr:twoCellAnchor>
    <xdr:from>
      <xdr:col>1</xdr:col>
      <xdr:colOff>30480</xdr:colOff>
      <xdr:row>10</xdr:row>
      <xdr:rowOff>38100</xdr:rowOff>
    </xdr:from>
    <xdr:to>
      <xdr:col>3</xdr:col>
      <xdr:colOff>228600</xdr:colOff>
      <xdr:row>10</xdr:row>
      <xdr:rowOff>243840</xdr:rowOff>
    </xdr:to>
    <xdr:sp macro="" textlink="">
      <xdr:nvSpPr>
        <xdr:cNvPr id="7" name="TextBox 6"/>
        <xdr:cNvSpPr txBox="1"/>
      </xdr:nvSpPr>
      <xdr:spPr>
        <a:xfrm>
          <a:off x="1798320" y="3657600"/>
          <a:ext cx="373380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baseline="0">
              <a:latin typeface="Arial" pitchFamily="34" charset="0"/>
              <a:cs typeface="Arial" pitchFamily="34" charset="0"/>
            </a:rPr>
            <a:t>If so, who is the new owner:</a:t>
          </a:r>
        </a:p>
      </xdr:txBody>
    </xdr:sp>
    <xdr:clientData/>
  </xdr:twoCellAnchor>
  <xdr:twoCellAnchor>
    <xdr:from>
      <xdr:col>0</xdr:col>
      <xdr:colOff>0</xdr:colOff>
      <xdr:row>35</xdr:row>
      <xdr:rowOff>15240</xdr:rowOff>
    </xdr:from>
    <xdr:to>
      <xdr:col>4</xdr:col>
      <xdr:colOff>358140</xdr:colOff>
      <xdr:row>35</xdr:row>
      <xdr:rowOff>289560</xdr:rowOff>
    </xdr:to>
    <xdr:sp macro="" textlink="">
      <xdr:nvSpPr>
        <xdr:cNvPr id="3" name="TextBox 2"/>
        <xdr:cNvSpPr txBox="1"/>
      </xdr:nvSpPr>
      <xdr:spPr>
        <a:xfrm>
          <a:off x="0" y="12496800"/>
          <a:ext cx="74295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Please</a:t>
          </a:r>
          <a:r>
            <a:rPr lang="en-US" sz="1200" b="1" baseline="0"/>
            <a:t> print name(s) here so that we may correctly identify the contact person for this report if needed. </a:t>
          </a:r>
          <a:endParaRPr lang="en-US" sz="12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bp@kgbak.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bp@kgbak.u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59999389629810485"/>
    <pageSetUpPr fitToPage="1"/>
  </sheetPr>
  <dimension ref="A1:G76"/>
  <sheetViews>
    <sheetView tabSelected="1" workbookViewId="0">
      <selection activeCell="A7" sqref="A7:C7"/>
    </sheetView>
  </sheetViews>
  <sheetFormatPr defaultRowHeight="15" x14ac:dyDescent="0.25"/>
  <cols>
    <col min="1" max="6" width="20.7109375" customWidth="1"/>
  </cols>
  <sheetData>
    <row r="1" spans="1:7" ht="19.5" customHeight="1" x14ac:dyDescent="0.25">
      <c r="A1" s="130" t="s">
        <v>0</v>
      </c>
      <c r="B1" s="131"/>
      <c r="C1" s="131"/>
      <c r="D1" s="131"/>
      <c r="E1" s="131"/>
      <c r="F1" s="131"/>
      <c r="G1" s="1"/>
    </row>
    <row r="2" spans="1:7" ht="19.5" customHeight="1" x14ac:dyDescent="0.25">
      <c r="A2" s="132" t="s">
        <v>1</v>
      </c>
      <c r="B2" s="133"/>
      <c r="C2" s="133"/>
      <c r="D2" s="133"/>
      <c r="E2" s="133"/>
      <c r="F2" s="133"/>
      <c r="G2" s="1"/>
    </row>
    <row r="3" spans="1:7" ht="19.5" customHeight="1" x14ac:dyDescent="0.3">
      <c r="A3" s="134" t="s">
        <v>2</v>
      </c>
      <c r="B3" s="131"/>
      <c r="C3" s="131"/>
      <c r="D3" s="131"/>
      <c r="E3" s="131"/>
      <c r="F3" s="131"/>
      <c r="G3" s="1"/>
    </row>
    <row r="4" spans="1:7" s="20" customFormat="1" ht="18" customHeight="1" x14ac:dyDescent="0.3">
      <c r="A4" s="137" t="s">
        <v>47</v>
      </c>
      <c r="B4" s="137"/>
      <c r="C4" s="137"/>
      <c r="D4" s="137"/>
      <c r="E4" s="137"/>
      <c r="F4" s="137"/>
    </row>
    <row r="5" spans="1:7" ht="22.9" x14ac:dyDescent="0.3">
      <c r="A5" s="135" t="s">
        <v>78</v>
      </c>
      <c r="B5" s="136"/>
      <c r="C5" s="136"/>
      <c r="D5" s="136"/>
      <c r="E5" s="136"/>
      <c r="F5" s="136"/>
    </row>
    <row r="6" spans="1:7" ht="26.45" customHeight="1" thickBot="1" x14ac:dyDescent="0.3">
      <c r="A6" s="128" t="s">
        <v>79</v>
      </c>
      <c r="B6" s="129"/>
      <c r="C6" s="129"/>
      <c r="D6" s="129"/>
      <c r="E6" s="129"/>
      <c r="F6" s="129"/>
    </row>
    <row r="7" spans="1:7" ht="70.150000000000006" customHeight="1" thickBot="1" x14ac:dyDescent="0.35">
      <c r="A7" s="111"/>
      <c r="B7" s="112"/>
      <c r="C7" s="113"/>
      <c r="D7" s="114"/>
      <c r="E7" s="115"/>
      <c r="F7" s="116"/>
    </row>
    <row r="8" spans="1:7" ht="70.150000000000006" customHeight="1" thickBot="1" x14ac:dyDescent="0.35">
      <c r="A8" s="114"/>
      <c r="B8" s="115"/>
      <c r="C8" s="116"/>
      <c r="D8" s="114"/>
      <c r="E8" s="115"/>
      <c r="F8" s="116"/>
    </row>
    <row r="9" spans="1:7" ht="70.150000000000006" customHeight="1" thickBot="1" x14ac:dyDescent="0.35">
      <c r="A9" s="114"/>
      <c r="B9" s="115"/>
      <c r="C9" s="116"/>
      <c r="D9" s="114"/>
      <c r="E9" s="115"/>
      <c r="F9" s="116"/>
    </row>
    <row r="10" spans="1:7" ht="11.25" customHeight="1" thickBot="1" x14ac:dyDescent="0.3">
      <c r="A10" s="3"/>
      <c r="B10" s="3"/>
      <c r="C10" s="3"/>
      <c r="D10" s="3"/>
      <c r="E10" s="3"/>
      <c r="F10" s="3"/>
    </row>
    <row r="11" spans="1:7" ht="19.5" customHeight="1" thickBot="1" x14ac:dyDescent="0.3">
      <c r="A11" s="119" t="s">
        <v>3</v>
      </c>
      <c r="B11" s="120"/>
      <c r="C11" s="120"/>
      <c r="D11" s="120"/>
      <c r="E11" s="120"/>
      <c r="F11" s="121"/>
    </row>
    <row r="12" spans="1:7" ht="50.1" customHeight="1" thickBot="1" x14ac:dyDescent="0.35">
      <c r="A12" s="124"/>
      <c r="B12" s="125"/>
      <c r="C12" s="126"/>
      <c r="D12" s="124"/>
      <c r="E12" s="125"/>
      <c r="F12" s="126"/>
    </row>
    <row r="13" spans="1:7" ht="50.1" customHeight="1" thickBot="1" x14ac:dyDescent="0.35">
      <c r="A13" s="124"/>
      <c r="B13" s="125"/>
      <c r="C13" s="126"/>
      <c r="D13" s="127"/>
      <c r="E13" s="125"/>
      <c r="F13" s="126"/>
    </row>
    <row r="14" spans="1:7" ht="24" customHeight="1" x14ac:dyDescent="0.3">
      <c r="A14" s="4"/>
      <c r="B14" s="4"/>
      <c r="C14" s="4"/>
      <c r="D14" s="4"/>
      <c r="E14" s="4"/>
      <c r="F14" s="4"/>
    </row>
    <row r="15" spans="1:7" ht="68.25" customHeight="1" x14ac:dyDescent="0.3">
      <c r="A15" s="122" t="s">
        <v>25</v>
      </c>
      <c r="B15" s="123"/>
      <c r="C15" s="123"/>
      <c r="D15" s="123"/>
      <c r="E15" s="123"/>
      <c r="F15" s="123"/>
    </row>
    <row r="16" spans="1:7" ht="50.1" customHeight="1" x14ac:dyDescent="0.25">
      <c r="A16" s="118" t="s">
        <v>5</v>
      </c>
      <c r="B16" s="118"/>
      <c r="C16" s="118"/>
      <c r="D16" s="118"/>
      <c r="E16" s="118"/>
      <c r="F16" s="118"/>
    </row>
    <row r="17" spans="1:6" ht="33.6" customHeight="1" x14ac:dyDescent="0.25">
      <c r="A17" s="117" t="s">
        <v>4</v>
      </c>
      <c r="B17" s="117"/>
      <c r="C17" s="117"/>
      <c r="D17" s="117"/>
      <c r="E17" s="117"/>
      <c r="F17" s="117"/>
    </row>
    <row r="18" spans="1:6" ht="31.7" customHeight="1" thickBot="1" x14ac:dyDescent="0.3">
      <c r="A18" s="118" t="s">
        <v>26</v>
      </c>
      <c r="B18" s="118"/>
      <c r="C18" s="118"/>
      <c r="D18" s="118"/>
      <c r="E18" s="118"/>
      <c r="F18" s="118"/>
    </row>
    <row r="19" spans="1:6" ht="75.2" customHeight="1" thickBot="1" x14ac:dyDescent="0.3">
      <c r="A19" s="104" t="s">
        <v>23</v>
      </c>
      <c r="B19" s="105"/>
      <c r="C19" s="106"/>
      <c r="D19" s="104" t="s">
        <v>24</v>
      </c>
      <c r="E19" s="105"/>
      <c r="F19" s="106"/>
    </row>
    <row r="20" spans="1:6" ht="78.75" customHeight="1" thickBot="1" x14ac:dyDescent="0.3">
      <c r="A20" s="107" t="s">
        <v>53</v>
      </c>
      <c r="B20" s="108"/>
      <c r="C20" s="109"/>
      <c r="D20" s="107" t="s">
        <v>52</v>
      </c>
      <c r="E20" s="108"/>
      <c r="F20" s="109"/>
    </row>
    <row r="21" spans="1:6" s="7" customFormat="1" ht="17.45" customHeight="1" x14ac:dyDescent="0.25">
      <c r="A21" s="6"/>
      <c r="B21" s="6"/>
      <c r="C21" s="6"/>
      <c r="D21" s="6"/>
      <c r="E21" s="6"/>
      <c r="F21" s="6"/>
    </row>
    <row r="22" spans="1:6" ht="120.2" customHeight="1" x14ac:dyDescent="0.25">
      <c r="A22" s="110" t="s">
        <v>61</v>
      </c>
      <c r="B22" s="110"/>
      <c r="C22" s="110"/>
      <c r="D22" s="110"/>
      <c r="E22" s="110"/>
      <c r="F22" s="110"/>
    </row>
    <row r="23" spans="1:6" ht="19.5" customHeight="1" x14ac:dyDescent="0.25">
      <c r="A23" s="2"/>
      <c r="B23" s="2"/>
      <c r="C23" s="2"/>
      <c r="D23" s="2"/>
      <c r="E23" s="2"/>
      <c r="F23" s="2"/>
    </row>
    <row r="24" spans="1:6" ht="19.5" customHeight="1" x14ac:dyDescent="0.25">
      <c r="A24" s="2"/>
      <c r="B24" s="2"/>
      <c r="C24" s="2"/>
      <c r="D24" s="2"/>
      <c r="E24" s="2"/>
      <c r="F24" s="2"/>
    </row>
    <row r="25" spans="1:6" ht="19.5" customHeight="1" x14ac:dyDescent="0.25"/>
    <row r="26" spans="1:6" ht="19.5" customHeight="1" x14ac:dyDescent="0.25"/>
    <row r="27" spans="1:6" ht="19.5" customHeight="1" x14ac:dyDescent="0.25"/>
    <row r="28" spans="1:6" ht="19.5" customHeight="1" x14ac:dyDescent="0.25"/>
    <row r="29" spans="1:6" ht="19.5" customHeight="1" x14ac:dyDescent="0.25"/>
    <row r="30" spans="1:6" ht="19.5" customHeight="1" x14ac:dyDescent="0.25"/>
    <row r="31" spans="1:6" ht="19.5" customHeight="1" x14ac:dyDescent="0.25"/>
    <row r="32" spans="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sheetData>
  <sheetProtection password="E928" sheet="1" objects="1" scenarios="1" selectLockedCells="1"/>
  <mergeCells count="26">
    <mergeCell ref="A6:F6"/>
    <mergeCell ref="A1:F1"/>
    <mergeCell ref="A2:F2"/>
    <mergeCell ref="A3:F3"/>
    <mergeCell ref="A5:F5"/>
    <mergeCell ref="A4:F4"/>
    <mergeCell ref="A17:F17"/>
    <mergeCell ref="A18:F18"/>
    <mergeCell ref="A11:F11"/>
    <mergeCell ref="A15:F15"/>
    <mergeCell ref="A16:F16"/>
    <mergeCell ref="A12:C12"/>
    <mergeCell ref="D12:F12"/>
    <mergeCell ref="A13:C13"/>
    <mergeCell ref="D13:F13"/>
    <mergeCell ref="A7:C7"/>
    <mergeCell ref="D7:F7"/>
    <mergeCell ref="A8:C8"/>
    <mergeCell ref="D8:F8"/>
    <mergeCell ref="A9:C9"/>
    <mergeCell ref="D9:F9"/>
    <mergeCell ref="A19:C19"/>
    <mergeCell ref="D19:F19"/>
    <mergeCell ref="A20:C20"/>
    <mergeCell ref="D20:F20"/>
    <mergeCell ref="A22:F22"/>
  </mergeCells>
  <hyperlinks>
    <hyperlink ref="A3" r:id="rId1" display="mailto:bp@kgbak.us"/>
  </hyperlinks>
  <printOptions horizontalCentered="1" verticalCentered="1"/>
  <pageMargins left="0.45" right="0.45" top="0.75" bottom="0.25" header="0" footer="0"/>
  <pageSetup scale="73" orientation="portrait" r:id="rId2"/>
  <headerFooter>
    <oddFooter>&amp;C&amp;P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3" tint="0.59999389629810485"/>
    <pageSetUpPr fitToPage="1"/>
  </sheetPr>
  <dimension ref="A1:H104"/>
  <sheetViews>
    <sheetView zoomScaleNormal="100" workbookViewId="0">
      <selection activeCell="F7" sqref="F7"/>
    </sheetView>
  </sheetViews>
  <sheetFormatPr defaultRowHeight="15" x14ac:dyDescent="0.25"/>
  <cols>
    <col min="1" max="6" width="25.7109375" customWidth="1"/>
  </cols>
  <sheetData>
    <row r="1" spans="1:8" ht="19.5" customHeight="1" x14ac:dyDescent="0.25">
      <c r="A1" s="130" t="s">
        <v>0</v>
      </c>
      <c r="B1" s="130"/>
      <c r="C1" s="130"/>
      <c r="D1" s="130"/>
      <c r="E1" s="130"/>
      <c r="F1" s="130"/>
      <c r="G1" s="1"/>
    </row>
    <row r="2" spans="1:8" ht="19.5" customHeight="1" x14ac:dyDescent="0.25">
      <c r="A2" s="138" t="s">
        <v>1</v>
      </c>
      <c r="B2" s="138"/>
      <c r="C2" s="138"/>
      <c r="D2" s="138"/>
      <c r="E2" s="138"/>
      <c r="F2" s="138"/>
      <c r="G2" s="1"/>
    </row>
    <row r="3" spans="1:8" ht="19.5" customHeight="1" x14ac:dyDescent="0.3">
      <c r="A3" s="139" t="s">
        <v>2</v>
      </c>
      <c r="B3" s="139"/>
      <c r="C3" s="139"/>
      <c r="D3" s="139"/>
      <c r="E3" s="139"/>
      <c r="F3" s="139"/>
      <c r="G3" s="1"/>
    </row>
    <row r="4" spans="1:8" ht="18" customHeight="1" x14ac:dyDescent="0.3">
      <c r="A4" s="137" t="s">
        <v>47</v>
      </c>
      <c r="B4" s="137"/>
      <c r="C4" s="137"/>
      <c r="D4" s="137"/>
      <c r="E4" s="137"/>
      <c r="F4" s="137"/>
    </row>
    <row r="5" spans="1:8" ht="23.25" customHeight="1" x14ac:dyDescent="0.3">
      <c r="A5" s="135" t="s">
        <v>80</v>
      </c>
      <c r="B5" s="135"/>
      <c r="C5" s="135"/>
      <c r="D5" s="135"/>
      <c r="E5" s="135"/>
      <c r="F5" s="135"/>
    </row>
    <row r="6" spans="1:8" ht="30.2" customHeight="1" thickBot="1" x14ac:dyDescent="0.35">
      <c r="A6" s="140" t="s">
        <v>6</v>
      </c>
      <c r="B6" s="140"/>
      <c r="C6" s="140"/>
      <c r="D6" s="140"/>
      <c r="E6" s="140"/>
      <c r="F6" s="141"/>
    </row>
    <row r="7" spans="1:8" ht="30.2" customHeight="1" thickTop="1" thickBot="1" x14ac:dyDescent="0.35">
      <c r="A7" s="142" t="s">
        <v>48</v>
      </c>
      <c r="B7" s="142"/>
      <c r="C7" s="142"/>
      <c r="D7" s="72" t="s">
        <v>50</v>
      </c>
      <c r="E7" s="12"/>
      <c r="F7" s="73"/>
      <c r="H7" s="20"/>
    </row>
    <row r="8" spans="1:8" ht="30.2" customHeight="1" thickTop="1" thickBot="1" x14ac:dyDescent="0.35">
      <c r="A8" s="142" t="s">
        <v>49</v>
      </c>
      <c r="B8" s="142"/>
      <c r="C8" s="142"/>
      <c r="D8" s="72" t="s">
        <v>51</v>
      </c>
      <c r="E8" s="12"/>
      <c r="F8" s="74"/>
    </row>
    <row r="9" spans="1:8" ht="50.1" customHeight="1" x14ac:dyDescent="0.3">
      <c r="A9" s="96">
        <v>1</v>
      </c>
      <c r="B9" s="146"/>
      <c r="C9" s="147"/>
      <c r="D9" s="147"/>
      <c r="E9" s="147"/>
      <c r="F9" s="147"/>
    </row>
    <row r="10" spans="1:8" ht="50.1" customHeight="1" x14ac:dyDescent="0.3">
      <c r="A10" s="96">
        <v>2</v>
      </c>
      <c r="B10" s="148"/>
      <c r="C10" s="149"/>
      <c r="D10" s="149"/>
      <c r="E10" s="149"/>
      <c r="F10" s="149"/>
    </row>
    <row r="11" spans="1:8" ht="50.1" customHeight="1" x14ac:dyDescent="0.3">
      <c r="A11" s="96">
        <v>3</v>
      </c>
      <c r="B11" s="149"/>
      <c r="C11" s="149"/>
      <c r="D11" s="149"/>
      <c r="E11" s="149"/>
      <c r="F11" s="149"/>
    </row>
    <row r="12" spans="1:8" ht="23.25" customHeight="1" x14ac:dyDescent="0.3">
      <c r="A12" s="135" t="s">
        <v>7</v>
      </c>
      <c r="B12" s="135"/>
      <c r="C12" s="135"/>
      <c r="D12" s="135"/>
      <c r="E12" s="135"/>
      <c r="F12" s="135"/>
    </row>
    <row r="13" spans="1:8" ht="30.2" customHeight="1" thickBot="1" x14ac:dyDescent="0.35">
      <c r="A13" s="8"/>
      <c r="B13" s="9"/>
      <c r="C13" s="39" t="s">
        <v>10</v>
      </c>
      <c r="D13" s="39" t="s">
        <v>22</v>
      </c>
      <c r="E13" s="39" t="s">
        <v>9</v>
      </c>
      <c r="F13" s="39" t="s">
        <v>8</v>
      </c>
    </row>
    <row r="14" spans="1:8" ht="30.2" customHeight="1" thickBot="1" x14ac:dyDescent="0.35">
      <c r="A14" s="96" t="s">
        <v>69</v>
      </c>
      <c r="B14" s="91" t="s">
        <v>68</v>
      </c>
      <c r="C14" s="76" t="str">
        <f>IF(SUM('COMPUTERS (Pg. 3)'!B3:B50)+SUM('OFFICE EQUIPMENT (Pg. 4)'!B3:B50)=0,"", SUM('COMPUTERS (Pg. 3)'!B3:B50)+SUM('OFFICE EQUIPMENT (Pg. 4)'!B3:B50))</f>
        <v/>
      </c>
      <c r="D14" s="76" t="str">
        <f>IF(E14="","",C14-E14)</f>
        <v/>
      </c>
      <c r="E14" s="76" t="str">
        <f>IF(C14="","",SUM('COMPUTERS (Pg. 3)'!F3:F50)+SUM('OFFICE EQUIPMENT (Pg. 4)'!F3:F50))</f>
        <v/>
      </c>
      <c r="F14" s="42"/>
    </row>
    <row r="15" spans="1:8" ht="17.45" customHeight="1" thickBot="1" x14ac:dyDescent="0.35">
      <c r="A15" s="94"/>
      <c r="B15" s="36"/>
      <c r="C15" s="43"/>
      <c r="D15" s="43"/>
      <c r="E15" s="44"/>
      <c r="F15" s="43"/>
    </row>
    <row r="16" spans="1:8" ht="30.2" customHeight="1" thickBot="1" x14ac:dyDescent="0.35">
      <c r="A16" s="96" t="s">
        <v>70</v>
      </c>
      <c r="B16" s="92" t="s">
        <v>28</v>
      </c>
      <c r="C16" s="75" t="str">
        <f>IF(SUM('FURNITURE &amp; FIXTURES (Pg. 5)'!B3:B50)=0,"",SUM('FURNITURE &amp; FIXTURES (Pg. 5)'!B3:B50))</f>
        <v/>
      </c>
      <c r="D16" s="76" t="str">
        <f>IF(E16="","",C16-E16)</f>
        <v/>
      </c>
      <c r="E16" s="75" t="str">
        <f>IF(C16="","",SUM('FURNITURE &amp; FIXTURES (Pg. 5)'!G3:G50))</f>
        <v/>
      </c>
      <c r="F16" s="45"/>
    </row>
    <row r="17" spans="1:6" ht="16.5" customHeight="1" thickBot="1" x14ac:dyDescent="0.35">
      <c r="A17" s="95"/>
      <c r="B17" s="36"/>
      <c r="C17" s="43"/>
      <c r="D17" s="43"/>
      <c r="E17" s="44"/>
      <c r="F17" s="43"/>
    </row>
    <row r="18" spans="1:6" ht="30.2" customHeight="1" thickBot="1" x14ac:dyDescent="0.35">
      <c r="A18" s="96" t="s">
        <v>71</v>
      </c>
      <c r="B18" s="92" t="s">
        <v>27</v>
      </c>
      <c r="C18" s="75" t="str">
        <f>IF(SUM('MACHINERY &amp; EQUIPMENT (Pg. 6)'!B3:B50)=0,"",SUM('MACHINERY &amp; EQUIPMENT (Pg. 6)'!B3:B50))</f>
        <v/>
      </c>
      <c r="D18" s="76" t="str">
        <f>IF(E18="","",C18-E18)</f>
        <v/>
      </c>
      <c r="E18" s="75" t="str">
        <f>IF(C18="","",SUM('MACHINERY &amp; EQUIPMENT (Pg. 6)'!F3:F50))</f>
        <v/>
      </c>
      <c r="F18" s="45"/>
    </row>
    <row r="19" spans="1:6" ht="30.2" customHeight="1" thickBot="1" x14ac:dyDescent="0.3">
      <c r="A19" s="95"/>
      <c r="B19" s="93" t="s">
        <v>54</v>
      </c>
      <c r="C19" s="70" t="str">
        <f t="shared" ref="C19:D19" si="0">IF(AND(C14="",C16="",C18="")=TRUE,"",ROUND(SUM(C14:C18),-2))</f>
        <v/>
      </c>
      <c r="D19" s="70" t="str">
        <f t="shared" si="0"/>
        <v/>
      </c>
      <c r="E19" s="70" t="str">
        <f>IF(AND(E14="",E16="",E18="")=TRUE,"",ROUND(SUM(E14:E18),-2))</f>
        <v/>
      </c>
      <c r="F19" s="53"/>
    </row>
    <row r="20" spans="1:6" s="20" customFormat="1" ht="30.2" customHeight="1" thickBot="1" x14ac:dyDescent="0.35">
      <c r="A20" s="95"/>
      <c r="B20" s="38"/>
      <c r="C20" s="41"/>
      <c r="D20" s="19"/>
      <c r="E20" s="41"/>
      <c r="F20" s="41"/>
    </row>
    <row r="21" spans="1:6" s="20" customFormat="1" ht="30.2" customHeight="1" thickBot="1" x14ac:dyDescent="0.3">
      <c r="A21" s="96" t="s">
        <v>72</v>
      </c>
      <c r="B21" s="54" t="s">
        <v>34</v>
      </c>
      <c r="C21" s="152" t="s">
        <v>38</v>
      </c>
      <c r="D21" s="153"/>
      <c r="E21" s="153"/>
      <c r="F21" s="154"/>
    </row>
    <row r="22" spans="1:6" s="20" customFormat="1" ht="16.5" customHeight="1" thickBot="1" x14ac:dyDescent="0.35">
      <c r="A22" s="97"/>
    </row>
    <row r="23" spans="1:6" ht="30.2" customHeight="1" thickBot="1" x14ac:dyDescent="0.3">
      <c r="A23" s="96" t="s">
        <v>72</v>
      </c>
      <c r="B23" s="37" t="s">
        <v>35</v>
      </c>
      <c r="C23" s="152" t="s">
        <v>38</v>
      </c>
      <c r="D23" s="153"/>
      <c r="E23" s="153"/>
      <c r="F23" s="154"/>
    </row>
    <row r="24" spans="1:6" ht="30.2" customHeight="1" x14ac:dyDescent="0.25">
      <c r="A24" s="2"/>
      <c r="B24" s="35"/>
      <c r="C24" s="2"/>
      <c r="F24" s="2"/>
    </row>
    <row r="25" spans="1:6" ht="23.25" customHeight="1" thickBot="1" x14ac:dyDescent="0.3">
      <c r="A25" s="135" t="s">
        <v>43</v>
      </c>
      <c r="B25" s="135"/>
      <c r="C25" s="135"/>
      <c r="D25" s="135"/>
      <c r="E25" s="135"/>
      <c r="F25" s="135"/>
    </row>
    <row r="26" spans="1:6" ht="30.2" customHeight="1" thickBot="1" x14ac:dyDescent="0.3">
      <c r="A26" s="15"/>
      <c r="D26" s="20"/>
      <c r="E26" s="20"/>
      <c r="F26" s="56" t="s">
        <v>9</v>
      </c>
    </row>
    <row r="27" spans="1:6" ht="30.2" customHeight="1" thickBot="1" x14ac:dyDescent="0.3">
      <c r="A27" s="96" t="s">
        <v>73</v>
      </c>
      <c r="B27" s="55" t="s">
        <v>17</v>
      </c>
      <c r="D27" s="20"/>
      <c r="E27" s="20"/>
      <c r="F27" s="58" t="str">
        <f>IF(ROUND(SUM('AIRCRAFT (Pg. 8)'!E3:E47),-2)=0,"",ROUND(SUM('AIRCRAFT (Pg. 8)'!E3:E47),-2))</f>
        <v/>
      </c>
    </row>
    <row r="28" spans="1:6" s="20" customFormat="1" ht="30.2" customHeight="1" thickBot="1" x14ac:dyDescent="0.35">
      <c r="A28" s="11"/>
      <c r="B28" s="18"/>
      <c r="C28" s="21"/>
      <c r="D28" s="22"/>
    </row>
    <row r="29" spans="1:6" ht="30.2" customHeight="1" thickBot="1" x14ac:dyDescent="0.3">
      <c r="A29" s="10"/>
      <c r="B29" s="55" t="s">
        <v>36</v>
      </c>
      <c r="C29" s="17"/>
      <c r="D29" s="17"/>
      <c r="E29" s="16"/>
      <c r="F29" s="16"/>
    </row>
    <row r="30" spans="1:6" s="5" customFormat="1" ht="30.2" customHeight="1" thickBot="1" x14ac:dyDescent="0.3">
      <c r="A30" s="57"/>
      <c r="B30" s="55" t="s">
        <v>14</v>
      </c>
      <c r="C30" s="78"/>
      <c r="D30" s="55" t="s">
        <v>15</v>
      </c>
      <c r="E30" s="157"/>
      <c r="F30" s="158"/>
    </row>
    <row r="31" spans="1:6" ht="30.2" customHeight="1" thickBot="1" x14ac:dyDescent="0.3">
      <c r="A31" s="11"/>
      <c r="B31" s="55" t="s">
        <v>13</v>
      </c>
      <c r="C31" s="79"/>
      <c r="D31" s="55" t="s">
        <v>16</v>
      </c>
      <c r="E31" s="157"/>
      <c r="F31" s="158"/>
    </row>
    <row r="32" spans="1:6" ht="30.2" customHeight="1" x14ac:dyDescent="0.25">
      <c r="A32" s="28"/>
      <c r="B32" s="40"/>
      <c r="C32" s="41"/>
      <c r="D32" s="150"/>
      <c r="E32" s="151"/>
      <c r="F32" s="151"/>
    </row>
    <row r="33" spans="1:6" s="20" customFormat="1" ht="23.25" customHeight="1" thickBot="1" x14ac:dyDescent="0.3">
      <c r="A33" s="29"/>
      <c r="B33" s="30"/>
      <c r="C33" s="31"/>
      <c r="D33" s="32"/>
      <c r="E33" s="33"/>
      <c r="F33" s="33"/>
    </row>
    <row r="34" spans="1:6" s="20" customFormat="1" ht="30.2" customHeight="1" thickBot="1" x14ac:dyDescent="0.3">
      <c r="A34" s="155"/>
      <c r="B34" s="156"/>
      <c r="C34" s="156"/>
      <c r="E34" s="77"/>
      <c r="F34" s="23"/>
    </row>
    <row r="35" spans="1:6" ht="16.899999999999999" customHeight="1" thickTop="1" thickBot="1" x14ac:dyDescent="0.3">
      <c r="A35" s="34" t="s">
        <v>11</v>
      </c>
      <c r="B35" s="13"/>
      <c r="C35" s="13"/>
      <c r="D35" s="14"/>
      <c r="E35" s="69" t="s">
        <v>12</v>
      </c>
      <c r="F35" s="68"/>
    </row>
    <row r="36" spans="1:6" ht="52.5" customHeight="1" thickTop="1" thickBot="1" x14ac:dyDescent="0.3">
      <c r="A36" s="143"/>
      <c r="B36" s="144"/>
      <c r="C36" s="144"/>
      <c r="D36" s="144"/>
      <c r="E36" s="144"/>
      <c r="F36" s="145"/>
    </row>
    <row r="37" spans="1:6" ht="30.2" customHeight="1" x14ac:dyDescent="0.25"/>
    <row r="38" spans="1:6" ht="30.2" customHeight="1" x14ac:dyDescent="0.25"/>
    <row r="39" spans="1:6" ht="30.2" customHeight="1" x14ac:dyDescent="0.25"/>
    <row r="40" spans="1:6" ht="30.2" customHeight="1" x14ac:dyDescent="0.25"/>
    <row r="41" spans="1:6" ht="30.2" customHeight="1" x14ac:dyDescent="0.25"/>
    <row r="42" spans="1:6" ht="30.2" customHeight="1" x14ac:dyDescent="0.25"/>
    <row r="43" spans="1:6" ht="30.2" customHeight="1" x14ac:dyDescent="0.25"/>
    <row r="44" spans="1:6" ht="30.2" customHeight="1" x14ac:dyDescent="0.25"/>
    <row r="45" spans="1:6" ht="30.2" customHeight="1" x14ac:dyDescent="0.25"/>
    <row r="46" spans="1:6" ht="30.2" customHeight="1" x14ac:dyDescent="0.25"/>
    <row r="47" spans="1:6" ht="30.2" customHeight="1" x14ac:dyDescent="0.25"/>
    <row r="48" spans="1:6" ht="30.2" customHeight="1" x14ac:dyDescent="0.25"/>
    <row r="49" ht="30.2" customHeight="1" x14ac:dyDescent="0.25"/>
    <row r="50" ht="30.2" customHeight="1" x14ac:dyDescent="0.25"/>
    <row r="51" ht="30.2" customHeight="1" x14ac:dyDescent="0.25"/>
    <row r="52" ht="30.2" customHeight="1" x14ac:dyDescent="0.25"/>
    <row r="53" ht="30.2" customHeight="1" x14ac:dyDescent="0.25"/>
    <row r="54" ht="30.2" customHeight="1" x14ac:dyDescent="0.25"/>
    <row r="55" ht="30.2" customHeight="1" x14ac:dyDescent="0.25"/>
    <row r="56" ht="30.2" customHeight="1" x14ac:dyDescent="0.25"/>
    <row r="57" ht="30.2" customHeight="1" x14ac:dyDescent="0.25"/>
    <row r="58" ht="30.2" customHeight="1" x14ac:dyDescent="0.25"/>
    <row r="59" ht="30.2" customHeight="1" x14ac:dyDescent="0.25"/>
    <row r="60" ht="30.2" customHeight="1" x14ac:dyDescent="0.25"/>
    <row r="61" ht="30.2" customHeight="1" x14ac:dyDescent="0.25"/>
    <row r="62" ht="30.2" customHeight="1" x14ac:dyDescent="0.25"/>
    <row r="63" ht="30.2" customHeight="1" x14ac:dyDescent="0.25"/>
    <row r="64" ht="30.2" customHeight="1" x14ac:dyDescent="0.25"/>
    <row r="65" ht="30.2" customHeight="1" x14ac:dyDescent="0.25"/>
    <row r="66" ht="30.2" customHeight="1" x14ac:dyDescent="0.25"/>
    <row r="67" ht="30.2" customHeight="1" x14ac:dyDescent="0.25"/>
    <row r="68" ht="30.2" customHeight="1" x14ac:dyDescent="0.25"/>
    <row r="69" ht="30.2" customHeight="1" x14ac:dyDescent="0.25"/>
    <row r="70" ht="30.2" customHeight="1" x14ac:dyDescent="0.25"/>
    <row r="71" ht="30.2" customHeight="1" x14ac:dyDescent="0.25"/>
    <row r="72" ht="30.2" customHeight="1" x14ac:dyDescent="0.25"/>
    <row r="73" ht="30.2" customHeight="1" x14ac:dyDescent="0.25"/>
    <row r="74" ht="30.2" customHeight="1" x14ac:dyDescent="0.25"/>
    <row r="75" ht="30.2" customHeight="1" x14ac:dyDescent="0.25"/>
    <row r="76" ht="30.2" customHeight="1" x14ac:dyDescent="0.25"/>
    <row r="77" ht="30.2" customHeight="1" x14ac:dyDescent="0.25"/>
    <row r="78" ht="30.2" customHeight="1" x14ac:dyDescent="0.25"/>
    <row r="79" ht="30.2" customHeight="1" x14ac:dyDescent="0.25"/>
    <row r="80" ht="30.2" customHeight="1" x14ac:dyDescent="0.25"/>
    <row r="81" ht="30.2" customHeight="1" x14ac:dyDescent="0.25"/>
    <row r="82" ht="30.2" customHeight="1" x14ac:dyDescent="0.25"/>
    <row r="83" ht="30.2" customHeight="1" x14ac:dyDescent="0.25"/>
    <row r="84" ht="30.2" customHeight="1" x14ac:dyDescent="0.25"/>
    <row r="85" ht="30.2" customHeight="1" x14ac:dyDescent="0.25"/>
    <row r="86" ht="30.2" customHeight="1" x14ac:dyDescent="0.25"/>
    <row r="87" ht="30.2" customHeight="1" x14ac:dyDescent="0.25"/>
    <row r="88" ht="30.2" customHeight="1" x14ac:dyDescent="0.25"/>
    <row r="89" ht="30.2" customHeight="1" x14ac:dyDescent="0.25"/>
    <row r="90" ht="30.2" customHeight="1" x14ac:dyDescent="0.25"/>
    <row r="91" ht="30.2" customHeight="1" x14ac:dyDescent="0.25"/>
    <row r="92" ht="30.2" customHeight="1" x14ac:dyDescent="0.25"/>
    <row r="93" ht="30.2" customHeight="1" x14ac:dyDescent="0.25"/>
    <row r="94" ht="30.2" customHeight="1" x14ac:dyDescent="0.25"/>
    <row r="95" ht="30.2" customHeight="1" x14ac:dyDescent="0.25"/>
    <row r="96" ht="30.2" customHeight="1" x14ac:dyDescent="0.25"/>
    <row r="97" ht="30.2" customHeight="1" x14ac:dyDescent="0.25"/>
    <row r="98" ht="30.2" customHeight="1" x14ac:dyDescent="0.25"/>
    <row r="99" ht="30.2" customHeight="1" x14ac:dyDescent="0.25"/>
    <row r="100" ht="30.2" customHeight="1" x14ac:dyDescent="0.25"/>
    <row r="101" ht="30.2" customHeight="1" x14ac:dyDescent="0.25"/>
    <row r="102" ht="30.2" customHeight="1" x14ac:dyDescent="0.25"/>
    <row r="103" ht="30.2" customHeight="1" x14ac:dyDescent="0.25"/>
    <row r="104" ht="30.2" customHeight="1" x14ac:dyDescent="0.25"/>
  </sheetData>
  <sheetProtection password="E928" sheet="1" objects="1" scenarios="1" selectLockedCells="1"/>
  <mergeCells count="20">
    <mergeCell ref="A7:C7"/>
    <mergeCell ref="A8:C8"/>
    <mergeCell ref="A36:F36"/>
    <mergeCell ref="A25:F25"/>
    <mergeCell ref="B9:F9"/>
    <mergeCell ref="B10:F10"/>
    <mergeCell ref="B11:F11"/>
    <mergeCell ref="D32:F32"/>
    <mergeCell ref="A12:F12"/>
    <mergeCell ref="C21:F21"/>
    <mergeCell ref="C23:F23"/>
    <mergeCell ref="A34:C34"/>
    <mergeCell ref="E30:F30"/>
    <mergeCell ref="E31:F31"/>
    <mergeCell ref="A1:F1"/>
    <mergeCell ref="A2:F2"/>
    <mergeCell ref="A3:F3"/>
    <mergeCell ref="A5:F5"/>
    <mergeCell ref="A6:F6"/>
    <mergeCell ref="A4:F4"/>
  </mergeCells>
  <hyperlinks>
    <hyperlink ref="A3" r:id="rId1" display="mailto:bp@kgbak.us"/>
  </hyperlinks>
  <printOptions horizontalCentered="1" verticalCentered="1"/>
  <pageMargins left="0.45" right="0.45" top="0.75" bottom="0.25" header="0" footer="0"/>
  <pageSetup scale="63" orientation="portrait" r:id="rId2"/>
  <headerFooter>
    <oddFooter>&amp;C&amp;P</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3" tint="0.59999389629810485"/>
    <pageSetUpPr fitToPage="1"/>
  </sheetPr>
  <dimension ref="A1:H50"/>
  <sheetViews>
    <sheetView workbookViewId="0">
      <pane ySplit="2" topLeftCell="A3" activePane="bottomLeft" state="frozen"/>
      <selection activeCell="G29" sqref="G29"/>
      <selection pane="bottomLeft" activeCell="A3" sqref="A3"/>
    </sheetView>
  </sheetViews>
  <sheetFormatPr defaultColWidth="9.140625" defaultRowHeight="15" x14ac:dyDescent="0.25"/>
  <cols>
    <col min="1" max="1" width="25.7109375" style="83" bestFit="1" customWidth="1"/>
    <col min="2" max="2" width="25.28515625" style="25" bestFit="1" customWidth="1"/>
    <col min="3" max="4" width="13.7109375" style="83" customWidth="1"/>
    <col min="5" max="5" width="20.7109375" style="83" bestFit="1" customWidth="1"/>
    <col min="6" max="6" width="22" style="83" bestFit="1" customWidth="1"/>
    <col min="7" max="7" width="22" style="83" customWidth="1"/>
    <col min="8" max="8" width="24.28515625" style="83" bestFit="1" customWidth="1"/>
    <col min="9" max="16384" width="9.140625" style="83"/>
  </cols>
  <sheetData>
    <row r="1" spans="1:8" ht="36" customHeight="1" thickBot="1" x14ac:dyDescent="0.35">
      <c r="B1" s="51" t="s">
        <v>62</v>
      </c>
    </row>
    <row r="2" spans="1:8" s="24" customFormat="1" ht="34.15" customHeight="1" thickBot="1" x14ac:dyDescent="0.35">
      <c r="A2" s="49" t="s">
        <v>31</v>
      </c>
      <c r="B2" s="49" t="s">
        <v>32</v>
      </c>
      <c r="C2" s="49" t="s">
        <v>33</v>
      </c>
      <c r="D2" s="49" t="s">
        <v>59</v>
      </c>
      <c r="E2" s="86" t="s">
        <v>18</v>
      </c>
      <c r="F2" s="86" t="s">
        <v>9</v>
      </c>
      <c r="H2" s="24" t="s">
        <v>19</v>
      </c>
    </row>
    <row r="3" spans="1:8" thickBot="1" x14ac:dyDescent="0.35">
      <c r="A3" s="60"/>
      <c r="B3" s="61"/>
      <c r="C3" s="62"/>
      <c r="D3" s="62"/>
      <c r="E3" s="87" t="str">
        <f>IF(D3="","",IF(('OFFICE USE'!$H$1-C3)/D3&gt;1,0.8,LOOKUP(('OFFICE USE'!$H$1-C3)/D3,'OFFICE USE'!$C$2:$D$102)))</f>
        <v/>
      </c>
      <c r="F3" s="88" t="str">
        <f>IF(E3="","",B3*(1-E3))</f>
        <v/>
      </c>
      <c r="G3" s="25"/>
    </row>
    <row r="4" spans="1:8" thickBot="1" x14ac:dyDescent="0.35">
      <c r="A4" s="60"/>
      <c r="B4" s="61"/>
      <c r="C4" s="62"/>
      <c r="D4" s="62"/>
      <c r="E4" s="87" t="str">
        <f>IF(D4="","",IF(('OFFICE USE'!$H$1-C4)/D4&gt;1,0.8,LOOKUP(('OFFICE USE'!$H$1-C4)/D4,'OFFICE USE'!$C$2:$D$102)))</f>
        <v/>
      </c>
      <c r="F4" s="88" t="str">
        <f t="shared" ref="F4:F50" si="0">IF(E4="","",B4*(1-E4))</f>
        <v/>
      </c>
      <c r="G4" s="25"/>
    </row>
    <row r="5" spans="1:8" thickBot="1" x14ac:dyDescent="0.35">
      <c r="A5" s="60"/>
      <c r="B5" s="61"/>
      <c r="C5" s="62"/>
      <c r="D5" s="62"/>
      <c r="E5" s="87" t="str">
        <f>IF(D5="","",IF(('OFFICE USE'!$H$1-C5)/D5&gt;1,0.8,LOOKUP(('OFFICE USE'!$H$1-C5)/D5,'OFFICE USE'!$C$2:$D$102)))</f>
        <v/>
      </c>
      <c r="F5" s="88" t="str">
        <f t="shared" si="0"/>
        <v/>
      </c>
      <c r="G5" s="25"/>
    </row>
    <row r="6" spans="1:8" thickBot="1" x14ac:dyDescent="0.35">
      <c r="A6" s="60"/>
      <c r="B6" s="61"/>
      <c r="C6" s="62"/>
      <c r="D6" s="62"/>
      <c r="E6" s="87" t="str">
        <f>IF(D6="","",IF(('OFFICE USE'!$H$1-C6)/D6&gt;1,0.8,LOOKUP(('OFFICE USE'!$H$1-C6)/D6,'OFFICE USE'!$C$2:$D$102)))</f>
        <v/>
      </c>
      <c r="F6" s="88" t="str">
        <f t="shared" si="0"/>
        <v/>
      </c>
      <c r="G6" s="25"/>
    </row>
    <row r="7" spans="1:8" thickBot="1" x14ac:dyDescent="0.35">
      <c r="A7" s="60"/>
      <c r="B7" s="61"/>
      <c r="C7" s="62"/>
      <c r="D7" s="62"/>
      <c r="E7" s="87" t="str">
        <f>IF(D7="","",IF(('OFFICE USE'!$H$1-C7)/D7&gt;1,0.8,LOOKUP(('OFFICE USE'!$H$1-C7)/D7,'OFFICE USE'!$C$2:$D$102)))</f>
        <v/>
      </c>
      <c r="F7" s="88" t="str">
        <f t="shared" si="0"/>
        <v/>
      </c>
      <c r="G7" s="25"/>
    </row>
    <row r="8" spans="1:8" thickBot="1" x14ac:dyDescent="0.35">
      <c r="A8" s="60"/>
      <c r="B8" s="61"/>
      <c r="C8" s="62"/>
      <c r="D8" s="62"/>
      <c r="E8" s="87" t="str">
        <f>IF(D8="","",IF(('OFFICE USE'!$H$1-C8)/D8&gt;1,0.8,LOOKUP(('OFFICE USE'!$H$1-C8)/D8,'OFFICE USE'!$C$2:$D$102)))</f>
        <v/>
      </c>
      <c r="F8" s="88" t="str">
        <f t="shared" si="0"/>
        <v/>
      </c>
      <c r="G8" s="25"/>
    </row>
    <row r="9" spans="1:8" thickBot="1" x14ac:dyDescent="0.35">
      <c r="A9" s="60"/>
      <c r="B9" s="61"/>
      <c r="C9" s="62"/>
      <c r="D9" s="62"/>
      <c r="E9" s="87" t="str">
        <f>IF(D9="","",IF(('OFFICE USE'!$H$1-C9)/D9&gt;1,0.8,LOOKUP(('OFFICE USE'!$H$1-C9)/D9,'OFFICE USE'!$C$2:$D$102)))</f>
        <v/>
      </c>
      <c r="F9" s="88" t="str">
        <f t="shared" si="0"/>
        <v/>
      </c>
      <c r="G9" s="25"/>
    </row>
    <row r="10" spans="1:8" thickBot="1" x14ac:dyDescent="0.35">
      <c r="A10" s="60"/>
      <c r="B10" s="61"/>
      <c r="C10" s="62"/>
      <c r="D10" s="62"/>
      <c r="E10" s="87" t="str">
        <f>IF(D10="","",IF(('OFFICE USE'!$H$1-C10)/D10&gt;1,0.8,LOOKUP(('OFFICE USE'!$H$1-C10)/D10,'OFFICE USE'!$C$2:$D$102)))</f>
        <v/>
      </c>
      <c r="F10" s="88" t="str">
        <f t="shared" si="0"/>
        <v/>
      </c>
      <c r="G10" s="25"/>
    </row>
    <row r="11" spans="1:8" thickBot="1" x14ac:dyDescent="0.35">
      <c r="A11" s="60"/>
      <c r="B11" s="61"/>
      <c r="C11" s="62"/>
      <c r="D11" s="62"/>
      <c r="E11" s="87" t="str">
        <f>IF(D11="","",IF(('OFFICE USE'!$H$1-C11)/D11&gt;1,0.8,LOOKUP(('OFFICE USE'!$H$1-C11)/D11,'OFFICE USE'!$C$2:$D$102)))</f>
        <v/>
      </c>
      <c r="F11" s="88" t="str">
        <f t="shared" si="0"/>
        <v/>
      </c>
      <c r="G11" s="25"/>
    </row>
    <row r="12" spans="1:8" thickBot="1" x14ac:dyDescent="0.35">
      <c r="A12" s="60"/>
      <c r="B12" s="61"/>
      <c r="C12" s="62"/>
      <c r="D12" s="62"/>
      <c r="E12" s="87" t="str">
        <f>IF(D12="","",IF(('OFFICE USE'!$H$1-C12)/D12&gt;1,0.8,LOOKUP(('OFFICE USE'!$H$1-C12)/D12,'OFFICE USE'!$C$2:$D$102)))</f>
        <v/>
      </c>
      <c r="F12" s="88" t="str">
        <f t="shared" si="0"/>
        <v/>
      </c>
      <c r="G12" s="25"/>
    </row>
    <row r="13" spans="1:8" thickBot="1" x14ac:dyDescent="0.35">
      <c r="A13" s="60"/>
      <c r="B13" s="61"/>
      <c r="C13" s="62"/>
      <c r="D13" s="62"/>
      <c r="E13" s="87" t="str">
        <f>IF(D13="","",IF(('OFFICE USE'!$H$1-C13)/D13&gt;1,0.8,LOOKUP(('OFFICE USE'!$H$1-C13)/D13,'OFFICE USE'!$C$2:$D$102)))</f>
        <v/>
      </c>
      <c r="F13" s="88" t="str">
        <f t="shared" si="0"/>
        <v/>
      </c>
      <c r="G13" s="25"/>
    </row>
    <row r="14" spans="1:8" thickBot="1" x14ac:dyDescent="0.35">
      <c r="A14" s="60"/>
      <c r="B14" s="61"/>
      <c r="C14" s="62"/>
      <c r="D14" s="62"/>
      <c r="E14" s="87" t="str">
        <f>IF(D14="","",IF(('OFFICE USE'!$H$1-C14)/D14&gt;1,0.8,LOOKUP(('OFFICE USE'!$H$1-C14)/D14,'OFFICE USE'!$C$2:$D$102)))</f>
        <v/>
      </c>
      <c r="F14" s="88" t="str">
        <f t="shared" si="0"/>
        <v/>
      </c>
      <c r="G14" s="25"/>
    </row>
    <row r="15" spans="1:8" thickBot="1" x14ac:dyDescent="0.35">
      <c r="A15" s="60"/>
      <c r="B15" s="61"/>
      <c r="C15" s="62"/>
      <c r="D15" s="62"/>
      <c r="E15" s="87" t="str">
        <f>IF(D15="","",IF(('OFFICE USE'!$H$1-C15)/D15&gt;1,0.8,LOOKUP(('OFFICE USE'!$H$1-C15)/D15,'OFFICE USE'!$C$2:$D$102)))</f>
        <v/>
      </c>
      <c r="F15" s="88" t="str">
        <f t="shared" si="0"/>
        <v/>
      </c>
      <c r="G15" s="25"/>
    </row>
    <row r="16" spans="1:8" thickBot="1" x14ac:dyDescent="0.35">
      <c r="A16" s="60"/>
      <c r="B16" s="61"/>
      <c r="C16" s="62"/>
      <c r="D16" s="62"/>
      <c r="E16" s="87" t="str">
        <f>IF(D16="","",IF(('OFFICE USE'!$H$1-C16)/D16&gt;1,0.8,LOOKUP(('OFFICE USE'!$H$1-C16)/D16,'OFFICE USE'!$C$2:$D$102)))</f>
        <v/>
      </c>
      <c r="F16" s="88" t="str">
        <f t="shared" si="0"/>
        <v/>
      </c>
      <c r="G16" s="25"/>
    </row>
    <row r="17" spans="1:7" thickBot="1" x14ac:dyDescent="0.35">
      <c r="A17" s="60"/>
      <c r="B17" s="61"/>
      <c r="C17" s="62"/>
      <c r="D17" s="62"/>
      <c r="E17" s="87" t="str">
        <f>IF(D17="","",IF(('OFFICE USE'!$H$1-C17)/D17&gt;1,0.8,LOOKUP(('OFFICE USE'!$H$1-C17)/D17,'OFFICE USE'!$C$2:$D$102)))</f>
        <v/>
      </c>
      <c r="F17" s="88" t="str">
        <f t="shared" si="0"/>
        <v/>
      </c>
      <c r="G17" s="25"/>
    </row>
    <row r="18" spans="1:7" thickBot="1" x14ac:dyDescent="0.35">
      <c r="A18" s="60"/>
      <c r="B18" s="61"/>
      <c r="C18" s="62"/>
      <c r="D18" s="62"/>
      <c r="E18" s="87" t="str">
        <f>IF(D18="","",IF(('OFFICE USE'!$H$1-C18)/D18&gt;1,0.8,LOOKUP(('OFFICE USE'!$H$1-C18)/D18,'OFFICE USE'!$C$2:$D$102)))</f>
        <v/>
      </c>
      <c r="F18" s="88" t="str">
        <f t="shared" si="0"/>
        <v/>
      </c>
      <c r="G18" s="25"/>
    </row>
    <row r="19" spans="1:7" thickBot="1" x14ac:dyDescent="0.35">
      <c r="A19" s="60"/>
      <c r="B19" s="61"/>
      <c r="C19" s="62"/>
      <c r="D19" s="62"/>
      <c r="E19" s="87" t="str">
        <f>IF(D19="","",IF(('OFFICE USE'!$H$1-C19)/D19&gt;1,0.8,LOOKUP(('OFFICE USE'!$H$1-C19)/D19,'OFFICE USE'!$C$2:$D$102)))</f>
        <v/>
      </c>
      <c r="F19" s="88" t="str">
        <f t="shared" si="0"/>
        <v/>
      </c>
      <c r="G19" s="25"/>
    </row>
    <row r="20" spans="1:7" thickBot="1" x14ac:dyDescent="0.35">
      <c r="A20" s="60"/>
      <c r="B20" s="61"/>
      <c r="C20" s="62"/>
      <c r="D20" s="62"/>
      <c r="E20" s="87" t="str">
        <f>IF(D20="","",IF(('OFFICE USE'!$H$1-C20)/D20&gt;1,0.8,LOOKUP(('OFFICE USE'!$H$1-C20)/D20,'OFFICE USE'!$C$2:$D$102)))</f>
        <v/>
      </c>
      <c r="F20" s="88" t="str">
        <f t="shared" si="0"/>
        <v/>
      </c>
      <c r="G20" s="25"/>
    </row>
    <row r="21" spans="1:7" thickBot="1" x14ac:dyDescent="0.35">
      <c r="A21" s="60"/>
      <c r="B21" s="61"/>
      <c r="C21" s="62"/>
      <c r="D21" s="62"/>
      <c r="E21" s="87" t="str">
        <f>IF(D21="","",IF(('OFFICE USE'!$H$1-C21)/D21&gt;1,0.8,LOOKUP(('OFFICE USE'!$H$1-C21)/D21,'OFFICE USE'!$C$2:$D$102)))</f>
        <v/>
      </c>
      <c r="F21" s="88" t="str">
        <f t="shared" si="0"/>
        <v/>
      </c>
      <c r="G21" s="25"/>
    </row>
    <row r="22" spans="1:7" thickBot="1" x14ac:dyDescent="0.35">
      <c r="A22" s="60"/>
      <c r="B22" s="61"/>
      <c r="C22" s="62"/>
      <c r="D22" s="62"/>
      <c r="E22" s="87" t="str">
        <f>IF(D22="","",IF(('OFFICE USE'!$H$1-C22)/D22&gt;1,0.8,LOOKUP(('OFFICE USE'!$H$1-C22)/D22,'OFFICE USE'!$C$2:$D$102)))</f>
        <v/>
      </c>
      <c r="F22" s="88" t="str">
        <f t="shared" si="0"/>
        <v/>
      </c>
      <c r="G22" s="25"/>
    </row>
    <row r="23" spans="1:7" thickBot="1" x14ac:dyDescent="0.35">
      <c r="A23" s="60"/>
      <c r="B23" s="61"/>
      <c r="C23" s="62"/>
      <c r="D23" s="62"/>
      <c r="E23" s="87" t="str">
        <f>IF(D23="","",IF(('OFFICE USE'!$H$1-C23)/D23&gt;1,0.8,LOOKUP(('OFFICE USE'!$H$1-C23)/D23,'OFFICE USE'!$C$2:$D$102)))</f>
        <v/>
      </c>
      <c r="F23" s="88" t="str">
        <f t="shared" si="0"/>
        <v/>
      </c>
      <c r="G23" s="25"/>
    </row>
    <row r="24" spans="1:7" thickBot="1" x14ac:dyDescent="0.35">
      <c r="A24" s="60"/>
      <c r="B24" s="61"/>
      <c r="C24" s="62"/>
      <c r="D24" s="62"/>
      <c r="E24" s="87" t="str">
        <f>IF(D24="","",IF(('OFFICE USE'!$H$1-C24)/D24&gt;1,0.8,LOOKUP(('OFFICE USE'!$H$1-C24)/D24,'OFFICE USE'!$C$2:$D$102)))</f>
        <v/>
      </c>
      <c r="F24" s="88" t="str">
        <f t="shared" si="0"/>
        <v/>
      </c>
      <c r="G24" s="25"/>
    </row>
    <row r="25" spans="1:7" thickBot="1" x14ac:dyDescent="0.35">
      <c r="A25" s="60"/>
      <c r="B25" s="61"/>
      <c r="C25" s="62"/>
      <c r="D25" s="62"/>
      <c r="E25" s="87" t="str">
        <f>IF(D25="","",IF(('OFFICE USE'!$H$1-C25)/D25&gt;1,0.8,LOOKUP(('OFFICE USE'!$H$1-C25)/D25,'OFFICE USE'!$C$2:$D$102)))</f>
        <v/>
      </c>
      <c r="F25" s="88" t="str">
        <f t="shared" si="0"/>
        <v/>
      </c>
      <c r="G25" s="25"/>
    </row>
    <row r="26" spans="1:7" thickBot="1" x14ac:dyDescent="0.35">
      <c r="A26" s="60"/>
      <c r="B26" s="61"/>
      <c r="C26" s="62"/>
      <c r="D26" s="62"/>
      <c r="E26" s="87" t="str">
        <f>IF(D26="","",IF(('OFFICE USE'!$H$1-C26)/D26&gt;1,0.8,LOOKUP(('OFFICE USE'!$H$1-C26)/D26,'OFFICE USE'!$C$2:$D$102)))</f>
        <v/>
      </c>
      <c r="F26" s="88" t="str">
        <f t="shared" si="0"/>
        <v/>
      </c>
      <c r="G26" s="25"/>
    </row>
    <row r="27" spans="1:7" thickBot="1" x14ac:dyDescent="0.35">
      <c r="A27" s="60"/>
      <c r="B27" s="61"/>
      <c r="C27" s="62"/>
      <c r="D27" s="62"/>
      <c r="E27" s="87" t="str">
        <f>IF(D27="","",IF(('OFFICE USE'!$H$1-C27)/D27&gt;1,0.8,LOOKUP(('OFFICE USE'!$H$1-C27)/D27,'OFFICE USE'!$C$2:$D$102)))</f>
        <v/>
      </c>
      <c r="F27" s="88" t="str">
        <f t="shared" si="0"/>
        <v/>
      </c>
      <c r="G27" s="25"/>
    </row>
    <row r="28" spans="1:7" thickBot="1" x14ac:dyDescent="0.35">
      <c r="A28" s="60"/>
      <c r="B28" s="61"/>
      <c r="C28" s="62"/>
      <c r="D28" s="62"/>
      <c r="E28" s="87" t="str">
        <f>IF(D28="","",IF(('OFFICE USE'!$H$1-C28)/D28&gt;1,0.8,LOOKUP(('OFFICE USE'!$H$1-C28)/D28,'OFFICE USE'!$C$2:$D$102)))</f>
        <v/>
      </c>
      <c r="F28" s="88" t="str">
        <f t="shared" si="0"/>
        <v/>
      </c>
      <c r="G28" s="25"/>
    </row>
    <row r="29" spans="1:7" thickBot="1" x14ac:dyDescent="0.35">
      <c r="A29" s="60"/>
      <c r="B29" s="61"/>
      <c r="C29" s="62"/>
      <c r="D29" s="62"/>
      <c r="E29" s="87" t="str">
        <f>IF(D29="","",IF(('OFFICE USE'!$H$1-C29)/D29&gt;1,0.8,LOOKUP(('OFFICE USE'!$H$1-C29)/D29,'OFFICE USE'!$C$2:$D$102)))</f>
        <v/>
      </c>
      <c r="F29" s="88" t="str">
        <f t="shared" si="0"/>
        <v/>
      </c>
      <c r="G29" s="25"/>
    </row>
    <row r="30" spans="1:7" thickBot="1" x14ac:dyDescent="0.35">
      <c r="A30" s="60"/>
      <c r="B30" s="61"/>
      <c r="C30" s="62"/>
      <c r="D30" s="62"/>
      <c r="E30" s="87" t="str">
        <f>IF(D30="","",IF(('OFFICE USE'!$H$1-C30)/D30&gt;1,0.8,LOOKUP(('OFFICE USE'!$H$1-C30)/D30,'OFFICE USE'!$C$2:$D$102)))</f>
        <v/>
      </c>
      <c r="F30" s="88" t="str">
        <f t="shared" si="0"/>
        <v/>
      </c>
      <c r="G30" s="25"/>
    </row>
    <row r="31" spans="1:7" thickBot="1" x14ac:dyDescent="0.35">
      <c r="A31" s="60"/>
      <c r="B31" s="61"/>
      <c r="C31" s="62"/>
      <c r="D31" s="62"/>
      <c r="E31" s="87" t="str">
        <f>IF(D31="","",IF(('OFFICE USE'!$H$1-C31)/D31&gt;1,0.8,LOOKUP(('OFFICE USE'!$H$1-C31)/D31,'OFFICE USE'!$C$2:$D$102)))</f>
        <v/>
      </c>
      <c r="F31" s="88" t="str">
        <f t="shared" si="0"/>
        <v/>
      </c>
      <c r="G31" s="25"/>
    </row>
    <row r="32" spans="1:7" thickBot="1" x14ac:dyDescent="0.35">
      <c r="A32" s="60"/>
      <c r="B32" s="61"/>
      <c r="C32" s="62"/>
      <c r="D32" s="62"/>
      <c r="E32" s="87" t="str">
        <f>IF(D32="","",IF(('OFFICE USE'!$H$1-C32)/D32&gt;1,0.8,LOOKUP(('OFFICE USE'!$H$1-C32)/D32,'OFFICE USE'!$C$2:$D$102)))</f>
        <v/>
      </c>
      <c r="F32" s="88" t="str">
        <f t="shared" si="0"/>
        <v/>
      </c>
      <c r="G32" s="25"/>
    </row>
    <row r="33" spans="1:7" thickBot="1" x14ac:dyDescent="0.35">
      <c r="A33" s="60"/>
      <c r="B33" s="61"/>
      <c r="C33" s="62"/>
      <c r="D33" s="62"/>
      <c r="E33" s="87" t="str">
        <f>IF(D33="","",IF(('OFFICE USE'!$H$1-C33)/D33&gt;1,0.8,LOOKUP(('OFFICE USE'!$H$1-C33)/D33,'OFFICE USE'!$C$2:$D$102)))</f>
        <v/>
      </c>
      <c r="F33" s="88" t="str">
        <f t="shared" si="0"/>
        <v/>
      </c>
      <c r="G33" s="25"/>
    </row>
    <row r="34" spans="1:7" thickBot="1" x14ac:dyDescent="0.35">
      <c r="A34" s="60"/>
      <c r="B34" s="61"/>
      <c r="C34" s="62"/>
      <c r="D34" s="62"/>
      <c r="E34" s="87" t="str">
        <f>IF(D34="","",IF(('OFFICE USE'!$H$1-C34)/D34&gt;1,0.8,LOOKUP(('OFFICE USE'!$H$1-C34)/D34,'OFFICE USE'!$C$2:$D$102)))</f>
        <v/>
      </c>
      <c r="F34" s="88" t="str">
        <f t="shared" si="0"/>
        <v/>
      </c>
      <c r="G34" s="25"/>
    </row>
    <row r="35" spans="1:7" thickBot="1" x14ac:dyDescent="0.35">
      <c r="A35" s="60"/>
      <c r="B35" s="61"/>
      <c r="C35" s="62"/>
      <c r="D35" s="62"/>
      <c r="E35" s="87" t="str">
        <f>IF(D35="","",IF(('OFFICE USE'!$H$1-C35)/D35&gt;1,0.8,LOOKUP(('OFFICE USE'!$H$1-C35)/D35,'OFFICE USE'!$C$2:$D$102)))</f>
        <v/>
      </c>
      <c r="F35" s="88" t="str">
        <f t="shared" si="0"/>
        <v/>
      </c>
      <c r="G35" s="25"/>
    </row>
    <row r="36" spans="1:7" thickBot="1" x14ac:dyDescent="0.35">
      <c r="A36" s="60"/>
      <c r="B36" s="61"/>
      <c r="C36" s="62"/>
      <c r="D36" s="62"/>
      <c r="E36" s="87" t="str">
        <f>IF(D36="","",IF(('OFFICE USE'!$H$1-C36)/D36&gt;1,0.8,LOOKUP(('OFFICE USE'!$H$1-C36)/D36,'OFFICE USE'!$C$2:$D$102)))</f>
        <v/>
      </c>
      <c r="F36" s="88" t="str">
        <f t="shared" si="0"/>
        <v/>
      </c>
      <c r="G36" s="25"/>
    </row>
    <row r="37" spans="1:7" thickBot="1" x14ac:dyDescent="0.35">
      <c r="A37" s="60"/>
      <c r="B37" s="61"/>
      <c r="C37" s="62"/>
      <c r="D37" s="62"/>
      <c r="E37" s="87" t="str">
        <f>IF(D37="","",IF(('OFFICE USE'!$H$1-C37)/D37&gt;1,0.8,LOOKUP(('OFFICE USE'!$H$1-C37)/D37,'OFFICE USE'!$C$2:$D$102)))</f>
        <v/>
      </c>
      <c r="F37" s="88" t="str">
        <f t="shared" si="0"/>
        <v/>
      </c>
      <c r="G37" s="25"/>
    </row>
    <row r="38" spans="1:7" ht="15.75" thickBot="1" x14ac:dyDescent="0.3">
      <c r="A38" s="60"/>
      <c r="B38" s="61"/>
      <c r="C38" s="62"/>
      <c r="D38" s="62"/>
      <c r="E38" s="87" t="str">
        <f>IF(D38="","",IF(('OFFICE USE'!$H$1-C38)/D38&gt;1,0.8,LOOKUP(('OFFICE USE'!$H$1-C38)/D38,'OFFICE USE'!$C$2:$D$102)))</f>
        <v/>
      </c>
      <c r="F38" s="88" t="str">
        <f t="shared" si="0"/>
        <v/>
      </c>
      <c r="G38" s="25"/>
    </row>
    <row r="39" spans="1:7" ht="15.75" thickBot="1" x14ac:dyDescent="0.3">
      <c r="A39" s="60"/>
      <c r="B39" s="61"/>
      <c r="C39" s="62"/>
      <c r="D39" s="62"/>
      <c r="E39" s="87" t="str">
        <f>IF(D39="","",IF(('OFFICE USE'!$H$1-C39)/D39&gt;1,0.8,LOOKUP(('OFFICE USE'!$H$1-C39)/D39,'OFFICE USE'!$C$2:$D$102)))</f>
        <v/>
      </c>
      <c r="F39" s="88" t="str">
        <f t="shared" si="0"/>
        <v/>
      </c>
      <c r="G39" s="25"/>
    </row>
    <row r="40" spans="1:7" ht="15.75" thickBot="1" x14ac:dyDescent="0.3">
      <c r="A40" s="60"/>
      <c r="B40" s="61"/>
      <c r="C40" s="62"/>
      <c r="D40" s="62"/>
      <c r="E40" s="87" t="str">
        <f>IF(D40="","",IF(('OFFICE USE'!$H$1-C40)/D40&gt;1,0.8,LOOKUP(('OFFICE USE'!$H$1-C40)/D40,'OFFICE USE'!$C$2:$D$102)))</f>
        <v/>
      </c>
      <c r="F40" s="88" t="str">
        <f t="shared" si="0"/>
        <v/>
      </c>
      <c r="G40" s="25"/>
    </row>
    <row r="41" spans="1:7" ht="15.75" thickBot="1" x14ac:dyDescent="0.3">
      <c r="A41" s="60"/>
      <c r="B41" s="61"/>
      <c r="C41" s="62"/>
      <c r="D41" s="62"/>
      <c r="E41" s="87" t="str">
        <f>IF(D41="","",IF(('OFFICE USE'!$H$1-C41)/D41&gt;1,0.8,LOOKUP(('OFFICE USE'!$H$1-C41)/D41,'OFFICE USE'!$C$2:$D$102)))</f>
        <v/>
      </c>
      <c r="F41" s="88" t="str">
        <f t="shared" si="0"/>
        <v/>
      </c>
      <c r="G41" s="25"/>
    </row>
    <row r="42" spans="1:7" ht="15.75" thickBot="1" x14ac:dyDescent="0.3">
      <c r="A42" s="60"/>
      <c r="B42" s="61"/>
      <c r="C42" s="62"/>
      <c r="D42" s="62"/>
      <c r="E42" s="87" t="str">
        <f>IF(D42="","",IF(('OFFICE USE'!$H$1-C42)/D42&gt;1,0.8,LOOKUP(('OFFICE USE'!$H$1-C42)/D42,'OFFICE USE'!$C$2:$D$102)))</f>
        <v/>
      </c>
      <c r="F42" s="88" t="str">
        <f t="shared" si="0"/>
        <v/>
      </c>
      <c r="G42" s="25"/>
    </row>
    <row r="43" spans="1:7" ht="15.75" thickBot="1" x14ac:dyDescent="0.3">
      <c r="A43" s="60"/>
      <c r="B43" s="61"/>
      <c r="C43" s="62"/>
      <c r="D43" s="62"/>
      <c r="E43" s="87" t="str">
        <f>IF(D43="","",IF(('OFFICE USE'!$H$1-C43)/D43&gt;1,0.8,LOOKUP(('OFFICE USE'!$H$1-C43)/D43,'OFFICE USE'!$C$2:$D$102)))</f>
        <v/>
      </c>
      <c r="F43" s="88" t="str">
        <f t="shared" si="0"/>
        <v/>
      </c>
      <c r="G43" s="25"/>
    </row>
    <row r="44" spans="1:7" ht="15.75" thickBot="1" x14ac:dyDescent="0.3">
      <c r="A44" s="60"/>
      <c r="B44" s="61"/>
      <c r="C44" s="62"/>
      <c r="D44" s="62"/>
      <c r="E44" s="87" t="str">
        <f>IF(D44="","",IF(('OFFICE USE'!$H$1-C44)/D44&gt;1,0.8,LOOKUP(('OFFICE USE'!$H$1-C44)/D44,'OFFICE USE'!$C$2:$D$102)))</f>
        <v/>
      </c>
      <c r="F44" s="88" t="str">
        <f t="shared" si="0"/>
        <v/>
      </c>
      <c r="G44" s="25"/>
    </row>
    <row r="45" spans="1:7" ht="15.75" thickBot="1" x14ac:dyDescent="0.3">
      <c r="A45" s="60"/>
      <c r="B45" s="61"/>
      <c r="C45" s="62"/>
      <c r="D45" s="62"/>
      <c r="E45" s="87" t="str">
        <f>IF(D45="","",IF(('OFFICE USE'!$H$1-C45)/D45&gt;1,0.8,LOOKUP(('OFFICE USE'!$H$1-C45)/D45,'OFFICE USE'!$C$2:$D$102)))</f>
        <v/>
      </c>
      <c r="F45" s="88" t="str">
        <f t="shared" si="0"/>
        <v/>
      </c>
      <c r="G45" s="25"/>
    </row>
    <row r="46" spans="1:7" ht="15.75" thickBot="1" x14ac:dyDescent="0.3">
      <c r="A46" s="60"/>
      <c r="B46" s="61"/>
      <c r="C46" s="62"/>
      <c r="D46" s="62"/>
      <c r="E46" s="87" t="str">
        <f>IF(D46="","",IF(('OFFICE USE'!$H$1-C46)/D46&gt;1,0.8,LOOKUP(('OFFICE USE'!$H$1-C46)/D46,'OFFICE USE'!$C$2:$D$102)))</f>
        <v/>
      </c>
      <c r="F46" s="88" t="str">
        <f t="shared" si="0"/>
        <v/>
      </c>
      <c r="G46" s="25"/>
    </row>
    <row r="47" spans="1:7" ht="15.75" thickBot="1" x14ac:dyDescent="0.3">
      <c r="A47" s="60"/>
      <c r="B47" s="61"/>
      <c r="C47" s="62"/>
      <c r="D47" s="62"/>
      <c r="E47" s="87" t="str">
        <f>IF(D47="","",IF(('OFFICE USE'!$H$1-C47)/D47&gt;1,0.8,LOOKUP(('OFFICE USE'!$H$1-C47)/D47,'OFFICE USE'!$C$2:$D$102)))</f>
        <v/>
      </c>
      <c r="F47" s="88" t="str">
        <f t="shared" si="0"/>
        <v/>
      </c>
      <c r="G47" s="25"/>
    </row>
    <row r="48" spans="1:7" ht="15.75" thickBot="1" x14ac:dyDescent="0.3">
      <c r="A48" s="60"/>
      <c r="B48" s="61"/>
      <c r="C48" s="62"/>
      <c r="D48" s="62"/>
      <c r="E48" s="87" t="str">
        <f>IF(D48="","",IF(('OFFICE USE'!$H$1-C48)/D48&gt;1,0.8,LOOKUP(('OFFICE USE'!$H$1-C48)/D48,'OFFICE USE'!$C$2:$D$102)))</f>
        <v/>
      </c>
      <c r="F48" s="88" t="str">
        <f t="shared" si="0"/>
        <v/>
      </c>
      <c r="G48" s="25"/>
    </row>
    <row r="49" spans="1:7" ht="15.75" thickBot="1" x14ac:dyDescent="0.3">
      <c r="A49" s="60"/>
      <c r="B49" s="61"/>
      <c r="C49" s="62"/>
      <c r="D49" s="62"/>
      <c r="E49" s="87" t="str">
        <f>IF(D49="","",IF(('OFFICE USE'!$H$1-C49)/D49&gt;1,0.8,LOOKUP(('OFFICE USE'!$H$1-C49)/D49,'OFFICE USE'!$C$2:$D$102)))</f>
        <v/>
      </c>
      <c r="F49" s="88" t="str">
        <f t="shared" si="0"/>
        <v/>
      </c>
      <c r="G49" s="25"/>
    </row>
    <row r="50" spans="1:7" ht="15.75" thickBot="1" x14ac:dyDescent="0.3">
      <c r="A50" s="60"/>
      <c r="B50" s="61"/>
      <c r="C50" s="62"/>
      <c r="D50" s="62"/>
      <c r="E50" s="87" t="str">
        <f>IF(D50="","",IF(('OFFICE USE'!$H$1-C50)/D50&gt;1,0.8,LOOKUP(('OFFICE USE'!$H$1-C50)/D50,'OFFICE USE'!$C$2:$D$102)))</f>
        <v/>
      </c>
      <c r="F50" s="88" t="str">
        <f t="shared" si="0"/>
        <v/>
      </c>
      <c r="G50" s="25"/>
    </row>
  </sheetData>
  <sheetProtection password="E928" sheet="1" objects="1" scenarios="1"/>
  <printOptions horizontalCentered="1" verticalCentered="1"/>
  <pageMargins left="0.45" right="0.45" top="0.75" bottom="0.25" header="0" footer="0"/>
  <pageSetup scale="80"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theme="3" tint="0.59999389629810485"/>
    <pageSetUpPr fitToPage="1"/>
  </sheetPr>
  <dimension ref="A1:H50"/>
  <sheetViews>
    <sheetView workbookViewId="0">
      <pane ySplit="2" topLeftCell="A3" activePane="bottomLeft" state="frozen"/>
      <selection activeCell="G29" sqref="G29"/>
      <selection pane="bottomLeft" activeCell="A3" sqref="A3"/>
    </sheetView>
  </sheetViews>
  <sheetFormatPr defaultColWidth="9.140625" defaultRowHeight="15" x14ac:dyDescent="0.25"/>
  <cols>
    <col min="1" max="1" width="25.7109375" style="20" bestFit="1" customWidth="1"/>
    <col min="2" max="2" width="25.28515625" style="25" bestFit="1" customWidth="1"/>
    <col min="3" max="4" width="13.7109375" style="20" customWidth="1"/>
    <col min="5" max="5" width="20.7109375" style="20" bestFit="1" customWidth="1"/>
    <col min="6" max="6" width="22" style="20" bestFit="1" customWidth="1"/>
    <col min="7" max="7" width="22" style="20" customWidth="1"/>
    <col min="8" max="8" width="24.28515625" style="20" bestFit="1" customWidth="1"/>
    <col min="9" max="16384" width="9.140625" style="20"/>
  </cols>
  <sheetData>
    <row r="1" spans="1:8" ht="36" customHeight="1" thickBot="1" x14ac:dyDescent="0.35">
      <c r="B1" s="51" t="s">
        <v>29</v>
      </c>
    </row>
    <row r="2" spans="1:8" s="24" customFormat="1" ht="34.15" customHeight="1" thickBot="1" x14ac:dyDescent="0.35">
      <c r="A2" s="49" t="s">
        <v>31</v>
      </c>
      <c r="B2" s="49" t="s">
        <v>32</v>
      </c>
      <c r="C2" s="49" t="s">
        <v>33</v>
      </c>
      <c r="D2" s="49" t="s">
        <v>59</v>
      </c>
      <c r="E2" s="86" t="s">
        <v>18</v>
      </c>
      <c r="F2" s="86" t="s">
        <v>9</v>
      </c>
      <c r="H2" s="24" t="s">
        <v>19</v>
      </c>
    </row>
    <row r="3" spans="1:8" thickBot="1" x14ac:dyDescent="0.35">
      <c r="A3" s="60"/>
      <c r="B3" s="61"/>
      <c r="C3" s="62"/>
      <c r="D3" s="62"/>
      <c r="E3" s="87" t="str">
        <f>IF(D3="","",IF(('OFFICE USE'!$H$1-C3)/D3&gt;1,0.8,LOOKUP(('OFFICE USE'!$H$1-C3)/D3,'OFFICE USE'!$C$2:$D$102)))</f>
        <v/>
      </c>
      <c r="F3" s="88" t="str">
        <f>IF(E3="","",B3*(1-E3))</f>
        <v/>
      </c>
      <c r="G3" s="25"/>
    </row>
    <row r="4" spans="1:8" thickBot="1" x14ac:dyDescent="0.35">
      <c r="A4" s="60"/>
      <c r="B4" s="61"/>
      <c r="C4" s="62"/>
      <c r="D4" s="62"/>
      <c r="E4" s="87" t="str">
        <f>IF(D4="","",IF(('OFFICE USE'!$H$1-C4)/D4&gt;1,0.8,LOOKUP(('OFFICE USE'!$H$1-C4)/D4,'OFFICE USE'!$C$2:$D$102)))</f>
        <v/>
      </c>
      <c r="F4" s="88" t="str">
        <f t="shared" ref="F4:F50" si="0">IF(E4="","",B4*(1-E4))</f>
        <v/>
      </c>
      <c r="G4" s="25"/>
    </row>
    <row r="5" spans="1:8" thickBot="1" x14ac:dyDescent="0.35">
      <c r="A5" s="60"/>
      <c r="B5" s="61"/>
      <c r="C5" s="62"/>
      <c r="D5" s="62"/>
      <c r="E5" s="87" t="str">
        <f>IF(D5="","",IF(('OFFICE USE'!$H$1-C5)/D5&gt;1,0.8,LOOKUP(('OFFICE USE'!$H$1-C5)/D5,'OFFICE USE'!$C$2:$D$102)))</f>
        <v/>
      </c>
      <c r="F5" s="88" t="str">
        <f t="shared" si="0"/>
        <v/>
      </c>
      <c r="G5" s="25"/>
    </row>
    <row r="6" spans="1:8" thickBot="1" x14ac:dyDescent="0.35">
      <c r="A6" s="60"/>
      <c r="B6" s="61"/>
      <c r="C6" s="62"/>
      <c r="D6" s="62"/>
      <c r="E6" s="87" t="str">
        <f>IF(D6="","",IF(('OFFICE USE'!$H$1-C6)/D6&gt;1,0.8,LOOKUP(('OFFICE USE'!$H$1-C6)/D6,'OFFICE USE'!$C$2:$D$102)))</f>
        <v/>
      </c>
      <c r="F6" s="88" t="str">
        <f t="shared" si="0"/>
        <v/>
      </c>
      <c r="G6" s="25"/>
    </row>
    <row r="7" spans="1:8" thickBot="1" x14ac:dyDescent="0.35">
      <c r="A7" s="60"/>
      <c r="B7" s="61"/>
      <c r="C7" s="62"/>
      <c r="D7" s="62"/>
      <c r="E7" s="87" t="str">
        <f>IF(D7="","",IF(('OFFICE USE'!$H$1-C7)/D7&gt;1,0.8,LOOKUP(('OFFICE USE'!$H$1-C7)/D7,'OFFICE USE'!$C$2:$D$102)))</f>
        <v/>
      </c>
      <c r="F7" s="88" t="str">
        <f t="shared" si="0"/>
        <v/>
      </c>
      <c r="G7" s="25"/>
    </row>
    <row r="8" spans="1:8" thickBot="1" x14ac:dyDescent="0.35">
      <c r="A8" s="60"/>
      <c r="B8" s="61"/>
      <c r="C8" s="62"/>
      <c r="D8" s="62"/>
      <c r="E8" s="87" t="str">
        <f>IF(D8="","",IF(('OFFICE USE'!$H$1-C8)/D8&gt;1,0.8,LOOKUP(('OFFICE USE'!$H$1-C8)/D8,'OFFICE USE'!$C$2:$D$102)))</f>
        <v/>
      </c>
      <c r="F8" s="88" t="str">
        <f t="shared" si="0"/>
        <v/>
      </c>
      <c r="G8" s="25"/>
    </row>
    <row r="9" spans="1:8" thickBot="1" x14ac:dyDescent="0.35">
      <c r="A9" s="60"/>
      <c r="B9" s="61"/>
      <c r="C9" s="62"/>
      <c r="D9" s="62"/>
      <c r="E9" s="87" t="str">
        <f>IF(D9="","",IF(('OFFICE USE'!$H$1-C9)/D9&gt;1,0.8,LOOKUP(('OFFICE USE'!$H$1-C9)/D9,'OFFICE USE'!$C$2:$D$102)))</f>
        <v/>
      </c>
      <c r="F9" s="88" t="str">
        <f t="shared" si="0"/>
        <v/>
      </c>
      <c r="G9" s="25"/>
    </row>
    <row r="10" spans="1:8" thickBot="1" x14ac:dyDescent="0.35">
      <c r="A10" s="60"/>
      <c r="B10" s="61"/>
      <c r="C10" s="62"/>
      <c r="D10" s="62"/>
      <c r="E10" s="87" t="str">
        <f>IF(D10="","",IF(('OFFICE USE'!$H$1-C10)/D10&gt;1,0.8,LOOKUP(('OFFICE USE'!$H$1-C10)/D10,'OFFICE USE'!$C$2:$D$102)))</f>
        <v/>
      </c>
      <c r="F10" s="88" t="str">
        <f t="shared" si="0"/>
        <v/>
      </c>
      <c r="G10" s="25"/>
    </row>
    <row r="11" spans="1:8" thickBot="1" x14ac:dyDescent="0.35">
      <c r="A11" s="60"/>
      <c r="B11" s="61"/>
      <c r="C11" s="62"/>
      <c r="D11" s="62"/>
      <c r="E11" s="87" t="str">
        <f>IF(D11="","",IF(('OFFICE USE'!$H$1-C11)/D11&gt;1,0.8,LOOKUP(('OFFICE USE'!$H$1-C11)/D11,'OFFICE USE'!$C$2:$D$102)))</f>
        <v/>
      </c>
      <c r="F11" s="88" t="str">
        <f t="shared" si="0"/>
        <v/>
      </c>
      <c r="G11" s="25"/>
    </row>
    <row r="12" spans="1:8" thickBot="1" x14ac:dyDescent="0.35">
      <c r="A12" s="60"/>
      <c r="B12" s="61"/>
      <c r="C12" s="62"/>
      <c r="D12" s="62"/>
      <c r="E12" s="87" t="str">
        <f>IF(D12="","",IF(('OFFICE USE'!$H$1-C12)/D12&gt;1,0.8,LOOKUP(('OFFICE USE'!$H$1-C12)/D12,'OFFICE USE'!$C$2:$D$102)))</f>
        <v/>
      </c>
      <c r="F12" s="88" t="str">
        <f t="shared" si="0"/>
        <v/>
      </c>
      <c r="G12" s="25"/>
    </row>
    <row r="13" spans="1:8" thickBot="1" x14ac:dyDescent="0.35">
      <c r="A13" s="60"/>
      <c r="B13" s="61"/>
      <c r="C13" s="62"/>
      <c r="D13" s="62"/>
      <c r="E13" s="87" t="str">
        <f>IF(D13="","",IF(('OFFICE USE'!$H$1-C13)/D13&gt;1,0.8,LOOKUP(('OFFICE USE'!$H$1-C13)/D13,'OFFICE USE'!$C$2:$D$102)))</f>
        <v/>
      </c>
      <c r="F13" s="88" t="str">
        <f t="shared" si="0"/>
        <v/>
      </c>
      <c r="G13" s="25"/>
    </row>
    <row r="14" spans="1:8" thickBot="1" x14ac:dyDescent="0.35">
      <c r="A14" s="60"/>
      <c r="B14" s="61"/>
      <c r="C14" s="62"/>
      <c r="D14" s="62"/>
      <c r="E14" s="87" t="str">
        <f>IF(D14="","",IF(('OFFICE USE'!$H$1-C14)/D14&gt;1,0.8,LOOKUP(('OFFICE USE'!$H$1-C14)/D14,'OFFICE USE'!$C$2:$D$102)))</f>
        <v/>
      </c>
      <c r="F14" s="88" t="str">
        <f t="shared" si="0"/>
        <v/>
      </c>
      <c r="G14" s="25"/>
    </row>
    <row r="15" spans="1:8" thickBot="1" x14ac:dyDescent="0.35">
      <c r="A15" s="60"/>
      <c r="B15" s="61"/>
      <c r="C15" s="62"/>
      <c r="D15" s="62"/>
      <c r="E15" s="87" t="str">
        <f>IF(D15="","",IF(('OFFICE USE'!$H$1-C15)/D15&gt;1,0.8,LOOKUP(('OFFICE USE'!$H$1-C15)/D15,'OFFICE USE'!$C$2:$D$102)))</f>
        <v/>
      </c>
      <c r="F15" s="88" t="str">
        <f t="shared" si="0"/>
        <v/>
      </c>
      <c r="G15" s="25"/>
    </row>
    <row r="16" spans="1:8" thickBot="1" x14ac:dyDescent="0.35">
      <c r="A16" s="60"/>
      <c r="B16" s="61"/>
      <c r="C16" s="62"/>
      <c r="D16" s="62"/>
      <c r="E16" s="87" t="str">
        <f>IF(D16="","",IF(('OFFICE USE'!$H$1-C16)/D16&gt;1,0.8,LOOKUP(('OFFICE USE'!$H$1-C16)/D16,'OFFICE USE'!$C$2:$D$102)))</f>
        <v/>
      </c>
      <c r="F16" s="88" t="str">
        <f t="shared" si="0"/>
        <v/>
      </c>
      <c r="G16" s="25"/>
    </row>
    <row r="17" spans="1:7" thickBot="1" x14ac:dyDescent="0.35">
      <c r="A17" s="60"/>
      <c r="B17" s="61"/>
      <c r="C17" s="62"/>
      <c r="D17" s="62"/>
      <c r="E17" s="87" t="str">
        <f>IF(D17="","",IF(('OFFICE USE'!$H$1-C17)/D17&gt;1,0.8,LOOKUP(('OFFICE USE'!$H$1-C17)/D17,'OFFICE USE'!$C$2:$D$102)))</f>
        <v/>
      </c>
      <c r="F17" s="88" t="str">
        <f t="shared" si="0"/>
        <v/>
      </c>
      <c r="G17" s="25"/>
    </row>
    <row r="18" spans="1:7" thickBot="1" x14ac:dyDescent="0.35">
      <c r="A18" s="60"/>
      <c r="B18" s="61"/>
      <c r="C18" s="62"/>
      <c r="D18" s="62"/>
      <c r="E18" s="87" t="str">
        <f>IF(D18="","",IF(('OFFICE USE'!$H$1-C18)/D18&gt;1,0.8,LOOKUP(('OFFICE USE'!$H$1-C18)/D18,'OFFICE USE'!$C$2:$D$102)))</f>
        <v/>
      </c>
      <c r="F18" s="88" t="str">
        <f t="shared" si="0"/>
        <v/>
      </c>
      <c r="G18" s="25"/>
    </row>
    <row r="19" spans="1:7" thickBot="1" x14ac:dyDescent="0.35">
      <c r="A19" s="60"/>
      <c r="B19" s="61"/>
      <c r="C19" s="62"/>
      <c r="D19" s="62"/>
      <c r="E19" s="87" t="str">
        <f>IF(D19="","",IF(('OFFICE USE'!$H$1-C19)/D19&gt;1,0.8,LOOKUP(('OFFICE USE'!$H$1-C19)/D19,'OFFICE USE'!$C$2:$D$102)))</f>
        <v/>
      </c>
      <c r="F19" s="88" t="str">
        <f t="shared" si="0"/>
        <v/>
      </c>
      <c r="G19" s="25"/>
    </row>
    <row r="20" spans="1:7" thickBot="1" x14ac:dyDescent="0.35">
      <c r="A20" s="60"/>
      <c r="B20" s="61"/>
      <c r="C20" s="62"/>
      <c r="D20" s="62"/>
      <c r="E20" s="87" t="str">
        <f>IF(D20="","",IF(('OFFICE USE'!$H$1-C20)/D20&gt;1,0.8,LOOKUP(('OFFICE USE'!$H$1-C20)/D20,'OFFICE USE'!$C$2:$D$102)))</f>
        <v/>
      </c>
      <c r="F20" s="88" t="str">
        <f t="shared" si="0"/>
        <v/>
      </c>
      <c r="G20" s="25"/>
    </row>
    <row r="21" spans="1:7" thickBot="1" x14ac:dyDescent="0.35">
      <c r="A21" s="60"/>
      <c r="B21" s="61"/>
      <c r="C21" s="62"/>
      <c r="D21" s="62"/>
      <c r="E21" s="87" t="str">
        <f>IF(D21="","",IF(('OFFICE USE'!$H$1-C21)/D21&gt;1,0.8,LOOKUP(('OFFICE USE'!$H$1-C21)/D21,'OFFICE USE'!$C$2:$D$102)))</f>
        <v/>
      </c>
      <c r="F21" s="88" t="str">
        <f t="shared" si="0"/>
        <v/>
      </c>
      <c r="G21" s="25"/>
    </row>
    <row r="22" spans="1:7" thickBot="1" x14ac:dyDescent="0.35">
      <c r="A22" s="60"/>
      <c r="B22" s="61"/>
      <c r="C22" s="62"/>
      <c r="D22" s="62"/>
      <c r="E22" s="87" t="str">
        <f>IF(D22="","",IF(('OFFICE USE'!$H$1-C22)/D22&gt;1,0.8,LOOKUP(('OFFICE USE'!$H$1-C22)/D22,'OFFICE USE'!$C$2:$D$102)))</f>
        <v/>
      </c>
      <c r="F22" s="88" t="str">
        <f t="shared" si="0"/>
        <v/>
      </c>
      <c r="G22" s="25"/>
    </row>
    <row r="23" spans="1:7" thickBot="1" x14ac:dyDescent="0.35">
      <c r="A23" s="60"/>
      <c r="B23" s="61"/>
      <c r="C23" s="62"/>
      <c r="D23" s="62"/>
      <c r="E23" s="87" t="str">
        <f>IF(D23="","",IF(('OFFICE USE'!$H$1-C23)/D23&gt;1,0.8,LOOKUP(('OFFICE USE'!$H$1-C23)/D23,'OFFICE USE'!$C$2:$D$102)))</f>
        <v/>
      </c>
      <c r="F23" s="88" t="str">
        <f t="shared" si="0"/>
        <v/>
      </c>
      <c r="G23" s="25"/>
    </row>
    <row r="24" spans="1:7" thickBot="1" x14ac:dyDescent="0.35">
      <c r="A24" s="60"/>
      <c r="B24" s="61"/>
      <c r="C24" s="62"/>
      <c r="D24" s="62"/>
      <c r="E24" s="87" t="str">
        <f>IF(D24="","",IF(('OFFICE USE'!$H$1-C24)/D24&gt;1,0.8,LOOKUP(('OFFICE USE'!$H$1-C24)/D24,'OFFICE USE'!$C$2:$D$102)))</f>
        <v/>
      </c>
      <c r="F24" s="88" t="str">
        <f t="shared" si="0"/>
        <v/>
      </c>
      <c r="G24" s="25"/>
    </row>
    <row r="25" spans="1:7" thickBot="1" x14ac:dyDescent="0.35">
      <c r="A25" s="60"/>
      <c r="B25" s="61"/>
      <c r="C25" s="62"/>
      <c r="D25" s="62"/>
      <c r="E25" s="87" t="str">
        <f>IF(D25="","",IF(('OFFICE USE'!$H$1-C25)/D25&gt;1,0.8,LOOKUP(('OFFICE USE'!$H$1-C25)/D25,'OFFICE USE'!$C$2:$D$102)))</f>
        <v/>
      </c>
      <c r="F25" s="88" t="str">
        <f t="shared" si="0"/>
        <v/>
      </c>
      <c r="G25" s="25"/>
    </row>
    <row r="26" spans="1:7" thickBot="1" x14ac:dyDescent="0.35">
      <c r="A26" s="60"/>
      <c r="B26" s="61"/>
      <c r="C26" s="62"/>
      <c r="D26" s="62"/>
      <c r="E26" s="87" t="str">
        <f>IF(D26="","",IF(('OFFICE USE'!$H$1-C26)/D26&gt;1,0.8,LOOKUP(('OFFICE USE'!$H$1-C26)/D26,'OFFICE USE'!$C$2:$D$102)))</f>
        <v/>
      </c>
      <c r="F26" s="88" t="str">
        <f t="shared" si="0"/>
        <v/>
      </c>
      <c r="G26" s="25"/>
    </row>
    <row r="27" spans="1:7" thickBot="1" x14ac:dyDescent="0.35">
      <c r="A27" s="60"/>
      <c r="B27" s="61"/>
      <c r="C27" s="62"/>
      <c r="D27" s="62"/>
      <c r="E27" s="87" t="str">
        <f>IF(D27="","",IF(('OFFICE USE'!$H$1-C27)/D27&gt;1,0.8,LOOKUP(('OFFICE USE'!$H$1-C27)/D27,'OFFICE USE'!$C$2:$D$102)))</f>
        <v/>
      </c>
      <c r="F27" s="88" t="str">
        <f t="shared" si="0"/>
        <v/>
      </c>
      <c r="G27" s="25"/>
    </row>
    <row r="28" spans="1:7" thickBot="1" x14ac:dyDescent="0.35">
      <c r="A28" s="60"/>
      <c r="B28" s="61"/>
      <c r="C28" s="62"/>
      <c r="D28" s="62"/>
      <c r="E28" s="87" t="str">
        <f>IF(D28="","",IF(('OFFICE USE'!$H$1-C28)/D28&gt;1,0.8,LOOKUP(('OFFICE USE'!$H$1-C28)/D28,'OFFICE USE'!$C$2:$D$102)))</f>
        <v/>
      </c>
      <c r="F28" s="88" t="str">
        <f t="shared" si="0"/>
        <v/>
      </c>
      <c r="G28" s="25"/>
    </row>
    <row r="29" spans="1:7" thickBot="1" x14ac:dyDescent="0.35">
      <c r="A29" s="60"/>
      <c r="B29" s="61"/>
      <c r="C29" s="62"/>
      <c r="D29" s="62"/>
      <c r="E29" s="87" t="str">
        <f>IF(D29="","",IF(('OFFICE USE'!$H$1-C29)/D29&gt;1,0.8,LOOKUP(('OFFICE USE'!$H$1-C29)/D29,'OFFICE USE'!$C$2:$D$102)))</f>
        <v/>
      </c>
      <c r="F29" s="88" t="str">
        <f t="shared" si="0"/>
        <v/>
      </c>
      <c r="G29" s="25"/>
    </row>
    <row r="30" spans="1:7" thickBot="1" x14ac:dyDescent="0.35">
      <c r="A30" s="60"/>
      <c r="B30" s="61"/>
      <c r="C30" s="62"/>
      <c r="D30" s="62"/>
      <c r="E30" s="87" t="str">
        <f>IF(D30="","",IF(('OFFICE USE'!$H$1-C30)/D30&gt;1,0.8,LOOKUP(('OFFICE USE'!$H$1-C30)/D30,'OFFICE USE'!$C$2:$D$102)))</f>
        <v/>
      </c>
      <c r="F30" s="88" t="str">
        <f t="shared" si="0"/>
        <v/>
      </c>
      <c r="G30" s="25"/>
    </row>
    <row r="31" spans="1:7" thickBot="1" x14ac:dyDescent="0.35">
      <c r="A31" s="60"/>
      <c r="B31" s="61"/>
      <c r="C31" s="62"/>
      <c r="D31" s="62"/>
      <c r="E31" s="87" t="str">
        <f>IF(D31="","",IF(('OFFICE USE'!$H$1-C31)/D31&gt;1,0.8,LOOKUP(('OFFICE USE'!$H$1-C31)/D31,'OFFICE USE'!$C$2:$D$102)))</f>
        <v/>
      </c>
      <c r="F31" s="88" t="str">
        <f t="shared" si="0"/>
        <v/>
      </c>
      <c r="G31" s="25"/>
    </row>
    <row r="32" spans="1:7" thickBot="1" x14ac:dyDescent="0.35">
      <c r="A32" s="60"/>
      <c r="B32" s="61"/>
      <c r="C32" s="62"/>
      <c r="D32" s="62"/>
      <c r="E32" s="87" t="str">
        <f>IF(D32="","",IF(('OFFICE USE'!$H$1-C32)/D32&gt;1,0.8,LOOKUP(('OFFICE USE'!$H$1-C32)/D32,'OFFICE USE'!$C$2:$D$102)))</f>
        <v/>
      </c>
      <c r="F32" s="88" t="str">
        <f t="shared" si="0"/>
        <v/>
      </c>
      <c r="G32" s="25"/>
    </row>
    <row r="33" spans="1:7" thickBot="1" x14ac:dyDescent="0.35">
      <c r="A33" s="60"/>
      <c r="B33" s="61"/>
      <c r="C33" s="62"/>
      <c r="D33" s="62"/>
      <c r="E33" s="87" t="str">
        <f>IF(D33="","",IF(('OFFICE USE'!$H$1-C33)/D33&gt;1,0.8,LOOKUP(('OFFICE USE'!$H$1-C33)/D33,'OFFICE USE'!$C$2:$D$102)))</f>
        <v/>
      </c>
      <c r="F33" s="88" t="str">
        <f t="shared" si="0"/>
        <v/>
      </c>
      <c r="G33" s="25"/>
    </row>
    <row r="34" spans="1:7" thickBot="1" x14ac:dyDescent="0.35">
      <c r="A34" s="60"/>
      <c r="B34" s="61"/>
      <c r="C34" s="62"/>
      <c r="D34" s="62"/>
      <c r="E34" s="87" t="str">
        <f>IF(D34="","",IF(('OFFICE USE'!$H$1-C34)/D34&gt;1,0.8,LOOKUP(('OFFICE USE'!$H$1-C34)/D34,'OFFICE USE'!$C$2:$D$102)))</f>
        <v/>
      </c>
      <c r="F34" s="88" t="str">
        <f t="shared" si="0"/>
        <v/>
      </c>
      <c r="G34" s="25"/>
    </row>
    <row r="35" spans="1:7" thickBot="1" x14ac:dyDescent="0.35">
      <c r="A35" s="60"/>
      <c r="B35" s="61"/>
      <c r="C35" s="62"/>
      <c r="D35" s="62"/>
      <c r="E35" s="87" t="str">
        <f>IF(D35="","",IF(('OFFICE USE'!$H$1-C35)/D35&gt;1,0.8,LOOKUP(('OFFICE USE'!$H$1-C35)/D35,'OFFICE USE'!$C$2:$D$102)))</f>
        <v/>
      </c>
      <c r="F35" s="88" t="str">
        <f t="shared" si="0"/>
        <v/>
      </c>
      <c r="G35" s="25"/>
    </row>
    <row r="36" spans="1:7" thickBot="1" x14ac:dyDescent="0.35">
      <c r="A36" s="60"/>
      <c r="B36" s="61"/>
      <c r="C36" s="62"/>
      <c r="D36" s="62"/>
      <c r="E36" s="87" t="str">
        <f>IF(D36="","",IF(('OFFICE USE'!$H$1-C36)/D36&gt;1,0.8,LOOKUP(('OFFICE USE'!$H$1-C36)/D36,'OFFICE USE'!$C$2:$D$102)))</f>
        <v/>
      </c>
      <c r="F36" s="88" t="str">
        <f t="shared" si="0"/>
        <v/>
      </c>
      <c r="G36" s="25"/>
    </row>
    <row r="37" spans="1:7" thickBot="1" x14ac:dyDescent="0.35">
      <c r="A37" s="60"/>
      <c r="B37" s="61"/>
      <c r="C37" s="62"/>
      <c r="D37" s="62"/>
      <c r="E37" s="87" t="str">
        <f>IF(D37="","",IF(('OFFICE USE'!$H$1-C37)/D37&gt;1,0.8,LOOKUP(('OFFICE USE'!$H$1-C37)/D37,'OFFICE USE'!$C$2:$D$102)))</f>
        <v/>
      </c>
      <c r="F37" s="88" t="str">
        <f t="shared" si="0"/>
        <v/>
      </c>
      <c r="G37" s="25"/>
    </row>
    <row r="38" spans="1:7" ht="15.75" thickBot="1" x14ac:dyDescent="0.3">
      <c r="A38" s="60"/>
      <c r="B38" s="61"/>
      <c r="C38" s="62"/>
      <c r="D38" s="62"/>
      <c r="E38" s="87" t="str">
        <f>IF(D38="","",IF(('OFFICE USE'!$H$1-C38)/D38&gt;1,0.8,LOOKUP(('OFFICE USE'!$H$1-C38)/D38,'OFFICE USE'!$C$2:$D$102)))</f>
        <v/>
      </c>
      <c r="F38" s="88" t="str">
        <f t="shared" si="0"/>
        <v/>
      </c>
      <c r="G38" s="25"/>
    </row>
    <row r="39" spans="1:7" ht="15.75" thickBot="1" x14ac:dyDescent="0.3">
      <c r="A39" s="60"/>
      <c r="B39" s="61"/>
      <c r="C39" s="62"/>
      <c r="D39" s="62"/>
      <c r="E39" s="87" t="str">
        <f>IF(D39="","",IF(('OFFICE USE'!$H$1-C39)/D39&gt;1,0.8,LOOKUP(('OFFICE USE'!$H$1-C39)/D39,'OFFICE USE'!$C$2:$D$102)))</f>
        <v/>
      </c>
      <c r="F39" s="88" t="str">
        <f t="shared" si="0"/>
        <v/>
      </c>
      <c r="G39" s="25"/>
    </row>
    <row r="40" spans="1:7" ht="15.75" thickBot="1" x14ac:dyDescent="0.3">
      <c r="A40" s="60"/>
      <c r="B40" s="61"/>
      <c r="C40" s="62"/>
      <c r="D40" s="62"/>
      <c r="E40" s="87" t="str">
        <f>IF(D40="","",IF(('OFFICE USE'!$H$1-C40)/D40&gt;1,0.8,LOOKUP(('OFFICE USE'!$H$1-C40)/D40,'OFFICE USE'!$C$2:$D$102)))</f>
        <v/>
      </c>
      <c r="F40" s="88" t="str">
        <f t="shared" si="0"/>
        <v/>
      </c>
      <c r="G40" s="25"/>
    </row>
    <row r="41" spans="1:7" ht="15.75" thickBot="1" x14ac:dyDescent="0.3">
      <c r="A41" s="60"/>
      <c r="B41" s="61"/>
      <c r="C41" s="62"/>
      <c r="D41" s="62"/>
      <c r="E41" s="87" t="str">
        <f>IF(D41="","",IF(('OFFICE USE'!$H$1-C41)/D41&gt;1,0.8,LOOKUP(('OFFICE USE'!$H$1-C41)/D41,'OFFICE USE'!$C$2:$D$102)))</f>
        <v/>
      </c>
      <c r="F41" s="88" t="str">
        <f t="shared" si="0"/>
        <v/>
      </c>
      <c r="G41" s="25"/>
    </row>
    <row r="42" spans="1:7" ht="15.75" thickBot="1" x14ac:dyDescent="0.3">
      <c r="A42" s="60"/>
      <c r="B42" s="61"/>
      <c r="C42" s="62"/>
      <c r="D42" s="62"/>
      <c r="E42" s="87" t="str">
        <f>IF(D42="","",IF(('OFFICE USE'!$H$1-C42)/D42&gt;1,0.8,LOOKUP(('OFFICE USE'!$H$1-C42)/D42,'OFFICE USE'!$C$2:$D$102)))</f>
        <v/>
      </c>
      <c r="F42" s="88" t="str">
        <f t="shared" si="0"/>
        <v/>
      </c>
      <c r="G42" s="25"/>
    </row>
    <row r="43" spans="1:7" ht="15.75" thickBot="1" x14ac:dyDescent="0.3">
      <c r="A43" s="60"/>
      <c r="B43" s="61"/>
      <c r="C43" s="62"/>
      <c r="D43" s="62"/>
      <c r="E43" s="87" t="str">
        <f>IF(D43="","",IF(('OFFICE USE'!$H$1-C43)/D43&gt;1,0.8,LOOKUP(('OFFICE USE'!$H$1-C43)/D43,'OFFICE USE'!$C$2:$D$102)))</f>
        <v/>
      </c>
      <c r="F43" s="88" t="str">
        <f t="shared" si="0"/>
        <v/>
      </c>
      <c r="G43" s="25"/>
    </row>
    <row r="44" spans="1:7" ht="15.75" thickBot="1" x14ac:dyDescent="0.3">
      <c r="A44" s="60"/>
      <c r="B44" s="61"/>
      <c r="C44" s="62"/>
      <c r="D44" s="62"/>
      <c r="E44" s="87" t="str">
        <f>IF(D44="","",IF(('OFFICE USE'!$H$1-C44)/D44&gt;1,0.8,LOOKUP(('OFFICE USE'!$H$1-C44)/D44,'OFFICE USE'!$C$2:$D$102)))</f>
        <v/>
      </c>
      <c r="F44" s="88" t="str">
        <f t="shared" si="0"/>
        <v/>
      </c>
      <c r="G44" s="25"/>
    </row>
    <row r="45" spans="1:7" ht="15.75" thickBot="1" x14ac:dyDescent="0.3">
      <c r="A45" s="60"/>
      <c r="B45" s="61"/>
      <c r="C45" s="62"/>
      <c r="D45" s="62"/>
      <c r="E45" s="87" t="str">
        <f>IF(D45="","",IF(('OFFICE USE'!$H$1-C45)/D45&gt;1,0.8,LOOKUP(('OFFICE USE'!$H$1-C45)/D45,'OFFICE USE'!$C$2:$D$102)))</f>
        <v/>
      </c>
      <c r="F45" s="88" t="str">
        <f t="shared" si="0"/>
        <v/>
      </c>
      <c r="G45" s="25"/>
    </row>
    <row r="46" spans="1:7" ht="15.75" thickBot="1" x14ac:dyDescent="0.3">
      <c r="A46" s="60"/>
      <c r="B46" s="61"/>
      <c r="C46" s="62"/>
      <c r="D46" s="62"/>
      <c r="E46" s="87" t="str">
        <f>IF(D46="","",IF(('OFFICE USE'!$H$1-C46)/D46&gt;1,0.8,LOOKUP(('OFFICE USE'!$H$1-C46)/D46,'OFFICE USE'!$C$2:$D$102)))</f>
        <v/>
      </c>
      <c r="F46" s="88" t="str">
        <f t="shared" si="0"/>
        <v/>
      </c>
      <c r="G46" s="25"/>
    </row>
    <row r="47" spans="1:7" ht="15.75" thickBot="1" x14ac:dyDescent="0.3">
      <c r="A47" s="60"/>
      <c r="B47" s="61"/>
      <c r="C47" s="62"/>
      <c r="D47" s="62"/>
      <c r="E47" s="87" t="str">
        <f>IF(D47="","",IF(('OFFICE USE'!$H$1-C47)/D47&gt;1,0.8,LOOKUP(('OFFICE USE'!$H$1-C47)/D47,'OFFICE USE'!$C$2:$D$102)))</f>
        <v/>
      </c>
      <c r="F47" s="88" t="str">
        <f t="shared" si="0"/>
        <v/>
      </c>
      <c r="G47" s="25"/>
    </row>
    <row r="48" spans="1:7" ht="15.75" thickBot="1" x14ac:dyDescent="0.3">
      <c r="A48" s="60"/>
      <c r="B48" s="61"/>
      <c r="C48" s="62"/>
      <c r="D48" s="62"/>
      <c r="E48" s="87" t="str">
        <f>IF(D48="","",IF(('OFFICE USE'!$H$1-C48)/D48&gt;1,0.8,LOOKUP(('OFFICE USE'!$H$1-C48)/D48,'OFFICE USE'!$C$2:$D$102)))</f>
        <v/>
      </c>
      <c r="F48" s="88" t="str">
        <f t="shared" si="0"/>
        <v/>
      </c>
      <c r="G48" s="25"/>
    </row>
    <row r="49" spans="1:7" ht="15.75" thickBot="1" x14ac:dyDescent="0.3">
      <c r="A49" s="60"/>
      <c r="B49" s="61"/>
      <c r="C49" s="62"/>
      <c r="D49" s="62"/>
      <c r="E49" s="87" t="str">
        <f>IF(D49="","",IF(('OFFICE USE'!$H$1-C49)/D49&gt;1,0.8,LOOKUP(('OFFICE USE'!$H$1-C49)/D49,'OFFICE USE'!$C$2:$D$102)))</f>
        <v/>
      </c>
      <c r="F49" s="88" t="str">
        <f t="shared" si="0"/>
        <v/>
      </c>
      <c r="G49" s="25"/>
    </row>
    <row r="50" spans="1:7" ht="15.75" thickBot="1" x14ac:dyDescent="0.3">
      <c r="A50" s="60"/>
      <c r="B50" s="61"/>
      <c r="C50" s="62"/>
      <c r="D50" s="62"/>
      <c r="E50" s="87" t="str">
        <f>IF(D50="","",IF(('OFFICE USE'!$H$1-C50)/D50&gt;1,0.8,LOOKUP(('OFFICE USE'!$H$1-C50)/D50,'OFFICE USE'!$C$2:$D$102)))</f>
        <v/>
      </c>
      <c r="F50" s="88" t="str">
        <f t="shared" si="0"/>
        <v/>
      </c>
      <c r="G50" s="25"/>
    </row>
  </sheetData>
  <sheetProtection password="E928" sheet="1" objects="1" scenarios="1" selectLockedCells="1"/>
  <printOptions horizontalCentered="1" verticalCentered="1"/>
  <pageMargins left="0.45" right="0.45" top="0.75" bottom="0.25" header="0" footer="0"/>
  <pageSetup scale="80" orientation="portrait" r:id="rId1"/>
  <headerFoot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59999389629810485"/>
    <pageSetUpPr fitToPage="1"/>
  </sheetPr>
  <dimension ref="A1:L50"/>
  <sheetViews>
    <sheetView workbookViewId="0">
      <pane ySplit="2" topLeftCell="A3" activePane="bottomLeft" state="frozen"/>
      <selection activeCell="G29" sqref="G29"/>
      <selection pane="bottomLeft" activeCell="A3" sqref="A3"/>
    </sheetView>
  </sheetViews>
  <sheetFormatPr defaultColWidth="9.140625" defaultRowHeight="15" x14ac:dyDescent="0.25"/>
  <cols>
    <col min="1" max="1" width="25.7109375" style="20" bestFit="1" customWidth="1"/>
    <col min="2" max="2" width="16.7109375" style="25" customWidth="1"/>
    <col min="3" max="3" width="13.7109375" style="20" customWidth="1"/>
    <col min="4" max="4" width="13.7109375" style="1" customWidth="1"/>
    <col min="5" max="5" width="16.7109375" style="20" customWidth="1"/>
    <col min="6" max="6" width="18.7109375" style="1" customWidth="1"/>
    <col min="7" max="7" width="20.140625" style="20" customWidth="1"/>
    <col min="8" max="8" width="22" style="20" customWidth="1"/>
    <col min="9" max="9" width="24.28515625" style="20" bestFit="1" customWidth="1"/>
    <col min="10" max="16384" width="9.140625" style="20"/>
  </cols>
  <sheetData>
    <row r="1" spans="1:12" ht="36" customHeight="1" thickBot="1" x14ac:dyDescent="0.55000000000000004">
      <c r="A1" s="52" t="s">
        <v>45</v>
      </c>
      <c r="L1" s="80" t="s">
        <v>56</v>
      </c>
    </row>
    <row r="2" spans="1:12" s="24" customFormat="1" ht="34.15" customHeight="1" thickBot="1" x14ac:dyDescent="0.35">
      <c r="A2" s="49" t="s">
        <v>31</v>
      </c>
      <c r="B2" s="49" t="s">
        <v>76</v>
      </c>
      <c r="C2" s="49" t="s">
        <v>77</v>
      </c>
      <c r="D2" s="49" t="s">
        <v>59</v>
      </c>
      <c r="E2" s="49" t="s">
        <v>55</v>
      </c>
      <c r="F2" s="86" t="s">
        <v>18</v>
      </c>
      <c r="G2" s="86" t="s">
        <v>9</v>
      </c>
      <c r="I2" s="24" t="s">
        <v>19</v>
      </c>
      <c r="L2" s="80" t="s">
        <v>57</v>
      </c>
    </row>
    <row r="3" spans="1:12" thickBot="1" x14ac:dyDescent="0.35">
      <c r="A3" s="60"/>
      <c r="B3" s="63"/>
      <c r="C3" s="64"/>
      <c r="D3" s="62"/>
      <c r="E3" s="81"/>
      <c r="F3" s="87" t="str">
        <f>IF(E3="","",IF(E3="NO",0%,IF(('OFFICE USE'!$H$1-C3)/D3&gt;1,0.8,(LOOKUP(('OFFICE USE'!$H$1-C3)/D3,'OFFICE USE'!$C$2:$D$102)))))</f>
        <v/>
      </c>
      <c r="G3" s="89" t="str">
        <f>IF(F3="","",B3*(1-F3))</f>
        <v/>
      </c>
      <c r="H3" s="25"/>
      <c r="I3" s="82"/>
    </row>
    <row r="4" spans="1:12" thickBot="1" x14ac:dyDescent="0.35">
      <c r="A4" s="60"/>
      <c r="B4" s="63"/>
      <c r="C4" s="64"/>
      <c r="D4" s="62"/>
      <c r="E4" s="81"/>
      <c r="F4" s="87" t="str">
        <f>IF(E4="","",IF(E4="NO",0%,IF(('OFFICE USE'!$H$1-C4)/D4&gt;1,0.8,(LOOKUP(('OFFICE USE'!$H$1-C4)/D4,'OFFICE USE'!$C$2:$D$102)))))</f>
        <v/>
      </c>
      <c r="G4" s="89" t="str">
        <f t="shared" ref="G4:G50" si="0">IF(F4="","",B4*(1-F4))</f>
        <v/>
      </c>
      <c r="H4" s="25"/>
    </row>
    <row r="5" spans="1:12" thickBot="1" x14ac:dyDescent="0.35">
      <c r="A5" s="60"/>
      <c r="B5" s="63"/>
      <c r="C5" s="64"/>
      <c r="D5" s="62"/>
      <c r="E5" s="81"/>
      <c r="F5" s="87" t="str">
        <f>IF(E5="","",IF(E5="NO",0%,IF(('OFFICE USE'!$H$1-C5)/D5&gt;1,0.8,(LOOKUP(('OFFICE USE'!$H$1-C5)/D5,'OFFICE USE'!$C$2:$D$102)))))</f>
        <v/>
      </c>
      <c r="G5" s="89" t="str">
        <f t="shared" si="0"/>
        <v/>
      </c>
      <c r="H5" s="25"/>
    </row>
    <row r="6" spans="1:12" thickBot="1" x14ac:dyDescent="0.35">
      <c r="A6" s="60"/>
      <c r="B6" s="63"/>
      <c r="C6" s="64"/>
      <c r="D6" s="62"/>
      <c r="E6" s="81"/>
      <c r="F6" s="87" t="str">
        <f>IF(E6="","",IF(E6="NO",0%,IF(('OFFICE USE'!$H$1-C6)/D6&gt;1,0.8,(LOOKUP(('OFFICE USE'!$H$1-C6)/D6,'OFFICE USE'!$C$2:$D$102)))))</f>
        <v/>
      </c>
      <c r="G6" s="89" t="str">
        <f t="shared" si="0"/>
        <v/>
      </c>
      <c r="H6" s="25"/>
    </row>
    <row r="7" spans="1:12" thickBot="1" x14ac:dyDescent="0.35">
      <c r="A7" s="60"/>
      <c r="B7" s="63"/>
      <c r="C7" s="64"/>
      <c r="D7" s="62"/>
      <c r="E7" s="81"/>
      <c r="F7" s="87" t="str">
        <f>IF(E7="","",IF(E7="NO",0%,IF(('OFFICE USE'!$H$1-C7)/D7&gt;1,0.8,(LOOKUP(('OFFICE USE'!$H$1-C7)/D7,'OFFICE USE'!$C$2:$D$102)))))</f>
        <v/>
      </c>
      <c r="G7" s="89" t="str">
        <f t="shared" si="0"/>
        <v/>
      </c>
      <c r="H7" s="25"/>
    </row>
    <row r="8" spans="1:12" thickBot="1" x14ac:dyDescent="0.35">
      <c r="A8" s="60"/>
      <c r="B8" s="63"/>
      <c r="C8" s="64"/>
      <c r="D8" s="62"/>
      <c r="E8" s="81"/>
      <c r="F8" s="87" t="str">
        <f>IF(E8="","",IF(E8="NO",0%,IF(('OFFICE USE'!$H$1-C8)/D8&gt;1,0.8,(LOOKUP(('OFFICE USE'!$H$1-C8)/D8,'OFFICE USE'!$C$2:$D$102)))))</f>
        <v/>
      </c>
      <c r="G8" s="89" t="str">
        <f t="shared" si="0"/>
        <v/>
      </c>
      <c r="H8" s="25"/>
    </row>
    <row r="9" spans="1:12" thickBot="1" x14ac:dyDescent="0.35">
      <c r="A9" s="60"/>
      <c r="B9" s="63"/>
      <c r="C9" s="64"/>
      <c r="D9" s="62"/>
      <c r="E9" s="81"/>
      <c r="F9" s="87" t="str">
        <f>IF(E9="","",IF(E9="NO",0%,IF(('OFFICE USE'!$H$1-C9)/D9&gt;1,0.8,(LOOKUP(('OFFICE USE'!$H$1-C9)/D9,'OFFICE USE'!$C$2:$D$102)))))</f>
        <v/>
      </c>
      <c r="G9" s="89" t="str">
        <f t="shared" si="0"/>
        <v/>
      </c>
      <c r="H9" s="25"/>
    </row>
    <row r="10" spans="1:12" thickBot="1" x14ac:dyDescent="0.35">
      <c r="A10" s="60"/>
      <c r="B10" s="63"/>
      <c r="C10" s="64"/>
      <c r="D10" s="62"/>
      <c r="E10" s="81"/>
      <c r="F10" s="87" t="str">
        <f>IF(E10="","",IF(E10="NO",0%,IF(('OFFICE USE'!$H$1-C10)/D10&gt;1,0.8,(LOOKUP(('OFFICE USE'!$H$1-C10)/D10,'OFFICE USE'!$C$2:$D$102)))))</f>
        <v/>
      </c>
      <c r="G10" s="89" t="str">
        <f t="shared" si="0"/>
        <v/>
      </c>
      <c r="H10" s="25"/>
    </row>
    <row r="11" spans="1:12" thickBot="1" x14ac:dyDescent="0.35">
      <c r="A11" s="60"/>
      <c r="B11" s="63"/>
      <c r="C11" s="64"/>
      <c r="D11" s="62"/>
      <c r="E11" s="81"/>
      <c r="F11" s="87" t="str">
        <f>IF(E11="","",IF(E11="NO",0%,IF(('OFFICE USE'!$H$1-C11)/D11&gt;1,0.8,(LOOKUP(('OFFICE USE'!$H$1-C11)/D11,'OFFICE USE'!$C$2:$D$102)))))</f>
        <v/>
      </c>
      <c r="G11" s="89" t="str">
        <f t="shared" si="0"/>
        <v/>
      </c>
      <c r="H11" s="25"/>
    </row>
    <row r="12" spans="1:12" thickBot="1" x14ac:dyDescent="0.35">
      <c r="A12" s="60"/>
      <c r="B12" s="63"/>
      <c r="C12" s="64"/>
      <c r="D12" s="62"/>
      <c r="E12" s="81"/>
      <c r="F12" s="87" t="str">
        <f>IF(E12="","",IF(E12="NO",0%,IF(('OFFICE USE'!$H$1-C12)/D12&gt;1,0.8,(LOOKUP(('OFFICE USE'!$H$1-C12)/D12,'OFFICE USE'!$C$2:$D$102)))))</f>
        <v/>
      </c>
      <c r="G12" s="89" t="str">
        <f t="shared" si="0"/>
        <v/>
      </c>
      <c r="H12" s="25"/>
    </row>
    <row r="13" spans="1:12" thickBot="1" x14ac:dyDescent="0.35">
      <c r="A13" s="60"/>
      <c r="B13" s="63"/>
      <c r="C13" s="64"/>
      <c r="D13" s="62"/>
      <c r="E13" s="81"/>
      <c r="F13" s="87" t="str">
        <f>IF(E13="","",IF(E13="NO",0%,IF(('OFFICE USE'!$H$1-C13)/D13&gt;1,0.8,(LOOKUP(('OFFICE USE'!$H$1-C13)/D13,'OFFICE USE'!$C$2:$D$102)))))</f>
        <v/>
      </c>
      <c r="G13" s="89" t="str">
        <f t="shared" si="0"/>
        <v/>
      </c>
      <c r="H13" s="25"/>
    </row>
    <row r="14" spans="1:12" thickBot="1" x14ac:dyDescent="0.35">
      <c r="A14" s="60"/>
      <c r="B14" s="63"/>
      <c r="C14" s="64"/>
      <c r="D14" s="62"/>
      <c r="E14" s="81"/>
      <c r="F14" s="87" t="str">
        <f>IF(E14="","",IF(E14="NO",0%,IF(('OFFICE USE'!$H$1-C14)/D14&gt;1,0.8,(LOOKUP(('OFFICE USE'!$H$1-C14)/D14,'OFFICE USE'!$C$2:$D$102)))))</f>
        <v/>
      </c>
      <c r="G14" s="89" t="str">
        <f t="shared" si="0"/>
        <v/>
      </c>
      <c r="H14" s="25"/>
    </row>
    <row r="15" spans="1:12" thickBot="1" x14ac:dyDescent="0.35">
      <c r="A15" s="60"/>
      <c r="B15" s="63"/>
      <c r="C15" s="64"/>
      <c r="D15" s="62"/>
      <c r="E15" s="81"/>
      <c r="F15" s="87" t="str">
        <f>IF(E15="","",IF(E15="NO",0%,IF(('OFFICE USE'!$H$1-C15)/D15&gt;1,0.8,(LOOKUP(('OFFICE USE'!$H$1-C15)/D15,'OFFICE USE'!$C$2:$D$102)))))</f>
        <v/>
      </c>
      <c r="G15" s="89" t="str">
        <f t="shared" si="0"/>
        <v/>
      </c>
      <c r="H15" s="25"/>
    </row>
    <row r="16" spans="1:12" thickBot="1" x14ac:dyDescent="0.35">
      <c r="A16" s="60"/>
      <c r="B16" s="63"/>
      <c r="C16" s="64"/>
      <c r="D16" s="62"/>
      <c r="E16" s="81"/>
      <c r="F16" s="87" t="str">
        <f>IF(E16="","",IF(E16="NO",0%,IF(('OFFICE USE'!$H$1-C16)/D16&gt;1,0.8,(LOOKUP(('OFFICE USE'!$H$1-C16)/D16,'OFFICE USE'!$C$2:$D$102)))))</f>
        <v/>
      </c>
      <c r="G16" s="89" t="str">
        <f t="shared" si="0"/>
        <v/>
      </c>
      <c r="H16" s="25"/>
    </row>
    <row r="17" spans="1:8" thickBot="1" x14ac:dyDescent="0.35">
      <c r="A17" s="60"/>
      <c r="B17" s="63"/>
      <c r="C17" s="64"/>
      <c r="D17" s="62"/>
      <c r="E17" s="81"/>
      <c r="F17" s="87" t="str">
        <f>IF(E17="","",IF(E17="NO",0%,IF(('OFFICE USE'!$H$1-C17)/D17&gt;1,0.8,(LOOKUP(('OFFICE USE'!$H$1-C17)/D17,'OFFICE USE'!$C$2:$D$102)))))</f>
        <v/>
      </c>
      <c r="G17" s="89" t="str">
        <f t="shared" si="0"/>
        <v/>
      </c>
      <c r="H17" s="25"/>
    </row>
    <row r="18" spans="1:8" thickBot="1" x14ac:dyDescent="0.35">
      <c r="A18" s="60"/>
      <c r="B18" s="63"/>
      <c r="C18" s="64"/>
      <c r="D18" s="62"/>
      <c r="E18" s="81"/>
      <c r="F18" s="87" t="str">
        <f>IF(E18="","",IF(E18="NO",0%,IF(('OFFICE USE'!$H$1-C18)/D18&gt;1,0.8,(LOOKUP(('OFFICE USE'!$H$1-C18)/D18,'OFFICE USE'!$C$2:$D$102)))))</f>
        <v/>
      </c>
      <c r="G18" s="89" t="str">
        <f t="shared" si="0"/>
        <v/>
      </c>
      <c r="H18" s="25"/>
    </row>
    <row r="19" spans="1:8" thickBot="1" x14ac:dyDescent="0.35">
      <c r="A19" s="60"/>
      <c r="B19" s="63"/>
      <c r="C19" s="64"/>
      <c r="D19" s="62"/>
      <c r="E19" s="81"/>
      <c r="F19" s="87" t="str">
        <f>IF(E19="","",IF(E19="NO",0%,IF(('OFFICE USE'!$H$1-C19)/D19&gt;1,0.8,(LOOKUP(('OFFICE USE'!$H$1-C19)/D19,'OFFICE USE'!$C$2:$D$102)))))</f>
        <v/>
      </c>
      <c r="G19" s="89" t="str">
        <f t="shared" si="0"/>
        <v/>
      </c>
      <c r="H19" s="25"/>
    </row>
    <row r="20" spans="1:8" thickBot="1" x14ac:dyDescent="0.35">
      <c r="A20" s="60"/>
      <c r="B20" s="63"/>
      <c r="C20" s="64"/>
      <c r="D20" s="62"/>
      <c r="E20" s="81"/>
      <c r="F20" s="87" t="str">
        <f>IF(E20="","",IF(E20="NO",0%,IF(('OFFICE USE'!$H$1-C20)/D20&gt;1,0.8,(LOOKUP(('OFFICE USE'!$H$1-C20)/D20,'OFFICE USE'!$C$2:$D$102)))))</f>
        <v/>
      </c>
      <c r="G20" s="89" t="str">
        <f t="shared" si="0"/>
        <v/>
      </c>
      <c r="H20" s="25"/>
    </row>
    <row r="21" spans="1:8" thickBot="1" x14ac:dyDescent="0.35">
      <c r="A21" s="60"/>
      <c r="B21" s="63"/>
      <c r="C21" s="64"/>
      <c r="D21" s="62"/>
      <c r="E21" s="81"/>
      <c r="F21" s="87" t="str">
        <f>IF(E21="","",IF(E21="NO",0%,IF(('OFFICE USE'!$H$1-C21)/D21&gt;1,0.8,(LOOKUP(('OFFICE USE'!$H$1-C21)/D21,'OFFICE USE'!$C$2:$D$102)))))</f>
        <v/>
      </c>
      <c r="G21" s="89" t="str">
        <f t="shared" si="0"/>
        <v/>
      </c>
      <c r="H21" s="25"/>
    </row>
    <row r="22" spans="1:8" thickBot="1" x14ac:dyDescent="0.35">
      <c r="A22" s="60"/>
      <c r="B22" s="63"/>
      <c r="C22" s="64"/>
      <c r="D22" s="62"/>
      <c r="E22" s="81"/>
      <c r="F22" s="87" t="str">
        <f>IF(E22="","",IF(E22="NO",0%,IF(('OFFICE USE'!$H$1-C22)/D22&gt;1,0.8,(LOOKUP(('OFFICE USE'!$H$1-C22)/D22,'OFFICE USE'!$C$2:$D$102)))))</f>
        <v/>
      </c>
      <c r="G22" s="89" t="str">
        <f t="shared" si="0"/>
        <v/>
      </c>
      <c r="H22" s="25"/>
    </row>
    <row r="23" spans="1:8" thickBot="1" x14ac:dyDescent="0.35">
      <c r="A23" s="60"/>
      <c r="B23" s="63"/>
      <c r="C23" s="64"/>
      <c r="D23" s="62"/>
      <c r="E23" s="81"/>
      <c r="F23" s="87" t="str">
        <f>IF(E23="","",IF(E23="NO",0%,IF(('OFFICE USE'!$H$1-C23)/D23&gt;1,0.8,(LOOKUP(('OFFICE USE'!$H$1-C23)/D23,'OFFICE USE'!$C$2:$D$102)))))</f>
        <v/>
      </c>
      <c r="G23" s="89" t="str">
        <f t="shared" si="0"/>
        <v/>
      </c>
      <c r="H23" s="25"/>
    </row>
    <row r="24" spans="1:8" thickBot="1" x14ac:dyDescent="0.35">
      <c r="A24" s="60"/>
      <c r="B24" s="63"/>
      <c r="C24" s="64"/>
      <c r="D24" s="62"/>
      <c r="E24" s="81"/>
      <c r="F24" s="87" t="str">
        <f>IF(E24="","",IF(E24="NO",0%,IF(('OFFICE USE'!$H$1-C24)/D24&gt;1,0.8,(LOOKUP(('OFFICE USE'!$H$1-C24)/D24,'OFFICE USE'!$C$2:$D$102)))))</f>
        <v/>
      </c>
      <c r="G24" s="89" t="str">
        <f t="shared" si="0"/>
        <v/>
      </c>
      <c r="H24" s="25"/>
    </row>
    <row r="25" spans="1:8" thickBot="1" x14ac:dyDescent="0.35">
      <c r="A25" s="60"/>
      <c r="B25" s="63"/>
      <c r="C25" s="64"/>
      <c r="D25" s="62"/>
      <c r="E25" s="81"/>
      <c r="F25" s="87" t="str">
        <f>IF(E25="","",IF(E25="NO",0%,IF(('OFFICE USE'!$H$1-C25)/D25&gt;1,0.8,(LOOKUP(('OFFICE USE'!$H$1-C25)/D25,'OFFICE USE'!$C$2:$D$102)))))</f>
        <v/>
      </c>
      <c r="G25" s="89" t="str">
        <f t="shared" si="0"/>
        <v/>
      </c>
      <c r="H25" s="25"/>
    </row>
    <row r="26" spans="1:8" thickBot="1" x14ac:dyDescent="0.35">
      <c r="A26" s="60"/>
      <c r="B26" s="63"/>
      <c r="C26" s="64"/>
      <c r="D26" s="62"/>
      <c r="E26" s="81"/>
      <c r="F26" s="87" t="str">
        <f>IF(E26="","",IF(E26="NO",0%,IF(('OFFICE USE'!$H$1-C26)/D26&gt;1,0.8,(LOOKUP(('OFFICE USE'!$H$1-C26)/D26,'OFFICE USE'!$C$2:$D$102)))))</f>
        <v/>
      </c>
      <c r="G26" s="89" t="str">
        <f t="shared" si="0"/>
        <v/>
      </c>
      <c r="H26" s="25"/>
    </row>
    <row r="27" spans="1:8" thickBot="1" x14ac:dyDescent="0.35">
      <c r="A27" s="60"/>
      <c r="B27" s="63"/>
      <c r="C27" s="64"/>
      <c r="D27" s="62"/>
      <c r="E27" s="81"/>
      <c r="F27" s="87" t="str">
        <f>IF(E27="","",IF(E27="NO",0%,IF(('OFFICE USE'!$H$1-C27)/D27&gt;1,0.8,(LOOKUP(('OFFICE USE'!$H$1-C27)/D27,'OFFICE USE'!$C$2:$D$102)))))</f>
        <v/>
      </c>
      <c r="G27" s="89" t="str">
        <f t="shared" si="0"/>
        <v/>
      </c>
      <c r="H27" s="25"/>
    </row>
    <row r="28" spans="1:8" thickBot="1" x14ac:dyDescent="0.35">
      <c r="A28" s="60"/>
      <c r="B28" s="63"/>
      <c r="C28" s="64"/>
      <c r="D28" s="62"/>
      <c r="E28" s="81"/>
      <c r="F28" s="87" t="str">
        <f>IF(E28="","",IF(E28="NO",0%,IF(('OFFICE USE'!$H$1-C28)/D28&gt;1,0.8,(LOOKUP(('OFFICE USE'!$H$1-C28)/D28,'OFFICE USE'!$C$2:$D$102)))))</f>
        <v/>
      </c>
      <c r="G28" s="89" t="str">
        <f t="shared" si="0"/>
        <v/>
      </c>
      <c r="H28" s="25"/>
    </row>
    <row r="29" spans="1:8" thickBot="1" x14ac:dyDescent="0.35">
      <c r="A29" s="60"/>
      <c r="B29" s="63"/>
      <c r="C29" s="64"/>
      <c r="D29" s="62"/>
      <c r="E29" s="81"/>
      <c r="F29" s="87" t="str">
        <f>IF(E29="","",IF(E29="NO",0%,IF(('OFFICE USE'!$H$1-C29)/D29&gt;1,0.8,(LOOKUP(('OFFICE USE'!$H$1-C29)/D29,'OFFICE USE'!$C$2:$D$102)))))</f>
        <v/>
      </c>
      <c r="G29" s="89" t="str">
        <f t="shared" si="0"/>
        <v/>
      </c>
      <c r="H29" s="25"/>
    </row>
    <row r="30" spans="1:8" thickBot="1" x14ac:dyDescent="0.35">
      <c r="A30" s="60"/>
      <c r="B30" s="63"/>
      <c r="C30" s="64"/>
      <c r="D30" s="62"/>
      <c r="E30" s="81"/>
      <c r="F30" s="87" t="str">
        <f>IF(E30="","",IF(E30="NO",0%,IF(('OFFICE USE'!$H$1-C30)/D30&gt;1,0.8,(LOOKUP(('OFFICE USE'!$H$1-C30)/D30,'OFFICE USE'!$C$2:$D$102)))))</f>
        <v/>
      </c>
      <c r="G30" s="89" t="str">
        <f t="shared" si="0"/>
        <v/>
      </c>
      <c r="H30" s="25"/>
    </row>
    <row r="31" spans="1:8" thickBot="1" x14ac:dyDescent="0.35">
      <c r="A31" s="60"/>
      <c r="B31" s="63"/>
      <c r="C31" s="64"/>
      <c r="D31" s="62"/>
      <c r="E31" s="81"/>
      <c r="F31" s="87" t="str">
        <f>IF(E31="","",IF(E31="NO",0%,IF(('OFFICE USE'!$H$1-C31)/D31&gt;1,0.8,(LOOKUP(('OFFICE USE'!$H$1-C31)/D31,'OFFICE USE'!$C$2:$D$102)))))</f>
        <v/>
      </c>
      <c r="G31" s="89" t="str">
        <f t="shared" si="0"/>
        <v/>
      </c>
      <c r="H31" s="25"/>
    </row>
    <row r="32" spans="1:8" thickBot="1" x14ac:dyDescent="0.35">
      <c r="A32" s="60"/>
      <c r="B32" s="63"/>
      <c r="C32" s="64"/>
      <c r="D32" s="62"/>
      <c r="E32" s="81"/>
      <c r="F32" s="87" t="str">
        <f>IF(E32="","",IF(E32="NO",0%,IF(('OFFICE USE'!$H$1-C32)/D32&gt;1,0.8,(LOOKUP(('OFFICE USE'!$H$1-C32)/D32,'OFFICE USE'!$C$2:$D$102)))))</f>
        <v/>
      </c>
      <c r="G32" s="89" t="str">
        <f t="shared" si="0"/>
        <v/>
      </c>
      <c r="H32" s="25"/>
    </row>
    <row r="33" spans="1:8" thickBot="1" x14ac:dyDescent="0.35">
      <c r="A33" s="60"/>
      <c r="B33" s="63"/>
      <c r="C33" s="64"/>
      <c r="D33" s="62"/>
      <c r="E33" s="81"/>
      <c r="F33" s="87" t="str">
        <f>IF(E33="","",IF(E33="NO",0%,IF(('OFFICE USE'!$H$1-C33)/D33&gt;1,0.8,(LOOKUP(('OFFICE USE'!$H$1-C33)/D33,'OFFICE USE'!$C$2:$D$102)))))</f>
        <v/>
      </c>
      <c r="G33" s="89" t="str">
        <f t="shared" si="0"/>
        <v/>
      </c>
      <c r="H33" s="25"/>
    </row>
    <row r="34" spans="1:8" thickBot="1" x14ac:dyDescent="0.35">
      <c r="A34" s="60"/>
      <c r="B34" s="63"/>
      <c r="C34" s="64"/>
      <c r="D34" s="62"/>
      <c r="E34" s="81"/>
      <c r="F34" s="87" t="str">
        <f>IF(E34="","",IF(E34="NO",0%,IF(('OFFICE USE'!$H$1-C34)/D34&gt;1,0.8,(LOOKUP(('OFFICE USE'!$H$1-C34)/D34,'OFFICE USE'!$C$2:$D$102)))))</f>
        <v/>
      </c>
      <c r="G34" s="89" t="str">
        <f t="shared" si="0"/>
        <v/>
      </c>
      <c r="H34" s="25"/>
    </row>
    <row r="35" spans="1:8" thickBot="1" x14ac:dyDescent="0.35">
      <c r="A35" s="60"/>
      <c r="B35" s="63"/>
      <c r="C35" s="64"/>
      <c r="D35" s="62"/>
      <c r="E35" s="81"/>
      <c r="F35" s="87" t="str">
        <f>IF(E35="","",IF(E35="NO",0%,IF(('OFFICE USE'!$H$1-C35)/D35&gt;1,0.8,(LOOKUP(('OFFICE USE'!$H$1-C35)/D35,'OFFICE USE'!$C$2:$D$102)))))</f>
        <v/>
      </c>
      <c r="G35" s="89" t="str">
        <f t="shared" si="0"/>
        <v/>
      </c>
      <c r="H35" s="25"/>
    </row>
    <row r="36" spans="1:8" thickBot="1" x14ac:dyDescent="0.35">
      <c r="A36" s="60"/>
      <c r="B36" s="63"/>
      <c r="C36" s="64"/>
      <c r="D36" s="62"/>
      <c r="E36" s="81"/>
      <c r="F36" s="87" t="str">
        <f>IF(E36="","",IF(E36="NO",0%,IF(('OFFICE USE'!$H$1-C36)/D36&gt;1,0.8,(LOOKUP(('OFFICE USE'!$H$1-C36)/D36,'OFFICE USE'!$C$2:$D$102)))))</f>
        <v/>
      </c>
      <c r="G36" s="89" t="str">
        <f t="shared" si="0"/>
        <v/>
      </c>
      <c r="H36" s="25"/>
    </row>
    <row r="37" spans="1:8" thickBot="1" x14ac:dyDescent="0.35">
      <c r="A37" s="60"/>
      <c r="B37" s="63"/>
      <c r="C37" s="64"/>
      <c r="D37" s="62"/>
      <c r="E37" s="81"/>
      <c r="F37" s="87" t="str">
        <f>IF(E37="","",IF(E37="NO",0%,IF(('OFFICE USE'!$H$1-C37)/D37&gt;1,0.8,(LOOKUP(('OFFICE USE'!$H$1-C37)/D37,'OFFICE USE'!$C$2:$D$102)))))</f>
        <v/>
      </c>
      <c r="G37" s="89" t="str">
        <f t="shared" si="0"/>
        <v/>
      </c>
      <c r="H37" s="25"/>
    </row>
    <row r="38" spans="1:8" ht="15.75" thickBot="1" x14ac:dyDescent="0.3">
      <c r="A38" s="60"/>
      <c r="B38" s="63"/>
      <c r="C38" s="64"/>
      <c r="D38" s="62"/>
      <c r="E38" s="81"/>
      <c r="F38" s="87" t="str">
        <f>IF(E38="","",IF(E38="NO",0%,IF(('OFFICE USE'!$H$1-C38)/D38&gt;1,0.8,(LOOKUP(('OFFICE USE'!$H$1-C38)/D38,'OFFICE USE'!$C$2:$D$102)))))</f>
        <v/>
      </c>
      <c r="G38" s="89" t="str">
        <f t="shared" si="0"/>
        <v/>
      </c>
      <c r="H38" s="25"/>
    </row>
    <row r="39" spans="1:8" ht="15.75" thickBot="1" x14ac:dyDescent="0.3">
      <c r="A39" s="60"/>
      <c r="B39" s="63"/>
      <c r="C39" s="64"/>
      <c r="D39" s="62"/>
      <c r="E39" s="81"/>
      <c r="F39" s="87" t="str">
        <f>IF(E39="","",IF(E39="NO",0%,IF(('OFFICE USE'!$H$1-C39)/D39&gt;1,0.8,(LOOKUP(('OFFICE USE'!$H$1-C39)/D39,'OFFICE USE'!$C$2:$D$102)))))</f>
        <v/>
      </c>
      <c r="G39" s="89" t="str">
        <f t="shared" si="0"/>
        <v/>
      </c>
      <c r="H39" s="25"/>
    </row>
    <row r="40" spans="1:8" ht="15.75" thickBot="1" x14ac:dyDescent="0.3">
      <c r="A40" s="60"/>
      <c r="B40" s="63"/>
      <c r="C40" s="64"/>
      <c r="D40" s="62"/>
      <c r="E40" s="81"/>
      <c r="F40" s="87" t="str">
        <f>IF(E40="","",IF(E40="NO",0%,IF(('OFFICE USE'!$H$1-C40)/D40&gt;1,0.8,(LOOKUP(('OFFICE USE'!$H$1-C40)/D40,'OFFICE USE'!$C$2:$D$102)))))</f>
        <v/>
      </c>
      <c r="G40" s="89" t="str">
        <f t="shared" si="0"/>
        <v/>
      </c>
      <c r="H40" s="25"/>
    </row>
    <row r="41" spans="1:8" ht="15.75" thickBot="1" x14ac:dyDescent="0.3">
      <c r="A41" s="60"/>
      <c r="B41" s="63"/>
      <c r="C41" s="64"/>
      <c r="D41" s="62"/>
      <c r="E41" s="81"/>
      <c r="F41" s="87" t="str">
        <f>IF(E41="","",IF(E41="NO",0%,IF(('OFFICE USE'!$H$1-C41)/D41&gt;1,0.8,(LOOKUP(('OFFICE USE'!$H$1-C41)/D41,'OFFICE USE'!$C$2:$D$102)))))</f>
        <v/>
      </c>
      <c r="G41" s="89" t="str">
        <f t="shared" si="0"/>
        <v/>
      </c>
      <c r="H41" s="25"/>
    </row>
    <row r="42" spans="1:8" ht="15.75" thickBot="1" x14ac:dyDescent="0.3">
      <c r="A42" s="60"/>
      <c r="B42" s="63"/>
      <c r="C42" s="64"/>
      <c r="D42" s="62"/>
      <c r="E42" s="81"/>
      <c r="F42" s="87" t="str">
        <f>IF(E42="","",IF(E42="NO",0%,IF(('OFFICE USE'!$H$1-C42)/D42&gt;1,0.8,(LOOKUP(('OFFICE USE'!$H$1-C42)/D42,'OFFICE USE'!$C$2:$D$102)))))</f>
        <v/>
      </c>
      <c r="G42" s="89" t="str">
        <f t="shared" si="0"/>
        <v/>
      </c>
      <c r="H42" s="25"/>
    </row>
    <row r="43" spans="1:8" ht="15.75" thickBot="1" x14ac:dyDescent="0.3">
      <c r="A43" s="60"/>
      <c r="B43" s="63"/>
      <c r="C43" s="64"/>
      <c r="D43" s="62"/>
      <c r="E43" s="81"/>
      <c r="F43" s="87" t="str">
        <f>IF(E43="","",IF(E43="NO",0%,IF(('OFFICE USE'!$H$1-C43)/D43&gt;1,0.8,(LOOKUP(('OFFICE USE'!$H$1-C43)/D43,'OFFICE USE'!$C$2:$D$102)))))</f>
        <v/>
      </c>
      <c r="G43" s="89" t="str">
        <f t="shared" si="0"/>
        <v/>
      </c>
      <c r="H43" s="25"/>
    </row>
    <row r="44" spans="1:8" ht="15.75" thickBot="1" x14ac:dyDescent="0.3">
      <c r="A44" s="60"/>
      <c r="B44" s="63"/>
      <c r="C44" s="64"/>
      <c r="D44" s="62"/>
      <c r="E44" s="81"/>
      <c r="F44" s="87" t="str">
        <f>IF(E44="","",IF(E44="NO",0%,IF(('OFFICE USE'!$H$1-C44)/D44&gt;1,0.8,(LOOKUP(('OFFICE USE'!$H$1-C44)/D44,'OFFICE USE'!$C$2:$D$102)))))</f>
        <v/>
      </c>
      <c r="G44" s="89" t="str">
        <f t="shared" si="0"/>
        <v/>
      </c>
      <c r="H44" s="25"/>
    </row>
    <row r="45" spans="1:8" ht="15.75" thickBot="1" x14ac:dyDescent="0.3">
      <c r="A45" s="60"/>
      <c r="B45" s="63"/>
      <c r="C45" s="64"/>
      <c r="D45" s="62"/>
      <c r="E45" s="81"/>
      <c r="F45" s="87" t="str">
        <f>IF(E45="","",IF(E45="NO",0%,IF(('OFFICE USE'!$H$1-C45)/D45&gt;1,0.8,(LOOKUP(('OFFICE USE'!$H$1-C45)/D45,'OFFICE USE'!$C$2:$D$102)))))</f>
        <v/>
      </c>
      <c r="G45" s="89" t="str">
        <f t="shared" si="0"/>
        <v/>
      </c>
      <c r="H45" s="25"/>
    </row>
    <row r="46" spans="1:8" ht="15.75" thickBot="1" x14ac:dyDescent="0.3">
      <c r="A46" s="60"/>
      <c r="B46" s="63"/>
      <c r="C46" s="64"/>
      <c r="D46" s="62"/>
      <c r="E46" s="81"/>
      <c r="F46" s="87" t="str">
        <f>IF(E46="","",IF(E46="NO",0%,IF(('OFFICE USE'!$H$1-C46)/D46&gt;1,0.8,(LOOKUP(('OFFICE USE'!$H$1-C46)/D46,'OFFICE USE'!$C$2:$D$102)))))</f>
        <v/>
      </c>
      <c r="G46" s="89" t="str">
        <f t="shared" si="0"/>
        <v/>
      </c>
      <c r="H46" s="25"/>
    </row>
    <row r="47" spans="1:8" ht="15.75" thickBot="1" x14ac:dyDescent="0.3">
      <c r="A47" s="60"/>
      <c r="B47" s="63"/>
      <c r="C47" s="64"/>
      <c r="D47" s="62"/>
      <c r="E47" s="81"/>
      <c r="F47" s="87" t="str">
        <f>IF(E47="","",IF(E47="NO",0%,IF(('OFFICE USE'!$H$1-C47)/D47&gt;1,0.8,(LOOKUP(('OFFICE USE'!$H$1-C47)/D47,'OFFICE USE'!$C$2:$D$102)))))</f>
        <v/>
      </c>
      <c r="G47" s="89" t="str">
        <f t="shared" si="0"/>
        <v/>
      </c>
      <c r="H47" s="25"/>
    </row>
    <row r="48" spans="1:8" ht="15.75" thickBot="1" x14ac:dyDescent="0.3">
      <c r="A48" s="60"/>
      <c r="B48" s="63"/>
      <c r="C48" s="64"/>
      <c r="D48" s="62"/>
      <c r="E48" s="81"/>
      <c r="F48" s="87" t="str">
        <f>IF(E48="","",IF(E48="NO",0%,IF(('OFFICE USE'!$H$1-C48)/D48&gt;1,0.8,(LOOKUP(('OFFICE USE'!$H$1-C48)/D48,'OFFICE USE'!$C$2:$D$102)))))</f>
        <v/>
      </c>
      <c r="G48" s="89" t="str">
        <f t="shared" si="0"/>
        <v/>
      </c>
      <c r="H48" s="25"/>
    </row>
    <row r="49" spans="1:8" ht="15.75" thickBot="1" x14ac:dyDescent="0.3">
      <c r="A49" s="60"/>
      <c r="B49" s="63"/>
      <c r="C49" s="64"/>
      <c r="D49" s="62"/>
      <c r="E49" s="81"/>
      <c r="F49" s="87" t="str">
        <f>IF(E49="","",IF(E49="NO",0%,IF(('OFFICE USE'!$H$1-C49)/D49&gt;1,0.8,(LOOKUP(('OFFICE USE'!$H$1-C49)/D49,'OFFICE USE'!$C$2:$D$102)))))</f>
        <v/>
      </c>
      <c r="G49" s="89" t="str">
        <f t="shared" si="0"/>
        <v/>
      </c>
      <c r="H49" s="25"/>
    </row>
    <row r="50" spans="1:8" ht="15.75" thickBot="1" x14ac:dyDescent="0.3">
      <c r="A50" s="60"/>
      <c r="B50" s="63"/>
      <c r="C50" s="64"/>
      <c r="D50" s="62"/>
      <c r="E50" s="81"/>
      <c r="F50" s="87" t="str">
        <f>IF(E50="","",IF(E50="NO",0%,IF(('OFFICE USE'!$H$1-C50)/D50&gt;1,0.8,(LOOKUP(('OFFICE USE'!$H$1-C50)/D50,'OFFICE USE'!$C$2:$D$102)))))</f>
        <v/>
      </c>
      <c r="G50" s="89" t="str">
        <f t="shared" si="0"/>
        <v/>
      </c>
      <c r="H50" s="25"/>
    </row>
  </sheetData>
  <sheetProtection password="E928" sheet="1" objects="1" scenarios="1"/>
  <dataValidations count="1">
    <dataValidation type="list" allowBlank="1" showInputMessage="1" showErrorMessage="1" sqref="E3:E50">
      <formula1>$L$1:$L$2</formula1>
    </dataValidation>
  </dataValidations>
  <printOptions horizontalCentered="1" verticalCentered="1"/>
  <pageMargins left="0.45" right="0.45" top="0.75" bottom="0.25" header="0" footer="0"/>
  <pageSetup scale="80" orientation="portrait" r:id="rId1"/>
  <headerFoot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3" tint="0.59999389629810485"/>
    <pageSetUpPr fitToPage="1"/>
  </sheetPr>
  <dimension ref="A1:H101"/>
  <sheetViews>
    <sheetView workbookViewId="0">
      <pane ySplit="2" topLeftCell="A3" activePane="bottomLeft" state="frozen"/>
      <selection activeCell="G29" sqref="G29"/>
      <selection pane="bottomLeft" activeCell="A3" sqref="A3"/>
    </sheetView>
  </sheetViews>
  <sheetFormatPr defaultColWidth="9.140625" defaultRowHeight="15" x14ac:dyDescent="0.25"/>
  <cols>
    <col min="1" max="1" width="25.7109375" style="20" customWidth="1"/>
    <col min="2" max="2" width="25.28515625" style="25" bestFit="1" customWidth="1"/>
    <col min="3" max="3" width="13.7109375" style="20" customWidth="1"/>
    <col min="4" max="4" width="13.7109375" style="83" customWidth="1"/>
    <col min="5" max="5" width="20.7109375" style="20" customWidth="1"/>
    <col min="6" max="7" width="22" style="20" customWidth="1"/>
    <col min="8" max="8" width="24.28515625" style="20" bestFit="1" customWidth="1"/>
    <col min="9" max="16384" width="9.140625" style="20"/>
  </cols>
  <sheetData>
    <row r="1" spans="1:8" ht="36" customHeight="1" thickBot="1" x14ac:dyDescent="0.55000000000000004">
      <c r="A1" s="52"/>
      <c r="B1" s="51" t="s">
        <v>30</v>
      </c>
    </row>
    <row r="2" spans="1:8" s="24" customFormat="1" ht="34.15" customHeight="1" thickBot="1" x14ac:dyDescent="0.35">
      <c r="A2" s="49" t="s">
        <v>31</v>
      </c>
      <c r="B2" s="49" t="s">
        <v>32</v>
      </c>
      <c r="C2" s="49" t="s">
        <v>33</v>
      </c>
      <c r="D2" s="49" t="s">
        <v>59</v>
      </c>
      <c r="E2" s="86" t="s">
        <v>18</v>
      </c>
      <c r="F2" s="86" t="s">
        <v>9</v>
      </c>
      <c r="H2" s="24" t="s">
        <v>19</v>
      </c>
    </row>
    <row r="3" spans="1:8" thickBot="1" x14ac:dyDescent="0.35">
      <c r="A3" s="60"/>
      <c r="B3" s="63"/>
      <c r="C3" s="64"/>
      <c r="D3" s="64"/>
      <c r="E3" s="90" t="str">
        <f>IF(D3="","",IF(('OFFICE USE'!$H$1-C3)/D3&gt;1,0.8,LOOKUP(('OFFICE USE'!$H$1-C3)/D3,'OFFICE USE'!$C$2:$D$102)))</f>
        <v/>
      </c>
      <c r="F3" s="89" t="str">
        <f>IF(C3&gt;0,B3*(1-E3),"")</f>
        <v/>
      </c>
      <c r="G3" s="25"/>
    </row>
    <row r="4" spans="1:8" thickBot="1" x14ac:dyDescent="0.35">
      <c r="A4" s="60"/>
      <c r="B4" s="63"/>
      <c r="C4" s="64"/>
      <c r="D4" s="64"/>
      <c r="E4" s="90" t="str">
        <f>IF(D4="","",IF(('OFFICE USE'!$H$1-C4)/D4&gt;1,0.8,LOOKUP(('OFFICE USE'!$H$1-C4)/D4,'OFFICE USE'!$C$2:$D$102)))</f>
        <v/>
      </c>
      <c r="F4" s="89" t="str">
        <f t="shared" ref="F4:F50" si="0">IF(C4&gt;0,B4*(1-E4),"")</f>
        <v/>
      </c>
      <c r="G4" s="84"/>
    </row>
    <row r="5" spans="1:8" thickBot="1" x14ac:dyDescent="0.35">
      <c r="A5" s="60"/>
      <c r="B5" s="63"/>
      <c r="C5" s="64"/>
      <c r="D5" s="64"/>
      <c r="E5" s="90" t="str">
        <f>IF(D5="","",IF(('OFFICE USE'!$H$1-C5)/D5&gt;1,0.8,LOOKUP(('OFFICE USE'!$H$1-C5)/D5,'OFFICE USE'!$C$2:$D$102)))</f>
        <v/>
      </c>
      <c r="F5" s="89" t="str">
        <f t="shared" si="0"/>
        <v/>
      </c>
      <c r="G5" s="25"/>
    </row>
    <row r="6" spans="1:8" thickBot="1" x14ac:dyDescent="0.35">
      <c r="A6" s="60"/>
      <c r="B6" s="63"/>
      <c r="C6" s="64"/>
      <c r="D6" s="64"/>
      <c r="E6" s="90" t="str">
        <f>IF(D6="","",IF(('OFFICE USE'!$H$1-C6)/D6&gt;1,0.8,LOOKUP(('OFFICE USE'!$H$1-C6)/D6,'OFFICE USE'!$C$2:$D$102)))</f>
        <v/>
      </c>
      <c r="F6" s="89" t="str">
        <f t="shared" si="0"/>
        <v/>
      </c>
      <c r="G6" s="25"/>
    </row>
    <row r="7" spans="1:8" thickBot="1" x14ac:dyDescent="0.35">
      <c r="A7" s="60"/>
      <c r="B7" s="63"/>
      <c r="C7" s="64"/>
      <c r="D7" s="64"/>
      <c r="E7" s="90" t="str">
        <f>IF(D7="","",IF(('OFFICE USE'!$H$1-C7)/D7&gt;1,0.8,LOOKUP(('OFFICE USE'!$H$1-C7)/D7,'OFFICE USE'!$C$2:$D$102)))</f>
        <v/>
      </c>
      <c r="F7" s="89" t="str">
        <f t="shared" si="0"/>
        <v/>
      </c>
      <c r="G7" s="25"/>
    </row>
    <row r="8" spans="1:8" thickBot="1" x14ac:dyDescent="0.35">
      <c r="A8" s="60"/>
      <c r="B8" s="63"/>
      <c r="C8" s="64"/>
      <c r="D8" s="64"/>
      <c r="E8" s="90" t="str">
        <f>IF(D8="","",IF(('OFFICE USE'!$H$1-C8)/D8&gt;1,0.8,LOOKUP(('OFFICE USE'!$H$1-C8)/D8,'OFFICE USE'!$C$2:$D$102)))</f>
        <v/>
      </c>
      <c r="F8" s="89" t="str">
        <f t="shared" si="0"/>
        <v/>
      </c>
      <c r="G8" s="25"/>
    </row>
    <row r="9" spans="1:8" thickBot="1" x14ac:dyDescent="0.35">
      <c r="A9" s="60"/>
      <c r="B9" s="63"/>
      <c r="C9" s="64"/>
      <c r="D9" s="64"/>
      <c r="E9" s="90" t="str">
        <f>IF(D9="","",IF(('OFFICE USE'!$H$1-C9)/D9&gt;1,0.8,LOOKUP(('OFFICE USE'!$H$1-C9)/D9,'OFFICE USE'!$C$2:$D$102)))</f>
        <v/>
      </c>
      <c r="F9" s="89" t="str">
        <f t="shared" si="0"/>
        <v/>
      </c>
      <c r="G9" s="25"/>
    </row>
    <row r="10" spans="1:8" thickBot="1" x14ac:dyDescent="0.35">
      <c r="A10" s="60"/>
      <c r="B10" s="63"/>
      <c r="C10" s="64"/>
      <c r="D10" s="64"/>
      <c r="E10" s="90" t="str">
        <f>IF(D10="","",IF(('OFFICE USE'!$H$1-C10)/D10&gt;1,0.8,LOOKUP(('OFFICE USE'!$H$1-C10)/D10,'OFFICE USE'!$C$2:$D$102)))</f>
        <v/>
      </c>
      <c r="F10" s="89" t="str">
        <f t="shared" si="0"/>
        <v/>
      </c>
      <c r="G10" s="25"/>
    </row>
    <row r="11" spans="1:8" thickBot="1" x14ac:dyDescent="0.35">
      <c r="A11" s="60"/>
      <c r="B11" s="63"/>
      <c r="C11" s="64"/>
      <c r="D11" s="64"/>
      <c r="E11" s="90" t="str">
        <f>IF(D11="","",IF(('OFFICE USE'!$H$1-C11)/D11&gt;1,0.8,LOOKUP(('OFFICE USE'!$H$1-C11)/D11,'OFFICE USE'!$C$2:$D$102)))</f>
        <v/>
      </c>
      <c r="F11" s="89" t="str">
        <f t="shared" si="0"/>
        <v/>
      </c>
      <c r="G11" s="25"/>
    </row>
    <row r="12" spans="1:8" thickBot="1" x14ac:dyDescent="0.35">
      <c r="A12" s="60"/>
      <c r="B12" s="63"/>
      <c r="C12" s="64"/>
      <c r="D12" s="64"/>
      <c r="E12" s="90" t="str">
        <f>IF(D12="","",IF(('OFFICE USE'!$H$1-C12)/D12&gt;1,0.8,LOOKUP(('OFFICE USE'!$H$1-C12)/D12,'OFFICE USE'!$C$2:$D$102)))</f>
        <v/>
      </c>
      <c r="F12" s="89" t="str">
        <f t="shared" si="0"/>
        <v/>
      </c>
      <c r="G12" s="25"/>
    </row>
    <row r="13" spans="1:8" thickBot="1" x14ac:dyDescent="0.35">
      <c r="A13" s="60"/>
      <c r="B13" s="63"/>
      <c r="C13" s="64"/>
      <c r="D13" s="64"/>
      <c r="E13" s="90" t="str">
        <f>IF(D13="","",IF(('OFFICE USE'!$H$1-C13)/D13&gt;1,0.8,LOOKUP(('OFFICE USE'!$H$1-C13)/D13,'OFFICE USE'!$C$2:$D$102)))</f>
        <v/>
      </c>
      <c r="F13" s="89" t="str">
        <f t="shared" si="0"/>
        <v/>
      </c>
      <c r="G13" s="25"/>
    </row>
    <row r="14" spans="1:8" thickBot="1" x14ac:dyDescent="0.35">
      <c r="A14" s="60"/>
      <c r="B14" s="63"/>
      <c r="C14" s="64"/>
      <c r="D14" s="64"/>
      <c r="E14" s="90" t="str">
        <f>IF(D14="","",IF(('OFFICE USE'!$H$1-C14)/D14&gt;1,0.8,LOOKUP(('OFFICE USE'!$H$1-C14)/D14,'OFFICE USE'!$C$2:$D$102)))</f>
        <v/>
      </c>
      <c r="F14" s="89" t="str">
        <f t="shared" si="0"/>
        <v/>
      </c>
      <c r="G14" s="25"/>
    </row>
    <row r="15" spans="1:8" thickBot="1" x14ac:dyDescent="0.35">
      <c r="A15" s="60"/>
      <c r="B15" s="63"/>
      <c r="C15" s="64"/>
      <c r="D15" s="64"/>
      <c r="E15" s="90" t="str">
        <f>IF(D15="","",IF(('OFFICE USE'!$H$1-C15)/D15&gt;1,0.8,LOOKUP(('OFFICE USE'!$H$1-C15)/D15,'OFFICE USE'!$C$2:$D$102)))</f>
        <v/>
      </c>
      <c r="F15" s="89" t="str">
        <f t="shared" si="0"/>
        <v/>
      </c>
      <c r="G15" s="25"/>
    </row>
    <row r="16" spans="1:8" thickBot="1" x14ac:dyDescent="0.35">
      <c r="A16" s="60"/>
      <c r="B16" s="63"/>
      <c r="C16" s="64"/>
      <c r="D16" s="64"/>
      <c r="E16" s="90" t="str">
        <f>IF(D16="","",IF(('OFFICE USE'!$H$1-C16)/D16&gt;1,0.8,LOOKUP(('OFFICE USE'!$H$1-C16)/D16,'OFFICE USE'!$C$2:$D$102)))</f>
        <v/>
      </c>
      <c r="F16" s="89" t="str">
        <f t="shared" si="0"/>
        <v/>
      </c>
      <c r="G16" s="25"/>
    </row>
    <row r="17" spans="1:7" thickBot="1" x14ac:dyDescent="0.35">
      <c r="A17" s="60"/>
      <c r="B17" s="63"/>
      <c r="C17" s="64"/>
      <c r="D17" s="64"/>
      <c r="E17" s="90" t="str">
        <f>IF(D17="","",IF(('OFFICE USE'!$H$1-C17)/D17&gt;1,0.8,LOOKUP(('OFFICE USE'!$H$1-C17)/D17,'OFFICE USE'!$C$2:$D$102)))</f>
        <v/>
      </c>
      <c r="F17" s="89" t="str">
        <f t="shared" si="0"/>
        <v/>
      </c>
      <c r="G17" s="25"/>
    </row>
    <row r="18" spans="1:7" thickBot="1" x14ac:dyDescent="0.35">
      <c r="A18" s="60"/>
      <c r="B18" s="63"/>
      <c r="C18" s="64"/>
      <c r="D18" s="64"/>
      <c r="E18" s="90" t="str">
        <f>IF(D18="","",IF(('OFFICE USE'!$H$1-C18)/D18&gt;1,0.8,LOOKUP(('OFFICE USE'!$H$1-C18)/D18,'OFFICE USE'!$C$2:$D$102)))</f>
        <v/>
      </c>
      <c r="F18" s="89" t="str">
        <f t="shared" si="0"/>
        <v/>
      </c>
      <c r="G18" s="25"/>
    </row>
    <row r="19" spans="1:7" thickBot="1" x14ac:dyDescent="0.35">
      <c r="A19" s="60"/>
      <c r="B19" s="63"/>
      <c r="C19" s="64"/>
      <c r="D19" s="64"/>
      <c r="E19" s="90" t="str">
        <f>IF(D19="","",IF(('OFFICE USE'!$H$1-C19)/D19&gt;1,0.8,LOOKUP(('OFFICE USE'!$H$1-C19)/D19,'OFFICE USE'!$C$2:$D$102)))</f>
        <v/>
      </c>
      <c r="F19" s="89" t="str">
        <f t="shared" si="0"/>
        <v/>
      </c>
      <c r="G19" s="25"/>
    </row>
    <row r="20" spans="1:7" thickBot="1" x14ac:dyDescent="0.35">
      <c r="A20" s="60"/>
      <c r="B20" s="63"/>
      <c r="C20" s="64"/>
      <c r="D20" s="64"/>
      <c r="E20" s="90" t="str">
        <f>IF(D20="","",IF(('OFFICE USE'!$H$1-C20)/D20&gt;1,0.8,LOOKUP(('OFFICE USE'!$H$1-C20)/D20,'OFFICE USE'!$C$2:$D$102)))</f>
        <v/>
      </c>
      <c r="F20" s="89" t="str">
        <f t="shared" si="0"/>
        <v/>
      </c>
      <c r="G20" s="25"/>
    </row>
    <row r="21" spans="1:7" thickBot="1" x14ac:dyDescent="0.35">
      <c r="A21" s="60"/>
      <c r="B21" s="63"/>
      <c r="C21" s="64"/>
      <c r="D21" s="64"/>
      <c r="E21" s="90" t="str">
        <f>IF(D21="","",IF(('OFFICE USE'!$H$1-C21)/D21&gt;1,0.8,LOOKUP(('OFFICE USE'!$H$1-C21)/D21,'OFFICE USE'!$C$2:$D$102)))</f>
        <v/>
      </c>
      <c r="F21" s="89" t="str">
        <f t="shared" si="0"/>
        <v/>
      </c>
      <c r="G21" s="25"/>
    </row>
    <row r="22" spans="1:7" thickBot="1" x14ac:dyDescent="0.35">
      <c r="A22" s="60"/>
      <c r="B22" s="63"/>
      <c r="C22" s="64"/>
      <c r="D22" s="64"/>
      <c r="E22" s="90" t="str">
        <f>IF(D22="","",IF(('OFFICE USE'!$H$1-C22)/D22&gt;1,0.8,LOOKUP(('OFFICE USE'!$H$1-C22)/D22,'OFFICE USE'!$C$2:$D$102)))</f>
        <v/>
      </c>
      <c r="F22" s="89" t="str">
        <f t="shared" si="0"/>
        <v/>
      </c>
      <c r="G22" s="25"/>
    </row>
    <row r="23" spans="1:7" thickBot="1" x14ac:dyDescent="0.35">
      <c r="A23" s="60"/>
      <c r="B23" s="63"/>
      <c r="C23" s="64"/>
      <c r="D23" s="64"/>
      <c r="E23" s="90" t="str">
        <f>IF(D23="","",IF(('OFFICE USE'!$H$1-C23)/D23&gt;1,0.8,LOOKUP(('OFFICE USE'!$H$1-C23)/D23,'OFFICE USE'!$C$2:$D$102)))</f>
        <v/>
      </c>
      <c r="F23" s="89" t="str">
        <f t="shared" si="0"/>
        <v/>
      </c>
      <c r="G23" s="25"/>
    </row>
    <row r="24" spans="1:7" thickBot="1" x14ac:dyDescent="0.35">
      <c r="A24" s="60"/>
      <c r="B24" s="63"/>
      <c r="C24" s="64"/>
      <c r="D24" s="64"/>
      <c r="E24" s="90" t="str">
        <f>IF(D24="","",IF(('OFFICE USE'!$H$1-C24)/D24&gt;1,0.8,LOOKUP(('OFFICE USE'!$H$1-C24)/D24,'OFFICE USE'!$C$2:$D$102)))</f>
        <v/>
      </c>
      <c r="F24" s="89" t="str">
        <f t="shared" si="0"/>
        <v/>
      </c>
      <c r="G24" s="25"/>
    </row>
    <row r="25" spans="1:7" thickBot="1" x14ac:dyDescent="0.35">
      <c r="A25" s="60"/>
      <c r="B25" s="63"/>
      <c r="C25" s="64"/>
      <c r="D25" s="64"/>
      <c r="E25" s="90" t="str">
        <f>IF(D25="","",IF(('OFFICE USE'!$H$1-C25)/D25&gt;1,0.8,LOOKUP(('OFFICE USE'!$H$1-C25)/D25,'OFFICE USE'!$C$2:$D$102)))</f>
        <v/>
      </c>
      <c r="F25" s="89" t="str">
        <f t="shared" si="0"/>
        <v/>
      </c>
      <c r="G25" s="25"/>
    </row>
    <row r="26" spans="1:7" thickBot="1" x14ac:dyDescent="0.35">
      <c r="A26" s="60"/>
      <c r="B26" s="63"/>
      <c r="C26" s="64"/>
      <c r="D26" s="64"/>
      <c r="E26" s="90" t="str">
        <f>IF(D26="","",IF(('OFFICE USE'!$H$1-C26)/D26&gt;1,0.8,LOOKUP(('OFFICE USE'!$H$1-C26)/D26,'OFFICE USE'!$C$2:$D$102)))</f>
        <v/>
      </c>
      <c r="F26" s="89" t="str">
        <f t="shared" si="0"/>
        <v/>
      </c>
      <c r="G26" s="25"/>
    </row>
    <row r="27" spans="1:7" thickBot="1" x14ac:dyDescent="0.35">
      <c r="A27" s="60"/>
      <c r="B27" s="63"/>
      <c r="C27" s="64"/>
      <c r="D27" s="64"/>
      <c r="E27" s="90" t="str">
        <f>IF(D27="","",IF(('OFFICE USE'!$H$1-C27)/D27&gt;1,0.8,LOOKUP(('OFFICE USE'!$H$1-C27)/D27,'OFFICE USE'!$C$2:$D$102)))</f>
        <v/>
      </c>
      <c r="F27" s="89" t="str">
        <f t="shared" si="0"/>
        <v/>
      </c>
      <c r="G27" s="25"/>
    </row>
    <row r="28" spans="1:7" thickBot="1" x14ac:dyDescent="0.35">
      <c r="A28" s="60"/>
      <c r="B28" s="63"/>
      <c r="C28" s="64"/>
      <c r="D28" s="64"/>
      <c r="E28" s="90" t="str">
        <f>IF(D28="","",IF(('OFFICE USE'!$H$1-C28)/D28&gt;1,0.8,LOOKUP(('OFFICE USE'!$H$1-C28)/D28,'OFFICE USE'!$C$2:$D$102)))</f>
        <v/>
      </c>
      <c r="F28" s="89" t="str">
        <f t="shared" si="0"/>
        <v/>
      </c>
      <c r="G28" s="25"/>
    </row>
    <row r="29" spans="1:7" thickBot="1" x14ac:dyDescent="0.35">
      <c r="A29" s="60"/>
      <c r="B29" s="63"/>
      <c r="C29" s="64"/>
      <c r="D29" s="64"/>
      <c r="E29" s="90" t="str">
        <f>IF(D29="","",IF(('OFFICE USE'!$H$1-C29)/D29&gt;1,0.8,LOOKUP(('OFFICE USE'!$H$1-C29)/D29,'OFFICE USE'!$C$2:$D$102)))</f>
        <v/>
      </c>
      <c r="F29" s="89" t="str">
        <f t="shared" si="0"/>
        <v/>
      </c>
      <c r="G29" s="25"/>
    </row>
    <row r="30" spans="1:7" thickBot="1" x14ac:dyDescent="0.35">
      <c r="A30" s="60"/>
      <c r="B30" s="63"/>
      <c r="C30" s="64"/>
      <c r="D30" s="64"/>
      <c r="E30" s="90" t="str">
        <f>IF(D30="","",IF(('OFFICE USE'!$H$1-C30)/D30&gt;1,0.8,LOOKUP(('OFFICE USE'!$H$1-C30)/D30,'OFFICE USE'!$C$2:$D$102)))</f>
        <v/>
      </c>
      <c r="F30" s="89" t="str">
        <f t="shared" si="0"/>
        <v/>
      </c>
      <c r="G30" s="25"/>
    </row>
    <row r="31" spans="1:7" thickBot="1" x14ac:dyDescent="0.35">
      <c r="A31" s="60"/>
      <c r="B31" s="63"/>
      <c r="C31" s="64"/>
      <c r="D31" s="64"/>
      <c r="E31" s="90" t="str">
        <f>IF(D31="","",IF(('OFFICE USE'!$H$1-C31)/D31&gt;1,0.8,LOOKUP(('OFFICE USE'!$H$1-C31)/D31,'OFFICE USE'!$C$2:$D$102)))</f>
        <v/>
      </c>
      <c r="F31" s="89" t="str">
        <f t="shared" si="0"/>
        <v/>
      </c>
      <c r="G31" s="25"/>
    </row>
    <row r="32" spans="1:7" thickBot="1" x14ac:dyDescent="0.35">
      <c r="A32" s="60"/>
      <c r="B32" s="63"/>
      <c r="C32" s="64"/>
      <c r="D32" s="64"/>
      <c r="E32" s="90" t="str">
        <f>IF(D32="","",IF(('OFFICE USE'!$H$1-C32)/D32&gt;1,0.8,LOOKUP(('OFFICE USE'!$H$1-C32)/D32,'OFFICE USE'!$C$2:$D$102)))</f>
        <v/>
      </c>
      <c r="F32" s="89" t="str">
        <f t="shared" si="0"/>
        <v/>
      </c>
      <c r="G32" s="25"/>
    </row>
    <row r="33" spans="1:7" thickBot="1" x14ac:dyDescent="0.35">
      <c r="A33" s="60"/>
      <c r="B33" s="63"/>
      <c r="C33" s="64"/>
      <c r="D33" s="64"/>
      <c r="E33" s="90" t="str">
        <f>IF(D33="","",IF(('OFFICE USE'!$H$1-C33)/D33&gt;1,0.8,LOOKUP(('OFFICE USE'!$H$1-C33)/D33,'OFFICE USE'!$C$2:$D$102)))</f>
        <v/>
      </c>
      <c r="F33" s="89" t="str">
        <f t="shared" si="0"/>
        <v/>
      </c>
      <c r="G33" s="25"/>
    </row>
    <row r="34" spans="1:7" thickBot="1" x14ac:dyDescent="0.35">
      <c r="A34" s="60"/>
      <c r="B34" s="63"/>
      <c r="C34" s="64"/>
      <c r="D34" s="64"/>
      <c r="E34" s="90" t="str">
        <f>IF(D34="","",IF(('OFFICE USE'!$H$1-C34)/D34&gt;1,0.8,LOOKUP(('OFFICE USE'!$H$1-C34)/D34,'OFFICE USE'!$C$2:$D$102)))</f>
        <v/>
      </c>
      <c r="F34" s="89" t="str">
        <f t="shared" si="0"/>
        <v/>
      </c>
      <c r="G34" s="25"/>
    </row>
    <row r="35" spans="1:7" thickBot="1" x14ac:dyDescent="0.35">
      <c r="A35" s="60"/>
      <c r="B35" s="63"/>
      <c r="C35" s="64"/>
      <c r="D35" s="64"/>
      <c r="E35" s="90" t="str">
        <f>IF(D35="","",IF(('OFFICE USE'!$H$1-C35)/D35&gt;1,0.8,LOOKUP(('OFFICE USE'!$H$1-C35)/D35,'OFFICE USE'!$C$2:$D$102)))</f>
        <v/>
      </c>
      <c r="F35" s="89" t="str">
        <f t="shared" si="0"/>
        <v/>
      </c>
      <c r="G35" s="25"/>
    </row>
    <row r="36" spans="1:7" thickBot="1" x14ac:dyDescent="0.35">
      <c r="A36" s="60"/>
      <c r="B36" s="63"/>
      <c r="C36" s="64"/>
      <c r="D36" s="64"/>
      <c r="E36" s="90" t="str">
        <f>IF(D36="","",IF(('OFFICE USE'!$H$1-C36)/D36&gt;1,0.8,LOOKUP(('OFFICE USE'!$H$1-C36)/D36,'OFFICE USE'!$C$2:$D$102)))</f>
        <v/>
      </c>
      <c r="F36" s="89" t="str">
        <f t="shared" si="0"/>
        <v/>
      </c>
      <c r="G36" s="25"/>
    </row>
    <row r="37" spans="1:7" thickBot="1" x14ac:dyDescent="0.35">
      <c r="A37" s="60"/>
      <c r="B37" s="63"/>
      <c r="C37" s="64"/>
      <c r="D37" s="64"/>
      <c r="E37" s="90" t="str">
        <f>IF(D37="","",IF(('OFFICE USE'!$H$1-C37)/D37&gt;1,0.8,LOOKUP(('OFFICE USE'!$H$1-C37)/D37,'OFFICE USE'!$C$2:$D$102)))</f>
        <v/>
      </c>
      <c r="F37" s="89" t="str">
        <f t="shared" si="0"/>
        <v/>
      </c>
      <c r="G37" s="25"/>
    </row>
    <row r="38" spans="1:7" ht="15.75" thickBot="1" x14ac:dyDescent="0.3">
      <c r="A38" s="60"/>
      <c r="B38" s="63"/>
      <c r="C38" s="64"/>
      <c r="D38" s="64"/>
      <c r="E38" s="90" t="str">
        <f>IF(D38="","",IF(('OFFICE USE'!$H$1-C38)/D38&gt;1,0.8,LOOKUP(('OFFICE USE'!$H$1-C38)/D38,'OFFICE USE'!$C$2:$D$102)))</f>
        <v/>
      </c>
      <c r="F38" s="89" t="str">
        <f t="shared" si="0"/>
        <v/>
      </c>
      <c r="G38" s="25"/>
    </row>
    <row r="39" spans="1:7" ht="15.75" thickBot="1" x14ac:dyDescent="0.3">
      <c r="A39" s="60"/>
      <c r="B39" s="63"/>
      <c r="C39" s="64"/>
      <c r="D39" s="64"/>
      <c r="E39" s="90" t="str">
        <f>IF(D39="","",IF(('OFFICE USE'!$H$1-C39)/D39&gt;1,0.8,LOOKUP(('OFFICE USE'!$H$1-C39)/D39,'OFFICE USE'!$C$2:$D$102)))</f>
        <v/>
      </c>
      <c r="F39" s="89" t="str">
        <f t="shared" si="0"/>
        <v/>
      </c>
      <c r="G39" s="25"/>
    </row>
    <row r="40" spans="1:7" ht="15.75" thickBot="1" x14ac:dyDescent="0.3">
      <c r="A40" s="60"/>
      <c r="B40" s="63"/>
      <c r="C40" s="64"/>
      <c r="D40" s="64"/>
      <c r="E40" s="90" t="str">
        <f>IF(D40="","",IF(('OFFICE USE'!$H$1-C40)/D40&gt;1,0.8,LOOKUP(('OFFICE USE'!$H$1-C40)/D40,'OFFICE USE'!$C$2:$D$102)))</f>
        <v/>
      </c>
      <c r="F40" s="89" t="str">
        <f t="shared" si="0"/>
        <v/>
      </c>
      <c r="G40" s="25"/>
    </row>
    <row r="41" spans="1:7" ht="15.75" thickBot="1" x14ac:dyDescent="0.3">
      <c r="A41" s="60"/>
      <c r="B41" s="63"/>
      <c r="C41" s="64"/>
      <c r="D41" s="64"/>
      <c r="E41" s="90" t="str">
        <f>IF(D41="","",IF(('OFFICE USE'!$H$1-C41)/D41&gt;1,0.8,LOOKUP(('OFFICE USE'!$H$1-C41)/D41,'OFFICE USE'!$C$2:$D$102)))</f>
        <v/>
      </c>
      <c r="F41" s="89" t="str">
        <f t="shared" si="0"/>
        <v/>
      </c>
      <c r="G41" s="25"/>
    </row>
    <row r="42" spans="1:7" ht="15.75" thickBot="1" x14ac:dyDescent="0.3">
      <c r="A42" s="60"/>
      <c r="B42" s="63"/>
      <c r="C42" s="64"/>
      <c r="D42" s="64"/>
      <c r="E42" s="90" t="str">
        <f>IF(D42="","",IF(('OFFICE USE'!$H$1-C42)/D42&gt;1,0.8,LOOKUP(('OFFICE USE'!$H$1-C42)/D42,'OFFICE USE'!$C$2:$D$102)))</f>
        <v/>
      </c>
      <c r="F42" s="89" t="str">
        <f t="shared" si="0"/>
        <v/>
      </c>
      <c r="G42" s="25"/>
    </row>
    <row r="43" spans="1:7" ht="15.75" thickBot="1" x14ac:dyDescent="0.3">
      <c r="A43" s="60"/>
      <c r="B43" s="63"/>
      <c r="C43" s="64"/>
      <c r="D43" s="64"/>
      <c r="E43" s="90" t="str">
        <f>IF(D43="","",IF(('OFFICE USE'!$H$1-C43)/D43&gt;1,0.8,LOOKUP(('OFFICE USE'!$H$1-C43)/D43,'OFFICE USE'!$C$2:$D$102)))</f>
        <v/>
      </c>
      <c r="F43" s="89" t="str">
        <f t="shared" si="0"/>
        <v/>
      </c>
      <c r="G43" s="25"/>
    </row>
    <row r="44" spans="1:7" ht="15.75" thickBot="1" x14ac:dyDescent="0.3">
      <c r="A44" s="60"/>
      <c r="B44" s="63"/>
      <c r="C44" s="64"/>
      <c r="D44" s="64"/>
      <c r="E44" s="90" t="str">
        <f>IF(D44="","",IF(('OFFICE USE'!$H$1-C44)/D44&gt;1,0.8,LOOKUP(('OFFICE USE'!$H$1-C44)/D44,'OFFICE USE'!$C$2:$D$102)))</f>
        <v/>
      </c>
      <c r="F44" s="89" t="str">
        <f t="shared" si="0"/>
        <v/>
      </c>
      <c r="G44" s="25"/>
    </row>
    <row r="45" spans="1:7" ht="15.75" thickBot="1" x14ac:dyDescent="0.3">
      <c r="A45" s="60"/>
      <c r="B45" s="63"/>
      <c r="C45" s="64"/>
      <c r="D45" s="64"/>
      <c r="E45" s="90" t="str">
        <f>IF(D45="","",IF(('OFFICE USE'!$H$1-C45)/D45&gt;1,0.8,LOOKUP(('OFFICE USE'!$H$1-C45)/D45,'OFFICE USE'!$C$2:$D$102)))</f>
        <v/>
      </c>
      <c r="F45" s="89" t="str">
        <f t="shared" si="0"/>
        <v/>
      </c>
      <c r="G45" s="25"/>
    </row>
    <row r="46" spans="1:7" ht="15.75" thickBot="1" x14ac:dyDescent="0.3">
      <c r="A46" s="60"/>
      <c r="B46" s="63"/>
      <c r="C46" s="64"/>
      <c r="D46" s="64"/>
      <c r="E46" s="90" t="str">
        <f>IF(D46="","",IF(('OFFICE USE'!$H$1-C46)/D46&gt;1,0.8,LOOKUP(('OFFICE USE'!$H$1-C46)/D46,'OFFICE USE'!$C$2:$D$102)))</f>
        <v/>
      </c>
      <c r="F46" s="89" t="str">
        <f t="shared" si="0"/>
        <v/>
      </c>
      <c r="G46" s="25"/>
    </row>
    <row r="47" spans="1:7" ht="15.75" thickBot="1" x14ac:dyDescent="0.3">
      <c r="A47" s="60"/>
      <c r="B47" s="63"/>
      <c r="C47" s="64"/>
      <c r="D47" s="64"/>
      <c r="E47" s="90" t="str">
        <f>IF(D47="","",IF(('OFFICE USE'!$H$1-C47)/D47&gt;1,0.8,LOOKUP(('OFFICE USE'!$H$1-C47)/D47,'OFFICE USE'!$C$2:$D$102)))</f>
        <v/>
      </c>
      <c r="F47" s="89" t="str">
        <f t="shared" si="0"/>
        <v/>
      </c>
      <c r="G47" s="25"/>
    </row>
    <row r="48" spans="1:7" ht="15.75" thickBot="1" x14ac:dyDescent="0.3">
      <c r="A48" s="60"/>
      <c r="B48" s="63"/>
      <c r="C48" s="64"/>
      <c r="D48" s="64"/>
      <c r="E48" s="90" t="str">
        <f>IF(D48="","",IF(('OFFICE USE'!$H$1-C48)/D48&gt;1,0.8,LOOKUP(('OFFICE USE'!$H$1-C48)/D48,'OFFICE USE'!$C$2:$D$102)))</f>
        <v/>
      </c>
      <c r="F48" s="89" t="str">
        <f t="shared" si="0"/>
        <v/>
      </c>
      <c r="G48" s="25"/>
    </row>
    <row r="49" spans="1:7" ht="15.75" thickBot="1" x14ac:dyDescent="0.3">
      <c r="A49" s="60"/>
      <c r="B49" s="63"/>
      <c r="C49" s="64"/>
      <c r="D49" s="64"/>
      <c r="E49" s="90" t="str">
        <f>IF(D49="","",IF(('OFFICE USE'!$H$1-C49)/D49&gt;1,0.8,LOOKUP(('OFFICE USE'!$H$1-C49)/D49,'OFFICE USE'!$C$2:$D$102)))</f>
        <v/>
      </c>
      <c r="F49" s="89" t="str">
        <f t="shared" si="0"/>
        <v/>
      </c>
      <c r="G49" s="25"/>
    </row>
    <row r="50" spans="1:7" ht="15.75" thickBot="1" x14ac:dyDescent="0.3">
      <c r="A50" s="60"/>
      <c r="B50" s="63"/>
      <c r="C50" s="64"/>
      <c r="D50" s="64"/>
      <c r="E50" s="90" t="str">
        <f>IF(D50="","",IF(('OFFICE USE'!$H$1-C50)/D50&gt;1,0.8,LOOKUP(('OFFICE USE'!$H$1-C50)/D50,'OFFICE USE'!$C$2:$D$102)))</f>
        <v/>
      </c>
      <c r="F50" s="89" t="str">
        <f t="shared" si="0"/>
        <v/>
      </c>
      <c r="G50" s="25"/>
    </row>
    <row r="51" spans="1:7" x14ac:dyDescent="0.25">
      <c r="E51" s="26" t="str">
        <f>IF(C51&gt;0,LOOKUP(#REF!-C51,#REF!),"")</f>
        <v/>
      </c>
      <c r="F51" s="25" t="str">
        <f t="shared" ref="F51:F67" si="1">IF(C51&gt;0,B51*(1-E51),"")</f>
        <v/>
      </c>
      <c r="G51" s="25"/>
    </row>
    <row r="52" spans="1:7" x14ac:dyDescent="0.25">
      <c r="E52" s="26" t="str">
        <f>IF(C52&gt;0,LOOKUP(#REF!-C52,#REF!),"")</f>
        <v/>
      </c>
      <c r="F52" s="25" t="str">
        <f t="shared" si="1"/>
        <v/>
      </c>
      <c r="G52" s="25"/>
    </row>
    <row r="53" spans="1:7" x14ac:dyDescent="0.25">
      <c r="E53" s="26" t="str">
        <f>IF(C53&gt;0,LOOKUP(#REF!-C53,#REF!),"")</f>
        <v/>
      </c>
      <c r="F53" s="25" t="str">
        <f t="shared" si="1"/>
        <v/>
      </c>
      <c r="G53" s="25"/>
    </row>
    <row r="54" spans="1:7" x14ac:dyDescent="0.25">
      <c r="E54" s="26" t="str">
        <f>IF(C54&gt;0,LOOKUP(#REF!-C54,#REF!),"")</f>
        <v/>
      </c>
      <c r="F54" s="25" t="str">
        <f t="shared" si="1"/>
        <v/>
      </c>
      <c r="G54" s="25"/>
    </row>
    <row r="55" spans="1:7" x14ac:dyDescent="0.25">
      <c r="E55" s="26" t="str">
        <f>IF(C55&gt;0,LOOKUP(#REF!-C55,#REF!),"")</f>
        <v/>
      </c>
      <c r="F55" s="25" t="str">
        <f t="shared" si="1"/>
        <v/>
      </c>
      <c r="G55" s="25"/>
    </row>
    <row r="56" spans="1:7" x14ac:dyDescent="0.25">
      <c r="E56" s="26" t="str">
        <f>IF(C56&gt;0,LOOKUP(#REF!-C56,#REF!),"")</f>
        <v/>
      </c>
      <c r="F56" s="25" t="str">
        <f t="shared" si="1"/>
        <v/>
      </c>
      <c r="G56" s="25"/>
    </row>
    <row r="57" spans="1:7" x14ac:dyDescent="0.25">
      <c r="E57" s="26" t="str">
        <f>IF(C57&gt;0,LOOKUP(#REF!-C57,#REF!),"")</f>
        <v/>
      </c>
      <c r="F57" s="25" t="str">
        <f t="shared" si="1"/>
        <v/>
      </c>
      <c r="G57" s="25"/>
    </row>
    <row r="58" spans="1:7" x14ac:dyDescent="0.25">
      <c r="E58" s="26" t="str">
        <f>IF(C58&gt;0,LOOKUP(#REF!-C58,#REF!),"")</f>
        <v/>
      </c>
      <c r="F58" s="25" t="str">
        <f t="shared" si="1"/>
        <v/>
      </c>
      <c r="G58" s="25"/>
    </row>
    <row r="59" spans="1:7" x14ac:dyDescent="0.25">
      <c r="E59" s="26" t="str">
        <f>IF(C59&gt;0,LOOKUP(#REF!-C59,#REF!),"")</f>
        <v/>
      </c>
      <c r="F59" s="25" t="str">
        <f t="shared" si="1"/>
        <v/>
      </c>
      <c r="G59" s="25"/>
    </row>
    <row r="60" spans="1:7" x14ac:dyDescent="0.25">
      <c r="E60" s="26" t="str">
        <f>IF(C60&gt;0,LOOKUP(#REF!-C60,#REF!),"")</f>
        <v/>
      </c>
      <c r="F60" s="25" t="str">
        <f t="shared" si="1"/>
        <v/>
      </c>
      <c r="G60" s="25"/>
    </row>
    <row r="61" spans="1:7" x14ac:dyDescent="0.25">
      <c r="E61" s="26" t="str">
        <f>IF(C61&gt;0,LOOKUP(#REF!-C61,#REF!),"")</f>
        <v/>
      </c>
      <c r="F61" s="25" t="str">
        <f t="shared" si="1"/>
        <v/>
      </c>
      <c r="G61" s="25"/>
    </row>
    <row r="62" spans="1:7" x14ac:dyDescent="0.25">
      <c r="E62" s="26" t="str">
        <f>IF(C62&gt;0,LOOKUP(#REF!-C62,#REF!),"")</f>
        <v/>
      </c>
      <c r="F62" s="25" t="str">
        <f t="shared" si="1"/>
        <v/>
      </c>
      <c r="G62" s="25"/>
    </row>
    <row r="63" spans="1:7" x14ac:dyDescent="0.25">
      <c r="E63" s="26" t="str">
        <f>IF(C63&gt;0,LOOKUP(#REF!-C63,#REF!),"")</f>
        <v/>
      </c>
      <c r="F63" s="25" t="str">
        <f t="shared" si="1"/>
        <v/>
      </c>
      <c r="G63" s="25"/>
    </row>
    <row r="64" spans="1:7" x14ac:dyDescent="0.25">
      <c r="E64" s="26" t="str">
        <f>IF(C64&gt;0,LOOKUP(#REF!-C64,#REF!),"")</f>
        <v/>
      </c>
      <c r="F64" s="25" t="str">
        <f t="shared" si="1"/>
        <v/>
      </c>
      <c r="G64" s="25"/>
    </row>
    <row r="65" spans="5:7" x14ac:dyDescent="0.25">
      <c r="E65" s="26" t="str">
        <f>IF(C65&gt;0,LOOKUP(#REF!-C65,#REF!),"")</f>
        <v/>
      </c>
      <c r="F65" s="25" t="str">
        <f t="shared" si="1"/>
        <v/>
      </c>
      <c r="G65" s="25"/>
    </row>
    <row r="66" spans="5:7" x14ac:dyDescent="0.25">
      <c r="E66" s="26" t="str">
        <f>IF(C66&gt;0,LOOKUP(#REF!-C66,#REF!),"")</f>
        <v/>
      </c>
      <c r="F66" s="25" t="str">
        <f t="shared" si="1"/>
        <v/>
      </c>
      <c r="G66" s="25"/>
    </row>
    <row r="67" spans="5:7" x14ac:dyDescent="0.25">
      <c r="E67" s="26" t="str">
        <f>IF(C67&gt;0,LOOKUP(#REF!-C67,#REF!),"")</f>
        <v/>
      </c>
      <c r="F67" s="25" t="str">
        <f t="shared" si="1"/>
        <v/>
      </c>
      <c r="G67" s="25"/>
    </row>
    <row r="68" spans="5:7" x14ac:dyDescent="0.25">
      <c r="E68" s="26" t="str">
        <f>IF(C68&gt;0,LOOKUP(#REF!-C68,#REF!),"")</f>
        <v/>
      </c>
      <c r="F68" s="25" t="str">
        <f t="shared" ref="F68:F101" si="2">IF(C68&gt;0,B68*(1-E68),"")</f>
        <v/>
      </c>
      <c r="G68" s="25"/>
    </row>
    <row r="69" spans="5:7" x14ac:dyDescent="0.25">
      <c r="E69" s="26" t="str">
        <f>IF(C69&gt;0,LOOKUP(#REF!-C69,#REF!),"")</f>
        <v/>
      </c>
      <c r="F69" s="25" t="str">
        <f t="shared" si="2"/>
        <v/>
      </c>
      <c r="G69" s="25"/>
    </row>
    <row r="70" spans="5:7" x14ac:dyDescent="0.25">
      <c r="E70" s="26" t="str">
        <f>IF(C70&gt;0,LOOKUP(#REF!-C70,#REF!),"")</f>
        <v/>
      </c>
      <c r="F70" s="25" t="str">
        <f t="shared" si="2"/>
        <v/>
      </c>
      <c r="G70" s="25"/>
    </row>
    <row r="71" spans="5:7" x14ac:dyDescent="0.25">
      <c r="E71" s="26" t="str">
        <f>IF(C71&gt;0,LOOKUP(#REF!-C71,#REF!),"")</f>
        <v/>
      </c>
      <c r="F71" s="25" t="str">
        <f t="shared" si="2"/>
        <v/>
      </c>
      <c r="G71" s="25"/>
    </row>
    <row r="72" spans="5:7" x14ac:dyDescent="0.25">
      <c r="E72" s="26" t="str">
        <f>IF(C72&gt;0,LOOKUP(#REF!-C72,#REF!),"")</f>
        <v/>
      </c>
      <c r="F72" s="25" t="str">
        <f t="shared" si="2"/>
        <v/>
      </c>
      <c r="G72" s="25"/>
    </row>
    <row r="73" spans="5:7" x14ac:dyDescent="0.25">
      <c r="E73" s="26" t="str">
        <f>IF(C73&gt;0,LOOKUP(#REF!-C73,#REF!),"")</f>
        <v/>
      </c>
      <c r="F73" s="25" t="str">
        <f t="shared" si="2"/>
        <v/>
      </c>
      <c r="G73" s="25"/>
    </row>
    <row r="74" spans="5:7" x14ac:dyDescent="0.25">
      <c r="E74" s="26" t="str">
        <f>IF(C74&gt;0,LOOKUP(#REF!-C74,#REF!),"")</f>
        <v/>
      </c>
      <c r="F74" s="25" t="str">
        <f t="shared" si="2"/>
        <v/>
      </c>
      <c r="G74" s="25"/>
    </row>
    <row r="75" spans="5:7" x14ac:dyDescent="0.25">
      <c r="E75" s="26" t="str">
        <f>IF(C75&gt;0,LOOKUP(#REF!-C75,#REF!),"")</f>
        <v/>
      </c>
      <c r="F75" s="25" t="str">
        <f t="shared" si="2"/>
        <v/>
      </c>
      <c r="G75" s="25"/>
    </row>
    <row r="76" spans="5:7" x14ac:dyDescent="0.25">
      <c r="E76" s="26" t="str">
        <f>IF(C76&gt;0,LOOKUP(#REF!-C76,#REF!),"")</f>
        <v/>
      </c>
      <c r="F76" s="25" t="str">
        <f t="shared" si="2"/>
        <v/>
      </c>
      <c r="G76" s="25"/>
    </row>
    <row r="77" spans="5:7" x14ac:dyDescent="0.25">
      <c r="E77" s="26" t="str">
        <f>IF(C77&gt;0,LOOKUP(#REF!-C77,#REF!),"")</f>
        <v/>
      </c>
      <c r="F77" s="25" t="str">
        <f t="shared" si="2"/>
        <v/>
      </c>
      <c r="G77" s="25"/>
    </row>
    <row r="78" spans="5:7" x14ac:dyDescent="0.25">
      <c r="E78" s="26" t="str">
        <f>IF(C78&gt;0,LOOKUP(#REF!-C78,#REF!),"")</f>
        <v/>
      </c>
      <c r="F78" s="25" t="str">
        <f t="shared" si="2"/>
        <v/>
      </c>
      <c r="G78" s="25"/>
    </row>
    <row r="79" spans="5:7" x14ac:dyDescent="0.25">
      <c r="E79" s="26" t="str">
        <f>IF(C79&gt;0,LOOKUP(#REF!-C79,#REF!),"")</f>
        <v/>
      </c>
      <c r="F79" s="25" t="str">
        <f t="shared" si="2"/>
        <v/>
      </c>
      <c r="G79" s="25"/>
    </row>
    <row r="80" spans="5:7" x14ac:dyDescent="0.25">
      <c r="E80" s="26" t="str">
        <f>IF(C80&gt;0,LOOKUP(#REF!-C80,#REF!),"")</f>
        <v/>
      </c>
      <c r="F80" s="25" t="str">
        <f t="shared" si="2"/>
        <v/>
      </c>
      <c r="G80" s="25"/>
    </row>
    <row r="81" spans="5:7" x14ac:dyDescent="0.25">
      <c r="E81" s="26" t="str">
        <f>IF(C81&gt;0,LOOKUP(#REF!-C81,#REF!),"")</f>
        <v/>
      </c>
      <c r="F81" s="25" t="str">
        <f t="shared" si="2"/>
        <v/>
      </c>
      <c r="G81" s="25"/>
    </row>
    <row r="82" spans="5:7" x14ac:dyDescent="0.25">
      <c r="E82" s="26" t="str">
        <f>IF(C82&gt;0,LOOKUP(#REF!-C82,#REF!),"")</f>
        <v/>
      </c>
      <c r="F82" s="25" t="str">
        <f t="shared" si="2"/>
        <v/>
      </c>
      <c r="G82" s="25"/>
    </row>
    <row r="83" spans="5:7" x14ac:dyDescent="0.25">
      <c r="E83" s="26" t="str">
        <f>IF(C83&gt;0,LOOKUP(#REF!-C83,#REF!),"")</f>
        <v/>
      </c>
      <c r="F83" s="25" t="str">
        <f t="shared" si="2"/>
        <v/>
      </c>
      <c r="G83" s="25"/>
    </row>
    <row r="84" spans="5:7" x14ac:dyDescent="0.25">
      <c r="E84" s="26" t="str">
        <f>IF(C84&gt;0,LOOKUP(#REF!-C84,#REF!),"")</f>
        <v/>
      </c>
      <c r="F84" s="25" t="str">
        <f t="shared" si="2"/>
        <v/>
      </c>
      <c r="G84" s="25"/>
    </row>
    <row r="85" spans="5:7" x14ac:dyDescent="0.25">
      <c r="E85" s="26" t="str">
        <f>IF(C85&gt;0,LOOKUP(#REF!-C85,#REF!),"")</f>
        <v/>
      </c>
      <c r="F85" s="25" t="str">
        <f t="shared" si="2"/>
        <v/>
      </c>
      <c r="G85" s="25"/>
    </row>
    <row r="86" spans="5:7" x14ac:dyDescent="0.25">
      <c r="E86" s="26" t="str">
        <f>IF(C86&gt;0,LOOKUP(#REF!-C86,#REF!),"")</f>
        <v/>
      </c>
      <c r="F86" s="25" t="str">
        <f t="shared" si="2"/>
        <v/>
      </c>
      <c r="G86" s="25"/>
    </row>
    <row r="87" spans="5:7" x14ac:dyDescent="0.25">
      <c r="E87" s="26" t="str">
        <f>IF(C87&gt;0,LOOKUP(#REF!-C87,#REF!),"")</f>
        <v/>
      </c>
      <c r="F87" s="25" t="str">
        <f t="shared" si="2"/>
        <v/>
      </c>
      <c r="G87" s="25"/>
    </row>
    <row r="88" spans="5:7" x14ac:dyDescent="0.25">
      <c r="E88" s="26" t="str">
        <f>IF(C88&gt;0,LOOKUP(#REF!-C88,#REF!),"")</f>
        <v/>
      </c>
      <c r="F88" s="25" t="str">
        <f t="shared" si="2"/>
        <v/>
      </c>
      <c r="G88" s="25"/>
    </row>
    <row r="89" spans="5:7" x14ac:dyDescent="0.25">
      <c r="E89" s="26" t="str">
        <f>IF(C89&gt;0,LOOKUP(#REF!-C89,#REF!),"")</f>
        <v/>
      </c>
      <c r="F89" s="25" t="str">
        <f t="shared" si="2"/>
        <v/>
      </c>
      <c r="G89" s="25"/>
    </row>
    <row r="90" spans="5:7" x14ac:dyDescent="0.25">
      <c r="E90" s="26" t="str">
        <f>IF(C90&gt;0,LOOKUP(#REF!-C90,#REF!),"")</f>
        <v/>
      </c>
      <c r="F90" s="25" t="str">
        <f t="shared" si="2"/>
        <v/>
      </c>
      <c r="G90" s="25"/>
    </row>
    <row r="91" spans="5:7" x14ac:dyDescent="0.25">
      <c r="E91" s="26" t="str">
        <f>IF(C91&gt;0,LOOKUP(#REF!-C91,#REF!),"")</f>
        <v/>
      </c>
      <c r="F91" s="25" t="str">
        <f t="shared" si="2"/>
        <v/>
      </c>
      <c r="G91" s="25"/>
    </row>
    <row r="92" spans="5:7" x14ac:dyDescent="0.25">
      <c r="E92" s="26" t="str">
        <f>IF(C92&gt;0,LOOKUP(#REF!-C92,#REF!),"")</f>
        <v/>
      </c>
      <c r="F92" s="25" t="str">
        <f t="shared" si="2"/>
        <v/>
      </c>
      <c r="G92" s="25"/>
    </row>
    <row r="93" spans="5:7" x14ac:dyDescent="0.25">
      <c r="E93" s="26" t="str">
        <f>IF(C93&gt;0,LOOKUP(#REF!-C93,#REF!),"")</f>
        <v/>
      </c>
      <c r="F93" s="25" t="str">
        <f t="shared" si="2"/>
        <v/>
      </c>
      <c r="G93" s="25"/>
    </row>
    <row r="94" spans="5:7" x14ac:dyDescent="0.25">
      <c r="E94" s="26" t="str">
        <f>IF(C94&gt;0,LOOKUP(#REF!-C94,#REF!),"")</f>
        <v/>
      </c>
      <c r="F94" s="25" t="str">
        <f t="shared" si="2"/>
        <v/>
      </c>
      <c r="G94" s="25"/>
    </row>
    <row r="95" spans="5:7" x14ac:dyDescent="0.25">
      <c r="E95" s="26" t="str">
        <f>IF(C95&gt;0,LOOKUP(#REF!-C95,#REF!),"")</f>
        <v/>
      </c>
      <c r="F95" s="25" t="str">
        <f t="shared" si="2"/>
        <v/>
      </c>
      <c r="G95" s="25"/>
    </row>
    <row r="96" spans="5:7" x14ac:dyDescent="0.25">
      <c r="E96" s="26" t="str">
        <f>IF(C96&gt;0,LOOKUP(#REF!-C96,#REF!),"")</f>
        <v/>
      </c>
      <c r="F96" s="25" t="str">
        <f t="shared" si="2"/>
        <v/>
      </c>
      <c r="G96" s="25"/>
    </row>
    <row r="97" spans="5:7" x14ac:dyDescent="0.25">
      <c r="E97" s="26" t="str">
        <f>IF(C97&gt;0,LOOKUP(#REF!-C97,#REF!),"")</f>
        <v/>
      </c>
      <c r="F97" s="25" t="str">
        <f t="shared" si="2"/>
        <v/>
      </c>
      <c r="G97" s="25"/>
    </row>
    <row r="98" spans="5:7" x14ac:dyDescent="0.25">
      <c r="E98" s="26" t="str">
        <f>IF(C98&gt;0,LOOKUP(#REF!-C98,#REF!),"")</f>
        <v/>
      </c>
      <c r="F98" s="25" t="str">
        <f t="shared" si="2"/>
        <v/>
      </c>
      <c r="G98" s="25"/>
    </row>
    <row r="99" spans="5:7" x14ac:dyDescent="0.25">
      <c r="E99" s="26" t="str">
        <f>IF(C99&gt;0,LOOKUP(#REF!-C99,#REF!),"")</f>
        <v/>
      </c>
      <c r="F99" s="25" t="str">
        <f t="shared" si="2"/>
        <v/>
      </c>
      <c r="G99" s="25"/>
    </row>
    <row r="100" spans="5:7" x14ac:dyDescent="0.25">
      <c r="E100" s="26" t="str">
        <f>IF(C100&gt;0,LOOKUP(#REF!-C100,#REF!),"")</f>
        <v/>
      </c>
      <c r="F100" s="25" t="str">
        <f t="shared" si="2"/>
        <v/>
      </c>
      <c r="G100" s="25"/>
    </row>
    <row r="101" spans="5:7" x14ac:dyDescent="0.25">
      <c r="E101" s="26" t="str">
        <f>IF(C101&gt;0,LOOKUP(#REF!-C101,#REF!),"")</f>
        <v/>
      </c>
      <c r="F101" s="25" t="str">
        <f t="shared" si="2"/>
        <v/>
      </c>
      <c r="G101" s="25"/>
    </row>
  </sheetData>
  <sheetProtection password="E928" sheet="1" objects="1" scenarios="1"/>
  <printOptions horizontalCentered="1" verticalCentered="1"/>
  <pageMargins left="0.45" right="0.45" top="0.75" bottom="0.25" header="0" footer="0"/>
  <pageSetup scale="80" orientation="portrait" r:id="rId1"/>
  <headerFooter>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3" tint="0.59999389629810485"/>
    <pageSetUpPr fitToPage="1"/>
  </sheetPr>
  <dimension ref="A1:F101"/>
  <sheetViews>
    <sheetView workbookViewId="0">
      <pane ySplit="2" topLeftCell="A3" activePane="bottomLeft" state="frozen"/>
      <selection activeCell="G29" sqref="G29"/>
      <selection pane="bottomLeft" activeCell="A3" sqref="A3"/>
    </sheetView>
  </sheetViews>
  <sheetFormatPr defaultColWidth="9.140625" defaultRowHeight="15" x14ac:dyDescent="0.25"/>
  <cols>
    <col min="1" max="1" width="25.7109375" style="20" bestFit="1" customWidth="1"/>
    <col min="2" max="2" width="12.28515625" style="20" customWidth="1"/>
    <col min="3" max="3" width="25.28515625" style="25" bestFit="1" customWidth="1"/>
    <col min="4" max="4" width="57.5703125" style="20" customWidth="1"/>
    <col min="5" max="5" width="22" style="20" customWidth="1"/>
    <col min="6" max="6" width="24.28515625" style="20" bestFit="1" customWidth="1"/>
    <col min="7" max="16384" width="9.140625" style="20"/>
  </cols>
  <sheetData>
    <row r="1" spans="1:6" ht="36" customHeight="1" thickBot="1" x14ac:dyDescent="0.55000000000000004">
      <c r="B1" s="52" t="s">
        <v>44</v>
      </c>
      <c r="C1" s="51"/>
    </row>
    <row r="2" spans="1:6" s="24" customFormat="1" ht="34.15" customHeight="1" thickBot="1" x14ac:dyDescent="0.35">
      <c r="A2" s="49" t="s">
        <v>40</v>
      </c>
      <c r="B2" s="49" t="s">
        <v>41</v>
      </c>
      <c r="C2" s="50" t="s">
        <v>39</v>
      </c>
      <c r="D2" s="50" t="s">
        <v>37</v>
      </c>
      <c r="F2" s="24" t="s">
        <v>19</v>
      </c>
    </row>
    <row r="3" spans="1:6" thickBot="1" x14ac:dyDescent="0.35">
      <c r="A3" s="46"/>
      <c r="B3" s="46"/>
      <c r="C3" s="47"/>
      <c r="D3" s="48"/>
      <c r="E3" s="25"/>
    </row>
    <row r="4" spans="1:6" thickBot="1" x14ac:dyDescent="0.35">
      <c r="A4" s="46"/>
      <c r="B4" s="46"/>
      <c r="C4" s="47"/>
      <c r="D4" s="48"/>
      <c r="E4" s="25"/>
    </row>
    <row r="5" spans="1:6" thickBot="1" x14ac:dyDescent="0.35">
      <c r="A5" s="46"/>
      <c r="B5" s="46"/>
      <c r="C5" s="47"/>
      <c r="D5" s="48"/>
      <c r="E5" s="25"/>
    </row>
    <row r="6" spans="1:6" thickBot="1" x14ac:dyDescent="0.35">
      <c r="A6" s="46"/>
      <c r="B6" s="46"/>
      <c r="C6" s="47"/>
      <c r="D6" s="48"/>
      <c r="E6" s="25"/>
    </row>
    <row r="7" spans="1:6" thickBot="1" x14ac:dyDescent="0.35">
      <c r="A7" s="46"/>
      <c r="B7" s="46"/>
      <c r="C7" s="47"/>
      <c r="D7" s="48"/>
      <c r="E7" s="25"/>
    </row>
    <row r="8" spans="1:6" thickBot="1" x14ac:dyDescent="0.35">
      <c r="A8" s="46"/>
      <c r="B8" s="46"/>
      <c r="C8" s="47"/>
      <c r="D8" s="48"/>
      <c r="E8" s="25"/>
    </row>
    <row r="9" spans="1:6" thickBot="1" x14ac:dyDescent="0.35">
      <c r="A9" s="46"/>
      <c r="B9" s="46"/>
      <c r="C9" s="47"/>
      <c r="D9" s="48"/>
      <c r="E9" s="25"/>
    </row>
    <row r="10" spans="1:6" thickBot="1" x14ac:dyDescent="0.35">
      <c r="A10" s="46"/>
      <c r="B10" s="46"/>
      <c r="C10" s="47"/>
      <c r="D10" s="48"/>
      <c r="E10" s="25"/>
    </row>
    <row r="11" spans="1:6" thickBot="1" x14ac:dyDescent="0.35">
      <c r="A11" s="46"/>
      <c r="B11" s="46"/>
      <c r="C11" s="47"/>
      <c r="D11" s="48"/>
      <c r="E11" s="25"/>
    </row>
    <row r="12" spans="1:6" thickBot="1" x14ac:dyDescent="0.35">
      <c r="A12" s="46"/>
      <c r="B12" s="46"/>
      <c r="C12" s="47"/>
      <c r="D12" s="48"/>
      <c r="E12" s="25"/>
    </row>
    <row r="13" spans="1:6" thickBot="1" x14ac:dyDescent="0.35">
      <c r="A13" s="46"/>
      <c r="B13" s="46"/>
      <c r="C13" s="47"/>
      <c r="D13" s="48"/>
      <c r="E13" s="25"/>
    </row>
    <row r="14" spans="1:6" thickBot="1" x14ac:dyDescent="0.35">
      <c r="A14" s="46"/>
      <c r="B14" s="46"/>
      <c r="C14" s="47"/>
      <c r="D14" s="48"/>
      <c r="E14" s="25"/>
    </row>
    <row r="15" spans="1:6" thickBot="1" x14ac:dyDescent="0.35">
      <c r="A15" s="46"/>
      <c r="B15" s="46"/>
      <c r="C15" s="47"/>
      <c r="D15" s="48"/>
      <c r="E15" s="25"/>
    </row>
    <row r="16" spans="1:6" thickBot="1" x14ac:dyDescent="0.35">
      <c r="A16" s="46"/>
      <c r="B16" s="46"/>
      <c r="C16" s="47"/>
      <c r="D16" s="48"/>
      <c r="E16" s="25"/>
    </row>
    <row r="17" spans="1:5" thickBot="1" x14ac:dyDescent="0.35">
      <c r="A17" s="46"/>
      <c r="B17" s="46"/>
      <c r="C17" s="47"/>
      <c r="D17" s="48"/>
      <c r="E17" s="25"/>
    </row>
    <row r="18" spans="1:5" thickBot="1" x14ac:dyDescent="0.35">
      <c r="A18" s="46"/>
      <c r="B18" s="46"/>
      <c r="C18" s="47"/>
      <c r="D18" s="48"/>
      <c r="E18" s="25"/>
    </row>
    <row r="19" spans="1:5" thickBot="1" x14ac:dyDescent="0.35">
      <c r="A19" s="46"/>
      <c r="B19" s="46"/>
      <c r="C19" s="47"/>
      <c r="D19" s="48"/>
      <c r="E19" s="25"/>
    </row>
    <row r="20" spans="1:5" thickBot="1" x14ac:dyDescent="0.35">
      <c r="A20" s="46"/>
      <c r="B20" s="46"/>
      <c r="C20" s="47"/>
      <c r="D20" s="48"/>
      <c r="E20" s="25"/>
    </row>
    <row r="21" spans="1:5" thickBot="1" x14ac:dyDescent="0.35">
      <c r="A21" s="46"/>
      <c r="B21" s="46"/>
      <c r="C21" s="47"/>
      <c r="D21" s="48"/>
      <c r="E21" s="25"/>
    </row>
    <row r="22" spans="1:5" thickBot="1" x14ac:dyDescent="0.35">
      <c r="A22" s="46"/>
      <c r="B22" s="46"/>
      <c r="C22" s="47"/>
      <c r="D22" s="48"/>
      <c r="E22" s="25"/>
    </row>
    <row r="23" spans="1:5" thickBot="1" x14ac:dyDescent="0.35">
      <c r="A23" s="46"/>
      <c r="B23" s="46"/>
      <c r="C23" s="47"/>
      <c r="D23" s="48"/>
      <c r="E23" s="25"/>
    </row>
    <row r="24" spans="1:5" thickBot="1" x14ac:dyDescent="0.35">
      <c r="A24" s="46"/>
      <c r="B24" s="46"/>
      <c r="C24" s="47"/>
      <c r="D24" s="48"/>
      <c r="E24" s="25"/>
    </row>
    <row r="25" spans="1:5" thickBot="1" x14ac:dyDescent="0.35">
      <c r="A25" s="46"/>
      <c r="B25" s="46"/>
      <c r="C25" s="47"/>
      <c r="D25" s="48"/>
      <c r="E25" s="25"/>
    </row>
    <row r="26" spans="1:5" thickBot="1" x14ac:dyDescent="0.35">
      <c r="A26" s="46"/>
      <c r="B26" s="46"/>
      <c r="C26" s="47"/>
      <c r="D26" s="48"/>
      <c r="E26" s="25"/>
    </row>
    <row r="27" spans="1:5" thickBot="1" x14ac:dyDescent="0.35">
      <c r="A27" s="46"/>
      <c r="B27" s="46"/>
      <c r="C27" s="47"/>
      <c r="D27" s="48"/>
      <c r="E27" s="25"/>
    </row>
    <row r="28" spans="1:5" thickBot="1" x14ac:dyDescent="0.35">
      <c r="A28" s="46"/>
      <c r="B28" s="46"/>
      <c r="C28" s="47"/>
      <c r="D28" s="48"/>
      <c r="E28" s="25"/>
    </row>
    <row r="29" spans="1:5" thickBot="1" x14ac:dyDescent="0.35">
      <c r="A29" s="46"/>
      <c r="B29" s="46"/>
      <c r="C29" s="47"/>
      <c r="D29" s="48"/>
      <c r="E29" s="25"/>
    </row>
    <row r="30" spans="1:5" thickBot="1" x14ac:dyDescent="0.35">
      <c r="A30" s="46"/>
      <c r="B30" s="46"/>
      <c r="C30" s="47"/>
      <c r="D30" s="48"/>
      <c r="E30" s="25"/>
    </row>
    <row r="31" spans="1:5" thickBot="1" x14ac:dyDescent="0.35">
      <c r="A31" s="46"/>
      <c r="B31" s="46"/>
      <c r="C31" s="47"/>
      <c r="D31" s="48"/>
      <c r="E31" s="25"/>
    </row>
    <row r="32" spans="1:5" thickBot="1" x14ac:dyDescent="0.35">
      <c r="A32" s="46"/>
      <c r="B32" s="46"/>
      <c r="C32" s="47"/>
      <c r="D32" s="48"/>
      <c r="E32" s="25"/>
    </row>
    <row r="33" spans="1:5" thickBot="1" x14ac:dyDescent="0.35">
      <c r="A33" s="46"/>
      <c r="B33" s="46"/>
      <c r="C33" s="47"/>
      <c r="D33" s="48"/>
      <c r="E33" s="25"/>
    </row>
    <row r="34" spans="1:5" thickBot="1" x14ac:dyDescent="0.35">
      <c r="A34" s="46"/>
      <c r="B34" s="46"/>
      <c r="C34" s="47"/>
      <c r="D34" s="48"/>
      <c r="E34" s="25"/>
    </row>
    <row r="35" spans="1:5" thickBot="1" x14ac:dyDescent="0.35">
      <c r="A35" s="46"/>
      <c r="B35" s="46"/>
      <c r="C35" s="47"/>
      <c r="D35" s="48"/>
      <c r="E35" s="25"/>
    </row>
    <row r="36" spans="1:5" thickBot="1" x14ac:dyDescent="0.35">
      <c r="A36" s="46"/>
      <c r="B36" s="46"/>
      <c r="C36" s="47"/>
      <c r="D36" s="48"/>
      <c r="E36" s="25"/>
    </row>
    <row r="37" spans="1:5" thickBot="1" x14ac:dyDescent="0.35">
      <c r="A37" s="46"/>
      <c r="B37" s="46"/>
      <c r="C37" s="47"/>
      <c r="D37" s="48"/>
      <c r="E37" s="25"/>
    </row>
    <row r="38" spans="1:5" ht="15.75" thickBot="1" x14ac:dyDescent="0.3">
      <c r="A38" s="46"/>
      <c r="B38" s="46"/>
      <c r="C38" s="47"/>
      <c r="D38" s="48"/>
      <c r="E38" s="25"/>
    </row>
    <row r="39" spans="1:5" ht="15.75" thickBot="1" x14ac:dyDescent="0.3">
      <c r="A39" s="46"/>
      <c r="B39" s="46"/>
      <c r="C39" s="47"/>
      <c r="D39" s="48"/>
      <c r="E39" s="25"/>
    </row>
    <row r="40" spans="1:5" ht="15.75" thickBot="1" x14ac:dyDescent="0.3">
      <c r="A40" s="46"/>
      <c r="B40" s="46"/>
      <c r="C40" s="47"/>
      <c r="D40" s="48"/>
      <c r="E40" s="25"/>
    </row>
    <row r="41" spans="1:5" ht="15.75" thickBot="1" x14ac:dyDescent="0.3">
      <c r="A41" s="46"/>
      <c r="B41" s="46"/>
      <c r="C41" s="47"/>
      <c r="D41" s="48"/>
      <c r="E41" s="25"/>
    </row>
    <row r="42" spans="1:5" ht="15.75" thickBot="1" x14ac:dyDescent="0.3">
      <c r="A42" s="46"/>
      <c r="B42" s="46"/>
      <c r="C42" s="47"/>
      <c r="D42" s="48"/>
      <c r="E42" s="25"/>
    </row>
    <row r="43" spans="1:5" ht="15.75" thickBot="1" x14ac:dyDescent="0.3">
      <c r="A43" s="46"/>
      <c r="B43" s="46"/>
      <c r="C43" s="47"/>
      <c r="D43" s="48"/>
      <c r="E43" s="25"/>
    </row>
    <row r="44" spans="1:5" ht="15.75" thickBot="1" x14ac:dyDescent="0.3">
      <c r="A44" s="46"/>
      <c r="B44" s="46"/>
      <c r="C44" s="47"/>
      <c r="D44" s="48"/>
      <c r="E44" s="25"/>
    </row>
    <row r="45" spans="1:5" ht="15.75" thickBot="1" x14ac:dyDescent="0.3">
      <c r="A45" s="46"/>
      <c r="B45" s="46"/>
      <c r="C45" s="47"/>
      <c r="D45" s="48"/>
      <c r="E45" s="25"/>
    </row>
    <row r="46" spans="1:5" ht="15.75" thickBot="1" x14ac:dyDescent="0.3">
      <c r="A46" s="46"/>
      <c r="B46" s="46"/>
      <c r="C46" s="47"/>
      <c r="D46" s="48"/>
      <c r="E46" s="25"/>
    </row>
    <row r="47" spans="1:5" ht="15.75" thickBot="1" x14ac:dyDescent="0.3">
      <c r="A47" s="46"/>
      <c r="B47" s="46"/>
      <c r="C47" s="47"/>
      <c r="D47" s="48"/>
      <c r="E47" s="25"/>
    </row>
    <row r="48" spans="1:5" ht="15.75" thickBot="1" x14ac:dyDescent="0.3">
      <c r="A48" s="46"/>
      <c r="B48" s="46"/>
      <c r="C48" s="47"/>
      <c r="D48" s="48"/>
      <c r="E48" s="25"/>
    </row>
    <row r="49" spans="1:5" ht="15.75" thickBot="1" x14ac:dyDescent="0.3">
      <c r="A49" s="46"/>
      <c r="B49" s="46"/>
      <c r="C49" s="47"/>
      <c r="D49" s="48"/>
      <c r="E49" s="25"/>
    </row>
    <row r="50" spans="1:5" ht="15.75" thickBot="1" x14ac:dyDescent="0.3">
      <c r="A50" s="46"/>
      <c r="B50" s="46"/>
      <c r="C50" s="47"/>
      <c r="D50" s="48"/>
      <c r="E50" s="25"/>
    </row>
    <row r="51" spans="1:5" ht="15.75" thickBot="1" x14ac:dyDescent="0.3">
      <c r="A51" s="46"/>
      <c r="B51" s="46"/>
      <c r="C51" s="47"/>
      <c r="D51" s="48"/>
      <c r="E51" s="25"/>
    </row>
    <row r="52" spans="1:5" ht="15.75" thickBot="1" x14ac:dyDescent="0.3">
      <c r="A52" s="46"/>
      <c r="B52" s="46"/>
      <c r="C52" s="47"/>
      <c r="D52" s="48"/>
      <c r="E52" s="25"/>
    </row>
    <row r="53" spans="1:5" ht="15.75" thickBot="1" x14ac:dyDescent="0.3">
      <c r="A53" s="46"/>
      <c r="B53" s="46"/>
      <c r="C53" s="47"/>
      <c r="D53" s="48"/>
      <c r="E53" s="25"/>
    </row>
    <row r="54" spans="1:5" ht="15.75" thickBot="1" x14ac:dyDescent="0.3">
      <c r="A54" s="46"/>
      <c r="B54" s="46"/>
      <c r="C54" s="47"/>
      <c r="D54" s="48"/>
      <c r="E54" s="25"/>
    </row>
    <row r="55" spans="1:5" ht="15.75" thickBot="1" x14ac:dyDescent="0.3">
      <c r="A55" s="46"/>
      <c r="B55" s="46"/>
      <c r="C55" s="47"/>
      <c r="D55" s="48"/>
      <c r="E55" s="25"/>
    </row>
    <row r="56" spans="1:5" ht="15.75" thickBot="1" x14ac:dyDescent="0.3">
      <c r="A56" s="46"/>
      <c r="B56" s="46"/>
      <c r="C56" s="47"/>
      <c r="D56" s="48"/>
      <c r="E56" s="25"/>
    </row>
    <row r="57" spans="1:5" x14ac:dyDescent="0.25">
      <c r="E57" s="25"/>
    </row>
    <row r="58" spans="1:5" x14ac:dyDescent="0.25">
      <c r="E58" s="25"/>
    </row>
    <row r="59" spans="1:5" x14ac:dyDescent="0.25">
      <c r="E59" s="25"/>
    </row>
    <row r="60" spans="1:5" x14ac:dyDescent="0.25">
      <c r="E60" s="25"/>
    </row>
    <row r="61" spans="1:5" x14ac:dyDescent="0.25">
      <c r="E61" s="25"/>
    </row>
    <row r="62" spans="1:5" x14ac:dyDescent="0.25">
      <c r="E62" s="25"/>
    </row>
    <row r="63" spans="1:5" x14ac:dyDescent="0.25">
      <c r="E63" s="25"/>
    </row>
    <row r="64" spans="1:5" x14ac:dyDescent="0.25">
      <c r="E64" s="25"/>
    </row>
    <row r="65" spans="5:5" x14ac:dyDescent="0.25">
      <c r="E65" s="25"/>
    </row>
    <row r="66" spans="5:5" x14ac:dyDescent="0.25">
      <c r="E66" s="25"/>
    </row>
    <row r="67" spans="5:5" x14ac:dyDescent="0.25">
      <c r="E67" s="25"/>
    </row>
    <row r="68" spans="5:5" x14ac:dyDescent="0.25">
      <c r="E68" s="25"/>
    </row>
    <row r="69" spans="5:5" x14ac:dyDescent="0.25">
      <c r="E69" s="25"/>
    </row>
    <row r="70" spans="5:5" x14ac:dyDescent="0.25">
      <c r="E70" s="25"/>
    </row>
    <row r="71" spans="5:5" x14ac:dyDescent="0.25">
      <c r="E71" s="25"/>
    </row>
    <row r="72" spans="5:5" x14ac:dyDescent="0.25">
      <c r="E72" s="25"/>
    </row>
    <row r="73" spans="5:5" x14ac:dyDescent="0.25">
      <c r="E73" s="25"/>
    </row>
    <row r="74" spans="5:5" x14ac:dyDescent="0.25">
      <c r="E74" s="25"/>
    </row>
    <row r="75" spans="5:5" x14ac:dyDescent="0.25">
      <c r="E75" s="25"/>
    </row>
    <row r="76" spans="5:5" x14ac:dyDescent="0.25">
      <c r="E76" s="25"/>
    </row>
    <row r="77" spans="5:5" x14ac:dyDescent="0.25">
      <c r="E77" s="25"/>
    </row>
    <row r="78" spans="5:5" x14ac:dyDescent="0.25">
      <c r="E78" s="25"/>
    </row>
    <row r="79" spans="5:5" x14ac:dyDescent="0.25">
      <c r="E79" s="25"/>
    </row>
    <row r="80" spans="5:5" x14ac:dyDescent="0.25">
      <c r="E80" s="25"/>
    </row>
    <row r="81" spans="5:5" x14ac:dyDescent="0.25">
      <c r="E81" s="25"/>
    </row>
    <row r="82" spans="5:5" x14ac:dyDescent="0.25">
      <c r="E82" s="25"/>
    </row>
    <row r="83" spans="5:5" x14ac:dyDescent="0.25">
      <c r="E83" s="25"/>
    </row>
    <row r="84" spans="5:5" x14ac:dyDescent="0.25">
      <c r="E84" s="25"/>
    </row>
    <row r="85" spans="5:5" x14ac:dyDescent="0.25">
      <c r="E85" s="25"/>
    </row>
    <row r="86" spans="5:5" x14ac:dyDescent="0.25">
      <c r="E86" s="25"/>
    </row>
    <row r="87" spans="5:5" x14ac:dyDescent="0.25">
      <c r="E87" s="25"/>
    </row>
    <row r="88" spans="5:5" x14ac:dyDescent="0.25">
      <c r="E88" s="25"/>
    </row>
    <row r="89" spans="5:5" x14ac:dyDescent="0.25">
      <c r="E89" s="25"/>
    </row>
    <row r="90" spans="5:5" x14ac:dyDescent="0.25">
      <c r="E90" s="25"/>
    </row>
    <row r="91" spans="5:5" x14ac:dyDescent="0.25">
      <c r="E91" s="25"/>
    </row>
    <row r="92" spans="5:5" x14ac:dyDescent="0.25">
      <c r="E92" s="25"/>
    </row>
    <row r="93" spans="5:5" x14ac:dyDescent="0.25">
      <c r="E93" s="25"/>
    </row>
    <row r="94" spans="5:5" x14ac:dyDescent="0.25">
      <c r="E94" s="25"/>
    </row>
    <row r="95" spans="5:5" x14ac:dyDescent="0.25">
      <c r="E95" s="25"/>
    </row>
    <row r="96" spans="5:5" x14ac:dyDescent="0.25">
      <c r="E96" s="25"/>
    </row>
    <row r="97" spans="5:5" x14ac:dyDescent="0.25">
      <c r="E97" s="25"/>
    </row>
    <row r="98" spans="5:5" x14ac:dyDescent="0.25">
      <c r="E98" s="25"/>
    </row>
    <row r="99" spans="5:5" x14ac:dyDescent="0.25">
      <c r="E99" s="25"/>
    </row>
    <row r="100" spans="5:5" x14ac:dyDescent="0.25">
      <c r="E100" s="25"/>
    </row>
    <row r="101" spans="5:5" x14ac:dyDescent="0.25">
      <c r="E101" s="25"/>
    </row>
  </sheetData>
  <printOptions horizontalCentered="1" verticalCentered="1"/>
  <pageMargins left="0.45" right="0.45" top="0.75" bottom="0.25" header="0" footer="0"/>
  <pageSetup scale="80" orientation="portrait" r:id="rId1"/>
  <headerFoot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3" tint="0.59999389629810485"/>
    <pageSetUpPr fitToPage="1"/>
  </sheetPr>
  <dimension ref="A1:G89"/>
  <sheetViews>
    <sheetView workbookViewId="0">
      <pane ySplit="2" topLeftCell="A3" activePane="bottomLeft" state="frozen"/>
      <selection sqref="A1:F1"/>
      <selection pane="bottomLeft" activeCell="A3" sqref="A3"/>
    </sheetView>
  </sheetViews>
  <sheetFormatPr defaultColWidth="9.140625" defaultRowHeight="15" x14ac:dyDescent="0.25"/>
  <cols>
    <col min="1" max="1" width="25.7109375" style="20" bestFit="1" customWidth="1"/>
    <col min="2" max="2" width="18.28515625" style="20" customWidth="1"/>
    <col min="3" max="3" width="25.28515625" style="27" bestFit="1" customWidth="1"/>
    <col min="4" max="4" width="16.7109375" style="20" bestFit="1" customWidth="1"/>
    <col min="5" max="5" width="22" style="20" bestFit="1" customWidth="1"/>
    <col min="6" max="6" width="22" style="20" customWidth="1"/>
    <col min="7" max="7" width="24.28515625" style="20" bestFit="1" customWidth="1"/>
    <col min="8" max="16384" width="9.140625" style="20"/>
  </cols>
  <sheetData>
    <row r="1" spans="1:7" ht="36" customHeight="1" thickBot="1" x14ac:dyDescent="0.55000000000000004">
      <c r="A1" s="59" t="s">
        <v>46</v>
      </c>
    </row>
    <row r="2" spans="1:7" s="24" customFormat="1" ht="30" customHeight="1" thickBot="1" x14ac:dyDescent="0.35">
      <c r="A2" s="98" t="s">
        <v>75</v>
      </c>
      <c r="B2" s="98" t="s">
        <v>74</v>
      </c>
      <c r="C2" s="66" t="s">
        <v>42</v>
      </c>
      <c r="D2" s="65" t="s">
        <v>21</v>
      </c>
      <c r="E2" s="65" t="s">
        <v>9</v>
      </c>
      <c r="G2" s="24" t="s">
        <v>19</v>
      </c>
    </row>
    <row r="3" spans="1:7" thickBot="1" x14ac:dyDescent="0.35">
      <c r="A3" s="46"/>
      <c r="B3" s="46"/>
      <c r="C3" s="71"/>
      <c r="D3" s="48"/>
      <c r="E3" s="67"/>
      <c r="F3" s="25"/>
    </row>
    <row r="4" spans="1:7" thickBot="1" x14ac:dyDescent="0.35">
      <c r="A4" s="46"/>
      <c r="B4" s="46"/>
      <c r="C4" s="71"/>
      <c r="D4" s="48"/>
      <c r="E4" s="67"/>
      <c r="F4" s="25"/>
    </row>
    <row r="5" spans="1:7" thickBot="1" x14ac:dyDescent="0.35">
      <c r="A5" s="46"/>
      <c r="B5" s="46"/>
      <c r="C5" s="71"/>
      <c r="D5" s="48"/>
      <c r="E5" s="67"/>
      <c r="F5" s="25"/>
    </row>
    <row r="6" spans="1:7" thickBot="1" x14ac:dyDescent="0.35">
      <c r="A6" s="46"/>
      <c r="B6" s="46"/>
      <c r="C6" s="71"/>
      <c r="D6" s="48"/>
      <c r="E6" s="67"/>
      <c r="F6" s="25"/>
    </row>
    <row r="7" spans="1:7" thickBot="1" x14ac:dyDescent="0.35">
      <c r="A7" s="46"/>
      <c r="B7" s="46"/>
      <c r="C7" s="71"/>
      <c r="D7" s="48"/>
      <c r="E7" s="67"/>
      <c r="F7" s="25"/>
    </row>
    <row r="8" spans="1:7" thickBot="1" x14ac:dyDescent="0.35">
      <c r="A8" s="46"/>
      <c r="B8" s="46"/>
      <c r="C8" s="71"/>
      <c r="D8" s="48"/>
      <c r="E8" s="67"/>
      <c r="F8" s="25"/>
    </row>
    <row r="9" spans="1:7" thickBot="1" x14ac:dyDescent="0.35">
      <c r="A9" s="46"/>
      <c r="B9" s="46"/>
      <c r="C9" s="71"/>
      <c r="D9" s="48"/>
      <c r="E9" s="67"/>
      <c r="F9" s="25"/>
    </row>
    <row r="10" spans="1:7" thickBot="1" x14ac:dyDescent="0.35">
      <c r="A10" s="46"/>
      <c r="B10" s="46"/>
      <c r="C10" s="71"/>
      <c r="D10" s="48"/>
      <c r="E10" s="67"/>
      <c r="F10" s="25"/>
    </row>
    <row r="11" spans="1:7" thickBot="1" x14ac:dyDescent="0.35">
      <c r="A11" s="46"/>
      <c r="B11" s="46"/>
      <c r="C11" s="71"/>
      <c r="D11" s="48"/>
      <c r="E11" s="67"/>
      <c r="F11" s="25"/>
    </row>
    <row r="12" spans="1:7" thickBot="1" x14ac:dyDescent="0.35">
      <c r="A12" s="46"/>
      <c r="B12" s="46"/>
      <c r="C12" s="71"/>
      <c r="D12" s="48"/>
      <c r="E12" s="67"/>
      <c r="F12" s="25"/>
    </row>
    <row r="13" spans="1:7" thickBot="1" x14ac:dyDescent="0.35">
      <c r="A13" s="46"/>
      <c r="B13" s="46"/>
      <c r="C13" s="71"/>
      <c r="D13" s="48"/>
      <c r="E13" s="67"/>
      <c r="F13" s="25"/>
    </row>
    <row r="14" spans="1:7" thickBot="1" x14ac:dyDescent="0.35">
      <c r="A14" s="46"/>
      <c r="B14" s="46"/>
      <c r="C14" s="71"/>
      <c r="D14" s="48"/>
      <c r="E14" s="67"/>
      <c r="F14" s="25"/>
    </row>
    <row r="15" spans="1:7" thickBot="1" x14ac:dyDescent="0.35">
      <c r="A15" s="46"/>
      <c r="B15" s="46"/>
      <c r="C15" s="71"/>
      <c r="D15" s="48"/>
      <c r="E15" s="67"/>
      <c r="F15" s="25"/>
    </row>
    <row r="16" spans="1:7" thickBot="1" x14ac:dyDescent="0.35">
      <c r="A16" s="46"/>
      <c r="B16" s="46"/>
      <c r="C16" s="71"/>
      <c r="D16" s="48"/>
      <c r="E16" s="67"/>
      <c r="F16" s="25"/>
    </row>
    <row r="17" spans="1:6" thickBot="1" x14ac:dyDescent="0.35">
      <c r="A17" s="46"/>
      <c r="B17" s="46"/>
      <c r="C17" s="71"/>
      <c r="D17" s="48"/>
      <c r="E17" s="67"/>
      <c r="F17" s="25"/>
    </row>
    <row r="18" spans="1:6" thickBot="1" x14ac:dyDescent="0.35">
      <c r="A18" s="46"/>
      <c r="B18" s="46"/>
      <c r="C18" s="71"/>
      <c r="D18" s="48"/>
      <c r="E18" s="67"/>
      <c r="F18" s="25"/>
    </row>
    <row r="19" spans="1:6" thickBot="1" x14ac:dyDescent="0.35">
      <c r="A19" s="46"/>
      <c r="B19" s="46"/>
      <c r="C19" s="71"/>
      <c r="D19" s="48"/>
      <c r="E19" s="67"/>
      <c r="F19" s="25"/>
    </row>
    <row r="20" spans="1:6" thickBot="1" x14ac:dyDescent="0.35">
      <c r="A20" s="46"/>
      <c r="B20" s="46"/>
      <c r="C20" s="71"/>
      <c r="D20" s="48"/>
      <c r="E20" s="67"/>
      <c r="F20" s="25"/>
    </row>
    <row r="21" spans="1:6" thickBot="1" x14ac:dyDescent="0.35">
      <c r="A21" s="46"/>
      <c r="B21" s="46"/>
      <c r="C21" s="71"/>
      <c r="D21" s="48"/>
      <c r="E21" s="67"/>
      <c r="F21" s="25"/>
    </row>
    <row r="22" spans="1:6" thickBot="1" x14ac:dyDescent="0.35">
      <c r="A22" s="46"/>
      <c r="B22" s="46"/>
      <c r="C22" s="71"/>
      <c r="D22" s="48"/>
      <c r="E22" s="67"/>
      <c r="F22" s="25"/>
    </row>
    <row r="23" spans="1:6" thickBot="1" x14ac:dyDescent="0.35">
      <c r="A23" s="46"/>
      <c r="B23" s="46"/>
      <c r="C23" s="71"/>
      <c r="D23" s="48"/>
      <c r="E23" s="67"/>
      <c r="F23" s="25"/>
    </row>
    <row r="24" spans="1:6" thickBot="1" x14ac:dyDescent="0.35">
      <c r="A24" s="46"/>
      <c r="B24" s="46"/>
      <c r="C24" s="71"/>
      <c r="D24" s="48"/>
      <c r="E24" s="67"/>
      <c r="F24" s="25"/>
    </row>
    <row r="25" spans="1:6" thickBot="1" x14ac:dyDescent="0.35">
      <c r="A25" s="46"/>
      <c r="B25" s="46"/>
      <c r="C25" s="71"/>
      <c r="D25" s="48"/>
      <c r="E25" s="67"/>
      <c r="F25" s="25"/>
    </row>
    <row r="26" spans="1:6" thickBot="1" x14ac:dyDescent="0.35">
      <c r="A26" s="46"/>
      <c r="B26" s="46"/>
      <c r="C26" s="71"/>
      <c r="D26" s="48"/>
      <c r="E26" s="67"/>
      <c r="F26" s="25"/>
    </row>
    <row r="27" spans="1:6" thickBot="1" x14ac:dyDescent="0.35">
      <c r="A27" s="46"/>
      <c r="B27" s="46"/>
      <c r="C27" s="71"/>
      <c r="D27" s="48"/>
      <c r="E27" s="67"/>
      <c r="F27" s="25"/>
    </row>
    <row r="28" spans="1:6" thickBot="1" x14ac:dyDescent="0.35">
      <c r="A28" s="46"/>
      <c r="B28" s="46"/>
      <c r="C28" s="71"/>
      <c r="D28" s="48"/>
      <c r="E28" s="67"/>
      <c r="F28" s="25"/>
    </row>
    <row r="29" spans="1:6" thickBot="1" x14ac:dyDescent="0.35">
      <c r="A29" s="46"/>
      <c r="B29" s="46"/>
      <c r="C29" s="71"/>
      <c r="D29" s="48"/>
      <c r="E29" s="67"/>
      <c r="F29" s="25"/>
    </row>
    <row r="30" spans="1:6" thickBot="1" x14ac:dyDescent="0.35">
      <c r="A30" s="46"/>
      <c r="B30" s="46"/>
      <c r="C30" s="71"/>
      <c r="D30" s="48"/>
      <c r="E30" s="67"/>
      <c r="F30" s="25"/>
    </row>
    <row r="31" spans="1:6" thickBot="1" x14ac:dyDescent="0.35">
      <c r="A31" s="46"/>
      <c r="B31" s="46"/>
      <c r="C31" s="71"/>
      <c r="D31" s="48"/>
      <c r="E31" s="67"/>
      <c r="F31" s="25"/>
    </row>
    <row r="32" spans="1:6" thickBot="1" x14ac:dyDescent="0.35">
      <c r="A32" s="46"/>
      <c r="B32" s="46"/>
      <c r="C32" s="71"/>
      <c r="D32" s="48"/>
      <c r="E32" s="67"/>
      <c r="F32" s="25"/>
    </row>
    <row r="33" spans="1:6" thickBot="1" x14ac:dyDescent="0.35">
      <c r="A33" s="46"/>
      <c r="B33" s="46"/>
      <c r="C33" s="71"/>
      <c r="D33" s="48"/>
      <c r="E33" s="67"/>
      <c r="F33" s="25"/>
    </row>
    <row r="34" spans="1:6" thickBot="1" x14ac:dyDescent="0.35">
      <c r="A34" s="46"/>
      <c r="B34" s="46"/>
      <c r="C34" s="71"/>
      <c r="D34" s="48"/>
      <c r="E34" s="67"/>
      <c r="F34" s="25"/>
    </row>
    <row r="35" spans="1:6" thickBot="1" x14ac:dyDescent="0.35">
      <c r="A35" s="46"/>
      <c r="B35" s="46"/>
      <c r="C35" s="71"/>
      <c r="D35" s="48"/>
      <c r="E35" s="67"/>
      <c r="F35" s="25"/>
    </row>
    <row r="36" spans="1:6" thickBot="1" x14ac:dyDescent="0.35">
      <c r="A36" s="46"/>
      <c r="B36" s="46"/>
      <c r="C36" s="71"/>
      <c r="D36" s="48"/>
      <c r="E36" s="67"/>
      <c r="F36" s="25"/>
    </row>
    <row r="37" spans="1:6" thickBot="1" x14ac:dyDescent="0.35">
      <c r="A37" s="46"/>
      <c r="B37" s="46"/>
      <c r="C37" s="71"/>
      <c r="D37" s="48"/>
      <c r="E37" s="67"/>
      <c r="F37" s="25"/>
    </row>
    <row r="38" spans="1:6" ht="15.75" thickBot="1" x14ac:dyDescent="0.3">
      <c r="A38" s="46"/>
      <c r="B38" s="46"/>
      <c r="C38" s="71"/>
      <c r="D38" s="48"/>
      <c r="E38" s="67"/>
      <c r="F38" s="25"/>
    </row>
    <row r="39" spans="1:6" ht="15.75" thickBot="1" x14ac:dyDescent="0.3">
      <c r="A39" s="46"/>
      <c r="B39" s="46"/>
      <c r="C39" s="71"/>
      <c r="D39" s="48"/>
      <c r="E39" s="67"/>
      <c r="F39" s="25"/>
    </row>
    <row r="40" spans="1:6" ht="15.75" thickBot="1" x14ac:dyDescent="0.3">
      <c r="A40" s="46"/>
      <c r="B40" s="46"/>
      <c r="C40" s="71"/>
      <c r="D40" s="48"/>
      <c r="E40" s="67"/>
      <c r="F40" s="25"/>
    </row>
    <row r="41" spans="1:6" ht="15.75" thickBot="1" x14ac:dyDescent="0.3">
      <c r="A41" s="46"/>
      <c r="B41" s="46"/>
      <c r="C41" s="71"/>
      <c r="D41" s="48"/>
      <c r="E41" s="67"/>
      <c r="F41" s="25"/>
    </row>
    <row r="42" spans="1:6" ht="15.75" thickBot="1" x14ac:dyDescent="0.3">
      <c r="A42" s="46"/>
      <c r="B42" s="46"/>
      <c r="C42" s="71"/>
      <c r="D42" s="48"/>
      <c r="E42" s="67"/>
      <c r="F42" s="25"/>
    </row>
    <row r="43" spans="1:6" ht="15.75" thickBot="1" x14ac:dyDescent="0.3">
      <c r="A43" s="46"/>
      <c r="B43" s="46"/>
      <c r="C43" s="71"/>
      <c r="D43" s="48"/>
      <c r="E43" s="67"/>
      <c r="F43" s="25"/>
    </row>
    <row r="44" spans="1:6" ht="15.75" thickBot="1" x14ac:dyDescent="0.3">
      <c r="A44" s="46"/>
      <c r="B44" s="46"/>
      <c r="C44" s="71"/>
      <c r="D44" s="48"/>
      <c r="E44" s="67"/>
      <c r="F44" s="25"/>
    </row>
    <row r="45" spans="1:6" ht="15.75" thickBot="1" x14ac:dyDescent="0.3">
      <c r="A45" s="46"/>
      <c r="B45" s="46"/>
      <c r="C45" s="71"/>
      <c r="D45" s="48"/>
      <c r="E45" s="67"/>
      <c r="F45" s="25"/>
    </row>
    <row r="46" spans="1:6" ht="15.75" thickBot="1" x14ac:dyDescent="0.3">
      <c r="A46" s="46"/>
      <c r="B46" s="46"/>
      <c r="C46" s="71"/>
      <c r="D46" s="48"/>
      <c r="E46" s="67"/>
      <c r="F46" s="25"/>
    </row>
    <row r="47" spans="1:6" ht="15.75" thickBot="1" x14ac:dyDescent="0.3">
      <c r="A47" s="46"/>
      <c r="B47" s="46"/>
      <c r="C47" s="71"/>
      <c r="D47" s="48"/>
      <c r="E47" s="67"/>
      <c r="F47" s="25"/>
    </row>
    <row r="48" spans="1:6" x14ac:dyDescent="0.25">
      <c r="E48" s="25"/>
      <c r="F48" s="25"/>
    </row>
    <row r="49" spans="5:6" x14ac:dyDescent="0.25">
      <c r="E49" s="25"/>
      <c r="F49" s="25"/>
    </row>
    <row r="50" spans="5:6" x14ac:dyDescent="0.25">
      <c r="E50" s="25"/>
      <c r="F50" s="25"/>
    </row>
    <row r="51" spans="5:6" x14ac:dyDescent="0.25">
      <c r="E51" s="25"/>
      <c r="F51" s="25"/>
    </row>
    <row r="52" spans="5:6" x14ac:dyDescent="0.25">
      <c r="E52" s="25"/>
      <c r="F52" s="25"/>
    </row>
    <row r="53" spans="5:6" x14ac:dyDescent="0.25">
      <c r="E53" s="25"/>
      <c r="F53" s="25"/>
    </row>
    <row r="54" spans="5:6" x14ac:dyDescent="0.25">
      <c r="E54" s="25"/>
      <c r="F54" s="25"/>
    </row>
    <row r="55" spans="5:6" x14ac:dyDescent="0.25">
      <c r="E55" s="25"/>
      <c r="F55" s="25"/>
    </row>
    <row r="56" spans="5:6" x14ac:dyDescent="0.25">
      <c r="E56" s="25"/>
      <c r="F56" s="25"/>
    </row>
    <row r="57" spans="5:6" x14ac:dyDescent="0.25">
      <c r="E57" s="25"/>
      <c r="F57" s="25"/>
    </row>
    <row r="58" spans="5:6" x14ac:dyDescent="0.25">
      <c r="E58" s="25"/>
      <c r="F58" s="25"/>
    </row>
    <row r="59" spans="5:6" x14ac:dyDescent="0.25">
      <c r="E59" s="25"/>
      <c r="F59" s="25"/>
    </row>
    <row r="60" spans="5:6" x14ac:dyDescent="0.25">
      <c r="E60" s="25"/>
      <c r="F60" s="25"/>
    </row>
    <row r="61" spans="5:6" x14ac:dyDescent="0.25">
      <c r="E61" s="25"/>
      <c r="F61" s="25"/>
    </row>
    <row r="62" spans="5:6" x14ac:dyDescent="0.25">
      <c r="E62" s="25"/>
      <c r="F62" s="25"/>
    </row>
    <row r="63" spans="5:6" x14ac:dyDescent="0.25">
      <c r="E63" s="25"/>
      <c r="F63" s="25"/>
    </row>
    <row r="64" spans="5:6" x14ac:dyDescent="0.25">
      <c r="E64" s="25"/>
      <c r="F64" s="25"/>
    </row>
    <row r="65" spans="5:6" x14ac:dyDescent="0.25">
      <c r="E65" s="25"/>
      <c r="F65" s="25"/>
    </row>
    <row r="66" spans="5:6" x14ac:dyDescent="0.25">
      <c r="E66" s="25"/>
      <c r="F66" s="25"/>
    </row>
    <row r="67" spans="5:6" x14ac:dyDescent="0.25">
      <c r="E67" s="25"/>
      <c r="F67" s="25"/>
    </row>
    <row r="68" spans="5:6" x14ac:dyDescent="0.25">
      <c r="E68" s="25"/>
      <c r="F68" s="25"/>
    </row>
    <row r="69" spans="5:6" x14ac:dyDescent="0.25">
      <c r="E69" s="25"/>
      <c r="F69" s="25"/>
    </row>
    <row r="70" spans="5:6" x14ac:dyDescent="0.25">
      <c r="E70" s="25"/>
      <c r="F70" s="25"/>
    </row>
    <row r="71" spans="5:6" x14ac:dyDescent="0.25">
      <c r="E71" s="25"/>
      <c r="F71" s="25"/>
    </row>
    <row r="72" spans="5:6" x14ac:dyDescent="0.25">
      <c r="E72" s="25"/>
      <c r="F72" s="25"/>
    </row>
    <row r="73" spans="5:6" x14ac:dyDescent="0.25">
      <c r="E73" s="25"/>
      <c r="F73" s="25"/>
    </row>
    <row r="74" spans="5:6" x14ac:dyDescent="0.25">
      <c r="E74" s="25"/>
      <c r="F74" s="25"/>
    </row>
    <row r="75" spans="5:6" x14ac:dyDescent="0.25">
      <c r="E75" s="25"/>
      <c r="F75" s="25"/>
    </row>
    <row r="76" spans="5:6" x14ac:dyDescent="0.25">
      <c r="E76" s="25"/>
      <c r="F76" s="25"/>
    </row>
    <row r="77" spans="5:6" x14ac:dyDescent="0.25">
      <c r="E77" s="25"/>
      <c r="F77" s="25"/>
    </row>
    <row r="78" spans="5:6" x14ac:dyDescent="0.25">
      <c r="E78" s="25"/>
      <c r="F78" s="25"/>
    </row>
    <row r="79" spans="5:6" x14ac:dyDescent="0.25">
      <c r="E79" s="25"/>
      <c r="F79" s="25"/>
    </row>
    <row r="80" spans="5:6" x14ac:dyDescent="0.25">
      <c r="E80" s="25"/>
      <c r="F80" s="25"/>
    </row>
    <row r="81" spans="5:6" x14ac:dyDescent="0.25">
      <c r="E81" s="25"/>
      <c r="F81" s="25"/>
    </row>
    <row r="82" spans="5:6" x14ac:dyDescent="0.25">
      <c r="E82" s="25"/>
      <c r="F82" s="25"/>
    </row>
    <row r="83" spans="5:6" x14ac:dyDescent="0.25">
      <c r="E83" s="25"/>
      <c r="F83" s="25"/>
    </row>
    <row r="84" spans="5:6" x14ac:dyDescent="0.25">
      <c r="E84" s="25"/>
      <c r="F84" s="25"/>
    </row>
    <row r="85" spans="5:6" x14ac:dyDescent="0.25">
      <c r="E85" s="25"/>
      <c r="F85" s="25"/>
    </row>
    <row r="86" spans="5:6" x14ac:dyDescent="0.25">
      <c r="E86" s="25"/>
      <c r="F86" s="25"/>
    </row>
    <row r="87" spans="5:6" x14ac:dyDescent="0.25">
      <c r="E87" s="25"/>
      <c r="F87" s="25"/>
    </row>
    <row r="88" spans="5:6" x14ac:dyDescent="0.25">
      <c r="E88" s="25"/>
      <c r="F88" s="25"/>
    </row>
    <row r="89" spans="5:6" x14ac:dyDescent="0.25">
      <c r="E89" s="25"/>
      <c r="F89" s="25"/>
    </row>
  </sheetData>
  <printOptions horizontalCentered="1" verticalCentered="1"/>
  <pageMargins left="0.45" right="0.45" top="0.75" bottom="0.25" header="0" footer="0"/>
  <pageSetup scale="90" orientation="portrait" r:id="rId1"/>
  <headerFooter>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102"/>
  <sheetViews>
    <sheetView workbookViewId="0">
      <pane ySplit="1" topLeftCell="A2" activePane="bottomLeft" state="frozen"/>
      <selection pane="bottomLeft" sqref="A1:H43"/>
    </sheetView>
  </sheetViews>
  <sheetFormatPr defaultColWidth="8.85546875" defaultRowHeight="15" x14ac:dyDescent="0.25"/>
  <cols>
    <col min="1" max="9" width="8.85546875" style="99"/>
    <col min="10" max="16384" width="8.85546875" style="85"/>
  </cols>
  <sheetData>
    <row r="1" spans="1:9" ht="14.45" x14ac:dyDescent="0.3">
      <c r="A1" s="99" t="s">
        <v>63</v>
      </c>
      <c r="B1" s="99" t="s">
        <v>58</v>
      </c>
      <c r="C1" s="99" t="s">
        <v>64</v>
      </c>
      <c r="D1" s="99" t="s">
        <v>60</v>
      </c>
      <c r="G1" s="100" t="s">
        <v>20</v>
      </c>
      <c r="H1" s="100">
        <v>2015</v>
      </c>
    </row>
    <row r="2" spans="1:9" ht="14.45" x14ac:dyDescent="0.3">
      <c r="A2" s="99">
        <v>0</v>
      </c>
      <c r="B2" s="99">
        <v>100</v>
      </c>
      <c r="C2" s="101">
        <f>A2/B2</f>
        <v>0</v>
      </c>
      <c r="D2" s="101">
        <f>($H$2*(C2^3)+($H$3*(C2^2)+($H$4*(C2))))</f>
        <v>0</v>
      </c>
      <c r="G2" s="102" t="s">
        <v>65</v>
      </c>
      <c r="H2" s="100">
        <v>1.0204</v>
      </c>
      <c r="I2" s="103"/>
    </row>
    <row r="3" spans="1:9" ht="14.45" x14ac:dyDescent="0.3">
      <c r="A3" s="99">
        <v>1</v>
      </c>
      <c r="B3" s="99">
        <v>100</v>
      </c>
      <c r="C3" s="101">
        <f t="shared" ref="C3:C52" si="0">A3/B3</f>
        <v>0.01</v>
      </c>
      <c r="D3" s="101">
        <f t="shared" ref="D3:D66" si="1">($H$2*(C3^3)+($H$3*(C3^2)+($H$4*(C3))))</f>
        <v>2.1864780400000002E-2</v>
      </c>
      <c r="G3" s="102" t="s">
        <v>66</v>
      </c>
      <c r="H3" s="100">
        <v>-2.4323999999999999</v>
      </c>
      <c r="I3" s="103"/>
    </row>
    <row r="4" spans="1:9" ht="14.45" x14ac:dyDescent="0.3">
      <c r="A4" s="99">
        <v>2</v>
      </c>
      <c r="B4" s="99">
        <v>100</v>
      </c>
      <c r="C4" s="101">
        <f t="shared" si="0"/>
        <v>0.02</v>
      </c>
      <c r="D4" s="101">
        <f t="shared" si="1"/>
        <v>4.3249203200000003E-2</v>
      </c>
      <c r="G4" s="102" t="s">
        <v>67</v>
      </c>
      <c r="H4" s="100">
        <v>2.2107000000000001</v>
      </c>
      <c r="I4" s="103"/>
    </row>
    <row r="5" spans="1:9" ht="14.45" x14ac:dyDescent="0.3">
      <c r="A5" s="99">
        <v>3</v>
      </c>
      <c r="B5" s="99">
        <v>100</v>
      </c>
      <c r="C5" s="101">
        <f t="shared" si="0"/>
        <v>0.03</v>
      </c>
      <c r="D5" s="101">
        <f t="shared" si="1"/>
        <v>6.4159390800000007E-2</v>
      </c>
    </row>
    <row r="6" spans="1:9" ht="14.45" x14ac:dyDescent="0.3">
      <c r="A6" s="99">
        <v>4</v>
      </c>
      <c r="B6" s="99">
        <v>100</v>
      </c>
      <c r="C6" s="101">
        <f t="shared" si="0"/>
        <v>0.04</v>
      </c>
      <c r="D6" s="101">
        <f t="shared" si="1"/>
        <v>8.4601465600000009E-2</v>
      </c>
    </row>
    <row r="7" spans="1:9" ht="14.45" x14ac:dyDescent="0.3">
      <c r="A7" s="99">
        <v>5</v>
      </c>
      <c r="B7" s="99">
        <v>100</v>
      </c>
      <c r="C7" s="101">
        <f t="shared" si="0"/>
        <v>0.05</v>
      </c>
      <c r="D7" s="101">
        <f t="shared" si="1"/>
        <v>0.10458155000000001</v>
      </c>
    </row>
    <row r="8" spans="1:9" ht="14.45" x14ac:dyDescent="0.3">
      <c r="A8" s="99">
        <v>6</v>
      </c>
      <c r="B8" s="99">
        <v>100</v>
      </c>
      <c r="C8" s="101">
        <f t="shared" si="0"/>
        <v>0.06</v>
      </c>
      <c r="D8" s="101">
        <f t="shared" si="1"/>
        <v>0.12410576640000001</v>
      </c>
    </row>
    <row r="9" spans="1:9" ht="14.45" x14ac:dyDescent="0.3">
      <c r="A9" s="99">
        <v>7</v>
      </c>
      <c r="B9" s="99">
        <v>100</v>
      </c>
      <c r="C9" s="101">
        <f t="shared" si="0"/>
        <v>7.0000000000000007E-2</v>
      </c>
      <c r="D9" s="101">
        <f t="shared" si="1"/>
        <v>0.14318023720000003</v>
      </c>
    </row>
    <row r="10" spans="1:9" ht="14.45" x14ac:dyDescent="0.3">
      <c r="A10" s="99">
        <v>8</v>
      </c>
      <c r="B10" s="99">
        <v>100</v>
      </c>
      <c r="C10" s="101">
        <f t="shared" si="0"/>
        <v>0.08</v>
      </c>
      <c r="D10" s="101">
        <f t="shared" si="1"/>
        <v>0.1618110848</v>
      </c>
    </row>
    <row r="11" spans="1:9" ht="14.45" x14ac:dyDescent="0.3">
      <c r="A11" s="99">
        <v>9</v>
      </c>
      <c r="B11" s="99">
        <v>100</v>
      </c>
      <c r="C11" s="101">
        <f t="shared" si="0"/>
        <v>0.09</v>
      </c>
      <c r="D11" s="101">
        <f t="shared" si="1"/>
        <v>0.18000443160000001</v>
      </c>
    </row>
    <row r="12" spans="1:9" ht="14.45" x14ac:dyDescent="0.3">
      <c r="A12" s="99">
        <v>10</v>
      </c>
      <c r="B12" s="99">
        <v>100</v>
      </c>
      <c r="C12" s="101">
        <f t="shared" si="0"/>
        <v>0.1</v>
      </c>
      <c r="D12" s="101">
        <f t="shared" si="1"/>
        <v>0.19776640000000001</v>
      </c>
    </row>
    <row r="13" spans="1:9" ht="14.45" x14ac:dyDescent="0.3">
      <c r="A13" s="99">
        <v>11</v>
      </c>
      <c r="B13" s="99">
        <v>100</v>
      </c>
      <c r="C13" s="101">
        <f t="shared" si="0"/>
        <v>0.11</v>
      </c>
      <c r="D13" s="101">
        <f t="shared" si="1"/>
        <v>0.21510311240000002</v>
      </c>
    </row>
    <row r="14" spans="1:9" ht="14.45" x14ac:dyDescent="0.3">
      <c r="A14" s="99">
        <v>12</v>
      </c>
      <c r="B14" s="99">
        <v>100</v>
      </c>
      <c r="C14" s="101">
        <f t="shared" si="0"/>
        <v>0.12</v>
      </c>
      <c r="D14" s="101">
        <f t="shared" si="1"/>
        <v>0.23202069120000005</v>
      </c>
    </row>
    <row r="15" spans="1:9" ht="14.45" x14ac:dyDescent="0.3">
      <c r="A15" s="99">
        <v>13</v>
      </c>
      <c r="B15" s="99">
        <v>100</v>
      </c>
      <c r="C15" s="101">
        <f t="shared" si="0"/>
        <v>0.13</v>
      </c>
      <c r="D15" s="101">
        <f t="shared" si="1"/>
        <v>0.24852525880000001</v>
      </c>
    </row>
    <row r="16" spans="1:9" ht="14.45" x14ac:dyDescent="0.3">
      <c r="A16" s="99">
        <v>14</v>
      </c>
      <c r="B16" s="99">
        <v>100</v>
      </c>
      <c r="C16" s="101">
        <f t="shared" si="0"/>
        <v>0.14000000000000001</v>
      </c>
      <c r="D16" s="101">
        <f t="shared" si="1"/>
        <v>0.26462293760000005</v>
      </c>
    </row>
    <row r="17" spans="1:4" ht="14.45" x14ac:dyDescent="0.3">
      <c r="A17" s="99">
        <v>15</v>
      </c>
      <c r="B17" s="99">
        <v>100</v>
      </c>
      <c r="C17" s="101">
        <f t="shared" si="0"/>
        <v>0.15</v>
      </c>
      <c r="D17" s="101">
        <f t="shared" si="1"/>
        <v>0.28031985000000004</v>
      </c>
    </row>
    <row r="18" spans="1:4" ht="14.45" x14ac:dyDescent="0.3">
      <c r="A18" s="99">
        <v>16</v>
      </c>
      <c r="B18" s="99">
        <v>100</v>
      </c>
      <c r="C18" s="101">
        <f t="shared" si="0"/>
        <v>0.16</v>
      </c>
      <c r="D18" s="101">
        <f t="shared" si="1"/>
        <v>0.29562211840000002</v>
      </c>
    </row>
    <row r="19" spans="1:4" ht="14.45" x14ac:dyDescent="0.3">
      <c r="A19" s="99">
        <v>17</v>
      </c>
      <c r="B19" s="99">
        <v>100</v>
      </c>
      <c r="C19" s="101">
        <f t="shared" si="0"/>
        <v>0.17</v>
      </c>
      <c r="D19" s="101">
        <f t="shared" si="1"/>
        <v>0.31053586520000009</v>
      </c>
    </row>
    <row r="20" spans="1:4" ht="14.45" x14ac:dyDescent="0.3">
      <c r="A20" s="99">
        <v>18</v>
      </c>
      <c r="B20" s="99">
        <v>100</v>
      </c>
      <c r="C20" s="101">
        <f t="shared" si="0"/>
        <v>0.18</v>
      </c>
      <c r="D20" s="101">
        <f t="shared" si="1"/>
        <v>0.3250672128</v>
      </c>
    </row>
    <row r="21" spans="1:4" ht="14.45" x14ac:dyDescent="0.3">
      <c r="A21" s="99">
        <v>19</v>
      </c>
      <c r="B21" s="99">
        <v>100</v>
      </c>
      <c r="C21" s="101">
        <f t="shared" si="0"/>
        <v>0.19</v>
      </c>
      <c r="D21" s="101">
        <f t="shared" si="1"/>
        <v>0.33922228360000006</v>
      </c>
    </row>
    <row r="22" spans="1:4" ht="14.45" x14ac:dyDescent="0.3">
      <c r="A22" s="99">
        <v>20</v>
      </c>
      <c r="B22" s="99">
        <v>100</v>
      </c>
      <c r="C22" s="101">
        <f t="shared" si="0"/>
        <v>0.2</v>
      </c>
      <c r="D22" s="101">
        <f t="shared" si="1"/>
        <v>0.35300720000000002</v>
      </c>
    </row>
    <row r="23" spans="1:4" ht="14.45" x14ac:dyDescent="0.3">
      <c r="A23" s="99">
        <v>21</v>
      </c>
      <c r="B23" s="99">
        <v>100</v>
      </c>
      <c r="C23" s="101">
        <f t="shared" si="0"/>
        <v>0.21</v>
      </c>
      <c r="D23" s="101">
        <f t="shared" si="1"/>
        <v>0.36642808440000002</v>
      </c>
    </row>
    <row r="24" spans="1:4" ht="14.45" x14ac:dyDescent="0.3">
      <c r="A24" s="99">
        <v>22</v>
      </c>
      <c r="B24" s="99">
        <v>100</v>
      </c>
      <c r="C24" s="101">
        <f t="shared" si="0"/>
        <v>0.22</v>
      </c>
      <c r="D24" s="101">
        <f t="shared" si="1"/>
        <v>0.37949105919999998</v>
      </c>
    </row>
    <row r="25" spans="1:4" ht="14.45" x14ac:dyDescent="0.3">
      <c r="A25" s="99">
        <v>23</v>
      </c>
      <c r="B25" s="99">
        <v>100</v>
      </c>
      <c r="C25" s="101">
        <f t="shared" si="0"/>
        <v>0.23</v>
      </c>
      <c r="D25" s="101">
        <f t="shared" si="1"/>
        <v>0.3922022468000001</v>
      </c>
    </row>
    <row r="26" spans="1:4" ht="14.45" x14ac:dyDescent="0.3">
      <c r="A26" s="99">
        <v>24</v>
      </c>
      <c r="B26" s="99">
        <v>100</v>
      </c>
      <c r="C26" s="101">
        <f t="shared" si="0"/>
        <v>0.24</v>
      </c>
      <c r="D26" s="101">
        <f t="shared" si="1"/>
        <v>0.40456776960000007</v>
      </c>
    </row>
    <row r="27" spans="1:4" ht="14.45" x14ac:dyDescent="0.3">
      <c r="A27" s="99">
        <v>25</v>
      </c>
      <c r="B27" s="99">
        <v>100</v>
      </c>
      <c r="C27" s="101">
        <f t="shared" si="0"/>
        <v>0.25</v>
      </c>
      <c r="D27" s="101">
        <f t="shared" si="1"/>
        <v>0.41659375000000004</v>
      </c>
    </row>
    <row r="28" spans="1:4" ht="14.45" x14ac:dyDescent="0.3">
      <c r="A28" s="99">
        <v>26</v>
      </c>
      <c r="B28" s="99">
        <v>100</v>
      </c>
      <c r="C28" s="101">
        <f t="shared" si="0"/>
        <v>0.26</v>
      </c>
      <c r="D28" s="101">
        <f t="shared" si="1"/>
        <v>0.42828631040000004</v>
      </c>
    </row>
    <row r="29" spans="1:4" ht="14.45" x14ac:dyDescent="0.3">
      <c r="A29" s="99">
        <v>27</v>
      </c>
      <c r="B29" s="99">
        <v>100</v>
      </c>
      <c r="C29" s="101">
        <f t="shared" si="0"/>
        <v>0.27</v>
      </c>
      <c r="D29" s="101">
        <f t="shared" si="1"/>
        <v>0.43965157320000009</v>
      </c>
    </row>
    <row r="30" spans="1:4" ht="14.45" x14ac:dyDescent="0.3">
      <c r="A30" s="99">
        <v>28</v>
      </c>
      <c r="B30" s="99">
        <v>100</v>
      </c>
      <c r="C30" s="101">
        <f t="shared" si="0"/>
        <v>0.28000000000000003</v>
      </c>
      <c r="D30" s="101">
        <f t="shared" si="1"/>
        <v>0.45069566080000012</v>
      </c>
    </row>
    <row r="31" spans="1:4" ht="14.45" x14ac:dyDescent="0.3">
      <c r="A31" s="99">
        <v>29</v>
      </c>
      <c r="B31" s="99">
        <v>100</v>
      </c>
      <c r="C31" s="101">
        <f t="shared" si="0"/>
        <v>0.28999999999999998</v>
      </c>
      <c r="D31" s="101">
        <f t="shared" si="1"/>
        <v>0.46142469559999999</v>
      </c>
    </row>
    <row r="32" spans="1:4" ht="14.45" x14ac:dyDescent="0.3">
      <c r="A32" s="99">
        <v>30</v>
      </c>
      <c r="B32" s="99">
        <v>100</v>
      </c>
      <c r="C32" s="101">
        <f t="shared" si="0"/>
        <v>0.3</v>
      </c>
      <c r="D32" s="101">
        <f t="shared" si="1"/>
        <v>0.47184479999999995</v>
      </c>
    </row>
    <row r="33" spans="1:4" ht="14.45" x14ac:dyDescent="0.3">
      <c r="A33" s="99">
        <v>31</v>
      </c>
      <c r="B33" s="99">
        <v>100</v>
      </c>
      <c r="C33" s="101">
        <f t="shared" si="0"/>
        <v>0.31</v>
      </c>
      <c r="D33" s="101">
        <f t="shared" si="1"/>
        <v>0.4819620964000001</v>
      </c>
    </row>
    <row r="34" spans="1:4" ht="14.45" x14ac:dyDescent="0.3">
      <c r="A34" s="99">
        <v>32</v>
      </c>
      <c r="B34" s="99">
        <v>100</v>
      </c>
      <c r="C34" s="101">
        <f t="shared" si="0"/>
        <v>0.32</v>
      </c>
      <c r="D34" s="101">
        <f t="shared" si="1"/>
        <v>0.4917827072</v>
      </c>
    </row>
    <row r="35" spans="1:4" ht="14.45" x14ac:dyDescent="0.3">
      <c r="A35" s="99">
        <v>33</v>
      </c>
      <c r="B35" s="99">
        <v>100</v>
      </c>
      <c r="C35" s="101">
        <f t="shared" si="0"/>
        <v>0.33</v>
      </c>
      <c r="D35" s="101">
        <f t="shared" si="1"/>
        <v>0.50131275480000004</v>
      </c>
    </row>
    <row r="36" spans="1:4" ht="14.45" x14ac:dyDescent="0.3">
      <c r="A36" s="99">
        <v>34</v>
      </c>
      <c r="B36" s="99">
        <v>100</v>
      </c>
      <c r="C36" s="101">
        <f t="shared" si="0"/>
        <v>0.34</v>
      </c>
      <c r="D36" s="101">
        <f t="shared" si="1"/>
        <v>0.51055836160000012</v>
      </c>
    </row>
    <row r="37" spans="1:4" ht="14.45" x14ac:dyDescent="0.3">
      <c r="A37" s="99">
        <v>35</v>
      </c>
      <c r="B37" s="99">
        <v>100</v>
      </c>
      <c r="C37" s="101">
        <f t="shared" si="0"/>
        <v>0.35</v>
      </c>
      <c r="D37" s="101">
        <f t="shared" si="1"/>
        <v>0.51952565000000006</v>
      </c>
    </row>
    <row r="38" spans="1:4" x14ac:dyDescent="0.25">
      <c r="A38" s="99">
        <v>36</v>
      </c>
      <c r="B38" s="99">
        <v>100</v>
      </c>
      <c r="C38" s="101">
        <f t="shared" si="0"/>
        <v>0.36</v>
      </c>
      <c r="D38" s="101">
        <f t="shared" si="1"/>
        <v>0.52822074240000005</v>
      </c>
    </row>
    <row r="39" spans="1:4" x14ac:dyDescent="0.25">
      <c r="A39" s="99">
        <v>37</v>
      </c>
      <c r="B39" s="99">
        <v>100</v>
      </c>
      <c r="C39" s="101">
        <f t="shared" si="0"/>
        <v>0.37</v>
      </c>
      <c r="D39" s="101">
        <f t="shared" si="1"/>
        <v>0.53664976120000007</v>
      </c>
    </row>
    <row r="40" spans="1:4" x14ac:dyDescent="0.25">
      <c r="A40" s="99">
        <v>38</v>
      </c>
      <c r="B40" s="99">
        <v>100</v>
      </c>
      <c r="C40" s="101">
        <f t="shared" si="0"/>
        <v>0.38</v>
      </c>
      <c r="D40" s="101">
        <f t="shared" si="1"/>
        <v>0.5448188288000001</v>
      </c>
    </row>
    <row r="41" spans="1:4" x14ac:dyDescent="0.25">
      <c r="A41" s="99">
        <v>39</v>
      </c>
      <c r="B41" s="99">
        <v>100</v>
      </c>
      <c r="C41" s="101">
        <f t="shared" si="0"/>
        <v>0.39</v>
      </c>
      <c r="D41" s="101">
        <f t="shared" si="1"/>
        <v>0.5527340676000001</v>
      </c>
    </row>
    <row r="42" spans="1:4" x14ac:dyDescent="0.25">
      <c r="A42" s="99">
        <v>40</v>
      </c>
      <c r="B42" s="99">
        <v>100</v>
      </c>
      <c r="C42" s="101">
        <f t="shared" si="0"/>
        <v>0.4</v>
      </c>
      <c r="D42" s="101">
        <f t="shared" si="1"/>
        <v>0.56040160000000006</v>
      </c>
    </row>
    <row r="43" spans="1:4" x14ac:dyDescent="0.25">
      <c r="A43" s="99">
        <v>41</v>
      </c>
      <c r="B43" s="99">
        <v>100</v>
      </c>
      <c r="C43" s="101">
        <f t="shared" si="0"/>
        <v>0.41</v>
      </c>
      <c r="D43" s="101">
        <f t="shared" si="1"/>
        <v>0.56782754840000005</v>
      </c>
    </row>
    <row r="44" spans="1:4" x14ac:dyDescent="0.25">
      <c r="A44" s="99">
        <v>42</v>
      </c>
      <c r="B44" s="99">
        <v>100</v>
      </c>
      <c r="C44" s="101">
        <f t="shared" si="0"/>
        <v>0.42</v>
      </c>
      <c r="D44" s="101">
        <f t="shared" si="1"/>
        <v>0.57501803520000017</v>
      </c>
    </row>
    <row r="45" spans="1:4" x14ac:dyDescent="0.25">
      <c r="A45" s="99">
        <v>43</v>
      </c>
      <c r="B45" s="99">
        <v>100</v>
      </c>
      <c r="C45" s="101">
        <f t="shared" si="0"/>
        <v>0.43</v>
      </c>
      <c r="D45" s="101">
        <f t="shared" si="1"/>
        <v>0.58197918280000005</v>
      </c>
    </row>
    <row r="46" spans="1:4" x14ac:dyDescent="0.25">
      <c r="A46" s="99">
        <v>44</v>
      </c>
      <c r="B46" s="99">
        <v>100</v>
      </c>
      <c r="C46" s="101">
        <f t="shared" si="0"/>
        <v>0.44</v>
      </c>
      <c r="D46" s="101">
        <f t="shared" si="1"/>
        <v>0.58871711360000001</v>
      </c>
    </row>
    <row r="47" spans="1:4" x14ac:dyDescent="0.25">
      <c r="A47" s="99">
        <v>45</v>
      </c>
      <c r="B47" s="99">
        <v>100</v>
      </c>
      <c r="C47" s="101">
        <f t="shared" si="0"/>
        <v>0.45</v>
      </c>
      <c r="D47" s="101">
        <f t="shared" si="1"/>
        <v>0.59523795000000013</v>
      </c>
    </row>
    <row r="48" spans="1:4" x14ac:dyDescent="0.25">
      <c r="A48" s="99">
        <v>46</v>
      </c>
      <c r="B48" s="99">
        <v>100</v>
      </c>
      <c r="C48" s="101">
        <f t="shared" si="0"/>
        <v>0.46</v>
      </c>
      <c r="D48" s="101">
        <f t="shared" si="1"/>
        <v>0.60154781440000005</v>
      </c>
    </row>
    <row r="49" spans="1:4" x14ac:dyDescent="0.25">
      <c r="A49" s="99">
        <v>47</v>
      </c>
      <c r="B49" s="99">
        <v>100</v>
      </c>
      <c r="C49" s="101">
        <f t="shared" si="0"/>
        <v>0.47</v>
      </c>
      <c r="D49" s="101">
        <f t="shared" si="1"/>
        <v>0.60765282919999997</v>
      </c>
    </row>
    <row r="50" spans="1:4" x14ac:dyDescent="0.25">
      <c r="A50" s="99">
        <v>48</v>
      </c>
      <c r="B50" s="99">
        <v>100</v>
      </c>
      <c r="C50" s="101">
        <f t="shared" si="0"/>
        <v>0.48</v>
      </c>
      <c r="D50" s="101">
        <f t="shared" si="1"/>
        <v>0.61355911680000008</v>
      </c>
    </row>
    <row r="51" spans="1:4" x14ac:dyDescent="0.25">
      <c r="A51" s="99">
        <v>49</v>
      </c>
      <c r="B51" s="99">
        <v>100</v>
      </c>
      <c r="C51" s="101">
        <f t="shared" si="0"/>
        <v>0.49</v>
      </c>
      <c r="D51" s="101">
        <f t="shared" si="1"/>
        <v>0.61927279960000003</v>
      </c>
    </row>
    <row r="52" spans="1:4" x14ac:dyDescent="0.25">
      <c r="A52" s="99">
        <v>50</v>
      </c>
      <c r="B52" s="99">
        <v>100</v>
      </c>
      <c r="C52" s="101">
        <f t="shared" si="0"/>
        <v>0.5</v>
      </c>
      <c r="D52" s="101">
        <f t="shared" si="1"/>
        <v>0.62480000000000002</v>
      </c>
    </row>
    <row r="53" spans="1:4" x14ac:dyDescent="0.25">
      <c r="A53" s="99">
        <v>51</v>
      </c>
      <c r="B53" s="99">
        <v>100</v>
      </c>
      <c r="C53" s="101">
        <f t="shared" ref="C53:C102" si="2">A53/B53</f>
        <v>0.51</v>
      </c>
      <c r="D53" s="101">
        <f t="shared" si="1"/>
        <v>0.63014684040000013</v>
      </c>
    </row>
    <row r="54" spans="1:4" x14ac:dyDescent="0.25">
      <c r="A54" s="99">
        <v>52</v>
      </c>
      <c r="B54" s="99">
        <v>100</v>
      </c>
      <c r="C54" s="101">
        <f t="shared" si="2"/>
        <v>0.52</v>
      </c>
      <c r="D54" s="101">
        <f t="shared" si="1"/>
        <v>0.6353194432</v>
      </c>
    </row>
    <row r="55" spans="1:4" x14ac:dyDescent="0.25">
      <c r="A55" s="99">
        <v>53</v>
      </c>
      <c r="B55" s="99">
        <v>100</v>
      </c>
      <c r="C55" s="101">
        <f t="shared" si="2"/>
        <v>0.53</v>
      </c>
      <c r="D55" s="101">
        <f t="shared" si="1"/>
        <v>0.64032393080000016</v>
      </c>
    </row>
    <row r="56" spans="1:4" x14ac:dyDescent="0.25">
      <c r="A56" s="99">
        <v>54</v>
      </c>
      <c r="B56" s="99">
        <v>100</v>
      </c>
      <c r="C56" s="101">
        <f t="shared" si="2"/>
        <v>0.54</v>
      </c>
      <c r="D56" s="101">
        <f t="shared" si="1"/>
        <v>0.64516642560000026</v>
      </c>
    </row>
    <row r="57" spans="1:4" x14ac:dyDescent="0.25">
      <c r="A57" s="99">
        <v>55</v>
      </c>
      <c r="B57" s="99">
        <v>100</v>
      </c>
      <c r="C57" s="101">
        <f t="shared" si="2"/>
        <v>0.55000000000000004</v>
      </c>
      <c r="D57" s="101">
        <f t="shared" si="1"/>
        <v>0.64985305000000015</v>
      </c>
    </row>
    <row r="58" spans="1:4" x14ac:dyDescent="0.25">
      <c r="A58" s="99">
        <v>56</v>
      </c>
      <c r="B58" s="99">
        <v>100</v>
      </c>
      <c r="C58" s="101">
        <f t="shared" si="2"/>
        <v>0.56000000000000005</v>
      </c>
      <c r="D58" s="101">
        <f t="shared" si="1"/>
        <v>0.65438992640000015</v>
      </c>
    </row>
    <row r="59" spans="1:4" x14ac:dyDescent="0.25">
      <c r="A59" s="99">
        <v>57</v>
      </c>
      <c r="B59" s="99">
        <v>100</v>
      </c>
      <c r="C59" s="101">
        <f t="shared" si="2"/>
        <v>0.56999999999999995</v>
      </c>
      <c r="D59" s="101">
        <f t="shared" si="1"/>
        <v>0.6587831771999999</v>
      </c>
    </row>
    <row r="60" spans="1:4" x14ac:dyDescent="0.25">
      <c r="A60" s="99">
        <v>58</v>
      </c>
      <c r="B60" s="99">
        <v>100</v>
      </c>
      <c r="C60" s="101">
        <f t="shared" si="2"/>
        <v>0.57999999999999996</v>
      </c>
      <c r="D60" s="101">
        <f t="shared" si="1"/>
        <v>0.66303892480000004</v>
      </c>
    </row>
    <row r="61" spans="1:4" x14ac:dyDescent="0.25">
      <c r="A61" s="99">
        <v>59</v>
      </c>
      <c r="B61" s="99">
        <v>100</v>
      </c>
      <c r="C61" s="101">
        <f t="shared" si="2"/>
        <v>0.59</v>
      </c>
      <c r="D61" s="101">
        <f t="shared" si="1"/>
        <v>0.66716329160000021</v>
      </c>
    </row>
    <row r="62" spans="1:4" x14ac:dyDescent="0.25">
      <c r="A62" s="99">
        <v>60</v>
      </c>
      <c r="B62" s="99">
        <v>100</v>
      </c>
      <c r="C62" s="101">
        <f t="shared" si="2"/>
        <v>0.6</v>
      </c>
      <c r="D62" s="101">
        <f t="shared" si="1"/>
        <v>0.67116240000000005</v>
      </c>
    </row>
    <row r="63" spans="1:4" x14ac:dyDescent="0.25">
      <c r="A63" s="99">
        <v>61</v>
      </c>
      <c r="B63" s="99">
        <v>100</v>
      </c>
      <c r="C63" s="101">
        <f t="shared" si="2"/>
        <v>0.61</v>
      </c>
      <c r="D63" s="101">
        <f t="shared" si="1"/>
        <v>0.67504237240000009</v>
      </c>
    </row>
    <row r="64" spans="1:4" x14ac:dyDescent="0.25">
      <c r="A64" s="99">
        <v>62</v>
      </c>
      <c r="B64" s="99">
        <v>100</v>
      </c>
      <c r="C64" s="101">
        <f t="shared" si="2"/>
        <v>0.62</v>
      </c>
      <c r="D64" s="101">
        <f t="shared" si="1"/>
        <v>0.67880933120000009</v>
      </c>
    </row>
    <row r="65" spans="1:4" x14ac:dyDescent="0.25">
      <c r="A65" s="99">
        <v>63</v>
      </c>
      <c r="B65" s="99">
        <v>100</v>
      </c>
      <c r="C65" s="101">
        <f t="shared" si="2"/>
        <v>0.63</v>
      </c>
      <c r="D65" s="101">
        <f t="shared" si="1"/>
        <v>0.6824693987999999</v>
      </c>
    </row>
    <row r="66" spans="1:4" x14ac:dyDescent="0.25">
      <c r="A66" s="99">
        <v>64</v>
      </c>
      <c r="B66" s="99">
        <v>100</v>
      </c>
      <c r="C66" s="101">
        <f t="shared" si="2"/>
        <v>0.64</v>
      </c>
      <c r="D66" s="101">
        <f t="shared" si="1"/>
        <v>0.68602869760000007</v>
      </c>
    </row>
    <row r="67" spans="1:4" x14ac:dyDescent="0.25">
      <c r="A67" s="99">
        <v>65</v>
      </c>
      <c r="B67" s="99">
        <v>100</v>
      </c>
      <c r="C67" s="101">
        <f t="shared" si="2"/>
        <v>0.65</v>
      </c>
      <c r="D67" s="101">
        <f t="shared" ref="D67:D102" si="3">($H$2*(C67^3)+($H$3*(C67^2)+($H$4*(C67))))</f>
        <v>0.68949335000000023</v>
      </c>
    </row>
    <row r="68" spans="1:4" x14ac:dyDescent="0.25">
      <c r="A68" s="99">
        <v>66</v>
      </c>
      <c r="B68" s="99">
        <v>100</v>
      </c>
      <c r="C68" s="101">
        <f t="shared" si="2"/>
        <v>0.66</v>
      </c>
      <c r="D68" s="101">
        <f t="shared" si="3"/>
        <v>0.69286947840000013</v>
      </c>
    </row>
    <row r="69" spans="1:4" x14ac:dyDescent="0.25">
      <c r="A69" s="99">
        <v>67</v>
      </c>
      <c r="B69" s="99">
        <v>100</v>
      </c>
      <c r="C69" s="101">
        <f t="shared" si="2"/>
        <v>0.67</v>
      </c>
      <c r="D69" s="101">
        <f t="shared" si="3"/>
        <v>0.69616320519999997</v>
      </c>
    </row>
    <row r="70" spans="1:4" x14ac:dyDescent="0.25">
      <c r="A70" s="99">
        <v>68</v>
      </c>
      <c r="B70" s="99">
        <v>100</v>
      </c>
      <c r="C70" s="101">
        <f t="shared" si="2"/>
        <v>0.68</v>
      </c>
      <c r="D70" s="101">
        <f t="shared" si="3"/>
        <v>0.69938065280000017</v>
      </c>
    </row>
    <row r="71" spans="1:4" x14ac:dyDescent="0.25">
      <c r="A71" s="99">
        <v>69</v>
      </c>
      <c r="B71" s="99">
        <v>100</v>
      </c>
      <c r="C71" s="101">
        <f t="shared" si="2"/>
        <v>0.69</v>
      </c>
      <c r="D71" s="101">
        <f t="shared" si="3"/>
        <v>0.70252794360000004</v>
      </c>
    </row>
    <row r="72" spans="1:4" x14ac:dyDescent="0.25">
      <c r="A72" s="99">
        <v>70</v>
      </c>
      <c r="B72" s="99">
        <v>100</v>
      </c>
      <c r="C72" s="101">
        <f t="shared" si="2"/>
        <v>0.7</v>
      </c>
      <c r="D72" s="101">
        <f t="shared" si="3"/>
        <v>0.70561120000000022</v>
      </c>
    </row>
    <row r="73" spans="1:4" x14ac:dyDescent="0.25">
      <c r="A73" s="99">
        <v>71</v>
      </c>
      <c r="B73" s="99">
        <v>100</v>
      </c>
      <c r="C73" s="101">
        <f t="shared" si="2"/>
        <v>0.71</v>
      </c>
      <c r="D73" s="101">
        <f t="shared" si="3"/>
        <v>0.70863654440000001</v>
      </c>
    </row>
    <row r="74" spans="1:4" x14ac:dyDescent="0.25">
      <c r="A74" s="99">
        <v>72</v>
      </c>
      <c r="B74" s="99">
        <v>100</v>
      </c>
      <c r="C74" s="101">
        <f t="shared" si="2"/>
        <v>0.72</v>
      </c>
      <c r="D74" s="101">
        <f t="shared" si="3"/>
        <v>0.71161009920000007</v>
      </c>
    </row>
    <row r="75" spans="1:4" x14ac:dyDescent="0.25">
      <c r="A75" s="99">
        <v>73</v>
      </c>
      <c r="B75" s="99">
        <v>100</v>
      </c>
      <c r="C75" s="101">
        <f t="shared" si="2"/>
        <v>0.73</v>
      </c>
      <c r="D75" s="101">
        <f t="shared" si="3"/>
        <v>0.71453798680000036</v>
      </c>
    </row>
    <row r="76" spans="1:4" x14ac:dyDescent="0.25">
      <c r="A76" s="99">
        <v>74</v>
      </c>
      <c r="B76" s="99">
        <v>100</v>
      </c>
      <c r="C76" s="101">
        <f t="shared" si="2"/>
        <v>0.74</v>
      </c>
      <c r="D76" s="101">
        <f t="shared" si="3"/>
        <v>0.71742632960000008</v>
      </c>
    </row>
    <row r="77" spans="1:4" x14ac:dyDescent="0.25">
      <c r="A77" s="99">
        <v>75</v>
      </c>
      <c r="B77" s="99">
        <v>100</v>
      </c>
      <c r="C77" s="101">
        <f t="shared" si="2"/>
        <v>0.75</v>
      </c>
      <c r="D77" s="101">
        <f t="shared" si="3"/>
        <v>0.72028124999999998</v>
      </c>
    </row>
    <row r="78" spans="1:4" x14ac:dyDescent="0.25">
      <c r="A78" s="99">
        <v>76</v>
      </c>
      <c r="B78" s="99">
        <v>100</v>
      </c>
      <c r="C78" s="101">
        <f t="shared" si="2"/>
        <v>0.76</v>
      </c>
      <c r="D78" s="101">
        <f t="shared" si="3"/>
        <v>0.72310887040000027</v>
      </c>
    </row>
    <row r="79" spans="1:4" x14ac:dyDescent="0.25">
      <c r="A79" s="99">
        <v>77</v>
      </c>
      <c r="B79" s="99">
        <v>100</v>
      </c>
      <c r="C79" s="101">
        <f t="shared" si="2"/>
        <v>0.77</v>
      </c>
      <c r="D79" s="101">
        <f t="shared" si="3"/>
        <v>0.72591531320000002</v>
      </c>
    </row>
    <row r="80" spans="1:4" x14ac:dyDescent="0.25">
      <c r="A80" s="99">
        <v>78</v>
      </c>
      <c r="B80" s="99">
        <v>100</v>
      </c>
      <c r="C80" s="101">
        <f t="shared" si="2"/>
        <v>0.78</v>
      </c>
      <c r="D80" s="101">
        <f t="shared" si="3"/>
        <v>0.72870670080000011</v>
      </c>
    </row>
    <row r="81" spans="1:4" x14ac:dyDescent="0.25">
      <c r="A81" s="99">
        <v>79</v>
      </c>
      <c r="B81" s="99">
        <v>100</v>
      </c>
      <c r="C81" s="101">
        <f t="shared" si="2"/>
        <v>0.79</v>
      </c>
      <c r="D81" s="101">
        <f t="shared" si="3"/>
        <v>0.73148915560000016</v>
      </c>
    </row>
    <row r="82" spans="1:4" x14ac:dyDescent="0.25">
      <c r="A82" s="99">
        <v>80</v>
      </c>
      <c r="B82" s="99">
        <v>100</v>
      </c>
      <c r="C82" s="101">
        <f t="shared" si="2"/>
        <v>0.8</v>
      </c>
      <c r="D82" s="101">
        <f t="shared" si="3"/>
        <v>0.73426879999999994</v>
      </c>
    </row>
    <row r="83" spans="1:4" x14ac:dyDescent="0.25">
      <c r="A83" s="99">
        <v>81</v>
      </c>
      <c r="B83" s="99">
        <v>100</v>
      </c>
      <c r="C83" s="101">
        <f t="shared" si="2"/>
        <v>0.81</v>
      </c>
      <c r="D83" s="101">
        <f t="shared" si="3"/>
        <v>0.7370517564000002</v>
      </c>
    </row>
    <row r="84" spans="1:4" x14ac:dyDescent="0.25">
      <c r="A84" s="99">
        <v>82</v>
      </c>
      <c r="B84" s="99">
        <v>100</v>
      </c>
      <c r="C84" s="101">
        <f t="shared" si="2"/>
        <v>0.82</v>
      </c>
      <c r="D84" s="101">
        <f t="shared" si="3"/>
        <v>0.73984414720000014</v>
      </c>
    </row>
    <row r="85" spans="1:4" x14ac:dyDescent="0.25">
      <c r="A85" s="99">
        <v>83</v>
      </c>
      <c r="B85" s="99">
        <v>100</v>
      </c>
      <c r="C85" s="101">
        <f t="shared" si="2"/>
        <v>0.83</v>
      </c>
      <c r="D85" s="101">
        <f t="shared" si="3"/>
        <v>0.74265209480000005</v>
      </c>
    </row>
    <row r="86" spans="1:4" x14ac:dyDescent="0.25">
      <c r="A86" s="99">
        <v>84</v>
      </c>
      <c r="B86" s="99">
        <v>100</v>
      </c>
      <c r="C86" s="101">
        <f t="shared" si="2"/>
        <v>0.84</v>
      </c>
      <c r="D86" s="101">
        <f t="shared" si="3"/>
        <v>0.74548172160000037</v>
      </c>
    </row>
    <row r="87" spans="1:4" x14ac:dyDescent="0.25">
      <c r="A87" s="99">
        <v>85</v>
      </c>
      <c r="B87" s="99">
        <v>100</v>
      </c>
      <c r="C87" s="101">
        <f t="shared" si="2"/>
        <v>0.85</v>
      </c>
      <c r="D87" s="101">
        <f t="shared" si="3"/>
        <v>0.74833915000000006</v>
      </c>
    </row>
    <row r="88" spans="1:4" x14ac:dyDescent="0.25">
      <c r="A88" s="99">
        <v>86</v>
      </c>
      <c r="B88" s="99">
        <v>100</v>
      </c>
      <c r="C88" s="101">
        <f t="shared" si="2"/>
        <v>0.86</v>
      </c>
      <c r="D88" s="101">
        <f t="shared" si="3"/>
        <v>0.75123050240000033</v>
      </c>
    </row>
    <row r="89" spans="1:4" x14ac:dyDescent="0.25">
      <c r="A89" s="99">
        <v>87</v>
      </c>
      <c r="B89" s="99">
        <v>100</v>
      </c>
      <c r="C89" s="101">
        <f t="shared" si="2"/>
        <v>0.87</v>
      </c>
      <c r="D89" s="101">
        <f t="shared" si="3"/>
        <v>0.75416190120000026</v>
      </c>
    </row>
    <row r="90" spans="1:4" x14ac:dyDescent="0.25">
      <c r="A90" s="99">
        <v>88</v>
      </c>
      <c r="B90" s="99">
        <v>100</v>
      </c>
      <c r="C90" s="101">
        <f t="shared" si="2"/>
        <v>0.88</v>
      </c>
      <c r="D90" s="101">
        <f t="shared" si="3"/>
        <v>0.75713946880000005</v>
      </c>
    </row>
    <row r="91" spans="1:4" x14ac:dyDescent="0.25">
      <c r="A91" s="99">
        <v>89</v>
      </c>
      <c r="B91" s="99">
        <v>100</v>
      </c>
      <c r="C91" s="101">
        <f t="shared" si="2"/>
        <v>0.89</v>
      </c>
      <c r="D91" s="101">
        <f t="shared" si="3"/>
        <v>0.76016932760000022</v>
      </c>
    </row>
    <row r="92" spans="1:4" x14ac:dyDescent="0.25">
      <c r="A92" s="99">
        <v>90</v>
      </c>
      <c r="B92" s="99">
        <v>100</v>
      </c>
      <c r="C92" s="101">
        <f t="shared" si="2"/>
        <v>0.9</v>
      </c>
      <c r="D92" s="101">
        <f t="shared" si="3"/>
        <v>0.7632576000000002</v>
      </c>
    </row>
    <row r="93" spans="1:4" x14ac:dyDescent="0.25">
      <c r="A93" s="99">
        <v>91</v>
      </c>
      <c r="B93" s="99">
        <v>100</v>
      </c>
      <c r="C93" s="101">
        <f t="shared" si="2"/>
        <v>0.91</v>
      </c>
      <c r="D93" s="101">
        <f t="shared" si="3"/>
        <v>0.76641040839999997</v>
      </c>
    </row>
    <row r="94" spans="1:4" x14ac:dyDescent="0.25">
      <c r="A94" s="99">
        <v>92</v>
      </c>
      <c r="B94" s="99">
        <v>100</v>
      </c>
      <c r="C94" s="101">
        <f t="shared" si="2"/>
        <v>0.92</v>
      </c>
      <c r="D94" s="101">
        <f t="shared" si="3"/>
        <v>0.76963387520000015</v>
      </c>
    </row>
    <row r="95" spans="1:4" x14ac:dyDescent="0.25">
      <c r="A95" s="99">
        <v>93</v>
      </c>
      <c r="B95" s="99">
        <v>100</v>
      </c>
      <c r="C95" s="101">
        <f t="shared" si="2"/>
        <v>0.93</v>
      </c>
      <c r="D95" s="101">
        <f t="shared" si="3"/>
        <v>0.77293412280000029</v>
      </c>
    </row>
    <row r="96" spans="1:4" x14ac:dyDescent="0.25">
      <c r="A96" s="99">
        <v>94</v>
      </c>
      <c r="B96" s="99">
        <v>100</v>
      </c>
      <c r="C96" s="101">
        <f t="shared" si="2"/>
        <v>0.94</v>
      </c>
      <c r="D96" s="101">
        <f t="shared" si="3"/>
        <v>0.77631727360000002</v>
      </c>
    </row>
    <row r="97" spans="1:4" x14ac:dyDescent="0.25">
      <c r="A97" s="99">
        <v>95</v>
      </c>
      <c r="B97" s="99">
        <v>100</v>
      </c>
      <c r="C97" s="101">
        <f t="shared" si="2"/>
        <v>0.95</v>
      </c>
      <c r="D97" s="101">
        <f t="shared" si="3"/>
        <v>0.77978945000000011</v>
      </c>
    </row>
    <row r="98" spans="1:4" x14ac:dyDescent="0.25">
      <c r="A98" s="99">
        <v>96</v>
      </c>
      <c r="B98" s="99">
        <v>100</v>
      </c>
      <c r="C98" s="101">
        <f t="shared" si="2"/>
        <v>0.96</v>
      </c>
      <c r="D98" s="101">
        <f t="shared" si="3"/>
        <v>0.78335677440000018</v>
      </c>
    </row>
    <row r="99" spans="1:4" x14ac:dyDescent="0.25">
      <c r="A99" s="99">
        <v>97</v>
      </c>
      <c r="B99" s="99">
        <v>100</v>
      </c>
      <c r="C99" s="101">
        <f t="shared" si="2"/>
        <v>0.97</v>
      </c>
      <c r="D99" s="101">
        <f t="shared" si="3"/>
        <v>0.78702536920000044</v>
      </c>
    </row>
    <row r="100" spans="1:4" x14ac:dyDescent="0.25">
      <c r="A100" s="99">
        <v>98</v>
      </c>
      <c r="B100" s="99">
        <v>100</v>
      </c>
      <c r="C100" s="101">
        <f t="shared" si="2"/>
        <v>0.98</v>
      </c>
      <c r="D100" s="101">
        <f t="shared" si="3"/>
        <v>0.79080135680000008</v>
      </c>
    </row>
    <row r="101" spans="1:4" x14ac:dyDescent="0.25">
      <c r="A101" s="99">
        <v>99</v>
      </c>
      <c r="B101" s="99">
        <v>100</v>
      </c>
      <c r="C101" s="101">
        <f t="shared" si="2"/>
        <v>0.99</v>
      </c>
      <c r="D101" s="101">
        <f t="shared" si="3"/>
        <v>0.79469085959999997</v>
      </c>
    </row>
    <row r="102" spans="1:4" x14ac:dyDescent="0.25">
      <c r="A102" s="99">
        <v>100</v>
      </c>
      <c r="B102" s="99">
        <v>100</v>
      </c>
      <c r="C102" s="101">
        <f t="shared" si="2"/>
        <v>1</v>
      </c>
      <c r="D102" s="101">
        <f t="shared" si="3"/>
        <v>0.79870000000000019</v>
      </c>
    </row>
  </sheetData>
  <sheetProtection password="E928"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SUMMARY</vt:lpstr>
      <vt:lpstr>COMPUTERS (Pg. 3)</vt:lpstr>
      <vt:lpstr>OFFICE EQUIPMENT (Pg. 4)</vt:lpstr>
      <vt:lpstr>FURNITURE &amp; FIXTURES (Pg. 5)</vt:lpstr>
      <vt:lpstr>MACHINERY &amp; EQUIPMENT (Pg. 6)</vt:lpstr>
      <vt:lpstr>LEASED OR SOLD ASSETS (Pg. 7)</vt:lpstr>
      <vt:lpstr>AIRCRAFT (Pg. 8)</vt:lpstr>
      <vt:lpstr>OFFICE USE</vt:lpstr>
      <vt:lpstr>'AIRCRAFT (Pg. 8)'!Print_Area</vt:lpstr>
      <vt:lpstr>'COMPUTERS (Pg. 3)'!Print_Area</vt:lpstr>
      <vt:lpstr>COVER!Print_Area</vt:lpstr>
      <vt:lpstr>'FURNITURE &amp; FIXTURES (Pg. 5)'!Print_Area</vt:lpstr>
      <vt:lpstr>'LEASED OR SOLD ASSETS (Pg. 7)'!Print_Area</vt:lpstr>
      <vt:lpstr>'MACHINERY &amp; EQUIPMENT (Pg. 6)'!Print_Area</vt:lpstr>
      <vt:lpstr>'OFFICE EQUIPMENT (Pg. 4)'!Print_Area</vt:lpstr>
      <vt:lpstr>SUMMARY!Print_Area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Hurt</dc:creator>
  <cp:lastModifiedBy>Robert Renninger</cp:lastModifiedBy>
  <cp:lastPrinted>2013-05-29T23:22:37Z</cp:lastPrinted>
  <dcterms:created xsi:type="dcterms:W3CDTF">2012-04-02T17:02:28Z</dcterms:created>
  <dcterms:modified xsi:type="dcterms:W3CDTF">2014-07-30T18:06:30Z</dcterms:modified>
</cp:coreProperties>
</file>