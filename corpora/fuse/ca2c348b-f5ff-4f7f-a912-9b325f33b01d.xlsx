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0" yWindow="495" windowWidth="11865" windowHeight="8865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O647" i="1" l="1"/>
  <c r="N647" i="1"/>
  <c r="M647" i="1"/>
  <c r="L647" i="1"/>
  <c r="K647" i="1"/>
  <c r="J647" i="1"/>
  <c r="H7" i="3" l="1"/>
  <c r="G7" i="3"/>
  <c r="F7" i="3"/>
  <c r="E7" i="3"/>
  <c r="D7" i="3"/>
  <c r="B7" i="3"/>
  <c r="G5" i="1"/>
  <c r="F5" i="1"/>
  <c r="E5" i="1"/>
  <c r="D5" i="1"/>
  <c r="C5" i="1"/>
  <c r="B5" i="1"/>
  <c r="G4" i="1"/>
  <c r="F4" i="1"/>
  <c r="E4" i="1"/>
  <c r="A4" i="1"/>
  <c r="D4" i="1"/>
  <c r="C4" i="1"/>
  <c r="B4" i="1"/>
  <c r="O646" i="1" l="1"/>
  <c r="N646" i="1"/>
  <c r="M646" i="1"/>
  <c r="L646" i="1"/>
  <c r="K646" i="1"/>
  <c r="J646" i="1"/>
  <c r="C7" i="3" s="1"/>
  <c r="O645" i="1" l="1"/>
  <c r="N645" i="1"/>
  <c r="M645" i="1"/>
  <c r="L645" i="1"/>
  <c r="K645" i="1"/>
  <c r="J645" i="1"/>
  <c r="O644" i="1" l="1"/>
  <c r="N644" i="1"/>
  <c r="M644" i="1"/>
  <c r="L644" i="1"/>
  <c r="K644" i="1"/>
  <c r="J644" i="1"/>
  <c r="O643" i="1" l="1"/>
  <c r="N643" i="1"/>
  <c r="M643" i="1"/>
  <c r="L643" i="1"/>
  <c r="K643" i="1"/>
  <c r="J643" i="1"/>
  <c r="O642" i="1" l="1"/>
  <c r="N642" i="1"/>
  <c r="M642" i="1"/>
  <c r="L642" i="1"/>
  <c r="K642" i="1"/>
  <c r="J642" i="1"/>
  <c r="O641" i="1" l="1"/>
  <c r="N641" i="1"/>
  <c r="M641" i="1"/>
  <c r="L641" i="1"/>
  <c r="K641" i="1"/>
  <c r="J641" i="1"/>
  <c r="O640" i="1" l="1"/>
  <c r="N640" i="1"/>
  <c r="M640" i="1"/>
  <c r="L640" i="1"/>
  <c r="K640" i="1"/>
  <c r="J640" i="1"/>
  <c r="O639" i="1" l="1"/>
  <c r="N639" i="1"/>
  <c r="M639" i="1"/>
  <c r="L639" i="1"/>
  <c r="K639" i="1"/>
  <c r="J639" i="1"/>
  <c r="O638" i="1" l="1"/>
  <c r="N638" i="1"/>
  <c r="M638" i="1"/>
  <c r="L638" i="1"/>
  <c r="K638" i="1"/>
  <c r="J638" i="1"/>
  <c r="O637" i="1" l="1"/>
  <c r="N637" i="1"/>
  <c r="M637" i="1"/>
  <c r="L637" i="1"/>
  <c r="K637" i="1"/>
  <c r="J637" i="1"/>
  <c r="O636" i="1" l="1"/>
  <c r="N636" i="1"/>
  <c r="M636" i="1"/>
  <c r="L636" i="1"/>
  <c r="K636" i="1"/>
  <c r="J636" i="1"/>
  <c r="O635" i="1" l="1"/>
  <c r="N635" i="1"/>
  <c r="M635" i="1"/>
  <c r="L635" i="1"/>
  <c r="K635" i="1"/>
  <c r="J635" i="1"/>
  <c r="O634" i="1" l="1"/>
  <c r="N634" i="1"/>
  <c r="M634" i="1"/>
  <c r="L634" i="1"/>
  <c r="K634" i="1"/>
  <c r="J634" i="1"/>
  <c r="O633" i="1" l="1"/>
  <c r="N633" i="1"/>
  <c r="M633" i="1"/>
  <c r="L633" i="1"/>
  <c r="K633" i="1"/>
  <c r="J633" i="1"/>
  <c r="O632" i="1" l="1"/>
  <c r="N632" i="1"/>
  <c r="M632" i="1"/>
  <c r="L632" i="1"/>
  <c r="K632" i="1"/>
  <c r="J632" i="1"/>
  <c r="O631" i="1" l="1"/>
  <c r="N631" i="1"/>
  <c r="M631" i="1"/>
  <c r="L631" i="1"/>
  <c r="K631" i="1"/>
  <c r="J631" i="1"/>
  <c r="O630" i="1" l="1"/>
  <c r="N630" i="1"/>
  <c r="M630" i="1"/>
  <c r="L630" i="1"/>
  <c r="K630" i="1"/>
  <c r="J630" i="1"/>
  <c r="O629" i="1" l="1"/>
  <c r="N629" i="1"/>
  <c r="M629" i="1"/>
  <c r="L629" i="1"/>
  <c r="K629" i="1"/>
  <c r="J629" i="1"/>
  <c r="O628" i="1" l="1"/>
  <c r="N628" i="1"/>
  <c r="M628" i="1"/>
  <c r="L628" i="1"/>
  <c r="K628" i="1"/>
  <c r="J628" i="1"/>
  <c r="O627" i="1" l="1"/>
  <c r="N627" i="1"/>
  <c r="M627" i="1"/>
  <c r="L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J623" i="1"/>
  <c r="K623" i="1"/>
  <c r="L623" i="1"/>
  <c r="M623" i="1"/>
  <c r="N623" i="1"/>
  <c r="O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<sst xmlns="http://schemas.openxmlformats.org/spreadsheetml/2006/main" count="85" uniqueCount="35">
  <si>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</si>
  <si>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</si>
  <si>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</si>
  <si>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</si>
  <si>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</si>
  <si>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</si>
  <si>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</si>
  <si>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</si>
  <si>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</si>
  <si>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</si>
  <si>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</si>
  <si>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</si>
  <si>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</si>
  <si>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</si>
  <si>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</si>
  <si>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</si>
  <si>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</si>
  <si>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</si>
  <si>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</si>
  <si>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</si>
  <si>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</si>
  <si>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</si>
  <si>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</si>
  <si>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</si>
  <si>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</si>
  <si>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</si>
  <si>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</si>
  <si>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</si>
  <si>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</si>
  <si>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</si>
  <si>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</si>
  <si>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</si>
  <si>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</si>
  <si>
    <t xml:space="preserve">  </t>
  </si>
  <si>
    <t>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</si>
</sst>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47"/>
  <sheetViews>
    <sheetView defaultGridColor="0" colorId="22" zoomScaleNormal="100" workbookViewId="0">
      <pane xSplit="1" ySplit="7" topLeftCell="B634" activePane="bottomRight" state="frozen"/>
      <selection pane="topRight" activeCell="B1" sqref="B1"/>
      <selection pane="bottomLeft" activeCell="A8" sqref="A8"/>
      <selection pane="bottomRight" activeCell="A647" sqref="A647:Z647"/>
    </sheetView>
  </sheetViews>
  <sheetFormatPr defaultColWidth="9.77734375" defaultRowHeight="15.75" x14ac:dyDescent="0.25"/>
  <cols>
    <col min="1" max="1" width="13.88671875" style="1" customWidth="1"/>
    <col min="2" max="2" width="6.77734375" style="19" customWidth="1"/>
    <col min="3" max="4" width="7.21875" style="2" bestFit="1" customWidth="1"/>
    <col min="5" max="5" width="6.77734375" style="2" customWidth="1"/>
    <col min="6" max="6" width="7.77734375" style="19" customWidth="1"/>
    <col min="7" max="7" width="6.77734375" style="19" customWidth="1"/>
    <col min="8" max="8" width="4.33203125" style="1" bestFit="1" customWidth="1"/>
    <col min="9" max="9" width="9.77734375" style="1"/>
    <col min="10" max="15" width="7.77734375" style="1" customWidth="1"/>
    <col min="16" max="16" width="6.5546875" style="3" customWidth="1"/>
    <col min="17" max="19" width="5.77734375" style="4" customWidth="1"/>
    <col min="20" max="20" width="4.77734375" style="4" customWidth="1"/>
    <col min="21" max="21" width="5.77734375" style="4" customWidth="1"/>
    <col min="22" max="22" width="9.77734375" style="3"/>
    <col min="23" max="23" width="2.77734375" style="3" customWidth="1"/>
    <col min="24" max="24" width="9.77734375" style="5"/>
    <col min="25" max="25" width="10.21875" style="5" bestFit="1" customWidth="1"/>
    <col min="26" max="26" width="8.77734375" style="5" customWidth="1"/>
    <col min="27" max="16384" width="9.77734375" style="5"/>
  </cols>
  <sheetData>
    <row r="1" spans="1:26" s="16" customFormat="1" ht="15" customHeight="1" x14ac:dyDescent="0.25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25">
      <c r="A2" s="6" t="s">
        <v>1</v>
      </c>
    </row>
    <row r="3" spans="1:26" ht="15" customHeight="1" x14ac:dyDescent="0.25">
      <c r="A3" s="6" t="s">
        <v>2</v>
      </c>
      <c r="Q3" s="4" t="s">
        <v>3</v>
      </c>
    </row>
    <row r="4" spans="1:26" ht="15" customHeight="1" x14ac:dyDescent="0.25">
      <c r="A4" s="54">
        <f>(A647)</f>
        <v>41962</v>
      </c>
      <c r="B4" s="53">
        <f t="shared" ref="B4:G4" si="0">J647</f>
        <v>245.70469798657717</v>
      </c>
      <c r="C4" s="53">
        <f t="shared" si="0"/>
        <v>275.5219110250045</v>
      </c>
      <c r="D4" s="53">
        <f t="shared" si="0"/>
        <v>219.07446671665366</v>
      </c>
      <c r="E4" s="53">
        <f t="shared" si="0"/>
        <v>371.66666666666669</v>
      </c>
      <c r="F4" s="53">
        <f t="shared" si="0"/>
        <v>200.13416815742397</v>
      </c>
      <c r="G4" s="53">
        <f t="shared" si="0"/>
        <v>173.75886524822698</v>
      </c>
      <c r="I4" s="1" t="s">
        <v>7</v>
      </c>
    </row>
    <row r="5" spans="1:26" s="32" customFormat="1" ht="15.6" customHeight="1" x14ac:dyDescent="0.25">
      <c r="A5" s="28"/>
      <c r="B5" s="8">
        <f t="shared" ref="B5:G5" si="1">(B647-B646)/(B646)</f>
        <v>-4.351373402230083E-3</v>
      </c>
      <c r="C5" s="8">
        <f t="shared" si="1"/>
        <v>-0.10204081632653061</v>
      </c>
      <c r="D5" s="8">
        <f t="shared" si="1"/>
        <v>-0.73787680209698558</v>
      </c>
      <c r="E5" s="8">
        <f t="shared" si="1"/>
        <v>-0.12777053455019557</v>
      </c>
      <c r="F5" s="8">
        <f t="shared" si="1"/>
        <v>-1.6483516483516484E-2</v>
      </c>
      <c r="G5" s="8">
        <f t="shared" si="1"/>
        <v>-0.02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99" t="s">
        <v>28</v>
      </c>
      <c r="Z5" s="200"/>
    </row>
    <row r="6" spans="1:26" x14ac:dyDescent="0.25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L6" s="1" t="s">
        <v>15</v>
      </c>
      <c r="Q6" s="9" t="s">
        <v>8</v>
      </c>
      <c r="Y6" s="200"/>
      <c r="Z6" s="200"/>
    </row>
    <row r="7" spans="1:26" x14ac:dyDescent="0.25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J7" s="1" t="s">
        <v>16</v>
      </c>
      <c r="K7" s="1" t="s">
        <v>26</v>
      </c>
      <c r="L7" s="1" t="s">
        <v>27</v>
      </c>
      <c r="M7" s="1" t="s">
        <v>17</v>
      </c>
      <c r="N7" s="1" t="s">
        <v>13</v>
      </c>
      <c r="O7" s="1" t="s">
        <v>18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25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25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25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25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25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25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25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25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25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25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25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25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25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25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25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25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25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25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25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25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25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25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25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25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25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25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25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25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25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25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25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25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25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25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25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25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25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25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25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25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25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25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25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25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25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25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25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25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25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25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25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25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25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25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25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25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25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25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25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25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25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25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25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25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25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25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25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25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25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25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25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25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25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25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25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25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25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25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25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25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25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25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25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25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25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25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25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25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25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25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25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25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25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25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25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25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25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25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25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25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25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25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25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25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25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25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25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25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25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25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25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25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25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25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25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25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25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25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25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25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25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25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25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25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25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25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25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25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25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25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25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25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25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25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25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25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25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25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25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25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25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25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25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25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25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25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25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25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25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25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25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25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25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25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25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25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25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25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25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25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25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25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25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25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25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25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25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25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25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25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25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25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25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25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25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25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25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25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25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25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25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25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25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25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25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25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25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25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25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25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25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25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25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25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25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25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25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25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25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25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25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25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25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25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25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25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25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25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25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25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25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25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25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25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25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25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25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25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25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25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25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25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25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25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25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25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25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25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25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98" t="s">
        <v>25</v>
      </c>
      <c r="G236" s="198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25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25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25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25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25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25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25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25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25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25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25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25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25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25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25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25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25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25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25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25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25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25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25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25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25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25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25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25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25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25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25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25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25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25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25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25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25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25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25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25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25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25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25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25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25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25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25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25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25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25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25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25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25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25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25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25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25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25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25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25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25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25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25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25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25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25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25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25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25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25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25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25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25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25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25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25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25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25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25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25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25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25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25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25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25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25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25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25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25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25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25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25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25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25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25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25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25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25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25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25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25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25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25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25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25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25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25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25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25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25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25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25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25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25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25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25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25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25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25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25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25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25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25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25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25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25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25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25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25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25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25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25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25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25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25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25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25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25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25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25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25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25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25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25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25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25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25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25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25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25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25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25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25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25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25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25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25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25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25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25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25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25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25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25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25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25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25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25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25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25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25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25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25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25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25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25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25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25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25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25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25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25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25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25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25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25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25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25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25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25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25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25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25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25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25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25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25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25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25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25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25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25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25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25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25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25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25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25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25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25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25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25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25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25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25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25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25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25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25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25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25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25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25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25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25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25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25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25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25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25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25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25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25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25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25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25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25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25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25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25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25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25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25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25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25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25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25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25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25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25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25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25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25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25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25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25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25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25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25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25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25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25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25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25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25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25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25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25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25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25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25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" customHeight="1" x14ac:dyDescent="0.25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25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25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25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25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25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25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25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25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25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25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25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25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25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25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25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25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25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25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25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25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25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25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25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25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25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25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25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25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25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25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25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25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25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25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25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25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25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25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25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25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25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25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25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25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25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25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25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25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25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25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25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25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25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25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25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25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25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25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25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25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25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25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33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25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25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25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25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25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25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25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25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25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25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25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25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25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25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25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25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25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25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25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25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25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25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25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25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25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25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25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25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25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4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25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25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25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25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25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25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25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21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25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O622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25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25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25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25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3"/>
        <v>269.86577181208054</v>
      </c>
      <c r="K611" s="27">
        <f t="shared" si="148"/>
        <v>304.85890604697704</v>
      </c>
      <c r="L611" s="27">
        <f t="shared" si="148"/>
        <v>328.81053003466491</v>
      </c>
      <c r="M611" s="27">
        <f t="shared" si="149"/>
        <v>347.22222222222223</v>
      </c>
      <c r="N611" s="27">
        <f t="shared" si="147"/>
        <v>232.55813953488374</v>
      </c>
      <c r="O611" s="27">
        <f t="shared" si="147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25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3"/>
        <v>268.65771812080538</v>
      </c>
      <c r="K612" s="27">
        <f t="shared" si="148"/>
        <v>321.38007106118107</v>
      </c>
      <c r="L612" s="27">
        <f t="shared" si="148"/>
        <v>377.99188079148252</v>
      </c>
      <c r="M612" s="27">
        <f t="shared" si="149"/>
        <v>321.11111111111114</v>
      </c>
      <c r="N612" s="27">
        <f t="shared" si="147"/>
        <v>237.03041144901613</v>
      </c>
      <c r="O612" s="27">
        <f t="shared" si="147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25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3"/>
        <v>267.65100671140942</v>
      </c>
      <c r="K613" s="27">
        <f t="shared" si="148"/>
        <v>342.03152732893614</v>
      </c>
      <c r="L613" s="27">
        <f t="shared" si="148"/>
        <v>306.18710868652886</v>
      </c>
      <c r="M613" s="27">
        <f t="shared" si="149"/>
        <v>260.55555555555554</v>
      </c>
      <c r="N613" s="27">
        <f t="shared" si="147"/>
        <v>237.03041144901613</v>
      </c>
      <c r="O613" s="27">
        <f t="shared" si="147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25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3"/>
        <v>266.77852348993292</v>
      </c>
      <c r="K614" s="27">
        <f t="shared" si="148"/>
        <v>342.76977268914578</v>
      </c>
      <c r="L614" s="27">
        <f>(D614+Z614)/S614*100</f>
        <v>323.95321327007923</v>
      </c>
      <c r="M614" s="27">
        <f t="shared" si="149"/>
        <v>231.11111111111109</v>
      </c>
      <c r="N614" s="27">
        <f t="shared" si="147"/>
        <v>230.32200357781755</v>
      </c>
      <c r="O614" s="27">
        <f t="shared" si="147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25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3"/>
        <v>265.70469798657717</v>
      </c>
      <c r="K615" s="27">
        <f t="shared" si="148"/>
        <v>312.48097016310504</v>
      </c>
      <c r="L615" s="27">
        <f>(D615+Z615)/S615*100</f>
        <v>298.12231252475937</v>
      </c>
      <c r="M615" s="27">
        <f t="shared" si="149"/>
        <v>205.55555555555554</v>
      </c>
      <c r="N615" s="27">
        <f t="shared" si="149"/>
        <v>223.61359570661898</v>
      </c>
      <c r="O615" s="27">
        <f t="shared" si="149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25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3"/>
        <v>265.23489932885906</v>
      </c>
      <c r="K616" s="27">
        <f t="shared" si="148"/>
        <v>294.58304139771735</v>
      </c>
      <c r="L616" s="27">
        <f>(D616+Z616)/S616*100</f>
        <v>269.96064341748598</v>
      </c>
      <c r="M616" s="27">
        <f t="shared" si="149"/>
        <v>213.33333333333334</v>
      </c>
      <c r="N616" s="27">
        <f t="shared" si="149"/>
        <v>223.61359570661898</v>
      </c>
      <c r="O616" s="27">
        <f t="shared" si="149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25">
      <c r="A617" s="61">
        <v>41752</v>
      </c>
      <c r="B617" s="170">
        <v>3.9710000000000001</v>
      </c>
      <c r="C617" s="2">
        <v>2500</v>
      </c>
      <c r="D617" s="2">
        <v>1500</v>
      </c>
      <c r="E617" s="2">
        <v>377</v>
      </c>
      <c r="F617" s="170">
        <v>47.5</v>
      </c>
      <c r="G617" s="170">
        <v>26.5</v>
      </c>
      <c r="I617" s="10">
        <v>41752</v>
      </c>
      <c r="J617" s="27">
        <f t="shared" si="143"/>
        <v>266.51006711409394</v>
      </c>
      <c r="K617" s="27">
        <f t="shared" si="148"/>
        <v>377.18886646873756</v>
      </c>
      <c r="L617" s="27">
        <f>(D617+Z617)/S617*100</f>
        <v>279.58308160903727</v>
      </c>
      <c r="M617" s="27">
        <f t="shared" si="149"/>
        <v>209.44444444444446</v>
      </c>
      <c r="N617" s="27">
        <f t="shared" si="149"/>
        <v>212.43291592128801</v>
      </c>
      <c r="O617" s="27">
        <f t="shared" si="149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84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25">
      <c r="A618" s="61">
        <v>41759</v>
      </c>
      <c r="B618" s="171">
        <v>3.9750000000000001</v>
      </c>
      <c r="C618" s="2">
        <v>875</v>
      </c>
      <c r="D618" s="2">
        <v>850</v>
      </c>
      <c r="E618" s="2">
        <v>360</v>
      </c>
      <c r="F618" s="171">
        <v>47.5</v>
      </c>
      <c r="G618" s="171">
        <v>26.5</v>
      </c>
      <c r="I618" s="10">
        <v>41759</v>
      </c>
      <c r="J618" s="27">
        <f t="shared" si="143"/>
        <v>266.77852348993292</v>
      </c>
      <c r="K618" s="27">
        <f t="shared" si="148"/>
        <v>287.699222641799</v>
      </c>
      <c r="L618" s="27">
        <f>(D618+Z618)/S618*100</f>
        <v>251.7849268334447</v>
      </c>
      <c r="M618" s="27">
        <f t="shared" si="149"/>
        <v>200</v>
      </c>
      <c r="N618" s="27">
        <f t="shared" si="149"/>
        <v>212.43291592128801</v>
      </c>
      <c r="O618" s="27">
        <f t="shared" si="149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84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25">
      <c r="A619" s="61">
        <v>41766</v>
      </c>
      <c r="B619" s="172">
        <v>3.964</v>
      </c>
      <c r="C619" s="2">
        <v>700</v>
      </c>
      <c r="D619" s="2">
        <v>537.5</v>
      </c>
      <c r="E619" s="2">
        <v>365</v>
      </c>
      <c r="F619" s="172">
        <v>47</v>
      </c>
      <c r="G619" s="172">
        <v>26.5</v>
      </c>
      <c r="I619" s="10">
        <v>41766</v>
      </c>
      <c r="J619" s="27">
        <f t="shared" si="143"/>
        <v>266.04026845637583</v>
      </c>
      <c r="K619" s="27">
        <f t="shared" si="148"/>
        <v>278.38763317929335</v>
      </c>
      <c r="L619" s="27">
        <f t="shared" si="148"/>
        <v>238.5918550510664</v>
      </c>
      <c r="M619" s="27">
        <f t="shared" si="149"/>
        <v>202.77777777777777</v>
      </c>
      <c r="N619" s="27">
        <f t="shared" si="149"/>
        <v>210.19677996422183</v>
      </c>
      <c r="O619" s="27">
        <f t="shared" si="149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84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25">
      <c r="A620" s="61">
        <v>41773</v>
      </c>
      <c r="B620" s="173">
        <v>3.948</v>
      </c>
      <c r="C620" s="2">
        <v>200</v>
      </c>
      <c r="D620" s="2">
        <v>0</v>
      </c>
      <c r="E620" s="2">
        <v>355</v>
      </c>
      <c r="F620" s="173">
        <v>46.5</v>
      </c>
      <c r="G620" s="173">
        <v>26</v>
      </c>
      <c r="I620" s="10">
        <v>41773</v>
      </c>
      <c r="J620" s="27">
        <f t="shared" si="143"/>
        <v>264.96644295302013</v>
      </c>
      <c r="K620" s="27">
        <f t="shared" si="148"/>
        <v>250.8523581556199</v>
      </c>
      <c r="L620" s="27">
        <f t="shared" si="148"/>
        <v>215.60491937124948</v>
      </c>
      <c r="M620" s="27">
        <f t="shared" si="149"/>
        <v>197.22222222222223</v>
      </c>
      <c r="N620" s="27">
        <f t="shared" si="149"/>
        <v>207.96064400715562</v>
      </c>
      <c r="O620" s="27">
        <f t="shared" si="149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84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25">
      <c r="A621" s="61">
        <v>41780</v>
      </c>
      <c r="B621" s="174">
        <v>3.9340000000000002</v>
      </c>
      <c r="C621" s="2">
        <v>450</v>
      </c>
      <c r="D621" s="2">
        <v>-188</v>
      </c>
      <c r="E621" s="2">
        <v>373</v>
      </c>
      <c r="F621" s="174">
        <v>47.5</v>
      </c>
      <c r="G621" s="174">
        <v>26.5</v>
      </c>
      <c r="I621" s="10">
        <v>41780</v>
      </c>
      <c r="J621" s="27">
        <f t="shared" si="143"/>
        <v>264.0268456375839</v>
      </c>
      <c r="K621" s="27">
        <f t="shared" si="148"/>
        <v>264.61999566745664</v>
      </c>
      <c r="L621" s="27">
        <f t="shared" si="148"/>
        <v>207.56483768230885</v>
      </c>
      <c r="M621" s="27">
        <f t="shared" si="149"/>
        <v>207.2222222222222</v>
      </c>
      <c r="N621" s="27">
        <f t="shared" si="149"/>
        <v>212.43291592128801</v>
      </c>
      <c r="O621" s="27">
        <f t="shared" si="149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84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25">
      <c r="A622" s="61">
        <v>41787</v>
      </c>
      <c r="B622" s="175">
        <v>3.9249999999999998</v>
      </c>
      <c r="C622" s="2">
        <v>75</v>
      </c>
      <c r="D622" s="2">
        <v>225</v>
      </c>
      <c r="E622" s="2">
        <v>360</v>
      </c>
      <c r="F622" s="175">
        <v>47</v>
      </c>
      <c r="G622" s="175">
        <v>26</v>
      </c>
      <c r="I622" s="10">
        <v>41787</v>
      </c>
      <c r="J622" s="27">
        <f t="shared" si="143"/>
        <v>263.42281879194627</v>
      </c>
      <c r="K622" s="27">
        <f t="shared" ref="K622:L637" si="150">(C622+Y622)/R622*100</f>
        <v>243.96853939970157</v>
      </c>
      <c r="L622" s="27">
        <f t="shared" si="150"/>
        <v>225.22735756280073</v>
      </c>
      <c r="M622" s="27">
        <f t="shared" si="149"/>
        <v>200</v>
      </c>
      <c r="N622" s="27">
        <f t="shared" si="149"/>
        <v>210.19677996422183</v>
      </c>
      <c r="O622" s="27">
        <f t="shared" si="149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84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25">
      <c r="A623" s="61">
        <v>41794</v>
      </c>
      <c r="B623" s="176">
        <v>3.9180000000000001</v>
      </c>
      <c r="C623" s="2">
        <v>400</v>
      </c>
      <c r="D623" s="2">
        <v>168.5</v>
      </c>
      <c r="E623" s="2">
        <v>353</v>
      </c>
      <c r="F623" s="176">
        <v>46</v>
      </c>
      <c r="G623" s="176">
        <v>25</v>
      </c>
      <c r="H623" s="1" t="s">
        <v>33</v>
      </c>
      <c r="I623" s="10">
        <v>41794</v>
      </c>
      <c r="J623" s="27">
        <f t="shared" si="143"/>
        <v>262.95302013422821</v>
      </c>
      <c r="K623" s="27">
        <f t="shared" si="150"/>
        <v>263.85845401535192</v>
      </c>
      <c r="L623" s="27">
        <f t="shared" si="150"/>
        <v>222.23470050503252</v>
      </c>
      <c r="M623" s="27">
        <f t="shared" ref="M623:O639" si="151">(1+(E623-T622)/T622)*100</f>
        <v>196.11111111111111</v>
      </c>
      <c r="N623" s="27">
        <f t="shared" si="151"/>
        <v>205.72450805008947</v>
      </c>
      <c r="O623" s="27">
        <f t="shared" si="151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84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25">
      <c r="A624" s="61">
        <v>41801</v>
      </c>
      <c r="B624" s="177">
        <v>3.8919999999999999</v>
      </c>
      <c r="C624" s="2">
        <v>0</v>
      </c>
      <c r="D624" s="2">
        <v>425</v>
      </c>
      <c r="E624" s="2">
        <v>373</v>
      </c>
      <c r="F624" s="177">
        <v>45</v>
      </c>
      <c r="G624" s="177">
        <v>24</v>
      </c>
      <c r="I624" s="10">
        <v>41801</v>
      </c>
      <c r="J624" s="27">
        <f t="shared" si="143"/>
        <v>261.20805369127515</v>
      </c>
      <c r="K624" s="27">
        <f t="shared" si="150"/>
        <v>241.8302339964132</v>
      </c>
      <c r="L624" s="27">
        <f t="shared" si="150"/>
        <v>233.20428004340096</v>
      </c>
      <c r="M624" s="27">
        <f t="shared" si="151"/>
        <v>207.2222222222222</v>
      </c>
      <c r="N624" s="27">
        <f t="shared" si="151"/>
        <v>201.25223613595705</v>
      </c>
      <c r="O624" s="27">
        <f t="shared" si="151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84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25">
      <c r="A625" s="61">
        <v>41808</v>
      </c>
      <c r="B625" s="178">
        <v>3.8820000000000001</v>
      </c>
      <c r="C625" s="2">
        <v>-50</v>
      </c>
      <c r="D625" s="2">
        <v>800</v>
      </c>
      <c r="E625" s="2">
        <v>367</v>
      </c>
      <c r="F625" s="178">
        <v>44</v>
      </c>
      <c r="G625" s="178">
        <v>23</v>
      </c>
      <c r="I625" s="10">
        <v>41808</v>
      </c>
      <c r="J625" s="27">
        <f t="shared" si="143"/>
        <v>260.5369127516779</v>
      </c>
      <c r="K625" s="27">
        <f t="shared" si="150"/>
        <v>239.07670649404588</v>
      </c>
      <c r="L625" s="27">
        <f t="shared" si="150"/>
        <v>249.24167702931976</v>
      </c>
      <c r="M625" s="27">
        <f t="shared" si="151"/>
        <v>203.88888888888889</v>
      </c>
      <c r="N625" s="27">
        <f t="shared" si="151"/>
        <v>196.77996422182468</v>
      </c>
      <c r="O625" s="27">
        <f t="shared" si="151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84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25">
      <c r="A626" s="61">
        <v>41815</v>
      </c>
      <c r="B626" s="179">
        <v>3.919</v>
      </c>
      <c r="C626" s="2">
        <v>400</v>
      </c>
      <c r="D626" s="2">
        <v>637.5</v>
      </c>
      <c r="E626" s="2">
        <v>369</v>
      </c>
      <c r="F626" s="179">
        <v>43.5</v>
      </c>
      <c r="G626" s="179">
        <v>23</v>
      </c>
      <c r="I626" s="10">
        <v>41815</v>
      </c>
      <c r="J626" s="27">
        <f t="shared" si="143"/>
        <v>263.02013422818794</v>
      </c>
      <c r="K626" s="27">
        <f t="shared" si="150"/>
        <v>263.85845401535192</v>
      </c>
      <c r="L626" s="27">
        <f t="shared" si="150"/>
        <v>242.29213833542161</v>
      </c>
      <c r="M626" s="27">
        <f t="shared" si="151"/>
        <v>204.99999999999997</v>
      </c>
      <c r="N626" s="27">
        <f t="shared" si="151"/>
        <v>194.5438282647585</v>
      </c>
      <c r="O626" s="27">
        <f t="shared" si="151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84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25">
      <c r="A627" s="61">
        <v>41822</v>
      </c>
      <c r="B627" s="180">
        <v>3.92</v>
      </c>
      <c r="C627" s="2">
        <v>337.5</v>
      </c>
      <c r="D627" s="2">
        <v>875</v>
      </c>
      <c r="E627" s="2">
        <v>378</v>
      </c>
      <c r="F627" s="180">
        <v>42</v>
      </c>
      <c r="G627" s="180">
        <v>22</v>
      </c>
      <c r="I627" s="10">
        <v>41822</v>
      </c>
      <c r="J627" s="27">
        <f t="shared" si="143"/>
        <v>263.08724832214762</v>
      </c>
      <c r="K627" s="27">
        <f t="shared" si="150"/>
        <v>260.09837743294429</v>
      </c>
      <c r="L627" s="27">
        <f t="shared" si="150"/>
        <v>252.03013581978095</v>
      </c>
      <c r="M627" s="27">
        <f t="shared" si="151"/>
        <v>210</v>
      </c>
      <c r="N627" s="27">
        <f t="shared" si="151"/>
        <v>187.83542039355993</v>
      </c>
      <c r="O627" s="27">
        <f t="shared" si="151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84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25">
      <c r="A628" s="61">
        <v>41829</v>
      </c>
      <c r="B628" s="181">
        <v>3.9129999999999998</v>
      </c>
      <c r="C628" s="2">
        <v>500</v>
      </c>
      <c r="D628" s="2">
        <v>300</v>
      </c>
      <c r="E628" s="2">
        <v>345</v>
      </c>
      <c r="F628" s="181">
        <v>43</v>
      </c>
      <c r="G628" s="181">
        <v>23.5</v>
      </c>
      <c r="I628" s="10">
        <v>41829</v>
      </c>
      <c r="J628" s="27">
        <f t="shared" si="143"/>
        <v>262.6174496644295</v>
      </c>
      <c r="K628" s="27">
        <f t="shared" si="150"/>
        <v>269.04734181563816</v>
      </c>
      <c r="L628" s="27">
        <f t="shared" si="150"/>
        <v>227.43946044137212</v>
      </c>
      <c r="M628" s="27">
        <f t="shared" si="151"/>
        <v>191.66666666666666</v>
      </c>
      <c r="N628" s="27">
        <f t="shared" si="151"/>
        <v>192.30769230769232</v>
      </c>
      <c r="O628" s="27">
        <f t="shared" si="151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84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25">
      <c r="A629" s="61">
        <v>41836</v>
      </c>
      <c r="B629" s="19">
        <v>3.8940000000000001</v>
      </c>
      <c r="C629" s="2">
        <v>850</v>
      </c>
      <c r="D629" s="2">
        <v>1900</v>
      </c>
      <c r="E629" s="2">
        <v>405</v>
      </c>
      <c r="F629" s="19">
        <v>43</v>
      </c>
      <c r="G629" s="19">
        <v>24</v>
      </c>
      <c r="I629" s="10">
        <v>41836</v>
      </c>
      <c r="J629" s="27">
        <f t="shared" si="143"/>
        <v>261.34228187919462</v>
      </c>
      <c r="K629" s="27">
        <f t="shared" si="150"/>
        <v>288.32203433220951</v>
      </c>
      <c r="L629" s="27">
        <f t="shared" si="150"/>
        <v>295.86568758129226</v>
      </c>
      <c r="M629" s="27">
        <f t="shared" si="151"/>
        <v>225</v>
      </c>
      <c r="N629" s="27">
        <f t="shared" si="151"/>
        <v>192.30769230769232</v>
      </c>
      <c r="O629" s="27">
        <f t="shared" si="151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84">
        <v>14.1</v>
      </c>
      <c r="X629" s="61">
        <v>41836</v>
      </c>
      <c r="Y629" s="68">
        <v>4385.5030789473694</v>
      </c>
      <c r="Z629" s="68">
        <v>5018.1821052631576</v>
      </c>
    </row>
    <row r="630" spans="1:26" x14ac:dyDescent="0.25">
      <c r="A630" s="61">
        <v>41843</v>
      </c>
      <c r="B630" s="19">
        <v>3.8690000000000002</v>
      </c>
      <c r="C630" s="2">
        <v>750</v>
      </c>
      <c r="D630" s="2">
        <v>1769</v>
      </c>
      <c r="E630" s="2">
        <v>547</v>
      </c>
      <c r="F630" s="19">
        <v>42.5</v>
      </c>
      <c r="G630" s="19">
        <v>23.5</v>
      </c>
      <c r="I630" s="10">
        <v>41843</v>
      </c>
      <c r="J630" s="27">
        <f t="shared" si="143"/>
        <v>259.66442953020135</v>
      </c>
      <c r="K630" s="27">
        <f t="shared" si="150"/>
        <v>282.81497932747482</v>
      </c>
      <c r="L630" s="27">
        <f t="shared" si="150"/>
        <v>290.2632902342113</v>
      </c>
      <c r="M630" s="27">
        <f t="shared" si="151"/>
        <v>303.88888888888886</v>
      </c>
      <c r="N630" s="27">
        <f t="shared" si="151"/>
        <v>190.07155635062611</v>
      </c>
      <c r="O630" s="27">
        <f t="shared" si="151"/>
        <v>166.66666666666669</v>
      </c>
      <c r="Q630" s="4">
        <v>1.49</v>
      </c>
      <c r="R630" s="4">
        <v>1815.8525729999999</v>
      </c>
      <c r="S630" s="4">
        <v>2338.2847000000002</v>
      </c>
      <c r="T630" s="4">
        <v>180</v>
      </c>
      <c r="U630" s="4">
        <v>22.36</v>
      </c>
      <c r="V630" s="84">
        <v>14.1</v>
      </c>
      <c r="X630" s="61">
        <v>41836</v>
      </c>
      <c r="Y630" s="68">
        <v>4385.5030789473694</v>
      </c>
      <c r="Z630" s="68">
        <v>5018.1821052631576</v>
      </c>
    </row>
    <row r="631" spans="1:26" x14ac:dyDescent="0.25">
      <c r="A631" s="61">
        <v>41850</v>
      </c>
      <c r="B631" s="182">
        <v>3.8580000000000001</v>
      </c>
      <c r="C631" s="2">
        <v>1100</v>
      </c>
      <c r="D631" s="2">
        <v>2466.5</v>
      </c>
      <c r="E631" s="2">
        <v>560</v>
      </c>
      <c r="F631" s="182">
        <v>42</v>
      </c>
      <c r="G631" s="182">
        <v>23.25</v>
      </c>
      <c r="I631" s="10">
        <v>41850</v>
      </c>
      <c r="J631" s="27">
        <f t="shared" si="143"/>
        <v>258.92617449664431</v>
      </c>
      <c r="K631" s="27">
        <f t="shared" si="150"/>
        <v>302.08967184404622</v>
      </c>
      <c r="L631" s="27">
        <f t="shared" si="150"/>
        <v>320.09284862802025</v>
      </c>
      <c r="M631" s="27">
        <f t="shared" si="151"/>
        <v>311.11111111111114</v>
      </c>
      <c r="N631" s="27">
        <f t="shared" si="151"/>
        <v>187.83542039355993</v>
      </c>
      <c r="O631" s="27">
        <f t="shared" si="151"/>
        <v>164.89361702127661</v>
      </c>
      <c r="Q631" s="4">
        <v>1.49</v>
      </c>
      <c r="R631" s="4">
        <v>1815.8525729999999</v>
      </c>
      <c r="S631" s="4">
        <v>2338.2847000000002</v>
      </c>
      <c r="T631" s="4">
        <v>180</v>
      </c>
      <c r="U631" s="4">
        <v>22.36</v>
      </c>
      <c r="V631" s="84">
        <v>14.1</v>
      </c>
      <c r="X631" s="61">
        <v>41850</v>
      </c>
      <c r="Y631" s="68">
        <v>4385.5030789473694</v>
      </c>
      <c r="Z631" s="68">
        <v>5018.1821052631576</v>
      </c>
    </row>
    <row r="632" spans="1:26" x14ac:dyDescent="0.25">
      <c r="A632" s="61">
        <v>41857</v>
      </c>
      <c r="B632" s="183">
        <v>3.8530000000000002</v>
      </c>
      <c r="C632" s="2">
        <v>950</v>
      </c>
      <c r="D632" s="2">
        <v>2016.5</v>
      </c>
      <c r="E632" s="2">
        <v>468</v>
      </c>
      <c r="F632" s="183">
        <v>41.5</v>
      </c>
      <c r="G632" s="183">
        <v>23</v>
      </c>
      <c r="I632" s="10">
        <v>41857</v>
      </c>
      <c r="J632" s="27">
        <f t="shared" si="143"/>
        <v>258.59060402684565</v>
      </c>
      <c r="K632" s="27">
        <f t="shared" si="150"/>
        <v>293.83859335450234</v>
      </c>
      <c r="L632" s="27">
        <f t="shared" si="150"/>
        <v>300.41092222768884</v>
      </c>
      <c r="M632" s="27">
        <f t="shared" si="151"/>
        <v>260</v>
      </c>
      <c r="N632" s="27">
        <f t="shared" si="151"/>
        <v>185.59928443649375</v>
      </c>
      <c r="O632" s="27">
        <f t="shared" si="151"/>
        <v>163.12056737588651</v>
      </c>
      <c r="Q632" s="4">
        <v>1.49</v>
      </c>
      <c r="R632" s="4">
        <v>1815.8525729999999</v>
      </c>
      <c r="S632" s="4">
        <v>2338.2847000000002</v>
      </c>
      <c r="T632" s="4">
        <v>180</v>
      </c>
      <c r="U632" s="4">
        <v>22.36</v>
      </c>
      <c r="V632" s="84">
        <v>14.1</v>
      </c>
      <c r="X632" s="61">
        <v>41857</v>
      </c>
      <c r="Y632" s="68">
        <v>4385.675657894737</v>
      </c>
      <c r="Z632" s="68">
        <v>5007.9626315789474</v>
      </c>
    </row>
    <row r="633" spans="1:26" x14ac:dyDescent="0.25">
      <c r="A633" s="61">
        <v>41864</v>
      </c>
      <c r="B633" s="184">
        <v>3.843</v>
      </c>
      <c r="C633" s="2">
        <v>1825</v>
      </c>
      <c r="D633" s="2">
        <v>1325</v>
      </c>
      <c r="E633" s="2">
        <v>442</v>
      </c>
      <c r="F633" s="184">
        <v>41.5</v>
      </c>
      <c r="G633" s="184">
        <v>22.75</v>
      </c>
      <c r="I633" s="10">
        <v>41864</v>
      </c>
      <c r="J633" s="27">
        <f t="shared" si="143"/>
        <v>257.91946308724835</v>
      </c>
      <c r="K633" s="27">
        <f t="shared" si="150"/>
        <v>342.02532464593077</v>
      </c>
      <c r="L633" s="27">
        <f t="shared" si="150"/>
        <v>270.83796218565459</v>
      </c>
      <c r="M633" s="27">
        <f t="shared" si="151"/>
        <v>245.55555555555557</v>
      </c>
      <c r="N633" s="27">
        <f t="shared" si="151"/>
        <v>185.59928443649375</v>
      </c>
      <c r="O633" s="27">
        <f t="shared" si="151"/>
        <v>161.34751773049646</v>
      </c>
      <c r="Q633" s="4">
        <v>1.49</v>
      </c>
      <c r="R633" s="4">
        <v>1815.8525729999999</v>
      </c>
      <c r="S633" s="4">
        <v>2338.2847000000002</v>
      </c>
      <c r="T633" s="4">
        <v>180</v>
      </c>
      <c r="U633" s="4">
        <v>22.36</v>
      </c>
      <c r="V633" s="84">
        <v>14.1</v>
      </c>
      <c r="X633" s="61">
        <v>41864</v>
      </c>
      <c r="Y633" s="68">
        <v>4385.675657894737</v>
      </c>
      <c r="Z633" s="68">
        <v>5007.9626315789474</v>
      </c>
    </row>
    <row r="634" spans="1:26" x14ac:dyDescent="0.25">
      <c r="A634" s="61">
        <v>41871</v>
      </c>
      <c r="B634" s="185">
        <v>3.835</v>
      </c>
      <c r="C634" s="2" t="s">
        <v>34</v>
      </c>
      <c r="D634" s="2">
        <v>1150</v>
      </c>
      <c r="E634" s="2">
        <v>467</v>
      </c>
      <c r="F634" s="185">
        <v>43</v>
      </c>
      <c r="G634" s="185">
        <v>24</v>
      </c>
      <c r="I634" s="10">
        <v>41871</v>
      </c>
      <c r="J634" s="27">
        <f t="shared" ref="J634:J647" si="152">(1+(B634-Q634)/Q634)*100</f>
        <v>257.38255033557044</v>
      </c>
      <c r="K634" s="27">
        <f t="shared" si="150"/>
        <v>241.52157080952281</v>
      </c>
      <c r="L634" s="27">
        <f t="shared" si="150"/>
        <v>263.35384359222587</v>
      </c>
      <c r="M634" s="27">
        <f t="shared" si="151"/>
        <v>259.44444444444446</v>
      </c>
      <c r="N634" s="27">
        <f t="shared" si="151"/>
        <v>192.30769230769232</v>
      </c>
      <c r="O634" s="27">
        <f t="shared" si="151"/>
        <v>170.21276595744681</v>
      </c>
      <c r="Q634" s="4">
        <v>1.49</v>
      </c>
      <c r="R634" s="4">
        <v>1815.8525729999999</v>
      </c>
      <c r="S634" s="4">
        <v>2338.2847000000002</v>
      </c>
      <c r="T634" s="4">
        <v>180</v>
      </c>
      <c r="U634" s="4">
        <v>22.36</v>
      </c>
      <c r="V634" s="84">
        <v>14.1</v>
      </c>
      <c r="X634" s="61">
        <v>41871</v>
      </c>
      <c r="Y634" s="68">
        <v>4385.675657894737</v>
      </c>
      <c r="Z634" s="68">
        <v>5007.9626315789474</v>
      </c>
    </row>
    <row r="635" spans="1:26" x14ac:dyDescent="0.25">
      <c r="A635" s="61">
        <v>41878</v>
      </c>
      <c r="B635" s="186">
        <v>3.8210000000000002</v>
      </c>
      <c r="C635" s="2">
        <v>1000</v>
      </c>
      <c r="D635" s="2">
        <v>924</v>
      </c>
      <c r="E635" s="2">
        <v>469</v>
      </c>
      <c r="F635" s="186">
        <v>44</v>
      </c>
      <c r="G635" s="186">
        <v>24.5</v>
      </c>
      <c r="I635" s="10">
        <v>41878</v>
      </c>
      <c r="J635" s="27">
        <f t="shared" si="152"/>
        <v>256.44295302013427</v>
      </c>
      <c r="K635" s="27">
        <f t="shared" si="150"/>
        <v>296.59212085686966</v>
      </c>
      <c r="L635" s="27">
        <f t="shared" si="150"/>
        <v>253.68863900871213</v>
      </c>
      <c r="M635" s="27">
        <f t="shared" si="151"/>
        <v>260.55555555555554</v>
      </c>
      <c r="N635" s="27">
        <f t="shared" si="151"/>
        <v>196.77996422182468</v>
      </c>
      <c r="O635" s="27">
        <f t="shared" si="151"/>
        <v>173.75886524822698</v>
      </c>
      <c r="Q635" s="4">
        <v>1.49</v>
      </c>
      <c r="R635" s="4">
        <v>1815.8525729999999</v>
      </c>
      <c r="S635" s="4">
        <v>2338.2847000000002</v>
      </c>
      <c r="T635" s="4">
        <v>180</v>
      </c>
      <c r="U635" s="4">
        <v>22.36</v>
      </c>
      <c r="V635" s="84">
        <v>14.1</v>
      </c>
      <c r="X635" s="61">
        <v>41878</v>
      </c>
      <c r="Y635" s="68">
        <v>4385.675657894737</v>
      </c>
      <c r="Z635" s="68">
        <v>5007.9626315789474</v>
      </c>
    </row>
    <row r="636" spans="1:26" x14ac:dyDescent="0.25">
      <c r="A636" s="61">
        <v>41885</v>
      </c>
      <c r="B636" s="187">
        <v>3.8140000000000001</v>
      </c>
      <c r="C636" s="2">
        <v>600</v>
      </c>
      <c r="D636" s="2">
        <v>1118</v>
      </c>
      <c r="E636" s="2">
        <v>596</v>
      </c>
      <c r="F636" s="187">
        <v>46</v>
      </c>
      <c r="G636" s="187">
        <v>26</v>
      </c>
      <c r="I636" s="10">
        <v>41885</v>
      </c>
      <c r="J636" s="27">
        <f t="shared" si="152"/>
        <v>255.9731543624161</v>
      </c>
      <c r="K636" s="27">
        <f t="shared" si="150"/>
        <v>274.34002021206345</v>
      </c>
      <c r="L636" s="27">
        <f t="shared" si="150"/>
        <v>261.44108294876429</v>
      </c>
      <c r="M636" s="27">
        <f t="shared" si="151"/>
        <v>331.11111111111109</v>
      </c>
      <c r="N636" s="27">
        <f t="shared" si="151"/>
        <v>205.72450805008947</v>
      </c>
      <c r="O636" s="27">
        <f t="shared" si="151"/>
        <v>184.39716312056737</v>
      </c>
      <c r="Q636" s="4">
        <v>1.49</v>
      </c>
      <c r="R636" s="4">
        <v>1815.8525729999999</v>
      </c>
      <c r="S636" s="4">
        <v>2338.2847000000002</v>
      </c>
      <c r="T636" s="4">
        <v>180</v>
      </c>
      <c r="U636" s="4">
        <v>22.36</v>
      </c>
      <c r="V636" s="4">
        <v>14.1</v>
      </c>
      <c r="X636" s="61">
        <v>41885</v>
      </c>
      <c r="Y636" s="68">
        <v>4381.610315789474</v>
      </c>
      <c r="Z636" s="68">
        <v>4995.2368421052643</v>
      </c>
    </row>
    <row r="637" spans="1:26" x14ac:dyDescent="0.25">
      <c r="A637" s="61">
        <v>41892</v>
      </c>
      <c r="B637" s="188">
        <v>3.8140000000000001</v>
      </c>
      <c r="C637" s="2">
        <v>1033</v>
      </c>
      <c r="D637" s="2">
        <v>1142.5</v>
      </c>
      <c r="E637" s="2">
        <v>667</v>
      </c>
      <c r="F637" s="188">
        <v>46.5</v>
      </c>
      <c r="G637" s="188">
        <v>26</v>
      </c>
      <c r="I637" s="10">
        <v>41892</v>
      </c>
      <c r="J637" s="27">
        <f t="shared" si="152"/>
        <v>255.9731543624161</v>
      </c>
      <c r="K637" s="27">
        <f t="shared" si="150"/>
        <v>298.18556838256461</v>
      </c>
      <c r="L637" s="27">
        <f t="shared" si="150"/>
        <v>262.48885955184431</v>
      </c>
      <c r="M637" s="27">
        <f t="shared" si="151"/>
        <v>370.55555555555554</v>
      </c>
      <c r="N637" s="27">
        <f t="shared" si="151"/>
        <v>207.96064400715562</v>
      </c>
      <c r="O637" s="27">
        <f t="shared" si="151"/>
        <v>184.39716312056737</v>
      </c>
      <c r="Q637" s="4">
        <v>1.49</v>
      </c>
      <c r="R637" s="4">
        <v>1815.8525729999999</v>
      </c>
      <c r="S637" s="4">
        <v>2338.2847000000002</v>
      </c>
      <c r="T637" s="4">
        <v>180</v>
      </c>
      <c r="U637" s="4">
        <v>22.36</v>
      </c>
      <c r="V637" s="4">
        <v>14.1</v>
      </c>
      <c r="X637" s="61">
        <v>41892</v>
      </c>
      <c r="Y637" s="68">
        <v>4381.610315789474</v>
      </c>
      <c r="Z637" s="68">
        <v>4995.2368421052643</v>
      </c>
    </row>
    <row r="638" spans="1:26" x14ac:dyDescent="0.25">
      <c r="A638" s="61">
        <v>41899</v>
      </c>
      <c r="B638" s="189">
        <v>3.8010000000000002</v>
      </c>
      <c r="C638" s="2">
        <v>0</v>
      </c>
      <c r="D638" s="2">
        <v>3000</v>
      </c>
      <c r="E638" s="2">
        <v>633</v>
      </c>
      <c r="F638" s="190">
        <v>46.5</v>
      </c>
      <c r="G638" s="189">
        <v>26</v>
      </c>
      <c r="I638" s="10">
        <v>41899</v>
      </c>
      <c r="J638" s="27">
        <f t="shared" si="152"/>
        <v>255.1006711409396</v>
      </c>
      <c r="K638" s="27">
        <f t="shared" ref="K638:L647" si="153">(C638+Y638)/R638*100</f>
        <v>241.29769018365533</v>
      </c>
      <c r="L638" s="27">
        <f t="shared" si="153"/>
        <v>341.9274326220953</v>
      </c>
      <c r="M638" s="27">
        <f t="shared" si="151"/>
        <v>351.66666666666669</v>
      </c>
      <c r="N638" s="27">
        <f t="shared" si="151"/>
        <v>207.96064400715562</v>
      </c>
      <c r="O638" s="27">
        <f t="shared" si="151"/>
        <v>184.39716312056737</v>
      </c>
      <c r="Q638" s="4">
        <v>1.49</v>
      </c>
      <c r="R638" s="4">
        <v>1815.8525729999999</v>
      </c>
      <c r="S638" s="4">
        <v>2338.2847000000002</v>
      </c>
      <c r="T638" s="4">
        <v>180</v>
      </c>
      <c r="U638" s="4">
        <v>22.36</v>
      </c>
      <c r="V638" s="4">
        <v>14.1</v>
      </c>
      <c r="X638" s="61">
        <v>41899</v>
      </c>
      <c r="Y638" s="68">
        <v>4381.610315789474</v>
      </c>
      <c r="Z638" s="68">
        <v>4995.2368421052643</v>
      </c>
    </row>
    <row r="639" spans="1:26" x14ac:dyDescent="0.25">
      <c r="A639" s="61">
        <v>41906</v>
      </c>
      <c r="B639" s="19">
        <v>3.778</v>
      </c>
      <c r="C639" s="2">
        <v>0</v>
      </c>
      <c r="D639" s="2">
        <v>3425</v>
      </c>
      <c r="E639" s="2">
        <v>825</v>
      </c>
      <c r="F639" s="19">
        <v>45.5</v>
      </c>
      <c r="G639" s="19">
        <v>25.5</v>
      </c>
      <c r="I639" s="10">
        <v>41906</v>
      </c>
      <c r="J639" s="27">
        <f t="shared" si="152"/>
        <v>253.55704697986576</v>
      </c>
      <c r="K639" s="27">
        <f t="shared" si="153"/>
        <v>241.29769018365533</v>
      </c>
      <c r="L639" s="27">
        <f t="shared" si="153"/>
        <v>360.10314920613655</v>
      </c>
      <c r="M639" s="27">
        <f t="shared" si="151"/>
        <v>458.33333333333337</v>
      </c>
      <c r="N639" s="27">
        <f t="shared" si="151"/>
        <v>203.48837209302326</v>
      </c>
      <c r="O639" s="27">
        <f t="shared" si="151"/>
        <v>180.85106382978725</v>
      </c>
      <c r="Q639" s="4">
        <v>1.49</v>
      </c>
      <c r="R639" s="4">
        <v>1815.8525729999999</v>
      </c>
      <c r="S639" s="4">
        <v>2338.2847000000002</v>
      </c>
      <c r="T639" s="4">
        <v>180</v>
      </c>
      <c r="U639" s="4">
        <v>22.36</v>
      </c>
      <c r="V639" s="4">
        <v>14.1</v>
      </c>
      <c r="X639" s="61">
        <v>41906</v>
      </c>
      <c r="Y639" s="68">
        <v>4381.610315789474</v>
      </c>
      <c r="Z639" s="68">
        <v>4995.2368421052643</v>
      </c>
    </row>
    <row r="640" spans="1:26" x14ac:dyDescent="0.25">
      <c r="A640" s="61">
        <v>41913</v>
      </c>
      <c r="B640" s="191">
        <v>3.7549999999999999</v>
      </c>
      <c r="C640" s="2">
        <v>3000</v>
      </c>
      <c r="D640" s="2">
        <v>4625</v>
      </c>
      <c r="E640" s="2">
        <v>1067</v>
      </c>
      <c r="F640" s="191">
        <v>46</v>
      </c>
      <c r="G640" s="191">
        <v>25.5</v>
      </c>
      <c r="I640" s="10">
        <v>41913</v>
      </c>
      <c r="J640" s="27">
        <f t="shared" si="152"/>
        <v>252.01342281879192</v>
      </c>
      <c r="K640" s="27">
        <f t="shared" si="153"/>
        <v>410.78713080142364</v>
      </c>
      <c r="L640" s="27">
        <f t="shared" si="153"/>
        <v>413.16874625863005</v>
      </c>
      <c r="M640" s="27">
        <f t="shared" ref="M640:O647" si="154">(1+(E640-T639)/T639)*100</f>
        <v>592.77777777777783</v>
      </c>
      <c r="N640" s="27">
        <f t="shared" si="154"/>
        <v>205.72450805008947</v>
      </c>
      <c r="O640" s="27">
        <f t="shared" si="154"/>
        <v>180.85106382978725</v>
      </c>
      <c r="Q640" s="4">
        <v>1.49</v>
      </c>
      <c r="R640" s="4">
        <v>1815.8525729999999</v>
      </c>
      <c r="S640" s="4">
        <v>2338.2847000000002</v>
      </c>
      <c r="T640" s="4">
        <v>180</v>
      </c>
      <c r="U640" s="4">
        <v>22.36</v>
      </c>
      <c r="V640" s="4">
        <v>14.1</v>
      </c>
      <c r="X640" s="61">
        <v>41913</v>
      </c>
      <c r="Y640" s="68">
        <v>4459.2886842105263</v>
      </c>
      <c r="Z640" s="68">
        <v>5036.0615789473686</v>
      </c>
    </row>
    <row r="641" spans="1:26" x14ac:dyDescent="0.25">
      <c r="A641" s="61">
        <v>41920</v>
      </c>
      <c r="B641" s="19">
        <v>3.7330000000000001</v>
      </c>
      <c r="C641" s="2">
        <v>2625</v>
      </c>
      <c r="D641" s="2">
        <v>4000</v>
      </c>
      <c r="E641" s="2">
        <v>892</v>
      </c>
      <c r="F641" s="19">
        <v>47</v>
      </c>
      <c r="G641" s="19">
        <v>24.5</v>
      </c>
      <c r="I641" s="10">
        <v>41920</v>
      </c>
      <c r="J641" s="27">
        <f t="shared" si="152"/>
        <v>250.53691275167785</v>
      </c>
      <c r="K641" s="27">
        <f t="shared" si="153"/>
        <v>390.13567453366858</v>
      </c>
      <c r="L641" s="27">
        <f t="shared" si="153"/>
        <v>386.43975128209871</v>
      </c>
      <c r="M641" s="27">
        <f t="shared" si="154"/>
        <v>495.55555555555554</v>
      </c>
      <c r="N641" s="27">
        <f t="shared" si="154"/>
        <v>210.19677996422183</v>
      </c>
      <c r="O641" s="27">
        <f t="shared" si="154"/>
        <v>173.75886524822698</v>
      </c>
      <c r="Q641" s="4">
        <v>1.49</v>
      </c>
      <c r="R641" s="4">
        <v>1815.8525729999999</v>
      </c>
      <c r="S641" s="4">
        <v>2338.2847000000002</v>
      </c>
      <c r="T641" s="4">
        <v>180</v>
      </c>
      <c r="U641" s="4">
        <v>22.36</v>
      </c>
      <c r="V641" s="4">
        <v>14.1</v>
      </c>
      <c r="X641" s="61">
        <v>41913</v>
      </c>
      <c r="Y641" s="68">
        <v>4459.2886842105263</v>
      </c>
      <c r="Z641" s="68">
        <v>5036.0615789473686</v>
      </c>
    </row>
    <row r="642" spans="1:26" x14ac:dyDescent="0.25">
      <c r="A642" s="61">
        <v>41927</v>
      </c>
      <c r="B642" s="192">
        <v>3.698</v>
      </c>
      <c r="C642" s="2" t="s">
        <v>34</v>
      </c>
      <c r="D642" s="2">
        <v>4187.5</v>
      </c>
      <c r="E642" s="2">
        <v>833</v>
      </c>
      <c r="F642" s="192">
        <v>46</v>
      </c>
      <c r="G642" s="192">
        <v>25</v>
      </c>
      <c r="I642" s="10">
        <v>41927</v>
      </c>
      <c r="J642" s="27">
        <f t="shared" si="152"/>
        <v>248.18791946308724</v>
      </c>
      <c r="K642" s="27">
        <f t="shared" si="153"/>
        <v>245.57548065938315</v>
      </c>
      <c r="L642" s="27">
        <f t="shared" si="153"/>
        <v>394.45844977505811</v>
      </c>
      <c r="M642" s="27">
        <f t="shared" si="154"/>
        <v>462.77777777777783</v>
      </c>
      <c r="N642" s="27">
        <f t="shared" si="154"/>
        <v>205.72450805008947</v>
      </c>
      <c r="O642" s="27">
        <f t="shared" si="154"/>
        <v>177.3049645390071</v>
      </c>
      <c r="Q642" s="4">
        <v>1.49</v>
      </c>
      <c r="R642" s="4">
        <v>1815.8525729999999</v>
      </c>
      <c r="S642" s="4">
        <v>2338.2847000000002</v>
      </c>
      <c r="T642" s="4">
        <v>180</v>
      </c>
      <c r="U642" s="4">
        <v>22.36</v>
      </c>
      <c r="V642" s="4">
        <v>14.1</v>
      </c>
      <c r="X642" s="61">
        <v>41927</v>
      </c>
      <c r="Y642" s="68">
        <v>4459.2886842105263</v>
      </c>
      <c r="Z642" s="68">
        <v>5036.0615789473686</v>
      </c>
    </row>
    <row r="643" spans="1:26" x14ac:dyDescent="0.25">
      <c r="A643" s="61">
        <v>41934</v>
      </c>
      <c r="B643" s="193">
        <v>3.6560000000000001</v>
      </c>
      <c r="C643" s="2">
        <v>2150</v>
      </c>
      <c r="D643" s="2">
        <v>2173</v>
      </c>
      <c r="E643" s="2">
        <v>873</v>
      </c>
      <c r="F643" s="193">
        <v>45.5</v>
      </c>
      <c r="G643" s="193">
        <v>24.5</v>
      </c>
      <c r="I643" s="10">
        <v>41934</v>
      </c>
      <c r="J643" s="27">
        <f t="shared" si="152"/>
        <v>245.36912751677855</v>
      </c>
      <c r="K643" s="27">
        <f t="shared" si="153"/>
        <v>363.97716326117882</v>
      </c>
      <c r="L643" s="27">
        <f t="shared" si="153"/>
        <v>308.3055531667024</v>
      </c>
      <c r="M643" s="27">
        <f t="shared" si="154"/>
        <v>484.99999999999994</v>
      </c>
      <c r="N643" s="27">
        <f t="shared" si="154"/>
        <v>203.48837209302326</v>
      </c>
      <c r="O643" s="27">
        <f t="shared" si="154"/>
        <v>173.75886524822698</v>
      </c>
      <c r="Q643" s="4">
        <v>1.49</v>
      </c>
      <c r="R643" s="4">
        <v>1815.8525729999999</v>
      </c>
      <c r="S643" s="4">
        <v>2338.2847000000002</v>
      </c>
      <c r="T643" s="4">
        <v>180</v>
      </c>
      <c r="U643" s="4">
        <v>22.36</v>
      </c>
      <c r="V643" s="4">
        <v>14.1</v>
      </c>
      <c r="X643" s="61">
        <v>41934</v>
      </c>
      <c r="Y643" s="68">
        <v>4459.2886842105263</v>
      </c>
      <c r="Z643" s="68">
        <v>5036.0615789473686</v>
      </c>
    </row>
    <row r="644" spans="1:26" x14ac:dyDescent="0.25">
      <c r="A644" s="61">
        <v>41941</v>
      </c>
      <c r="B644" s="194">
        <v>3.6349999999999998</v>
      </c>
      <c r="C644" s="2">
        <v>800</v>
      </c>
      <c r="D644" s="2">
        <v>1891.5</v>
      </c>
      <c r="E644" s="2">
        <v>875</v>
      </c>
      <c r="F644" s="194">
        <v>46</v>
      </c>
      <c r="G644" s="194">
        <v>24.5</v>
      </c>
      <c r="I644" s="10">
        <v>41941</v>
      </c>
      <c r="J644" s="27">
        <f t="shared" si="152"/>
        <v>243.95973154362417</v>
      </c>
      <c r="K644" s="27">
        <f t="shared" si="153"/>
        <v>289.63192069726063</v>
      </c>
      <c r="L644" s="27">
        <f t="shared" si="153"/>
        <v>296.26681382927273</v>
      </c>
      <c r="M644" s="27">
        <f t="shared" si="154"/>
        <v>486.11111111111109</v>
      </c>
      <c r="N644" s="27">
        <f t="shared" si="154"/>
        <v>205.72450805008947</v>
      </c>
      <c r="O644" s="27">
        <f t="shared" si="154"/>
        <v>173.75886524822698</v>
      </c>
      <c r="Q644" s="4">
        <v>1.49</v>
      </c>
      <c r="R644" s="4">
        <v>1815.8525729999999</v>
      </c>
      <c r="S644" s="4">
        <v>2338.2847000000002</v>
      </c>
      <c r="T644" s="4">
        <v>180</v>
      </c>
      <c r="U644" s="4">
        <v>22.36</v>
      </c>
      <c r="V644" s="4">
        <v>14.1</v>
      </c>
      <c r="X644" s="61">
        <v>41941</v>
      </c>
      <c r="Y644" s="68">
        <v>4459.2886842105263</v>
      </c>
      <c r="Z644" s="68">
        <v>5036.0615789473686</v>
      </c>
    </row>
    <row r="645" spans="1:26" x14ac:dyDescent="0.25">
      <c r="A645" s="61">
        <v>41948</v>
      </c>
      <c r="B645" s="195">
        <v>3.6230000000000002</v>
      </c>
      <c r="C645" s="2">
        <v>1100</v>
      </c>
      <c r="D645" s="2">
        <v>975</v>
      </c>
      <c r="E645" s="2">
        <v>850</v>
      </c>
      <c r="F645" s="195">
        <v>46</v>
      </c>
      <c r="G645" s="195">
        <v>25.5</v>
      </c>
      <c r="I645" s="10">
        <v>41948</v>
      </c>
      <c r="J645" s="27">
        <f t="shared" si="152"/>
        <v>243.1543624161074</v>
      </c>
      <c r="K645" s="27">
        <f t="shared" si="153"/>
        <v>305.8107135510453</v>
      </c>
      <c r="L645" s="27">
        <f t="shared" si="153"/>
        <v>256.49505968379754</v>
      </c>
      <c r="M645" s="27">
        <f t="shared" si="154"/>
        <v>472.22222222222223</v>
      </c>
      <c r="N645" s="27">
        <f t="shared" si="154"/>
        <v>205.72450805008947</v>
      </c>
      <c r="O645" s="27">
        <f t="shared" si="154"/>
        <v>180.85106382978725</v>
      </c>
      <c r="Q645" s="4">
        <v>1.49</v>
      </c>
      <c r="R645" s="4">
        <v>1815.8525729999999</v>
      </c>
      <c r="S645" s="4">
        <v>2338.2847000000002</v>
      </c>
      <c r="T645" s="4">
        <v>180</v>
      </c>
      <c r="U645" s="4">
        <v>22.36</v>
      </c>
      <c r="V645" s="4">
        <v>14.1</v>
      </c>
      <c r="X645" s="61">
        <v>41948</v>
      </c>
      <c r="Y645" s="68">
        <v>4453.0717105263147</v>
      </c>
      <c r="Z645" s="68">
        <v>5022.5847368421055</v>
      </c>
    </row>
    <row r="646" spans="1:26" x14ac:dyDescent="0.25">
      <c r="A646" s="61">
        <v>41955</v>
      </c>
      <c r="B646" s="196">
        <v>3.677</v>
      </c>
      <c r="C646" s="2">
        <v>612.5</v>
      </c>
      <c r="D646" s="2">
        <v>381.5</v>
      </c>
      <c r="E646" s="2">
        <v>767</v>
      </c>
      <c r="F646" s="196">
        <v>45.5</v>
      </c>
      <c r="G646" s="196">
        <v>25</v>
      </c>
      <c r="I646" s="10">
        <v>41955</v>
      </c>
      <c r="J646" s="27">
        <f t="shared" si="152"/>
        <v>246.77852348993289</v>
      </c>
      <c r="K646" s="27">
        <f t="shared" si="153"/>
        <v>278.96382040296368</v>
      </c>
      <c r="L646" s="27">
        <f t="shared" si="153"/>
        <v>231.11320605408338</v>
      </c>
      <c r="M646" s="27">
        <f t="shared" si="154"/>
        <v>426.11111111111109</v>
      </c>
      <c r="N646" s="27">
        <f t="shared" si="154"/>
        <v>203.48837209302326</v>
      </c>
      <c r="O646" s="27">
        <f t="shared" si="154"/>
        <v>177.3049645390071</v>
      </c>
      <c r="Q646" s="4">
        <v>1.49</v>
      </c>
      <c r="R646" s="4">
        <v>1815.8525729999999</v>
      </c>
      <c r="S646" s="4">
        <v>2338.2847000000002</v>
      </c>
      <c r="T646" s="4">
        <v>180</v>
      </c>
      <c r="U646" s="4">
        <v>22.36</v>
      </c>
      <c r="V646" s="4">
        <v>14.1</v>
      </c>
      <c r="X646" s="61">
        <v>41955</v>
      </c>
      <c r="Y646" s="68">
        <v>4453.0717105263147</v>
      </c>
      <c r="Z646" s="68">
        <v>5022.5847368421055</v>
      </c>
    </row>
    <row r="647" spans="1:26" x14ac:dyDescent="0.25">
      <c r="A647" s="61">
        <v>41962</v>
      </c>
      <c r="B647" s="197">
        <v>3.661</v>
      </c>
      <c r="C647" s="2">
        <v>550</v>
      </c>
      <c r="D647" s="2">
        <v>100</v>
      </c>
      <c r="E647" s="2">
        <v>669</v>
      </c>
      <c r="F647" s="197">
        <v>44.75</v>
      </c>
      <c r="G647" s="197">
        <v>24.5</v>
      </c>
      <c r="I647" s="10">
        <v>41962</v>
      </c>
      <c r="J647" s="27">
        <f t="shared" si="152"/>
        <v>245.70469798657717</v>
      </c>
      <c r="K647" s="27">
        <f t="shared" si="153"/>
        <v>275.5219110250045</v>
      </c>
      <c r="L647" s="27">
        <f t="shared" si="153"/>
        <v>219.07446671665366</v>
      </c>
      <c r="M647" s="27">
        <f t="shared" si="154"/>
        <v>371.66666666666669</v>
      </c>
      <c r="N647" s="27">
        <f t="shared" si="154"/>
        <v>200.13416815742397</v>
      </c>
      <c r="O647" s="27">
        <f t="shared" si="154"/>
        <v>173.75886524822698</v>
      </c>
      <c r="Q647" s="4">
        <v>1.49</v>
      </c>
      <c r="R647" s="4">
        <v>1815.8525729999999</v>
      </c>
      <c r="S647" s="4">
        <v>2338.2847000000002</v>
      </c>
      <c r="T647" s="4">
        <v>180</v>
      </c>
      <c r="U647" s="4">
        <v>22.36</v>
      </c>
      <c r="V647" s="4">
        <v>14.1</v>
      </c>
      <c r="X647" s="61">
        <v>41962</v>
      </c>
      <c r="Y647" s="68">
        <v>4453.0717105263147</v>
      </c>
      <c r="Z647" s="68">
        <v>5022.5847368421055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"/>
  <cols>
    <col min="1" max="1" width="2.88671875" customWidth="1"/>
    <col min="2" max="2" width="20.77734375" customWidth="1"/>
    <col min="3" max="8" width="10.77734375" customWidth="1"/>
    <col min="9" max="9" width="12.21875" customWidth="1"/>
    <col min="10" max="10" width="2.554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">
      <c r="A3" s="47"/>
      <c r="B3" s="40"/>
      <c r="C3" s="41" t="s">
        <v>16</v>
      </c>
      <c r="D3" s="202" t="s">
        <v>11</v>
      </c>
      <c r="E3" s="202"/>
      <c r="F3" s="41" t="s">
        <v>17</v>
      </c>
      <c r="G3" s="42" t="s">
        <v>6</v>
      </c>
      <c r="H3" s="42"/>
      <c r="I3" s="22"/>
      <c r="J3" s="47"/>
    </row>
    <row r="4" spans="1:10" x14ac:dyDescent="0.2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">
      <c r="A5" s="47"/>
      <c r="B5" s="36">
        <f>Data!A4</f>
        <v>41962</v>
      </c>
      <c r="C5" s="51">
        <f>Data!B4</f>
        <v>245.70469798657717</v>
      </c>
      <c r="D5" s="51">
        <f>Data!C4</f>
        <v>275.5219110250045</v>
      </c>
      <c r="E5" s="51">
        <f>Data!D4</f>
        <v>219.07446671665366</v>
      </c>
      <c r="F5" s="51">
        <f>Data!E4</f>
        <v>371.66666666666669</v>
      </c>
      <c r="G5" s="51">
        <f>Data!F4</f>
        <v>200.13416815742397</v>
      </c>
      <c r="H5" s="51">
        <f>Data!G4</f>
        <v>173.75886524822698</v>
      </c>
      <c r="I5" s="22"/>
      <c r="J5" s="47"/>
    </row>
    <row r="6" spans="1:10" ht="9" customHeight="1" x14ac:dyDescent="0.2">
      <c r="A6" s="47"/>
      <c r="B6" s="25"/>
      <c r="C6" s="26">
        <f>Data!B5</f>
        <v>-4.351373402230083E-3</v>
      </c>
      <c r="D6" s="26">
        <f>Data!C5</f>
        <v>-0.10204081632653061</v>
      </c>
      <c r="E6" s="26"/>
      <c r="F6" s="26">
        <f>Data!E5</f>
        <v>-0.12777053455019557</v>
      </c>
      <c r="G6" s="26">
        <f>Data!F5</f>
        <v>-1.6483516483516484E-2</v>
      </c>
      <c r="H6" s="26">
        <f>Data!G5</f>
        <v>-0.02</v>
      </c>
      <c r="I6" s="22"/>
      <c r="J6" s="47"/>
    </row>
    <row r="7" spans="1:10" ht="12" customHeight="1" x14ac:dyDescent="0.2">
      <c r="A7" s="47"/>
      <c r="B7" s="49">
        <f>Data!A646</f>
        <v>41955</v>
      </c>
      <c r="C7" s="50">
        <f>Data!J646</f>
        <v>246.77852348993289</v>
      </c>
      <c r="D7" s="50">
        <f>Data!K646</f>
        <v>278.96382040296368</v>
      </c>
      <c r="E7" s="50">
        <f>Data!L646</f>
        <v>231.11320605408338</v>
      </c>
      <c r="F7" s="50">
        <f>Data!M646</f>
        <v>426.11111111111109</v>
      </c>
      <c r="G7" s="50">
        <f>Data!N646</f>
        <v>203.48837209302326</v>
      </c>
      <c r="H7" s="50">
        <f>Data!O646</f>
        <v>177.3049645390071</v>
      </c>
      <c r="I7" s="22"/>
      <c r="J7" s="47"/>
    </row>
    <row r="8" spans="1:10" x14ac:dyDescent="0.2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">
      <c r="A10" s="47"/>
      <c r="B10" s="201"/>
      <c r="C10" s="201"/>
      <c r="D10" s="201"/>
      <c r="E10" s="201"/>
      <c r="F10" s="201"/>
      <c r="G10" s="201"/>
      <c r="H10" s="201"/>
      <c r="I10" s="22"/>
      <c r="J10" s="47"/>
    </row>
    <row r="11" spans="1:10" ht="9.75" customHeight="1" x14ac:dyDescent="0.2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Olowolayemo, Surajudeen - AMS</cp:lastModifiedBy>
  <cp:lastPrinted>2010-12-15T17:27:58Z</cp:lastPrinted>
  <dcterms:created xsi:type="dcterms:W3CDTF">2003-11-24T15:34:41Z</dcterms:created>
  <dcterms:modified xsi:type="dcterms:W3CDTF">2014-11-19T12:36:44Z</dcterms:modified>
</cp:coreProperties>
</file>