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225" windowWidth="14940" windowHeight="7365" firstSheet="10" activeTab="15"/>
  </bookViews>
  <sheets>
    <sheet name="Population" sheetId="3" r:id="rId1"/>
    <sheet name="Population FNs" sheetId="8" r:id="rId2"/>
    <sheet name="Age" sheetId="1" r:id="rId3"/>
    <sheet name="Age FNs" sheetId="9" r:id="rId4"/>
    <sheet name="race" sheetId="4" r:id="rId5"/>
    <sheet name="Race FNs" sheetId="10" r:id="rId6"/>
    <sheet name="Households" sheetId="2" r:id="rId7"/>
    <sheet name="Household FNs" sheetId="12" r:id="rId8"/>
    <sheet name="Families" sheetId="11" r:id="rId9"/>
    <sheet name="Family Footnotes" sheetId="13" r:id="rId10"/>
    <sheet name="housing" sheetId="5" r:id="rId11"/>
    <sheet name="Housing FNs" sheetId="14" r:id="rId12"/>
    <sheet name="income" sheetId="6" r:id="rId13"/>
    <sheet name="Income FNs" sheetId="15" r:id="rId14"/>
    <sheet name="Poverty" sheetId="7" r:id="rId15"/>
    <sheet name="Poverty FNs" sheetId="16" r:id="rId16"/>
  </sheets>
  <calcPr calcId="125725"/>
</workbook>
</file>

<file path=xl/calcChain.xml><?xml version="1.0" encoding="utf-8"?>
<calcChain xmlns="http://schemas.openxmlformats.org/spreadsheetml/2006/main">
  <c r="I3" i="6"/>
  <c r="I4"/>
  <c r="I5"/>
  <c r="I6"/>
  <c r="I7"/>
  <c r="I8"/>
  <c r="I9"/>
  <c r="I10"/>
  <c r="I11"/>
  <c r="I12"/>
  <c r="I13"/>
  <c r="I14"/>
  <c r="I15"/>
  <c r="I16"/>
  <c r="I17"/>
  <c r="I18"/>
  <c r="I19"/>
  <c r="I20"/>
  <c r="I21"/>
  <c r="I22"/>
  <c r="I23"/>
  <c r="I24"/>
  <c r="I25"/>
  <c r="I26"/>
  <c r="I27"/>
  <c r="I28"/>
  <c r="I29"/>
  <c r="I30"/>
  <c r="I31"/>
  <c r="I32"/>
  <c r="I2"/>
</calcChain>
</file>

<file path=xl/sharedStrings.xml><?xml version="1.0" encoding="utf-8"?>
<sst xmlns="http://schemas.openxmlformats.org/spreadsheetml/2006/main" count="109" uniqueCount="88">
  <si>
    <t>Under 5</t>
  </si>
  <si>
    <t>5 to 17</t>
  </si>
  <si>
    <t>18 to 24</t>
  </si>
  <si>
    <t>25 to 34</t>
  </si>
  <si>
    <t>35 to 44</t>
  </si>
  <si>
    <t>45 to 54</t>
  </si>
  <si>
    <t>55 to 64</t>
  </si>
  <si>
    <t>65 to 74</t>
  </si>
  <si>
    <t>75 to 84</t>
  </si>
  <si>
    <t>Citywide</t>
  </si>
  <si>
    <t>Source: U. S. Census, SF 1 Data File, 2000.</t>
  </si>
  <si>
    <t>Tract Number</t>
  </si>
  <si>
    <t>Average Household Size</t>
  </si>
  <si>
    <t>All Other Families</t>
  </si>
  <si>
    <t>Single Person Living Alone Under 65</t>
  </si>
  <si>
    <t>Single Person Living Alone 65 &amp; Older</t>
  </si>
  <si>
    <t>Roommates</t>
  </si>
  <si>
    <t>Total Population</t>
  </si>
  <si>
    <t>3. Hispanic status is independent of race and reflects whether a respondent has origins in either Spain or the Spanish speaking countries of the western hemisphere. The later include Mexico, Cuba and the Dominican Republic, as well as all Spanish speaking countries located in Central America and South America.</t>
  </si>
  <si>
    <t>Occupied</t>
  </si>
  <si>
    <t>Source: U. S. Census, STF 1 Data File, 1990; SF1 Data File, 2000; PL94-171 Data File, General Profile of Population and Housing Characteristics, 2010.</t>
  </si>
  <si>
    <t>Census Tract</t>
  </si>
  <si>
    <t>Per Capita Income</t>
  </si>
  <si>
    <t>1.  The median divides the income distribution into two equal parts: one-half of the cases falling below the median income and one-half above the median. For households and families, the median income is based on the distribution of the total number of households and families including those with no income.  Mean income is the amount obtained by dividing the aggregate income of a particular statistical universe by the number of units in that universe. Thus, mean household income is obtained by dividing total household income by the total number of households.  Income figures are based on figures reported for the last full calendar year prior to the 2000 U. S. Census.</t>
  </si>
  <si>
    <t>Source: U. S. Census, Massachusetts SF 3 Data File, 2000.</t>
  </si>
  <si>
    <t>Source: U. S. Census Bureau, Massachusetts SF 3 Data File, 2000.</t>
  </si>
  <si>
    <t>Household Population(1)</t>
  </si>
  <si>
    <t>Group Quarters Population(2)</t>
  </si>
  <si>
    <t>Population per Acre</t>
  </si>
  <si>
    <t>Housing Units</t>
  </si>
  <si>
    <t>Housing Units Per Acre</t>
  </si>
  <si>
    <t>85+</t>
  </si>
  <si>
    <t>Units per Acre</t>
  </si>
  <si>
    <t xml:space="preserve">1. The household population includes all of the people who occupy a housing unit. A housing unit is a house, an apartment, a mobile home, a group of rooms, or a single room occupied (or if vacant, intended for occupancy) as separate living quarters. Separate living quarters are those in which the occupants live separately from any other people in the building and that have direct access from the outside of the building or through a common hall. The occupants may be a single family, one person living alone, two or more families living together, or any other group of related or unrelated people who share living quarters. </t>
  </si>
  <si>
    <t>2. The group quarters population includes all people not living in households. A group quarters is a place where people live or stay, in a group living arrangement, that is owned or managed by an entity or organization providing housing and/or services for the residents. Two general categories of people in group quarters are recognized: (1) the institutionalized population and (2) the noninstitutionalized population, including College Dormitories.</t>
  </si>
  <si>
    <t>65+</t>
  </si>
  <si>
    <t>White(1)</t>
  </si>
  <si>
    <t>All Others(2)</t>
  </si>
  <si>
    <t>Hispanic(3)</t>
  </si>
  <si>
    <t>Asian/Pacific Islander(1)</t>
  </si>
  <si>
    <t>Black(1)</t>
  </si>
  <si>
    <t xml:space="preserve">1. Includes persons who selected a single racial category when answering the 2010 Census. </t>
  </si>
  <si>
    <t xml:space="preserve">2. Includes persons who selected only the Native American or Alaskan Native category, persons who selected only the "Other" racial category, and persons who selected two or more racial categories. </t>
  </si>
  <si>
    <t>HHs w/ Children as % All HHs(5)</t>
  </si>
  <si>
    <t>All Households(1)</t>
  </si>
  <si>
    <t>All Families(2)</t>
  </si>
  <si>
    <t>All Non-Family Households(3)</t>
  </si>
  <si>
    <t>Unmarried Couples(4)</t>
  </si>
  <si>
    <t>1. A household includes all of the people who occupy a housing unit. A housing unit is a house, an apartment, a mobile home, a group of rooms, or a single room occupied (or if vacant, intended for occupancy) as separate living quarters. Separate living quarters are those in which the occupants live separately from any other people in the building and that have direct access from the outside of the building or through a common hall. The occupants may be a single family, one person living alone, two or more families living together, or any other group of related or unrelated people who share living quarters. </t>
  </si>
  <si>
    <t>2. A family includes a householder and one or more other people living in the same household who are related to the householder by birth, marriage, or adoption. All people in a household who are related to the householder are regarded as members of his or her family.</t>
  </si>
  <si>
    <t>3. Nonfamily households consist of a single person living alone or two or more persons occupying a housing unit who are not related by birth, marriage or adoption.</t>
  </si>
  <si>
    <t>4. Unmarried couples include a person who is not related to the householder, who shares living quarters, and who has a close personal relationship with the householder.  Unmarried couples can be of the opposite sex or the same sex.</t>
  </si>
  <si>
    <t>5. Multiply figure by 100 for percentage.</t>
  </si>
  <si>
    <t>Average Family Size</t>
  </si>
  <si>
    <t>All Families(1)</t>
  </si>
  <si>
    <t>Married Couples w/ Own Children(2)</t>
  </si>
  <si>
    <t>Single Parent Households w/ Own Children(2)</t>
  </si>
  <si>
    <t>Married Couples -  w/o Own Children(2)</t>
  </si>
  <si>
    <t>1.  A family household includes a householder and one or more other people living in the same household who are related to the householder by birth, marriage or adoption. Nonfamily households consist of a single person living alone or two or more persons occupying a housing unit who are not related by birth, marriage or adoption.</t>
  </si>
  <si>
    <t>2.  Note that these figures refer to households including children who are related by birth, a stepchild, or an adoped child of the householder.  Other family and non-family households may include children as members of the household.</t>
  </si>
  <si>
    <t>3.  Unmarried couples include a person who is not related to the householder, who shares living quarters, and who has a close personal relationship with the householder.  Unmarried couples can be of the opposite sex or the same sex.</t>
  </si>
  <si>
    <t>4. Multiply figure by 100 for pecentage.</t>
  </si>
  <si>
    <t>All Non-Family HHs(3)</t>
  </si>
  <si>
    <t>HHs w/ Children as % All HHs(4)</t>
  </si>
  <si>
    <t>Renter Occupied</t>
  </si>
  <si>
    <t>Owner Occupied</t>
  </si>
  <si>
    <t>Vacant(2)</t>
  </si>
  <si>
    <t>Vacancy Rate(1)</t>
  </si>
  <si>
    <t>Owner Occupancy Rate(1)</t>
  </si>
  <si>
    <t>Renter Occupancy Rate(1)</t>
  </si>
  <si>
    <t>1. Multiply byb100 for percentage</t>
  </si>
  <si>
    <t>2. Vacant units include those for sale or rent, under contract for occupancy, or subject to intermittent or seasonal use.</t>
  </si>
  <si>
    <t>HH Median Income(1)</t>
  </si>
  <si>
    <t>As % City HH Median(2)</t>
  </si>
  <si>
    <t>Average Household Income(1)</t>
  </si>
  <si>
    <t>Family Median Income(1,3)</t>
  </si>
  <si>
    <t>As % City Family Median(2)</t>
  </si>
  <si>
    <t>Average Family Income(1)</t>
  </si>
  <si>
    <t>As % City Per Capita Income(2,4)</t>
  </si>
  <si>
    <t>2. Multiply by 100 for percentage.</t>
  </si>
  <si>
    <t>3. A family household includes a householder and one or more other people living in the same household who are related to the householder by birth, marriage or adoption.</t>
  </si>
  <si>
    <t>4. Per capita income represents the average income of all residents, regardless of household or group quarters status.</t>
  </si>
  <si>
    <t>1. The Census Bureau uses the federal government’s official poverty definition. The poverty thresholds are revised annually to allow for changes in the cost of living as reflected in the Consumer Price Index (CPI-U). The poverty thresholds are the same for all parts of the country — they are not adjusted for regional, state or local variations in the cost of living. Poverty status is only determined for persons living in households; group quarters residents, such as those who live in dormitories, are not evaluated for poverty status.</t>
  </si>
  <si>
    <t>Total Persons in Poverty(1)</t>
  </si>
  <si>
    <t>Poverty Rate(2)</t>
  </si>
  <si>
    <t>&lt;18 Poverty Rate(2)</t>
  </si>
  <si>
    <t>Adults 18 to 64 Poverty Rate(2)</t>
  </si>
  <si>
    <t>65 and Older Poverty Rate(2)</t>
  </si>
</sst>
</file>

<file path=xl/styles.xml><?xml version="1.0" encoding="utf-8"?>
<styleSheet xmlns="http://schemas.openxmlformats.org/spreadsheetml/2006/main">
  <numFmts count="4">
    <numFmt numFmtId="6" formatCode="&quot;$&quot;#,##0_);[Red]\(&quot;$&quot;#,##0\)"/>
    <numFmt numFmtId="164" formatCode="0.0%"/>
    <numFmt numFmtId="170" formatCode="#,##0.000"/>
    <numFmt numFmtId="171" formatCode="0.000"/>
  </numFmts>
  <fonts count="10">
    <font>
      <sz val="10"/>
      <color theme="1"/>
      <name val="Arial"/>
      <family val="2"/>
    </font>
    <font>
      <sz val="10"/>
      <color theme="1"/>
      <name val="Arial"/>
      <family val="2"/>
    </font>
    <font>
      <b/>
      <sz val="8"/>
      <color theme="1"/>
      <name val="Arial"/>
      <family val="2"/>
    </font>
    <font>
      <b/>
      <sz val="8"/>
      <color indexed="8"/>
      <name val="Arial"/>
      <family val="2"/>
    </font>
    <font>
      <sz val="8"/>
      <color theme="1"/>
      <name val="Arial Unicode MS"/>
      <family val="2"/>
    </font>
    <font>
      <sz val="8"/>
      <color theme="1"/>
      <name val="Arial"/>
      <family val="2"/>
    </font>
    <font>
      <b/>
      <sz val="8"/>
      <color theme="1"/>
      <name val="Arial Unicode MS"/>
      <family val="2"/>
    </font>
    <font>
      <sz val="10"/>
      <color indexed="8"/>
      <name val="Arial"/>
    </font>
    <font>
      <sz val="8"/>
      <color indexed="8"/>
      <name val="Arial"/>
      <charset val="186"/>
    </font>
    <font>
      <sz val="8"/>
      <color indexed="8"/>
      <name val="Arial"/>
      <family val="2"/>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5">
    <xf numFmtId="0" fontId="0" fillId="0" borderId="0"/>
    <xf numFmtId="9" fontId="1" fillId="0" borderId="0" applyFont="0" applyFill="0" applyBorder="0" applyAlignment="0" applyProtection="0"/>
    <xf numFmtId="0" fontId="1" fillId="0" borderId="0"/>
    <xf numFmtId="0" fontId="7" fillId="0" borderId="0"/>
    <xf numFmtId="0" fontId="7" fillId="0" borderId="0"/>
  </cellStyleXfs>
  <cellXfs count="41">
    <xf numFmtId="0" fontId="0" fillId="0" borderId="0" xfId="0"/>
    <xf numFmtId="49" fontId="3" fillId="0" borderId="0" xfId="0" applyNumberFormat="1" applyFont="1" applyFill="1" applyBorder="1" applyAlignment="1">
      <alignment horizontal="center"/>
    </xf>
    <xf numFmtId="0" fontId="4" fillId="0" borderId="0" xfId="0" applyFont="1" applyAlignment="1">
      <alignment wrapText="1"/>
    </xf>
    <xf numFmtId="3" fontId="4" fillId="0" borderId="0" xfId="0" applyNumberFormat="1" applyFont="1" applyAlignment="1">
      <alignment wrapText="1"/>
    </xf>
    <xf numFmtId="0" fontId="5" fillId="0" borderId="0" xfId="0" applyFont="1"/>
    <xf numFmtId="0" fontId="3" fillId="0" borderId="0" xfId="0" applyFont="1" applyBorder="1"/>
    <xf numFmtId="0" fontId="4" fillId="0" borderId="0" xfId="0" applyFont="1" applyBorder="1" applyAlignment="1">
      <alignment wrapText="1"/>
    </xf>
    <xf numFmtId="3" fontId="4" fillId="0" borderId="0" xfId="0" applyNumberFormat="1" applyFont="1" applyBorder="1" applyAlignment="1">
      <alignment wrapText="1"/>
    </xf>
    <xf numFmtId="0" fontId="5" fillId="0" borderId="0" xfId="0" applyFont="1" applyBorder="1"/>
    <xf numFmtId="49" fontId="2" fillId="0" borderId="0" xfId="2" applyNumberFormat="1" applyFont="1" applyBorder="1" applyAlignment="1">
      <alignment horizontal="center" wrapText="1"/>
    </xf>
    <xf numFmtId="49" fontId="4" fillId="0" borderId="0" xfId="0" applyNumberFormat="1" applyFont="1" applyBorder="1" applyAlignment="1">
      <alignment wrapText="1"/>
    </xf>
    <xf numFmtId="49" fontId="5" fillId="0" borderId="0" xfId="0" applyNumberFormat="1" applyFont="1" applyBorder="1"/>
    <xf numFmtId="0" fontId="5" fillId="0" borderId="0" xfId="0" applyFont="1" applyAlignment="1">
      <alignment wrapText="1"/>
    </xf>
    <xf numFmtId="3" fontId="5" fillId="0" borderId="0" xfId="0" applyNumberFormat="1"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horizontal="left" wrapText="1"/>
    </xf>
    <xf numFmtId="0" fontId="6" fillId="0" borderId="0" xfId="0" applyFont="1" applyAlignment="1">
      <alignment horizontal="center" wrapText="1"/>
    </xf>
    <xf numFmtId="0" fontId="5" fillId="0" borderId="0" xfId="0" applyFont="1" applyAlignment="1"/>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xf numFmtId="49" fontId="2" fillId="0" borderId="0" xfId="0" applyNumberFormat="1" applyFont="1" applyAlignment="1">
      <alignment horizontal="center" wrapText="1"/>
    </xf>
    <xf numFmtId="49" fontId="5" fillId="0" borderId="0" xfId="0" applyNumberFormat="1" applyFont="1" applyAlignment="1">
      <alignment wrapText="1"/>
    </xf>
    <xf numFmtId="49" fontId="5" fillId="0" borderId="0" xfId="0" applyNumberFormat="1" applyFont="1"/>
    <xf numFmtId="164" fontId="5" fillId="0" borderId="0" xfId="1" applyNumberFormat="1" applyFont="1" applyAlignment="1">
      <alignment wrapText="1"/>
    </xf>
    <xf numFmtId="0" fontId="5" fillId="0" borderId="0" xfId="0" applyFont="1" applyAlignment="1">
      <alignment horizontal="center" wrapText="1"/>
    </xf>
    <xf numFmtId="0" fontId="5" fillId="0" borderId="0" xfId="2" applyFont="1" applyAlignment="1">
      <alignment wrapText="1"/>
    </xf>
    <xf numFmtId="0" fontId="5" fillId="0" borderId="0" xfId="2" applyFont="1"/>
    <xf numFmtId="0" fontId="7" fillId="0" borderId="0" xfId="3"/>
    <xf numFmtId="2" fontId="2" fillId="0" borderId="0" xfId="0" applyNumberFormat="1" applyFont="1" applyAlignment="1">
      <alignment horizontal="center" wrapText="1"/>
    </xf>
    <xf numFmtId="2" fontId="8" fillId="0" borderId="1" xfId="4" applyNumberFormat="1" applyFont="1" applyFill="1" applyBorder="1" applyAlignment="1">
      <alignment horizontal="right" wrapText="1"/>
    </xf>
    <xf numFmtId="2" fontId="5" fillId="0" borderId="0" xfId="0" applyNumberFormat="1" applyFont="1" applyAlignment="1">
      <alignment wrapText="1"/>
    </xf>
    <xf numFmtId="2" fontId="5" fillId="0" borderId="0" xfId="0" applyNumberFormat="1" applyFont="1"/>
    <xf numFmtId="170" fontId="5" fillId="0" borderId="0" xfId="0" applyNumberFormat="1" applyFont="1" applyAlignment="1">
      <alignment wrapText="1"/>
    </xf>
    <xf numFmtId="171" fontId="5" fillId="0" borderId="0" xfId="0" applyNumberFormat="1" applyFont="1" applyAlignment="1">
      <alignment wrapText="1"/>
    </xf>
    <xf numFmtId="171" fontId="5" fillId="0" borderId="0" xfId="1" applyNumberFormat="1" applyFont="1"/>
    <xf numFmtId="0" fontId="9" fillId="0" borderId="0" xfId="0" applyFont="1" applyAlignment="1">
      <alignment horizontal="left"/>
    </xf>
    <xf numFmtId="6" fontId="5" fillId="0" borderId="0" xfId="0" applyNumberFormat="1" applyFont="1" applyAlignment="1">
      <alignment wrapText="1"/>
    </xf>
    <xf numFmtId="9" fontId="5" fillId="0" borderId="0" xfId="0" applyNumberFormat="1" applyFont="1" applyAlignment="1">
      <alignment wrapText="1"/>
    </xf>
    <xf numFmtId="9" fontId="5" fillId="0" borderId="0" xfId="0" applyNumberFormat="1" applyFont="1"/>
  </cellXfs>
  <cellStyles count="5">
    <cellStyle name="Normal" xfId="0" builtinId="0"/>
    <cellStyle name="Normal 2" xfId="2"/>
    <cellStyle name="Normal 3" xfId="3"/>
    <cellStyle name="Normal_Families" xfId="4"/>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32"/>
  <sheetViews>
    <sheetView workbookViewId="0">
      <selection activeCell="I2" sqref="I2"/>
    </sheetView>
  </sheetViews>
  <sheetFormatPr defaultRowHeight="11.25"/>
  <cols>
    <col min="1" max="1" width="9.140625" style="11"/>
    <col min="2" max="2" width="16.140625" style="8" customWidth="1"/>
    <col min="3" max="3" width="20.42578125" style="8" bestFit="1" customWidth="1"/>
    <col min="4" max="4" width="24.42578125" style="8" bestFit="1" customWidth="1"/>
    <col min="5" max="5" width="16.7109375" style="8" bestFit="1" customWidth="1"/>
    <col min="6" max="6" width="11.85546875" style="8" bestFit="1" customWidth="1"/>
    <col min="7" max="7" width="19.42578125" style="8" bestFit="1" customWidth="1"/>
    <col min="8" max="16384" width="9.140625" style="8"/>
  </cols>
  <sheetData>
    <row r="1" spans="1:7" s="5" customFormat="1" ht="22.5">
      <c r="A1" s="9" t="s">
        <v>11</v>
      </c>
      <c r="B1" s="1" t="s">
        <v>17</v>
      </c>
      <c r="C1" s="1" t="s">
        <v>26</v>
      </c>
      <c r="D1" s="1" t="s">
        <v>27</v>
      </c>
      <c r="E1" s="1" t="s">
        <v>28</v>
      </c>
      <c r="F1" s="1" t="s">
        <v>29</v>
      </c>
      <c r="G1" s="1" t="s">
        <v>30</v>
      </c>
    </row>
    <row r="2" spans="1:7" ht="12.75">
      <c r="A2" s="10">
        <v>3521</v>
      </c>
      <c r="B2" s="7">
        <v>3042</v>
      </c>
      <c r="C2" s="7">
        <v>2761</v>
      </c>
      <c r="D2" s="6">
        <v>281</v>
      </c>
      <c r="E2" s="6">
        <v>15.3</v>
      </c>
      <c r="F2" s="7">
        <v>1814</v>
      </c>
      <c r="G2" s="7">
        <v>9</v>
      </c>
    </row>
    <row r="3" spans="1:7" ht="12.75">
      <c r="A3" s="10">
        <v>3522</v>
      </c>
      <c r="B3" s="7">
        <v>2021</v>
      </c>
      <c r="C3" s="7">
        <v>2019</v>
      </c>
      <c r="D3" s="6">
        <v>2</v>
      </c>
      <c r="E3" s="6">
        <v>52.8</v>
      </c>
      <c r="F3" s="7">
        <v>1134</v>
      </c>
      <c r="G3" s="7">
        <v>30</v>
      </c>
    </row>
    <row r="4" spans="1:7" ht="12.75">
      <c r="A4" s="10">
        <v>3523</v>
      </c>
      <c r="B4" s="7">
        <v>2229</v>
      </c>
      <c r="C4" s="7">
        <v>2229</v>
      </c>
      <c r="D4" s="6">
        <v>0</v>
      </c>
      <c r="E4" s="6">
        <v>15.1</v>
      </c>
      <c r="F4" s="7">
        <v>1113</v>
      </c>
      <c r="G4" s="7">
        <v>8</v>
      </c>
    </row>
    <row r="5" spans="1:7" ht="12.75">
      <c r="A5" s="10">
        <v>3524</v>
      </c>
      <c r="B5" s="7">
        <v>1942</v>
      </c>
      <c r="C5" s="7">
        <v>1942</v>
      </c>
      <c r="D5" s="6">
        <v>0</v>
      </c>
      <c r="E5" s="6">
        <v>17.399999999999999</v>
      </c>
      <c r="F5" s="7">
        <v>715</v>
      </c>
      <c r="G5" s="7">
        <v>6</v>
      </c>
    </row>
    <row r="6" spans="1:7" ht="12.75">
      <c r="A6" s="10">
        <v>3525</v>
      </c>
      <c r="B6" s="7">
        <v>3312</v>
      </c>
      <c r="C6" s="7">
        <v>3266</v>
      </c>
      <c r="D6" s="6">
        <v>46</v>
      </c>
      <c r="E6" s="6">
        <v>64.900000000000006</v>
      </c>
      <c r="F6" s="7">
        <v>1334</v>
      </c>
      <c r="G6" s="7">
        <v>26</v>
      </c>
    </row>
    <row r="7" spans="1:7" ht="12.75">
      <c r="A7" s="10">
        <v>3526</v>
      </c>
      <c r="B7" s="7">
        <v>2652</v>
      </c>
      <c r="C7" s="7">
        <v>2652</v>
      </c>
      <c r="D7" s="6">
        <v>0</v>
      </c>
      <c r="E7" s="6">
        <v>44.2</v>
      </c>
      <c r="F7" s="7">
        <v>1111</v>
      </c>
      <c r="G7" s="7">
        <v>19</v>
      </c>
    </row>
    <row r="8" spans="1:7" ht="12.75">
      <c r="A8" s="10">
        <v>3527</v>
      </c>
      <c r="B8" s="7">
        <v>2407</v>
      </c>
      <c r="C8" s="7">
        <v>2403</v>
      </c>
      <c r="D8" s="6">
        <v>4</v>
      </c>
      <c r="E8" s="6">
        <v>63.3</v>
      </c>
      <c r="F8" s="7">
        <v>1095</v>
      </c>
      <c r="G8" s="7">
        <v>29</v>
      </c>
    </row>
    <row r="9" spans="1:7" ht="12.75">
      <c r="A9" s="10">
        <v>3528</v>
      </c>
      <c r="B9" s="7">
        <v>2385</v>
      </c>
      <c r="C9" s="7">
        <v>2382</v>
      </c>
      <c r="D9" s="6">
        <v>3</v>
      </c>
      <c r="E9" s="6">
        <v>59.5</v>
      </c>
      <c r="F9" s="7">
        <v>974</v>
      </c>
      <c r="G9" s="7">
        <v>24</v>
      </c>
    </row>
    <row r="10" spans="1:7" ht="12.75">
      <c r="A10" s="10">
        <v>3529</v>
      </c>
      <c r="B10" s="7">
        <v>2553</v>
      </c>
      <c r="C10" s="7">
        <v>2546</v>
      </c>
      <c r="D10" s="6">
        <v>7</v>
      </c>
      <c r="E10" s="6">
        <v>35.9</v>
      </c>
      <c r="F10" s="7">
        <v>1367</v>
      </c>
      <c r="G10" s="7">
        <v>19</v>
      </c>
    </row>
    <row r="11" spans="1:7" ht="12.75">
      <c r="A11" s="10">
        <v>3530</v>
      </c>
      <c r="B11" s="7">
        <v>3706</v>
      </c>
      <c r="C11" s="7">
        <v>3462</v>
      </c>
      <c r="D11" s="6">
        <v>244</v>
      </c>
      <c r="E11" s="6">
        <v>45</v>
      </c>
      <c r="F11" s="7">
        <v>1915</v>
      </c>
      <c r="G11" s="7">
        <v>23</v>
      </c>
    </row>
    <row r="12" spans="1:7" ht="12.75">
      <c r="A12" s="10">
        <v>3531</v>
      </c>
      <c r="B12" s="7">
        <v>8064</v>
      </c>
      <c r="C12" s="7">
        <v>3532</v>
      </c>
      <c r="D12" s="7">
        <v>4532</v>
      </c>
      <c r="E12" s="6">
        <v>24.8</v>
      </c>
      <c r="F12" s="7">
        <v>1603</v>
      </c>
      <c r="G12" s="7">
        <v>5</v>
      </c>
    </row>
    <row r="13" spans="1:7" ht="12.75">
      <c r="A13" s="10">
        <v>3532</v>
      </c>
      <c r="B13" s="7">
        <v>3143</v>
      </c>
      <c r="C13" s="7">
        <v>3008</v>
      </c>
      <c r="D13" s="6">
        <v>135</v>
      </c>
      <c r="E13" s="6">
        <v>24.4</v>
      </c>
      <c r="F13" s="7">
        <v>1501</v>
      </c>
      <c r="G13" s="7">
        <v>12</v>
      </c>
    </row>
    <row r="14" spans="1:7" ht="12.75">
      <c r="A14" s="10">
        <v>3533</v>
      </c>
      <c r="B14" s="7">
        <v>3636</v>
      </c>
      <c r="C14" s="7">
        <v>3617</v>
      </c>
      <c r="D14" s="6">
        <v>19</v>
      </c>
      <c r="E14" s="6">
        <v>31.1</v>
      </c>
      <c r="F14" s="7">
        <v>1819</v>
      </c>
      <c r="G14" s="7">
        <v>16</v>
      </c>
    </row>
    <row r="15" spans="1:7" ht="12.75">
      <c r="A15" s="10">
        <v>3534</v>
      </c>
      <c r="B15" s="7">
        <v>2430</v>
      </c>
      <c r="C15" s="7">
        <v>2427</v>
      </c>
      <c r="D15" s="6">
        <v>3</v>
      </c>
      <c r="E15" s="6">
        <v>33.1</v>
      </c>
      <c r="F15" s="7">
        <v>1072</v>
      </c>
      <c r="G15" s="7">
        <v>15</v>
      </c>
    </row>
    <row r="16" spans="1:7" ht="12.75">
      <c r="A16" s="10">
        <v>3535</v>
      </c>
      <c r="B16" s="7">
        <v>2599</v>
      </c>
      <c r="C16" s="7">
        <v>2599</v>
      </c>
      <c r="D16" s="6">
        <v>0</v>
      </c>
      <c r="E16" s="6">
        <v>49.7</v>
      </c>
      <c r="F16" s="7">
        <v>1322</v>
      </c>
      <c r="G16" s="7">
        <v>25</v>
      </c>
    </row>
    <row r="17" spans="1:7" ht="12.75">
      <c r="A17" s="10">
        <v>3536</v>
      </c>
      <c r="B17" s="7">
        <v>4742</v>
      </c>
      <c r="C17" s="7">
        <v>3170</v>
      </c>
      <c r="D17" s="7">
        <v>1572</v>
      </c>
      <c r="E17" s="6">
        <v>26.4</v>
      </c>
      <c r="F17" s="7">
        <v>1757</v>
      </c>
      <c r="G17" s="7">
        <v>10</v>
      </c>
    </row>
    <row r="18" spans="1:7" ht="12.75">
      <c r="A18" s="10">
        <v>3537</v>
      </c>
      <c r="B18" s="7">
        <v>5246</v>
      </c>
      <c r="C18" s="7">
        <v>3041</v>
      </c>
      <c r="D18" s="7">
        <v>2205</v>
      </c>
      <c r="E18" s="6">
        <v>38.5</v>
      </c>
      <c r="F18" s="7">
        <v>1977</v>
      </c>
      <c r="G18" s="7">
        <v>15</v>
      </c>
    </row>
    <row r="19" spans="1:7" ht="12.75">
      <c r="A19" s="10">
        <v>3538</v>
      </c>
      <c r="B19" s="7">
        <v>4636</v>
      </c>
      <c r="C19" s="7">
        <v>4546</v>
      </c>
      <c r="D19" s="6">
        <v>90</v>
      </c>
      <c r="E19" s="6">
        <v>62.9</v>
      </c>
      <c r="F19" s="7">
        <v>2926</v>
      </c>
      <c r="G19" s="7">
        <v>40</v>
      </c>
    </row>
    <row r="20" spans="1:7" ht="12.75">
      <c r="A20" s="10">
        <v>3539</v>
      </c>
      <c r="B20" s="7">
        <v>5923</v>
      </c>
      <c r="C20" s="7">
        <v>2341</v>
      </c>
      <c r="D20" s="7">
        <v>3582</v>
      </c>
      <c r="E20" s="6">
        <v>71.2</v>
      </c>
      <c r="F20" s="7">
        <v>1285</v>
      </c>
      <c r="G20" s="7">
        <v>15</v>
      </c>
    </row>
    <row r="21" spans="1:7" ht="12.75">
      <c r="A21" s="10">
        <v>3540</v>
      </c>
      <c r="B21" s="7">
        <v>4649</v>
      </c>
      <c r="C21" s="7">
        <v>3235</v>
      </c>
      <c r="D21" s="7">
        <v>1414</v>
      </c>
      <c r="E21" s="6">
        <v>38.5</v>
      </c>
      <c r="F21" s="7">
        <v>2163</v>
      </c>
      <c r="G21" s="7">
        <v>18</v>
      </c>
    </row>
    <row r="22" spans="1:7" ht="12.75">
      <c r="A22" s="10">
        <v>3541</v>
      </c>
      <c r="B22" s="7">
        <v>2704</v>
      </c>
      <c r="C22" s="7">
        <v>2595</v>
      </c>
      <c r="D22" s="6">
        <v>109</v>
      </c>
      <c r="E22" s="6">
        <v>17.899999999999999</v>
      </c>
      <c r="F22" s="7">
        <v>1723</v>
      </c>
      <c r="G22" s="7">
        <v>11</v>
      </c>
    </row>
    <row r="23" spans="1:7" ht="12.75">
      <c r="A23" s="10">
        <v>3542</v>
      </c>
      <c r="B23" s="7">
        <v>3063</v>
      </c>
      <c r="C23" s="7">
        <v>3027</v>
      </c>
      <c r="D23" s="6">
        <v>36</v>
      </c>
      <c r="E23" s="6">
        <v>7.9</v>
      </c>
      <c r="F23" s="7">
        <v>1489</v>
      </c>
      <c r="G23" s="7">
        <v>4</v>
      </c>
    </row>
    <row r="24" spans="1:7" ht="12.75">
      <c r="A24" s="10">
        <v>3543</v>
      </c>
      <c r="B24" s="7">
        <v>3266</v>
      </c>
      <c r="C24" s="7">
        <v>3179</v>
      </c>
      <c r="D24" s="6">
        <v>87</v>
      </c>
      <c r="E24" s="6">
        <v>10.9</v>
      </c>
      <c r="F24" s="7">
        <v>1545</v>
      </c>
      <c r="G24" s="7">
        <v>5</v>
      </c>
    </row>
    <row r="25" spans="1:7" ht="12.75">
      <c r="A25" s="10">
        <v>3544</v>
      </c>
      <c r="B25" s="7">
        <v>1714</v>
      </c>
      <c r="C25" s="7">
        <v>1711</v>
      </c>
      <c r="D25" s="6">
        <v>3</v>
      </c>
      <c r="E25" s="6">
        <v>23.6</v>
      </c>
      <c r="F25" s="7">
        <v>841</v>
      </c>
      <c r="G25" s="7">
        <v>12</v>
      </c>
    </row>
    <row r="26" spans="1:7" ht="12.75">
      <c r="A26" s="10">
        <v>3545</v>
      </c>
      <c r="B26" s="7">
        <v>2405</v>
      </c>
      <c r="C26" s="7">
        <v>2388</v>
      </c>
      <c r="D26" s="6">
        <v>17</v>
      </c>
      <c r="E26" s="6">
        <v>24.6</v>
      </c>
      <c r="F26" s="7">
        <v>1334</v>
      </c>
      <c r="G26" s="7">
        <v>14</v>
      </c>
    </row>
    <row r="27" spans="1:7" ht="12.75">
      <c r="A27" s="10">
        <v>3546</v>
      </c>
      <c r="B27" s="7">
        <v>4409</v>
      </c>
      <c r="C27" s="7">
        <v>4312</v>
      </c>
      <c r="D27" s="6">
        <v>97</v>
      </c>
      <c r="E27" s="6">
        <v>11.9</v>
      </c>
      <c r="F27" s="7">
        <v>2073</v>
      </c>
      <c r="G27" s="7">
        <v>6</v>
      </c>
    </row>
    <row r="28" spans="1:7" ht="12.75">
      <c r="A28" s="10">
        <v>3547</v>
      </c>
      <c r="B28" s="7">
        <v>2481</v>
      </c>
      <c r="C28" s="7">
        <v>2474</v>
      </c>
      <c r="D28" s="6">
        <v>7</v>
      </c>
      <c r="E28" s="6">
        <v>27.5</v>
      </c>
      <c r="F28" s="7">
        <v>1241</v>
      </c>
      <c r="G28" s="7">
        <v>14</v>
      </c>
    </row>
    <row r="29" spans="1:7" ht="12.75">
      <c r="A29" s="10">
        <v>3548</v>
      </c>
      <c r="B29" s="7">
        <v>2049</v>
      </c>
      <c r="C29" s="7">
        <v>2039</v>
      </c>
      <c r="D29" s="6">
        <v>10</v>
      </c>
      <c r="E29" s="6">
        <v>25.1</v>
      </c>
      <c r="F29" s="7">
        <v>1016</v>
      </c>
      <c r="G29" s="7">
        <v>13</v>
      </c>
    </row>
    <row r="30" spans="1:7" ht="12.75">
      <c r="A30" s="10">
        <v>3549</v>
      </c>
      <c r="B30" s="7">
        <v>5235</v>
      </c>
      <c r="C30" s="7">
        <v>5212</v>
      </c>
      <c r="D30" s="6">
        <v>23</v>
      </c>
      <c r="E30" s="6">
        <v>16.600000000000001</v>
      </c>
      <c r="F30" s="7">
        <v>2110</v>
      </c>
      <c r="G30" s="7">
        <v>7</v>
      </c>
    </row>
    <row r="31" spans="1:7" ht="12.75">
      <c r="A31" s="10">
        <v>3550</v>
      </c>
      <c r="B31" s="7">
        <v>2712</v>
      </c>
      <c r="C31" s="7">
        <v>2577</v>
      </c>
      <c r="D31" s="6">
        <v>135</v>
      </c>
      <c r="E31" s="6">
        <v>23.1</v>
      </c>
      <c r="F31" s="7">
        <v>1356</v>
      </c>
      <c r="G31" s="7">
        <v>12</v>
      </c>
    </row>
    <row r="32" spans="1:7" ht="12.75">
      <c r="A32" s="10" t="s">
        <v>9</v>
      </c>
      <c r="B32" s="7">
        <v>101355</v>
      </c>
      <c r="C32" s="7">
        <v>86692</v>
      </c>
      <c r="D32" s="7">
        <v>14663</v>
      </c>
      <c r="E32" s="6">
        <v>24.6</v>
      </c>
      <c r="F32" s="7">
        <v>44725</v>
      </c>
      <c r="G32" s="7">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4"/>
  <sheetViews>
    <sheetView workbookViewId="0">
      <selection activeCell="D11" sqref="D11"/>
    </sheetView>
  </sheetViews>
  <sheetFormatPr defaultRowHeight="11.25"/>
  <cols>
    <col min="1" max="4" width="9.140625" style="4"/>
    <col min="5" max="5" width="27.7109375" style="4" customWidth="1"/>
    <col min="6" max="16384" width="9.140625" style="4"/>
  </cols>
  <sheetData>
    <row r="1" spans="1:7" ht="67.5" customHeight="1">
      <c r="A1" s="16" t="s">
        <v>33</v>
      </c>
      <c r="B1" s="16"/>
      <c r="C1" s="16"/>
      <c r="D1" s="16"/>
      <c r="E1" s="16"/>
      <c r="F1" s="16"/>
      <c r="G1" s="16"/>
    </row>
    <row r="2" spans="1:7" ht="46.5" customHeight="1">
      <c r="A2" s="16" t="s">
        <v>34</v>
      </c>
      <c r="B2" s="16"/>
      <c r="C2" s="16"/>
      <c r="D2" s="16"/>
      <c r="E2" s="16"/>
      <c r="F2" s="16"/>
      <c r="G2" s="16"/>
    </row>
    <row r="3" spans="1:7">
      <c r="A3" s="14"/>
      <c r="B3" s="14"/>
      <c r="C3" s="14"/>
      <c r="D3" s="14"/>
      <c r="E3" s="14"/>
    </row>
    <row r="4" spans="1:7" ht="15" customHeight="1">
      <c r="A4" s="14" t="s">
        <v>10</v>
      </c>
      <c r="B4" s="14"/>
      <c r="C4" s="14"/>
      <c r="D4" s="14"/>
      <c r="E4" s="14"/>
    </row>
  </sheetData>
  <mergeCells count="4">
    <mergeCell ref="A4:E4"/>
    <mergeCell ref="A3:E3"/>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2"/>
  <sheetViews>
    <sheetView topLeftCell="A5" workbookViewId="0">
      <selection activeCell="M32" sqref="M32"/>
    </sheetView>
  </sheetViews>
  <sheetFormatPr defaultRowHeight="11.25"/>
  <cols>
    <col min="1" max="1" width="9.140625" style="11"/>
    <col min="2" max="2" width="10" style="4" customWidth="1"/>
    <col min="3" max="16384" width="9.140625" style="4"/>
  </cols>
  <sheetData>
    <row r="1" spans="1:13" s="19" customFormat="1" ht="25.5">
      <c r="A1" s="9" t="s">
        <v>11</v>
      </c>
      <c r="B1" s="17" t="s">
        <v>17</v>
      </c>
      <c r="C1" s="17" t="s">
        <v>0</v>
      </c>
      <c r="D1" s="17" t="s">
        <v>1</v>
      </c>
      <c r="E1" s="17" t="s">
        <v>2</v>
      </c>
      <c r="F1" s="17" t="s">
        <v>3</v>
      </c>
      <c r="G1" s="17" t="s">
        <v>4</v>
      </c>
      <c r="H1" s="17" t="s">
        <v>5</v>
      </c>
      <c r="I1" s="17" t="s">
        <v>6</v>
      </c>
      <c r="J1" s="17" t="s">
        <v>7</v>
      </c>
      <c r="K1" s="17" t="s">
        <v>8</v>
      </c>
      <c r="L1" s="17" t="s">
        <v>31</v>
      </c>
      <c r="M1" s="19" t="s">
        <v>35</v>
      </c>
    </row>
    <row r="2" spans="1:13" ht="12.75">
      <c r="A2" s="10">
        <v>3521</v>
      </c>
      <c r="B2" s="3">
        <v>3042</v>
      </c>
      <c r="C2" s="2">
        <v>69</v>
      </c>
      <c r="D2" s="2">
        <v>151</v>
      </c>
      <c r="E2" s="2">
        <v>572</v>
      </c>
      <c r="F2" s="2">
        <v>807</v>
      </c>
      <c r="G2" s="2">
        <v>505</v>
      </c>
      <c r="H2" s="2">
        <v>365</v>
      </c>
      <c r="I2" s="2">
        <v>226</v>
      </c>
      <c r="J2" s="2">
        <v>175</v>
      </c>
      <c r="K2" s="2">
        <v>140</v>
      </c>
      <c r="L2" s="2">
        <v>32</v>
      </c>
      <c r="M2" s="4">
        <v>347</v>
      </c>
    </row>
    <row r="3" spans="1:13" ht="12.75">
      <c r="A3" s="10">
        <v>3522</v>
      </c>
      <c r="B3" s="3">
        <v>2021</v>
      </c>
      <c r="C3" s="2">
        <v>74</v>
      </c>
      <c r="D3" s="2">
        <v>166</v>
      </c>
      <c r="E3" s="2">
        <v>193</v>
      </c>
      <c r="F3" s="2">
        <v>445</v>
      </c>
      <c r="G3" s="2">
        <v>288</v>
      </c>
      <c r="H3" s="2">
        <v>228</v>
      </c>
      <c r="I3" s="2">
        <v>168</v>
      </c>
      <c r="J3" s="2">
        <v>229</v>
      </c>
      <c r="K3" s="2">
        <v>180</v>
      </c>
      <c r="L3" s="2">
        <v>50</v>
      </c>
      <c r="M3" s="4">
        <v>459</v>
      </c>
    </row>
    <row r="4" spans="1:13" ht="12.75">
      <c r="A4" s="10">
        <v>3523</v>
      </c>
      <c r="B4" s="3">
        <v>2229</v>
      </c>
      <c r="C4" s="2">
        <v>105</v>
      </c>
      <c r="D4" s="2">
        <v>215</v>
      </c>
      <c r="E4" s="2">
        <v>323</v>
      </c>
      <c r="F4" s="2">
        <v>706</v>
      </c>
      <c r="G4" s="2">
        <v>346</v>
      </c>
      <c r="H4" s="2">
        <v>211</v>
      </c>
      <c r="I4" s="2">
        <v>109</v>
      </c>
      <c r="J4" s="2">
        <v>108</v>
      </c>
      <c r="K4" s="2">
        <v>89</v>
      </c>
      <c r="L4" s="2">
        <v>17</v>
      </c>
      <c r="M4" s="4">
        <v>214</v>
      </c>
    </row>
    <row r="5" spans="1:13" ht="12.75">
      <c r="A5" s="10">
        <v>3524</v>
      </c>
      <c r="B5" s="3">
        <v>1942</v>
      </c>
      <c r="C5" s="2">
        <v>153</v>
      </c>
      <c r="D5" s="2">
        <v>451</v>
      </c>
      <c r="E5" s="2">
        <v>251</v>
      </c>
      <c r="F5" s="2">
        <v>366</v>
      </c>
      <c r="G5" s="2">
        <v>309</v>
      </c>
      <c r="H5" s="2">
        <v>200</v>
      </c>
      <c r="I5" s="2">
        <v>126</v>
      </c>
      <c r="J5" s="2">
        <v>49</v>
      </c>
      <c r="K5" s="2">
        <v>29</v>
      </c>
      <c r="L5" s="2">
        <v>8</v>
      </c>
      <c r="M5" s="4">
        <v>86</v>
      </c>
    </row>
    <row r="6" spans="1:13" ht="12.75">
      <c r="A6" s="10">
        <v>3525</v>
      </c>
      <c r="B6" s="3">
        <v>3312</v>
      </c>
      <c r="C6" s="2">
        <v>158</v>
      </c>
      <c r="D6" s="2">
        <v>533</v>
      </c>
      <c r="E6" s="2">
        <v>527</v>
      </c>
      <c r="F6" s="2">
        <v>789</v>
      </c>
      <c r="G6" s="2">
        <v>515</v>
      </c>
      <c r="H6" s="2">
        <v>406</v>
      </c>
      <c r="I6" s="2">
        <v>171</v>
      </c>
      <c r="J6" s="2">
        <v>108</v>
      </c>
      <c r="K6" s="2">
        <v>82</v>
      </c>
      <c r="L6" s="2">
        <v>23</v>
      </c>
      <c r="M6" s="4">
        <v>213</v>
      </c>
    </row>
    <row r="7" spans="1:13" ht="12.75">
      <c r="A7" s="10">
        <v>3526</v>
      </c>
      <c r="B7" s="3">
        <v>2652</v>
      </c>
      <c r="C7" s="2">
        <v>120</v>
      </c>
      <c r="D7" s="2">
        <v>412</v>
      </c>
      <c r="E7" s="2">
        <v>358</v>
      </c>
      <c r="F7" s="2">
        <v>668</v>
      </c>
      <c r="G7" s="2">
        <v>392</v>
      </c>
      <c r="H7" s="2">
        <v>265</v>
      </c>
      <c r="I7" s="2">
        <v>158</v>
      </c>
      <c r="J7" s="2">
        <v>153</v>
      </c>
      <c r="K7" s="2">
        <v>107</v>
      </c>
      <c r="L7" s="2">
        <v>19</v>
      </c>
      <c r="M7" s="4">
        <v>279</v>
      </c>
    </row>
    <row r="8" spans="1:13" ht="12.75">
      <c r="A8" s="10">
        <v>3527</v>
      </c>
      <c r="B8" s="3">
        <v>2407</v>
      </c>
      <c r="C8" s="2">
        <v>137</v>
      </c>
      <c r="D8" s="2">
        <v>339</v>
      </c>
      <c r="E8" s="2">
        <v>305</v>
      </c>
      <c r="F8" s="2">
        <v>544</v>
      </c>
      <c r="G8" s="2">
        <v>359</v>
      </c>
      <c r="H8" s="2">
        <v>250</v>
      </c>
      <c r="I8" s="2">
        <v>162</v>
      </c>
      <c r="J8" s="2">
        <v>180</v>
      </c>
      <c r="K8" s="2">
        <v>92</v>
      </c>
      <c r="L8" s="2">
        <v>39</v>
      </c>
      <c r="M8" s="4">
        <v>311</v>
      </c>
    </row>
    <row r="9" spans="1:13" ht="12.75">
      <c r="A9" s="10">
        <v>3528</v>
      </c>
      <c r="B9" s="3">
        <v>2385</v>
      </c>
      <c r="C9" s="2">
        <v>89</v>
      </c>
      <c r="D9" s="2">
        <v>322</v>
      </c>
      <c r="E9" s="2">
        <v>315</v>
      </c>
      <c r="F9" s="2">
        <v>607</v>
      </c>
      <c r="G9" s="2">
        <v>405</v>
      </c>
      <c r="H9" s="2">
        <v>273</v>
      </c>
      <c r="I9" s="2">
        <v>160</v>
      </c>
      <c r="J9" s="2">
        <v>99</v>
      </c>
      <c r="K9" s="2">
        <v>90</v>
      </c>
      <c r="L9" s="2">
        <v>25</v>
      </c>
      <c r="M9" s="4">
        <v>214</v>
      </c>
    </row>
    <row r="10" spans="1:13" ht="12.75">
      <c r="A10" s="10">
        <v>3529</v>
      </c>
      <c r="B10" s="3">
        <v>2553</v>
      </c>
      <c r="C10" s="2">
        <v>113</v>
      </c>
      <c r="D10" s="2">
        <v>205</v>
      </c>
      <c r="E10" s="2">
        <v>199</v>
      </c>
      <c r="F10" s="2">
        <v>809</v>
      </c>
      <c r="G10" s="2">
        <v>404</v>
      </c>
      <c r="H10" s="2">
        <v>398</v>
      </c>
      <c r="I10" s="2">
        <v>211</v>
      </c>
      <c r="J10" s="2">
        <v>120</v>
      </c>
      <c r="K10" s="2">
        <v>75</v>
      </c>
      <c r="L10" s="2">
        <v>19</v>
      </c>
      <c r="M10" s="4">
        <v>214</v>
      </c>
    </row>
    <row r="11" spans="1:13" ht="12.75">
      <c r="A11" s="10">
        <v>3530</v>
      </c>
      <c r="B11" s="3">
        <v>3706</v>
      </c>
      <c r="C11" s="2">
        <v>152</v>
      </c>
      <c r="D11" s="2">
        <v>309</v>
      </c>
      <c r="E11" s="2">
        <v>430</v>
      </c>
      <c r="F11" s="3">
        <v>1078</v>
      </c>
      <c r="G11" s="2">
        <v>593</v>
      </c>
      <c r="H11" s="2">
        <v>472</v>
      </c>
      <c r="I11" s="2">
        <v>300</v>
      </c>
      <c r="J11" s="2">
        <v>205</v>
      </c>
      <c r="K11" s="2">
        <v>129</v>
      </c>
      <c r="L11" s="2">
        <v>38</v>
      </c>
      <c r="M11" s="4">
        <v>372</v>
      </c>
    </row>
    <row r="12" spans="1:13" ht="12.75">
      <c r="A12" s="10">
        <v>3531</v>
      </c>
      <c r="B12" s="3">
        <v>8064</v>
      </c>
      <c r="C12" s="2">
        <v>206</v>
      </c>
      <c r="D12" s="2">
        <v>327</v>
      </c>
      <c r="E12" s="3">
        <v>4699</v>
      </c>
      <c r="F12" s="3">
        <v>1933</v>
      </c>
      <c r="G12" s="2">
        <v>363</v>
      </c>
      <c r="H12" s="2">
        <v>229</v>
      </c>
      <c r="I12" s="2">
        <v>141</v>
      </c>
      <c r="J12" s="2">
        <v>84</v>
      </c>
      <c r="K12" s="2">
        <v>66</v>
      </c>
      <c r="L12" s="2">
        <v>16</v>
      </c>
      <c r="M12" s="4">
        <v>166</v>
      </c>
    </row>
    <row r="13" spans="1:13" ht="12.75">
      <c r="A13" s="10">
        <v>3532</v>
      </c>
      <c r="B13" s="3">
        <v>3143</v>
      </c>
      <c r="C13" s="2">
        <v>132</v>
      </c>
      <c r="D13" s="2">
        <v>334</v>
      </c>
      <c r="E13" s="2">
        <v>408</v>
      </c>
      <c r="F13" s="2">
        <v>862</v>
      </c>
      <c r="G13" s="2">
        <v>500</v>
      </c>
      <c r="H13" s="2">
        <v>389</v>
      </c>
      <c r="I13" s="2">
        <v>224</v>
      </c>
      <c r="J13" s="2">
        <v>151</v>
      </c>
      <c r="K13" s="2">
        <v>109</v>
      </c>
      <c r="L13" s="2">
        <v>34</v>
      </c>
      <c r="M13" s="4">
        <v>294</v>
      </c>
    </row>
    <row r="14" spans="1:13" ht="12.75">
      <c r="A14" s="10">
        <v>3533</v>
      </c>
      <c r="B14" s="3">
        <v>3636</v>
      </c>
      <c r="C14" s="2">
        <v>163</v>
      </c>
      <c r="D14" s="2">
        <v>378</v>
      </c>
      <c r="E14" s="2">
        <v>328</v>
      </c>
      <c r="F14" s="3">
        <v>1063</v>
      </c>
      <c r="G14" s="2">
        <v>614</v>
      </c>
      <c r="H14" s="2">
        <v>537</v>
      </c>
      <c r="I14" s="2">
        <v>277</v>
      </c>
      <c r="J14" s="2">
        <v>147</v>
      </c>
      <c r="K14" s="2">
        <v>90</v>
      </c>
      <c r="L14" s="2">
        <v>39</v>
      </c>
      <c r="M14" s="4">
        <v>276</v>
      </c>
    </row>
    <row r="15" spans="1:13" ht="12.75">
      <c r="A15" s="10">
        <v>3534</v>
      </c>
      <c r="B15" s="3">
        <v>2430</v>
      </c>
      <c r="C15" s="2">
        <v>153</v>
      </c>
      <c r="D15" s="2">
        <v>353</v>
      </c>
      <c r="E15" s="2">
        <v>307</v>
      </c>
      <c r="F15" s="2">
        <v>616</v>
      </c>
      <c r="G15" s="2">
        <v>403</v>
      </c>
      <c r="H15" s="2">
        <v>272</v>
      </c>
      <c r="I15" s="2">
        <v>176</v>
      </c>
      <c r="J15" s="2">
        <v>82</v>
      </c>
      <c r="K15" s="2">
        <v>51</v>
      </c>
      <c r="L15" s="2">
        <v>17</v>
      </c>
      <c r="M15" s="4">
        <v>150</v>
      </c>
    </row>
    <row r="16" spans="1:13" ht="12.75">
      <c r="A16" s="10">
        <v>3535</v>
      </c>
      <c r="B16" s="3">
        <v>2599</v>
      </c>
      <c r="C16" s="2">
        <v>126</v>
      </c>
      <c r="D16" s="2">
        <v>293</v>
      </c>
      <c r="E16" s="2">
        <v>338</v>
      </c>
      <c r="F16" s="2">
        <v>693</v>
      </c>
      <c r="G16" s="2">
        <v>382</v>
      </c>
      <c r="H16" s="2">
        <v>328</v>
      </c>
      <c r="I16" s="2">
        <v>189</v>
      </c>
      <c r="J16" s="2">
        <v>134</v>
      </c>
      <c r="K16" s="2">
        <v>92</v>
      </c>
      <c r="L16" s="2">
        <v>24</v>
      </c>
      <c r="M16" s="4">
        <v>250</v>
      </c>
    </row>
    <row r="17" spans="1:13" ht="12.75">
      <c r="A17" s="10">
        <v>3536</v>
      </c>
      <c r="B17" s="3">
        <v>4742</v>
      </c>
      <c r="C17" s="2">
        <v>112</v>
      </c>
      <c r="D17" s="2">
        <v>259</v>
      </c>
      <c r="E17" s="3">
        <v>1460</v>
      </c>
      <c r="F17" s="3">
        <v>1493</v>
      </c>
      <c r="G17" s="2">
        <v>476</v>
      </c>
      <c r="H17" s="2">
        <v>486</v>
      </c>
      <c r="I17" s="2">
        <v>267</v>
      </c>
      <c r="J17" s="2">
        <v>100</v>
      </c>
      <c r="K17" s="2">
        <v>62</v>
      </c>
      <c r="L17" s="2">
        <v>27</v>
      </c>
      <c r="M17" s="4">
        <v>189</v>
      </c>
    </row>
    <row r="18" spans="1:13" ht="12.75">
      <c r="A18" s="10">
        <v>3537</v>
      </c>
      <c r="B18" s="3">
        <v>5246</v>
      </c>
      <c r="C18" s="2">
        <v>88</v>
      </c>
      <c r="D18" s="2">
        <v>211</v>
      </c>
      <c r="E18" s="3">
        <v>2377</v>
      </c>
      <c r="F18" s="3">
        <v>1073</v>
      </c>
      <c r="G18" s="2">
        <v>534</v>
      </c>
      <c r="H18" s="2">
        <v>405</v>
      </c>
      <c r="I18" s="2">
        <v>234</v>
      </c>
      <c r="J18" s="2">
        <v>144</v>
      </c>
      <c r="K18" s="2">
        <v>105</v>
      </c>
      <c r="L18" s="2">
        <v>75</v>
      </c>
      <c r="M18" s="4">
        <v>324</v>
      </c>
    </row>
    <row r="19" spans="1:13" ht="12.75">
      <c r="A19" s="10">
        <v>3538</v>
      </c>
      <c r="B19" s="3">
        <v>4636</v>
      </c>
      <c r="C19" s="2">
        <v>144</v>
      </c>
      <c r="D19" s="2">
        <v>194</v>
      </c>
      <c r="E19" s="2">
        <v>508</v>
      </c>
      <c r="F19" s="3">
        <v>1816</v>
      </c>
      <c r="G19" s="2">
        <v>785</v>
      </c>
      <c r="H19" s="2">
        <v>522</v>
      </c>
      <c r="I19" s="2">
        <v>311</v>
      </c>
      <c r="J19" s="2">
        <v>169</v>
      </c>
      <c r="K19" s="2">
        <v>126</v>
      </c>
      <c r="L19" s="2">
        <v>61</v>
      </c>
      <c r="M19" s="4">
        <v>356</v>
      </c>
    </row>
    <row r="20" spans="1:13" ht="12.75">
      <c r="A20" s="10">
        <v>3539</v>
      </c>
      <c r="B20" s="3">
        <v>5923</v>
      </c>
      <c r="C20" s="2">
        <v>123</v>
      </c>
      <c r="D20" s="2">
        <v>139</v>
      </c>
      <c r="E20" s="3">
        <v>3790</v>
      </c>
      <c r="F20" s="3">
        <v>1176</v>
      </c>
      <c r="G20" s="2">
        <v>290</v>
      </c>
      <c r="H20" s="2">
        <v>162</v>
      </c>
      <c r="I20" s="2">
        <v>102</v>
      </c>
      <c r="J20" s="2">
        <v>64</v>
      </c>
      <c r="K20" s="2">
        <v>58</v>
      </c>
      <c r="L20" s="2">
        <v>19</v>
      </c>
      <c r="M20" s="4">
        <v>141</v>
      </c>
    </row>
    <row r="21" spans="1:13" ht="12.75">
      <c r="A21" s="10">
        <v>3540</v>
      </c>
      <c r="B21" s="3">
        <v>4649</v>
      </c>
      <c r="C21" s="2">
        <v>104</v>
      </c>
      <c r="D21" s="2">
        <v>148</v>
      </c>
      <c r="E21" s="3">
        <v>1508</v>
      </c>
      <c r="F21" s="3">
        <v>1150</v>
      </c>
      <c r="G21" s="2">
        <v>579</v>
      </c>
      <c r="H21" s="2">
        <v>485</v>
      </c>
      <c r="I21" s="2">
        <v>329</v>
      </c>
      <c r="J21" s="2">
        <v>191</v>
      </c>
      <c r="K21" s="2">
        <v>119</v>
      </c>
      <c r="L21" s="2">
        <v>36</v>
      </c>
      <c r="M21" s="4">
        <v>346</v>
      </c>
    </row>
    <row r="22" spans="1:13" ht="12.75">
      <c r="A22" s="10">
        <v>3541</v>
      </c>
      <c r="B22" s="3">
        <v>2704</v>
      </c>
      <c r="C22" s="2">
        <v>65</v>
      </c>
      <c r="D22" s="2">
        <v>140</v>
      </c>
      <c r="E22" s="2">
        <v>165</v>
      </c>
      <c r="F22" s="2">
        <v>673</v>
      </c>
      <c r="G22" s="2">
        <v>358</v>
      </c>
      <c r="H22" s="2">
        <v>384</v>
      </c>
      <c r="I22" s="2">
        <v>403</v>
      </c>
      <c r="J22" s="2">
        <v>279</v>
      </c>
      <c r="K22" s="2">
        <v>173</v>
      </c>
      <c r="L22" s="2">
        <v>64</v>
      </c>
      <c r="M22" s="4">
        <v>516</v>
      </c>
    </row>
    <row r="23" spans="1:13" ht="12.75">
      <c r="A23" s="10">
        <v>3542</v>
      </c>
      <c r="B23" s="3">
        <v>3063</v>
      </c>
      <c r="C23" s="2">
        <v>141</v>
      </c>
      <c r="D23" s="2">
        <v>359</v>
      </c>
      <c r="E23" s="2">
        <v>138</v>
      </c>
      <c r="F23" s="2">
        <v>426</v>
      </c>
      <c r="G23" s="2">
        <v>417</v>
      </c>
      <c r="H23" s="2">
        <v>542</v>
      </c>
      <c r="I23" s="2">
        <v>452</v>
      </c>
      <c r="J23" s="2">
        <v>279</v>
      </c>
      <c r="K23" s="2">
        <v>214</v>
      </c>
      <c r="L23" s="2">
        <v>95</v>
      </c>
      <c r="M23" s="4">
        <v>588</v>
      </c>
    </row>
    <row r="24" spans="1:13" ht="12.75">
      <c r="A24" s="10">
        <v>3543</v>
      </c>
      <c r="B24" s="3">
        <v>3266</v>
      </c>
      <c r="C24" s="2">
        <v>168</v>
      </c>
      <c r="D24" s="2">
        <v>446</v>
      </c>
      <c r="E24" s="2">
        <v>234</v>
      </c>
      <c r="F24" s="2">
        <v>635</v>
      </c>
      <c r="G24" s="2">
        <v>520</v>
      </c>
      <c r="H24" s="2">
        <v>446</v>
      </c>
      <c r="I24" s="2">
        <v>282</v>
      </c>
      <c r="J24" s="2">
        <v>222</v>
      </c>
      <c r="K24" s="2">
        <v>208</v>
      </c>
      <c r="L24" s="2">
        <v>105</v>
      </c>
      <c r="M24" s="4">
        <v>535</v>
      </c>
    </row>
    <row r="25" spans="1:13" ht="12.75">
      <c r="A25" s="10">
        <v>3544</v>
      </c>
      <c r="B25" s="3">
        <v>1714</v>
      </c>
      <c r="C25" s="2">
        <v>101</v>
      </c>
      <c r="D25" s="2">
        <v>196</v>
      </c>
      <c r="E25" s="2">
        <v>96</v>
      </c>
      <c r="F25" s="2">
        <v>350</v>
      </c>
      <c r="G25" s="2">
        <v>321</v>
      </c>
      <c r="H25" s="2">
        <v>297</v>
      </c>
      <c r="I25" s="2">
        <v>153</v>
      </c>
      <c r="J25" s="2">
        <v>104</v>
      </c>
      <c r="K25" s="2">
        <v>70</v>
      </c>
      <c r="L25" s="2">
        <v>26</v>
      </c>
      <c r="M25" s="4">
        <v>200</v>
      </c>
    </row>
    <row r="26" spans="1:13" ht="12.75">
      <c r="A26" s="10">
        <v>3545</v>
      </c>
      <c r="B26" s="3">
        <v>2405</v>
      </c>
      <c r="C26" s="2">
        <v>110</v>
      </c>
      <c r="D26" s="2">
        <v>180</v>
      </c>
      <c r="E26" s="2">
        <v>183</v>
      </c>
      <c r="F26" s="2">
        <v>699</v>
      </c>
      <c r="G26" s="2">
        <v>379</v>
      </c>
      <c r="H26" s="2">
        <v>324</v>
      </c>
      <c r="I26" s="2">
        <v>281</v>
      </c>
      <c r="J26" s="2">
        <v>152</v>
      </c>
      <c r="K26" s="2">
        <v>76</v>
      </c>
      <c r="L26" s="2">
        <v>21</v>
      </c>
      <c r="M26" s="4">
        <v>249</v>
      </c>
    </row>
    <row r="27" spans="1:13" ht="12.75">
      <c r="A27" s="10">
        <v>3546</v>
      </c>
      <c r="B27" s="3">
        <v>4409</v>
      </c>
      <c r="C27" s="2">
        <v>295</v>
      </c>
      <c r="D27" s="2">
        <v>613</v>
      </c>
      <c r="E27" s="2">
        <v>395</v>
      </c>
      <c r="F27" s="2">
        <v>894</v>
      </c>
      <c r="G27" s="2">
        <v>758</v>
      </c>
      <c r="H27" s="2">
        <v>596</v>
      </c>
      <c r="I27" s="2">
        <v>342</v>
      </c>
      <c r="J27" s="2">
        <v>223</v>
      </c>
      <c r="K27" s="2">
        <v>201</v>
      </c>
      <c r="L27" s="2">
        <v>92</v>
      </c>
      <c r="M27" s="4">
        <v>516</v>
      </c>
    </row>
    <row r="28" spans="1:13" ht="12.75">
      <c r="A28" s="10">
        <v>3547</v>
      </c>
      <c r="B28" s="3">
        <v>2481</v>
      </c>
      <c r="C28" s="2">
        <v>130</v>
      </c>
      <c r="D28" s="2">
        <v>218</v>
      </c>
      <c r="E28" s="2">
        <v>211</v>
      </c>
      <c r="F28" s="2">
        <v>710</v>
      </c>
      <c r="G28" s="2">
        <v>416</v>
      </c>
      <c r="H28" s="2">
        <v>329</v>
      </c>
      <c r="I28" s="2">
        <v>199</v>
      </c>
      <c r="J28" s="2">
        <v>136</v>
      </c>
      <c r="K28" s="2">
        <v>97</v>
      </c>
      <c r="L28" s="2">
        <v>35</v>
      </c>
      <c r="M28" s="4">
        <v>268</v>
      </c>
    </row>
    <row r="29" spans="1:13" ht="12.75">
      <c r="A29" s="10">
        <v>3548</v>
      </c>
      <c r="B29" s="3">
        <v>2049</v>
      </c>
      <c r="C29" s="2">
        <v>105</v>
      </c>
      <c r="D29" s="2">
        <v>190</v>
      </c>
      <c r="E29" s="2">
        <v>199</v>
      </c>
      <c r="F29" s="2">
        <v>595</v>
      </c>
      <c r="G29" s="2">
        <v>351</v>
      </c>
      <c r="H29" s="2">
        <v>279</v>
      </c>
      <c r="I29" s="2">
        <v>144</v>
      </c>
      <c r="J29" s="2">
        <v>97</v>
      </c>
      <c r="K29" s="2">
        <v>63</v>
      </c>
      <c r="L29" s="2">
        <v>26</v>
      </c>
      <c r="M29" s="4">
        <v>186</v>
      </c>
    </row>
    <row r="30" spans="1:13" ht="12.75">
      <c r="A30" s="10">
        <v>3549</v>
      </c>
      <c r="B30" s="3">
        <v>5235</v>
      </c>
      <c r="C30" s="2">
        <v>379</v>
      </c>
      <c r="D30" s="2">
        <v>986</v>
      </c>
      <c r="E30" s="2">
        <v>447</v>
      </c>
      <c r="F30" s="2">
        <v>909</v>
      </c>
      <c r="G30" s="3">
        <v>1000</v>
      </c>
      <c r="H30" s="2">
        <v>715</v>
      </c>
      <c r="I30" s="2">
        <v>346</v>
      </c>
      <c r="J30" s="2">
        <v>269</v>
      </c>
      <c r="K30" s="2">
        <v>143</v>
      </c>
      <c r="L30" s="2">
        <v>41</v>
      </c>
      <c r="M30" s="4">
        <v>453</v>
      </c>
    </row>
    <row r="31" spans="1:13" ht="12.75">
      <c r="A31" s="10">
        <v>3550</v>
      </c>
      <c r="B31" s="3">
        <v>2712</v>
      </c>
      <c r="C31" s="2">
        <v>110</v>
      </c>
      <c r="D31" s="2">
        <v>255</v>
      </c>
      <c r="E31" s="2">
        <v>208</v>
      </c>
      <c r="F31" s="2">
        <v>617</v>
      </c>
      <c r="G31" s="2">
        <v>380</v>
      </c>
      <c r="H31" s="2">
        <v>349</v>
      </c>
      <c r="I31" s="2">
        <v>223</v>
      </c>
      <c r="J31" s="2">
        <v>234</v>
      </c>
      <c r="K31" s="2">
        <v>226</v>
      </c>
      <c r="L31" s="2">
        <v>110</v>
      </c>
      <c r="M31" s="4">
        <v>570</v>
      </c>
    </row>
    <row r="32" spans="1:13" ht="12.75">
      <c r="A32" s="10" t="s">
        <v>9</v>
      </c>
      <c r="B32" s="3">
        <v>101355</v>
      </c>
      <c r="C32" s="3">
        <v>4125</v>
      </c>
      <c r="D32" s="3">
        <v>9322</v>
      </c>
      <c r="E32" s="3">
        <v>21472</v>
      </c>
      <c r="F32" s="3">
        <v>25202</v>
      </c>
      <c r="G32" s="3">
        <v>13942</v>
      </c>
      <c r="H32" s="3">
        <v>11144</v>
      </c>
      <c r="I32" s="3">
        <v>6866</v>
      </c>
      <c r="J32" s="3">
        <v>4687</v>
      </c>
      <c r="K32" s="3">
        <v>3362</v>
      </c>
      <c r="L32" s="3">
        <v>9282</v>
      </c>
      <c r="M32" s="4">
        <v>17331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L1"/>
  <sheetViews>
    <sheetView workbookViewId="0">
      <selection sqref="A1:L1"/>
    </sheetView>
  </sheetViews>
  <sheetFormatPr defaultRowHeight="12.75"/>
  <sheetData>
    <row r="1" spans="1:12" ht="13.5">
      <c r="A1" s="15" t="s">
        <v>10</v>
      </c>
      <c r="B1" s="15"/>
      <c r="C1" s="15"/>
      <c r="D1" s="15"/>
      <c r="E1" s="15"/>
      <c r="F1" s="15"/>
      <c r="G1" s="15"/>
      <c r="H1" s="15"/>
      <c r="I1" s="15"/>
      <c r="J1" s="15"/>
      <c r="K1" s="15"/>
      <c r="L1" s="15"/>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2"/>
  <sheetViews>
    <sheetView topLeftCell="A9" workbookViewId="0">
      <selection activeCell="A9" sqref="A1:A1048576"/>
    </sheetView>
  </sheetViews>
  <sheetFormatPr defaultRowHeight="11.25"/>
  <cols>
    <col min="1" max="1" width="9.140625" style="24"/>
    <col min="2" max="4" width="9.140625" style="4"/>
    <col min="5" max="5" width="13.5703125" style="4" customWidth="1"/>
    <col min="6" max="6" width="10.85546875" style="4" bestFit="1" customWidth="1"/>
    <col min="7" max="16384" width="9.140625" style="4"/>
  </cols>
  <sheetData>
    <row r="1" spans="1:7" s="21" customFormat="1" ht="33.75">
      <c r="A1" s="22" t="s">
        <v>11</v>
      </c>
      <c r="B1" s="20" t="s">
        <v>17</v>
      </c>
      <c r="C1" s="20" t="s">
        <v>36</v>
      </c>
      <c r="D1" s="20" t="s">
        <v>40</v>
      </c>
      <c r="E1" s="20" t="s">
        <v>39</v>
      </c>
      <c r="F1" s="21" t="s">
        <v>37</v>
      </c>
      <c r="G1" s="21" t="s">
        <v>38</v>
      </c>
    </row>
    <row r="2" spans="1:7">
      <c r="A2" s="23">
        <v>3521</v>
      </c>
      <c r="B2" s="13">
        <v>3042</v>
      </c>
      <c r="C2" s="13">
        <v>2201</v>
      </c>
      <c r="D2" s="12">
        <v>130</v>
      </c>
      <c r="E2" s="12">
        <v>416</v>
      </c>
      <c r="F2" s="12">
        <v>295</v>
      </c>
      <c r="G2" s="12">
        <v>223</v>
      </c>
    </row>
    <row r="3" spans="1:7">
      <c r="A3" s="23">
        <v>3522</v>
      </c>
      <c r="B3" s="13">
        <v>2021</v>
      </c>
      <c r="C3" s="13">
        <v>1474</v>
      </c>
      <c r="D3" s="12">
        <v>145</v>
      </c>
      <c r="E3" s="12">
        <v>175</v>
      </c>
      <c r="F3" s="12">
        <v>227</v>
      </c>
      <c r="G3" s="12">
        <v>177</v>
      </c>
    </row>
    <row r="4" spans="1:7">
      <c r="A4" s="23">
        <v>3523</v>
      </c>
      <c r="B4" s="13">
        <v>2229</v>
      </c>
      <c r="C4" s="13">
        <v>1706</v>
      </c>
      <c r="D4" s="12">
        <v>95</v>
      </c>
      <c r="E4" s="12">
        <v>221</v>
      </c>
      <c r="F4" s="12">
        <v>207</v>
      </c>
      <c r="G4" s="12">
        <v>211</v>
      </c>
    </row>
    <row r="5" spans="1:7">
      <c r="A5" s="23">
        <v>3524</v>
      </c>
      <c r="B5" s="13">
        <v>1942</v>
      </c>
      <c r="C5" s="12">
        <v>709</v>
      </c>
      <c r="D5" s="12">
        <v>724</v>
      </c>
      <c r="E5" s="12">
        <v>162</v>
      </c>
      <c r="F5" s="12">
        <v>347</v>
      </c>
      <c r="G5" s="12">
        <v>359</v>
      </c>
    </row>
    <row r="6" spans="1:7">
      <c r="A6" s="23">
        <v>3525</v>
      </c>
      <c r="B6" s="13">
        <v>3312</v>
      </c>
      <c r="C6" s="13">
        <v>1635</v>
      </c>
      <c r="D6" s="13">
        <v>1030</v>
      </c>
      <c r="E6" s="12">
        <v>231</v>
      </c>
      <c r="F6" s="12">
        <v>416</v>
      </c>
      <c r="G6" s="12">
        <v>453</v>
      </c>
    </row>
    <row r="7" spans="1:7">
      <c r="A7" s="23">
        <v>3526</v>
      </c>
      <c r="B7" s="13">
        <v>2652</v>
      </c>
      <c r="C7" s="13">
        <v>1807</v>
      </c>
      <c r="D7" s="12">
        <v>216</v>
      </c>
      <c r="E7" s="12">
        <v>186</v>
      </c>
      <c r="F7" s="12">
        <v>443</v>
      </c>
      <c r="G7" s="12">
        <v>337</v>
      </c>
    </row>
    <row r="8" spans="1:7">
      <c r="A8" s="23">
        <v>3527</v>
      </c>
      <c r="B8" s="13">
        <v>2407</v>
      </c>
      <c r="C8" s="13">
        <v>1446</v>
      </c>
      <c r="D8" s="12">
        <v>412</v>
      </c>
      <c r="E8" s="12">
        <v>126</v>
      </c>
      <c r="F8" s="12">
        <v>423</v>
      </c>
      <c r="G8" s="12">
        <v>301</v>
      </c>
    </row>
    <row r="9" spans="1:7">
      <c r="A9" s="23">
        <v>3528</v>
      </c>
      <c r="B9" s="13">
        <v>2385</v>
      </c>
      <c r="C9" s="13">
        <v>1605</v>
      </c>
      <c r="D9" s="12">
        <v>294</v>
      </c>
      <c r="E9" s="12">
        <v>115</v>
      </c>
      <c r="F9" s="12">
        <v>371</v>
      </c>
      <c r="G9" s="12">
        <v>302</v>
      </c>
    </row>
    <row r="10" spans="1:7">
      <c r="A10" s="23">
        <v>3529</v>
      </c>
      <c r="B10" s="13">
        <v>2553</v>
      </c>
      <c r="C10" s="13">
        <v>2163</v>
      </c>
      <c r="D10" s="12">
        <v>108</v>
      </c>
      <c r="E10" s="12">
        <v>172</v>
      </c>
      <c r="F10" s="12">
        <v>110</v>
      </c>
      <c r="G10" s="12">
        <v>55</v>
      </c>
    </row>
    <row r="11" spans="1:7">
      <c r="A11" s="23">
        <v>3530</v>
      </c>
      <c r="B11" s="13">
        <v>3706</v>
      </c>
      <c r="C11" s="13">
        <v>2401</v>
      </c>
      <c r="D11" s="12">
        <v>569</v>
      </c>
      <c r="E11" s="12">
        <v>400</v>
      </c>
      <c r="F11" s="12">
        <v>336</v>
      </c>
      <c r="G11" s="12">
        <v>315</v>
      </c>
    </row>
    <row r="12" spans="1:7">
      <c r="A12" s="23">
        <v>3531</v>
      </c>
      <c r="B12" s="13">
        <v>8064</v>
      </c>
      <c r="C12" s="13">
        <v>4000</v>
      </c>
      <c r="D12" s="12">
        <v>792</v>
      </c>
      <c r="E12" s="13">
        <v>2502</v>
      </c>
      <c r="F12" s="12">
        <v>770</v>
      </c>
      <c r="G12" s="12">
        <v>873</v>
      </c>
    </row>
    <row r="13" spans="1:7">
      <c r="A13" s="23">
        <v>3532</v>
      </c>
      <c r="B13" s="13">
        <v>3143</v>
      </c>
      <c r="C13" s="13">
        <v>2136</v>
      </c>
      <c r="D13" s="12">
        <v>466</v>
      </c>
      <c r="E13" s="12">
        <v>272</v>
      </c>
      <c r="F13" s="12">
        <v>269</v>
      </c>
      <c r="G13" s="12">
        <v>258</v>
      </c>
    </row>
    <row r="14" spans="1:7">
      <c r="A14" s="23">
        <v>3533</v>
      </c>
      <c r="B14" s="13">
        <v>3636</v>
      </c>
      <c r="C14" s="13">
        <v>2721</v>
      </c>
      <c r="D14" s="12">
        <v>375</v>
      </c>
      <c r="E14" s="12">
        <v>260</v>
      </c>
      <c r="F14" s="12">
        <v>280</v>
      </c>
      <c r="G14" s="12">
        <v>201</v>
      </c>
    </row>
    <row r="15" spans="1:7">
      <c r="A15" s="23">
        <v>3534</v>
      </c>
      <c r="B15" s="13">
        <v>2430</v>
      </c>
      <c r="C15" s="13">
        <v>1022</v>
      </c>
      <c r="D15" s="12">
        <v>816</v>
      </c>
      <c r="E15" s="12">
        <v>288</v>
      </c>
      <c r="F15" s="12">
        <v>304</v>
      </c>
      <c r="G15" s="12">
        <v>227</v>
      </c>
    </row>
    <row r="16" spans="1:7">
      <c r="A16" s="23">
        <v>3535</v>
      </c>
      <c r="B16" s="13">
        <v>2599</v>
      </c>
      <c r="C16" s="13">
        <v>1486</v>
      </c>
      <c r="D16" s="12">
        <v>654</v>
      </c>
      <c r="E16" s="12">
        <v>221</v>
      </c>
      <c r="F16" s="12">
        <v>238</v>
      </c>
      <c r="G16" s="12">
        <v>178</v>
      </c>
    </row>
    <row r="17" spans="1:7">
      <c r="A17" s="23">
        <v>3536</v>
      </c>
      <c r="B17" s="13">
        <v>4742</v>
      </c>
      <c r="C17" s="13">
        <v>3762</v>
      </c>
      <c r="D17" s="12">
        <v>217</v>
      </c>
      <c r="E17" s="12">
        <v>541</v>
      </c>
      <c r="F17" s="12">
        <v>222</v>
      </c>
      <c r="G17" s="12">
        <v>305</v>
      </c>
    </row>
    <row r="18" spans="1:7">
      <c r="A18" s="23">
        <v>3537</v>
      </c>
      <c r="B18" s="13">
        <v>5246</v>
      </c>
      <c r="C18" s="13">
        <v>3978</v>
      </c>
      <c r="D18" s="12">
        <v>236</v>
      </c>
      <c r="E18" s="12">
        <v>704</v>
      </c>
      <c r="F18" s="12">
        <v>328</v>
      </c>
      <c r="G18" s="12">
        <v>328</v>
      </c>
    </row>
    <row r="19" spans="1:7">
      <c r="A19" s="23">
        <v>3538</v>
      </c>
      <c r="B19" s="13">
        <v>4636</v>
      </c>
      <c r="C19" s="13">
        <v>3602</v>
      </c>
      <c r="D19" s="12">
        <v>186</v>
      </c>
      <c r="E19" s="12">
        <v>633</v>
      </c>
      <c r="F19" s="12">
        <v>215</v>
      </c>
      <c r="G19" s="12">
        <v>219</v>
      </c>
    </row>
    <row r="20" spans="1:7">
      <c r="A20" s="23">
        <v>3539</v>
      </c>
      <c r="B20" s="13">
        <v>5923</v>
      </c>
      <c r="C20" s="13">
        <v>3904</v>
      </c>
      <c r="D20" s="12">
        <v>466</v>
      </c>
      <c r="E20" s="13">
        <v>1155</v>
      </c>
      <c r="F20" s="12">
        <v>398</v>
      </c>
      <c r="G20" s="12">
        <v>456</v>
      </c>
    </row>
    <row r="21" spans="1:7">
      <c r="A21" s="23">
        <v>3540</v>
      </c>
      <c r="B21" s="13">
        <v>4649</v>
      </c>
      <c r="C21" s="13">
        <v>3599</v>
      </c>
      <c r="D21" s="12">
        <v>172</v>
      </c>
      <c r="E21" s="12">
        <v>630</v>
      </c>
      <c r="F21" s="12">
        <v>248</v>
      </c>
      <c r="G21" s="12">
        <v>248</v>
      </c>
    </row>
    <row r="22" spans="1:7">
      <c r="A22" s="23">
        <v>3541</v>
      </c>
      <c r="B22" s="13">
        <v>2704</v>
      </c>
      <c r="C22" s="13">
        <v>2337</v>
      </c>
      <c r="D22" s="12">
        <v>93</v>
      </c>
      <c r="E22" s="12">
        <v>195</v>
      </c>
      <c r="F22" s="12">
        <v>79</v>
      </c>
      <c r="G22" s="12">
        <v>104</v>
      </c>
    </row>
    <row r="23" spans="1:7">
      <c r="A23" s="23">
        <v>3542</v>
      </c>
      <c r="B23" s="13">
        <v>3063</v>
      </c>
      <c r="C23" s="13">
        <v>2853</v>
      </c>
      <c r="D23" s="12">
        <v>60</v>
      </c>
      <c r="E23" s="12">
        <v>88</v>
      </c>
      <c r="F23" s="12">
        <v>62</v>
      </c>
      <c r="G23" s="12">
        <v>88</v>
      </c>
    </row>
    <row r="24" spans="1:7">
      <c r="A24" s="23">
        <v>3543</v>
      </c>
      <c r="B24" s="13">
        <v>3266</v>
      </c>
      <c r="C24" s="13">
        <v>2494</v>
      </c>
      <c r="D24" s="12">
        <v>349</v>
      </c>
      <c r="E24" s="12">
        <v>209</v>
      </c>
      <c r="F24" s="12">
        <v>214</v>
      </c>
      <c r="G24" s="12">
        <v>164</v>
      </c>
    </row>
    <row r="25" spans="1:7">
      <c r="A25" s="23">
        <v>3544</v>
      </c>
      <c r="B25" s="13">
        <v>1714</v>
      </c>
      <c r="C25" s="13">
        <v>1395</v>
      </c>
      <c r="D25" s="12">
        <v>149</v>
      </c>
      <c r="E25" s="12">
        <v>83</v>
      </c>
      <c r="F25" s="12">
        <v>87</v>
      </c>
      <c r="G25" s="12">
        <v>63</v>
      </c>
    </row>
    <row r="26" spans="1:7">
      <c r="A26" s="23">
        <v>3545</v>
      </c>
      <c r="B26" s="13">
        <v>2405</v>
      </c>
      <c r="C26" s="13">
        <v>2015</v>
      </c>
      <c r="D26" s="12">
        <v>56</v>
      </c>
      <c r="E26" s="12">
        <v>249</v>
      </c>
      <c r="F26" s="12">
        <v>85</v>
      </c>
      <c r="G26" s="12">
        <v>71</v>
      </c>
    </row>
    <row r="27" spans="1:7">
      <c r="A27" s="23">
        <v>3546</v>
      </c>
      <c r="B27" s="13">
        <v>4409</v>
      </c>
      <c r="C27" s="13">
        <v>2594</v>
      </c>
      <c r="D27" s="13">
        <v>1180</v>
      </c>
      <c r="E27" s="12">
        <v>395</v>
      </c>
      <c r="F27" s="12">
        <v>240</v>
      </c>
      <c r="G27" s="12">
        <v>192</v>
      </c>
    </row>
    <row r="28" spans="1:7">
      <c r="A28" s="23">
        <v>3547</v>
      </c>
      <c r="B28" s="13">
        <v>2481</v>
      </c>
      <c r="C28" s="13">
        <v>2041</v>
      </c>
      <c r="D28" s="12">
        <v>169</v>
      </c>
      <c r="E28" s="12">
        <v>149</v>
      </c>
      <c r="F28" s="12">
        <v>122</v>
      </c>
      <c r="G28" s="12">
        <v>98</v>
      </c>
    </row>
    <row r="29" spans="1:7">
      <c r="A29" s="23">
        <v>3548</v>
      </c>
      <c r="B29" s="13">
        <v>2049</v>
      </c>
      <c r="C29" s="13">
        <v>1703</v>
      </c>
      <c r="D29" s="12">
        <v>121</v>
      </c>
      <c r="E29" s="12">
        <v>144</v>
      </c>
      <c r="F29" s="12">
        <v>81</v>
      </c>
      <c r="G29" s="12">
        <v>44</v>
      </c>
    </row>
    <row r="30" spans="1:7">
      <c r="A30" s="23">
        <v>3549</v>
      </c>
      <c r="B30" s="13">
        <v>5235</v>
      </c>
      <c r="C30" s="13">
        <v>2054</v>
      </c>
      <c r="D30" s="13">
        <v>1602</v>
      </c>
      <c r="E30" s="12">
        <v>980</v>
      </c>
      <c r="F30" s="12">
        <v>599</v>
      </c>
      <c r="G30" s="12">
        <v>523</v>
      </c>
    </row>
    <row r="31" spans="1:7">
      <c r="A31" s="23">
        <v>3550</v>
      </c>
      <c r="B31" s="13">
        <v>2712</v>
      </c>
      <c r="C31" s="13">
        <v>2179</v>
      </c>
      <c r="D31" s="12">
        <v>197</v>
      </c>
      <c r="E31" s="12">
        <v>211</v>
      </c>
      <c r="F31" s="12">
        <v>125</v>
      </c>
      <c r="G31" s="12">
        <v>82</v>
      </c>
    </row>
    <row r="32" spans="1:7">
      <c r="A32" s="23" t="s">
        <v>9</v>
      </c>
      <c r="B32" s="13">
        <v>101355</v>
      </c>
      <c r="C32" s="13">
        <v>69022</v>
      </c>
      <c r="D32" s="13">
        <v>12079</v>
      </c>
      <c r="E32" s="13">
        <v>12113</v>
      </c>
      <c r="F32" s="12">
        <v>8141</v>
      </c>
      <c r="G32" s="13">
        <v>7455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
  <sheetViews>
    <sheetView workbookViewId="0">
      <selection activeCell="A2" sqref="A2:G2"/>
    </sheetView>
  </sheetViews>
  <sheetFormatPr defaultRowHeight="12.75"/>
  <sheetData>
    <row r="1" spans="1:7" s="4" customFormat="1" ht="30" customHeight="1">
      <c r="A1" s="14" t="s">
        <v>41</v>
      </c>
      <c r="B1" s="14"/>
      <c r="C1" s="14"/>
      <c r="D1" s="14"/>
      <c r="E1" s="14"/>
      <c r="F1" s="14"/>
      <c r="G1" s="14"/>
    </row>
    <row r="2" spans="1:7" s="4" customFormat="1" ht="45" customHeight="1">
      <c r="A2" s="14" t="s">
        <v>42</v>
      </c>
      <c r="B2" s="14"/>
      <c r="C2" s="14"/>
      <c r="D2" s="14"/>
      <c r="E2" s="14"/>
      <c r="F2" s="14"/>
      <c r="G2" s="14"/>
    </row>
    <row r="3" spans="1:7" s="4" customFormat="1" ht="60" customHeight="1">
      <c r="A3" s="14" t="s">
        <v>18</v>
      </c>
      <c r="B3" s="14"/>
      <c r="C3" s="14"/>
      <c r="D3" s="14"/>
      <c r="E3" s="14"/>
      <c r="F3" s="14"/>
      <c r="G3" s="14"/>
    </row>
    <row r="4" spans="1:7" s="4" customFormat="1" ht="11.25">
      <c r="A4" s="14"/>
      <c r="B4" s="14"/>
      <c r="C4" s="14"/>
      <c r="D4" s="14"/>
      <c r="E4" s="14"/>
      <c r="F4" s="14"/>
      <c r="G4" s="14"/>
    </row>
    <row r="5" spans="1:7" s="4" customFormat="1" ht="15" customHeight="1">
      <c r="A5" s="14" t="s">
        <v>10</v>
      </c>
      <c r="B5" s="14"/>
      <c r="C5" s="14"/>
      <c r="D5" s="14"/>
      <c r="E5" s="14"/>
      <c r="F5" s="14"/>
      <c r="G5" s="14"/>
    </row>
  </sheetData>
  <mergeCells count="5">
    <mergeCell ref="A5:G5"/>
    <mergeCell ref="A1:G1"/>
    <mergeCell ref="A2:G2"/>
    <mergeCell ref="A3:G3"/>
    <mergeCell ref="A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2"/>
  <sheetViews>
    <sheetView topLeftCell="A22" workbookViewId="0">
      <selection activeCell="A22" sqref="A1:A1048576"/>
    </sheetView>
  </sheetViews>
  <sheetFormatPr defaultRowHeight="11.25"/>
  <cols>
    <col min="1" max="1" width="9.140625" style="24"/>
    <col min="2" max="10" width="12.28515625" style="4" customWidth="1"/>
    <col min="11" max="16384" width="9.140625" style="4"/>
  </cols>
  <sheetData>
    <row r="1" spans="1:10" s="20" customFormat="1" ht="33.75">
      <c r="A1" s="22" t="s">
        <v>11</v>
      </c>
      <c r="B1" s="20" t="s">
        <v>44</v>
      </c>
      <c r="C1" s="20" t="s">
        <v>12</v>
      </c>
      <c r="D1" s="20" t="s">
        <v>45</v>
      </c>
      <c r="E1" s="20" t="s">
        <v>46</v>
      </c>
      <c r="F1" s="20" t="s">
        <v>47</v>
      </c>
      <c r="G1" s="20" t="s">
        <v>14</v>
      </c>
      <c r="H1" s="20" t="s">
        <v>15</v>
      </c>
      <c r="I1" s="20" t="s">
        <v>16</v>
      </c>
      <c r="J1" s="20" t="s">
        <v>43</v>
      </c>
    </row>
    <row r="2" spans="1:10">
      <c r="A2" s="23">
        <v>3521</v>
      </c>
      <c r="B2" s="13">
        <v>1559</v>
      </c>
      <c r="C2" s="12">
        <v>1.77</v>
      </c>
      <c r="D2" s="12">
        <v>545</v>
      </c>
      <c r="E2" s="13">
        <v>1014</v>
      </c>
      <c r="F2" s="12">
        <v>87</v>
      </c>
      <c r="G2" s="12">
        <v>625</v>
      </c>
      <c r="H2" s="12">
        <v>127</v>
      </c>
      <c r="I2" s="12">
        <v>175</v>
      </c>
      <c r="J2" s="25">
        <v>8.2000000000000003E-2</v>
      </c>
    </row>
    <row r="3" spans="1:10">
      <c r="A3" s="23">
        <v>3522</v>
      </c>
      <c r="B3" s="13">
        <v>1091</v>
      </c>
      <c r="C3" s="12">
        <v>1.85</v>
      </c>
      <c r="D3" s="12">
        <v>388</v>
      </c>
      <c r="E3" s="13">
        <v>703</v>
      </c>
      <c r="F3" s="12">
        <v>39</v>
      </c>
      <c r="G3" s="12">
        <v>308</v>
      </c>
      <c r="H3" s="12">
        <v>263</v>
      </c>
      <c r="I3" s="12">
        <v>93</v>
      </c>
      <c r="J3" s="25">
        <v>0.126</v>
      </c>
    </row>
    <row r="4" spans="1:10">
      <c r="A4" s="23">
        <v>3523</v>
      </c>
      <c r="B4" s="13">
        <v>1037</v>
      </c>
      <c r="C4" s="12">
        <v>2.15</v>
      </c>
      <c r="D4" s="12">
        <v>458</v>
      </c>
      <c r="E4" s="13">
        <v>579</v>
      </c>
      <c r="F4" s="12">
        <v>59</v>
      </c>
      <c r="G4" s="12">
        <v>269</v>
      </c>
      <c r="H4" s="12">
        <v>86</v>
      </c>
      <c r="I4" s="12">
        <v>165</v>
      </c>
      <c r="J4" s="25">
        <v>0.16900000000000001</v>
      </c>
    </row>
    <row r="5" spans="1:10">
      <c r="A5" s="23">
        <v>3524</v>
      </c>
      <c r="B5" s="12">
        <v>710</v>
      </c>
      <c r="C5" s="12">
        <v>2.74</v>
      </c>
      <c r="D5" s="12">
        <v>459</v>
      </c>
      <c r="E5" s="13">
        <v>251</v>
      </c>
      <c r="F5" s="12">
        <v>33</v>
      </c>
      <c r="G5" s="12">
        <v>139</v>
      </c>
      <c r="H5" s="12">
        <v>26</v>
      </c>
      <c r="I5" s="12">
        <v>53</v>
      </c>
      <c r="J5" s="25">
        <v>0.42499999999999999</v>
      </c>
    </row>
    <row r="6" spans="1:10">
      <c r="A6" s="23">
        <v>3525</v>
      </c>
      <c r="B6" s="13">
        <v>1284</v>
      </c>
      <c r="C6" s="12">
        <v>2.54</v>
      </c>
      <c r="D6" s="12">
        <v>622</v>
      </c>
      <c r="E6" s="13">
        <v>662</v>
      </c>
      <c r="F6" s="12">
        <v>103</v>
      </c>
      <c r="G6" s="12">
        <v>269</v>
      </c>
      <c r="H6" s="12">
        <v>95</v>
      </c>
      <c r="I6" s="12">
        <v>195</v>
      </c>
      <c r="J6" s="25">
        <v>0.25900000000000001</v>
      </c>
    </row>
    <row r="7" spans="1:10">
      <c r="A7" s="23">
        <v>3526</v>
      </c>
      <c r="B7" s="13">
        <v>1068</v>
      </c>
      <c r="C7" s="12">
        <v>2.48</v>
      </c>
      <c r="D7" s="12">
        <v>584</v>
      </c>
      <c r="E7" s="13">
        <v>484</v>
      </c>
      <c r="F7" s="12">
        <v>57</v>
      </c>
      <c r="G7" s="12">
        <v>186</v>
      </c>
      <c r="H7" s="12">
        <v>85</v>
      </c>
      <c r="I7" s="12">
        <v>156</v>
      </c>
      <c r="J7" s="25">
        <v>0.25600000000000001</v>
      </c>
    </row>
    <row r="8" spans="1:10">
      <c r="A8" s="23">
        <v>3527</v>
      </c>
      <c r="B8" s="13">
        <v>1055</v>
      </c>
      <c r="C8" s="12">
        <v>2.2799999999999998</v>
      </c>
      <c r="D8" s="12">
        <v>517</v>
      </c>
      <c r="E8" s="13">
        <v>538</v>
      </c>
      <c r="F8" s="12">
        <v>57</v>
      </c>
      <c r="G8" s="12">
        <v>237</v>
      </c>
      <c r="H8" s="12">
        <v>131</v>
      </c>
      <c r="I8" s="12">
        <v>113</v>
      </c>
      <c r="J8" s="25">
        <v>0.24199999999999999</v>
      </c>
    </row>
    <row r="9" spans="1:10">
      <c r="A9" s="23">
        <v>3528</v>
      </c>
      <c r="B9" s="12">
        <v>954</v>
      </c>
      <c r="C9" s="12">
        <v>2.5</v>
      </c>
      <c r="D9" s="12">
        <v>497</v>
      </c>
      <c r="E9" s="13">
        <v>457</v>
      </c>
      <c r="F9" s="12">
        <v>70</v>
      </c>
      <c r="G9" s="12">
        <v>194</v>
      </c>
      <c r="H9" s="12">
        <v>63</v>
      </c>
      <c r="I9" s="12">
        <v>130</v>
      </c>
      <c r="J9" s="25">
        <v>0.224</v>
      </c>
    </row>
    <row r="10" spans="1:10">
      <c r="A10" s="23">
        <v>3529</v>
      </c>
      <c r="B10" s="13">
        <v>1313</v>
      </c>
      <c r="C10" s="12">
        <v>1.94</v>
      </c>
      <c r="D10" s="12">
        <v>480</v>
      </c>
      <c r="E10" s="13">
        <v>833</v>
      </c>
      <c r="F10" s="12">
        <v>104</v>
      </c>
      <c r="G10" s="12">
        <v>478</v>
      </c>
      <c r="H10" s="12">
        <v>85</v>
      </c>
      <c r="I10" s="12">
        <v>166</v>
      </c>
      <c r="J10" s="25">
        <v>0.14399999999999999</v>
      </c>
    </row>
    <row r="11" spans="1:10">
      <c r="A11" s="23">
        <v>3530</v>
      </c>
      <c r="B11" s="13">
        <v>1841</v>
      </c>
      <c r="C11" s="12">
        <v>1.88</v>
      </c>
      <c r="D11" s="12">
        <v>568</v>
      </c>
      <c r="E11" s="13">
        <v>1273</v>
      </c>
      <c r="F11" s="12">
        <v>124</v>
      </c>
      <c r="G11" s="12">
        <v>675</v>
      </c>
      <c r="H11" s="12">
        <v>221</v>
      </c>
      <c r="I11" s="12">
        <v>253</v>
      </c>
      <c r="J11" s="25">
        <v>0.128</v>
      </c>
    </row>
    <row r="12" spans="1:10">
      <c r="A12" s="23">
        <v>3531</v>
      </c>
      <c r="B12" s="13">
        <v>1525</v>
      </c>
      <c r="C12" s="12">
        <v>2.3199999999999998</v>
      </c>
      <c r="D12" s="12">
        <v>689</v>
      </c>
      <c r="E12" s="13">
        <v>836</v>
      </c>
      <c r="F12" s="12">
        <v>66</v>
      </c>
      <c r="G12" s="12">
        <v>342</v>
      </c>
      <c r="H12" s="12">
        <v>80</v>
      </c>
      <c r="I12" s="12">
        <v>348</v>
      </c>
      <c r="J12" s="25">
        <v>0.184</v>
      </c>
    </row>
    <row r="13" spans="1:10">
      <c r="A13" s="23">
        <v>3532</v>
      </c>
      <c r="B13" s="13">
        <v>1458</v>
      </c>
      <c r="C13" s="12">
        <v>2.06</v>
      </c>
      <c r="D13" s="12">
        <v>579</v>
      </c>
      <c r="E13" s="13">
        <v>879</v>
      </c>
      <c r="F13" s="12">
        <v>113</v>
      </c>
      <c r="G13" s="12">
        <v>411</v>
      </c>
      <c r="H13" s="12">
        <v>167</v>
      </c>
      <c r="I13" s="12">
        <v>188</v>
      </c>
      <c r="J13" s="25">
        <v>0.17799999999999999</v>
      </c>
    </row>
    <row r="14" spans="1:10">
      <c r="A14" s="23">
        <v>3533</v>
      </c>
      <c r="B14" s="13">
        <v>1737</v>
      </c>
      <c r="C14" s="12">
        <v>2.08</v>
      </c>
      <c r="D14" s="12">
        <v>689</v>
      </c>
      <c r="E14" s="13">
        <v>1048</v>
      </c>
      <c r="F14" s="12">
        <v>150</v>
      </c>
      <c r="G14" s="12">
        <v>545</v>
      </c>
      <c r="H14" s="12">
        <v>100</v>
      </c>
      <c r="I14" s="12">
        <v>253</v>
      </c>
      <c r="J14" s="25">
        <v>0.18099999999999999</v>
      </c>
    </row>
    <row r="15" spans="1:10">
      <c r="A15" s="23">
        <v>3534</v>
      </c>
      <c r="B15" s="13">
        <v>1028</v>
      </c>
      <c r="C15" s="12">
        <v>2.36</v>
      </c>
      <c r="D15" s="12">
        <v>540</v>
      </c>
      <c r="E15" s="13">
        <v>488</v>
      </c>
      <c r="F15" s="12">
        <v>67</v>
      </c>
      <c r="G15" s="12">
        <v>279</v>
      </c>
      <c r="H15" s="12">
        <v>43</v>
      </c>
      <c r="I15" s="12">
        <v>99</v>
      </c>
      <c r="J15" s="25">
        <v>0.27100000000000002</v>
      </c>
    </row>
    <row r="16" spans="1:10">
      <c r="A16" s="23">
        <v>3535</v>
      </c>
      <c r="B16" s="13">
        <v>1282</v>
      </c>
      <c r="C16" s="12">
        <v>2.0299999999999998</v>
      </c>
      <c r="D16" s="12">
        <v>499</v>
      </c>
      <c r="E16" s="13">
        <v>783</v>
      </c>
      <c r="F16" s="12">
        <v>87</v>
      </c>
      <c r="G16" s="12">
        <v>391</v>
      </c>
      <c r="H16" s="12">
        <v>129</v>
      </c>
      <c r="I16" s="12">
        <v>176</v>
      </c>
      <c r="J16" s="25">
        <v>0.183</v>
      </c>
    </row>
    <row r="17" spans="1:10">
      <c r="A17" s="23">
        <v>3536</v>
      </c>
      <c r="B17" s="13">
        <v>1688</v>
      </c>
      <c r="C17" s="12">
        <v>1.88</v>
      </c>
      <c r="D17" s="12">
        <v>606</v>
      </c>
      <c r="E17" s="13">
        <v>1082</v>
      </c>
      <c r="F17" s="12">
        <v>118</v>
      </c>
      <c r="G17" s="12">
        <v>697</v>
      </c>
      <c r="H17" s="12">
        <v>67</v>
      </c>
      <c r="I17" s="12">
        <v>200</v>
      </c>
      <c r="J17" s="25">
        <v>0.14199999999999999</v>
      </c>
    </row>
    <row r="18" spans="1:10">
      <c r="A18" s="23">
        <v>3537</v>
      </c>
      <c r="B18" s="13">
        <v>1838</v>
      </c>
      <c r="C18" s="12">
        <v>1.65</v>
      </c>
      <c r="D18" s="12">
        <v>494</v>
      </c>
      <c r="E18" s="13">
        <v>1344</v>
      </c>
      <c r="F18" s="12">
        <v>99</v>
      </c>
      <c r="G18" s="12">
        <v>899</v>
      </c>
      <c r="H18" s="12">
        <v>159</v>
      </c>
      <c r="I18" s="12">
        <v>187</v>
      </c>
      <c r="J18" s="25">
        <v>8.4000000000000005E-2</v>
      </c>
    </row>
    <row r="19" spans="1:10">
      <c r="A19" s="23">
        <v>3538</v>
      </c>
      <c r="B19" s="13">
        <v>2765</v>
      </c>
      <c r="C19" s="12">
        <v>1.64</v>
      </c>
      <c r="D19" s="12">
        <v>759</v>
      </c>
      <c r="E19" s="13">
        <v>2006</v>
      </c>
      <c r="F19" s="12">
        <v>203</v>
      </c>
      <c r="G19" s="13">
        <v>1336</v>
      </c>
      <c r="H19" s="12">
        <v>140</v>
      </c>
      <c r="I19" s="12">
        <v>327</v>
      </c>
      <c r="J19" s="25">
        <v>8.1000000000000003E-2</v>
      </c>
    </row>
    <row r="20" spans="1:10">
      <c r="A20" s="23">
        <v>3539</v>
      </c>
      <c r="B20" s="13">
        <v>1257</v>
      </c>
      <c r="C20" s="12">
        <v>1.86</v>
      </c>
      <c r="D20" s="12">
        <v>396</v>
      </c>
      <c r="E20" s="13">
        <v>861</v>
      </c>
      <c r="F20" s="12">
        <v>64</v>
      </c>
      <c r="G20" s="12">
        <v>500</v>
      </c>
      <c r="H20" s="12">
        <v>95</v>
      </c>
      <c r="I20" s="12">
        <v>202</v>
      </c>
      <c r="J20" s="25">
        <v>0.13300000000000001</v>
      </c>
    </row>
    <row r="21" spans="1:10">
      <c r="A21" s="23">
        <v>3540</v>
      </c>
      <c r="B21" s="13">
        <v>2042</v>
      </c>
      <c r="C21" s="12">
        <v>1.58</v>
      </c>
      <c r="D21" s="12">
        <v>549</v>
      </c>
      <c r="E21" s="13">
        <v>1493</v>
      </c>
      <c r="F21" s="12">
        <v>131</v>
      </c>
      <c r="G21" s="13">
        <v>1024</v>
      </c>
      <c r="H21" s="12">
        <v>172</v>
      </c>
      <c r="I21" s="12">
        <v>166</v>
      </c>
      <c r="J21" s="25">
        <v>7.6999999999999999E-2</v>
      </c>
    </row>
    <row r="22" spans="1:10">
      <c r="A22" s="23">
        <v>3541</v>
      </c>
      <c r="B22" s="13">
        <v>1577</v>
      </c>
      <c r="C22" s="12">
        <v>1.65</v>
      </c>
      <c r="D22" s="12">
        <v>525</v>
      </c>
      <c r="E22" s="13">
        <v>1052</v>
      </c>
      <c r="F22" s="12">
        <v>101</v>
      </c>
      <c r="G22" s="12">
        <v>644</v>
      </c>
      <c r="H22" s="12">
        <v>207</v>
      </c>
      <c r="I22" s="12">
        <v>100</v>
      </c>
      <c r="J22" s="25">
        <v>8.4000000000000005E-2</v>
      </c>
    </row>
    <row r="23" spans="1:10">
      <c r="A23" s="23">
        <v>3542</v>
      </c>
      <c r="B23" s="13">
        <v>1397</v>
      </c>
      <c r="C23" s="12">
        <v>2.17</v>
      </c>
      <c r="D23" s="12">
        <v>776</v>
      </c>
      <c r="E23" s="13">
        <v>621</v>
      </c>
      <c r="F23" s="12">
        <v>82</v>
      </c>
      <c r="G23" s="12">
        <v>285</v>
      </c>
      <c r="H23" s="12">
        <v>178</v>
      </c>
      <c r="I23" s="12">
        <v>76</v>
      </c>
      <c r="J23" s="25">
        <v>0.20799999999999999</v>
      </c>
    </row>
    <row r="24" spans="1:10">
      <c r="A24" s="23">
        <v>3543</v>
      </c>
      <c r="B24" s="13">
        <v>1477</v>
      </c>
      <c r="C24" s="12">
        <v>2.15</v>
      </c>
      <c r="D24" s="12">
        <v>767</v>
      </c>
      <c r="E24" s="13">
        <v>710</v>
      </c>
      <c r="F24" s="12">
        <v>70</v>
      </c>
      <c r="G24" s="12">
        <v>344</v>
      </c>
      <c r="H24" s="12">
        <v>198</v>
      </c>
      <c r="I24" s="12">
        <v>98</v>
      </c>
      <c r="J24" s="25">
        <v>0.23400000000000001</v>
      </c>
    </row>
    <row r="25" spans="1:10">
      <c r="A25" s="23">
        <v>3544</v>
      </c>
      <c r="B25" s="12">
        <v>810</v>
      </c>
      <c r="C25" s="12">
        <v>2.11</v>
      </c>
      <c r="D25" s="12">
        <v>400</v>
      </c>
      <c r="E25" s="13">
        <v>410</v>
      </c>
      <c r="F25" s="12">
        <v>54</v>
      </c>
      <c r="G25" s="12">
        <v>209</v>
      </c>
      <c r="H25" s="12">
        <v>84</v>
      </c>
      <c r="I25" s="12">
        <v>63</v>
      </c>
      <c r="J25" s="25">
        <v>0.22700000000000001</v>
      </c>
    </row>
    <row r="26" spans="1:10">
      <c r="A26" s="23">
        <v>3545</v>
      </c>
      <c r="B26" s="13">
        <v>1282</v>
      </c>
      <c r="C26" s="12">
        <v>1.86</v>
      </c>
      <c r="D26" s="12">
        <v>501</v>
      </c>
      <c r="E26" s="13">
        <v>781</v>
      </c>
      <c r="F26" s="12">
        <v>94</v>
      </c>
      <c r="G26" s="12">
        <v>501</v>
      </c>
      <c r="H26" s="12">
        <v>82</v>
      </c>
      <c r="I26" s="12">
        <v>104</v>
      </c>
      <c r="J26" s="25">
        <v>0.14099999999999999</v>
      </c>
    </row>
    <row r="27" spans="1:10">
      <c r="A27" s="23">
        <v>3546</v>
      </c>
      <c r="B27" s="13">
        <v>2003</v>
      </c>
      <c r="C27" s="12">
        <v>2.15</v>
      </c>
      <c r="D27" s="13">
        <v>1003</v>
      </c>
      <c r="E27" s="13">
        <v>1000</v>
      </c>
      <c r="F27" s="12">
        <v>115</v>
      </c>
      <c r="G27" s="12">
        <v>558</v>
      </c>
      <c r="H27" s="12">
        <v>242</v>
      </c>
      <c r="I27" s="12">
        <v>85</v>
      </c>
      <c r="J27" s="25">
        <v>0.24099999999999999</v>
      </c>
    </row>
    <row r="28" spans="1:10">
      <c r="A28" s="23">
        <v>3547</v>
      </c>
      <c r="B28" s="13">
        <v>1185</v>
      </c>
      <c r="C28" s="12">
        <v>2.09</v>
      </c>
      <c r="D28" s="12">
        <v>501</v>
      </c>
      <c r="E28" s="13">
        <v>684</v>
      </c>
      <c r="F28" s="12">
        <v>87</v>
      </c>
      <c r="G28" s="12">
        <v>312</v>
      </c>
      <c r="H28" s="12">
        <v>104</v>
      </c>
      <c r="I28" s="12">
        <v>181</v>
      </c>
      <c r="J28" s="25">
        <v>0.183</v>
      </c>
    </row>
    <row r="29" spans="1:10">
      <c r="A29" s="23">
        <v>3548</v>
      </c>
      <c r="B29" s="12">
        <v>975</v>
      </c>
      <c r="C29" s="12">
        <v>2.09</v>
      </c>
      <c r="D29" s="12">
        <v>378</v>
      </c>
      <c r="E29" s="13">
        <v>597</v>
      </c>
      <c r="F29" s="12">
        <v>74</v>
      </c>
      <c r="G29" s="12">
        <v>290</v>
      </c>
      <c r="H29" s="12">
        <v>81</v>
      </c>
      <c r="I29" s="12">
        <v>152</v>
      </c>
      <c r="J29" s="25">
        <v>0.17299999999999999</v>
      </c>
    </row>
    <row r="30" spans="1:10">
      <c r="A30" s="23">
        <v>3549</v>
      </c>
      <c r="B30" s="13">
        <v>2064</v>
      </c>
      <c r="C30" s="12">
        <v>2.5299999999999998</v>
      </c>
      <c r="D30" s="13">
        <v>1289</v>
      </c>
      <c r="E30" s="13">
        <v>775</v>
      </c>
      <c r="F30" s="12">
        <v>105</v>
      </c>
      <c r="G30" s="12">
        <v>432</v>
      </c>
      <c r="H30" s="12">
        <v>155</v>
      </c>
      <c r="I30" s="12">
        <v>83</v>
      </c>
      <c r="J30" s="25">
        <v>0.35899999999999999</v>
      </c>
    </row>
    <row r="31" spans="1:10">
      <c r="A31" s="23">
        <v>3550</v>
      </c>
      <c r="B31" s="13">
        <v>1313</v>
      </c>
      <c r="C31" s="12">
        <v>1.96</v>
      </c>
      <c r="D31" s="12">
        <v>537</v>
      </c>
      <c r="E31" s="13">
        <v>776</v>
      </c>
      <c r="F31" s="12">
        <v>72</v>
      </c>
      <c r="G31" s="12">
        <v>361</v>
      </c>
      <c r="H31" s="12">
        <v>244</v>
      </c>
      <c r="I31" s="12">
        <v>99</v>
      </c>
      <c r="J31" s="25">
        <v>0.158</v>
      </c>
    </row>
    <row r="32" spans="1:10">
      <c r="A32" s="23" t="s">
        <v>9</v>
      </c>
      <c r="B32" s="13">
        <v>42615</v>
      </c>
      <c r="C32" s="12">
        <v>2.0299999999999998</v>
      </c>
      <c r="D32" s="13">
        <v>17595</v>
      </c>
      <c r="E32" s="13">
        <v>25020</v>
      </c>
      <c r="F32" s="13">
        <v>2685</v>
      </c>
      <c r="G32" s="13">
        <v>13740</v>
      </c>
      <c r="H32" s="13">
        <v>3909</v>
      </c>
      <c r="I32" s="13">
        <v>4686</v>
      </c>
      <c r="J32" s="25">
        <v>0.17599999999999999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7"/>
  <sheetViews>
    <sheetView workbookViewId="0">
      <selection activeCell="A7" sqref="A7:I7"/>
    </sheetView>
  </sheetViews>
  <sheetFormatPr defaultRowHeight="11.25"/>
  <cols>
    <col min="1" max="16384" width="9.140625" style="4"/>
  </cols>
  <sheetData>
    <row r="1" spans="1:14" ht="34.5" customHeight="1">
      <c r="A1" s="26" t="s">
        <v>48</v>
      </c>
      <c r="B1" s="26"/>
      <c r="C1" s="26"/>
      <c r="D1" s="26"/>
      <c r="E1" s="26"/>
      <c r="F1" s="26"/>
      <c r="G1" s="26"/>
      <c r="H1" s="26"/>
      <c r="I1" s="26"/>
      <c r="J1" s="12"/>
      <c r="K1" s="12"/>
      <c r="L1" s="12"/>
      <c r="M1" s="12"/>
      <c r="N1" s="12"/>
    </row>
    <row r="2" spans="1:14" ht="34.5" customHeight="1">
      <c r="A2" s="16" t="s">
        <v>49</v>
      </c>
      <c r="B2" s="16"/>
      <c r="C2" s="16"/>
      <c r="D2" s="16"/>
      <c r="E2" s="16"/>
      <c r="F2" s="16"/>
      <c r="G2" s="16"/>
      <c r="H2" s="16"/>
      <c r="I2" s="16"/>
      <c r="J2" s="12"/>
      <c r="K2" s="12"/>
      <c r="L2" s="12"/>
      <c r="M2" s="12"/>
      <c r="N2" s="12"/>
    </row>
    <row r="3" spans="1:14" ht="34.5" customHeight="1">
      <c r="A3" s="16" t="s">
        <v>50</v>
      </c>
      <c r="B3" s="16"/>
      <c r="C3" s="16"/>
      <c r="D3" s="16"/>
      <c r="E3" s="16"/>
      <c r="F3" s="16"/>
      <c r="G3" s="16"/>
      <c r="H3" s="16"/>
      <c r="I3" s="16"/>
      <c r="J3" s="12"/>
      <c r="K3" s="12"/>
      <c r="L3" s="12"/>
      <c r="M3" s="12"/>
      <c r="N3" s="12"/>
    </row>
    <row r="4" spans="1:14" ht="34.5" customHeight="1">
      <c r="A4" s="16" t="s">
        <v>51</v>
      </c>
      <c r="B4" s="16"/>
      <c r="C4" s="16"/>
      <c r="D4" s="16"/>
      <c r="E4" s="16"/>
      <c r="F4" s="16"/>
      <c r="G4" s="16"/>
      <c r="H4" s="16"/>
      <c r="I4" s="16"/>
      <c r="J4" s="12"/>
      <c r="K4" s="12"/>
      <c r="L4" s="12"/>
      <c r="M4" s="12"/>
      <c r="N4" s="12"/>
    </row>
    <row r="5" spans="1:14" ht="30" customHeight="1">
      <c r="A5" s="16" t="s">
        <v>52</v>
      </c>
      <c r="B5" s="16"/>
      <c r="C5" s="16"/>
      <c r="D5" s="16"/>
      <c r="E5" s="16"/>
      <c r="F5" s="16"/>
      <c r="G5" s="16"/>
      <c r="H5" s="16"/>
      <c r="I5" s="16"/>
      <c r="J5" s="12"/>
      <c r="K5" s="12"/>
      <c r="L5" s="12"/>
      <c r="M5" s="12"/>
      <c r="N5" s="12"/>
    </row>
    <row r="6" spans="1:14">
      <c r="A6" s="12"/>
      <c r="B6" s="12"/>
      <c r="C6" s="12"/>
      <c r="D6" s="12"/>
      <c r="E6" s="12"/>
      <c r="F6" s="12"/>
      <c r="G6" s="12"/>
      <c r="H6" s="12"/>
      <c r="I6" s="12"/>
      <c r="J6" s="12"/>
      <c r="K6" s="12"/>
      <c r="L6" s="12"/>
      <c r="M6" s="12"/>
      <c r="N6" s="12"/>
    </row>
    <row r="7" spans="1:14" ht="15" customHeight="1">
      <c r="A7" s="16" t="s">
        <v>10</v>
      </c>
      <c r="B7" s="16"/>
      <c r="C7" s="16"/>
      <c r="D7" s="16"/>
      <c r="E7" s="16"/>
      <c r="F7" s="16"/>
      <c r="G7" s="16"/>
      <c r="H7" s="16"/>
      <c r="I7" s="16"/>
      <c r="J7" s="12"/>
      <c r="K7" s="12"/>
      <c r="L7" s="12"/>
      <c r="M7" s="12"/>
      <c r="N7" s="12"/>
    </row>
  </sheetData>
  <mergeCells count="6">
    <mergeCell ref="A4:I4"/>
    <mergeCell ref="A5:I5"/>
    <mergeCell ref="A7:I7"/>
    <mergeCell ref="A1:I1"/>
    <mergeCell ref="A2:I2"/>
    <mergeCell ref="A3:I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2"/>
  <sheetViews>
    <sheetView workbookViewId="0">
      <selection sqref="A1:A1048576"/>
    </sheetView>
  </sheetViews>
  <sheetFormatPr defaultRowHeight="11.25"/>
  <cols>
    <col min="1" max="1" width="9.140625" style="24"/>
    <col min="2" max="2" width="12.28515625" style="4" customWidth="1"/>
    <col min="3" max="3" width="12.28515625" style="33" customWidth="1"/>
    <col min="4" max="9" width="12.28515625" style="4" customWidth="1"/>
    <col min="10" max="16384" width="9.140625" style="4"/>
  </cols>
  <sheetData>
    <row r="1" spans="1:9" s="20" customFormat="1" ht="45">
      <c r="A1" s="22" t="s">
        <v>11</v>
      </c>
      <c r="B1" s="20" t="s">
        <v>54</v>
      </c>
      <c r="C1" s="30" t="s">
        <v>53</v>
      </c>
      <c r="D1" s="20" t="s">
        <v>55</v>
      </c>
      <c r="E1" s="20" t="s">
        <v>56</v>
      </c>
      <c r="F1" s="20" t="s">
        <v>57</v>
      </c>
      <c r="G1" s="20" t="s">
        <v>13</v>
      </c>
      <c r="H1" s="20" t="s">
        <v>62</v>
      </c>
      <c r="I1" s="20" t="s">
        <v>63</v>
      </c>
    </row>
    <row r="2" spans="1:9">
      <c r="A2" s="23">
        <v>3521</v>
      </c>
      <c r="B2" s="12">
        <v>545</v>
      </c>
      <c r="C2" s="31">
        <v>2.56</v>
      </c>
      <c r="D2" s="12">
        <v>92</v>
      </c>
      <c r="E2" s="12">
        <v>36</v>
      </c>
      <c r="F2" s="12">
        <v>301</v>
      </c>
      <c r="G2" s="12">
        <v>116</v>
      </c>
      <c r="H2" s="13">
        <v>1014</v>
      </c>
      <c r="I2" s="25">
        <v>8.2000000000000003E-2</v>
      </c>
    </row>
    <row r="3" spans="1:9">
      <c r="A3" s="23">
        <v>3522</v>
      </c>
      <c r="B3" s="12">
        <v>388</v>
      </c>
      <c r="C3" s="31">
        <v>2.81</v>
      </c>
      <c r="D3" s="12">
        <v>91</v>
      </c>
      <c r="E3" s="12">
        <v>46</v>
      </c>
      <c r="F3" s="12">
        <v>178</v>
      </c>
      <c r="G3" s="12">
        <v>73</v>
      </c>
      <c r="H3" s="13">
        <v>703</v>
      </c>
      <c r="I3" s="25">
        <v>0.126</v>
      </c>
    </row>
    <row r="4" spans="1:9">
      <c r="A4" s="23">
        <v>3523</v>
      </c>
      <c r="B4" s="12">
        <v>458</v>
      </c>
      <c r="C4" s="31">
        <v>2.88</v>
      </c>
      <c r="D4" s="12">
        <v>113</v>
      </c>
      <c r="E4" s="12">
        <v>62</v>
      </c>
      <c r="F4" s="12">
        <v>212</v>
      </c>
      <c r="G4" s="12">
        <v>71</v>
      </c>
      <c r="H4" s="13">
        <v>579</v>
      </c>
      <c r="I4" s="25">
        <v>0.16900000000000001</v>
      </c>
    </row>
    <row r="5" spans="1:9">
      <c r="A5" s="23">
        <v>3524</v>
      </c>
      <c r="B5" s="12">
        <v>459</v>
      </c>
      <c r="C5" s="31">
        <v>3.27</v>
      </c>
      <c r="D5" s="12">
        <v>111</v>
      </c>
      <c r="E5" s="12">
        <v>191</v>
      </c>
      <c r="F5" s="12">
        <v>70</v>
      </c>
      <c r="G5" s="12">
        <v>87</v>
      </c>
      <c r="H5" s="13">
        <v>251</v>
      </c>
      <c r="I5" s="25">
        <v>0.42499999999999999</v>
      </c>
    </row>
    <row r="6" spans="1:9">
      <c r="A6" s="23">
        <v>3525</v>
      </c>
      <c r="B6" s="12">
        <v>622</v>
      </c>
      <c r="C6" s="31">
        <v>3.28</v>
      </c>
      <c r="D6" s="12">
        <v>155</v>
      </c>
      <c r="E6" s="12">
        <v>177</v>
      </c>
      <c r="F6" s="12">
        <v>163</v>
      </c>
      <c r="G6" s="12">
        <v>127</v>
      </c>
      <c r="H6" s="13">
        <v>662</v>
      </c>
      <c r="I6" s="25">
        <v>0.25900000000000001</v>
      </c>
    </row>
    <row r="7" spans="1:9">
      <c r="A7" s="23">
        <v>3526</v>
      </c>
      <c r="B7" s="12">
        <v>584</v>
      </c>
      <c r="C7" s="31">
        <v>3.09</v>
      </c>
      <c r="D7" s="12">
        <v>161</v>
      </c>
      <c r="E7" s="12">
        <v>112</v>
      </c>
      <c r="F7" s="12">
        <v>223</v>
      </c>
      <c r="G7" s="12">
        <v>88</v>
      </c>
      <c r="H7" s="13">
        <v>484</v>
      </c>
      <c r="I7" s="25">
        <v>0.25600000000000001</v>
      </c>
    </row>
    <row r="8" spans="1:9">
      <c r="A8" s="23">
        <v>3527</v>
      </c>
      <c r="B8" s="12">
        <v>517</v>
      </c>
      <c r="C8" s="31">
        <v>3.03</v>
      </c>
      <c r="D8" s="12">
        <v>130</v>
      </c>
      <c r="E8" s="12">
        <v>125</v>
      </c>
      <c r="F8" s="12">
        <v>168</v>
      </c>
      <c r="G8" s="12">
        <v>94</v>
      </c>
      <c r="H8" s="13">
        <v>538</v>
      </c>
      <c r="I8" s="25">
        <v>0.24199999999999999</v>
      </c>
    </row>
    <row r="9" spans="1:9">
      <c r="A9" s="23">
        <v>3528</v>
      </c>
      <c r="B9" s="12">
        <v>497</v>
      </c>
      <c r="C9" s="31">
        <v>3.13</v>
      </c>
      <c r="D9" s="12">
        <v>128</v>
      </c>
      <c r="E9" s="12">
        <v>86</v>
      </c>
      <c r="F9" s="12">
        <v>186</v>
      </c>
      <c r="G9" s="12">
        <v>97</v>
      </c>
      <c r="H9" s="13">
        <v>457</v>
      </c>
      <c r="I9" s="25">
        <v>0.224</v>
      </c>
    </row>
    <row r="10" spans="1:9">
      <c r="A10" s="23">
        <v>3529</v>
      </c>
      <c r="B10" s="12">
        <v>480</v>
      </c>
      <c r="C10" s="31">
        <v>2.73</v>
      </c>
      <c r="D10" s="12">
        <v>146</v>
      </c>
      <c r="E10" s="12">
        <v>43</v>
      </c>
      <c r="F10" s="12">
        <v>242</v>
      </c>
      <c r="G10" s="12">
        <v>49</v>
      </c>
      <c r="H10" s="13">
        <v>833</v>
      </c>
      <c r="I10" s="25">
        <v>0.14399999999999999</v>
      </c>
    </row>
    <row r="11" spans="1:9">
      <c r="A11" s="23">
        <v>3530</v>
      </c>
      <c r="B11" s="12">
        <v>568</v>
      </c>
      <c r="C11" s="31">
        <v>2.76</v>
      </c>
      <c r="D11" s="12">
        <v>137</v>
      </c>
      <c r="E11" s="12">
        <v>99</v>
      </c>
      <c r="F11" s="12">
        <v>245</v>
      </c>
      <c r="G11" s="12">
        <v>87</v>
      </c>
      <c r="H11" s="13">
        <v>1273</v>
      </c>
      <c r="I11" s="25">
        <v>0.128</v>
      </c>
    </row>
    <row r="12" spans="1:9">
      <c r="A12" s="23">
        <v>3531</v>
      </c>
      <c r="B12" s="12">
        <v>689</v>
      </c>
      <c r="C12" s="31">
        <v>2.72</v>
      </c>
      <c r="D12" s="12">
        <v>198</v>
      </c>
      <c r="E12" s="12">
        <v>82</v>
      </c>
      <c r="F12" s="12">
        <v>336</v>
      </c>
      <c r="G12" s="12">
        <v>73</v>
      </c>
      <c r="H12" s="13">
        <v>836</v>
      </c>
      <c r="I12" s="25">
        <v>0.184</v>
      </c>
    </row>
    <row r="13" spans="1:9">
      <c r="A13" s="23">
        <v>3532</v>
      </c>
      <c r="B13" s="12">
        <v>579</v>
      </c>
      <c r="C13" s="31">
        <v>2.84</v>
      </c>
      <c r="D13" s="12">
        <v>163</v>
      </c>
      <c r="E13" s="12">
        <v>96</v>
      </c>
      <c r="F13" s="12">
        <v>229</v>
      </c>
      <c r="G13" s="12">
        <v>91</v>
      </c>
      <c r="H13" s="13">
        <v>879</v>
      </c>
      <c r="I13" s="25">
        <v>0.17799999999999999</v>
      </c>
    </row>
    <row r="14" spans="1:9">
      <c r="A14" s="23">
        <v>3533</v>
      </c>
      <c r="B14" s="12">
        <v>689</v>
      </c>
      <c r="C14" s="31">
        <v>2.78</v>
      </c>
      <c r="D14" s="12">
        <v>206</v>
      </c>
      <c r="E14" s="12">
        <v>109</v>
      </c>
      <c r="F14" s="12">
        <v>281</v>
      </c>
      <c r="G14" s="12">
        <v>93</v>
      </c>
      <c r="H14" s="13">
        <v>1048</v>
      </c>
      <c r="I14" s="25">
        <v>0.18099999999999999</v>
      </c>
    </row>
    <row r="15" spans="1:9">
      <c r="A15" s="23">
        <v>3534</v>
      </c>
      <c r="B15" s="12">
        <v>540</v>
      </c>
      <c r="C15" s="31">
        <v>3.01</v>
      </c>
      <c r="D15" s="12">
        <v>141</v>
      </c>
      <c r="E15" s="12">
        <v>138</v>
      </c>
      <c r="F15" s="12">
        <v>151</v>
      </c>
      <c r="G15" s="12">
        <v>110</v>
      </c>
      <c r="H15" s="13">
        <v>488</v>
      </c>
      <c r="I15" s="25">
        <v>0.27100000000000002</v>
      </c>
    </row>
    <row r="16" spans="1:9">
      <c r="A16" s="23">
        <v>3535</v>
      </c>
      <c r="B16" s="12">
        <v>499</v>
      </c>
      <c r="C16" s="31">
        <v>2.81</v>
      </c>
      <c r="D16" s="12">
        <v>123</v>
      </c>
      <c r="E16" s="12">
        <v>111</v>
      </c>
      <c r="F16" s="12">
        <v>175</v>
      </c>
      <c r="G16" s="12">
        <v>90</v>
      </c>
      <c r="H16" s="13">
        <v>783</v>
      </c>
      <c r="I16" s="25">
        <v>0.183</v>
      </c>
    </row>
    <row r="17" spans="1:9">
      <c r="A17" s="23">
        <v>3536</v>
      </c>
      <c r="B17" s="12">
        <v>606</v>
      </c>
      <c r="C17" s="31">
        <v>2.6</v>
      </c>
      <c r="D17" s="12">
        <v>174</v>
      </c>
      <c r="E17" s="12">
        <v>65</v>
      </c>
      <c r="F17" s="12">
        <v>305</v>
      </c>
      <c r="G17" s="12">
        <v>62</v>
      </c>
      <c r="H17" s="13">
        <v>1082</v>
      </c>
      <c r="I17" s="25">
        <v>0.14199999999999999</v>
      </c>
    </row>
    <row r="18" spans="1:9">
      <c r="A18" s="23">
        <v>3537</v>
      </c>
      <c r="B18" s="12">
        <v>494</v>
      </c>
      <c r="C18" s="31">
        <v>2.56</v>
      </c>
      <c r="D18" s="12">
        <v>112</v>
      </c>
      <c r="E18" s="12">
        <v>43</v>
      </c>
      <c r="F18" s="12">
        <v>270</v>
      </c>
      <c r="G18" s="12">
        <v>69</v>
      </c>
      <c r="H18" s="13">
        <v>1344</v>
      </c>
      <c r="I18" s="25">
        <v>8.4000000000000005E-2</v>
      </c>
    </row>
    <row r="19" spans="1:9">
      <c r="A19" s="23">
        <v>3538</v>
      </c>
      <c r="B19" s="12">
        <v>759</v>
      </c>
      <c r="C19" s="31">
        <v>2.4300000000000002</v>
      </c>
      <c r="D19" s="12">
        <v>164</v>
      </c>
      <c r="E19" s="12">
        <v>61</v>
      </c>
      <c r="F19" s="12">
        <v>450</v>
      </c>
      <c r="G19" s="12">
        <v>84</v>
      </c>
      <c r="H19" s="13">
        <v>2006</v>
      </c>
      <c r="I19" s="25">
        <v>8.1000000000000003E-2</v>
      </c>
    </row>
    <row r="20" spans="1:9">
      <c r="A20" s="23">
        <v>3539</v>
      </c>
      <c r="B20" s="12">
        <v>396</v>
      </c>
      <c r="C20" s="31">
        <v>2.61</v>
      </c>
      <c r="D20" s="12">
        <v>130</v>
      </c>
      <c r="E20" s="12">
        <v>37</v>
      </c>
      <c r="F20" s="12">
        <v>195</v>
      </c>
      <c r="G20" s="12">
        <v>34</v>
      </c>
      <c r="H20" s="13">
        <v>861</v>
      </c>
      <c r="I20" s="25">
        <v>0.13300000000000001</v>
      </c>
    </row>
    <row r="21" spans="1:9">
      <c r="A21" s="23">
        <v>3540</v>
      </c>
      <c r="B21" s="12">
        <v>549</v>
      </c>
      <c r="C21" s="31">
        <v>2.46</v>
      </c>
      <c r="D21" s="12">
        <v>130</v>
      </c>
      <c r="E21" s="12">
        <v>28</v>
      </c>
      <c r="F21" s="12">
        <v>350</v>
      </c>
      <c r="G21" s="12">
        <v>41</v>
      </c>
      <c r="H21" s="13">
        <v>1493</v>
      </c>
      <c r="I21" s="25">
        <v>7.6999999999999999E-2</v>
      </c>
    </row>
    <row r="22" spans="1:9">
      <c r="A22" s="23">
        <v>3541</v>
      </c>
      <c r="B22" s="12">
        <v>525</v>
      </c>
      <c r="C22" s="31">
        <v>2.39</v>
      </c>
      <c r="D22" s="12">
        <v>99</v>
      </c>
      <c r="E22" s="12">
        <v>33</v>
      </c>
      <c r="F22" s="12">
        <v>339</v>
      </c>
      <c r="G22" s="12">
        <v>54</v>
      </c>
      <c r="H22" s="13">
        <v>1052</v>
      </c>
      <c r="I22" s="25">
        <v>8.4000000000000005E-2</v>
      </c>
    </row>
    <row r="23" spans="1:9">
      <c r="A23" s="23">
        <v>3542</v>
      </c>
      <c r="B23" s="12">
        <v>776</v>
      </c>
      <c r="C23" s="31">
        <v>2.72</v>
      </c>
      <c r="D23" s="12">
        <v>246</v>
      </c>
      <c r="E23" s="12">
        <v>45</v>
      </c>
      <c r="F23" s="12">
        <v>429</v>
      </c>
      <c r="G23" s="12">
        <v>56</v>
      </c>
      <c r="H23" s="13">
        <v>621</v>
      </c>
      <c r="I23" s="25">
        <v>0.20799999999999999</v>
      </c>
    </row>
    <row r="24" spans="1:9">
      <c r="A24" s="23">
        <v>3543</v>
      </c>
      <c r="B24" s="12">
        <v>767</v>
      </c>
      <c r="C24" s="31">
        <v>2.89</v>
      </c>
      <c r="D24" s="12">
        <v>231</v>
      </c>
      <c r="E24" s="12">
        <v>115</v>
      </c>
      <c r="F24" s="12">
        <v>317</v>
      </c>
      <c r="G24" s="12">
        <v>104</v>
      </c>
      <c r="H24" s="13">
        <v>710</v>
      </c>
      <c r="I24" s="25">
        <v>0.23400000000000001</v>
      </c>
    </row>
    <row r="25" spans="1:9">
      <c r="A25" s="23">
        <v>3544</v>
      </c>
      <c r="B25" s="12">
        <v>400</v>
      </c>
      <c r="C25" s="31">
        <v>2.78</v>
      </c>
      <c r="D25" s="12">
        <v>131</v>
      </c>
      <c r="E25" s="12">
        <v>53</v>
      </c>
      <c r="F25" s="12">
        <v>154</v>
      </c>
      <c r="G25" s="12">
        <v>62</v>
      </c>
      <c r="H25" s="13">
        <v>410</v>
      </c>
      <c r="I25" s="25">
        <v>0.22700000000000001</v>
      </c>
    </row>
    <row r="26" spans="1:9">
      <c r="A26" s="23">
        <v>3545</v>
      </c>
      <c r="B26" s="12">
        <v>501</v>
      </c>
      <c r="C26" s="31">
        <v>2.59</v>
      </c>
      <c r="D26" s="12">
        <v>149</v>
      </c>
      <c r="E26" s="12">
        <v>32</v>
      </c>
      <c r="F26" s="12">
        <v>288</v>
      </c>
      <c r="G26" s="12">
        <v>32</v>
      </c>
      <c r="H26" s="13">
        <v>781</v>
      </c>
      <c r="I26" s="25">
        <v>0.14099999999999999</v>
      </c>
    </row>
    <row r="27" spans="1:9">
      <c r="A27" s="23">
        <v>3546</v>
      </c>
      <c r="B27" s="13">
        <v>1003</v>
      </c>
      <c r="C27" s="31">
        <v>2.99</v>
      </c>
      <c r="D27" s="12">
        <v>307</v>
      </c>
      <c r="E27" s="12">
        <v>176</v>
      </c>
      <c r="F27" s="12">
        <v>367</v>
      </c>
      <c r="G27" s="12">
        <v>153</v>
      </c>
      <c r="H27" s="13">
        <v>1000</v>
      </c>
      <c r="I27" s="25">
        <v>0.24099999999999999</v>
      </c>
    </row>
    <row r="28" spans="1:9">
      <c r="A28" s="23">
        <v>3547</v>
      </c>
      <c r="B28" s="12">
        <v>501</v>
      </c>
      <c r="C28" s="31">
        <v>2.71</v>
      </c>
      <c r="D28" s="12">
        <v>153</v>
      </c>
      <c r="E28" s="12">
        <v>64</v>
      </c>
      <c r="F28" s="12">
        <v>221</v>
      </c>
      <c r="G28" s="12">
        <v>63</v>
      </c>
      <c r="H28" s="13">
        <v>684</v>
      </c>
      <c r="I28" s="25">
        <v>0.183</v>
      </c>
    </row>
    <row r="29" spans="1:9">
      <c r="A29" s="23">
        <v>3548</v>
      </c>
      <c r="B29" s="12">
        <v>378</v>
      </c>
      <c r="C29" s="31">
        <v>2.88</v>
      </c>
      <c r="D29" s="12">
        <v>133</v>
      </c>
      <c r="E29" s="12">
        <v>36</v>
      </c>
      <c r="F29" s="12">
        <v>161</v>
      </c>
      <c r="G29" s="12">
        <v>48</v>
      </c>
      <c r="H29" s="13">
        <v>597</v>
      </c>
      <c r="I29" s="25">
        <v>0.17299999999999999</v>
      </c>
    </row>
    <row r="30" spans="1:9">
      <c r="A30" s="23">
        <v>3549</v>
      </c>
      <c r="B30" s="13">
        <v>1289</v>
      </c>
      <c r="C30" s="31">
        <v>3.17</v>
      </c>
      <c r="D30" s="12">
        <v>427</v>
      </c>
      <c r="E30" s="12">
        <v>313</v>
      </c>
      <c r="F30" s="12">
        <v>323</v>
      </c>
      <c r="G30" s="12">
        <v>226</v>
      </c>
      <c r="H30" s="13">
        <v>775</v>
      </c>
      <c r="I30" s="25">
        <v>0.35899999999999999</v>
      </c>
    </row>
    <row r="31" spans="1:9">
      <c r="A31" s="23">
        <v>3550</v>
      </c>
      <c r="B31" s="12">
        <v>537</v>
      </c>
      <c r="C31" s="31">
        <v>2.86</v>
      </c>
      <c r="D31" s="12">
        <v>154</v>
      </c>
      <c r="E31" s="12">
        <v>54</v>
      </c>
      <c r="F31" s="12">
        <v>244</v>
      </c>
      <c r="G31" s="12">
        <v>85</v>
      </c>
      <c r="H31" s="13">
        <v>776</v>
      </c>
      <c r="I31" s="25">
        <v>0.158</v>
      </c>
    </row>
    <row r="32" spans="1:9">
      <c r="A32" s="23" t="s">
        <v>9</v>
      </c>
      <c r="B32" s="13">
        <v>17595</v>
      </c>
      <c r="C32" s="32">
        <v>2.83</v>
      </c>
      <c r="D32" s="13">
        <v>4835</v>
      </c>
      <c r="E32" s="13">
        <v>2668</v>
      </c>
      <c r="F32" s="13">
        <v>7573</v>
      </c>
      <c r="G32" s="13">
        <v>2519</v>
      </c>
      <c r="H32" s="13">
        <v>25020</v>
      </c>
      <c r="I32" s="25">
        <v>0.17599999999999999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M6"/>
  <sheetViews>
    <sheetView workbookViewId="0">
      <selection sqref="A1:M1"/>
    </sheetView>
  </sheetViews>
  <sheetFormatPr defaultRowHeight="12.75"/>
  <cols>
    <col min="1" max="16384" width="9.140625" style="29"/>
  </cols>
  <sheetData>
    <row r="1" spans="1:13" s="28" customFormat="1" ht="30" customHeight="1">
      <c r="A1" s="27" t="s">
        <v>58</v>
      </c>
      <c r="B1" s="27"/>
      <c r="C1" s="27"/>
      <c r="D1" s="27"/>
      <c r="E1" s="27"/>
      <c r="F1" s="27"/>
      <c r="G1" s="27"/>
      <c r="H1" s="27"/>
      <c r="I1" s="27"/>
      <c r="J1" s="27"/>
      <c r="K1" s="27"/>
      <c r="L1" s="27"/>
      <c r="M1" s="27"/>
    </row>
    <row r="2" spans="1:13" s="28" customFormat="1" ht="30" customHeight="1">
      <c r="A2" s="27" t="s">
        <v>59</v>
      </c>
      <c r="B2" s="27"/>
      <c r="C2" s="27"/>
      <c r="D2" s="27"/>
      <c r="E2" s="27"/>
      <c r="F2" s="27"/>
      <c r="G2" s="27"/>
      <c r="H2" s="27"/>
      <c r="I2" s="27"/>
      <c r="J2" s="27"/>
      <c r="K2" s="27"/>
      <c r="L2" s="27"/>
      <c r="M2" s="27"/>
    </row>
    <row r="3" spans="1:13" s="28" customFormat="1" ht="26.25" customHeight="1">
      <c r="A3" s="27" t="s">
        <v>60</v>
      </c>
      <c r="B3" s="27"/>
      <c r="C3" s="27"/>
      <c r="D3" s="27"/>
      <c r="E3" s="27"/>
      <c r="F3" s="27"/>
      <c r="G3" s="27"/>
      <c r="H3" s="27"/>
      <c r="I3" s="27"/>
      <c r="J3" s="27"/>
      <c r="K3" s="27"/>
      <c r="L3" s="27"/>
      <c r="M3" s="27"/>
    </row>
    <row r="4" spans="1:13" s="28" customFormat="1" ht="26.25" customHeight="1">
      <c r="A4" s="27" t="s">
        <v>61</v>
      </c>
      <c r="B4" s="27"/>
      <c r="C4" s="27"/>
      <c r="D4" s="27"/>
      <c r="E4" s="27"/>
      <c r="F4" s="27"/>
      <c r="G4" s="27"/>
      <c r="H4" s="27"/>
      <c r="I4" s="27"/>
      <c r="J4" s="27"/>
      <c r="K4" s="27"/>
      <c r="L4" s="27"/>
      <c r="M4" s="27"/>
    </row>
    <row r="5" spans="1:13" s="28" customFormat="1" ht="15" customHeight="1">
      <c r="A5" s="27"/>
      <c r="B5" s="27"/>
      <c r="C5" s="27"/>
      <c r="D5" s="27"/>
      <c r="E5" s="27"/>
      <c r="F5" s="27"/>
      <c r="G5" s="27"/>
      <c r="H5" s="27"/>
      <c r="I5" s="27"/>
      <c r="J5" s="27"/>
      <c r="K5" s="27"/>
      <c r="L5" s="27"/>
      <c r="M5" s="27"/>
    </row>
    <row r="6" spans="1:13">
      <c r="A6" s="27" t="s">
        <v>10</v>
      </c>
      <c r="B6" s="27"/>
      <c r="C6" s="27"/>
      <c r="D6" s="27"/>
      <c r="E6" s="27"/>
      <c r="F6" s="27"/>
      <c r="G6" s="27"/>
      <c r="H6" s="27"/>
      <c r="I6" s="27"/>
      <c r="J6" s="27"/>
      <c r="K6" s="27"/>
      <c r="L6" s="27"/>
      <c r="M6" s="27"/>
    </row>
  </sheetData>
  <mergeCells count="6">
    <mergeCell ref="A1:M1"/>
    <mergeCell ref="A2:M2"/>
    <mergeCell ref="A3:M3"/>
    <mergeCell ref="A4:M4"/>
    <mergeCell ref="A5:M5"/>
    <mergeCell ref="A6:M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32"/>
  <sheetViews>
    <sheetView topLeftCell="A16" workbookViewId="0">
      <selection activeCell="J32" sqref="J32"/>
    </sheetView>
  </sheetViews>
  <sheetFormatPr defaultRowHeight="11.25"/>
  <cols>
    <col min="1" max="1" width="9.140625" style="24"/>
    <col min="2" max="9" width="12.28515625" style="4" customWidth="1"/>
    <col min="10" max="10" width="13.28515625" style="4" customWidth="1"/>
    <col min="11" max="16384" width="9.140625" style="4"/>
  </cols>
  <sheetData>
    <row r="1" spans="1:10" s="18" customFormat="1" ht="33.75">
      <c r="A1" s="22" t="s">
        <v>11</v>
      </c>
      <c r="B1" s="22" t="s">
        <v>29</v>
      </c>
      <c r="C1" s="22" t="s">
        <v>32</v>
      </c>
      <c r="D1" s="22" t="s">
        <v>19</v>
      </c>
      <c r="E1" s="22" t="s">
        <v>65</v>
      </c>
      <c r="F1" s="22" t="s">
        <v>68</v>
      </c>
      <c r="G1" s="22" t="s">
        <v>64</v>
      </c>
      <c r="H1" s="22" t="s">
        <v>69</v>
      </c>
      <c r="I1" s="22" t="s">
        <v>66</v>
      </c>
      <c r="J1" s="22" t="s">
        <v>67</v>
      </c>
    </row>
    <row r="2" spans="1:10">
      <c r="A2" s="23">
        <v>3521</v>
      </c>
      <c r="B2" s="13">
        <v>1814</v>
      </c>
      <c r="C2" s="12">
        <v>9</v>
      </c>
      <c r="D2" s="13">
        <v>1559</v>
      </c>
      <c r="E2" s="12">
        <v>553</v>
      </c>
      <c r="F2" s="35">
        <v>0.30499999999999999</v>
      </c>
      <c r="G2" s="13">
        <v>1006</v>
      </c>
      <c r="H2" s="34">
        <v>0.64500000000000002</v>
      </c>
      <c r="I2" s="12">
        <v>255</v>
      </c>
      <c r="J2" s="36">
        <v>0.14099999999999999</v>
      </c>
    </row>
    <row r="3" spans="1:10">
      <c r="A3" s="23">
        <v>3522</v>
      </c>
      <c r="B3" s="13">
        <v>1134</v>
      </c>
      <c r="C3" s="12">
        <v>30</v>
      </c>
      <c r="D3" s="13">
        <v>1091</v>
      </c>
      <c r="E3" s="12">
        <v>250</v>
      </c>
      <c r="F3" s="35">
        <v>0.22</v>
      </c>
      <c r="G3" s="12">
        <v>841</v>
      </c>
      <c r="H3" s="34">
        <v>0.77100000000000002</v>
      </c>
      <c r="I3" s="12">
        <v>43</v>
      </c>
      <c r="J3" s="36">
        <v>3.7999999999999999E-2</v>
      </c>
    </row>
    <row r="4" spans="1:10">
      <c r="A4" s="23">
        <v>3523</v>
      </c>
      <c r="B4" s="13">
        <v>1113</v>
      </c>
      <c r="C4" s="12">
        <v>8</v>
      </c>
      <c r="D4" s="13">
        <v>1037</v>
      </c>
      <c r="E4" s="12">
        <v>335</v>
      </c>
      <c r="F4" s="35">
        <v>0.30099999999999999</v>
      </c>
      <c r="G4" s="12">
        <v>702</v>
      </c>
      <c r="H4" s="34">
        <v>0.67700000000000005</v>
      </c>
      <c r="I4" s="12">
        <v>76</v>
      </c>
      <c r="J4" s="36">
        <v>6.8000000000000005E-2</v>
      </c>
    </row>
    <row r="5" spans="1:10">
      <c r="A5" s="23">
        <v>3524</v>
      </c>
      <c r="B5" s="12">
        <v>715</v>
      </c>
      <c r="C5" s="12">
        <v>6</v>
      </c>
      <c r="D5" s="12">
        <v>710</v>
      </c>
      <c r="E5" s="12">
        <v>132</v>
      </c>
      <c r="F5" s="35">
        <v>0.185</v>
      </c>
      <c r="G5" s="12">
        <v>578</v>
      </c>
      <c r="H5" s="34">
        <v>0.81399999999999995</v>
      </c>
      <c r="I5" s="12">
        <v>5</v>
      </c>
      <c r="J5" s="36">
        <v>7.0000000000000001E-3</v>
      </c>
    </row>
    <row r="6" spans="1:10">
      <c r="A6" s="23">
        <v>3525</v>
      </c>
      <c r="B6" s="13">
        <v>1334</v>
      </c>
      <c r="C6" s="12">
        <v>26</v>
      </c>
      <c r="D6" s="13">
        <v>1284</v>
      </c>
      <c r="E6" s="12">
        <v>343</v>
      </c>
      <c r="F6" s="35">
        <v>0.25700000000000001</v>
      </c>
      <c r="G6" s="12">
        <v>941</v>
      </c>
      <c r="H6" s="34">
        <v>0.73299999999999998</v>
      </c>
      <c r="I6" s="12">
        <v>50</v>
      </c>
      <c r="J6" s="36">
        <v>3.6999999999999998E-2</v>
      </c>
    </row>
    <row r="7" spans="1:10">
      <c r="A7" s="23">
        <v>3526</v>
      </c>
      <c r="B7" s="13">
        <v>1111</v>
      </c>
      <c r="C7" s="12">
        <v>19</v>
      </c>
      <c r="D7" s="13">
        <v>1068</v>
      </c>
      <c r="E7" s="12">
        <v>281</v>
      </c>
      <c r="F7" s="35">
        <v>0.253</v>
      </c>
      <c r="G7" s="12">
        <v>787</v>
      </c>
      <c r="H7" s="34">
        <v>0.73699999999999999</v>
      </c>
      <c r="I7" s="12">
        <v>43</v>
      </c>
      <c r="J7" s="36">
        <v>3.9E-2</v>
      </c>
    </row>
    <row r="8" spans="1:10">
      <c r="A8" s="23">
        <v>3527</v>
      </c>
      <c r="B8" s="13">
        <v>1095</v>
      </c>
      <c r="C8" s="12">
        <v>29</v>
      </c>
      <c r="D8" s="13">
        <v>1055</v>
      </c>
      <c r="E8" s="12">
        <v>208</v>
      </c>
      <c r="F8" s="35">
        <v>0.19</v>
      </c>
      <c r="G8" s="12">
        <v>847</v>
      </c>
      <c r="H8" s="34">
        <v>0.80300000000000005</v>
      </c>
      <c r="I8" s="12">
        <v>40</v>
      </c>
      <c r="J8" s="36">
        <v>3.6999999999999998E-2</v>
      </c>
    </row>
    <row r="9" spans="1:10">
      <c r="A9" s="23">
        <v>3528</v>
      </c>
      <c r="B9" s="12">
        <v>974</v>
      </c>
      <c r="C9" s="12">
        <v>24</v>
      </c>
      <c r="D9" s="12">
        <v>954</v>
      </c>
      <c r="E9" s="12">
        <v>291</v>
      </c>
      <c r="F9" s="35">
        <v>0.29899999999999999</v>
      </c>
      <c r="G9" s="12">
        <v>663</v>
      </c>
      <c r="H9" s="34">
        <v>0.69499999999999995</v>
      </c>
      <c r="I9" s="12">
        <v>20</v>
      </c>
      <c r="J9" s="36">
        <v>2.1000000000000001E-2</v>
      </c>
    </row>
    <row r="10" spans="1:10">
      <c r="A10" s="23">
        <v>3529</v>
      </c>
      <c r="B10" s="13">
        <v>1367</v>
      </c>
      <c r="C10" s="12">
        <v>19</v>
      </c>
      <c r="D10" s="13">
        <v>1313</v>
      </c>
      <c r="E10" s="12">
        <v>576</v>
      </c>
      <c r="F10" s="35">
        <v>0.42099999999999999</v>
      </c>
      <c r="G10" s="12">
        <v>737</v>
      </c>
      <c r="H10" s="34">
        <v>0.56100000000000005</v>
      </c>
      <c r="I10" s="12">
        <v>54</v>
      </c>
      <c r="J10" s="36">
        <v>0.04</v>
      </c>
    </row>
    <row r="11" spans="1:10">
      <c r="A11" s="23">
        <v>3530</v>
      </c>
      <c r="B11" s="13">
        <v>1915</v>
      </c>
      <c r="C11" s="12">
        <v>23</v>
      </c>
      <c r="D11" s="13">
        <v>1841</v>
      </c>
      <c r="E11" s="12">
        <v>439</v>
      </c>
      <c r="F11" s="35">
        <v>0.22900000000000001</v>
      </c>
      <c r="G11" s="13">
        <v>1402</v>
      </c>
      <c r="H11" s="34">
        <v>0.76200000000000001</v>
      </c>
      <c r="I11" s="12">
        <v>74</v>
      </c>
      <c r="J11" s="36">
        <v>3.9E-2</v>
      </c>
    </row>
    <row r="12" spans="1:10">
      <c r="A12" s="23">
        <v>3531</v>
      </c>
      <c r="B12" s="13">
        <v>1603</v>
      </c>
      <c r="C12" s="12">
        <v>5</v>
      </c>
      <c r="D12" s="13">
        <v>1525</v>
      </c>
      <c r="E12" s="12">
        <v>102</v>
      </c>
      <c r="F12" s="35">
        <v>6.4000000000000001E-2</v>
      </c>
      <c r="G12" s="13">
        <v>1423</v>
      </c>
      <c r="H12" s="34">
        <v>0.93300000000000005</v>
      </c>
      <c r="I12" s="12">
        <v>78</v>
      </c>
      <c r="J12" s="36">
        <v>4.9000000000000002E-2</v>
      </c>
    </row>
    <row r="13" spans="1:10">
      <c r="A13" s="23">
        <v>3532</v>
      </c>
      <c r="B13" s="13">
        <v>1501</v>
      </c>
      <c r="C13" s="12">
        <v>12</v>
      </c>
      <c r="D13" s="13">
        <v>1458</v>
      </c>
      <c r="E13" s="12">
        <v>482</v>
      </c>
      <c r="F13" s="35">
        <v>0.32100000000000001</v>
      </c>
      <c r="G13" s="12">
        <v>976</v>
      </c>
      <c r="H13" s="34">
        <v>0.66900000000000004</v>
      </c>
      <c r="I13" s="12">
        <v>43</v>
      </c>
      <c r="J13" s="36">
        <v>2.9000000000000001E-2</v>
      </c>
    </row>
    <row r="14" spans="1:10">
      <c r="A14" s="23">
        <v>3533</v>
      </c>
      <c r="B14" s="13">
        <v>1819</v>
      </c>
      <c r="C14" s="12">
        <v>16</v>
      </c>
      <c r="D14" s="13">
        <v>1737</v>
      </c>
      <c r="E14" s="12">
        <v>594</v>
      </c>
      <c r="F14" s="35">
        <v>0.32700000000000001</v>
      </c>
      <c r="G14" s="13">
        <v>1143</v>
      </c>
      <c r="H14" s="34">
        <v>0.65800000000000003</v>
      </c>
      <c r="I14" s="12">
        <v>82</v>
      </c>
      <c r="J14" s="36">
        <v>4.4999999999999998E-2</v>
      </c>
    </row>
    <row r="15" spans="1:10">
      <c r="A15" s="23">
        <v>3534</v>
      </c>
      <c r="B15" s="13">
        <v>1072</v>
      </c>
      <c r="C15" s="12">
        <v>15</v>
      </c>
      <c r="D15" s="13">
        <v>1028</v>
      </c>
      <c r="E15" s="12">
        <v>267</v>
      </c>
      <c r="F15" s="35">
        <v>0.249</v>
      </c>
      <c r="G15" s="12">
        <v>761</v>
      </c>
      <c r="H15" s="34">
        <v>0.74</v>
      </c>
      <c r="I15" s="12">
        <v>44</v>
      </c>
      <c r="J15" s="36">
        <v>4.1000000000000002E-2</v>
      </c>
    </row>
    <row r="16" spans="1:10">
      <c r="A16" s="23">
        <v>3535</v>
      </c>
      <c r="B16" s="13">
        <v>1322</v>
      </c>
      <c r="C16" s="12">
        <v>25</v>
      </c>
      <c r="D16" s="13">
        <v>1282</v>
      </c>
      <c r="E16" s="12">
        <v>369</v>
      </c>
      <c r="F16" s="35">
        <v>0.27900000000000003</v>
      </c>
      <c r="G16" s="12">
        <v>913</v>
      </c>
      <c r="H16" s="34">
        <v>0.71199999999999997</v>
      </c>
      <c r="I16" s="12">
        <v>40</v>
      </c>
      <c r="J16" s="36">
        <v>0.03</v>
      </c>
    </row>
    <row r="17" spans="1:10">
      <c r="A17" s="23">
        <v>3536</v>
      </c>
      <c r="B17" s="13">
        <v>1757</v>
      </c>
      <c r="C17" s="12">
        <v>10</v>
      </c>
      <c r="D17" s="13">
        <v>1688</v>
      </c>
      <c r="E17" s="12">
        <v>500</v>
      </c>
      <c r="F17" s="35">
        <v>0.28499999999999998</v>
      </c>
      <c r="G17" s="13">
        <v>1188</v>
      </c>
      <c r="H17" s="34">
        <v>0.70399999999999996</v>
      </c>
      <c r="I17" s="12">
        <v>69</v>
      </c>
      <c r="J17" s="36">
        <v>3.9E-2</v>
      </c>
    </row>
    <row r="18" spans="1:10">
      <c r="A18" s="23">
        <v>3537</v>
      </c>
      <c r="B18" s="13">
        <v>1977</v>
      </c>
      <c r="C18" s="12">
        <v>15</v>
      </c>
      <c r="D18" s="13">
        <v>1838</v>
      </c>
      <c r="E18" s="12">
        <v>448</v>
      </c>
      <c r="F18" s="35">
        <v>0.22700000000000001</v>
      </c>
      <c r="G18" s="13">
        <v>1390</v>
      </c>
      <c r="H18" s="34">
        <v>0.75600000000000001</v>
      </c>
      <c r="I18" s="12">
        <v>139</v>
      </c>
      <c r="J18" s="36">
        <v>7.0000000000000007E-2</v>
      </c>
    </row>
    <row r="19" spans="1:10">
      <c r="A19" s="23">
        <v>3538</v>
      </c>
      <c r="B19" s="13">
        <v>2926</v>
      </c>
      <c r="C19" s="12">
        <v>40</v>
      </c>
      <c r="D19" s="13">
        <v>2765</v>
      </c>
      <c r="E19" s="12">
        <v>790</v>
      </c>
      <c r="F19" s="35">
        <v>0.27</v>
      </c>
      <c r="G19" s="13">
        <v>1975</v>
      </c>
      <c r="H19" s="34">
        <v>0.71399999999999997</v>
      </c>
      <c r="I19" s="12">
        <v>161</v>
      </c>
      <c r="J19" s="36">
        <v>5.5E-2</v>
      </c>
    </row>
    <row r="20" spans="1:10">
      <c r="A20" s="23">
        <v>3539</v>
      </c>
      <c r="B20" s="13">
        <v>1285</v>
      </c>
      <c r="C20" s="12">
        <v>15</v>
      </c>
      <c r="D20" s="13">
        <v>1257</v>
      </c>
      <c r="E20" s="12">
        <v>116</v>
      </c>
      <c r="F20" s="35">
        <v>0.09</v>
      </c>
      <c r="G20" s="13">
        <v>1141</v>
      </c>
      <c r="H20" s="34">
        <v>0.90800000000000003</v>
      </c>
      <c r="I20" s="12">
        <v>28</v>
      </c>
      <c r="J20" s="36">
        <v>2.1999999999999999E-2</v>
      </c>
    </row>
    <row r="21" spans="1:10">
      <c r="A21" s="23">
        <v>3540</v>
      </c>
      <c r="B21" s="13">
        <v>2163</v>
      </c>
      <c r="C21" s="12">
        <v>18</v>
      </c>
      <c r="D21" s="13">
        <v>2042</v>
      </c>
      <c r="E21" s="12">
        <v>713</v>
      </c>
      <c r="F21" s="35">
        <v>0.33</v>
      </c>
      <c r="G21" s="13">
        <v>1329</v>
      </c>
      <c r="H21" s="34">
        <v>0.65100000000000002</v>
      </c>
      <c r="I21" s="12">
        <v>121</v>
      </c>
      <c r="J21" s="36">
        <v>5.6000000000000001E-2</v>
      </c>
    </row>
    <row r="22" spans="1:10">
      <c r="A22" s="23">
        <v>3541</v>
      </c>
      <c r="B22" s="13">
        <v>1723</v>
      </c>
      <c r="C22" s="12">
        <v>11</v>
      </c>
      <c r="D22" s="13">
        <v>1577</v>
      </c>
      <c r="E22" s="12">
        <v>727</v>
      </c>
      <c r="F22" s="35">
        <v>0.42199999999999999</v>
      </c>
      <c r="G22" s="12">
        <v>850</v>
      </c>
      <c r="H22" s="34">
        <v>0.53900000000000003</v>
      </c>
      <c r="I22" s="12">
        <v>146</v>
      </c>
      <c r="J22" s="36">
        <v>8.5000000000000006E-2</v>
      </c>
    </row>
    <row r="23" spans="1:10">
      <c r="A23" s="23">
        <v>3542</v>
      </c>
      <c r="B23" s="13">
        <v>1489</v>
      </c>
      <c r="C23" s="12">
        <v>4</v>
      </c>
      <c r="D23" s="13">
        <v>1397</v>
      </c>
      <c r="E23" s="12">
        <v>933</v>
      </c>
      <c r="F23" s="35">
        <v>0.627</v>
      </c>
      <c r="G23" s="12">
        <v>464</v>
      </c>
      <c r="H23" s="34">
        <v>0.33200000000000002</v>
      </c>
      <c r="I23" s="12">
        <v>92</v>
      </c>
      <c r="J23" s="36">
        <v>6.2E-2</v>
      </c>
    </row>
    <row r="24" spans="1:10">
      <c r="A24" s="23">
        <v>3543</v>
      </c>
      <c r="B24" s="13">
        <v>1545</v>
      </c>
      <c r="C24" s="12">
        <v>5</v>
      </c>
      <c r="D24" s="13">
        <v>1477</v>
      </c>
      <c r="E24" s="12">
        <v>585</v>
      </c>
      <c r="F24" s="35">
        <v>0.379</v>
      </c>
      <c r="G24" s="12">
        <v>892</v>
      </c>
      <c r="H24" s="34">
        <v>0.60399999999999998</v>
      </c>
      <c r="I24" s="12">
        <v>68</v>
      </c>
      <c r="J24" s="36">
        <v>4.3999999999999997E-2</v>
      </c>
    </row>
    <row r="25" spans="1:10">
      <c r="A25" s="23">
        <v>3544</v>
      </c>
      <c r="B25" s="12">
        <v>841</v>
      </c>
      <c r="C25" s="12">
        <v>12</v>
      </c>
      <c r="D25" s="12">
        <v>810</v>
      </c>
      <c r="E25" s="12">
        <v>433</v>
      </c>
      <c r="F25" s="35">
        <v>0.51500000000000001</v>
      </c>
      <c r="G25" s="12">
        <v>377</v>
      </c>
      <c r="H25" s="34">
        <v>0.46500000000000002</v>
      </c>
      <c r="I25" s="12">
        <v>31</v>
      </c>
      <c r="J25" s="36">
        <v>3.6999999999999998E-2</v>
      </c>
    </row>
    <row r="26" spans="1:10">
      <c r="A26" s="23">
        <v>3545</v>
      </c>
      <c r="B26" s="13">
        <v>1334</v>
      </c>
      <c r="C26" s="12">
        <v>14</v>
      </c>
      <c r="D26" s="13">
        <v>1282</v>
      </c>
      <c r="E26" s="12">
        <v>528</v>
      </c>
      <c r="F26" s="35">
        <v>0.39600000000000002</v>
      </c>
      <c r="G26" s="12">
        <v>754</v>
      </c>
      <c r="H26" s="34">
        <v>0.58799999999999997</v>
      </c>
      <c r="I26" s="12">
        <v>52</v>
      </c>
      <c r="J26" s="36">
        <v>3.9E-2</v>
      </c>
    </row>
    <row r="27" spans="1:10">
      <c r="A27" s="23">
        <v>3546</v>
      </c>
      <c r="B27" s="13">
        <v>2073</v>
      </c>
      <c r="C27" s="12">
        <v>6</v>
      </c>
      <c r="D27" s="13">
        <v>2003</v>
      </c>
      <c r="E27" s="12">
        <v>703</v>
      </c>
      <c r="F27" s="35">
        <v>0.33900000000000002</v>
      </c>
      <c r="G27" s="13">
        <v>1300</v>
      </c>
      <c r="H27" s="34">
        <v>0.64900000000000002</v>
      </c>
      <c r="I27" s="12">
        <v>70</v>
      </c>
      <c r="J27" s="36">
        <v>3.4000000000000002E-2</v>
      </c>
    </row>
    <row r="28" spans="1:10">
      <c r="A28" s="23">
        <v>3547</v>
      </c>
      <c r="B28" s="13">
        <v>1241</v>
      </c>
      <c r="C28" s="12">
        <v>14</v>
      </c>
      <c r="D28" s="13">
        <v>1185</v>
      </c>
      <c r="E28" s="12">
        <v>549</v>
      </c>
      <c r="F28" s="35">
        <v>0.442</v>
      </c>
      <c r="G28" s="12">
        <v>636</v>
      </c>
      <c r="H28" s="34">
        <v>0.53700000000000003</v>
      </c>
      <c r="I28" s="12">
        <v>56</v>
      </c>
      <c r="J28" s="36">
        <v>4.4999999999999998E-2</v>
      </c>
    </row>
    <row r="29" spans="1:10">
      <c r="A29" s="23">
        <v>3548</v>
      </c>
      <c r="B29" s="13">
        <v>1016</v>
      </c>
      <c r="C29" s="12">
        <v>13</v>
      </c>
      <c r="D29" s="12">
        <v>975</v>
      </c>
      <c r="E29" s="12">
        <v>460</v>
      </c>
      <c r="F29" s="35">
        <v>0.45300000000000001</v>
      </c>
      <c r="G29" s="12">
        <v>515</v>
      </c>
      <c r="H29" s="34">
        <v>0.52800000000000002</v>
      </c>
      <c r="I29" s="12">
        <v>41</v>
      </c>
      <c r="J29" s="36">
        <v>0.04</v>
      </c>
    </row>
    <row r="30" spans="1:10">
      <c r="A30" s="23">
        <v>3549</v>
      </c>
      <c r="B30" s="13">
        <v>2110</v>
      </c>
      <c r="C30" s="12">
        <v>7</v>
      </c>
      <c r="D30" s="13">
        <v>2064</v>
      </c>
      <c r="E30" s="12">
        <v>556</v>
      </c>
      <c r="F30" s="35">
        <v>0.26400000000000001</v>
      </c>
      <c r="G30" s="13">
        <v>1508</v>
      </c>
      <c r="H30" s="34">
        <v>0.73099999999999998</v>
      </c>
      <c r="I30" s="12">
        <v>46</v>
      </c>
      <c r="J30" s="36">
        <v>2.1999999999999999E-2</v>
      </c>
    </row>
    <row r="31" spans="1:10">
      <c r="A31" s="23">
        <v>3550</v>
      </c>
      <c r="B31" s="13">
        <v>1356</v>
      </c>
      <c r="C31" s="12">
        <v>12</v>
      </c>
      <c r="D31" s="13">
        <v>1313</v>
      </c>
      <c r="E31" s="12">
        <v>497</v>
      </c>
      <c r="F31" s="35">
        <v>0.36699999999999999</v>
      </c>
      <c r="G31" s="12">
        <v>816</v>
      </c>
      <c r="H31" s="34">
        <v>0.621</v>
      </c>
      <c r="I31" s="12">
        <v>43</v>
      </c>
      <c r="J31" s="36">
        <v>3.2000000000000001E-2</v>
      </c>
    </row>
    <row r="32" spans="1:10">
      <c r="A32" s="23" t="s">
        <v>9</v>
      </c>
      <c r="B32" s="13">
        <v>44725</v>
      </c>
      <c r="C32" s="12">
        <v>11</v>
      </c>
      <c r="D32" s="13">
        <v>42615</v>
      </c>
      <c r="E32" s="13">
        <v>13760</v>
      </c>
      <c r="F32" s="35">
        <v>0.308</v>
      </c>
      <c r="G32" s="13">
        <v>28855</v>
      </c>
      <c r="H32" s="34">
        <v>0.67700000000000005</v>
      </c>
      <c r="I32" s="13">
        <v>2110</v>
      </c>
      <c r="J32" s="36">
        <v>4.7E-2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4"/>
  <sheetViews>
    <sheetView workbookViewId="0">
      <selection sqref="A1:J1"/>
    </sheetView>
  </sheetViews>
  <sheetFormatPr defaultRowHeight="12.75"/>
  <sheetData>
    <row r="1" spans="1:10">
      <c r="A1" s="37" t="s">
        <v>70</v>
      </c>
      <c r="B1" s="37"/>
      <c r="C1" s="37"/>
      <c r="D1" s="37"/>
      <c r="E1" s="37"/>
      <c r="F1" s="37"/>
      <c r="G1" s="37"/>
      <c r="H1" s="37"/>
      <c r="I1" s="37"/>
      <c r="J1" s="37"/>
    </row>
    <row r="2" spans="1:10">
      <c r="A2" s="37" t="s">
        <v>71</v>
      </c>
      <c r="B2" s="37"/>
      <c r="C2" s="37"/>
      <c r="D2" s="37"/>
      <c r="E2" s="37"/>
      <c r="F2" s="37"/>
      <c r="G2" s="37"/>
      <c r="H2" s="37"/>
      <c r="I2" s="37"/>
      <c r="J2" s="37"/>
    </row>
    <row r="4" spans="1:10" ht="27" customHeight="1">
      <c r="A4" s="16" t="s">
        <v>20</v>
      </c>
      <c r="B4" s="16"/>
      <c r="C4" s="16"/>
      <c r="D4" s="16"/>
      <c r="E4" s="16"/>
      <c r="F4" s="16"/>
      <c r="G4" s="16"/>
      <c r="H4" s="16"/>
      <c r="I4" s="16"/>
    </row>
  </sheetData>
  <mergeCells count="3">
    <mergeCell ref="A4:I4"/>
    <mergeCell ref="A1:J1"/>
    <mergeCell ref="A2:J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2"/>
  <sheetViews>
    <sheetView workbookViewId="0"/>
  </sheetViews>
  <sheetFormatPr defaultRowHeight="11.25"/>
  <cols>
    <col min="1" max="1" width="9.5703125" style="24" customWidth="1"/>
    <col min="2" max="4" width="9.5703125" style="4" customWidth="1"/>
    <col min="5" max="5" width="10.42578125" style="4" customWidth="1"/>
    <col min="6" max="8" width="9.5703125" style="4" customWidth="1"/>
    <col min="9" max="9" width="11" style="4" customWidth="1"/>
    <col min="10" max="16384" width="9.140625" style="4"/>
  </cols>
  <sheetData>
    <row r="1" spans="1:9" s="20" customFormat="1" ht="45">
      <c r="A1" s="22" t="s">
        <v>21</v>
      </c>
      <c r="B1" s="20" t="s">
        <v>72</v>
      </c>
      <c r="C1" s="20" t="s">
        <v>73</v>
      </c>
      <c r="D1" s="20" t="s">
        <v>74</v>
      </c>
      <c r="E1" s="20" t="s">
        <v>75</v>
      </c>
      <c r="F1" s="20" t="s">
        <v>76</v>
      </c>
      <c r="G1" s="20" t="s">
        <v>77</v>
      </c>
      <c r="H1" s="20" t="s">
        <v>22</v>
      </c>
      <c r="I1" s="20" t="s">
        <v>78</v>
      </c>
    </row>
    <row r="2" spans="1:9">
      <c r="A2" s="23">
        <v>3521</v>
      </c>
      <c r="B2" s="38">
        <v>48529</v>
      </c>
      <c r="C2" s="39">
        <v>1.01</v>
      </c>
      <c r="D2" s="38">
        <v>71286</v>
      </c>
      <c r="E2" s="38">
        <v>75112</v>
      </c>
      <c r="F2" s="39">
        <v>1.26</v>
      </c>
      <c r="G2" s="38">
        <v>103889</v>
      </c>
      <c r="H2" s="38">
        <v>37755</v>
      </c>
      <c r="I2" s="40">
        <f>ROUND(H2/$H$32,2)</f>
        <v>1.21</v>
      </c>
    </row>
    <row r="3" spans="1:9">
      <c r="A3" s="23">
        <v>3522</v>
      </c>
      <c r="B3" s="38">
        <v>23750</v>
      </c>
      <c r="C3" s="39">
        <v>0.5</v>
      </c>
      <c r="D3" s="38">
        <v>38958</v>
      </c>
      <c r="E3" s="38">
        <v>42159</v>
      </c>
      <c r="F3" s="39">
        <v>0.71</v>
      </c>
      <c r="G3" s="38">
        <v>51539</v>
      </c>
      <c r="H3" s="38">
        <v>21560</v>
      </c>
      <c r="I3" s="40">
        <f>ROUND(H3/$H$32,2)</f>
        <v>0.69</v>
      </c>
    </row>
    <row r="4" spans="1:9">
      <c r="A4" s="23">
        <v>3523</v>
      </c>
      <c r="B4" s="38">
        <v>49850</v>
      </c>
      <c r="C4" s="39">
        <v>1.04</v>
      </c>
      <c r="D4" s="38">
        <v>55369</v>
      </c>
      <c r="E4" s="38">
        <v>60905</v>
      </c>
      <c r="F4" s="39">
        <v>1.02</v>
      </c>
      <c r="G4" s="38">
        <v>69435</v>
      </c>
      <c r="H4" s="38">
        <v>25882</v>
      </c>
      <c r="I4" s="40">
        <f>ROUND(H4/$H$32,2)</f>
        <v>0.83</v>
      </c>
    </row>
    <row r="5" spans="1:9">
      <c r="A5" s="23">
        <v>3524</v>
      </c>
      <c r="B5" s="38">
        <v>25938</v>
      </c>
      <c r="C5" s="39">
        <v>0.54</v>
      </c>
      <c r="D5" s="38">
        <v>48879</v>
      </c>
      <c r="E5" s="38">
        <v>24697</v>
      </c>
      <c r="F5" s="39">
        <v>0.42</v>
      </c>
      <c r="G5" s="38">
        <v>45685</v>
      </c>
      <c r="H5" s="38">
        <v>16518</v>
      </c>
      <c r="I5" s="40">
        <f>ROUND(H5/$H$32,2)</f>
        <v>0.53</v>
      </c>
    </row>
    <row r="6" spans="1:9">
      <c r="A6" s="23">
        <v>3525</v>
      </c>
      <c r="B6" s="38">
        <v>41716</v>
      </c>
      <c r="C6" s="39">
        <v>0.87</v>
      </c>
      <c r="D6" s="38">
        <v>52592</v>
      </c>
      <c r="E6" s="38">
        <v>42333</v>
      </c>
      <c r="F6" s="39">
        <v>0.71</v>
      </c>
      <c r="G6" s="38">
        <v>57595</v>
      </c>
      <c r="H6" s="38">
        <v>20831</v>
      </c>
      <c r="I6" s="40">
        <f>ROUND(H6/$H$32,2)</f>
        <v>0.67</v>
      </c>
    </row>
    <row r="7" spans="1:9">
      <c r="A7" s="23">
        <v>3526</v>
      </c>
      <c r="B7" s="38">
        <v>42863</v>
      </c>
      <c r="C7" s="39">
        <v>0.89</v>
      </c>
      <c r="D7" s="38">
        <v>50113</v>
      </c>
      <c r="E7" s="38">
        <v>43333</v>
      </c>
      <c r="F7" s="39">
        <v>0.73</v>
      </c>
      <c r="G7" s="38">
        <v>47203</v>
      </c>
      <c r="H7" s="38">
        <v>20626</v>
      </c>
      <c r="I7" s="40">
        <f>ROUND(H7/$H$32,2)</f>
        <v>0.66</v>
      </c>
    </row>
    <row r="8" spans="1:9">
      <c r="A8" s="23">
        <v>3527</v>
      </c>
      <c r="B8" s="38">
        <v>32685</v>
      </c>
      <c r="C8" s="39">
        <v>0.68</v>
      </c>
      <c r="D8" s="38">
        <v>37438</v>
      </c>
      <c r="E8" s="38">
        <v>36250</v>
      </c>
      <c r="F8" s="39">
        <v>0.61</v>
      </c>
      <c r="G8" s="38">
        <v>40334</v>
      </c>
      <c r="H8" s="38">
        <v>16266</v>
      </c>
      <c r="I8" s="40">
        <f>ROUND(H8/$H$32,2)</f>
        <v>0.52</v>
      </c>
    </row>
    <row r="9" spans="1:9">
      <c r="A9" s="23">
        <v>3528</v>
      </c>
      <c r="B9" s="38">
        <v>44191</v>
      </c>
      <c r="C9" s="39">
        <v>0.92</v>
      </c>
      <c r="D9" s="38">
        <v>67704</v>
      </c>
      <c r="E9" s="38">
        <v>42287</v>
      </c>
      <c r="F9" s="39">
        <v>0.71</v>
      </c>
      <c r="G9" s="38">
        <v>64647</v>
      </c>
      <c r="H9" s="38">
        <v>27651</v>
      </c>
      <c r="I9" s="40">
        <f>ROUND(H9/$H$32,2)</f>
        <v>0.89</v>
      </c>
    </row>
    <row r="10" spans="1:9">
      <c r="A10" s="23">
        <v>3529</v>
      </c>
      <c r="B10" s="38">
        <v>56607</v>
      </c>
      <c r="C10" s="39">
        <v>1.18</v>
      </c>
      <c r="D10" s="38">
        <v>75977</v>
      </c>
      <c r="E10" s="38">
        <v>81801</v>
      </c>
      <c r="F10" s="39">
        <v>1.38</v>
      </c>
      <c r="G10" s="38">
        <v>98236</v>
      </c>
      <c r="H10" s="38">
        <v>40094</v>
      </c>
      <c r="I10" s="40">
        <f>ROUND(H10/$H$32,2)</f>
        <v>1.29</v>
      </c>
    </row>
    <row r="11" spans="1:9">
      <c r="A11" s="23">
        <v>3530</v>
      </c>
      <c r="B11" s="38">
        <v>53421</v>
      </c>
      <c r="C11" s="39">
        <v>1.1100000000000001</v>
      </c>
      <c r="D11" s="38">
        <v>63995</v>
      </c>
      <c r="E11" s="38">
        <v>57039</v>
      </c>
      <c r="F11" s="39">
        <v>0.96</v>
      </c>
      <c r="G11" s="38">
        <v>69881</v>
      </c>
      <c r="H11" s="38">
        <v>31713</v>
      </c>
      <c r="I11" s="40">
        <f>ROUND(H11/$H$32,2)</f>
        <v>1.02</v>
      </c>
    </row>
    <row r="12" spans="1:9">
      <c r="A12" s="23">
        <v>3531</v>
      </c>
      <c r="B12" s="38">
        <v>36477</v>
      </c>
      <c r="C12" s="39">
        <v>0.76</v>
      </c>
      <c r="D12" s="38">
        <v>57358</v>
      </c>
      <c r="E12" s="38">
        <v>37661</v>
      </c>
      <c r="F12" s="39">
        <v>0.63</v>
      </c>
      <c r="G12" s="38">
        <v>64154</v>
      </c>
      <c r="H12" s="38">
        <v>15602</v>
      </c>
      <c r="I12" s="40">
        <f>ROUND(H12/$H$32,2)</f>
        <v>0.5</v>
      </c>
    </row>
    <row r="13" spans="1:9">
      <c r="A13" s="23">
        <v>3532</v>
      </c>
      <c r="B13" s="38">
        <v>49722</v>
      </c>
      <c r="C13" s="39">
        <v>1.04</v>
      </c>
      <c r="D13" s="38">
        <v>62681</v>
      </c>
      <c r="E13" s="38">
        <v>61442</v>
      </c>
      <c r="F13" s="39">
        <v>1.03</v>
      </c>
      <c r="G13" s="38">
        <v>75646</v>
      </c>
      <c r="H13" s="38">
        <v>28863</v>
      </c>
      <c r="I13" s="40">
        <f>ROUND(H13/$H$32,2)</f>
        <v>0.93</v>
      </c>
    </row>
    <row r="14" spans="1:9">
      <c r="A14" s="23">
        <v>3533</v>
      </c>
      <c r="B14" s="38">
        <v>50726</v>
      </c>
      <c r="C14" s="39">
        <v>1.06</v>
      </c>
      <c r="D14" s="38">
        <v>70150</v>
      </c>
      <c r="E14" s="38">
        <v>62009</v>
      </c>
      <c r="F14" s="39">
        <v>1.04</v>
      </c>
      <c r="G14" s="38">
        <v>88329</v>
      </c>
      <c r="H14" s="38">
        <v>34112</v>
      </c>
      <c r="I14" s="40">
        <f>ROUND(H14/$H$32,2)</f>
        <v>1.0900000000000001</v>
      </c>
    </row>
    <row r="15" spans="1:9">
      <c r="A15" s="23">
        <v>3534</v>
      </c>
      <c r="B15" s="38">
        <v>41581</v>
      </c>
      <c r="C15" s="39">
        <v>0.87</v>
      </c>
      <c r="D15" s="38">
        <v>52490</v>
      </c>
      <c r="E15" s="38">
        <v>45764</v>
      </c>
      <c r="F15" s="39">
        <v>0.77</v>
      </c>
      <c r="G15" s="38">
        <v>51087</v>
      </c>
      <c r="H15" s="38">
        <v>22500</v>
      </c>
      <c r="I15" s="40">
        <f>ROUND(H15/$H$32,2)</f>
        <v>0.72</v>
      </c>
    </row>
    <row r="16" spans="1:9">
      <c r="A16" s="23">
        <v>3535</v>
      </c>
      <c r="B16" s="38">
        <v>44583</v>
      </c>
      <c r="C16" s="39">
        <v>0.93</v>
      </c>
      <c r="D16" s="38">
        <v>60830</v>
      </c>
      <c r="E16" s="38">
        <v>52188</v>
      </c>
      <c r="F16" s="39">
        <v>0.88</v>
      </c>
      <c r="G16" s="38">
        <v>61884</v>
      </c>
      <c r="H16" s="38">
        <v>30586</v>
      </c>
      <c r="I16" s="40">
        <f>ROUND(H16/$H$32,2)</f>
        <v>0.98</v>
      </c>
    </row>
    <row r="17" spans="1:9">
      <c r="A17" s="23">
        <v>3536</v>
      </c>
      <c r="B17" s="38">
        <v>51270</v>
      </c>
      <c r="C17" s="39">
        <v>1.07</v>
      </c>
      <c r="D17" s="38">
        <v>77358</v>
      </c>
      <c r="E17" s="38">
        <v>72292</v>
      </c>
      <c r="F17" s="39">
        <v>1.22</v>
      </c>
      <c r="G17" s="38">
        <v>114240</v>
      </c>
      <c r="H17" s="38">
        <v>31024</v>
      </c>
      <c r="I17" s="40">
        <f>ROUND(H17/$H$32,2)</f>
        <v>1</v>
      </c>
    </row>
    <row r="18" spans="1:9">
      <c r="A18" s="23">
        <v>3537</v>
      </c>
      <c r="B18" s="38">
        <v>42178</v>
      </c>
      <c r="C18" s="39">
        <v>0.88</v>
      </c>
      <c r="D18" s="38">
        <v>59218</v>
      </c>
      <c r="E18" s="38">
        <v>83373</v>
      </c>
      <c r="F18" s="39">
        <v>1.4</v>
      </c>
      <c r="G18" s="38">
        <v>103324</v>
      </c>
      <c r="H18" s="38">
        <v>23177</v>
      </c>
      <c r="I18" s="40">
        <f>ROUND(H18/$H$32,2)</f>
        <v>0.74</v>
      </c>
    </row>
    <row r="19" spans="1:9">
      <c r="A19" s="23">
        <v>3538</v>
      </c>
      <c r="B19" s="38">
        <v>46940</v>
      </c>
      <c r="C19" s="39">
        <v>0.98</v>
      </c>
      <c r="D19" s="38">
        <v>66182</v>
      </c>
      <c r="E19" s="38">
        <v>65945</v>
      </c>
      <c r="F19" s="39">
        <v>1.1100000000000001</v>
      </c>
      <c r="G19" s="38">
        <v>89002</v>
      </c>
      <c r="H19" s="38">
        <v>39307</v>
      </c>
      <c r="I19" s="40">
        <f>ROUND(H19/$H$32,2)</f>
        <v>1.26</v>
      </c>
    </row>
    <row r="20" spans="1:9">
      <c r="A20" s="23">
        <v>3539</v>
      </c>
      <c r="B20" s="38">
        <v>32222</v>
      </c>
      <c r="C20" s="39">
        <v>0.67</v>
      </c>
      <c r="D20" s="38">
        <v>48867</v>
      </c>
      <c r="E20" s="38">
        <v>35313</v>
      </c>
      <c r="F20" s="39">
        <v>0.59</v>
      </c>
      <c r="G20" s="38">
        <v>65073</v>
      </c>
      <c r="H20" s="38">
        <v>15647</v>
      </c>
      <c r="I20" s="40">
        <f>ROUND(H20/$H$32,2)</f>
        <v>0.5</v>
      </c>
    </row>
    <row r="21" spans="1:9">
      <c r="A21" s="23">
        <v>3540</v>
      </c>
      <c r="B21" s="38">
        <v>60533</v>
      </c>
      <c r="C21" s="39">
        <v>1.26</v>
      </c>
      <c r="D21" s="38">
        <v>73159</v>
      </c>
      <c r="E21" s="38">
        <v>93225</v>
      </c>
      <c r="F21" s="39">
        <v>1.57</v>
      </c>
      <c r="G21" s="38">
        <v>110880</v>
      </c>
      <c r="H21" s="38">
        <v>35216</v>
      </c>
      <c r="I21" s="40">
        <f>ROUND(H21/$H$32,2)</f>
        <v>1.1299999999999999</v>
      </c>
    </row>
    <row r="22" spans="1:9">
      <c r="A22" s="23">
        <v>3541</v>
      </c>
      <c r="B22" s="38">
        <v>70848</v>
      </c>
      <c r="C22" s="39">
        <v>1.48</v>
      </c>
      <c r="D22" s="38">
        <v>120162</v>
      </c>
      <c r="E22" s="38">
        <v>121954</v>
      </c>
      <c r="F22" s="39">
        <v>2.0499999999999998</v>
      </c>
      <c r="G22" s="38">
        <v>189881</v>
      </c>
      <c r="H22" s="38">
        <v>72595</v>
      </c>
      <c r="I22" s="40">
        <f>ROUND(H22/$H$32,2)</f>
        <v>2.33</v>
      </c>
    </row>
    <row r="23" spans="1:9">
      <c r="A23" s="23">
        <v>3542</v>
      </c>
      <c r="B23" s="38">
        <v>100898</v>
      </c>
      <c r="C23" s="39">
        <v>2.1</v>
      </c>
      <c r="D23" s="38">
        <v>178452</v>
      </c>
      <c r="E23" s="38">
        <v>140829</v>
      </c>
      <c r="F23" s="39">
        <v>2.37</v>
      </c>
      <c r="G23" s="38">
        <v>233950</v>
      </c>
      <c r="H23" s="38">
        <v>79384</v>
      </c>
      <c r="I23" s="40">
        <f>ROUND(H23/$H$32,2)</f>
        <v>2.5499999999999998</v>
      </c>
    </row>
    <row r="24" spans="1:9">
      <c r="A24" s="23">
        <v>3543</v>
      </c>
      <c r="B24" s="38">
        <v>51357</v>
      </c>
      <c r="C24" s="39">
        <v>1.07</v>
      </c>
      <c r="D24" s="38">
        <v>73676</v>
      </c>
      <c r="E24" s="38">
        <v>69286</v>
      </c>
      <c r="F24" s="39">
        <v>1.17</v>
      </c>
      <c r="G24" s="38">
        <v>88221</v>
      </c>
      <c r="H24" s="38">
        <v>32979</v>
      </c>
      <c r="I24" s="40">
        <f>ROUND(H24/$H$32,2)</f>
        <v>1.06</v>
      </c>
    </row>
    <row r="25" spans="1:9">
      <c r="A25" s="23">
        <v>3544</v>
      </c>
      <c r="B25" s="38">
        <v>76808</v>
      </c>
      <c r="C25" s="39">
        <v>1.6</v>
      </c>
      <c r="D25" s="38">
        <v>93278</v>
      </c>
      <c r="E25" s="38">
        <v>83788</v>
      </c>
      <c r="F25" s="39">
        <v>1.41</v>
      </c>
      <c r="G25" s="38">
        <v>100362</v>
      </c>
      <c r="H25" s="38">
        <v>44568</v>
      </c>
      <c r="I25" s="40">
        <f>ROUND(H25/$H$32,2)</f>
        <v>1.43</v>
      </c>
    </row>
    <row r="26" spans="1:9">
      <c r="A26" s="23">
        <v>3545</v>
      </c>
      <c r="B26" s="38">
        <v>67415</v>
      </c>
      <c r="C26" s="39">
        <v>1.41</v>
      </c>
      <c r="D26" s="38">
        <v>114447</v>
      </c>
      <c r="E26" s="38">
        <v>92124</v>
      </c>
      <c r="F26" s="39">
        <v>1.55</v>
      </c>
      <c r="G26" s="38">
        <v>163400</v>
      </c>
      <c r="H26" s="38">
        <v>62241</v>
      </c>
      <c r="I26" s="40">
        <f>ROUND(H26/$H$32,2)</f>
        <v>2</v>
      </c>
    </row>
    <row r="27" spans="1:9">
      <c r="A27" s="23">
        <v>3546</v>
      </c>
      <c r="B27" s="38">
        <v>48608</v>
      </c>
      <c r="C27" s="39">
        <v>1.01</v>
      </c>
      <c r="D27" s="38">
        <v>65341</v>
      </c>
      <c r="E27" s="38">
        <v>50111</v>
      </c>
      <c r="F27" s="39">
        <v>0.84</v>
      </c>
      <c r="G27" s="38">
        <v>70283</v>
      </c>
      <c r="H27" s="38">
        <v>30668</v>
      </c>
      <c r="I27" s="40">
        <f>ROUND(H27/$H$32,2)</f>
        <v>0.98</v>
      </c>
    </row>
    <row r="28" spans="1:9">
      <c r="A28" s="23">
        <v>3547</v>
      </c>
      <c r="B28" s="38">
        <v>68750</v>
      </c>
      <c r="C28" s="39">
        <v>1.43</v>
      </c>
      <c r="D28" s="38">
        <v>96086</v>
      </c>
      <c r="E28" s="38">
        <v>104921</v>
      </c>
      <c r="F28" s="39">
        <v>1.77</v>
      </c>
      <c r="G28" s="38">
        <v>130255</v>
      </c>
      <c r="H28" s="38">
        <v>45728</v>
      </c>
      <c r="I28" s="40">
        <f>ROUND(H28/$H$32,2)</f>
        <v>1.47</v>
      </c>
    </row>
    <row r="29" spans="1:9">
      <c r="A29" s="23">
        <v>3548</v>
      </c>
      <c r="B29" s="38">
        <v>60393</v>
      </c>
      <c r="C29" s="39">
        <v>1.26</v>
      </c>
      <c r="D29" s="38">
        <v>74179</v>
      </c>
      <c r="E29" s="38">
        <v>76813</v>
      </c>
      <c r="F29" s="39">
        <v>1.29</v>
      </c>
      <c r="G29" s="38">
        <v>99364</v>
      </c>
      <c r="H29" s="38">
        <v>35869</v>
      </c>
      <c r="I29" s="40">
        <f>ROUND(H29/$H$32,2)</f>
        <v>1.1499999999999999</v>
      </c>
    </row>
    <row r="30" spans="1:9">
      <c r="A30" s="23">
        <v>3549</v>
      </c>
      <c r="B30" s="38">
        <v>33397</v>
      </c>
      <c r="C30" s="39">
        <v>0.7</v>
      </c>
      <c r="D30" s="38">
        <v>52312</v>
      </c>
      <c r="E30" s="38">
        <v>37973</v>
      </c>
      <c r="F30" s="39">
        <v>0.64</v>
      </c>
      <c r="G30" s="38">
        <v>56150</v>
      </c>
      <c r="H30" s="38">
        <v>21232</v>
      </c>
      <c r="I30" s="40">
        <f>ROUND(H30/$H$32,2)</f>
        <v>0.68</v>
      </c>
    </row>
    <row r="31" spans="1:9">
      <c r="A31" s="23">
        <v>3550</v>
      </c>
      <c r="B31" s="38">
        <v>43021</v>
      </c>
      <c r="C31" s="39">
        <v>0.9</v>
      </c>
      <c r="D31" s="38">
        <v>54267</v>
      </c>
      <c r="E31" s="38">
        <v>60417</v>
      </c>
      <c r="F31" s="39">
        <v>1.02</v>
      </c>
      <c r="G31" s="38">
        <v>71131</v>
      </c>
      <c r="H31" s="38">
        <v>27169</v>
      </c>
      <c r="I31" s="40">
        <f>ROUND(H31/$H$32,2)</f>
        <v>0.87</v>
      </c>
    </row>
    <row r="32" spans="1:9">
      <c r="A32" s="23" t="s">
        <v>9</v>
      </c>
      <c r="B32" s="38">
        <v>47979</v>
      </c>
      <c r="C32" s="39">
        <v>1</v>
      </c>
      <c r="D32" s="38">
        <v>70887</v>
      </c>
      <c r="E32" s="38">
        <v>59423</v>
      </c>
      <c r="F32" s="39">
        <v>1</v>
      </c>
      <c r="G32" s="38">
        <v>90791</v>
      </c>
      <c r="H32" s="38">
        <v>31156</v>
      </c>
      <c r="I32" s="40">
        <f>ROUND(H32/$H$32,2)</f>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6"/>
  <sheetViews>
    <sheetView workbookViewId="0">
      <selection sqref="A1:I1"/>
    </sheetView>
  </sheetViews>
  <sheetFormatPr defaultRowHeight="12.75"/>
  <sheetData>
    <row r="1" spans="1:9" s="4" customFormat="1" ht="69" customHeight="1">
      <c r="A1" s="16" t="s">
        <v>23</v>
      </c>
      <c r="B1" s="16"/>
      <c r="C1" s="16"/>
      <c r="D1" s="16"/>
      <c r="E1" s="16"/>
      <c r="F1" s="16"/>
      <c r="G1" s="16"/>
      <c r="H1" s="16"/>
      <c r="I1" s="16"/>
    </row>
    <row r="2" spans="1:9" s="4" customFormat="1" ht="11.25">
      <c r="A2" s="16" t="s">
        <v>79</v>
      </c>
      <c r="B2" s="16"/>
      <c r="C2" s="16"/>
      <c r="D2" s="16"/>
      <c r="E2" s="16"/>
      <c r="F2" s="16"/>
      <c r="G2" s="16"/>
      <c r="H2" s="16"/>
      <c r="I2" s="16"/>
    </row>
    <row r="3" spans="1:9" s="4" customFormat="1" ht="23.25" customHeight="1">
      <c r="A3" s="16" t="s">
        <v>80</v>
      </c>
      <c r="B3" s="16"/>
      <c r="C3" s="16"/>
      <c r="D3" s="16"/>
      <c r="E3" s="16"/>
      <c r="F3" s="16"/>
      <c r="G3" s="16"/>
      <c r="H3" s="16"/>
      <c r="I3" s="16"/>
    </row>
    <row r="4" spans="1:9" s="4" customFormat="1" ht="11.25">
      <c r="A4" s="16" t="s">
        <v>81</v>
      </c>
      <c r="B4" s="16"/>
      <c r="C4" s="16"/>
      <c r="D4" s="16"/>
      <c r="E4" s="16"/>
      <c r="F4" s="16"/>
      <c r="G4" s="16"/>
      <c r="H4" s="16"/>
      <c r="I4" s="16"/>
    </row>
    <row r="5" spans="1:9" s="4" customFormat="1" ht="11.25">
      <c r="A5" s="14"/>
      <c r="B5" s="14"/>
      <c r="C5" s="14"/>
      <c r="D5" s="14"/>
      <c r="E5" s="14"/>
      <c r="F5" s="14"/>
      <c r="G5" s="14"/>
      <c r="H5" s="14"/>
    </row>
    <row r="6" spans="1:9" s="4" customFormat="1" ht="15" customHeight="1">
      <c r="A6" s="14" t="s">
        <v>24</v>
      </c>
      <c r="B6" s="14"/>
      <c r="C6" s="14"/>
      <c r="D6" s="14"/>
      <c r="E6" s="14"/>
      <c r="F6" s="14"/>
      <c r="G6" s="14"/>
      <c r="H6" s="14"/>
    </row>
  </sheetData>
  <mergeCells count="6">
    <mergeCell ref="A5:H5"/>
    <mergeCell ref="A6:H6"/>
    <mergeCell ref="A2:I2"/>
    <mergeCell ref="A3:I3"/>
    <mergeCell ref="A4:I4"/>
    <mergeCell ref="A1:I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32"/>
  <sheetViews>
    <sheetView workbookViewId="0"/>
  </sheetViews>
  <sheetFormatPr defaultRowHeight="11.25"/>
  <cols>
    <col min="1" max="1" width="9.140625" style="24"/>
    <col min="2" max="6" width="11.42578125" style="4" customWidth="1"/>
    <col min="7" max="16384" width="9.140625" style="4"/>
  </cols>
  <sheetData>
    <row r="1" spans="1:6" s="20" customFormat="1" ht="33.75">
      <c r="A1" s="22" t="s">
        <v>21</v>
      </c>
      <c r="B1" s="20" t="s">
        <v>83</v>
      </c>
      <c r="C1" s="20" t="s">
        <v>84</v>
      </c>
      <c r="D1" s="20" t="s">
        <v>85</v>
      </c>
      <c r="E1" s="20" t="s">
        <v>86</v>
      </c>
      <c r="F1" s="20" t="s">
        <v>87</v>
      </c>
    </row>
    <row r="2" spans="1:6">
      <c r="A2" s="23">
        <v>3521</v>
      </c>
      <c r="B2" s="12">
        <v>556</v>
      </c>
      <c r="C2" s="39">
        <v>0.2</v>
      </c>
      <c r="D2" s="39">
        <v>0.23</v>
      </c>
      <c r="E2" s="39">
        <v>0.19</v>
      </c>
      <c r="F2" s="39">
        <v>0.17</v>
      </c>
    </row>
    <row r="3" spans="1:6">
      <c r="A3" s="23">
        <v>3522</v>
      </c>
      <c r="B3" s="12">
        <v>333</v>
      </c>
      <c r="C3" s="39">
        <v>0.17</v>
      </c>
      <c r="D3" s="39">
        <v>0.06</v>
      </c>
      <c r="E3" s="39">
        <v>0.16</v>
      </c>
      <c r="F3" s="39">
        <v>0.24</v>
      </c>
    </row>
    <row r="4" spans="1:6">
      <c r="A4" s="23">
        <v>3523</v>
      </c>
      <c r="B4" s="12">
        <v>337</v>
      </c>
      <c r="C4" s="39">
        <v>0.15</v>
      </c>
      <c r="D4" s="39">
        <v>0.13</v>
      </c>
      <c r="E4" s="39">
        <v>0.15</v>
      </c>
      <c r="F4" s="39">
        <v>0.21</v>
      </c>
    </row>
    <row r="5" spans="1:6">
      <c r="A5" s="23">
        <v>3524</v>
      </c>
      <c r="B5" s="12">
        <v>524</v>
      </c>
      <c r="C5" s="39">
        <v>0.26</v>
      </c>
      <c r="D5" s="39">
        <v>0.36</v>
      </c>
      <c r="E5" s="39">
        <v>0.21</v>
      </c>
      <c r="F5" s="39">
        <v>0.43</v>
      </c>
    </row>
    <row r="6" spans="1:6">
      <c r="A6" s="23">
        <v>3525</v>
      </c>
      <c r="B6" s="12">
        <v>681</v>
      </c>
      <c r="C6" s="39">
        <v>0.21</v>
      </c>
      <c r="D6" s="39">
        <v>0.27</v>
      </c>
      <c r="E6" s="39">
        <v>0.18</v>
      </c>
      <c r="F6" s="39">
        <v>0.28000000000000003</v>
      </c>
    </row>
    <row r="7" spans="1:6">
      <c r="A7" s="23">
        <v>3526</v>
      </c>
      <c r="B7" s="12">
        <v>321</v>
      </c>
      <c r="C7" s="39">
        <v>0.12</v>
      </c>
      <c r="D7" s="39">
        <v>0.13</v>
      </c>
      <c r="E7" s="39">
        <v>0.13</v>
      </c>
      <c r="F7" s="39">
        <v>0.08</v>
      </c>
    </row>
    <row r="8" spans="1:6">
      <c r="A8" s="23">
        <v>3527</v>
      </c>
      <c r="B8" s="12">
        <v>527</v>
      </c>
      <c r="C8" s="39">
        <v>0.23</v>
      </c>
      <c r="D8" s="39">
        <v>0.36</v>
      </c>
      <c r="E8" s="39">
        <v>0.17</v>
      </c>
      <c r="F8" s="39">
        <v>0.3</v>
      </c>
    </row>
    <row r="9" spans="1:6">
      <c r="A9" s="23">
        <v>3528</v>
      </c>
      <c r="B9" s="12">
        <v>257</v>
      </c>
      <c r="C9" s="39">
        <v>0.1</v>
      </c>
      <c r="D9" s="39">
        <v>0.1</v>
      </c>
      <c r="E9" s="39">
        <v>0.1</v>
      </c>
      <c r="F9" s="39">
        <v>0.15</v>
      </c>
    </row>
    <row r="10" spans="1:6">
      <c r="A10" s="23">
        <v>3529</v>
      </c>
      <c r="B10" s="12">
        <v>130</v>
      </c>
      <c r="C10" s="39">
        <v>0.05</v>
      </c>
      <c r="D10" s="39">
        <v>0.04</v>
      </c>
      <c r="E10" s="39">
        <v>0.05</v>
      </c>
      <c r="F10" s="39">
        <v>0.06</v>
      </c>
    </row>
    <row r="11" spans="1:6">
      <c r="A11" s="23">
        <v>3530</v>
      </c>
      <c r="B11" s="12">
        <v>509</v>
      </c>
      <c r="C11" s="39">
        <v>0.14000000000000001</v>
      </c>
      <c r="D11" s="39">
        <v>0.1</v>
      </c>
      <c r="E11" s="39">
        <v>0.12</v>
      </c>
      <c r="F11" s="39">
        <v>0.28999999999999998</v>
      </c>
    </row>
    <row r="12" spans="1:6">
      <c r="A12" s="23">
        <v>3531</v>
      </c>
      <c r="B12" s="12">
        <v>864</v>
      </c>
      <c r="C12" s="39">
        <v>0.24</v>
      </c>
      <c r="D12" s="39">
        <v>0.35</v>
      </c>
      <c r="E12" s="39">
        <v>0.22</v>
      </c>
      <c r="F12" s="39">
        <v>0.19</v>
      </c>
    </row>
    <row r="13" spans="1:6">
      <c r="A13" s="23">
        <v>3532</v>
      </c>
      <c r="B13" s="12">
        <v>453</v>
      </c>
      <c r="C13" s="39">
        <v>0.15</v>
      </c>
      <c r="D13" s="39">
        <v>0.06</v>
      </c>
      <c r="E13" s="39">
        <v>0.13</v>
      </c>
      <c r="F13" s="39">
        <v>0.42</v>
      </c>
    </row>
    <row r="14" spans="1:6">
      <c r="A14" s="23">
        <v>3533</v>
      </c>
      <c r="B14" s="12">
        <v>376</v>
      </c>
      <c r="C14" s="39">
        <v>0.1</v>
      </c>
      <c r="D14" s="39">
        <v>7.0000000000000007E-2</v>
      </c>
      <c r="E14" s="39">
        <v>0.1</v>
      </c>
      <c r="F14" s="39">
        <v>0.17</v>
      </c>
    </row>
    <row r="15" spans="1:6">
      <c r="A15" s="23">
        <v>3534</v>
      </c>
      <c r="B15" s="12">
        <v>323</v>
      </c>
      <c r="C15" s="39">
        <v>0.13</v>
      </c>
      <c r="D15" s="39">
        <v>0.18</v>
      </c>
      <c r="E15" s="39">
        <v>0.12</v>
      </c>
      <c r="F15" s="39">
        <v>0.11</v>
      </c>
    </row>
    <row r="16" spans="1:6">
      <c r="A16" s="23">
        <v>3535</v>
      </c>
      <c r="B16" s="12">
        <v>401</v>
      </c>
      <c r="C16" s="39">
        <v>0.15</v>
      </c>
      <c r="D16" s="39">
        <v>0.19</v>
      </c>
      <c r="E16" s="39">
        <v>0.15</v>
      </c>
      <c r="F16" s="39">
        <v>0.05</v>
      </c>
    </row>
    <row r="17" spans="1:6">
      <c r="A17" s="23">
        <v>3536</v>
      </c>
      <c r="B17" s="12">
        <v>375</v>
      </c>
      <c r="C17" s="39">
        <v>0.12</v>
      </c>
      <c r="D17" s="39">
        <v>0.11</v>
      </c>
      <c r="E17" s="39">
        <v>0.13</v>
      </c>
      <c r="F17" s="39">
        <v>0</v>
      </c>
    </row>
    <row r="18" spans="1:6">
      <c r="A18" s="23">
        <v>3537</v>
      </c>
      <c r="B18" s="12">
        <v>493</v>
      </c>
      <c r="C18" s="39">
        <v>0.16</v>
      </c>
      <c r="D18" s="39">
        <v>0.03</v>
      </c>
      <c r="E18" s="39">
        <v>0.17</v>
      </c>
      <c r="F18" s="39">
        <v>0.15</v>
      </c>
    </row>
    <row r="19" spans="1:6">
      <c r="A19" s="23">
        <v>3538</v>
      </c>
      <c r="B19" s="12">
        <v>701</v>
      </c>
      <c r="C19" s="39">
        <v>0.15</v>
      </c>
      <c r="D19" s="39">
        <v>0.15</v>
      </c>
      <c r="E19" s="39">
        <v>0.16</v>
      </c>
      <c r="F19" s="39">
        <v>0.03</v>
      </c>
    </row>
    <row r="20" spans="1:6">
      <c r="A20" s="23">
        <v>3539</v>
      </c>
      <c r="B20" s="12">
        <v>593</v>
      </c>
      <c r="C20" s="39">
        <v>0.26</v>
      </c>
      <c r="D20" s="39">
        <v>0.4</v>
      </c>
      <c r="E20" s="39">
        <v>0.24</v>
      </c>
      <c r="F20" s="39">
        <v>0.25</v>
      </c>
    </row>
    <row r="21" spans="1:6">
      <c r="A21" s="23">
        <v>3540</v>
      </c>
      <c r="B21" s="12">
        <v>262</v>
      </c>
      <c r="C21" s="39">
        <v>0.08</v>
      </c>
      <c r="D21" s="39">
        <v>0.03</v>
      </c>
      <c r="E21" s="39">
        <v>0.1</v>
      </c>
      <c r="F21" s="39">
        <v>0</v>
      </c>
    </row>
    <row r="22" spans="1:6">
      <c r="A22" s="23">
        <v>3541</v>
      </c>
      <c r="B22" s="12">
        <v>222</v>
      </c>
      <c r="C22" s="39">
        <v>0.09</v>
      </c>
      <c r="D22" s="39">
        <v>0.03</v>
      </c>
      <c r="E22" s="39">
        <v>0.11</v>
      </c>
      <c r="F22" s="39">
        <v>0.03</v>
      </c>
    </row>
    <row r="23" spans="1:6">
      <c r="A23" s="23">
        <v>3542</v>
      </c>
      <c r="B23" s="12">
        <v>113</v>
      </c>
      <c r="C23" s="39">
        <v>0.04</v>
      </c>
      <c r="D23" s="39">
        <v>0.03</v>
      </c>
      <c r="E23" s="39">
        <v>0.05</v>
      </c>
      <c r="F23" s="39">
        <v>0.01</v>
      </c>
    </row>
    <row r="24" spans="1:6">
      <c r="A24" s="23">
        <v>3543</v>
      </c>
      <c r="B24" s="12">
        <v>216</v>
      </c>
      <c r="C24" s="39">
        <v>7.0000000000000007E-2</v>
      </c>
      <c r="D24" s="39">
        <v>0.12</v>
      </c>
      <c r="E24" s="39">
        <v>0.06</v>
      </c>
      <c r="F24" s="39">
        <v>0.01</v>
      </c>
    </row>
    <row r="25" spans="1:6">
      <c r="A25" s="23">
        <v>3544</v>
      </c>
      <c r="B25" s="12">
        <v>64</v>
      </c>
      <c r="C25" s="39">
        <v>0.04</v>
      </c>
      <c r="D25" s="39">
        <v>0.02</v>
      </c>
      <c r="E25" s="39">
        <v>0.02</v>
      </c>
      <c r="F25" s="39">
        <v>0.15</v>
      </c>
    </row>
    <row r="26" spans="1:6">
      <c r="A26" s="23">
        <v>3545</v>
      </c>
      <c r="B26" s="12">
        <v>218</v>
      </c>
      <c r="C26" s="39">
        <v>0.09</v>
      </c>
      <c r="D26" s="39">
        <v>0.27</v>
      </c>
      <c r="E26" s="39">
        <v>0.08</v>
      </c>
      <c r="F26" s="39">
        <v>0.03</v>
      </c>
    </row>
    <row r="27" spans="1:6">
      <c r="A27" s="23">
        <v>3546</v>
      </c>
      <c r="B27" s="12">
        <v>510</v>
      </c>
      <c r="C27" s="39">
        <v>0.12</v>
      </c>
      <c r="D27" s="39">
        <v>0.23</v>
      </c>
      <c r="E27" s="39">
        <v>0.1</v>
      </c>
      <c r="F27" s="39">
        <v>0.04</v>
      </c>
    </row>
    <row r="28" spans="1:6">
      <c r="A28" s="23">
        <v>3547</v>
      </c>
      <c r="B28" s="12">
        <v>121</v>
      </c>
      <c r="C28" s="39">
        <v>0.05</v>
      </c>
      <c r="D28" s="39">
        <v>7.0000000000000007E-2</v>
      </c>
      <c r="E28" s="39">
        <v>0.05</v>
      </c>
      <c r="F28" s="39">
        <v>0.03</v>
      </c>
    </row>
    <row r="29" spans="1:6">
      <c r="A29" s="23">
        <v>3548</v>
      </c>
      <c r="B29" s="12">
        <v>106</v>
      </c>
      <c r="C29" s="39">
        <v>0.05</v>
      </c>
      <c r="D29" s="39">
        <v>0</v>
      </c>
      <c r="E29" s="39">
        <v>7.0000000000000007E-2</v>
      </c>
      <c r="F29" s="39">
        <v>0</v>
      </c>
    </row>
    <row r="30" spans="1:6">
      <c r="A30" s="23">
        <v>3549</v>
      </c>
      <c r="B30" s="12">
        <v>554</v>
      </c>
      <c r="C30" s="39">
        <v>0.11</v>
      </c>
      <c r="D30" s="39">
        <v>0.12</v>
      </c>
      <c r="E30" s="39">
        <v>0.09</v>
      </c>
      <c r="F30" s="39">
        <v>0.16</v>
      </c>
    </row>
    <row r="31" spans="1:6">
      <c r="A31" s="23">
        <v>3550</v>
      </c>
      <c r="B31" s="12">
        <v>155</v>
      </c>
      <c r="C31" s="39">
        <v>0.06</v>
      </c>
      <c r="D31" s="39">
        <v>0.01</v>
      </c>
      <c r="E31" s="39">
        <v>0.06</v>
      </c>
      <c r="F31" s="39">
        <v>0.09</v>
      </c>
    </row>
    <row r="32" spans="1:6">
      <c r="A32" s="23" t="s">
        <v>9</v>
      </c>
      <c r="B32" s="13">
        <v>11295</v>
      </c>
      <c r="C32" s="39">
        <v>0.13</v>
      </c>
      <c r="D32" s="39">
        <v>0.15</v>
      </c>
      <c r="E32" s="39">
        <v>0.1</v>
      </c>
      <c r="F32" s="39">
        <v>0.13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4"/>
  <sheetViews>
    <sheetView tabSelected="1" workbookViewId="0">
      <selection sqref="A1:I1"/>
    </sheetView>
  </sheetViews>
  <sheetFormatPr defaultRowHeight="12.75"/>
  <sheetData>
    <row r="1" spans="1:9" s="4" customFormat="1" ht="60" customHeight="1">
      <c r="A1" s="16" t="s">
        <v>82</v>
      </c>
      <c r="B1" s="16"/>
      <c r="C1" s="16"/>
      <c r="D1" s="16"/>
      <c r="E1" s="16"/>
      <c r="F1" s="16"/>
      <c r="G1" s="16"/>
      <c r="H1" s="16"/>
      <c r="I1" s="16"/>
    </row>
    <row r="2" spans="1:9" s="4" customFormat="1" ht="11.25">
      <c r="A2" s="16" t="s">
        <v>79</v>
      </c>
      <c r="B2" s="16"/>
      <c r="C2" s="16"/>
      <c r="D2" s="16"/>
      <c r="E2" s="16"/>
      <c r="F2" s="16"/>
      <c r="G2" s="16"/>
      <c r="H2" s="16"/>
      <c r="I2" s="16"/>
    </row>
    <row r="4" spans="1:9" s="4" customFormat="1" ht="15" customHeight="1">
      <c r="A4" s="16" t="s">
        <v>25</v>
      </c>
      <c r="B4" s="16"/>
      <c r="C4" s="16"/>
      <c r="D4" s="16"/>
      <c r="E4" s="16"/>
      <c r="F4" s="16"/>
      <c r="G4" s="16"/>
      <c r="H4" s="16"/>
      <c r="I4" s="16"/>
    </row>
  </sheetData>
  <mergeCells count="3">
    <mergeCell ref="A1:I1"/>
    <mergeCell ref="A4:I4"/>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Population</vt:lpstr>
      <vt:lpstr>Population FNs</vt:lpstr>
      <vt:lpstr>Age</vt:lpstr>
      <vt:lpstr>Age FNs</vt:lpstr>
      <vt:lpstr>race</vt:lpstr>
      <vt:lpstr>Race FNs</vt:lpstr>
      <vt:lpstr>Households</vt:lpstr>
      <vt:lpstr>Household FNs</vt:lpstr>
      <vt:lpstr>Families</vt:lpstr>
      <vt:lpstr>Family Footnotes</vt:lpstr>
      <vt:lpstr>housing</vt:lpstr>
      <vt:lpstr>Housing FNs</vt:lpstr>
      <vt:lpstr>income</vt:lpstr>
      <vt:lpstr>Income FNs</vt:lpstr>
      <vt:lpstr>Poverty</vt:lpstr>
      <vt:lpstr>Poverty FNs</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ccook2</dc:creator>
  <cp:lastModifiedBy>ccook2</cp:lastModifiedBy>
  <dcterms:created xsi:type="dcterms:W3CDTF">2012-06-13T20:31:30Z</dcterms:created>
  <dcterms:modified xsi:type="dcterms:W3CDTF">2012-06-14T17:45:13Z</dcterms:modified>
</cp:coreProperties>
</file>