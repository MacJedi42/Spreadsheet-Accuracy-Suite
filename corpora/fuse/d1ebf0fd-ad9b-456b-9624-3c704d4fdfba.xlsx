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3315" yWindow="135" windowWidth="19740" windowHeight="13170" activeTab="4"/>
  </bookViews>
  <sheets>
    <sheet name="Instructions" sheetId="2" r:id="rId1"/>
    <sheet name="Raw Results" sheetId="1" r:id="rId2"/>
    <sheet name="Racing Results" sheetId="16" r:id="rId3"/>
    <sheet name="Scoring" sheetId="15" r:id="rId4"/>
    <sheet name="Seeding List" sheetId="17" r:id="rId5"/>
  </sheets>
  <calcPr calcId="125725"/>
</workbook>
</file>

<file path=xl/calcChain.xml><?xml version="1.0" encoding="utf-8"?>
<calcChain xmlns="http://schemas.openxmlformats.org/spreadsheetml/2006/main">
  <c r="J14" i="15"/>
  <c r="K14"/>
  <c r="L14"/>
  <c r="A7" i="16"/>
  <c r="B7"/>
  <c r="C7"/>
  <c r="D7"/>
  <c r="E7"/>
  <c r="F7"/>
  <c r="G7"/>
  <c r="A8"/>
  <c r="B8"/>
  <c r="C8"/>
  <c r="D8"/>
  <c r="E8"/>
  <c r="F8"/>
  <c r="G8"/>
  <c r="A9"/>
  <c r="B9"/>
  <c r="C9"/>
  <c r="D9"/>
  <c r="E9"/>
  <c r="F9"/>
  <c r="G9"/>
  <c r="A10"/>
  <c r="B10"/>
  <c r="C10"/>
  <c r="D10"/>
  <c r="E10"/>
  <c r="F10"/>
  <c r="G10"/>
  <c r="A11"/>
  <c r="B11"/>
  <c r="C11"/>
  <c r="D11"/>
  <c r="E11"/>
  <c r="F11"/>
  <c r="G11"/>
  <c r="A12"/>
  <c r="B12"/>
  <c r="C12"/>
  <c r="D12"/>
  <c r="E12"/>
  <c r="F12"/>
  <c r="G12"/>
  <c r="A13"/>
  <c r="B13"/>
  <c r="C13"/>
  <c r="D13"/>
  <c r="E13"/>
  <c r="F13"/>
  <c r="G13"/>
  <c r="A14"/>
  <c r="B14"/>
  <c r="C14"/>
  <c r="D14"/>
  <c r="E14"/>
  <c r="F14"/>
  <c r="G14"/>
  <c r="A15"/>
  <c r="B15"/>
  <c r="C15"/>
  <c r="D15"/>
  <c r="E15"/>
  <c r="F15"/>
  <c r="G15"/>
  <c r="A16"/>
  <c r="B16"/>
  <c r="C16"/>
  <c r="D16"/>
  <c r="E16"/>
  <c r="F16"/>
  <c r="G16"/>
  <c r="A17"/>
  <c r="B17"/>
  <c r="C17"/>
  <c r="D17"/>
  <c r="E17"/>
  <c r="F17"/>
  <c r="G17"/>
  <c r="A18"/>
  <c r="B18"/>
  <c r="C18"/>
  <c r="D18"/>
  <c r="E18"/>
  <c r="F18"/>
  <c r="G18"/>
  <c r="A19"/>
  <c r="B19"/>
  <c r="C19"/>
  <c r="D19"/>
  <c r="E19"/>
  <c r="F19"/>
  <c r="G19"/>
  <c r="A20"/>
  <c r="B20"/>
  <c r="C20"/>
  <c r="D20"/>
  <c r="E20"/>
  <c r="F20"/>
  <c r="G20"/>
  <c r="A21"/>
  <c r="B21"/>
  <c r="C21"/>
  <c r="D21"/>
  <c r="E21"/>
  <c r="F21"/>
  <c r="G21"/>
  <c r="A22"/>
  <c r="B22"/>
  <c r="C22"/>
  <c r="D22"/>
  <c r="E22"/>
  <c r="F22"/>
  <c r="G22"/>
  <c r="A23"/>
  <c r="B23"/>
  <c r="C23"/>
  <c r="D23"/>
  <c r="E23"/>
  <c r="F23"/>
  <c r="G23"/>
  <c r="A24"/>
  <c r="B24"/>
  <c r="C24"/>
  <c r="D24"/>
  <c r="E24"/>
  <c r="F24"/>
  <c r="G24"/>
  <c r="A25"/>
  <c r="B25"/>
  <c r="C25"/>
  <c r="D25"/>
  <c r="E25"/>
  <c r="F25"/>
  <c r="G25"/>
  <c r="A26"/>
  <c r="B26"/>
  <c r="C26"/>
  <c r="D26"/>
  <c r="E26"/>
  <c r="F26"/>
  <c r="G26"/>
  <c r="A27"/>
  <c r="B27"/>
  <c r="C27"/>
  <c r="D27"/>
  <c r="E27"/>
  <c r="F27"/>
  <c r="G27"/>
  <c r="A28"/>
  <c r="B28"/>
  <c r="C28"/>
  <c r="D28"/>
  <c r="E28"/>
  <c r="F28"/>
  <c r="G28"/>
  <c r="A29"/>
  <c r="B29"/>
  <c r="C29"/>
  <c r="D29"/>
  <c r="E29"/>
  <c r="F29"/>
  <c r="G29"/>
  <c r="A30"/>
  <c r="B30"/>
  <c r="C30"/>
  <c r="D30"/>
  <c r="E30"/>
  <c r="F30"/>
  <c r="G30"/>
  <c r="A31"/>
  <c r="B31"/>
  <c r="C31"/>
  <c r="D31"/>
  <c r="E31"/>
  <c r="F31"/>
  <c r="G31"/>
  <c r="A32"/>
  <c r="B32"/>
  <c r="C32"/>
  <c r="D32"/>
  <c r="E32"/>
  <c r="F32"/>
  <c r="G32"/>
  <c r="A33"/>
  <c r="B33"/>
  <c r="C33"/>
  <c r="D33"/>
  <c r="E33"/>
  <c r="F33"/>
  <c r="G33"/>
  <c r="A34"/>
  <c r="B34"/>
  <c r="C34"/>
  <c r="D34"/>
  <c r="E34"/>
  <c r="F34"/>
  <c r="G34"/>
  <c r="A35"/>
  <c r="B35"/>
  <c r="C35"/>
  <c r="D35"/>
  <c r="E35"/>
  <c r="F35"/>
  <c r="G35"/>
  <c r="A36"/>
  <c r="B36"/>
  <c r="C36"/>
  <c r="D36"/>
  <c r="E36"/>
  <c r="F36"/>
  <c r="G36"/>
  <c r="A37"/>
  <c r="B37"/>
  <c r="C37"/>
  <c r="D37"/>
  <c r="E37"/>
  <c r="F37"/>
  <c r="G37"/>
  <c r="A38"/>
  <c r="B38"/>
  <c r="C38"/>
  <c r="D38"/>
  <c r="E38"/>
  <c r="F38"/>
  <c r="G38"/>
  <c r="A39"/>
  <c r="B39"/>
  <c r="C39"/>
  <c r="D39"/>
  <c r="E39"/>
  <c r="F39"/>
  <c r="G39"/>
  <c r="A40"/>
  <c r="B40"/>
  <c r="C40"/>
  <c r="D40"/>
  <c r="E40"/>
  <c r="F40"/>
  <c r="G40"/>
  <c r="A41"/>
  <c r="B41"/>
  <c r="C41"/>
  <c r="D41"/>
  <c r="E41"/>
  <c r="F41"/>
  <c r="G41"/>
  <c r="A42"/>
  <c r="B42"/>
  <c r="C42"/>
  <c r="D42"/>
  <c r="E42"/>
  <c r="F42"/>
  <c r="G42"/>
  <c r="A43"/>
  <c r="B43"/>
  <c r="C43"/>
  <c r="D43"/>
  <c r="E43"/>
  <c r="F43"/>
  <c r="G43"/>
  <c r="A44"/>
  <c r="B44"/>
  <c r="C44"/>
  <c r="D44"/>
  <c r="E44"/>
  <c r="F44"/>
  <c r="G44"/>
  <c r="A45"/>
  <c r="B45"/>
  <c r="C45"/>
  <c r="D45"/>
  <c r="E45"/>
  <c r="F45"/>
  <c r="G45"/>
  <c r="A46"/>
  <c r="B46"/>
  <c r="C46"/>
  <c r="D46"/>
  <c r="E46"/>
  <c r="F46"/>
  <c r="G46"/>
  <c r="A47"/>
  <c r="B47"/>
  <c r="C47"/>
  <c r="D47"/>
  <c r="E47"/>
  <c r="F47"/>
  <c r="G47"/>
  <c r="A48"/>
  <c r="B48"/>
  <c r="C48"/>
  <c r="D48"/>
  <c r="E48"/>
  <c r="F48"/>
  <c r="G48"/>
  <c r="A49"/>
  <c r="B49"/>
  <c r="C49"/>
  <c r="D49"/>
  <c r="E49"/>
  <c r="F49"/>
  <c r="G49"/>
  <c r="A50"/>
  <c r="B50"/>
  <c r="C50"/>
  <c r="D50"/>
  <c r="E50"/>
  <c r="F50"/>
  <c r="G50"/>
  <c r="A51"/>
  <c r="B51"/>
  <c r="C51"/>
  <c r="D51"/>
  <c r="E51"/>
  <c r="F51"/>
  <c r="G51"/>
  <c r="A52"/>
  <c r="B52"/>
  <c r="C52"/>
  <c r="D52"/>
  <c r="E52"/>
  <c r="F52"/>
  <c r="G52"/>
  <c r="A53"/>
  <c r="B53"/>
  <c r="C53"/>
  <c r="D53"/>
  <c r="E53"/>
  <c r="F53"/>
  <c r="G53"/>
  <c r="A54"/>
  <c r="B54"/>
  <c r="C54"/>
  <c r="D54"/>
  <c r="E54"/>
  <c r="F54"/>
  <c r="G54"/>
  <c r="A55"/>
  <c r="B55"/>
  <c r="C55"/>
  <c r="D55"/>
  <c r="E55"/>
  <c r="F55"/>
  <c r="G55"/>
  <c r="A56"/>
  <c r="B56"/>
  <c r="C56"/>
  <c r="D56"/>
  <c r="E56"/>
  <c r="F56"/>
  <c r="G56"/>
  <c r="A57"/>
  <c r="B57"/>
  <c r="C57"/>
  <c r="D57"/>
  <c r="E57"/>
  <c r="F57"/>
  <c r="G57"/>
  <c r="A58"/>
  <c r="B58"/>
  <c r="C58"/>
  <c r="D58"/>
  <c r="E58"/>
  <c r="F58"/>
  <c r="G58"/>
  <c r="A59"/>
  <c r="B59"/>
  <c r="C59"/>
  <c r="D59"/>
  <c r="E59"/>
  <c r="F59"/>
  <c r="G59"/>
  <c r="A60"/>
  <c r="B60"/>
  <c r="C60"/>
  <c r="D60"/>
  <c r="E60"/>
  <c r="F60"/>
  <c r="G60"/>
  <c r="A61"/>
  <c r="B61"/>
  <c r="C61"/>
  <c r="D61"/>
  <c r="E61"/>
  <c r="F61"/>
  <c r="G61"/>
  <c r="A62"/>
  <c r="B62"/>
  <c r="C62"/>
  <c r="D62"/>
  <c r="E62"/>
  <c r="F62"/>
  <c r="G62"/>
  <c r="A63"/>
  <c r="B63"/>
  <c r="C63"/>
  <c r="D63"/>
  <c r="E63"/>
  <c r="F63"/>
  <c r="G63"/>
  <c r="A64"/>
  <c r="B64"/>
  <c r="C64"/>
  <c r="D64"/>
  <c r="E64"/>
  <c r="F64"/>
  <c r="G64"/>
  <c r="A65"/>
  <c r="B65"/>
  <c r="C65"/>
  <c r="D65"/>
  <c r="E65"/>
  <c r="F65"/>
  <c r="G65"/>
  <c r="A66"/>
  <c r="B66"/>
  <c r="C66"/>
  <c r="D66"/>
  <c r="E66"/>
  <c r="F66"/>
  <c r="G66"/>
  <c r="A67"/>
  <c r="B67"/>
  <c r="C67"/>
  <c r="D67"/>
  <c r="E67"/>
  <c r="F67"/>
  <c r="G67"/>
  <c r="A68"/>
  <c r="B68"/>
  <c r="C68"/>
  <c r="D68"/>
  <c r="E68"/>
  <c r="F68"/>
  <c r="G68"/>
  <c r="A69"/>
  <c r="B69"/>
  <c r="C69"/>
  <c r="D69"/>
  <c r="E69"/>
  <c r="F69"/>
  <c r="G69"/>
  <c r="A70"/>
  <c r="B70"/>
  <c r="C70"/>
  <c r="D70"/>
  <c r="E70"/>
  <c r="F70"/>
  <c r="G70"/>
  <c r="A71"/>
  <c r="B71"/>
  <c r="C71"/>
  <c r="D71"/>
  <c r="E71"/>
  <c r="F71"/>
  <c r="G71"/>
  <c r="A72"/>
  <c r="B72"/>
  <c r="C72"/>
  <c r="D72"/>
  <c r="E72"/>
  <c r="F72"/>
  <c r="G72"/>
  <c r="A73"/>
  <c r="B73"/>
  <c r="C73"/>
  <c r="D73"/>
  <c r="E73"/>
  <c r="F73"/>
  <c r="G73"/>
  <c r="A74"/>
  <c r="B74"/>
  <c r="C74"/>
  <c r="D74"/>
  <c r="E74"/>
  <c r="F74"/>
  <c r="G74"/>
  <c r="A75"/>
  <c r="B75"/>
  <c r="C75"/>
  <c r="D75"/>
  <c r="E75"/>
  <c r="F75"/>
  <c r="G75"/>
  <c r="A76"/>
  <c r="B76"/>
  <c r="C76"/>
  <c r="D76"/>
  <c r="E76"/>
  <c r="F76"/>
  <c r="G76"/>
  <c r="A77"/>
  <c r="B77"/>
  <c r="C77"/>
  <c r="D77"/>
  <c r="E77"/>
  <c r="F77"/>
  <c r="G77"/>
  <c r="A78"/>
  <c r="B78"/>
  <c r="C78"/>
  <c r="D78"/>
  <c r="E78"/>
  <c r="F78"/>
  <c r="G78"/>
  <c r="A79"/>
  <c r="B79"/>
  <c r="C79"/>
  <c r="D79"/>
  <c r="E79"/>
  <c r="F79"/>
  <c r="G79"/>
  <c r="A80"/>
  <c r="B80"/>
  <c r="C80"/>
  <c r="D80"/>
  <c r="E80"/>
  <c r="F80"/>
  <c r="G80"/>
  <c r="A81"/>
  <c r="B81"/>
  <c r="C81"/>
  <c r="D81"/>
  <c r="E81"/>
  <c r="F81"/>
  <c r="G81"/>
  <c r="A82"/>
  <c r="B82"/>
  <c r="C82"/>
  <c r="D82"/>
  <c r="E82"/>
  <c r="F82"/>
  <c r="G82"/>
  <c r="A83"/>
  <c r="B83"/>
  <c r="C83"/>
  <c r="D83"/>
  <c r="E83"/>
  <c r="F83"/>
  <c r="G83"/>
  <c r="A84"/>
  <c r="B84"/>
  <c r="C84"/>
  <c r="D84"/>
  <c r="E84"/>
  <c r="F84"/>
  <c r="G84"/>
  <c r="A85"/>
  <c r="B85"/>
  <c r="C85"/>
  <c r="D85"/>
  <c r="E85"/>
  <c r="F85"/>
  <c r="G85"/>
  <c r="A86"/>
  <c r="B86"/>
  <c r="C86"/>
  <c r="D86"/>
  <c r="E86"/>
  <c r="F86"/>
  <c r="G86"/>
  <c r="A87"/>
  <c r="B87"/>
  <c r="C87"/>
  <c r="D87"/>
  <c r="E87"/>
  <c r="F87"/>
  <c r="G87"/>
  <c r="A88"/>
  <c r="B88"/>
  <c r="C88"/>
  <c r="D88"/>
  <c r="E88"/>
  <c r="F88"/>
  <c r="G88"/>
  <c r="A89"/>
  <c r="B89"/>
  <c r="C89"/>
  <c r="D89"/>
  <c r="E89"/>
  <c r="F89"/>
  <c r="G89"/>
  <c r="A90"/>
  <c r="B90"/>
  <c r="C90"/>
  <c r="D90"/>
  <c r="E90"/>
  <c r="F90"/>
  <c r="G90"/>
  <c r="A91"/>
  <c r="B91"/>
  <c r="C91"/>
  <c r="D91"/>
  <c r="E91"/>
  <c r="F91"/>
  <c r="G91"/>
  <c r="A92"/>
  <c r="B92"/>
  <c r="C92"/>
  <c r="D92"/>
  <c r="E92"/>
  <c r="F92"/>
  <c r="G92"/>
  <c r="A93"/>
  <c r="B93"/>
  <c r="C93"/>
  <c r="D93"/>
  <c r="E93"/>
  <c r="F93"/>
  <c r="G93"/>
  <c r="A94"/>
  <c r="B94"/>
  <c r="C94"/>
  <c r="D94"/>
  <c r="E94"/>
  <c r="F94"/>
  <c r="G94"/>
  <c r="A95"/>
  <c r="B95"/>
  <c r="C95"/>
  <c r="D95"/>
  <c r="E95"/>
  <c r="F95"/>
  <c r="G95"/>
  <c r="A96"/>
  <c r="B96"/>
  <c r="C96"/>
  <c r="D96"/>
  <c r="E96"/>
  <c r="F96"/>
  <c r="G96"/>
  <c r="A97"/>
  <c r="B97"/>
  <c r="C97"/>
  <c r="D97"/>
  <c r="E97"/>
  <c r="F97"/>
  <c r="G97"/>
  <c r="A98"/>
  <c r="B98"/>
  <c r="C98"/>
  <c r="D98"/>
  <c r="E98"/>
  <c r="F98"/>
  <c r="G98"/>
  <c r="A99"/>
  <c r="B99"/>
  <c r="C99"/>
  <c r="D99"/>
  <c r="E99"/>
  <c r="F99"/>
  <c r="G99"/>
  <c r="A100"/>
  <c r="B100"/>
  <c r="C100"/>
  <c r="D100"/>
  <c r="E100"/>
  <c r="F100"/>
  <c r="G100"/>
  <c r="A101"/>
  <c r="B101"/>
  <c r="C101"/>
  <c r="D101"/>
  <c r="E101"/>
  <c r="F101"/>
  <c r="G101"/>
  <c r="A102"/>
  <c r="B102"/>
  <c r="C102"/>
  <c r="D102"/>
  <c r="E102"/>
  <c r="F102"/>
  <c r="G102"/>
  <c r="A103"/>
  <c r="B103"/>
  <c r="C103"/>
  <c r="D103"/>
  <c r="E103"/>
  <c r="F103"/>
  <c r="G103"/>
  <c r="A104"/>
  <c r="B104"/>
  <c r="C104"/>
  <c r="D104"/>
  <c r="E104"/>
  <c r="F104"/>
  <c r="G104"/>
  <c r="A105"/>
  <c r="B105"/>
  <c r="C105"/>
  <c r="D105"/>
  <c r="E105"/>
  <c r="F105"/>
  <c r="G105"/>
  <c r="A106"/>
  <c r="B106"/>
  <c r="C106"/>
  <c r="D106"/>
  <c r="E106"/>
  <c r="F106"/>
  <c r="G106"/>
  <c r="A107"/>
  <c r="B107"/>
  <c r="C107"/>
  <c r="L107" s="1"/>
  <c r="D107"/>
  <c r="I107" s="1"/>
  <c r="E107"/>
  <c r="F107"/>
  <c r="J107" s="1"/>
  <c r="G107"/>
  <c r="H107" s="1"/>
  <c r="A108"/>
  <c r="B108"/>
  <c r="C108"/>
  <c r="L108" s="1"/>
  <c r="C25" i="15" s="1"/>
  <c r="K25" s="1"/>
  <c r="D3" i="17" s="1"/>
  <c r="D108" i="16"/>
  <c r="I108" s="1"/>
  <c r="E108"/>
  <c r="F108"/>
  <c r="J108" s="1"/>
  <c r="A25" i="15" s="1"/>
  <c r="J25" s="1"/>
  <c r="C3" i="17" s="1"/>
  <c r="G108" i="16"/>
  <c r="H108" s="1"/>
  <c r="A109"/>
  <c r="B109"/>
  <c r="C109"/>
  <c r="L109" s="1"/>
  <c r="C39" i="15" s="1"/>
  <c r="K39" s="1"/>
  <c r="D5" i="17" s="1"/>
  <c r="D109" i="16"/>
  <c r="I109" s="1"/>
  <c r="E109"/>
  <c r="F109"/>
  <c r="J109" s="1"/>
  <c r="A39" i="15" s="1"/>
  <c r="J39" s="1"/>
  <c r="C5" i="17" s="1"/>
  <c r="G109" i="16"/>
  <c r="H109" s="1"/>
  <c r="A110"/>
  <c r="B110"/>
  <c r="C110"/>
  <c r="L110" s="1"/>
  <c r="D110"/>
  <c r="I110" s="1"/>
  <c r="E110"/>
  <c r="F110"/>
  <c r="J110" s="1"/>
  <c r="G110"/>
  <c r="H110" s="1"/>
  <c r="A111"/>
  <c r="B111"/>
  <c r="C111"/>
  <c r="L111" s="1"/>
  <c r="D111"/>
  <c r="I111" s="1"/>
  <c r="E111"/>
  <c r="F111"/>
  <c r="J111" s="1"/>
  <c r="G111"/>
  <c r="H111" s="1"/>
  <c r="A112"/>
  <c r="B112"/>
  <c r="C112"/>
  <c r="L112" s="1"/>
  <c r="D112"/>
  <c r="I112" s="1"/>
  <c r="E112"/>
  <c r="F112"/>
  <c r="J112" s="1"/>
  <c r="G112"/>
  <c r="H112" s="1"/>
  <c r="A113"/>
  <c r="B113"/>
  <c r="C113"/>
  <c r="L113" s="1"/>
  <c r="D113"/>
  <c r="I113" s="1"/>
  <c r="E113"/>
  <c r="F113"/>
  <c r="J113" s="1"/>
  <c r="G113"/>
  <c r="H113" s="1"/>
  <c r="A114"/>
  <c r="B114"/>
  <c r="C114"/>
  <c r="L114" s="1"/>
  <c r="D114"/>
  <c r="I114" s="1"/>
  <c r="E114"/>
  <c r="F114"/>
  <c r="J114" s="1"/>
  <c r="G114"/>
  <c r="H114" s="1"/>
  <c r="H105"/>
  <c r="I105"/>
  <c r="J105"/>
  <c r="K105"/>
  <c r="L105"/>
  <c r="H106"/>
  <c r="I106"/>
  <c r="N106" s="1"/>
  <c r="J106"/>
  <c r="K106"/>
  <c r="L106"/>
  <c r="L8"/>
  <c r="L9"/>
  <c r="G64" i="15" s="1"/>
  <c r="L10" i="16"/>
  <c r="L11"/>
  <c r="L12"/>
  <c r="G28" i="15" s="1"/>
  <c r="L13" i="16"/>
  <c r="G60" i="15" s="1"/>
  <c r="L14" i="16"/>
  <c r="G61" i="15" s="1"/>
  <c r="K61" s="1"/>
  <c r="D14" i="17" s="1"/>
  <c r="L15" i="16"/>
  <c r="G55" i="15" s="1"/>
  <c r="L16" i="16"/>
  <c r="G18" i="15" s="1"/>
  <c r="L17" i="16"/>
  <c r="L18"/>
  <c r="G16" i="15" s="1"/>
  <c r="L19" i="16"/>
  <c r="G43" i="15" s="1"/>
  <c r="K43" s="1"/>
  <c r="D36" i="17" s="1"/>
  <c r="L20" i="16"/>
  <c r="G38" i="15" s="1"/>
  <c r="L21" i="16"/>
  <c r="L22"/>
  <c r="G40" i="15" s="1"/>
  <c r="L23" i="16"/>
  <c r="G53" i="15" s="1"/>
  <c r="K53" s="1"/>
  <c r="D38" i="17" s="1"/>
  <c r="L24" i="16"/>
  <c r="L25"/>
  <c r="G24" i="15" s="1"/>
  <c r="L26" i="16"/>
  <c r="L27"/>
  <c r="L28"/>
  <c r="G17" i="15" s="1"/>
  <c r="L29" i="16"/>
  <c r="L30"/>
  <c r="L31"/>
  <c r="L32"/>
  <c r="L33"/>
  <c r="G22" i="15" s="1"/>
  <c r="L34" i="16"/>
  <c r="G39" i="15" s="1"/>
  <c r="L35" i="16"/>
  <c r="L36"/>
  <c r="G26" i="15" s="1"/>
  <c r="K26" s="1"/>
  <c r="D11" i="17" s="1"/>
  <c r="L37" i="16"/>
  <c r="G27" i="15" s="1"/>
  <c r="L38" i="16"/>
  <c r="G49" i="15" s="1"/>
  <c r="K49" s="1"/>
  <c r="D12" i="17" s="1"/>
  <c r="L39" i="16"/>
  <c r="G45" i="15" s="1"/>
  <c r="L40" i="16"/>
  <c r="L41"/>
  <c r="G58" i="15" s="1"/>
  <c r="K58" s="1"/>
  <c r="D13" i="17" s="1"/>
  <c r="L42" i="16"/>
  <c r="G41" i="15" s="1"/>
  <c r="L43" i="16"/>
  <c r="G23" i="15" s="1"/>
  <c r="L44" i="16"/>
  <c r="G19" i="15" s="1"/>
  <c r="L45" i="16"/>
  <c r="G63" i="15" s="1"/>
  <c r="K63" s="1"/>
  <c r="D31" i="17" s="1"/>
  <c r="L46" i="16"/>
  <c r="G20" i="15" s="1"/>
  <c r="K20" s="1"/>
  <c r="D33" i="17" s="1"/>
  <c r="L47" i="16"/>
  <c r="G31" i="15" s="1"/>
  <c r="K31" s="1"/>
  <c r="D34" i="17" s="1"/>
  <c r="L48" i="16"/>
  <c r="G15" i="15" s="1"/>
  <c r="K15" s="1"/>
  <c r="D35" i="17" s="1"/>
  <c r="L49" i="16"/>
  <c r="G56" i="15" s="1"/>
  <c r="K56" s="1"/>
  <c r="D37" i="17" s="1"/>
  <c r="L50" i="16"/>
  <c r="G59" i="15" s="1"/>
  <c r="L51" i="16"/>
  <c r="G57" i="15" s="1"/>
  <c r="K57" s="1"/>
  <c r="D39" i="17" s="1"/>
  <c r="L52" i="16"/>
  <c r="G21" i="15" s="1"/>
  <c r="K21" s="1"/>
  <c r="D41" i="17" s="1"/>
  <c r="L53" i="16"/>
  <c r="G62" i="15" s="1"/>
  <c r="L54" i="16"/>
  <c r="G48" i="15" s="1"/>
  <c r="K48" s="1"/>
  <c r="D42" i="17" s="1"/>
  <c r="L55" i="16"/>
  <c r="G32" i="15" s="1"/>
  <c r="K32" s="1"/>
  <c r="D44" i="17" s="1"/>
  <c r="L56" i="16"/>
  <c r="G30" i="15" s="1"/>
  <c r="K30" s="1"/>
  <c r="D46" i="17" s="1"/>
  <c r="L57" i="16"/>
  <c r="L58"/>
  <c r="L59"/>
  <c r="G50" i="15" s="1"/>
  <c r="L60" i="16"/>
  <c r="L61"/>
  <c r="L62"/>
  <c r="L63"/>
  <c r="L64"/>
  <c r="L65"/>
  <c r="L66"/>
  <c r="G36" i="15" s="1"/>
  <c r="L67" i="16"/>
  <c r="L68"/>
  <c r="L69"/>
  <c r="C36" i="15" s="1"/>
  <c r="K36" s="1"/>
  <c r="D4" i="17" s="1"/>
  <c r="L70" i="16"/>
  <c r="C27" i="15" s="1"/>
  <c r="K27" s="1"/>
  <c r="D7" i="17" s="1"/>
  <c r="L71" i="16"/>
  <c r="C50" i="15" s="1"/>
  <c r="K50" s="1"/>
  <c r="D6" i="17" s="1"/>
  <c r="L72" i="16"/>
  <c r="C17" i="15" s="1"/>
  <c r="K17" s="1"/>
  <c r="D10" i="17" s="1"/>
  <c r="L73" i="16"/>
  <c r="L74"/>
  <c r="L75"/>
  <c r="C28" i="15" s="1"/>
  <c r="K28" s="1"/>
  <c r="D8" i="17" s="1"/>
  <c r="L76" i="16"/>
  <c r="C64" i="15" s="1"/>
  <c r="K64" s="1"/>
  <c r="D9" i="17" s="1"/>
  <c r="L77" i="16"/>
  <c r="C44" i="15" s="1"/>
  <c r="K44" s="1"/>
  <c r="D15" i="17" s="1"/>
  <c r="L78" i="16"/>
  <c r="C37" i="15" s="1"/>
  <c r="K37" s="1"/>
  <c r="D16" i="17" s="1"/>
  <c r="L79" i="16"/>
  <c r="C22" i="15" s="1"/>
  <c r="K22" s="1"/>
  <c r="D18" i="17" s="1"/>
  <c r="L80" i="16"/>
  <c r="C18" i="15" s="1"/>
  <c r="K18" s="1"/>
  <c r="D17" i="17" s="1"/>
  <c r="L81" i="16"/>
  <c r="C51" i="15" s="1"/>
  <c r="K51" s="1"/>
  <c r="D28" i="17" s="1"/>
  <c r="L82" i="16"/>
  <c r="C40" i="15" s="1"/>
  <c r="K40" s="1"/>
  <c r="D22" i="17" s="1"/>
  <c r="L83" i="16"/>
  <c r="C19" i="15" s="1"/>
  <c r="K19" s="1"/>
  <c r="D19" i="17" s="1"/>
  <c r="L84" i="16"/>
  <c r="C60" i="15" s="1"/>
  <c r="K60" s="1"/>
  <c r="D21" i="17" s="1"/>
  <c r="L85" i="16"/>
  <c r="C45" i="15" s="1"/>
  <c r="K45" s="1"/>
  <c r="D20" i="17" s="1"/>
  <c r="L86" i="16"/>
  <c r="C24" i="15" s="1"/>
  <c r="K24" s="1"/>
  <c r="D25" i="17" s="1"/>
  <c r="L87" i="16"/>
  <c r="C16" i="15" s="1"/>
  <c r="K16" s="1"/>
  <c r="D23" i="17" s="1"/>
  <c r="L88" i="16"/>
  <c r="C46" i="15" s="1"/>
  <c r="K46" s="1"/>
  <c r="D29" i="17" s="1"/>
  <c r="L89" i="16"/>
  <c r="C55" i="15" s="1"/>
  <c r="K55" s="1"/>
  <c r="D26" i="17" s="1"/>
  <c r="L90" i="16"/>
  <c r="C23" i="15" s="1"/>
  <c r="K23" s="1"/>
  <c r="D27" i="17" s="1"/>
  <c r="L91" i="16"/>
  <c r="C41" i="15" s="1"/>
  <c r="K41" s="1"/>
  <c r="D24" i="17" s="1"/>
  <c r="L92" i="16"/>
  <c r="C47" i="15" s="1"/>
  <c r="K47" s="1"/>
  <c r="D30" i="17" s="1"/>
  <c r="L93" i="16"/>
  <c r="C42" i="15" s="1"/>
  <c r="K42" s="1"/>
  <c r="D32" i="17" s="1"/>
  <c r="L94" i="16"/>
  <c r="C29" i="15" s="1"/>
  <c r="K29" s="1"/>
  <c r="D40" i="17" s="1"/>
  <c r="L95" i="16"/>
  <c r="C65" i="15" s="1"/>
  <c r="K65" s="1"/>
  <c r="D43" i="17" s="1"/>
  <c r="L96" i="16"/>
  <c r="C33" i="15" s="1"/>
  <c r="K33" s="1"/>
  <c r="D45" i="17" s="1"/>
  <c r="L97" i="16"/>
  <c r="C52" i="15" s="1"/>
  <c r="K52" s="1"/>
  <c r="D49" i="17" s="1"/>
  <c r="L98" i="16"/>
  <c r="C38" i="15" s="1"/>
  <c r="K38" s="1"/>
  <c r="D47" i="17" s="1"/>
  <c r="L99" i="16"/>
  <c r="C34" i="15" s="1"/>
  <c r="K34" s="1"/>
  <c r="D50" i="17" s="1"/>
  <c r="L100" i="16"/>
  <c r="C59" i="15" s="1"/>
  <c r="K59" s="1"/>
  <c r="D48" i="17" s="1"/>
  <c r="L101" i="16"/>
  <c r="C54" i="15" s="1"/>
  <c r="K54" s="1"/>
  <c r="D51" i="17" s="1"/>
  <c r="L102" i="16"/>
  <c r="C66" i="15" s="1"/>
  <c r="K66" s="1"/>
  <c r="D52" i="17" s="1"/>
  <c r="L103" i="16"/>
  <c r="C35" i="15" s="1"/>
  <c r="K35" s="1"/>
  <c r="D54" i="17" s="1"/>
  <c r="L104" i="16"/>
  <c r="C62" i="15" s="1"/>
  <c r="K62" s="1"/>
  <c r="D53" i="17" s="1"/>
  <c r="L7" i="16"/>
  <c r="G25" i="15" s="1"/>
  <c r="H75" i="16"/>
  <c r="I75"/>
  <c r="J75"/>
  <c r="A28" i="15" s="1"/>
  <c r="J28" s="1"/>
  <c r="C8" i="17" s="1"/>
  <c r="K75" i="16"/>
  <c r="B28" i="15" s="1"/>
  <c r="H76" i="16"/>
  <c r="I76"/>
  <c r="J76"/>
  <c r="A64" i="15" s="1"/>
  <c r="J64" s="1"/>
  <c r="C9" i="17" s="1"/>
  <c r="K76" i="16"/>
  <c r="B64" i="15" s="1"/>
  <c r="H77" i="16"/>
  <c r="I77"/>
  <c r="J77"/>
  <c r="A44" i="15" s="1"/>
  <c r="J44" s="1"/>
  <c r="C15" i="17" s="1"/>
  <c r="K77" i="16"/>
  <c r="B44" i="15" s="1"/>
  <c r="N77" i="16"/>
  <c r="E44" i="15" s="1"/>
  <c r="L44" s="1"/>
  <c r="E15" i="17" s="1"/>
  <c r="H78" i="16"/>
  <c r="I78"/>
  <c r="N78" s="1"/>
  <c r="E37" i="15" s="1"/>
  <c r="L37" s="1"/>
  <c r="E16" i="17" s="1"/>
  <c r="J78" i="16"/>
  <c r="A37" i="15" s="1"/>
  <c r="J37" s="1"/>
  <c r="C16" i="17" s="1"/>
  <c r="K78" i="16"/>
  <c r="B37" i="15" s="1"/>
  <c r="H79" i="16"/>
  <c r="I79"/>
  <c r="N79" s="1"/>
  <c r="E22" i="15" s="1"/>
  <c r="J79" i="16"/>
  <c r="A22" i="15" s="1"/>
  <c r="J22" s="1"/>
  <c r="C18" i="17" s="1"/>
  <c r="K79" i="16"/>
  <c r="B22" i="15" s="1"/>
  <c r="H80" i="16"/>
  <c r="I80"/>
  <c r="J80"/>
  <c r="A18" i="15" s="1"/>
  <c r="J18" s="1"/>
  <c r="C17" i="17" s="1"/>
  <c r="K80" i="16"/>
  <c r="B18" i="15" s="1"/>
  <c r="H81" i="16"/>
  <c r="I81"/>
  <c r="N81" s="1"/>
  <c r="E51" i="15" s="1"/>
  <c r="L51" s="1"/>
  <c r="E28" i="17" s="1"/>
  <c r="J81" i="16"/>
  <c r="A51" i="15" s="1"/>
  <c r="J51" s="1"/>
  <c r="C28" i="17" s="1"/>
  <c r="K81" i="16"/>
  <c r="B51" i="15" s="1"/>
  <c r="H82" i="16"/>
  <c r="I82"/>
  <c r="J82"/>
  <c r="A40" i="15" s="1"/>
  <c r="J40" s="1"/>
  <c r="C22" i="17" s="1"/>
  <c r="K82" i="16"/>
  <c r="B40" i="15" s="1"/>
  <c r="H83" i="16"/>
  <c r="I83"/>
  <c r="J83"/>
  <c r="A19" i="15" s="1"/>
  <c r="J19" s="1"/>
  <c r="C19" i="17" s="1"/>
  <c r="K83" i="16"/>
  <c r="B19" i="15" s="1"/>
  <c r="H84" i="16"/>
  <c r="I84"/>
  <c r="J84"/>
  <c r="A60" i="15" s="1"/>
  <c r="J60" s="1"/>
  <c r="C21" i="17" s="1"/>
  <c r="K84" i="16"/>
  <c r="B60" i="15" s="1"/>
  <c r="H85" i="16"/>
  <c r="I85"/>
  <c r="N85" s="1"/>
  <c r="E45" i="15" s="1"/>
  <c r="J85" i="16"/>
  <c r="A45" i="15" s="1"/>
  <c r="J45" s="1"/>
  <c r="C20" i="17" s="1"/>
  <c r="K85" i="16"/>
  <c r="B45" i="15" s="1"/>
  <c r="H86" i="16"/>
  <c r="I86"/>
  <c r="J86"/>
  <c r="A24" i="15" s="1"/>
  <c r="J24" s="1"/>
  <c r="C25" i="17" s="1"/>
  <c r="K86" i="16"/>
  <c r="B24" i="15" s="1"/>
  <c r="H87" i="16"/>
  <c r="I87"/>
  <c r="J87"/>
  <c r="A16" i="15" s="1"/>
  <c r="J16" s="1"/>
  <c r="C23" i="17" s="1"/>
  <c r="K87" i="16"/>
  <c r="B16" i="15" s="1"/>
  <c r="H88" i="16"/>
  <c r="I88"/>
  <c r="J88"/>
  <c r="A46" i="15" s="1"/>
  <c r="J46" s="1"/>
  <c r="C29" i="17" s="1"/>
  <c r="K88" i="16"/>
  <c r="B46" i="15" s="1"/>
  <c r="H89" i="16"/>
  <c r="I89"/>
  <c r="J89"/>
  <c r="A55" i="15" s="1"/>
  <c r="J55" s="1"/>
  <c r="C26" i="17" s="1"/>
  <c r="K89" i="16"/>
  <c r="B55" i="15" s="1"/>
  <c r="H90" i="16"/>
  <c r="I90"/>
  <c r="J90"/>
  <c r="A23" i="15" s="1"/>
  <c r="J23" s="1"/>
  <c r="C27" i="17" s="1"/>
  <c r="K90" i="16"/>
  <c r="B23" i="15" s="1"/>
  <c r="H91" i="16"/>
  <c r="I91"/>
  <c r="J91"/>
  <c r="A41" i="15" s="1"/>
  <c r="J41" s="1"/>
  <c r="C24" i="17" s="1"/>
  <c r="K91" i="16"/>
  <c r="B41" i="15" s="1"/>
  <c r="H92" i="16"/>
  <c r="I92"/>
  <c r="J92"/>
  <c r="A47" i="15" s="1"/>
  <c r="J47" s="1"/>
  <c r="C30" i="17" s="1"/>
  <c r="K92" i="16"/>
  <c r="B47" i="15" s="1"/>
  <c r="H93" i="16"/>
  <c r="I93"/>
  <c r="J93"/>
  <c r="A42" i="15" s="1"/>
  <c r="J42" s="1"/>
  <c r="C32" i="17" s="1"/>
  <c r="K93" i="16"/>
  <c r="B42" i="15" s="1"/>
  <c r="N93" i="16"/>
  <c r="E42" i="15" s="1"/>
  <c r="L42" s="1"/>
  <c r="E32" i="17" s="1"/>
  <c r="H94" i="16"/>
  <c r="I94"/>
  <c r="N94" s="1"/>
  <c r="E29" i="15" s="1"/>
  <c r="L29" s="1"/>
  <c r="E40" i="17" s="1"/>
  <c r="J94" i="16"/>
  <c r="A29" i="15" s="1"/>
  <c r="J29" s="1"/>
  <c r="C40" i="17" s="1"/>
  <c r="K94" i="16"/>
  <c r="B29" i="15" s="1"/>
  <c r="H95" i="16"/>
  <c r="I95"/>
  <c r="N95" s="1"/>
  <c r="E65" i="15" s="1"/>
  <c r="L65" s="1"/>
  <c r="E43" i="17" s="1"/>
  <c r="J95" i="16"/>
  <c r="A65" i="15" s="1"/>
  <c r="J65" s="1"/>
  <c r="C43" i="17" s="1"/>
  <c r="K95" i="16"/>
  <c r="B65" i="15" s="1"/>
  <c r="H96" i="16"/>
  <c r="I96"/>
  <c r="J96"/>
  <c r="A33" i="15" s="1"/>
  <c r="J33" s="1"/>
  <c r="C45" i="17" s="1"/>
  <c r="K96" i="16"/>
  <c r="B33" i="15" s="1"/>
  <c r="H97" i="16"/>
  <c r="I97"/>
  <c r="N97" s="1"/>
  <c r="E52" i="15" s="1"/>
  <c r="L52" s="1"/>
  <c r="E49" i="17" s="1"/>
  <c r="J97" i="16"/>
  <c r="A52" i="15" s="1"/>
  <c r="J52" s="1"/>
  <c r="C49" i="17" s="1"/>
  <c r="K97" i="16"/>
  <c r="B52" i="15" s="1"/>
  <c r="H98" i="16"/>
  <c r="I98"/>
  <c r="J98"/>
  <c r="A38" i="15" s="1"/>
  <c r="J38" s="1"/>
  <c r="C47" i="17" s="1"/>
  <c r="K98" i="16"/>
  <c r="B38" i="15" s="1"/>
  <c r="H99" i="16"/>
  <c r="I99"/>
  <c r="J99"/>
  <c r="A34" i="15" s="1"/>
  <c r="J34" s="1"/>
  <c r="C50" i="17" s="1"/>
  <c r="K99" i="16"/>
  <c r="B34" i="15" s="1"/>
  <c r="H100" i="16"/>
  <c r="I100"/>
  <c r="J100"/>
  <c r="A59" i="15" s="1"/>
  <c r="J59" s="1"/>
  <c r="C48" i="17" s="1"/>
  <c r="K100" i="16"/>
  <c r="B59" i="15" s="1"/>
  <c r="H101" i="16"/>
  <c r="I101"/>
  <c r="J101"/>
  <c r="A54" i="15" s="1"/>
  <c r="J54" s="1"/>
  <c r="C51" i="17" s="1"/>
  <c r="K101" i="16"/>
  <c r="B54" i="15" s="1"/>
  <c r="H102" i="16"/>
  <c r="I102"/>
  <c r="J102"/>
  <c r="A66" i="15" s="1"/>
  <c r="J66" s="1"/>
  <c r="C52" i="17" s="1"/>
  <c r="K102" i="16"/>
  <c r="B66" i="15" s="1"/>
  <c r="H103" i="16"/>
  <c r="I103"/>
  <c r="J103"/>
  <c r="A35" i="15" s="1"/>
  <c r="J35" s="1"/>
  <c r="C54" i="17" s="1"/>
  <c r="K103" i="16"/>
  <c r="B35" i="15" s="1"/>
  <c r="H104" i="16"/>
  <c r="I104"/>
  <c r="N104" s="1"/>
  <c r="E62" i="15" s="1"/>
  <c r="J104" i="16"/>
  <c r="A62" i="15" s="1"/>
  <c r="J62" s="1"/>
  <c r="C53" i="17" s="1"/>
  <c r="K104" i="16"/>
  <c r="B62" i="15" s="1"/>
  <c r="A6" i="16"/>
  <c r="B6"/>
  <c r="C6"/>
  <c r="D6"/>
  <c r="E6"/>
  <c r="F6"/>
  <c r="G6"/>
  <c r="K8"/>
  <c r="K9"/>
  <c r="F64" i="15" s="1"/>
  <c r="K10" i="16"/>
  <c r="K11"/>
  <c r="K12"/>
  <c r="F28" i="15" s="1"/>
  <c r="K13" i="16"/>
  <c r="F60" i="15" s="1"/>
  <c r="K14" i="16"/>
  <c r="F61" i="15" s="1"/>
  <c r="K15" i="16"/>
  <c r="F55" i="15" s="1"/>
  <c r="K16" i="16"/>
  <c r="F18" i="15" s="1"/>
  <c r="K17" i="16"/>
  <c r="K18"/>
  <c r="F16" i="15" s="1"/>
  <c r="K19" i="16"/>
  <c r="F43" i="15" s="1"/>
  <c r="K20" i="16"/>
  <c r="F38" i="15" s="1"/>
  <c r="K21" i="16"/>
  <c r="K22"/>
  <c r="F40" i="15" s="1"/>
  <c r="K23" i="16"/>
  <c r="F53" i="15" s="1"/>
  <c r="K24" i="16"/>
  <c r="K25"/>
  <c r="F24" i="15" s="1"/>
  <c r="K26" i="16"/>
  <c r="K27"/>
  <c r="K28"/>
  <c r="F17" i="15" s="1"/>
  <c r="K29" i="16"/>
  <c r="K30"/>
  <c r="K31"/>
  <c r="K32"/>
  <c r="K33"/>
  <c r="F22" i="15" s="1"/>
  <c r="K34" i="16"/>
  <c r="F39" i="15" s="1"/>
  <c r="K35" i="16"/>
  <c r="K36"/>
  <c r="F26" i="15" s="1"/>
  <c r="K37" i="16"/>
  <c r="F27" i="15" s="1"/>
  <c r="K38" i="16"/>
  <c r="F49" i="15" s="1"/>
  <c r="K39" i="16"/>
  <c r="F45" i="15" s="1"/>
  <c r="K40" i="16"/>
  <c r="K41"/>
  <c r="F58" i="15" s="1"/>
  <c r="K42" i="16"/>
  <c r="F41" i="15" s="1"/>
  <c r="K43" i="16"/>
  <c r="F23" i="15" s="1"/>
  <c r="K44" i="16"/>
  <c r="F19" i="15" s="1"/>
  <c r="K45" i="16"/>
  <c r="F63" i="15" s="1"/>
  <c r="K46" i="16"/>
  <c r="F20" i="15" s="1"/>
  <c r="K47" i="16"/>
  <c r="F31" i="15" s="1"/>
  <c r="K48" i="16"/>
  <c r="F15" i="15" s="1"/>
  <c r="K49" i="16"/>
  <c r="F56" i="15" s="1"/>
  <c r="K50" i="16"/>
  <c r="F59" i="15" s="1"/>
  <c r="K51" i="16"/>
  <c r="F57" i="15" s="1"/>
  <c r="K52" i="16"/>
  <c r="F21" i="15" s="1"/>
  <c r="K53" i="16"/>
  <c r="F62" i="15" s="1"/>
  <c r="K54" i="16"/>
  <c r="F48" i="15" s="1"/>
  <c r="K55" i="16"/>
  <c r="F32" i="15" s="1"/>
  <c r="K56" i="16"/>
  <c r="F30" i="15" s="1"/>
  <c r="F13"/>
  <c r="G13"/>
  <c r="H13"/>
  <c r="A5" i="16"/>
  <c r="M105" s="1"/>
  <c r="K7"/>
  <c r="F25" i="15" s="1"/>
  <c r="J39" i="16"/>
  <c r="K57"/>
  <c r="K58"/>
  <c r="K59"/>
  <c r="F50" i="15" s="1"/>
  <c r="K60" i="16"/>
  <c r="K61"/>
  <c r="K62"/>
  <c r="K63"/>
  <c r="K64"/>
  <c r="K65"/>
  <c r="K66"/>
  <c r="F36" i="15" s="1"/>
  <c r="K67" i="16"/>
  <c r="K68"/>
  <c r="K69"/>
  <c r="B36" i="15" s="1"/>
  <c r="K70" i="16"/>
  <c r="B27" i="15" s="1"/>
  <c r="K71" i="16"/>
  <c r="B50" i="15" s="1"/>
  <c r="K72" i="16"/>
  <c r="B17" i="15" s="1"/>
  <c r="K73" i="16"/>
  <c r="K74"/>
  <c r="H39"/>
  <c r="M107" l="1"/>
  <c r="N89"/>
  <c r="E55" i="15" s="1"/>
  <c r="N87" i="16"/>
  <c r="E16" i="15" s="1"/>
  <c r="N86" i="16"/>
  <c r="E24" i="15" s="1"/>
  <c r="N114" i="16"/>
  <c r="M114"/>
  <c r="N107"/>
  <c r="N100"/>
  <c r="E59" i="15" s="1"/>
  <c r="N98" i="16"/>
  <c r="E38" i="15" s="1"/>
  <c r="N91" i="16"/>
  <c r="E41" i="15" s="1"/>
  <c r="N90" i="16"/>
  <c r="E23" i="15" s="1"/>
  <c r="N83" i="16"/>
  <c r="E19" i="15" s="1"/>
  <c r="N82" i="16"/>
  <c r="E40" i="15" s="1"/>
  <c r="M7" i="16"/>
  <c r="H25" i="15" s="1"/>
  <c r="M104" i="16"/>
  <c r="D62" i="15" s="1"/>
  <c r="M102" i="16"/>
  <c r="D66" i="15" s="1"/>
  <c r="M100" i="16"/>
  <c r="D59" i="15" s="1"/>
  <c r="M98" i="16"/>
  <c r="D38" i="15" s="1"/>
  <c r="M96" i="16"/>
  <c r="D33" i="15" s="1"/>
  <c r="M94" i="16"/>
  <c r="D29" i="15" s="1"/>
  <c r="M92" i="16"/>
  <c r="D47" i="15" s="1"/>
  <c r="M90" i="16"/>
  <c r="D23" i="15" s="1"/>
  <c r="M88" i="16"/>
  <c r="D46" i="15" s="1"/>
  <c r="M86" i="16"/>
  <c r="D24" i="15" s="1"/>
  <c r="M84" i="16"/>
  <c r="D60" i="15" s="1"/>
  <c r="M82" i="16"/>
  <c r="D40" i="15" s="1"/>
  <c r="M80" i="16"/>
  <c r="D18" i="15" s="1"/>
  <c r="M78" i="16"/>
  <c r="D37" i="15" s="1"/>
  <c r="M76" i="16"/>
  <c r="D64" i="15" s="1"/>
  <c r="M74" i="16"/>
  <c r="M72"/>
  <c r="D17" i="15" s="1"/>
  <c r="M70" i="16"/>
  <c r="D27" i="15" s="1"/>
  <c r="M68" i="16"/>
  <c r="M66"/>
  <c r="H36" i="15" s="1"/>
  <c r="M64" i="16"/>
  <c r="M62"/>
  <c r="M60"/>
  <c r="M58"/>
  <c r="M56"/>
  <c r="H30" i="15" s="1"/>
  <c r="M54" i="16"/>
  <c r="H48" i="15" s="1"/>
  <c r="M52" i="16"/>
  <c r="H21" i="15" s="1"/>
  <c r="M50" i="16"/>
  <c r="H59" i="15" s="1"/>
  <c r="M48" i="16"/>
  <c r="H15" i="15" s="1"/>
  <c r="M46" i="16"/>
  <c r="H20" i="15" s="1"/>
  <c r="M44" i="16"/>
  <c r="H19" i="15" s="1"/>
  <c r="M42" i="16"/>
  <c r="H41" i="15" s="1"/>
  <c r="M40" i="16"/>
  <c r="M38"/>
  <c r="H49" i="15" s="1"/>
  <c r="M36" i="16"/>
  <c r="H26" i="15" s="1"/>
  <c r="M34" i="16"/>
  <c r="H39" i="15" s="1"/>
  <c r="M32" i="16"/>
  <c r="M30"/>
  <c r="M28"/>
  <c r="H17" i="15" s="1"/>
  <c r="M26" i="16"/>
  <c r="M24"/>
  <c r="M22"/>
  <c r="H40" i="15" s="1"/>
  <c r="M20" i="16"/>
  <c r="H38" i="15" s="1"/>
  <c r="M18" i="16"/>
  <c r="H16" i="15" s="1"/>
  <c r="M16" i="16"/>
  <c r="H18" i="15" s="1"/>
  <c r="M14" i="16"/>
  <c r="H61" i="15" s="1"/>
  <c r="M12" i="16"/>
  <c r="H28" i="15" s="1"/>
  <c r="M10" i="16"/>
  <c r="N112"/>
  <c r="N110"/>
  <c r="N108"/>
  <c r="E25" i="15" s="1"/>
  <c r="K114" i="16"/>
  <c r="K107"/>
  <c r="M8"/>
  <c r="M103"/>
  <c r="D35" i="15" s="1"/>
  <c r="M101" i="16"/>
  <c r="D54" i="15" s="1"/>
  <c r="M99" i="16"/>
  <c r="D34" i="15" s="1"/>
  <c r="M97" i="16"/>
  <c r="D52" i="15" s="1"/>
  <c r="M95" i="16"/>
  <c r="D65" i="15" s="1"/>
  <c r="M93" i="16"/>
  <c r="D42" i="15" s="1"/>
  <c r="M91" i="16"/>
  <c r="D41" i="15" s="1"/>
  <c r="M89" i="16"/>
  <c r="D55" i="15" s="1"/>
  <c r="M87" i="16"/>
  <c r="D16" i="15" s="1"/>
  <c r="M85" i="16"/>
  <c r="D45" i="15" s="1"/>
  <c r="M83" i="16"/>
  <c r="D19" i="15" s="1"/>
  <c r="M81" i="16"/>
  <c r="D51" i="15" s="1"/>
  <c r="M79" i="16"/>
  <c r="D22" i="15" s="1"/>
  <c r="M77" i="16"/>
  <c r="D44" i="15" s="1"/>
  <c r="M75" i="16"/>
  <c r="D28" i="15" s="1"/>
  <c r="M73" i="16"/>
  <c r="M71"/>
  <c r="D50" i="15" s="1"/>
  <c r="M69" i="16"/>
  <c r="D36" i="15" s="1"/>
  <c r="M67" i="16"/>
  <c r="M65"/>
  <c r="M63"/>
  <c r="M61"/>
  <c r="M59"/>
  <c r="H50" i="15" s="1"/>
  <c r="M57" i="16"/>
  <c r="M55"/>
  <c r="H32" i="15" s="1"/>
  <c r="M53" i="16"/>
  <c r="H62" i="15" s="1"/>
  <c r="M51" i="16"/>
  <c r="H57" i="15" s="1"/>
  <c r="M49" i="16"/>
  <c r="H56" i="15" s="1"/>
  <c r="M47" i="16"/>
  <c r="H31" i="15" s="1"/>
  <c r="M45" i="16"/>
  <c r="H63" i="15" s="1"/>
  <c r="M43" i="16"/>
  <c r="H23" i="15" s="1"/>
  <c r="M41" i="16"/>
  <c r="H58" i="15" s="1"/>
  <c r="M39" i="16"/>
  <c r="H45" i="15" s="1"/>
  <c r="M37" i="16"/>
  <c r="H27" i="15" s="1"/>
  <c r="M35" i="16"/>
  <c r="M33"/>
  <c r="H22" i="15" s="1"/>
  <c r="M31" i="16"/>
  <c r="M29"/>
  <c r="M27"/>
  <c r="M25"/>
  <c r="H24" i="15" s="1"/>
  <c r="M23" i="16"/>
  <c r="H53" i="15" s="1"/>
  <c r="M21" i="16"/>
  <c r="M19"/>
  <c r="H43" i="15" s="1"/>
  <c r="M17" i="16"/>
  <c r="M15"/>
  <c r="H55" i="15" s="1"/>
  <c r="M13" i="16"/>
  <c r="H60" i="15" s="1"/>
  <c r="M11" i="16"/>
  <c r="M9"/>
  <c r="H64" i="15" s="1"/>
  <c r="M106" i="16"/>
  <c r="N113"/>
  <c r="N111"/>
  <c r="N109"/>
  <c r="E39" i="15" s="1"/>
  <c r="M113" i="16"/>
  <c r="K113"/>
  <c r="M112"/>
  <c r="K112"/>
  <c r="M111"/>
  <c r="K111"/>
  <c r="M110"/>
  <c r="K110"/>
  <c r="M109"/>
  <c r="D39" i="15" s="1"/>
  <c r="K109" i="16"/>
  <c r="B39" i="15" s="1"/>
  <c r="M108" i="16"/>
  <c r="D25" i="15" s="1"/>
  <c r="K108" i="16"/>
  <c r="B25" i="15" s="1"/>
  <c r="N102" i="16"/>
  <c r="E66" i="15" s="1"/>
  <c r="L66" s="1"/>
  <c r="E52" i="17" s="1"/>
  <c r="N101" i="16"/>
  <c r="E54" i="15" s="1"/>
  <c r="L54" s="1"/>
  <c r="E51" i="17" s="1"/>
  <c r="N96" i="16"/>
  <c r="E33" i="15" s="1"/>
  <c r="L33" s="1"/>
  <c r="E45" i="17" s="1"/>
  <c r="N92" i="16"/>
  <c r="E47" i="15" s="1"/>
  <c r="L47" s="1"/>
  <c r="E30" i="17" s="1"/>
  <c r="N88" i="16"/>
  <c r="E46" i="15" s="1"/>
  <c r="L46" s="1"/>
  <c r="E29" i="17" s="1"/>
  <c r="N84" i="16"/>
  <c r="E60" i="15" s="1"/>
  <c r="N80" i="16"/>
  <c r="E18" i="15" s="1"/>
  <c r="N76" i="16"/>
  <c r="E64" i="15" s="1"/>
  <c r="N75" i="16"/>
  <c r="E28" i="15" s="1"/>
  <c r="N105" i="16"/>
  <c r="N103"/>
  <c r="E35" i="15" s="1"/>
  <c r="L35" s="1"/>
  <c r="E54" i="17" s="1"/>
  <c r="N99" i="16"/>
  <c r="E34" i="15" s="1"/>
  <c r="L34" s="1"/>
  <c r="E50" i="17" s="1"/>
  <c r="I74" i="16"/>
  <c r="I72"/>
  <c r="I70"/>
  <c r="I68"/>
  <c r="I66"/>
  <c r="I64"/>
  <c r="I62"/>
  <c r="I60"/>
  <c r="I58"/>
  <c r="I56"/>
  <c r="I54"/>
  <c r="I52"/>
  <c r="I50"/>
  <c r="I48"/>
  <c r="I46"/>
  <c r="I44"/>
  <c r="I42"/>
  <c r="I40"/>
  <c r="I38"/>
  <c r="I36"/>
  <c r="I34"/>
  <c r="I32"/>
  <c r="I30"/>
  <c r="I28"/>
  <c r="I26"/>
  <c r="I24"/>
  <c r="I22"/>
  <c r="I20"/>
  <c r="I18"/>
  <c r="I16"/>
  <c r="I14"/>
  <c r="I12"/>
  <c r="I10"/>
  <c r="I8"/>
  <c r="I7"/>
  <c r="I73"/>
  <c r="I71"/>
  <c r="I69"/>
  <c r="I67"/>
  <c r="I65"/>
  <c r="I63"/>
  <c r="I61"/>
  <c r="I59"/>
  <c r="I57"/>
  <c r="I55"/>
  <c r="I53"/>
  <c r="I51"/>
  <c r="I49"/>
  <c r="I47"/>
  <c r="I45"/>
  <c r="I43"/>
  <c r="I41"/>
  <c r="I39"/>
  <c r="N39" s="1"/>
  <c r="I45" i="15" s="1"/>
  <c r="L45" s="1"/>
  <c r="E20" i="17" s="1"/>
  <c r="I37" i="16"/>
  <c r="I35"/>
  <c r="I33"/>
  <c r="I31"/>
  <c r="I29"/>
  <c r="I27"/>
  <c r="I25"/>
  <c r="I23"/>
  <c r="I21"/>
  <c r="I19"/>
  <c r="I17"/>
  <c r="I15"/>
  <c r="I13"/>
  <c r="I11"/>
  <c r="I9"/>
  <c r="D13" i="15"/>
  <c r="C13"/>
  <c r="B13"/>
  <c r="H8" i="16"/>
  <c r="J8"/>
  <c r="H9"/>
  <c r="J9"/>
  <c r="H10"/>
  <c r="N10" s="1"/>
  <c r="J10"/>
  <c r="H11"/>
  <c r="J11"/>
  <c r="H12"/>
  <c r="J12"/>
  <c r="H13"/>
  <c r="J13"/>
  <c r="H14"/>
  <c r="N14" s="1"/>
  <c r="I61" i="15" s="1"/>
  <c r="L61" s="1"/>
  <c r="E14" i="17" s="1"/>
  <c r="J14" i="16"/>
  <c r="A61" i="15" s="1"/>
  <c r="J61" s="1"/>
  <c r="C14" i="17" s="1"/>
  <c r="H15" i="16"/>
  <c r="J15"/>
  <c r="H16"/>
  <c r="J16"/>
  <c r="H17"/>
  <c r="J17"/>
  <c r="H18"/>
  <c r="N18" s="1"/>
  <c r="I16" i="15" s="1"/>
  <c r="L16" s="1"/>
  <c r="E23" i="17" s="1"/>
  <c r="J18" i="16"/>
  <c r="H19"/>
  <c r="J19"/>
  <c r="A43" i="15" s="1"/>
  <c r="J43" s="1"/>
  <c r="C36" i="17" s="1"/>
  <c r="H20" i="16"/>
  <c r="J20"/>
  <c r="H21"/>
  <c r="J21"/>
  <c r="H22"/>
  <c r="N22" s="1"/>
  <c r="I40" i="15" s="1"/>
  <c r="J22" i="16"/>
  <c r="H23"/>
  <c r="J23"/>
  <c r="A53" i="15" s="1"/>
  <c r="J53" s="1"/>
  <c r="C38" i="17" s="1"/>
  <c r="H24" i="16"/>
  <c r="J24"/>
  <c r="H25"/>
  <c r="J25"/>
  <c r="H26"/>
  <c r="N26" s="1"/>
  <c r="J26"/>
  <c r="H27"/>
  <c r="J27"/>
  <c r="H28"/>
  <c r="J28"/>
  <c r="H29"/>
  <c r="J29"/>
  <c r="H30"/>
  <c r="N30" s="1"/>
  <c r="J30"/>
  <c r="H31"/>
  <c r="N31" s="1"/>
  <c r="J31"/>
  <c r="H32"/>
  <c r="J32"/>
  <c r="H33"/>
  <c r="J33"/>
  <c r="H34"/>
  <c r="N34" s="1"/>
  <c r="I39" i="15" s="1"/>
  <c r="J34" i="16"/>
  <c r="H35"/>
  <c r="N35" s="1"/>
  <c r="J35"/>
  <c r="H36"/>
  <c r="J36"/>
  <c r="A26" i="15" s="1"/>
  <c r="J26" s="1"/>
  <c r="C11" i="17" s="1"/>
  <c r="H37" i="16"/>
  <c r="J37"/>
  <c r="H38"/>
  <c r="N38" s="1"/>
  <c r="I49" i="15" s="1"/>
  <c r="L49" s="1"/>
  <c r="E12" i="17" s="1"/>
  <c r="J38" i="16"/>
  <c r="A49" i="15" s="1"/>
  <c r="J49" s="1"/>
  <c r="C12" i="17" s="1"/>
  <c r="H40" i="16"/>
  <c r="J40"/>
  <c r="H41"/>
  <c r="J41"/>
  <c r="A58" i="15" s="1"/>
  <c r="J58" s="1"/>
  <c r="C13" i="17" s="1"/>
  <c r="H42" i="16"/>
  <c r="N42" s="1"/>
  <c r="I41" i="15" s="1"/>
  <c r="J42" i="16"/>
  <c r="H43"/>
  <c r="N43" s="1"/>
  <c r="I23" i="15" s="1"/>
  <c r="J43" i="16"/>
  <c r="H44"/>
  <c r="J44"/>
  <c r="H45"/>
  <c r="J45"/>
  <c r="A63" i="15" s="1"/>
  <c r="J63" s="1"/>
  <c r="C31" i="17" s="1"/>
  <c r="H46" i="16"/>
  <c r="N46" s="1"/>
  <c r="I20" i="15" s="1"/>
  <c r="L20" s="1"/>
  <c r="E33" i="17" s="1"/>
  <c r="J46" i="16"/>
  <c r="A20" i="15" s="1"/>
  <c r="J20" s="1"/>
  <c r="C33" i="17" s="1"/>
  <c r="H47" i="16"/>
  <c r="N47" s="1"/>
  <c r="I31" i="15" s="1"/>
  <c r="L31" s="1"/>
  <c r="E34" i="17" s="1"/>
  <c r="J47" i="16"/>
  <c r="A31" i="15" s="1"/>
  <c r="J31" s="1"/>
  <c r="C34" i="17" s="1"/>
  <c r="H48" i="16"/>
  <c r="J48"/>
  <c r="A15" i="15" s="1"/>
  <c r="J15" s="1"/>
  <c r="C35" i="17" s="1"/>
  <c r="H49" i="16"/>
  <c r="J49"/>
  <c r="A56" i="15" s="1"/>
  <c r="J56" s="1"/>
  <c r="C37" i="17" s="1"/>
  <c r="H50" i="16"/>
  <c r="N50" s="1"/>
  <c r="I59" i="15" s="1"/>
  <c r="J50" i="16"/>
  <c r="H51"/>
  <c r="N51" s="1"/>
  <c r="I57" i="15" s="1"/>
  <c r="L57" s="1"/>
  <c r="E39" i="17" s="1"/>
  <c r="J51" i="16"/>
  <c r="A57" i="15" s="1"/>
  <c r="J57" s="1"/>
  <c r="C39" i="17" s="1"/>
  <c r="H52" i="16"/>
  <c r="J52"/>
  <c r="A21" i="15" s="1"/>
  <c r="J21" s="1"/>
  <c r="C41" i="17" s="1"/>
  <c r="H53" i="16"/>
  <c r="J53"/>
  <c r="H54"/>
  <c r="N54" s="1"/>
  <c r="I48" i="15" s="1"/>
  <c r="L48" s="1"/>
  <c r="E42" i="17" s="1"/>
  <c r="J54" i="16"/>
  <c r="A48" i="15" s="1"/>
  <c r="J48" s="1"/>
  <c r="C42" i="17" s="1"/>
  <c r="H55" i="16"/>
  <c r="N55" s="1"/>
  <c r="I32" i="15" s="1"/>
  <c r="L32" s="1"/>
  <c r="E44" i="17" s="1"/>
  <c r="J55" i="16"/>
  <c r="A32" i="15" s="1"/>
  <c r="J32" s="1"/>
  <c r="C44" i="17" s="1"/>
  <c r="H56" i="16"/>
  <c r="J56"/>
  <c r="A30" i="15" s="1"/>
  <c r="J30" s="1"/>
  <c r="C46" i="17" s="1"/>
  <c r="H57" i="16"/>
  <c r="J57"/>
  <c r="H58"/>
  <c r="N58" s="1"/>
  <c r="J58"/>
  <c r="H59"/>
  <c r="N59" s="1"/>
  <c r="I50" i="15" s="1"/>
  <c r="J59" i="16"/>
  <c r="H60"/>
  <c r="J60"/>
  <c r="H61"/>
  <c r="J61"/>
  <c r="H62"/>
  <c r="N62" s="1"/>
  <c r="J62"/>
  <c r="H63"/>
  <c r="N63" s="1"/>
  <c r="J63"/>
  <c r="H64"/>
  <c r="J64"/>
  <c r="H65"/>
  <c r="J65"/>
  <c r="H66"/>
  <c r="N66" s="1"/>
  <c r="I36" i="15" s="1"/>
  <c r="J66" i="16"/>
  <c r="H67"/>
  <c r="N67" s="1"/>
  <c r="J67"/>
  <c r="H68"/>
  <c r="J68"/>
  <c r="H69"/>
  <c r="J69"/>
  <c r="A36" i="15" s="1"/>
  <c r="J36" s="1"/>
  <c r="C4" i="17" s="1"/>
  <c r="H70" i="16"/>
  <c r="N70" s="1"/>
  <c r="E27" i="15" s="1"/>
  <c r="J70" i="16"/>
  <c r="A27" i="15" s="1"/>
  <c r="J27" s="1"/>
  <c r="C7" i="17" s="1"/>
  <c r="H71" i="16"/>
  <c r="N71" s="1"/>
  <c r="E50" i="15" s="1"/>
  <c r="L50" s="1"/>
  <c r="E6" i="17" s="1"/>
  <c r="J71" i="16"/>
  <c r="A50" i="15" s="1"/>
  <c r="J50" s="1"/>
  <c r="C6" i="17" s="1"/>
  <c r="H72" i="16"/>
  <c r="J72"/>
  <c r="A17" i="15" s="1"/>
  <c r="J17" s="1"/>
  <c r="C10" i="17" s="1"/>
  <c r="H73" i="16"/>
  <c r="J73"/>
  <c r="H74"/>
  <c r="N74" s="1"/>
  <c r="J74"/>
  <c r="N27" l="1"/>
  <c r="N23"/>
  <c r="I53" i="15" s="1"/>
  <c r="L53" s="1"/>
  <c r="E38" i="17" s="1"/>
  <c r="N19" i="16"/>
  <c r="I43" i="15" s="1"/>
  <c r="L43" s="1"/>
  <c r="E36" i="17" s="1"/>
  <c r="N15" i="16"/>
  <c r="I55" i="15" s="1"/>
  <c r="L55" s="1"/>
  <c r="E26" i="17" s="1"/>
  <c r="N11" i="16"/>
  <c r="L39" i="15"/>
  <c r="E5" i="17" s="1"/>
  <c r="L41" i="15"/>
  <c r="E24" i="17" s="1"/>
  <c r="L59" i="15"/>
  <c r="E48" i="17" s="1"/>
  <c r="L40" i="15"/>
  <c r="E22" i="17" s="1"/>
  <c r="L23" i="15"/>
  <c r="E27" i="17" s="1"/>
  <c r="N73" i="16"/>
  <c r="N72"/>
  <c r="E17" i="15" s="1"/>
  <c r="N69" i="16"/>
  <c r="E36" i="15" s="1"/>
  <c r="L36" s="1"/>
  <c r="E4" i="17" s="1"/>
  <c r="N68" i="16"/>
  <c r="N65"/>
  <c r="N64"/>
  <c r="N61"/>
  <c r="N60"/>
  <c r="N57"/>
  <c r="N56"/>
  <c r="I30" i="15" s="1"/>
  <c r="L30" s="1"/>
  <c r="E46" i="17" s="1"/>
  <c r="N53" i="16"/>
  <c r="I62" i="15" s="1"/>
  <c r="L62" s="1"/>
  <c r="E53" i="17" s="1"/>
  <c r="N52" i="16"/>
  <c r="I21" i="15" s="1"/>
  <c r="L21" s="1"/>
  <c r="E41" i="17" s="1"/>
  <c r="N49" i="16"/>
  <c r="I56" i="15" s="1"/>
  <c r="L56" s="1"/>
  <c r="E37" i="17" s="1"/>
  <c r="N48" i="16"/>
  <c r="I15" i="15" s="1"/>
  <c r="L15" s="1"/>
  <c r="E35" i="17" s="1"/>
  <c r="N45" i="16"/>
  <c r="I63" i="15" s="1"/>
  <c r="L63" s="1"/>
  <c r="E31" i="17" s="1"/>
  <c r="N44" i="16"/>
  <c r="I19" i="15" s="1"/>
  <c r="L19" s="1"/>
  <c r="E19" i="17" s="1"/>
  <c r="N41" i="16"/>
  <c r="I58" i="15" s="1"/>
  <c r="L58" s="1"/>
  <c r="E13" i="17" s="1"/>
  <c r="N40" i="16"/>
  <c r="N37"/>
  <c r="I27" i="15" s="1"/>
  <c r="L27" s="1"/>
  <c r="E7" i="17" s="1"/>
  <c r="N36" i="16"/>
  <c r="I26" i="15" s="1"/>
  <c r="L26" s="1"/>
  <c r="E11" i="17" s="1"/>
  <c r="N33" i="16"/>
  <c r="I22" i="15" s="1"/>
  <c r="L22" s="1"/>
  <c r="E18" i="17" s="1"/>
  <c r="N32" i="16"/>
  <c r="N28"/>
  <c r="I17" i="15" s="1"/>
  <c r="N24" i="16"/>
  <c r="N20"/>
  <c r="I38" i="15" s="1"/>
  <c r="L38" s="1"/>
  <c r="E47" i="17" s="1"/>
  <c r="N16" i="16"/>
  <c r="I18" i="15" s="1"/>
  <c r="L18" s="1"/>
  <c r="E17" i="17" s="1"/>
  <c r="N12" i="16"/>
  <c r="I28" i="15" s="1"/>
  <c r="L28" s="1"/>
  <c r="E8" i="17" s="1"/>
  <c r="N8" i="16"/>
  <c r="N29"/>
  <c r="N25"/>
  <c r="I24" i="15" s="1"/>
  <c r="L24" s="1"/>
  <c r="E25" i="17" s="1"/>
  <c r="N21" i="16"/>
  <c r="N17"/>
  <c r="N13"/>
  <c r="I60" i="15" s="1"/>
  <c r="L60" s="1"/>
  <c r="E21" i="17" s="1"/>
  <c r="N9" i="16"/>
  <c r="I64" i="15" s="1"/>
  <c r="L64" s="1"/>
  <c r="E9" i="17" s="1"/>
  <c r="L5" i="15"/>
  <c r="J6" i="16"/>
  <c r="A13" i="15" s="1"/>
  <c r="J13" s="1"/>
  <c r="J7" i="16"/>
  <c r="H7"/>
  <c r="N7" s="1"/>
  <c r="I25" i="15" s="1"/>
  <c r="L25" s="1"/>
  <c r="E3" i="17" s="1"/>
  <c r="L17" i="15" l="1"/>
  <c r="E10" i="17" s="1"/>
</calcChain>
</file>

<file path=xl/comments1.xml><?xml version="1.0" encoding="utf-8"?>
<comments xmlns="http://schemas.openxmlformats.org/spreadsheetml/2006/main">
  <authors>
    <author xml:space="preserve"> Derek Mackie</author>
  </authors>
  <commentList>
    <comment ref="C3" authorId="0">
      <text>
        <r>
          <rPr>
            <sz val="10"/>
            <color indexed="81"/>
            <rFont val="Tahoma"/>
            <charset val="1"/>
          </rPr>
          <t>A = Handicap A (FAI)
B = Handicap B (Club)
O = Open
18 = 18m
15 = 15m
S = Standard
C =Club
P = Sport</t>
        </r>
      </text>
    </comment>
    <comment ref="D3" authorId="0">
      <text>
        <r>
          <rPr>
            <sz val="10"/>
            <color indexed="81"/>
            <rFont val="Tahoma"/>
            <family val="2"/>
          </rPr>
          <t>C = Can Nats
W = Worlds
P = Pre-Worlds
E = Euros
F = Foreign Nationals from a coutry ranked higher than USA on the IGC list.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<sst xmlns="http://schemas.openxmlformats.org/spreadsheetml/2006/main" count="506" uniqueCount="153">
  <si>
    <t>Willem Langelaan</t>
  </si>
  <si>
    <t>Nick Bonniere</t>
  </si>
  <si>
    <t>Dave Springford</t>
  </si>
  <si>
    <t>Ed Hollistelle Sr.</t>
  </si>
  <si>
    <t>Roger Hildesheim</t>
  </si>
  <si>
    <t>Derek Mackie</t>
  </si>
  <si>
    <t>Dale Kramer</t>
  </si>
  <si>
    <t>Andy Gough</t>
  </si>
  <si>
    <t>Canadian National Soaring Championships (FAI)</t>
  </si>
  <si>
    <t>Canadian National Soaring Championships (CLUB)</t>
  </si>
  <si>
    <t>Anthony Kawzowicz</t>
  </si>
  <si>
    <t>Alf Marcelissen</t>
  </si>
  <si>
    <t>Larry Springford</t>
  </si>
  <si>
    <t>Jim Freyett</t>
  </si>
  <si>
    <t>Luke Szczepaniak</t>
  </si>
  <si>
    <t>John Brennan</t>
  </si>
  <si>
    <t>Randy Neilsen</t>
  </si>
  <si>
    <t>Bill Cole</t>
  </si>
  <si>
    <t>Dave Cole</t>
  </si>
  <si>
    <t>Sergei Morozov</t>
  </si>
  <si>
    <t>Steve Burany</t>
  </si>
  <si>
    <t>Year</t>
  </si>
  <si>
    <t>Competition</t>
  </si>
  <si>
    <t>Name</t>
  </si>
  <si>
    <t>US 15m Nationals</t>
  </si>
  <si>
    <t>Brian Milner</t>
  </si>
  <si>
    <t>US Standard Nationals</t>
  </si>
  <si>
    <t>Ryszard Gatkiewicz</t>
  </si>
  <si>
    <t>US 18m Nationals</t>
  </si>
  <si>
    <t>Dennis Vreeken</t>
  </si>
  <si>
    <t>US Open Nationals</t>
  </si>
  <si>
    <t>WGC 15m</t>
  </si>
  <si>
    <t>W</t>
  </si>
  <si>
    <t>WGC 18m</t>
  </si>
  <si>
    <t>&lt;Save As&gt; to new filename for current year</t>
  </si>
  <si>
    <t>Junior WGC Club</t>
  </si>
  <si>
    <t>Chris Gough</t>
  </si>
  <si>
    <t>Canadian National Soaring Championships (Club)</t>
  </si>
  <si>
    <t>Mike Thompson</t>
  </si>
  <si>
    <t>John Mulder</t>
  </si>
  <si>
    <t>Dan Cook</t>
  </si>
  <si>
    <t>Tony Burton</t>
  </si>
  <si>
    <t>Bruce Friesen</t>
  </si>
  <si>
    <t>Guy Blood</t>
  </si>
  <si>
    <t>Al Hoar</t>
  </si>
  <si>
    <t>Ron Cattaruzza</t>
  </si>
  <si>
    <t>Selena Boyle</t>
  </si>
  <si>
    <t>Roy Eichendorf</t>
  </si>
  <si>
    <t>Carol Mulder</t>
  </si>
  <si>
    <t>Tim Radder</t>
  </si>
  <si>
    <t>Mike Stoesser</t>
  </si>
  <si>
    <t>Hank Hees</t>
  </si>
  <si>
    <t>Frank Cwikla</t>
  </si>
  <si>
    <t>US Sports Nationals</t>
  </si>
  <si>
    <t>US Sport Nationals</t>
  </si>
  <si>
    <t>Wilf Krueger</t>
  </si>
  <si>
    <t>WGC Open</t>
  </si>
  <si>
    <t>Where</t>
  </si>
  <si>
    <t>Do</t>
  </si>
  <si>
    <t>File</t>
  </si>
  <si>
    <t>Add new contest data.</t>
  </si>
  <si>
    <t>Racing Results</t>
  </si>
  <si>
    <t>Result vs Winner</t>
  </si>
  <si>
    <t>Factored Result</t>
  </si>
  <si>
    <t>Pilot Score</t>
  </si>
  <si>
    <t>Winner Score</t>
  </si>
  <si>
    <t>SEEDING POINTS</t>
  </si>
  <si>
    <t>SEEDING GROUP</t>
  </si>
  <si>
    <t>Rank</t>
  </si>
  <si>
    <t>Raw Results</t>
  </si>
  <si>
    <t>Scoring</t>
  </si>
  <si>
    <t>Seeding Points</t>
  </si>
  <si>
    <t>Seeding Weights</t>
  </si>
  <si>
    <t>Total</t>
  </si>
  <si>
    <t>Term 1</t>
  </si>
  <si>
    <t>Term 2</t>
  </si>
  <si>
    <t>Seeding List</t>
  </si>
  <si>
    <t>NAME</t>
  </si>
  <si>
    <t>Group A</t>
  </si>
  <si>
    <t>Group B</t>
  </si>
  <si>
    <t>Joerg Stieber</t>
  </si>
  <si>
    <t>Andrzej Kobus</t>
  </si>
  <si>
    <t>O</t>
  </si>
  <si>
    <t>S</t>
  </si>
  <si>
    <t>C</t>
  </si>
  <si>
    <t>Flatland Cup (Hungarian Open Nationals)</t>
  </si>
  <si>
    <t>Class</t>
  </si>
  <si>
    <t>P</t>
  </si>
  <si>
    <t>Delete obsolete contest year data.</t>
  </si>
  <si>
    <t>Class Code</t>
  </si>
  <si>
    <t>Term Code</t>
  </si>
  <si>
    <t>Section 1</t>
  </si>
  <si>
    <t>Section 2</t>
  </si>
  <si>
    <t>Section 3</t>
  </si>
  <si>
    <t>A</t>
  </si>
  <si>
    <t>B</t>
  </si>
  <si>
    <t>F</t>
  </si>
  <si>
    <t>Comp Code</t>
  </si>
  <si>
    <t>= Current Year</t>
  </si>
  <si>
    <t>Comp Factor</t>
  </si>
  <si>
    <t>E</t>
  </si>
  <si>
    <t>Can Nats =</t>
  </si>
  <si>
    <t>WGC =</t>
  </si>
  <si>
    <t>PWGC =</t>
  </si>
  <si>
    <t>EGC =</t>
  </si>
  <si>
    <t>US Nats + =</t>
  </si>
  <si>
    <t>Delete data in white cells</t>
  </si>
  <si>
    <t>Update adjoining coloured cells if necessary</t>
  </si>
  <si>
    <t>&lt;Copy&gt; and &lt;Paste Special - link&gt; data to 'Racing Results'</t>
  </si>
  <si>
    <t>&lt;Copy&gt; orange data and &lt;Paste Special - Link&gt; to 'Scoring'</t>
  </si>
  <si>
    <t>&lt;Copy&gt; orange data and &lt;Paste Special - Link&gt; to 'Seeding List'</t>
  </si>
  <si>
    <t>Follow sorting/editing instructions on 'Scoring'.</t>
  </si>
  <si>
    <t>1.  Name (Lowest - Highest)</t>
  </si>
  <si>
    <t>2.  Term Code (lowest- highest)</t>
  </si>
  <si>
    <t>3.  Term 1 (highest - lowest)</t>
  </si>
  <si>
    <t>Delete:</t>
  </si>
  <si>
    <t>1.  Pilots without Comp Code C contest</t>
  </si>
  <si>
    <t>Remaining contest results</t>
  </si>
  <si>
    <t>FAI</t>
  </si>
  <si>
    <t>Club</t>
  </si>
  <si>
    <t>ERROR: No Can Nats</t>
  </si>
  <si>
    <t>Leo Deschamps</t>
  </si>
  <si>
    <t>Jim Carpenter</t>
  </si>
  <si>
    <t>Canadian National Soaring Championships (Club 1)</t>
  </si>
  <si>
    <t>Paul Fish</t>
  </si>
  <si>
    <t>Marian Nowak</t>
  </si>
  <si>
    <t>Martin Brassard</t>
  </si>
  <si>
    <t>Krzysztof Wiercioch</t>
  </si>
  <si>
    <t>Emmanuael Cadieux</t>
  </si>
  <si>
    <t>Yves Bastien</t>
  </si>
  <si>
    <t>Hans Juergensen</t>
  </si>
  <si>
    <t>Canadian National Soaring Championships (Club 2)</t>
  </si>
  <si>
    <t>Pierre Gavillet</t>
  </si>
  <si>
    <t>Herrie ten Cate</t>
  </si>
  <si>
    <t>Ray Wood</t>
  </si>
  <si>
    <t>Zach Martin</t>
  </si>
  <si>
    <t>Jay Allardyce</t>
  </si>
  <si>
    <t>Group C</t>
  </si>
  <si>
    <t>PWGC 15m</t>
  </si>
  <si>
    <t>PWGC 18m</t>
  </si>
  <si>
    <t>JWGC</t>
  </si>
  <si>
    <t>Sort White Cells by:</t>
  </si>
  <si>
    <t>Seed Formatting</t>
  </si>
  <si>
    <t>Cleanup:</t>
  </si>
  <si>
    <t>Section 3 by Copy&amp;Paste of the "Seed Formatting" line to the rest of the pink section</t>
  </si>
  <si>
    <t>Section 1 Keep:</t>
  </si>
  <si>
    <t>Next best result. If Section 1 is not Country Code C, then Section 2 must be Country Code C.</t>
  </si>
  <si>
    <t>Section 2 cut&amp;paste:</t>
  </si>
  <si>
    <t>Best result with Term Code = 1 AND Country Code = C, W or P</t>
  </si>
  <si>
    <t>2.  Teams</t>
  </si>
  <si>
    <t>Sort by"Seeding Group" (hidden) then "Seeding Points"</t>
  </si>
  <si>
    <t>Clean up layout for publishing.</t>
  </si>
  <si>
    <t>Jerzy Szemplinski</t>
  </si>
</sst>
</file>

<file path=xl/styles.xml><?xml version="1.0" encoding="utf-8"?>
<styleSheet xmlns="http://schemas.openxmlformats.org/spreadsheetml/2006/main">
  <numFmts count="1">
    <numFmt numFmtId="164" formatCode="0.0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0"/>
      <color indexed="81"/>
      <name val="Tahoma"/>
      <charset val="1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horizontal="center"/>
    </xf>
    <xf numFmtId="0" fontId="1" fillId="2" borderId="3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0" fillId="4" borderId="15" xfId="0" applyFill="1" applyBorder="1"/>
    <xf numFmtId="0" fontId="1" fillId="2" borderId="3" xfId="0" applyFont="1" applyFill="1" applyBorder="1" applyAlignment="1">
      <alignment horizontal="center" wrapText="1"/>
    </xf>
    <xf numFmtId="0" fontId="0" fillId="6" borderId="5" xfId="0" applyFill="1" applyBorder="1"/>
    <xf numFmtId="0" fontId="0" fillId="6" borderId="0" xfId="0" applyFill="1" applyBorder="1" applyAlignment="1">
      <alignment horizontal="center"/>
    </xf>
    <xf numFmtId="164" fontId="0" fillId="6" borderId="6" xfId="0" applyNumberFormat="1" applyFill="1" applyBorder="1"/>
    <xf numFmtId="0" fontId="1" fillId="2" borderId="8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4" borderId="16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6" fillId="2" borderId="19" xfId="0" applyFont="1" applyFill="1" applyBorder="1" applyAlignment="1"/>
    <xf numFmtId="0" fontId="0" fillId="2" borderId="19" xfId="0" applyFill="1" applyBorder="1" applyAlignment="1">
      <alignment horizontal="center"/>
    </xf>
    <xf numFmtId="0" fontId="0" fillId="2" borderId="19" xfId="0" applyFill="1" applyBorder="1"/>
    <xf numFmtId="0" fontId="1" fillId="2" borderId="1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/>
    </xf>
    <xf numFmtId="0" fontId="1" fillId="2" borderId="8" xfId="0" applyFont="1" applyFill="1" applyBorder="1"/>
    <xf numFmtId="0" fontId="6" fillId="0" borderId="18" xfId="0" applyFont="1" applyFill="1" applyBorder="1" applyAlignment="1"/>
    <xf numFmtId="0" fontId="1" fillId="2" borderId="23" xfId="0" applyFont="1" applyFill="1" applyBorder="1" applyAlignment="1">
      <alignment horizontal="center" wrapText="1"/>
    </xf>
    <xf numFmtId="0" fontId="6" fillId="2" borderId="20" xfId="0" quotePrefix="1" applyFont="1" applyFill="1" applyBorder="1" applyAlignment="1"/>
    <xf numFmtId="0" fontId="1" fillId="2" borderId="13" xfId="0" applyFont="1" applyFill="1" applyBorder="1" applyAlignment="1">
      <alignment horizontal="center" wrapText="1"/>
    </xf>
    <xf numFmtId="2" fontId="0" fillId="2" borderId="6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1" fillId="2" borderId="24" xfId="0" applyFont="1" applyFill="1" applyBorder="1" applyAlignment="1">
      <alignment horizontal="center" wrapText="1"/>
    </xf>
    <xf numFmtId="0" fontId="1" fillId="2" borderId="25" xfId="0" applyFont="1" applyFill="1" applyBorder="1" applyAlignment="1">
      <alignment horizontal="right"/>
    </xf>
    <xf numFmtId="0" fontId="1" fillId="2" borderId="26" xfId="0" applyFont="1" applyFill="1" applyBorder="1" applyAlignment="1">
      <alignment horizontal="center"/>
    </xf>
    <xf numFmtId="2" fontId="1" fillId="0" borderId="27" xfId="0" applyNumberFormat="1" applyFont="1" applyFill="1" applyBorder="1" applyAlignment="1">
      <alignment horizontal="center"/>
    </xf>
    <xf numFmtId="0" fontId="1" fillId="2" borderId="28" xfId="0" applyFont="1" applyFill="1" applyBorder="1" applyAlignment="1">
      <alignment horizontal="right"/>
    </xf>
    <xf numFmtId="2" fontId="1" fillId="0" borderId="29" xfId="0" applyNumberFormat="1" applyFont="1" applyFill="1" applyBorder="1" applyAlignment="1">
      <alignment horizontal="center"/>
    </xf>
    <xf numFmtId="0" fontId="1" fillId="2" borderId="30" xfId="0" applyFont="1" applyFill="1" applyBorder="1" applyAlignment="1">
      <alignment horizontal="right"/>
    </xf>
    <xf numFmtId="0" fontId="1" fillId="2" borderId="31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Fill="1" applyAlignment="1"/>
    <xf numFmtId="0" fontId="0" fillId="3" borderId="7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164" fontId="0" fillId="3" borderId="2" xfId="0" applyNumberFormat="1" applyFill="1" applyBorder="1" applyAlignment="1">
      <alignment horizontal="right"/>
    </xf>
    <xf numFmtId="164" fontId="0" fillId="3" borderId="6" xfId="0" applyNumberFormat="1" applyFill="1" applyBorder="1" applyAlignment="1">
      <alignment horizontal="right"/>
    </xf>
    <xf numFmtId="0" fontId="0" fillId="2" borderId="9" xfId="0" applyFill="1" applyBorder="1" applyAlignment="1"/>
    <xf numFmtId="0" fontId="0" fillId="2" borderId="14" xfId="0" applyFill="1" applyBorder="1" applyAlignment="1">
      <alignment horizontal="center"/>
    </xf>
    <xf numFmtId="0" fontId="0" fillId="2" borderId="14" xfId="0" applyFill="1" applyBorder="1" applyAlignment="1"/>
    <xf numFmtId="0" fontId="0" fillId="2" borderId="10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164" fontId="0" fillId="2" borderId="6" xfId="0" applyNumberFormat="1" applyFill="1" applyBorder="1"/>
    <xf numFmtId="0" fontId="0" fillId="6" borderId="7" xfId="0" applyFill="1" applyBorder="1"/>
    <xf numFmtId="0" fontId="0" fillId="6" borderId="7" xfId="0" applyFill="1" applyBorder="1" applyAlignment="1">
      <alignment horizontal="center"/>
    </xf>
    <xf numFmtId="164" fontId="0" fillId="6" borderId="2" xfId="0" applyNumberFormat="1" applyFill="1" applyBorder="1"/>
    <xf numFmtId="0" fontId="0" fillId="6" borderId="0" xfId="0" applyFill="1" applyBorder="1"/>
    <xf numFmtId="0" fontId="0" fillId="2" borderId="8" xfId="0" applyFill="1" applyBorder="1"/>
    <xf numFmtId="164" fontId="0" fillId="2" borderId="4" xfId="0" applyNumberFormat="1" applyFill="1" applyBorder="1"/>
    <xf numFmtId="0" fontId="1" fillId="2" borderId="7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1" fillId="2" borderId="8" xfId="0" applyNumberFormat="1" applyFont="1" applyFill="1" applyBorder="1" applyAlignment="1">
      <alignment horizontal="center"/>
    </xf>
    <xf numFmtId="0" fontId="1" fillId="6" borderId="7" xfId="0" applyNumberFormat="1" applyFont="1" applyFill="1" applyBorder="1" applyAlignment="1">
      <alignment horizontal="center"/>
    </xf>
    <xf numFmtId="0" fontId="1" fillId="6" borderId="0" xfId="0" applyNumberFormat="1" applyFont="1" applyFill="1" applyBorder="1" applyAlignment="1">
      <alignment horizontal="center"/>
    </xf>
    <xf numFmtId="0" fontId="1" fillId="5" borderId="7" xfId="0" applyNumberFormat="1" applyFont="1" applyFill="1" applyBorder="1" applyAlignment="1">
      <alignment horizontal="center"/>
    </xf>
    <xf numFmtId="0" fontId="0" fillId="5" borderId="7" xfId="0" applyFill="1" applyBorder="1"/>
    <xf numFmtId="164" fontId="0" fillId="5" borderId="2" xfId="0" applyNumberFormat="1" applyFill="1" applyBorder="1"/>
    <xf numFmtId="0" fontId="1" fillId="5" borderId="0" xfId="0" applyNumberFormat="1" applyFont="1" applyFill="1" applyBorder="1" applyAlignment="1">
      <alignment horizontal="center"/>
    </xf>
    <xf numFmtId="0" fontId="0" fillId="5" borderId="0" xfId="0" applyFill="1" applyBorder="1"/>
    <xf numFmtId="0" fontId="0" fillId="5" borderId="0" xfId="0" applyFill="1" applyBorder="1" applyAlignment="1">
      <alignment horizontal="center"/>
    </xf>
    <xf numFmtId="164" fontId="0" fillId="5" borderId="6" xfId="0" applyNumberFormat="1" applyFill="1" applyBorder="1"/>
    <xf numFmtId="0" fontId="7" fillId="2" borderId="21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0" fillId="7" borderId="0" xfId="0" applyFill="1" applyAlignment="1"/>
    <xf numFmtId="0" fontId="0" fillId="6" borderId="0" xfId="0" applyFill="1" applyAlignment="1"/>
    <xf numFmtId="0" fontId="0" fillId="8" borderId="8" xfId="0" applyFill="1" applyBorder="1" applyAlignment="1"/>
    <xf numFmtId="0" fontId="0" fillId="2" borderId="0" xfId="0" applyFill="1" applyAlignment="1"/>
    <xf numFmtId="0" fontId="4" fillId="5" borderId="9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textRotation="90"/>
    </xf>
    <xf numFmtId="0" fontId="4" fillId="5" borderId="5" xfId="0" applyFont="1" applyFill="1" applyBorder="1" applyAlignment="1">
      <alignment horizontal="center" vertical="center" textRotation="90"/>
    </xf>
    <xf numFmtId="0" fontId="4" fillId="5" borderId="3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 textRotation="90"/>
    </xf>
    <xf numFmtId="0" fontId="4" fillId="2" borderId="5" xfId="0" applyFont="1" applyFill="1" applyBorder="1" applyAlignment="1">
      <alignment horizontal="center" vertical="center" textRotation="90"/>
    </xf>
    <xf numFmtId="0" fontId="4" fillId="2" borderId="3" xfId="0" applyFont="1" applyFill="1" applyBorder="1" applyAlignment="1">
      <alignment horizontal="center" vertical="center" textRotation="90"/>
    </xf>
    <xf numFmtId="0" fontId="4" fillId="6" borderId="1" xfId="0" applyFont="1" applyFill="1" applyBorder="1" applyAlignment="1">
      <alignment horizontal="center" vertical="center" textRotation="90"/>
    </xf>
    <xf numFmtId="0" fontId="4" fillId="6" borderId="5" xfId="0" applyFont="1" applyFill="1" applyBorder="1" applyAlignment="1">
      <alignment horizontal="center" vertical="center" textRotation="90"/>
    </xf>
    <xf numFmtId="0" fontId="4" fillId="6" borderId="3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4">
    <dxf>
      <fill>
        <patternFill>
          <bgColor rgb="FF00FF00"/>
        </patternFill>
      </fill>
    </dxf>
    <dxf>
      <fill>
        <patternFill>
          <bgColor rgb="FF3399FF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colors>
    <mruColors>
      <color rgb="FF00FF00"/>
      <color rgb="FF66FF33"/>
      <color rgb="FF3399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D13"/>
  <sheetViews>
    <sheetView workbookViewId="0">
      <selection activeCell="C1" sqref="C1"/>
    </sheetView>
  </sheetViews>
  <sheetFormatPr defaultRowHeight="15"/>
  <cols>
    <col min="1" max="1" width="3" bestFit="1" customWidth="1"/>
    <col min="2" max="2" width="27.5703125" customWidth="1"/>
    <col min="3" max="3" width="97.28515625" bestFit="1" customWidth="1"/>
  </cols>
  <sheetData>
    <row r="1" spans="1:4">
      <c r="B1" s="2" t="s">
        <v>57</v>
      </c>
      <c r="C1" s="2" t="s">
        <v>58</v>
      </c>
    </row>
    <row r="2" spans="1:4">
      <c r="A2">
        <v>1</v>
      </c>
      <c r="B2" t="s">
        <v>59</v>
      </c>
      <c r="C2" t="s">
        <v>34</v>
      </c>
    </row>
    <row r="3" spans="1:4">
      <c r="A3">
        <v>2</v>
      </c>
      <c r="B3" t="s">
        <v>69</v>
      </c>
      <c r="C3" t="s">
        <v>88</v>
      </c>
    </row>
    <row r="4" spans="1:4">
      <c r="A4">
        <v>3</v>
      </c>
      <c r="B4" t="s">
        <v>69</v>
      </c>
      <c r="C4" t="s">
        <v>60</v>
      </c>
    </row>
    <row r="5" spans="1:4">
      <c r="A5">
        <v>4</v>
      </c>
      <c r="B5" t="s">
        <v>61</v>
      </c>
      <c r="C5" t="s">
        <v>106</v>
      </c>
    </row>
    <row r="6" spans="1:4">
      <c r="A6">
        <v>5</v>
      </c>
      <c r="B6" t="s">
        <v>69</v>
      </c>
      <c r="C6" t="s">
        <v>108</v>
      </c>
    </row>
    <row r="7" spans="1:4">
      <c r="A7">
        <v>6</v>
      </c>
      <c r="B7" t="s">
        <v>61</v>
      </c>
      <c r="C7" t="s">
        <v>107</v>
      </c>
    </row>
    <row r="8" spans="1:4">
      <c r="A8">
        <v>7</v>
      </c>
      <c r="B8" t="s">
        <v>70</v>
      </c>
      <c r="C8" t="s">
        <v>106</v>
      </c>
    </row>
    <row r="9" spans="1:4">
      <c r="A9">
        <v>8</v>
      </c>
      <c r="B9" t="s">
        <v>61</v>
      </c>
      <c r="C9" t="s">
        <v>109</v>
      </c>
    </row>
    <row r="10" spans="1:4">
      <c r="A10">
        <v>9</v>
      </c>
      <c r="B10" t="s">
        <v>70</v>
      </c>
      <c r="C10" t="s">
        <v>111</v>
      </c>
    </row>
    <row r="11" spans="1:4">
      <c r="A11">
        <v>10</v>
      </c>
      <c r="B11" t="s">
        <v>70</v>
      </c>
      <c r="C11" t="s">
        <v>110</v>
      </c>
    </row>
    <row r="12" spans="1:4">
      <c r="A12">
        <v>11</v>
      </c>
      <c r="B12" t="s">
        <v>76</v>
      </c>
      <c r="C12" s="64" t="s">
        <v>150</v>
      </c>
      <c r="D12" s="64"/>
    </row>
    <row r="13" spans="1:4">
      <c r="A13">
        <v>12</v>
      </c>
      <c r="B13" t="s">
        <v>76</v>
      </c>
      <c r="C13" s="64" t="s">
        <v>151</v>
      </c>
      <c r="D13" s="64"/>
    </row>
  </sheetData>
  <conditionalFormatting sqref="D12:D13">
    <cfRule type="expression" dxfId="3" priority="1">
      <formula>IF($D12="B",TRUE,FALSE)</formula>
    </cfRule>
    <cfRule type="expression" dxfId="2" priority="2">
      <formula>IF($D12="A",TRUE, FALSE)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/>
  </sheetPr>
  <dimension ref="A1:G111"/>
  <sheetViews>
    <sheetView workbookViewId="0">
      <selection sqref="A1:G1"/>
    </sheetView>
  </sheetViews>
  <sheetFormatPr defaultRowHeight="15"/>
  <cols>
    <col min="1" max="1" width="6.7109375" style="1" customWidth="1"/>
    <col min="2" max="2" width="45.5703125" style="6" bestFit="1" customWidth="1"/>
    <col min="3" max="3" width="5.42578125" style="1" bestFit="1" customWidth="1"/>
    <col min="4" max="4" width="6" style="1" customWidth="1"/>
    <col min="5" max="5" width="7.7109375" bestFit="1" customWidth="1"/>
    <col min="6" max="6" width="26.5703125" customWidth="1"/>
    <col min="7" max="7" width="8.7109375" style="1" customWidth="1"/>
  </cols>
  <sheetData>
    <row r="1" spans="1:7" ht="24" thickBot="1">
      <c r="A1" s="97" t="s">
        <v>69</v>
      </c>
      <c r="B1" s="98"/>
      <c r="C1" s="98"/>
      <c r="D1" s="98"/>
      <c r="E1" s="98"/>
      <c r="F1" s="98"/>
      <c r="G1" s="98"/>
    </row>
    <row r="2" spans="1:7" ht="19.5" customHeight="1" thickBot="1">
      <c r="A2" s="41">
        <v>2011</v>
      </c>
      <c r="B2" s="43" t="s">
        <v>98</v>
      </c>
      <c r="C2" s="35"/>
      <c r="D2" s="34"/>
      <c r="E2" s="34"/>
      <c r="F2" s="36"/>
      <c r="G2" s="35"/>
    </row>
    <row r="3" spans="1:7" s="3" customFormat="1" ht="30" customHeight="1">
      <c r="A3" s="39" t="s">
        <v>21</v>
      </c>
      <c r="B3" s="37" t="s">
        <v>22</v>
      </c>
      <c r="C3" s="38" t="s">
        <v>86</v>
      </c>
      <c r="D3" s="38" t="s">
        <v>97</v>
      </c>
      <c r="E3" s="38" t="s">
        <v>65</v>
      </c>
      <c r="F3" s="37" t="s">
        <v>23</v>
      </c>
      <c r="G3" s="38" t="s">
        <v>64</v>
      </c>
    </row>
    <row r="4" spans="1:7">
      <c r="A4" s="4">
        <v>2009</v>
      </c>
      <c r="B4" s="5" t="s">
        <v>8</v>
      </c>
      <c r="C4" s="4" t="s">
        <v>94</v>
      </c>
      <c r="D4" s="4" t="s">
        <v>84</v>
      </c>
      <c r="E4" s="4">
        <v>4556</v>
      </c>
      <c r="F4" t="s">
        <v>2</v>
      </c>
      <c r="G4" s="1">
        <v>4556</v>
      </c>
    </row>
    <row r="5" spans="1:7">
      <c r="A5" s="4">
        <v>2009</v>
      </c>
      <c r="B5" s="5" t="s">
        <v>8</v>
      </c>
      <c r="C5" s="4" t="s">
        <v>94</v>
      </c>
      <c r="D5" s="4" t="s">
        <v>84</v>
      </c>
      <c r="E5" s="4">
        <v>4556</v>
      </c>
      <c r="F5" t="s">
        <v>152</v>
      </c>
      <c r="G5" s="1">
        <v>4526</v>
      </c>
    </row>
    <row r="6" spans="1:7">
      <c r="A6" s="4">
        <v>2009</v>
      </c>
      <c r="B6" s="5" t="s">
        <v>8</v>
      </c>
      <c r="C6" s="4" t="s">
        <v>94</v>
      </c>
      <c r="D6" s="4" t="s">
        <v>84</v>
      </c>
      <c r="E6" s="4">
        <v>4556</v>
      </c>
      <c r="F6" t="s">
        <v>0</v>
      </c>
      <c r="G6" s="1">
        <v>4417</v>
      </c>
    </row>
    <row r="7" spans="1:7">
      <c r="A7" s="4">
        <v>2009</v>
      </c>
      <c r="B7" s="5" t="s">
        <v>8</v>
      </c>
      <c r="C7" s="4" t="s">
        <v>94</v>
      </c>
      <c r="D7" s="4" t="s">
        <v>84</v>
      </c>
      <c r="E7" s="4">
        <v>4556</v>
      </c>
      <c r="F7" t="s">
        <v>1</v>
      </c>
      <c r="G7" s="1">
        <v>4271</v>
      </c>
    </row>
    <row r="8" spans="1:7">
      <c r="A8" s="4">
        <v>2009</v>
      </c>
      <c r="B8" s="5" t="s">
        <v>8</v>
      </c>
      <c r="C8" s="4" t="s">
        <v>94</v>
      </c>
      <c r="D8" s="4" t="s">
        <v>84</v>
      </c>
      <c r="E8" s="4">
        <v>4556</v>
      </c>
      <c r="F8" t="s">
        <v>80</v>
      </c>
      <c r="G8" s="1">
        <v>4251</v>
      </c>
    </row>
    <row r="9" spans="1:7">
      <c r="A9" s="4">
        <v>2009</v>
      </c>
      <c r="B9" s="5" t="s">
        <v>8</v>
      </c>
      <c r="C9" s="4" t="s">
        <v>94</v>
      </c>
      <c r="D9" s="4" t="s">
        <v>84</v>
      </c>
      <c r="E9" s="4">
        <v>4556</v>
      </c>
      <c r="F9" t="s">
        <v>3</v>
      </c>
      <c r="G9" s="1">
        <v>4229</v>
      </c>
    </row>
    <row r="10" spans="1:7">
      <c r="A10" s="4">
        <v>2009</v>
      </c>
      <c r="B10" s="5" t="s">
        <v>8</v>
      </c>
      <c r="C10" s="4" t="s">
        <v>94</v>
      </c>
      <c r="D10" s="4" t="s">
        <v>84</v>
      </c>
      <c r="E10" s="4">
        <v>4556</v>
      </c>
      <c r="F10" t="s">
        <v>19</v>
      </c>
      <c r="G10" s="1">
        <v>3674</v>
      </c>
    </row>
    <row r="11" spans="1:7">
      <c r="A11" s="4">
        <v>2009</v>
      </c>
      <c r="B11" s="5" t="s">
        <v>8</v>
      </c>
      <c r="C11" s="4" t="s">
        <v>94</v>
      </c>
      <c r="D11" s="4" t="s">
        <v>84</v>
      </c>
      <c r="E11" s="4">
        <v>4556</v>
      </c>
      <c r="F11" t="s">
        <v>20</v>
      </c>
      <c r="G11" s="1">
        <v>2058</v>
      </c>
    </row>
    <row r="12" spans="1:7">
      <c r="A12" s="4">
        <v>2009</v>
      </c>
      <c r="B12" s="5" t="s">
        <v>8</v>
      </c>
      <c r="C12" s="4" t="s">
        <v>94</v>
      </c>
      <c r="D12" s="4" t="s">
        <v>84</v>
      </c>
      <c r="E12" s="4">
        <v>4556</v>
      </c>
      <c r="F12" t="s">
        <v>4</v>
      </c>
      <c r="G12" s="1">
        <v>1989</v>
      </c>
    </row>
    <row r="13" spans="1:7">
      <c r="A13" s="4">
        <v>2009</v>
      </c>
      <c r="B13" s="5" t="s">
        <v>9</v>
      </c>
      <c r="C13" s="4" t="s">
        <v>95</v>
      </c>
      <c r="D13" s="4" t="s">
        <v>84</v>
      </c>
      <c r="E13" s="4">
        <v>4336</v>
      </c>
      <c r="F13" t="s">
        <v>10</v>
      </c>
      <c r="G13" s="1">
        <v>4336</v>
      </c>
    </row>
    <row r="14" spans="1:7">
      <c r="A14" s="4">
        <v>2009</v>
      </c>
      <c r="B14" s="5" t="s">
        <v>9</v>
      </c>
      <c r="C14" s="4" t="s">
        <v>95</v>
      </c>
      <c r="D14" s="4" t="s">
        <v>84</v>
      </c>
      <c r="E14" s="4">
        <v>4336</v>
      </c>
      <c r="F14" t="s">
        <v>5</v>
      </c>
      <c r="G14" s="1">
        <v>3704</v>
      </c>
    </row>
    <row r="15" spans="1:7">
      <c r="A15" s="4">
        <v>2009</v>
      </c>
      <c r="B15" s="5" t="s">
        <v>9</v>
      </c>
      <c r="C15" s="4" t="s">
        <v>95</v>
      </c>
      <c r="D15" s="4" t="s">
        <v>84</v>
      </c>
      <c r="E15" s="4">
        <v>4336</v>
      </c>
      <c r="F15" t="s">
        <v>11</v>
      </c>
      <c r="G15" s="1">
        <v>3699</v>
      </c>
    </row>
    <row r="16" spans="1:7">
      <c r="A16" s="4">
        <v>2009</v>
      </c>
      <c r="B16" s="5" t="s">
        <v>9</v>
      </c>
      <c r="C16" s="4" t="s">
        <v>95</v>
      </c>
      <c r="D16" s="4" t="s">
        <v>84</v>
      </c>
      <c r="E16" s="4">
        <v>4336</v>
      </c>
      <c r="F16" t="s">
        <v>12</v>
      </c>
      <c r="G16" s="1">
        <v>3433</v>
      </c>
    </row>
    <row r="17" spans="1:7">
      <c r="A17" s="4">
        <v>2009</v>
      </c>
      <c r="B17" s="5" t="s">
        <v>9</v>
      </c>
      <c r="C17" s="4" t="s">
        <v>95</v>
      </c>
      <c r="D17" s="4" t="s">
        <v>84</v>
      </c>
      <c r="E17" s="4">
        <v>4336</v>
      </c>
      <c r="F17" t="s">
        <v>13</v>
      </c>
      <c r="G17" s="1">
        <v>3310</v>
      </c>
    </row>
    <row r="18" spans="1:7">
      <c r="A18" s="4">
        <v>2009</v>
      </c>
      <c r="B18" s="5" t="s">
        <v>9</v>
      </c>
      <c r="C18" s="4" t="s">
        <v>95</v>
      </c>
      <c r="D18" s="4" t="s">
        <v>84</v>
      </c>
      <c r="E18" s="4">
        <v>4336</v>
      </c>
      <c r="F18" t="s">
        <v>14</v>
      </c>
      <c r="G18" s="1">
        <v>3185</v>
      </c>
    </row>
    <row r="19" spans="1:7">
      <c r="A19" s="4">
        <v>2009</v>
      </c>
      <c r="B19" s="5" t="s">
        <v>9</v>
      </c>
      <c r="C19" s="4" t="s">
        <v>95</v>
      </c>
      <c r="D19" s="4" t="s">
        <v>84</v>
      </c>
      <c r="E19" s="4">
        <v>4336</v>
      </c>
      <c r="F19" t="s">
        <v>15</v>
      </c>
      <c r="G19" s="1">
        <v>3127</v>
      </c>
    </row>
    <row r="20" spans="1:7">
      <c r="A20" s="4">
        <v>2009</v>
      </c>
      <c r="B20" s="5" t="s">
        <v>9</v>
      </c>
      <c r="C20" s="4" t="s">
        <v>95</v>
      </c>
      <c r="D20" s="4" t="s">
        <v>84</v>
      </c>
      <c r="E20" s="4">
        <v>4336</v>
      </c>
      <c r="F20" t="s">
        <v>16</v>
      </c>
      <c r="G20" s="1">
        <v>2660</v>
      </c>
    </row>
    <row r="21" spans="1:7">
      <c r="A21" s="4">
        <v>2009</v>
      </c>
      <c r="B21" s="5" t="s">
        <v>9</v>
      </c>
      <c r="C21" s="4" t="s">
        <v>95</v>
      </c>
      <c r="D21" s="4" t="s">
        <v>84</v>
      </c>
      <c r="E21" s="4">
        <v>4336</v>
      </c>
      <c r="F21" t="s">
        <v>17</v>
      </c>
      <c r="G21" s="1">
        <v>2492</v>
      </c>
    </row>
    <row r="22" spans="1:7">
      <c r="A22" s="4">
        <v>2009</v>
      </c>
      <c r="B22" s="5" t="s">
        <v>9</v>
      </c>
      <c r="C22" s="4" t="s">
        <v>95</v>
      </c>
      <c r="D22" s="4" t="s">
        <v>84</v>
      </c>
      <c r="E22" s="4">
        <v>4336</v>
      </c>
      <c r="F22" t="s">
        <v>18</v>
      </c>
      <c r="G22" s="1">
        <v>2149</v>
      </c>
    </row>
    <row r="23" spans="1:7">
      <c r="A23" s="4">
        <v>2009</v>
      </c>
      <c r="B23" s="5" t="s">
        <v>53</v>
      </c>
      <c r="C23" s="4" t="s">
        <v>87</v>
      </c>
      <c r="D23" s="4" t="s">
        <v>96</v>
      </c>
      <c r="E23" s="4">
        <v>3099</v>
      </c>
      <c r="F23" t="s">
        <v>7</v>
      </c>
      <c r="G23" s="1">
        <v>2450</v>
      </c>
    </row>
    <row r="24" spans="1:7">
      <c r="A24" s="4">
        <v>2009</v>
      </c>
      <c r="B24" s="5" t="s">
        <v>53</v>
      </c>
      <c r="C24" s="4" t="s">
        <v>87</v>
      </c>
      <c r="D24" s="4" t="s">
        <v>96</v>
      </c>
      <c r="E24" s="4">
        <v>3099</v>
      </c>
      <c r="F24" t="s">
        <v>0</v>
      </c>
      <c r="G24" s="1">
        <v>1497</v>
      </c>
    </row>
    <row r="25" spans="1:7">
      <c r="A25" s="4">
        <v>2009</v>
      </c>
      <c r="B25" s="5" t="s">
        <v>53</v>
      </c>
      <c r="C25" s="4" t="s">
        <v>87</v>
      </c>
      <c r="D25" s="4" t="s">
        <v>96</v>
      </c>
      <c r="E25" s="4">
        <v>3099</v>
      </c>
      <c r="F25" t="s">
        <v>81</v>
      </c>
      <c r="G25" s="1">
        <v>1541</v>
      </c>
    </row>
    <row r="26" spans="1:7">
      <c r="A26" s="4">
        <v>2009</v>
      </c>
      <c r="B26" s="5" t="s">
        <v>28</v>
      </c>
      <c r="C26" s="4">
        <v>18</v>
      </c>
      <c r="D26" s="4" t="s">
        <v>96</v>
      </c>
      <c r="E26" s="4">
        <v>7845</v>
      </c>
      <c r="F26" t="s">
        <v>6</v>
      </c>
      <c r="G26" s="1">
        <v>7412</v>
      </c>
    </row>
    <row r="27" spans="1:7">
      <c r="A27" s="4">
        <v>2009</v>
      </c>
      <c r="B27" s="5" t="s">
        <v>28</v>
      </c>
      <c r="C27" s="4">
        <v>18</v>
      </c>
      <c r="D27" s="4" t="s">
        <v>96</v>
      </c>
      <c r="E27" s="4">
        <v>7845</v>
      </c>
      <c r="F27" t="s">
        <v>38</v>
      </c>
      <c r="G27" s="1">
        <v>6645</v>
      </c>
    </row>
    <row r="28" spans="1:7">
      <c r="A28" s="4">
        <v>2009</v>
      </c>
      <c r="B28" s="5" t="s">
        <v>26</v>
      </c>
      <c r="C28" s="4" t="s">
        <v>83</v>
      </c>
      <c r="D28" s="4" t="s">
        <v>96</v>
      </c>
      <c r="E28" s="4">
        <v>7346</v>
      </c>
      <c r="F28" t="s">
        <v>29</v>
      </c>
      <c r="G28" s="1">
        <v>4350</v>
      </c>
    </row>
    <row r="29" spans="1:7">
      <c r="A29" s="4">
        <v>2009</v>
      </c>
      <c r="B29" s="5" t="s">
        <v>30</v>
      </c>
      <c r="C29" s="4" t="s">
        <v>82</v>
      </c>
      <c r="D29" s="4" t="s">
        <v>96</v>
      </c>
      <c r="E29" s="4">
        <v>8266</v>
      </c>
      <c r="F29" t="s">
        <v>6</v>
      </c>
      <c r="G29" s="1">
        <v>6679</v>
      </c>
    </row>
    <row r="30" spans="1:7">
      <c r="A30" s="4">
        <v>2009</v>
      </c>
      <c r="B30" s="5" t="s">
        <v>35</v>
      </c>
      <c r="C30" s="4" t="s">
        <v>84</v>
      </c>
      <c r="D30" s="4" t="s">
        <v>32</v>
      </c>
      <c r="E30" s="4">
        <v>8160</v>
      </c>
      <c r="F30" t="s">
        <v>36</v>
      </c>
      <c r="G30" s="1">
        <v>5758</v>
      </c>
    </row>
    <row r="31" spans="1:7">
      <c r="A31" s="4">
        <v>2010</v>
      </c>
      <c r="B31" s="5" t="s">
        <v>8</v>
      </c>
      <c r="C31" s="4" t="s">
        <v>94</v>
      </c>
      <c r="D31" s="4" t="s">
        <v>84</v>
      </c>
      <c r="E31" s="4">
        <v>4887</v>
      </c>
      <c r="F31" t="s">
        <v>80</v>
      </c>
      <c r="G31" s="1">
        <v>4887</v>
      </c>
    </row>
    <row r="32" spans="1:7">
      <c r="A32" s="4">
        <v>2010</v>
      </c>
      <c r="B32" s="5" t="s">
        <v>8</v>
      </c>
      <c r="C32" s="4" t="s">
        <v>94</v>
      </c>
      <c r="D32" s="4" t="s">
        <v>84</v>
      </c>
      <c r="E32" s="4">
        <v>4887</v>
      </c>
      <c r="F32" t="s">
        <v>1</v>
      </c>
      <c r="G32" s="1">
        <v>4381</v>
      </c>
    </row>
    <row r="33" spans="1:7">
      <c r="A33" s="4">
        <v>2010</v>
      </c>
      <c r="B33" s="5" t="s">
        <v>8</v>
      </c>
      <c r="C33" s="4" t="s">
        <v>94</v>
      </c>
      <c r="D33" s="4" t="s">
        <v>84</v>
      </c>
      <c r="E33" s="4">
        <v>4887</v>
      </c>
      <c r="F33" t="s">
        <v>29</v>
      </c>
      <c r="G33" s="1">
        <v>4281</v>
      </c>
    </row>
    <row r="34" spans="1:7">
      <c r="A34" s="4">
        <v>2010</v>
      </c>
      <c r="B34" s="5" t="s">
        <v>8</v>
      </c>
      <c r="C34" s="4" t="s">
        <v>94</v>
      </c>
      <c r="D34" s="4" t="s">
        <v>84</v>
      </c>
      <c r="E34" s="4">
        <v>4887</v>
      </c>
      <c r="F34" t="s">
        <v>5</v>
      </c>
      <c r="G34" s="1">
        <v>4260</v>
      </c>
    </row>
    <row r="35" spans="1:7">
      <c r="A35" s="4">
        <v>2010</v>
      </c>
      <c r="B35" s="5" t="s">
        <v>8</v>
      </c>
      <c r="C35" s="4" t="s">
        <v>94</v>
      </c>
      <c r="D35" s="4" t="s">
        <v>84</v>
      </c>
      <c r="E35" s="4">
        <v>4887</v>
      </c>
      <c r="F35" t="s">
        <v>38</v>
      </c>
      <c r="G35" s="1">
        <v>4143</v>
      </c>
    </row>
    <row r="36" spans="1:7">
      <c r="A36" s="4">
        <v>2010</v>
      </c>
      <c r="B36" s="5" t="s">
        <v>8</v>
      </c>
      <c r="C36" s="4" t="s">
        <v>94</v>
      </c>
      <c r="D36" s="4" t="s">
        <v>84</v>
      </c>
      <c r="E36" s="4">
        <v>4887</v>
      </c>
      <c r="F36" t="s">
        <v>14</v>
      </c>
      <c r="G36" s="1">
        <v>4139</v>
      </c>
    </row>
    <row r="37" spans="1:7">
      <c r="A37" s="4">
        <v>2010</v>
      </c>
      <c r="B37" s="5" t="s">
        <v>8</v>
      </c>
      <c r="C37" s="4" t="s">
        <v>94</v>
      </c>
      <c r="D37" s="4" t="s">
        <v>84</v>
      </c>
      <c r="E37" s="4">
        <v>4887</v>
      </c>
      <c r="F37" t="s">
        <v>2</v>
      </c>
      <c r="G37" s="1">
        <v>4093</v>
      </c>
    </row>
    <row r="38" spans="1:7">
      <c r="A38" s="4">
        <v>2010</v>
      </c>
      <c r="B38" s="5" t="s">
        <v>8</v>
      </c>
      <c r="C38" s="4" t="s">
        <v>94</v>
      </c>
      <c r="D38" s="4" t="s">
        <v>84</v>
      </c>
      <c r="E38" s="4">
        <v>4887</v>
      </c>
      <c r="F38" t="s">
        <v>27</v>
      </c>
      <c r="G38" s="1">
        <v>3894</v>
      </c>
    </row>
    <row r="39" spans="1:7">
      <c r="A39" s="4">
        <v>2010</v>
      </c>
      <c r="B39" s="5" t="s">
        <v>8</v>
      </c>
      <c r="C39" s="4" t="s">
        <v>94</v>
      </c>
      <c r="D39" s="4" t="s">
        <v>84</v>
      </c>
      <c r="E39" s="4">
        <v>4887</v>
      </c>
      <c r="F39" t="s">
        <v>39</v>
      </c>
      <c r="G39" s="1">
        <v>3722</v>
      </c>
    </row>
    <row r="40" spans="1:7">
      <c r="A40" s="4">
        <v>2010</v>
      </c>
      <c r="B40" s="5" t="s">
        <v>8</v>
      </c>
      <c r="C40" s="4" t="s">
        <v>94</v>
      </c>
      <c r="D40" s="4" t="s">
        <v>84</v>
      </c>
      <c r="E40" s="4">
        <v>4887</v>
      </c>
      <c r="F40" t="s">
        <v>40</v>
      </c>
      <c r="G40" s="1">
        <v>2043</v>
      </c>
    </row>
    <row r="41" spans="1:7">
      <c r="A41" s="4">
        <v>2010</v>
      </c>
      <c r="B41" s="5" t="s">
        <v>37</v>
      </c>
      <c r="C41" s="4" t="s">
        <v>95</v>
      </c>
      <c r="D41" s="4" t="s">
        <v>84</v>
      </c>
      <c r="E41" s="4">
        <v>4644</v>
      </c>
      <c r="F41" t="s">
        <v>17</v>
      </c>
      <c r="G41" s="1">
        <v>4644</v>
      </c>
    </row>
    <row r="42" spans="1:7">
      <c r="A42" s="4">
        <v>2010</v>
      </c>
      <c r="B42" s="5" t="s">
        <v>37</v>
      </c>
      <c r="C42" s="4" t="s">
        <v>95</v>
      </c>
      <c r="D42" s="4" t="s">
        <v>84</v>
      </c>
      <c r="E42" s="4">
        <v>4644</v>
      </c>
      <c r="F42" t="s">
        <v>41</v>
      </c>
      <c r="G42" s="1">
        <v>4077</v>
      </c>
    </row>
    <row r="43" spans="1:7">
      <c r="A43" s="4">
        <v>2010</v>
      </c>
      <c r="B43" s="5" t="s">
        <v>37</v>
      </c>
      <c r="C43" s="4" t="s">
        <v>95</v>
      </c>
      <c r="D43" s="4" t="s">
        <v>84</v>
      </c>
      <c r="E43" s="4">
        <v>4644</v>
      </c>
      <c r="F43" t="s">
        <v>42</v>
      </c>
      <c r="G43" s="1">
        <v>3886</v>
      </c>
    </row>
    <row r="44" spans="1:7">
      <c r="A44" s="4">
        <v>2010</v>
      </c>
      <c r="B44" s="5" t="s">
        <v>37</v>
      </c>
      <c r="C44" s="4" t="s">
        <v>95</v>
      </c>
      <c r="D44" s="4" t="s">
        <v>84</v>
      </c>
      <c r="E44" s="4">
        <v>4644</v>
      </c>
      <c r="F44" t="s">
        <v>43</v>
      </c>
      <c r="G44" s="1">
        <v>3831</v>
      </c>
    </row>
    <row r="45" spans="1:7">
      <c r="A45" s="4">
        <v>2010</v>
      </c>
      <c r="B45" s="5" t="s">
        <v>37</v>
      </c>
      <c r="C45" s="4" t="s">
        <v>95</v>
      </c>
      <c r="D45" s="4" t="s">
        <v>84</v>
      </c>
      <c r="E45" s="4">
        <v>4644</v>
      </c>
      <c r="F45" t="s">
        <v>44</v>
      </c>
      <c r="G45" s="1">
        <v>3717</v>
      </c>
    </row>
    <row r="46" spans="1:7">
      <c r="A46" s="4">
        <v>2010</v>
      </c>
      <c r="B46" s="5" t="s">
        <v>37</v>
      </c>
      <c r="C46" s="4" t="s">
        <v>95</v>
      </c>
      <c r="D46" s="4" t="s">
        <v>84</v>
      </c>
      <c r="E46" s="4">
        <v>4644</v>
      </c>
      <c r="F46" t="s">
        <v>45</v>
      </c>
      <c r="G46" s="1">
        <v>3101</v>
      </c>
    </row>
    <row r="47" spans="1:7">
      <c r="A47" s="4">
        <v>2010</v>
      </c>
      <c r="B47" s="5" t="s">
        <v>37</v>
      </c>
      <c r="C47" s="4" t="s">
        <v>95</v>
      </c>
      <c r="D47" s="4" t="s">
        <v>84</v>
      </c>
      <c r="E47" s="4">
        <v>4644</v>
      </c>
      <c r="F47" t="s">
        <v>46</v>
      </c>
      <c r="G47" s="1">
        <v>2833</v>
      </c>
    </row>
    <row r="48" spans="1:7">
      <c r="A48" s="4">
        <v>2010</v>
      </c>
      <c r="B48" s="5" t="s">
        <v>37</v>
      </c>
      <c r="C48" s="4" t="s">
        <v>95</v>
      </c>
      <c r="D48" s="4" t="s">
        <v>84</v>
      </c>
      <c r="E48" s="4">
        <v>4644</v>
      </c>
      <c r="F48" t="s">
        <v>47</v>
      </c>
      <c r="G48" s="1">
        <v>2690</v>
      </c>
    </row>
    <row r="49" spans="1:7">
      <c r="A49" s="4">
        <v>2010</v>
      </c>
      <c r="B49" s="5" t="s">
        <v>37</v>
      </c>
      <c r="C49" s="4" t="s">
        <v>95</v>
      </c>
      <c r="D49" s="4" t="s">
        <v>84</v>
      </c>
      <c r="E49" s="4">
        <v>4644</v>
      </c>
      <c r="F49" t="s">
        <v>48</v>
      </c>
      <c r="G49" s="1">
        <v>2469</v>
      </c>
    </row>
    <row r="50" spans="1:7">
      <c r="A50" s="4">
        <v>2010</v>
      </c>
      <c r="B50" s="5" t="s">
        <v>37</v>
      </c>
      <c r="C50" s="4" t="s">
        <v>95</v>
      </c>
      <c r="D50" s="4" t="s">
        <v>84</v>
      </c>
      <c r="E50" s="4">
        <v>4644</v>
      </c>
      <c r="F50" t="s">
        <v>49</v>
      </c>
      <c r="G50" s="1">
        <v>2135</v>
      </c>
    </row>
    <row r="51" spans="1:7">
      <c r="A51" s="4">
        <v>2010</v>
      </c>
      <c r="B51" s="5" t="s">
        <v>37</v>
      </c>
      <c r="C51" s="4" t="s">
        <v>95</v>
      </c>
      <c r="D51" s="4" t="s">
        <v>84</v>
      </c>
      <c r="E51" s="4">
        <v>4644</v>
      </c>
      <c r="F51" t="s">
        <v>50</v>
      </c>
      <c r="G51" s="1">
        <v>2000</v>
      </c>
    </row>
    <row r="52" spans="1:7">
      <c r="A52" s="4">
        <v>2010</v>
      </c>
      <c r="B52" s="5" t="s">
        <v>37</v>
      </c>
      <c r="C52" s="4" t="s">
        <v>95</v>
      </c>
      <c r="D52" s="4" t="s">
        <v>84</v>
      </c>
      <c r="E52" s="4">
        <v>4644</v>
      </c>
      <c r="F52" t="s">
        <v>51</v>
      </c>
      <c r="G52" s="1">
        <v>1732</v>
      </c>
    </row>
    <row r="53" spans="1:7">
      <c r="A53" s="4">
        <v>2010</v>
      </c>
      <c r="B53" s="5" t="s">
        <v>37</v>
      </c>
      <c r="C53" s="4" t="s">
        <v>95</v>
      </c>
      <c r="D53" s="4" t="s">
        <v>84</v>
      </c>
      <c r="E53" s="4">
        <v>4644</v>
      </c>
      <c r="F53" t="s">
        <v>52</v>
      </c>
      <c r="G53" s="1">
        <v>710</v>
      </c>
    </row>
    <row r="54" spans="1:7">
      <c r="A54" s="4">
        <v>2010</v>
      </c>
      <c r="B54" s="5" t="s">
        <v>54</v>
      </c>
      <c r="C54" s="4" t="s">
        <v>87</v>
      </c>
      <c r="D54" s="4" t="s">
        <v>96</v>
      </c>
      <c r="E54" s="4">
        <v>8069</v>
      </c>
      <c r="F54" t="s">
        <v>55</v>
      </c>
      <c r="G54" s="1">
        <v>6199</v>
      </c>
    </row>
    <row r="55" spans="1:7">
      <c r="A55" s="4">
        <v>2010</v>
      </c>
      <c r="B55" s="5" t="s">
        <v>24</v>
      </c>
      <c r="C55" s="4">
        <v>15</v>
      </c>
      <c r="D55" s="4" t="s">
        <v>96</v>
      </c>
      <c r="E55" s="4">
        <v>7817</v>
      </c>
      <c r="F55" t="s">
        <v>6</v>
      </c>
      <c r="G55" s="1">
        <v>7517</v>
      </c>
    </row>
    <row r="56" spans="1:7">
      <c r="A56" s="4">
        <v>2010</v>
      </c>
      <c r="B56" s="5" t="s">
        <v>24</v>
      </c>
      <c r="C56" s="4">
        <v>15</v>
      </c>
      <c r="D56" s="4" t="s">
        <v>96</v>
      </c>
      <c r="E56" s="4">
        <v>7817</v>
      </c>
      <c r="F56" t="s">
        <v>1</v>
      </c>
      <c r="G56" s="1">
        <v>7027</v>
      </c>
    </row>
    <row r="57" spans="1:7">
      <c r="A57" s="4">
        <v>2010</v>
      </c>
      <c r="B57" s="5" t="s">
        <v>28</v>
      </c>
      <c r="C57" s="4">
        <v>18</v>
      </c>
      <c r="D57" s="4" t="s">
        <v>96</v>
      </c>
      <c r="E57" s="4">
        <v>3315</v>
      </c>
      <c r="F57" t="s">
        <v>152</v>
      </c>
      <c r="G57" s="1">
        <v>3078</v>
      </c>
    </row>
    <row r="58" spans="1:7">
      <c r="A58" s="4">
        <v>2010</v>
      </c>
      <c r="B58" s="5" t="s">
        <v>28</v>
      </c>
      <c r="C58" s="4">
        <v>18</v>
      </c>
      <c r="D58" s="4" t="s">
        <v>96</v>
      </c>
      <c r="E58" s="4">
        <v>3315</v>
      </c>
      <c r="F58" t="s">
        <v>3</v>
      </c>
      <c r="G58" s="1">
        <v>2690</v>
      </c>
    </row>
    <row r="59" spans="1:7">
      <c r="A59" s="4">
        <v>2010</v>
      </c>
      <c r="B59" s="5" t="s">
        <v>28</v>
      </c>
      <c r="C59" s="4">
        <v>18</v>
      </c>
      <c r="D59" s="4" t="s">
        <v>96</v>
      </c>
      <c r="E59" s="4">
        <v>3315</v>
      </c>
      <c r="F59" t="s">
        <v>6</v>
      </c>
      <c r="G59" s="1">
        <v>2544</v>
      </c>
    </row>
    <row r="60" spans="1:7">
      <c r="A60" s="4">
        <v>2010</v>
      </c>
      <c r="B60" s="5" t="s">
        <v>30</v>
      </c>
      <c r="C60" s="4" t="s">
        <v>82</v>
      </c>
      <c r="D60" s="4" t="s">
        <v>96</v>
      </c>
      <c r="E60" s="4">
        <v>2125</v>
      </c>
      <c r="F60" t="s">
        <v>25</v>
      </c>
      <c r="G60" s="1">
        <v>1778</v>
      </c>
    </row>
    <row r="61" spans="1:7">
      <c r="A61" s="4">
        <v>2010</v>
      </c>
      <c r="B61" s="5" t="s">
        <v>85</v>
      </c>
      <c r="C61" s="4" t="s">
        <v>82</v>
      </c>
      <c r="D61" s="4" t="s">
        <v>96</v>
      </c>
      <c r="E61" s="4">
        <v>8392</v>
      </c>
      <c r="F61" t="s">
        <v>0</v>
      </c>
      <c r="G61" s="1">
        <v>4516</v>
      </c>
    </row>
    <row r="62" spans="1:7">
      <c r="A62" s="4">
        <v>2010</v>
      </c>
      <c r="B62" s="5" t="s">
        <v>31</v>
      </c>
      <c r="C62" s="4">
        <v>15</v>
      </c>
      <c r="D62" s="4" t="s">
        <v>32</v>
      </c>
      <c r="E62" s="4">
        <v>5959</v>
      </c>
      <c r="F62" t="s">
        <v>2</v>
      </c>
      <c r="G62" s="1">
        <v>4088</v>
      </c>
    </row>
    <row r="63" spans="1:7">
      <c r="A63" s="4">
        <v>2010</v>
      </c>
      <c r="B63" s="5" t="s">
        <v>33</v>
      </c>
      <c r="C63" s="4">
        <v>18</v>
      </c>
      <c r="D63" s="4" t="s">
        <v>32</v>
      </c>
      <c r="E63" s="4">
        <v>6279</v>
      </c>
      <c r="F63" t="s">
        <v>152</v>
      </c>
      <c r="G63" s="1">
        <v>5898</v>
      </c>
    </row>
    <row r="64" spans="1:7">
      <c r="A64" s="4">
        <v>2010</v>
      </c>
      <c r="B64" s="5" t="s">
        <v>56</v>
      </c>
      <c r="C64" s="4" t="s">
        <v>82</v>
      </c>
      <c r="D64" s="4" t="s">
        <v>32</v>
      </c>
      <c r="E64" s="4">
        <v>6834</v>
      </c>
      <c r="F64" t="s">
        <v>0</v>
      </c>
      <c r="G64" s="1">
        <v>2356</v>
      </c>
    </row>
    <row r="65" spans="1:7">
      <c r="A65" s="1">
        <v>2011</v>
      </c>
      <c r="B65" s="5" t="s">
        <v>26</v>
      </c>
      <c r="C65" s="1" t="s">
        <v>83</v>
      </c>
      <c r="D65" s="1" t="s">
        <v>96</v>
      </c>
      <c r="E65" s="4">
        <v>7574</v>
      </c>
      <c r="F65" s="6" t="s">
        <v>2</v>
      </c>
      <c r="G65" s="1">
        <v>7401</v>
      </c>
    </row>
    <row r="66" spans="1:7">
      <c r="A66" s="1">
        <v>2011</v>
      </c>
      <c r="B66" s="5" t="s">
        <v>8</v>
      </c>
      <c r="C66" s="1" t="s">
        <v>94</v>
      </c>
      <c r="D66" s="1" t="s">
        <v>84</v>
      </c>
      <c r="E66" s="4">
        <v>4744</v>
      </c>
      <c r="F66" s="6" t="s">
        <v>152</v>
      </c>
      <c r="G66" s="1">
        <v>4744</v>
      </c>
    </row>
    <row r="67" spans="1:7">
      <c r="A67" s="1">
        <v>2011</v>
      </c>
      <c r="B67" s="5" t="s">
        <v>8</v>
      </c>
      <c r="C67" s="1" t="s">
        <v>94</v>
      </c>
      <c r="D67" s="1" t="s">
        <v>84</v>
      </c>
      <c r="E67" s="4">
        <v>4744</v>
      </c>
      <c r="F67" s="6" t="s">
        <v>5</v>
      </c>
      <c r="G67" s="1">
        <v>4398</v>
      </c>
    </row>
    <row r="68" spans="1:7">
      <c r="A68" s="1">
        <v>2011</v>
      </c>
      <c r="B68" s="5" t="s">
        <v>8</v>
      </c>
      <c r="C68" s="1" t="s">
        <v>94</v>
      </c>
      <c r="D68" s="1" t="s">
        <v>84</v>
      </c>
      <c r="E68" s="4">
        <v>4744</v>
      </c>
      <c r="F68" s="6" t="s">
        <v>1</v>
      </c>
      <c r="G68" s="1">
        <v>4335</v>
      </c>
    </row>
    <row r="69" spans="1:7">
      <c r="A69" s="1">
        <v>2011</v>
      </c>
      <c r="B69" s="5" t="s">
        <v>8</v>
      </c>
      <c r="C69" s="1" t="s">
        <v>94</v>
      </c>
      <c r="D69" s="1" t="s">
        <v>84</v>
      </c>
      <c r="E69" s="4">
        <v>4744</v>
      </c>
      <c r="F69" s="6" t="s">
        <v>81</v>
      </c>
      <c r="G69" s="1">
        <v>4249</v>
      </c>
    </row>
    <row r="70" spans="1:7">
      <c r="A70" s="1">
        <v>2011</v>
      </c>
      <c r="B70" s="5" t="s">
        <v>8</v>
      </c>
      <c r="C70" s="1" t="s">
        <v>94</v>
      </c>
      <c r="D70" s="1" t="s">
        <v>84</v>
      </c>
      <c r="E70" s="4">
        <v>4744</v>
      </c>
      <c r="F70" s="6" t="s">
        <v>80</v>
      </c>
      <c r="G70" s="1">
        <v>4212</v>
      </c>
    </row>
    <row r="71" spans="1:7">
      <c r="A71" s="1">
        <v>2011</v>
      </c>
      <c r="B71" s="5" t="s">
        <v>8</v>
      </c>
      <c r="C71" s="1" t="s">
        <v>94</v>
      </c>
      <c r="D71" s="1" t="s">
        <v>84</v>
      </c>
      <c r="E71" s="4">
        <v>4744</v>
      </c>
      <c r="F71" s="6" t="s">
        <v>2</v>
      </c>
      <c r="G71" s="1">
        <v>4073</v>
      </c>
    </row>
    <row r="72" spans="1:7">
      <c r="A72" s="1">
        <v>2011</v>
      </c>
      <c r="B72" s="5" t="s">
        <v>8</v>
      </c>
      <c r="C72" s="1" t="s">
        <v>94</v>
      </c>
      <c r="D72" s="1" t="s">
        <v>84</v>
      </c>
      <c r="E72" s="4">
        <v>4744</v>
      </c>
      <c r="F72" s="6" t="s">
        <v>3</v>
      </c>
      <c r="G72" s="1">
        <v>3947</v>
      </c>
    </row>
    <row r="73" spans="1:7">
      <c r="A73" s="1">
        <v>2011</v>
      </c>
      <c r="B73" s="5" t="s">
        <v>8</v>
      </c>
      <c r="C73" s="1" t="s">
        <v>94</v>
      </c>
      <c r="D73" s="1" t="s">
        <v>84</v>
      </c>
      <c r="E73" s="4">
        <v>4744</v>
      </c>
      <c r="F73" s="6" t="s">
        <v>0</v>
      </c>
      <c r="G73" s="1">
        <v>3030</v>
      </c>
    </row>
    <row r="74" spans="1:7">
      <c r="A74" s="1">
        <v>2011</v>
      </c>
      <c r="B74" s="5" t="s">
        <v>8</v>
      </c>
      <c r="C74" s="1" t="s">
        <v>94</v>
      </c>
      <c r="D74" s="1" t="s">
        <v>84</v>
      </c>
      <c r="E74" s="4">
        <v>4744</v>
      </c>
      <c r="F74" s="6" t="s">
        <v>121</v>
      </c>
      <c r="G74" s="1">
        <v>991</v>
      </c>
    </row>
    <row r="75" spans="1:7">
      <c r="A75" s="1">
        <v>2011</v>
      </c>
      <c r="B75" s="5" t="s">
        <v>8</v>
      </c>
      <c r="C75" s="1" t="s">
        <v>94</v>
      </c>
      <c r="D75" s="1" t="s">
        <v>84</v>
      </c>
      <c r="E75" s="4">
        <v>4744</v>
      </c>
      <c r="F75" s="6" t="s">
        <v>122</v>
      </c>
      <c r="G75" s="1">
        <v>434</v>
      </c>
    </row>
    <row r="76" spans="1:7">
      <c r="A76" s="1">
        <v>2011</v>
      </c>
      <c r="B76" s="5" t="s">
        <v>123</v>
      </c>
      <c r="C76" s="1" t="s">
        <v>95</v>
      </c>
      <c r="D76" s="1" t="s">
        <v>84</v>
      </c>
      <c r="E76" s="4">
        <v>3592</v>
      </c>
      <c r="F76" s="6" t="s">
        <v>36</v>
      </c>
      <c r="G76" s="1">
        <v>3592</v>
      </c>
    </row>
    <row r="77" spans="1:7">
      <c r="A77" s="1">
        <v>2011</v>
      </c>
      <c r="B77" s="5" t="s">
        <v>123</v>
      </c>
      <c r="C77" s="1" t="s">
        <v>95</v>
      </c>
      <c r="D77" s="1" t="s">
        <v>84</v>
      </c>
      <c r="E77" s="4">
        <v>3592</v>
      </c>
      <c r="F77" s="6" t="s">
        <v>10</v>
      </c>
      <c r="G77" s="1">
        <v>3219</v>
      </c>
    </row>
    <row r="78" spans="1:7">
      <c r="A78" s="1">
        <v>2011</v>
      </c>
      <c r="B78" s="5" t="s">
        <v>123</v>
      </c>
      <c r="C78" s="1" t="s">
        <v>95</v>
      </c>
      <c r="D78" s="1" t="s">
        <v>84</v>
      </c>
      <c r="E78" s="4">
        <v>3592</v>
      </c>
      <c r="F78" s="6" t="s">
        <v>124</v>
      </c>
      <c r="G78" s="1">
        <v>3113</v>
      </c>
    </row>
    <row r="79" spans="1:7">
      <c r="A79" s="1">
        <v>2011</v>
      </c>
      <c r="B79" s="5" t="s">
        <v>123</v>
      </c>
      <c r="C79" s="1" t="s">
        <v>95</v>
      </c>
      <c r="D79" s="1" t="s">
        <v>84</v>
      </c>
      <c r="E79" s="4">
        <v>3592</v>
      </c>
      <c r="F79" s="6" t="s">
        <v>15</v>
      </c>
      <c r="G79" s="1">
        <v>2961</v>
      </c>
    </row>
    <row r="80" spans="1:7">
      <c r="A80" s="1">
        <v>2011</v>
      </c>
      <c r="B80" s="5" t="s">
        <v>123</v>
      </c>
      <c r="C80" s="1" t="s">
        <v>95</v>
      </c>
      <c r="D80" s="1" t="s">
        <v>84</v>
      </c>
      <c r="E80" s="4">
        <v>3592</v>
      </c>
      <c r="F80" s="6" t="s">
        <v>17</v>
      </c>
      <c r="G80" s="1">
        <v>2852</v>
      </c>
    </row>
    <row r="81" spans="1:7">
      <c r="A81" s="1">
        <v>2011</v>
      </c>
      <c r="B81" s="5" t="s">
        <v>123</v>
      </c>
      <c r="C81" s="1" t="s">
        <v>95</v>
      </c>
      <c r="D81" s="1" t="s">
        <v>84</v>
      </c>
      <c r="E81" s="4">
        <v>3592</v>
      </c>
      <c r="F81" s="6" t="s">
        <v>19</v>
      </c>
      <c r="G81" s="1">
        <v>2849</v>
      </c>
    </row>
    <row r="82" spans="1:7">
      <c r="A82" s="1">
        <v>2011</v>
      </c>
      <c r="B82" s="5" t="s">
        <v>123</v>
      </c>
      <c r="C82" s="1" t="s">
        <v>95</v>
      </c>
      <c r="D82" s="1" t="s">
        <v>84</v>
      </c>
      <c r="E82" s="4">
        <v>3592</v>
      </c>
      <c r="F82" s="6" t="s">
        <v>14</v>
      </c>
      <c r="G82" s="1">
        <v>2781</v>
      </c>
    </row>
    <row r="83" spans="1:7">
      <c r="A83" s="1">
        <v>2011</v>
      </c>
      <c r="B83" s="5" t="s">
        <v>123</v>
      </c>
      <c r="C83" s="1" t="s">
        <v>95</v>
      </c>
      <c r="D83" s="1" t="s">
        <v>84</v>
      </c>
      <c r="E83" s="4">
        <v>3592</v>
      </c>
      <c r="F83" s="6" t="s">
        <v>18</v>
      </c>
      <c r="G83" s="1">
        <v>2724</v>
      </c>
    </row>
    <row r="84" spans="1:7">
      <c r="A84" s="1">
        <v>2011</v>
      </c>
      <c r="B84" s="5" t="s">
        <v>123</v>
      </c>
      <c r="C84" s="1" t="s">
        <v>95</v>
      </c>
      <c r="D84" s="1" t="s">
        <v>84</v>
      </c>
      <c r="E84" s="4">
        <v>3592</v>
      </c>
      <c r="F84" s="6" t="s">
        <v>11</v>
      </c>
      <c r="G84" s="1">
        <v>2640</v>
      </c>
    </row>
    <row r="85" spans="1:7">
      <c r="A85" s="1">
        <v>2011</v>
      </c>
      <c r="B85" s="5" t="s">
        <v>123</v>
      </c>
      <c r="C85" s="1" t="s">
        <v>95</v>
      </c>
      <c r="D85" s="1" t="s">
        <v>84</v>
      </c>
      <c r="E85" s="4">
        <v>3592</v>
      </c>
      <c r="F85" s="6" t="s">
        <v>125</v>
      </c>
      <c r="G85" s="1">
        <v>2594</v>
      </c>
    </row>
    <row r="86" spans="1:7">
      <c r="A86" s="1">
        <v>2011</v>
      </c>
      <c r="B86" s="5" t="s">
        <v>123</v>
      </c>
      <c r="C86" s="1" t="s">
        <v>95</v>
      </c>
      <c r="D86" s="1" t="s">
        <v>84</v>
      </c>
      <c r="E86" s="4">
        <v>3592</v>
      </c>
      <c r="F86" s="6" t="s">
        <v>4</v>
      </c>
      <c r="G86" s="1">
        <v>2495</v>
      </c>
    </row>
    <row r="87" spans="1:7">
      <c r="A87" s="1">
        <v>2011</v>
      </c>
      <c r="B87" s="5" t="s">
        <v>123</v>
      </c>
      <c r="C87" s="1" t="s">
        <v>95</v>
      </c>
      <c r="D87" s="1" t="s">
        <v>84</v>
      </c>
      <c r="E87" s="4">
        <v>3592</v>
      </c>
      <c r="F87" s="6" t="s">
        <v>40</v>
      </c>
      <c r="G87" s="1">
        <v>2340</v>
      </c>
    </row>
    <row r="88" spans="1:7">
      <c r="A88" s="1">
        <v>2011</v>
      </c>
      <c r="B88" s="5" t="s">
        <v>123</v>
      </c>
      <c r="C88" s="1" t="s">
        <v>95</v>
      </c>
      <c r="D88" s="1" t="s">
        <v>84</v>
      </c>
      <c r="E88" s="4">
        <v>3592</v>
      </c>
      <c r="F88" s="6" t="s">
        <v>39</v>
      </c>
      <c r="G88" s="1">
        <v>2337</v>
      </c>
    </row>
    <row r="89" spans="1:7">
      <c r="A89" s="1">
        <v>2011</v>
      </c>
      <c r="B89" s="5" t="s">
        <v>123</v>
      </c>
      <c r="C89" s="1" t="s">
        <v>95</v>
      </c>
      <c r="D89" s="1" t="s">
        <v>84</v>
      </c>
      <c r="E89" s="4">
        <v>3592</v>
      </c>
      <c r="F89" s="6" t="s">
        <v>126</v>
      </c>
      <c r="G89" s="1">
        <v>2328</v>
      </c>
    </row>
    <row r="90" spans="1:7">
      <c r="A90" s="1">
        <v>2011</v>
      </c>
      <c r="B90" s="5" t="s">
        <v>123</v>
      </c>
      <c r="C90" s="1" t="s">
        <v>95</v>
      </c>
      <c r="D90" s="1" t="s">
        <v>84</v>
      </c>
      <c r="E90" s="4">
        <v>3592</v>
      </c>
      <c r="F90" s="6" t="s">
        <v>127</v>
      </c>
      <c r="G90" s="1">
        <v>2040</v>
      </c>
    </row>
    <row r="91" spans="1:7">
      <c r="A91" s="1">
        <v>2011</v>
      </c>
      <c r="B91" s="5" t="s">
        <v>123</v>
      </c>
      <c r="C91" s="1" t="s">
        <v>95</v>
      </c>
      <c r="D91" s="1" t="s">
        <v>84</v>
      </c>
      <c r="E91" s="4">
        <v>3592</v>
      </c>
      <c r="F91" s="6" t="s">
        <v>128</v>
      </c>
      <c r="G91" s="1">
        <v>1312</v>
      </c>
    </row>
    <row r="92" spans="1:7">
      <c r="A92" s="1">
        <v>2011</v>
      </c>
      <c r="B92" s="5" t="s">
        <v>123</v>
      </c>
      <c r="C92" s="1" t="s">
        <v>95</v>
      </c>
      <c r="D92" s="1" t="s">
        <v>84</v>
      </c>
      <c r="E92" s="4">
        <v>3592</v>
      </c>
      <c r="F92" s="6" t="s">
        <v>129</v>
      </c>
      <c r="G92" s="1">
        <v>996</v>
      </c>
    </row>
    <row r="93" spans="1:7">
      <c r="A93" s="1">
        <v>2011</v>
      </c>
      <c r="B93" s="5" t="s">
        <v>123</v>
      </c>
      <c r="C93" s="1" t="s">
        <v>95</v>
      </c>
      <c r="D93" s="1" t="s">
        <v>84</v>
      </c>
      <c r="E93" s="4">
        <v>3592</v>
      </c>
      <c r="F93" s="6" t="s">
        <v>130</v>
      </c>
      <c r="G93" s="1">
        <v>811</v>
      </c>
    </row>
    <row r="94" spans="1:7">
      <c r="A94" s="1">
        <v>2011</v>
      </c>
      <c r="B94" s="5" t="s">
        <v>131</v>
      </c>
      <c r="C94" s="1" t="s">
        <v>84</v>
      </c>
      <c r="D94" s="1" t="s">
        <v>84</v>
      </c>
      <c r="E94" s="4">
        <v>3430</v>
      </c>
      <c r="F94" s="6" t="s">
        <v>132</v>
      </c>
      <c r="G94" s="1">
        <v>3430</v>
      </c>
    </row>
    <row r="95" spans="1:7">
      <c r="A95" s="1">
        <v>2011</v>
      </c>
      <c r="B95" s="5" t="s">
        <v>131</v>
      </c>
      <c r="C95" s="1" t="s">
        <v>84</v>
      </c>
      <c r="D95" s="1" t="s">
        <v>84</v>
      </c>
      <c r="E95" s="4">
        <v>3430</v>
      </c>
      <c r="F95" s="6" t="s">
        <v>13</v>
      </c>
      <c r="G95" s="1">
        <v>2979</v>
      </c>
    </row>
    <row r="96" spans="1:7">
      <c r="A96" s="1">
        <v>2011</v>
      </c>
      <c r="B96" s="5" t="s">
        <v>131</v>
      </c>
      <c r="C96" s="1" t="s">
        <v>84</v>
      </c>
      <c r="D96" s="1" t="s">
        <v>84</v>
      </c>
      <c r="E96" s="4">
        <v>3430</v>
      </c>
      <c r="F96" s="6" t="s">
        <v>133</v>
      </c>
      <c r="G96" s="1">
        <v>2550</v>
      </c>
    </row>
    <row r="97" spans="1:7">
      <c r="A97" s="1">
        <v>2011</v>
      </c>
      <c r="B97" s="5" t="s">
        <v>131</v>
      </c>
      <c r="C97" s="1" t="s">
        <v>84</v>
      </c>
      <c r="D97" s="1" t="s">
        <v>84</v>
      </c>
      <c r="E97" s="4">
        <v>3430</v>
      </c>
      <c r="F97" s="6" t="s">
        <v>46</v>
      </c>
      <c r="G97" s="1">
        <v>2309</v>
      </c>
    </row>
    <row r="98" spans="1:7">
      <c r="A98" s="1">
        <v>2011</v>
      </c>
      <c r="B98" s="5" t="s">
        <v>131</v>
      </c>
      <c r="C98" s="1" t="s">
        <v>84</v>
      </c>
      <c r="D98" s="1" t="s">
        <v>84</v>
      </c>
      <c r="E98" s="4">
        <v>3430</v>
      </c>
      <c r="F98" s="6" t="s">
        <v>134</v>
      </c>
      <c r="G98" s="1">
        <v>2161</v>
      </c>
    </row>
    <row r="99" spans="1:7">
      <c r="A99" s="1">
        <v>2011</v>
      </c>
      <c r="B99" s="5" t="s">
        <v>131</v>
      </c>
      <c r="C99" s="1" t="s">
        <v>84</v>
      </c>
      <c r="D99" s="1" t="s">
        <v>84</v>
      </c>
      <c r="E99" s="4">
        <v>3430</v>
      </c>
      <c r="F99" s="6" t="s">
        <v>135</v>
      </c>
      <c r="G99" s="1">
        <v>1636</v>
      </c>
    </row>
    <row r="100" spans="1:7">
      <c r="A100" s="1">
        <v>2011</v>
      </c>
      <c r="B100" s="5" t="s">
        <v>131</v>
      </c>
      <c r="C100" s="1" t="s">
        <v>84</v>
      </c>
      <c r="D100" s="1" t="s">
        <v>84</v>
      </c>
      <c r="E100" s="4">
        <v>3430</v>
      </c>
      <c r="F100" s="6" t="s">
        <v>136</v>
      </c>
      <c r="G100" s="1">
        <v>1081</v>
      </c>
    </row>
    <row r="101" spans="1:7">
      <c r="A101" s="1">
        <v>2011</v>
      </c>
      <c r="B101" s="5" t="s">
        <v>131</v>
      </c>
      <c r="C101" s="1" t="s">
        <v>84</v>
      </c>
      <c r="D101" s="1" t="s">
        <v>84</v>
      </c>
      <c r="E101" s="4">
        <v>3430</v>
      </c>
      <c r="F101" s="6" t="s">
        <v>49</v>
      </c>
      <c r="G101" s="1">
        <v>270</v>
      </c>
    </row>
    <row r="102" spans="1:7">
      <c r="A102" s="1">
        <v>2011</v>
      </c>
      <c r="B102" s="5" t="s">
        <v>24</v>
      </c>
      <c r="C102" s="1">
        <v>15</v>
      </c>
      <c r="D102" s="1" t="s">
        <v>96</v>
      </c>
      <c r="E102" s="4">
        <v>6833</v>
      </c>
      <c r="F102" s="6" t="s">
        <v>152</v>
      </c>
      <c r="G102" s="1">
        <v>6137</v>
      </c>
    </row>
    <row r="103" spans="1:7">
      <c r="A103" s="1">
        <v>2011</v>
      </c>
      <c r="B103" s="5" t="s">
        <v>24</v>
      </c>
      <c r="C103" s="1">
        <v>15</v>
      </c>
      <c r="D103" s="1" t="s">
        <v>96</v>
      </c>
      <c r="E103" s="4">
        <v>6833</v>
      </c>
      <c r="F103" s="6" t="s">
        <v>1</v>
      </c>
      <c r="G103" s="1">
        <v>5342</v>
      </c>
    </row>
    <row r="104" spans="1:7">
      <c r="A104" s="1">
        <v>2011</v>
      </c>
      <c r="B104" s="5" t="s">
        <v>30</v>
      </c>
      <c r="C104" s="1" t="s">
        <v>82</v>
      </c>
      <c r="D104" s="1" t="s">
        <v>96</v>
      </c>
      <c r="E104" s="4">
        <v>7706</v>
      </c>
      <c r="F104" s="6" t="s">
        <v>25</v>
      </c>
      <c r="G104" s="1">
        <v>6567</v>
      </c>
    </row>
    <row r="105" spans="1:7">
      <c r="A105" s="1">
        <v>2011</v>
      </c>
      <c r="B105" s="5" t="s">
        <v>138</v>
      </c>
      <c r="C105" s="1">
        <v>15</v>
      </c>
      <c r="D105" s="1" t="s">
        <v>87</v>
      </c>
      <c r="E105" s="4">
        <v>7140</v>
      </c>
      <c r="F105" s="6" t="s">
        <v>2</v>
      </c>
      <c r="G105" s="1">
        <v>6838</v>
      </c>
    </row>
    <row r="106" spans="1:7">
      <c r="A106" s="1">
        <v>2011</v>
      </c>
      <c r="B106" s="5" t="s">
        <v>138</v>
      </c>
      <c r="C106" s="1">
        <v>15</v>
      </c>
      <c r="D106" s="1" t="s">
        <v>87</v>
      </c>
      <c r="E106" s="4">
        <v>7140</v>
      </c>
      <c r="F106" s="6" t="s">
        <v>80</v>
      </c>
      <c r="G106" s="1">
        <v>6083</v>
      </c>
    </row>
    <row r="107" spans="1:7">
      <c r="A107" s="1">
        <v>2011</v>
      </c>
      <c r="B107" s="5" t="s">
        <v>139</v>
      </c>
      <c r="C107" s="1">
        <v>18</v>
      </c>
      <c r="D107" s="1" t="s">
        <v>87</v>
      </c>
      <c r="E107" s="4">
        <v>7394</v>
      </c>
      <c r="F107" s="6" t="s">
        <v>152</v>
      </c>
      <c r="G107" s="1">
        <v>6626</v>
      </c>
    </row>
    <row r="108" spans="1:7">
      <c r="A108" s="1">
        <v>2011</v>
      </c>
      <c r="B108" s="5" t="s">
        <v>139</v>
      </c>
      <c r="C108" s="1">
        <v>18</v>
      </c>
      <c r="D108" s="1" t="s">
        <v>87</v>
      </c>
      <c r="E108" s="4">
        <v>7394</v>
      </c>
      <c r="F108" s="6" t="s">
        <v>5</v>
      </c>
      <c r="G108" s="1">
        <v>5461</v>
      </c>
    </row>
    <row r="109" spans="1:7">
      <c r="A109" s="1">
        <v>2011</v>
      </c>
      <c r="B109" s="5" t="s">
        <v>139</v>
      </c>
      <c r="C109" s="1">
        <v>18</v>
      </c>
      <c r="D109" s="1" t="s">
        <v>87</v>
      </c>
      <c r="E109" s="4">
        <v>7394</v>
      </c>
      <c r="F109" s="6" t="s">
        <v>1</v>
      </c>
      <c r="G109" s="1">
        <v>4862</v>
      </c>
    </row>
    <row r="110" spans="1:7">
      <c r="A110" s="1">
        <v>2011</v>
      </c>
      <c r="B110" s="5" t="s">
        <v>139</v>
      </c>
      <c r="C110" s="1">
        <v>18</v>
      </c>
      <c r="D110" s="1" t="s">
        <v>87</v>
      </c>
      <c r="E110" s="4">
        <v>7394</v>
      </c>
      <c r="F110" s="6" t="s">
        <v>0</v>
      </c>
      <c r="G110" s="1">
        <v>3609</v>
      </c>
    </row>
    <row r="111" spans="1:7">
      <c r="A111" s="1">
        <v>2011</v>
      </c>
      <c r="B111" s="5" t="s">
        <v>140</v>
      </c>
      <c r="C111" s="1" t="s">
        <v>84</v>
      </c>
      <c r="D111" s="1" t="s">
        <v>32</v>
      </c>
      <c r="E111" s="4">
        <v>4536</v>
      </c>
      <c r="F111" s="6" t="s">
        <v>46</v>
      </c>
      <c r="G111" s="1">
        <v>1654</v>
      </c>
    </row>
  </sheetData>
  <mergeCells count="1">
    <mergeCell ref="A1:G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6" tint="0.39997558519241921"/>
  </sheetPr>
  <dimension ref="A1:N114"/>
  <sheetViews>
    <sheetView workbookViewId="0">
      <selection activeCell="B110" sqref="B110"/>
    </sheetView>
  </sheetViews>
  <sheetFormatPr defaultRowHeight="15"/>
  <cols>
    <col min="1" max="1" width="5" style="1" bestFit="1" customWidth="1"/>
    <col min="2" max="2" width="45.5703125" style="6" bestFit="1" customWidth="1"/>
    <col min="3" max="3" width="5.42578125" style="1" bestFit="1" customWidth="1"/>
    <col min="4" max="4" width="6" style="1" customWidth="1"/>
    <col min="5" max="5" width="7.7109375" bestFit="1" customWidth="1"/>
    <col min="6" max="6" width="18.85546875" bestFit="1" customWidth="1"/>
    <col min="7" max="7" width="5.85546875" style="1" bestFit="1" customWidth="1"/>
    <col min="8" max="8" width="9.85546875" style="1" bestFit="1" customWidth="1"/>
    <col min="9" max="9" width="9.140625" style="1"/>
    <col min="10" max="10" width="18.85546875" style="6" bestFit="1" customWidth="1"/>
    <col min="11" max="11" width="7" style="1" customWidth="1"/>
    <col min="12" max="12" width="5.5703125" style="1" customWidth="1"/>
    <col min="13" max="13" width="8.42578125" style="1" bestFit="1" customWidth="1"/>
    <col min="14" max="14" width="12.5703125" style="6" bestFit="1" customWidth="1"/>
  </cols>
  <sheetData>
    <row r="1" spans="1:14" ht="19.5" customHeight="1">
      <c r="A1" s="99" t="s">
        <v>61</v>
      </c>
      <c r="B1" s="100"/>
      <c r="C1" s="100"/>
      <c r="D1" s="100"/>
      <c r="E1" s="100"/>
      <c r="F1" s="100"/>
      <c r="G1" s="100"/>
      <c r="H1" s="100"/>
      <c r="I1" s="100"/>
      <c r="J1" s="54" t="s">
        <v>101</v>
      </c>
      <c r="K1" s="55" t="s">
        <v>84</v>
      </c>
      <c r="L1" s="56">
        <v>1</v>
      </c>
      <c r="M1" s="18"/>
      <c r="N1" s="17"/>
    </row>
    <row r="2" spans="1:14" ht="19.5" customHeight="1">
      <c r="A2" s="101"/>
      <c r="B2" s="102"/>
      <c r="C2" s="102"/>
      <c r="D2" s="102"/>
      <c r="E2" s="102"/>
      <c r="F2" s="102"/>
      <c r="G2" s="102"/>
      <c r="H2" s="102"/>
      <c r="I2" s="102"/>
      <c r="J2" s="57" t="s">
        <v>102</v>
      </c>
      <c r="K2" s="37" t="s">
        <v>32</v>
      </c>
      <c r="L2" s="58">
        <v>1.1200000000000001</v>
      </c>
      <c r="M2" s="18"/>
      <c r="N2" s="17"/>
    </row>
    <row r="3" spans="1:14" ht="19.5" customHeight="1">
      <c r="A3" s="101"/>
      <c r="B3" s="102"/>
      <c r="C3" s="102"/>
      <c r="D3" s="102"/>
      <c r="E3" s="102"/>
      <c r="F3" s="102"/>
      <c r="G3" s="102"/>
      <c r="H3" s="102"/>
      <c r="I3" s="102"/>
      <c r="J3" s="57" t="s">
        <v>103</v>
      </c>
      <c r="K3" s="37" t="s">
        <v>87</v>
      </c>
      <c r="L3" s="58">
        <v>1.1000000000000001</v>
      </c>
      <c r="M3" s="18"/>
      <c r="N3" s="17"/>
    </row>
    <row r="4" spans="1:14" ht="20.25" customHeight="1" thickBot="1">
      <c r="A4" s="103"/>
      <c r="B4" s="104"/>
      <c r="C4" s="104"/>
      <c r="D4" s="104"/>
      <c r="E4" s="104"/>
      <c r="F4" s="104"/>
      <c r="G4" s="104"/>
      <c r="H4" s="104"/>
      <c r="I4" s="104"/>
      <c r="J4" s="57" t="s">
        <v>104</v>
      </c>
      <c r="K4" s="37" t="s">
        <v>100</v>
      </c>
      <c r="L4" s="58">
        <v>1.1000000000000001</v>
      </c>
      <c r="M4" s="18"/>
      <c r="N4" s="17"/>
    </row>
    <row r="5" spans="1:14" ht="20.25" customHeight="1" thickBot="1">
      <c r="A5" s="105">
        <f>'Raw Results'!$A$2</f>
        <v>2011</v>
      </c>
      <c r="B5" s="106"/>
      <c r="C5" s="106"/>
      <c r="D5" s="106"/>
      <c r="E5" s="106"/>
      <c r="F5" s="106"/>
      <c r="G5" s="106"/>
      <c r="H5" s="106"/>
      <c r="I5" s="106"/>
      <c r="J5" s="59" t="s">
        <v>105</v>
      </c>
      <c r="K5" s="60" t="s">
        <v>96</v>
      </c>
      <c r="L5" s="61">
        <v>1.05</v>
      </c>
      <c r="M5" s="18"/>
      <c r="N5" s="17"/>
    </row>
    <row r="6" spans="1:14" s="2" customFormat="1" ht="45.75" thickBot="1">
      <c r="A6" s="12" t="str">
        <f>'Raw Results'!A3</f>
        <v>Year</v>
      </c>
      <c r="B6" s="13" t="str">
        <f>'Raw Results'!B3</f>
        <v>Competition</v>
      </c>
      <c r="C6" s="14" t="str">
        <f>'Raw Results'!C3</f>
        <v>Class</v>
      </c>
      <c r="D6" s="14" t="str">
        <f>'Raw Results'!D3</f>
        <v>Comp Code</v>
      </c>
      <c r="E6" s="14" t="str">
        <f>'Raw Results'!E3</f>
        <v>Winner Score</v>
      </c>
      <c r="F6" s="13" t="str">
        <f>'Raw Results'!F3</f>
        <v>Name</v>
      </c>
      <c r="G6" s="28" t="str">
        <f>'Raw Results'!G3</f>
        <v>Pilot Score</v>
      </c>
      <c r="H6" s="33" t="s">
        <v>62</v>
      </c>
      <c r="I6" s="44" t="s">
        <v>99</v>
      </c>
      <c r="J6" s="53" t="str">
        <f t="shared" ref="J6:J7" si="0">F6</f>
        <v>Name</v>
      </c>
      <c r="K6" s="42" t="s">
        <v>97</v>
      </c>
      <c r="L6" s="14" t="s">
        <v>89</v>
      </c>
      <c r="M6" s="14" t="s">
        <v>90</v>
      </c>
      <c r="N6" s="44" t="s">
        <v>63</v>
      </c>
    </row>
    <row r="7" spans="1:14">
      <c r="A7" s="4">
        <f>'Raw Results'!A4</f>
        <v>2009</v>
      </c>
      <c r="B7" s="5" t="str">
        <f>'Raw Results'!B4</f>
        <v>Canadian National Soaring Championships (FAI)</v>
      </c>
      <c r="C7" s="4" t="str">
        <f>'Raw Results'!C4</f>
        <v>A</v>
      </c>
      <c r="D7" s="4" t="str">
        <f>'Raw Results'!D4</f>
        <v>C</v>
      </c>
      <c r="E7" s="4">
        <f>'Raw Results'!E4</f>
        <v>4556</v>
      </c>
      <c r="F7" t="str">
        <f>'Raw Results'!F4</f>
        <v>Dave Springford</v>
      </c>
      <c r="G7" s="1">
        <f>'Raw Results'!G4</f>
        <v>4556</v>
      </c>
      <c r="H7" s="46">
        <f t="shared" ref="H7" si="1">G7/E7</f>
        <v>1</v>
      </c>
      <c r="I7" s="52">
        <f>IF(D7="C",$L$1,IF(D7="W",$L$2,IF(D7="P",$L$3,IF(D7="E",$L$4, IF(D7="F",$L$5,"Error")))))</f>
        <v>1</v>
      </c>
      <c r="J7" s="65" t="str">
        <f t="shared" si="0"/>
        <v>Dave Springford</v>
      </c>
      <c r="K7" s="47" t="str">
        <f>D7</f>
        <v>C</v>
      </c>
      <c r="L7" s="50" t="str">
        <f>IF(C7="C","C",IF(OR(C7="A",C7="O",C7=18, C7=15, C7="S"),"A","B"))</f>
        <v>A</v>
      </c>
      <c r="M7" s="48">
        <f>IF(AND(A7=$A$5,OR(D7="C",D7="W",D7="P")),1,2)</f>
        <v>2</v>
      </c>
      <c r="N7" s="67">
        <f>H7*I7</f>
        <v>1</v>
      </c>
    </row>
    <row r="8" spans="1:14">
      <c r="A8" s="4">
        <f>'Raw Results'!A5</f>
        <v>2009</v>
      </c>
      <c r="B8" s="5" t="str">
        <f>'Raw Results'!B5</f>
        <v>Canadian National Soaring Championships (FAI)</v>
      </c>
      <c r="C8" s="4" t="str">
        <f>'Raw Results'!C5</f>
        <v>A</v>
      </c>
      <c r="D8" s="4" t="str">
        <f>'Raw Results'!D5</f>
        <v>C</v>
      </c>
      <c r="E8" s="4">
        <f>'Raw Results'!E5</f>
        <v>4556</v>
      </c>
      <c r="F8" t="str">
        <f>'Raw Results'!F5</f>
        <v>Jerzy Szemplinski</v>
      </c>
      <c r="G8" s="1">
        <f>'Raw Results'!G5</f>
        <v>4526</v>
      </c>
      <c r="H8" s="49">
        <f t="shared" ref="H8:H72" si="2">G8/E8</f>
        <v>0.99341527655838457</v>
      </c>
      <c r="I8" s="45">
        <f t="shared" ref="I8:I71" si="3">IF(D8="C",$L$1,IF(D8="W",$L$2,IF(D8="P",$L$3,IF(D8="E",$L$4, IF(D8="F",$L$5,"Error")))))</f>
        <v>1</v>
      </c>
      <c r="J8" s="66" t="str">
        <f t="shared" ref="J8:J72" si="4">F8</f>
        <v>Jerzy Szemplinski</v>
      </c>
      <c r="K8" s="50" t="str">
        <f t="shared" ref="K8:K71" si="5">D8</f>
        <v>C</v>
      </c>
      <c r="L8" s="50" t="str">
        <f t="shared" ref="L8:L71" si="6">IF(C8="C","C",IF(OR(C8="A",C8="O",C8=18, C8=15, C8="S"),"A","B"))</f>
        <v>A</v>
      </c>
      <c r="M8" s="51">
        <f>IF(AND(A8=$A$5,OR(D8="C",D8="W",D8="P")),1,2)</f>
        <v>2</v>
      </c>
      <c r="N8" s="68">
        <f t="shared" ref="N8:N71" si="7">H8*I8</f>
        <v>0.99341527655838457</v>
      </c>
    </row>
    <row r="9" spans="1:14">
      <c r="A9" s="4">
        <f>'Raw Results'!A6</f>
        <v>2009</v>
      </c>
      <c r="B9" s="5" t="str">
        <f>'Raw Results'!B6</f>
        <v>Canadian National Soaring Championships (FAI)</v>
      </c>
      <c r="C9" s="4" t="str">
        <f>'Raw Results'!C6</f>
        <v>A</v>
      </c>
      <c r="D9" s="4" t="str">
        <f>'Raw Results'!D6</f>
        <v>C</v>
      </c>
      <c r="E9" s="4">
        <f>'Raw Results'!E6</f>
        <v>4556</v>
      </c>
      <c r="F9" t="str">
        <f>'Raw Results'!F6</f>
        <v>Willem Langelaan</v>
      </c>
      <c r="G9" s="1">
        <f>'Raw Results'!G6</f>
        <v>4417</v>
      </c>
      <c r="H9" s="49">
        <f t="shared" si="2"/>
        <v>0.9694907813871817</v>
      </c>
      <c r="I9" s="45">
        <f t="shared" si="3"/>
        <v>1</v>
      </c>
      <c r="J9" s="66" t="str">
        <f t="shared" si="4"/>
        <v>Willem Langelaan</v>
      </c>
      <c r="K9" s="50" t="str">
        <f t="shared" si="5"/>
        <v>C</v>
      </c>
      <c r="L9" s="50" t="str">
        <f t="shared" si="6"/>
        <v>A</v>
      </c>
      <c r="M9" s="51">
        <f t="shared" ref="M9:M72" si="8">IF(AND(A9=$A$5,OR(D9="C",D9="W",D9="P")),1,2)</f>
        <v>2</v>
      </c>
      <c r="N9" s="68">
        <f t="shared" si="7"/>
        <v>0.9694907813871817</v>
      </c>
    </row>
    <row r="10" spans="1:14">
      <c r="A10" s="4">
        <f>'Raw Results'!A7</f>
        <v>2009</v>
      </c>
      <c r="B10" s="5" t="str">
        <f>'Raw Results'!B7</f>
        <v>Canadian National Soaring Championships (FAI)</v>
      </c>
      <c r="C10" s="4" t="str">
        <f>'Raw Results'!C7</f>
        <v>A</v>
      </c>
      <c r="D10" s="4" t="str">
        <f>'Raw Results'!D7</f>
        <v>C</v>
      </c>
      <c r="E10" s="4">
        <f>'Raw Results'!E7</f>
        <v>4556</v>
      </c>
      <c r="F10" t="str">
        <f>'Raw Results'!F7</f>
        <v>Nick Bonniere</v>
      </c>
      <c r="G10" s="1">
        <f>'Raw Results'!G7</f>
        <v>4271</v>
      </c>
      <c r="H10" s="49">
        <f t="shared" si="2"/>
        <v>0.93744512730465324</v>
      </c>
      <c r="I10" s="45">
        <f t="shared" si="3"/>
        <v>1</v>
      </c>
      <c r="J10" s="66" t="str">
        <f t="shared" si="4"/>
        <v>Nick Bonniere</v>
      </c>
      <c r="K10" s="50" t="str">
        <f t="shared" si="5"/>
        <v>C</v>
      </c>
      <c r="L10" s="50" t="str">
        <f t="shared" si="6"/>
        <v>A</v>
      </c>
      <c r="M10" s="51">
        <f t="shared" si="8"/>
        <v>2</v>
      </c>
      <c r="N10" s="68">
        <f t="shared" si="7"/>
        <v>0.93744512730465324</v>
      </c>
    </row>
    <row r="11" spans="1:14">
      <c r="A11" s="4">
        <f>'Raw Results'!A8</f>
        <v>2009</v>
      </c>
      <c r="B11" s="5" t="str">
        <f>'Raw Results'!B8</f>
        <v>Canadian National Soaring Championships (FAI)</v>
      </c>
      <c r="C11" s="4" t="str">
        <f>'Raw Results'!C8</f>
        <v>A</v>
      </c>
      <c r="D11" s="4" t="str">
        <f>'Raw Results'!D8</f>
        <v>C</v>
      </c>
      <c r="E11" s="4">
        <f>'Raw Results'!E8</f>
        <v>4556</v>
      </c>
      <c r="F11" t="str">
        <f>'Raw Results'!F8</f>
        <v>Joerg Stieber</v>
      </c>
      <c r="G11" s="1">
        <f>'Raw Results'!G8</f>
        <v>4251</v>
      </c>
      <c r="H11" s="49">
        <f t="shared" si="2"/>
        <v>0.93305531167690958</v>
      </c>
      <c r="I11" s="45">
        <f t="shared" si="3"/>
        <v>1</v>
      </c>
      <c r="J11" s="66" t="str">
        <f t="shared" si="4"/>
        <v>Joerg Stieber</v>
      </c>
      <c r="K11" s="50" t="str">
        <f t="shared" si="5"/>
        <v>C</v>
      </c>
      <c r="L11" s="50" t="str">
        <f t="shared" si="6"/>
        <v>A</v>
      </c>
      <c r="M11" s="51">
        <f t="shared" si="8"/>
        <v>2</v>
      </c>
      <c r="N11" s="68">
        <f t="shared" si="7"/>
        <v>0.93305531167690958</v>
      </c>
    </row>
    <row r="12" spans="1:14">
      <c r="A12" s="4">
        <f>'Raw Results'!A9</f>
        <v>2009</v>
      </c>
      <c r="B12" s="5" t="str">
        <f>'Raw Results'!B9</f>
        <v>Canadian National Soaring Championships (FAI)</v>
      </c>
      <c r="C12" s="4" t="str">
        <f>'Raw Results'!C9</f>
        <v>A</v>
      </c>
      <c r="D12" s="4" t="str">
        <f>'Raw Results'!D9</f>
        <v>C</v>
      </c>
      <c r="E12" s="4">
        <f>'Raw Results'!E9</f>
        <v>4556</v>
      </c>
      <c r="F12" t="str">
        <f>'Raw Results'!F9</f>
        <v>Ed Hollistelle Sr.</v>
      </c>
      <c r="G12" s="1">
        <f>'Raw Results'!G9</f>
        <v>4229</v>
      </c>
      <c r="H12" s="49">
        <f t="shared" si="2"/>
        <v>0.9282265144863916</v>
      </c>
      <c r="I12" s="45">
        <f t="shared" si="3"/>
        <v>1</v>
      </c>
      <c r="J12" s="66" t="str">
        <f t="shared" si="4"/>
        <v>Ed Hollistelle Sr.</v>
      </c>
      <c r="K12" s="50" t="str">
        <f t="shared" si="5"/>
        <v>C</v>
      </c>
      <c r="L12" s="50" t="str">
        <f t="shared" si="6"/>
        <v>A</v>
      </c>
      <c r="M12" s="51">
        <f t="shared" si="8"/>
        <v>2</v>
      </c>
      <c r="N12" s="68">
        <f t="shared" si="7"/>
        <v>0.9282265144863916</v>
      </c>
    </row>
    <row r="13" spans="1:14">
      <c r="A13" s="4">
        <f>'Raw Results'!A10</f>
        <v>2009</v>
      </c>
      <c r="B13" s="5" t="str">
        <f>'Raw Results'!B10</f>
        <v>Canadian National Soaring Championships (FAI)</v>
      </c>
      <c r="C13" s="4" t="str">
        <f>'Raw Results'!C10</f>
        <v>A</v>
      </c>
      <c r="D13" s="4" t="str">
        <f>'Raw Results'!D10</f>
        <v>C</v>
      </c>
      <c r="E13" s="4">
        <f>'Raw Results'!E10</f>
        <v>4556</v>
      </c>
      <c r="F13" t="str">
        <f>'Raw Results'!F10</f>
        <v>Sergei Morozov</v>
      </c>
      <c r="G13" s="1">
        <f>'Raw Results'!G10</f>
        <v>3674</v>
      </c>
      <c r="H13" s="49">
        <f t="shared" si="2"/>
        <v>0.80640913081650567</v>
      </c>
      <c r="I13" s="45">
        <f t="shared" si="3"/>
        <v>1</v>
      </c>
      <c r="J13" s="66" t="str">
        <f t="shared" si="4"/>
        <v>Sergei Morozov</v>
      </c>
      <c r="K13" s="50" t="str">
        <f t="shared" si="5"/>
        <v>C</v>
      </c>
      <c r="L13" s="50" t="str">
        <f t="shared" si="6"/>
        <v>A</v>
      </c>
      <c r="M13" s="51">
        <f t="shared" si="8"/>
        <v>2</v>
      </c>
      <c r="N13" s="68">
        <f t="shared" si="7"/>
        <v>0.80640913081650567</v>
      </c>
    </row>
    <row r="14" spans="1:14">
      <c r="A14" s="4">
        <f>'Raw Results'!A11</f>
        <v>2009</v>
      </c>
      <c r="B14" s="5" t="str">
        <f>'Raw Results'!B11</f>
        <v>Canadian National Soaring Championships (FAI)</v>
      </c>
      <c r="C14" s="4" t="str">
        <f>'Raw Results'!C11</f>
        <v>A</v>
      </c>
      <c r="D14" s="4" t="str">
        <f>'Raw Results'!D11</f>
        <v>C</v>
      </c>
      <c r="E14" s="4">
        <f>'Raw Results'!E11</f>
        <v>4556</v>
      </c>
      <c r="F14" t="str">
        <f>'Raw Results'!F11</f>
        <v>Steve Burany</v>
      </c>
      <c r="G14" s="1">
        <f>'Raw Results'!G11</f>
        <v>2058</v>
      </c>
      <c r="H14" s="49">
        <f t="shared" si="2"/>
        <v>0.45171202809482003</v>
      </c>
      <c r="I14" s="45">
        <f t="shared" si="3"/>
        <v>1</v>
      </c>
      <c r="J14" s="66" t="str">
        <f t="shared" si="4"/>
        <v>Steve Burany</v>
      </c>
      <c r="K14" s="50" t="str">
        <f t="shared" si="5"/>
        <v>C</v>
      </c>
      <c r="L14" s="50" t="str">
        <f t="shared" si="6"/>
        <v>A</v>
      </c>
      <c r="M14" s="51">
        <f t="shared" si="8"/>
        <v>2</v>
      </c>
      <c r="N14" s="68">
        <f t="shared" si="7"/>
        <v>0.45171202809482003</v>
      </c>
    </row>
    <row r="15" spans="1:14">
      <c r="A15" s="4">
        <f>'Raw Results'!A12</f>
        <v>2009</v>
      </c>
      <c r="B15" s="5" t="str">
        <f>'Raw Results'!B12</f>
        <v>Canadian National Soaring Championships (FAI)</v>
      </c>
      <c r="C15" s="4" t="str">
        <f>'Raw Results'!C12</f>
        <v>A</v>
      </c>
      <c r="D15" s="4" t="str">
        <f>'Raw Results'!D12</f>
        <v>C</v>
      </c>
      <c r="E15" s="4">
        <f>'Raw Results'!E12</f>
        <v>4556</v>
      </c>
      <c r="F15" t="str">
        <f>'Raw Results'!F12</f>
        <v>Roger Hildesheim</v>
      </c>
      <c r="G15" s="1">
        <f>'Raw Results'!G12</f>
        <v>1989</v>
      </c>
      <c r="H15" s="49">
        <f t="shared" si="2"/>
        <v>0.43656716417910446</v>
      </c>
      <c r="I15" s="45">
        <f t="shared" si="3"/>
        <v>1</v>
      </c>
      <c r="J15" s="66" t="str">
        <f t="shared" si="4"/>
        <v>Roger Hildesheim</v>
      </c>
      <c r="K15" s="50" t="str">
        <f t="shared" si="5"/>
        <v>C</v>
      </c>
      <c r="L15" s="50" t="str">
        <f t="shared" si="6"/>
        <v>A</v>
      </c>
      <c r="M15" s="51">
        <f t="shared" si="8"/>
        <v>2</v>
      </c>
      <c r="N15" s="68">
        <f t="shared" si="7"/>
        <v>0.43656716417910446</v>
      </c>
    </row>
    <row r="16" spans="1:14">
      <c r="A16" s="4">
        <f>'Raw Results'!A13</f>
        <v>2009</v>
      </c>
      <c r="B16" s="5" t="str">
        <f>'Raw Results'!B13</f>
        <v>Canadian National Soaring Championships (CLUB)</v>
      </c>
      <c r="C16" s="4" t="str">
        <f>'Raw Results'!C13</f>
        <v>B</v>
      </c>
      <c r="D16" s="4" t="str">
        <f>'Raw Results'!D13</f>
        <v>C</v>
      </c>
      <c r="E16" s="4">
        <f>'Raw Results'!E13</f>
        <v>4336</v>
      </c>
      <c r="F16" t="str">
        <f>'Raw Results'!F13</f>
        <v>Anthony Kawzowicz</v>
      </c>
      <c r="G16" s="1">
        <f>'Raw Results'!G13</f>
        <v>4336</v>
      </c>
      <c r="H16" s="49">
        <f t="shared" si="2"/>
        <v>1</v>
      </c>
      <c r="I16" s="45">
        <f t="shared" si="3"/>
        <v>1</v>
      </c>
      <c r="J16" s="66" t="str">
        <f t="shared" si="4"/>
        <v>Anthony Kawzowicz</v>
      </c>
      <c r="K16" s="50" t="str">
        <f t="shared" si="5"/>
        <v>C</v>
      </c>
      <c r="L16" s="50" t="str">
        <f t="shared" si="6"/>
        <v>B</v>
      </c>
      <c r="M16" s="51">
        <f t="shared" si="8"/>
        <v>2</v>
      </c>
      <c r="N16" s="68">
        <f t="shared" si="7"/>
        <v>1</v>
      </c>
    </row>
    <row r="17" spans="1:14">
      <c r="A17" s="4">
        <f>'Raw Results'!A14</f>
        <v>2009</v>
      </c>
      <c r="B17" s="5" t="str">
        <f>'Raw Results'!B14</f>
        <v>Canadian National Soaring Championships (CLUB)</v>
      </c>
      <c r="C17" s="4" t="str">
        <f>'Raw Results'!C14</f>
        <v>B</v>
      </c>
      <c r="D17" s="4" t="str">
        <f>'Raw Results'!D14</f>
        <v>C</v>
      </c>
      <c r="E17" s="4">
        <f>'Raw Results'!E14</f>
        <v>4336</v>
      </c>
      <c r="F17" t="str">
        <f>'Raw Results'!F14</f>
        <v>Derek Mackie</v>
      </c>
      <c r="G17" s="1">
        <f>'Raw Results'!G14</f>
        <v>3704</v>
      </c>
      <c r="H17" s="49">
        <f t="shared" si="2"/>
        <v>0.85424354243542433</v>
      </c>
      <c r="I17" s="45">
        <f t="shared" si="3"/>
        <v>1</v>
      </c>
      <c r="J17" s="66" t="str">
        <f t="shared" si="4"/>
        <v>Derek Mackie</v>
      </c>
      <c r="K17" s="50" t="str">
        <f t="shared" si="5"/>
        <v>C</v>
      </c>
      <c r="L17" s="50" t="str">
        <f t="shared" si="6"/>
        <v>B</v>
      </c>
      <c r="M17" s="51">
        <f t="shared" si="8"/>
        <v>2</v>
      </c>
      <c r="N17" s="68">
        <f t="shared" si="7"/>
        <v>0.85424354243542433</v>
      </c>
    </row>
    <row r="18" spans="1:14">
      <c r="A18" s="4">
        <f>'Raw Results'!A15</f>
        <v>2009</v>
      </c>
      <c r="B18" s="5" t="str">
        <f>'Raw Results'!B15</f>
        <v>Canadian National Soaring Championships (CLUB)</v>
      </c>
      <c r="C18" s="4" t="str">
        <f>'Raw Results'!C15</f>
        <v>B</v>
      </c>
      <c r="D18" s="4" t="str">
        <f>'Raw Results'!D15</f>
        <v>C</v>
      </c>
      <c r="E18" s="4">
        <f>'Raw Results'!E15</f>
        <v>4336</v>
      </c>
      <c r="F18" t="str">
        <f>'Raw Results'!F15</f>
        <v>Alf Marcelissen</v>
      </c>
      <c r="G18" s="1">
        <f>'Raw Results'!G15</f>
        <v>3699</v>
      </c>
      <c r="H18" s="49">
        <f t="shared" si="2"/>
        <v>0.85309040590405905</v>
      </c>
      <c r="I18" s="45">
        <f t="shared" si="3"/>
        <v>1</v>
      </c>
      <c r="J18" s="66" t="str">
        <f t="shared" si="4"/>
        <v>Alf Marcelissen</v>
      </c>
      <c r="K18" s="50" t="str">
        <f t="shared" si="5"/>
        <v>C</v>
      </c>
      <c r="L18" s="50" t="str">
        <f t="shared" si="6"/>
        <v>B</v>
      </c>
      <c r="M18" s="51">
        <f t="shared" si="8"/>
        <v>2</v>
      </c>
      <c r="N18" s="68">
        <f t="shared" si="7"/>
        <v>0.85309040590405905</v>
      </c>
    </row>
    <row r="19" spans="1:14">
      <c r="A19" s="4">
        <f>'Raw Results'!A16</f>
        <v>2009</v>
      </c>
      <c r="B19" s="5" t="str">
        <f>'Raw Results'!B16</f>
        <v>Canadian National Soaring Championships (CLUB)</v>
      </c>
      <c r="C19" s="4" t="str">
        <f>'Raw Results'!C16</f>
        <v>B</v>
      </c>
      <c r="D19" s="4" t="str">
        <f>'Raw Results'!D16</f>
        <v>C</v>
      </c>
      <c r="E19" s="4">
        <f>'Raw Results'!E16</f>
        <v>4336</v>
      </c>
      <c r="F19" t="str">
        <f>'Raw Results'!F16</f>
        <v>Larry Springford</v>
      </c>
      <c r="G19" s="1">
        <f>'Raw Results'!G16</f>
        <v>3433</v>
      </c>
      <c r="H19" s="49">
        <f t="shared" si="2"/>
        <v>0.79174354243542433</v>
      </c>
      <c r="I19" s="45">
        <f t="shared" si="3"/>
        <v>1</v>
      </c>
      <c r="J19" s="66" t="str">
        <f t="shared" si="4"/>
        <v>Larry Springford</v>
      </c>
      <c r="K19" s="50" t="str">
        <f t="shared" si="5"/>
        <v>C</v>
      </c>
      <c r="L19" s="50" t="str">
        <f t="shared" si="6"/>
        <v>B</v>
      </c>
      <c r="M19" s="51">
        <f t="shared" si="8"/>
        <v>2</v>
      </c>
      <c r="N19" s="68">
        <f t="shared" si="7"/>
        <v>0.79174354243542433</v>
      </c>
    </row>
    <row r="20" spans="1:14">
      <c r="A20" s="4">
        <f>'Raw Results'!A17</f>
        <v>2009</v>
      </c>
      <c r="B20" s="5" t="str">
        <f>'Raw Results'!B17</f>
        <v>Canadian National Soaring Championships (CLUB)</v>
      </c>
      <c r="C20" s="4" t="str">
        <f>'Raw Results'!C17</f>
        <v>B</v>
      </c>
      <c r="D20" s="4" t="str">
        <f>'Raw Results'!D17</f>
        <v>C</v>
      </c>
      <c r="E20" s="4">
        <f>'Raw Results'!E17</f>
        <v>4336</v>
      </c>
      <c r="F20" t="str">
        <f>'Raw Results'!F17</f>
        <v>Jim Freyett</v>
      </c>
      <c r="G20" s="1">
        <f>'Raw Results'!G17</f>
        <v>3310</v>
      </c>
      <c r="H20" s="49">
        <f t="shared" si="2"/>
        <v>0.76337638376383765</v>
      </c>
      <c r="I20" s="45">
        <f t="shared" si="3"/>
        <v>1</v>
      </c>
      <c r="J20" s="66" t="str">
        <f t="shared" si="4"/>
        <v>Jim Freyett</v>
      </c>
      <c r="K20" s="50" t="str">
        <f t="shared" si="5"/>
        <v>C</v>
      </c>
      <c r="L20" s="50" t="str">
        <f t="shared" si="6"/>
        <v>B</v>
      </c>
      <c r="M20" s="51">
        <f t="shared" si="8"/>
        <v>2</v>
      </c>
      <c r="N20" s="68">
        <f t="shared" si="7"/>
        <v>0.76337638376383765</v>
      </c>
    </row>
    <row r="21" spans="1:14">
      <c r="A21" s="4">
        <f>'Raw Results'!A18</f>
        <v>2009</v>
      </c>
      <c r="B21" s="5" t="str">
        <f>'Raw Results'!B18</f>
        <v>Canadian National Soaring Championships (CLUB)</v>
      </c>
      <c r="C21" s="4" t="str">
        <f>'Raw Results'!C18</f>
        <v>B</v>
      </c>
      <c r="D21" s="4" t="str">
        <f>'Raw Results'!D18</f>
        <v>C</v>
      </c>
      <c r="E21" s="4">
        <f>'Raw Results'!E18</f>
        <v>4336</v>
      </c>
      <c r="F21" t="str">
        <f>'Raw Results'!F18</f>
        <v>Luke Szczepaniak</v>
      </c>
      <c r="G21" s="1">
        <f>'Raw Results'!G18</f>
        <v>3185</v>
      </c>
      <c r="H21" s="49">
        <f t="shared" si="2"/>
        <v>0.73454797047970477</v>
      </c>
      <c r="I21" s="45">
        <f t="shared" si="3"/>
        <v>1</v>
      </c>
      <c r="J21" s="66" t="str">
        <f t="shared" si="4"/>
        <v>Luke Szczepaniak</v>
      </c>
      <c r="K21" s="50" t="str">
        <f t="shared" si="5"/>
        <v>C</v>
      </c>
      <c r="L21" s="50" t="str">
        <f t="shared" si="6"/>
        <v>B</v>
      </c>
      <c r="M21" s="51">
        <f t="shared" si="8"/>
        <v>2</v>
      </c>
      <c r="N21" s="68">
        <f t="shared" si="7"/>
        <v>0.73454797047970477</v>
      </c>
    </row>
    <row r="22" spans="1:14">
      <c r="A22" s="4">
        <f>'Raw Results'!A19</f>
        <v>2009</v>
      </c>
      <c r="B22" s="5" t="str">
        <f>'Raw Results'!B19</f>
        <v>Canadian National Soaring Championships (CLUB)</v>
      </c>
      <c r="C22" s="4" t="str">
        <f>'Raw Results'!C19</f>
        <v>B</v>
      </c>
      <c r="D22" s="4" t="str">
        <f>'Raw Results'!D19</f>
        <v>C</v>
      </c>
      <c r="E22" s="4">
        <f>'Raw Results'!E19</f>
        <v>4336</v>
      </c>
      <c r="F22" t="str">
        <f>'Raw Results'!F19</f>
        <v>John Brennan</v>
      </c>
      <c r="G22" s="1">
        <f>'Raw Results'!G19</f>
        <v>3127</v>
      </c>
      <c r="H22" s="49">
        <f t="shared" si="2"/>
        <v>0.72117158671586712</v>
      </c>
      <c r="I22" s="45">
        <f t="shared" si="3"/>
        <v>1</v>
      </c>
      <c r="J22" s="66" t="str">
        <f t="shared" si="4"/>
        <v>John Brennan</v>
      </c>
      <c r="K22" s="50" t="str">
        <f t="shared" si="5"/>
        <v>C</v>
      </c>
      <c r="L22" s="50" t="str">
        <f t="shared" si="6"/>
        <v>B</v>
      </c>
      <c r="M22" s="51">
        <f t="shared" si="8"/>
        <v>2</v>
      </c>
      <c r="N22" s="68">
        <f t="shared" si="7"/>
        <v>0.72117158671586712</v>
      </c>
    </row>
    <row r="23" spans="1:14">
      <c r="A23" s="4">
        <f>'Raw Results'!A20</f>
        <v>2009</v>
      </c>
      <c r="B23" s="5" t="str">
        <f>'Raw Results'!B20</f>
        <v>Canadian National Soaring Championships (CLUB)</v>
      </c>
      <c r="C23" s="4" t="str">
        <f>'Raw Results'!C20</f>
        <v>B</v>
      </c>
      <c r="D23" s="4" t="str">
        <f>'Raw Results'!D20</f>
        <v>C</v>
      </c>
      <c r="E23" s="4">
        <f>'Raw Results'!E20</f>
        <v>4336</v>
      </c>
      <c r="F23" t="str">
        <f>'Raw Results'!F20</f>
        <v>Randy Neilsen</v>
      </c>
      <c r="G23" s="1">
        <f>'Raw Results'!G20</f>
        <v>2660</v>
      </c>
      <c r="H23" s="49">
        <f t="shared" si="2"/>
        <v>0.61346863468634683</v>
      </c>
      <c r="I23" s="45">
        <f t="shared" si="3"/>
        <v>1</v>
      </c>
      <c r="J23" s="66" t="str">
        <f t="shared" si="4"/>
        <v>Randy Neilsen</v>
      </c>
      <c r="K23" s="50" t="str">
        <f t="shared" si="5"/>
        <v>C</v>
      </c>
      <c r="L23" s="50" t="str">
        <f t="shared" si="6"/>
        <v>B</v>
      </c>
      <c r="M23" s="51">
        <f t="shared" si="8"/>
        <v>2</v>
      </c>
      <c r="N23" s="68">
        <f t="shared" si="7"/>
        <v>0.61346863468634683</v>
      </c>
    </row>
    <row r="24" spans="1:14">
      <c r="A24" s="4">
        <f>'Raw Results'!A21</f>
        <v>2009</v>
      </c>
      <c r="B24" s="5" t="str">
        <f>'Raw Results'!B21</f>
        <v>Canadian National Soaring Championships (CLUB)</v>
      </c>
      <c r="C24" s="4" t="str">
        <f>'Raw Results'!C21</f>
        <v>B</v>
      </c>
      <c r="D24" s="4" t="str">
        <f>'Raw Results'!D21</f>
        <v>C</v>
      </c>
      <c r="E24" s="4">
        <f>'Raw Results'!E21</f>
        <v>4336</v>
      </c>
      <c r="F24" t="str">
        <f>'Raw Results'!F21</f>
        <v>Bill Cole</v>
      </c>
      <c r="G24" s="1">
        <f>'Raw Results'!G21</f>
        <v>2492</v>
      </c>
      <c r="H24" s="49">
        <f t="shared" si="2"/>
        <v>0.57472324723247237</v>
      </c>
      <c r="I24" s="45">
        <f t="shared" si="3"/>
        <v>1</v>
      </c>
      <c r="J24" s="66" t="str">
        <f t="shared" si="4"/>
        <v>Bill Cole</v>
      </c>
      <c r="K24" s="50" t="str">
        <f t="shared" si="5"/>
        <v>C</v>
      </c>
      <c r="L24" s="50" t="str">
        <f t="shared" si="6"/>
        <v>B</v>
      </c>
      <c r="M24" s="51">
        <f t="shared" si="8"/>
        <v>2</v>
      </c>
      <c r="N24" s="68">
        <f t="shared" si="7"/>
        <v>0.57472324723247237</v>
      </c>
    </row>
    <row r="25" spans="1:14">
      <c r="A25" s="4">
        <f>'Raw Results'!A22</f>
        <v>2009</v>
      </c>
      <c r="B25" s="5" t="str">
        <f>'Raw Results'!B22</f>
        <v>Canadian National Soaring Championships (CLUB)</v>
      </c>
      <c r="C25" s="4" t="str">
        <f>'Raw Results'!C22</f>
        <v>B</v>
      </c>
      <c r="D25" s="4" t="str">
        <f>'Raw Results'!D22</f>
        <v>C</v>
      </c>
      <c r="E25" s="4">
        <f>'Raw Results'!E22</f>
        <v>4336</v>
      </c>
      <c r="F25" t="str">
        <f>'Raw Results'!F22</f>
        <v>Dave Cole</v>
      </c>
      <c r="G25" s="1">
        <f>'Raw Results'!G22</f>
        <v>2149</v>
      </c>
      <c r="H25" s="49">
        <f t="shared" si="2"/>
        <v>0.4956180811808118</v>
      </c>
      <c r="I25" s="45">
        <f t="shared" si="3"/>
        <v>1</v>
      </c>
      <c r="J25" s="66" t="str">
        <f t="shared" si="4"/>
        <v>Dave Cole</v>
      </c>
      <c r="K25" s="50" t="str">
        <f t="shared" si="5"/>
        <v>C</v>
      </c>
      <c r="L25" s="50" t="str">
        <f t="shared" si="6"/>
        <v>B</v>
      </c>
      <c r="M25" s="51">
        <f t="shared" si="8"/>
        <v>2</v>
      </c>
      <c r="N25" s="68">
        <f t="shared" si="7"/>
        <v>0.4956180811808118</v>
      </c>
    </row>
    <row r="26" spans="1:14">
      <c r="A26" s="4">
        <f>'Raw Results'!A23</f>
        <v>2009</v>
      </c>
      <c r="B26" s="5" t="str">
        <f>'Raw Results'!B23</f>
        <v>US Sports Nationals</v>
      </c>
      <c r="C26" s="4" t="str">
        <f>'Raw Results'!C23</f>
        <v>P</v>
      </c>
      <c r="D26" s="4" t="str">
        <f>'Raw Results'!D23</f>
        <v>F</v>
      </c>
      <c r="E26" s="4">
        <f>'Raw Results'!E23</f>
        <v>3099</v>
      </c>
      <c r="F26" t="str">
        <f>'Raw Results'!F23</f>
        <v>Andy Gough</v>
      </c>
      <c r="G26" s="1">
        <f>'Raw Results'!G23</f>
        <v>2450</v>
      </c>
      <c r="H26" s="49">
        <f t="shared" si="2"/>
        <v>0.79057760567925139</v>
      </c>
      <c r="I26" s="45">
        <f t="shared" si="3"/>
        <v>1.05</v>
      </c>
      <c r="J26" s="66" t="str">
        <f t="shared" si="4"/>
        <v>Andy Gough</v>
      </c>
      <c r="K26" s="50" t="str">
        <f t="shared" si="5"/>
        <v>F</v>
      </c>
      <c r="L26" s="50" t="str">
        <f t="shared" si="6"/>
        <v>B</v>
      </c>
      <c r="M26" s="51">
        <f t="shared" si="8"/>
        <v>2</v>
      </c>
      <c r="N26" s="68">
        <f t="shared" si="7"/>
        <v>0.83010648596321401</v>
      </c>
    </row>
    <row r="27" spans="1:14">
      <c r="A27" s="4">
        <f>'Raw Results'!A24</f>
        <v>2009</v>
      </c>
      <c r="B27" s="5" t="str">
        <f>'Raw Results'!B24</f>
        <v>US Sports Nationals</v>
      </c>
      <c r="C27" s="4" t="str">
        <f>'Raw Results'!C24</f>
        <v>P</v>
      </c>
      <c r="D27" s="4" t="str">
        <f>'Raw Results'!D24</f>
        <v>F</v>
      </c>
      <c r="E27" s="4">
        <f>'Raw Results'!E24</f>
        <v>3099</v>
      </c>
      <c r="F27" t="str">
        <f>'Raw Results'!F24</f>
        <v>Willem Langelaan</v>
      </c>
      <c r="G27" s="1">
        <f>'Raw Results'!G24</f>
        <v>1497</v>
      </c>
      <c r="H27" s="49">
        <f t="shared" si="2"/>
        <v>0.48305905130687321</v>
      </c>
      <c r="I27" s="45">
        <f t="shared" si="3"/>
        <v>1.05</v>
      </c>
      <c r="J27" s="66" t="str">
        <f t="shared" si="4"/>
        <v>Willem Langelaan</v>
      </c>
      <c r="K27" s="50" t="str">
        <f t="shared" si="5"/>
        <v>F</v>
      </c>
      <c r="L27" s="50" t="str">
        <f t="shared" si="6"/>
        <v>B</v>
      </c>
      <c r="M27" s="51">
        <f t="shared" si="8"/>
        <v>2</v>
      </c>
      <c r="N27" s="68">
        <f t="shared" si="7"/>
        <v>0.50721200387221688</v>
      </c>
    </row>
    <row r="28" spans="1:14">
      <c r="A28" s="4">
        <f>'Raw Results'!A25</f>
        <v>2009</v>
      </c>
      <c r="B28" s="5" t="str">
        <f>'Raw Results'!B25</f>
        <v>US Sports Nationals</v>
      </c>
      <c r="C28" s="4" t="str">
        <f>'Raw Results'!C25</f>
        <v>P</v>
      </c>
      <c r="D28" s="4" t="str">
        <f>'Raw Results'!D25</f>
        <v>F</v>
      </c>
      <c r="E28" s="4">
        <f>'Raw Results'!E25</f>
        <v>3099</v>
      </c>
      <c r="F28" t="str">
        <f>'Raw Results'!F25</f>
        <v>Andrzej Kobus</v>
      </c>
      <c r="G28" s="1">
        <f>'Raw Results'!G25</f>
        <v>1541</v>
      </c>
      <c r="H28" s="49">
        <f t="shared" si="2"/>
        <v>0.49725717973539851</v>
      </c>
      <c r="I28" s="45">
        <f t="shared" si="3"/>
        <v>1.05</v>
      </c>
      <c r="J28" s="66" t="str">
        <f t="shared" si="4"/>
        <v>Andrzej Kobus</v>
      </c>
      <c r="K28" s="50" t="str">
        <f t="shared" si="5"/>
        <v>F</v>
      </c>
      <c r="L28" s="50" t="str">
        <f t="shared" si="6"/>
        <v>B</v>
      </c>
      <c r="M28" s="51">
        <f t="shared" si="8"/>
        <v>2</v>
      </c>
      <c r="N28" s="68">
        <f t="shared" si="7"/>
        <v>0.5221200387221685</v>
      </c>
    </row>
    <row r="29" spans="1:14">
      <c r="A29" s="4">
        <f>'Raw Results'!A26</f>
        <v>2009</v>
      </c>
      <c r="B29" s="5" t="str">
        <f>'Raw Results'!B26</f>
        <v>US 18m Nationals</v>
      </c>
      <c r="C29" s="4">
        <f>'Raw Results'!C26</f>
        <v>18</v>
      </c>
      <c r="D29" s="4" t="str">
        <f>'Raw Results'!D26</f>
        <v>F</v>
      </c>
      <c r="E29" s="4">
        <f>'Raw Results'!E26</f>
        <v>7845</v>
      </c>
      <c r="F29" t="str">
        <f>'Raw Results'!F26</f>
        <v>Dale Kramer</v>
      </c>
      <c r="G29" s="1">
        <f>'Raw Results'!G26</f>
        <v>7412</v>
      </c>
      <c r="H29" s="49">
        <f t="shared" si="2"/>
        <v>0.94480560866794139</v>
      </c>
      <c r="I29" s="45">
        <f t="shared" si="3"/>
        <v>1.05</v>
      </c>
      <c r="J29" s="66" t="str">
        <f t="shared" si="4"/>
        <v>Dale Kramer</v>
      </c>
      <c r="K29" s="50" t="str">
        <f t="shared" si="5"/>
        <v>F</v>
      </c>
      <c r="L29" s="50" t="str">
        <f t="shared" si="6"/>
        <v>A</v>
      </c>
      <c r="M29" s="51">
        <f t="shared" si="8"/>
        <v>2</v>
      </c>
      <c r="N29" s="68">
        <f t="shared" si="7"/>
        <v>0.99204588910133851</v>
      </c>
    </row>
    <row r="30" spans="1:14">
      <c r="A30" s="4">
        <f>'Raw Results'!A27</f>
        <v>2009</v>
      </c>
      <c r="B30" s="5" t="str">
        <f>'Raw Results'!B27</f>
        <v>US 18m Nationals</v>
      </c>
      <c r="C30" s="4">
        <f>'Raw Results'!C27</f>
        <v>18</v>
      </c>
      <c r="D30" s="4" t="str">
        <f>'Raw Results'!D27</f>
        <v>F</v>
      </c>
      <c r="E30" s="4">
        <f>'Raw Results'!E27</f>
        <v>7845</v>
      </c>
      <c r="F30" t="str">
        <f>'Raw Results'!F27</f>
        <v>Mike Thompson</v>
      </c>
      <c r="G30" s="1">
        <f>'Raw Results'!G27</f>
        <v>6645</v>
      </c>
      <c r="H30" s="49">
        <f t="shared" si="2"/>
        <v>0.84703632887189295</v>
      </c>
      <c r="I30" s="45">
        <f t="shared" si="3"/>
        <v>1.05</v>
      </c>
      <c r="J30" s="66" t="str">
        <f t="shared" si="4"/>
        <v>Mike Thompson</v>
      </c>
      <c r="K30" s="50" t="str">
        <f t="shared" si="5"/>
        <v>F</v>
      </c>
      <c r="L30" s="50" t="str">
        <f t="shared" si="6"/>
        <v>A</v>
      </c>
      <c r="M30" s="51">
        <f t="shared" si="8"/>
        <v>2</v>
      </c>
      <c r="N30" s="68">
        <f t="shared" si="7"/>
        <v>0.8893881453154876</v>
      </c>
    </row>
    <row r="31" spans="1:14">
      <c r="A31" s="4">
        <f>'Raw Results'!A28</f>
        <v>2009</v>
      </c>
      <c r="B31" s="5" t="str">
        <f>'Raw Results'!B28</f>
        <v>US Standard Nationals</v>
      </c>
      <c r="C31" s="4" t="str">
        <f>'Raw Results'!C28</f>
        <v>S</v>
      </c>
      <c r="D31" s="4" t="str">
        <f>'Raw Results'!D28</f>
        <v>F</v>
      </c>
      <c r="E31" s="4">
        <f>'Raw Results'!E28</f>
        <v>7346</v>
      </c>
      <c r="F31" t="str">
        <f>'Raw Results'!F28</f>
        <v>Dennis Vreeken</v>
      </c>
      <c r="G31" s="1">
        <f>'Raw Results'!G28</f>
        <v>4350</v>
      </c>
      <c r="H31" s="49">
        <f t="shared" si="2"/>
        <v>0.59215899809420092</v>
      </c>
      <c r="I31" s="45">
        <f t="shared" si="3"/>
        <v>1.05</v>
      </c>
      <c r="J31" s="66" t="str">
        <f t="shared" si="4"/>
        <v>Dennis Vreeken</v>
      </c>
      <c r="K31" s="50" t="str">
        <f t="shared" si="5"/>
        <v>F</v>
      </c>
      <c r="L31" s="50" t="str">
        <f t="shared" si="6"/>
        <v>A</v>
      </c>
      <c r="M31" s="51">
        <f t="shared" si="8"/>
        <v>2</v>
      </c>
      <c r="N31" s="68">
        <f t="shared" si="7"/>
        <v>0.62176694799891097</v>
      </c>
    </row>
    <row r="32" spans="1:14">
      <c r="A32" s="4">
        <f>'Raw Results'!A29</f>
        <v>2009</v>
      </c>
      <c r="B32" s="5" t="str">
        <f>'Raw Results'!B29</f>
        <v>US Open Nationals</v>
      </c>
      <c r="C32" s="4" t="str">
        <f>'Raw Results'!C29</f>
        <v>O</v>
      </c>
      <c r="D32" s="4" t="str">
        <f>'Raw Results'!D29</f>
        <v>F</v>
      </c>
      <c r="E32" s="4">
        <f>'Raw Results'!E29</f>
        <v>8266</v>
      </c>
      <c r="F32" t="str">
        <f>'Raw Results'!F29</f>
        <v>Dale Kramer</v>
      </c>
      <c r="G32" s="1">
        <f>'Raw Results'!G29</f>
        <v>6679</v>
      </c>
      <c r="H32" s="49">
        <f t="shared" si="2"/>
        <v>0.80800871037986932</v>
      </c>
      <c r="I32" s="45">
        <f t="shared" si="3"/>
        <v>1.05</v>
      </c>
      <c r="J32" s="66" t="str">
        <f t="shared" si="4"/>
        <v>Dale Kramer</v>
      </c>
      <c r="K32" s="50" t="str">
        <f t="shared" si="5"/>
        <v>F</v>
      </c>
      <c r="L32" s="50" t="str">
        <f t="shared" si="6"/>
        <v>A</v>
      </c>
      <c r="M32" s="51">
        <f t="shared" si="8"/>
        <v>2</v>
      </c>
      <c r="N32" s="68">
        <f t="shared" si="7"/>
        <v>0.84840914589886285</v>
      </c>
    </row>
    <row r="33" spans="1:14">
      <c r="A33" s="4">
        <f>'Raw Results'!A30</f>
        <v>2009</v>
      </c>
      <c r="B33" s="5" t="str">
        <f>'Raw Results'!B30</f>
        <v>Junior WGC Club</v>
      </c>
      <c r="C33" s="4" t="str">
        <f>'Raw Results'!C30</f>
        <v>C</v>
      </c>
      <c r="D33" s="4" t="str">
        <f>'Raw Results'!D30</f>
        <v>W</v>
      </c>
      <c r="E33" s="4">
        <f>'Raw Results'!E30</f>
        <v>8160</v>
      </c>
      <c r="F33" t="str">
        <f>'Raw Results'!F30</f>
        <v>Chris Gough</v>
      </c>
      <c r="G33" s="1">
        <f>'Raw Results'!G30</f>
        <v>5758</v>
      </c>
      <c r="H33" s="49">
        <f t="shared" si="2"/>
        <v>0.70563725490196083</v>
      </c>
      <c r="I33" s="45">
        <f t="shared" si="3"/>
        <v>1.1200000000000001</v>
      </c>
      <c r="J33" s="66" t="str">
        <f t="shared" si="4"/>
        <v>Chris Gough</v>
      </c>
      <c r="K33" s="50" t="str">
        <f t="shared" si="5"/>
        <v>W</v>
      </c>
      <c r="L33" s="50" t="str">
        <f t="shared" si="6"/>
        <v>C</v>
      </c>
      <c r="M33" s="51">
        <f t="shared" si="8"/>
        <v>2</v>
      </c>
      <c r="N33" s="68">
        <f t="shared" si="7"/>
        <v>0.79031372549019618</v>
      </c>
    </row>
    <row r="34" spans="1:14">
      <c r="A34" s="4">
        <f>'Raw Results'!A31</f>
        <v>2010</v>
      </c>
      <c r="B34" s="5" t="str">
        <f>'Raw Results'!B31</f>
        <v>Canadian National Soaring Championships (FAI)</v>
      </c>
      <c r="C34" s="4" t="str">
        <f>'Raw Results'!C31</f>
        <v>A</v>
      </c>
      <c r="D34" s="4" t="str">
        <f>'Raw Results'!D31</f>
        <v>C</v>
      </c>
      <c r="E34" s="4">
        <f>'Raw Results'!E31</f>
        <v>4887</v>
      </c>
      <c r="F34" t="str">
        <f>'Raw Results'!F31</f>
        <v>Joerg Stieber</v>
      </c>
      <c r="G34" s="1">
        <f>'Raw Results'!G31</f>
        <v>4887</v>
      </c>
      <c r="H34" s="49">
        <f t="shared" si="2"/>
        <v>1</v>
      </c>
      <c r="I34" s="45">
        <f t="shared" si="3"/>
        <v>1</v>
      </c>
      <c r="J34" s="66" t="str">
        <f t="shared" si="4"/>
        <v>Joerg Stieber</v>
      </c>
      <c r="K34" s="50" t="str">
        <f t="shared" si="5"/>
        <v>C</v>
      </c>
      <c r="L34" s="50" t="str">
        <f t="shared" si="6"/>
        <v>A</v>
      </c>
      <c r="M34" s="51">
        <f t="shared" si="8"/>
        <v>2</v>
      </c>
      <c r="N34" s="68">
        <f t="shared" si="7"/>
        <v>1</v>
      </c>
    </row>
    <row r="35" spans="1:14">
      <c r="A35" s="4">
        <f>'Raw Results'!A32</f>
        <v>2010</v>
      </c>
      <c r="B35" s="5" t="str">
        <f>'Raw Results'!B32</f>
        <v>Canadian National Soaring Championships (FAI)</v>
      </c>
      <c r="C35" s="4" t="str">
        <f>'Raw Results'!C32</f>
        <v>A</v>
      </c>
      <c r="D35" s="4" t="str">
        <f>'Raw Results'!D32</f>
        <v>C</v>
      </c>
      <c r="E35" s="4">
        <f>'Raw Results'!E32</f>
        <v>4887</v>
      </c>
      <c r="F35" t="str">
        <f>'Raw Results'!F32</f>
        <v>Nick Bonniere</v>
      </c>
      <c r="G35" s="1">
        <f>'Raw Results'!G32</f>
        <v>4381</v>
      </c>
      <c r="H35" s="49">
        <f t="shared" si="2"/>
        <v>0.89645999590750969</v>
      </c>
      <c r="I35" s="45">
        <f t="shared" si="3"/>
        <v>1</v>
      </c>
      <c r="J35" s="66" t="str">
        <f t="shared" si="4"/>
        <v>Nick Bonniere</v>
      </c>
      <c r="K35" s="50" t="str">
        <f t="shared" si="5"/>
        <v>C</v>
      </c>
      <c r="L35" s="50" t="str">
        <f t="shared" si="6"/>
        <v>A</v>
      </c>
      <c r="M35" s="51">
        <f t="shared" si="8"/>
        <v>2</v>
      </c>
      <c r="N35" s="68">
        <f t="shared" si="7"/>
        <v>0.89645999590750969</v>
      </c>
    </row>
    <row r="36" spans="1:14">
      <c r="A36" s="4">
        <f>'Raw Results'!A33</f>
        <v>2010</v>
      </c>
      <c r="B36" s="5" t="str">
        <f>'Raw Results'!B33</f>
        <v>Canadian National Soaring Championships (FAI)</v>
      </c>
      <c r="C36" s="4" t="str">
        <f>'Raw Results'!C33</f>
        <v>A</v>
      </c>
      <c r="D36" s="4" t="str">
        <f>'Raw Results'!D33</f>
        <v>C</v>
      </c>
      <c r="E36" s="4">
        <f>'Raw Results'!E33</f>
        <v>4887</v>
      </c>
      <c r="F36" t="str">
        <f>'Raw Results'!F33</f>
        <v>Dennis Vreeken</v>
      </c>
      <c r="G36" s="1">
        <f>'Raw Results'!G33</f>
        <v>4281</v>
      </c>
      <c r="H36" s="49">
        <f t="shared" si="2"/>
        <v>0.87599754450583178</v>
      </c>
      <c r="I36" s="45">
        <f t="shared" si="3"/>
        <v>1</v>
      </c>
      <c r="J36" s="66" t="str">
        <f t="shared" si="4"/>
        <v>Dennis Vreeken</v>
      </c>
      <c r="K36" s="50" t="str">
        <f t="shared" si="5"/>
        <v>C</v>
      </c>
      <c r="L36" s="50" t="str">
        <f t="shared" si="6"/>
        <v>A</v>
      </c>
      <c r="M36" s="51">
        <f t="shared" si="8"/>
        <v>2</v>
      </c>
      <c r="N36" s="68">
        <f t="shared" si="7"/>
        <v>0.87599754450583178</v>
      </c>
    </row>
    <row r="37" spans="1:14">
      <c r="A37" s="4">
        <f>'Raw Results'!A34</f>
        <v>2010</v>
      </c>
      <c r="B37" s="5" t="str">
        <f>'Raw Results'!B34</f>
        <v>Canadian National Soaring Championships (FAI)</v>
      </c>
      <c r="C37" s="4" t="str">
        <f>'Raw Results'!C34</f>
        <v>A</v>
      </c>
      <c r="D37" s="4" t="str">
        <f>'Raw Results'!D34</f>
        <v>C</v>
      </c>
      <c r="E37" s="4">
        <f>'Raw Results'!E34</f>
        <v>4887</v>
      </c>
      <c r="F37" t="str">
        <f>'Raw Results'!F34</f>
        <v>Derek Mackie</v>
      </c>
      <c r="G37" s="1">
        <f>'Raw Results'!G34</f>
        <v>4260</v>
      </c>
      <c r="H37" s="49">
        <f t="shared" si="2"/>
        <v>0.87170042971147943</v>
      </c>
      <c r="I37" s="45">
        <f t="shared" si="3"/>
        <v>1</v>
      </c>
      <c r="J37" s="66" t="str">
        <f t="shared" si="4"/>
        <v>Derek Mackie</v>
      </c>
      <c r="K37" s="50" t="str">
        <f t="shared" si="5"/>
        <v>C</v>
      </c>
      <c r="L37" s="50" t="str">
        <f t="shared" si="6"/>
        <v>A</v>
      </c>
      <c r="M37" s="51">
        <f t="shared" si="8"/>
        <v>2</v>
      </c>
      <c r="N37" s="68">
        <f t="shared" si="7"/>
        <v>0.87170042971147943</v>
      </c>
    </row>
    <row r="38" spans="1:14">
      <c r="A38" s="4">
        <f>'Raw Results'!A35</f>
        <v>2010</v>
      </c>
      <c r="B38" s="5" t="str">
        <f>'Raw Results'!B35</f>
        <v>Canadian National Soaring Championships (FAI)</v>
      </c>
      <c r="C38" s="4" t="str">
        <f>'Raw Results'!C35</f>
        <v>A</v>
      </c>
      <c r="D38" s="4" t="str">
        <f>'Raw Results'!D35</f>
        <v>C</v>
      </c>
      <c r="E38" s="4">
        <f>'Raw Results'!E35</f>
        <v>4887</v>
      </c>
      <c r="F38" t="str">
        <f>'Raw Results'!F35</f>
        <v>Mike Thompson</v>
      </c>
      <c r="G38" s="1">
        <f>'Raw Results'!G35</f>
        <v>4143</v>
      </c>
      <c r="H38" s="49">
        <f t="shared" si="2"/>
        <v>0.84775936157151621</v>
      </c>
      <c r="I38" s="45">
        <f t="shared" si="3"/>
        <v>1</v>
      </c>
      <c r="J38" s="66" t="str">
        <f t="shared" si="4"/>
        <v>Mike Thompson</v>
      </c>
      <c r="K38" s="50" t="str">
        <f t="shared" si="5"/>
        <v>C</v>
      </c>
      <c r="L38" s="50" t="str">
        <f t="shared" si="6"/>
        <v>A</v>
      </c>
      <c r="M38" s="51">
        <f t="shared" si="8"/>
        <v>2</v>
      </c>
      <c r="N38" s="68">
        <f t="shared" si="7"/>
        <v>0.84775936157151621</v>
      </c>
    </row>
    <row r="39" spans="1:14">
      <c r="A39" s="4">
        <f>'Raw Results'!A36</f>
        <v>2010</v>
      </c>
      <c r="B39" s="5" t="str">
        <f>'Raw Results'!B36</f>
        <v>Canadian National Soaring Championships (FAI)</v>
      </c>
      <c r="C39" s="4" t="str">
        <f>'Raw Results'!C36</f>
        <v>A</v>
      </c>
      <c r="D39" s="4" t="str">
        <f>'Raw Results'!D36</f>
        <v>C</v>
      </c>
      <c r="E39" s="4">
        <f>'Raw Results'!E36</f>
        <v>4887</v>
      </c>
      <c r="F39" t="str">
        <f>'Raw Results'!F36</f>
        <v>Luke Szczepaniak</v>
      </c>
      <c r="G39" s="1">
        <f>'Raw Results'!G36</f>
        <v>4139</v>
      </c>
      <c r="H39" s="49">
        <f t="shared" ref="H39" si="9">G39/E39</f>
        <v>0.84694086351544917</v>
      </c>
      <c r="I39" s="45">
        <f t="shared" si="3"/>
        <v>1</v>
      </c>
      <c r="J39" s="66" t="str">
        <f t="shared" ref="J39" si="10">F39</f>
        <v>Luke Szczepaniak</v>
      </c>
      <c r="K39" s="50" t="str">
        <f t="shared" si="5"/>
        <v>C</v>
      </c>
      <c r="L39" s="50" t="str">
        <f t="shared" si="6"/>
        <v>A</v>
      </c>
      <c r="M39" s="51">
        <f t="shared" si="8"/>
        <v>2</v>
      </c>
      <c r="N39" s="68">
        <f t="shared" si="7"/>
        <v>0.84694086351544917</v>
      </c>
    </row>
    <row r="40" spans="1:14">
      <c r="A40" s="4">
        <f>'Raw Results'!A37</f>
        <v>2010</v>
      </c>
      <c r="B40" s="5" t="str">
        <f>'Raw Results'!B37</f>
        <v>Canadian National Soaring Championships (FAI)</v>
      </c>
      <c r="C40" s="4" t="str">
        <f>'Raw Results'!C37</f>
        <v>A</v>
      </c>
      <c r="D40" s="4" t="str">
        <f>'Raw Results'!D37</f>
        <v>C</v>
      </c>
      <c r="E40" s="4">
        <f>'Raw Results'!E37</f>
        <v>4887</v>
      </c>
      <c r="F40" t="str">
        <f>'Raw Results'!F37</f>
        <v>Dave Springford</v>
      </c>
      <c r="G40" s="1">
        <f>'Raw Results'!G37</f>
        <v>4093</v>
      </c>
      <c r="H40" s="49">
        <f t="shared" si="2"/>
        <v>0.83752813587067731</v>
      </c>
      <c r="I40" s="45">
        <f t="shared" si="3"/>
        <v>1</v>
      </c>
      <c r="J40" s="66" t="str">
        <f t="shared" si="4"/>
        <v>Dave Springford</v>
      </c>
      <c r="K40" s="50" t="str">
        <f t="shared" si="5"/>
        <v>C</v>
      </c>
      <c r="L40" s="50" t="str">
        <f t="shared" si="6"/>
        <v>A</v>
      </c>
      <c r="M40" s="51">
        <f t="shared" si="8"/>
        <v>2</v>
      </c>
      <c r="N40" s="68">
        <f t="shared" si="7"/>
        <v>0.83752813587067731</v>
      </c>
    </row>
    <row r="41" spans="1:14">
      <c r="A41" s="4">
        <f>'Raw Results'!A38</f>
        <v>2010</v>
      </c>
      <c r="B41" s="5" t="str">
        <f>'Raw Results'!B38</f>
        <v>Canadian National Soaring Championships (FAI)</v>
      </c>
      <c r="C41" s="4" t="str">
        <f>'Raw Results'!C38</f>
        <v>A</v>
      </c>
      <c r="D41" s="4" t="str">
        <f>'Raw Results'!D38</f>
        <v>C</v>
      </c>
      <c r="E41" s="4">
        <f>'Raw Results'!E38</f>
        <v>4887</v>
      </c>
      <c r="F41" t="str">
        <f>'Raw Results'!F38</f>
        <v>Ryszard Gatkiewicz</v>
      </c>
      <c r="G41" s="1">
        <f>'Raw Results'!G38</f>
        <v>3894</v>
      </c>
      <c r="H41" s="49">
        <f t="shared" si="2"/>
        <v>0.79680785758133821</v>
      </c>
      <c r="I41" s="45">
        <f t="shared" si="3"/>
        <v>1</v>
      </c>
      <c r="J41" s="66" t="str">
        <f t="shared" si="4"/>
        <v>Ryszard Gatkiewicz</v>
      </c>
      <c r="K41" s="50" t="str">
        <f t="shared" si="5"/>
        <v>C</v>
      </c>
      <c r="L41" s="50" t="str">
        <f t="shared" si="6"/>
        <v>A</v>
      </c>
      <c r="M41" s="51">
        <f t="shared" si="8"/>
        <v>2</v>
      </c>
      <c r="N41" s="68">
        <f t="shared" si="7"/>
        <v>0.79680785758133821</v>
      </c>
    </row>
    <row r="42" spans="1:14">
      <c r="A42" s="4">
        <f>'Raw Results'!A39</f>
        <v>2010</v>
      </c>
      <c r="B42" s="5" t="str">
        <f>'Raw Results'!B39</f>
        <v>Canadian National Soaring Championships (FAI)</v>
      </c>
      <c r="C42" s="4" t="str">
        <f>'Raw Results'!C39</f>
        <v>A</v>
      </c>
      <c r="D42" s="4" t="str">
        <f>'Raw Results'!D39</f>
        <v>C</v>
      </c>
      <c r="E42" s="4">
        <f>'Raw Results'!E39</f>
        <v>4887</v>
      </c>
      <c r="F42" t="str">
        <f>'Raw Results'!F39</f>
        <v>John Mulder</v>
      </c>
      <c r="G42" s="1">
        <f>'Raw Results'!G39</f>
        <v>3722</v>
      </c>
      <c r="H42" s="49">
        <f t="shared" si="2"/>
        <v>0.76161244117045224</v>
      </c>
      <c r="I42" s="45">
        <f t="shared" si="3"/>
        <v>1</v>
      </c>
      <c r="J42" s="66" t="str">
        <f t="shared" si="4"/>
        <v>John Mulder</v>
      </c>
      <c r="K42" s="50" t="str">
        <f t="shared" si="5"/>
        <v>C</v>
      </c>
      <c r="L42" s="50" t="str">
        <f t="shared" si="6"/>
        <v>A</v>
      </c>
      <c r="M42" s="51">
        <f t="shared" si="8"/>
        <v>2</v>
      </c>
      <c r="N42" s="68">
        <f t="shared" si="7"/>
        <v>0.76161244117045224</v>
      </c>
    </row>
    <row r="43" spans="1:14">
      <c r="A43" s="4">
        <f>'Raw Results'!A40</f>
        <v>2010</v>
      </c>
      <c r="B43" s="5" t="str">
        <f>'Raw Results'!B40</f>
        <v>Canadian National Soaring Championships (FAI)</v>
      </c>
      <c r="C43" s="4" t="str">
        <f>'Raw Results'!C40</f>
        <v>A</v>
      </c>
      <c r="D43" s="4" t="str">
        <f>'Raw Results'!D40</f>
        <v>C</v>
      </c>
      <c r="E43" s="4">
        <f>'Raw Results'!E40</f>
        <v>4887</v>
      </c>
      <c r="F43" t="str">
        <f>'Raw Results'!F40</f>
        <v>Dan Cook</v>
      </c>
      <c r="G43" s="1">
        <f>'Raw Results'!G40</f>
        <v>2043</v>
      </c>
      <c r="H43" s="49">
        <f t="shared" si="2"/>
        <v>0.41804788213627991</v>
      </c>
      <c r="I43" s="45">
        <f t="shared" si="3"/>
        <v>1</v>
      </c>
      <c r="J43" s="66" t="str">
        <f t="shared" si="4"/>
        <v>Dan Cook</v>
      </c>
      <c r="K43" s="50" t="str">
        <f t="shared" si="5"/>
        <v>C</v>
      </c>
      <c r="L43" s="50" t="str">
        <f t="shared" si="6"/>
        <v>A</v>
      </c>
      <c r="M43" s="51">
        <f t="shared" si="8"/>
        <v>2</v>
      </c>
      <c r="N43" s="68">
        <f t="shared" si="7"/>
        <v>0.41804788213627991</v>
      </c>
    </row>
    <row r="44" spans="1:14">
      <c r="A44" s="4">
        <f>'Raw Results'!A41</f>
        <v>2010</v>
      </c>
      <c r="B44" s="5" t="str">
        <f>'Raw Results'!B41</f>
        <v>Canadian National Soaring Championships (Club)</v>
      </c>
      <c r="C44" s="4" t="str">
        <f>'Raw Results'!C41</f>
        <v>B</v>
      </c>
      <c r="D44" s="4" t="str">
        <f>'Raw Results'!D41</f>
        <v>C</v>
      </c>
      <c r="E44" s="4">
        <f>'Raw Results'!E41</f>
        <v>4644</v>
      </c>
      <c r="F44" t="str">
        <f>'Raw Results'!F41</f>
        <v>Bill Cole</v>
      </c>
      <c r="G44" s="1">
        <f>'Raw Results'!G41</f>
        <v>4644</v>
      </c>
      <c r="H44" s="49">
        <f t="shared" si="2"/>
        <v>1</v>
      </c>
      <c r="I44" s="45">
        <f t="shared" si="3"/>
        <v>1</v>
      </c>
      <c r="J44" s="66" t="str">
        <f t="shared" si="4"/>
        <v>Bill Cole</v>
      </c>
      <c r="K44" s="50" t="str">
        <f t="shared" si="5"/>
        <v>C</v>
      </c>
      <c r="L44" s="50" t="str">
        <f t="shared" si="6"/>
        <v>B</v>
      </c>
      <c r="M44" s="51">
        <f t="shared" si="8"/>
        <v>2</v>
      </c>
      <c r="N44" s="68">
        <f t="shared" si="7"/>
        <v>1</v>
      </c>
    </row>
    <row r="45" spans="1:14">
      <c r="A45" s="4">
        <f>'Raw Results'!A42</f>
        <v>2010</v>
      </c>
      <c r="B45" s="5" t="str">
        <f>'Raw Results'!B42</f>
        <v>Canadian National Soaring Championships (Club)</v>
      </c>
      <c r="C45" s="4" t="str">
        <f>'Raw Results'!C42</f>
        <v>B</v>
      </c>
      <c r="D45" s="4" t="str">
        <f>'Raw Results'!D42</f>
        <v>C</v>
      </c>
      <c r="E45" s="4">
        <f>'Raw Results'!E42</f>
        <v>4644</v>
      </c>
      <c r="F45" t="str">
        <f>'Raw Results'!F42</f>
        <v>Tony Burton</v>
      </c>
      <c r="G45" s="1">
        <f>'Raw Results'!G42</f>
        <v>4077</v>
      </c>
      <c r="H45" s="49">
        <f t="shared" si="2"/>
        <v>0.87790697674418605</v>
      </c>
      <c r="I45" s="45">
        <f t="shared" si="3"/>
        <v>1</v>
      </c>
      <c r="J45" s="66" t="str">
        <f t="shared" si="4"/>
        <v>Tony Burton</v>
      </c>
      <c r="K45" s="50" t="str">
        <f t="shared" si="5"/>
        <v>C</v>
      </c>
      <c r="L45" s="50" t="str">
        <f t="shared" si="6"/>
        <v>B</v>
      </c>
      <c r="M45" s="51">
        <f t="shared" si="8"/>
        <v>2</v>
      </c>
      <c r="N45" s="68">
        <f t="shared" si="7"/>
        <v>0.87790697674418605</v>
      </c>
    </row>
    <row r="46" spans="1:14">
      <c r="A46" s="4">
        <f>'Raw Results'!A43</f>
        <v>2010</v>
      </c>
      <c r="B46" s="5" t="str">
        <f>'Raw Results'!B43</f>
        <v>Canadian National Soaring Championships (Club)</v>
      </c>
      <c r="C46" s="4" t="str">
        <f>'Raw Results'!C43</f>
        <v>B</v>
      </c>
      <c r="D46" s="4" t="str">
        <f>'Raw Results'!D43</f>
        <v>C</v>
      </c>
      <c r="E46" s="4">
        <f>'Raw Results'!E43</f>
        <v>4644</v>
      </c>
      <c r="F46" t="str">
        <f>'Raw Results'!F43</f>
        <v>Bruce Friesen</v>
      </c>
      <c r="G46" s="1">
        <f>'Raw Results'!G43</f>
        <v>3886</v>
      </c>
      <c r="H46" s="49">
        <f t="shared" si="2"/>
        <v>0.83677863910422046</v>
      </c>
      <c r="I46" s="45">
        <f t="shared" si="3"/>
        <v>1</v>
      </c>
      <c r="J46" s="66" t="str">
        <f t="shared" si="4"/>
        <v>Bruce Friesen</v>
      </c>
      <c r="K46" s="50" t="str">
        <f t="shared" si="5"/>
        <v>C</v>
      </c>
      <c r="L46" s="50" t="str">
        <f t="shared" si="6"/>
        <v>B</v>
      </c>
      <c r="M46" s="51">
        <f t="shared" si="8"/>
        <v>2</v>
      </c>
      <c r="N46" s="68">
        <f t="shared" si="7"/>
        <v>0.83677863910422046</v>
      </c>
    </row>
    <row r="47" spans="1:14">
      <c r="A47" s="4">
        <f>'Raw Results'!A44</f>
        <v>2010</v>
      </c>
      <c r="B47" s="5" t="str">
        <f>'Raw Results'!B44</f>
        <v>Canadian National Soaring Championships (Club)</v>
      </c>
      <c r="C47" s="4" t="str">
        <f>'Raw Results'!C44</f>
        <v>B</v>
      </c>
      <c r="D47" s="4" t="str">
        <f>'Raw Results'!D44</f>
        <v>C</v>
      </c>
      <c r="E47" s="4">
        <f>'Raw Results'!E44</f>
        <v>4644</v>
      </c>
      <c r="F47" t="str">
        <f>'Raw Results'!F44</f>
        <v>Guy Blood</v>
      </c>
      <c r="G47" s="1">
        <f>'Raw Results'!G44</f>
        <v>3831</v>
      </c>
      <c r="H47" s="49">
        <f t="shared" si="2"/>
        <v>0.82493540051679581</v>
      </c>
      <c r="I47" s="45">
        <f t="shared" si="3"/>
        <v>1</v>
      </c>
      <c r="J47" s="66" t="str">
        <f t="shared" si="4"/>
        <v>Guy Blood</v>
      </c>
      <c r="K47" s="50" t="str">
        <f t="shared" si="5"/>
        <v>C</v>
      </c>
      <c r="L47" s="50" t="str">
        <f t="shared" si="6"/>
        <v>B</v>
      </c>
      <c r="M47" s="51">
        <f t="shared" si="8"/>
        <v>2</v>
      </c>
      <c r="N47" s="68">
        <f t="shared" si="7"/>
        <v>0.82493540051679581</v>
      </c>
    </row>
    <row r="48" spans="1:14">
      <c r="A48" s="4">
        <f>'Raw Results'!A45</f>
        <v>2010</v>
      </c>
      <c r="B48" s="5" t="str">
        <f>'Raw Results'!B45</f>
        <v>Canadian National Soaring Championships (Club)</v>
      </c>
      <c r="C48" s="4" t="str">
        <f>'Raw Results'!C45</f>
        <v>B</v>
      </c>
      <c r="D48" s="4" t="str">
        <f>'Raw Results'!D45</f>
        <v>C</v>
      </c>
      <c r="E48" s="4">
        <f>'Raw Results'!E45</f>
        <v>4644</v>
      </c>
      <c r="F48" t="str">
        <f>'Raw Results'!F45</f>
        <v>Al Hoar</v>
      </c>
      <c r="G48" s="1">
        <f>'Raw Results'!G45</f>
        <v>3717</v>
      </c>
      <c r="H48" s="49">
        <f t="shared" si="2"/>
        <v>0.80038759689922478</v>
      </c>
      <c r="I48" s="45">
        <f t="shared" si="3"/>
        <v>1</v>
      </c>
      <c r="J48" s="66" t="str">
        <f t="shared" si="4"/>
        <v>Al Hoar</v>
      </c>
      <c r="K48" s="50" t="str">
        <f t="shared" si="5"/>
        <v>C</v>
      </c>
      <c r="L48" s="50" t="str">
        <f t="shared" si="6"/>
        <v>B</v>
      </c>
      <c r="M48" s="51">
        <f t="shared" si="8"/>
        <v>2</v>
      </c>
      <c r="N48" s="68">
        <f t="shared" si="7"/>
        <v>0.80038759689922478</v>
      </c>
    </row>
    <row r="49" spans="1:14">
      <c r="A49" s="4">
        <f>'Raw Results'!A46</f>
        <v>2010</v>
      </c>
      <c r="B49" s="5" t="str">
        <f>'Raw Results'!B46</f>
        <v>Canadian National Soaring Championships (Club)</v>
      </c>
      <c r="C49" s="4" t="str">
        <f>'Raw Results'!C46</f>
        <v>B</v>
      </c>
      <c r="D49" s="4" t="str">
        <f>'Raw Results'!D46</f>
        <v>C</v>
      </c>
      <c r="E49" s="4">
        <f>'Raw Results'!E46</f>
        <v>4644</v>
      </c>
      <c r="F49" t="str">
        <f>'Raw Results'!F46</f>
        <v>Ron Cattaruzza</v>
      </c>
      <c r="G49" s="1">
        <f>'Raw Results'!G46</f>
        <v>3101</v>
      </c>
      <c r="H49" s="49">
        <f t="shared" si="2"/>
        <v>0.66774332472006892</v>
      </c>
      <c r="I49" s="45">
        <f t="shared" si="3"/>
        <v>1</v>
      </c>
      <c r="J49" s="66" t="str">
        <f t="shared" si="4"/>
        <v>Ron Cattaruzza</v>
      </c>
      <c r="K49" s="50" t="str">
        <f t="shared" si="5"/>
        <v>C</v>
      </c>
      <c r="L49" s="50" t="str">
        <f t="shared" si="6"/>
        <v>B</v>
      </c>
      <c r="M49" s="51">
        <f t="shared" si="8"/>
        <v>2</v>
      </c>
      <c r="N49" s="68">
        <f t="shared" si="7"/>
        <v>0.66774332472006892</v>
      </c>
    </row>
    <row r="50" spans="1:14">
      <c r="A50" s="4">
        <f>'Raw Results'!A47</f>
        <v>2010</v>
      </c>
      <c r="B50" s="5" t="str">
        <f>'Raw Results'!B47</f>
        <v>Canadian National Soaring Championships (Club)</v>
      </c>
      <c r="C50" s="4" t="str">
        <f>'Raw Results'!C47</f>
        <v>B</v>
      </c>
      <c r="D50" s="4" t="str">
        <f>'Raw Results'!D47</f>
        <v>C</v>
      </c>
      <c r="E50" s="4">
        <f>'Raw Results'!E47</f>
        <v>4644</v>
      </c>
      <c r="F50" t="str">
        <f>'Raw Results'!F47</f>
        <v>Selena Boyle</v>
      </c>
      <c r="G50" s="1">
        <f>'Raw Results'!G47</f>
        <v>2833</v>
      </c>
      <c r="H50" s="49">
        <f t="shared" si="2"/>
        <v>0.61003445305770887</v>
      </c>
      <c r="I50" s="45">
        <f t="shared" si="3"/>
        <v>1</v>
      </c>
      <c r="J50" s="66" t="str">
        <f t="shared" si="4"/>
        <v>Selena Boyle</v>
      </c>
      <c r="K50" s="50" t="str">
        <f t="shared" si="5"/>
        <v>C</v>
      </c>
      <c r="L50" s="50" t="str">
        <f t="shared" si="6"/>
        <v>B</v>
      </c>
      <c r="M50" s="51">
        <f t="shared" si="8"/>
        <v>2</v>
      </c>
      <c r="N50" s="68">
        <f t="shared" si="7"/>
        <v>0.61003445305770887</v>
      </c>
    </row>
    <row r="51" spans="1:14">
      <c r="A51" s="4">
        <f>'Raw Results'!A48</f>
        <v>2010</v>
      </c>
      <c r="B51" s="5" t="str">
        <f>'Raw Results'!B48</f>
        <v>Canadian National Soaring Championships (Club)</v>
      </c>
      <c r="C51" s="4" t="str">
        <f>'Raw Results'!C48</f>
        <v>B</v>
      </c>
      <c r="D51" s="4" t="str">
        <f>'Raw Results'!D48</f>
        <v>C</v>
      </c>
      <c r="E51" s="4">
        <f>'Raw Results'!E48</f>
        <v>4644</v>
      </c>
      <c r="F51" t="str">
        <f>'Raw Results'!F48</f>
        <v>Roy Eichendorf</v>
      </c>
      <c r="G51" s="1">
        <f>'Raw Results'!G48</f>
        <v>2690</v>
      </c>
      <c r="H51" s="49">
        <f t="shared" si="2"/>
        <v>0.57924203273040487</v>
      </c>
      <c r="I51" s="45">
        <f t="shared" si="3"/>
        <v>1</v>
      </c>
      <c r="J51" s="66" t="str">
        <f t="shared" si="4"/>
        <v>Roy Eichendorf</v>
      </c>
      <c r="K51" s="50" t="str">
        <f t="shared" si="5"/>
        <v>C</v>
      </c>
      <c r="L51" s="50" t="str">
        <f t="shared" si="6"/>
        <v>B</v>
      </c>
      <c r="M51" s="51">
        <f t="shared" si="8"/>
        <v>2</v>
      </c>
      <c r="N51" s="68">
        <f t="shared" si="7"/>
        <v>0.57924203273040487</v>
      </c>
    </row>
    <row r="52" spans="1:14">
      <c r="A52" s="4">
        <f>'Raw Results'!A49</f>
        <v>2010</v>
      </c>
      <c r="B52" s="5" t="str">
        <f>'Raw Results'!B49</f>
        <v>Canadian National Soaring Championships (Club)</v>
      </c>
      <c r="C52" s="4" t="str">
        <f>'Raw Results'!C49</f>
        <v>B</v>
      </c>
      <c r="D52" s="4" t="str">
        <f>'Raw Results'!D49</f>
        <v>C</v>
      </c>
      <c r="E52" s="4">
        <f>'Raw Results'!E49</f>
        <v>4644</v>
      </c>
      <c r="F52" t="str">
        <f>'Raw Results'!F49</f>
        <v>Carol Mulder</v>
      </c>
      <c r="G52" s="1">
        <f>'Raw Results'!G49</f>
        <v>2469</v>
      </c>
      <c r="H52" s="49">
        <f t="shared" si="2"/>
        <v>0.53165374677002586</v>
      </c>
      <c r="I52" s="45">
        <f t="shared" si="3"/>
        <v>1</v>
      </c>
      <c r="J52" s="66" t="str">
        <f t="shared" si="4"/>
        <v>Carol Mulder</v>
      </c>
      <c r="K52" s="50" t="str">
        <f t="shared" si="5"/>
        <v>C</v>
      </c>
      <c r="L52" s="50" t="str">
        <f t="shared" si="6"/>
        <v>B</v>
      </c>
      <c r="M52" s="51">
        <f t="shared" si="8"/>
        <v>2</v>
      </c>
      <c r="N52" s="68">
        <f t="shared" si="7"/>
        <v>0.53165374677002586</v>
      </c>
    </row>
    <row r="53" spans="1:14">
      <c r="A53" s="4">
        <f>'Raw Results'!A50</f>
        <v>2010</v>
      </c>
      <c r="B53" s="5" t="str">
        <f>'Raw Results'!B50</f>
        <v>Canadian National Soaring Championships (Club)</v>
      </c>
      <c r="C53" s="4" t="str">
        <f>'Raw Results'!C50</f>
        <v>B</v>
      </c>
      <c r="D53" s="4" t="str">
        <f>'Raw Results'!D50</f>
        <v>C</v>
      </c>
      <c r="E53" s="4">
        <f>'Raw Results'!E50</f>
        <v>4644</v>
      </c>
      <c r="F53" t="str">
        <f>'Raw Results'!F50</f>
        <v>Tim Radder</v>
      </c>
      <c r="G53" s="1">
        <f>'Raw Results'!G50</f>
        <v>2135</v>
      </c>
      <c r="H53" s="49">
        <f t="shared" si="2"/>
        <v>0.45973298880275626</v>
      </c>
      <c r="I53" s="45">
        <f t="shared" si="3"/>
        <v>1</v>
      </c>
      <c r="J53" s="66" t="str">
        <f t="shared" si="4"/>
        <v>Tim Radder</v>
      </c>
      <c r="K53" s="50" t="str">
        <f t="shared" si="5"/>
        <v>C</v>
      </c>
      <c r="L53" s="50" t="str">
        <f t="shared" si="6"/>
        <v>B</v>
      </c>
      <c r="M53" s="51">
        <f t="shared" si="8"/>
        <v>2</v>
      </c>
      <c r="N53" s="68">
        <f t="shared" si="7"/>
        <v>0.45973298880275626</v>
      </c>
    </row>
    <row r="54" spans="1:14">
      <c r="A54" s="4">
        <f>'Raw Results'!A51</f>
        <v>2010</v>
      </c>
      <c r="B54" s="5" t="str">
        <f>'Raw Results'!B51</f>
        <v>Canadian National Soaring Championships (Club)</v>
      </c>
      <c r="C54" s="4" t="str">
        <f>'Raw Results'!C51</f>
        <v>B</v>
      </c>
      <c r="D54" s="4" t="str">
        <f>'Raw Results'!D51</f>
        <v>C</v>
      </c>
      <c r="E54" s="4">
        <f>'Raw Results'!E51</f>
        <v>4644</v>
      </c>
      <c r="F54" t="str">
        <f>'Raw Results'!F51</f>
        <v>Mike Stoesser</v>
      </c>
      <c r="G54" s="1">
        <f>'Raw Results'!G51</f>
        <v>2000</v>
      </c>
      <c r="H54" s="49">
        <f t="shared" si="2"/>
        <v>0.4306632213608958</v>
      </c>
      <c r="I54" s="45">
        <f t="shared" si="3"/>
        <v>1</v>
      </c>
      <c r="J54" s="66" t="str">
        <f t="shared" si="4"/>
        <v>Mike Stoesser</v>
      </c>
      <c r="K54" s="50" t="str">
        <f t="shared" si="5"/>
        <v>C</v>
      </c>
      <c r="L54" s="50" t="str">
        <f t="shared" si="6"/>
        <v>B</v>
      </c>
      <c r="M54" s="51">
        <f t="shared" si="8"/>
        <v>2</v>
      </c>
      <c r="N54" s="68">
        <f t="shared" si="7"/>
        <v>0.4306632213608958</v>
      </c>
    </row>
    <row r="55" spans="1:14">
      <c r="A55" s="4">
        <f>'Raw Results'!A52</f>
        <v>2010</v>
      </c>
      <c r="B55" s="5" t="str">
        <f>'Raw Results'!B52</f>
        <v>Canadian National Soaring Championships (Club)</v>
      </c>
      <c r="C55" s="4" t="str">
        <f>'Raw Results'!C52</f>
        <v>B</v>
      </c>
      <c r="D55" s="4" t="str">
        <f>'Raw Results'!D52</f>
        <v>C</v>
      </c>
      <c r="E55" s="4">
        <f>'Raw Results'!E52</f>
        <v>4644</v>
      </c>
      <c r="F55" t="str">
        <f>'Raw Results'!F52</f>
        <v>Hank Hees</v>
      </c>
      <c r="G55" s="1">
        <f>'Raw Results'!G52</f>
        <v>1732</v>
      </c>
      <c r="H55" s="49">
        <f t="shared" si="2"/>
        <v>0.37295434969853575</v>
      </c>
      <c r="I55" s="45">
        <f t="shared" si="3"/>
        <v>1</v>
      </c>
      <c r="J55" s="66" t="str">
        <f t="shared" si="4"/>
        <v>Hank Hees</v>
      </c>
      <c r="K55" s="50" t="str">
        <f t="shared" si="5"/>
        <v>C</v>
      </c>
      <c r="L55" s="50" t="str">
        <f t="shared" si="6"/>
        <v>B</v>
      </c>
      <c r="M55" s="51">
        <f t="shared" si="8"/>
        <v>2</v>
      </c>
      <c r="N55" s="68">
        <f t="shared" si="7"/>
        <v>0.37295434969853575</v>
      </c>
    </row>
    <row r="56" spans="1:14">
      <c r="A56" s="4">
        <f>'Raw Results'!A53</f>
        <v>2010</v>
      </c>
      <c r="B56" s="5" t="str">
        <f>'Raw Results'!B53</f>
        <v>Canadian National Soaring Championships (Club)</v>
      </c>
      <c r="C56" s="4" t="str">
        <f>'Raw Results'!C53</f>
        <v>B</v>
      </c>
      <c r="D56" s="4" t="str">
        <f>'Raw Results'!D53</f>
        <v>C</v>
      </c>
      <c r="E56" s="4">
        <f>'Raw Results'!E53</f>
        <v>4644</v>
      </c>
      <c r="F56" t="str">
        <f>'Raw Results'!F53</f>
        <v>Frank Cwikla</v>
      </c>
      <c r="G56" s="1">
        <f>'Raw Results'!G53</f>
        <v>710</v>
      </c>
      <c r="H56" s="49">
        <f t="shared" si="2"/>
        <v>0.15288544358311801</v>
      </c>
      <c r="I56" s="45">
        <f t="shared" si="3"/>
        <v>1</v>
      </c>
      <c r="J56" s="66" t="str">
        <f t="shared" si="4"/>
        <v>Frank Cwikla</v>
      </c>
      <c r="K56" s="50" t="str">
        <f t="shared" si="5"/>
        <v>C</v>
      </c>
      <c r="L56" s="50" t="str">
        <f t="shared" si="6"/>
        <v>B</v>
      </c>
      <c r="M56" s="51">
        <f t="shared" si="8"/>
        <v>2</v>
      </c>
      <c r="N56" s="68">
        <f t="shared" si="7"/>
        <v>0.15288544358311801</v>
      </c>
    </row>
    <row r="57" spans="1:14">
      <c r="A57" s="4">
        <f>'Raw Results'!A54</f>
        <v>2010</v>
      </c>
      <c r="B57" s="5" t="str">
        <f>'Raw Results'!B54</f>
        <v>US Sport Nationals</v>
      </c>
      <c r="C57" s="4" t="str">
        <f>'Raw Results'!C54</f>
        <v>P</v>
      </c>
      <c r="D57" s="4" t="str">
        <f>'Raw Results'!D54</f>
        <v>F</v>
      </c>
      <c r="E57" s="4">
        <f>'Raw Results'!E54</f>
        <v>8069</v>
      </c>
      <c r="F57" t="str">
        <f>'Raw Results'!F54</f>
        <v>Wilf Krueger</v>
      </c>
      <c r="G57" s="1">
        <f>'Raw Results'!G54</f>
        <v>6199</v>
      </c>
      <c r="H57" s="49">
        <f t="shared" si="2"/>
        <v>0.7682488536373776</v>
      </c>
      <c r="I57" s="45">
        <f t="shared" si="3"/>
        <v>1.05</v>
      </c>
      <c r="J57" s="66" t="str">
        <f t="shared" si="4"/>
        <v>Wilf Krueger</v>
      </c>
      <c r="K57" s="50" t="str">
        <f t="shared" si="5"/>
        <v>F</v>
      </c>
      <c r="L57" s="50" t="str">
        <f t="shared" si="6"/>
        <v>B</v>
      </c>
      <c r="M57" s="51">
        <f t="shared" si="8"/>
        <v>2</v>
      </c>
      <c r="N57" s="68">
        <f t="shared" si="7"/>
        <v>0.80666129631924655</v>
      </c>
    </row>
    <row r="58" spans="1:14">
      <c r="A58" s="4">
        <f>'Raw Results'!A55</f>
        <v>2010</v>
      </c>
      <c r="B58" s="5" t="str">
        <f>'Raw Results'!B55</f>
        <v>US 15m Nationals</v>
      </c>
      <c r="C58" s="4">
        <f>'Raw Results'!C55</f>
        <v>15</v>
      </c>
      <c r="D58" s="4" t="str">
        <f>'Raw Results'!D55</f>
        <v>F</v>
      </c>
      <c r="E58" s="4">
        <f>'Raw Results'!E55</f>
        <v>7817</v>
      </c>
      <c r="F58" t="str">
        <f>'Raw Results'!F55</f>
        <v>Dale Kramer</v>
      </c>
      <c r="G58" s="1">
        <f>'Raw Results'!G55</f>
        <v>7517</v>
      </c>
      <c r="H58" s="49">
        <f t="shared" si="2"/>
        <v>0.96162210566713568</v>
      </c>
      <c r="I58" s="45">
        <f t="shared" si="3"/>
        <v>1.05</v>
      </c>
      <c r="J58" s="66" t="str">
        <f t="shared" si="4"/>
        <v>Dale Kramer</v>
      </c>
      <c r="K58" s="50" t="str">
        <f t="shared" si="5"/>
        <v>F</v>
      </c>
      <c r="L58" s="50" t="str">
        <f t="shared" si="6"/>
        <v>A</v>
      </c>
      <c r="M58" s="51">
        <f t="shared" si="8"/>
        <v>2</v>
      </c>
      <c r="N58" s="68">
        <f t="shared" si="7"/>
        <v>1.0097032109504924</v>
      </c>
    </row>
    <row r="59" spans="1:14">
      <c r="A59" s="4">
        <f>'Raw Results'!A56</f>
        <v>2010</v>
      </c>
      <c r="B59" s="5" t="str">
        <f>'Raw Results'!B56</f>
        <v>US 15m Nationals</v>
      </c>
      <c r="C59" s="4">
        <f>'Raw Results'!C56</f>
        <v>15</v>
      </c>
      <c r="D59" s="4" t="str">
        <f>'Raw Results'!D56</f>
        <v>F</v>
      </c>
      <c r="E59" s="4">
        <f>'Raw Results'!E56</f>
        <v>7817</v>
      </c>
      <c r="F59" t="str">
        <f>'Raw Results'!F56</f>
        <v>Nick Bonniere</v>
      </c>
      <c r="G59" s="1">
        <f>'Raw Results'!G56</f>
        <v>7027</v>
      </c>
      <c r="H59" s="49">
        <f t="shared" si="2"/>
        <v>0.8989382115901241</v>
      </c>
      <c r="I59" s="45">
        <f t="shared" si="3"/>
        <v>1.05</v>
      </c>
      <c r="J59" s="66" t="str">
        <f t="shared" si="4"/>
        <v>Nick Bonniere</v>
      </c>
      <c r="K59" s="50" t="str">
        <f t="shared" si="5"/>
        <v>F</v>
      </c>
      <c r="L59" s="50" t="str">
        <f t="shared" si="6"/>
        <v>A</v>
      </c>
      <c r="M59" s="51">
        <f t="shared" si="8"/>
        <v>2</v>
      </c>
      <c r="N59" s="68">
        <f t="shared" si="7"/>
        <v>0.94388512216963039</v>
      </c>
    </row>
    <row r="60" spans="1:14">
      <c r="A60" s="4">
        <f>'Raw Results'!A57</f>
        <v>2010</v>
      </c>
      <c r="B60" s="5" t="str">
        <f>'Raw Results'!B57</f>
        <v>US 18m Nationals</v>
      </c>
      <c r="C60" s="4">
        <f>'Raw Results'!C57</f>
        <v>18</v>
      </c>
      <c r="D60" s="4" t="str">
        <f>'Raw Results'!D57</f>
        <v>F</v>
      </c>
      <c r="E60" s="4">
        <f>'Raw Results'!E57</f>
        <v>3315</v>
      </c>
      <c r="F60" t="str">
        <f>'Raw Results'!F57</f>
        <v>Jerzy Szemplinski</v>
      </c>
      <c r="G60" s="1">
        <f>'Raw Results'!G57</f>
        <v>3078</v>
      </c>
      <c r="H60" s="49">
        <f t="shared" si="2"/>
        <v>0.92850678733031677</v>
      </c>
      <c r="I60" s="45">
        <f t="shared" si="3"/>
        <v>1.05</v>
      </c>
      <c r="J60" s="66" t="str">
        <f t="shared" si="4"/>
        <v>Jerzy Szemplinski</v>
      </c>
      <c r="K60" s="50" t="str">
        <f t="shared" si="5"/>
        <v>F</v>
      </c>
      <c r="L60" s="50" t="str">
        <f t="shared" si="6"/>
        <v>A</v>
      </c>
      <c r="M60" s="51">
        <f t="shared" si="8"/>
        <v>2</v>
      </c>
      <c r="N60" s="68">
        <f t="shared" si="7"/>
        <v>0.9749321266968326</v>
      </c>
    </row>
    <row r="61" spans="1:14">
      <c r="A61" s="4">
        <f>'Raw Results'!A58</f>
        <v>2010</v>
      </c>
      <c r="B61" s="5" t="str">
        <f>'Raw Results'!B58</f>
        <v>US 18m Nationals</v>
      </c>
      <c r="C61" s="4">
        <f>'Raw Results'!C58</f>
        <v>18</v>
      </c>
      <c r="D61" s="4" t="str">
        <f>'Raw Results'!D58</f>
        <v>F</v>
      </c>
      <c r="E61" s="4">
        <f>'Raw Results'!E58</f>
        <v>3315</v>
      </c>
      <c r="F61" t="str">
        <f>'Raw Results'!F58</f>
        <v>Ed Hollistelle Sr.</v>
      </c>
      <c r="G61" s="1">
        <f>'Raw Results'!G58</f>
        <v>2690</v>
      </c>
      <c r="H61" s="49">
        <f t="shared" si="2"/>
        <v>0.81146304675716441</v>
      </c>
      <c r="I61" s="45">
        <f t="shared" si="3"/>
        <v>1.05</v>
      </c>
      <c r="J61" s="66" t="str">
        <f t="shared" si="4"/>
        <v>Ed Hollistelle Sr.</v>
      </c>
      <c r="K61" s="50" t="str">
        <f t="shared" si="5"/>
        <v>F</v>
      </c>
      <c r="L61" s="50" t="str">
        <f t="shared" si="6"/>
        <v>A</v>
      </c>
      <c r="M61" s="51">
        <f t="shared" si="8"/>
        <v>2</v>
      </c>
      <c r="N61" s="68">
        <f t="shared" si="7"/>
        <v>0.85203619909502271</v>
      </c>
    </row>
    <row r="62" spans="1:14">
      <c r="A62" s="4">
        <f>'Raw Results'!A59</f>
        <v>2010</v>
      </c>
      <c r="B62" s="5" t="str">
        <f>'Raw Results'!B59</f>
        <v>US 18m Nationals</v>
      </c>
      <c r="C62" s="4">
        <f>'Raw Results'!C59</f>
        <v>18</v>
      </c>
      <c r="D62" s="4" t="str">
        <f>'Raw Results'!D59</f>
        <v>F</v>
      </c>
      <c r="E62" s="4">
        <f>'Raw Results'!E59</f>
        <v>3315</v>
      </c>
      <c r="F62" t="str">
        <f>'Raw Results'!F59</f>
        <v>Dale Kramer</v>
      </c>
      <c r="G62" s="1">
        <f>'Raw Results'!G59</f>
        <v>2544</v>
      </c>
      <c r="H62" s="49">
        <f t="shared" si="2"/>
        <v>0.76742081447963806</v>
      </c>
      <c r="I62" s="45">
        <f t="shared" si="3"/>
        <v>1.05</v>
      </c>
      <c r="J62" s="66" t="str">
        <f t="shared" si="4"/>
        <v>Dale Kramer</v>
      </c>
      <c r="K62" s="50" t="str">
        <f t="shared" si="5"/>
        <v>F</v>
      </c>
      <c r="L62" s="50" t="str">
        <f t="shared" si="6"/>
        <v>A</v>
      </c>
      <c r="M62" s="51">
        <f t="shared" si="8"/>
        <v>2</v>
      </c>
      <c r="N62" s="68">
        <f t="shared" si="7"/>
        <v>0.80579185520361996</v>
      </c>
    </row>
    <row r="63" spans="1:14">
      <c r="A63" s="4">
        <f>'Raw Results'!A60</f>
        <v>2010</v>
      </c>
      <c r="B63" s="5" t="str">
        <f>'Raw Results'!B60</f>
        <v>US Open Nationals</v>
      </c>
      <c r="C63" s="4" t="str">
        <f>'Raw Results'!C60</f>
        <v>O</v>
      </c>
      <c r="D63" s="4" t="str">
        <f>'Raw Results'!D60</f>
        <v>F</v>
      </c>
      <c r="E63" s="4">
        <f>'Raw Results'!E60</f>
        <v>2125</v>
      </c>
      <c r="F63" t="str">
        <f>'Raw Results'!F60</f>
        <v>Brian Milner</v>
      </c>
      <c r="G63" s="1">
        <f>'Raw Results'!G60</f>
        <v>1778</v>
      </c>
      <c r="H63" s="49">
        <f t="shared" si="2"/>
        <v>0.83670588235294119</v>
      </c>
      <c r="I63" s="45">
        <f t="shared" si="3"/>
        <v>1.05</v>
      </c>
      <c r="J63" s="66" t="str">
        <f t="shared" si="4"/>
        <v>Brian Milner</v>
      </c>
      <c r="K63" s="50" t="str">
        <f t="shared" si="5"/>
        <v>F</v>
      </c>
      <c r="L63" s="50" t="str">
        <f t="shared" si="6"/>
        <v>A</v>
      </c>
      <c r="M63" s="51">
        <f t="shared" si="8"/>
        <v>2</v>
      </c>
      <c r="N63" s="68">
        <f t="shared" si="7"/>
        <v>0.87854117647058827</v>
      </c>
    </row>
    <row r="64" spans="1:14">
      <c r="A64" s="4">
        <f>'Raw Results'!A61</f>
        <v>2010</v>
      </c>
      <c r="B64" s="5" t="str">
        <f>'Raw Results'!B61</f>
        <v>Flatland Cup (Hungarian Open Nationals)</v>
      </c>
      <c r="C64" s="4" t="str">
        <f>'Raw Results'!C61</f>
        <v>O</v>
      </c>
      <c r="D64" s="4" t="str">
        <f>'Raw Results'!D61</f>
        <v>F</v>
      </c>
      <c r="E64" s="4">
        <f>'Raw Results'!E61</f>
        <v>8392</v>
      </c>
      <c r="F64" t="str">
        <f>'Raw Results'!F61</f>
        <v>Willem Langelaan</v>
      </c>
      <c r="G64" s="1">
        <f>'Raw Results'!G61</f>
        <v>4516</v>
      </c>
      <c r="H64" s="49">
        <f t="shared" si="2"/>
        <v>0.53813155386081979</v>
      </c>
      <c r="I64" s="45">
        <f t="shared" si="3"/>
        <v>1.05</v>
      </c>
      <c r="J64" s="66" t="str">
        <f t="shared" si="4"/>
        <v>Willem Langelaan</v>
      </c>
      <c r="K64" s="50" t="str">
        <f t="shared" si="5"/>
        <v>F</v>
      </c>
      <c r="L64" s="50" t="str">
        <f t="shared" si="6"/>
        <v>A</v>
      </c>
      <c r="M64" s="51">
        <f t="shared" si="8"/>
        <v>2</v>
      </c>
      <c r="N64" s="68">
        <f t="shared" si="7"/>
        <v>0.56503813155386085</v>
      </c>
    </row>
    <row r="65" spans="1:14">
      <c r="A65" s="4">
        <f>'Raw Results'!A62</f>
        <v>2010</v>
      </c>
      <c r="B65" s="5" t="str">
        <f>'Raw Results'!B62</f>
        <v>WGC 15m</v>
      </c>
      <c r="C65" s="4">
        <f>'Raw Results'!C62</f>
        <v>15</v>
      </c>
      <c r="D65" s="4" t="str">
        <f>'Raw Results'!D62</f>
        <v>W</v>
      </c>
      <c r="E65" s="4">
        <f>'Raw Results'!E62</f>
        <v>5959</v>
      </c>
      <c r="F65" t="str">
        <f>'Raw Results'!F62</f>
        <v>Dave Springford</v>
      </c>
      <c r="G65" s="1">
        <f>'Raw Results'!G62</f>
        <v>4088</v>
      </c>
      <c r="H65" s="49">
        <f t="shared" si="2"/>
        <v>0.68602114448733009</v>
      </c>
      <c r="I65" s="45">
        <f t="shared" si="3"/>
        <v>1.1200000000000001</v>
      </c>
      <c r="J65" s="66" t="str">
        <f t="shared" si="4"/>
        <v>Dave Springford</v>
      </c>
      <c r="K65" s="50" t="str">
        <f t="shared" si="5"/>
        <v>W</v>
      </c>
      <c r="L65" s="50" t="str">
        <f t="shared" si="6"/>
        <v>A</v>
      </c>
      <c r="M65" s="51">
        <f t="shared" si="8"/>
        <v>2</v>
      </c>
      <c r="N65" s="68">
        <f t="shared" si="7"/>
        <v>0.76834368182580981</v>
      </c>
    </row>
    <row r="66" spans="1:14">
      <c r="A66" s="4">
        <f>'Raw Results'!A63</f>
        <v>2010</v>
      </c>
      <c r="B66" s="5" t="str">
        <f>'Raw Results'!B63</f>
        <v>WGC 18m</v>
      </c>
      <c r="C66" s="4">
        <f>'Raw Results'!C63</f>
        <v>18</v>
      </c>
      <c r="D66" s="4" t="str">
        <f>'Raw Results'!D63</f>
        <v>W</v>
      </c>
      <c r="E66" s="4">
        <f>'Raw Results'!E63</f>
        <v>6279</v>
      </c>
      <c r="F66" t="str">
        <f>'Raw Results'!F63</f>
        <v>Jerzy Szemplinski</v>
      </c>
      <c r="G66" s="1">
        <f>'Raw Results'!G63</f>
        <v>5898</v>
      </c>
      <c r="H66" s="49">
        <f t="shared" si="2"/>
        <v>0.93932154801720014</v>
      </c>
      <c r="I66" s="45">
        <f t="shared" si="3"/>
        <v>1.1200000000000001</v>
      </c>
      <c r="J66" s="66" t="str">
        <f t="shared" si="4"/>
        <v>Jerzy Szemplinski</v>
      </c>
      <c r="K66" s="50" t="str">
        <f t="shared" si="5"/>
        <v>W</v>
      </c>
      <c r="L66" s="50" t="str">
        <f t="shared" si="6"/>
        <v>A</v>
      </c>
      <c r="M66" s="51">
        <f t="shared" si="8"/>
        <v>2</v>
      </c>
      <c r="N66" s="68">
        <f t="shared" si="7"/>
        <v>1.0520401337792642</v>
      </c>
    </row>
    <row r="67" spans="1:14">
      <c r="A67" s="4">
        <f>'Raw Results'!A64</f>
        <v>2010</v>
      </c>
      <c r="B67" s="5" t="str">
        <f>'Raw Results'!B64</f>
        <v>WGC Open</v>
      </c>
      <c r="C67" s="4" t="str">
        <f>'Raw Results'!C64</f>
        <v>O</v>
      </c>
      <c r="D67" s="4" t="str">
        <f>'Raw Results'!D64</f>
        <v>W</v>
      </c>
      <c r="E67" s="4">
        <f>'Raw Results'!E64</f>
        <v>6834</v>
      </c>
      <c r="F67" t="str">
        <f>'Raw Results'!F64</f>
        <v>Willem Langelaan</v>
      </c>
      <c r="G67" s="1">
        <f>'Raw Results'!G64</f>
        <v>2356</v>
      </c>
      <c r="H67" s="49">
        <f t="shared" si="2"/>
        <v>0.34474685396546678</v>
      </c>
      <c r="I67" s="45">
        <f t="shared" si="3"/>
        <v>1.1200000000000001</v>
      </c>
      <c r="J67" s="66" t="str">
        <f t="shared" si="4"/>
        <v>Willem Langelaan</v>
      </c>
      <c r="K67" s="50" t="str">
        <f t="shared" si="5"/>
        <v>W</v>
      </c>
      <c r="L67" s="50" t="str">
        <f t="shared" si="6"/>
        <v>A</v>
      </c>
      <c r="M67" s="51">
        <f t="shared" si="8"/>
        <v>2</v>
      </c>
      <c r="N67" s="68">
        <f t="shared" si="7"/>
        <v>0.38611647644132285</v>
      </c>
    </row>
    <row r="68" spans="1:14">
      <c r="A68" s="4">
        <f>'Raw Results'!A65</f>
        <v>2011</v>
      </c>
      <c r="B68" s="5" t="str">
        <f>'Raw Results'!B65</f>
        <v>US Standard Nationals</v>
      </c>
      <c r="C68" s="4" t="str">
        <f>'Raw Results'!C65</f>
        <v>S</v>
      </c>
      <c r="D68" s="4" t="str">
        <f>'Raw Results'!D65</f>
        <v>F</v>
      </c>
      <c r="E68" s="4">
        <f>'Raw Results'!E65</f>
        <v>7574</v>
      </c>
      <c r="F68" t="str">
        <f>'Raw Results'!F65</f>
        <v>Dave Springford</v>
      </c>
      <c r="G68" s="1">
        <f>'Raw Results'!G65</f>
        <v>7401</v>
      </c>
      <c r="H68" s="49">
        <f t="shared" si="2"/>
        <v>0.97715870081858991</v>
      </c>
      <c r="I68" s="45">
        <f t="shared" si="3"/>
        <v>1.05</v>
      </c>
      <c r="J68" s="66" t="str">
        <f t="shared" si="4"/>
        <v>Dave Springford</v>
      </c>
      <c r="K68" s="50" t="str">
        <f t="shared" si="5"/>
        <v>F</v>
      </c>
      <c r="L68" s="50" t="str">
        <f t="shared" si="6"/>
        <v>A</v>
      </c>
      <c r="M68" s="51">
        <f t="shared" si="8"/>
        <v>2</v>
      </c>
      <c r="N68" s="68">
        <f t="shared" si="7"/>
        <v>1.0260166358595195</v>
      </c>
    </row>
    <row r="69" spans="1:14">
      <c r="A69" s="4">
        <f>'Raw Results'!A66</f>
        <v>2011</v>
      </c>
      <c r="B69" s="5" t="str">
        <f>'Raw Results'!B66</f>
        <v>Canadian National Soaring Championships (FAI)</v>
      </c>
      <c r="C69" s="4" t="str">
        <f>'Raw Results'!C66</f>
        <v>A</v>
      </c>
      <c r="D69" s="4" t="str">
        <f>'Raw Results'!D66</f>
        <v>C</v>
      </c>
      <c r="E69" s="4">
        <f>'Raw Results'!E66</f>
        <v>4744</v>
      </c>
      <c r="F69" t="str">
        <f>'Raw Results'!F66</f>
        <v>Jerzy Szemplinski</v>
      </c>
      <c r="G69" s="1">
        <f>'Raw Results'!G66</f>
        <v>4744</v>
      </c>
      <c r="H69" s="49">
        <f t="shared" si="2"/>
        <v>1</v>
      </c>
      <c r="I69" s="45">
        <f t="shared" si="3"/>
        <v>1</v>
      </c>
      <c r="J69" s="66" t="str">
        <f t="shared" si="4"/>
        <v>Jerzy Szemplinski</v>
      </c>
      <c r="K69" s="50" t="str">
        <f t="shared" si="5"/>
        <v>C</v>
      </c>
      <c r="L69" s="50" t="str">
        <f t="shared" si="6"/>
        <v>A</v>
      </c>
      <c r="M69" s="51">
        <f t="shared" si="8"/>
        <v>1</v>
      </c>
      <c r="N69" s="68">
        <f t="shared" si="7"/>
        <v>1</v>
      </c>
    </row>
    <row r="70" spans="1:14">
      <c r="A70" s="4">
        <f>'Raw Results'!A67</f>
        <v>2011</v>
      </c>
      <c r="B70" s="5" t="str">
        <f>'Raw Results'!B67</f>
        <v>Canadian National Soaring Championships (FAI)</v>
      </c>
      <c r="C70" s="4" t="str">
        <f>'Raw Results'!C67</f>
        <v>A</v>
      </c>
      <c r="D70" s="4" t="str">
        <f>'Raw Results'!D67</f>
        <v>C</v>
      </c>
      <c r="E70" s="4">
        <f>'Raw Results'!E67</f>
        <v>4744</v>
      </c>
      <c r="F70" t="str">
        <f>'Raw Results'!F67</f>
        <v>Derek Mackie</v>
      </c>
      <c r="G70" s="1">
        <f>'Raw Results'!G67</f>
        <v>4398</v>
      </c>
      <c r="H70" s="49">
        <f t="shared" si="2"/>
        <v>0.92706576728499157</v>
      </c>
      <c r="I70" s="45">
        <f t="shared" si="3"/>
        <v>1</v>
      </c>
      <c r="J70" s="66" t="str">
        <f t="shared" si="4"/>
        <v>Derek Mackie</v>
      </c>
      <c r="K70" s="50" t="str">
        <f t="shared" si="5"/>
        <v>C</v>
      </c>
      <c r="L70" s="50" t="str">
        <f t="shared" si="6"/>
        <v>A</v>
      </c>
      <c r="M70" s="51">
        <f t="shared" si="8"/>
        <v>1</v>
      </c>
      <c r="N70" s="68">
        <f t="shared" si="7"/>
        <v>0.92706576728499157</v>
      </c>
    </row>
    <row r="71" spans="1:14">
      <c r="A71" s="4">
        <f>'Raw Results'!A68</f>
        <v>2011</v>
      </c>
      <c r="B71" s="5" t="str">
        <f>'Raw Results'!B68</f>
        <v>Canadian National Soaring Championships (FAI)</v>
      </c>
      <c r="C71" s="4" t="str">
        <f>'Raw Results'!C68</f>
        <v>A</v>
      </c>
      <c r="D71" s="4" t="str">
        <f>'Raw Results'!D68</f>
        <v>C</v>
      </c>
      <c r="E71" s="4">
        <f>'Raw Results'!E68</f>
        <v>4744</v>
      </c>
      <c r="F71" t="str">
        <f>'Raw Results'!F68</f>
        <v>Nick Bonniere</v>
      </c>
      <c r="G71" s="1">
        <f>'Raw Results'!G68</f>
        <v>4335</v>
      </c>
      <c r="H71" s="49">
        <f t="shared" si="2"/>
        <v>0.91378583473861719</v>
      </c>
      <c r="I71" s="45">
        <f t="shared" si="3"/>
        <v>1</v>
      </c>
      <c r="J71" s="66" t="str">
        <f t="shared" si="4"/>
        <v>Nick Bonniere</v>
      </c>
      <c r="K71" s="50" t="str">
        <f t="shared" si="5"/>
        <v>C</v>
      </c>
      <c r="L71" s="50" t="str">
        <f t="shared" si="6"/>
        <v>A</v>
      </c>
      <c r="M71" s="51">
        <f t="shared" si="8"/>
        <v>1</v>
      </c>
      <c r="N71" s="68">
        <f t="shared" si="7"/>
        <v>0.91378583473861719</v>
      </c>
    </row>
    <row r="72" spans="1:14">
      <c r="A72" s="4">
        <f>'Raw Results'!A69</f>
        <v>2011</v>
      </c>
      <c r="B72" s="5" t="str">
        <f>'Raw Results'!B69</f>
        <v>Canadian National Soaring Championships (FAI)</v>
      </c>
      <c r="C72" s="4" t="str">
        <f>'Raw Results'!C69</f>
        <v>A</v>
      </c>
      <c r="D72" s="4" t="str">
        <f>'Raw Results'!D69</f>
        <v>C</v>
      </c>
      <c r="E72" s="4">
        <f>'Raw Results'!E69</f>
        <v>4744</v>
      </c>
      <c r="F72" t="str">
        <f>'Raw Results'!F69</f>
        <v>Andrzej Kobus</v>
      </c>
      <c r="G72" s="1">
        <f>'Raw Results'!G69</f>
        <v>4249</v>
      </c>
      <c r="H72" s="49">
        <f t="shared" si="2"/>
        <v>0.89565767284991571</v>
      </c>
      <c r="I72" s="45">
        <f t="shared" ref="I72:I74" si="11">IF(D72="C",$L$1,IF(D72="W",$L$2,IF(D72="P",$L$3,IF(D72="E",$L$4, IF(D72="F",$L$5,"Error")))))</f>
        <v>1</v>
      </c>
      <c r="J72" s="66" t="str">
        <f t="shared" si="4"/>
        <v>Andrzej Kobus</v>
      </c>
      <c r="K72" s="50" t="str">
        <f t="shared" ref="K72:K74" si="12">D72</f>
        <v>C</v>
      </c>
      <c r="L72" s="50" t="str">
        <f t="shared" ref="L72:L104" si="13">IF(C72="C","C",IF(OR(C72="A",C72="O",C72=18, C72=15, C72="S"),"A","B"))</f>
        <v>A</v>
      </c>
      <c r="M72" s="51">
        <f t="shared" si="8"/>
        <v>1</v>
      </c>
      <c r="N72" s="68">
        <f t="shared" ref="N72:N74" si="14">H72*I72</f>
        <v>0.89565767284991571</v>
      </c>
    </row>
    <row r="73" spans="1:14">
      <c r="A73" s="4">
        <f>'Raw Results'!A70</f>
        <v>2011</v>
      </c>
      <c r="B73" s="5" t="str">
        <f>'Raw Results'!B70</f>
        <v>Canadian National Soaring Championships (FAI)</v>
      </c>
      <c r="C73" s="4" t="str">
        <f>'Raw Results'!C70</f>
        <v>A</v>
      </c>
      <c r="D73" s="4" t="str">
        <f>'Raw Results'!D70</f>
        <v>C</v>
      </c>
      <c r="E73" s="4">
        <f>'Raw Results'!E70</f>
        <v>4744</v>
      </c>
      <c r="F73" t="str">
        <f>'Raw Results'!F70</f>
        <v>Joerg Stieber</v>
      </c>
      <c r="G73" s="1">
        <f>'Raw Results'!G70</f>
        <v>4212</v>
      </c>
      <c r="H73" s="49">
        <f>G73/E73</f>
        <v>0.88785834738617198</v>
      </c>
      <c r="I73" s="45">
        <f t="shared" si="11"/>
        <v>1</v>
      </c>
      <c r="J73" s="66" t="str">
        <f>F73</f>
        <v>Joerg Stieber</v>
      </c>
      <c r="K73" s="50" t="str">
        <f t="shared" si="12"/>
        <v>C</v>
      </c>
      <c r="L73" s="50" t="str">
        <f t="shared" si="13"/>
        <v>A</v>
      </c>
      <c r="M73" s="51">
        <f t="shared" ref="M73:M104" si="15">IF(AND(A73=$A$5,OR(D73="C",D73="W",D73="P")),1,2)</f>
        <v>1</v>
      </c>
      <c r="N73" s="68">
        <f t="shared" si="14"/>
        <v>0.88785834738617198</v>
      </c>
    </row>
    <row r="74" spans="1:14">
      <c r="A74" s="4">
        <f>'Raw Results'!A71</f>
        <v>2011</v>
      </c>
      <c r="B74" s="5" t="str">
        <f>'Raw Results'!B71</f>
        <v>Canadian National Soaring Championships (FAI)</v>
      </c>
      <c r="C74" s="4" t="str">
        <f>'Raw Results'!C71</f>
        <v>A</v>
      </c>
      <c r="D74" s="4" t="str">
        <f>'Raw Results'!D71</f>
        <v>C</v>
      </c>
      <c r="E74" s="4">
        <f>'Raw Results'!E71</f>
        <v>4744</v>
      </c>
      <c r="F74" t="str">
        <f>'Raw Results'!F71</f>
        <v>Dave Springford</v>
      </c>
      <c r="G74" s="1">
        <f>'Raw Results'!G71</f>
        <v>4073</v>
      </c>
      <c r="H74" s="49">
        <f>G74/E74</f>
        <v>0.85855817875210794</v>
      </c>
      <c r="I74" s="45">
        <f t="shared" si="11"/>
        <v>1</v>
      </c>
      <c r="J74" s="66" t="str">
        <f>F74</f>
        <v>Dave Springford</v>
      </c>
      <c r="K74" s="50" t="str">
        <f t="shared" si="12"/>
        <v>C</v>
      </c>
      <c r="L74" s="50" t="str">
        <f t="shared" si="13"/>
        <v>A</v>
      </c>
      <c r="M74" s="51">
        <f t="shared" si="15"/>
        <v>1</v>
      </c>
      <c r="N74" s="68">
        <f t="shared" si="14"/>
        <v>0.85855817875210794</v>
      </c>
    </row>
    <row r="75" spans="1:14">
      <c r="A75" s="4">
        <f>'Raw Results'!A72</f>
        <v>2011</v>
      </c>
      <c r="B75" s="5" t="str">
        <f>'Raw Results'!B72</f>
        <v>Canadian National Soaring Championships (FAI)</v>
      </c>
      <c r="C75" s="4" t="str">
        <f>'Raw Results'!C72</f>
        <v>A</v>
      </c>
      <c r="D75" s="4" t="str">
        <f>'Raw Results'!D72</f>
        <v>C</v>
      </c>
      <c r="E75" s="4">
        <f>'Raw Results'!E72</f>
        <v>4744</v>
      </c>
      <c r="F75" t="str">
        <f>'Raw Results'!F72</f>
        <v>Ed Hollistelle Sr.</v>
      </c>
      <c r="G75" s="1">
        <f>'Raw Results'!G72</f>
        <v>3947</v>
      </c>
      <c r="H75" s="49">
        <f t="shared" ref="H75:H104" si="16">G75/E75</f>
        <v>0.83199831365935917</v>
      </c>
      <c r="I75" s="45">
        <f t="shared" ref="I75:I104" si="17">IF(D75="C",$L$1,IF(D75="W",$L$2,IF(D75="P",$L$3,IF(D75="E",$L$4, IF(D75="F",$L$5,"Error")))))</f>
        <v>1</v>
      </c>
      <c r="J75" s="66" t="str">
        <f t="shared" ref="J75:J104" si="18">F75</f>
        <v>Ed Hollistelle Sr.</v>
      </c>
      <c r="K75" s="50" t="str">
        <f t="shared" ref="K75:K104" si="19">D75</f>
        <v>C</v>
      </c>
      <c r="L75" s="50" t="str">
        <f t="shared" si="13"/>
        <v>A</v>
      </c>
      <c r="M75" s="51">
        <f t="shared" si="15"/>
        <v>1</v>
      </c>
      <c r="N75" s="68">
        <f t="shared" ref="N75:N104" si="20">H75*I75</f>
        <v>0.83199831365935917</v>
      </c>
    </row>
    <row r="76" spans="1:14">
      <c r="A76" s="4">
        <f>'Raw Results'!A73</f>
        <v>2011</v>
      </c>
      <c r="B76" s="5" t="str">
        <f>'Raw Results'!B73</f>
        <v>Canadian National Soaring Championships (FAI)</v>
      </c>
      <c r="C76" s="4" t="str">
        <f>'Raw Results'!C73</f>
        <v>A</v>
      </c>
      <c r="D76" s="4" t="str">
        <f>'Raw Results'!D73</f>
        <v>C</v>
      </c>
      <c r="E76" s="4">
        <f>'Raw Results'!E73</f>
        <v>4744</v>
      </c>
      <c r="F76" t="str">
        <f>'Raw Results'!F73</f>
        <v>Willem Langelaan</v>
      </c>
      <c r="G76" s="1">
        <f>'Raw Results'!G73</f>
        <v>3030</v>
      </c>
      <c r="H76" s="49">
        <f t="shared" si="16"/>
        <v>0.63870151770657668</v>
      </c>
      <c r="I76" s="45">
        <f t="shared" si="17"/>
        <v>1</v>
      </c>
      <c r="J76" s="66" t="str">
        <f t="shared" si="18"/>
        <v>Willem Langelaan</v>
      </c>
      <c r="K76" s="50" t="str">
        <f t="shared" si="19"/>
        <v>C</v>
      </c>
      <c r="L76" s="50" t="str">
        <f t="shared" si="13"/>
        <v>A</v>
      </c>
      <c r="M76" s="51">
        <f t="shared" si="15"/>
        <v>1</v>
      </c>
      <c r="N76" s="68">
        <f t="shared" si="20"/>
        <v>0.63870151770657668</v>
      </c>
    </row>
    <row r="77" spans="1:14">
      <c r="A77" s="1">
        <f>'Raw Results'!A74</f>
        <v>2011</v>
      </c>
      <c r="B77" s="6" t="str">
        <f>'Raw Results'!B74</f>
        <v>Canadian National Soaring Championships (FAI)</v>
      </c>
      <c r="C77" s="1" t="str">
        <f>'Raw Results'!C74</f>
        <v>A</v>
      </c>
      <c r="D77" s="1" t="str">
        <f>'Raw Results'!D74</f>
        <v>C</v>
      </c>
      <c r="E77">
        <f>'Raw Results'!E74</f>
        <v>4744</v>
      </c>
      <c r="F77" t="str">
        <f>'Raw Results'!F74</f>
        <v>Leo Deschamps</v>
      </c>
      <c r="G77" s="1">
        <f>'Raw Results'!G74</f>
        <v>991</v>
      </c>
      <c r="H77" s="49">
        <f t="shared" si="16"/>
        <v>0.20889544688026981</v>
      </c>
      <c r="I77" s="45">
        <f t="shared" si="17"/>
        <v>1</v>
      </c>
      <c r="J77" s="66" t="str">
        <f t="shared" si="18"/>
        <v>Leo Deschamps</v>
      </c>
      <c r="K77" s="50" t="str">
        <f t="shared" si="19"/>
        <v>C</v>
      </c>
      <c r="L77" s="50" t="str">
        <f t="shared" si="13"/>
        <v>A</v>
      </c>
      <c r="M77" s="51">
        <f t="shared" si="15"/>
        <v>1</v>
      </c>
      <c r="N77" s="68">
        <f t="shared" si="20"/>
        <v>0.20889544688026981</v>
      </c>
    </row>
    <row r="78" spans="1:14">
      <c r="A78" s="1">
        <f>'Raw Results'!A75</f>
        <v>2011</v>
      </c>
      <c r="B78" s="6" t="str">
        <f>'Raw Results'!B75</f>
        <v>Canadian National Soaring Championships (FAI)</v>
      </c>
      <c r="C78" s="1" t="str">
        <f>'Raw Results'!C75</f>
        <v>A</v>
      </c>
      <c r="D78" s="1" t="str">
        <f>'Raw Results'!D75</f>
        <v>C</v>
      </c>
      <c r="E78">
        <f>'Raw Results'!E75</f>
        <v>4744</v>
      </c>
      <c r="F78" t="str">
        <f>'Raw Results'!F75</f>
        <v>Jim Carpenter</v>
      </c>
      <c r="G78" s="1">
        <f>'Raw Results'!G75</f>
        <v>434</v>
      </c>
      <c r="H78" s="49">
        <f t="shared" si="16"/>
        <v>9.1483979763912315E-2</v>
      </c>
      <c r="I78" s="45">
        <f t="shared" si="17"/>
        <v>1</v>
      </c>
      <c r="J78" s="66" t="str">
        <f t="shared" si="18"/>
        <v>Jim Carpenter</v>
      </c>
      <c r="K78" s="50" t="str">
        <f t="shared" si="19"/>
        <v>C</v>
      </c>
      <c r="L78" s="50" t="str">
        <f t="shared" si="13"/>
        <v>A</v>
      </c>
      <c r="M78" s="51">
        <f t="shared" si="15"/>
        <v>1</v>
      </c>
      <c r="N78" s="68">
        <f t="shared" si="20"/>
        <v>9.1483979763912315E-2</v>
      </c>
    </row>
    <row r="79" spans="1:14">
      <c r="A79" s="1">
        <f>'Raw Results'!A76</f>
        <v>2011</v>
      </c>
      <c r="B79" s="6" t="str">
        <f>'Raw Results'!B76</f>
        <v>Canadian National Soaring Championships (Club 1)</v>
      </c>
      <c r="C79" s="1" t="str">
        <f>'Raw Results'!C76</f>
        <v>B</v>
      </c>
      <c r="D79" s="1" t="str">
        <f>'Raw Results'!D76</f>
        <v>C</v>
      </c>
      <c r="E79">
        <f>'Raw Results'!E76</f>
        <v>3592</v>
      </c>
      <c r="F79" t="str">
        <f>'Raw Results'!F76</f>
        <v>Chris Gough</v>
      </c>
      <c r="G79" s="1">
        <f>'Raw Results'!G76</f>
        <v>3592</v>
      </c>
      <c r="H79" s="49">
        <f t="shared" si="16"/>
        <v>1</v>
      </c>
      <c r="I79" s="45">
        <f t="shared" si="17"/>
        <v>1</v>
      </c>
      <c r="J79" s="66" t="str">
        <f t="shared" si="18"/>
        <v>Chris Gough</v>
      </c>
      <c r="K79" s="50" t="str">
        <f t="shared" si="19"/>
        <v>C</v>
      </c>
      <c r="L79" s="50" t="str">
        <f t="shared" si="13"/>
        <v>B</v>
      </c>
      <c r="M79" s="51">
        <f t="shared" si="15"/>
        <v>1</v>
      </c>
      <c r="N79" s="68">
        <f t="shared" si="20"/>
        <v>1</v>
      </c>
    </row>
    <row r="80" spans="1:14">
      <c r="A80" s="1">
        <f>'Raw Results'!A77</f>
        <v>2011</v>
      </c>
      <c r="B80" s="6" t="str">
        <f>'Raw Results'!B77</f>
        <v>Canadian National Soaring Championships (Club 1)</v>
      </c>
      <c r="C80" s="1" t="str">
        <f>'Raw Results'!C77</f>
        <v>B</v>
      </c>
      <c r="D80" s="1" t="str">
        <f>'Raw Results'!D77</f>
        <v>C</v>
      </c>
      <c r="E80">
        <f>'Raw Results'!E77</f>
        <v>3592</v>
      </c>
      <c r="F80" t="str">
        <f>'Raw Results'!F77</f>
        <v>Anthony Kawzowicz</v>
      </c>
      <c r="G80" s="1">
        <f>'Raw Results'!G77</f>
        <v>3219</v>
      </c>
      <c r="H80" s="49">
        <f t="shared" si="16"/>
        <v>0.89615812917594651</v>
      </c>
      <c r="I80" s="45">
        <f t="shared" si="17"/>
        <v>1</v>
      </c>
      <c r="J80" s="66" t="str">
        <f t="shared" si="18"/>
        <v>Anthony Kawzowicz</v>
      </c>
      <c r="K80" s="50" t="str">
        <f t="shared" si="19"/>
        <v>C</v>
      </c>
      <c r="L80" s="50" t="str">
        <f t="shared" si="13"/>
        <v>B</v>
      </c>
      <c r="M80" s="51">
        <f t="shared" si="15"/>
        <v>1</v>
      </c>
      <c r="N80" s="68">
        <f t="shared" si="20"/>
        <v>0.89615812917594651</v>
      </c>
    </row>
    <row r="81" spans="1:14">
      <c r="A81" s="1">
        <f>'Raw Results'!A78</f>
        <v>2011</v>
      </c>
      <c r="B81" s="6" t="str">
        <f>'Raw Results'!B78</f>
        <v>Canadian National Soaring Championships (Club 1)</v>
      </c>
      <c r="C81" s="1" t="str">
        <f>'Raw Results'!C78</f>
        <v>B</v>
      </c>
      <c r="D81" s="1" t="str">
        <f>'Raw Results'!D78</f>
        <v>C</v>
      </c>
      <c r="E81">
        <f>'Raw Results'!E78</f>
        <v>3592</v>
      </c>
      <c r="F81" t="str">
        <f>'Raw Results'!F78</f>
        <v>Paul Fish</v>
      </c>
      <c r="G81" s="1">
        <f>'Raw Results'!G78</f>
        <v>3113</v>
      </c>
      <c r="H81" s="49">
        <f t="shared" si="16"/>
        <v>0.86664810690423166</v>
      </c>
      <c r="I81" s="45">
        <f t="shared" si="17"/>
        <v>1</v>
      </c>
      <c r="J81" s="66" t="str">
        <f t="shared" si="18"/>
        <v>Paul Fish</v>
      </c>
      <c r="K81" s="50" t="str">
        <f t="shared" si="19"/>
        <v>C</v>
      </c>
      <c r="L81" s="50" t="str">
        <f t="shared" si="13"/>
        <v>B</v>
      </c>
      <c r="M81" s="51">
        <f t="shared" si="15"/>
        <v>1</v>
      </c>
      <c r="N81" s="68">
        <f t="shared" si="20"/>
        <v>0.86664810690423166</v>
      </c>
    </row>
    <row r="82" spans="1:14">
      <c r="A82" s="1">
        <f>'Raw Results'!A79</f>
        <v>2011</v>
      </c>
      <c r="B82" s="6" t="str">
        <f>'Raw Results'!B79</f>
        <v>Canadian National Soaring Championships (Club 1)</v>
      </c>
      <c r="C82" s="1" t="str">
        <f>'Raw Results'!C79</f>
        <v>B</v>
      </c>
      <c r="D82" s="1" t="str">
        <f>'Raw Results'!D79</f>
        <v>C</v>
      </c>
      <c r="E82">
        <f>'Raw Results'!E79</f>
        <v>3592</v>
      </c>
      <c r="F82" t="str">
        <f>'Raw Results'!F79</f>
        <v>John Brennan</v>
      </c>
      <c r="G82" s="1">
        <f>'Raw Results'!G79</f>
        <v>2961</v>
      </c>
      <c r="H82" s="49">
        <f t="shared" si="16"/>
        <v>0.82433184855233854</v>
      </c>
      <c r="I82" s="45">
        <f t="shared" si="17"/>
        <v>1</v>
      </c>
      <c r="J82" s="66" t="str">
        <f t="shared" si="18"/>
        <v>John Brennan</v>
      </c>
      <c r="K82" s="50" t="str">
        <f t="shared" si="19"/>
        <v>C</v>
      </c>
      <c r="L82" s="50" t="str">
        <f t="shared" si="13"/>
        <v>B</v>
      </c>
      <c r="M82" s="51">
        <f t="shared" si="15"/>
        <v>1</v>
      </c>
      <c r="N82" s="68">
        <f t="shared" si="20"/>
        <v>0.82433184855233854</v>
      </c>
    </row>
    <row r="83" spans="1:14">
      <c r="A83" s="1">
        <f>'Raw Results'!A80</f>
        <v>2011</v>
      </c>
      <c r="B83" s="6" t="str">
        <f>'Raw Results'!B80</f>
        <v>Canadian National Soaring Championships (Club 1)</v>
      </c>
      <c r="C83" s="1" t="str">
        <f>'Raw Results'!C80</f>
        <v>B</v>
      </c>
      <c r="D83" s="1" t="str">
        <f>'Raw Results'!D80</f>
        <v>C</v>
      </c>
      <c r="E83">
        <f>'Raw Results'!E80</f>
        <v>3592</v>
      </c>
      <c r="F83" t="str">
        <f>'Raw Results'!F80</f>
        <v>Bill Cole</v>
      </c>
      <c r="G83" s="1">
        <f>'Raw Results'!G80</f>
        <v>2852</v>
      </c>
      <c r="H83" s="49">
        <f t="shared" si="16"/>
        <v>0.79398663697104677</v>
      </c>
      <c r="I83" s="45">
        <f t="shared" si="17"/>
        <v>1</v>
      </c>
      <c r="J83" s="66" t="str">
        <f t="shared" si="18"/>
        <v>Bill Cole</v>
      </c>
      <c r="K83" s="50" t="str">
        <f t="shared" si="19"/>
        <v>C</v>
      </c>
      <c r="L83" s="50" t="str">
        <f t="shared" si="13"/>
        <v>B</v>
      </c>
      <c r="M83" s="51">
        <f t="shared" si="15"/>
        <v>1</v>
      </c>
      <c r="N83" s="68">
        <f t="shared" si="20"/>
        <v>0.79398663697104677</v>
      </c>
    </row>
    <row r="84" spans="1:14">
      <c r="A84" s="1">
        <f>'Raw Results'!A81</f>
        <v>2011</v>
      </c>
      <c r="B84" s="6" t="str">
        <f>'Raw Results'!B81</f>
        <v>Canadian National Soaring Championships (Club 1)</v>
      </c>
      <c r="C84" s="1" t="str">
        <f>'Raw Results'!C81</f>
        <v>B</v>
      </c>
      <c r="D84" s="1" t="str">
        <f>'Raw Results'!D81</f>
        <v>C</v>
      </c>
      <c r="E84">
        <f>'Raw Results'!E81</f>
        <v>3592</v>
      </c>
      <c r="F84" t="str">
        <f>'Raw Results'!F81</f>
        <v>Sergei Morozov</v>
      </c>
      <c r="G84" s="1">
        <f>'Raw Results'!G81</f>
        <v>2849</v>
      </c>
      <c r="H84" s="49">
        <f t="shared" si="16"/>
        <v>0.79315144766146994</v>
      </c>
      <c r="I84" s="45">
        <f t="shared" si="17"/>
        <v>1</v>
      </c>
      <c r="J84" s="66" t="str">
        <f t="shared" si="18"/>
        <v>Sergei Morozov</v>
      </c>
      <c r="K84" s="50" t="str">
        <f t="shared" si="19"/>
        <v>C</v>
      </c>
      <c r="L84" s="50" t="str">
        <f t="shared" si="13"/>
        <v>B</v>
      </c>
      <c r="M84" s="51">
        <f t="shared" si="15"/>
        <v>1</v>
      </c>
      <c r="N84" s="68">
        <f t="shared" si="20"/>
        <v>0.79315144766146994</v>
      </c>
    </row>
    <row r="85" spans="1:14">
      <c r="A85" s="1">
        <f>'Raw Results'!A82</f>
        <v>2011</v>
      </c>
      <c r="B85" s="6" t="str">
        <f>'Raw Results'!B82</f>
        <v>Canadian National Soaring Championships (Club 1)</v>
      </c>
      <c r="C85" s="1" t="str">
        <f>'Raw Results'!C82</f>
        <v>B</v>
      </c>
      <c r="D85" s="1" t="str">
        <f>'Raw Results'!D82</f>
        <v>C</v>
      </c>
      <c r="E85">
        <f>'Raw Results'!E82</f>
        <v>3592</v>
      </c>
      <c r="F85" t="str">
        <f>'Raw Results'!F82</f>
        <v>Luke Szczepaniak</v>
      </c>
      <c r="G85" s="1">
        <f>'Raw Results'!G82</f>
        <v>2781</v>
      </c>
      <c r="H85" s="49">
        <f t="shared" si="16"/>
        <v>0.7742204899777283</v>
      </c>
      <c r="I85" s="45">
        <f t="shared" si="17"/>
        <v>1</v>
      </c>
      <c r="J85" s="66" t="str">
        <f t="shared" si="18"/>
        <v>Luke Szczepaniak</v>
      </c>
      <c r="K85" s="50" t="str">
        <f t="shared" si="19"/>
        <v>C</v>
      </c>
      <c r="L85" s="50" t="str">
        <f t="shared" si="13"/>
        <v>B</v>
      </c>
      <c r="M85" s="51">
        <f t="shared" si="15"/>
        <v>1</v>
      </c>
      <c r="N85" s="68">
        <f t="shared" si="20"/>
        <v>0.7742204899777283</v>
      </c>
    </row>
    <row r="86" spans="1:14">
      <c r="A86" s="1">
        <f>'Raw Results'!A83</f>
        <v>2011</v>
      </c>
      <c r="B86" s="6" t="str">
        <f>'Raw Results'!B83</f>
        <v>Canadian National Soaring Championships (Club 1)</v>
      </c>
      <c r="C86" s="1" t="str">
        <f>'Raw Results'!C83</f>
        <v>B</v>
      </c>
      <c r="D86" s="1" t="str">
        <f>'Raw Results'!D83</f>
        <v>C</v>
      </c>
      <c r="E86">
        <f>'Raw Results'!E83</f>
        <v>3592</v>
      </c>
      <c r="F86" t="str">
        <f>'Raw Results'!F83</f>
        <v>Dave Cole</v>
      </c>
      <c r="G86" s="1">
        <f>'Raw Results'!G83</f>
        <v>2724</v>
      </c>
      <c r="H86" s="49">
        <f t="shared" si="16"/>
        <v>0.75835189309576834</v>
      </c>
      <c r="I86" s="45">
        <f t="shared" si="17"/>
        <v>1</v>
      </c>
      <c r="J86" s="66" t="str">
        <f t="shared" si="18"/>
        <v>Dave Cole</v>
      </c>
      <c r="K86" s="50" t="str">
        <f t="shared" si="19"/>
        <v>C</v>
      </c>
      <c r="L86" s="50" t="str">
        <f t="shared" si="13"/>
        <v>B</v>
      </c>
      <c r="M86" s="51">
        <f t="shared" si="15"/>
        <v>1</v>
      </c>
      <c r="N86" s="68">
        <f t="shared" si="20"/>
        <v>0.75835189309576834</v>
      </c>
    </row>
    <row r="87" spans="1:14">
      <c r="A87" s="1">
        <f>'Raw Results'!A84</f>
        <v>2011</v>
      </c>
      <c r="B87" s="6" t="str">
        <f>'Raw Results'!B84</f>
        <v>Canadian National Soaring Championships (Club 1)</v>
      </c>
      <c r="C87" s="1" t="str">
        <f>'Raw Results'!C84</f>
        <v>B</v>
      </c>
      <c r="D87" s="1" t="str">
        <f>'Raw Results'!D84</f>
        <v>C</v>
      </c>
      <c r="E87">
        <f>'Raw Results'!E84</f>
        <v>3592</v>
      </c>
      <c r="F87" t="str">
        <f>'Raw Results'!F84</f>
        <v>Alf Marcelissen</v>
      </c>
      <c r="G87" s="1">
        <f>'Raw Results'!G84</f>
        <v>2640</v>
      </c>
      <c r="H87" s="49">
        <f t="shared" si="16"/>
        <v>0.73496659242761697</v>
      </c>
      <c r="I87" s="45">
        <f t="shared" si="17"/>
        <v>1</v>
      </c>
      <c r="J87" s="66" t="str">
        <f t="shared" si="18"/>
        <v>Alf Marcelissen</v>
      </c>
      <c r="K87" s="50" t="str">
        <f t="shared" si="19"/>
        <v>C</v>
      </c>
      <c r="L87" s="50" t="str">
        <f t="shared" si="13"/>
        <v>B</v>
      </c>
      <c r="M87" s="51">
        <f t="shared" si="15"/>
        <v>1</v>
      </c>
      <c r="N87" s="68">
        <f t="shared" si="20"/>
        <v>0.73496659242761697</v>
      </c>
    </row>
    <row r="88" spans="1:14">
      <c r="A88" s="1">
        <f>'Raw Results'!A85</f>
        <v>2011</v>
      </c>
      <c r="B88" s="6" t="str">
        <f>'Raw Results'!B85</f>
        <v>Canadian National Soaring Championships (Club 1)</v>
      </c>
      <c r="C88" s="1" t="str">
        <f>'Raw Results'!C85</f>
        <v>B</v>
      </c>
      <c r="D88" s="1" t="str">
        <f>'Raw Results'!D85</f>
        <v>C</v>
      </c>
      <c r="E88">
        <f>'Raw Results'!E85</f>
        <v>3592</v>
      </c>
      <c r="F88" t="str">
        <f>'Raw Results'!F85</f>
        <v>Marian Nowak</v>
      </c>
      <c r="G88" s="1">
        <f>'Raw Results'!G85</f>
        <v>2594</v>
      </c>
      <c r="H88" s="49">
        <f t="shared" si="16"/>
        <v>0.7221603563474388</v>
      </c>
      <c r="I88" s="45">
        <f t="shared" si="17"/>
        <v>1</v>
      </c>
      <c r="J88" s="66" t="str">
        <f t="shared" si="18"/>
        <v>Marian Nowak</v>
      </c>
      <c r="K88" s="50" t="str">
        <f t="shared" si="19"/>
        <v>C</v>
      </c>
      <c r="L88" s="50" t="str">
        <f t="shared" si="13"/>
        <v>B</v>
      </c>
      <c r="M88" s="51">
        <f t="shared" si="15"/>
        <v>1</v>
      </c>
      <c r="N88" s="68">
        <f t="shared" si="20"/>
        <v>0.7221603563474388</v>
      </c>
    </row>
    <row r="89" spans="1:14">
      <c r="A89" s="1">
        <f>'Raw Results'!A86</f>
        <v>2011</v>
      </c>
      <c r="B89" s="6" t="str">
        <f>'Raw Results'!B86</f>
        <v>Canadian National Soaring Championships (Club 1)</v>
      </c>
      <c r="C89" s="1" t="str">
        <f>'Raw Results'!C86</f>
        <v>B</v>
      </c>
      <c r="D89" s="1" t="str">
        <f>'Raw Results'!D86</f>
        <v>C</v>
      </c>
      <c r="E89">
        <f>'Raw Results'!E86</f>
        <v>3592</v>
      </c>
      <c r="F89" t="str">
        <f>'Raw Results'!F86</f>
        <v>Roger Hildesheim</v>
      </c>
      <c r="G89" s="1">
        <f>'Raw Results'!G86</f>
        <v>2495</v>
      </c>
      <c r="H89" s="49">
        <f t="shared" si="16"/>
        <v>0.6945991091314031</v>
      </c>
      <c r="I89" s="45">
        <f t="shared" si="17"/>
        <v>1</v>
      </c>
      <c r="J89" s="66" t="str">
        <f t="shared" si="18"/>
        <v>Roger Hildesheim</v>
      </c>
      <c r="K89" s="50" t="str">
        <f t="shared" si="19"/>
        <v>C</v>
      </c>
      <c r="L89" s="50" t="str">
        <f t="shared" si="13"/>
        <v>B</v>
      </c>
      <c r="M89" s="51">
        <f t="shared" si="15"/>
        <v>1</v>
      </c>
      <c r="N89" s="68">
        <f t="shared" si="20"/>
        <v>0.6945991091314031</v>
      </c>
    </row>
    <row r="90" spans="1:14">
      <c r="A90" s="1">
        <f>'Raw Results'!A87</f>
        <v>2011</v>
      </c>
      <c r="B90" s="6" t="str">
        <f>'Raw Results'!B87</f>
        <v>Canadian National Soaring Championships (Club 1)</v>
      </c>
      <c r="C90" s="1" t="str">
        <f>'Raw Results'!C87</f>
        <v>B</v>
      </c>
      <c r="D90" s="1" t="str">
        <f>'Raw Results'!D87</f>
        <v>C</v>
      </c>
      <c r="E90">
        <f>'Raw Results'!E87</f>
        <v>3592</v>
      </c>
      <c r="F90" t="str">
        <f>'Raw Results'!F87</f>
        <v>Dan Cook</v>
      </c>
      <c r="G90" s="1">
        <f>'Raw Results'!G87</f>
        <v>2340</v>
      </c>
      <c r="H90" s="49">
        <f t="shared" si="16"/>
        <v>0.65144766146993316</v>
      </c>
      <c r="I90" s="45">
        <f t="shared" si="17"/>
        <v>1</v>
      </c>
      <c r="J90" s="66" t="str">
        <f t="shared" si="18"/>
        <v>Dan Cook</v>
      </c>
      <c r="K90" s="50" t="str">
        <f t="shared" si="19"/>
        <v>C</v>
      </c>
      <c r="L90" s="50" t="str">
        <f t="shared" si="13"/>
        <v>B</v>
      </c>
      <c r="M90" s="51">
        <f t="shared" si="15"/>
        <v>1</v>
      </c>
      <c r="N90" s="68">
        <f t="shared" si="20"/>
        <v>0.65144766146993316</v>
      </c>
    </row>
    <row r="91" spans="1:14">
      <c r="A91" s="1">
        <f>'Raw Results'!A88</f>
        <v>2011</v>
      </c>
      <c r="B91" s="6" t="str">
        <f>'Raw Results'!B88</f>
        <v>Canadian National Soaring Championships (Club 1)</v>
      </c>
      <c r="C91" s="1" t="str">
        <f>'Raw Results'!C88</f>
        <v>B</v>
      </c>
      <c r="D91" s="1" t="str">
        <f>'Raw Results'!D88</f>
        <v>C</v>
      </c>
      <c r="E91">
        <f>'Raw Results'!E88</f>
        <v>3592</v>
      </c>
      <c r="F91" t="str">
        <f>'Raw Results'!F88</f>
        <v>John Mulder</v>
      </c>
      <c r="G91" s="1">
        <f>'Raw Results'!G88</f>
        <v>2337</v>
      </c>
      <c r="H91" s="49">
        <f t="shared" si="16"/>
        <v>0.65061247216035634</v>
      </c>
      <c r="I91" s="45">
        <f t="shared" si="17"/>
        <v>1</v>
      </c>
      <c r="J91" s="66" t="str">
        <f t="shared" si="18"/>
        <v>John Mulder</v>
      </c>
      <c r="K91" s="50" t="str">
        <f t="shared" si="19"/>
        <v>C</v>
      </c>
      <c r="L91" s="50" t="str">
        <f t="shared" si="13"/>
        <v>B</v>
      </c>
      <c r="M91" s="51">
        <f t="shared" si="15"/>
        <v>1</v>
      </c>
      <c r="N91" s="68">
        <f t="shared" si="20"/>
        <v>0.65061247216035634</v>
      </c>
    </row>
    <row r="92" spans="1:14">
      <c r="A92" s="1">
        <f>'Raw Results'!A89</f>
        <v>2011</v>
      </c>
      <c r="B92" s="6" t="str">
        <f>'Raw Results'!B89</f>
        <v>Canadian National Soaring Championships (Club 1)</v>
      </c>
      <c r="C92" s="1" t="str">
        <f>'Raw Results'!C89</f>
        <v>B</v>
      </c>
      <c r="D92" s="1" t="str">
        <f>'Raw Results'!D89</f>
        <v>C</v>
      </c>
      <c r="E92">
        <f>'Raw Results'!E89</f>
        <v>3592</v>
      </c>
      <c r="F92" t="str">
        <f>'Raw Results'!F89</f>
        <v>Martin Brassard</v>
      </c>
      <c r="G92" s="1">
        <f>'Raw Results'!G89</f>
        <v>2328</v>
      </c>
      <c r="H92" s="49">
        <f t="shared" si="16"/>
        <v>0.64810690423162587</v>
      </c>
      <c r="I92" s="45">
        <f t="shared" si="17"/>
        <v>1</v>
      </c>
      <c r="J92" s="66" t="str">
        <f t="shared" si="18"/>
        <v>Martin Brassard</v>
      </c>
      <c r="K92" s="50" t="str">
        <f t="shared" si="19"/>
        <v>C</v>
      </c>
      <c r="L92" s="50" t="str">
        <f t="shared" si="13"/>
        <v>B</v>
      </c>
      <c r="M92" s="51">
        <f t="shared" si="15"/>
        <v>1</v>
      </c>
      <c r="N92" s="68">
        <f t="shared" si="20"/>
        <v>0.64810690423162587</v>
      </c>
    </row>
    <row r="93" spans="1:14">
      <c r="A93" s="1">
        <f>'Raw Results'!A90</f>
        <v>2011</v>
      </c>
      <c r="B93" s="6" t="str">
        <f>'Raw Results'!B90</f>
        <v>Canadian National Soaring Championships (Club 1)</v>
      </c>
      <c r="C93" s="1" t="str">
        <f>'Raw Results'!C90</f>
        <v>B</v>
      </c>
      <c r="D93" s="1" t="str">
        <f>'Raw Results'!D90</f>
        <v>C</v>
      </c>
      <c r="E93">
        <f>'Raw Results'!E90</f>
        <v>3592</v>
      </c>
      <c r="F93" t="str">
        <f>'Raw Results'!F90</f>
        <v>Krzysztof Wiercioch</v>
      </c>
      <c r="G93" s="1">
        <f>'Raw Results'!G90</f>
        <v>2040</v>
      </c>
      <c r="H93" s="49">
        <f t="shared" si="16"/>
        <v>0.56792873051224946</v>
      </c>
      <c r="I93" s="45">
        <f t="shared" si="17"/>
        <v>1</v>
      </c>
      <c r="J93" s="66" t="str">
        <f t="shared" si="18"/>
        <v>Krzysztof Wiercioch</v>
      </c>
      <c r="K93" s="50" t="str">
        <f t="shared" si="19"/>
        <v>C</v>
      </c>
      <c r="L93" s="50" t="str">
        <f t="shared" si="13"/>
        <v>B</v>
      </c>
      <c r="M93" s="51">
        <f t="shared" si="15"/>
        <v>1</v>
      </c>
      <c r="N93" s="68">
        <f t="shared" si="20"/>
        <v>0.56792873051224946</v>
      </c>
    </row>
    <row r="94" spans="1:14">
      <c r="A94" s="1">
        <f>'Raw Results'!A91</f>
        <v>2011</v>
      </c>
      <c r="B94" s="6" t="str">
        <f>'Raw Results'!B91</f>
        <v>Canadian National Soaring Championships (Club 1)</v>
      </c>
      <c r="C94" s="1" t="str">
        <f>'Raw Results'!C91</f>
        <v>B</v>
      </c>
      <c r="D94" s="1" t="str">
        <f>'Raw Results'!D91</f>
        <v>C</v>
      </c>
      <c r="E94">
        <f>'Raw Results'!E91</f>
        <v>3592</v>
      </c>
      <c r="F94" t="str">
        <f>'Raw Results'!F91</f>
        <v>Emmanuael Cadieux</v>
      </c>
      <c r="G94" s="1">
        <f>'Raw Results'!G91</f>
        <v>1312</v>
      </c>
      <c r="H94" s="49">
        <f t="shared" si="16"/>
        <v>0.36525612472160357</v>
      </c>
      <c r="I94" s="45">
        <f t="shared" si="17"/>
        <v>1</v>
      </c>
      <c r="J94" s="66" t="str">
        <f t="shared" si="18"/>
        <v>Emmanuael Cadieux</v>
      </c>
      <c r="K94" s="50" t="str">
        <f t="shared" si="19"/>
        <v>C</v>
      </c>
      <c r="L94" s="50" t="str">
        <f t="shared" si="13"/>
        <v>B</v>
      </c>
      <c r="M94" s="51">
        <f t="shared" si="15"/>
        <v>1</v>
      </c>
      <c r="N94" s="68">
        <f t="shared" si="20"/>
        <v>0.36525612472160357</v>
      </c>
    </row>
    <row r="95" spans="1:14">
      <c r="A95" s="1">
        <f>'Raw Results'!A92</f>
        <v>2011</v>
      </c>
      <c r="B95" s="6" t="str">
        <f>'Raw Results'!B92</f>
        <v>Canadian National Soaring Championships (Club 1)</v>
      </c>
      <c r="C95" s="1" t="str">
        <f>'Raw Results'!C92</f>
        <v>B</v>
      </c>
      <c r="D95" s="1" t="str">
        <f>'Raw Results'!D92</f>
        <v>C</v>
      </c>
      <c r="E95">
        <f>'Raw Results'!E92</f>
        <v>3592</v>
      </c>
      <c r="F95" t="str">
        <f>'Raw Results'!F92</f>
        <v>Yves Bastien</v>
      </c>
      <c r="G95" s="1">
        <f>'Raw Results'!G92</f>
        <v>996</v>
      </c>
      <c r="H95" s="49">
        <f t="shared" si="16"/>
        <v>0.27728285077951004</v>
      </c>
      <c r="I95" s="45">
        <f t="shared" si="17"/>
        <v>1</v>
      </c>
      <c r="J95" s="66" t="str">
        <f t="shared" si="18"/>
        <v>Yves Bastien</v>
      </c>
      <c r="K95" s="50" t="str">
        <f t="shared" si="19"/>
        <v>C</v>
      </c>
      <c r="L95" s="50" t="str">
        <f t="shared" si="13"/>
        <v>B</v>
      </c>
      <c r="M95" s="51">
        <f t="shared" si="15"/>
        <v>1</v>
      </c>
      <c r="N95" s="68">
        <f t="shared" si="20"/>
        <v>0.27728285077951004</v>
      </c>
    </row>
    <row r="96" spans="1:14">
      <c r="A96" s="1">
        <f>'Raw Results'!A93</f>
        <v>2011</v>
      </c>
      <c r="B96" s="6" t="str">
        <f>'Raw Results'!B93</f>
        <v>Canadian National Soaring Championships (Club 1)</v>
      </c>
      <c r="C96" s="1" t="str">
        <f>'Raw Results'!C93</f>
        <v>B</v>
      </c>
      <c r="D96" s="1" t="str">
        <f>'Raw Results'!D93</f>
        <v>C</v>
      </c>
      <c r="E96">
        <f>'Raw Results'!E93</f>
        <v>3592</v>
      </c>
      <c r="F96" t="str">
        <f>'Raw Results'!F93</f>
        <v>Hans Juergensen</v>
      </c>
      <c r="G96" s="1">
        <f>'Raw Results'!G93</f>
        <v>811</v>
      </c>
      <c r="H96" s="49">
        <f t="shared" si="16"/>
        <v>0.2257795100222717</v>
      </c>
      <c r="I96" s="45">
        <f t="shared" si="17"/>
        <v>1</v>
      </c>
      <c r="J96" s="66" t="str">
        <f t="shared" si="18"/>
        <v>Hans Juergensen</v>
      </c>
      <c r="K96" s="50" t="str">
        <f t="shared" si="19"/>
        <v>C</v>
      </c>
      <c r="L96" s="50" t="str">
        <f t="shared" si="13"/>
        <v>B</v>
      </c>
      <c r="M96" s="51">
        <f t="shared" si="15"/>
        <v>1</v>
      </c>
      <c r="N96" s="68">
        <f t="shared" si="20"/>
        <v>0.2257795100222717</v>
      </c>
    </row>
    <row r="97" spans="1:14">
      <c r="A97" s="1">
        <f>'Raw Results'!A94</f>
        <v>2011</v>
      </c>
      <c r="B97" s="6" t="str">
        <f>'Raw Results'!B94</f>
        <v>Canadian National Soaring Championships (Club 2)</v>
      </c>
      <c r="C97" s="1" t="str">
        <f>'Raw Results'!C94</f>
        <v>C</v>
      </c>
      <c r="D97" s="1" t="str">
        <f>'Raw Results'!D94</f>
        <v>C</v>
      </c>
      <c r="E97">
        <f>'Raw Results'!E94</f>
        <v>3430</v>
      </c>
      <c r="F97" t="str">
        <f>'Raw Results'!F94</f>
        <v>Pierre Gavillet</v>
      </c>
      <c r="G97" s="1">
        <f>'Raw Results'!G94</f>
        <v>3430</v>
      </c>
      <c r="H97" s="49">
        <f t="shared" si="16"/>
        <v>1</v>
      </c>
      <c r="I97" s="45">
        <f t="shared" si="17"/>
        <v>1</v>
      </c>
      <c r="J97" s="66" t="str">
        <f t="shared" si="18"/>
        <v>Pierre Gavillet</v>
      </c>
      <c r="K97" s="50" t="str">
        <f t="shared" si="19"/>
        <v>C</v>
      </c>
      <c r="L97" s="50" t="str">
        <f t="shared" si="13"/>
        <v>C</v>
      </c>
      <c r="M97" s="51">
        <f t="shared" si="15"/>
        <v>1</v>
      </c>
      <c r="N97" s="68">
        <f t="shared" si="20"/>
        <v>1</v>
      </c>
    </row>
    <row r="98" spans="1:14">
      <c r="A98" s="1">
        <f>'Raw Results'!A95</f>
        <v>2011</v>
      </c>
      <c r="B98" s="6" t="str">
        <f>'Raw Results'!B95</f>
        <v>Canadian National Soaring Championships (Club 2)</v>
      </c>
      <c r="C98" s="1" t="str">
        <f>'Raw Results'!C95</f>
        <v>C</v>
      </c>
      <c r="D98" s="1" t="str">
        <f>'Raw Results'!D95</f>
        <v>C</v>
      </c>
      <c r="E98">
        <f>'Raw Results'!E95</f>
        <v>3430</v>
      </c>
      <c r="F98" t="str">
        <f>'Raw Results'!F95</f>
        <v>Jim Freyett</v>
      </c>
      <c r="G98" s="1">
        <f>'Raw Results'!G95</f>
        <v>2979</v>
      </c>
      <c r="H98" s="49">
        <f t="shared" si="16"/>
        <v>0.86851311953352772</v>
      </c>
      <c r="I98" s="45">
        <f t="shared" si="17"/>
        <v>1</v>
      </c>
      <c r="J98" s="66" t="str">
        <f t="shared" si="18"/>
        <v>Jim Freyett</v>
      </c>
      <c r="K98" s="50" t="str">
        <f t="shared" si="19"/>
        <v>C</v>
      </c>
      <c r="L98" s="50" t="str">
        <f t="shared" si="13"/>
        <v>C</v>
      </c>
      <c r="M98" s="51">
        <f t="shared" si="15"/>
        <v>1</v>
      </c>
      <c r="N98" s="68">
        <f t="shared" si="20"/>
        <v>0.86851311953352772</v>
      </c>
    </row>
    <row r="99" spans="1:14">
      <c r="A99" s="1">
        <f>'Raw Results'!A96</f>
        <v>2011</v>
      </c>
      <c r="B99" s="6" t="str">
        <f>'Raw Results'!B96</f>
        <v>Canadian National Soaring Championships (Club 2)</v>
      </c>
      <c r="C99" s="1" t="str">
        <f>'Raw Results'!C96</f>
        <v>C</v>
      </c>
      <c r="D99" s="1" t="str">
        <f>'Raw Results'!D96</f>
        <v>C</v>
      </c>
      <c r="E99">
        <f>'Raw Results'!E96</f>
        <v>3430</v>
      </c>
      <c r="F99" t="str">
        <f>'Raw Results'!F96</f>
        <v>Herrie ten Cate</v>
      </c>
      <c r="G99" s="1">
        <f>'Raw Results'!G96</f>
        <v>2550</v>
      </c>
      <c r="H99" s="49">
        <f t="shared" si="16"/>
        <v>0.7434402332361516</v>
      </c>
      <c r="I99" s="45">
        <f t="shared" si="17"/>
        <v>1</v>
      </c>
      <c r="J99" s="66" t="str">
        <f t="shared" si="18"/>
        <v>Herrie ten Cate</v>
      </c>
      <c r="K99" s="50" t="str">
        <f t="shared" si="19"/>
        <v>C</v>
      </c>
      <c r="L99" s="50" t="str">
        <f t="shared" si="13"/>
        <v>C</v>
      </c>
      <c r="M99" s="51">
        <f t="shared" si="15"/>
        <v>1</v>
      </c>
      <c r="N99" s="68">
        <f t="shared" si="20"/>
        <v>0.7434402332361516</v>
      </c>
    </row>
    <row r="100" spans="1:14">
      <c r="A100" s="1">
        <f>'Raw Results'!A97</f>
        <v>2011</v>
      </c>
      <c r="B100" s="6" t="str">
        <f>'Raw Results'!B97</f>
        <v>Canadian National Soaring Championships (Club 2)</v>
      </c>
      <c r="C100" s="1" t="str">
        <f>'Raw Results'!C97</f>
        <v>C</v>
      </c>
      <c r="D100" s="1" t="str">
        <f>'Raw Results'!D97</f>
        <v>C</v>
      </c>
      <c r="E100">
        <f>'Raw Results'!E97</f>
        <v>3430</v>
      </c>
      <c r="F100" t="str">
        <f>'Raw Results'!F97</f>
        <v>Selena Boyle</v>
      </c>
      <c r="G100" s="1">
        <f>'Raw Results'!G97</f>
        <v>2309</v>
      </c>
      <c r="H100" s="49">
        <f t="shared" si="16"/>
        <v>0.67317784256559765</v>
      </c>
      <c r="I100" s="45">
        <f t="shared" si="17"/>
        <v>1</v>
      </c>
      <c r="J100" s="66" t="str">
        <f t="shared" si="18"/>
        <v>Selena Boyle</v>
      </c>
      <c r="K100" s="50" t="str">
        <f t="shared" si="19"/>
        <v>C</v>
      </c>
      <c r="L100" s="50" t="str">
        <f t="shared" si="13"/>
        <v>C</v>
      </c>
      <c r="M100" s="51">
        <f t="shared" si="15"/>
        <v>1</v>
      </c>
      <c r="N100" s="68">
        <f t="shared" si="20"/>
        <v>0.67317784256559765</v>
      </c>
    </row>
    <row r="101" spans="1:14">
      <c r="A101" s="1">
        <f>'Raw Results'!A98</f>
        <v>2011</v>
      </c>
      <c r="B101" s="6" t="str">
        <f>'Raw Results'!B98</f>
        <v>Canadian National Soaring Championships (Club 2)</v>
      </c>
      <c r="C101" s="1" t="str">
        <f>'Raw Results'!C98</f>
        <v>C</v>
      </c>
      <c r="D101" s="1" t="str">
        <f>'Raw Results'!D98</f>
        <v>C</v>
      </c>
      <c r="E101">
        <f>'Raw Results'!E98</f>
        <v>3430</v>
      </c>
      <c r="F101" t="str">
        <f>'Raw Results'!F98</f>
        <v>Ray Wood</v>
      </c>
      <c r="G101" s="1">
        <f>'Raw Results'!G98</f>
        <v>2161</v>
      </c>
      <c r="H101" s="49">
        <f t="shared" si="16"/>
        <v>0.63002915451895047</v>
      </c>
      <c r="I101" s="45">
        <f t="shared" si="17"/>
        <v>1</v>
      </c>
      <c r="J101" s="66" t="str">
        <f t="shared" si="18"/>
        <v>Ray Wood</v>
      </c>
      <c r="K101" s="50" t="str">
        <f t="shared" si="19"/>
        <v>C</v>
      </c>
      <c r="L101" s="50" t="str">
        <f t="shared" si="13"/>
        <v>C</v>
      </c>
      <c r="M101" s="51">
        <f t="shared" si="15"/>
        <v>1</v>
      </c>
      <c r="N101" s="68">
        <f t="shared" si="20"/>
        <v>0.63002915451895047</v>
      </c>
    </row>
    <row r="102" spans="1:14">
      <c r="A102" s="1">
        <f>'Raw Results'!A99</f>
        <v>2011</v>
      </c>
      <c r="B102" s="6" t="str">
        <f>'Raw Results'!B99</f>
        <v>Canadian National Soaring Championships (Club 2)</v>
      </c>
      <c r="C102" s="1" t="str">
        <f>'Raw Results'!C99</f>
        <v>C</v>
      </c>
      <c r="D102" s="1" t="str">
        <f>'Raw Results'!D99</f>
        <v>C</v>
      </c>
      <c r="E102">
        <f>'Raw Results'!E99</f>
        <v>3430</v>
      </c>
      <c r="F102" t="str">
        <f>'Raw Results'!F99</f>
        <v>Zach Martin</v>
      </c>
      <c r="G102" s="1">
        <f>'Raw Results'!G99</f>
        <v>1636</v>
      </c>
      <c r="H102" s="49">
        <f t="shared" si="16"/>
        <v>0.4769679300291545</v>
      </c>
      <c r="I102" s="45">
        <f t="shared" si="17"/>
        <v>1</v>
      </c>
      <c r="J102" s="66" t="str">
        <f t="shared" si="18"/>
        <v>Zach Martin</v>
      </c>
      <c r="K102" s="50" t="str">
        <f t="shared" si="19"/>
        <v>C</v>
      </c>
      <c r="L102" s="50" t="str">
        <f t="shared" si="13"/>
        <v>C</v>
      </c>
      <c r="M102" s="51">
        <f t="shared" si="15"/>
        <v>1</v>
      </c>
      <c r="N102" s="68">
        <f t="shared" si="20"/>
        <v>0.4769679300291545</v>
      </c>
    </row>
    <row r="103" spans="1:14">
      <c r="A103" s="1">
        <f>'Raw Results'!A100</f>
        <v>2011</v>
      </c>
      <c r="B103" s="6" t="str">
        <f>'Raw Results'!B100</f>
        <v>Canadian National Soaring Championships (Club 2)</v>
      </c>
      <c r="C103" s="1" t="str">
        <f>'Raw Results'!C100</f>
        <v>C</v>
      </c>
      <c r="D103" s="1" t="str">
        <f>'Raw Results'!D100</f>
        <v>C</v>
      </c>
      <c r="E103">
        <f>'Raw Results'!E100</f>
        <v>3430</v>
      </c>
      <c r="F103" t="str">
        <f>'Raw Results'!F100</f>
        <v>Jay Allardyce</v>
      </c>
      <c r="G103" s="1">
        <f>'Raw Results'!G100</f>
        <v>1081</v>
      </c>
      <c r="H103" s="49">
        <f t="shared" si="16"/>
        <v>0.31516034985422742</v>
      </c>
      <c r="I103" s="45">
        <f t="shared" si="17"/>
        <v>1</v>
      </c>
      <c r="J103" s="66" t="str">
        <f t="shared" si="18"/>
        <v>Jay Allardyce</v>
      </c>
      <c r="K103" s="50" t="str">
        <f t="shared" si="19"/>
        <v>C</v>
      </c>
      <c r="L103" s="50" t="str">
        <f t="shared" si="13"/>
        <v>C</v>
      </c>
      <c r="M103" s="51">
        <f t="shared" si="15"/>
        <v>1</v>
      </c>
      <c r="N103" s="68">
        <f t="shared" si="20"/>
        <v>0.31516034985422742</v>
      </c>
    </row>
    <row r="104" spans="1:14">
      <c r="A104" s="1">
        <f>'Raw Results'!A101</f>
        <v>2011</v>
      </c>
      <c r="B104" s="6" t="str">
        <f>'Raw Results'!B101</f>
        <v>Canadian National Soaring Championships (Club 2)</v>
      </c>
      <c r="C104" s="1" t="str">
        <f>'Raw Results'!C101</f>
        <v>C</v>
      </c>
      <c r="D104" s="1" t="str">
        <f>'Raw Results'!D101</f>
        <v>C</v>
      </c>
      <c r="E104">
        <f>'Raw Results'!E101</f>
        <v>3430</v>
      </c>
      <c r="F104" t="str">
        <f>'Raw Results'!F101</f>
        <v>Tim Radder</v>
      </c>
      <c r="G104" s="1">
        <f>'Raw Results'!G101</f>
        <v>270</v>
      </c>
      <c r="H104" s="49">
        <f t="shared" si="16"/>
        <v>7.8717201166180764E-2</v>
      </c>
      <c r="I104" s="45">
        <f t="shared" si="17"/>
        <v>1</v>
      </c>
      <c r="J104" s="66" t="str">
        <f t="shared" si="18"/>
        <v>Tim Radder</v>
      </c>
      <c r="K104" s="50" t="str">
        <f t="shared" si="19"/>
        <v>C</v>
      </c>
      <c r="L104" s="50" t="str">
        <f t="shared" si="13"/>
        <v>C</v>
      </c>
      <c r="M104" s="51">
        <f t="shared" si="15"/>
        <v>1</v>
      </c>
      <c r="N104" s="68">
        <f t="shared" si="20"/>
        <v>7.8717201166180764E-2</v>
      </c>
    </row>
    <row r="105" spans="1:14">
      <c r="A105" s="1">
        <f>'Raw Results'!A102</f>
        <v>2011</v>
      </c>
      <c r="B105" s="6" t="str">
        <f>'Raw Results'!B102</f>
        <v>US 15m Nationals</v>
      </c>
      <c r="C105" s="1">
        <f>'Raw Results'!C102</f>
        <v>15</v>
      </c>
      <c r="D105" s="1" t="str">
        <f>'Raw Results'!D102</f>
        <v>F</v>
      </c>
      <c r="E105">
        <f>'Raw Results'!E102</f>
        <v>6833</v>
      </c>
      <c r="F105" t="str">
        <f>'Raw Results'!F102</f>
        <v>Jerzy Szemplinski</v>
      </c>
      <c r="G105" s="1">
        <f>'Raw Results'!G102</f>
        <v>6137</v>
      </c>
      <c r="H105" s="49">
        <f t="shared" ref="H105:H106" si="21">G105/E105</f>
        <v>0.89814137274989025</v>
      </c>
      <c r="I105" s="45">
        <f t="shared" ref="I105:I106" si="22">IF(D105="C",$L$1,IF(D105="W",$L$2,IF(D105="P",$L$3,IF(D105="E",$L$4, IF(D105="F",$L$5,"Error")))))</f>
        <v>1.05</v>
      </c>
      <c r="J105" s="66" t="str">
        <f t="shared" ref="J105:J106" si="23">F105</f>
        <v>Jerzy Szemplinski</v>
      </c>
      <c r="K105" s="50" t="str">
        <f t="shared" ref="K105:K106" si="24">D105</f>
        <v>F</v>
      </c>
      <c r="L105" s="50" t="str">
        <f t="shared" ref="L105:L106" si="25">IF(C105="C","C",IF(OR(C105="A",C105="O",C105=18, C105=15, C105="S"),"A","B"))</f>
        <v>A</v>
      </c>
      <c r="M105" s="51">
        <f t="shared" ref="M105:M106" si="26">IF(AND(A105=$A$5,OR(D105="C",D105="W",D105="P")),1,2)</f>
        <v>2</v>
      </c>
      <c r="N105" s="68">
        <f t="shared" ref="N105:N106" si="27">H105*I105</f>
        <v>0.94304844138738486</v>
      </c>
    </row>
    <row r="106" spans="1:14">
      <c r="A106" s="1">
        <f>'Raw Results'!A103</f>
        <v>2011</v>
      </c>
      <c r="B106" s="6" t="str">
        <f>'Raw Results'!B103</f>
        <v>US 15m Nationals</v>
      </c>
      <c r="C106" s="1">
        <f>'Raw Results'!C103</f>
        <v>15</v>
      </c>
      <c r="D106" s="1" t="str">
        <f>'Raw Results'!D103</f>
        <v>F</v>
      </c>
      <c r="E106">
        <f>'Raw Results'!E103</f>
        <v>6833</v>
      </c>
      <c r="F106" t="str">
        <f>'Raw Results'!F103</f>
        <v>Nick Bonniere</v>
      </c>
      <c r="G106" s="1">
        <f>'Raw Results'!G103</f>
        <v>5342</v>
      </c>
      <c r="H106" s="49">
        <f t="shared" si="21"/>
        <v>0.78179423386506663</v>
      </c>
      <c r="I106" s="45">
        <f t="shared" si="22"/>
        <v>1.05</v>
      </c>
      <c r="J106" s="66" t="str">
        <f t="shared" si="23"/>
        <v>Nick Bonniere</v>
      </c>
      <c r="K106" s="50" t="str">
        <f t="shared" si="24"/>
        <v>F</v>
      </c>
      <c r="L106" s="50" t="str">
        <f t="shared" si="25"/>
        <v>A</v>
      </c>
      <c r="M106" s="51">
        <f t="shared" si="26"/>
        <v>2</v>
      </c>
      <c r="N106" s="68">
        <f t="shared" si="27"/>
        <v>0.82088394555832001</v>
      </c>
    </row>
    <row r="107" spans="1:14">
      <c r="A107" s="1">
        <f>'Raw Results'!A104</f>
        <v>2011</v>
      </c>
      <c r="B107" s="6" t="str">
        <f>'Raw Results'!B104</f>
        <v>US Open Nationals</v>
      </c>
      <c r="C107" s="1" t="str">
        <f>'Raw Results'!C104</f>
        <v>O</v>
      </c>
      <c r="D107" s="1" t="str">
        <f>'Raw Results'!D104</f>
        <v>F</v>
      </c>
      <c r="E107">
        <f>'Raw Results'!E104</f>
        <v>7706</v>
      </c>
      <c r="F107" t="str">
        <f>'Raw Results'!F104</f>
        <v>Brian Milner</v>
      </c>
      <c r="G107" s="1">
        <f>'Raw Results'!G104</f>
        <v>6567</v>
      </c>
      <c r="H107" s="49">
        <f t="shared" ref="H107:H114" si="28">G107/E107</f>
        <v>0.85219309628860629</v>
      </c>
      <c r="I107" s="45">
        <f t="shared" ref="I107:I114" si="29">IF(D107="C",$L$1,IF(D107="W",$L$2,IF(D107="P",$L$3,IF(D107="E",$L$4, IF(D107="F",$L$5,"Error")))))</f>
        <v>1.05</v>
      </c>
      <c r="J107" s="66" t="str">
        <f t="shared" ref="J107:J114" si="30">F107</f>
        <v>Brian Milner</v>
      </c>
      <c r="K107" s="50" t="str">
        <f t="shared" ref="K107:K114" si="31">D107</f>
        <v>F</v>
      </c>
      <c r="L107" s="50" t="str">
        <f t="shared" ref="L107:L114" si="32">IF(C107="C","C",IF(OR(C107="A",C107="O",C107=18, C107=15, C107="S"),"A","B"))</f>
        <v>A</v>
      </c>
      <c r="M107" s="51">
        <f t="shared" ref="M107:M114" si="33">IF(AND(A107=$A$5,OR(D107="C",D107="W",D107="P")),1,2)</f>
        <v>2</v>
      </c>
      <c r="N107" s="68">
        <f t="shared" ref="N107:N114" si="34">H107*I107</f>
        <v>0.89480275110303664</v>
      </c>
    </row>
    <row r="108" spans="1:14">
      <c r="A108" s="1">
        <f>'Raw Results'!A105</f>
        <v>2011</v>
      </c>
      <c r="B108" s="6" t="str">
        <f>'Raw Results'!B105</f>
        <v>PWGC 15m</v>
      </c>
      <c r="C108" s="1">
        <f>'Raw Results'!C105</f>
        <v>15</v>
      </c>
      <c r="D108" s="1" t="str">
        <f>'Raw Results'!D105</f>
        <v>P</v>
      </c>
      <c r="E108">
        <f>'Raw Results'!E105</f>
        <v>7140</v>
      </c>
      <c r="F108" t="str">
        <f>'Raw Results'!F105</f>
        <v>Dave Springford</v>
      </c>
      <c r="G108" s="1">
        <f>'Raw Results'!G105</f>
        <v>6838</v>
      </c>
      <c r="H108" s="49">
        <f t="shared" si="28"/>
        <v>0.95770308123249304</v>
      </c>
      <c r="I108" s="45">
        <f t="shared" si="29"/>
        <v>1.1000000000000001</v>
      </c>
      <c r="J108" s="66" t="str">
        <f t="shared" si="30"/>
        <v>Dave Springford</v>
      </c>
      <c r="K108" s="50" t="str">
        <f t="shared" si="31"/>
        <v>P</v>
      </c>
      <c r="L108" s="50" t="str">
        <f t="shared" si="32"/>
        <v>A</v>
      </c>
      <c r="M108" s="51">
        <f t="shared" si="33"/>
        <v>1</v>
      </c>
      <c r="N108" s="68">
        <f t="shared" si="34"/>
        <v>1.0534733893557424</v>
      </c>
    </row>
    <row r="109" spans="1:14">
      <c r="A109" s="1">
        <f>'Raw Results'!A106</f>
        <v>2011</v>
      </c>
      <c r="B109" s="6" t="str">
        <f>'Raw Results'!B106</f>
        <v>PWGC 15m</v>
      </c>
      <c r="C109" s="1">
        <f>'Raw Results'!C106</f>
        <v>15</v>
      </c>
      <c r="D109" s="1" t="str">
        <f>'Raw Results'!D106</f>
        <v>P</v>
      </c>
      <c r="E109">
        <f>'Raw Results'!E106</f>
        <v>7140</v>
      </c>
      <c r="F109" t="str">
        <f>'Raw Results'!F106</f>
        <v>Joerg Stieber</v>
      </c>
      <c r="G109" s="1">
        <f>'Raw Results'!G106</f>
        <v>6083</v>
      </c>
      <c r="H109" s="49">
        <f t="shared" si="28"/>
        <v>0.85196078431372546</v>
      </c>
      <c r="I109" s="45">
        <f t="shared" si="29"/>
        <v>1.1000000000000001</v>
      </c>
      <c r="J109" s="66" t="str">
        <f t="shared" si="30"/>
        <v>Joerg Stieber</v>
      </c>
      <c r="K109" s="50" t="str">
        <f t="shared" si="31"/>
        <v>P</v>
      </c>
      <c r="L109" s="50" t="str">
        <f t="shared" si="32"/>
        <v>A</v>
      </c>
      <c r="M109" s="51">
        <f t="shared" si="33"/>
        <v>1</v>
      </c>
      <c r="N109" s="68">
        <f t="shared" si="34"/>
        <v>0.93715686274509813</v>
      </c>
    </row>
    <row r="110" spans="1:14">
      <c r="A110" s="1">
        <f>'Raw Results'!A107</f>
        <v>2011</v>
      </c>
      <c r="B110" s="6" t="str">
        <f>'Raw Results'!B107</f>
        <v>PWGC 18m</v>
      </c>
      <c r="C110" s="1">
        <f>'Raw Results'!C107</f>
        <v>18</v>
      </c>
      <c r="D110" s="1" t="str">
        <f>'Raw Results'!D107</f>
        <v>P</v>
      </c>
      <c r="E110">
        <f>'Raw Results'!E107</f>
        <v>7394</v>
      </c>
      <c r="F110" t="str">
        <f>'Raw Results'!F107</f>
        <v>Jerzy Szemplinski</v>
      </c>
      <c r="G110" s="1">
        <f>'Raw Results'!G107</f>
        <v>6626</v>
      </c>
      <c r="H110" s="49">
        <f t="shared" si="28"/>
        <v>0.89613199891804163</v>
      </c>
      <c r="I110" s="45">
        <f t="shared" si="29"/>
        <v>1.1000000000000001</v>
      </c>
      <c r="J110" s="66" t="str">
        <f t="shared" si="30"/>
        <v>Jerzy Szemplinski</v>
      </c>
      <c r="K110" s="50" t="str">
        <f t="shared" si="31"/>
        <v>P</v>
      </c>
      <c r="L110" s="50" t="str">
        <f t="shared" si="32"/>
        <v>A</v>
      </c>
      <c r="M110" s="51">
        <f t="shared" si="33"/>
        <v>1</v>
      </c>
      <c r="N110" s="68">
        <f t="shared" si="34"/>
        <v>0.9857451988098459</v>
      </c>
    </row>
    <row r="111" spans="1:14">
      <c r="A111" s="1">
        <f>'Raw Results'!A108</f>
        <v>2011</v>
      </c>
      <c r="B111" s="6" t="str">
        <f>'Raw Results'!B108</f>
        <v>PWGC 18m</v>
      </c>
      <c r="C111" s="1">
        <f>'Raw Results'!C108</f>
        <v>18</v>
      </c>
      <c r="D111" s="1" t="str">
        <f>'Raw Results'!D108</f>
        <v>P</v>
      </c>
      <c r="E111">
        <f>'Raw Results'!E108</f>
        <v>7394</v>
      </c>
      <c r="F111" t="str">
        <f>'Raw Results'!F108</f>
        <v>Derek Mackie</v>
      </c>
      <c r="G111" s="1">
        <f>'Raw Results'!G108</f>
        <v>5461</v>
      </c>
      <c r="H111" s="49">
        <f t="shared" si="28"/>
        <v>0.73857181498512303</v>
      </c>
      <c r="I111" s="45">
        <f t="shared" si="29"/>
        <v>1.1000000000000001</v>
      </c>
      <c r="J111" s="66" t="str">
        <f t="shared" si="30"/>
        <v>Derek Mackie</v>
      </c>
      <c r="K111" s="50" t="str">
        <f t="shared" si="31"/>
        <v>P</v>
      </c>
      <c r="L111" s="50" t="str">
        <f t="shared" si="32"/>
        <v>A</v>
      </c>
      <c r="M111" s="51">
        <f t="shared" si="33"/>
        <v>1</v>
      </c>
      <c r="N111" s="68">
        <f t="shared" si="34"/>
        <v>0.81242899648363542</v>
      </c>
    </row>
    <row r="112" spans="1:14">
      <c r="A112" s="1">
        <f>'Raw Results'!A109</f>
        <v>2011</v>
      </c>
      <c r="B112" s="6" t="str">
        <f>'Raw Results'!B109</f>
        <v>PWGC 18m</v>
      </c>
      <c r="C112" s="1">
        <f>'Raw Results'!C109</f>
        <v>18</v>
      </c>
      <c r="D112" s="1" t="str">
        <f>'Raw Results'!D109</f>
        <v>P</v>
      </c>
      <c r="E112">
        <f>'Raw Results'!E109</f>
        <v>7394</v>
      </c>
      <c r="F112" t="str">
        <f>'Raw Results'!F109</f>
        <v>Nick Bonniere</v>
      </c>
      <c r="G112" s="1">
        <f>'Raw Results'!G109</f>
        <v>4862</v>
      </c>
      <c r="H112" s="49">
        <f t="shared" si="28"/>
        <v>0.6575601839329186</v>
      </c>
      <c r="I112" s="45">
        <f t="shared" si="29"/>
        <v>1.1000000000000001</v>
      </c>
      <c r="J112" s="66" t="str">
        <f t="shared" si="30"/>
        <v>Nick Bonniere</v>
      </c>
      <c r="K112" s="50" t="str">
        <f t="shared" si="31"/>
        <v>P</v>
      </c>
      <c r="L112" s="50" t="str">
        <f t="shared" si="32"/>
        <v>A</v>
      </c>
      <c r="M112" s="51">
        <f t="shared" si="33"/>
        <v>1</v>
      </c>
      <c r="N112" s="68">
        <f t="shared" si="34"/>
        <v>0.72331620232621052</v>
      </c>
    </row>
    <row r="113" spans="1:14">
      <c r="A113" s="1">
        <f>'Raw Results'!A110</f>
        <v>2011</v>
      </c>
      <c r="B113" s="6" t="str">
        <f>'Raw Results'!B110</f>
        <v>PWGC 18m</v>
      </c>
      <c r="C113" s="1">
        <f>'Raw Results'!C110</f>
        <v>18</v>
      </c>
      <c r="D113" s="1" t="str">
        <f>'Raw Results'!D110</f>
        <v>P</v>
      </c>
      <c r="E113">
        <f>'Raw Results'!E110</f>
        <v>7394</v>
      </c>
      <c r="F113" t="str">
        <f>'Raw Results'!F110</f>
        <v>Willem Langelaan</v>
      </c>
      <c r="G113" s="1">
        <f>'Raw Results'!G110</f>
        <v>3609</v>
      </c>
      <c r="H113" s="49">
        <f t="shared" si="28"/>
        <v>0.48809845820935893</v>
      </c>
      <c r="I113" s="45">
        <f t="shared" si="29"/>
        <v>1.1000000000000001</v>
      </c>
      <c r="J113" s="66" t="str">
        <f t="shared" si="30"/>
        <v>Willem Langelaan</v>
      </c>
      <c r="K113" s="50" t="str">
        <f t="shared" si="31"/>
        <v>P</v>
      </c>
      <c r="L113" s="50" t="str">
        <f t="shared" si="32"/>
        <v>A</v>
      </c>
      <c r="M113" s="51">
        <f t="shared" si="33"/>
        <v>1</v>
      </c>
      <c r="N113" s="68">
        <f t="shared" si="34"/>
        <v>0.53690830403029488</v>
      </c>
    </row>
    <row r="114" spans="1:14">
      <c r="A114" s="1">
        <f>'Raw Results'!A111</f>
        <v>2011</v>
      </c>
      <c r="B114" s="6" t="str">
        <f>'Raw Results'!B111</f>
        <v>JWGC</v>
      </c>
      <c r="C114" s="1" t="str">
        <f>'Raw Results'!C111</f>
        <v>C</v>
      </c>
      <c r="D114" s="1" t="str">
        <f>'Raw Results'!D111</f>
        <v>W</v>
      </c>
      <c r="E114">
        <f>'Raw Results'!E111</f>
        <v>4536</v>
      </c>
      <c r="F114" t="str">
        <f>'Raw Results'!F111</f>
        <v>Selena Boyle</v>
      </c>
      <c r="G114" s="1">
        <f>'Raw Results'!G111</f>
        <v>1654</v>
      </c>
      <c r="H114" s="49">
        <f t="shared" si="28"/>
        <v>0.3646384479717813</v>
      </c>
      <c r="I114" s="45">
        <f t="shared" si="29"/>
        <v>1.1200000000000001</v>
      </c>
      <c r="J114" s="66" t="str">
        <f t="shared" si="30"/>
        <v>Selena Boyle</v>
      </c>
      <c r="K114" s="50" t="str">
        <f t="shared" si="31"/>
        <v>W</v>
      </c>
      <c r="L114" s="50" t="str">
        <f t="shared" si="32"/>
        <v>C</v>
      </c>
      <c r="M114" s="51">
        <f t="shared" si="33"/>
        <v>1</v>
      </c>
      <c r="N114" s="68">
        <f t="shared" si="34"/>
        <v>0.40839506172839507</v>
      </c>
    </row>
  </sheetData>
  <mergeCells count="2">
    <mergeCell ref="A1:I4"/>
    <mergeCell ref="A5:I5"/>
  </mergeCells>
  <conditionalFormatting sqref="H7:N114">
    <cfRule type="expression" dxfId="1" priority="7">
      <formula>AND(#REF!="F",$I7=1)</formula>
    </cfRule>
  </conditionalFormatting>
  <conditionalFormatting sqref="H7:N114">
    <cfRule type="expression" dxfId="0" priority="8">
      <formula>AND(#REF!="W",$I7=1)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L66"/>
  <sheetViews>
    <sheetView workbookViewId="0">
      <selection activeCell="H59" sqref="H59"/>
    </sheetView>
  </sheetViews>
  <sheetFormatPr defaultRowHeight="15"/>
  <cols>
    <col min="1" max="1" width="18.85546875" style="7" bestFit="1" customWidth="1"/>
    <col min="2" max="3" width="5.85546875" style="9" customWidth="1"/>
    <col min="4" max="4" width="5.5703125" style="9" customWidth="1"/>
    <col min="5" max="5" width="12" style="7" bestFit="1" customWidth="1"/>
    <col min="6" max="6" width="6.28515625" style="7" customWidth="1"/>
    <col min="7" max="7" width="5.5703125" style="7" bestFit="1" customWidth="1"/>
    <col min="8" max="8" width="5.5703125" style="9" customWidth="1"/>
    <col min="9" max="9" width="14.85546875" style="9" customWidth="1"/>
    <col min="10" max="10" width="18.85546875" style="7" bestFit="1" customWidth="1"/>
    <col min="11" max="11" width="10" style="15" customWidth="1"/>
    <col min="12" max="16384" width="9.140625" style="7"/>
  </cols>
  <sheetData>
    <row r="1" spans="1:12" ht="21.75" thickBot="1">
      <c r="A1" s="110" t="s">
        <v>70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2" spans="1:12">
      <c r="A2" s="16" t="s">
        <v>141</v>
      </c>
      <c r="B2" s="63" t="s">
        <v>112</v>
      </c>
      <c r="C2" s="18"/>
      <c r="D2" s="17"/>
      <c r="E2" s="15"/>
      <c r="F2" s="15"/>
      <c r="G2" s="15"/>
      <c r="H2" s="18"/>
      <c r="I2" s="18"/>
      <c r="J2" s="15"/>
      <c r="K2" s="107" t="s">
        <v>72</v>
      </c>
      <c r="L2" s="108"/>
    </row>
    <row r="3" spans="1:12">
      <c r="A3" s="15"/>
      <c r="B3" s="63" t="s">
        <v>113</v>
      </c>
      <c r="C3" s="18"/>
      <c r="D3" s="17"/>
      <c r="E3" s="15"/>
      <c r="F3" s="15"/>
      <c r="G3" s="15"/>
      <c r="H3" s="18"/>
      <c r="I3" s="18"/>
      <c r="J3" s="15"/>
      <c r="K3" s="11" t="s">
        <v>74</v>
      </c>
      <c r="L3" s="62">
        <v>60</v>
      </c>
    </row>
    <row r="4" spans="1:12">
      <c r="A4" s="15"/>
      <c r="B4" s="63" t="s">
        <v>114</v>
      </c>
      <c r="C4" s="18"/>
      <c r="D4" s="17"/>
      <c r="E4" s="15"/>
      <c r="F4" s="15"/>
      <c r="G4" s="15"/>
      <c r="H4" s="18"/>
      <c r="I4" s="18"/>
      <c r="J4" s="15"/>
      <c r="K4" s="11" t="s">
        <v>75</v>
      </c>
      <c r="L4" s="62">
        <v>40</v>
      </c>
    </row>
    <row r="5" spans="1:12" ht="15.75" thickBot="1">
      <c r="A5" s="16" t="s">
        <v>115</v>
      </c>
      <c r="B5" s="63" t="s">
        <v>116</v>
      </c>
      <c r="C5" s="18"/>
      <c r="D5" s="17"/>
      <c r="E5" s="15"/>
      <c r="F5" s="15"/>
      <c r="G5" s="15"/>
      <c r="H5" s="18"/>
      <c r="I5" s="18"/>
      <c r="J5" s="15"/>
      <c r="K5" s="10" t="s">
        <v>73</v>
      </c>
      <c r="L5" s="19">
        <f>L3+L4</f>
        <v>100</v>
      </c>
    </row>
    <row r="6" spans="1:12">
      <c r="A6" s="15"/>
      <c r="B6" s="63" t="s">
        <v>149</v>
      </c>
      <c r="C6" s="15"/>
      <c r="D6" s="18"/>
      <c r="E6" s="15"/>
      <c r="F6" s="15"/>
      <c r="G6" s="15"/>
      <c r="H6" s="18"/>
      <c r="I6" s="18"/>
      <c r="J6" s="15"/>
      <c r="L6" s="15"/>
    </row>
    <row r="7" spans="1:12">
      <c r="A7" s="16" t="s">
        <v>145</v>
      </c>
      <c r="B7" s="114" t="s">
        <v>148</v>
      </c>
      <c r="C7" s="114"/>
      <c r="D7" s="114"/>
      <c r="E7" s="114"/>
      <c r="F7" s="114"/>
      <c r="G7" s="114"/>
      <c r="H7" s="114"/>
      <c r="I7" s="114"/>
      <c r="J7" s="114"/>
      <c r="K7" s="114"/>
      <c r="L7" s="114"/>
    </row>
    <row r="8" spans="1:12">
      <c r="A8" s="16" t="s">
        <v>147</v>
      </c>
      <c r="B8" s="63" t="s">
        <v>146</v>
      </c>
      <c r="C8" s="18"/>
      <c r="D8" s="18"/>
      <c r="E8" s="15"/>
      <c r="F8" s="15"/>
      <c r="G8" s="15"/>
      <c r="H8" s="18"/>
      <c r="I8" s="18"/>
      <c r="J8" s="15"/>
      <c r="L8" s="15"/>
    </row>
    <row r="9" spans="1:12">
      <c r="A9" s="16" t="s">
        <v>115</v>
      </c>
      <c r="B9" s="63" t="s">
        <v>117</v>
      </c>
      <c r="C9" s="15"/>
      <c r="D9" s="18"/>
      <c r="E9" s="15"/>
      <c r="F9" s="15"/>
      <c r="G9" s="15"/>
      <c r="H9" s="18"/>
      <c r="I9" s="18"/>
      <c r="J9" s="18"/>
      <c r="K9" s="111" t="s">
        <v>118</v>
      </c>
      <c r="L9" s="111"/>
    </row>
    <row r="10" spans="1:12">
      <c r="A10" s="16" t="s">
        <v>143</v>
      </c>
      <c r="B10" s="17" t="s">
        <v>144</v>
      </c>
      <c r="C10" s="17"/>
      <c r="D10" s="17"/>
      <c r="E10" s="17"/>
      <c r="F10" s="17"/>
      <c r="G10" s="17"/>
      <c r="H10" s="17"/>
      <c r="I10" s="17"/>
      <c r="J10" s="17"/>
      <c r="K10" s="112" t="s">
        <v>119</v>
      </c>
      <c r="L10" s="112"/>
    </row>
    <row r="11" spans="1:12" ht="15.75" thickBot="1">
      <c r="A11" s="15"/>
      <c r="B11" s="18"/>
      <c r="C11" s="15"/>
      <c r="D11" s="18"/>
      <c r="E11" s="15"/>
      <c r="F11" s="15"/>
      <c r="G11" s="15"/>
      <c r="H11" s="18"/>
      <c r="I11" s="18"/>
      <c r="J11" s="18"/>
      <c r="K11" s="113" t="s">
        <v>120</v>
      </c>
      <c r="L11" s="113"/>
    </row>
    <row r="12" spans="1:12">
      <c r="A12" s="107" t="s">
        <v>91</v>
      </c>
      <c r="B12" s="109"/>
      <c r="C12" s="109"/>
      <c r="D12" s="109"/>
      <c r="E12" s="109"/>
      <c r="F12" s="107" t="s">
        <v>92</v>
      </c>
      <c r="G12" s="109"/>
      <c r="H12" s="109"/>
      <c r="I12" s="108"/>
      <c r="J12" s="109" t="s">
        <v>93</v>
      </c>
      <c r="K12" s="109"/>
      <c r="L12" s="108"/>
    </row>
    <row r="13" spans="1:12" s="8" customFormat="1" ht="45.75" thickBot="1">
      <c r="A13" s="22" t="str">
        <f>'Racing Results'!J6</f>
        <v>Name</v>
      </c>
      <c r="B13" s="26" t="str">
        <f>'Racing Results'!K6</f>
        <v>Comp Code</v>
      </c>
      <c r="C13" s="26" t="str">
        <f>'Racing Results'!L6</f>
        <v>Class Code</v>
      </c>
      <c r="D13" s="26" t="str">
        <f>'Racing Results'!M6</f>
        <v>Term Code</v>
      </c>
      <c r="E13" s="26" t="s">
        <v>74</v>
      </c>
      <c r="F13" s="22" t="str">
        <f>'Racing Results'!K6</f>
        <v>Comp Code</v>
      </c>
      <c r="G13" s="26" t="str">
        <f>'Racing Results'!L6</f>
        <v>Class Code</v>
      </c>
      <c r="H13" s="26" t="str">
        <f>'Racing Results'!M6</f>
        <v>Term Code</v>
      </c>
      <c r="I13" s="27" t="s">
        <v>75</v>
      </c>
      <c r="J13" s="40" t="str">
        <f t="shared" ref="J13" si="0">A13</f>
        <v>Name</v>
      </c>
      <c r="K13" s="26" t="s">
        <v>67</v>
      </c>
      <c r="L13" s="27" t="s">
        <v>71</v>
      </c>
    </row>
    <row r="14" spans="1:12" s="8" customFormat="1" ht="15.75" thickBot="1">
      <c r="A14" s="69" t="s">
        <v>142</v>
      </c>
      <c r="B14" s="70"/>
      <c r="C14" s="70"/>
      <c r="D14" s="70"/>
      <c r="E14" s="71"/>
      <c r="F14" s="70"/>
      <c r="G14" s="70"/>
      <c r="H14" s="70"/>
      <c r="I14" s="72"/>
      <c r="J14" s="23" t="str">
        <f t="shared" ref="J14" si="1">A14</f>
        <v>Seed Formatting</v>
      </c>
      <c r="K14" s="24">
        <f>IF($C14="",$G14,$C14)</f>
        <v>0</v>
      </c>
      <c r="L14" s="25">
        <f>$L$3*E14+$L$4*I14</f>
        <v>0</v>
      </c>
    </row>
    <row r="15" spans="1:12">
      <c r="A15" s="64" t="str">
        <f>'Racing Results'!J48</f>
        <v>Al Hoar</v>
      </c>
      <c r="F15" s="9" t="str">
        <f>'Racing Results'!K48</f>
        <v>C</v>
      </c>
      <c r="G15" s="9" t="str">
        <f>'Racing Results'!L48</f>
        <v>B</v>
      </c>
      <c r="H15" s="9">
        <f>'Racing Results'!M48</f>
        <v>2</v>
      </c>
      <c r="I15" s="64">
        <f>'Racing Results'!N48</f>
        <v>0.80038759689922478</v>
      </c>
      <c r="J15" s="23" t="str">
        <f t="shared" ref="J15:J66" si="2">A15</f>
        <v>Al Hoar</v>
      </c>
      <c r="K15" s="24" t="str">
        <f t="shared" ref="K15:K66" si="3">IF($C15="",$G15,$C15)</f>
        <v>B</v>
      </c>
      <c r="L15" s="25">
        <f t="shared" ref="L15:L66" si="4">$L$3*E15+$L$4*I15</f>
        <v>32.015503875968989</v>
      </c>
    </row>
    <row r="16" spans="1:12">
      <c r="A16" s="7" t="str">
        <f>'Racing Results'!J87</f>
        <v>Alf Marcelissen</v>
      </c>
      <c r="B16" s="9" t="str">
        <f>'Racing Results'!K87</f>
        <v>C</v>
      </c>
      <c r="C16" s="9" t="str">
        <f>'Racing Results'!L87</f>
        <v>B</v>
      </c>
      <c r="D16" s="9">
        <f>'Racing Results'!M87</f>
        <v>1</v>
      </c>
      <c r="E16" s="7">
        <f>'Racing Results'!N87</f>
        <v>0.73496659242761697</v>
      </c>
      <c r="F16" s="9" t="str">
        <f>'Racing Results'!K18</f>
        <v>C</v>
      </c>
      <c r="G16" s="9" t="str">
        <f>'Racing Results'!L18</f>
        <v>B</v>
      </c>
      <c r="H16" s="9">
        <f>'Racing Results'!M18</f>
        <v>2</v>
      </c>
      <c r="I16" s="64">
        <f>'Racing Results'!N18</f>
        <v>0.85309040590405905</v>
      </c>
      <c r="J16" s="23" t="str">
        <f t="shared" si="2"/>
        <v>Alf Marcelissen</v>
      </c>
      <c r="K16" s="24" t="str">
        <f t="shared" si="3"/>
        <v>B</v>
      </c>
      <c r="L16" s="25">
        <f t="shared" si="4"/>
        <v>78.221611781819377</v>
      </c>
    </row>
    <row r="17" spans="1:12">
      <c r="A17" s="7" t="str">
        <f>'Racing Results'!J72</f>
        <v>Andrzej Kobus</v>
      </c>
      <c r="B17" s="9" t="str">
        <f>'Racing Results'!K72</f>
        <v>C</v>
      </c>
      <c r="C17" s="9" t="str">
        <f>'Racing Results'!L72</f>
        <v>A</v>
      </c>
      <c r="D17" s="9">
        <f>'Racing Results'!M72</f>
        <v>1</v>
      </c>
      <c r="E17" s="7">
        <f>'Racing Results'!N72</f>
        <v>0.89565767284991571</v>
      </c>
      <c r="F17" s="9" t="str">
        <f>'Racing Results'!K28</f>
        <v>F</v>
      </c>
      <c r="G17" s="9" t="str">
        <f>'Racing Results'!L28</f>
        <v>B</v>
      </c>
      <c r="H17" s="9">
        <f>'Racing Results'!M28</f>
        <v>2</v>
      </c>
      <c r="I17" s="64">
        <f>'Racing Results'!N28</f>
        <v>0.5221200387221685</v>
      </c>
      <c r="J17" s="23" t="str">
        <f t="shared" si="2"/>
        <v>Andrzej Kobus</v>
      </c>
      <c r="K17" s="24" t="str">
        <f t="shared" si="3"/>
        <v>A</v>
      </c>
      <c r="L17" s="25">
        <f t="shared" si="4"/>
        <v>74.62426191988169</v>
      </c>
    </row>
    <row r="18" spans="1:12">
      <c r="A18" s="7" t="str">
        <f>'Racing Results'!J80</f>
        <v>Anthony Kawzowicz</v>
      </c>
      <c r="B18" s="9" t="str">
        <f>'Racing Results'!K80</f>
        <v>C</v>
      </c>
      <c r="C18" s="9" t="str">
        <f>'Racing Results'!L80</f>
        <v>B</v>
      </c>
      <c r="D18" s="9">
        <f>'Racing Results'!M80</f>
        <v>1</v>
      </c>
      <c r="E18" s="7">
        <f>'Racing Results'!N80</f>
        <v>0.89615812917594651</v>
      </c>
      <c r="F18" s="9" t="str">
        <f>'Racing Results'!K16</f>
        <v>C</v>
      </c>
      <c r="G18" s="9" t="str">
        <f>'Racing Results'!L16</f>
        <v>B</v>
      </c>
      <c r="H18" s="9">
        <f>'Racing Results'!M16</f>
        <v>2</v>
      </c>
      <c r="I18" s="64">
        <f>'Racing Results'!N16</f>
        <v>1</v>
      </c>
      <c r="J18" s="23" t="str">
        <f t="shared" si="2"/>
        <v>Anthony Kawzowicz</v>
      </c>
      <c r="K18" s="24" t="str">
        <f t="shared" si="3"/>
        <v>B</v>
      </c>
      <c r="L18" s="25">
        <f t="shared" si="4"/>
        <v>93.769487750556792</v>
      </c>
    </row>
    <row r="19" spans="1:12">
      <c r="A19" s="7" t="str">
        <f>'Racing Results'!J83</f>
        <v>Bill Cole</v>
      </c>
      <c r="B19" s="9" t="str">
        <f>'Racing Results'!K83</f>
        <v>C</v>
      </c>
      <c r="C19" s="9" t="str">
        <f>'Racing Results'!L83</f>
        <v>B</v>
      </c>
      <c r="D19" s="9">
        <f>'Racing Results'!M83</f>
        <v>1</v>
      </c>
      <c r="E19" s="7">
        <f>'Racing Results'!N83</f>
        <v>0.79398663697104677</v>
      </c>
      <c r="F19" s="9" t="str">
        <f>'Racing Results'!K44</f>
        <v>C</v>
      </c>
      <c r="G19" s="9" t="str">
        <f>'Racing Results'!L44</f>
        <v>B</v>
      </c>
      <c r="H19" s="9">
        <f>'Racing Results'!M44</f>
        <v>2</v>
      </c>
      <c r="I19" s="64">
        <f>'Racing Results'!N44</f>
        <v>1</v>
      </c>
      <c r="J19" s="23" t="str">
        <f t="shared" si="2"/>
        <v>Bill Cole</v>
      </c>
      <c r="K19" s="24" t="str">
        <f t="shared" si="3"/>
        <v>B</v>
      </c>
      <c r="L19" s="25">
        <f t="shared" si="4"/>
        <v>87.639198218262806</v>
      </c>
    </row>
    <row r="20" spans="1:12">
      <c r="A20" s="64" t="str">
        <f>'Racing Results'!J46</f>
        <v>Bruce Friesen</v>
      </c>
      <c r="B20" s="7"/>
      <c r="C20" s="7"/>
      <c r="D20" s="7"/>
      <c r="F20" s="7" t="str">
        <f>'Racing Results'!K46</f>
        <v>C</v>
      </c>
      <c r="G20" s="7" t="str">
        <f>'Racing Results'!L46</f>
        <v>B</v>
      </c>
      <c r="H20" s="7">
        <f>'Racing Results'!M46</f>
        <v>2</v>
      </c>
      <c r="I20" s="7">
        <f>'Racing Results'!N46</f>
        <v>0.83677863910422046</v>
      </c>
      <c r="J20" s="23" t="str">
        <f t="shared" si="2"/>
        <v>Bruce Friesen</v>
      </c>
      <c r="K20" s="24" t="str">
        <f t="shared" si="3"/>
        <v>B</v>
      </c>
      <c r="L20" s="25">
        <f t="shared" si="4"/>
        <v>33.471145564168822</v>
      </c>
    </row>
    <row r="21" spans="1:12">
      <c r="A21" s="64" t="str">
        <f>'Racing Results'!J52</f>
        <v>Carol Mulder</v>
      </c>
      <c r="B21" s="7"/>
      <c r="C21" s="7"/>
      <c r="D21" s="7"/>
      <c r="F21" s="9" t="str">
        <f>'Racing Results'!K52</f>
        <v>C</v>
      </c>
      <c r="G21" s="9" t="str">
        <f>'Racing Results'!L52</f>
        <v>B</v>
      </c>
      <c r="H21" s="9">
        <f>'Racing Results'!M52</f>
        <v>2</v>
      </c>
      <c r="I21" s="64">
        <f>'Racing Results'!N52</f>
        <v>0.53165374677002586</v>
      </c>
      <c r="J21" s="23" t="str">
        <f t="shared" si="2"/>
        <v>Carol Mulder</v>
      </c>
      <c r="K21" s="24" t="str">
        <f t="shared" si="3"/>
        <v>B</v>
      </c>
      <c r="L21" s="25">
        <f t="shared" si="4"/>
        <v>21.266149870801033</v>
      </c>
    </row>
    <row r="22" spans="1:12">
      <c r="A22" s="7" t="str">
        <f>'Racing Results'!J79</f>
        <v>Chris Gough</v>
      </c>
      <c r="B22" s="9" t="str">
        <f>'Racing Results'!K79</f>
        <v>C</v>
      </c>
      <c r="C22" s="9" t="str">
        <f>'Racing Results'!L79</f>
        <v>B</v>
      </c>
      <c r="D22" s="9">
        <f>'Racing Results'!M79</f>
        <v>1</v>
      </c>
      <c r="E22" s="7">
        <f>'Racing Results'!N79</f>
        <v>1</v>
      </c>
      <c r="F22" s="9" t="str">
        <f>'Racing Results'!K33</f>
        <v>W</v>
      </c>
      <c r="G22" s="9" t="str">
        <f>'Racing Results'!L33</f>
        <v>C</v>
      </c>
      <c r="H22" s="9">
        <f>'Racing Results'!M33</f>
        <v>2</v>
      </c>
      <c r="I22" s="64">
        <f>'Racing Results'!N33</f>
        <v>0.79031372549019618</v>
      </c>
      <c r="J22" s="23" t="str">
        <f t="shared" si="2"/>
        <v>Chris Gough</v>
      </c>
      <c r="K22" s="24" t="str">
        <f t="shared" si="3"/>
        <v>B</v>
      </c>
      <c r="L22" s="25">
        <f t="shared" si="4"/>
        <v>91.612549019607854</v>
      </c>
    </row>
    <row r="23" spans="1:12">
      <c r="A23" s="7" t="str">
        <f>'Racing Results'!J90</f>
        <v>Dan Cook</v>
      </c>
      <c r="B23" s="9" t="str">
        <f>'Racing Results'!K90</f>
        <v>C</v>
      </c>
      <c r="C23" s="9" t="str">
        <f>'Racing Results'!L90</f>
        <v>B</v>
      </c>
      <c r="D23" s="9">
        <f>'Racing Results'!M90</f>
        <v>1</v>
      </c>
      <c r="E23" s="7">
        <f>'Racing Results'!N90</f>
        <v>0.65144766146993316</v>
      </c>
      <c r="F23" s="9" t="str">
        <f>'Racing Results'!K43</f>
        <v>C</v>
      </c>
      <c r="G23" s="9" t="str">
        <f>'Racing Results'!L43</f>
        <v>A</v>
      </c>
      <c r="H23" s="9">
        <f>'Racing Results'!M43</f>
        <v>2</v>
      </c>
      <c r="I23" s="64">
        <f>'Racing Results'!N43</f>
        <v>0.41804788213627991</v>
      </c>
      <c r="J23" s="23" t="str">
        <f t="shared" si="2"/>
        <v>Dan Cook</v>
      </c>
      <c r="K23" s="24" t="str">
        <f t="shared" si="3"/>
        <v>B</v>
      </c>
      <c r="L23" s="25">
        <f t="shared" si="4"/>
        <v>55.808774973647182</v>
      </c>
    </row>
    <row r="24" spans="1:12">
      <c r="A24" s="7" t="str">
        <f>'Racing Results'!J86</f>
        <v>Dave Cole</v>
      </c>
      <c r="B24" s="9" t="str">
        <f>'Racing Results'!K86</f>
        <v>C</v>
      </c>
      <c r="C24" s="9" t="str">
        <f>'Racing Results'!L86</f>
        <v>B</v>
      </c>
      <c r="D24" s="9">
        <f>'Racing Results'!M86</f>
        <v>1</v>
      </c>
      <c r="E24" s="7">
        <f>'Racing Results'!N86</f>
        <v>0.75835189309576834</v>
      </c>
      <c r="F24" s="7" t="str">
        <f>'Racing Results'!K25</f>
        <v>C</v>
      </c>
      <c r="G24" s="7" t="str">
        <f>'Racing Results'!L25</f>
        <v>B</v>
      </c>
      <c r="H24" s="7">
        <f>'Racing Results'!M25</f>
        <v>2</v>
      </c>
      <c r="I24" s="7">
        <f>'Racing Results'!N25</f>
        <v>0.4956180811808118</v>
      </c>
      <c r="J24" s="23" t="str">
        <f t="shared" si="2"/>
        <v>Dave Cole</v>
      </c>
      <c r="K24" s="24" t="str">
        <f t="shared" si="3"/>
        <v>B</v>
      </c>
      <c r="L24" s="25">
        <f t="shared" si="4"/>
        <v>65.325836832978567</v>
      </c>
    </row>
    <row r="25" spans="1:12">
      <c r="A25" s="7" t="str">
        <f>'Racing Results'!J108</f>
        <v>Dave Springford</v>
      </c>
      <c r="B25" s="9" t="str">
        <f>'Racing Results'!K108</f>
        <v>P</v>
      </c>
      <c r="C25" s="9" t="str">
        <f>'Racing Results'!L108</f>
        <v>A</v>
      </c>
      <c r="D25" s="9">
        <f>'Racing Results'!M108</f>
        <v>1</v>
      </c>
      <c r="E25" s="7">
        <f>'Racing Results'!N108</f>
        <v>1.0534733893557424</v>
      </c>
      <c r="F25" s="9" t="str">
        <f>'Racing Results'!K7</f>
        <v>C</v>
      </c>
      <c r="G25" s="9" t="str">
        <f>'Racing Results'!L7</f>
        <v>A</v>
      </c>
      <c r="H25" s="9">
        <f>'Racing Results'!M7</f>
        <v>2</v>
      </c>
      <c r="I25" s="64">
        <f>'Racing Results'!N7</f>
        <v>1</v>
      </c>
      <c r="J25" s="23" t="str">
        <f t="shared" si="2"/>
        <v>Dave Springford</v>
      </c>
      <c r="K25" s="24" t="str">
        <f t="shared" si="3"/>
        <v>A</v>
      </c>
      <c r="L25" s="25">
        <f t="shared" si="4"/>
        <v>103.20840336134455</v>
      </c>
    </row>
    <row r="26" spans="1:12">
      <c r="A26" s="64" t="str">
        <f>'Racing Results'!J36</f>
        <v>Dennis Vreeken</v>
      </c>
      <c r="B26" s="7"/>
      <c r="C26" s="7"/>
      <c r="D26" s="7"/>
      <c r="F26" s="7" t="str">
        <f>'Racing Results'!K36</f>
        <v>C</v>
      </c>
      <c r="G26" s="7" t="str">
        <f>'Racing Results'!L36</f>
        <v>A</v>
      </c>
      <c r="H26" s="7">
        <f>'Racing Results'!M36</f>
        <v>2</v>
      </c>
      <c r="I26" s="7">
        <f>'Racing Results'!N36</f>
        <v>0.87599754450583178</v>
      </c>
      <c r="J26" s="23" t="str">
        <f t="shared" si="2"/>
        <v>Dennis Vreeken</v>
      </c>
      <c r="K26" s="24" t="str">
        <f t="shared" si="3"/>
        <v>A</v>
      </c>
      <c r="L26" s="25">
        <f t="shared" si="4"/>
        <v>35.039901780233272</v>
      </c>
    </row>
    <row r="27" spans="1:12">
      <c r="A27" s="7" t="str">
        <f>'Racing Results'!J70</f>
        <v>Derek Mackie</v>
      </c>
      <c r="B27" s="9" t="str">
        <f>'Racing Results'!K70</f>
        <v>C</v>
      </c>
      <c r="C27" s="9" t="str">
        <f>'Racing Results'!L70</f>
        <v>A</v>
      </c>
      <c r="D27" s="9">
        <f>'Racing Results'!M70</f>
        <v>1</v>
      </c>
      <c r="E27" s="7">
        <f>'Racing Results'!N70</f>
        <v>0.92706576728499157</v>
      </c>
      <c r="F27" s="9" t="str">
        <f>'Racing Results'!K37</f>
        <v>C</v>
      </c>
      <c r="G27" s="9" t="str">
        <f>'Racing Results'!L37</f>
        <v>A</v>
      </c>
      <c r="H27" s="9">
        <f>'Racing Results'!M37</f>
        <v>2</v>
      </c>
      <c r="I27" s="64">
        <f>'Racing Results'!N37</f>
        <v>0.87170042971147943</v>
      </c>
      <c r="J27" s="23" t="str">
        <f t="shared" si="2"/>
        <v>Derek Mackie</v>
      </c>
      <c r="K27" s="24" t="str">
        <f t="shared" si="3"/>
        <v>A</v>
      </c>
      <c r="L27" s="25">
        <f t="shared" si="4"/>
        <v>90.491963225558663</v>
      </c>
    </row>
    <row r="28" spans="1:12">
      <c r="A28" s="7" t="str">
        <f>'Racing Results'!J75</f>
        <v>Ed Hollistelle Sr.</v>
      </c>
      <c r="B28" s="9" t="str">
        <f>'Racing Results'!K75</f>
        <v>C</v>
      </c>
      <c r="C28" s="9" t="str">
        <f>'Racing Results'!L75</f>
        <v>A</v>
      </c>
      <c r="D28" s="9">
        <f>'Racing Results'!M75</f>
        <v>1</v>
      </c>
      <c r="E28" s="7">
        <f>'Racing Results'!N75</f>
        <v>0.83199831365935917</v>
      </c>
      <c r="F28" s="9" t="str">
        <f>'Racing Results'!K12</f>
        <v>C</v>
      </c>
      <c r="G28" s="9" t="str">
        <f>'Racing Results'!L12</f>
        <v>A</v>
      </c>
      <c r="H28" s="9">
        <f>'Racing Results'!M12</f>
        <v>2</v>
      </c>
      <c r="I28" s="64">
        <f>'Racing Results'!N12</f>
        <v>0.9282265144863916</v>
      </c>
      <c r="J28" s="23" t="str">
        <f t="shared" si="2"/>
        <v>Ed Hollistelle Sr.</v>
      </c>
      <c r="K28" s="24" t="str">
        <f t="shared" si="3"/>
        <v>A</v>
      </c>
      <c r="L28" s="25">
        <f t="shared" si="4"/>
        <v>87.048959399017207</v>
      </c>
    </row>
    <row r="29" spans="1:12">
      <c r="A29" s="7" t="str">
        <f>'Racing Results'!J94</f>
        <v>Emmanuael Cadieux</v>
      </c>
      <c r="B29" s="9" t="str">
        <f>'Racing Results'!K94</f>
        <v>C</v>
      </c>
      <c r="C29" s="9" t="str">
        <f>'Racing Results'!L94</f>
        <v>B</v>
      </c>
      <c r="D29" s="9">
        <f>'Racing Results'!M94</f>
        <v>1</v>
      </c>
      <c r="E29" s="7">
        <f>'Racing Results'!N94</f>
        <v>0.36525612472160357</v>
      </c>
      <c r="J29" s="23" t="str">
        <f t="shared" si="2"/>
        <v>Emmanuael Cadieux</v>
      </c>
      <c r="K29" s="24" t="str">
        <f t="shared" si="3"/>
        <v>B</v>
      </c>
      <c r="L29" s="25">
        <f t="shared" si="4"/>
        <v>21.915367483296215</v>
      </c>
    </row>
    <row r="30" spans="1:12">
      <c r="A30" s="64" t="str">
        <f>'Racing Results'!J56</f>
        <v>Frank Cwikla</v>
      </c>
      <c r="B30" s="7"/>
      <c r="C30" s="7"/>
      <c r="D30" s="7"/>
      <c r="F30" s="7" t="str">
        <f>'Racing Results'!K56</f>
        <v>C</v>
      </c>
      <c r="G30" s="7" t="str">
        <f>'Racing Results'!L56</f>
        <v>B</v>
      </c>
      <c r="H30" s="7">
        <f>'Racing Results'!M56</f>
        <v>2</v>
      </c>
      <c r="I30" s="7">
        <f>'Racing Results'!N56</f>
        <v>0.15288544358311801</v>
      </c>
      <c r="J30" s="23" t="str">
        <f t="shared" si="2"/>
        <v>Frank Cwikla</v>
      </c>
      <c r="K30" s="24" t="str">
        <f t="shared" si="3"/>
        <v>B</v>
      </c>
      <c r="L30" s="25">
        <f t="shared" si="4"/>
        <v>6.1154177433247199</v>
      </c>
    </row>
    <row r="31" spans="1:12">
      <c r="A31" s="64" t="str">
        <f>'Racing Results'!J47</f>
        <v>Guy Blood</v>
      </c>
      <c r="B31" s="7"/>
      <c r="C31" s="7"/>
      <c r="D31" s="7"/>
      <c r="F31" s="9" t="str">
        <f>'Racing Results'!K47</f>
        <v>C</v>
      </c>
      <c r="G31" s="9" t="str">
        <f>'Racing Results'!L47</f>
        <v>B</v>
      </c>
      <c r="H31" s="9">
        <f>'Racing Results'!M47</f>
        <v>2</v>
      </c>
      <c r="I31" s="64">
        <f>'Racing Results'!N47</f>
        <v>0.82493540051679581</v>
      </c>
      <c r="J31" s="23" t="str">
        <f t="shared" si="2"/>
        <v>Guy Blood</v>
      </c>
      <c r="K31" s="24" t="str">
        <f t="shared" si="3"/>
        <v>B</v>
      </c>
      <c r="L31" s="25">
        <f t="shared" si="4"/>
        <v>32.997416020671835</v>
      </c>
    </row>
    <row r="32" spans="1:12">
      <c r="A32" s="64" t="str">
        <f>'Racing Results'!J55</f>
        <v>Hank Hees</v>
      </c>
      <c r="B32" s="7"/>
      <c r="C32" s="7"/>
      <c r="D32" s="7"/>
      <c r="F32" s="9" t="str">
        <f>'Racing Results'!K55</f>
        <v>C</v>
      </c>
      <c r="G32" s="9" t="str">
        <f>'Racing Results'!L55</f>
        <v>B</v>
      </c>
      <c r="H32" s="9">
        <f>'Racing Results'!M55</f>
        <v>2</v>
      </c>
      <c r="I32" s="64">
        <f>'Racing Results'!N55</f>
        <v>0.37295434969853575</v>
      </c>
      <c r="J32" s="23" t="str">
        <f t="shared" si="2"/>
        <v>Hank Hees</v>
      </c>
      <c r="K32" s="24" t="str">
        <f t="shared" si="3"/>
        <v>B</v>
      </c>
      <c r="L32" s="25">
        <f t="shared" si="4"/>
        <v>14.918173987941429</v>
      </c>
    </row>
    <row r="33" spans="1:12">
      <c r="A33" s="7" t="str">
        <f>'Racing Results'!J96</f>
        <v>Hans Juergensen</v>
      </c>
      <c r="B33" s="9" t="str">
        <f>'Racing Results'!K96</f>
        <v>C</v>
      </c>
      <c r="C33" s="9" t="str">
        <f>'Racing Results'!L96</f>
        <v>B</v>
      </c>
      <c r="D33" s="9">
        <f>'Racing Results'!M96</f>
        <v>1</v>
      </c>
      <c r="E33" s="7">
        <f>'Racing Results'!N96</f>
        <v>0.2257795100222717</v>
      </c>
      <c r="F33" s="9"/>
      <c r="G33" s="9"/>
      <c r="I33" s="64"/>
      <c r="J33" s="23" t="str">
        <f t="shared" si="2"/>
        <v>Hans Juergensen</v>
      </c>
      <c r="K33" s="24" t="str">
        <f t="shared" si="3"/>
        <v>B</v>
      </c>
      <c r="L33" s="25">
        <f t="shared" si="4"/>
        <v>13.546770601336302</v>
      </c>
    </row>
    <row r="34" spans="1:12">
      <c r="A34" s="7" t="str">
        <f>'Racing Results'!J99</f>
        <v>Herrie ten Cate</v>
      </c>
      <c r="B34" s="9" t="str">
        <f>'Racing Results'!K99</f>
        <v>C</v>
      </c>
      <c r="C34" s="9" t="str">
        <f>'Racing Results'!L99</f>
        <v>C</v>
      </c>
      <c r="D34" s="9">
        <f>'Racing Results'!M99</f>
        <v>1</v>
      </c>
      <c r="E34" s="7">
        <f>'Racing Results'!N99</f>
        <v>0.7434402332361516</v>
      </c>
      <c r="F34" s="9"/>
      <c r="G34" s="9"/>
      <c r="I34" s="64"/>
      <c r="J34" s="23" t="str">
        <f t="shared" si="2"/>
        <v>Herrie ten Cate</v>
      </c>
      <c r="K34" s="24" t="str">
        <f t="shared" si="3"/>
        <v>C</v>
      </c>
      <c r="L34" s="25">
        <f t="shared" si="4"/>
        <v>44.606413994169095</v>
      </c>
    </row>
    <row r="35" spans="1:12">
      <c r="A35" s="7" t="str">
        <f>'Racing Results'!J103</f>
        <v>Jay Allardyce</v>
      </c>
      <c r="B35" s="9" t="str">
        <f>'Racing Results'!K103</f>
        <v>C</v>
      </c>
      <c r="C35" s="9" t="str">
        <f>'Racing Results'!L103</f>
        <v>C</v>
      </c>
      <c r="D35" s="9">
        <f>'Racing Results'!M103</f>
        <v>1</v>
      </c>
      <c r="E35" s="7">
        <f>'Racing Results'!N103</f>
        <v>0.31516034985422742</v>
      </c>
      <c r="F35" s="9"/>
      <c r="G35" s="9"/>
      <c r="I35" s="64"/>
      <c r="J35" s="23" t="str">
        <f t="shared" si="2"/>
        <v>Jay Allardyce</v>
      </c>
      <c r="K35" s="24" t="str">
        <f t="shared" si="3"/>
        <v>C</v>
      </c>
      <c r="L35" s="25">
        <f t="shared" si="4"/>
        <v>18.909620991253647</v>
      </c>
    </row>
    <row r="36" spans="1:12">
      <c r="A36" s="7" t="str">
        <f>'Racing Results'!J69</f>
        <v>Jerzy Szemplinski</v>
      </c>
      <c r="B36" s="9" t="str">
        <f>'Racing Results'!K69</f>
        <v>C</v>
      </c>
      <c r="C36" s="9" t="str">
        <f>'Racing Results'!L69</f>
        <v>A</v>
      </c>
      <c r="D36" s="9">
        <f>'Racing Results'!M69</f>
        <v>1</v>
      </c>
      <c r="E36" s="7">
        <f>'Racing Results'!N69</f>
        <v>1</v>
      </c>
      <c r="F36" s="9" t="str">
        <f>'Racing Results'!K66</f>
        <v>W</v>
      </c>
      <c r="G36" s="9" t="str">
        <f>'Racing Results'!L66</f>
        <v>A</v>
      </c>
      <c r="H36" s="9">
        <f>'Racing Results'!M66</f>
        <v>2</v>
      </c>
      <c r="I36" s="7">
        <f>'Racing Results'!N66</f>
        <v>1.0520401337792642</v>
      </c>
      <c r="J36" s="23" t="str">
        <f t="shared" si="2"/>
        <v>Jerzy Szemplinski</v>
      </c>
      <c r="K36" s="24" t="str">
        <f t="shared" si="3"/>
        <v>A</v>
      </c>
      <c r="L36" s="25">
        <f t="shared" si="4"/>
        <v>102.08160535117057</v>
      </c>
    </row>
    <row r="37" spans="1:12">
      <c r="A37" s="7" t="str">
        <f>'Racing Results'!J78</f>
        <v>Jim Carpenter</v>
      </c>
      <c r="B37" s="9" t="str">
        <f>'Racing Results'!K78</f>
        <v>C</v>
      </c>
      <c r="C37" s="9" t="str">
        <f>'Racing Results'!L78</f>
        <v>A</v>
      </c>
      <c r="D37" s="9">
        <f>'Racing Results'!M78</f>
        <v>1</v>
      </c>
      <c r="E37" s="7">
        <f>'Racing Results'!N78</f>
        <v>9.1483979763912315E-2</v>
      </c>
      <c r="J37" s="23" t="str">
        <f t="shared" si="2"/>
        <v>Jim Carpenter</v>
      </c>
      <c r="K37" s="24" t="str">
        <f t="shared" si="3"/>
        <v>A</v>
      </c>
      <c r="L37" s="25">
        <f t="shared" si="4"/>
        <v>5.4890387858347385</v>
      </c>
    </row>
    <row r="38" spans="1:12">
      <c r="A38" s="7" t="str">
        <f>'Racing Results'!J98</f>
        <v>Jim Freyett</v>
      </c>
      <c r="B38" s="9" t="str">
        <f>'Racing Results'!K98</f>
        <v>C</v>
      </c>
      <c r="C38" s="9" t="str">
        <f>'Racing Results'!L98</f>
        <v>C</v>
      </c>
      <c r="D38" s="9">
        <f>'Racing Results'!M98</f>
        <v>1</v>
      </c>
      <c r="E38" s="7">
        <f>'Racing Results'!N98</f>
        <v>0.86851311953352772</v>
      </c>
      <c r="F38" s="9" t="str">
        <f>'Racing Results'!K20</f>
        <v>C</v>
      </c>
      <c r="G38" s="9" t="str">
        <f>'Racing Results'!L20</f>
        <v>B</v>
      </c>
      <c r="H38" s="9">
        <f>'Racing Results'!M20</f>
        <v>2</v>
      </c>
      <c r="I38" s="64">
        <f>'Racing Results'!N20</f>
        <v>0.76337638376383765</v>
      </c>
      <c r="J38" s="23" t="str">
        <f t="shared" si="2"/>
        <v>Jim Freyett</v>
      </c>
      <c r="K38" s="24" t="str">
        <f t="shared" si="3"/>
        <v>C</v>
      </c>
      <c r="L38" s="25">
        <f t="shared" si="4"/>
        <v>82.645842522565175</v>
      </c>
    </row>
    <row r="39" spans="1:12">
      <c r="A39" s="7" t="str">
        <f>'Racing Results'!J109</f>
        <v>Joerg Stieber</v>
      </c>
      <c r="B39" s="9" t="str">
        <f>'Racing Results'!K109</f>
        <v>P</v>
      </c>
      <c r="C39" s="9" t="str">
        <f>'Racing Results'!L109</f>
        <v>A</v>
      </c>
      <c r="D39" s="9">
        <f>'Racing Results'!M109</f>
        <v>1</v>
      </c>
      <c r="E39" s="7">
        <f>'Racing Results'!N109</f>
        <v>0.93715686274509813</v>
      </c>
      <c r="F39" s="9" t="str">
        <f>'Racing Results'!K34</f>
        <v>C</v>
      </c>
      <c r="G39" s="9" t="str">
        <f>'Racing Results'!L34</f>
        <v>A</v>
      </c>
      <c r="H39" s="9">
        <f>'Racing Results'!M34</f>
        <v>2</v>
      </c>
      <c r="I39" s="64">
        <f>'Racing Results'!N34</f>
        <v>1</v>
      </c>
      <c r="J39" s="23" t="str">
        <f t="shared" si="2"/>
        <v>Joerg Stieber</v>
      </c>
      <c r="K39" s="24" t="str">
        <f t="shared" si="3"/>
        <v>A</v>
      </c>
      <c r="L39" s="25">
        <f t="shared" si="4"/>
        <v>96.229411764705887</v>
      </c>
    </row>
    <row r="40" spans="1:12">
      <c r="A40" s="7" t="str">
        <f>'Racing Results'!J82</f>
        <v>John Brennan</v>
      </c>
      <c r="B40" s="9" t="str">
        <f>'Racing Results'!K82</f>
        <v>C</v>
      </c>
      <c r="C40" s="9" t="str">
        <f>'Racing Results'!L82</f>
        <v>B</v>
      </c>
      <c r="D40" s="9">
        <f>'Racing Results'!M82</f>
        <v>1</v>
      </c>
      <c r="E40" s="7">
        <f>'Racing Results'!N82</f>
        <v>0.82433184855233854</v>
      </c>
      <c r="F40" s="9" t="str">
        <f>'Racing Results'!K22</f>
        <v>C</v>
      </c>
      <c r="G40" s="9" t="str">
        <f>'Racing Results'!L22</f>
        <v>B</v>
      </c>
      <c r="H40" s="9">
        <f>'Racing Results'!M22</f>
        <v>2</v>
      </c>
      <c r="I40" s="64">
        <f>'Racing Results'!N22</f>
        <v>0.72117158671586712</v>
      </c>
      <c r="J40" s="23" t="str">
        <f t="shared" si="2"/>
        <v>John Brennan</v>
      </c>
      <c r="K40" s="24" t="str">
        <f t="shared" si="3"/>
        <v>B</v>
      </c>
      <c r="L40" s="25">
        <f t="shared" si="4"/>
        <v>78.306774381775</v>
      </c>
    </row>
    <row r="41" spans="1:12">
      <c r="A41" s="7" t="str">
        <f>'Racing Results'!J91</f>
        <v>John Mulder</v>
      </c>
      <c r="B41" s="9" t="str">
        <f>'Racing Results'!K91</f>
        <v>C</v>
      </c>
      <c r="C41" s="9" t="str">
        <f>'Racing Results'!L91</f>
        <v>B</v>
      </c>
      <c r="D41" s="9">
        <f>'Racing Results'!M91</f>
        <v>1</v>
      </c>
      <c r="E41" s="7">
        <f>'Racing Results'!N91</f>
        <v>0.65061247216035634</v>
      </c>
      <c r="F41" s="9" t="str">
        <f>'Racing Results'!K42</f>
        <v>C</v>
      </c>
      <c r="G41" s="9" t="str">
        <f>'Racing Results'!L42</f>
        <v>A</v>
      </c>
      <c r="H41" s="9">
        <f>'Racing Results'!M42</f>
        <v>2</v>
      </c>
      <c r="I41" s="64">
        <f>'Racing Results'!N42</f>
        <v>0.76161244117045224</v>
      </c>
      <c r="J41" s="23" t="str">
        <f t="shared" si="2"/>
        <v>John Mulder</v>
      </c>
      <c r="K41" s="24" t="str">
        <f t="shared" si="3"/>
        <v>B</v>
      </c>
      <c r="L41" s="25">
        <f t="shared" si="4"/>
        <v>69.501245976439463</v>
      </c>
    </row>
    <row r="42" spans="1:12">
      <c r="A42" s="7" t="str">
        <f>'Racing Results'!J93</f>
        <v>Krzysztof Wiercioch</v>
      </c>
      <c r="B42" s="9" t="str">
        <f>'Racing Results'!K93</f>
        <v>C</v>
      </c>
      <c r="C42" s="9" t="str">
        <f>'Racing Results'!L93</f>
        <v>B</v>
      </c>
      <c r="D42" s="9">
        <f>'Racing Results'!M93</f>
        <v>1</v>
      </c>
      <c r="E42" s="7">
        <f>'Racing Results'!N93</f>
        <v>0.56792873051224946</v>
      </c>
      <c r="J42" s="23" t="str">
        <f t="shared" si="2"/>
        <v>Krzysztof Wiercioch</v>
      </c>
      <c r="K42" s="24" t="str">
        <f t="shared" si="3"/>
        <v>B</v>
      </c>
      <c r="L42" s="25">
        <f t="shared" si="4"/>
        <v>34.075723830734965</v>
      </c>
    </row>
    <row r="43" spans="1:12">
      <c r="A43" s="64" t="str">
        <f>'Racing Results'!J19</f>
        <v>Larry Springford</v>
      </c>
      <c r="B43" s="7"/>
      <c r="C43" s="7"/>
      <c r="D43" s="7"/>
      <c r="F43" s="7" t="str">
        <f>'Racing Results'!K19</f>
        <v>C</v>
      </c>
      <c r="G43" s="7" t="str">
        <f>'Racing Results'!L19</f>
        <v>B</v>
      </c>
      <c r="H43" s="7">
        <f>'Racing Results'!M19</f>
        <v>2</v>
      </c>
      <c r="I43" s="7">
        <f>'Racing Results'!N19</f>
        <v>0.79174354243542433</v>
      </c>
      <c r="J43" s="23" t="str">
        <f t="shared" si="2"/>
        <v>Larry Springford</v>
      </c>
      <c r="K43" s="24" t="str">
        <f t="shared" si="3"/>
        <v>B</v>
      </c>
      <c r="L43" s="25">
        <f t="shared" si="4"/>
        <v>31.669741697416974</v>
      </c>
    </row>
    <row r="44" spans="1:12">
      <c r="A44" s="7" t="str">
        <f>'Racing Results'!J77</f>
        <v>Leo Deschamps</v>
      </c>
      <c r="B44" s="9" t="str">
        <f>'Racing Results'!K77</f>
        <v>C</v>
      </c>
      <c r="C44" s="9" t="str">
        <f>'Racing Results'!L77</f>
        <v>A</v>
      </c>
      <c r="D44" s="9">
        <f>'Racing Results'!M77</f>
        <v>1</v>
      </c>
      <c r="E44" s="7">
        <f>'Racing Results'!N77</f>
        <v>0.20889544688026981</v>
      </c>
      <c r="J44" s="23" t="str">
        <f t="shared" si="2"/>
        <v>Leo Deschamps</v>
      </c>
      <c r="K44" s="24" t="str">
        <f t="shared" si="3"/>
        <v>A</v>
      </c>
      <c r="L44" s="25">
        <f t="shared" si="4"/>
        <v>12.533726812816189</v>
      </c>
    </row>
    <row r="45" spans="1:12">
      <c r="A45" s="7" t="str">
        <f>'Racing Results'!J85</f>
        <v>Luke Szczepaniak</v>
      </c>
      <c r="B45" s="9" t="str">
        <f>'Racing Results'!K85</f>
        <v>C</v>
      </c>
      <c r="C45" s="9" t="str">
        <f>'Racing Results'!L85</f>
        <v>B</v>
      </c>
      <c r="D45" s="9">
        <f>'Racing Results'!M85</f>
        <v>1</v>
      </c>
      <c r="E45" s="7">
        <f>'Racing Results'!N85</f>
        <v>0.7742204899777283</v>
      </c>
      <c r="F45" s="9" t="str">
        <f>'Racing Results'!K39</f>
        <v>C</v>
      </c>
      <c r="G45" s="9" t="str">
        <f>'Racing Results'!L39</f>
        <v>A</v>
      </c>
      <c r="H45" s="9">
        <f>'Racing Results'!M39</f>
        <v>2</v>
      </c>
      <c r="I45" s="64">
        <f>'Racing Results'!N39</f>
        <v>0.84694086351544917</v>
      </c>
      <c r="J45" s="23" t="str">
        <f t="shared" si="2"/>
        <v>Luke Szczepaniak</v>
      </c>
      <c r="K45" s="24" t="str">
        <f t="shared" si="3"/>
        <v>B</v>
      </c>
      <c r="L45" s="25">
        <f t="shared" si="4"/>
        <v>80.33086393928167</v>
      </c>
    </row>
    <row r="46" spans="1:12">
      <c r="A46" s="7" t="str">
        <f>'Racing Results'!J88</f>
        <v>Marian Nowak</v>
      </c>
      <c r="B46" s="9" t="str">
        <f>'Racing Results'!K88</f>
        <v>C</v>
      </c>
      <c r="C46" s="9" t="str">
        <f>'Racing Results'!L88</f>
        <v>B</v>
      </c>
      <c r="D46" s="9">
        <f>'Racing Results'!M88</f>
        <v>1</v>
      </c>
      <c r="E46" s="7">
        <f>'Racing Results'!N88</f>
        <v>0.7221603563474388</v>
      </c>
      <c r="J46" s="23" t="str">
        <f t="shared" si="2"/>
        <v>Marian Nowak</v>
      </c>
      <c r="K46" s="24" t="str">
        <f t="shared" si="3"/>
        <v>B</v>
      </c>
      <c r="L46" s="25">
        <f t="shared" si="4"/>
        <v>43.329621380846326</v>
      </c>
    </row>
    <row r="47" spans="1:12">
      <c r="A47" s="7" t="str">
        <f>'Racing Results'!J92</f>
        <v>Martin Brassard</v>
      </c>
      <c r="B47" s="9" t="str">
        <f>'Racing Results'!K92</f>
        <v>C</v>
      </c>
      <c r="C47" s="9" t="str">
        <f>'Racing Results'!L92</f>
        <v>B</v>
      </c>
      <c r="D47" s="9">
        <f>'Racing Results'!M92</f>
        <v>1</v>
      </c>
      <c r="E47" s="7">
        <f>'Racing Results'!N92</f>
        <v>0.64810690423162587</v>
      </c>
      <c r="J47" s="23" t="str">
        <f t="shared" si="2"/>
        <v>Martin Brassard</v>
      </c>
      <c r="K47" s="24" t="str">
        <f t="shared" si="3"/>
        <v>B</v>
      </c>
      <c r="L47" s="25">
        <f t="shared" si="4"/>
        <v>38.886414253897556</v>
      </c>
    </row>
    <row r="48" spans="1:12">
      <c r="A48" s="64" t="str">
        <f>'Racing Results'!J54</f>
        <v>Mike Stoesser</v>
      </c>
      <c r="B48" s="7"/>
      <c r="C48" s="7"/>
      <c r="D48" s="7"/>
      <c r="F48" s="9" t="str">
        <f>'Racing Results'!K54</f>
        <v>C</v>
      </c>
      <c r="G48" s="9" t="str">
        <f>'Racing Results'!L54</f>
        <v>B</v>
      </c>
      <c r="H48" s="9">
        <f>'Racing Results'!M54</f>
        <v>2</v>
      </c>
      <c r="I48" s="64">
        <f>'Racing Results'!N54</f>
        <v>0.4306632213608958</v>
      </c>
      <c r="J48" s="23" t="str">
        <f t="shared" si="2"/>
        <v>Mike Stoesser</v>
      </c>
      <c r="K48" s="24" t="str">
        <f t="shared" si="3"/>
        <v>B</v>
      </c>
      <c r="L48" s="25">
        <f t="shared" si="4"/>
        <v>17.226528854435831</v>
      </c>
    </row>
    <row r="49" spans="1:12">
      <c r="A49" s="64" t="str">
        <f>'Racing Results'!J38</f>
        <v>Mike Thompson</v>
      </c>
      <c r="B49" s="7"/>
      <c r="C49" s="7"/>
      <c r="D49" s="7"/>
      <c r="F49" s="9" t="str">
        <f>'Racing Results'!K38</f>
        <v>C</v>
      </c>
      <c r="G49" s="9" t="str">
        <f>'Racing Results'!L38</f>
        <v>A</v>
      </c>
      <c r="H49" s="9">
        <f>'Racing Results'!M38</f>
        <v>2</v>
      </c>
      <c r="I49" s="64">
        <f>'Racing Results'!N38</f>
        <v>0.84775936157151621</v>
      </c>
      <c r="J49" s="23" t="str">
        <f t="shared" si="2"/>
        <v>Mike Thompson</v>
      </c>
      <c r="K49" s="24" t="str">
        <f t="shared" si="3"/>
        <v>A</v>
      </c>
      <c r="L49" s="25">
        <f t="shared" si="4"/>
        <v>33.910374462860645</v>
      </c>
    </row>
    <row r="50" spans="1:12">
      <c r="A50" s="7" t="str">
        <f>'Racing Results'!J71</f>
        <v>Nick Bonniere</v>
      </c>
      <c r="B50" s="9" t="str">
        <f>'Racing Results'!K71</f>
        <v>C</v>
      </c>
      <c r="C50" s="9" t="str">
        <f>'Racing Results'!L71</f>
        <v>A</v>
      </c>
      <c r="D50" s="9">
        <f>'Racing Results'!M71</f>
        <v>1</v>
      </c>
      <c r="E50" s="7">
        <f>'Racing Results'!N71</f>
        <v>0.91378583473861719</v>
      </c>
      <c r="F50" s="9" t="str">
        <f>'Racing Results'!K59</f>
        <v>F</v>
      </c>
      <c r="G50" s="9" t="str">
        <f>'Racing Results'!L59</f>
        <v>A</v>
      </c>
      <c r="H50" s="9">
        <f>'Racing Results'!M59</f>
        <v>2</v>
      </c>
      <c r="I50" s="64">
        <f>'Racing Results'!N59</f>
        <v>0.94388512216963039</v>
      </c>
      <c r="J50" s="23" t="str">
        <f t="shared" si="2"/>
        <v>Nick Bonniere</v>
      </c>
      <c r="K50" s="24" t="str">
        <f t="shared" si="3"/>
        <v>A</v>
      </c>
      <c r="L50" s="25">
        <f t="shared" si="4"/>
        <v>92.58255497110224</v>
      </c>
    </row>
    <row r="51" spans="1:12">
      <c r="A51" s="7" t="str">
        <f>'Racing Results'!J81</f>
        <v>Paul Fish</v>
      </c>
      <c r="B51" s="9" t="str">
        <f>'Racing Results'!K81</f>
        <v>C</v>
      </c>
      <c r="C51" s="9" t="str">
        <f>'Racing Results'!L81</f>
        <v>B</v>
      </c>
      <c r="D51" s="9">
        <f>'Racing Results'!M81</f>
        <v>1</v>
      </c>
      <c r="E51" s="7">
        <f>'Racing Results'!N81</f>
        <v>0.86664810690423166</v>
      </c>
      <c r="J51" s="23" t="str">
        <f t="shared" si="2"/>
        <v>Paul Fish</v>
      </c>
      <c r="K51" s="24" t="str">
        <f t="shared" si="3"/>
        <v>B</v>
      </c>
      <c r="L51" s="25">
        <f t="shared" si="4"/>
        <v>51.998886414253903</v>
      </c>
    </row>
    <row r="52" spans="1:12">
      <c r="A52" s="7" t="str">
        <f>'Racing Results'!J97</f>
        <v>Pierre Gavillet</v>
      </c>
      <c r="B52" s="9" t="str">
        <f>'Racing Results'!K97</f>
        <v>C</v>
      </c>
      <c r="C52" s="9" t="str">
        <f>'Racing Results'!L97</f>
        <v>C</v>
      </c>
      <c r="D52" s="9">
        <f>'Racing Results'!M97</f>
        <v>1</v>
      </c>
      <c r="E52" s="7">
        <f>'Racing Results'!N97</f>
        <v>1</v>
      </c>
      <c r="J52" s="23" t="str">
        <f t="shared" si="2"/>
        <v>Pierre Gavillet</v>
      </c>
      <c r="K52" s="24" t="str">
        <f t="shared" si="3"/>
        <v>C</v>
      </c>
      <c r="L52" s="25">
        <f t="shared" si="4"/>
        <v>60</v>
      </c>
    </row>
    <row r="53" spans="1:12">
      <c r="A53" s="64" t="str">
        <f>'Racing Results'!J23</f>
        <v>Randy Neilsen</v>
      </c>
      <c r="B53" s="7"/>
      <c r="C53" s="7"/>
      <c r="D53" s="7"/>
      <c r="F53" s="7" t="str">
        <f>'Racing Results'!K23</f>
        <v>C</v>
      </c>
      <c r="G53" s="7" t="str">
        <f>'Racing Results'!L23</f>
        <v>B</v>
      </c>
      <c r="H53" s="7">
        <f>'Racing Results'!M23</f>
        <v>2</v>
      </c>
      <c r="I53" s="7">
        <f>'Racing Results'!N23</f>
        <v>0.61346863468634683</v>
      </c>
      <c r="J53" s="23" t="str">
        <f t="shared" si="2"/>
        <v>Randy Neilsen</v>
      </c>
      <c r="K53" s="24" t="str">
        <f t="shared" si="3"/>
        <v>B</v>
      </c>
      <c r="L53" s="25">
        <f t="shared" si="4"/>
        <v>24.538745387453872</v>
      </c>
    </row>
    <row r="54" spans="1:12">
      <c r="A54" s="7" t="str">
        <f>'Racing Results'!J101</f>
        <v>Ray Wood</v>
      </c>
      <c r="B54" s="9" t="str">
        <f>'Racing Results'!K101</f>
        <v>C</v>
      </c>
      <c r="C54" s="9" t="str">
        <f>'Racing Results'!L101</f>
        <v>C</v>
      </c>
      <c r="D54" s="9">
        <f>'Racing Results'!M101</f>
        <v>1</v>
      </c>
      <c r="E54" s="7">
        <f>'Racing Results'!N101</f>
        <v>0.63002915451895047</v>
      </c>
      <c r="J54" s="23" t="str">
        <f t="shared" si="2"/>
        <v>Ray Wood</v>
      </c>
      <c r="K54" s="24" t="str">
        <f t="shared" si="3"/>
        <v>C</v>
      </c>
      <c r="L54" s="25">
        <f t="shared" si="4"/>
        <v>37.801749271137027</v>
      </c>
    </row>
    <row r="55" spans="1:12">
      <c r="A55" s="7" t="str">
        <f>'Racing Results'!J89</f>
        <v>Roger Hildesheim</v>
      </c>
      <c r="B55" s="9" t="str">
        <f>'Racing Results'!K89</f>
        <v>C</v>
      </c>
      <c r="C55" s="9" t="str">
        <f>'Racing Results'!L89</f>
        <v>B</v>
      </c>
      <c r="D55" s="9">
        <f>'Racing Results'!M89</f>
        <v>1</v>
      </c>
      <c r="E55" s="7">
        <f>'Racing Results'!N89</f>
        <v>0.6945991091314031</v>
      </c>
      <c r="F55" s="9" t="str">
        <f>'Racing Results'!K15</f>
        <v>C</v>
      </c>
      <c r="G55" s="9" t="str">
        <f>'Racing Results'!L15</f>
        <v>A</v>
      </c>
      <c r="H55" s="9">
        <f>'Racing Results'!M15</f>
        <v>2</v>
      </c>
      <c r="I55" s="64">
        <f>'Racing Results'!N15</f>
        <v>0.43656716417910446</v>
      </c>
      <c r="J55" s="23" t="str">
        <f t="shared" si="2"/>
        <v>Roger Hildesheim</v>
      </c>
      <c r="K55" s="24" t="str">
        <f t="shared" si="3"/>
        <v>B</v>
      </c>
      <c r="L55" s="25">
        <f t="shared" si="4"/>
        <v>59.138633115048364</v>
      </c>
    </row>
    <row r="56" spans="1:12">
      <c r="A56" s="64" t="str">
        <f>'Racing Results'!J49</f>
        <v>Ron Cattaruzza</v>
      </c>
      <c r="B56" s="7"/>
      <c r="C56" s="7"/>
      <c r="D56" s="7"/>
      <c r="F56" s="7" t="str">
        <f>'Racing Results'!K49</f>
        <v>C</v>
      </c>
      <c r="G56" s="7" t="str">
        <f>'Racing Results'!L49</f>
        <v>B</v>
      </c>
      <c r="H56" s="7">
        <f>'Racing Results'!M49</f>
        <v>2</v>
      </c>
      <c r="I56" s="7">
        <f>'Racing Results'!N49</f>
        <v>0.66774332472006892</v>
      </c>
      <c r="J56" s="23" t="str">
        <f t="shared" si="2"/>
        <v>Ron Cattaruzza</v>
      </c>
      <c r="K56" s="24" t="str">
        <f t="shared" si="3"/>
        <v>B</v>
      </c>
      <c r="L56" s="25">
        <f t="shared" si="4"/>
        <v>26.709732988802756</v>
      </c>
    </row>
    <row r="57" spans="1:12">
      <c r="A57" s="64" t="str">
        <f>'Racing Results'!J51</f>
        <v>Roy Eichendorf</v>
      </c>
      <c r="B57" s="7"/>
      <c r="C57" s="7"/>
      <c r="D57" s="7"/>
      <c r="F57" s="7" t="str">
        <f>'Racing Results'!K51</f>
        <v>C</v>
      </c>
      <c r="G57" s="7" t="str">
        <f>'Racing Results'!L51</f>
        <v>B</v>
      </c>
      <c r="H57" s="7">
        <f>'Racing Results'!M51</f>
        <v>2</v>
      </c>
      <c r="I57" s="7">
        <f>'Racing Results'!N51</f>
        <v>0.57924203273040487</v>
      </c>
      <c r="J57" s="23" t="str">
        <f t="shared" si="2"/>
        <v>Roy Eichendorf</v>
      </c>
      <c r="K57" s="24" t="str">
        <f t="shared" si="3"/>
        <v>B</v>
      </c>
      <c r="L57" s="25">
        <f t="shared" si="4"/>
        <v>23.169681309216195</v>
      </c>
    </row>
    <row r="58" spans="1:12">
      <c r="A58" s="64" t="str">
        <f>'Racing Results'!J41</f>
        <v>Ryszard Gatkiewicz</v>
      </c>
      <c r="B58" s="7"/>
      <c r="C58" s="7"/>
      <c r="D58" s="7"/>
      <c r="F58" s="7" t="str">
        <f>'Racing Results'!K41</f>
        <v>C</v>
      </c>
      <c r="G58" s="7" t="str">
        <f>'Racing Results'!L41</f>
        <v>A</v>
      </c>
      <c r="H58" s="7">
        <f>'Racing Results'!M41</f>
        <v>2</v>
      </c>
      <c r="I58" s="7">
        <f>'Racing Results'!N41</f>
        <v>0.79680785758133821</v>
      </c>
      <c r="J58" s="23" t="str">
        <f t="shared" si="2"/>
        <v>Ryszard Gatkiewicz</v>
      </c>
      <c r="K58" s="24" t="str">
        <f t="shared" si="3"/>
        <v>A</v>
      </c>
      <c r="L58" s="25">
        <f t="shared" si="4"/>
        <v>31.872314303253528</v>
      </c>
    </row>
    <row r="59" spans="1:12">
      <c r="A59" s="7" t="str">
        <f>'Racing Results'!J100</f>
        <v>Selena Boyle</v>
      </c>
      <c r="B59" s="9" t="str">
        <f>'Racing Results'!K100</f>
        <v>C</v>
      </c>
      <c r="C59" s="9" t="str">
        <f>'Racing Results'!L100</f>
        <v>C</v>
      </c>
      <c r="D59" s="9">
        <f>'Racing Results'!M100</f>
        <v>1</v>
      </c>
      <c r="E59" s="7">
        <f>'Racing Results'!N100</f>
        <v>0.67317784256559765</v>
      </c>
      <c r="F59" s="7" t="str">
        <f>'Racing Results'!K50</f>
        <v>C</v>
      </c>
      <c r="G59" s="7" t="str">
        <f>'Racing Results'!L50</f>
        <v>B</v>
      </c>
      <c r="H59" s="7">
        <f>'Racing Results'!M50</f>
        <v>2</v>
      </c>
      <c r="I59" s="7">
        <f>'Racing Results'!N50</f>
        <v>0.61003445305770887</v>
      </c>
      <c r="J59" s="23" t="str">
        <f t="shared" si="2"/>
        <v>Selena Boyle</v>
      </c>
      <c r="K59" s="24" t="str">
        <f t="shared" si="3"/>
        <v>C</v>
      </c>
      <c r="L59" s="25">
        <f t="shared" si="4"/>
        <v>64.792048676244221</v>
      </c>
    </row>
    <row r="60" spans="1:12">
      <c r="A60" s="7" t="str">
        <f>'Racing Results'!J84</f>
        <v>Sergei Morozov</v>
      </c>
      <c r="B60" s="9" t="str">
        <f>'Racing Results'!K84</f>
        <v>C</v>
      </c>
      <c r="C60" s="9" t="str">
        <f>'Racing Results'!L84</f>
        <v>B</v>
      </c>
      <c r="D60" s="9">
        <f>'Racing Results'!M84</f>
        <v>1</v>
      </c>
      <c r="E60" s="7">
        <f>'Racing Results'!N84</f>
        <v>0.79315144766146994</v>
      </c>
      <c r="F60" s="7" t="str">
        <f>'Racing Results'!K13</f>
        <v>C</v>
      </c>
      <c r="G60" s="7" t="str">
        <f>'Racing Results'!L13</f>
        <v>A</v>
      </c>
      <c r="H60" s="7">
        <f>'Racing Results'!M13</f>
        <v>2</v>
      </c>
      <c r="I60" s="7">
        <f>'Racing Results'!N13</f>
        <v>0.80640913081650567</v>
      </c>
      <c r="J60" s="23" t="str">
        <f t="shared" si="2"/>
        <v>Sergei Morozov</v>
      </c>
      <c r="K60" s="24" t="str">
        <f t="shared" si="3"/>
        <v>B</v>
      </c>
      <c r="L60" s="25">
        <f t="shared" si="4"/>
        <v>79.845452092348424</v>
      </c>
    </row>
    <row r="61" spans="1:12">
      <c r="A61" s="64" t="str">
        <f>'Racing Results'!J14</f>
        <v>Steve Burany</v>
      </c>
      <c r="B61" s="7"/>
      <c r="C61" s="7"/>
      <c r="D61" s="7"/>
      <c r="F61" s="7" t="str">
        <f>'Racing Results'!K14</f>
        <v>C</v>
      </c>
      <c r="G61" s="7" t="str">
        <f>'Racing Results'!L14</f>
        <v>A</v>
      </c>
      <c r="H61" s="7">
        <f>'Racing Results'!M14</f>
        <v>2</v>
      </c>
      <c r="I61" s="7">
        <f>'Racing Results'!N14</f>
        <v>0.45171202809482003</v>
      </c>
      <c r="J61" s="23" t="str">
        <f t="shared" si="2"/>
        <v>Steve Burany</v>
      </c>
      <c r="K61" s="24" t="str">
        <f t="shared" si="3"/>
        <v>A</v>
      </c>
      <c r="L61" s="25">
        <f t="shared" si="4"/>
        <v>18.0684811237928</v>
      </c>
    </row>
    <row r="62" spans="1:12">
      <c r="A62" s="7" t="str">
        <f>'Racing Results'!J104</f>
        <v>Tim Radder</v>
      </c>
      <c r="B62" s="9" t="str">
        <f>'Racing Results'!K104</f>
        <v>C</v>
      </c>
      <c r="C62" s="9" t="str">
        <f>'Racing Results'!L104</f>
        <v>C</v>
      </c>
      <c r="D62" s="9">
        <f>'Racing Results'!M104</f>
        <v>1</v>
      </c>
      <c r="E62" s="7">
        <f>'Racing Results'!N104</f>
        <v>7.8717201166180764E-2</v>
      </c>
      <c r="F62" s="9" t="str">
        <f>'Racing Results'!K53</f>
        <v>C</v>
      </c>
      <c r="G62" s="9" t="str">
        <f>'Racing Results'!L53</f>
        <v>B</v>
      </c>
      <c r="H62" s="9">
        <f>'Racing Results'!M53</f>
        <v>2</v>
      </c>
      <c r="I62" s="64">
        <f>'Racing Results'!N53</f>
        <v>0.45973298880275626</v>
      </c>
      <c r="J62" s="23" t="str">
        <f t="shared" si="2"/>
        <v>Tim Radder</v>
      </c>
      <c r="K62" s="24" t="str">
        <f t="shared" si="3"/>
        <v>C</v>
      </c>
      <c r="L62" s="25">
        <f t="shared" si="4"/>
        <v>23.112351622081096</v>
      </c>
    </row>
    <row r="63" spans="1:12">
      <c r="A63" s="64" t="str">
        <f>'Racing Results'!J45</f>
        <v>Tony Burton</v>
      </c>
      <c r="B63" s="7"/>
      <c r="C63" s="7"/>
      <c r="D63" s="7"/>
      <c r="F63" s="9" t="str">
        <f>'Racing Results'!K45</f>
        <v>C</v>
      </c>
      <c r="G63" s="9" t="str">
        <f>'Racing Results'!L45</f>
        <v>B</v>
      </c>
      <c r="H63" s="9">
        <f>'Racing Results'!M45</f>
        <v>2</v>
      </c>
      <c r="I63" s="64">
        <f>'Racing Results'!N45</f>
        <v>0.87790697674418605</v>
      </c>
      <c r="J63" s="23" t="str">
        <f t="shared" si="2"/>
        <v>Tony Burton</v>
      </c>
      <c r="K63" s="24" t="str">
        <f t="shared" si="3"/>
        <v>B</v>
      </c>
      <c r="L63" s="25">
        <f t="shared" si="4"/>
        <v>35.116279069767444</v>
      </c>
    </row>
    <row r="64" spans="1:12">
      <c r="A64" s="7" t="str">
        <f>'Racing Results'!J76</f>
        <v>Willem Langelaan</v>
      </c>
      <c r="B64" s="9" t="str">
        <f>'Racing Results'!K76</f>
        <v>C</v>
      </c>
      <c r="C64" s="9" t="str">
        <f>'Racing Results'!L76</f>
        <v>A</v>
      </c>
      <c r="D64" s="9">
        <f>'Racing Results'!M76</f>
        <v>1</v>
      </c>
      <c r="E64" s="7">
        <f>'Racing Results'!N76</f>
        <v>0.63870151770657668</v>
      </c>
      <c r="F64" s="9" t="str">
        <f>'Racing Results'!K9</f>
        <v>C</v>
      </c>
      <c r="G64" s="9" t="str">
        <f>'Racing Results'!L9</f>
        <v>A</v>
      </c>
      <c r="H64" s="9">
        <f>'Racing Results'!M9</f>
        <v>2</v>
      </c>
      <c r="I64" s="64">
        <f>'Racing Results'!N9</f>
        <v>0.9694907813871817</v>
      </c>
      <c r="J64" s="23" t="str">
        <f t="shared" si="2"/>
        <v>Willem Langelaan</v>
      </c>
      <c r="K64" s="24" t="str">
        <f t="shared" si="3"/>
        <v>A</v>
      </c>
      <c r="L64" s="25">
        <f t="shared" si="4"/>
        <v>77.101722317881865</v>
      </c>
    </row>
    <row r="65" spans="1:12">
      <c r="A65" s="7" t="str">
        <f>'Racing Results'!J95</f>
        <v>Yves Bastien</v>
      </c>
      <c r="B65" s="9" t="str">
        <f>'Racing Results'!K95</f>
        <v>C</v>
      </c>
      <c r="C65" s="9" t="str">
        <f>'Racing Results'!L95</f>
        <v>B</v>
      </c>
      <c r="D65" s="9">
        <f>'Racing Results'!M95</f>
        <v>1</v>
      </c>
      <c r="E65" s="7">
        <f>'Racing Results'!N95</f>
        <v>0.27728285077951004</v>
      </c>
      <c r="J65" s="23" t="str">
        <f t="shared" si="2"/>
        <v>Yves Bastien</v>
      </c>
      <c r="K65" s="24" t="str">
        <f t="shared" si="3"/>
        <v>B</v>
      </c>
      <c r="L65" s="25">
        <f t="shared" si="4"/>
        <v>16.636971046770601</v>
      </c>
    </row>
    <row r="66" spans="1:12">
      <c r="A66" s="7" t="str">
        <f>'Racing Results'!J102</f>
        <v>Zach Martin</v>
      </c>
      <c r="B66" s="9" t="str">
        <f>'Racing Results'!K102</f>
        <v>C</v>
      </c>
      <c r="C66" s="9" t="str">
        <f>'Racing Results'!L102</f>
        <v>C</v>
      </c>
      <c r="D66" s="9">
        <f>'Racing Results'!M102</f>
        <v>1</v>
      </c>
      <c r="E66" s="7">
        <f>'Racing Results'!N102</f>
        <v>0.4769679300291545</v>
      </c>
      <c r="J66" s="23" t="str">
        <f t="shared" si="2"/>
        <v>Zach Martin</v>
      </c>
      <c r="K66" s="24" t="str">
        <f t="shared" si="3"/>
        <v>C</v>
      </c>
      <c r="L66" s="25">
        <f t="shared" si="4"/>
        <v>28.618075801749271</v>
      </c>
    </row>
  </sheetData>
  <sortState ref="A15:E122">
    <sortCondition ref="A15:A122"/>
    <sortCondition ref="D15:D122"/>
    <sortCondition descending="1" ref="E15:E122"/>
  </sortState>
  <mergeCells count="9">
    <mergeCell ref="K2:L2"/>
    <mergeCell ref="A12:E12"/>
    <mergeCell ref="F12:I12"/>
    <mergeCell ref="J12:L12"/>
    <mergeCell ref="A1:L1"/>
    <mergeCell ref="K9:L9"/>
    <mergeCell ref="K10:L10"/>
    <mergeCell ref="K11:L11"/>
    <mergeCell ref="B7:L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G54"/>
  <sheetViews>
    <sheetView tabSelected="1" workbookViewId="0">
      <selection activeCell="G20" sqref="G20"/>
    </sheetView>
  </sheetViews>
  <sheetFormatPr defaultRowHeight="15"/>
  <cols>
    <col min="1" max="1" width="9.140625" style="7"/>
    <col min="2" max="2" width="6.7109375" style="9" customWidth="1"/>
    <col min="3" max="3" width="24.42578125" style="7" customWidth="1"/>
    <col min="4" max="4" width="9.5703125" style="7" hidden="1" customWidth="1"/>
    <col min="5" max="5" width="11.42578125" style="7" customWidth="1"/>
    <col min="6" max="6" width="10.5703125" style="7" customWidth="1"/>
    <col min="7" max="7" width="11.7109375" style="7" customWidth="1"/>
    <col min="8" max="16384" width="9.140625" style="7"/>
  </cols>
  <sheetData>
    <row r="1" spans="1:7" ht="20.25" customHeight="1" thickBot="1">
      <c r="A1" s="21"/>
      <c r="B1" s="115" t="s">
        <v>76</v>
      </c>
      <c r="C1" s="116"/>
      <c r="D1" s="116"/>
      <c r="E1" s="117"/>
      <c r="F1" s="20"/>
      <c r="G1" s="20"/>
    </row>
    <row r="2" spans="1:7" s="8" customFormat="1" ht="30.75" thickBot="1">
      <c r="A2" s="30"/>
      <c r="B2" s="29" t="s">
        <v>68</v>
      </c>
      <c r="C2" s="31" t="s">
        <v>77</v>
      </c>
      <c r="D2" s="31" t="s">
        <v>67</v>
      </c>
      <c r="E2" s="32" t="s">
        <v>66</v>
      </c>
    </row>
    <row r="3" spans="1:7" ht="15" customHeight="1">
      <c r="A3" s="118" t="s">
        <v>78</v>
      </c>
      <c r="B3" s="90">
        <v>1</v>
      </c>
      <c r="C3" s="91" t="str">
        <f>Scoring!J25</f>
        <v>Dave Springford</v>
      </c>
      <c r="D3" s="91" t="str">
        <f>Scoring!K25</f>
        <v>A</v>
      </c>
      <c r="E3" s="92">
        <f>Scoring!L25</f>
        <v>103.20840336134455</v>
      </c>
    </row>
    <row r="4" spans="1:7">
      <c r="A4" s="119"/>
      <c r="B4" s="93">
        <v>2</v>
      </c>
      <c r="C4" s="94" t="str">
        <f>Scoring!J36</f>
        <v>Jerzy Szemplinski</v>
      </c>
      <c r="D4" s="95" t="str">
        <f>Scoring!K36</f>
        <v>A</v>
      </c>
      <c r="E4" s="96">
        <f>Scoring!L36</f>
        <v>102.08160535117057</v>
      </c>
    </row>
    <row r="5" spans="1:7">
      <c r="A5" s="119"/>
      <c r="B5" s="93">
        <v>3</v>
      </c>
      <c r="C5" s="94" t="str">
        <f>Scoring!J39</f>
        <v>Joerg Stieber</v>
      </c>
      <c r="D5" s="95" t="str">
        <f>Scoring!K39</f>
        <v>A</v>
      </c>
      <c r="E5" s="96">
        <f>Scoring!L39</f>
        <v>96.229411764705887</v>
      </c>
    </row>
    <row r="6" spans="1:7">
      <c r="A6" s="119"/>
      <c r="B6" s="93">
        <v>4</v>
      </c>
      <c r="C6" s="94" t="str">
        <f>Scoring!J50</f>
        <v>Nick Bonniere</v>
      </c>
      <c r="D6" s="95" t="str">
        <f>Scoring!K50</f>
        <v>A</v>
      </c>
      <c r="E6" s="96">
        <f>Scoring!L50</f>
        <v>92.58255497110224</v>
      </c>
    </row>
    <row r="7" spans="1:7">
      <c r="A7" s="119"/>
      <c r="B7" s="93">
        <v>5</v>
      </c>
      <c r="C7" s="94" t="str">
        <f>Scoring!J27</f>
        <v>Derek Mackie</v>
      </c>
      <c r="D7" s="94" t="str">
        <f>Scoring!K27</f>
        <v>A</v>
      </c>
      <c r="E7" s="96">
        <f>Scoring!L27</f>
        <v>90.491963225558663</v>
      </c>
    </row>
    <row r="8" spans="1:7">
      <c r="A8" s="119"/>
      <c r="B8" s="93">
        <v>6</v>
      </c>
      <c r="C8" s="94" t="str">
        <f>Scoring!J28</f>
        <v>Ed Hollistelle Sr.</v>
      </c>
      <c r="D8" s="94" t="str">
        <f>Scoring!K28</f>
        <v>A</v>
      </c>
      <c r="E8" s="96">
        <f>Scoring!L28</f>
        <v>87.048959399017207</v>
      </c>
    </row>
    <row r="9" spans="1:7">
      <c r="A9" s="119"/>
      <c r="B9" s="93">
        <v>7</v>
      </c>
      <c r="C9" s="94" t="str">
        <f>Scoring!J64</f>
        <v>Willem Langelaan</v>
      </c>
      <c r="D9" s="95" t="str">
        <f>Scoring!K64</f>
        <v>A</v>
      </c>
      <c r="E9" s="96">
        <f>Scoring!L64</f>
        <v>77.101722317881865</v>
      </c>
    </row>
    <row r="10" spans="1:7">
      <c r="A10" s="119"/>
      <c r="B10" s="93">
        <v>8</v>
      </c>
      <c r="C10" s="94" t="str">
        <f>Scoring!J17</f>
        <v>Andrzej Kobus</v>
      </c>
      <c r="D10" s="95" t="str">
        <f>Scoring!K17</f>
        <v>A</v>
      </c>
      <c r="E10" s="96">
        <f>Scoring!L17</f>
        <v>74.62426191988169</v>
      </c>
    </row>
    <row r="11" spans="1:7">
      <c r="A11" s="119"/>
      <c r="B11" s="93">
        <v>9</v>
      </c>
      <c r="C11" s="94" t="str">
        <f>Scoring!J26</f>
        <v>Dennis Vreeken</v>
      </c>
      <c r="D11" s="95" t="str">
        <f>Scoring!K26</f>
        <v>A</v>
      </c>
      <c r="E11" s="96">
        <f>Scoring!L26</f>
        <v>35.039901780233272</v>
      </c>
    </row>
    <row r="12" spans="1:7">
      <c r="A12" s="119"/>
      <c r="B12" s="93">
        <v>10</v>
      </c>
      <c r="C12" s="94" t="str">
        <f>Scoring!J49</f>
        <v>Mike Thompson</v>
      </c>
      <c r="D12" s="95" t="str">
        <f>Scoring!K49</f>
        <v>A</v>
      </c>
      <c r="E12" s="96">
        <f>Scoring!L49</f>
        <v>33.910374462860645</v>
      </c>
    </row>
    <row r="13" spans="1:7">
      <c r="A13" s="119"/>
      <c r="B13" s="93">
        <v>11</v>
      </c>
      <c r="C13" s="94" t="str">
        <f>Scoring!J58</f>
        <v>Ryszard Gatkiewicz</v>
      </c>
      <c r="D13" s="95" t="str">
        <f>Scoring!K58</f>
        <v>A</v>
      </c>
      <c r="E13" s="96">
        <f>Scoring!L58</f>
        <v>31.872314303253528</v>
      </c>
    </row>
    <row r="14" spans="1:7">
      <c r="A14" s="119"/>
      <c r="B14" s="93">
        <v>12</v>
      </c>
      <c r="C14" s="94" t="str">
        <f>Scoring!J61</f>
        <v>Steve Burany</v>
      </c>
      <c r="D14" s="95" t="str">
        <f>Scoring!K61</f>
        <v>A</v>
      </c>
      <c r="E14" s="96">
        <f>Scoring!L61</f>
        <v>18.0684811237928</v>
      </c>
    </row>
    <row r="15" spans="1:7">
      <c r="A15" s="119"/>
      <c r="B15" s="93">
        <v>13</v>
      </c>
      <c r="C15" s="94" t="str">
        <f>Scoring!J44</f>
        <v>Leo Deschamps</v>
      </c>
      <c r="D15" s="95" t="str">
        <f>Scoring!K44</f>
        <v>A</v>
      </c>
      <c r="E15" s="96">
        <f>Scoring!L44</f>
        <v>12.533726812816189</v>
      </c>
    </row>
    <row r="16" spans="1:7" ht="15.75" thickBot="1">
      <c r="A16" s="120"/>
      <c r="B16" s="93">
        <v>14</v>
      </c>
      <c r="C16" s="94" t="str">
        <f>Scoring!J37</f>
        <v>Jim Carpenter</v>
      </c>
      <c r="D16" s="95" t="str">
        <f>Scoring!K37</f>
        <v>A</v>
      </c>
      <c r="E16" s="96">
        <f>Scoring!L37</f>
        <v>5.4890387858347385</v>
      </c>
    </row>
    <row r="17" spans="1:5" ht="15" customHeight="1">
      <c r="A17" s="124" t="s">
        <v>79</v>
      </c>
      <c r="B17" s="88">
        <v>1</v>
      </c>
      <c r="C17" s="79" t="str">
        <f>Scoring!J18</f>
        <v>Anthony Kawzowicz</v>
      </c>
      <c r="D17" s="80" t="str">
        <f>Scoring!K18</f>
        <v>B</v>
      </c>
      <c r="E17" s="81">
        <f>Scoring!L18</f>
        <v>93.769487750556792</v>
      </c>
    </row>
    <row r="18" spans="1:5">
      <c r="A18" s="125"/>
      <c r="B18" s="89">
        <v>2</v>
      </c>
      <c r="C18" s="82" t="str">
        <f>Scoring!J22</f>
        <v>Chris Gough</v>
      </c>
      <c r="D18" s="82" t="str">
        <f>Scoring!K22</f>
        <v>B</v>
      </c>
      <c r="E18" s="25">
        <f>Scoring!L22</f>
        <v>91.612549019607854</v>
      </c>
    </row>
    <row r="19" spans="1:5" ht="15" customHeight="1">
      <c r="A19" s="125"/>
      <c r="B19" s="89">
        <v>3</v>
      </c>
      <c r="C19" s="82" t="str">
        <f>Scoring!J19</f>
        <v>Bill Cole</v>
      </c>
      <c r="D19" s="24" t="str">
        <f>Scoring!K19</f>
        <v>B</v>
      </c>
      <c r="E19" s="25">
        <f>Scoring!L19</f>
        <v>87.639198218262806</v>
      </c>
    </row>
    <row r="20" spans="1:5" ht="15" customHeight="1">
      <c r="A20" s="125"/>
      <c r="B20" s="89">
        <v>4</v>
      </c>
      <c r="C20" s="82" t="str">
        <f>Scoring!J45</f>
        <v>Luke Szczepaniak</v>
      </c>
      <c r="D20" s="24" t="str">
        <f>Scoring!K45</f>
        <v>B</v>
      </c>
      <c r="E20" s="25">
        <f>Scoring!L45</f>
        <v>80.33086393928167</v>
      </c>
    </row>
    <row r="21" spans="1:5">
      <c r="A21" s="125"/>
      <c r="B21" s="89">
        <v>5</v>
      </c>
      <c r="C21" s="82" t="str">
        <f>Scoring!J60</f>
        <v>Sergei Morozov</v>
      </c>
      <c r="D21" s="24" t="str">
        <f>Scoring!K60</f>
        <v>B</v>
      </c>
      <c r="E21" s="25">
        <f>Scoring!L60</f>
        <v>79.845452092348424</v>
      </c>
    </row>
    <row r="22" spans="1:5">
      <c r="A22" s="125"/>
      <c r="B22" s="89">
        <v>6</v>
      </c>
      <c r="C22" s="82" t="str">
        <f>Scoring!J40</f>
        <v>John Brennan</v>
      </c>
      <c r="D22" s="82" t="str">
        <f>Scoring!K40</f>
        <v>B</v>
      </c>
      <c r="E22" s="25">
        <f>Scoring!L40</f>
        <v>78.306774381775</v>
      </c>
    </row>
    <row r="23" spans="1:5" ht="15" customHeight="1">
      <c r="A23" s="125"/>
      <c r="B23" s="89">
        <v>7</v>
      </c>
      <c r="C23" s="82" t="str">
        <f>Scoring!J16</f>
        <v>Alf Marcelissen</v>
      </c>
      <c r="D23" s="24" t="str">
        <f>Scoring!K16</f>
        <v>B</v>
      </c>
      <c r="E23" s="25">
        <f>Scoring!L16</f>
        <v>78.221611781819377</v>
      </c>
    </row>
    <row r="24" spans="1:5">
      <c r="A24" s="125"/>
      <c r="B24" s="89">
        <v>8</v>
      </c>
      <c r="C24" s="82" t="str">
        <f>Scoring!J41</f>
        <v>John Mulder</v>
      </c>
      <c r="D24" s="82" t="str">
        <f>Scoring!K41</f>
        <v>B</v>
      </c>
      <c r="E24" s="25">
        <f>Scoring!L41</f>
        <v>69.501245976439463</v>
      </c>
    </row>
    <row r="25" spans="1:5">
      <c r="A25" s="125"/>
      <c r="B25" s="89">
        <v>9</v>
      </c>
      <c r="C25" s="82" t="str">
        <f>Scoring!J24</f>
        <v>Dave Cole</v>
      </c>
      <c r="D25" s="82" t="str">
        <f>Scoring!K24</f>
        <v>B</v>
      </c>
      <c r="E25" s="25">
        <f>Scoring!L24</f>
        <v>65.325836832978567</v>
      </c>
    </row>
    <row r="26" spans="1:5">
      <c r="A26" s="125"/>
      <c r="B26" s="89">
        <v>10</v>
      </c>
      <c r="C26" s="82" t="str">
        <f>Scoring!J55</f>
        <v>Roger Hildesheim</v>
      </c>
      <c r="D26" s="24" t="str">
        <f>Scoring!K55</f>
        <v>B</v>
      </c>
      <c r="E26" s="25">
        <f>Scoring!L55</f>
        <v>59.138633115048364</v>
      </c>
    </row>
    <row r="27" spans="1:5">
      <c r="A27" s="125"/>
      <c r="B27" s="89">
        <v>11</v>
      </c>
      <c r="C27" s="82" t="str">
        <f>Scoring!J23</f>
        <v>Dan Cook</v>
      </c>
      <c r="D27" s="82" t="str">
        <f>Scoring!K23</f>
        <v>B</v>
      </c>
      <c r="E27" s="25">
        <f>Scoring!L23</f>
        <v>55.808774973647182</v>
      </c>
    </row>
    <row r="28" spans="1:5">
      <c r="A28" s="125"/>
      <c r="B28" s="89">
        <v>12</v>
      </c>
      <c r="C28" s="82" t="str">
        <f>Scoring!J51</f>
        <v>Paul Fish</v>
      </c>
      <c r="D28" s="82" t="str">
        <f>Scoring!K51</f>
        <v>B</v>
      </c>
      <c r="E28" s="25">
        <f>Scoring!L51</f>
        <v>51.998886414253903</v>
      </c>
    </row>
    <row r="29" spans="1:5">
      <c r="A29" s="125"/>
      <c r="B29" s="89">
        <v>13</v>
      </c>
      <c r="C29" s="82" t="str">
        <f>Scoring!J46</f>
        <v>Marian Nowak</v>
      </c>
      <c r="D29" s="24" t="str">
        <f>Scoring!K46</f>
        <v>B</v>
      </c>
      <c r="E29" s="25">
        <f>Scoring!L46</f>
        <v>43.329621380846326</v>
      </c>
    </row>
    <row r="30" spans="1:5">
      <c r="A30" s="125"/>
      <c r="B30" s="89">
        <v>14</v>
      </c>
      <c r="C30" s="82" t="str">
        <f>Scoring!J47</f>
        <v>Martin Brassard</v>
      </c>
      <c r="D30" s="24" t="str">
        <f>Scoring!K47</f>
        <v>B</v>
      </c>
      <c r="E30" s="25">
        <f>Scoring!L47</f>
        <v>38.886414253897556</v>
      </c>
    </row>
    <row r="31" spans="1:5">
      <c r="A31" s="125"/>
      <c r="B31" s="89">
        <v>15</v>
      </c>
      <c r="C31" s="82" t="str">
        <f>Scoring!J63</f>
        <v>Tony Burton</v>
      </c>
      <c r="D31" s="24" t="str">
        <f>Scoring!K63</f>
        <v>B</v>
      </c>
      <c r="E31" s="25">
        <f>Scoring!L63</f>
        <v>35.116279069767444</v>
      </c>
    </row>
    <row r="32" spans="1:5">
      <c r="A32" s="125"/>
      <c r="B32" s="89">
        <v>16</v>
      </c>
      <c r="C32" s="82" t="str">
        <f>Scoring!J42</f>
        <v>Krzysztof Wiercioch</v>
      </c>
      <c r="D32" s="82" t="str">
        <f>Scoring!K42</f>
        <v>B</v>
      </c>
      <c r="E32" s="25">
        <f>Scoring!L42</f>
        <v>34.075723830734965</v>
      </c>
    </row>
    <row r="33" spans="1:5">
      <c r="A33" s="125"/>
      <c r="B33" s="89">
        <v>17</v>
      </c>
      <c r="C33" s="82" t="str">
        <f>Scoring!J20</f>
        <v>Bruce Friesen</v>
      </c>
      <c r="D33" s="82" t="str">
        <f>Scoring!K20</f>
        <v>B</v>
      </c>
      <c r="E33" s="25">
        <f>Scoring!L20</f>
        <v>33.471145564168822</v>
      </c>
    </row>
    <row r="34" spans="1:5">
      <c r="A34" s="125"/>
      <c r="B34" s="89">
        <v>18</v>
      </c>
      <c r="C34" s="82" t="str">
        <f>Scoring!J31</f>
        <v>Guy Blood</v>
      </c>
      <c r="D34" s="24" t="str">
        <f>Scoring!K31</f>
        <v>B</v>
      </c>
      <c r="E34" s="25">
        <f>Scoring!L31</f>
        <v>32.997416020671835</v>
      </c>
    </row>
    <row r="35" spans="1:5">
      <c r="A35" s="125"/>
      <c r="B35" s="89">
        <v>19</v>
      </c>
      <c r="C35" s="82" t="str">
        <f>Scoring!J15</f>
        <v>Al Hoar</v>
      </c>
      <c r="D35" s="24" t="str">
        <f>Scoring!K15</f>
        <v>B</v>
      </c>
      <c r="E35" s="25">
        <f>Scoring!L15</f>
        <v>32.015503875968989</v>
      </c>
    </row>
    <row r="36" spans="1:5">
      <c r="A36" s="125"/>
      <c r="B36" s="89">
        <v>20</v>
      </c>
      <c r="C36" s="82" t="str">
        <f>Scoring!J43</f>
        <v>Larry Springford</v>
      </c>
      <c r="D36" s="82" t="str">
        <f>Scoring!K43</f>
        <v>B</v>
      </c>
      <c r="E36" s="25">
        <f>Scoring!L43</f>
        <v>31.669741697416974</v>
      </c>
    </row>
    <row r="37" spans="1:5">
      <c r="A37" s="125"/>
      <c r="B37" s="89">
        <v>21</v>
      </c>
      <c r="C37" s="82" t="str">
        <f>Scoring!J56</f>
        <v>Ron Cattaruzza</v>
      </c>
      <c r="D37" s="24" t="str">
        <f>Scoring!K56</f>
        <v>B</v>
      </c>
      <c r="E37" s="25">
        <f>Scoring!L56</f>
        <v>26.709732988802756</v>
      </c>
    </row>
    <row r="38" spans="1:5">
      <c r="A38" s="125"/>
      <c r="B38" s="89">
        <v>22</v>
      </c>
      <c r="C38" s="82" t="str">
        <f>Scoring!J53</f>
        <v>Randy Neilsen</v>
      </c>
      <c r="D38" s="82" t="str">
        <f>Scoring!K53</f>
        <v>B</v>
      </c>
      <c r="E38" s="25">
        <f>Scoring!L53</f>
        <v>24.538745387453872</v>
      </c>
    </row>
    <row r="39" spans="1:5">
      <c r="A39" s="125"/>
      <c r="B39" s="89">
        <v>23</v>
      </c>
      <c r="C39" s="82" t="str">
        <f>Scoring!J57</f>
        <v>Roy Eichendorf</v>
      </c>
      <c r="D39" s="24" t="str">
        <f>Scoring!K57</f>
        <v>B</v>
      </c>
      <c r="E39" s="25">
        <f>Scoring!L57</f>
        <v>23.169681309216195</v>
      </c>
    </row>
    <row r="40" spans="1:5">
      <c r="A40" s="125"/>
      <c r="B40" s="89">
        <v>24</v>
      </c>
      <c r="C40" s="82" t="str">
        <f>Scoring!J29</f>
        <v>Emmanuael Cadieux</v>
      </c>
      <c r="D40" s="82" t="str">
        <f>Scoring!K29</f>
        <v>B</v>
      </c>
      <c r="E40" s="25">
        <f>Scoring!L29</f>
        <v>21.915367483296215</v>
      </c>
    </row>
    <row r="41" spans="1:5">
      <c r="A41" s="125"/>
      <c r="B41" s="89">
        <v>25</v>
      </c>
      <c r="C41" s="82" t="str">
        <f>Scoring!J21</f>
        <v>Carol Mulder</v>
      </c>
      <c r="D41" s="24" t="str">
        <f>Scoring!K21</f>
        <v>B</v>
      </c>
      <c r="E41" s="25">
        <f>Scoring!L21</f>
        <v>21.266149870801033</v>
      </c>
    </row>
    <row r="42" spans="1:5">
      <c r="A42" s="125"/>
      <c r="B42" s="89">
        <v>26</v>
      </c>
      <c r="C42" s="82" t="str">
        <f>Scoring!J48</f>
        <v>Mike Stoesser</v>
      </c>
      <c r="D42" s="24" t="str">
        <f>Scoring!K48</f>
        <v>B</v>
      </c>
      <c r="E42" s="25">
        <f>Scoring!L48</f>
        <v>17.226528854435831</v>
      </c>
    </row>
    <row r="43" spans="1:5">
      <c r="A43" s="125"/>
      <c r="B43" s="89">
        <v>27</v>
      </c>
      <c r="C43" s="82" t="str">
        <f>Scoring!J65</f>
        <v>Yves Bastien</v>
      </c>
      <c r="D43" s="24" t="str">
        <f>Scoring!K65</f>
        <v>B</v>
      </c>
      <c r="E43" s="25">
        <f>Scoring!L65</f>
        <v>16.636971046770601</v>
      </c>
    </row>
    <row r="44" spans="1:5">
      <c r="A44" s="125"/>
      <c r="B44" s="89">
        <v>28</v>
      </c>
      <c r="C44" s="82" t="str">
        <f>Scoring!J32</f>
        <v>Hank Hees</v>
      </c>
      <c r="D44" s="24" t="str">
        <f>Scoring!K32</f>
        <v>B</v>
      </c>
      <c r="E44" s="25">
        <f>Scoring!L32</f>
        <v>14.918173987941429</v>
      </c>
    </row>
    <row r="45" spans="1:5">
      <c r="A45" s="125"/>
      <c r="B45" s="89">
        <v>29</v>
      </c>
      <c r="C45" s="82" t="str">
        <f>Scoring!J33</f>
        <v>Hans Juergensen</v>
      </c>
      <c r="D45" s="24" t="str">
        <f>Scoring!K33</f>
        <v>B</v>
      </c>
      <c r="E45" s="25">
        <f>Scoring!L33</f>
        <v>13.546770601336302</v>
      </c>
    </row>
    <row r="46" spans="1:5" ht="15.75" thickBot="1">
      <c r="A46" s="126"/>
      <c r="B46" s="89">
        <v>30</v>
      </c>
      <c r="C46" s="82" t="str">
        <f>Scoring!J30</f>
        <v>Frank Cwikla</v>
      </c>
      <c r="D46" s="24" t="str">
        <f>Scoring!K30</f>
        <v>B</v>
      </c>
      <c r="E46" s="25">
        <f>Scoring!L30</f>
        <v>6.1154177433247199</v>
      </c>
    </row>
    <row r="47" spans="1:5">
      <c r="A47" s="121" t="s">
        <v>137</v>
      </c>
      <c r="B47" s="85">
        <v>1</v>
      </c>
      <c r="C47" s="73" t="str">
        <f>Scoring!J38</f>
        <v>Jim Freyett</v>
      </c>
      <c r="D47" s="74" t="str">
        <f>Scoring!K38</f>
        <v>C</v>
      </c>
      <c r="E47" s="75">
        <f>Scoring!L38</f>
        <v>82.645842522565175</v>
      </c>
    </row>
    <row r="48" spans="1:5">
      <c r="A48" s="122"/>
      <c r="B48" s="86">
        <v>2</v>
      </c>
      <c r="C48" s="76" t="str">
        <f>Scoring!J59</f>
        <v>Selena Boyle</v>
      </c>
      <c r="D48" s="77" t="str">
        <f>Scoring!K59</f>
        <v>C</v>
      </c>
      <c r="E48" s="78">
        <f>Scoring!L59</f>
        <v>64.792048676244221</v>
      </c>
    </row>
    <row r="49" spans="1:5" ht="15" customHeight="1">
      <c r="A49" s="122"/>
      <c r="B49" s="86">
        <v>3</v>
      </c>
      <c r="C49" s="76" t="str">
        <f>Scoring!J52</f>
        <v>Pierre Gavillet</v>
      </c>
      <c r="D49" s="77" t="str">
        <f>Scoring!K52</f>
        <v>C</v>
      </c>
      <c r="E49" s="78">
        <f>Scoring!L52</f>
        <v>60</v>
      </c>
    </row>
    <row r="50" spans="1:5">
      <c r="A50" s="122"/>
      <c r="B50" s="86">
        <v>4</v>
      </c>
      <c r="C50" s="76" t="str">
        <f>Scoring!J34</f>
        <v>Herrie ten Cate</v>
      </c>
      <c r="D50" s="76" t="str">
        <f>Scoring!K34</f>
        <v>C</v>
      </c>
      <c r="E50" s="78">
        <f>Scoring!L34</f>
        <v>44.606413994169095</v>
      </c>
    </row>
    <row r="51" spans="1:5">
      <c r="A51" s="122"/>
      <c r="B51" s="86">
        <v>5</v>
      </c>
      <c r="C51" s="76" t="str">
        <f>Scoring!J54</f>
        <v>Ray Wood</v>
      </c>
      <c r="D51" s="77" t="str">
        <f>Scoring!K54</f>
        <v>C</v>
      </c>
      <c r="E51" s="78">
        <f>Scoring!L54</f>
        <v>37.801749271137027</v>
      </c>
    </row>
    <row r="52" spans="1:5">
      <c r="A52" s="122"/>
      <c r="B52" s="86">
        <v>6</v>
      </c>
      <c r="C52" s="76" t="str">
        <f>Scoring!J66</f>
        <v>Zach Martin</v>
      </c>
      <c r="D52" s="77" t="str">
        <f>Scoring!K66</f>
        <v>C</v>
      </c>
      <c r="E52" s="78">
        <f>Scoring!L66</f>
        <v>28.618075801749271</v>
      </c>
    </row>
    <row r="53" spans="1:5">
      <c r="A53" s="122"/>
      <c r="B53" s="86">
        <v>7</v>
      </c>
      <c r="C53" s="76" t="str">
        <f>Scoring!J62</f>
        <v>Tim Radder</v>
      </c>
      <c r="D53" s="77" t="str">
        <f>Scoring!K62</f>
        <v>C</v>
      </c>
      <c r="E53" s="78">
        <f>Scoring!L62</f>
        <v>23.112351622081096</v>
      </c>
    </row>
    <row r="54" spans="1:5" ht="15.75" thickBot="1">
      <c r="A54" s="123"/>
      <c r="B54" s="87">
        <v>8</v>
      </c>
      <c r="C54" s="83" t="str">
        <f>Scoring!J35</f>
        <v>Jay Allardyce</v>
      </c>
      <c r="D54" s="83" t="str">
        <f>Scoring!K35</f>
        <v>C</v>
      </c>
      <c r="E54" s="84">
        <f>Scoring!L35</f>
        <v>18.909620991253647</v>
      </c>
    </row>
  </sheetData>
  <sortState ref="C3:E54">
    <sortCondition ref="D3:D54"/>
    <sortCondition descending="1" ref="E3:E54"/>
  </sortState>
  <mergeCells count="4">
    <mergeCell ref="B1:E1"/>
    <mergeCell ref="A3:A16"/>
    <mergeCell ref="A47:A54"/>
    <mergeCell ref="A17:A46"/>
  </mergeCell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Raw Results</vt:lpstr>
      <vt:lpstr>Racing Results</vt:lpstr>
      <vt:lpstr>Scoring</vt:lpstr>
      <vt:lpstr>Seeding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Derek Mackie</dc:creator>
  <cp:lastModifiedBy> </cp:lastModifiedBy>
  <cp:lastPrinted>2011-09-22T11:32:50Z</cp:lastPrinted>
  <dcterms:created xsi:type="dcterms:W3CDTF">2010-08-13T19:51:48Z</dcterms:created>
  <dcterms:modified xsi:type="dcterms:W3CDTF">2011-09-22T11:39:21Z</dcterms:modified>
</cp:coreProperties>
</file>