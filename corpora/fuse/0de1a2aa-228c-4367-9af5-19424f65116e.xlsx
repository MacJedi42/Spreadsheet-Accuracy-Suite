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2120" windowHeight="7005" tabRatio="483" firstSheet="1" activeTab="1"/>
  </bookViews>
  <sheets>
    <sheet name="2004-10&amp;1026%" sheetId="2" r:id="rId1"/>
    <sheet name="2004-1026 721 722 71" sheetId="1" r:id="rId2"/>
  </sheets>
  <definedNames>
    <definedName name="_xlnm.Print_Area" localSheetId="0">'2004-10&amp;1026%'!$A$1:$P$99</definedName>
    <definedName name="_xlnm.Print_Area" localSheetId="1">'2004-1026 721 722 71'!$A$2:$T$112</definedName>
    <definedName name="_xlnm.Print_Titles" localSheetId="0">'2004-10&amp;1026%'!$1:$6</definedName>
    <definedName name="_xlnm.Print_Titles" localSheetId="1">'2004-1026 721 722 71'!$1:$7</definedName>
  </definedNames>
  <calcPr calcId="145621" fullCalcOnLoad="1"/>
</workbook>
</file>

<file path=xl/calcChain.xml><?xml version="1.0" encoding="utf-8"?>
<calcChain xmlns="http://schemas.openxmlformats.org/spreadsheetml/2006/main">
  <c r="O95" i="2" l="1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7" i="2"/>
  <c r="N7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7" i="2"/>
  <c r="I7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7" i="2"/>
  <c r="D7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77" i="2"/>
  <c r="D80" i="2"/>
  <c r="D79" i="2"/>
  <c r="D78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</calcChain>
</file>

<file path=xl/sharedStrings.xml><?xml version="1.0" encoding="utf-8"?>
<sst xmlns="http://schemas.openxmlformats.org/spreadsheetml/2006/main" count="524" uniqueCount="236">
  <si>
    <t xml:space="preserve">Minnesota                                                       </t>
  </si>
  <si>
    <t xml:space="preserve">Aitkin                                                          </t>
  </si>
  <si>
    <t xml:space="preserve">Anoka                                                           </t>
  </si>
  <si>
    <t xml:space="preserve">Becker                                                          </t>
  </si>
  <si>
    <t xml:space="preserve">Beltrami                                                        </t>
  </si>
  <si>
    <t xml:space="preserve">Benton                                                          </t>
  </si>
  <si>
    <t xml:space="preserve">Big Stone                                                       </t>
  </si>
  <si>
    <t xml:space="preserve">Blue Earth                                                      </t>
  </si>
  <si>
    <t xml:space="preserve">Brown                                                           </t>
  </si>
  <si>
    <t xml:space="preserve">Carlton                                                         </t>
  </si>
  <si>
    <t xml:space="preserve">Carver                                                          </t>
  </si>
  <si>
    <t xml:space="preserve">Cass                                                            </t>
  </si>
  <si>
    <t xml:space="preserve">Chippewa                                                        </t>
  </si>
  <si>
    <t xml:space="preserve">Chisago                                                         </t>
  </si>
  <si>
    <t xml:space="preserve">Clay                                                            </t>
  </si>
  <si>
    <t xml:space="preserve">Clearwater                                                      </t>
  </si>
  <si>
    <t xml:space="preserve">Cook                                                            </t>
  </si>
  <si>
    <t xml:space="preserve">Cottonwood                                                      </t>
  </si>
  <si>
    <t xml:space="preserve">Crow Wing                                                       </t>
  </si>
  <si>
    <t xml:space="preserve">Dakota                                                          </t>
  </si>
  <si>
    <t xml:space="preserve">Dodge                                                           </t>
  </si>
  <si>
    <t xml:space="preserve">Douglas                                                         </t>
  </si>
  <si>
    <t xml:space="preserve">Faribault                                                       </t>
  </si>
  <si>
    <t xml:space="preserve">Fillmore                                                        </t>
  </si>
  <si>
    <t xml:space="preserve">Freeborn                                                        </t>
  </si>
  <si>
    <t xml:space="preserve">Goodhue                                                         </t>
  </si>
  <si>
    <t xml:space="preserve">Grant                                                           </t>
  </si>
  <si>
    <t xml:space="preserve">Hennepin                                                        </t>
  </si>
  <si>
    <t xml:space="preserve">Houston                                                         </t>
  </si>
  <si>
    <t xml:space="preserve">Hubbard                                                         </t>
  </si>
  <si>
    <t xml:space="preserve">Isanti                                                          </t>
  </si>
  <si>
    <t xml:space="preserve">Itasca                                                          </t>
  </si>
  <si>
    <t xml:space="preserve">Jackson                                                         </t>
  </si>
  <si>
    <t xml:space="preserve">Kanabec                                                         </t>
  </si>
  <si>
    <t xml:space="preserve">Kandiyohi                                                       </t>
  </si>
  <si>
    <t xml:space="preserve">Kittson                                                         </t>
  </si>
  <si>
    <t xml:space="preserve">Koochiching                                                     </t>
  </si>
  <si>
    <t xml:space="preserve">Lac Qui Parle                                                   </t>
  </si>
  <si>
    <t xml:space="preserve">Lake                                                            </t>
  </si>
  <si>
    <t xml:space="preserve">Lake of the Woods                                               </t>
  </si>
  <si>
    <t xml:space="preserve">Le Sueur                                                        </t>
  </si>
  <si>
    <t xml:space="preserve">Lincoln                                                         </t>
  </si>
  <si>
    <t xml:space="preserve">Lyon                                                            </t>
  </si>
  <si>
    <t xml:space="preserve">Mahnomen                                                        </t>
  </si>
  <si>
    <t xml:space="preserve">Marshall                                                        </t>
  </si>
  <si>
    <t xml:space="preserve">Martin                                                          </t>
  </si>
  <si>
    <t xml:space="preserve">Meeker                                                          </t>
  </si>
  <si>
    <t xml:space="preserve">Mille Lacs                                                      </t>
  </si>
  <si>
    <t xml:space="preserve">Morrison                                                        </t>
  </si>
  <si>
    <t xml:space="preserve">Mower                                                           </t>
  </si>
  <si>
    <t xml:space="preserve">Murray                                                          </t>
  </si>
  <si>
    <t xml:space="preserve">Nicollet                                                        </t>
  </si>
  <si>
    <t xml:space="preserve">Nobles                                                          </t>
  </si>
  <si>
    <t xml:space="preserve">Norman                                                          </t>
  </si>
  <si>
    <t xml:space="preserve">Olmsted                                                         </t>
  </si>
  <si>
    <t xml:space="preserve">Pennington                                                      </t>
  </si>
  <si>
    <t xml:space="preserve">Pine                                                            </t>
  </si>
  <si>
    <t xml:space="preserve">Pipestone                                                       </t>
  </si>
  <si>
    <t xml:space="preserve">Polk                                                            </t>
  </si>
  <si>
    <t xml:space="preserve">Pope                                                            </t>
  </si>
  <si>
    <t xml:space="preserve">Ramsey                                                          </t>
  </si>
  <si>
    <t xml:space="preserve">Red Lake                                                        </t>
  </si>
  <si>
    <t xml:space="preserve">Redwood                                                         </t>
  </si>
  <si>
    <t xml:space="preserve">Renville                                                        </t>
  </si>
  <si>
    <t xml:space="preserve">Rice                                                            </t>
  </si>
  <si>
    <t xml:space="preserve">Rock                                                            </t>
  </si>
  <si>
    <t xml:space="preserve">Roseau                                                          </t>
  </si>
  <si>
    <t xml:space="preserve">Scott                                                           </t>
  </si>
  <si>
    <t xml:space="preserve">Sherburne                                                       </t>
  </si>
  <si>
    <t xml:space="preserve">Sibley                                                          </t>
  </si>
  <si>
    <t xml:space="preserve">Stearns                                                         </t>
  </si>
  <si>
    <t xml:space="preserve">Steele                                                          </t>
  </si>
  <si>
    <t xml:space="preserve">Stevens                                                         </t>
  </si>
  <si>
    <t xml:space="preserve">Swift                                                           </t>
  </si>
  <si>
    <t xml:space="preserve">Todd                                                            </t>
  </si>
  <si>
    <t xml:space="preserve">Traverse                                                        </t>
  </si>
  <si>
    <t xml:space="preserve">Wabasha                                                         </t>
  </si>
  <si>
    <t xml:space="preserve">Wadena                                                          </t>
  </si>
  <si>
    <t xml:space="preserve">Waseca                                                          </t>
  </si>
  <si>
    <t xml:space="preserve">Washington                                                      </t>
  </si>
  <si>
    <t xml:space="preserve">Watonwan                                                        </t>
  </si>
  <si>
    <t xml:space="preserve">Wilkin                                                          </t>
  </si>
  <si>
    <t xml:space="preserve">Winona                                                          </t>
  </si>
  <si>
    <t xml:space="preserve">Wright                                                          </t>
  </si>
  <si>
    <t xml:space="preserve">Yellow Medicine                                                 </t>
  </si>
  <si>
    <t>N</t>
  </si>
  <si>
    <t>Establishments</t>
  </si>
  <si>
    <t>Employment</t>
  </si>
  <si>
    <t>Wages</t>
  </si>
  <si>
    <t>L &amp; H</t>
  </si>
  <si>
    <t>Lodg</t>
  </si>
  <si>
    <t>EntRec</t>
  </si>
  <si>
    <t>N - Data withheld to avoid disclosing information about individual businesses.</t>
  </si>
  <si>
    <t>Total</t>
  </si>
  <si>
    <t xml:space="preserve">Otter Tail                                                       </t>
  </si>
  <si>
    <t>(Edited from "Ottertail" to two words)</t>
  </si>
  <si>
    <t>(Notes in parentheses for a few counties)</t>
  </si>
  <si>
    <t>(Did not even appear on the 721 list - no lodging businesses)</t>
  </si>
  <si>
    <t>Source: Bureau of Labor Statistics, U.S. Department of Labor</t>
  </si>
  <si>
    <t>(Changed "St" to "Saint" for  alpha sorts - change back if desired)</t>
  </si>
  <si>
    <t>2004 Jobs and Wages - Leisure and Hospitality Compared with Total - PRIVATE SECTOR ONLY</t>
  </si>
  <si>
    <t>L&amp;H  %</t>
  </si>
  <si>
    <t>of Total</t>
  </si>
  <si>
    <t>% of</t>
  </si>
  <si>
    <t>MN L&amp;H</t>
  </si>
  <si>
    <t>MacLeod</t>
  </si>
  <si>
    <t>DRAFT</t>
  </si>
  <si>
    <t>Reg#</t>
  </si>
  <si>
    <t>Co#</t>
  </si>
  <si>
    <t>Saint Louis</t>
  </si>
  <si>
    <t xml:space="preserve">St Louis                                                        </t>
  </si>
  <si>
    <t>2E</t>
  </si>
  <si>
    <t>1M</t>
  </si>
  <si>
    <t>4W</t>
  </si>
  <si>
    <t>3S</t>
  </si>
  <si>
    <t>(for alpha sort)</t>
  </si>
  <si>
    <t>Reg#Alpha</t>
  </si>
  <si>
    <t>McCleod</t>
  </si>
  <si>
    <t>Source: Minnesota Department of Employment and Economic Development, using a proprietary data tool 1/12/06 to report data obtained from the U.S. Dept. of Labor, Bureau of Labor Statistics</t>
  </si>
  <si>
    <t>Metro</t>
  </si>
  <si>
    <t>NE</t>
  </si>
  <si>
    <t>S</t>
  </si>
  <si>
    <t>NC/W</t>
  </si>
  <si>
    <t xml:space="preserve">               from the Quarterly Census of Employment and Wages (QCEW); and http://www.bls.gov/cew for the most current QCEW data, but with less user-friendly data tools and table formats</t>
  </si>
  <si>
    <t>FdDrnk</t>
  </si>
  <si>
    <t>FoodDrnk</t>
  </si>
  <si>
    <t>Lodging</t>
  </si>
  <si>
    <t>Food Serv/Drink</t>
  </si>
  <si>
    <t>Arts Ent Rec</t>
  </si>
  <si>
    <t>Minnesota Total</t>
  </si>
  <si>
    <t>Northeast Region</t>
  </si>
  <si>
    <t>Southern Region</t>
  </si>
  <si>
    <t>Twin Cities Metro Reg</t>
  </si>
  <si>
    <t>North Central/West Reg</t>
  </si>
  <si>
    <t>Area</t>
  </si>
  <si>
    <t>Aitkin County</t>
  </si>
  <si>
    <t>Anoka County</t>
  </si>
  <si>
    <t>Becker County</t>
  </si>
  <si>
    <t>Beltrami County</t>
  </si>
  <si>
    <t>Benton County</t>
  </si>
  <si>
    <t>Big Stone County</t>
  </si>
  <si>
    <t>Blue Earth County</t>
  </si>
  <si>
    <t>Brown County</t>
  </si>
  <si>
    <t>Carlton County</t>
  </si>
  <si>
    <t>Carver County</t>
  </si>
  <si>
    <t>Cass County</t>
  </si>
  <si>
    <t>Chippewa County</t>
  </si>
  <si>
    <t>Chisago County</t>
  </si>
  <si>
    <t>Clay County</t>
  </si>
  <si>
    <t>Clearwater County</t>
  </si>
  <si>
    <t>Cook County</t>
  </si>
  <si>
    <t>Cottonwood County</t>
  </si>
  <si>
    <t>Crow Wing County</t>
  </si>
  <si>
    <t>Dakota County</t>
  </si>
  <si>
    <t>Dodge County</t>
  </si>
  <si>
    <t>Douglas County</t>
  </si>
  <si>
    <t>Faribault County</t>
  </si>
  <si>
    <t>Fillmore County</t>
  </si>
  <si>
    <t>Freeborn County</t>
  </si>
  <si>
    <t>Goodhue County</t>
  </si>
  <si>
    <t>Grant County</t>
  </si>
  <si>
    <t>Hennepin County</t>
  </si>
  <si>
    <t>Houston County</t>
  </si>
  <si>
    <t>Hubbard County</t>
  </si>
  <si>
    <t>Isanti County</t>
  </si>
  <si>
    <t>Itasca County</t>
  </si>
  <si>
    <t>Jackson County</t>
  </si>
  <si>
    <t>Kanabec County</t>
  </si>
  <si>
    <t>Kandiyohi County</t>
  </si>
  <si>
    <t>Kittson County</t>
  </si>
  <si>
    <t>Koochiching County</t>
  </si>
  <si>
    <t>Lac qui Parle County</t>
  </si>
  <si>
    <t>Lake County</t>
  </si>
  <si>
    <t>Lake of the Woods County</t>
  </si>
  <si>
    <t>Le Sueur County</t>
  </si>
  <si>
    <t>Lincoln County</t>
  </si>
  <si>
    <t>Lyon County</t>
  </si>
  <si>
    <t>McLeod County</t>
  </si>
  <si>
    <t>Mahnomen County</t>
  </si>
  <si>
    <t>Marshall County</t>
  </si>
  <si>
    <t>Martin County</t>
  </si>
  <si>
    <t>Meeker County</t>
  </si>
  <si>
    <t>Mille Lacs County</t>
  </si>
  <si>
    <t>Morrison County</t>
  </si>
  <si>
    <t>Mower County</t>
  </si>
  <si>
    <t>Murray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</si>
  <si>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</si>
  <si>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</si>
  <si>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</si>
  <si>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</si>
  <si>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</si>
  <si>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</si>
  <si>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</si>
  <si>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</si>
  <si>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Polk County</t>
  </si>
  <si>
    <t>Pope County</t>
  </si>
  <si>
    <t>Ramsey County</t>
  </si>
  <si>
    <t>Red Lake County</t>
  </si>
  <si>
    <t>Redwood County</t>
  </si>
  <si>
    <t>Renville County</t>
  </si>
  <si>
    <t>Rice County</t>
  </si>
  <si>
    <t>Rock County</t>
  </si>
  <si>
    <t>Roseau County</t>
  </si>
  <si>
    <t>St. Louis County</t>
  </si>
  <si>
    <t>Scott County</t>
  </si>
  <si>
    <t>Sherburne County</t>
  </si>
  <si>
    <t>Sibley County</t>
  </si>
  <si>
    <t>Stearns County</t>
  </si>
  <si>
    <t>Steele County</t>
  </si>
  <si>
    <t>Stevens County</t>
  </si>
  <si>
    <t>Swift County</t>
  </si>
  <si>
    <t>Todd County</t>
  </si>
  <si>
    <t>Traverse County</t>
  </si>
  <si>
    <t>Wabasha County</t>
  </si>
  <si>
    <t>Wadena County</t>
  </si>
  <si>
    <t>Waseca County</t>
  </si>
  <si>
    <t>Washington County</t>
  </si>
  <si>
    <t>Watonwan County</t>
  </si>
  <si>
    <t>Wilkin County</t>
  </si>
  <si>
    <t>Winona County</t>
  </si>
  <si>
    <t>Wright County</t>
  </si>
  <si>
    <t>Yellow Medicine County</t>
  </si>
  <si>
    <t>Region</t>
  </si>
  <si>
    <t>Tourism</t>
  </si>
  <si>
    <t>South</t>
  </si>
  <si>
    <t>Employment (Full- and Part-Time Jobs)</t>
  </si>
  <si>
    <t>L &amp; H*</t>
  </si>
  <si>
    <t>Leisure &amp; Hosp*</t>
  </si>
  <si>
    <t xml:space="preserve">                L &amp; H = Leisure and Hospitality (consisting of NAICS 721, 722 and 71); Total = Total for all industries</t>
  </si>
  <si>
    <t xml:space="preserve">           3) Abbreviations: Lodg = Accommodations (NAICS 721); FoodDr = Food Services and Drinking Places (NAICS 722); EntRec = Arts, Entertainment, and Recreation (NAICS 71);</t>
  </si>
  <si>
    <t xml:space="preserve">           4) To access reports of similar data for various time periods, refer to: http://www.deed.state.mn.us/lmi/tools/qcew.htm for user-friendly data tools for reports of unrefined estimates</t>
  </si>
  <si>
    <t xml:space="preserve">           2) Data provided for regions represent sums of county data</t>
  </si>
  <si>
    <t>Notes: 1) Minnesota total does not equal the sum of counties or the sum of regions, due to withheld data at the county level</t>
  </si>
  <si>
    <t>Private Sector Jobs and Wages for Minnesota's Leisure and Hospitality Industry, 2004</t>
  </si>
  <si>
    <t>Leisure and Hospitality Industry Sectors and Total for All industries for Minnesota, Tourism Regions, and Counties</t>
  </si>
  <si>
    <t>* Leisure and Hospitality Industry;   N - Data withheld to avoid disclosing information about individual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</si>
</sst>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&quot;$&quot;#,##0"/>
    <numFmt numFmtId="167" formatCode="0.0%"/>
  </numFmts>
  <fonts count="12" x14ac:knownFonts="1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8"/>
      <name val="Arial"/>
    </font>
    <font>
      <u/>
      <sz val="8"/>
      <color indexed="8"/>
      <name val="Arial"/>
    </font>
    <font>
      <sz val="14"/>
      <color indexed="8"/>
      <name val="Arial"/>
    </font>
    <font>
      <sz val="8"/>
      <name val="Arial"/>
      <family val="2"/>
    </font>
    <font>
      <sz val="7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9"/>
      <color indexed="8"/>
      <name val="Arial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/>
    <xf numFmtId="3" fontId="2" fillId="0" borderId="1" xfId="0" applyNumberFormat="1" applyFont="1" applyFill="1" applyBorder="1" applyAlignment="1">
      <alignment horizontal="right" wrapText="1"/>
    </xf>
    <xf numFmtId="3" fontId="2" fillId="0" borderId="0" xfId="0" applyNumberFormat="1" applyFont="1"/>
    <xf numFmtId="166" fontId="2" fillId="0" borderId="1" xfId="0" applyNumberFormat="1" applyFont="1" applyFill="1" applyBorder="1" applyAlignment="1">
      <alignment horizontal="right" wrapText="1"/>
    </xf>
    <xf numFmtId="166" fontId="2" fillId="0" borderId="0" xfId="0" applyNumberFormat="1" applyFont="1"/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 applyAlignment="1">
      <alignment horizontal="center"/>
    </xf>
    <xf numFmtId="3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7" fontId="2" fillId="0" borderId="1" xfId="0" applyNumberFormat="1" applyFont="1" applyFill="1" applyBorder="1" applyAlignment="1">
      <alignment horizontal="right" wrapText="1"/>
    </xf>
    <xf numFmtId="3" fontId="2" fillId="2" borderId="1" xfId="0" applyNumberFormat="1" applyFont="1" applyFill="1" applyBorder="1" applyAlignment="1">
      <alignment horizontal="right" wrapText="1"/>
    </xf>
    <xf numFmtId="0" fontId="2" fillId="3" borderId="0" xfId="0" applyFont="1" applyFill="1"/>
    <xf numFmtId="0" fontId="0" fillId="2" borderId="0" xfId="0" applyFill="1" applyBorder="1" applyAlignment="1">
      <alignment horizontal="center"/>
    </xf>
    <xf numFmtId="166" fontId="2" fillId="4" borderId="0" xfId="0" applyNumberFormat="1" applyFont="1" applyFill="1" applyBorder="1" applyAlignment="1">
      <alignment horizontal="right" wrapText="1"/>
    </xf>
    <xf numFmtId="0" fontId="2" fillId="5" borderId="0" xfId="0" applyFont="1" applyFill="1"/>
    <xf numFmtId="0" fontId="2" fillId="6" borderId="1" xfId="0" applyFont="1" applyFill="1" applyBorder="1" applyAlignment="1">
      <alignment wrapText="1"/>
    </xf>
    <xf numFmtId="3" fontId="2" fillId="5" borderId="0" xfId="0" applyNumberFormat="1" applyFont="1" applyFill="1"/>
    <xf numFmtId="167" fontId="2" fillId="5" borderId="0" xfId="0" applyNumberFormat="1" applyFont="1" applyFill="1"/>
    <xf numFmtId="3" fontId="2" fillId="5" borderId="0" xfId="0" applyNumberFormat="1" applyFont="1" applyFill="1" applyAlignment="1">
      <alignment horizontal="right"/>
    </xf>
    <xf numFmtId="3" fontId="2" fillId="6" borderId="1" xfId="0" applyNumberFormat="1" applyFont="1" applyFill="1" applyBorder="1" applyAlignment="1">
      <alignment horizontal="right" wrapText="1"/>
    </xf>
    <xf numFmtId="167" fontId="2" fillId="0" borderId="0" xfId="0" applyNumberFormat="1" applyFont="1" applyFill="1"/>
    <xf numFmtId="167" fontId="2" fillId="5" borderId="0" xfId="0" applyNumberFormat="1" applyFont="1" applyFill="1" applyAlignment="1">
      <alignment horizontal="right"/>
    </xf>
    <xf numFmtId="167" fontId="2" fillId="0" borderId="0" xfId="0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6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2" fillId="0" borderId="3" xfId="0" applyNumberFormat="1" applyFont="1" applyFill="1" applyBorder="1" applyAlignment="1">
      <alignment horizontal="center" wrapText="1"/>
    </xf>
    <xf numFmtId="167" fontId="2" fillId="0" borderId="3" xfId="0" applyNumberFormat="1" applyFont="1" applyFill="1" applyBorder="1" applyAlignment="1">
      <alignment horizontal="center" wrapText="1"/>
    </xf>
    <xf numFmtId="3" fontId="2" fillId="6" borderId="3" xfId="0" applyNumberFormat="1" applyFont="1" applyFill="1" applyBorder="1" applyAlignment="1">
      <alignment horizontal="center" wrapText="1"/>
    </xf>
    <xf numFmtId="166" fontId="2" fillId="0" borderId="3" xfId="0" applyNumberFormat="1" applyFont="1" applyFill="1" applyBorder="1" applyAlignment="1">
      <alignment horizontal="center" wrapText="1"/>
    </xf>
    <xf numFmtId="3" fontId="4" fillId="0" borderId="2" xfId="0" applyNumberFormat="1" applyFont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167" fontId="4" fillId="0" borderId="2" xfId="0" applyNumberFormat="1" applyFont="1" applyFill="1" applyBorder="1" applyAlignment="1">
      <alignment horizontal="center" wrapText="1"/>
    </xf>
    <xf numFmtId="3" fontId="4" fillId="6" borderId="2" xfId="0" applyNumberFormat="1" applyFont="1" applyFill="1" applyBorder="1" applyAlignment="1">
      <alignment horizontal="center" wrapText="1"/>
    </xf>
    <xf numFmtId="166" fontId="4" fillId="0" borderId="2" xfId="0" applyNumberFormat="1" applyFont="1" applyFill="1" applyBorder="1" applyAlignment="1">
      <alignment horizontal="center" wrapText="1"/>
    </xf>
    <xf numFmtId="166" fontId="5" fillId="5" borderId="0" xfId="0" applyNumberFormat="1" applyFont="1" applyFill="1"/>
    <xf numFmtId="0" fontId="6" fillId="0" borderId="0" xfId="0" applyFont="1"/>
    <xf numFmtId="0" fontId="6" fillId="7" borderId="0" xfId="0" quotePrefix="1" applyNumberFormat="1" applyFont="1" applyFill="1"/>
    <xf numFmtId="0" fontId="6" fillId="7" borderId="0" xfId="0" applyFont="1" applyFill="1"/>
    <xf numFmtId="3" fontId="2" fillId="0" borderId="0" xfId="0" applyNumberFormat="1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horizontal="right" wrapText="1"/>
    </xf>
    <xf numFmtId="0" fontId="2" fillId="7" borderId="0" xfId="0" applyFont="1" applyFill="1"/>
    <xf numFmtId="166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/>
    <xf numFmtId="0" fontId="2" fillId="0" borderId="0" xfId="0" applyFont="1" applyBorder="1"/>
    <xf numFmtId="3" fontId="2" fillId="0" borderId="0" xfId="0" applyNumberFormat="1" applyFont="1" applyBorder="1"/>
    <xf numFmtId="3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/>
    <xf numFmtId="0" fontId="2" fillId="0" borderId="0" xfId="0" applyFont="1" applyFill="1" applyBorder="1" applyAlignment="1">
      <alignment wrapText="1"/>
    </xf>
    <xf numFmtId="3" fontId="4" fillId="0" borderId="0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3" fontId="2" fillId="0" borderId="4" xfId="0" applyNumberFormat="1" applyFont="1" applyFill="1" applyBorder="1" applyAlignment="1">
      <alignment horizontal="right" wrapText="1"/>
    </xf>
    <xf numFmtId="166" fontId="2" fillId="4" borderId="4" xfId="0" applyNumberFormat="1" applyFont="1" applyFill="1" applyBorder="1" applyAlignment="1">
      <alignment horizontal="right" wrapText="1"/>
    </xf>
    <xf numFmtId="166" fontId="2" fillId="0" borderId="4" xfId="0" applyNumberFormat="1" applyFont="1" applyFill="1" applyBorder="1" applyAlignment="1">
      <alignment horizontal="right" wrapText="1"/>
    </xf>
    <xf numFmtId="0" fontId="2" fillId="0" borderId="4" xfId="0" applyFont="1" applyBorder="1"/>
    <xf numFmtId="3" fontId="2" fillId="0" borderId="5" xfId="0" applyNumberFormat="1" applyFont="1" applyFill="1" applyBorder="1" applyAlignment="1">
      <alignment horizontal="right" wrapText="1"/>
    </xf>
    <xf numFmtId="166" fontId="2" fillId="4" borderId="5" xfId="0" applyNumberFormat="1" applyFont="1" applyFill="1" applyBorder="1" applyAlignment="1">
      <alignment horizontal="right" wrapText="1"/>
    </xf>
    <xf numFmtId="166" fontId="2" fillId="0" borderId="5" xfId="0" applyNumberFormat="1" applyFont="1" applyFill="1" applyBorder="1" applyAlignment="1">
      <alignment horizontal="right" wrapText="1"/>
    </xf>
    <xf numFmtId="0" fontId="2" fillId="0" borderId="5" xfId="0" applyFont="1" applyBorder="1"/>
    <xf numFmtId="3" fontId="2" fillId="0" borderId="5" xfId="0" applyNumberFormat="1" applyFont="1" applyBorder="1" applyAlignment="1">
      <alignment horizontal="right"/>
    </xf>
    <xf numFmtId="3" fontId="2" fillId="0" borderId="5" xfId="0" applyNumberFormat="1" applyFont="1" applyBorder="1"/>
    <xf numFmtId="166" fontId="2" fillId="0" borderId="5" xfId="0" applyNumberFormat="1" applyFont="1" applyBorder="1" applyAlignment="1">
      <alignment horizontal="right"/>
    </xf>
    <xf numFmtId="3" fontId="2" fillId="0" borderId="6" xfId="0" applyNumberFormat="1" applyFont="1" applyFill="1" applyBorder="1" applyAlignment="1">
      <alignment horizontal="right" wrapText="1"/>
    </xf>
    <xf numFmtId="166" fontId="2" fillId="4" borderId="6" xfId="0" applyNumberFormat="1" applyFont="1" applyFill="1" applyBorder="1" applyAlignment="1">
      <alignment horizontal="right" wrapText="1"/>
    </xf>
    <xf numFmtId="3" fontId="2" fillId="0" borderId="6" xfId="0" applyNumberFormat="1" applyFont="1" applyBorder="1" applyAlignment="1">
      <alignment horizontal="right"/>
    </xf>
    <xf numFmtId="166" fontId="2" fillId="0" borderId="6" xfId="0" applyNumberFormat="1" applyFont="1" applyFill="1" applyBorder="1" applyAlignment="1">
      <alignment horizontal="right" wrapText="1"/>
    </xf>
    <xf numFmtId="0" fontId="2" fillId="0" borderId="6" xfId="0" applyFont="1" applyBorder="1"/>
    <xf numFmtId="0" fontId="6" fillId="0" borderId="0" xfId="0" applyNumberFormat="1" applyFont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1" applyFont="1" applyFill="1" applyBorder="1" applyAlignment="1"/>
    <xf numFmtId="0" fontId="7" fillId="0" borderId="0" xfId="0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5" xfId="0" applyFont="1" applyFill="1" applyBorder="1"/>
    <xf numFmtId="166" fontId="4" fillId="0" borderId="0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3" fontId="2" fillId="5" borderId="7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3" fontId="2" fillId="0" borderId="8" xfId="0" applyNumberFormat="1" applyFont="1" applyBorder="1" applyAlignment="1">
      <alignment horizontal="center"/>
    </xf>
    <xf numFmtId="0" fontId="0" fillId="0" borderId="8" xfId="0" applyBorder="1" applyAlignment="1"/>
    <xf numFmtId="166" fontId="2" fillId="0" borderId="8" xfId="0" applyNumberFormat="1" applyFont="1" applyBorder="1" applyAlignment="1">
      <alignment horizontal="center"/>
    </xf>
    <xf numFmtId="166" fontId="0" fillId="0" borderId="8" xfId="0" applyNumberFormat="1" applyBorder="1" applyAlignment="1"/>
  </cellXfs>
  <cellStyles count="2">
    <cellStyle name="Normal" xfId="0" builtinId="0"/>
    <cellStyle name="Normal_Counties by Tourism Region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  <pageSetUpPr fitToPage="1"/>
  </sheetPr>
  <dimension ref="A1:Y99"/>
  <sheetViews>
    <sheetView workbookViewId="0">
      <pane ySplit="5" topLeftCell="A6" activePane="bottomLeft" state="frozen"/>
      <selection pane="bottomLeft"/>
    </sheetView>
  </sheetViews>
  <sheetFormatPr defaultRowHeight="11.25" x14ac:dyDescent="0.2"/>
  <cols>
    <col min="1" max="1" width="14.140625" style="1" bestFit="1" customWidth="1"/>
    <col min="2" max="2" width="6.42578125" style="3" customWidth="1"/>
    <col min="3" max="3" width="5.7109375" style="3" bestFit="1" customWidth="1"/>
    <col min="4" max="5" width="6.140625" style="17" customWidth="1"/>
    <col min="6" max="6" width="1.5703125" style="15" customWidth="1"/>
    <col min="7" max="7" width="8.7109375" style="3" customWidth="1"/>
    <col min="8" max="8" width="6.42578125" style="6" customWidth="1"/>
    <col min="9" max="9" width="6.140625" style="32" customWidth="1"/>
    <col min="10" max="10" width="6.140625" style="17" customWidth="1"/>
    <col min="11" max="11" width="1.5703125" style="15" customWidth="1"/>
    <col min="12" max="12" width="12.28515625" style="5" customWidth="1"/>
    <col min="13" max="13" width="11.5703125" style="7" customWidth="1"/>
    <col min="14" max="14" width="6.140625" style="32" customWidth="1"/>
    <col min="15" max="15" width="6.140625" style="17" customWidth="1"/>
    <col min="16" max="16" width="1.5703125" style="16" customWidth="1"/>
    <col min="17" max="20" width="4.7109375" style="16" customWidth="1"/>
    <col min="21" max="16384" width="9.140625" style="1"/>
  </cols>
  <sheetData>
    <row r="1" spans="1:24" ht="18" x14ac:dyDescent="0.25">
      <c r="A1" s="23" t="s">
        <v>100</v>
      </c>
      <c r="B1" s="25"/>
      <c r="C1" s="25"/>
      <c r="D1" s="26"/>
      <c r="E1" s="26"/>
      <c r="F1" s="25"/>
      <c r="G1" s="25"/>
      <c r="H1" s="27"/>
      <c r="I1" s="30"/>
      <c r="J1" s="26"/>
      <c r="K1" s="25"/>
      <c r="L1" s="47" t="s">
        <v>106</v>
      </c>
      <c r="U1" s="20" t="s">
        <v>96</v>
      </c>
      <c r="V1" s="20"/>
      <c r="W1" s="20"/>
      <c r="X1" s="20"/>
    </row>
    <row r="3" spans="1:24" ht="12.75" x14ac:dyDescent="0.2">
      <c r="A3" s="23"/>
      <c r="B3" s="95" t="s">
        <v>86</v>
      </c>
      <c r="C3" s="95"/>
      <c r="D3" s="95"/>
      <c r="E3" s="95"/>
      <c r="F3" s="13"/>
      <c r="G3" s="93" t="s">
        <v>87</v>
      </c>
      <c r="H3" s="94"/>
      <c r="I3" s="94"/>
      <c r="J3" s="94"/>
      <c r="K3" s="13"/>
      <c r="L3" s="91" t="s">
        <v>88</v>
      </c>
      <c r="M3" s="92"/>
      <c r="N3" s="92"/>
      <c r="O3" s="92"/>
      <c r="P3" s="13"/>
      <c r="Q3" s="9"/>
      <c r="R3" s="9"/>
      <c r="S3" s="9"/>
      <c r="T3" s="9"/>
    </row>
    <row r="4" spans="1:24" s="35" customFormat="1" x14ac:dyDescent="0.2">
      <c r="A4" s="33"/>
      <c r="B4" s="38"/>
      <c r="C4" s="38"/>
      <c r="D4" s="39" t="s">
        <v>101</v>
      </c>
      <c r="E4" s="39" t="s">
        <v>103</v>
      </c>
      <c r="F4" s="37"/>
      <c r="G4" s="38"/>
      <c r="H4" s="40"/>
      <c r="I4" s="39" t="s">
        <v>101</v>
      </c>
      <c r="J4" s="39" t="s">
        <v>103</v>
      </c>
      <c r="K4" s="37"/>
      <c r="L4" s="41"/>
      <c r="M4" s="41"/>
      <c r="N4" s="39" t="s">
        <v>101</v>
      </c>
      <c r="O4" s="39" t="s">
        <v>103</v>
      </c>
      <c r="P4" s="37"/>
      <c r="Q4" s="51"/>
      <c r="R4" s="51"/>
      <c r="S4" s="51"/>
      <c r="T4" s="51"/>
    </row>
    <row r="5" spans="1:24" s="36" customFormat="1" ht="13.5" customHeight="1" x14ac:dyDescent="0.2">
      <c r="A5" s="33"/>
      <c r="B5" s="42" t="s">
        <v>93</v>
      </c>
      <c r="C5" s="43" t="s">
        <v>89</v>
      </c>
      <c r="D5" s="44" t="s">
        <v>102</v>
      </c>
      <c r="E5" s="44" t="s">
        <v>104</v>
      </c>
      <c r="F5" s="34"/>
      <c r="G5" s="43" t="s">
        <v>93</v>
      </c>
      <c r="H5" s="45" t="s">
        <v>89</v>
      </c>
      <c r="I5" s="44" t="s">
        <v>102</v>
      </c>
      <c r="J5" s="44" t="s">
        <v>104</v>
      </c>
      <c r="K5" s="34"/>
      <c r="L5" s="46" t="s">
        <v>93</v>
      </c>
      <c r="M5" s="46" t="s">
        <v>89</v>
      </c>
      <c r="N5" s="44" t="s">
        <v>102</v>
      </c>
      <c r="O5" s="44" t="s">
        <v>104</v>
      </c>
      <c r="P5" s="34"/>
      <c r="Q5" s="9" t="s">
        <v>108</v>
      </c>
      <c r="R5" s="9" t="s">
        <v>107</v>
      </c>
      <c r="S5" s="48" t="s">
        <v>116</v>
      </c>
      <c r="T5" s="50" t="s">
        <v>115</v>
      </c>
      <c r="U5" s="53"/>
    </row>
    <row r="6" spans="1:24" ht="13.5" customHeight="1" x14ac:dyDescent="0.2">
      <c r="A6" s="24"/>
      <c r="B6" s="2"/>
      <c r="C6" s="2"/>
      <c r="D6" s="18"/>
      <c r="E6" s="18"/>
      <c r="F6" s="19"/>
      <c r="G6" s="2"/>
      <c r="H6" s="28"/>
      <c r="I6" s="18"/>
      <c r="J6" s="18"/>
      <c r="K6" s="19"/>
      <c r="L6" s="4"/>
      <c r="M6" s="4"/>
      <c r="N6" s="18"/>
      <c r="O6" s="18"/>
      <c r="P6" s="19"/>
      <c r="Q6" s="52"/>
      <c r="R6" s="52"/>
      <c r="S6" s="52"/>
      <c r="T6" s="52"/>
    </row>
    <row r="7" spans="1:24" ht="13.5" customHeight="1" x14ac:dyDescent="0.2">
      <c r="A7" s="24" t="s">
        <v>0</v>
      </c>
      <c r="B7" s="2">
        <v>149625</v>
      </c>
      <c r="C7" s="2">
        <v>13393</v>
      </c>
      <c r="D7" s="18">
        <f>+C7/B7</f>
        <v>8.9510442773600665E-2</v>
      </c>
      <c r="E7" s="18">
        <f>+C7/C$7</f>
        <v>1</v>
      </c>
      <c r="F7" s="19"/>
      <c r="G7" s="2">
        <v>2229697</v>
      </c>
      <c r="H7" s="28">
        <v>235533</v>
      </c>
      <c r="I7" s="18">
        <f>+H7/G7</f>
        <v>0.10563453240507567</v>
      </c>
      <c r="J7" s="18">
        <f>+H7/H$7</f>
        <v>1</v>
      </c>
      <c r="K7" s="19"/>
      <c r="L7" s="4">
        <v>90481921066</v>
      </c>
      <c r="M7" s="4">
        <v>3371505416</v>
      </c>
      <c r="N7" s="18">
        <f>+M7/L7</f>
        <v>3.7261647147618926E-2</v>
      </c>
      <c r="O7" s="18">
        <f>+M7/M$7</f>
        <v>1</v>
      </c>
      <c r="P7" s="19"/>
      <c r="Q7" s="52"/>
      <c r="R7" s="52"/>
      <c r="S7" s="52"/>
      <c r="T7" s="52"/>
    </row>
    <row r="8" spans="1:24" ht="13.5" customHeight="1" x14ac:dyDescent="0.2">
      <c r="A8" s="24"/>
      <c r="C8" s="2"/>
      <c r="D8" s="18"/>
      <c r="E8" s="18"/>
      <c r="F8" s="19"/>
      <c r="G8" s="2"/>
      <c r="H8" s="28"/>
      <c r="I8" s="18"/>
      <c r="J8" s="18"/>
      <c r="K8" s="19"/>
      <c r="L8" s="4"/>
      <c r="M8" s="4"/>
      <c r="N8" s="18"/>
      <c r="O8" s="18"/>
      <c r="P8" s="19"/>
      <c r="Q8" s="52"/>
      <c r="R8" s="52"/>
      <c r="S8" s="52"/>
      <c r="T8" s="52"/>
    </row>
    <row r="9" spans="1:24" ht="13.5" customHeight="1" x14ac:dyDescent="0.2">
      <c r="A9" s="24" t="s">
        <v>1</v>
      </c>
      <c r="B9" s="2">
        <v>426</v>
      </c>
      <c r="C9" s="2">
        <v>63</v>
      </c>
      <c r="D9" s="18">
        <f t="shared" ref="D9:D40" si="0">+C9/B9</f>
        <v>0.14788732394366197</v>
      </c>
      <c r="E9" s="18">
        <f t="shared" ref="E9:E72" si="1">+C9/C$7</f>
        <v>4.7039498245352047E-3</v>
      </c>
      <c r="F9" s="19"/>
      <c r="G9" s="2">
        <v>3285</v>
      </c>
      <c r="H9" s="28">
        <v>446</v>
      </c>
      <c r="I9" s="18">
        <f t="shared" ref="I9:I40" si="2">+H9/G9</f>
        <v>0.13576864535768646</v>
      </c>
      <c r="J9" s="18">
        <f t="shared" ref="J9:J72" si="3">+H9/H$7</f>
        <v>1.8935775453970357E-3</v>
      </c>
      <c r="K9" s="19"/>
      <c r="L9" s="4">
        <v>80022707</v>
      </c>
      <c r="M9" s="4">
        <v>4587505</v>
      </c>
      <c r="N9" s="18">
        <f t="shared" ref="N9:N40" si="4">+M9/L9</f>
        <v>5.732754079413984E-2</v>
      </c>
      <c r="O9" s="18">
        <f t="shared" ref="O9:O72" si="5">+M9/M$7</f>
        <v>1.3606696220119611E-3</v>
      </c>
      <c r="P9" s="19"/>
      <c r="Q9" s="48">
        <v>1</v>
      </c>
      <c r="R9" s="48">
        <v>2</v>
      </c>
      <c r="S9" s="48" t="s">
        <v>111</v>
      </c>
      <c r="T9" s="48"/>
    </row>
    <row r="10" spans="1:24" ht="13.5" customHeight="1" x14ac:dyDescent="0.2">
      <c r="A10" s="24" t="s">
        <v>2</v>
      </c>
      <c r="B10" s="2">
        <v>7258</v>
      </c>
      <c r="C10" s="2">
        <v>524</v>
      </c>
      <c r="D10" s="18">
        <f t="shared" si="0"/>
        <v>7.2196197299531556E-2</v>
      </c>
      <c r="E10" s="18">
        <f t="shared" si="1"/>
        <v>3.9124916000895987E-2</v>
      </c>
      <c r="F10" s="19"/>
      <c r="G10" s="2">
        <v>97929</v>
      </c>
      <c r="H10" s="28">
        <v>10616</v>
      </c>
      <c r="I10" s="18">
        <f t="shared" si="2"/>
        <v>0.10840506897854568</v>
      </c>
      <c r="J10" s="18">
        <f t="shared" si="3"/>
        <v>4.5072240407925852E-2</v>
      </c>
      <c r="K10" s="19"/>
      <c r="L10" s="4">
        <v>3786235419</v>
      </c>
      <c r="M10" s="4">
        <v>124835878</v>
      </c>
      <c r="N10" s="18">
        <f t="shared" si="4"/>
        <v>3.2970976229727146E-2</v>
      </c>
      <c r="O10" s="18">
        <f t="shared" si="5"/>
        <v>3.702674698595234E-2</v>
      </c>
      <c r="P10" s="19"/>
      <c r="Q10" s="48">
        <v>2</v>
      </c>
      <c r="R10" s="48">
        <v>1</v>
      </c>
      <c r="S10" s="48" t="s">
        <v>112</v>
      </c>
      <c r="T10" s="48"/>
    </row>
    <row r="11" spans="1:24" ht="13.5" customHeight="1" x14ac:dyDescent="0.2">
      <c r="A11" s="24" t="s">
        <v>3</v>
      </c>
      <c r="B11" s="2">
        <v>971</v>
      </c>
      <c r="C11" s="2">
        <v>125</v>
      </c>
      <c r="D11" s="18">
        <f t="shared" si="0"/>
        <v>0.12873326467559218</v>
      </c>
      <c r="E11" s="18">
        <f t="shared" si="1"/>
        <v>9.3332337788396922E-3</v>
      </c>
      <c r="F11" s="19"/>
      <c r="G11" s="2">
        <v>9792</v>
      </c>
      <c r="H11" s="28">
        <v>1167</v>
      </c>
      <c r="I11" s="18">
        <f t="shared" si="2"/>
        <v>0.11917892156862746</v>
      </c>
      <c r="J11" s="18">
        <f t="shared" si="3"/>
        <v>4.954719720803454E-3</v>
      </c>
      <c r="K11" s="19"/>
      <c r="L11" s="4">
        <v>240233907</v>
      </c>
      <c r="M11" s="4">
        <v>11435260</v>
      </c>
      <c r="N11" s="18">
        <f t="shared" si="4"/>
        <v>4.7600524600384574E-2</v>
      </c>
      <c r="O11" s="18">
        <f t="shared" si="5"/>
        <v>3.3917370993183657E-3</v>
      </c>
      <c r="P11" s="19"/>
      <c r="Q11" s="48">
        <v>3</v>
      </c>
      <c r="R11" s="48">
        <v>4</v>
      </c>
      <c r="S11" s="48" t="s">
        <v>113</v>
      </c>
      <c r="T11" s="48"/>
    </row>
    <row r="12" spans="1:24" ht="13.5" customHeight="1" x14ac:dyDescent="0.2">
      <c r="A12" s="24" t="s">
        <v>4</v>
      </c>
      <c r="B12" s="2">
        <v>1080</v>
      </c>
      <c r="C12" s="2">
        <v>130</v>
      </c>
      <c r="D12" s="18">
        <f t="shared" si="0"/>
        <v>0.12037037037037036</v>
      </c>
      <c r="E12" s="18">
        <f t="shared" si="1"/>
        <v>9.7065631299932797E-3</v>
      </c>
      <c r="F12" s="19"/>
      <c r="G12" s="2">
        <v>12817</v>
      </c>
      <c r="H12" s="28">
        <v>1772</v>
      </c>
      <c r="I12" s="18">
        <f t="shared" si="2"/>
        <v>0.13825388156354843</v>
      </c>
      <c r="J12" s="18">
        <f t="shared" si="3"/>
        <v>7.5233619068240968E-3</v>
      </c>
      <c r="K12" s="19"/>
      <c r="L12" s="4">
        <v>324356334</v>
      </c>
      <c r="M12" s="4">
        <v>17411317</v>
      </c>
      <c r="N12" s="18">
        <f t="shared" si="4"/>
        <v>5.3679596095077338E-2</v>
      </c>
      <c r="O12" s="18">
        <f t="shared" si="5"/>
        <v>5.164255978166876E-3</v>
      </c>
      <c r="P12" s="19"/>
      <c r="Q12" s="48">
        <v>4</v>
      </c>
      <c r="R12" s="48">
        <v>4</v>
      </c>
      <c r="S12" s="48" t="s">
        <v>113</v>
      </c>
      <c r="T12" s="48"/>
    </row>
    <row r="13" spans="1:24" ht="13.5" customHeight="1" x14ac:dyDescent="0.2">
      <c r="A13" s="24" t="s">
        <v>5</v>
      </c>
      <c r="B13" s="2">
        <v>839</v>
      </c>
      <c r="C13" s="2">
        <v>70</v>
      </c>
      <c r="D13" s="18">
        <f t="shared" si="0"/>
        <v>8.3432657926102508E-2</v>
      </c>
      <c r="E13" s="18">
        <f t="shared" si="1"/>
        <v>5.2266109161502273E-3</v>
      </c>
      <c r="F13" s="19"/>
      <c r="G13" s="2">
        <v>13271</v>
      </c>
      <c r="H13" s="28">
        <v>1054</v>
      </c>
      <c r="I13" s="18">
        <f t="shared" si="2"/>
        <v>7.9421294552030744E-2</v>
      </c>
      <c r="J13" s="18">
        <f t="shared" si="3"/>
        <v>4.4749568001086898E-3</v>
      </c>
      <c r="K13" s="19"/>
      <c r="L13" s="4">
        <v>403590770</v>
      </c>
      <c r="M13" s="4">
        <v>10827268</v>
      </c>
      <c r="N13" s="18">
        <f t="shared" si="4"/>
        <v>2.6827342954349527E-2</v>
      </c>
      <c r="O13" s="18">
        <f t="shared" si="5"/>
        <v>3.2114045994461483E-3</v>
      </c>
      <c r="P13" s="19"/>
      <c r="Q13" s="48">
        <v>5</v>
      </c>
      <c r="R13" s="48">
        <v>4</v>
      </c>
      <c r="S13" s="48" t="s">
        <v>113</v>
      </c>
      <c r="T13" s="48"/>
    </row>
    <row r="14" spans="1:24" ht="13.5" customHeight="1" x14ac:dyDescent="0.2">
      <c r="A14" s="24" t="s">
        <v>6</v>
      </c>
      <c r="B14" s="2">
        <v>174</v>
      </c>
      <c r="C14" s="2">
        <v>24</v>
      </c>
      <c r="D14" s="18">
        <f t="shared" si="0"/>
        <v>0.13793103448275862</v>
      </c>
      <c r="E14" s="18">
        <f t="shared" si="1"/>
        <v>1.7919808855372209E-3</v>
      </c>
      <c r="F14" s="19"/>
      <c r="G14" s="2">
        <v>1238</v>
      </c>
      <c r="H14" s="28">
        <v>177</v>
      </c>
      <c r="I14" s="18">
        <f t="shared" si="2"/>
        <v>0.14297253634894991</v>
      </c>
      <c r="J14" s="18">
        <f t="shared" si="3"/>
        <v>7.5148705276967558E-4</v>
      </c>
      <c r="K14" s="19"/>
      <c r="L14" s="4">
        <v>26844040</v>
      </c>
      <c r="M14" s="4">
        <v>965030</v>
      </c>
      <c r="N14" s="18">
        <f t="shared" si="4"/>
        <v>3.5949506855152948E-2</v>
      </c>
      <c r="O14" s="18">
        <f t="shared" si="5"/>
        <v>2.8623118783090216E-4</v>
      </c>
      <c r="P14" s="19"/>
      <c r="Q14" s="48">
        <v>6</v>
      </c>
      <c r="R14" s="48">
        <v>3</v>
      </c>
      <c r="S14" s="48" t="s">
        <v>114</v>
      </c>
      <c r="T14" s="48"/>
    </row>
    <row r="15" spans="1:24" ht="13.5" customHeight="1" x14ac:dyDescent="0.2">
      <c r="A15" s="24" t="s">
        <v>7</v>
      </c>
      <c r="B15" s="2">
        <v>1831</v>
      </c>
      <c r="C15" s="2">
        <v>175</v>
      </c>
      <c r="D15" s="18">
        <f t="shared" si="0"/>
        <v>9.5576187875477878E-2</v>
      </c>
      <c r="E15" s="18">
        <f t="shared" si="1"/>
        <v>1.3066527290375569E-2</v>
      </c>
      <c r="F15" s="19"/>
      <c r="G15" s="2">
        <v>29587</v>
      </c>
      <c r="H15" s="28">
        <v>3234</v>
      </c>
      <c r="I15" s="18">
        <f t="shared" si="2"/>
        <v>0.1093047622266536</v>
      </c>
      <c r="J15" s="18">
        <f t="shared" si="3"/>
        <v>1.3730560048910344E-2</v>
      </c>
      <c r="K15" s="19"/>
      <c r="L15" s="4">
        <v>854313501</v>
      </c>
      <c r="M15" s="4">
        <v>30022148</v>
      </c>
      <c r="N15" s="18">
        <f t="shared" si="4"/>
        <v>3.5141839576289219E-2</v>
      </c>
      <c r="O15" s="18">
        <f t="shared" si="5"/>
        <v>8.9046714436599329E-3</v>
      </c>
      <c r="P15" s="19"/>
      <c r="Q15" s="48">
        <v>7</v>
      </c>
      <c r="R15" s="48">
        <v>3</v>
      </c>
      <c r="S15" s="48" t="s">
        <v>114</v>
      </c>
      <c r="T15" s="48"/>
    </row>
    <row r="16" spans="1:24" ht="13.5" customHeight="1" x14ac:dyDescent="0.2">
      <c r="A16" s="24" t="s">
        <v>8</v>
      </c>
      <c r="B16" s="2">
        <v>750</v>
      </c>
      <c r="C16" s="2">
        <v>87</v>
      </c>
      <c r="D16" s="18">
        <f t="shared" si="0"/>
        <v>0.11600000000000001</v>
      </c>
      <c r="E16" s="18">
        <f t="shared" si="1"/>
        <v>6.4959307100724258E-3</v>
      </c>
      <c r="F16" s="19"/>
      <c r="G16" s="2">
        <v>12389</v>
      </c>
      <c r="H16" s="28">
        <v>1195</v>
      </c>
      <c r="I16" s="18">
        <f t="shared" si="2"/>
        <v>9.6456534022116389E-2</v>
      </c>
      <c r="J16" s="18">
        <f t="shared" si="3"/>
        <v>5.0735990285862278E-3</v>
      </c>
      <c r="K16" s="19"/>
      <c r="L16" s="4">
        <v>356045504</v>
      </c>
      <c r="M16" s="4">
        <v>10306901</v>
      </c>
      <c r="N16" s="18">
        <f t="shared" si="4"/>
        <v>2.8948268926884131E-2</v>
      </c>
      <c r="O16" s="18">
        <f t="shared" si="5"/>
        <v>3.0570619732915179E-3</v>
      </c>
      <c r="P16" s="19"/>
      <c r="Q16" s="48">
        <v>8</v>
      </c>
      <c r="R16" s="48">
        <v>3</v>
      </c>
      <c r="S16" s="48" t="s">
        <v>114</v>
      </c>
      <c r="T16" s="48"/>
    </row>
    <row r="17" spans="1:20" ht="13.5" customHeight="1" x14ac:dyDescent="0.2">
      <c r="A17" s="24" t="s">
        <v>9</v>
      </c>
      <c r="B17" s="2">
        <v>691</v>
      </c>
      <c r="C17" s="2">
        <v>96</v>
      </c>
      <c r="D17" s="18">
        <f t="shared" si="0"/>
        <v>0.13892908827785819</v>
      </c>
      <c r="E17" s="18">
        <f t="shared" si="1"/>
        <v>7.1679235421488836E-3</v>
      </c>
      <c r="F17" s="19"/>
      <c r="G17" s="2">
        <v>8679</v>
      </c>
      <c r="H17" s="28">
        <v>1113</v>
      </c>
      <c r="I17" s="18">
        <f t="shared" si="2"/>
        <v>0.1282405807120636</v>
      </c>
      <c r="J17" s="18">
        <f t="shared" si="3"/>
        <v>4.7254524843652482E-3</v>
      </c>
      <c r="K17" s="19"/>
      <c r="L17" s="4">
        <v>273398099</v>
      </c>
      <c r="M17" s="4">
        <v>10083032</v>
      </c>
      <c r="N17" s="18">
        <f t="shared" si="4"/>
        <v>3.6880402741937136E-2</v>
      </c>
      <c r="O17" s="18">
        <f t="shared" si="5"/>
        <v>2.9906616647119751E-3</v>
      </c>
      <c r="P17" s="19"/>
      <c r="Q17" s="48">
        <v>9</v>
      </c>
      <c r="R17" s="48">
        <v>2</v>
      </c>
      <c r="S17" s="48" t="s">
        <v>111</v>
      </c>
      <c r="T17" s="48"/>
    </row>
    <row r="18" spans="1:20" ht="13.5" customHeight="1" x14ac:dyDescent="0.2">
      <c r="A18" s="24" t="s">
        <v>10</v>
      </c>
      <c r="B18" s="2">
        <v>2014</v>
      </c>
      <c r="C18" s="2">
        <v>157</v>
      </c>
      <c r="D18" s="18">
        <f t="shared" si="0"/>
        <v>7.795431976166832E-2</v>
      </c>
      <c r="E18" s="18">
        <f t="shared" si="1"/>
        <v>1.1722541626222653E-2</v>
      </c>
      <c r="F18" s="19"/>
      <c r="G18" s="2">
        <v>27391</v>
      </c>
      <c r="H18" s="28">
        <v>2683</v>
      </c>
      <c r="I18" s="18">
        <f t="shared" si="2"/>
        <v>9.7951882005038154E-2</v>
      </c>
      <c r="J18" s="18">
        <f t="shared" si="3"/>
        <v>1.1391185099327907E-2</v>
      </c>
      <c r="K18" s="19"/>
      <c r="L18" s="4">
        <v>1090709717</v>
      </c>
      <c r="M18" s="4">
        <v>34261776</v>
      </c>
      <c r="N18" s="18">
        <f t="shared" si="4"/>
        <v>3.1412368906217417E-2</v>
      </c>
      <c r="O18" s="18">
        <f t="shared" si="5"/>
        <v>1.0162159561543472E-2</v>
      </c>
      <c r="P18" s="19"/>
      <c r="Q18" s="48">
        <v>10</v>
      </c>
      <c r="R18" s="48">
        <v>1</v>
      </c>
      <c r="S18" s="48" t="s">
        <v>112</v>
      </c>
      <c r="T18" s="48"/>
    </row>
    <row r="19" spans="1:20" ht="13.5" customHeight="1" x14ac:dyDescent="0.2">
      <c r="A19" s="24" t="s">
        <v>11</v>
      </c>
      <c r="B19" s="2">
        <v>822</v>
      </c>
      <c r="C19" s="2">
        <v>169</v>
      </c>
      <c r="D19" s="18">
        <f t="shared" si="0"/>
        <v>0.20559610705596107</v>
      </c>
      <c r="E19" s="18">
        <f t="shared" si="1"/>
        <v>1.2618532068991264E-2</v>
      </c>
      <c r="F19" s="19"/>
      <c r="G19" s="2">
        <v>5685</v>
      </c>
      <c r="H19" s="28">
        <v>1656</v>
      </c>
      <c r="I19" s="18">
        <f t="shared" si="2"/>
        <v>0.29129287598944592</v>
      </c>
      <c r="J19" s="18">
        <f t="shared" si="3"/>
        <v>7.0308619174383209E-3</v>
      </c>
      <c r="K19" s="19"/>
      <c r="L19" s="4">
        <v>114343445</v>
      </c>
      <c r="M19" s="4">
        <v>21437372</v>
      </c>
      <c r="N19" s="18">
        <f t="shared" si="4"/>
        <v>0.18748229948817791</v>
      </c>
      <c r="O19" s="18">
        <f t="shared" si="5"/>
        <v>6.358397616170402E-3</v>
      </c>
      <c r="P19" s="19"/>
      <c r="Q19" s="48">
        <v>11</v>
      </c>
      <c r="R19" s="48">
        <v>4</v>
      </c>
      <c r="S19" s="48" t="s">
        <v>113</v>
      </c>
      <c r="T19" s="48"/>
    </row>
    <row r="20" spans="1:20" ht="13.5" customHeight="1" x14ac:dyDescent="0.2">
      <c r="A20" s="24" t="s">
        <v>12</v>
      </c>
      <c r="B20" s="2">
        <v>427</v>
      </c>
      <c r="C20" s="2">
        <v>35</v>
      </c>
      <c r="D20" s="18">
        <f t="shared" si="0"/>
        <v>8.1967213114754092E-2</v>
      </c>
      <c r="E20" s="18">
        <f t="shared" si="1"/>
        <v>2.6133054580751137E-3</v>
      </c>
      <c r="F20" s="19"/>
      <c r="G20" s="2">
        <v>4800</v>
      </c>
      <c r="H20" s="28">
        <v>353</v>
      </c>
      <c r="I20" s="18">
        <f t="shared" si="2"/>
        <v>7.3541666666666672E-2</v>
      </c>
      <c r="J20" s="18">
        <f t="shared" si="3"/>
        <v>1.4987284159756807E-3</v>
      </c>
      <c r="K20" s="19"/>
      <c r="L20" s="4">
        <v>126335493</v>
      </c>
      <c r="M20" s="4">
        <v>2680266</v>
      </c>
      <c r="N20" s="18">
        <f t="shared" si="4"/>
        <v>2.1215463179456624E-2</v>
      </c>
      <c r="O20" s="18">
        <f t="shared" si="5"/>
        <v>7.949760327479777E-4</v>
      </c>
      <c r="P20" s="19"/>
      <c r="Q20" s="48">
        <v>12</v>
      </c>
      <c r="R20" s="48">
        <v>3</v>
      </c>
      <c r="S20" s="48" t="s">
        <v>114</v>
      </c>
      <c r="T20" s="48"/>
    </row>
    <row r="21" spans="1:20" ht="13.5" customHeight="1" x14ac:dyDescent="0.2">
      <c r="A21" s="24" t="s">
        <v>13</v>
      </c>
      <c r="B21" s="2">
        <v>1086</v>
      </c>
      <c r="C21" s="2">
        <v>100</v>
      </c>
      <c r="D21" s="18">
        <f t="shared" si="0"/>
        <v>9.2081031307550645E-2</v>
      </c>
      <c r="E21" s="18">
        <f t="shared" si="1"/>
        <v>7.4665870230717539E-3</v>
      </c>
      <c r="F21" s="19"/>
      <c r="G21" s="2">
        <v>11415</v>
      </c>
      <c r="H21" s="28">
        <v>1392</v>
      </c>
      <c r="I21" s="18">
        <f t="shared" si="2"/>
        <v>0.12194480946123522</v>
      </c>
      <c r="J21" s="18">
        <f t="shared" si="3"/>
        <v>5.9099998726293134E-3</v>
      </c>
      <c r="K21" s="19"/>
      <c r="L21" s="4">
        <v>338873641</v>
      </c>
      <c r="M21" s="4">
        <v>13598999</v>
      </c>
      <c r="N21" s="18">
        <f t="shared" si="4"/>
        <v>4.0129999370473311E-2</v>
      </c>
      <c r="O21" s="18">
        <f t="shared" si="5"/>
        <v>4.0335094630024465E-3</v>
      </c>
      <c r="P21" s="19"/>
      <c r="Q21" s="48">
        <v>13</v>
      </c>
      <c r="R21" s="48">
        <v>1</v>
      </c>
      <c r="S21" s="48" t="s">
        <v>112</v>
      </c>
      <c r="T21" s="48"/>
    </row>
    <row r="22" spans="1:20" ht="13.5" customHeight="1" x14ac:dyDescent="0.2">
      <c r="A22" s="24" t="s">
        <v>14</v>
      </c>
      <c r="B22" s="2">
        <v>1126</v>
      </c>
      <c r="C22" s="2">
        <v>115</v>
      </c>
      <c r="D22" s="18">
        <f t="shared" si="0"/>
        <v>0.10213143872113677</v>
      </c>
      <c r="E22" s="18">
        <f t="shared" si="1"/>
        <v>8.5865750765325172E-3</v>
      </c>
      <c r="F22" s="19"/>
      <c r="G22" s="2">
        <v>13207</v>
      </c>
      <c r="H22" s="28">
        <v>1890</v>
      </c>
      <c r="I22" s="18">
        <f t="shared" si="2"/>
        <v>0.14310592867418792</v>
      </c>
      <c r="J22" s="18">
        <f t="shared" si="3"/>
        <v>8.0243532753372145E-3</v>
      </c>
      <c r="K22" s="19"/>
      <c r="L22" s="4">
        <v>323505707</v>
      </c>
      <c r="M22" s="4">
        <v>18699066</v>
      </c>
      <c r="N22" s="18">
        <f t="shared" si="4"/>
        <v>5.7801348153650962E-2</v>
      </c>
      <c r="O22" s="18">
        <f t="shared" si="5"/>
        <v>5.5462067215614405E-3</v>
      </c>
      <c r="P22" s="19"/>
      <c r="Q22" s="48">
        <v>14</v>
      </c>
      <c r="R22" s="48">
        <v>4</v>
      </c>
      <c r="S22" s="48" t="s">
        <v>113</v>
      </c>
      <c r="T22" s="48"/>
    </row>
    <row r="23" spans="1:20" ht="13.5" customHeight="1" x14ac:dyDescent="0.2">
      <c r="A23" s="24" t="s">
        <v>15</v>
      </c>
      <c r="B23" s="2">
        <v>203</v>
      </c>
      <c r="C23" s="2">
        <v>27</v>
      </c>
      <c r="D23" s="18">
        <f t="shared" si="0"/>
        <v>0.13300492610837439</v>
      </c>
      <c r="E23" s="18">
        <f t="shared" si="1"/>
        <v>2.0159784962293734E-3</v>
      </c>
      <c r="F23" s="19"/>
      <c r="G23" s="2">
        <v>1630</v>
      </c>
      <c r="H23" s="28">
        <v>157</v>
      </c>
      <c r="I23" s="18">
        <f t="shared" si="2"/>
        <v>9.6319018404907975E-2</v>
      </c>
      <c r="J23" s="18">
        <f t="shared" si="3"/>
        <v>6.6657326149626589E-4</v>
      </c>
      <c r="K23" s="19"/>
      <c r="L23" s="4">
        <v>39922198</v>
      </c>
      <c r="M23" s="4">
        <v>1172007</v>
      </c>
      <c r="N23" s="18">
        <f t="shared" si="4"/>
        <v>2.9357276370404254E-2</v>
      </c>
      <c r="O23" s="18">
        <f t="shared" si="5"/>
        <v>3.476212716248533E-4</v>
      </c>
      <c r="P23" s="19"/>
      <c r="Q23" s="48">
        <v>15</v>
      </c>
      <c r="R23" s="48">
        <v>4</v>
      </c>
      <c r="S23" s="48" t="s">
        <v>113</v>
      </c>
      <c r="T23" s="48"/>
    </row>
    <row r="24" spans="1:20" ht="13.5" customHeight="1" x14ac:dyDescent="0.2">
      <c r="A24" s="24" t="s">
        <v>16</v>
      </c>
      <c r="B24" s="2">
        <v>237</v>
      </c>
      <c r="C24" s="2">
        <v>68</v>
      </c>
      <c r="D24" s="18">
        <f t="shared" si="0"/>
        <v>0.28691983122362869</v>
      </c>
      <c r="E24" s="18">
        <f t="shared" si="1"/>
        <v>5.077279175688793E-3</v>
      </c>
      <c r="F24" s="19"/>
      <c r="G24" s="2">
        <v>1830</v>
      </c>
      <c r="H24" s="28">
        <v>993</v>
      </c>
      <c r="I24" s="18">
        <f t="shared" si="2"/>
        <v>0.54262295081967216</v>
      </c>
      <c r="J24" s="18">
        <f t="shared" si="3"/>
        <v>4.2159697367247905E-3</v>
      </c>
      <c r="K24" s="19"/>
      <c r="L24" s="4">
        <v>37822811</v>
      </c>
      <c r="M24" s="4">
        <v>14942739</v>
      </c>
      <c r="N24" s="18">
        <f t="shared" si="4"/>
        <v>0.39507214310432931</v>
      </c>
      <c r="O24" s="18">
        <f t="shared" si="5"/>
        <v>4.4320673278728613E-3</v>
      </c>
      <c r="P24" s="19"/>
      <c r="Q24" s="48">
        <v>16</v>
      </c>
      <c r="R24" s="48">
        <v>2</v>
      </c>
      <c r="S24" s="48" t="s">
        <v>111</v>
      </c>
      <c r="T24" s="48"/>
    </row>
    <row r="25" spans="1:20" ht="13.5" customHeight="1" x14ac:dyDescent="0.2">
      <c r="A25" s="24" t="s">
        <v>17</v>
      </c>
      <c r="B25" s="2">
        <v>336</v>
      </c>
      <c r="C25" s="2">
        <v>27</v>
      </c>
      <c r="D25" s="18">
        <f t="shared" si="0"/>
        <v>8.0357142857142863E-2</v>
      </c>
      <c r="E25" s="18">
        <f t="shared" si="1"/>
        <v>2.0159784962293734E-3</v>
      </c>
      <c r="F25" s="19"/>
      <c r="G25" s="2">
        <v>4058</v>
      </c>
      <c r="H25" s="28">
        <v>238</v>
      </c>
      <c r="I25" s="18">
        <f t="shared" si="2"/>
        <v>5.8649581074420899E-2</v>
      </c>
      <c r="J25" s="18">
        <f t="shared" si="3"/>
        <v>1.0104741161535752E-3</v>
      </c>
      <c r="K25" s="19"/>
      <c r="L25" s="4">
        <v>94261527</v>
      </c>
      <c r="M25" s="4">
        <v>1973210</v>
      </c>
      <c r="N25" s="18">
        <f t="shared" si="4"/>
        <v>2.0933354920083143E-2</v>
      </c>
      <c r="O25" s="18">
        <f t="shared" si="5"/>
        <v>5.8526081276210533E-4</v>
      </c>
      <c r="P25" s="19"/>
      <c r="Q25" s="48">
        <v>17</v>
      </c>
      <c r="R25" s="48">
        <v>3</v>
      </c>
      <c r="S25" s="48" t="s">
        <v>114</v>
      </c>
      <c r="T25" s="48"/>
    </row>
    <row r="26" spans="1:20" ht="13.5" customHeight="1" x14ac:dyDescent="0.2">
      <c r="A26" s="24" t="s">
        <v>18</v>
      </c>
      <c r="B26" s="2">
        <v>1963</v>
      </c>
      <c r="C26" s="2">
        <v>269</v>
      </c>
      <c r="D26" s="18">
        <f t="shared" si="0"/>
        <v>0.1370351502801834</v>
      </c>
      <c r="E26" s="18">
        <f t="shared" si="1"/>
        <v>2.0085119092063019E-2</v>
      </c>
      <c r="F26" s="19"/>
      <c r="G26" s="2">
        <v>23292</v>
      </c>
      <c r="H26" s="28">
        <v>3945</v>
      </c>
      <c r="I26" s="18">
        <f t="shared" si="2"/>
        <v>0.16937145801133435</v>
      </c>
      <c r="J26" s="18">
        <f t="shared" si="3"/>
        <v>1.6749245328680058E-2</v>
      </c>
      <c r="K26" s="19"/>
      <c r="L26" s="4">
        <v>644163893</v>
      </c>
      <c r="M26" s="4">
        <v>46012613</v>
      </c>
      <c r="N26" s="18">
        <f t="shared" si="4"/>
        <v>7.1429978457361321E-2</v>
      </c>
      <c r="O26" s="18">
        <f t="shared" si="5"/>
        <v>1.3647497874878099E-2</v>
      </c>
      <c r="P26" s="19"/>
      <c r="Q26" s="48">
        <v>18</v>
      </c>
      <c r="R26" s="48">
        <v>4</v>
      </c>
      <c r="S26" s="48" t="s">
        <v>113</v>
      </c>
      <c r="T26" s="48"/>
    </row>
    <row r="27" spans="1:20" ht="13.5" customHeight="1" x14ac:dyDescent="0.2">
      <c r="A27" s="24" t="s">
        <v>19</v>
      </c>
      <c r="B27" s="2">
        <v>9464</v>
      </c>
      <c r="C27" s="2">
        <v>729</v>
      </c>
      <c r="D27" s="18">
        <f t="shared" si="0"/>
        <v>7.7028740490278955E-2</v>
      </c>
      <c r="E27" s="18">
        <f t="shared" si="1"/>
        <v>5.4431419398193084E-2</v>
      </c>
      <c r="F27" s="19"/>
      <c r="G27" s="2">
        <v>149750</v>
      </c>
      <c r="H27" s="28">
        <v>16108</v>
      </c>
      <c r="I27" s="18">
        <f t="shared" si="2"/>
        <v>0.10756594323873121</v>
      </c>
      <c r="J27" s="18">
        <f t="shared" si="3"/>
        <v>6.8389567491604145E-2</v>
      </c>
      <c r="K27" s="19"/>
      <c r="L27" s="4">
        <v>5885823406</v>
      </c>
      <c r="M27" s="4">
        <v>210777323</v>
      </c>
      <c r="N27" s="18">
        <f t="shared" si="4"/>
        <v>3.5811017161190041E-2</v>
      </c>
      <c r="O27" s="18">
        <f t="shared" si="5"/>
        <v>6.2517272551224037E-2</v>
      </c>
      <c r="P27" s="19"/>
      <c r="Q27" s="48">
        <v>19</v>
      </c>
      <c r="R27" s="48">
        <v>1</v>
      </c>
      <c r="S27" s="48" t="s">
        <v>112</v>
      </c>
      <c r="T27" s="48"/>
    </row>
    <row r="28" spans="1:20" ht="13.5" customHeight="1" x14ac:dyDescent="0.2">
      <c r="A28" s="24" t="s">
        <v>20</v>
      </c>
      <c r="B28" s="2">
        <v>426</v>
      </c>
      <c r="C28" s="2">
        <v>34</v>
      </c>
      <c r="D28" s="18">
        <f t="shared" si="0"/>
        <v>7.9812206572769953E-2</v>
      </c>
      <c r="E28" s="18">
        <f t="shared" si="1"/>
        <v>2.5386395878443965E-3</v>
      </c>
      <c r="F28" s="19"/>
      <c r="G28" s="2">
        <v>4031</v>
      </c>
      <c r="H28" s="28">
        <v>429</v>
      </c>
      <c r="I28" s="18">
        <f t="shared" si="2"/>
        <v>0.10642520466385512</v>
      </c>
      <c r="J28" s="18">
        <f t="shared" si="3"/>
        <v>1.8214008228146375E-3</v>
      </c>
      <c r="K28" s="19"/>
      <c r="L28" s="4">
        <v>134401298</v>
      </c>
      <c r="M28" s="4">
        <v>4028845</v>
      </c>
      <c r="N28" s="18">
        <f t="shared" si="4"/>
        <v>2.9976235794984658E-2</v>
      </c>
      <c r="O28" s="18">
        <f t="shared" si="5"/>
        <v>1.1949691615147624E-3</v>
      </c>
      <c r="P28" s="19"/>
      <c r="Q28" s="48">
        <v>20</v>
      </c>
      <c r="R28" s="48">
        <v>3</v>
      </c>
      <c r="S28" s="48" t="s">
        <v>114</v>
      </c>
      <c r="T28" s="48"/>
    </row>
    <row r="29" spans="1:20" ht="13.5" customHeight="1" x14ac:dyDescent="0.2">
      <c r="A29" s="24" t="s">
        <v>21</v>
      </c>
      <c r="B29" s="2">
        <v>1247</v>
      </c>
      <c r="C29" s="2">
        <v>140</v>
      </c>
      <c r="D29" s="18">
        <f t="shared" si="0"/>
        <v>0.11226944667201283</v>
      </c>
      <c r="E29" s="18">
        <f t="shared" si="1"/>
        <v>1.0453221832300455E-2</v>
      </c>
      <c r="F29" s="19"/>
      <c r="G29" s="2">
        <v>14364</v>
      </c>
      <c r="H29" s="28">
        <v>2246</v>
      </c>
      <c r="I29" s="18">
        <f t="shared" si="2"/>
        <v>0.15636313004734056</v>
      </c>
      <c r="J29" s="18">
        <f t="shared" si="3"/>
        <v>9.5358187600039068E-3</v>
      </c>
      <c r="K29" s="19"/>
      <c r="L29" s="4">
        <v>394353415</v>
      </c>
      <c r="M29" s="4">
        <v>23175783</v>
      </c>
      <c r="N29" s="18">
        <f t="shared" si="4"/>
        <v>5.8769068856675176E-2</v>
      </c>
      <c r="O29" s="18">
        <f t="shared" si="5"/>
        <v>6.8740162450921004E-3</v>
      </c>
      <c r="P29" s="19"/>
      <c r="Q29" s="48">
        <v>21</v>
      </c>
      <c r="R29" s="48">
        <v>4</v>
      </c>
      <c r="S29" s="48" t="s">
        <v>113</v>
      </c>
      <c r="T29" s="48"/>
    </row>
    <row r="30" spans="1:20" ht="13.5" customHeight="1" x14ac:dyDescent="0.2">
      <c r="A30" s="24" t="s">
        <v>22</v>
      </c>
      <c r="B30" s="2">
        <v>449</v>
      </c>
      <c r="C30" s="2">
        <v>34</v>
      </c>
      <c r="D30" s="18">
        <f t="shared" si="0"/>
        <v>7.5723830734966593E-2</v>
      </c>
      <c r="E30" s="18">
        <f t="shared" si="1"/>
        <v>2.5386395878443965E-3</v>
      </c>
      <c r="F30" s="19"/>
      <c r="G30" s="2">
        <v>4565</v>
      </c>
      <c r="H30" s="28">
        <v>343</v>
      </c>
      <c r="I30" s="18">
        <f t="shared" si="2"/>
        <v>7.5136911281489596E-2</v>
      </c>
      <c r="J30" s="18">
        <f t="shared" si="3"/>
        <v>1.4562715203389758E-3</v>
      </c>
      <c r="K30" s="19"/>
      <c r="L30" s="4">
        <v>140715124</v>
      </c>
      <c r="M30" s="4">
        <v>2416698</v>
      </c>
      <c r="N30" s="18">
        <f t="shared" si="4"/>
        <v>1.7174401239201553E-2</v>
      </c>
      <c r="O30" s="18">
        <f t="shared" si="5"/>
        <v>7.1680086543274887E-4</v>
      </c>
      <c r="P30" s="19"/>
      <c r="Q30" s="48">
        <v>22</v>
      </c>
      <c r="R30" s="48">
        <v>3</v>
      </c>
      <c r="S30" s="48" t="s">
        <v>114</v>
      </c>
      <c r="T30" s="48"/>
    </row>
    <row r="31" spans="1:20" ht="13.5" customHeight="1" x14ac:dyDescent="0.2">
      <c r="A31" s="24" t="s">
        <v>23</v>
      </c>
      <c r="B31" s="2">
        <v>568</v>
      </c>
      <c r="C31" s="2">
        <v>76</v>
      </c>
      <c r="D31" s="18">
        <f t="shared" si="0"/>
        <v>0.13380281690140844</v>
      </c>
      <c r="E31" s="18">
        <f t="shared" si="1"/>
        <v>5.6746061375345328E-3</v>
      </c>
      <c r="F31" s="19"/>
      <c r="G31" s="2">
        <v>5184</v>
      </c>
      <c r="H31" s="28">
        <v>661</v>
      </c>
      <c r="I31" s="18">
        <f t="shared" si="2"/>
        <v>0.12750771604938271</v>
      </c>
      <c r="J31" s="18">
        <f t="shared" si="3"/>
        <v>2.8064008015861895E-3</v>
      </c>
      <c r="K31" s="19"/>
      <c r="L31" s="4">
        <v>126588114</v>
      </c>
      <c r="M31" s="4">
        <v>4829316</v>
      </c>
      <c r="N31" s="18">
        <f t="shared" si="4"/>
        <v>3.8149837669593532E-2</v>
      </c>
      <c r="O31" s="18">
        <f t="shared" si="5"/>
        <v>1.4323915889565932E-3</v>
      </c>
      <c r="P31" s="19"/>
      <c r="Q31" s="48">
        <v>23</v>
      </c>
      <c r="R31" s="48">
        <v>3</v>
      </c>
      <c r="S31" s="48" t="s">
        <v>114</v>
      </c>
      <c r="T31" s="48"/>
    </row>
    <row r="32" spans="1:20" ht="13.5" customHeight="1" x14ac:dyDescent="0.2">
      <c r="A32" s="24" t="s">
        <v>24</v>
      </c>
      <c r="B32" s="2">
        <v>814</v>
      </c>
      <c r="C32" s="2">
        <v>96</v>
      </c>
      <c r="D32" s="18">
        <f t="shared" si="0"/>
        <v>0.11793611793611794</v>
      </c>
      <c r="E32" s="18">
        <f t="shared" si="1"/>
        <v>7.1679235421488836E-3</v>
      </c>
      <c r="F32" s="19"/>
      <c r="G32" s="2">
        <v>11258</v>
      </c>
      <c r="H32" s="28">
        <v>1172</v>
      </c>
      <c r="I32" s="18">
        <f t="shared" si="2"/>
        <v>0.10410374844554983</v>
      </c>
      <c r="J32" s="18">
        <f t="shared" si="3"/>
        <v>4.9759481686218066E-3</v>
      </c>
      <c r="K32" s="19"/>
      <c r="L32" s="4">
        <v>300831921</v>
      </c>
      <c r="M32" s="4">
        <v>10306018</v>
      </c>
      <c r="N32" s="18">
        <f t="shared" si="4"/>
        <v>3.4258392413084385E-2</v>
      </c>
      <c r="O32" s="18">
        <f t="shared" si="5"/>
        <v>3.056800072481331E-3</v>
      </c>
      <c r="P32" s="19"/>
      <c r="Q32" s="48">
        <v>24</v>
      </c>
      <c r="R32" s="48">
        <v>3</v>
      </c>
      <c r="S32" s="48" t="s">
        <v>114</v>
      </c>
      <c r="T32" s="48"/>
    </row>
    <row r="33" spans="1:20" ht="13.5" customHeight="1" x14ac:dyDescent="0.2">
      <c r="A33" s="24" t="s">
        <v>25</v>
      </c>
      <c r="B33" s="2">
        <v>1248</v>
      </c>
      <c r="C33" s="2">
        <v>126</v>
      </c>
      <c r="D33" s="18">
        <f t="shared" si="0"/>
        <v>0.10096153846153846</v>
      </c>
      <c r="E33" s="18">
        <f t="shared" si="1"/>
        <v>9.4078996490704093E-3</v>
      </c>
      <c r="F33" s="19"/>
      <c r="G33" s="2">
        <v>17189</v>
      </c>
      <c r="H33" s="28">
        <v>1848</v>
      </c>
      <c r="I33" s="18">
        <f t="shared" si="2"/>
        <v>0.10751061725522136</v>
      </c>
      <c r="J33" s="18">
        <f t="shared" si="3"/>
        <v>7.8460343136630539E-3</v>
      </c>
      <c r="K33" s="19"/>
      <c r="L33" s="4">
        <v>560880320</v>
      </c>
      <c r="M33" s="4">
        <v>18414322</v>
      </c>
      <c r="N33" s="18">
        <f t="shared" si="4"/>
        <v>3.2831107356378633E-2</v>
      </c>
      <c r="O33" s="18">
        <f t="shared" si="5"/>
        <v>5.4617506804562699E-3</v>
      </c>
      <c r="P33" s="19"/>
      <c r="Q33" s="48">
        <v>25</v>
      </c>
      <c r="R33" s="48">
        <v>3</v>
      </c>
      <c r="S33" s="48" t="s">
        <v>114</v>
      </c>
      <c r="T33" s="48"/>
    </row>
    <row r="34" spans="1:20" ht="13.5" customHeight="1" x14ac:dyDescent="0.2">
      <c r="A34" s="24" t="s">
        <v>26</v>
      </c>
      <c r="B34" s="2">
        <v>210</v>
      </c>
      <c r="C34" s="2">
        <v>16</v>
      </c>
      <c r="D34" s="18">
        <f t="shared" si="0"/>
        <v>7.6190476190476197E-2</v>
      </c>
      <c r="E34" s="18">
        <f t="shared" si="1"/>
        <v>1.1946539236914807E-3</v>
      </c>
      <c r="F34" s="19"/>
      <c r="G34" s="2">
        <v>1515</v>
      </c>
      <c r="H34" s="28">
        <v>110</v>
      </c>
      <c r="I34" s="18">
        <f t="shared" si="2"/>
        <v>7.2607260726072612E-2</v>
      </c>
      <c r="J34" s="18">
        <f t="shared" si="3"/>
        <v>4.6702585200375317E-4</v>
      </c>
      <c r="K34" s="19"/>
      <c r="L34" s="4">
        <v>36746101</v>
      </c>
      <c r="M34" s="4">
        <v>872414</v>
      </c>
      <c r="N34" s="18">
        <f t="shared" si="4"/>
        <v>2.3741675341283148E-2</v>
      </c>
      <c r="O34" s="18">
        <f t="shared" si="5"/>
        <v>2.5876096649877069E-4</v>
      </c>
      <c r="P34" s="19"/>
      <c r="Q34" s="48">
        <v>26</v>
      </c>
      <c r="R34" s="48">
        <v>4</v>
      </c>
      <c r="S34" s="48" t="s">
        <v>113</v>
      </c>
      <c r="T34" s="48"/>
    </row>
    <row r="35" spans="1:20" ht="13.5" customHeight="1" x14ac:dyDescent="0.2">
      <c r="A35" s="24" t="s">
        <v>27</v>
      </c>
      <c r="B35" s="2">
        <v>39606</v>
      </c>
      <c r="C35" s="2">
        <v>3049</v>
      </c>
      <c r="D35" s="18">
        <f t="shared" si="0"/>
        <v>7.6983285360803913E-2</v>
      </c>
      <c r="E35" s="18">
        <f t="shared" si="1"/>
        <v>0.22765623833345777</v>
      </c>
      <c r="F35" s="19"/>
      <c r="G35" s="2">
        <v>737610</v>
      </c>
      <c r="H35" s="28">
        <v>70899</v>
      </c>
      <c r="I35" s="18">
        <f t="shared" si="2"/>
        <v>9.6119900760564522E-2</v>
      </c>
      <c r="J35" s="18">
        <f t="shared" si="3"/>
        <v>0.30101514437467364</v>
      </c>
      <c r="K35" s="19"/>
      <c r="L35" s="4">
        <v>37530938448</v>
      </c>
      <c r="M35" s="4">
        <v>1425008435</v>
      </c>
      <c r="N35" s="18">
        <f t="shared" si="4"/>
        <v>3.7968899631283741E-2</v>
      </c>
      <c r="O35" s="18">
        <f t="shared" si="5"/>
        <v>0.42266235973918426</v>
      </c>
      <c r="P35" s="19"/>
      <c r="Q35" s="48">
        <v>27</v>
      </c>
      <c r="R35" s="48">
        <v>1</v>
      </c>
      <c r="S35" s="48" t="s">
        <v>112</v>
      </c>
      <c r="T35" s="48"/>
    </row>
    <row r="36" spans="1:20" ht="13.5" customHeight="1" x14ac:dyDescent="0.2">
      <c r="A36" s="24" t="s">
        <v>28</v>
      </c>
      <c r="B36" s="2">
        <v>407</v>
      </c>
      <c r="C36" s="2">
        <v>47</v>
      </c>
      <c r="D36" s="18">
        <f t="shared" si="0"/>
        <v>0.11547911547911548</v>
      </c>
      <c r="E36" s="18">
        <f t="shared" si="1"/>
        <v>3.5092959008437242E-3</v>
      </c>
      <c r="F36" s="19"/>
      <c r="G36" s="2">
        <v>4065</v>
      </c>
      <c r="H36" s="28">
        <v>316</v>
      </c>
      <c r="I36" s="18">
        <f t="shared" si="2"/>
        <v>7.773677736777368E-2</v>
      </c>
      <c r="J36" s="18">
        <f t="shared" si="3"/>
        <v>1.3416379021198729E-3</v>
      </c>
      <c r="K36" s="19"/>
      <c r="L36" s="4">
        <v>97847214</v>
      </c>
      <c r="M36" s="4">
        <v>2140706</v>
      </c>
      <c r="N36" s="18">
        <f t="shared" si="4"/>
        <v>2.1878047544613789E-2</v>
      </c>
      <c r="O36" s="18">
        <f t="shared" si="5"/>
        <v>6.3494069736354242E-4</v>
      </c>
      <c r="P36" s="19"/>
      <c r="Q36" s="48">
        <v>28</v>
      </c>
      <c r="R36" s="48">
        <v>3</v>
      </c>
      <c r="S36" s="48" t="s">
        <v>114</v>
      </c>
      <c r="T36" s="48"/>
    </row>
    <row r="37" spans="1:20" ht="13.5" customHeight="1" x14ac:dyDescent="0.2">
      <c r="A37" s="24" t="s">
        <v>29</v>
      </c>
      <c r="B37" s="2">
        <v>555</v>
      </c>
      <c r="C37" s="2">
        <v>104</v>
      </c>
      <c r="D37" s="18">
        <f t="shared" si="0"/>
        <v>0.18738738738738739</v>
      </c>
      <c r="E37" s="18">
        <f t="shared" si="1"/>
        <v>7.7652505039946243E-3</v>
      </c>
      <c r="F37" s="19"/>
      <c r="G37" s="2">
        <v>5443</v>
      </c>
      <c r="H37" s="28">
        <v>779</v>
      </c>
      <c r="I37" s="18">
        <f t="shared" si="2"/>
        <v>0.14311960316002204</v>
      </c>
      <c r="J37" s="18">
        <f t="shared" si="3"/>
        <v>3.3073921700993067E-3</v>
      </c>
      <c r="K37" s="19"/>
      <c r="L37" s="4">
        <v>144048903</v>
      </c>
      <c r="M37" s="4">
        <v>7525519</v>
      </c>
      <c r="N37" s="18">
        <f t="shared" si="4"/>
        <v>5.2242806736265114E-2</v>
      </c>
      <c r="O37" s="18">
        <f t="shared" si="5"/>
        <v>2.2320945902345245E-3</v>
      </c>
      <c r="P37" s="19"/>
      <c r="Q37" s="48">
        <v>29</v>
      </c>
      <c r="R37" s="48">
        <v>4</v>
      </c>
      <c r="S37" s="48" t="s">
        <v>113</v>
      </c>
      <c r="T37" s="48"/>
    </row>
    <row r="38" spans="1:20" ht="13.5" customHeight="1" x14ac:dyDescent="0.2">
      <c r="A38" s="24" t="s">
        <v>30</v>
      </c>
      <c r="B38" s="2">
        <v>751</v>
      </c>
      <c r="C38" s="2">
        <v>69</v>
      </c>
      <c r="D38" s="18">
        <f t="shared" si="0"/>
        <v>9.1877496671105188E-2</v>
      </c>
      <c r="E38" s="18">
        <f t="shared" si="1"/>
        <v>5.1519450459195102E-3</v>
      </c>
      <c r="F38" s="19"/>
      <c r="G38" s="2">
        <v>8637</v>
      </c>
      <c r="H38" s="28">
        <v>869</v>
      </c>
      <c r="I38" s="18">
        <f t="shared" si="2"/>
        <v>0.10061363899502142</v>
      </c>
      <c r="J38" s="18">
        <f t="shared" si="3"/>
        <v>3.6895042308296502E-3</v>
      </c>
      <c r="K38" s="19"/>
      <c r="L38" s="4">
        <v>241114150</v>
      </c>
      <c r="M38" s="4">
        <v>7542314</v>
      </c>
      <c r="N38" s="18">
        <f t="shared" si="4"/>
        <v>3.1281092378858726E-2</v>
      </c>
      <c r="O38" s="18">
        <f t="shared" si="5"/>
        <v>2.2370760444894388E-3</v>
      </c>
      <c r="P38" s="19"/>
      <c r="Q38" s="48">
        <v>30</v>
      </c>
      <c r="R38" s="48">
        <v>2</v>
      </c>
      <c r="S38" s="48" t="s">
        <v>111</v>
      </c>
      <c r="T38" s="48"/>
    </row>
    <row r="39" spans="1:20" ht="13.5" customHeight="1" x14ac:dyDescent="0.2">
      <c r="A39" s="24" t="s">
        <v>31</v>
      </c>
      <c r="B39" s="2">
        <v>1147</v>
      </c>
      <c r="C39" s="2">
        <v>143</v>
      </c>
      <c r="D39" s="18">
        <f t="shared" si="0"/>
        <v>0.12467306015693112</v>
      </c>
      <c r="E39" s="18">
        <f t="shared" si="1"/>
        <v>1.0677219442992608E-2</v>
      </c>
      <c r="F39" s="19"/>
      <c r="G39" s="2">
        <v>12518</v>
      </c>
      <c r="H39" s="28">
        <v>1577</v>
      </c>
      <c r="I39" s="18">
        <f t="shared" si="2"/>
        <v>0.12597859082920596</v>
      </c>
      <c r="J39" s="18">
        <f t="shared" si="3"/>
        <v>6.695452441908353E-3</v>
      </c>
      <c r="K39" s="19"/>
      <c r="L39" s="4">
        <v>368246795</v>
      </c>
      <c r="M39" s="4">
        <v>15425647</v>
      </c>
      <c r="N39" s="18">
        <f t="shared" si="4"/>
        <v>4.1889426356039296E-2</v>
      </c>
      <c r="O39" s="18">
        <f t="shared" si="5"/>
        <v>4.575299486928067E-3</v>
      </c>
      <c r="P39" s="19"/>
      <c r="Q39" s="48">
        <v>31</v>
      </c>
      <c r="R39" s="48">
        <v>2</v>
      </c>
      <c r="S39" s="48" t="s">
        <v>111</v>
      </c>
      <c r="T39" s="48"/>
    </row>
    <row r="40" spans="1:20" ht="13.5" customHeight="1" x14ac:dyDescent="0.2">
      <c r="A40" s="24" t="s">
        <v>32</v>
      </c>
      <c r="B40" s="2">
        <v>271</v>
      </c>
      <c r="C40" s="2">
        <v>26</v>
      </c>
      <c r="D40" s="18">
        <f t="shared" si="0"/>
        <v>9.5940959409594101E-2</v>
      </c>
      <c r="E40" s="18">
        <f t="shared" si="1"/>
        <v>1.9413126259986561E-3</v>
      </c>
      <c r="F40" s="19"/>
      <c r="G40" s="2">
        <v>3974</v>
      </c>
      <c r="H40" s="28">
        <v>300</v>
      </c>
      <c r="I40" s="18">
        <f t="shared" si="2"/>
        <v>7.5490689481630596E-2</v>
      </c>
      <c r="J40" s="18">
        <f t="shared" si="3"/>
        <v>1.2737068691011451E-3</v>
      </c>
      <c r="K40" s="19"/>
      <c r="L40" s="4">
        <v>102446520</v>
      </c>
      <c r="M40" s="4">
        <v>2106366</v>
      </c>
      <c r="N40" s="18">
        <f t="shared" si="4"/>
        <v>2.0560639834325267E-2</v>
      </c>
      <c r="O40" s="18">
        <f t="shared" si="5"/>
        <v>6.2475533629692971E-4</v>
      </c>
      <c r="P40" s="19"/>
      <c r="Q40" s="48">
        <v>32</v>
      </c>
      <c r="R40" s="48">
        <v>3</v>
      </c>
      <c r="S40" s="48" t="s">
        <v>114</v>
      </c>
      <c r="T40" s="48"/>
    </row>
    <row r="41" spans="1:20" ht="13.5" customHeight="1" x14ac:dyDescent="0.2">
      <c r="A41" s="24" t="s">
        <v>33</v>
      </c>
      <c r="B41" s="2">
        <v>293</v>
      </c>
      <c r="C41" s="2">
        <v>32</v>
      </c>
      <c r="D41" s="18">
        <f t="shared" ref="D41:D72" si="6">+C41/B41</f>
        <v>0.10921501706484642</v>
      </c>
      <c r="E41" s="18">
        <f t="shared" si="1"/>
        <v>2.3893078473829613E-3</v>
      </c>
      <c r="F41" s="19"/>
      <c r="G41" s="2">
        <v>2765</v>
      </c>
      <c r="H41" s="28">
        <v>311</v>
      </c>
      <c r="I41" s="18">
        <f t="shared" ref="I41:I72" si="7">+H41/G41</f>
        <v>0.11247739602169982</v>
      </c>
      <c r="J41" s="18">
        <f t="shared" si="3"/>
        <v>1.3204094543015205E-3</v>
      </c>
      <c r="K41" s="19"/>
      <c r="L41" s="4">
        <v>75243817</v>
      </c>
      <c r="M41" s="4">
        <v>2745992</v>
      </c>
      <c r="N41" s="18">
        <f t="shared" ref="N41:N72" si="8">+M41/L41</f>
        <v>3.6494586658196777E-2</v>
      </c>
      <c r="O41" s="18">
        <f t="shared" si="5"/>
        <v>8.1447058841088336E-4</v>
      </c>
      <c r="P41" s="19"/>
      <c r="Q41" s="48">
        <v>33</v>
      </c>
      <c r="R41" s="48">
        <v>2</v>
      </c>
      <c r="S41" s="48" t="s">
        <v>111</v>
      </c>
      <c r="T41" s="48"/>
    </row>
    <row r="42" spans="1:20" ht="13.5" customHeight="1" x14ac:dyDescent="0.2">
      <c r="A42" s="24" t="s">
        <v>34</v>
      </c>
      <c r="B42" s="2">
        <v>1258</v>
      </c>
      <c r="C42" s="2">
        <v>101</v>
      </c>
      <c r="D42" s="18">
        <f t="shared" si="6"/>
        <v>8.0286168521462642E-2</v>
      </c>
      <c r="E42" s="18">
        <f t="shared" si="1"/>
        <v>7.5412528933024711E-3</v>
      </c>
      <c r="F42" s="19"/>
      <c r="G42" s="2">
        <v>17812</v>
      </c>
      <c r="H42" s="28">
        <v>1796</v>
      </c>
      <c r="I42" s="18">
        <f t="shared" si="7"/>
        <v>0.10083090051650573</v>
      </c>
      <c r="J42" s="18">
        <f t="shared" si="3"/>
        <v>7.625258456352188E-3</v>
      </c>
      <c r="K42" s="19"/>
      <c r="L42" s="4">
        <v>474743149</v>
      </c>
      <c r="M42" s="4">
        <v>16712031</v>
      </c>
      <c r="N42" s="18">
        <f t="shared" si="8"/>
        <v>3.5202258390041562E-2</v>
      </c>
      <c r="O42" s="18">
        <f t="shared" si="5"/>
        <v>4.9568453666692849E-3</v>
      </c>
      <c r="P42" s="19"/>
      <c r="Q42" s="48">
        <v>34</v>
      </c>
      <c r="R42" s="48">
        <v>3</v>
      </c>
      <c r="S42" s="48" t="s">
        <v>114</v>
      </c>
      <c r="T42" s="48"/>
    </row>
    <row r="43" spans="1:20" ht="13.5" customHeight="1" x14ac:dyDescent="0.2">
      <c r="A43" s="24" t="s">
        <v>35</v>
      </c>
      <c r="B43" s="2">
        <v>160</v>
      </c>
      <c r="C43" s="2">
        <v>14</v>
      </c>
      <c r="D43" s="18">
        <f t="shared" si="6"/>
        <v>8.7499999999999994E-2</v>
      </c>
      <c r="E43" s="18">
        <f t="shared" si="1"/>
        <v>1.0453221832300455E-3</v>
      </c>
      <c r="F43" s="19"/>
      <c r="G43" s="2">
        <v>1114</v>
      </c>
      <c r="H43" s="28">
        <v>74</v>
      </c>
      <c r="I43" s="18">
        <f t="shared" si="7"/>
        <v>6.6427289048473961E-2</v>
      </c>
      <c r="J43" s="18">
        <f t="shared" si="3"/>
        <v>3.1418102771161579E-4</v>
      </c>
      <c r="K43" s="19"/>
      <c r="L43" s="4">
        <v>26028643</v>
      </c>
      <c r="M43" s="4">
        <v>582103</v>
      </c>
      <c r="N43" s="18">
        <f t="shared" si="8"/>
        <v>2.2363939602998126E-2</v>
      </c>
      <c r="O43" s="18">
        <f t="shared" si="5"/>
        <v>1.7265373421544578E-4</v>
      </c>
      <c r="P43" s="19"/>
      <c r="Q43" s="48">
        <v>35</v>
      </c>
      <c r="R43" s="48">
        <v>4</v>
      </c>
      <c r="S43" s="48" t="s">
        <v>113</v>
      </c>
      <c r="T43" s="48"/>
    </row>
    <row r="44" spans="1:20" ht="13.5" customHeight="1" x14ac:dyDescent="0.2">
      <c r="A44" s="24" t="s">
        <v>36</v>
      </c>
      <c r="B44" s="2">
        <v>421</v>
      </c>
      <c r="C44" s="2">
        <v>61</v>
      </c>
      <c r="D44" s="18">
        <f t="shared" si="6"/>
        <v>0.14489311163895488</v>
      </c>
      <c r="E44" s="18">
        <f t="shared" si="1"/>
        <v>4.5546180840737695E-3</v>
      </c>
      <c r="F44" s="19"/>
      <c r="G44" s="2">
        <v>4601</v>
      </c>
      <c r="H44" s="28">
        <v>616</v>
      </c>
      <c r="I44" s="18">
        <f t="shared" si="7"/>
        <v>0.13388393827428821</v>
      </c>
      <c r="J44" s="18">
        <f t="shared" si="3"/>
        <v>2.615344771221018E-3</v>
      </c>
      <c r="K44" s="19"/>
      <c r="L44" s="4">
        <v>165888980</v>
      </c>
      <c r="M44" s="4">
        <v>6646001</v>
      </c>
      <c r="N44" s="18">
        <f t="shared" si="8"/>
        <v>4.0062944506621234E-2</v>
      </c>
      <c r="O44" s="18">
        <f t="shared" si="5"/>
        <v>1.9712265531178965E-3</v>
      </c>
      <c r="P44" s="19"/>
      <c r="Q44" s="48">
        <v>36</v>
      </c>
      <c r="R44" s="48">
        <v>2</v>
      </c>
      <c r="S44" s="48" t="s">
        <v>111</v>
      </c>
      <c r="T44" s="48"/>
    </row>
    <row r="45" spans="1:20" ht="13.5" customHeight="1" x14ac:dyDescent="0.2">
      <c r="A45" s="24" t="s">
        <v>37</v>
      </c>
      <c r="B45" s="2">
        <v>193</v>
      </c>
      <c r="C45" s="2">
        <v>18</v>
      </c>
      <c r="D45" s="18">
        <f t="shared" si="6"/>
        <v>9.3264248704663211E-2</v>
      </c>
      <c r="E45" s="18">
        <f t="shared" si="1"/>
        <v>1.3439856641529156E-3</v>
      </c>
      <c r="F45" s="19"/>
      <c r="G45" s="2">
        <v>1626</v>
      </c>
      <c r="H45" s="28">
        <v>114</v>
      </c>
      <c r="I45" s="18">
        <f t="shared" si="7"/>
        <v>7.0110701107011064E-2</v>
      </c>
      <c r="J45" s="18">
        <f t="shared" si="3"/>
        <v>4.8400861025843511E-4</v>
      </c>
      <c r="K45" s="19"/>
      <c r="L45" s="4">
        <v>36044708</v>
      </c>
      <c r="M45" s="4">
        <v>777558</v>
      </c>
      <c r="N45" s="18">
        <f t="shared" si="8"/>
        <v>2.1572043252507413E-2</v>
      </c>
      <c r="O45" s="18">
        <f t="shared" si="5"/>
        <v>2.3062635353037796E-4</v>
      </c>
      <c r="P45" s="19"/>
      <c r="Q45" s="48">
        <v>37</v>
      </c>
      <c r="R45" s="48">
        <v>3</v>
      </c>
      <c r="S45" s="48" t="s">
        <v>114</v>
      </c>
      <c r="T45" s="48"/>
    </row>
    <row r="46" spans="1:20" ht="13.5" customHeight="1" x14ac:dyDescent="0.2">
      <c r="A46" s="24" t="s">
        <v>38</v>
      </c>
      <c r="B46" s="2">
        <v>300</v>
      </c>
      <c r="C46" s="2">
        <v>76</v>
      </c>
      <c r="D46" s="18">
        <f t="shared" si="6"/>
        <v>0.25333333333333335</v>
      </c>
      <c r="E46" s="18">
        <f t="shared" si="1"/>
        <v>5.6746061375345328E-3</v>
      </c>
      <c r="F46" s="19"/>
      <c r="G46" s="2">
        <v>3201</v>
      </c>
      <c r="H46" s="28">
        <v>763</v>
      </c>
      <c r="I46" s="18">
        <f t="shared" si="7"/>
        <v>0.23836301155888784</v>
      </c>
      <c r="J46" s="18">
        <f t="shared" si="3"/>
        <v>3.239461137080579E-3</v>
      </c>
      <c r="K46" s="19"/>
      <c r="L46" s="4">
        <v>93778294</v>
      </c>
      <c r="M46" s="4">
        <v>8620699</v>
      </c>
      <c r="N46" s="18">
        <f t="shared" si="8"/>
        <v>9.1926379040335279E-2</v>
      </c>
      <c r="O46" s="18">
        <f t="shared" si="5"/>
        <v>2.5569287117526611E-3</v>
      </c>
      <c r="P46" s="19"/>
      <c r="Q46" s="48">
        <v>38</v>
      </c>
      <c r="R46" s="48">
        <v>2</v>
      </c>
      <c r="S46" s="48" t="s">
        <v>111</v>
      </c>
      <c r="T46" s="48"/>
    </row>
    <row r="47" spans="1:20" ht="13.5" customHeight="1" x14ac:dyDescent="0.2">
      <c r="A47" s="24" t="s">
        <v>39</v>
      </c>
      <c r="B47" s="2">
        <v>159</v>
      </c>
      <c r="C47" s="2">
        <v>46</v>
      </c>
      <c r="D47" s="18">
        <f t="shared" si="6"/>
        <v>0.28930817610062892</v>
      </c>
      <c r="E47" s="18">
        <f t="shared" si="1"/>
        <v>3.4346300306130066E-3</v>
      </c>
      <c r="F47" s="19"/>
      <c r="G47" s="2">
        <v>1316</v>
      </c>
      <c r="H47" s="28">
        <v>433</v>
      </c>
      <c r="I47" s="18">
        <f t="shared" si="7"/>
        <v>0.32902735562310031</v>
      </c>
      <c r="J47" s="18">
        <f t="shared" si="3"/>
        <v>1.8383835810693195E-3</v>
      </c>
      <c r="K47" s="19"/>
      <c r="L47" s="4">
        <v>33265177</v>
      </c>
      <c r="M47" s="4">
        <v>5645721</v>
      </c>
      <c r="N47" s="18">
        <f t="shared" si="8"/>
        <v>0.16971865203062048</v>
      </c>
      <c r="O47" s="18">
        <f t="shared" si="5"/>
        <v>1.6745400951181505E-3</v>
      </c>
      <c r="P47" s="19"/>
      <c r="Q47" s="48">
        <v>39</v>
      </c>
      <c r="R47" s="48">
        <v>4</v>
      </c>
      <c r="S47" s="48" t="s">
        <v>113</v>
      </c>
      <c r="T47" s="48"/>
    </row>
    <row r="48" spans="1:20" ht="13.5" customHeight="1" x14ac:dyDescent="0.2">
      <c r="A48" s="24" t="s">
        <v>40</v>
      </c>
      <c r="B48" s="2">
        <v>629</v>
      </c>
      <c r="C48" s="2">
        <v>69</v>
      </c>
      <c r="D48" s="18">
        <f t="shared" si="6"/>
        <v>0.10969793322734499</v>
      </c>
      <c r="E48" s="18">
        <f t="shared" si="1"/>
        <v>5.1519450459195102E-3</v>
      </c>
      <c r="F48" s="19"/>
      <c r="G48" s="2">
        <v>7013</v>
      </c>
      <c r="H48" s="28">
        <v>686</v>
      </c>
      <c r="I48" s="18">
        <f t="shared" si="7"/>
        <v>9.7818337373449304E-2</v>
      </c>
      <c r="J48" s="18">
        <f t="shared" si="3"/>
        <v>2.9125430406779515E-3</v>
      </c>
      <c r="K48" s="19"/>
      <c r="L48" s="4">
        <v>194251773</v>
      </c>
      <c r="M48" s="4">
        <v>5673242</v>
      </c>
      <c r="N48" s="18">
        <f t="shared" si="8"/>
        <v>2.9205612450188548E-2</v>
      </c>
      <c r="O48" s="18">
        <f t="shared" si="5"/>
        <v>1.6827029175384839E-3</v>
      </c>
      <c r="P48" s="19"/>
      <c r="Q48" s="48">
        <v>40</v>
      </c>
      <c r="R48" s="48">
        <v>3</v>
      </c>
      <c r="S48" s="48" t="s">
        <v>114</v>
      </c>
      <c r="T48" s="48"/>
    </row>
    <row r="49" spans="1:23" ht="13.5" customHeight="1" x14ac:dyDescent="0.2">
      <c r="A49" s="24" t="s">
        <v>41</v>
      </c>
      <c r="B49" s="2">
        <v>184</v>
      </c>
      <c r="C49" s="2">
        <v>17</v>
      </c>
      <c r="D49" s="18">
        <f t="shared" si="6"/>
        <v>9.2391304347826081E-2</v>
      </c>
      <c r="E49" s="18">
        <f t="shared" si="1"/>
        <v>1.2693197939221983E-3</v>
      </c>
      <c r="F49" s="19"/>
      <c r="G49" s="2">
        <v>1376</v>
      </c>
      <c r="H49" s="28">
        <v>111</v>
      </c>
      <c r="I49" s="18">
        <f t="shared" si="7"/>
        <v>8.0668604651162795E-2</v>
      </c>
      <c r="J49" s="18">
        <f t="shared" si="3"/>
        <v>4.7127154156742366E-4</v>
      </c>
      <c r="K49" s="19"/>
      <c r="L49" s="4">
        <v>28047381</v>
      </c>
      <c r="M49" s="4">
        <v>742655</v>
      </c>
      <c r="N49" s="18">
        <f t="shared" si="8"/>
        <v>2.6478586360701557E-2</v>
      </c>
      <c r="O49" s="18">
        <f t="shared" si="5"/>
        <v>2.2027400474447287E-4</v>
      </c>
      <c r="P49" s="19"/>
      <c r="Q49" s="48">
        <v>41</v>
      </c>
      <c r="R49" s="48">
        <v>3</v>
      </c>
      <c r="S49" s="48" t="s">
        <v>114</v>
      </c>
      <c r="T49" s="48"/>
    </row>
    <row r="50" spans="1:23" ht="13.5" customHeight="1" x14ac:dyDescent="0.2">
      <c r="A50" s="24" t="s">
        <v>42</v>
      </c>
      <c r="B50" s="2">
        <v>768</v>
      </c>
      <c r="C50" s="2">
        <v>67</v>
      </c>
      <c r="D50" s="18">
        <f t="shared" si="6"/>
        <v>8.7239583333333329E-2</v>
      </c>
      <c r="E50" s="18">
        <f t="shared" si="1"/>
        <v>5.002613305458075E-3</v>
      </c>
      <c r="F50" s="19"/>
      <c r="G50" s="2">
        <v>11603</v>
      </c>
      <c r="H50" s="28">
        <v>1005</v>
      </c>
      <c r="I50" s="18">
        <f t="shared" si="7"/>
        <v>8.6615530466258722E-2</v>
      </c>
      <c r="J50" s="18">
        <f t="shared" si="3"/>
        <v>4.2669180114888357E-3</v>
      </c>
      <c r="K50" s="19"/>
      <c r="L50" s="4">
        <v>334284102</v>
      </c>
      <c r="M50" s="4">
        <v>9325914</v>
      </c>
      <c r="N50" s="18">
        <f t="shared" si="8"/>
        <v>2.7898167888343071E-2</v>
      </c>
      <c r="O50" s="18">
        <f t="shared" si="5"/>
        <v>2.7660978848624814E-3</v>
      </c>
      <c r="P50" s="19"/>
      <c r="Q50" s="48">
        <v>42</v>
      </c>
      <c r="R50" s="48">
        <v>3</v>
      </c>
      <c r="S50" s="48" t="s">
        <v>114</v>
      </c>
      <c r="T50" s="48"/>
    </row>
    <row r="51" spans="1:23" ht="13.5" customHeight="1" x14ac:dyDescent="0.2">
      <c r="A51" s="23" t="s">
        <v>117</v>
      </c>
      <c r="B51" s="2">
        <v>959</v>
      </c>
      <c r="C51" s="2">
        <v>88</v>
      </c>
      <c r="D51" s="18">
        <f t="shared" si="6"/>
        <v>9.1762252346193951E-2</v>
      </c>
      <c r="E51" s="18">
        <f t="shared" si="1"/>
        <v>6.5705965803031438E-3</v>
      </c>
      <c r="F51" s="19"/>
      <c r="G51" s="2">
        <v>14895</v>
      </c>
      <c r="H51" s="28">
        <v>1263</v>
      </c>
      <c r="I51" s="18">
        <f t="shared" si="7"/>
        <v>8.4793554884189326E-2</v>
      </c>
      <c r="J51" s="18">
        <f t="shared" si="3"/>
        <v>5.3623059189158205E-3</v>
      </c>
      <c r="K51" s="19"/>
      <c r="L51" s="4">
        <v>511473691</v>
      </c>
      <c r="M51" s="4">
        <v>11554348</v>
      </c>
      <c r="N51" s="18">
        <f t="shared" si="8"/>
        <v>2.2590307582408965E-2</v>
      </c>
      <c r="O51" s="18">
        <f t="shared" si="5"/>
        <v>3.427059006094742E-3</v>
      </c>
      <c r="P51" s="19"/>
      <c r="Q51" s="48">
        <v>43</v>
      </c>
      <c r="R51" s="48">
        <v>3</v>
      </c>
      <c r="S51" s="48" t="s">
        <v>114</v>
      </c>
      <c r="T51" s="49" t="s">
        <v>105</v>
      </c>
    </row>
    <row r="52" spans="1:23" ht="13.5" customHeight="1" x14ac:dyDescent="0.2">
      <c r="A52" s="24" t="s">
        <v>43</v>
      </c>
      <c r="B52" s="2">
        <v>113</v>
      </c>
      <c r="C52" s="2">
        <v>9</v>
      </c>
      <c r="D52" s="18">
        <f t="shared" si="6"/>
        <v>7.9646017699115043E-2</v>
      </c>
      <c r="E52" s="18">
        <f t="shared" si="1"/>
        <v>6.7199283207645781E-4</v>
      </c>
      <c r="F52" s="19"/>
      <c r="G52" s="2">
        <v>664</v>
      </c>
      <c r="H52" s="28">
        <v>81</v>
      </c>
      <c r="I52" s="18">
        <f t="shared" si="7"/>
        <v>0.12198795180722892</v>
      </c>
      <c r="J52" s="18">
        <f t="shared" si="3"/>
        <v>3.4390085465730918E-4</v>
      </c>
      <c r="K52" s="19"/>
      <c r="L52" s="4">
        <v>16048901</v>
      </c>
      <c r="M52" s="4">
        <v>690526</v>
      </c>
      <c r="N52" s="18">
        <f t="shared" si="8"/>
        <v>4.3026372958497282E-2</v>
      </c>
      <c r="O52" s="18">
        <f t="shared" si="5"/>
        <v>2.0481236563435495E-4</v>
      </c>
      <c r="P52" s="19"/>
      <c r="Q52" s="48">
        <v>44</v>
      </c>
      <c r="R52" s="48">
        <v>4</v>
      </c>
      <c r="S52" s="48" t="s">
        <v>113</v>
      </c>
      <c r="T52" s="48"/>
    </row>
    <row r="53" spans="1:23" ht="13.5" customHeight="1" x14ac:dyDescent="0.2">
      <c r="A53" s="24" t="s">
        <v>44</v>
      </c>
      <c r="B53" s="2">
        <v>242</v>
      </c>
      <c r="C53" s="2">
        <v>21</v>
      </c>
      <c r="D53" s="18">
        <f t="shared" si="6"/>
        <v>8.6776859504132234E-2</v>
      </c>
      <c r="E53" s="18">
        <f t="shared" si="1"/>
        <v>1.5679832748450684E-3</v>
      </c>
      <c r="F53" s="19"/>
      <c r="G53" s="2">
        <v>1698</v>
      </c>
      <c r="H53" s="28">
        <v>135</v>
      </c>
      <c r="I53" s="18">
        <f t="shared" si="7"/>
        <v>7.9505300353356886E-2</v>
      </c>
      <c r="J53" s="18">
        <f t="shared" si="3"/>
        <v>5.7316809109551523E-4</v>
      </c>
      <c r="K53" s="19"/>
      <c r="L53" s="4">
        <v>43811085</v>
      </c>
      <c r="M53" s="4">
        <v>775833</v>
      </c>
      <c r="N53" s="18">
        <f t="shared" si="8"/>
        <v>1.7708600460362944E-2</v>
      </c>
      <c r="O53" s="18">
        <f t="shared" si="5"/>
        <v>2.3011471264977495E-4</v>
      </c>
      <c r="P53" s="19"/>
      <c r="Q53" s="48">
        <v>45</v>
      </c>
      <c r="R53" s="48">
        <v>4</v>
      </c>
      <c r="S53" s="48" t="s">
        <v>113</v>
      </c>
      <c r="T53" s="48"/>
    </row>
    <row r="54" spans="1:23" ht="13.5" customHeight="1" x14ac:dyDescent="0.2">
      <c r="A54" s="24" t="s">
        <v>45</v>
      </c>
      <c r="B54" s="2">
        <v>661</v>
      </c>
      <c r="C54" s="2">
        <v>60</v>
      </c>
      <c r="D54" s="18">
        <f t="shared" si="6"/>
        <v>9.0771558245083206E-2</v>
      </c>
      <c r="E54" s="18">
        <f t="shared" si="1"/>
        <v>4.4799522138430524E-3</v>
      </c>
      <c r="F54" s="19"/>
      <c r="G54" s="2">
        <v>8030</v>
      </c>
      <c r="H54" s="28">
        <v>796</v>
      </c>
      <c r="I54" s="18">
        <f t="shared" si="7"/>
        <v>9.9128268991282686E-2</v>
      </c>
      <c r="J54" s="18">
        <f t="shared" si="3"/>
        <v>3.3795688926817049E-3</v>
      </c>
      <c r="K54" s="19"/>
      <c r="L54" s="4">
        <v>230959202</v>
      </c>
      <c r="M54" s="4">
        <v>7007463</v>
      </c>
      <c r="N54" s="18">
        <f t="shared" si="8"/>
        <v>3.0340696275873002E-2</v>
      </c>
      <c r="O54" s="18">
        <f t="shared" si="5"/>
        <v>2.0784374145581975E-3</v>
      </c>
      <c r="P54" s="19"/>
      <c r="Q54" s="48">
        <v>46</v>
      </c>
      <c r="R54" s="48">
        <v>3</v>
      </c>
      <c r="S54" s="48" t="s">
        <v>114</v>
      </c>
      <c r="T54" s="48"/>
    </row>
    <row r="55" spans="1:23" ht="13.5" customHeight="1" x14ac:dyDescent="0.2">
      <c r="A55" s="24" t="s">
        <v>46</v>
      </c>
      <c r="B55" s="2">
        <v>583</v>
      </c>
      <c r="C55" s="2">
        <v>45</v>
      </c>
      <c r="D55" s="18">
        <f t="shared" si="6"/>
        <v>7.7186963979416809E-2</v>
      </c>
      <c r="E55" s="18">
        <f t="shared" si="1"/>
        <v>3.3599641603822891E-3</v>
      </c>
      <c r="F55" s="19"/>
      <c r="G55" s="2">
        <v>5464</v>
      </c>
      <c r="H55" s="28">
        <v>473</v>
      </c>
      <c r="I55" s="18">
        <f t="shared" si="7"/>
        <v>8.6566617862371895E-2</v>
      </c>
      <c r="J55" s="18">
        <f t="shared" si="3"/>
        <v>2.0082111636161386E-3</v>
      </c>
      <c r="K55" s="19"/>
      <c r="L55" s="4">
        <v>143215621</v>
      </c>
      <c r="M55" s="4">
        <v>3859142</v>
      </c>
      <c r="N55" s="18">
        <f t="shared" si="8"/>
        <v>2.694637619174238E-2</v>
      </c>
      <c r="O55" s="18">
        <f t="shared" si="5"/>
        <v>1.1446346731895625E-3</v>
      </c>
      <c r="P55" s="19"/>
      <c r="Q55" s="48">
        <v>47</v>
      </c>
      <c r="R55" s="48">
        <v>3</v>
      </c>
      <c r="S55" s="48" t="s">
        <v>114</v>
      </c>
      <c r="T55" s="48"/>
    </row>
    <row r="56" spans="1:23" ht="13.5" customHeight="1" x14ac:dyDescent="0.2">
      <c r="A56" s="24" t="s">
        <v>47</v>
      </c>
      <c r="B56" s="2">
        <v>590</v>
      </c>
      <c r="C56" s="2">
        <v>87</v>
      </c>
      <c r="D56" s="18">
        <f t="shared" si="6"/>
        <v>0.14745762711864407</v>
      </c>
      <c r="E56" s="18">
        <f t="shared" si="1"/>
        <v>6.4959307100724258E-3</v>
      </c>
      <c r="F56" s="19"/>
      <c r="G56" s="2">
        <v>6818</v>
      </c>
      <c r="H56" s="28">
        <v>1077</v>
      </c>
      <c r="I56" s="18">
        <f t="shared" si="7"/>
        <v>0.15796421237899677</v>
      </c>
      <c r="J56" s="18">
        <f t="shared" si="3"/>
        <v>4.572607660073111E-3</v>
      </c>
      <c r="K56" s="19"/>
      <c r="L56" s="4">
        <v>177499489</v>
      </c>
      <c r="M56" s="4">
        <v>11362423</v>
      </c>
      <c r="N56" s="18">
        <f t="shared" si="8"/>
        <v>6.4013834991941868E-2</v>
      </c>
      <c r="O56" s="18">
        <f t="shared" si="5"/>
        <v>3.3701333968137394E-3</v>
      </c>
      <c r="P56" s="19"/>
      <c r="Q56" s="48">
        <v>48</v>
      </c>
      <c r="R56" s="48">
        <v>4</v>
      </c>
      <c r="S56" s="48" t="s">
        <v>113</v>
      </c>
      <c r="T56" s="48"/>
    </row>
    <row r="57" spans="1:23" ht="13.5" customHeight="1" x14ac:dyDescent="0.2">
      <c r="A57" s="24" t="s">
        <v>48</v>
      </c>
      <c r="B57" s="2">
        <v>815</v>
      </c>
      <c r="C57" s="2">
        <v>107</v>
      </c>
      <c r="D57" s="18">
        <f t="shared" si="6"/>
        <v>0.1312883435582822</v>
      </c>
      <c r="E57" s="18">
        <f t="shared" si="1"/>
        <v>7.9892481146867766E-3</v>
      </c>
      <c r="F57" s="19"/>
      <c r="G57" s="2">
        <v>9273</v>
      </c>
      <c r="H57" s="28">
        <v>1087</v>
      </c>
      <c r="I57" s="18">
        <f t="shared" si="7"/>
        <v>0.11722204248894641</v>
      </c>
      <c r="J57" s="18">
        <f t="shared" si="3"/>
        <v>4.6150645557098153E-3</v>
      </c>
      <c r="K57" s="19"/>
      <c r="L57" s="4">
        <v>235560630</v>
      </c>
      <c r="M57" s="4">
        <v>9868694</v>
      </c>
      <c r="N57" s="18">
        <f t="shared" si="8"/>
        <v>4.1894496546388077E-2</v>
      </c>
      <c r="O57" s="18">
        <f t="shared" si="5"/>
        <v>2.9270882832240423E-3</v>
      </c>
      <c r="P57" s="19"/>
      <c r="Q57" s="48">
        <v>49</v>
      </c>
      <c r="R57" s="48">
        <v>4</v>
      </c>
      <c r="S57" s="48" t="s">
        <v>113</v>
      </c>
      <c r="T57" s="48"/>
    </row>
    <row r="58" spans="1:23" ht="13.5" customHeight="1" x14ac:dyDescent="0.2">
      <c r="A58" s="24" t="s">
        <v>49</v>
      </c>
      <c r="B58" s="2">
        <v>888</v>
      </c>
      <c r="C58" s="2">
        <v>102</v>
      </c>
      <c r="D58" s="18">
        <f t="shared" si="6"/>
        <v>0.11486486486486487</v>
      </c>
      <c r="E58" s="18">
        <f t="shared" si="1"/>
        <v>7.6159187635331891E-3</v>
      </c>
      <c r="F58" s="19"/>
      <c r="G58" s="2">
        <v>13438</v>
      </c>
      <c r="H58" s="28">
        <v>1326</v>
      </c>
      <c r="I58" s="18">
        <f t="shared" si="7"/>
        <v>9.8675398124720939E-2</v>
      </c>
      <c r="J58" s="18">
        <f t="shared" si="3"/>
        <v>5.6297843614270615E-3</v>
      </c>
      <c r="K58" s="19"/>
      <c r="L58" s="4">
        <v>422987549</v>
      </c>
      <c r="M58" s="4">
        <v>13169271</v>
      </c>
      <c r="N58" s="18">
        <f t="shared" si="8"/>
        <v>3.1133944796091384E-2</v>
      </c>
      <c r="O58" s="18">
        <f t="shared" si="5"/>
        <v>3.9060506732402651E-3</v>
      </c>
      <c r="P58" s="19"/>
      <c r="Q58" s="48">
        <v>50</v>
      </c>
      <c r="R58" s="48">
        <v>3</v>
      </c>
      <c r="S58" s="48" t="s">
        <v>114</v>
      </c>
      <c r="T58" s="48"/>
    </row>
    <row r="59" spans="1:23" ht="13.5" customHeight="1" x14ac:dyDescent="0.2">
      <c r="A59" s="24" t="s">
        <v>50</v>
      </c>
      <c r="B59" s="2">
        <v>278</v>
      </c>
      <c r="C59" s="2">
        <v>24</v>
      </c>
      <c r="D59" s="18">
        <f t="shared" si="6"/>
        <v>8.6330935251798566E-2</v>
      </c>
      <c r="E59" s="18">
        <f t="shared" si="1"/>
        <v>1.7919808855372209E-3</v>
      </c>
      <c r="F59" s="19"/>
      <c r="G59" s="2">
        <v>2144</v>
      </c>
      <c r="H59" s="28">
        <v>190</v>
      </c>
      <c r="I59" s="18">
        <f t="shared" si="7"/>
        <v>8.8619402985074633E-2</v>
      </c>
      <c r="J59" s="18">
        <f t="shared" si="3"/>
        <v>8.0668101709739193E-4</v>
      </c>
      <c r="K59" s="19"/>
      <c r="L59" s="4">
        <v>49922206</v>
      </c>
      <c r="M59" s="4">
        <v>1283363</v>
      </c>
      <c r="N59" s="18">
        <f t="shared" si="8"/>
        <v>2.5707257407655424E-2</v>
      </c>
      <c r="O59" s="18">
        <f t="shared" si="5"/>
        <v>3.8064984084249209E-4</v>
      </c>
      <c r="P59" s="19"/>
      <c r="Q59" s="48">
        <v>51</v>
      </c>
      <c r="R59" s="48">
        <v>3</v>
      </c>
      <c r="S59" s="48" t="s">
        <v>114</v>
      </c>
      <c r="T59" s="48"/>
    </row>
    <row r="60" spans="1:23" ht="13.5" customHeight="1" x14ac:dyDescent="0.2">
      <c r="A60" s="24" t="s">
        <v>51</v>
      </c>
      <c r="B60" s="2">
        <v>610</v>
      </c>
      <c r="C60" s="2">
        <v>65</v>
      </c>
      <c r="D60" s="18">
        <f t="shared" si="6"/>
        <v>0.10655737704918032</v>
      </c>
      <c r="E60" s="18">
        <f t="shared" si="1"/>
        <v>4.8532815649966398E-3</v>
      </c>
      <c r="F60" s="19"/>
      <c r="G60" s="2">
        <v>11926</v>
      </c>
      <c r="H60" s="28">
        <v>1061</v>
      </c>
      <c r="I60" s="18">
        <f t="shared" si="7"/>
        <v>8.896528592990105E-2</v>
      </c>
      <c r="J60" s="18">
        <f t="shared" si="3"/>
        <v>4.5046766270543832E-3</v>
      </c>
      <c r="K60" s="19"/>
      <c r="L60" s="4">
        <v>318765457</v>
      </c>
      <c r="M60" s="4">
        <v>10526835</v>
      </c>
      <c r="N60" s="18">
        <f t="shared" si="8"/>
        <v>3.3023763299421742E-2</v>
      </c>
      <c r="O60" s="18">
        <f t="shared" si="5"/>
        <v>3.1222951474564678E-3</v>
      </c>
      <c r="P60" s="19"/>
      <c r="Q60" s="48">
        <v>52</v>
      </c>
      <c r="R60" s="48">
        <v>3</v>
      </c>
      <c r="S60" s="48" t="s">
        <v>114</v>
      </c>
      <c r="T60" s="48"/>
    </row>
    <row r="61" spans="1:23" ht="13.5" customHeight="1" x14ac:dyDescent="0.2">
      <c r="A61" s="24" t="s">
        <v>52</v>
      </c>
      <c r="B61" s="2">
        <v>605</v>
      </c>
      <c r="C61" s="2">
        <v>52</v>
      </c>
      <c r="D61" s="18">
        <f t="shared" si="6"/>
        <v>8.5950413223140495E-2</v>
      </c>
      <c r="E61" s="18">
        <f t="shared" si="1"/>
        <v>3.8826252519973121E-3</v>
      </c>
      <c r="F61" s="19"/>
      <c r="G61" s="2">
        <v>8271</v>
      </c>
      <c r="H61" s="28">
        <v>917</v>
      </c>
      <c r="I61" s="18">
        <f t="shared" si="7"/>
        <v>0.11086930238181598</v>
      </c>
      <c r="J61" s="18">
        <f t="shared" si="3"/>
        <v>3.8932973298858335E-3</v>
      </c>
      <c r="K61" s="19"/>
      <c r="L61" s="4">
        <v>212102283</v>
      </c>
      <c r="M61" s="4">
        <v>7946255</v>
      </c>
      <c r="N61" s="18">
        <f t="shared" si="8"/>
        <v>3.7464259637412768E-2</v>
      </c>
      <c r="O61" s="18">
        <f t="shared" si="5"/>
        <v>2.3568863221425712E-3</v>
      </c>
      <c r="P61" s="19"/>
      <c r="Q61" s="48">
        <v>53</v>
      </c>
      <c r="R61" s="48">
        <v>3</v>
      </c>
      <c r="S61" s="48" t="s">
        <v>114</v>
      </c>
      <c r="T61" s="48"/>
    </row>
    <row r="62" spans="1:23" ht="13.5" customHeight="1" x14ac:dyDescent="0.2">
      <c r="A62" s="24" t="s">
        <v>53</v>
      </c>
      <c r="B62" s="2">
        <v>201</v>
      </c>
      <c r="C62" s="2">
        <v>18</v>
      </c>
      <c r="D62" s="18">
        <f t="shared" si="6"/>
        <v>8.9552238805970144E-2</v>
      </c>
      <c r="E62" s="18">
        <f t="shared" si="1"/>
        <v>1.3439856641529156E-3</v>
      </c>
      <c r="F62" s="19"/>
      <c r="G62" s="2">
        <v>1342</v>
      </c>
      <c r="H62" s="28">
        <v>78</v>
      </c>
      <c r="I62" s="18">
        <f t="shared" si="7"/>
        <v>5.8122205663189271E-2</v>
      </c>
      <c r="J62" s="18">
        <f t="shared" si="3"/>
        <v>3.3116378596629773E-4</v>
      </c>
      <c r="K62" s="19"/>
      <c r="L62" s="4">
        <v>32749387</v>
      </c>
      <c r="M62" s="4">
        <v>397411</v>
      </c>
      <c r="N62" s="18">
        <f t="shared" si="8"/>
        <v>1.2134914158851279E-2</v>
      </c>
      <c r="O62" s="18">
        <f t="shared" si="5"/>
        <v>1.1787345739206726E-4</v>
      </c>
      <c r="P62" s="19"/>
      <c r="Q62" s="48">
        <v>54</v>
      </c>
      <c r="R62" s="48">
        <v>4</v>
      </c>
      <c r="S62" s="48" t="s">
        <v>113</v>
      </c>
      <c r="T62" s="48"/>
    </row>
    <row r="63" spans="1:23" ht="13.5" customHeight="1" x14ac:dyDescent="0.2">
      <c r="A63" s="24" t="s">
        <v>54</v>
      </c>
      <c r="B63" s="2">
        <v>3195</v>
      </c>
      <c r="C63" s="2">
        <v>332</v>
      </c>
      <c r="D63" s="18">
        <f t="shared" si="6"/>
        <v>0.10391236306729265</v>
      </c>
      <c r="E63" s="18">
        <f t="shared" si="1"/>
        <v>2.4789068916598222E-2</v>
      </c>
      <c r="F63" s="19"/>
      <c r="G63" s="2">
        <v>79604</v>
      </c>
      <c r="H63" s="28">
        <v>7535</v>
      </c>
      <c r="I63" s="18">
        <f t="shared" si="7"/>
        <v>9.4656047434802271E-2</v>
      </c>
      <c r="J63" s="18">
        <f t="shared" si="3"/>
        <v>3.1991270862257094E-2</v>
      </c>
      <c r="K63" s="19"/>
      <c r="L63" s="4">
        <v>3324790134</v>
      </c>
      <c r="M63" s="4">
        <v>103896214</v>
      </c>
      <c r="N63" s="18">
        <f t="shared" si="8"/>
        <v>3.1248954012927183E-2</v>
      </c>
      <c r="O63" s="18">
        <f t="shared" si="5"/>
        <v>3.0815971259291017E-2</v>
      </c>
      <c r="P63" s="19"/>
      <c r="Q63" s="48">
        <v>55</v>
      </c>
      <c r="R63" s="48">
        <v>3</v>
      </c>
      <c r="S63" s="48" t="s">
        <v>114</v>
      </c>
      <c r="T63" s="48"/>
    </row>
    <row r="64" spans="1:23" ht="13.5" customHeight="1" x14ac:dyDescent="0.2">
      <c r="A64" s="24" t="s">
        <v>94</v>
      </c>
      <c r="B64" s="2">
        <v>1671</v>
      </c>
      <c r="C64" s="2">
        <v>216</v>
      </c>
      <c r="D64" s="18">
        <f t="shared" si="6"/>
        <v>0.12926391382405744</v>
      </c>
      <c r="E64" s="18">
        <f t="shared" si="1"/>
        <v>1.6127827969834987E-2</v>
      </c>
      <c r="F64" s="19"/>
      <c r="G64" s="2">
        <v>18029</v>
      </c>
      <c r="H64" s="28">
        <v>2044</v>
      </c>
      <c r="I64" s="18">
        <f t="shared" si="7"/>
        <v>0.11337289921792668</v>
      </c>
      <c r="J64" s="18">
        <f t="shared" si="3"/>
        <v>8.6781894681424686E-3</v>
      </c>
      <c r="K64" s="19"/>
      <c r="L64" s="4">
        <v>452979558</v>
      </c>
      <c r="M64" s="4">
        <v>18051999</v>
      </c>
      <c r="N64" s="18">
        <f t="shared" si="8"/>
        <v>3.9851685757528156E-2</v>
      </c>
      <c r="O64" s="18">
        <f t="shared" si="5"/>
        <v>5.3542844434807816E-3</v>
      </c>
      <c r="P64" s="19"/>
      <c r="Q64" s="48">
        <v>56</v>
      </c>
      <c r="R64" s="48">
        <v>4</v>
      </c>
      <c r="S64" s="48" t="s">
        <v>113</v>
      </c>
      <c r="T64" s="48"/>
      <c r="U64" s="20" t="s">
        <v>95</v>
      </c>
      <c r="V64" s="20"/>
      <c r="W64" s="20"/>
    </row>
    <row r="65" spans="1:25" ht="13.5" customHeight="1" x14ac:dyDescent="0.2">
      <c r="A65" s="24" t="s">
        <v>55</v>
      </c>
      <c r="B65" s="2">
        <v>388</v>
      </c>
      <c r="C65" s="2">
        <v>37</v>
      </c>
      <c r="D65" s="18">
        <f t="shared" si="6"/>
        <v>9.5360824742268036E-2</v>
      </c>
      <c r="E65" s="18">
        <f t="shared" si="1"/>
        <v>2.7626371985365488E-3</v>
      </c>
      <c r="F65" s="19"/>
      <c r="G65" s="2">
        <v>6693</v>
      </c>
      <c r="H65" s="28">
        <v>514</v>
      </c>
      <c r="I65" s="18">
        <f t="shared" si="7"/>
        <v>7.6796653219781866E-2</v>
      </c>
      <c r="J65" s="18">
        <f t="shared" si="3"/>
        <v>2.1822844357266284E-3</v>
      </c>
      <c r="K65" s="19"/>
      <c r="L65" s="4">
        <v>195539548</v>
      </c>
      <c r="M65" s="4">
        <v>4595823</v>
      </c>
      <c r="N65" s="18">
        <f t="shared" si="8"/>
        <v>2.3503291518296852E-2</v>
      </c>
      <c r="O65" s="18">
        <f t="shared" si="5"/>
        <v>1.3631367691683994E-3</v>
      </c>
      <c r="P65" s="19"/>
      <c r="Q65" s="48">
        <v>57</v>
      </c>
      <c r="R65" s="48">
        <v>4</v>
      </c>
      <c r="S65" s="48" t="s">
        <v>113</v>
      </c>
      <c r="T65" s="48"/>
    </row>
    <row r="66" spans="1:25" ht="13.5" customHeight="1" x14ac:dyDescent="0.2">
      <c r="A66" s="24" t="s">
        <v>56</v>
      </c>
      <c r="B66" s="2">
        <v>570</v>
      </c>
      <c r="C66" s="2">
        <v>78</v>
      </c>
      <c r="D66" s="18">
        <f t="shared" si="6"/>
        <v>0.1368421052631579</v>
      </c>
      <c r="E66" s="18">
        <f t="shared" si="1"/>
        <v>5.823937877995968E-3</v>
      </c>
      <c r="F66" s="19"/>
      <c r="G66" s="2">
        <v>4592</v>
      </c>
      <c r="H66" s="28">
        <v>1001</v>
      </c>
      <c r="I66" s="18">
        <f t="shared" si="7"/>
        <v>0.21798780487804878</v>
      </c>
      <c r="J66" s="18">
        <f t="shared" si="3"/>
        <v>4.249935253234154E-3</v>
      </c>
      <c r="K66" s="19"/>
      <c r="L66" s="4">
        <v>100047684</v>
      </c>
      <c r="M66" s="4">
        <v>10860391</v>
      </c>
      <c r="N66" s="18">
        <f t="shared" si="8"/>
        <v>0.10855214799375067</v>
      </c>
      <c r="O66" s="18">
        <f t="shared" si="5"/>
        <v>3.221228994163953E-3</v>
      </c>
      <c r="P66" s="19"/>
      <c r="Q66" s="48">
        <v>58</v>
      </c>
      <c r="R66" s="48">
        <v>2</v>
      </c>
      <c r="S66" s="48" t="s">
        <v>111</v>
      </c>
      <c r="T66" s="48"/>
    </row>
    <row r="67" spans="1:25" ht="13.5" customHeight="1" x14ac:dyDescent="0.2">
      <c r="A67" s="24" t="s">
        <v>57</v>
      </c>
      <c r="B67" s="2">
        <v>316</v>
      </c>
      <c r="C67" s="2">
        <v>27</v>
      </c>
      <c r="D67" s="18">
        <f t="shared" si="6"/>
        <v>8.5443037974683542E-2</v>
      </c>
      <c r="E67" s="18">
        <f t="shared" si="1"/>
        <v>2.0159784962293734E-3</v>
      </c>
      <c r="F67" s="19"/>
      <c r="G67" s="2">
        <v>3198</v>
      </c>
      <c r="H67" s="28">
        <v>349</v>
      </c>
      <c r="I67" s="18">
        <f t="shared" si="7"/>
        <v>0.1091307066916823</v>
      </c>
      <c r="J67" s="18">
        <f t="shared" si="3"/>
        <v>1.4817456577209988E-3</v>
      </c>
      <c r="K67" s="19"/>
      <c r="L67" s="4">
        <v>70950218</v>
      </c>
      <c r="M67" s="4">
        <v>2682526</v>
      </c>
      <c r="N67" s="18">
        <f t="shared" si="8"/>
        <v>3.7808566000459648E-2</v>
      </c>
      <c r="O67" s="18">
        <f t="shared" si="5"/>
        <v>7.9564635645241978E-4</v>
      </c>
      <c r="P67" s="19"/>
      <c r="Q67" s="48">
        <v>59</v>
      </c>
      <c r="R67" s="48">
        <v>3</v>
      </c>
      <c r="S67" s="48" t="s">
        <v>114</v>
      </c>
      <c r="T67" s="48"/>
    </row>
    <row r="68" spans="1:25" ht="13.5" customHeight="1" x14ac:dyDescent="0.2">
      <c r="A68" s="24" t="s">
        <v>58</v>
      </c>
      <c r="B68" s="2">
        <v>848</v>
      </c>
      <c r="C68" s="2">
        <v>90</v>
      </c>
      <c r="D68" s="18">
        <f t="shared" si="6"/>
        <v>0.10613207547169812</v>
      </c>
      <c r="E68" s="18">
        <f t="shared" si="1"/>
        <v>6.7199283207645781E-3</v>
      </c>
      <c r="F68" s="19"/>
      <c r="G68" s="2">
        <v>9747</v>
      </c>
      <c r="H68" s="28">
        <v>1116</v>
      </c>
      <c r="I68" s="18">
        <f t="shared" si="7"/>
        <v>0.11449676823638043</v>
      </c>
      <c r="J68" s="18">
        <f t="shared" si="3"/>
        <v>4.7381895530562599E-3</v>
      </c>
      <c r="K68" s="19"/>
      <c r="L68" s="4">
        <v>238412588</v>
      </c>
      <c r="M68" s="4">
        <v>9740141</v>
      </c>
      <c r="N68" s="18">
        <f t="shared" si="8"/>
        <v>4.0854138960145843E-2</v>
      </c>
      <c r="O68" s="18">
        <f t="shared" si="5"/>
        <v>2.888959025181053E-3</v>
      </c>
      <c r="P68" s="19"/>
      <c r="Q68" s="48">
        <v>60</v>
      </c>
      <c r="R68" s="48">
        <v>4</v>
      </c>
      <c r="S68" s="48" t="s">
        <v>113</v>
      </c>
      <c r="T68" s="48"/>
    </row>
    <row r="69" spans="1:25" ht="13.5" customHeight="1" x14ac:dyDescent="0.2">
      <c r="A69" s="24" t="s">
        <v>59</v>
      </c>
      <c r="B69" s="2">
        <v>319</v>
      </c>
      <c r="C69" s="2">
        <v>37</v>
      </c>
      <c r="D69" s="18">
        <f t="shared" si="6"/>
        <v>0.11598746081504702</v>
      </c>
      <c r="E69" s="18">
        <f t="shared" si="1"/>
        <v>2.7626371985365488E-3</v>
      </c>
      <c r="F69" s="19"/>
      <c r="G69" s="2">
        <v>2971</v>
      </c>
      <c r="H69" s="28">
        <v>321</v>
      </c>
      <c r="I69" s="18">
        <f t="shared" si="7"/>
        <v>0.10804442948502188</v>
      </c>
      <c r="J69" s="18">
        <f t="shared" si="3"/>
        <v>1.3628663499382252E-3</v>
      </c>
      <c r="K69" s="19"/>
      <c r="L69" s="4">
        <v>72827073</v>
      </c>
      <c r="M69" s="4">
        <v>2706217</v>
      </c>
      <c r="N69" s="18">
        <f t="shared" si="8"/>
        <v>3.7159491498443172E-2</v>
      </c>
      <c r="O69" s="18">
        <f t="shared" si="5"/>
        <v>8.0267318781610995E-4</v>
      </c>
      <c r="P69" s="19"/>
      <c r="Q69" s="48">
        <v>61</v>
      </c>
      <c r="R69" s="48">
        <v>4</v>
      </c>
      <c r="S69" s="48" t="s">
        <v>113</v>
      </c>
      <c r="T69" s="48"/>
    </row>
    <row r="70" spans="1:25" ht="13.5" customHeight="1" x14ac:dyDescent="0.2">
      <c r="A70" s="24" t="s">
        <v>60</v>
      </c>
      <c r="B70" s="2">
        <v>13864</v>
      </c>
      <c r="C70" s="2">
        <v>1285</v>
      </c>
      <c r="D70" s="18">
        <f t="shared" si="6"/>
        <v>9.2686093479515286E-2</v>
      </c>
      <c r="E70" s="18">
        <f t="shared" si="1"/>
        <v>9.5945643246472034E-2</v>
      </c>
      <c r="F70" s="19"/>
      <c r="G70" s="2">
        <v>271612</v>
      </c>
      <c r="H70" s="28">
        <v>26750</v>
      </c>
      <c r="I70" s="18">
        <f t="shared" si="7"/>
        <v>9.8486075725667491E-2</v>
      </c>
      <c r="J70" s="18">
        <f t="shared" si="3"/>
        <v>0.11357219582818544</v>
      </c>
      <c r="K70" s="19"/>
      <c r="L70" s="4">
        <v>12159312737</v>
      </c>
      <c r="M70" s="4">
        <v>419164522</v>
      </c>
      <c r="N70" s="18">
        <f t="shared" si="8"/>
        <v>3.4472714952425688E-2</v>
      </c>
      <c r="O70" s="18">
        <f t="shared" si="5"/>
        <v>0.1243256261760073</v>
      </c>
      <c r="P70" s="19"/>
      <c r="Q70" s="48">
        <v>62</v>
      </c>
      <c r="R70" s="48">
        <v>1</v>
      </c>
      <c r="S70" s="48" t="s">
        <v>112</v>
      </c>
      <c r="T70" s="48"/>
    </row>
    <row r="71" spans="1:25" ht="13.5" customHeight="1" x14ac:dyDescent="0.2">
      <c r="A71" s="24" t="s">
        <v>61</v>
      </c>
      <c r="B71" s="2">
        <v>103</v>
      </c>
      <c r="C71" s="2">
        <v>13</v>
      </c>
      <c r="D71" s="18">
        <f t="shared" si="6"/>
        <v>0.12621359223300971</v>
      </c>
      <c r="E71" s="18">
        <f t="shared" si="1"/>
        <v>9.7065631299932803E-4</v>
      </c>
      <c r="F71" s="19"/>
      <c r="G71" s="2">
        <v>825</v>
      </c>
      <c r="H71" s="28">
        <v>63</v>
      </c>
      <c r="I71" s="18">
        <f t="shared" si="7"/>
        <v>7.636363636363637E-2</v>
      </c>
      <c r="J71" s="18">
        <f t="shared" si="3"/>
        <v>2.6747844251124046E-4</v>
      </c>
      <c r="K71" s="19"/>
      <c r="L71" s="4">
        <v>19845631</v>
      </c>
      <c r="M71" s="4">
        <v>374580</v>
      </c>
      <c r="N71" s="18">
        <f t="shared" si="8"/>
        <v>1.8874683299311572E-2</v>
      </c>
      <c r="O71" s="18">
        <f t="shared" si="5"/>
        <v>1.11101704960156E-4</v>
      </c>
      <c r="P71" s="19"/>
      <c r="Q71" s="48">
        <v>63</v>
      </c>
      <c r="R71" s="48">
        <v>4</v>
      </c>
      <c r="S71" s="48" t="s">
        <v>113</v>
      </c>
      <c r="T71" s="48"/>
    </row>
    <row r="72" spans="1:25" ht="13.5" customHeight="1" x14ac:dyDescent="0.2">
      <c r="A72" s="24" t="s">
        <v>62</v>
      </c>
      <c r="B72" s="2">
        <v>503</v>
      </c>
      <c r="C72" s="2">
        <v>46</v>
      </c>
      <c r="D72" s="18">
        <f t="shared" si="6"/>
        <v>9.1451292246520877E-2</v>
      </c>
      <c r="E72" s="18">
        <f t="shared" si="1"/>
        <v>3.4346300306130066E-3</v>
      </c>
      <c r="F72" s="19"/>
      <c r="G72" s="2">
        <v>4406</v>
      </c>
      <c r="H72" s="28">
        <v>415</v>
      </c>
      <c r="I72" s="18">
        <f t="shared" si="7"/>
        <v>9.4189741261915566E-2</v>
      </c>
      <c r="J72" s="18">
        <f t="shared" si="3"/>
        <v>1.7619611689232506E-3</v>
      </c>
      <c r="K72" s="19"/>
      <c r="L72" s="4">
        <v>116476604</v>
      </c>
      <c r="M72" s="4">
        <v>3345886</v>
      </c>
      <c r="N72" s="18">
        <f t="shared" si="8"/>
        <v>2.872582033727563E-2</v>
      </c>
      <c r="O72" s="18">
        <f t="shared" si="5"/>
        <v>9.9240119387665254E-4</v>
      </c>
      <c r="P72" s="19"/>
      <c r="Q72" s="48">
        <v>64</v>
      </c>
      <c r="R72" s="48">
        <v>3</v>
      </c>
      <c r="S72" s="48" t="s">
        <v>114</v>
      </c>
      <c r="T72" s="48"/>
    </row>
    <row r="73" spans="1:25" ht="13.5" customHeight="1" x14ac:dyDescent="0.2">
      <c r="A73" s="24" t="s">
        <v>63</v>
      </c>
      <c r="B73" s="2">
        <v>579</v>
      </c>
      <c r="C73" s="2">
        <v>39</v>
      </c>
      <c r="D73" s="18">
        <f t="shared" ref="D73:D95" si="9">+C73/B73</f>
        <v>6.7357512953367879E-2</v>
      </c>
      <c r="E73" s="18">
        <f t="shared" ref="E73:E95" si="10">+C73/C$7</f>
        <v>2.911968938997984E-3</v>
      </c>
      <c r="F73" s="19"/>
      <c r="G73" s="2">
        <v>4740</v>
      </c>
      <c r="H73" s="28">
        <v>300</v>
      </c>
      <c r="I73" s="18">
        <f t="shared" ref="I73:I95" si="11">+H73/G73</f>
        <v>6.3291139240506333E-2</v>
      </c>
      <c r="J73" s="18">
        <f t="shared" ref="J73:J95" si="12">+H73/H$7</f>
        <v>1.2737068691011451E-3</v>
      </c>
      <c r="K73" s="19"/>
      <c r="L73" s="4">
        <v>128563381</v>
      </c>
      <c r="M73" s="4">
        <v>2118368</v>
      </c>
      <c r="N73" s="18">
        <f t="shared" ref="N73:N95" si="13">+M73/L73</f>
        <v>1.64772269018034E-2</v>
      </c>
      <c r="O73" s="18">
        <f t="shared" ref="O73:O95" si="14">+M73/M$7</f>
        <v>6.2831517041229035E-4</v>
      </c>
      <c r="P73" s="19"/>
      <c r="Q73" s="48">
        <v>65</v>
      </c>
      <c r="R73" s="48">
        <v>3</v>
      </c>
      <c r="S73" s="48" t="s">
        <v>114</v>
      </c>
      <c r="T73" s="48"/>
    </row>
    <row r="74" spans="1:25" ht="13.5" customHeight="1" x14ac:dyDescent="0.2">
      <c r="A74" s="24" t="s">
        <v>64</v>
      </c>
      <c r="B74" s="2">
        <v>1350</v>
      </c>
      <c r="C74" s="2">
        <v>123</v>
      </c>
      <c r="D74" s="18">
        <f t="shared" si="9"/>
        <v>9.1111111111111115E-2</v>
      </c>
      <c r="E74" s="18">
        <f t="shared" si="10"/>
        <v>9.1839020383782579E-3</v>
      </c>
      <c r="F74" s="19"/>
      <c r="G74" s="2">
        <v>18913</v>
      </c>
      <c r="H74" s="28">
        <v>1966</v>
      </c>
      <c r="I74" s="18">
        <f t="shared" si="11"/>
        <v>0.10394966425210173</v>
      </c>
      <c r="J74" s="18">
        <f t="shared" si="12"/>
        <v>8.3470256821761707E-3</v>
      </c>
      <c r="K74" s="19"/>
      <c r="L74" s="4">
        <v>608440023</v>
      </c>
      <c r="M74" s="4">
        <v>20430711</v>
      </c>
      <c r="N74" s="18">
        <f t="shared" si="13"/>
        <v>3.3578841344564209E-2</v>
      </c>
      <c r="O74" s="18">
        <f t="shared" si="14"/>
        <v>6.0598185318175386E-3</v>
      </c>
      <c r="P74" s="19"/>
      <c r="Q74" s="48">
        <v>66</v>
      </c>
      <c r="R74" s="48">
        <v>3</v>
      </c>
      <c r="S74" s="48" t="s">
        <v>114</v>
      </c>
      <c r="T74" s="48"/>
    </row>
    <row r="75" spans="1:25" ht="13.5" customHeight="1" x14ac:dyDescent="0.2">
      <c r="A75" s="24" t="s">
        <v>65</v>
      </c>
      <c r="B75" s="2">
        <v>250</v>
      </c>
      <c r="C75" s="2">
        <v>20</v>
      </c>
      <c r="D75" s="18">
        <f t="shared" si="9"/>
        <v>0.08</v>
      </c>
      <c r="E75" s="18">
        <f t="shared" si="10"/>
        <v>1.4933174046143508E-3</v>
      </c>
      <c r="F75" s="19"/>
      <c r="G75" s="2">
        <v>2542</v>
      </c>
      <c r="H75" s="28">
        <v>244</v>
      </c>
      <c r="I75" s="18">
        <f t="shared" si="11"/>
        <v>9.5987411487018101E-2</v>
      </c>
      <c r="J75" s="18">
        <f t="shared" si="12"/>
        <v>1.035948253535598E-3</v>
      </c>
      <c r="K75" s="19"/>
      <c r="L75" s="4">
        <v>61201423</v>
      </c>
      <c r="M75" s="4">
        <v>1717883</v>
      </c>
      <c r="N75" s="18">
        <f t="shared" si="13"/>
        <v>2.8069331002319994E-2</v>
      </c>
      <c r="O75" s="18">
        <f t="shared" si="14"/>
        <v>5.0952995414081811E-4</v>
      </c>
      <c r="P75" s="19"/>
      <c r="Q75" s="48">
        <v>67</v>
      </c>
      <c r="R75" s="48">
        <v>3</v>
      </c>
      <c r="S75" s="48" t="s">
        <v>114</v>
      </c>
      <c r="T75" s="48"/>
    </row>
    <row r="76" spans="1:25" ht="13.5" customHeight="1" x14ac:dyDescent="0.2">
      <c r="A76" s="24" t="s">
        <v>66</v>
      </c>
      <c r="B76" s="2">
        <v>391</v>
      </c>
      <c r="C76" s="2">
        <v>49</v>
      </c>
      <c r="D76" s="18">
        <f t="shared" si="9"/>
        <v>0.12531969309462915</v>
      </c>
      <c r="E76" s="18">
        <f t="shared" si="10"/>
        <v>3.6586276413051594E-3</v>
      </c>
      <c r="F76" s="19"/>
      <c r="G76" s="2">
        <v>8236</v>
      </c>
      <c r="H76" s="28">
        <v>526</v>
      </c>
      <c r="I76" s="18">
        <f t="shared" si="11"/>
        <v>6.3865954346770282E-2</v>
      </c>
      <c r="J76" s="18">
        <f t="shared" si="12"/>
        <v>2.2332327104906745E-3</v>
      </c>
      <c r="K76" s="19"/>
      <c r="L76" s="4">
        <v>249299188</v>
      </c>
      <c r="M76" s="4">
        <v>3706537</v>
      </c>
      <c r="N76" s="18">
        <f t="shared" si="13"/>
        <v>1.486782620407091E-2</v>
      </c>
      <c r="O76" s="18">
        <f t="shared" si="14"/>
        <v>1.0993715099522176E-3</v>
      </c>
      <c r="P76" s="19"/>
      <c r="Q76" s="48">
        <v>68</v>
      </c>
      <c r="R76" s="48">
        <v>4</v>
      </c>
      <c r="S76" s="48" t="s">
        <v>113</v>
      </c>
      <c r="T76" s="48"/>
    </row>
    <row r="77" spans="1:25" ht="13.5" customHeight="1" x14ac:dyDescent="0.2">
      <c r="A77" s="24" t="s">
        <v>110</v>
      </c>
      <c r="B77" s="2">
        <v>5274</v>
      </c>
      <c r="C77" s="2">
        <v>702</v>
      </c>
      <c r="D77" s="18">
        <f t="shared" si="9"/>
        <v>0.13310580204778158</v>
      </c>
      <c r="E77" s="18">
        <f t="shared" si="10"/>
        <v>5.2415440901963713E-2</v>
      </c>
      <c r="F77" s="19"/>
      <c r="G77" s="2">
        <v>76609</v>
      </c>
      <c r="H77" s="28">
        <v>10075</v>
      </c>
      <c r="I77" s="18">
        <f t="shared" si="11"/>
        <v>0.13151196334634313</v>
      </c>
      <c r="J77" s="18">
        <f t="shared" si="12"/>
        <v>4.2775322353980121E-2</v>
      </c>
      <c r="K77" s="19"/>
      <c r="L77" s="4">
        <v>2482750831</v>
      </c>
      <c r="M77" s="4">
        <v>107062502</v>
      </c>
      <c r="N77" s="18">
        <f t="shared" si="13"/>
        <v>4.3122531936431764E-2</v>
      </c>
      <c r="O77" s="18">
        <f t="shared" si="14"/>
        <v>3.1755103074109968E-2</v>
      </c>
      <c r="P77" s="19"/>
      <c r="Q77" s="48">
        <v>69</v>
      </c>
      <c r="R77" s="48">
        <v>2</v>
      </c>
      <c r="S77" s="48" t="s">
        <v>111</v>
      </c>
      <c r="T77" s="49" t="s">
        <v>109</v>
      </c>
      <c r="U77" s="20" t="s">
        <v>99</v>
      </c>
      <c r="V77" s="20"/>
      <c r="W77" s="20"/>
      <c r="X77" s="20"/>
      <c r="Y77" s="20"/>
    </row>
    <row r="78" spans="1:25" ht="13.5" customHeight="1" x14ac:dyDescent="0.2">
      <c r="A78" s="24" t="s">
        <v>67</v>
      </c>
      <c r="B78" s="2">
        <v>2634</v>
      </c>
      <c r="C78" s="2">
        <v>229</v>
      </c>
      <c r="D78" s="18">
        <f t="shared" si="9"/>
        <v>8.6940015186028854E-2</v>
      </c>
      <c r="E78" s="18">
        <f t="shared" si="10"/>
        <v>1.7098484282834316E-2</v>
      </c>
      <c r="F78" s="19"/>
      <c r="G78" s="2">
        <v>31034</v>
      </c>
      <c r="H78" s="28">
        <v>5487</v>
      </c>
      <c r="I78" s="18">
        <f t="shared" si="11"/>
        <v>0.17680608365019013</v>
      </c>
      <c r="J78" s="18">
        <f t="shared" si="12"/>
        <v>2.3296098635859942E-2</v>
      </c>
      <c r="K78" s="19"/>
      <c r="L78" s="4">
        <v>1145784286</v>
      </c>
      <c r="M78" s="4">
        <v>82940784</v>
      </c>
      <c r="N78" s="18">
        <f t="shared" si="13"/>
        <v>7.2387782773274997E-2</v>
      </c>
      <c r="O78" s="18">
        <f t="shared" si="14"/>
        <v>2.4600519283282683E-2</v>
      </c>
      <c r="P78" s="19"/>
      <c r="Q78" s="48">
        <v>70</v>
      </c>
      <c r="R78" s="48">
        <v>1</v>
      </c>
      <c r="S78" s="48" t="s">
        <v>112</v>
      </c>
      <c r="T78" s="48"/>
    </row>
    <row r="79" spans="1:25" ht="13.5" customHeight="1" x14ac:dyDescent="0.2">
      <c r="A79" s="24" t="s">
        <v>68</v>
      </c>
      <c r="B79" s="2">
        <v>1706</v>
      </c>
      <c r="C79" s="2">
        <v>123</v>
      </c>
      <c r="D79" s="18">
        <f t="shared" si="9"/>
        <v>7.2098475967174683E-2</v>
      </c>
      <c r="E79" s="18">
        <f t="shared" si="10"/>
        <v>9.1839020383782579E-3</v>
      </c>
      <c r="F79" s="19"/>
      <c r="G79" s="2">
        <v>18445</v>
      </c>
      <c r="H79" s="28">
        <v>2142</v>
      </c>
      <c r="I79" s="18">
        <f t="shared" si="11"/>
        <v>0.11612903225806452</v>
      </c>
      <c r="J79" s="18">
        <f t="shared" si="12"/>
        <v>9.0942670453821751E-3</v>
      </c>
      <c r="K79" s="19"/>
      <c r="L79" s="4">
        <v>574506384</v>
      </c>
      <c r="M79" s="4">
        <v>21404538</v>
      </c>
      <c r="N79" s="18">
        <f t="shared" si="13"/>
        <v>3.7257267449268237E-2</v>
      </c>
      <c r="O79" s="18">
        <f t="shared" si="14"/>
        <v>6.3486589398378118E-3</v>
      </c>
      <c r="P79" s="19"/>
      <c r="Q79" s="48">
        <v>71</v>
      </c>
      <c r="R79" s="48">
        <v>4</v>
      </c>
      <c r="S79" s="48" t="s">
        <v>113</v>
      </c>
      <c r="T79" s="48"/>
    </row>
    <row r="80" spans="1:25" ht="13.5" customHeight="1" x14ac:dyDescent="0.2">
      <c r="A80" s="24" t="s">
        <v>69</v>
      </c>
      <c r="B80" s="2">
        <v>360</v>
      </c>
      <c r="C80" s="2">
        <v>27</v>
      </c>
      <c r="D80" s="18">
        <f t="shared" si="9"/>
        <v>7.4999999999999997E-2</v>
      </c>
      <c r="E80" s="18">
        <f t="shared" si="10"/>
        <v>2.0159784962293734E-3</v>
      </c>
      <c r="F80" s="19"/>
      <c r="G80" s="2">
        <v>3198</v>
      </c>
      <c r="H80" s="28">
        <v>209</v>
      </c>
      <c r="I80" s="18">
        <f t="shared" si="11"/>
        <v>6.5353345841150726E-2</v>
      </c>
      <c r="J80" s="18">
        <f t="shared" si="12"/>
        <v>8.8734911880713108E-4</v>
      </c>
      <c r="K80" s="19"/>
      <c r="L80" s="4">
        <v>75167344</v>
      </c>
      <c r="M80" s="4">
        <v>1280501</v>
      </c>
      <c r="N80" s="18">
        <f t="shared" si="13"/>
        <v>1.7035336515282488E-2</v>
      </c>
      <c r="O80" s="18">
        <f t="shared" si="14"/>
        <v>3.7980096188580464E-4</v>
      </c>
      <c r="P80" s="19"/>
      <c r="Q80" s="48">
        <v>72</v>
      </c>
      <c r="R80" s="48">
        <v>3</v>
      </c>
      <c r="S80" s="48" t="s">
        <v>114</v>
      </c>
      <c r="T80" s="48"/>
    </row>
    <row r="81" spans="1:25" ht="13.5" customHeight="1" x14ac:dyDescent="0.2">
      <c r="A81" s="24" t="s">
        <v>70</v>
      </c>
      <c r="B81" s="2">
        <v>4011</v>
      </c>
      <c r="C81" s="2">
        <v>425</v>
      </c>
      <c r="D81" s="18">
        <f t="shared" si="9"/>
        <v>0.10595861381201695</v>
      </c>
      <c r="E81" s="18">
        <f t="shared" si="10"/>
        <v>3.1732994848054953E-2</v>
      </c>
      <c r="F81" s="19"/>
      <c r="G81" s="2">
        <v>67184</v>
      </c>
      <c r="H81" s="28">
        <v>7323</v>
      </c>
      <c r="I81" s="18">
        <f t="shared" si="11"/>
        <v>0.10899916646820672</v>
      </c>
      <c r="J81" s="18">
        <f t="shared" si="12"/>
        <v>3.1091184674758951E-2</v>
      </c>
      <c r="K81" s="19"/>
      <c r="L81" s="4">
        <v>2058361311</v>
      </c>
      <c r="M81" s="4">
        <v>75393383</v>
      </c>
      <c r="N81" s="18">
        <f t="shared" si="13"/>
        <v>3.6627866350330947E-2</v>
      </c>
      <c r="O81" s="18">
        <f t="shared" si="14"/>
        <v>2.2361934417251431E-2</v>
      </c>
      <c r="P81" s="19"/>
      <c r="Q81" s="48">
        <v>73</v>
      </c>
      <c r="R81" s="48">
        <v>4</v>
      </c>
      <c r="S81" s="48" t="s">
        <v>113</v>
      </c>
      <c r="T81" s="48"/>
    </row>
    <row r="82" spans="1:25" ht="13.5" customHeight="1" x14ac:dyDescent="0.2">
      <c r="A82" s="24" t="s">
        <v>71</v>
      </c>
      <c r="B82" s="2">
        <v>956</v>
      </c>
      <c r="C82" s="2">
        <v>84</v>
      </c>
      <c r="D82" s="18">
        <f t="shared" si="9"/>
        <v>8.7866108786610872E-2</v>
      </c>
      <c r="E82" s="18">
        <f t="shared" si="10"/>
        <v>6.2719330993802735E-3</v>
      </c>
      <c r="F82" s="19"/>
      <c r="G82" s="2">
        <v>17778</v>
      </c>
      <c r="H82" s="28">
        <v>1620</v>
      </c>
      <c r="I82" s="18">
        <f t="shared" si="11"/>
        <v>9.1123860951738106E-2</v>
      </c>
      <c r="J82" s="18">
        <f t="shared" si="12"/>
        <v>6.8780170931461836E-3</v>
      </c>
      <c r="K82" s="19"/>
      <c r="L82" s="4">
        <v>572269259</v>
      </c>
      <c r="M82" s="4">
        <v>17154003</v>
      </c>
      <c r="N82" s="18">
        <f t="shared" si="13"/>
        <v>2.9975405336249244E-2</v>
      </c>
      <c r="O82" s="18">
        <f t="shared" si="14"/>
        <v>5.0879357685718156E-3</v>
      </c>
      <c r="P82" s="19"/>
      <c r="Q82" s="48">
        <v>74</v>
      </c>
      <c r="R82" s="48">
        <v>3</v>
      </c>
      <c r="S82" s="48" t="s">
        <v>114</v>
      </c>
      <c r="T82" s="48"/>
    </row>
    <row r="83" spans="1:25" ht="13.5" customHeight="1" x14ac:dyDescent="0.2">
      <c r="A83" s="24" t="s">
        <v>72</v>
      </c>
      <c r="B83" s="2">
        <v>321</v>
      </c>
      <c r="C83" s="2">
        <v>31</v>
      </c>
      <c r="D83" s="18">
        <f t="shared" si="9"/>
        <v>9.657320872274143E-2</v>
      </c>
      <c r="E83" s="18">
        <f t="shared" si="10"/>
        <v>2.3146419771522438E-3</v>
      </c>
      <c r="F83" s="19"/>
      <c r="G83" s="2">
        <v>3609</v>
      </c>
      <c r="H83" s="28">
        <v>516</v>
      </c>
      <c r="I83" s="18">
        <f t="shared" si="11"/>
        <v>0.14297589359933499</v>
      </c>
      <c r="J83" s="18">
        <f t="shared" si="12"/>
        <v>2.1907758148539693E-3</v>
      </c>
      <c r="K83" s="19"/>
      <c r="L83" s="4">
        <v>98240803</v>
      </c>
      <c r="M83" s="4">
        <v>3881800</v>
      </c>
      <c r="N83" s="18">
        <f t="shared" si="13"/>
        <v>3.9513113507429289E-2</v>
      </c>
      <c r="O83" s="18">
        <f t="shared" si="14"/>
        <v>1.1513551132317089E-3</v>
      </c>
      <c r="P83" s="19"/>
      <c r="Q83" s="48">
        <v>75</v>
      </c>
      <c r="R83" s="48">
        <v>4</v>
      </c>
      <c r="S83" s="48" t="s">
        <v>113</v>
      </c>
      <c r="T83" s="48"/>
    </row>
    <row r="84" spans="1:25" ht="13.5" customHeight="1" x14ac:dyDescent="0.2">
      <c r="A84" s="24" t="s">
        <v>73</v>
      </c>
      <c r="B84" s="2">
        <v>296</v>
      </c>
      <c r="C84" s="2">
        <v>34</v>
      </c>
      <c r="D84" s="18">
        <f t="shared" si="9"/>
        <v>0.11486486486486487</v>
      </c>
      <c r="E84" s="18">
        <f t="shared" si="10"/>
        <v>2.5386395878443965E-3</v>
      </c>
      <c r="F84" s="19"/>
      <c r="G84" s="2">
        <v>2980</v>
      </c>
      <c r="H84" s="28">
        <v>236</v>
      </c>
      <c r="I84" s="18">
        <f t="shared" si="11"/>
        <v>7.9194630872483227E-2</v>
      </c>
      <c r="J84" s="18">
        <f t="shared" si="12"/>
        <v>1.0019827370262341E-3</v>
      </c>
      <c r="K84" s="19"/>
      <c r="L84" s="4">
        <v>78279524</v>
      </c>
      <c r="M84" s="4">
        <v>1970335</v>
      </c>
      <c r="N84" s="18">
        <f t="shared" si="13"/>
        <v>2.5170503080729004E-2</v>
      </c>
      <c r="O84" s="18">
        <f t="shared" si="14"/>
        <v>5.8440807796110038E-4</v>
      </c>
      <c r="P84" s="19"/>
      <c r="Q84" s="48">
        <v>76</v>
      </c>
      <c r="R84" s="48">
        <v>3</v>
      </c>
      <c r="S84" s="48" t="s">
        <v>114</v>
      </c>
      <c r="T84" s="48"/>
    </row>
    <row r="85" spans="1:25" ht="13.5" customHeight="1" x14ac:dyDescent="0.2">
      <c r="A85" s="24" t="s">
        <v>74</v>
      </c>
      <c r="B85" s="2">
        <v>479</v>
      </c>
      <c r="C85" s="2">
        <v>61</v>
      </c>
      <c r="D85" s="18">
        <f t="shared" si="9"/>
        <v>0.12734864300626306</v>
      </c>
      <c r="E85" s="18">
        <f t="shared" si="10"/>
        <v>4.5546180840737695E-3</v>
      </c>
      <c r="F85" s="19"/>
      <c r="G85" s="2">
        <v>4992</v>
      </c>
      <c r="H85" s="28">
        <v>518</v>
      </c>
      <c r="I85" s="18">
        <f t="shared" si="11"/>
        <v>0.10376602564102565</v>
      </c>
      <c r="J85" s="18">
        <f t="shared" si="12"/>
        <v>2.1992671939813106E-3</v>
      </c>
      <c r="K85" s="19"/>
      <c r="L85" s="4">
        <v>125594762</v>
      </c>
      <c r="M85" s="4">
        <v>3905622</v>
      </c>
      <c r="N85" s="18">
        <f t="shared" si="13"/>
        <v>3.1097013424811457E-2</v>
      </c>
      <c r="O85" s="18">
        <f t="shared" si="14"/>
        <v>1.158420799641984E-3</v>
      </c>
      <c r="P85" s="19"/>
      <c r="Q85" s="48">
        <v>77</v>
      </c>
      <c r="R85" s="48">
        <v>4</v>
      </c>
      <c r="S85" s="48" t="s">
        <v>113</v>
      </c>
      <c r="T85" s="48"/>
    </row>
    <row r="86" spans="1:25" ht="13.5" customHeight="1" x14ac:dyDescent="0.2">
      <c r="A86" s="24" t="s">
        <v>75</v>
      </c>
      <c r="B86" s="2">
        <v>121</v>
      </c>
      <c r="C86" s="2">
        <v>12</v>
      </c>
      <c r="D86" s="18">
        <f t="shared" si="9"/>
        <v>9.9173553719008267E-2</v>
      </c>
      <c r="E86" s="18">
        <f t="shared" si="10"/>
        <v>8.9599044276861045E-4</v>
      </c>
      <c r="F86" s="19"/>
      <c r="G86" s="2">
        <v>799</v>
      </c>
      <c r="H86" s="28">
        <v>53</v>
      </c>
      <c r="I86" s="18">
        <f t="shared" si="11"/>
        <v>6.6332916145181484E-2</v>
      </c>
      <c r="J86" s="18">
        <f t="shared" si="12"/>
        <v>2.2502154687453562E-4</v>
      </c>
      <c r="K86" s="19"/>
      <c r="L86" s="4">
        <v>16362922</v>
      </c>
      <c r="M86" s="4">
        <v>266939</v>
      </c>
      <c r="N86" s="18">
        <f t="shared" si="13"/>
        <v>1.6313651070389505E-2</v>
      </c>
      <c r="O86" s="18">
        <f t="shared" si="14"/>
        <v>7.9175017407120192E-5</v>
      </c>
      <c r="P86" s="19"/>
      <c r="Q86" s="48">
        <v>78</v>
      </c>
      <c r="R86" s="48">
        <v>3</v>
      </c>
      <c r="S86" s="48" t="s">
        <v>114</v>
      </c>
      <c r="T86" s="48"/>
      <c r="U86" s="20" t="s">
        <v>97</v>
      </c>
      <c r="V86" s="20"/>
      <c r="W86" s="20"/>
      <c r="X86" s="20"/>
      <c r="Y86" s="20"/>
    </row>
    <row r="87" spans="1:25" ht="13.5" customHeight="1" x14ac:dyDescent="0.2">
      <c r="A87" s="24" t="s">
        <v>76</v>
      </c>
      <c r="B87" s="2">
        <v>575</v>
      </c>
      <c r="C87" s="2">
        <v>69</v>
      </c>
      <c r="D87" s="18">
        <f t="shared" si="9"/>
        <v>0.12</v>
      </c>
      <c r="E87" s="18">
        <f t="shared" si="10"/>
        <v>5.1519450459195102E-3</v>
      </c>
      <c r="F87" s="19"/>
      <c r="G87" s="2">
        <v>5702</v>
      </c>
      <c r="H87" s="28">
        <v>661</v>
      </c>
      <c r="I87" s="18">
        <f t="shared" si="11"/>
        <v>0.11592423710978604</v>
      </c>
      <c r="J87" s="18">
        <f t="shared" si="12"/>
        <v>2.8064008015861895E-3</v>
      </c>
      <c r="K87" s="19"/>
      <c r="L87" s="4">
        <v>155289116</v>
      </c>
      <c r="M87" s="4">
        <v>5452949</v>
      </c>
      <c r="N87" s="18">
        <f t="shared" si="13"/>
        <v>3.5114817705575709E-2</v>
      </c>
      <c r="O87" s="18">
        <f t="shared" si="14"/>
        <v>1.6173632627496867E-3</v>
      </c>
      <c r="P87" s="19"/>
      <c r="Q87" s="48">
        <v>79</v>
      </c>
      <c r="R87" s="48">
        <v>3</v>
      </c>
      <c r="S87" s="48" t="s">
        <v>114</v>
      </c>
      <c r="T87" s="48"/>
    </row>
    <row r="88" spans="1:25" ht="13.5" customHeight="1" x14ac:dyDescent="0.2">
      <c r="A88" s="24" t="s">
        <v>77</v>
      </c>
      <c r="B88" s="2">
        <v>419</v>
      </c>
      <c r="C88" s="2">
        <v>38</v>
      </c>
      <c r="D88" s="18">
        <f t="shared" si="9"/>
        <v>9.0692124105011929E-2</v>
      </c>
      <c r="E88" s="18">
        <f t="shared" si="10"/>
        <v>2.8373030687672664E-3</v>
      </c>
      <c r="F88" s="19"/>
      <c r="G88" s="2">
        <v>4878</v>
      </c>
      <c r="H88" s="28">
        <v>451</v>
      </c>
      <c r="I88" s="18">
        <f t="shared" si="11"/>
        <v>9.2455924559245589E-2</v>
      </c>
      <c r="J88" s="18">
        <f t="shared" si="12"/>
        <v>1.9148059932153881E-3</v>
      </c>
      <c r="K88" s="19"/>
      <c r="L88" s="4">
        <v>126034519</v>
      </c>
      <c r="M88" s="4">
        <v>3583970</v>
      </c>
      <c r="N88" s="18">
        <f t="shared" si="13"/>
        <v>2.8436415899679039E-2</v>
      </c>
      <c r="O88" s="18">
        <f t="shared" si="14"/>
        <v>1.0630177199157731E-3</v>
      </c>
      <c r="P88" s="19"/>
      <c r="Q88" s="48">
        <v>80</v>
      </c>
      <c r="R88" s="48">
        <v>4</v>
      </c>
      <c r="S88" s="48" t="s">
        <v>113</v>
      </c>
      <c r="T88" s="48"/>
    </row>
    <row r="89" spans="1:25" ht="13.5" customHeight="1" x14ac:dyDescent="0.2">
      <c r="A89" s="24" t="s">
        <v>78</v>
      </c>
      <c r="B89" s="2">
        <v>469</v>
      </c>
      <c r="C89" s="2">
        <v>51</v>
      </c>
      <c r="D89" s="18">
        <f t="shared" si="9"/>
        <v>0.10874200426439233</v>
      </c>
      <c r="E89" s="18">
        <f t="shared" si="10"/>
        <v>3.8079593817665945E-3</v>
      </c>
      <c r="F89" s="19"/>
      <c r="G89" s="2">
        <v>6773</v>
      </c>
      <c r="H89" s="28">
        <v>418</v>
      </c>
      <c r="I89" s="18">
        <f t="shared" si="11"/>
        <v>6.1715635611988777E-2</v>
      </c>
      <c r="J89" s="18">
        <f t="shared" si="12"/>
        <v>1.7746982376142622E-3</v>
      </c>
      <c r="K89" s="19"/>
      <c r="L89" s="4">
        <v>183497155</v>
      </c>
      <c r="M89" s="4">
        <v>3142347</v>
      </c>
      <c r="N89" s="18">
        <f t="shared" si="13"/>
        <v>1.7124772315952254E-2</v>
      </c>
      <c r="O89" s="18">
        <f t="shared" si="14"/>
        <v>9.3203083260299884E-4</v>
      </c>
      <c r="P89" s="19"/>
      <c r="Q89" s="48">
        <v>81</v>
      </c>
      <c r="R89" s="48">
        <v>3</v>
      </c>
      <c r="S89" s="48" t="s">
        <v>114</v>
      </c>
      <c r="T89" s="48"/>
    </row>
    <row r="90" spans="1:25" ht="13.5" customHeight="1" x14ac:dyDescent="0.2">
      <c r="A90" s="24" t="s">
        <v>79</v>
      </c>
      <c r="B90" s="2">
        <v>4947</v>
      </c>
      <c r="C90" s="2">
        <v>474</v>
      </c>
      <c r="D90" s="18">
        <f t="shared" si="9"/>
        <v>9.5815645845967259E-2</v>
      </c>
      <c r="E90" s="18">
        <f t="shared" si="10"/>
        <v>3.5391622489360113E-2</v>
      </c>
      <c r="F90" s="19"/>
      <c r="G90" s="2">
        <v>62229</v>
      </c>
      <c r="H90" s="28">
        <v>9647</v>
      </c>
      <c r="I90" s="18">
        <f t="shared" si="11"/>
        <v>0.15502418486557715</v>
      </c>
      <c r="J90" s="18">
        <f t="shared" si="12"/>
        <v>4.0958167220729154E-2</v>
      </c>
      <c r="K90" s="19"/>
      <c r="L90" s="4">
        <v>2257474631</v>
      </c>
      <c r="M90" s="4">
        <v>121163624</v>
      </c>
      <c r="N90" s="18">
        <f t="shared" si="13"/>
        <v>5.3672197390908352E-2</v>
      </c>
      <c r="O90" s="18">
        <f t="shared" si="14"/>
        <v>3.5937543930672423E-2</v>
      </c>
      <c r="P90" s="19"/>
      <c r="Q90" s="48">
        <v>82</v>
      </c>
      <c r="R90" s="48">
        <v>1</v>
      </c>
      <c r="S90" s="48" t="s">
        <v>112</v>
      </c>
      <c r="T90" s="48"/>
    </row>
    <row r="91" spans="1:25" ht="13.5" customHeight="1" x14ac:dyDescent="0.2">
      <c r="A91" s="24" t="s">
        <v>80</v>
      </c>
      <c r="B91" s="2">
        <v>300</v>
      </c>
      <c r="C91" s="2">
        <v>26</v>
      </c>
      <c r="D91" s="18">
        <f t="shared" si="9"/>
        <v>8.666666666666667E-2</v>
      </c>
      <c r="E91" s="18">
        <f t="shared" si="10"/>
        <v>1.9413126259986561E-3</v>
      </c>
      <c r="F91" s="19"/>
      <c r="G91" s="2">
        <v>3785</v>
      </c>
      <c r="H91" s="28">
        <v>262</v>
      </c>
      <c r="I91" s="18">
        <f t="shared" si="11"/>
        <v>6.9220607661822989E-2</v>
      </c>
      <c r="J91" s="18">
        <f t="shared" si="12"/>
        <v>1.1123706656816666E-3</v>
      </c>
      <c r="K91" s="19"/>
      <c r="L91" s="4">
        <v>96421943</v>
      </c>
      <c r="M91" s="4">
        <v>1780368</v>
      </c>
      <c r="N91" s="18">
        <f t="shared" si="13"/>
        <v>1.8464344780938505E-2</v>
      </c>
      <c r="O91" s="18">
        <f t="shared" si="14"/>
        <v>5.2806321815500833E-4</v>
      </c>
      <c r="P91" s="19"/>
      <c r="Q91" s="48">
        <v>83</v>
      </c>
      <c r="R91" s="48">
        <v>3</v>
      </c>
      <c r="S91" s="48" t="s">
        <v>114</v>
      </c>
      <c r="T91" s="48"/>
    </row>
    <row r="92" spans="1:25" ht="13.5" customHeight="1" x14ac:dyDescent="0.2">
      <c r="A92" s="24" t="s">
        <v>81</v>
      </c>
      <c r="B92" s="2">
        <v>170</v>
      </c>
      <c r="C92" s="2">
        <v>19</v>
      </c>
      <c r="D92" s="18">
        <f t="shared" si="9"/>
        <v>0.11176470588235295</v>
      </c>
      <c r="E92" s="18">
        <f t="shared" si="10"/>
        <v>1.4186515343836332E-3</v>
      </c>
      <c r="F92" s="19"/>
      <c r="G92" s="2">
        <v>1555</v>
      </c>
      <c r="H92" s="28">
        <v>166</v>
      </c>
      <c r="I92" s="18">
        <f t="shared" si="11"/>
        <v>0.1067524115755627</v>
      </c>
      <c r="J92" s="18">
        <f t="shared" si="12"/>
        <v>7.047844675693003E-4</v>
      </c>
      <c r="K92" s="19"/>
      <c r="L92" s="4">
        <v>38792096</v>
      </c>
      <c r="M92" s="4">
        <v>1263438</v>
      </c>
      <c r="N92" s="18">
        <f t="shared" si="13"/>
        <v>3.2569469821893612E-2</v>
      </c>
      <c r="O92" s="18">
        <f t="shared" si="14"/>
        <v>3.7474001791726617E-4</v>
      </c>
      <c r="P92" s="19"/>
      <c r="Q92" s="48">
        <v>84</v>
      </c>
      <c r="R92" s="48">
        <v>4</v>
      </c>
      <c r="S92" s="48" t="s">
        <v>113</v>
      </c>
      <c r="T92" s="48"/>
    </row>
    <row r="93" spans="1:25" ht="13.5" customHeight="1" x14ac:dyDescent="0.2">
      <c r="A93" s="24" t="s">
        <v>82</v>
      </c>
      <c r="B93" s="2">
        <v>1177</v>
      </c>
      <c r="C93" s="2">
        <v>136</v>
      </c>
      <c r="D93" s="18">
        <f t="shared" si="9"/>
        <v>0.11554800339847068</v>
      </c>
      <c r="E93" s="18">
        <f t="shared" si="10"/>
        <v>1.0154558351377586E-2</v>
      </c>
      <c r="F93" s="19"/>
      <c r="G93" s="2">
        <v>20701</v>
      </c>
      <c r="H93" s="28">
        <v>2121</v>
      </c>
      <c r="I93" s="18">
        <f t="shared" si="11"/>
        <v>0.10245881841456934</v>
      </c>
      <c r="J93" s="18">
        <f t="shared" si="12"/>
        <v>9.0051075645450947E-3</v>
      </c>
      <c r="K93" s="19"/>
      <c r="L93" s="4">
        <v>589839902</v>
      </c>
      <c r="M93" s="4">
        <v>18344369</v>
      </c>
      <c r="N93" s="18">
        <f t="shared" si="13"/>
        <v>3.1100590071642863E-2</v>
      </c>
      <c r="O93" s="18">
        <f t="shared" si="14"/>
        <v>5.4410023821833305E-3</v>
      </c>
      <c r="P93" s="19"/>
      <c r="Q93" s="48">
        <v>85</v>
      </c>
      <c r="R93" s="48">
        <v>3</v>
      </c>
      <c r="S93" s="48" t="s">
        <v>114</v>
      </c>
      <c r="T93" s="48"/>
    </row>
    <row r="94" spans="1:25" ht="13.5" customHeight="1" x14ac:dyDescent="0.2">
      <c r="A94" s="24" t="s">
        <v>83</v>
      </c>
      <c r="B94" s="2">
        <v>2661</v>
      </c>
      <c r="C94" s="2">
        <v>204</v>
      </c>
      <c r="D94" s="18">
        <f t="shared" si="9"/>
        <v>7.6662908680947009E-2</v>
      </c>
      <c r="E94" s="18">
        <f t="shared" si="10"/>
        <v>1.5231837527066378E-2</v>
      </c>
      <c r="F94" s="19"/>
      <c r="G94" s="2">
        <v>28527</v>
      </c>
      <c r="H94" s="28">
        <v>3413</v>
      </c>
      <c r="I94" s="18">
        <f t="shared" si="11"/>
        <v>0.11964104182003014</v>
      </c>
      <c r="J94" s="18">
        <f t="shared" si="12"/>
        <v>1.449053848080736E-2</v>
      </c>
      <c r="K94" s="19"/>
      <c r="L94" s="4">
        <v>874774922</v>
      </c>
      <c r="M94" s="4">
        <v>32440175</v>
      </c>
      <c r="N94" s="18">
        <f t="shared" si="13"/>
        <v>3.7084024912181927E-2</v>
      </c>
      <c r="O94" s="18">
        <f t="shared" si="14"/>
        <v>9.6218664950233016E-3</v>
      </c>
      <c r="P94" s="19"/>
      <c r="Q94" s="48">
        <v>86</v>
      </c>
      <c r="R94" s="48">
        <v>1</v>
      </c>
      <c r="S94" s="48" t="s">
        <v>112</v>
      </c>
      <c r="T94" s="48"/>
    </row>
    <row r="95" spans="1:25" ht="13.5" customHeight="1" x14ac:dyDescent="0.2">
      <c r="A95" s="24" t="s">
        <v>84</v>
      </c>
      <c r="B95" s="2">
        <v>319</v>
      </c>
      <c r="C95" s="2">
        <v>28</v>
      </c>
      <c r="D95" s="18">
        <f t="shared" si="9"/>
        <v>8.7774294670846395E-2</v>
      </c>
      <c r="E95" s="18">
        <f t="shared" si="10"/>
        <v>2.090644366460091E-3</v>
      </c>
      <c r="F95" s="19"/>
      <c r="G95" s="2">
        <v>2575</v>
      </c>
      <c r="H95" s="28">
        <v>245</v>
      </c>
      <c r="I95" s="18">
        <f t="shared" si="11"/>
        <v>9.5145631067961159E-2</v>
      </c>
      <c r="J95" s="18">
        <f t="shared" si="12"/>
        <v>1.0401939430992684E-3</v>
      </c>
      <c r="K95" s="19"/>
      <c r="L95" s="4">
        <v>66222538</v>
      </c>
      <c r="M95" s="4">
        <v>1942892</v>
      </c>
      <c r="N95" s="18">
        <f t="shared" si="13"/>
        <v>2.9338833253415929E-2</v>
      </c>
      <c r="O95" s="18">
        <f t="shared" si="14"/>
        <v>5.7626839060667256E-4</v>
      </c>
      <c r="P95" s="19"/>
      <c r="Q95" s="48">
        <v>87</v>
      </c>
      <c r="R95" s="48">
        <v>3</v>
      </c>
      <c r="S95" s="48" t="s">
        <v>114</v>
      </c>
      <c r="T95" s="48"/>
    </row>
    <row r="97" spans="1:10" x14ac:dyDescent="0.2">
      <c r="A97" s="23" t="s">
        <v>92</v>
      </c>
      <c r="B97" s="25"/>
      <c r="C97" s="25"/>
      <c r="D97" s="26"/>
      <c r="E97" s="26"/>
      <c r="F97" s="25"/>
      <c r="G97" s="25"/>
      <c r="H97" s="27"/>
      <c r="I97" s="31"/>
      <c r="J97" s="29"/>
    </row>
    <row r="99" spans="1:10" x14ac:dyDescent="0.2">
      <c r="A99" s="23" t="s">
        <v>98</v>
      </c>
      <c r="B99" s="25"/>
      <c r="C99" s="25"/>
      <c r="D99" s="26"/>
      <c r="E99" s="26"/>
      <c r="F99" s="25"/>
      <c r="G99" s="25"/>
    </row>
  </sheetData>
  <mergeCells count="3">
    <mergeCell ref="L3:O3"/>
    <mergeCell ref="G3:J3"/>
    <mergeCell ref="B3:E3"/>
  </mergeCells>
  <phoneticPr fontId="3" type="noConversion"/>
  <pageMargins left="0.75" right="0.75" top="0.75" bottom="0.75" header="0.5" footer="0.5"/>
  <pageSetup scale="85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12"/>
  <sheetViews>
    <sheetView tabSelected="1" zoomScaleNormal="51" zoomScaleSheetLayoutView="51" workbookViewId="0">
      <pane ySplit="6" topLeftCell="A7" activePane="bottomLeft" state="frozen"/>
      <selection pane="bottomLeft"/>
    </sheetView>
  </sheetViews>
  <sheetFormatPr defaultRowHeight="11.25" x14ac:dyDescent="0.2"/>
  <cols>
    <col min="1" max="1" width="18.85546875" style="56" customWidth="1"/>
    <col min="2" max="2" width="4.5703125" style="57" customWidth="1"/>
    <col min="3" max="3" width="5.7109375" style="57" bestFit="1" customWidth="1"/>
    <col min="4" max="4" width="5.42578125" style="57" customWidth="1"/>
    <col min="5" max="5" width="5.7109375" style="57" customWidth="1"/>
    <col min="6" max="6" width="6.42578125" style="57" customWidth="1"/>
    <col min="7" max="7" width="1.140625" style="57" customWidth="1"/>
    <col min="8" max="8" width="6" style="58" customWidth="1"/>
    <col min="9" max="9" width="6.85546875" style="57" customWidth="1"/>
    <col min="10" max="10" width="5.7109375" style="57" bestFit="1" customWidth="1"/>
    <col min="11" max="11" width="6.28515625" style="57" customWidth="1"/>
    <col min="12" max="12" width="7.85546875" style="57" customWidth="1"/>
    <col min="13" max="13" width="1.140625" style="57" customWidth="1"/>
    <col min="14" max="14" width="10.42578125" style="59" bestFit="1" customWidth="1"/>
    <col min="15" max="15" width="11.7109375" style="60" bestFit="1" customWidth="1"/>
    <col min="16" max="16" width="10.42578125" style="60" bestFit="1" customWidth="1"/>
    <col min="17" max="17" width="11.7109375" style="60" bestFit="1" customWidth="1"/>
    <col min="18" max="18" width="12.5703125" style="60" bestFit="1" customWidth="1"/>
    <col min="19" max="19" width="1.140625" style="60" customWidth="1"/>
    <col min="20" max="20" width="5.42578125" style="11" customWidth="1"/>
    <col min="21" max="16384" width="9.140625" style="56"/>
  </cols>
  <sheetData>
    <row r="2" spans="1:21" ht="12.75" x14ac:dyDescent="0.2">
      <c r="A2" s="96" t="s">
        <v>233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  <c r="T2" s="98"/>
    </row>
    <row r="3" spans="1:21" ht="12" x14ac:dyDescent="0.2">
      <c r="A3" s="99" t="s">
        <v>234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1"/>
      <c r="T3" s="101"/>
      <c r="U3" s="55"/>
    </row>
    <row r="5" spans="1:21" ht="12.75" x14ac:dyDescent="0.2">
      <c r="B5" s="102" t="s">
        <v>86</v>
      </c>
      <c r="C5" s="103"/>
      <c r="D5" s="103"/>
      <c r="E5" s="103"/>
      <c r="F5" s="103"/>
      <c r="G5" s="21"/>
      <c r="H5" s="102" t="s">
        <v>225</v>
      </c>
      <c r="I5" s="103"/>
      <c r="J5" s="103"/>
      <c r="K5" s="103"/>
      <c r="L5" s="103"/>
      <c r="M5" s="21"/>
      <c r="N5" s="104" t="s">
        <v>88</v>
      </c>
      <c r="O5" s="105"/>
      <c r="P5" s="105"/>
      <c r="Q5" s="105"/>
      <c r="R5" s="105"/>
      <c r="S5" s="21"/>
      <c r="T5" s="83" t="s">
        <v>223</v>
      </c>
    </row>
    <row r="6" spans="1:21" s="55" customFormat="1" ht="13.5" customHeight="1" x14ac:dyDescent="0.2">
      <c r="A6" s="81" t="s">
        <v>134</v>
      </c>
      <c r="B6" s="62" t="s">
        <v>90</v>
      </c>
      <c r="C6" s="62" t="s">
        <v>124</v>
      </c>
      <c r="D6" s="62" t="s">
        <v>91</v>
      </c>
      <c r="E6" s="62" t="s">
        <v>226</v>
      </c>
      <c r="F6" s="62" t="s">
        <v>93</v>
      </c>
      <c r="G6" s="63"/>
      <c r="H6" s="62" t="s">
        <v>126</v>
      </c>
      <c r="I6" s="62" t="s">
        <v>125</v>
      </c>
      <c r="J6" s="62" t="s">
        <v>91</v>
      </c>
      <c r="K6" s="62" t="s">
        <v>226</v>
      </c>
      <c r="L6" s="62" t="s">
        <v>93</v>
      </c>
      <c r="M6" s="63"/>
      <c r="N6" s="89" t="s">
        <v>126</v>
      </c>
      <c r="O6" s="89" t="s">
        <v>127</v>
      </c>
      <c r="P6" s="89" t="s">
        <v>128</v>
      </c>
      <c r="Q6" s="89" t="s">
        <v>227</v>
      </c>
      <c r="R6" s="89" t="s">
        <v>93</v>
      </c>
      <c r="S6" s="13"/>
      <c r="T6" s="84" t="s">
        <v>222</v>
      </c>
    </row>
    <row r="7" spans="1:21" s="55" customFormat="1" ht="13.5" customHeight="1" x14ac:dyDescent="0.2">
      <c r="A7" s="8"/>
      <c r="B7" s="9"/>
      <c r="C7" s="9"/>
      <c r="D7" s="9"/>
      <c r="E7" s="9"/>
      <c r="F7" s="9"/>
      <c r="G7" s="14"/>
      <c r="H7" s="10"/>
      <c r="I7" s="9"/>
      <c r="J7" s="9"/>
      <c r="K7" s="9"/>
      <c r="L7" s="9"/>
      <c r="M7" s="14"/>
      <c r="N7" s="12"/>
      <c r="O7" s="11"/>
      <c r="P7" s="11"/>
      <c r="Q7" s="11"/>
      <c r="R7" s="11"/>
      <c r="S7" s="14"/>
      <c r="T7" s="11"/>
    </row>
    <row r="8" spans="1:21" ht="13.5" customHeight="1" x14ac:dyDescent="0.2">
      <c r="A8" s="80" t="s">
        <v>129</v>
      </c>
      <c r="B8" s="52">
        <v>1465</v>
      </c>
      <c r="C8" s="52">
        <v>9409</v>
      </c>
      <c r="D8" s="52">
        <v>2519</v>
      </c>
      <c r="E8" s="52">
        <v>13393</v>
      </c>
      <c r="F8" s="52">
        <v>149625</v>
      </c>
      <c r="G8" s="22"/>
      <c r="H8" s="52">
        <v>26937</v>
      </c>
      <c r="I8" s="52">
        <v>172779</v>
      </c>
      <c r="J8" s="52">
        <v>35817</v>
      </c>
      <c r="K8" s="52">
        <v>235533</v>
      </c>
      <c r="L8" s="52">
        <v>2229697</v>
      </c>
      <c r="M8" s="22"/>
      <c r="N8" s="54">
        <v>450291514</v>
      </c>
      <c r="O8" s="54">
        <v>2060023635</v>
      </c>
      <c r="P8" s="54">
        <v>861190267</v>
      </c>
      <c r="Q8" s="54">
        <v>3371505416</v>
      </c>
      <c r="R8" s="54">
        <v>90481921066</v>
      </c>
      <c r="S8" s="22"/>
      <c r="T8" s="85"/>
    </row>
    <row r="9" spans="1:21" s="55" customFormat="1" ht="13.5" customHeight="1" x14ac:dyDescent="0.2">
      <c r="A9" s="8"/>
      <c r="B9" s="9"/>
      <c r="C9" s="9"/>
      <c r="D9" s="9"/>
      <c r="E9" s="9"/>
      <c r="F9" s="9"/>
      <c r="G9" s="14"/>
      <c r="H9" s="10"/>
      <c r="I9" s="9"/>
      <c r="J9" s="9"/>
      <c r="K9" s="9"/>
      <c r="L9" s="9"/>
      <c r="M9" s="14"/>
      <c r="N9" s="12"/>
      <c r="O9" s="11"/>
      <c r="P9" s="11"/>
      <c r="Q9" s="11"/>
      <c r="R9" s="11"/>
      <c r="S9" s="14"/>
      <c r="T9" s="11"/>
    </row>
    <row r="10" spans="1:21" s="67" customFormat="1" ht="13.5" customHeight="1" x14ac:dyDescent="0.2">
      <c r="A10" s="82" t="s">
        <v>132</v>
      </c>
      <c r="B10" s="64">
        <v>342</v>
      </c>
      <c r="C10" s="64">
        <v>5152</v>
      </c>
      <c r="D10" s="64">
        <v>1258</v>
      </c>
      <c r="E10" s="64">
        <v>6751</v>
      </c>
      <c r="F10" s="64">
        <v>83534</v>
      </c>
      <c r="G10" s="65"/>
      <c r="H10" s="64">
        <v>12504</v>
      </c>
      <c r="I10" s="64">
        <v>108666</v>
      </c>
      <c r="J10" s="64">
        <v>25827</v>
      </c>
      <c r="K10" s="64">
        <v>146995</v>
      </c>
      <c r="L10" s="64">
        <v>1417497</v>
      </c>
      <c r="M10" s="65"/>
      <c r="N10" s="66">
        <v>262960992</v>
      </c>
      <c r="O10" s="66">
        <v>1457390826</v>
      </c>
      <c r="P10" s="66">
        <v>743839698</v>
      </c>
      <c r="Q10" s="66">
        <v>2464191516</v>
      </c>
      <c r="R10" s="66">
        <v>65069927207</v>
      </c>
      <c r="S10" s="65"/>
      <c r="T10" s="86" t="s">
        <v>119</v>
      </c>
    </row>
    <row r="11" spans="1:21" s="71" customFormat="1" ht="13.5" customHeight="1" x14ac:dyDescent="0.2">
      <c r="A11" s="82" t="s">
        <v>130</v>
      </c>
      <c r="B11" s="68">
        <v>302</v>
      </c>
      <c r="C11" s="68">
        <v>841</v>
      </c>
      <c r="D11" s="68">
        <v>248</v>
      </c>
      <c r="E11" s="68">
        <v>1388</v>
      </c>
      <c r="F11" s="68">
        <v>10110</v>
      </c>
      <c r="G11" s="69"/>
      <c r="H11" s="68">
        <v>3712</v>
      </c>
      <c r="I11" s="68">
        <v>11224</v>
      </c>
      <c r="J11" s="68">
        <v>1668</v>
      </c>
      <c r="K11" s="68">
        <v>17764</v>
      </c>
      <c r="L11" s="68">
        <v>126717</v>
      </c>
      <c r="M11" s="69"/>
      <c r="N11" s="70">
        <v>47939219</v>
      </c>
      <c r="O11" s="70">
        <v>109193388</v>
      </c>
      <c r="P11" s="70">
        <v>19960611</v>
      </c>
      <c r="Q11" s="70">
        <v>188516822</v>
      </c>
      <c r="R11" s="70">
        <v>3918314168</v>
      </c>
      <c r="S11" s="69"/>
      <c r="T11" s="86" t="s">
        <v>120</v>
      </c>
    </row>
    <row r="12" spans="1:21" s="71" customFormat="1" ht="13.5" customHeight="1" x14ac:dyDescent="0.2">
      <c r="A12" s="82" t="s">
        <v>131</v>
      </c>
      <c r="B12" s="68">
        <v>294</v>
      </c>
      <c r="C12" s="68">
        <v>1792</v>
      </c>
      <c r="D12" s="68">
        <v>478</v>
      </c>
      <c r="E12" s="68">
        <v>2549</v>
      </c>
      <c r="F12" s="68">
        <v>26083</v>
      </c>
      <c r="G12" s="69"/>
      <c r="H12" s="68">
        <v>4461</v>
      </c>
      <c r="I12" s="68">
        <v>23779</v>
      </c>
      <c r="J12" s="68">
        <v>4395</v>
      </c>
      <c r="K12" s="68">
        <v>36638</v>
      </c>
      <c r="L12" s="68">
        <v>383630</v>
      </c>
      <c r="M12" s="69"/>
      <c r="N12" s="70">
        <v>59210686</v>
      </c>
      <c r="O12" s="70">
        <v>226381031</v>
      </c>
      <c r="P12" s="70">
        <v>48496465</v>
      </c>
      <c r="Q12" s="70">
        <v>364294194</v>
      </c>
      <c r="R12" s="70">
        <v>12022079184</v>
      </c>
      <c r="S12" s="69"/>
      <c r="T12" s="86" t="s">
        <v>224</v>
      </c>
    </row>
    <row r="13" spans="1:21" s="79" customFormat="1" ht="13.5" customHeight="1" x14ac:dyDescent="0.2">
      <c r="A13" s="82" t="s">
        <v>133</v>
      </c>
      <c r="B13" s="75">
        <v>528</v>
      </c>
      <c r="C13" s="75">
        <v>1602</v>
      </c>
      <c r="D13" s="75">
        <v>482</v>
      </c>
      <c r="E13" s="75">
        <v>2606</v>
      </c>
      <c r="F13" s="75">
        <v>22122</v>
      </c>
      <c r="G13" s="76"/>
      <c r="H13" s="77">
        <v>5688</v>
      </c>
      <c r="I13" s="75">
        <v>23363</v>
      </c>
      <c r="J13" s="75">
        <v>3525</v>
      </c>
      <c r="K13" s="75">
        <v>33441</v>
      </c>
      <c r="L13" s="75">
        <v>270405</v>
      </c>
      <c r="M13" s="76"/>
      <c r="N13" s="78">
        <v>73012999</v>
      </c>
      <c r="O13" s="78">
        <v>217898013</v>
      </c>
      <c r="P13" s="78">
        <v>39167259</v>
      </c>
      <c r="Q13" s="78">
        <v>336499378</v>
      </c>
      <c r="R13" s="78">
        <v>7480661446</v>
      </c>
      <c r="S13" s="76"/>
      <c r="T13" s="90" t="s">
        <v>122</v>
      </c>
    </row>
    <row r="14" spans="1:21" ht="13.5" customHeight="1" x14ac:dyDescent="0.2">
      <c r="A14" s="61"/>
      <c r="B14" s="52"/>
      <c r="C14" s="52"/>
      <c r="D14" s="52"/>
      <c r="E14" s="52"/>
      <c r="G14" s="22"/>
      <c r="H14" s="52"/>
      <c r="I14" s="52"/>
      <c r="J14" s="52"/>
      <c r="K14" s="52"/>
      <c r="L14" s="52"/>
      <c r="M14" s="22"/>
      <c r="N14" s="54"/>
      <c r="O14" s="54"/>
      <c r="P14" s="54"/>
      <c r="Q14" s="54"/>
      <c r="R14" s="54"/>
      <c r="S14" s="22"/>
      <c r="T14" s="85"/>
    </row>
    <row r="15" spans="1:21" s="67" customFormat="1" ht="13.5" customHeight="1" x14ac:dyDescent="0.2">
      <c r="A15" s="82" t="s">
        <v>135</v>
      </c>
      <c r="B15" s="64">
        <v>14</v>
      </c>
      <c r="C15" s="64">
        <v>39</v>
      </c>
      <c r="D15" s="64">
        <v>10</v>
      </c>
      <c r="E15" s="64">
        <v>63</v>
      </c>
      <c r="F15" s="64">
        <v>426</v>
      </c>
      <c r="G15" s="65"/>
      <c r="H15" s="64">
        <v>90</v>
      </c>
      <c r="I15" s="64">
        <v>331</v>
      </c>
      <c r="J15" s="64">
        <v>26</v>
      </c>
      <c r="K15" s="64">
        <v>446</v>
      </c>
      <c r="L15" s="64">
        <v>3285</v>
      </c>
      <c r="M15" s="65"/>
      <c r="N15" s="66">
        <v>905306</v>
      </c>
      <c r="O15" s="66">
        <v>3365155</v>
      </c>
      <c r="P15" s="66">
        <v>317044</v>
      </c>
      <c r="Q15" s="66">
        <v>4587505</v>
      </c>
      <c r="R15" s="66">
        <v>80022707</v>
      </c>
      <c r="S15" s="65"/>
      <c r="T15" s="86" t="s">
        <v>120</v>
      </c>
    </row>
    <row r="16" spans="1:21" s="71" customFormat="1" ht="13.5" customHeight="1" x14ac:dyDescent="0.2">
      <c r="A16" s="82" t="s">
        <v>136</v>
      </c>
      <c r="B16" s="68">
        <v>15</v>
      </c>
      <c r="C16" s="68">
        <v>409</v>
      </c>
      <c r="D16" s="68">
        <v>100</v>
      </c>
      <c r="E16" s="68">
        <v>524</v>
      </c>
      <c r="F16" s="68">
        <v>7258</v>
      </c>
      <c r="G16" s="69"/>
      <c r="H16" s="68">
        <v>185</v>
      </c>
      <c r="I16" s="68">
        <v>8810</v>
      </c>
      <c r="J16" s="68">
        <v>1621</v>
      </c>
      <c r="K16" s="68">
        <v>10616</v>
      </c>
      <c r="L16" s="68">
        <v>97929</v>
      </c>
      <c r="M16" s="69"/>
      <c r="N16" s="70">
        <v>2317418</v>
      </c>
      <c r="O16" s="70">
        <v>98449785</v>
      </c>
      <c r="P16" s="70">
        <v>24068675</v>
      </c>
      <c r="Q16" s="70">
        <v>124835878</v>
      </c>
      <c r="R16" s="70">
        <v>3786235419</v>
      </c>
      <c r="S16" s="69"/>
      <c r="T16" s="86" t="s">
        <v>119</v>
      </c>
    </row>
    <row r="17" spans="1:20" s="71" customFormat="1" ht="13.5" customHeight="1" x14ac:dyDescent="0.2">
      <c r="A17" s="82" t="s">
        <v>137</v>
      </c>
      <c r="B17" s="68">
        <v>40</v>
      </c>
      <c r="C17" s="68">
        <v>63</v>
      </c>
      <c r="D17" s="68">
        <v>22</v>
      </c>
      <c r="E17" s="68">
        <v>125</v>
      </c>
      <c r="F17" s="68">
        <v>971</v>
      </c>
      <c r="G17" s="69"/>
      <c r="H17" s="68">
        <v>242</v>
      </c>
      <c r="I17" s="68">
        <v>806</v>
      </c>
      <c r="J17" s="68">
        <v>119</v>
      </c>
      <c r="K17" s="68">
        <v>1167</v>
      </c>
      <c r="L17" s="68">
        <v>9792</v>
      </c>
      <c r="M17" s="69"/>
      <c r="N17" s="70">
        <v>2407784</v>
      </c>
      <c r="O17" s="70">
        <v>7420569</v>
      </c>
      <c r="P17" s="70">
        <v>1606907</v>
      </c>
      <c r="Q17" s="70">
        <v>11435260</v>
      </c>
      <c r="R17" s="70">
        <v>240233907</v>
      </c>
      <c r="S17" s="69"/>
      <c r="T17" s="86" t="s">
        <v>122</v>
      </c>
    </row>
    <row r="18" spans="1:20" s="71" customFormat="1" ht="13.5" customHeight="1" x14ac:dyDescent="0.2">
      <c r="A18" s="82" t="s">
        <v>138</v>
      </c>
      <c r="B18" s="68">
        <v>28</v>
      </c>
      <c r="C18" s="68">
        <v>79</v>
      </c>
      <c r="D18" s="68">
        <v>22</v>
      </c>
      <c r="E18" s="68">
        <v>130</v>
      </c>
      <c r="F18" s="68">
        <v>1080</v>
      </c>
      <c r="G18" s="69"/>
      <c r="H18" s="68">
        <v>287</v>
      </c>
      <c r="I18" s="68">
        <v>1305</v>
      </c>
      <c r="J18" s="68">
        <v>181</v>
      </c>
      <c r="K18" s="68">
        <v>1772</v>
      </c>
      <c r="L18" s="68">
        <v>12817</v>
      </c>
      <c r="M18" s="69"/>
      <c r="N18" s="70">
        <v>3017242</v>
      </c>
      <c r="O18" s="70">
        <v>12365285</v>
      </c>
      <c r="P18" s="70">
        <v>2028790</v>
      </c>
      <c r="Q18" s="70">
        <v>17411317</v>
      </c>
      <c r="R18" s="70">
        <v>324356334</v>
      </c>
      <c r="S18" s="69"/>
      <c r="T18" s="86" t="s">
        <v>122</v>
      </c>
    </row>
    <row r="19" spans="1:20" s="71" customFormat="1" ht="13.5" customHeight="1" x14ac:dyDescent="0.2">
      <c r="A19" s="82" t="s">
        <v>139</v>
      </c>
      <c r="B19" s="68">
        <v>7</v>
      </c>
      <c r="C19" s="68">
        <v>53</v>
      </c>
      <c r="D19" s="68">
        <v>11</v>
      </c>
      <c r="E19" s="68">
        <v>70</v>
      </c>
      <c r="F19" s="68">
        <v>839</v>
      </c>
      <c r="G19" s="69"/>
      <c r="H19" s="68">
        <v>51</v>
      </c>
      <c r="I19" s="68">
        <v>909</v>
      </c>
      <c r="J19" s="68">
        <v>95</v>
      </c>
      <c r="K19" s="68">
        <v>1054</v>
      </c>
      <c r="L19" s="68">
        <v>13271</v>
      </c>
      <c r="M19" s="69"/>
      <c r="N19" s="70">
        <v>432972</v>
      </c>
      <c r="O19" s="70">
        <v>8875010</v>
      </c>
      <c r="P19" s="70">
        <v>1519286</v>
      </c>
      <c r="Q19" s="70">
        <v>10827268</v>
      </c>
      <c r="R19" s="70">
        <v>403590770</v>
      </c>
      <c r="S19" s="69"/>
      <c r="T19" s="86" t="s">
        <v>122</v>
      </c>
    </row>
    <row r="20" spans="1:20" s="71" customFormat="1" ht="13.5" customHeight="1" x14ac:dyDescent="0.2">
      <c r="A20" s="82" t="s">
        <v>140</v>
      </c>
      <c r="B20" s="68">
        <v>3</v>
      </c>
      <c r="C20" s="68">
        <v>17</v>
      </c>
      <c r="D20" s="68">
        <v>4</v>
      </c>
      <c r="E20" s="68">
        <v>24</v>
      </c>
      <c r="F20" s="68">
        <v>174</v>
      </c>
      <c r="G20" s="69"/>
      <c r="H20" s="68">
        <v>10</v>
      </c>
      <c r="I20" s="68">
        <v>157</v>
      </c>
      <c r="J20" s="68">
        <v>10</v>
      </c>
      <c r="K20" s="68">
        <v>177</v>
      </c>
      <c r="L20" s="68">
        <v>1238</v>
      </c>
      <c r="M20" s="69"/>
      <c r="N20" s="70">
        <v>39654</v>
      </c>
      <c r="O20" s="70">
        <v>860944</v>
      </c>
      <c r="P20" s="70">
        <v>64432</v>
      </c>
      <c r="Q20" s="70">
        <v>965030</v>
      </c>
      <c r="R20" s="70">
        <v>26844040</v>
      </c>
      <c r="S20" s="69"/>
      <c r="T20" s="86" t="s">
        <v>121</v>
      </c>
    </row>
    <row r="21" spans="1:20" s="71" customFormat="1" ht="13.5" customHeight="1" x14ac:dyDescent="0.2">
      <c r="A21" s="82" t="s">
        <v>141</v>
      </c>
      <c r="B21" s="68">
        <v>12</v>
      </c>
      <c r="C21" s="68">
        <v>136</v>
      </c>
      <c r="D21" s="68">
        <v>28</v>
      </c>
      <c r="E21" s="68">
        <v>175</v>
      </c>
      <c r="F21" s="68">
        <v>1831</v>
      </c>
      <c r="G21" s="69"/>
      <c r="H21" s="68">
        <v>221</v>
      </c>
      <c r="I21" s="68">
        <v>2677</v>
      </c>
      <c r="J21" s="68">
        <v>336</v>
      </c>
      <c r="K21" s="68">
        <v>3234</v>
      </c>
      <c r="L21" s="68">
        <v>29587</v>
      </c>
      <c r="M21" s="69"/>
      <c r="N21" s="70">
        <v>2110788</v>
      </c>
      <c r="O21" s="70">
        <v>24655509</v>
      </c>
      <c r="P21" s="70">
        <v>3255851</v>
      </c>
      <c r="Q21" s="70">
        <v>30022148</v>
      </c>
      <c r="R21" s="70">
        <v>854313501</v>
      </c>
      <c r="S21" s="69"/>
      <c r="T21" s="86" t="s">
        <v>121</v>
      </c>
    </row>
    <row r="22" spans="1:20" s="71" customFormat="1" ht="13.5" customHeight="1" x14ac:dyDescent="0.2">
      <c r="A22" s="82" t="s">
        <v>142</v>
      </c>
      <c r="B22" s="68">
        <v>8</v>
      </c>
      <c r="C22" s="68">
        <v>59</v>
      </c>
      <c r="D22" s="68">
        <v>21</v>
      </c>
      <c r="E22" s="68">
        <v>87</v>
      </c>
      <c r="F22" s="68">
        <v>750</v>
      </c>
      <c r="G22" s="69"/>
      <c r="H22" s="68">
        <v>204</v>
      </c>
      <c r="I22" s="68">
        <v>873</v>
      </c>
      <c r="J22" s="68">
        <v>118</v>
      </c>
      <c r="K22" s="68">
        <v>1195</v>
      </c>
      <c r="L22" s="68">
        <v>12389</v>
      </c>
      <c r="M22" s="69"/>
      <c r="N22" s="70">
        <v>1586274</v>
      </c>
      <c r="O22" s="70">
        <v>7547067</v>
      </c>
      <c r="P22" s="70">
        <v>1173560</v>
      </c>
      <c r="Q22" s="70">
        <v>10306901</v>
      </c>
      <c r="R22" s="70">
        <v>356045504</v>
      </c>
      <c r="S22" s="69"/>
      <c r="T22" s="86" t="s">
        <v>121</v>
      </c>
    </row>
    <row r="23" spans="1:20" s="71" customFormat="1" ht="13.5" customHeight="1" x14ac:dyDescent="0.2">
      <c r="A23" s="82" t="s">
        <v>143</v>
      </c>
      <c r="B23" s="68">
        <v>11</v>
      </c>
      <c r="C23" s="68">
        <v>64</v>
      </c>
      <c r="D23" s="68">
        <v>22</v>
      </c>
      <c r="E23" s="68">
        <v>96</v>
      </c>
      <c r="F23" s="68">
        <v>691</v>
      </c>
      <c r="G23" s="69"/>
      <c r="H23" s="68">
        <v>126</v>
      </c>
      <c r="I23" s="68">
        <v>865</v>
      </c>
      <c r="J23" s="68">
        <v>122</v>
      </c>
      <c r="K23" s="68">
        <v>1113</v>
      </c>
      <c r="L23" s="68">
        <v>8679</v>
      </c>
      <c r="M23" s="69"/>
      <c r="N23" s="70">
        <v>787821</v>
      </c>
      <c r="O23" s="70">
        <v>8195880</v>
      </c>
      <c r="P23" s="70">
        <v>1099331</v>
      </c>
      <c r="Q23" s="70">
        <v>10083032</v>
      </c>
      <c r="R23" s="70">
        <v>273398099</v>
      </c>
      <c r="S23" s="69"/>
      <c r="T23" s="86" t="s">
        <v>120</v>
      </c>
    </row>
    <row r="24" spans="1:20" s="71" customFormat="1" ht="13.5" customHeight="1" x14ac:dyDescent="0.2">
      <c r="A24" s="82" t="s">
        <v>144</v>
      </c>
      <c r="B24" s="68">
        <v>10</v>
      </c>
      <c r="C24" s="68">
        <v>115</v>
      </c>
      <c r="D24" s="68">
        <v>33</v>
      </c>
      <c r="E24" s="68">
        <v>157</v>
      </c>
      <c r="F24" s="68">
        <v>2014</v>
      </c>
      <c r="G24" s="69"/>
      <c r="H24" s="68">
        <v>114</v>
      </c>
      <c r="I24" s="68">
        <v>1926</v>
      </c>
      <c r="J24" s="68">
        <v>643</v>
      </c>
      <c r="K24" s="68">
        <v>2683</v>
      </c>
      <c r="L24" s="68">
        <v>27391</v>
      </c>
      <c r="M24" s="69"/>
      <c r="N24" s="70">
        <v>1751419</v>
      </c>
      <c r="O24" s="70">
        <v>21230460</v>
      </c>
      <c r="P24" s="70">
        <v>11279897</v>
      </c>
      <c r="Q24" s="70">
        <v>34261776</v>
      </c>
      <c r="R24" s="70">
        <v>1090709717</v>
      </c>
      <c r="S24" s="69"/>
      <c r="T24" s="87" t="s">
        <v>119</v>
      </c>
    </row>
    <row r="25" spans="1:20" s="71" customFormat="1" ht="13.5" customHeight="1" x14ac:dyDescent="0.2">
      <c r="A25" s="82" t="s">
        <v>145</v>
      </c>
      <c r="B25" s="68">
        <v>77</v>
      </c>
      <c r="C25" s="68">
        <v>72</v>
      </c>
      <c r="D25" s="68">
        <v>20</v>
      </c>
      <c r="E25" s="68">
        <v>169</v>
      </c>
      <c r="F25" s="68">
        <v>822</v>
      </c>
      <c r="G25" s="69"/>
      <c r="H25" s="68">
        <v>759</v>
      </c>
      <c r="I25" s="68">
        <v>709</v>
      </c>
      <c r="J25" s="68">
        <v>188</v>
      </c>
      <c r="K25" s="68">
        <v>1656</v>
      </c>
      <c r="L25" s="68">
        <v>5685</v>
      </c>
      <c r="M25" s="69"/>
      <c r="N25" s="70">
        <v>11992693</v>
      </c>
      <c r="O25" s="70">
        <v>6835400</v>
      </c>
      <c r="P25" s="70">
        <v>2609279</v>
      </c>
      <c r="Q25" s="70">
        <v>21437372</v>
      </c>
      <c r="R25" s="70">
        <v>114343445</v>
      </c>
      <c r="S25" s="69"/>
      <c r="T25" s="87" t="s">
        <v>122</v>
      </c>
    </row>
    <row r="26" spans="1:20" s="71" customFormat="1" ht="13.5" customHeight="1" x14ac:dyDescent="0.2">
      <c r="A26" s="82" t="s">
        <v>146</v>
      </c>
      <c r="B26" s="68">
        <v>3</v>
      </c>
      <c r="C26" s="68">
        <v>26</v>
      </c>
      <c r="D26" s="68">
        <v>6</v>
      </c>
      <c r="E26" s="68">
        <v>35</v>
      </c>
      <c r="F26" s="68">
        <v>427</v>
      </c>
      <c r="G26" s="69"/>
      <c r="H26" s="72" t="s">
        <v>85</v>
      </c>
      <c r="I26" s="68" t="s">
        <v>85</v>
      </c>
      <c r="J26" s="68">
        <v>46</v>
      </c>
      <c r="K26" s="68">
        <v>353</v>
      </c>
      <c r="L26" s="68">
        <v>4800</v>
      </c>
      <c r="M26" s="69"/>
      <c r="N26" s="70" t="s">
        <v>85</v>
      </c>
      <c r="O26" s="70" t="s">
        <v>85</v>
      </c>
      <c r="P26" s="70">
        <v>349777</v>
      </c>
      <c r="Q26" s="70">
        <v>2680266</v>
      </c>
      <c r="R26" s="70">
        <v>126335493</v>
      </c>
      <c r="S26" s="69"/>
      <c r="T26" s="87" t="s">
        <v>121</v>
      </c>
    </row>
    <row r="27" spans="1:20" s="71" customFormat="1" ht="13.5" customHeight="1" x14ac:dyDescent="0.2">
      <c r="A27" s="82" t="s">
        <v>147</v>
      </c>
      <c r="B27" s="68">
        <v>6</v>
      </c>
      <c r="C27" s="68">
        <v>73</v>
      </c>
      <c r="D27" s="68">
        <v>21</v>
      </c>
      <c r="E27" s="68">
        <v>100</v>
      </c>
      <c r="F27" s="68">
        <v>1086</v>
      </c>
      <c r="G27" s="69"/>
      <c r="H27" s="68">
        <v>53</v>
      </c>
      <c r="I27" s="68">
        <v>1068</v>
      </c>
      <c r="J27" s="68">
        <v>272</v>
      </c>
      <c r="K27" s="68">
        <v>1392</v>
      </c>
      <c r="L27" s="68">
        <v>11415</v>
      </c>
      <c r="M27" s="69"/>
      <c r="N27" s="70">
        <v>515349</v>
      </c>
      <c r="O27" s="70">
        <v>9982008</v>
      </c>
      <c r="P27" s="70">
        <v>3101642</v>
      </c>
      <c r="Q27" s="70">
        <v>13598999</v>
      </c>
      <c r="R27" s="70">
        <v>338873641</v>
      </c>
      <c r="S27" s="69"/>
      <c r="T27" s="87" t="s">
        <v>119</v>
      </c>
    </row>
    <row r="28" spans="1:20" s="71" customFormat="1" ht="13.5" customHeight="1" x14ac:dyDescent="0.2">
      <c r="A28" s="82" t="s">
        <v>148</v>
      </c>
      <c r="B28" s="68">
        <v>10</v>
      </c>
      <c r="C28" s="68">
        <v>85</v>
      </c>
      <c r="D28" s="68">
        <v>20</v>
      </c>
      <c r="E28" s="68">
        <v>115</v>
      </c>
      <c r="F28" s="68">
        <v>1126</v>
      </c>
      <c r="G28" s="69"/>
      <c r="H28" s="68">
        <v>194</v>
      </c>
      <c r="I28" s="68">
        <v>1507</v>
      </c>
      <c r="J28" s="68">
        <v>189</v>
      </c>
      <c r="K28" s="68">
        <v>1890</v>
      </c>
      <c r="L28" s="68">
        <v>13207</v>
      </c>
      <c r="M28" s="69"/>
      <c r="N28" s="70">
        <v>2545789</v>
      </c>
      <c r="O28" s="70">
        <v>14113363</v>
      </c>
      <c r="P28" s="70">
        <v>2039914</v>
      </c>
      <c r="Q28" s="70">
        <v>18699066</v>
      </c>
      <c r="R28" s="70">
        <v>323505707</v>
      </c>
      <c r="S28" s="69"/>
      <c r="T28" s="87" t="s">
        <v>122</v>
      </c>
    </row>
    <row r="29" spans="1:20" s="71" customFormat="1" ht="13.5" customHeight="1" x14ac:dyDescent="0.2">
      <c r="A29" s="82" t="s">
        <v>149</v>
      </c>
      <c r="B29" s="68">
        <v>5</v>
      </c>
      <c r="C29" s="68">
        <v>19</v>
      </c>
      <c r="D29" s="68">
        <v>3</v>
      </c>
      <c r="E29" s="68">
        <v>27</v>
      </c>
      <c r="F29" s="68">
        <v>203</v>
      </c>
      <c r="G29" s="69"/>
      <c r="H29" s="68">
        <v>15</v>
      </c>
      <c r="I29" s="68">
        <v>135</v>
      </c>
      <c r="J29" s="68">
        <v>7</v>
      </c>
      <c r="K29" s="68">
        <v>157</v>
      </c>
      <c r="L29" s="68">
        <v>1630</v>
      </c>
      <c r="M29" s="69"/>
      <c r="N29" s="70">
        <v>97695</v>
      </c>
      <c r="O29" s="70">
        <v>1020052</v>
      </c>
      <c r="P29" s="70">
        <v>54260</v>
      </c>
      <c r="Q29" s="70">
        <v>1172007</v>
      </c>
      <c r="R29" s="70">
        <v>39922198</v>
      </c>
      <c r="S29" s="69"/>
      <c r="T29" s="87" t="s">
        <v>122</v>
      </c>
    </row>
    <row r="30" spans="1:20" s="71" customFormat="1" ht="13.5" customHeight="1" x14ac:dyDescent="0.2">
      <c r="A30" s="82" t="s">
        <v>150</v>
      </c>
      <c r="B30" s="68">
        <v>45</v>
      </c>
      <c r="C30" s="68">
        <v>16</v>
      </c>
      <c r="D30" s="68">
        <v>7</v>
      </c>
      <c r="E30" s="68">
        <v>68</v>
      </c>
      <c r="F30" s="68">
        <v>237</v>
      </c>
      <c r="G30" s="69"/>
      <c r="H30" s="68">
        <v>610</v>
      </c>
      <c r="I30" s="68" t="s">
        <v>85</v>
      </c>
      <c r="J30" s="68" t="s">
        <v>85</v>
      </c>
      <c r="K30" s="68">
        <v>993</v>
      </c>
      <c r="L30" s="68">
        <v>1830</v>
      </c>
      <c r="M30" s="69"/>
      <c r="N30" s="70">
        <v>10291861</v>
      </c>
      <c r="O30" s="70" t="s">
        <v>85</v>
      </c>
      <c r="P30" s="70" t="s">
        <v>85</v>
      </c>
      <c r="Q30" s="70">
        <v>14942739</v>
      </c>
      <c r="R30" s="70">
        <v>37822811</v>
      </c>
      <c r="S30" s="69"/>
      <c r="T30" s="87" t="s">
        <v>120</v>
      </c>
    </row>
    <row r="31" spans="1:20" s="71" customFormat="1" ht="13.5" customHeight="1" x14ac:dyDescent="0.2">
      <c r="A31" s="82" t="s">
        <v>151</v>
      </c>
      <c r="B31" s="68">
        <v>2</v>
      </c>
      <c r="C31" s="68">
        <v>17</v>
      </c>
      <c r="D31" s="68">
        <v>8</v>
      </c>
      <c r="E31" s="68">
        <v>27</v>
      </c>
      <c r="F31" s="68">
        <v>336</v>
      </c>
      <c r="G31" s="69"/>
      <c r="H31" s="72" t="s">
        <v>85</v>
      </c>
      <c r="I31" s="68" t="s">
        <v>85</v>
      </c>
      <c r="J31" s="68">
        <v>31</v>
      </c>
      <c r="K31" s="68">
        <v>238</v>
      </c>
      <c r="L31" s="68">
        <v>4058</v>
      </c>
      <c r="M31" s="69"/>
      <c r="N31" s="70" t="s">
        <v>85</v>
      </c>
      <c r="O31" s="70" t="s">
        <v>85</v>
      </c>
      <c r="P31" s="70">
        <v>292899</v>
      </c>
      <c r="Q31" s="70">
        <v>1973210</v>
      </c>
      <c r="R31" s="70">
        <v>94261527</v>
      </c>
      <c r="S31" s="69"/>
      <c r="T31" s="87" t="s">
        <v>121</v>
      </c>
    </row>
    <row r="32" spans="1:20" s="71" customFormat="1" ht="13.5" customHeight="1" x14ac:dyDescent="0.2">
      <c r="A32" s="82" t="s">
        <v>152</v>
      </c>
      <c r="B32" s="68">
        <v>56</v>
      </c>
      <c r="C32" s="68">
        <v>164</v>
      </c>
      <c r="D32" s="68">
        <v>49</v>
      </c>
      <c r="E32" s="68">
        <v>269</v>
      </c>
      <c r="F32" s="68">
        <v>1963</v>
      </c>
      <c r="G32" s="69"/>
      <c r="H32" s="68">
        <v>1196</v>
      </c>
      <c r="I32" s="68">
        <v>2390</v>
      </c>
      <c r="J32" s="68">
        <v>359</v>
      </c>
      <c r="K32" s="68">
        <v>3945</v>
      </c>
      <c r="L32" s="68">
        <v>23292</v>
      </c>
      <c r="M32" s="69"/>
      <c r="N32" s="70">
        <v>17394416</v>
      </c>
      <c r="O32" s="70">
        <v>24883303</v>
      </c>
      <c r="P32" s="70">
        <v>3734894</v>
      </c>
      <c r="Q32" s="70">
        <v>46012613</v>
      </c>
      <c r="R32" s="70">
        <v>644163893</v>
      </c>
      <c r="S32" s="69"/>
      <c r="T32" s="87" t="s">
        <v>122</v>
      </c>
    </row>
    <row r="33" spans="1:20" s="71" customFormat="1" ht="13.5" customHeight="1" x14ac:dyDescent="0.2">
      <c r="A33" s="82" t="s">
        <v>153</v>
      </c>
      <c r="B33" s="68">
        <v>41</v>
      </c>
      <c r="C33" s="68">
        <v>554</v>
      </c>
      <c r="D33" s="68">
        <v>134</v>
      </c>
      <c r="E33" s="68">
        <v>729</v>
      </c>
      <c r="F33" s="68">
        <v>9464</v>
      </c>
      <c r="G33" s="69"/>
      <c r="H33" s="68">
        <v>920</v>
      </c>
      <c r="I33" s="68">
        <v>12488</v>
      </c>
      <c r="J33" s="68">
        <v>2700</v>
      </c>
      <c r="K33" s="68">
        <v>16108</v>
      </c>
      <c r="L33" s="68">
        <v>149750</v>
      </c>
      <c r="M33" s="69"/>
      <c r="N33" s="70">
        <v>14154160</v>
      </c>
      <c r="O33" s="70">
        <v>158508304</v>
      </c>
      <c r="P33" s="70">
        <v>38114859</v>
      </c>
      <c r="Q33" s="70">
        <v>210777323</v>
      </c>
      <c r="R33" s="70">
        <v>5885823406</v>
      </c>
      <c r="S33" s="69"/>
      <c r="T33" s="87" t="s">
        <v>119</v>
      </c>
    </row>
    <row r="34" spans="1:20" s="71" customFormat="1" ht="13.5" customHeight="1" x14ac:dyDescent="0.2">
      <c r="A34" s="82" t="s">
        <v>154</v>
      </c>
      <c r="B34" s="68">
        <v>2</v>
      </c>
      <c r="C34" s="68">
        <v>24</v>
      </c>
      <c r="D34" s="68">
        <v>8</v>
      </c>
      <c r="E34" s="68">
        <v>34</v>
      </c>
      <c r="F34" s="68">
        <v>426</v>
      </c>
      <c r="G34" s="69"/>
      <c r="H34" s="72" t="s">
        <v>85</v>
      </c>
      <c r="I34" s="68" t="s">
        <v>85</v>
      </c>
      <c r="J34" s="68">
        <v>54</v>
      </c>
      <c r="K34" s="68">
        <v>429</v>
      </c>
      <c r="L34" s="68">
        <v>4031</v>
      </c>
      <c r="M34" s="69"/>
      <c r="N34" s="70" t="s">
        <v>85</v>
      </c>
      <c r="O34" s="70" t="s">
        <v>85</v>
      </c>
      <c r="P34" s="70">
        <v>546298</v>
      </c>
      <c r="Q34" s="70">
        <v>4028845</v>
      </c>
      <c r="R34" s="70">
        <v>134401298</v>
      </c>
      <c r="S34" s="69"/>
      <c r="T34" s="87" t="s">
        <v>121</v>
      </c>
    </row>
    <row r="35" spans="1:20" s="71" customFormat="1" ht="13.5" customHeight="1" x14ac:dyDescent="0.2">
      <c r="A35" s="82" t="s">
        <v>155</v>
      </c>
      <c r="B35" s="68">
        <v>32</v>
      </c>
      <c r="C35" s="68">
        <v>79</v>
      </c>
      <c r="D35" s="68">
        <v>30</v>
      </c>
      <c r="E35" s="68">
        <v>140</v>
      </c>
      <c r="F35" s="68">
        <v>1247</v>
      </c>
      <c r="G35" s="69"/>
      <c r="H35" s="68">
        <v>504</v>
      </c>
      <c r="I35" s="68">
        <v>1526</v>
      </c>
      <c r="J35" s="68">
        <v>217</v>
      </c>
      <c r="K35" s="68">
        <v>2246</v>
      </c>
      <c r="L35" s="68">
        <v>14364</v>
      </c>
      <c r="M35" s="69"/>
      <c r="N35" s="70">
        <v>5852502</v>
      </c>
      <c r="O35" s="70">
        <v>15067634</v>
      </c>
      <c r="P35" s="70">
        <v>2255647</v>
      </c>
      <c r="Q35" s="70">
        <v>23175783</v>
      </c>
      <c r="R35" s="70">
        <v>394353415</v>
      </c>
      <c r="S35" s="69"/>
      <c r="T35" s="87" t="s">
        <v>122</v>
      </c>
    </row>
    <row r="36" spans="1:20" s="71" customFormat="1" ht="13.5" customHeight="1" x14ac:dyDescent="0.2">
      <c r="A36" s="82" t="s">
        <v>156</v>
      </c>
      <c r="B36" s="68">
        <v>2</v>
      </c>
      <c r="C36" s="68">
        <v>25</v>
      </c>
      <c r="D36" s="68">
        <v>7</v>
      </c>
      <c r="E36" s="68">
        <v>34</v>
      </c>
      <c r="F36" s="68">
        <v>449</v>
      </c>
      <c r="G36" s="69"/>
      <c r="H36" s="72" t="s">
        <v>85</v>
      </c>
      <c r="I36" s="68" t="s">
        <v>85</v>
      </c>
      <c r="J36" s="68">
        <v>34</v>
      </c>
      <c r="K36" s="68">
        <v>343</v>
      </c>
      <c r="L36" s="68">
        <v>4565</v>
      </c>
      <c r="M36" s="69"/>
      <c r="N36" s="70" t="s">
        <v>85</v>
      </c>
      <c r="O36" s="70" t="s">
        <v>85</v>
      </c>
      <c r="P36" s="70">
        <v>217933</v>
      </c>
      <c r="Q36" s="70">
        <v>2416698</v>
      </c>
      <c r="R36" s="70">
        <v>140715124</v>
      </c>
      <c r="S36" s="69"/>
      <c r="T36" s="87" t="s">
        <v>121</v>
      </c>
    </row>
    <row r="37" spans="1:20" s="71" customFormat="1" ht="13.5" customHeight="1" x14ac:dyDescent="0.2">
      <c r="A37" s="82" t="s">
        <v>157</v>
      </c>
      <c r="B37" s="68">
        <v>13</v>
      </c>
      <c r="C37" s="68">
        <v>46</v>
      </c>
      <c r="D37" s="68">
        <v>18</v>
      </c>
      <c r="E37" s="68">
        <v>76</v>
      </c>
      <c r="F37" s="68">
        <v>568</v>
      </c>
      <c r="G37" s="69"/>
      <c r="H37" s="68">
        <v>83</v>
      </c>
      <c r="I37" s="68">
        <v>434</v>
      </c>
      <c r="J37" s="68">
        <v>144</v>
      </c>
      <c r="K37" s="68">
        <v>661</v>
      </c>
      <c r="L37" s="68">
        <v>5184</v>
      </c>
      <c r="M37" s="69"/>
      <c r="N37" s="70">
        <v>600073</v>
      </c>
      <c r="O37" s="70">
        <v>2897235</v>
      </c>
      <c r="P37" s="70">
        <v>1332008</v>
      </c>
      <c r="Q37" s="70">
        <v>4829316</v>
      </c>
      <c r="R37" s="70">
        <v>126588114</v>
      </c>
      <c r="S37" s="69"/>
      <c r="T37" s="87" t="s">
        <v>121</v>
      </c>
    </row>
    <row r="38" spans="1:20" s="71" customFormat="1" ht="13.5" customHeight="1" x14ac:dyDescent="0.2">
      <c r="A38" s="82" t="s">
        <v>158</v>
      </c>
      <c r="B38" s="68">
        <v>13</v>
      </c>
      <c r="C38" s="68">
        <v>70</v>
      </c>
      <c r="D38" s="68">
        <v>13</v>
      </c>
      <c r="E38" s="68">
        <v>96</v>
      </c>
      <c r="F38" s="68">
        <v>814</v>
      </c>
      <c r="G38" s="69"/>
      <c r="H38" s="68">
        <v>131</v>
      </c>
      <c r="I38" s="68">
        <v>954</v>
      </c>
      <c r="J38" s="68">
        <v>86</v>
      </c>
      <c r="K38" s="68">
        <v>1172</v>
      </c>
      <c r="L38" s="68">
        <v>11258</v>
      </c>
      <c r="M38" s="69"/>
      <c r="N38" s="70">
        <v>1320349</v>
      </c>
      <c r="O38" s="70">
        <v>8073763</v>
      </c>
      <c r="P38" s="70">
        <v>911906</v>
      </c>
      <c r="Q38" s="70">
        <v>10306018</v>
      </c>
      <c r="R38" s="70">
        <v>300831921</v>
      </c>
      <c r="S38" s="69"/>
      <c r="T38" s="87" t="s">
        <v>121</v>
      </c>
    </row>
    <row r="39" spans="1:20" s="71" customFormat="1" ht="13.5" customHeight="1" x14ac:dyDescent="0.2">
      <c r="A39" s="82" t="s">
        <v>159</v>
      </c>
      <c r="B39" s="68">
        <v>23</v>
      </c>
      <c r="C39" s="68">
        <v>83</v>
      </c>
      <c r="D39" s="68">
        <v>21</v>
      </c>
      <c r="E39" s="68">
        <v>126</v>
      </c>
      <c r="F39" s="68">
        <v>1248</v>
      </c>
      <c r="G39" s="69"/>
      <c r="H39" s="68">
        <v>300</v>
      </c>
      <c r="I39" s="68">
        <v>1260</v>
      </c>
      <c r="J39" s="68">
        <v>288</v>
      </c>
      <c r="K39" s="68">
        <v>1848</v>
      </c>
      <c r="L39" s="68">
        <v>17189</v>
      </c>
      <c r="M39" s="69"/>
      <c r="N39" s="70">
        <v>3596594</v>
      </c>
      <c r="O39" s="70">
        <v>11743886</v>
      </c>
      <c r="P39" s="70">
        <v>3073842</v>
      </c>
      <c r="Q39" s="70">
        <v>18414322</v>
      </c>
      <c r="R39" s="70">
        <v>560880320</v>
      </c>
      <c r="S39" s="69"/>
      <c r="T39" s="87" t="s">
        <v>121</v>
      </c>
    </row>
    <row r="40" spans="1:20" s="71" customFormat="1" ht="13.5" customHeight="1" x14ac:dyDescent="0.2">
      <c r="A40" s="82" t="s">
        <v>160</v>
      </c>
      <c r="B40" s="68">
        <v>2</v>
      </c>
      <c r="C40" s="68">
        <v>11</v>
      </c>
      <c r="D40" s="68">
        <v>4</v>
      </c>
      <c r="E40" s="68">
        <v>16</v>
      </c>
      <c r="F40" s="68">
        <v>210</v>
      </c>
      <c r="G40" s="69"/>
      <c r="H40" s="72" t="s">
        <v>85</v>
      </c>
      <c r="I40" s="68" t="s">
        <v>85</v>
      </c>
      <c r="J40" s="68">
        <v>8</v>
      </c>
      <c r="K40" s="68">
        <v>110</v>
      </c>
      <c r="L40" s="68">
        <v>1515</v>
      </c>
      <c r="M40" s="69"/>
      <c r="N40" s="70" t="s">
        <v>85</v>
      </c>
      <c r="O40" s="70" t="s">
        <v>85</v>
      </c>
      <c r="P40" s="70">
        <v>159947</v>
      </c>
      <c r="Q40" s="70">
        <v>872414</v>
      </c>
      <c r="R40" s="70">
        <v>36746101</v>
      </c>
      <c r="S40" s="69"/>
      <c r="T40" s="87" t="s">
        <v>122</v>
      </c>
    </row>
    <row r="41" spans="1:20" s="71" customFormat="1" ht="13.5" customHeight="1" x14ac:dyDescent="0.2">
      <c r="A41" s="82" t="s">
        <v>161</v>
      </c>
      <c r="B41" s="68">
        <v>159</v>
      </c>
      <c r="C41" s="68">
        <v>2341</v>
      </c>
      <c r="D41" s="68">
        <v>550</v>
      </c>
      <c r="E41" s="68">
        <v>3049</v>
      </c>
      <c r="F41" s="68">
        <v>39606</v>
      </c>
      <c r="G41" s="69"/>
      <c r="H41" s="68">
        <v>8557</v>
      </c>
      <c r="I41" s="68">
        <v>50683</v>
      </c>
      <c r="J41" s="68">
        <v>11659</v>
      </c>
      <c r="K41" s="68">
        <v>70899</v>
      </c>
      <c r="L41" s="68">
        <v>737610</v>
      </c>
      <c r="M41" s="69"/>
      <c r="N41" s="70">
        <v>198384089</v>
      </c>
      <c r="O41" s="70">
        <v>748784806</v>
      </c>
      <c r="P41" s="70">
        <v>477839540</v>
      </c>
      <c r="Q41" s="70">
        <v>1425008435</v>
      </c>
      <c r="R41" s="70">
        <v>37530938448</v>
      </c>
      <c r="S41" s="69"/>
      <c r="T41" s="87" t="s">
        <v>119</v>
      </c>
    </row>
    <row r="42" spans="1:20" s="71" customFormat="1" ht="13.5" customHeight="1" x14ac:dyDescent="0.2">
      <c r="A42" s="82" t="s">
        <v>162</v>
      </c>
      <c r="B42" s="68">
        <v>7</v>
      </c>
      <c r="C42" s="68">
        <v>31</v>
      </c>
      <c r="D42" s="68">
        <v>10</v>
      </c>
      <c r="E42" s="68">
        <v>47</v>
      </c>
      <c r="F42" s="68">
        <v>407</v>
      </c>
      <c r="G42" s="69"/>
      <c r="H42" s="68">
        <v>66</v>
      </c>
      <c r="I42" s="68">
        <v>215</v>
      </c>
      <c r="J42" s="68">
        <v>35</v>
      </c>
      <c r="K42" s="68">
        <v>316</v>
      </c>
      <c r="L42" s="68">
        <v>4065</v>
      </c>
      <c r="M42" s="69"/>
      <c r="N42" s="70">
        <v>437328</v>
      </c>
      <c r="O42" s="70">
        <v>1375660</v>
      </c>
      <c r="P42" s="70">
        <v>327718</v>
      </c>
      <c r="Q42" s="70">
        <v>2140706</v>
      </c>
      <c r="R42" s="70">
        <v>97847214</v>
      </c>
      <c r="S42" s="69"/>
      <c r="T42" s="87" t="s">
        <v>121</v>
      </c>
    </row>
    <row r="43" spans="1:20" s="71" customFormat="1" ht="13.5" customHeight="1" x14ac:dyDescent="0.2">
      <c r="A43" s="82" t="s">
        <v>163</v>
      </c>
      <c r="B43" s="68">
        <v>50</v>
      </c>
      <c r="C43" s="68">
        <v>40</v>
      </c>
      <c r="D43" s="68">
        <v>14</v>
      </c>
      <c r="E43" s="68">
        <v>104</v>
      </c>
      <c r="F43" s="68">
        <v>555</v>
      </c>
      <c r="G43" s="69"/>
      <c r="H43" s="68">
        <v>214</v>
      </c>
      <c r="I43" s="68">
        <v>480</v>
      </c>
      <c r="J43" s="68">
        <v>84</v>
      </c>
      <c r="K43" s="68">
        <v>779</v>
      </c>
      <c r="L43" s="68">
        <v>5443</v>
      </c>
      <c r="M43" s="69"/>
      <c r="N43" s="70">
        <v>2693590</v>
      </c>
      <c r="O43" s="70">
        <v>4052198</v>
      </c>
      <c r="P43" s="70">
        <v>779731</v>
      </c>
      <c r="Q43" s="70">
        <v>7525519</v>
      </c>
      <c r="R43" s="70">
        <v>144048903</v>
      </c>
      <c r="S43" s="69"/>
      <c r="T43" s="87" t="s">
        <v>122</v>
      </c>
    </row>
    <row r="44" spans="1:20" s="71" customFormat="1" ht="13.5" customHeight="1" x14ac:dyDescent="0.2">
      <c r="A44" s="82" t="s">
        <v>164</v>
      </c>
      <c r="B44" s="68">
        <v>5</v>
      </c>
      <c r="C44" s="68">
        <v>50</v>
      </c>
      <c r="D44" s="68">
        <v>14</v>
      </c>
      <c r="E44" s="68">
        <v>69</v>
      </c>
      <c r="F44" s="68">
        <v>751</v>
      </c>
      <c r="G44" s="69"/>
      <c r="H44" s="72" t="s">
        <v>85</v>
      </c>
      <c r="I44" s="68" t="s">
        <v>85</v>
      </c>
      <c r="J44" s="68">
        <v>90</v>
      </c>
      <c r="K44" s="68">
        <v>869</v>
      </c>
      <c r="L44" s="68">
        <v>8637</v>
      </c>
      <c r="M44" s="69"/>
      <c r="N44" s="70" t="s">
        <v>85</v>
      </c>
      <c r="O44" s="70" t="s">
        <v>85</v>
      </c>
      <c r="P44" s="70">
        <v>769588</v>
      </c>
      <c r="Q44" s="70">
        <v>7542314</v>
      </c>
      <c r="R44" s="70">
        <v>241114150</v>
      </c>
      <c r="S44" s="69"/>
      <c r="T44" s="87" t="s">
        <v>120</v>
      </c>
    </row>
    <row r="45" spans="1:20" s="71" customFormat="1" ht="13.5" customHeight="1" x14ac:dyDescent="0.2">
      <c r="A45" s="82" t="s">
        <v>165</v>
      </c>
      <c r="B45" s="68">
        <v>37</v>
      </c>
      <c r="C45" s="68">
        <v>82</v>
      </c>
      <c r="D45" s="68">
        <v>24</v>
      </c>
      <c r="E45" s="68">
        <v>143</v>
      </c>
      <c r="F45" s="68">
        <v>1147</v>
      </c>
      <c r="G45" s="69"/>
      <c r="H45" s="68">
        <v>397</v>
      </c>
      <c r="I45" s="68">
        <v>1001</v>
      </c>
      <c r="J45" s="68">
        <v>179</v>
      </c>
      <c r="K45" s="68">
        <v>1577</v>
      </c>
      <c r="L45" s="68">
        <v>12518</v>
      </c>
      <c r="M45" s="69"/>
      <c r="N45" s="70">
        <v>4316885</v>
      </c>
      <c r="O45" s="70">
        <v>9102065</v>
      </c>
      <c r="P45" s="70">
        <v>2006697</v>
      </c>
      <c r="Q45" s="70">
        <v>15425647</v>
      </c>
      <c r="R45" s="70">
        <v>368246795</v>
      </c>
      <c r="S45" s="69"/>
      <c r="T45" s="87" t="s">
        <v>120</v>
      </c>
    </row>
    <row r="46" spans="1:20" s="71" customFormat="1" ht="13.5" customHeight="1" x14ac:dyDescent="0.2">
      <c r="A46" s="82" t="s">
        <v>166</v>
      </c>
      <c r="B46" s="68">
        <v>4</v>
      </c>
      <c r="C46" s="68">
        <v>16</v>
      </c>
      <c r="D46" s="68">
        <v>6</v>
      </c>
      <c r="E46" s="68">
        <v>26</v>
      </c>
      <c r="F46" s="68">
        <v>271</v>
      </c>
      <c r="G46" s="69"/>
      <c r="H46" s="68">
        <v>55</v>
      </c>
      <c r="I46" s="68">
        <v>210</v>
      </c>
      <c r="J46" s="68">
        <v>35</v>
      </c>
      <c r="K46" s="68">
        <v>300</v>
      </c>
      <c r="L46" s="68">
        <v>3974</v>
      </c>
      <c r="M46" s="69"/>
      <c r="N46" s="70">
        <v>546099</v>
      </c>
      <c r="O46" s="70">
        <v>1438439</v>
      </c>
      <c r="P46" s="70">
        <v>121828</v>
      </c>
      <c r="Q46" s="70">
        <v>2106366</v>
      </c>
      <c r="R46" s="70">
        <v>102446520</v>
      </c>
      <c r="S46" s="69"/>
      <c r="T46" s="87" t="s">
        <v>121</v>
      </c>
    </row>
    <row r="47" spans="1:20" s="71" customFormat="1" ht="13.5" customHeight="1" x14ac:dyDescent="0.2">
      <c r="A47" s="82" t="s">
        <v>167</v>
      </c>
      <c r="B47" s="68">
        <v>3</v>
      </c>
      <c r="C47" s="68">
        <v>22</v>
      </c>
      <c r="D47" s="68">
        <v>7</v>
      </c>
      <c r="E47" s="68">
        <v>32</v>
      </c>
      <c r="F47" s="68">
        <v>293</v>
      </c>
      <c r="G47" s="69"/>
      <c r="H47" s="68">
        <v>16</v>
      </c>
      <c r="I47" s="68">
        <v>253</v>
      </c>
      <c r="J47" s="68">
        <v>43</v>
      </c>
      <c r="K47" s="68">
        <v>311</v>
      </c>
      <c r="L47" s="68">
        <v>2765</v>
      </c>
      <c r="M47" s="69"/>
      <c r="N47" s="70">
        <v>111400</v>
      </c>
      <c r="O47" s="70">
        <v>2289089</v>
      </c>
      <c r="P47" s="70">
        <v>345503</v>
      </c>
      <c r="Q47" s="70">
        <v>2745992</v>
      </c>
      <c r="R47" s="70">
        <v>75243817</v>
      </c>
      <c r="S47" s="69"/>
      <c r="T47" s="87" t="s">
        <v>120</v>
      </c>
    </row>
    <row r="48" spans="1:20" s="71" customFormat="1" ht="13.5" customHeight="1" x14ac:dyDescent="0.2">
      <c r="A48" s="82" t="s">
        <v>168</v>
      </c>
      <c r="B48" s="68">
        <v>22</v>
      </c>
      <c r="C48" s="68">
        <v>62</v>
      </c>
      <c r="D48" s="68">
        <v>18</v>
      </c>
      <c r="E48" s="68">
        <v>101</v>
      </c>
      <c r="F48" s="68">
        <v>1258</v>
      </c>
      <c r="G48" s="69"/>
      <c r="H48" s="68">
        <v>282</v>
      </c>
      <c r="I48" s="68">
        <v>1251</v>
      </c>
      <c r="J48" s="68">
        <v>263</v>
      </c>
      <c r="K48" s="68">
        <v>1796</v>
      </c>
      <c r="L48" s="68">
        <v>17812</v>
      </c>
      <c r="M48" s="69"/>
      <c r="N48" s="70">
        <v>3872815</v>
      </c>
      <c r="O48" s="70">
        <v>10434679</v>
      </c>
      <c r="P48" s="70">
        <v>2404537</v>
      </c>
      <c r="Q48" s="70">
        <v>16712031</v>
      </c>
      <c r="R48" s="70">
        <v>474743149</v>
      </c>
      <c r="S48" s="69"/>
      <c r="T48" s="87" t="s">
        <v>121</v>
      </c>
    </row>
    <row r="49" spans="1:20" s="71" customFormat="1" ht="13.5" customHeight="1" x14ac:dyDescent="0.2">
      <c r="A49" s="82" t="s">
        <v>169</v>
      </c>
      <c r="B49" s="68">
        <v>4</v>
      </c>
      <c r="C49" s="68">
        <v>6</v>
      </c>
      <c r="D49" s="68">
        <v>4</v>
      </c>
      <c r="E49" s="68">
        <v>14</v>
      </c>
      <c r="F49" s="68">
        <v>160</v>
      </c>
      <c r="G49" s="69"/>
      <c r="H49" s="68">
        <v>28</v>
      </c>
      <c r="I49" s="68">
        <v>41</v>
      </c>
      <c r="J49" s="68">
        <v>5</v>
      </c>
      <c r="K49" s="68">
        <v>74</v>
      </c>
      <c r="L49" s="68">
        <v>1114</v>
      </c>
      <c r="M49" s="69"/>
      <c r="N49" s="70">
        <v>226975</v>
      </c>
      <c r="O49" s="70">
        <v>298428</v>
      </c>
      <c r="P49" s="70">
        <v>56700</v>
      </c>
      <c r="Q49" s="70">
        <v>582103</v>
      </c>
      <c r="R49" s="70">
        <v>26028643</v>
      </c>
      <c r="S49" s="69"/>
      <c r="T49" s="87" t="s">
        <v>122</v>
      </c>
    </row>
    <row r="50" spans="1:20" s="71" customFormat="1" ht="13.5" customHeight="1" x14ac:dyDescent="0.2">
      <c r="A50" s="82" t="s">
        <v>170</v>
      </c>
      <c r="B50" s="68">
        <v>15</v>
      </c>
      <c r="C50" s="68">
        <v>34</v>
      </c>
      <c r="D50" s="68">
        <v>12</v>
      </c>
      <c r="E50" s="68">
        <v>61</v>
      </c>
      <c r="F50" s="68">
        <v>421</v>
      </c>
      <c r="G50" s="69"/>
      <c r="H50" s="68">
        <v>218</v>
      </c>
      <c r="I50" s="68">
        <v>345</v>
      </c>
      <c r="J50" s="68">
        <v>54</v>
      </c>
      <c r="K50" s="68">
        <v>616</v>
      </c>
      <c r="L50" s="68">
        <v>4601</v>
      </c>
      <c r="M50" s="69"/>
      <c r="N50" s="70">
        <v>2491860</v>
      </c>
      <c r="O50" s="70">
        <v>3251700</v>
      </c>
      <c r="P50" s="70">
        <v>902441</v>
      </c>
      <c r="Q50" s="70">
        <v>6646001</v>
      </c>
      <c r="R50" s="70">
        <v>165888980</v>
      </c>
      <c r="S50" s="69"/>
      <c r="T50" s="87" t="s">
        <v>120</v>
      </c>
    </row>
    <row r="51" spans="1:20" s="71" customFormat="1" ht="13.5" customHeight="1" x14ac:dyDescent="0.2">
      <c r="A51" s="82" t="s">
        <v>171</v>
      </c>
      <c r="B51" s="68">
        <v>1</v>
      </c>
      <c r="C51" s="68">
        <v>13</v>
      </c>
      <c r="D51" s="68">
        <v>4</v>
      </c>
      <c r="E51" s="68">
        <v>18</v>
      </c>
      <c r="F51" s="68">
        <v>193</v>
      </c>
      <c r="G51" s="69"/>
      <c r="H51" s="72" t="s">
        <v>85</v>
      </c>
      <c r="I51" s="68" t="s">
        <v>85</v>
      </c>
      <c r="J51" s="68">
        <v>17</v>
      </c>
      <c r="K51" s="68">
        <v>114</v>
      </c>
      <c r="L51" s="68">
        <v>1626</v>
      </c>
      <c r="M51" s="69"/>
      <c r="N51" s="70" t="s">
        <v>85</v>
      </c>
      <c r="O51" s="70" t="s">
        <v>85</v>
      </c>
      <c r="P51" s="70">
        <v>118781</v>
      </c>
      <c r="Q51" s="70">
        <v>777558</v>
      </c>
      <c r="R51" s="70">
        <v>36044708</v>
      </c>
      <c r="S51" s="69"/>
      <c r="T51" s="87" t="s">
        <v>121</v>
      </c>
    </row>
    <row r="52" spans="1:20" s="71" customFormat="1" ht="13.5" customHeight="1" x14ac:dyDescent="0.2">
      <c r="A52" s="82" t="s">
        <v>172</v>
      </c>
      <c r="B52" s="68">
        <v>32</v>
      </c>
      <c r="C52" s="68">
        <v>33</v>
      </c>
      <c r="D52" s="68">
        <v>12</v>
      </c>
      <c r="E52" s="68">
        <v>76</v>
      </c>
      <c r="F52" s="68">
        <v>300</v>
      </c>
      <c r="G52" s="69"/>
      <c r="H52" s="68">
        <v>271</v>
      </c>
      <c r="I52" s="68">
        <v>432</v>
      </c>
      <c r="J52" s="68">
        <v>60</v>
      </c>
      <c r="K52" s="68">
        <v>763</v>
      </c>
      <c r="L52" s="68">
        <v>3201</v>
      </c>
      <c r="M52" s="69"/>
      <c r="N52" s="70">
        <v>3406839</v>
      </c>
      <c r="O52" s="70">
        <v>4212562</v>
      </c>
      <c r="P52" s="70">
        <v>1001298</v>
      </c>
      <c r="Q52" s="70">
        <v>8620699</v>
      </c>
      <c r="R52" s="70">
        <v>93778294</v>
      </c>
      <c r="S52" s="69"/>
      <c r="T52" s="87" t="s">
        <v>120</v>
      </c>
    </row>
    <row r="53" spans="1:20" s="71" customFormat="1" ht="13.5" customHeight="1" x14ac:dyDescent="0.2">
      <c r="A53" s="82" t="s">
        <v>173</v>
      </c>
      <c r="B53" s="68">
        <v>30</v>
      </c>
      <c r="C53" s="68">
        <v>7</v>
      </c>
      <c r="D53" s="68">
        <v>10</v>
      </c>
      <c r="E53" s="68">
        <v>46</v>
      </c>
      <c r="F53" s="68">
        <v>159</v>
      </c>
      <c r="G53" s="69"/>
      <c r="H53" s="68">
        <v>326</v>
      </c>
      <c r="I53" s="68">
        <v>76</v>
      </c>
      <c r="J53" s="68">
        <v>32</v>
      </c>
      <c r="K53" s="68">
        <v>433</v>
      </c>
      <c r="L53" s="68">
        <v>1316</v>
      </c>
      <c r="M53" s="69"/>
      <c r="N53" s="70">
        <v>4470074</v>
      </c>
      <c r="O53" s="70">
        <v>774069</v>
      </c>
      <c r="P53" s="70">
        <v>401578</v>
      </c>
      <c r="Q53" s="70">
        <v>5645721</v>
      </c>
      <c r="R53" s="70">
        <v>33265177</v>
      </c>
      <c r="S53" s="69"/>
      <c r="T53" s="87" t="s">
        <v>122</v>
      </c>
    </row>
    <row r="54" spans="1:20" s="71" customFormat="1" ht="13.5" customHeight="1" x14ac:dyDescent="0.2">
      <c r="A54" s="82" t="s">
        <v>174</v>
      </c>
      <c r="B54" s="68">
        <v>7</v>
      </c>
      <c r="C54" s="68">
        <v>50</v>
      </c>
      <c r="D54" s="68">
        <v>13</v>
      </c>
      <c r="E54" s="68">
        <v>69</v>
      </c>
      <c r="F54" s="68">
        <v>629</v>
      </c>
      <c r="G54" s="69"/>
      <c r="H54" s="68">
        <v>97</v>
      </c>
      <c r="I54" s="68">
        <v>491</v>
      </c>
      <c r="J54" s="68">
        <v>98</v>
      </c>
      <c r="K54" s="68">
        <v>686</v>
      </c>
      <c r="L54" s="68">
        <v>7013</v>
      </c>
      <c r="M54" s="69"/>
      <c r="N54" s="70">
        <v>972170</v>
      </c>
      <c r="O54" s="70">
        <v>3728005</v>
      </c>
      <c r="P54" s="70">
        <v>973067</v>
      </c>
      <c r="Q54" s="70">
        <v>5673242</v>
      </c>
      <c r="R54" s="70">
        <v>194251773</v>
      </c>
      <c r="S54" s="69"/>
      <c r="T54" s="87" t="s">
        <v>121</v>
      </c>
    </row>
    <row r="55" spans="1:20" s="71" customFormat="1" ht="13.5" customHeight="1" x14ac:dyDescent="0.2">
      <c r="A55" s="82" t="s">
        <v>175</v>
      </c>
      <c r="B55" s="68">
        <v>1</v>
      </c>
      <c r="C55" s="68">
        <v>12</v>
      </c>
      <c r="D55" s="68">
        <v>4</v>
      </c>
      <c r="E55" s="68">
        <v>17</v>
      </c>
      <c r="F55" s="68">
        <v>184</v>
      </c>
      <c r="G55" s="69"/>
      <c r="H55" s="72" t="s">
        <v>85</v>
      </c>
      <c r="I55" s="68" t="s">
        <v>85</v>
      </c>
      <c r="J55" s="68">
        <v>16</v>
      </c>
      <c r="K55" s="68">
        <v>111</v>
      </c>
      <c r="L55" s="68">
        <v>1376</v>
      </c>
      <c r="M55" s="69"/>
      <c r="N55" s="70" t="s">
        <v>85</v>
      </c>
      <c r="O55" s="70" t="s">
        <v>85</v>
      </c>
      <c r="P55" s="70">
        <v>216361</v>
      </c>
      <c r="Q55" s="70">
        <v>742655</v>
      </c>
      <c r="R55" s="70">
        <v>28047381</v>
      </c>
      <c r="S55" s="69"/>
      <c r="T55" s="87" t="s">
        <v>121</v>
      </c>
    </row>
    <row r="56" spans="1:20" s="71" customFormat="1" ht="13.5" customHeight="1" x14ac:dyDescent="0.2">
      <c r="A56" s="82" t="s">
        <v>176</v>
      </c>
      <c r="B56" s="68">
        <v>6</v>
      </c>
      <c r="C56" s="68">
        <v>49</v>
      </c>
      <c r="D56" s="68">
        <v>11</v>
      </c>
      <c r="E56" s="68">
        <v>67</v>
      </c>
      <c r="F56" s="68">
        <v>768</v>
      </c>
      <c r="G56" s="69"/>
      <c r="H56" s="68">
        <v>139</v>
      </c>
      <c r="I56" s="68">
        <v>781</v>
      </c>
      <c r="J56" s="68">
        <v>86</v>
      </c>
      <c r="K56" s="68">
        <v>1005</v>
      </c>
      <c r="L56" s="68">
        <v>11603</v>
      </c>
      <c r="M56" s="69"/>
      <c r="N56" s="70">
        <v>1301680</v>
      </c>
      <c r="O56" s="70">
        <v>6938093</v>
      </c>
      <c r="P56" s="70">
        <v>1086141</v>
      </c>
      <c r="Q56" s="70">
        <v>9325914</v>
      </c>
      <c r="R56" s="70">
        <v>334284102</v>
      </c>
      <c r="S56" s="69"/>
      <c r="T56" s="87" t="s">
        <v>121</v>
      </c>
    </row>
    <row r="57" spans="1:20" s="71" customFormat="1" ht="13.5" customHeight="1" x14ac:dyDescent="0.2">
      <c r="A57" s="82" t="s">
        <v>177</v>
      </c>
      <c r="B57" s="68">
        <v>7</v>
      </c>
      <c r="C57" s="68">
        <v>62</v>
      </c>
      <c r="D57" s="68">
        <v>20</v>
      </c>
      <c r="E57" s="68">
        <v>88</v>
      </c>
      <c r="F57" s="68">
        <v>959</v>
      </c>
      <c r="G57" s="69"/>
      <c r="H57" s="68">
        <v>82</v>
      </c>
      <c r="I57" s="68">
        <v>1018</v>
      </c>
      <c r="J57" s="68">
        <v>163</v>
      </c>
      <c r="K57" s="68">
        <v>1263</v>
      </c>
      <c r="L57" s="68">
        <v>14895</v>
      </c>
      <c r="M57" s="69"/>
      <c r="N57" s="70">
        <v>793869</v>
      </c>
      <c r="O57" s="70">
        <v>9483204</v>
      </c>
      <c r="P57" s="70">
        <v>1277275</v>
      </c>
      <c r="Q57" s="70">
        <v>11554348</v>
      </c>
      <c r="R57" s="70">
        <v>511473691</v>
      </c>
      <c r="S57" s="69"/>
      <c r="T57" s="87" t="s">
        <v>121</v>
      </c>
    </row>
    <row r="58" spans="1:20" s="71" customFormat="1" ht="13.5" customHeight="1" x14ac:dyDescent="0.2">
      <c r="A58" s="82" t="s">
        <v>178</v>
      </c>
      <c r="B58" s="68">
        <v>3</v>
      </c>
      <c r="C58" s="68">
        <v>5</v>
      </c>
      <c r="D58" s="68">
        <v>1</v>
      </c>
      <c r="E58" s="68">
        <v>9</v>
      </c>
      <c r="F58" s="68">
        <v>113</v>
      </c>
      <c r="G58" s="69"/>
      <c r="H58" s="68" t="s">
        <v>85</v>
      </c>
      <c r="I58" s="68">
        <v>50</v>
      </c>
      <c r="J58" s="68" t="s">
        <v>85</v>
      </c>
      <c r="K58" s="68">
        <v>81</v>
      </c>
      <c r="L58" s="68">
        <v>664</v>
      </c>
      <c r="M58" s="69"/>
      <c r="N58" s="70" t="s">
        <v>85</v>
      </c>
      <c r="O58" s="70">
        <v>325247</v>
      </c>
      <c r="P58" s="70" t="s">
        <v>85</v>
      </c>
      <c r="Q58" s="70">
        <v>690526</v>
      </c>
      <c r="R58" s="70">
        <v>16048901</v>
      </c>
      <c r="S58" s="69"/>
      <c r="T58" s="87" t="s">
        <v>122</v>
      </c>
    </row>
    <row r="59" spans="1:20" s="71" customFormat="1" ht="13.5" customHeight="1" x14ac:dyDescent="0.2">
      <c r="A59" s="82" t="s">
        <v>179</v>
      </c>
      <c r="B59" s="68">
        <v>1</v>
      </c>
      <c r="C59" s="68">
        <v>18</v>
      </c>
      <c r="D59" s="68">
        <v>2</v>
      </c>
      <c r="E59" s="68">
        <v>21</v>
      </c>
      <c r="F59" s="68">
        <v>242</v>
      </c>
      <c r="G59" s="69"/>
      <c r="H59" s="68" t="s">
        <v>85</v>
      </c>
      <c r="I59" s="68">
        <v>127</v>
      </c>
      <c r="J59" s="68" t="s">
        <v>85</v>
      </c>
      <c r="K59" s="68">
        <v>135</v>
      </c>
      <c r="L59" s="68">
        <v>1698</v>
      </c>
      <c r="M59" s="69"/>
      <c r="N59" s="70" t="s">
        <v>85</v>
      </c>
      <c r="O59" s="70">
        <v>736575</v>
      </c>
      <c r="P59" s="70" t="s">
        <v>85</v>
      </c>
      <c r="Q59" s="70">
        <v>775833</v>
      </c>
      <c r="R59" s="70">
        <v>43811085</v>
      </c>
      <c r="S59" s="69"/>
      <c r="T59" s="87" t="s">
        <v>122</v>
      </c>
    </row>
    <row r="60" spans="1:20" s="71" customFormat="1" ht="13.5" customHeight="1" x14ac:dyDescent="0.2">
      <c r="A60" s="82" t="s">
        <v>180</v>
      </c>
      <c r="B60" s="68">
        <v>7</v>
      </c>
      <c r="C60" s="68">
        <v>45</v>
      </c>
      <c r="D60" s="68">
        <v>8</v>
      </c>
      <c r="E60" s="68">
        <v>60</v>
      </c>
      <c r="F60" s="68">
        <v>661</v>
      </c>
      <c r="G60" s="69"/>
      <c r="H60" s="68" t="s">
        <v>85</v>
      </c>
      <c r="I60" s="68" t="s">
        <v>85</v>
      </c>
      <c r="J60" s="68">
        <v>84</v>
      </c>
      <c r="K60" s="68">
        <v>796</v>
      </c>
      <c r="L60" s="68">
        <v>8030</v>
      </c>
      <c r="M60" s="69"/>
      <c r="N60" s="70" t="s">
        <v>85</v>
      </c>
      <c r="O60" s="70" t="s">
        <v>85</v>
      </c>
      <c r="P60" s="70">
        <v>949496</v>
      </c>
      <c r="Q60" s="70">
        <v>7007463</v>
      </c>
      <c r="R60" s="70">
        <v>230959202</v>
      </c>
      <c r="S60" s="69"/>
      <c r="T60" s="87" t="s">
        <v>121</v>
      </c>
    </row>
    <row r="61" spans="1:20" s="71" customFormat="1" ht="13.5" customHeight="1" x14ac:dyDescent="0.2">
      <c r="A61" s="82" t="s">
        <v>181</v>
      </c>
      <c r="B61" s="68">
        <v>3</v>
      </c>
      <c r="C61" s="68">
        <v>33</v>
      </c>
      <c r="D61" s="68">
        <v>9</v>
      </c>
      <c r="E61" s="68">
        <v>45</v>
      </c>
      <c r="F61" s="68">
        <v>583</v>
      </c>
      <c r="G61" s="69"/>
      <c r="H61" s="68">
        <v>21</v>
      </c>
      <c r="I61" s="68">
        <v>415</v>
      </c>
      <c r="J61" s="68">
        <v>37</v>
      </c>
      <c r="K61" s="68">
        <v>473</v>
      </c>
      <c r="L61" s="68">
        <v>5464</v>
      </c>
      <c r="M61" s="69"/>
      <c r="N61" s="70">
        <v>104990</v>
      </c>
      <c r="O61" s="70">
        <v>3409591</v>
      </c>
      <c r="P61" s="70">
        <v>344561</v>
      </c>
      <c r="Q61" s="70">
        <v>3859142</v>
      </c>
      <c r="R61" s="70">
        <v>143215621</v>
      </c>
      <c r="S61" s="69"/>
      <c r="T61" s="87" t="s">
        <v>121</v>
      </c>
    </row>
    <row r="62" spans="1:20" s="71" customFormat="1" ht="13.5" customHeight="1" x14ac:dyDescent="0.2">
      <c r="A62" s="82" t="s">
        <v>182</v>
      </c>
      <c r="B62" s="68">
        <v>15</v>
      </c>
      <c r="C62" s="68">
        <v>56</v>
      </c>
      <c r="D62" s="68">
        <v>17</v>
      </c>
      <c r="E62" s="68">
        <v>87</v>
      </c>
      <c r="F62" s="68">
        <v>590</v>
      </c>
      <c r="G62" s="69"/>
      <c r="H62" s="68">
        <v>235</v>
      </c>
      <c r="I62" s="68">
        <v>688</v>
      </c>
      <c r="J62" s="68">
        <v>154</v>
      </c>
      <c r="K62" s="68">
        <v>1077</v>
      </c>
      <c r="L62" s="68">
        <v>6818</v>
      </c>
      <c r="M62" s="69"/>
      <c r="N62" s="70">
        <v>3570064</v>
      </c>
      <c r="O62" s="70">
        <v>6182143</v>
      </c>
      <c r="P62" s="70">
        <v>1610216</v>
      </c>
      <c r="Q62" s="70">
        <v>11362423</v>
      </c>
      <c r="R62" s="70">
        <v>177499489</v>
      </c>
      <c r="S62" s="69"/>
      <c r="T62" s="87" t="s">
        <v>122</v>
      </c>
    </row>
    <row r="63" spans="1:20" s="71" customFormat="1" ht="13.5" customHeight="1" x14ac:dyDescent="0.2">
      <c r="A63" s="82" t="s">
        <v>183</v>
      </c>
      <c r="B63" s="68">
        <v>12</v>
      </c>
      <c r="C63" s="68">
        <v>78</v>
      </c>
      <c r="D63" s="68">
        <v>17</v>
      </c>
      <c r="E63" s="68">
        <v>107</v>
      </c>
      <c r="F63" s="68">
        <v>815</v>
      </c>
      <c r="G63" s="69"/>
      <c r="H63" s="68">
        <v>142</v>
      </c>
      <c r="I63" s="68">
        <v>816</v>
      </c>
      <c r="J63" s="68">
        <v>129</v>
      </c>
      <c r="K63" s="68">
        <v>1087</v>
      </c>
      <c r="L63" s="68">
        <v>9273</v>
      </c>
      <c r="M63" s="69"/>
      <c r="N63" s="70">
        <v>1554598</v>
      </c>
      <c r="O63" s="70">
        <v>6498589</v>
      </c>
      <c r="P63" s="70">
        <v>1815507</v>
      </c>
      <c r="Q63" s="70">
        <v>9868694</v>
      </c>
      <c r="R63" s="70">
        <v>235560630</v>
      </c>
      <c r="S63" s="69"/>
      <c r="T63" s="87" t="s">
        <v>122</v>
      </c>
    </row>
    <row r="64" spans="1:20" s="71" customFormat="1" ht="13.5" customHeight="1" x14ac:dyDescent="0.2">
      <c r="A64" s="82" t="s">
        <v>184</v>
      </c>
      <c r="B64" s="68">
        <v>9</v>
      </c>
      <c r="C64" s="68">
        <v>82</v>
      </c>
      <c r="D64" s="68">
        <v>12</v>
      </c>
      <c r="E64" s="68">
        <v>102</v>
      </c>
      <c r="F64" s="68">
        <v>888</v>
      </c>
      <c r="G64" s="69"/>
      <c r="H64" s="68">
        <v>152</v>
      </c>
      <c r="I64" s="68">
        <v>1016</v>
      </c>
      <c r="J64" s="68">
        <v>158</v>
      </c>
      <c r="K64" s="68">
        <v>1326</v>
      </c>
      <c r="L64" s="68">
        <v>13438</v>
      </c>
      <c r="M64" s="69"/>
      <c r="N64" s="70">
        <v>1782024</v>
      </c>
      <c r="O64" s="70">
        <v>9557772</v>
      </c>
      <c r="P64" s="70">
        <v>1829475</v>
      </c>
      <c r="Q64" s="70">
        <v>13169271</v>
      </c>
      <c r="R64" s="70">
        <v>422987549</v>
      </c>
      <c r="S64" s="69"/>
      <c r="T64" s="87" t="s">
        <v>121</v>
      </c>
    </row>
    <row r="65" spans="1:22" s="71" customFormat="1" ht="13.5" customHeight="1" x14ac:dyDescent="0.2">
      <c r="A65" s="82" t="s">
        <v>185</v>
      </c>
      <c r="B65" s="68">
        <v>3</v>
      </c>
      <c r="C65" s="68">
        <v>16</v>
      </c>
      <c r="D65" s="68">
        <v>5</v>
      </c>
      <c r="E65" s="68">
        <v>24</v>
      </c>
      <c r="F65" s="68">
        <v>278</v>
      </c>
      <c r="G65" s="69"/>
      <c r="H65" s="72" t="s">
        <v>85</v>
      </c>
      <c r="I65" s="68" t="s">
        <v>85</v>
      </c>
      <c r="J65" s="68">
        <v>30</v>
      </c>
      <c r="K65" s="68">
        <v>190</v>
      </c>
      <c r="L65" s="68">
        <v>2144</v>
      </c>
      <c r="M65" s="69"/>
      <c r="N65" s="70" t="s">
        <v>85</v>
      </c>
      <c r="O65" s="70" t="s">
        <v>85</v>
      </c>
      <c r="P65" s="70">
        <v>213108</v>
      </c>
      <c r="Q65" s="70">
        <v>1283363</v>
      </c>
      <c r="R65" s="70">
        <v>49922206</v>
      </c>
      <c r="S65" s="69"/>
      <c r="T65" s="87" t="s">
        <v>121</v>
      </c>
    </row>
    <row r="66" spans="1:22" s="71" customFormat="1" ht="13.5" customHeight="1" x14ac:dyDescent="0.2">
      <c r="A66" s="82" t="s">
        <v>186</v>
      </c>
      <c r="B66" s="68">
        <v>5</v>
      </c>
      <c r="C66" s="68">
        <v>49</v>
      </c>
      <c r="D66" s="68">
        <v>11</v>
      </c>
      <c r="E66" s="68">
        <v>65</v>
      </c>
      <c r="F66" s="68">
        <v>610</v>
      </c>
      <c r="G66" s="69"/>
      <c r="H66" s="68">
        <v>121</v>
      </c>
      <c r="I66" s="68">
        <v>865</v>
      </c>
      <c r="J66" s="68">
        <v>75</v>
      </c>
      <c r="K66" s="68">
        <v>1061</v>
      </c>
      <c r="L66" s="68">
        <v>11926</v>
      </c>
      <c r="M66" s="69"/>
      <c r="N66" s="70">
        <v>1413628</v>
      </c>
      <c r="O66" s="70">
        <v>7485088</v>
      </c>
      <c r="P66" s="70">
        <v>1628119</v>
      </c>
      <c r="Q66" s="70">
        <v>10526835</v>
      </c>
      <c r="R66" s="70">
        <v>318765457</v>
      </c>
      <c r="S66" s="69"/>
      <c r="T66" s="87" t="s">
        <v>121</v>
      </c>
    </row>
    <row r="67" spans="1:22" s="71" customFormat="1" ht="13.5" customHeight="1" x14ac:dyDescent="0.2">
      <c r="A67" s="82" t="s">
        <v>187</v>
      </c>
      <c r="B67" s="68">
        <v>8</v>
      </c>
      <c r="C67" s="68">
        <v>36</v>
      </c>
      <c r="D67" s="68">
        <v>8</v>
      </c>
      <c r="E67" s="68">
        <v>52</v>
      </c>
      <c r="F67" s="68">
        <v>605</v>
      </c>
      <c r="G67" s="69"/>
      <c r="H67" s="68">
        <v>75</v>
      </c>
      <c r="I67" s="68">
        <v>771</v>
      </c>
      <c r="J67" s="68">
        <v>72</v>
      </c>
      <c r="K67" s="68">
        <v>917</v>
      </c>
      <c r="L67" s="68">
        <v>8271</v>
      </c>
      <c r="M67" s="69"/>
      <c r="N67" s="70">
        <v>665474</v>
      </c>
      <c r="O67" s="70">
        <v>6656114</v>
      </c>
      <c r="P67" s="70">
        <v>624667</v>
      </c>
      <c r="Q67" s="70">
        <v>7946255</v>
      </c>
      <c r="R67" s="70">
        <v>212102283</v>
      </c>
      <c r="S67" s="69"/>
      <c r="T67" s="87" t="s">
        <v>121</v>
      </c>
    </row>
    <row r="68" spans="1:22" s="71" customFormat="1" ht="13.5" customHeight="1" x14ac:dyDescent="0.2">
      <c r="A68" s="82" t="s">
        <v>188</v>
      </c>
      <c r="B68" s="68">
        <v>1</v>
      </c>
      <c r="C68" s="68">
        <v>13</v>
      </c>
      <c r="D68" s="68">
        <v>4</v>
      </c>
      <c r="E68" s="68">
        <v>18</v>
      </c>
      <c r="F68" s="68">
        <v>201</v>
      </c>
      <c r="G68" s="69"/>
      <c r="H68" s="72" t="s">
        <v>85</v>
      </c>
      <c r="I68" s="68" t="s">
        <v>85</v>
      </c>
      <c r="J68" s="68">
        <v>17</v>
      </c>
      <c r="K68" s="68">
        <v>78</v>
      </c>
      <c r="L68" s="68">
        <v>1342</v>
      </c>
      <c r="M68" s="69"/>
      <c r="N68" s="70" t="s">
        <v>85</v>
      </c>
      <c r="O68" s="70" t="s">
        <v>85</v>
      </c>
      <c r="P68" s="70">
        <v>101657</v>
      </c>
      <c r="Q68" s="70">
        <v>397411</v>
      </c>
      <c r="R68" s="70">
        <v>32749387</v>
      </c>
      <c r="S68" s="69"/>
      <c r="T68" s="87" t="s">
        <v>122</v>
      </c>
    </row>
    <row r="69" spans="1:22" s="71" customFormat="1" ht="13.5" customHeight="1" x14ac:dyDescent="0.2">
      <c r="A69" s="82" t="s">
        <v>189</v>
      </c>
      <c r="B69" s="68">
        <v>50</v>
      </c>
      <c r="C69" s="68">
        <v>234</v>
      </c>
      <c r="D69" s="68">
        <v>48</v>
      </c>
      <c r="E69" s="68">
        <v>332</v>
      </c>
      <c r="F69" s="68">
        <v>3195</v>
      </c>
      <c r="G69" s="69"/>
      <c r="H69" s="68">
        <v>1520</v>
      </c>
      <c r="I69" s="68">
        <v>5105</v>
      </c>
      <c r="J69" s="68">
        <v>910</v>
      </c>
      <c r="K69" s="68">
        <v>7535</v>
      </c>
      <c r="L69" s="68">
        <v>79604</v>
      </c>
      <c r="M69" s="69"/>
      <c r="N69" s="70">
        <v>29121533</v>
      </c>
      <c r="O69" s="70">
        <v>62060316</v>
      </c>
      <c r="P69" s="70">
        <v>12714365</v>
      </c>
      <c r="Q69" s="70">
        <v>103896214</v>
      </c>
      <c r="R69" s="70">
        <v>3324790134</v>
      </c>
      <c r="S69" s="69"/>
      <c r="T69" s="87" t="s">
        <v>121</v>
      </c>
      <c r="U69" s="88"/>
      <c r="V69" s="88"/>
    </row>
    <row r="70" spans="1:22" s="71" customFormat="1" ht="13.5" customHeight="1" x14ac:dyDescent="0.2">
      <c r="A70" s="82" t="s">
        <v>190</v>
      </c>
      <c r="B70" s="68">
        <v>58</v>
      </c>
      <c r="C70" s="68">
        <v>126</v>
      </c>
      <c r="D70" s="68">
        <v>33</v>
      </c>
      <c r="E70" s="68">
        <v>216</v>
      </c>
      <c r="F70" s="68">
        <v>1671</v>
      </c>
      <c r="G70" s="69"/>
      <c r="H70" s="68">
        <v>218</v>
      </c>
      <c r="I70" s="68">
        <v>1615</v>
      </c>
      <c r="J70" s="68">
        <v>211</v>
      </c>
      <c r="K70" s="68">
        <v>2044</v>
      </c>
      <c r="L70" s="68">
        <v>18029</v>
      </c>
      <c r="M70" s="69"/>
      <c r="N70" s="70">
        <v>2276629</v>
      </c>
      <c r="O70" s="70">
        <v>13368819</v>
      </c>
      <c r="P70" s="70">
        <v>2406551</v>
      </c>
      <c r="Q70" s="70">
        <v>18051999</v>
      </c>
      <c r="R70" s="70">
        <v>452979558</v>
      </c>
      <c r="S70" s="69"/>
      <c r="T70" s="87" t="s">
        <v>122</v>
      </c>
      <c r="U70" s="88"/>
      <c r="V70" s="88"/>
    </row>
    <row r="71" spans="1:22" s="71" customFormat="1" ht="13.5" customHeight="1" x14ac:dyDescent="0.2">
      <c r="A71" s="82" t="s">
        <v>191</v>
      </c>
      <c r="B71" s="68">
        <v>5</v>
      </c>
      <c r="C71" s="68">
        <v>23</v>
      </c>
      <c r="D71" s="68">
        <v>9</v>
      </c>
      <c r="E71" s="68">
        <v>37</v>
      </c>
      <c r="F71" s="68">
        <v>388</v>
      </c>
      <c r="G71" s="69"/>
      <c r="H71" s="68">
        <v>99</v>
      </c>
      <c r="I71" s="68">
        <v>382</v>
      </c>
      <c r="J71" s="68">
        <v>33</v>
      </c>
      <c r="K71" s="68">
        <v>514</v>
      </c>
      <c r="L71" s="68">
        <v>6693</v>
      </c>
      <c r="M71" s="69"/>
      <c r="N71" s="70">
        <v>936602</v>
      </c>
      <c r="O71" s="70">
        <v>3388814</v>
      </c>
      <c r="P71" s="70">
        <v>270407</v>
      </c>
      <c r="Q71" s="70">
        <v>4595823</v>
      </c>
      <c r="R71" s="70">
        <v>195539548</v>
      </c>
      <c r="S71" s="69"/>
      <c r="T71" s="87" t="s">
        <v>122</v>
      </c>
      <c r="U71" s="88"/>
      <c r="V71" s="88"/>
    </row>
    <row r="72" spans="1:22" s="71" customFormat="1" ht="13.5" customHeight="1" x14ac:dyDescent="0.2">
      <c r="A72" s="82" t="s">
        <v>192</v>
      </c>
      <c r="B72" s="68">
        <v>13</v>
      </c>
      <c r="C72" s="68">
        <v>53</v>
      </c>
      <c r="D72" s="68">
        <v>13</v>
      </c>
      <c r="E72" s="68">
        <v>78</v>
      </c>
      <c r="F72" s="68">
        <v>570</v>
      </c>
      <c r="G72" s="69"/>
      <c r="H72" s="68">
        <v>80</v>
      </c>
      <c r="I72" s="68">
        <v>828</v>
      </c>
      <c r="J72" s="68">
        <v>93</v>
      </c>
      <c r="K72" s="68">
        <v>1001</v>
      </c>
      <c r="L72" s="68">
        <v>4592</v>
      </c>
      <c r="M72" s="69"/>
      <c r="N72" s="70">
        <v>1230855</v>
      </c>
      <c r="O72" s="70">
        <v>8439496</v>
      </c>
      <c r="P72" s="70">
        <v>1190040</v>
      </c>
      <c r="Q72" s="70">
        <v>10860391</v>
      </c>
      <c r="R72" s="70">
        <v>100047684</v>
      </c>
      <c r="S72" s="69"/>
      <c r="T72" s="87" t="s">
        <v>120</v>
      </c>
      <c r="U72" s="88"/>
      <c r="V72" s="88"/>
    </row>
    <row r="73" spans="1:22" s="71" customFormat="1" ht="13.5" customHeight="1" x14ac:dyDescent="0.2">
      <c r="A73" s="82" t="s">
        <v>193</v>
      </c>
      <c r="B73" s="68">
        <v>3</v>
      </c>
      <c r="C73" s="68">
        <v>19</v>
      </c>
      <c r="D73" s="68">
        <v>5</v>
      </c>
      <c r="E73" s="68">
        <v>27</v>
      </c>
      <c r="F73" s="68">
        <v>316</v>
      </c>
      <c r="G73" s="69"/>
      <c r="H73" s="68">
        <v>51</v>
      </c>
      <c r="I73" s="68">
        <v>258</v>
      </c>
      <c r="J73" s="68">
        <v>39</v>
      </c>
      <c r="K73" s="68">
        <v>349</v>
      </c>
      <c r="L73" s="68">
        <v>3198</v>
      </c>
      <c r="M73" s="69"/>
      <c r="N73" s="70">
        <v>361585</v>
      </c>
      <c r="O73" s="70">
        <v>2074265</v>
      </c>
      <c r="P73" s="70">
        <v>246676</v>
      </c>
      <c r="Q73" s="70">
        <v>2682526</v>
      </c>
      <c r="R73" s="70">
        <v>70950218</v>
      </c>
      <c r="S73" s="69"/>
      <c r="T73" s="87" t="s">
        <v>121</v>
      </c>
      <c r="U73" s="88"/>
      <c r="V73" s="88"/>
    </row>
    <row r="74" spans="1:22" s="71" customFormat="1" ht="13.5" customHeight="1" x14ac:dyDescent="0.2">
      <c r="A74" s="82" t="s">
        <v>194</v>
      </c>
      <c r="B74" s="68">
        <v>10</v>
      </c>
      <c r="C74" s="68">
        <v>67</v>
      </c>
      <c r="D74" s="68">
        <v>13</v>
      </c>
      <c r="E74" s="68">
        <v>90</v>
      </c>
      <c r="F74" s="68">
        <v>848</v>
      </c>
      <c r="G74" s="69"/>
      <c r="H74" s="68">
        <v>98</v>
      </c>
      <c r="I74" s="68">
        <v>937</v>
      </c>
      <c r="J74" s="68">
        <v>82</v>
      </c>
      <c r="K74" s="68">
        <v>1116</v>
      </c>
      <c r="L74" s="68">
        <v>9747</v>
      </c>
      <c r="M74" s="69"/>
      <c r="N74" s="70">
        <v>973659</v>
      </c>
      <c r="O74" s="70">
        <v>7962907</v>
      </c>
      <c r="P74" s="70">
        <v>803575</v>
      </c>
      <c r="Q74" s="70">
        <v>9740141</v>
      </c>
      <c r="R74" s="70">
        <v>238412588</v>
      </c>
      <c r="S74" s="69"/>
      <c r="T74" s="87" t="s">
        <v>122</v>
      </c>
      <c r="U74" s="88"/>
      <c r="V74" s="88"/>
    </row>
    <row r="75" spans="1:22" s="71" customFormat="1" ht="13.5" customHeight="1" x14ac:dyDescent="0.2">
      <c r="A75" s="82" t="s">
        <v>195</v>
      </c>
      <c r="B75" s="68">
        <v>5</v>
      </c>
      <c r="C75" s="68">
        <v>25</v>
      </c>
      <c r="D75" s="68">
        <v>7</v>
      </c>
      <c r="E75" s="68">
        <v>37</v>
      </c>
      <c r="F75" s="68">
        <v>319</v>
      </c>
      <c r="G75" s="69"/>
      <c r="H75" s="68">
        <v>36</v>
      </c>
      <c r="I75" s="68">
        <v>250</v>
      </c>
      <c r="J75" s="68">
        <v>35</v>
      </c>
      <c r="K75" s="68">
        <v>321</v>
      </c>
      <c r="L75" s="68">
        <v>2971</v>
      </c>
      <c r="M75" s="69"/>
      <c r="N75" s="70">
        <v>301247</v>
      </c>
      <c r="O75" s="70">
        <v>1977623</v>
      </c>
      <c r="P75" s="70">
        <v>427347</v>
      </c>
      <c r="Q75" s="70">
        <v>2706217</v>
      </c>
      <c r="R75" s="70">
        <v>72827073</v>
      </c>
      <c r="S75" s="69"/>
      <c r="T75" s="87" t="s">
        <v>122</v>
      </c>
      <c r="U75" s="88"/>
      <c r="V75" s="88"/>
    </row>
    <row r="76" spans="1:22" s="71" customFormat="1" ht="13.5" customHeight="1" x14ac:dyDescent="0.2">
      <c r="A76" s="82" t="s">
        <v>196</v>
      </c>
      <c r="B76" s="68">
        <v>46</v>
      </c>
      <c r="C76" s="68">
        <v>1023</v>
      </c>
      <c r="D76" s="68">
        <v>216</v>
      </c>
      <c r="E76" s="68">
        <v>1285</v>
      </c>
      <c r="F76" s="68">
        <v>13864</v>
      </c>
      <c r="G76" s="69"/>
      <c r="H76" s="68">
        <v>1726</v>
      </c>
      <c r="I76" s="68">
        <v>20615</v>
      </c>
      <c r="J76" s="68">
        <v>4409</v>
      </c>
      <c r="K76" s="68">
        <v>26750</v>
      </c>
      <c r="L76" s="68">
        <v>271612</v>
      </c>
      <c r="M76" s="69"/>
      <c r="N76" s="70">
        <v>33690973</v>
      </c>
      <c r="O76" s="70">
        <v>274158857</v>
      </c>
      <c r="P76" s="70">
        <v>111314692</v>
      </c>
      <c r="Q76" s="70">
        <v>419164522</v>
      </c>
      <c r="R76" s="70">
        <v>12159312737</v>
      </c>
      <c r="S76" s="69"/>
      <c r="T76" s="87" t="s">
        <v>119</v>
      </c>
      <c r="U76" s="88"/>
      <c r="V76" s="88"/>
    </row>
    <row r="77" spans="1:22" s="71" customFormat="1" ht="13.5" customHeight="1" x14ac:dyDescent="0.2">
      <c r="A77" s="82" t="s">
        <v>197</v>
      </c>
      <c r="B77" s="68">
        <v>1</v>
      </c>
      <c r="C77" s="68">
        <v>10</v>
      </c>
      <c r="D77" s="68">
        <v>2</v>
      </c>
      <c r="E77" s="68">
        <v>13</v>
      </c>
      <c r="F77" s="68">
        <v>103</v>
      </c>
      <c r="G77" s="69"/>
      <c r="H77" s="72" t="s">
        <v>85</v>
      </c>
      <c r="I77" s="68">
        <v>55</v>
      </c>
      <c r="J77" s="68" t="s">
        <v>85</v>
      </c>
      <c r="K77" s="68">
        <v>63</v>
      </c>
      <c r="L77" s="68">
        <v>825</v>
      </c>
      <c r="M77" s="69"/>
      <c r="N77" s="70" t="s">
        <v>85</v>
      </c>
      <c r="O77" s="70">
        <v>317374</v>
      </c>
      <c r="P77" s="70" t="s">
        <v>85</v>
      </c>
      <c r="Q77" s="70">
        <v>374580</v>
      </c>
      <c r="R77" s="70">
        <v>19845631</v>
      </c>
      <c r="S77" s="69"/>
      <c r="T77" s="87" t="s">
        <v>122</v>
      </c>
      <c r="U77" s="88"/>
      <c r="V77" s="88"/>
    </row>
    <row r="78" spans="1:22" s="71" customFormat="1" ht="13.5" customHeight="1" x14ac:dyDescent="0.2">
      <c r="A78" s="82" t="s">
        <v>198</v>
      </c>
      <c r="B78" s="68">
        <v>2</v>
      </c>
      <c r="C78" s="68">
        <v>33</v>
      </c>
      <c r="D78" s="68">
        <v>11</v>
      </c>
      <c r="E78" s="68">
        <v>46</v>
      </c>
      <c r="F78" s="68">
        <v>503</v>
      </c>
      <c r="G78" s="69"/>
      <c r="H78" s="72" t="s">
        <v>85</v>
      </c>
      <c r="I78" s="68" t="s">
        <v>85</v>
      </c>
      <c r="J78" s="68">
        <v>42</v>
      </c>
      <c r="K78" s="68">
        <v>415</v>
      </c>
      <c r="L78" s="68">
        <v>4406</v>
      </c>
      <c r="M78" s="69"/>
      <c r="N78" s="70" t="s">
        <v>85</v>
      </c>
      <c r="O78" s="70" t="s">
        <v>85</v>
      </c>
      <c r="P78" s="70">
        <v>552191</v>
      </c>
      <c r="Q78" s="70">
        <v>3345886</v>
      </c>
      <c r="R78" s="70">
        <v>116476604</v>
      </c>
      <c r="S78" s="69"/>
      <c r="T78" s="87" t="s">
        <v>121</v>
      </c>
      <c r="U78" s="88"/>
      <c r="V78" s="88"/>
    </row>
    <row r="79" spans="1:22" s="71" customFormat="1" ht="13.5" customHeight="1" x14ac:dyDescent="0.2">
      <c r="A79" s="82" t="s">
        <v>199</v>
      </c>
      <c r="B79" s="68">
        <v>2</v>
      </c>
      <c r="C79" s="68">
        <v>29</v>
      </c>
      <c r="D79" s="68">
        <v>9</v>
      </c>
      <c r="E79" s="68">
        <v>39</v>
      </c>
      <c r="F79" s="68">
        <v>579</v>
      </c>
      <c r="G79" s="69"/>
      <c r="H79" s="72" t="s">
        <v>85</v>
      </c>
      <c r="I79" s="68" t="s">
        <v>85</v>
      </c>
      <c r="J79" s="68">
        <v>45</v>
      </c>
      <c r="K79" s="68">
        <v>300</v>
      </c>
      <c r="L79" s="68">
        <v>4740</v>
      </c>
      <c r="M79" s="69"/>
      <c r="N79" s="70" t="s">
        <v>85</v>
      </c>
      <c r="O79" s="70" t="s">
        <v>85</v>
      </c>
      <c r="P79" s="70">
        <v>516580</v>
      </c>
      <c r="Q79" s="70">
        <v>2118368</v>
      </c>
      <c r="R79" s="70">
        <v>128563381</v>
      </c>
      <c r="S79" s="69"/>
      <c r="T79" s="87" t="s">
        <v>121</v>
      </c>
      <c r="U79" s="88"/>
      <c r="V79" s="88"/>
    </row>
    <row r="80" spans="1:22" s="71" customFormat="1" ht="13.5" customHeight="1" x14ac:dyDescent="0.2">
      <c r="A80" s="82" t="s">
        <v>200</v>
      </c>
      <c r="B80" s="68">
        <v>17</v>
      </c>
      <c r="C80" s="68">
        <v>82</v>
      </c>
      <c r="D80" s="68">
        <v>25</v>
      </c>
      <c r="E80" s="68">
        <v>123</v>
      </c>
      <c r="F80" s="68">
        <v>1350</v>
      </c>
      <c r="G80" s="69"/>
      <c r="H80" s="68">
        <v>204</v>
      </c>
      <c r="I80" s="68">
        <v>1508</v>
      </c>
      <c r="J80" s="68">
        <v>254</v>
      </c>
      <c r="K80" s="68">
        <v>1966</v>
      </c>
      <c r="L80" s="68">
        <v>18913</v>
      </c>
      <c r="M80" s="69"/>
      <c r="N80" s="70">
        <v>1855838</v>
      </c>
      <c r="O80" s="70">
        <v>15258114</v>
      </c>
      <c r="P80" s="70">
        <v>3316759</v>
      </c>
      <c r="Q80" s="70">
        <v>20430711</v>
      </c>
      <c r="R80" s="70">
        <v>608440023</v>
      </c>
      <c r="S80" s="69"/>
      <c r="T80" s="87" t="s">
        <v>121</v>
      </c>
      <c r="U80" s="88"/>
      <c r="V80" s="88"/>
    </row>
    <row r="81" spans="1:22" s="71" customFormat="1" ht="13.5" customHeight="1" x14ac:dyDescent="0.2">
      <c r="A81" s="82" t="s">
        <v>201</v>
      </c>
      <c r="B81" s="68">
        <v>2</v>
      </c>
      <c r="C81" s="68">
        <v>14</v>
      </c>
      <c r="D81" s="68">
        <v>4</v>
      </c>
      <c r="E81" s="68">
        <v>20</v>
      </c>
      <c r="F81" s="68">
        <v>250</v>
      </c>
      <c r="G81" s="69"/>
      <c r="H81" s="72" t="s">
        <v>85</v>
      </c>
      <c r="I81" s="68" t="s">
        <v>85</v>
      </c>
      <c r="J81" s="68">
        <v>30</v>
      </c>
      <c r="K81" s="68">
        <v>244</v>
      </c>
      <c r="L81" s="68">
        <v>2542</v>
      </c>
      <c r="M81" s="69"/>
      <c r="N81" s="70" t="s">
        <v>85</v>
      </c>
      <c r="O81" s="70" t="s">
        <v>85</v>
      </c>
      <c r="P81" s="70">
        <v>244848</v>
      </c>
      <c r="Q81" s="70">
        <v>1717883</v>
      </c>
      <c r="R81" s="70">
        <v>61201423</v>
      </c>
      <c r="S81" s="69"/>
      <c r="T81" s="87" t="s">
        <v>121</v>
      </c>
      <c r="U81" s="88"/>
      <c r="V81" s="88"/>
    </row>
    <row r="82" spans="1:22" s="71" customFormat="1" ht="13.5" customHeight="1" x14ac:dyDescent="0.2">
      <c r="A82" s="82" t="s">
        <v>202</v>
      </c>
      <c r="B82" s="68">
        <v>6</v>
      </c>
      <c r="C82" s="68">
        <v>31</v>
      </c>
      <c r="D82" s="68">
        <v>12</v>
      </c>
      <c r="E82" s="68">
        <v>49</v>
      </c>
      <c r="F82" s="68">
        <v>391</v>
      </c>
      <c r="G82" s="69"/>
      <c r="H82" s="68">
        <v>87</v>
      </c>
      <c r="I82" s="68">
        <v>398</v>
      </c>
      <c r="J82" s="68">
        <v>41</v>
      </c>
      <c r="K82" s="68">
        <v>526</v>
      </c>
      <c r="L82" s="68">
        <v>8236</v>
      </c>
      <c r="M82" s="69"/>
      <c r="N82" s="70">
        <v>820196</v>
      </c>
      <c r="O82" s="70">
        <v>2568082</v>
      </c>
      <c r="P82" s="70">
        <v>318259</v>
      </c>
      <c r="Q82" s="70">
        <v>3706537</v>
      </c>
      <c r="R82" s="70">
        <v>249299188</v>
      </c>
      <c r="S82" s="69"/>
      <c r="T82" s="87" t="s">
        <v>122</v>
      </c>
      <c r="U82" s="88"/>
      <c r="V82" s="88"/>
    </row>
    <row r="83" spans="1:22" s="71" customFormat="1" ht="13.5" customHeight="1" x14ac:dyDescent="0.2">
      <c r="A83" s="82" t="s">
        <v>203</v>
      </c>
      <c r="B83" s="68">
        <v>127</v>
      </c>
      <c r="C83" s="68">
        <v>448</v>
      </c>
      <c r="D83" s="68">
        <v>127</v>
      </c>
      <c r="E83" s="68">
        <v>702</v>
      </c>
      <c r="F83" s="68">
        <v>5274</v>
      </c>
      <c r="G83" s="69"/>
      <c r="H83" s="68">
        <v>1904</v>
      </c>
      <c r="I83" s="68">
        <v>7169</v>
      </c>
      <c r="J83" s="68">
        <v>1001</v>
      </c>
      <c r="K83" s="68">
        <v>10075</v>
      </c>
      <c r="L83" s="68">
        <v>76609</v>
      </c>
      <c r="M83" s="69"/>
      <c r="N83" s="70">
        <v>24396392</v>
      </c>
      <c r="O83" s="70">
        <v>70337441</v>
      </c>
      <c r="P83" s="70">
        <v>12328669</v>
      </c>
      <c r="Q83" s="70">
        <v>107062502</v>
      </c>
      <c r="R83" s="70">
        <v>2482750831</v>
      </c>
      <c r="S83" s="69"/>
      <c r="T83" s="87" t="s">
        <v>120</v>
      </c>
      <c r="U83" s="88"/>
      <c r="V83" s="88"/>
    </row>
    <row r="84" spans="1:22" s="71" customFormat="1" ht="13.5" customHeight="1" x14ac:dyDescent="0.2">
      <c r="A84" s="82" t="s">
        <v>204</v>
      </c>
      <c r="B84" s="68">
        <v>16</v>
      </c>
      <c r="C84" s="68">
        <v>162</v>
      </c>
      <c r="D84" s="68">
        <v>50</v>
      </c>
      <c r="E84" s="68">
        <v>229</v>
      </c>
      <c r="F84" s="68">
        <v>2634</v>
      </c>
      <c r="G84" s="69"/>
      <c r="H84" s="68">
        <v>193</v>
      </c>
      <c r="I84" s="68">
        <v>3398</v>
      </c>
      <c r="J84" s="68">
        <v>1897</v>
      </c>
      <c r="K84" s="68">
        <v>5487</v>
      </c>
      <c r="L84" s="68">
        <v>31034</v>
      </c>
      <c r="M84" s="69"/>
      <c r="N84" s="70">
        <v>2506644</v>
      </c>
      <c r="O84" s="70">
        <v>39265374</v>
      </c>
      <c r="P84" s="70">
        <v>41168766</v>
      </c>
      <c r="Q84" s="70">
        <v>82940784</v>
      </c>
      <c r="R84" s="70">
        <v>1145784286</v>
      </c>
      <c r="S84" s="69"/>
      <c r="T84" s="87" t="s">
        <v>119</v>
      </c>
      <c r="U84" s="88"/>
      <c r="V84" s="88"/>
    </row>
    <row r="85" spans="1:22" s="71" customFormat="1" ht="13.5" customHeight="1" x14ac:dyDescent="0.2">
      <c r="A85" s="82" t="s">
        <v>205</v>
      </c>
      <c r="B85" s="68">
        <v>8</v>
      </c>
      <c r="C85" s="68">
        <v>85</v>
      </c>
      <c r="D85" s="68">
        <v>30</v>
      </c>
      <c r="E85" s="68">
        <v>123</v>
      </c>
      <c r="F85" s="68">
        <v>1706</v>
      </c>
      <c r="G85" s="69"/>
      <c r="H85" s="68">
        <v>78</v>
      </c>
      <c r="I85" s="68">
        <v>1788</v>
      </c>
      <c r="J85" s="68">
        <v>276</v>
      </c>
      <c r="K85" s="68">
        <v>2142</v>
      </c>
      <c r="L85" s="68">
        <v>18445</v>
      </c>
      <c r="M85" s="69"/>
      <c r="N85" s="70">
        <v>732741</v>
      </c>
      <c r="O85" s="70">
        <v>17835364</v>
      </c>
      <c r="P85" s="70">
        <v>2836433</v>
      </c>
      <c r="Q85" s="70">
        <v>21404538</v>
      </c>
      <c r="R85" s="70">
        <v>574506384</v>
      </c>
      <c r="S85" s="69"/>
      <c r="T85" s="87" t="s">
        <v>122</v>
      </c>
    </row>
    <row r="86" spans="1:22" s="71" customFormat="1" ht="13.5" customHeight="1" x14ac:dyDescent="0.2">
      <c r="A86" s="82" t="s">
        <v>206</v>
      </c>
      <c r="B86" s="68">
        <v>2</v>
      </c>
      <c r="C86" s="68">
        <v>19</v>
      </c>
      <c r="D86" s="68">
        <v>6</v>
      </c>
      <c r="E86" s="68">
        <v>27</v>
      </c>
      <c r="F86" s="68">
        <v>360</v>
      </c>
      <c r="G86" s="69"/>
      <c r="H86" s="72" t="s">
        <v>85</v>
      </c>
      <c r="I86" s="68" t="s">
        <v>85</v>
      </c>
      <c r="J86" s="68">
        <v>32</v>
      </c>
      <c r="K86" s="68">
        <v>209</v>
      </c>
      <c r="L86" s="68">
        <v>3198</v>
      </c>
      <c r="M86" s="69"/>
      <c r="N86" s="70" t="s">
        <v>85</v>
      </c>
      <c r="O86" s="70" t="s">
        <v>85</v>
      </c>
      <c r="P86" s="70">
        <v>224790</v>
      </c>
      <c r="Q86" s="70">
        <v>1280501</v>
      </c>
      <c r="R86" s="70">
        <v>75167344</v>
      </c>
      <c r="S86" s="69"/>
      <c r="T86" s="87" t="s">
        <v>121</v>
      </c>
    </row>
    <row r="87" spans="1:22" s="71" customFormat="1" ht="13.5" customHeight="1" x14ac:dyDescent="0.2">
      <c r="A87" s="82" t="s">
        <v>207</v>
      </c>
      <c r="B87" s="68">
        <v>42</v>
      </c>
      <c r="C87" s="68">
        <v>288</v>
      </c>
      <c r="D87" s="68">
        <v>96</v>
      </c>
      <c r="E87" s="68">
        <v>425</v>
      </c>
      <c r="F87" s="68">
        <v>4011</v>
      </c>
      <c r="G87" s="69"/>
      <c r="H87" s="68">
        <v>785</v>
      </c>
      <c r="I87" s="68">
        <v>5608</v>
      </c>
      <c r="J87" s="68">
        <v>930</v>
      </c>
      <c r="K87" s="68">
        <v>7323</v>
      </c>
      <c r="L87" s="68">
        <v>67184</v>
      </c>
      <c r="M87" s="69"/>
      <c r="N87" s="70">
        <v>9888949</v>
      </c>
      <c r="O87" s="70">
        <v>55414400</v>
      </c>
      <c r="P87" s="70">
        <v>10090034</v>
      </c>
      <c r="Q87" s="70">
        <v>75393383</v>
      </c>
      <c r="R87" s="70">
        <v>2058361311</v>
      </c>
      <c r="S87" s="69"/>
      <c r="T87" s="87" t="s">
        <v>122</v>
      </c>
    </row>
    <row r="88" spans="1:22" s="71" customFormat="1" ht="13.5" customHeight="1" x14ac:dyDescent="0.2">
      <c r="A88" s="82" t="s">
        <v>208</v>
      </c>
      <c r="B88" s="68">
        <v>11</v>
      </c>
      <c r="C88" s="68">
        <v>60</v>
      </c>
      <c r="D88" s="68">
        <v>14</v>
      </c>
      <c r="E88" s="68">
        <v>84</v>
      </c>
      <c r="F88" s="68">
        <v>956</v>
      </c>
      <c r="G88" s="69"/>
      <c r="H88" s="68">
        <v>248</v>
      </c>
      <c r="I88" s="68">
        <v>1190</v>
      </c>
      <c r="J88" s="68">
        <v>181</v>
      </c>
      <c r="K88" s="68">
        <v>1620</v>
      </c>
      <c r="L88" s="68">
        <v>17778</v>
      </c>
      <c r="M88" s="69"/>
      <c r="N88" s="70">
        <v>2851531</v>
      </c>
      <c r="O88" s="70">
        <v>12521930</v>
      </c>
      <c r="P88" s="70">
        <v>1780542</v>
      </c>
      <c r="Q88" s="70">
        <v>17154003</v>
      </c>
      <c r="R88" s="70">
        <v>572269259</v>
      </c>
      <c r="S88" s="69"/>
      <c r="T88" s="87" t="s">
        <v>121</v>
      </c>
    </row>
    <row r="89" spans="1:22" s="71" customFormat="1" ht="13.5" customHeight="1" x14ac:dyDescent="0.2">
      <c r="A89" s="82" t="s">
        <v>209</v>
      </c>
      <c r="B89" s="68">
        <v>3</v>
      </c>
      <c r="C89" s="68">
        <v>22</v>
      </c>
      <c r="D89" s="68">
        <v>6</v>
      </c>
      <c r="E89" s="68">
        <v>31</v>
      </c>
      <c r="F89" s="68">
        <v>321</v>
      </c>
      <c r="G89" s="69"/>
      <c r="H89" s="72" t="s">
        <v>85</v>
      </c>
      <c r="I89" s="68" t="s">
        <v>85</v>
      </c>
      <c r="J89" s="68">
        <v>17</v>
      </c>
      <c r="K89" s="68">
        <v>516</v>
      </c>
      <c r="L89" s="68">
        <v>3609</v>
      </c>
      <c r="M89" s="69"/>
      <c r="N89" s="70" t="s">
        <v>85</v>
      </c>
      <c r="O89" s="70" t="s">
        <v>85</v>
      </c>
      <c r="P89" s="70">
        <v>156396</v>
      </c>
      <c r="Q89" s="70">
        <v>3881800</v>
      </c>
      <c r="R89" s="70">
        <v>98240803</v>
      </c>
      <c r="S89" s="69"/>
      <c r="T89" s="87" t="s">
        <v>122</v>
      </c>
    </row>
    <row r="90" spans="1:22" s="71" customFormat="1" ht="13.5" customHeight="1" x14ac:dyDescent="0.2">
      <c r="A90" s="82" t="s">
        <v>210</v>
      </c>
      <c r="B90" s="68">
        <v>2</v>
      </c>
      <c r="C90" s="68">
        <v>24</v>
      </c>
      <c r="D90" s="68">
        <v>8</v>
      </c>
      <c r="E90" s="68">
        <v>34</v>
      </c>
      <c r="F90" s="68">
        <v>296</v>
      </c>
      <c r="G90" s="69"/>
      <c r="H90" s="72" t="s">
        <v>85</v>
      </c>
      <c r="I90" s="68" t="s">
        <v>85</v>
      </c>
      <c r="J90" s="68">
        <v>40</v>
      </c>
      <c r="K90" s="68">
        <v>236</v>
      </c>
      <c r="L90" s="68">
        <v>2980</v>
      </c>
      <c r="M90" s="69"/>
      <c r="N90" s="70" t="s">
        <v>85</v>
      </c>
      <c r="O90" s="70" t="s">
        <v>85</v>
      </c>
      <c r="P90" s="70">
        <v>381087</v>
      </c>
      <c r="Q90" s="70">
        <v>1970335</v>
      </c>
      <c r="R90" s="70">
        <v>78279524</v>
      </c>
      <c r="S90" s="69"/>
      <c r="T90" s="87" t="s">
        <v>121</v>
      </c>
      <c r="U90" s="88"/>
      <c r="V90" s="88"/>
    </row>
    <row r="91" spans="1:22" s="71" customFormat="1" ht="13.5" customHeight="1" x14ac:dyDescent="0.2">
      <c r="A91" s="82" t="s">
        <v>211</v>
      </c>
      <c r="B91" s="68">
        <v>13</v>
      </c>
      <c r="C91" s="68">
        <v>37</v>
      </c>
      <c r="D91" s="68">
        <v>11</v>
      </c>
      <c r="E91" s="68">
        <v>61</v>
      </c>
      <c r="F91" s="68">
        <v>479</v>
      </c>
      <c r="G91" s="69"/>
      <c r="H91" s="68">
        <v>39</v>
      </c>
      <c r="I91" s="68">
        <v>436</v>
      </c>
      <c r="J91" s="68">
        <v>43</v>
      </c>
      <c r="K91" s="68">
        <v>518</v>
      </c>
      <c r="L91" s="68">
        <v>4992</v>
      </c>
      <c r="M91" s="69"/>
      <c r="N91" s="70">
        <v>248153</v>
      </c>
      <c r="O91" s="70">
        <v>3269422</v>
      </c>
      <c r="P91" s="70">
        <v>388047</v>
      </c>
      <c r="Q91" s="70">
        <v>3905622</v>
      </c>
      <c r="R91" s="70">
        <v>125594762</v>
      </c>
      <c r="S91" s="69"/>
      <c r="T91" s="87" t="s">
        <v>122</v>
      </c>
      <c r="U91" s="88"/>
      <c r="V91" s="88"/>
    </row>
    <row r="92" spans="1:22" s="71" customFormat="1" ht="13.5" customHeight="1" x14ac:dyDescent="0.2">
      <c r="A92" s="82" t="s">
        <v>212</v>
      </c>
      <c r="B92" s="73">
        <v>0</v>
      </c>
      <c r="C92" s="68">
        <v>9</v>
      </c>
      <c r="D92" s="68">
        <v>3</v>
      </c>
      <c r="E92" s="68">
        <v>12</v>
      </c>
      <c r="F92" s="68">
        <v>121</v>
      </c>
      <c r="G92" s="69"/>
      <c r="H92" s="72">
        <v>0</v>
      </c>
      <c r="I92" s="68" t="s">
        <v>85</v>
      </c>
      <c r="J92" s="68" t="s">
        <v>85</v>
      </c>
      <c r="K92" s="68">
        <v>53</v>
      </c>
      <c r="L92" s="68">
        <v>799</v>
      </c>
      <c r="M92" s="69"/>
      <c r="N92" s="74">
        <v>0</v>
      </c>
      <c r="O92" s="70" t="s">
        <v>85</v>
      </c>
      <c r="P92" s="70" t="s">
        <v>85</v>
      </c>
      <c r="Q92" s="70">
        <v>266939</v>
      </c>
      <c r="R92" s="70">
        <v>16362922</v>
      </c>
      <c r="S92" s="69"/>
      <c r="T92" s="87" t="s">
        <v>121</v>
      </c>
      <c r="U92" s="88"/>
      <c r="V92" s="88"/>
    </row>
    <row r="93" spans="1:22" s="71" customFormat="1" ht="13.5" customHeight="1" x14ac:dyDescent="0.2">
      <c r="A93" s="82" t="s">
        <v>213</v>
      </c>
      <c r="B93" s="68">
        <v>10</v>
      </c>
      <c r="C93" s="68">
        <v>40</v>
      </c>
      <c r="D93" s="68">
        <v>20</v>
      </c>
      <c r="E93" s="68">
        <v>69</v>
      </c>
      <c r="F93" s="68">
        <v>575</v>
      </c>
      <c r="G93" s="69"/>
      <c r="H93" s="68">
        <v>62</v>
      </c>
      <c r="I93" s="68">
        <v>421</v>
      </c>
      <c r="J93" s="68">
        <v>178</v>
      </c>
      <c r="K93" s="68">
        <v>661</v>
      </c>
      <c r="L93" s="68">
        <v>5702</v>
      </c>
      <c r="M93" s="69"/>
      <c r="N93" s="70">
        <v>687652</v>
      </c>
      <c r="O93" s="70">
        <v>3154940</v>
      </c>
      <c r="P93" s="70">
        <v>1610357</v>
      </c>
      <c r="Q93" s="70">
        <v>5452949</v>
      </c>
      <c r="R93" s="70">
        <v>155289116</v>
      </c>
      <c r="S93" s="69"/>
      <c r="T93" s="87" t="s">
        <v>121</v>
      </c>
      <c r="U93" s="88"/>
      <c r="V93" s="88"/>
    </row>
    <row r="94" spans="1:22" s="71" customFormat="1" ht="13.5" customHeight="1" x14ac:dyDescent="0.2">
      <c r="A94" s="82" t="s">
        <v>214</v>
      </c>
      <c r="B94" s="68">
        <v>3</v>
      </c>
      <c r="C94" s="68">
        <v>27</v>
      </c>
      <c r="D94" s="68">
        <v>8</v>
      </c>
      <c r="E94" s="68">
        <v>38</v>
      </c>
      <c r="F94" s="68">
        <v>419</v>
      </c>
      <c r="G94" s="69"/>
      <c r="H94" s="68">
        <v>55</v>
      </c>
      <c r="I94" s="68">
        <v>329</v>
      </c>
      <c r="J94" s="68">
        <v>67</v>
      </c>
      <c r="K94" s="68">
        <v>451</v>
      </c>
      <c r="L94" s="68">
        <v>4878</v>
      </c>
      <c r="M94" s="69"/>
      <c r="N94" s="70">
        <v>578429</v>
      </c>
      <c r="O94" s="70">
        <v>2347343</v>
      </c>
      <c r="P94" s="70">
        <v>658198</v>
      </c>
      <c r="Q94" s="70">
        <v>3583970</v>
      </c>
      <c r="R94" s="70">
        <v>126034519</v>
      </c>
      <c r="S94" s="69"/>
      <c r="T94" s="87" t="s">
        <v>122</v>
      </c>
    </row>
    <row r="95" spans="1:22" s="71" customFormat="1" ht="13.5" customHeight="1" x14ac:dyDescent="0.2">
      <c r="A95" s="82" t="s">
        <v>215</v>
      </c>
      <c r="B95" s="68">
        <v>5</v>
      </c>
      <c r="C95" s="68">
        <v>29</v>
      </c>
      <c r="D95" s="68">
        <v>18</v>
      </c>
      <c r="E95" s="68">
        <v>51</v>
      </c>
      <c r="F95" s="68">
        <v>469</v>
      </c>
      <c r="G95" s="69"/>
      <c r="H95" s="68">
        <v>53</v>
      </c>
      <c r="I95" s="68">
        <v>306</v>
      </c>
      <c r="J95" s="68">
        <v>60</v>
      </c>
      <c r="K95" s="68">
        <v>418</v>
      </c>
      <c r="L95" s="68">
        <v>6773</v>
      </c>
      <c r="M95" s="69"/>
      <c r="N95" s="70">
        <v>375531</v>
      </c>
      <c r="O95" s="70">
        <v>2230950</v>
      </c>
      <c r="P95" s="70">
        <v>535866</v>
      </c>
      <c r="Q95" s="70">
        <v>3142347</v>
      </c>
      <c r="R95" s="70">
        <v>183497155</v>
      </c>
      <c r="S95" s="69"/>
      <c r="T95" s="87" t="s">
        <v>121</v>
      </c>
    </row>
    <row r="96" spans="1:22" s="71" customFormat="1" ht="13.5" customHeight="1" x14ac:dyDescent="0.2">
      <c r="A96" s="82" t="s">
        <v>216</v>
      </c>
      <c r="B96" s="68">
        <v>32</v>
      </c>
      <c r="C96" s="68">
        <v>331</v>
      </c>
      <c r="D96" s="68">
        <v>112</v>
      </c>
      <c r="E96" s="68">
        <v>474</v>
      </c>
      <c r="F96" s="68">
        <v>4947</v>
      </c>
      <c r="G96" s="69"/>
      <c r="H96" s="68">
        <v>435</v>
      </c>
      <c r="I96" s="68">
        <v>7072</v>
      </c>
      <c r="J96" s="68">
        <v>2140</v>
      </c>
      <c r="K96" s="68">
        <v>9647</v>
      </c>
      <c r="L96" s="68">
        <v>62229</v>
      </c>
      <c r="M96" s="69"/>
      <c r="N96" s="70">
        <v>5576664</v>
      </c>
      <c r="O96" s="70">
        <v>83507630</v>
      </c>
      <c r="P96" s="70">
        <v>32079330</v>
      </c>
      <c r="Q96" s="70">
        <v>121163624</v>
      </c>
      <c r="R96" s="70">
        <v>2257474631</v>
      </c>
      <c r="S96" s="69"/>
      <c r="T96" s="87" t="s">
        <v>119</v>
      </c>
    </row>
    <row r="97" spans="1:20" s="71" customFormat="1" ht="13.5" customHeight="1" x14ac:dyDescent="0.2">
      <c r="A97" s="82" t="s">
        <v>217</v>
      </c>
      <c r="B97" s="68">
        <v>2</v>
      </c>
      <c r="C97" s="68">
        <v>18</v>
      </c>
      <c r="D97" s="68">
        <v>6</v>
      </c>
      <c r="E97" s="68">
        <v>26</v>
      </c>
      <c r="F97" s="68">
        <v>300</v>
      </c>
      <c r="G97" s="69"/>
      <c r="H97" s="72" t="s">
        <v>85</v>
      </c>
      <c r="I97" s="68" t="s">
        <v>85</v>
      </c>
      <c r="J97" s="68">
        <v>20</v>
      </c>
      <c r="K97" s="68">
        <v>262</v>
      </c>
      <c r="L97" s="68">
        <v>3785</v>
      </c>
      <c r="M97" s="69"/>
      <c r="N97" s="70" t="s">
        <v>85</v>
      </c>
      <c r="O97" s="70" t="s">
        <v>85</v>
      </c>
      <c r="P97" s="70">
        <v>179851</v>
      </c>
      <c r="Q97" s="70">
        <v>1780368</v>
      </c>
      <c r="R97" s="70">
        <v>96421943</v>
      </c>
      <c r="S97" s="69"/>
      <c r="T97" s="87" t="s">
        <v>121</v>
      </c>
    </row>
    <row r="98" spans="1:20" s="71" customFormat="1" ht="13.5" customHeight="1" x14ac:dyDescent="0.2">
      <c r="A98" s="82" t="s">
        <v>218</v>
      </c>
      <c r="B98" s="68">
        <v>1</v>
      </c>
      <c r="C98" s="68">
        <v>13</v>
      </c>
      <c r="D98" s="68">
        <v>5</v>
      </c>
      <c r="E98" s="68">
        <v>19</v>
      </c>
      <c r="F98" s="68">
        <v>170</v>
      </c>
      <c r="G98" s="69"/>
      <c r="H98" s="72" t="s">
        <v>85</v>
      </c>
      <c r="I98" s="68" t="s">
        <v>85</v>
      </c>
      <c r="J98" s="68">
        <v>6</v>
      </c>
      <c r="K98" s="68">
        <v>166</v>
      </c>
      <c r="L98" s="68">
        <v>1555</v>
      </c>
      <c r="M98" s="69"/>
      <c r="N98" s="70" t="s">
        <v>85</v>
      </c>
      <c r="O98" s="70" t="s">
        <v>85</v>
      </c>
      <c r="P98" s="70">
        <v>37699</v>
      </c>
      <c r="Q98" s="70">
        <v>1263438</v>
      </c>
      <c r="R98" s="70">
        <v>38792096</v>
      </c>
      <c r="S98" s="69"/>
      <c r="T98" s="87" t="s">
        <v>122</v>
      </c>
    </row>
    <row r="99" spans="1:20" s="71" customFormat="1" ht="13.5" customHeight="1" x14ac:dyDescent="0.2">
      <c r="A99" s="82" t="s">
        <v>219</v>
      </c>
      <c r="B99" s="68">
        <v>13</v>
      </c>
      <c r="C99" s="68">
        <v>101</v>
      </c>
      <c r="D99" s="68">
        <v>23</v>
      </c>
      <c r="E99" s="68">
        <v>136</v>
      </c>
      <c r="F99" s="68">
        <v>1177</v>
      </c>
      <c r="G99" s="69"/>
      <c r="H99" s="68">
        <v>284</v>
      </c>
      <c r="I99" s="68">
        <v>1603</v>
      </c>
      <c r="J99" s="68">
        <v>235</v>
      </c>
      <c r="K99" s="68">
        <v>2121</v>
      </c>
      <c r="L99" s="68">
        <v>20701</v>
      </c>
      <c r="M99" s="69"/>
      <c r="N99" s="70">
        <v>2813207</v>
      </c>
      <c r="O99" s="70">
        <v>12795467</v>
      </c>
      <c r="P99" s="70">
        <v>2735695</v>
      </c>
      <c r="Q99" s="70">
        <v>18344369</v>
      </c>
      <c r="R99" s="70">
        <v>589839902</v>
      </c>
      <c r="S99" s="69"/>
      <c r="T99" s="87" t="s">
        <v>121</v>
      </c>
    </row>
    <row r="100" spans="1:20" s="71" customFormat="1" ht="13.5" customHeight="1" x14ac:dyDescent="0.2">
      <c r="A100" s="82" t="s">
        <v>220</v>
      </c>
      <c r="B100" s="68">
        <v>17</v>
      </c>
      <c r="C100" s="68">
        <v>144</v>
      </c>
      <c r="D100" s="68">
        <v>42</v>
      </c>
      <c r="E100" s="68">
        <v>204</v>
      </c>
      <c r="F100" s="68">
        <v>2661</v>
      </c>
      <c r="G100" s="69"/>
      <c r="H100" s="68">
        <v>321</v>
      </c>
      <c r="I100" s="68">
        <v>2606</v>
      </c>
      <c r="J100" s="68">
        <v>486</v>
      </c>
      <c r="K100" s="68">
        <v>3413</v>
      </c>
      <c r="L100" s="68">
        <v>28527</v>
      </c>
      <c r="M100" s="69"/>
      <c r="N100" s="70">
        <v>4064276</v>
      </c>
      <c r="O100" s="70">
        <v>23503602</v>
      </c>
      <c r="P100" s="70">
        <v>4872297</v>
      </c>
      <c r="Q100" s="70">
        <v>32440175</v>
      </c>
      <c r="R100" s="70">
        <v>874774922</v>
      </c>
      <c r="S100" s="69"/>
      <c r="T100" s="87" t="s">
        <v>119</v>
      </c>
    </row>
    <row r="101" spans="1:20" s="79" customFormat="1" ht="13.5" customHeight="1" x14ac:dyDescent="0.2">
      <c r="A101" s="82" t="s">
        <v>221</v>
      </c>
      <c r="B101" s="75">
        <v>2</v>
      </c>
      <c r="C101" s="75">
        <v>22</v>
      </c>
      <c r="D101" s="75">
        <v>5</v>
      </c>
      <c r="E101" s="75">
        <v>28</v>
      </c>
      <c r="F101" s="75">
        <v>319</v>
      </c>
      <c r="G101" s="76"/>
      <c r="H101" s="77" t="s">
        <v>85</v>
      </c>
      <c r="I101" s="75" t="s">
        <v>85</v>
      </c>
      <c r="J101" s="75">
        <v>13</v>
      </c>
      <c r="K101" s="75">
        <v>245</v>
      </c>
      <c r="L101" s="75">
        <v>2575</v>
      </c>
      <c r="M101" s="76"/>
      <c r="N101" s="78" t="s">
        <v>85</v>
      </c>
      <c r="O101" s="78" t="s">
        <v>85</v>
      </c>
      <c r="P101" s="78">
        <v>123218</v>
      </c>
      <c r="Q101" s="78">
        <v>1942892</v>
      </c>
      <c r="R101" s="78">
        <v>66222538</v>
      </c>
      <c r="S101" s="76"/>
      <c r="T101" s="90" t="s">
        <v>121</v>
      </c>
    </row>
    <row r="102" spans="1:20" x14ac:dyDescent="0.2">
      <c r="H102" s="57"/>
      <c r="N102" s="60"/>
    </row>
    <row r="103" spans="1:20" x14ac:dyDescent="0.2">
      <c r="A103" s="56" t="s">
        <v>235</v>
      </c>
      <c r="H103" s="57"/>
      <c r="N103" s="60"/>
    </row>
    <row r="104" spans="1:20" x14ac:dyDescent="0.2">
      <c r="H104" s="57"/>
      <c r="N104" s="60"/>
    </row>
    <row r="105" spans="1:20" x14ac:dyDescent="0.2">
      <c r="A105" s="56" t="s">
        <v>232</v>
      </c>
    </row>
    <row r="106" spans="1:20" x14ac:dyDescent="0.2">
      <c r="A106" s="56" t="s">
        <v>231</v>
      </c>
    </row>
    <row r="107" spans="1:20" x14ac:dyDescent="0.2">
      <c r="A107" s="56" t="s">
        <v>229</v>
      </c>
    </row>
    <row r="108" spans="1:20" x14ac:dyDescent="0.2">
      <c r="A108" s="56" t="s">
        <v>228</v>
      </c>
    </row>
    <row r="109" spans="1:20" x14ac:dyDescent="0.2">
      <c r="A109" s="56" t="s">
        <v>230</v>
      </c>
    </row>
    <row r="110" spans="1:20" x14ac:dyDescent="0.2">
      <c r="A110" s="56" t="s">
        <v>123</v>
      </c>
    </row>
    <row r="112" spans="1:20" x14ac:dyDescent="0.2">
      <c r="A112" s="56" t="s">
        <v>118</v>
      </c>
    </row>
  </sheetData>
  <mergeCells count="5">
    <mergeCell ref="A2:T2"/>
    <mergeCell ref="A3:T3"/>
    <mergeCell ref="B5:F5"/>
    <mergeCell ref="H5:L5"/>
    <mergeCell ref="N5:R5"/>
  </mergeCells>
  <phoneticPr fontId="3" type="noConversion"/>
  <pageMargins left="0.75" right="0.75" top="0.75" bottom="1" header="0.5" footer="0.5"/>
  <pageSetup scale="85" fitToHeight="3" orientation="landscape" r:id="rId1"/>
  <headerFooter alignWithMargins="0">
    <oddFooter xml:space="preserve">&amp;L&amp;8* Leisure and Hospitality Industry;   N - Data withheld to avoid disclosing information about individual businesses;   Other notes appear on the last page of the table
Source: Minnesota Department of Employment and Economic Development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2004-10&amp;1026%</vt:lpstr>
      <vt:lpstr>2004-1026 721 722 71</vt:lpstr>
      <vt:lpstr>'2004-10&amp;1026%'!Print_Area</vt:lpstr>
      <vt:lpstr>'2004-1026 721 722 71'!Print_Area</vt:lpstr>
      <vt:lpstr>'2004-10&amp;1026%'!Print_Titles</vt:lpstr>
      <vt:lpstr>'2004-1026 721 722 71'!Print_Titles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Simmons</dc:creator>
  <cp:lastModifiedBy>wfcuser</cp:lastModifiedBy>
  <cp:lastPrinted>2006-02-08T19:30:17Z</cp:lastPrinted>
  <dcterms:created xsi:type="dcterms:W3CDTF">2005-12-08T00:12:20Z</dcterms:created>
  <dcterms:modified xsi:type="dcterms:W3CDTF">2012-07-24T19:54:20Z</dcterms:modified>
</cp:coreProperties>
</file>