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5025" windowWidth="15600" windowHeight="5115"/>
  </bookViews>
  <sheets>
    <sheet name="Plan Geral  C " sheetId="1" r:id="rId1"/>
  </sheets>
  <definedNames>
    <definedName name="_xlnm._FilterDatabase" localSheetId="0" hidden="1">'Plan Geral  C '!$C$1:$H$413</definedName>
    <definedName name="_xlnm.Print_Area" localSheetId="0">'Plan Geral  C '!$A$1:$J$408</definedName>
    <definedName name="_xlnm.Print_Titles" localSheetId="0">'Plan Geral  C '!$1:$14</definedName>
  </definedNames>
  <calcPr calcId="125725" fullCalcOnLoad="1"/>
</workbook>
</file>

<file path=xl/calcChain.xml><?xml version="1.0" encoding="utf-8"?>
<calcChain xmlns="http://schemas.openxmlformats.org/spreadsheetml/2006/main">
  <c r="J8" i="1"/>
  <c r="I109" s="1"/>
  <c r="J109" s="1"/>
  <c r="I310"/>
  <c r="J310" s="1"/>
  <c r="G51"/>
  <c r="G50"/>
  <c r="G49"/>
  <c r="G48"/>
  <c r="G383"/>
  <c r="I383"/>
  <c r="J383" s="1"/>
  <c r="I382"/>
  <c r="G381"/>
  <c r="G382"/>
  <c r="I381"/>
  <c r="G385"/>
  <c r="G386"/>
  <c r="I388"/>
  <c r="G388"/>
  <c r="I387"/>
  <c r="J387" s="1"/>
  <c r="I386"/>
  <c r="I385"/>
  <c r="G71"/>
  <c r="G380"/>
  <c r="I380"/>
  <c r="J380" s="1"/>
  <c r="I353"/>
  <c r="J353" s="1"/>
  <c r="I352"/>
  <c r="J352" s="1"/>
  <c r="I35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G258"/>
  <c r="I327"/>
  <c r="J327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4"/>
  <c r="J364" s="1"/>
  <c r="I363"/>
  <c r="J363" s="1"/>
  <c r="I362"/>
  <c r="J362" s="1"/>
  <c r="I361"/>
  <c r="J361" s="1"/>
  <c r="I360"/>
  <c r="J360" s="1"/>
  <c r="I359"/>
  <c r="J359" s="1"/>
  <c r="I358"/>
  <c r="J358" s="1"/>
  <c r="I357"/>
  <c r="J357" s="1"/>
  <c r="J365" s="1"/>
  <c r="J356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1"/>
  <c r="J271" s="1"/>
  <c r="I270"/>
  <c r="J270" s="1"/>
  <c r="I269"/>
  <c r="J269" s="1"/>
  <c r="I268"/>
  <c r="J268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198"/>
  <c r="J198" s="1"/>
  <c r="I197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G181"/>
  <c r="G179"/>
  <c r="I147"/>
  <c r="J147" s="1"/>
  <c r="I146"/>
  <c r="J146" s="1"/>
  <c r="I145"/>
  <c r="J145"/>
  <c r="I144"/>
  <c r="J144"/>
  <c r="I143"/>
  <c r="J143"/>
  <c r="I138"/>
  <c r="J138"/>
  <c r="G103"/>
  <c r="G102"/>
  <c r="I104"/>
  <c r="J104"/>
  <c r="I103"/>
  <c r="J103"/>
  <c r="I102"/>
  <c r="J102"/>
  <c r="I100"/>
  <c r="I88"/>
  <c r="J88" s="1"/>
  <c r="I87"/>
  <c r="J87" s="1"/>
  <c r="I73"/>
  <c r="J73" s="1"/>
  <c r="I58"/>
  <c r="J58" s="1"/>
  <c r="G351"/>
  <c r="I342"/>
  <c r="J342"/>
  <c r="I294"/>
  <c r="J294"/>
  <c r="I293"/>
  <c r="J293"/>
  <c r="I292"/>
  <c r="J292"/>
  <c r="I291"/>
  <c r="J291"/>
  <c r="I290"/>
  <c r="J290"/>
  <c r="I289"/>
  <c r="J289"/>
  <c r="I288"/>
  <c r="J288"/>
  <c r="I287"/>
  <c r="J287"/>
  <c r="I286"/>
  <c r="J286"/>
  <c r="I285"/>
  <c r="J285"/>
  <c r="I264"/>
  <c r="J264"/>
  <c r="I263"/>
  <c r="J263"/>
  <c r="I261"/>
  <c r="J261"/>
  <c r="I242"/>
  <c r="J242"/>
  <c r="I202"/>
  <c r="J202"/>
  <c r="G197"/>
  <c r="I185"/>
  <c r="J185" s="1"/>
  <c r="I183"/>
  <c r="J183" s="1"/>
  <c r="I182"/>
  <c r="J182" s="1"/>
  <c r="I181"/>
  <c r="J181" s="1"/>
  <c r="I180"/>
  <c r="J180" s="1"/>
  <c r="I179"/>
  <c r="I167"/>
  <c r="J167" s="1"/>
  <c r="I165"/>
  <c r="J165" s="1"/>
  <c r="I164"/>
  <c r="J164" s="1"/>
  <c r="I163"/>
  <c r="J163" s="1"/>
  <c r="I162"/>
  <c r="J162" s="1"/>
  <c r="I161"/>
  <c r="J161" s="1"/>
  <c r="I160"/>
  <c r="J160" s="1"/>
  <c r="G337"/>
  <c r="I319"/>
  <c r="J319" s="1"/>
  <c r="G100"/>
  <c r="G120"/>
  <c r="G123"/>
  <c r="G154"/>
  <c r="G151"/>
  <c r="G153"/>
  <c r="G336"/>
  <c r="G335"/>
  <c r="G133"/>
  <c r="G136"/>
  <c r="G134"/>
  <c r="G129"/>
  <c r="G135"/>
  <c r="G125"/>
  <c r="G124"/>
  <c r="G121"/>
  <c r="G99"/>
  <c r="G98"/>
  <c r="G97"/>
  <c r="G96"/>
  <c r="G95"/>
  <c r="G93"/>
  <c r="G92"/>
  <c r="G91"/>
  <c r="G90"/>
  <c r="G74"/>
  <c r="G63"/>
  <c r="I42"/>
  <c r="J42" s="1"/>
  <c r="G39"/>
  <c r="I39"/>
  <c r="I40"/>
  <c r="J40"/>
  <c r="I41"/>
  <c r="J41"/>
  <c r="I43"/>
  <c r="J43"/>
  <c r="I99"/>
  <c r="J99"/>
  <c r="I61"/>
  <c r="J61"/>
  <c r="I60"/>
  <c r="J60"/>
  <c r="I59"/>
  <c r="J59"/>
  <c r="I314"/>
  <c r="J314"/>
  <c r="I393"/>
  <c r="J393"/>
  <c r="I85"/>
  <c r="J85"/>
  <c r="I84"/>
  <c r="J84"/>
  <c r="I83"/>
  <c r="J83"/>
  <c r="I401"/>
  <c r="I397"/>
  <c r="J397" s="1"/>
  <c r="J398" s="1"/>
  <c r="J396" s="1"/>
  <c r="I329"/>
  <c r="J329" s="1"/>
  <c r="I326"/>
  <c r="J326" s="1"/>
  <c r="I323"/>
  <c r="J323" s="1"/>
  <c r="I308"/>
  <c r="J308" s="1"/>
  <c r="I316"/>
  <c r="J316" s="1"/>
  <c r="I321"/>
  <c r="J321" s="1"/>
  <c r="I322"/>
  <c r="J322" s="1"/>
  <c r="I331"/>
  <c r="J331" s="1"/>
  <c r="I330"/>
  <c r="J330" s="1"/>
  <c r="I328"/>
  <c r="J328" s="1"/>
  <c r="I325"/>
  <c r="J325" s="1"/>
  <c r="I318"/>
  <c r="J318" s="1"/>
  <c r="I324"/>
  <c r="J324" s="1"/>
  <c r="I312"/>
  <c r="J312" s="1"/>
  <c r="I307"/>
  <c r="J307" s="1"/>
  <c r="I309"/>
  <c r="J309" s="1"/>
  <c r="I311"/>
  <c r="J311" s="1"/>
  <c r="I320"/>
  <c r="J320" s="1"/>
  <c r="I313"/>
  <c r="J313" s="1"/>
  <c r="I317"/>
  <c r="J317" s="1"/>
  <c r="I306"/>
  <c r="J306" s="1"/>
  <c r="I315"/>
  <c r="J315" s="1"/>
  <c r="I394"/>
  <c r="J394" s="1"/>
  <c r="I155"/>
  <c r="J155" s="1"/>
  <c r="I154"/>
  <c r="I153"/>
  <c r="J153" s="1"/>
  <c r="I152"/>
  <c r="J152" s="1"/>
  <c r="I151"/>
  <c r="J151" s="1"/>
  <c r="I142"/>
  <c r="J142" s="1"/>
  <c r="J148" s="1"/>
  <c r="J141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I129"/>
  <c r="I125"/>
  <c r="J125" s="1"/>
  <c r="I124"/>
  <c r="J124" s="1"/>
  <c r="I123"/>
  <c r="I122"/>
  <c r="I121"/>
  <c r="J121" s="1"/>
  <c r="I120"/>
  <c r="J120" s="1"/>
  <c r="I119"/>
  <c r="I115"/>
  <c r="J115" s="1"/>
  <c r="I114"/>
  <c r="J114" s="1"/>
  <c r="I110"/>
  <c r="J110" s="1"/>
  <c r="I108"/>
  <c r="J108" s="1"/>
  <c r="I98"/>
  <c r="J98" s="1"/>
  <c r="I97"/>
  <c r="J97" s="1"/>
  <c r="I96"/>
  <c r="J96" s="1"/>
  <c r="I95"/>
  <c r="J95" s="1"/>
  <c r="I392"/>
  <c r="J392" s="1"/>
  <c r="I391"/>
  <c r="J391" s="1"/>
  <c r="I390"/>
  <c r="J390" s="1"/>
  <c r="I93"/>
  <c r="J93" s="1"/>
  <c r="I92"/>
  <c r="J92" s="1"/>
  <c r="I91"/>
  <c r="I90"/>
  <c r="J90" s="1"/>
  <c r="I81"/>
  <c r="J81" s="1"/>
  <c r="I82"/>
  <c r="J82" s="1"/>
  <c r="I80"/>
  <c r="J80" s="1"/>
  <c r="I79"/>
  <c r="J79" s="1"/>
  <c r="I74"/>
  <c r="J74" s="1"/>
  <c r="I72"/>
  <c r="J72" s="1"/>
  <c r="I71"/>
  <c r="J71" s="1"/>
  <c r="I69"/>
  <c r="J69" s="1"/>
  <c r="I68"/>
  <c r="J68" s="1"/>
  <c r="I63"/>
  <c r="J63" s="1"/>
  <c r="I56"/>
  <c r="J56" s="1"/>
  <c r="I55"/>
  <c r="J55" s="1"/>
  <c r="I54"/>
  <c r="J54" s="1"/>
  <c r="I53"/>
  <c r="J53" s="1"/>
  <c r="I51"/>
  <c r="J51" s="1"/>
  <c r="I50"/>
  <c r="J50" s="1"/>
  <c r="I49"/>
  <c r="J49" s="1"/>
  <c r="I48"/>
  <c r="J48" s="1"/>
  <c r="I37"/>
  <c r="J37" s="1"/>
  <c r="I36"/>
  <c r="J36" s="1"/>
  <c r="I35"/>
  <c r="J35" s="1"/>
  <c r="I34"/>
  <c r="J34" s="1"/>
  <c r="I29"/>
  <c r="J29" s="1"/>
  <c r="I28"/>
  <c r="J28" s="1"/>
  <c r="I27"/>
  <c r="J27" s="1"/>
  <c r="I26"/>
  <c r="J26" s="1"/>
  <c r="J30" s="1"/>
  <c r="J25" s="1"/>
  <c r="I22"/>
  <c r="J22" s="1"/>
  <c r="I21"/>
  <c r="J21" s="1"/>
  <c r="I20"/>
  <c r="J20" s="1"/>
  <c r="I19"/>
  <c r="J19" s="1"/>
  <c r="I18"/>
  <c r="J18" s="1"/>
  <c r="I17"/>
  <c r="J17" s="1"/>
  <c r="J23" s="1"/>
  <c r="J16" s="1"/>
  <c r="G17"/>
  <c r="I335"/>
  <c r="J335" s="1"/>
  <c r="I336"/>
  <c r="J336" s="1"/>
  <c r="J100"/>
  <c r="J91"/>
  <c r="J39"/>
  <c r="J351"/>
  <c r="J388"/>
  <c r="J179"/>
  <c r="J381"/>
  <c r="J154"/>
  <c r="J123"/>
  <c r="J197"/>
  <c r="J385"/>
  <c r="G119"/>
  <c r="G122"/>
  <c r="J122"/>
  <c r="G401"/>
  <c r="J401"/>
  <c r="J402" s="1"/>
  <c r="J400" s="1"/>
  <c r="G130"/>
  <c r="J130"/>
  <c r="J139" s="1"/>
  <c r="J128" s="1"/>
  <c r="J129"/>
  <c r="J119"/>
  <c r="J382"/>
  <c r="I337"/>
  <c r="J337" s="1"/>
  <c r="J386"/>
  <c r="J111" l="1"/>
  <c r="J107" s="1"/>
  <c r="J44"/>
  <c r="J32" s="1"/>
  <c r="J156"/>
  <c r="J150" s="1"/>
  <c r="J75"/>
  <c r="J66" s="1"/>
  <c r="J354"/>
  <c r="J340" s="1"/>
  <c r="J126"/>
  <c r="J118" s="1"/>
  <c r="J338"/>
  <c r="J334" s="1"/>
  <c r="J332"/>
  <c r="J305" s="1"/>
  <c r="J64"/>
  <c r="J303"/>
  <c r="J284" s="1"/>
  <c r="J116"/>
  <c r="J113" s="1"/>
  <c r="J238"/>
  <c r="J158" s="1"/>
  <c r="J282"/>
  <c r="J240" s="1"/>
  <c r="J395"/>
  <c r="J378" s="1"/>
  <c r="J46"/>
  <c r="J105"/>
  <c r="J77" s="1"/>
  <c r="J376"/>
  <c r="J367" s="1"/>
  <c r="J404" l="1"/>
  <c r="J407" l="1"/>
  <c r="J12"/>
</calcChain>
</file>

<file path=xl/sharedStrings.xml><?xml version="1.0" encoding="utf-8"?>
<sst xmlns="http://schemas.openxmlformats.org/spreadsheetml/2006/main" count="1452" uniqueCount="800">
  <si>
    <t>10.10</t>
  </si>
  <si>
    <t>C4623</t>
  </si>
  <si>
    <t>Piso podotátil interno em borracha 30x30cm, assentamento com cola vinil (fornecimento e assentamento)</t>
  </si>
  <si>
    <t>Piso tátil de alerta/direcional em placas pré-moldadas - 5MPa</t>
  </si>
  <si>
    <t>Subtotal item 10</t>
  </si>
  <si>
    <t xml:space="preserve">RODAPÉS E PEITORIS </t>
  </si>
  <si>
    <t>11.1</t>
  </si>
  <si>
    <t>74111/001</t>
  </si>
  <si>
    <t xml:space="preserve">Soleira em granito cinza andorinha, L=15cm, E=2cm </t>
  </si>
  <si>
    <t>11.2</t>
  </si>
  <si>
    <t>11.4</t>
  </si>
  <si>
    <t>MERCADO</t>
  </si>
  <si>
    <t>CP</t>
  </si>
  <si>
    <t>Roda meio em madeira (largura=10cm)</t>
  </si>
  <si>
    <t>Subtotal item 11</t>
  </si>
  <si>
    <t xml:space="preserve">PINTURA </t>
  </si>
  <si>
    <t>12.1</t>
  </si>
  <si>
    <t xml:space="preserve">Emassamento de paredes internas e externas com massa acrílica - 02 demãos </t>
  </si>
  <si>
    <t>12.2</t>
  </si>
  <si>
    <t>12.3</t>
  </si>
  <si>
    <t>73954/002</t>
  </si>
  <si>
    <t>12.4</t>
  </si>
  <si>
    <t>12.5</t>
  </si>
  <si>
    <t>74065/001</t>
  </si>
  <si>
    <t>Pintura em esmalte sintético 02 demãos em esquadrias de madeira</t>
  </si>
  <si>
    <t>73924/002</t>
  </si>
  <si>
    <t>Pintura em esmalte sintético 02 demãos em esquadrias de ferro</t>
  </si>
  <si>
    <t>Subtotal item 12</t>
  </si>
  <si>
    <t>INSTALAÇÃO ELÉTRICA E ELETRÔNICA 127/220V</t>
  </si>
  <si>
    <t>13.1.1</t>
  </si>
  <si>
    <t>13.1.2</t>
  </si>
  <si>
    <t>13.1.3</t>
  </si>
  <si>
    <t>74130/010</t>
  </si>
  <si>
    <t>13.1.4</t>
  </si>
  <si>
    <t>13.1.5</t>
  </si>
  <si>
    <t>13.1.6</t>
  </si>
  <si>
    <t>Condutor de cobre unipolar, isolação em PVC/70ºC, camada de proteção em PVC, não propagador de chamas, classe de tensão 750V, encordoamento classe 5, flexível, com as seguintes seções nominais:</t>
  </si>
  <si>
    <t>73860/008</t>
  </si>
  <si>
    <t>73860/009</t>
  </si>
  <si>
    <t>73860/010</t>
  </si>
  <si>
    <t>13.2</t>
  </si>
  <si>
    <t>INSTALAÇÕES DE REDE ESTRUTURADA</t>
  </si>
  <si>
    <t>13.2.1</t>
  </si>
  <si>
    <t>Patch Panel 19"  - 24 portas, Categoria 6</t>
  </si>
  <si>
    <t xml:space="preserve">un </t>
  </si>
  <si>
    <t xml:space="preserve">Guia de Cabos Frontal, fechado </t>
  </si>
  <si>
    <t>Guia de Cabos Traseiro</t>
  </si>
  <si>
    <t>Trava Path Panel</t>
  </si>
  <si>
    <t xml:space="preserve">Guia de Cabos Vertical, fechado </t>
  </si>
  <si>
    <t xml:space="preserve">Guia de Cabos Superior, fechado </t>
  </si>
  <si>
    <t>13.2.2</t>
  </si>
  <si>
    <t>Cabo par trançado não blindado (UTP)-4 pares 24 AWG,100 Ohms - Categoria 6</t>
  </si>
  <si>
    <t>13.2.3</t>
  </si>
  <si>
    <t>Cabos de conexões – Patch Cord ultra flexível com RJ 45 nas 2 pontas - 1,50 metros</t>
  </si>
  <si>
    <t>Cabos de conexões – Patch Cord ultra flexível com RJ 45 em 1 ponta - 1,50 metros</t>
  </si>
  <si>
    <t>Cabos de conexões – Patch cord 110 / RJ-45 1 par -1,50m</t>
  </si>
  <si>
    <t>13.2.4</t>
  </si>
  <si>
    <t>Tomada modular RJ-45 Categoria 6</t>
  </si>
  <si>
    <t>Conector de TV Tipo F (Coaxial)</t>
  </si>
  <si>
    <t>13.2.5</t>
  </si>
  <si>
    <t>74248/001</t>
  </si>
  <si>
    <t>13.2.6</t>
  </si>
  <si>
    <t>13.2.7</t>
  </si>
  <si>
    <t>13.2.8</t>
  </si>
  <si>
    <t>13.2.9</t>
  </si>
  <si>
    <t>Subtotal item 13</t>
  </si>
  <si>
    <t>14.1</t>
  </si>
  <si>
    <t>TUBULAÇÕES E CONEXÕES DE PVC RÍGIDO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</si>
  <si>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</si>
  <si>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</si>
  <si>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</si>
  <si>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</si>
  <si>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</si>
  <si>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</si>
  <si>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</si>
  <si>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</si>
  <si>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</si>
  <si>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14.1.11</t>
  </si>
  <si>
    <t>14.1.12</t>
  </si>
  <si>
    <t>14.1.13</t>
  </si>
  <si>
    <t>14.1.14</t>
  </si>
  <si>
    <t>14.1.15</t>
  </si>
  <si>
    <t>14.1.16</t>
  </si>
  <si>
    <t>14.1.17</t>
  </si>
  <si>
    <t>14.1.18</t>
  </si>
  <si>
    <t>14.1.19</t>
  </si>
  <si>
    <t>14.1.20</t>
  </si>
  <si>
    <t>14.2</t>
  </si>
  <si>
    <t>14.2.1</t>
  </si>
  <si>
    <t>14.2.2</t>
  </si>
  <si>
    <t>14.3</t>
  </si>
  <si>
    <t>DRENAGEM DE ÁGUAS PLUVIAIS</t>
  </si>
  <si>
    <t>14.3.1</t>
  </si>
  <si>
    <t>74165/004</t>
  </si>
  <si>
    <t>14.3.2</t>
  </si>
  <si>
    <t>74168/001</t>
  </si>
  <si>
    <t>ACESSÓRIOS</t>
  </si>
  <si>
    <t>Ralo hemisférico (formato abacaxi) de ferro fundido, Ø100mm</t>
  </si>
  <si>
    <t>Caixa de inspeção em alvenaria com fundo em concreto, 60x60cm</t>
  </si>
  <si>
    <t>Tampa de concreto 60x60cm para caixa de inspeção</t>
  </si>
  <si>
    <t>Caixa de ralo em alvenaria com fundo em concreto, 40x40cm</t>
  </si>
  <si>
    <t>Caixa de brita 40x40cm</t>
  </si>
  <si>
    <t>Tampa de concreto Ø60cm para poço de visita</t>
  </si>
  <si>
    <t>Subtotal item 14</t>
  </si>
  <si>
    <t>Subtotal item 15</t>
  </si>
  <si>
    <t>16.1.1</t>
  </si>
  <si>
    <t>16.1.2</t>
  </si>
  <si>
    <t>16.1.3</t>
  </si>
  <si>
    <t>74165/003</t>
  </si>
  <si>
    <t>16.1.4</t>
  </si>
  <si>
    <t>74165/002</t>
  </si>
  <si>
    <t>16.1.5</t>
  </si>
  <si>
    <t>74165/001</t>
  </si>
  <si>
    <t>16.1.6</t>
  </si>
  <si>
    <t>16.1.7</t>
  </si>
  <si>
    <t>16.1.8</t>
  </si>
  <si>
    <t>16.1.9</t>
  </si>
  <si>
    <t>16.1.10</t>
  </si>
  <si>
    <t>16.1.11</t>
  </si>
  <si>
    <t>16.1.12</t>
  </si>
  <si>
    <t>16.1.13</t>
  </si>
  <si>
    <t>16.1.14</t>
  </si>
  <si>
    <t>16.1.15</t>
  </si>
  <si>
    <t>16.1.16</t>
  </si>
  <si>
    <t>16.1.17</t>
  </si>
  <si>
    <t>16.1.18</t>
  </si>
  <si>
    <t>16.1.19</t>
  </si>
  <si>
    <t>16.1.20</t>
  </si>
  <si>
    <t>16.1.21</t>
  </si>
  <si>
    <t>16.1.22</t>
  </si>
  <si>
    <t>16.1.23</t>
  </si>
  <si>
    <t>16.1.25</t>
  </si>
  <si>
    <t>16.1.26</t>
  </si>
  <si>
    <t>Subtotal item 16</t>
  </si>
  <si>
    <t>17.1</t>
  </si>
  <si>
    <t>Subtotal item 17</t>
  </si>
  <si>
    <t xml:space="preserve">LOUÇAS E METAIS </t>
  </si>
  <si>
    <t>74193/001</t>
  </si>
  <si>
    <t>74113/001</t>
  </si>
  <si>
    <t>73949/001</t>
  </si>
  <si>
    <t>Torneira de bóia, diâmetro 25mm</t>
  </si>
  <si>
    <t>Tubo de descarga VDE, série normal, diâmetro 38 mm</t>
  </si>
  <si>
    <t>Caixa em alvenaria 100x160 cm para bombas</t>
  </si>
  <si>
    <t>73947/012</t>
  </si>
  <si>
    <t>COMERCIAL</t>
  </si>
  <si>
    <t>19.1</t>
  </si>
  <si>
    <t>19.1.1</t>
  </si>
  <si>
    <t>Subtotal item 19</t>
  </si>
  <si>
    <t>SISTEMA DE PROTEÇÃO CONTRA DESCARGAS ATMOSFÉRICAS (SPDA)</t>
  </si>
  <si>
    <t>20.1</t>
  </si>
  <si>
    <t>Caixa de inspeção, PVC de 12", com tampa de aço galvanizado,conforme detalhe no projeto</t>
  </si>
  <si>
    <t>Subtotal item 20</t>
  </si>
  <si>
    <t>SERVIÇOS DIVERSOS</t>
  </si>
  <si>
    <t>21.1</t>
  </si>
  <si>
    <t>Subtotal item 21</t>
  </si>
  <si>
    <t>SERVIÇOS FINAIS</t>
  </si>
  <si>
    <t>Limpeza final da obra</t>
  </si>
  <si>
    <t xml:space="preserve">EDIF C - Edificação principal do Proinfância C </t>
  </si>
  <si>
    <t>74071/002</t>
  </si>
  <si>
    <t>6.5</t>
  </si>
  <si>
    <t>VIDROS</t>
  </si>
  <si>
    <t>6.5.1</t>
  </si>
  <si>
    <t>Chapisco de aderência em lajes prémoldadas, platibanda e calhas</t>
  </si>
  <si>
    <t xml:space="preserve">Reboco tipo paulista para lajes, platibanda e calhas - espessura 2,0 cm </t>
  </si>
  <si>
    <t xml:space="preserve">Camada regularizadora e=3cm </t>
  </si>
  <si>
    <t>Peitoril em granito cinza, largura=17,00cm espessura variável e pingadeira</t>
  </si>
  <si>
    <t>11.3</t>
  </si>
  <si>
    <t>74111/002</t>
  </si>
  <si>
    <t>13.1</t>
  </si>
  <si>
    <t>CENTRO DE DISTRIBUIÇÃO</t>
  </si>
  <si>
    <t>ELETRODUTOS E ACESSÓRIOS</t>
  </si>
  <si>
    <t>Eletroduto PVC flexível corrugado reforçado, Ø25mm (DN 3/4"), inclusive curvas</t>
  </si>
  <si>
    <t>13.3</t>
  </si>
  <si>
    <t>CABOS E FIOS (CONDUTORES)</t>
  </si>
  <si>
    <t>13.3.1</t>
  </si>
  <si>
    <t>13.3.2</t>
  </si>
  <si>
    <t>#2,5 mm²</t>
  </si>
  <si>
    <t>13.3.3</t>
  </si>
  <si>
    <t>#4 mm²</t>
  </si>
  <si>
    <t>13.3.4</t>
  </si>
  <si>
    <t>#6 mm²</t>
  </si>
  <si>
    <t>13.3.5</t>
  </si>
  <si>
    <t>74172/001</t>
  </si>
  <si>
    <t>#10 mm²</t>
  </si>
  <si>
    <t>73860/022</t>
  </si>
  <si>
    <t>#35 mm²</t>
  </si>
  <si>
    <t>13.4</t>
  </si>
  <si>
    <t>ILUMINAÇÃO E TOMADAS</t>
  </si>
  <si>
    <t>13.4.1</t>
  </si>
  <si>
    <t>Tomada universal, circular, 2P+T, 15A/250v, cor preta, completa</t>
  </si>
  <si>
    <t>13.4.2</t>
  </si>
  <si>
    <t>Tomada universal, circular, 3P, 20A/250v, cor preta, completa</t>
  </si>
  <si>
    <t>13.4.3</t>
  </si>
  <si>
    <t>Interruptor simples 10 A, completa</t>
  </si>
  <si>
    <t>13.4.4</t>
  </si>
  <si>
    <t>Interruptor duas seções 10A por seção, completa</t>
  </si>
  <si>
    <t>13.4.5</t>
  </si>
  <si>
    <t>13.4.6</t>
  </si>
  <si>
    <t>73953/006</t>
  </si>
  <si>
    <t>Luminárias 2x32W completa</t>
  </si>
  <si>
    <t>13.4.7</t>
  </si>
  <si>
    <t>73953/002</t>
  </si>
  <si>
    <t>Luminárias 2x16 W completa</t>
  </si>
  <si>
    <t>13.4.8</t>
  </si>
  <si>
    <t>Luminária de piso</t>
  </si>
  <si>
    <t>13.4.9</t>
  </si>
  <si>
    <t>Projetor com lâmpada de vapor metálico 150W</t>
  </si>
  <si>
    <t>13.4.10</t>
  </si>
  <si>
    <t>74041/002</t>
  </si>
  <si>
    <t>Luminárias 2X32 com alaetas</t>
  </si>
  <si>
    <t>13.4.11</t>
  </si>
  <si>
    <t>74094/001</t>
  </si>
  <si>
    <t>Arandelas 60W</t>
  </si>
  <si>
    <t>13.4.12</t>
  </si>
  <si>
    <t>13.4.13</t>
  </si>
  <si>
    <t>Caixa de passagem 4x2" para interruptor e tomada</t>
  </si>
  <si>
    <t>13.4.14</t>
  </si>
  <si>
    <t>Caixa de passagem de ferro esmaltada octogonal 4x4"</t>
  </si>
  <si>
    <t>13.5</t>
  </si>
  <si>
    <t>13.5.1</t>
  </si>
  <si>
    <t>EQUIPAMENTOS PASSIVOS</t>
  </si>
  <si>
    <t>13.5.1.1</t>
  </si>
  <si>
    <t>13.5.1.2</t>
  </si>
  <si>
    <t>Switch de 24 portas</t>
  </si>
  <si>
    <t>13.5.1.3</t>
  </si>
  <si>
    <t>Bloco 110 para rack 19” 100 pares</t>
  </si>
  <si>
    <t>13.5.1.4</t>
  </si>
  <si>
    <t>13.5.1.5</t>
  </si>
  <si>
    <t>13.5.1.6</t>
  </si>
  <si>
    <t>13.5.1.7</t>
  </si>
  <si>
    <t>13.5.1.8</t>
  </si>
  <si>
    <t>13.5.2</t>
  </si>
  <si>
    <t>CABOS EM PAR TRANÇADOS</t>
  </si>
  <si>
    <t>13.5.2.1</t>
  </si>
  <si>
    <t>13.5.2.2</t>
  </si>
  <si>
    <t>13.5.2.3</t>
  </si>
  <si>
    <t>Cabo coaxial</t>
  </si>
  <si>
    <t>13.5.3</t>
  </si>
  <si>
    <t>CABOS DE CONEXÃO</t>
  </si>
  <si>
    <t>13.5.3.1</t>
  </si>
  <si>
    <t>13.5.3.2</t>
  </si>
  <si>
    <t>13.5.3.3</t>
  </si>
  <si>
    <t>13.5.3.4</t>
  </si>
  <si>
    <t>Cabos de conexões – Patch Cord ultra flexível com RJ 45 nas 2 pontas - 3,0 metros</t>
  </si>
  <si>
    <t>13.5.4</t>
  </si>
  <si>
    <t>TOMADAS</t>
  </si>
  <si>
    <t>13.5.4.1</t>
  </si>
  <si>
    <t>C4174</t>
  </si>
  <si>
    <t>13.5.4.2</t>
  </si>
  <si>
    <t>13.5.5</t>
  </si>
  <si>
    <t>CAIXAS E ACESSÓRIOS</t>
  </si>
  <si>
    <t>13.5.5.1</t>
  </si>
  <si>
    <t>73918/002</t>
  </si>
  <si>
    <t>Caixa subterrânea em alvenaria, tipo R1,60x35x50cm, com tampão em ferro fundido, conforme detalhe de projeto</t>
  </si>
  <si>
    <t>13.5.5.2</t>
  </si>
  <si>
    <t>Caixa de passagem em alvenaria 20x20 com tampa de ferro fundido</t>
  </si>
  <si>
    <t>13.5.5.3</t>
  </si>
  <si>
    <t>73918/001</t>
  </si>
  <si>
    <t>Caixa de passagem de piso 15x15 com tampa metálica aparafusada</t>
  </si>
  <si>
    <t>13.5.5.4</t>
  </si>
  <si>
    <t>13.5.6</t>
  </si>
  <si>
    <t>13.5.6.1</t>
  </si>
  <si>
    <t>13.5.6.2</t>
  </si>
  <si>
    <t xml:space="preserve">INSTALAÇÃO HIDRÁULICA </t>
  </si>
  <si>
    <t>75030/001</t>
  </si>
  <si>
    <t>75030/004</t>
  </si>
  <si>
    <t>75030/006</t>
  </si>
  <si>
    <t>Válvula de descarga p/ vaso sanitário de 1.1/2"</t>
  </si>
  <si>
    <t>74058/001</t>
  </si>
  <si>
    <t>TUBULAÇÕES E CONEXÕES DE FERRO  GALVANIZADO</t>
  </si>
  <si>
    <t>73786/004</t>
  </si>
  <si>
    <t>Tubo FG roscável, diâmetro 1.1/2" (50 mm), inclusive conexões</t>
  </si>
  <si>
    <t>73786/003</t>
  </si>
  <si>
    <t>Tubo FG roscável, diâmetro 1.1/4" (32 mm), inclusive conexões</t>
  </si>
  <si>
    <t>TUBULAÇÕES E CONEXÕES DE PVC</t>
  </si>
  <si>
    <t>14.3.1.1</t>
  </si>
  <si>
    <t>74168/002</t>
  </si>
  <si>
    <t>Tubo de PVC esgoto série R, ponta e bolsa com anel de borracha, Ø100mm, inclusive conexões</t>
  </si>
  <si>
    <t>14.3.1.2</t>
  </si>
  <si>
    <t>Tubo de PVC esgoto, tipo Vinilfort ou equivalente, ponta e bolsa com junta elástica integrada, Ø150mm, inclusive conexões</t>
  </si>
  <si>
    <t>14.3.1.3</t>
  </si>
  <si>
    <t>Tubo de PVC esgoto, tipo Vinilfort ou equivalente, ponta e bolsa com junta elástica integrada, Ø200mm, inclusive conexões</t>
  </si>
  <si>
    <t>14.3.2.1</t>
  </si>
  <si>
    <t>14.3.2.2</t>
  </si>
  <si>
    <t>74104/001</t>
  </si>
  <si>
    <t>14.3.2.3</t>
  </si>
  <si>
    <t>14.3.2.4</t>
  </si>
  <si>
    <t>14.3.2.5</t>
  </si>
  <si>
    <t>Grelha de ferro fundido 40x40cm, tipo leve, para caixa de ralo/brita</t>
  </si>
  <si>
    <t>14.3.2.6</t>
  </si>
  <si>
    <t>14.3.2.7</t>
  </si>
  <si>
    <t>Poço de visita em alvenaria, fundo em concreto, 110x110cm</t>
  </si>
  <si>
    <t>14.3.2.8</t>
  </si>
  <si>
    <t>14.3.2.9</t>
  </si>
  <si>
    <t>Calha de piso em PVC DN 130, com grelha (solários)</t>
  </si>
  <si>
    <t xml:space="preserve">INSTALAÇÃO SANITÁRIA </t>
  </si>
  <si>
    <t>15.1</t>
  </si>
  <si>
    <t>15.2</t>
  </si>
  <si>
    <t>15.3</t>
  </si>
  <si>
    <t>15.4</t>
  </si>
  <si>
    <t>15.5</t>
  </si>
  <si>
    <t>15.6</t>
  </si>
  <si>
    <t>Caixa Sifonada 100x100x50mm</t>
  </si>
  <si>
    <t>15.7</t>
  </si>
  <si>
    <t xml:space="preserve">Caixa Sifonada 150x185x75mm </t>
  </si>
  <si>
    <t>15.8</t>
  </si>
  <si>
    <t>15.9</t>
  </si>
  <si>
    <t>Ralo Sifonado Cônico Branco 100x40mm</t>
  </si>
  <si>
    <t>15.10</t>
  </si>
  <si>
    <t>15.11</t>
  </si>
  <si>
    <t>Terminal de Ventilação Série Normal 50mm</t>
  </si>
  <si>
    <t>15.12</t>
  </si>
  <si>
    <t>Terminal de Ventilação Série Normal 75mm</t>
  </si>
  <si>
    <t>15.13</t>
  </si>
  <si>
    <t>Tubo de PVC Série Normal 100mm, fornec. e instalação, inclusive conexões</t>
  </si>
  <si>
    <t>15.14</t>
  </si>
  <si>
    <t>Tubo de PVC Série Normal 40mm, fornec. e instalação, inclusive conexões</t>
  </si>
  <si>
    <t>15.15</t>
  </si>
  <si>
    <t>Tubo de PVC Série Normal 50mm , fornec. e instalação, inclusive conexões</t>
  </si>
  <si>
    <t>15.16</t>
  </si>
  <si>
    <t>Tubo de PVC Série Normal 75mm , fornec. e instalação, inclusive conexões</t>
  </si>
  <si>
    <t>15.17</t>
  </si>
  <si>
    <t>Tubo de PVC Série Reforçada 150mm, fornec. e instalação, inclusive conexões</t>
  </si>
  <si>
    <t>15.18</t>
  </si>
  <si>
    <t>Caixa de inspeção em alvenaria de tijolo medindo 900x900x600mm , com tampão em ferro fundido</t>
  </si>
  <si>
    <t>Caixa de gordura Especial, em alvenaria de tijolo, medindo 1100x1100x1200mm, com tampão em ferro fundido</t>
  </si>
  <si>
    <t>73963/008</t>
  </si>
  <si>
    <t>Poço de visita em alvenaria de tijolo medido 1400x1400x1640mm, com tampão em ferro fundido</t>
  </si>
  <si>
    <t>Conjunto moto bomba centrifuga CV 3/4, vazão de 5,0 m3/h e Hman = 15mca - Modelo Thebe TH-16 ou equivalente</t>
  </si>
  <si>
    <t>73949/009</t>
  </si>
  <si>
    <t>74227/001</t>
  </si>
  <si>
    <t>73949/002</t>
  </si>
  <si>
    <t>74146/001</t>
  </si>
  <si>
    <t>02023/</t>
  </si>
  <si>
    <t>73911/001</t>
  </si>
  <si>
    <t>un.</t>
  </si>
  <si>
    <t xml:space="preserve">BANCADAS </t>
  </si>
  <si>
    <t>74126/001</t>
  </si>
  <si>
    <t>Bancada em granito cinza andorinha - espessura 2cm, conforme projeto</t>
  </si>
  <si>
    <t>17.2</t>
  </si>
  <si>
    <t>Prateleira em granito cinza andorinha - espessura 2cm, conforme projeto</t>
  </si>
  <si>
    <t>17.3</t>
  </si>
  <si>
    <t>CAPTAÇÃO</t>
  </si>
  <si>
    <t>19.1.2</t>
  </si>
  <si>
    <t>19.1.3</t>
  </si>
  <si>
    <t>19.1.4</t>
  </si>
  <si>
    <t>Pára-raios tipo Franklin em aço inox 3 pontas em haste de 3 m. x 1.1/2" tipo simples</t>
  </si>
  <si>
    <t>Cordoalha de cobre nu 35 mm2</t>
  </si>
  <si>
    <t>Isolador simples com chapa de encosto h=100 mm</t>
  </si>
  <si>
    <t>Isolador simples para quinas 90º com chapa de encosto h=100 mm</t>
  </si>
  <si>
    <t>Haste tipo coopperweld 5/8" x 3,00m.</t>
  </si>
  <si>
    <t>Cordoalha de cobre nu 50 mm2</t>
  </si>
  <si>
    <t>74052/002</t>
  </si>
  <si>
    <t>Conector  de bronze para haste de 5/8" e cabo de 50 mm²</t>
  </si>
  <si>
    <t>Mastros para bandeiras em tubo ferro galvanizado telescópico (alt= 7m (3mx2" + 4mx1 1/2")</t>
  </si>
  <si>
    <t>Custo TOTAL com BDI incluso</t>
  </si>
  <si>
    <t>Ministério da Educação</t>
  </si>
  <si>
    <t xml:space="preserve">Planilha Orçamentária </t>
  </si>
  <si>
    <t>ITEM</t>
  </si>
  <si>
    <t>CÓDIGO</t>
  </si>
  <si>
    <t>FONTE</t>
  </si>
  <si>
    <t>DESCRIÇÃO DOS SERVIÇOS</t>
  </si>
  <si>
    <t>UNID.</t>
  </si>
  <si>
    <t>QUANT.</t>
  </si>
  <si>
    <t>VALOR (R$)</t>
  </si>
  <si>
    <t>1.1</t>
  </si>
  <si>
    <t>un</t>
  </si>
  <si>
    <t>2.1</t>
  </si>
  <si>
    <t>3.1</t>
  </si>
  <si>
    <t>m³</t>
  </si>
  <si>
    <t>4.1</t>
  </si>
  <si>
    <t>SINAPI</t>
  </si>
  <si>
    <t>m²</t>
  </si>
  <si>
    <t>4.2</t>
  </si>
  <si>
    <t>4.3</t>
  </si>
  <si>
    <t>5.1</t>
  </si>
  <si>
    <t xml:space="preserve">MOVIMENTO DE TERRAS </t>
  </si>
  <si>
    <t>5.1.1</t>
  </si>
  <si>
    <t>Aterro apiloado em camadas de 0,20 m com material argilo - arenoso (entre baldrames)</t>
  </si>
  <si>
    <t>5.1.2</t>
  </si>
  <si>
    <t xml:space="preserve">Escavação manual de valas em qualquer terreno exceto rocha até h=1,50 m </t>
  </si>
  <si>
    <t>79512/001</t>
  </si>
  <si>
    <t xml:space="preserve">Regularização e compactação do fundo de valas </t>
  </si>
  <si>
    <t xml:space="preserve">Reaterro apiloado de vala com material da obra  </t>
  </si>
  <si>
    <t>5.2</t>
  </si>
  <si>
    <t>5.2.1</t>
  </si>
  <si>
    <t>73907/006</t>
  </si>
  <si>
    <t>5.2.2</t>
  </si>
  <si>
    <t>5.2.3</t>
  </si>
  <si>
    <t>74254/002</t>
  </si>
  <si>
    <t>kg</t>
  </si>
  <si>
    <t>73942/002</t>
  </si>
  <si>
    <t>74137/004</t>
  </si>
  <si>
    <t>CONCRETO ARMADO PARA FUNDAÇÕES - VIGAS BALDRAMES</t>
  </si>
  <si>
    <t>6.1</t>
  </si>
  <si>
    <t>6.1.1</t>
  </si>
  <si>
    <t>6.1.2</t>
  </si>
  <si>
    <t>6.1.3</t>
  </si>
  <si>
    <t>6.1.4</t>
  </si>
  <si>
    <t>3.1.1</t>
  </si>
  <si>
    <t>m</t>
  </si>
  <si>
    <t>3.1.2</t>
  </si>
  <si>
    <t>3.2</t>
  </si>
  <si>
    <t>3.2.1</t>
  </si>
  <si>
    <t>3.2.2</t>
  </si>
  <si>
    <t>7.1</t>
  </si>
  <si>
    <t>7.2</t>
  </si>
  <si>
    <t>7.3</t>
  </si>
  <si>
    <t>8.1</t>
  </si>
  <si>
    <t>8.2</t>
  </si>
  <si>
    <t xml:space="preserve">SERVIÇOS PRELIMINARES </t>
  </si>
  <si>
    <t>74209/001</t>
  </si>
  <si>
    <t>Placa da obra - padrão Governo Federal</t>
  </si>
  <si>
    <t xml:space="preserve"> m²</t>
  </si>
  <si>
    <t>1.2</t>
  </si>
  <si>
    <t>C2851</t>
  </si>
  <si>
    <t>SEINFRA</t>
  </si>
  <si>
    <t xml:space="preserve">Instalação provisória de água </t>
  </si>
  <si>
    <t>1.3</t>
  </si>
  <si>
    <t>73960/001</t>
  </si>
  <si>
    <t xml:space="preserve">Instalação provisória de energia elétrica em baixa tensão </t>
  </si>
  <si>
    <t>1.4</t>
  </si>
  <si>
    <t>C2849</t>
  </si>
  <si>
    <t>Instalações provisórias de esgoto</t>
  </si>
  <si>
    <t>1.5</t>
  </si>
  <si>
    <t>73805/001</t>
  </si>
  <si>
    <t>Barracões provisórios (depósito, escritório, vestiário e refeitório) com piso cimentado</t>
  </si>
  <si>
    <t>1.6</t>
  </si>
  <si>
    <t>74077/001</t>
  </si>
  <si>
    <t xml:space="preserve">Locação da obra (execução de gabarito) </t>
  </si>
  <si>
    <t>Subtotal item 1</t>
  </si>
  <si>
    <t>2.2</t>
  </si>
  <si>
    <t>2.3</t>
  </si>
  <si>
    <t>2.4</t>
  </si>
  <si>
    <t>Subtotal item 2</t>
  </si>
  <si>
    <t xml:space="preserve">INFRA-ESTRUTURA: FUNDAÇÕES </t>
  </si>
  <si>
    <t>Subtotal item 3</t>
  </si>
  <si>
    <t xml:space="preserve">SUPERESTRUTURA </t>
  </si>
  <si>
    <t>4.1.1</t>
  </si>
  <si>
    <t>4.2.1</t>
  </si>
  <si>
    <t>4.2.2</t>
  </si>
  <si>
    <t>4.2.3</t>
  </si>
  <si>
    <t>CONCRETO ARMADO PARA VERGAS</t>
  </si>
  <si>
    <t>4.3.1</t>
  </si>
  <si>
    <t>Verga pré-moldada em concreto armado fck 15Mpa - 10x10cm, conforme projeto.</t>
  </si>
  <si>
    <t>Subtotal item 4</t>
  </si>
  <si>
    <t xml:space="preserve">PAREDES E PAINEIS </t>
  </si>
  <si>
    <t>ELEMENTOS VAZADOS</t>
  </si>
  <si>
    <t>ORSE</t>
  </si>
  <si>
    <t>Cobogó de concreto (elemento vazado)  - (10x15x15cm) assentado com argamassa traço 1:4 (cimento, areia)</t>
  </si>
  <si>
    <t>C0804</t>
  </si>
  <si>
    <t>Cobogó de concreto (elemento vazado)  - (10x40x40cm) assentado com argamassa traço 1:4 (cimento, areia)</t>
  </si>
  <si>
    <t>ALVENARIA DE VEDAÇÃO</t>
  </si>
  <si>
    <t>73982/001</t>
  </si>
  <si>
    <t>73987/001</t>
  </si>
  <si>
    <t>74229/001</t>
  </si>
  <si>
    <t>Divisória de banheiros e sanitários em granito com espessura de 2cm polido assentado com argamassa traço 1:4</t>
  </si>
  <si>
    <t>Subtotal item 5</t>
  </si>
  <si>
    <t xml:space="preserve">ESQUADRIAS </t>
  </si>
  <si>
    <t>73910/006</t>
  </si>
  <si>
    <t>und</t>
  </si>
  <si>
    <t>6.1.5</t>
  </si>
  <si>
    <t>6.1.6</t>
  </si>
  <si>
    <t>74139/002</t>
  </si>
  <si>
    <t>6.1.7</t>
  </si>
  <si>
    <t>6.2</t>
  </si>
  <si>
    <t>JANELAS DE ALUMÍNIO</t>
  </si>
  <si>
    <t>6.3.1</t>
  </si>
  <si>
    <t>6.3.2</t>
  </si>
  <si>
    <t>6.3.3</t>
  </si>
  <si>
    <t>6.3.4</t>
  </si>
  <si>
    <t>Subtotal item 6</t>
  </si>
  <si>
    <t xml:space="preserve">COBERTURA </t>
  </si>
  <si>
    <t>73931/003</t>
  </si>
  <si>
    <t xml:space="preserve">Estrutura de Madeira aparelhada com tesoura vão de 3,0 a 7,0 m para telha cerâmica </t>
  </si>
  <si>
    <t>73938/004</t>
  </si>
  <si>
    <t xml:space="preserve">Cobertura em telha cerâmica tipo capa e canal </t>
  </si>
  <si>
    <t>73938/007</t>
  </si>
  <si>
    <t xml:space="preserve">Cumeeira com telha cerâmica emboçada com argamassa traço 1:2:8 </t>
  </si>
  <si>
    <t>Subtotal item 7</t>
  </si>
  <si>
    <t xml:space="preserve">IMPERMEABILIZAÇÀO </t>
  </si>
  <si>
    <t>74106/001</t>
  </si>
  <si>
    <t xml:space="preserve">Impermeabilização com tinta betuminosa em fundações, baldrames </t>
  </si>
  <si>
    <t>Impermeabilização de calhas de concreto com mastique betuminoso a frio</t>
  </si>
  <si>
    <t>Subtotal item 8</t>
  </si>
  <si>
    <t xml:space="preserve">REVESTIMENTOS </t>
  </si>
  <si>
    <t>9.1</t>
  </si>
  <si>
    <t>9.2</t>
  </si>
  <si>
    <t>9.3</t>
  </si>
  <si>
    <t>73927/005</t>
  </si>
  <si>
    <t xml:space="preserve">Emboço para paredes internas e externas traço 1:6 - preparo manual - espessura 2,0 cm </t>
  </si>
  <si>
    <t>9.4</t>
  </si>
  <si>
    <t>74201/001</t>
  </si>
  <si>
    <t xml:space="preserve">Reboco tipo paulista para paredes internas, externas, pórticos, vigas e pérgolas  - espessura 2,0 cm </t>
  </si>
  <si>
    <t>9.5</t>
  </si>
  <si>
    <t>9.6</t>
  </si>
  <si>
    <t>73946/001</t>
  </si>
  <si>
    <t xml:space="preserve">Revestimento cerâmico de paredes PEI IV- cerâmica 30 x 40 cm - incl. rejunte - conforme projeto </t>
  </si>
  <si>
    <t>9.7</t>
  </si>
  <si>
    <t>73912/002</t>
  </si>
  <si>
    <t>Revestimento cerâmico de paredes PEI IV - cerâmica 10 x 10 cm - incl. rejunte - conforme projeto</t>
  </si>
  <si>
    <t>Subtotal item 9</t>
  </si>
  <si>
    <t xml:space="preserve">PAVIMENTAÇÃO </t>
  </si>
  <si>
    <t>10.1</t>
  </si>
  <si>
    <t xml:space="preserve">Camada impermeabilizadora e=5cm </t>
  </si>
  <si>
    <t>10.2</t>
  </si>
  <si>
    <t>73977/001</t>
  </si>
  <si>
    <t>10.3</t>
  </si>
  <si>
    <t>Piso de alta resistência em massa granilítica, inclusive polimento e enceramento</t>
  </si>
  <si>
    <t>10.4</t>
  </si>
  <si>
    <t xml:space="preserve">Piso cerâmico esmaltado PEI IV - 40 x 40 cm - incl. rejunte - conforme projeto </t>
  </si>
  <si>
    <t>10.5</t>
  </si>
  <si>
    <t>Lastro de areia para o playground</t>
  </si>
  <si>
    <t>10.6</t>
  </si>
  <si>
    <t>Piso de cimento desempenado com juntas de dilatação</t>
  </si>
  <si>
    <t>10.7</t>
  </si>
  <si>
    <t>Blocos de argamassa armada prefabricados 50 x 50 cm</t>
  </si>
  <si>
    <t>73932/001</t>
  </si>
  <si>
    <t>preço por m2</t>
  </si>
  <si>
    <t>Obra: Proinfância - Tipo  C</t>
  </si>
  <si>
    <t>3.1.3</t>
  </si>
  <si>
    <t>3.1.5</t>
  </si>
  <si>
    <t>3.2.3</t>
  </si>
  <si>
    <t>3.2.5</t>
  </si>
  <si>
    <t xml:space="preserve">CONCRETO ARMADO PARA FUNDAÇÕES </t>
  </si>
  <si>
    <t>Lastro de concreto magro (e=3,0 cm) - preparo mecânico</t>
  </si>
  <si>
    <t>Lastro de concreto magro, e=3,0 cm-reparo mecânico</t>
  </si>
  <si>
    <t>Concreto para Fundação fck=25MPa, incluindo preparo, lançamento, adensamento.</t>
  </si>
  <si>
    <t>Concreto Bombeado fck=25MPa, incluindo preparo, lançamento e adensamento.</t>
  </si>
  <si>
    <t>CONCRETO ARMADO - PILARES</t>
  </si>
  <si>
    <t>CONCRETO ARMADO - VIGAS</t>
  </si>
  <si>
    <t>CONCRETO ARMADO - LAJES</t>
  </si>
  <si>
    <t>Forma em chapa de madeira compensada resinada- Pilares</t>
  </si>
  <si>
    <r>
      <t>Porta de abrir em madeira 0,80x2,10m com Chapa metálica, Barra de Apoio PNE,</t>
    </r>
    <r>
      <rPr>
        <b/>
        <sz val="10"/>
        <rFont val="Arial"/>
        <family val="2"/>
      </rPr>
      <t xml:space="preserve"> PM2, </t>
    </r>
    <r>
      <rPr>
        <sz val="10"/>
        <rFont val="Arial"/>
        <family val="2"/>
      </rPr>
      <t>conforme projeto de esquadrias</t>
    </r>
  </si>
  <si>
    <r>
      <t>Porta de abrir em madeira 0,80x2,10m com Chapa metálica h=50cm, Barra de Apoio PNE e visor de vidro 20x110cm,</t>
    </r>
    <r>
      <rPr>
        <b/>
        <sz val="10"/>
        <rFont val="Arial"/>
        <family val="2"/>
      </rPr>
      <t xml:space="preserve"> PM1, </t>
    </r>
    <r>
      <rPr>
        <sz val="10"/>
        <rFont val="Arial"/>
        <family val="2"/>
      </rPr>
      <t>conforme projeto de esquadrias</t>
    </r>
  </si>
  <si>
    <r>
      <t xml:space="preserve">Janela de Alumínio, basculante 60X60cm, </t>
    </r>
    <r>
      <rPr>
        <b/>
        <sz val="10"/>
        <rFont val="Arial"/>
        <family val="2"/>
      </rPr>
      <t>J-01</t>
    </r>
    <r>
      <rPr>
        <sz val="10"/>
        <rFont val="Arial"/>
        <family val="2"/>
      </rPr>
      <t>,conforme projeto de esquadrias, inclusive ferragens</t>
    </r>
  </si>
  <si>
    <r>
      <t xml:space="preserve">Janela de Alumínio, de abrir 60X90cm, </t>
    </r>
    <r>
      <rPr>
        <b/>
        <sz val="10"/>
        <rFont val="Arial"/>
        <family val="2"/>
      </rPr>
      <t xml:space="preserve">J-02, </t>
    </r>
    <r>
      <rPr>
        <sz val="10"/>
        <rFont val="Arial"/>
        <family val="2"/>
      </rPr>
      <t>conforme projeto de esquadrias, inclusive ferragens</t>
    </r>
  </si>
  <si>
    <r>
      <t>Janela de Alumínio, de correr 120X120cm,</t>
    </r>
    <r>
      <rPr>
        <b/>
        <sz val="10"/>
        <rFont val="Arial"/>
        <family val="2"/>
      </rPr>
      <t>J-03,</t>
    </r>
    <r>
      <rPr>
        <sz val="10"/>
        <rFont val="Arial"/>
        <family val="2"/>
      </rPr>
      <t xml:space="preserve"> conforme projeto de esquadrias - Corrediça, inclusive ferragens</t>
    </r>
  </si>
  <si>
    <r>
      <t>Janela de Alumínio, de correr 180X120cm,</t>
    </r>
    <r>
      <rPr>
        <b/>
        <sz val="10"/>
        <rFont val="Arial"/>
        <family val="2"/>
      </rPr>
      <t>J-04</t>
    </r>
    <r>
      <rPr>
        <sz val="10"/>
        <rFont val="Arial"/>
        <family val="2"/>
      </rPr>
      <t xml:space="preserve"> conforme projeto de esquadrias, inclusive ferragens</t>
    </r>
  </si>
  <si>
    <r>
      <t xml:space="preserve">Janela de Alumínio, de correr 180X160cm, </t>
    </r>
    <r>
      <rPr>
        <b/>
        <sz val="10"/>
        <rFont val="Arial"/>
        <family val="2"/>
      </rPr>
      <t>J-05</t>
    </r>
    <r>
      <rPr>
        <sz val="10"/>
        <rFont val="Arial"/>
        <family val="2"/>
      </rPr>
      <t>, conforme projeto de esquadrias, inclusive ferragens</t>
    </r>
  </si>
  <si>
    <r>
      <t xml:space="preserve">Porta de abrir de 0,80x2,10m em chapa de alumínio com vidro e veneziana- </t>
    </r>
    <r>
      <rPr>
        <b/>
        <sz val="10"/>
        <rFont val="Arial"/>
        <family val="2"/>
      </rPr>
      <t>PA1</t>
    </r>
    <r>
      <rPr>
        <sz val="10"/>
        <rFont val="Arial"/>
        <family val="2"/>
      </rPr>
      <t>, conforme projeto de esquadrias, inclusive ferragens</t>
    </r>
  </si>
  <si>
    <r>
      <t xml:space="preserve">Porta de abrir de 0,80x2,10m em chapa de alumínio com veneziana- </t>
    </r>
    <r>
      <rPr>
        <b/>
        <sz val="10"/>
        <rFont val="Arial"/>
        <family val="2"/>
      </rPr>
      <t>PA2</t>
    </r>
    <r>
      <rPr>
        <sz val="10"/>
        <rFont val="Arial"/>
        <family val="2"/>
      </rPr>
      <t>, conforme projeto de esquadrias, inclusive ferragens</t>
    </r>
  </si>
  <si>
    <r>
      <t>Porta de abrir de 0,60x2,10m em chapa de alumínio com veneziana-</t>
    </r>
    <r>
      <rPr>
        <b/>
        <sz val="10"/>
        <rFont val="Arial"/>
        <family val="2"/>
      </rPr>
      <t xml:space="preserve"> PA3</t>
    </r>
    <r>
      <rPr>
        <sz val="10"/>
        <rFont val="Arial"/>
        <family val="2"/>
      </rPr>
      <t>, conforme projeto de esquadrias, inclusive ferragens</t>
    </r>
  </si>
  <si>
    <r>
      <t xml:space="preserve">Porta de abrir de 0,50x0,80m em chapa de alumínio com veneziana </t>
    </r>
    <r>
      <rPr>
        <b/>
        <sz val="10"/>
        <rFont val="Arial"/>
        <family val="2"/>
      </rPr>
      <t>PA4</t>
    </r>
    <r>
      <rPr>
        <sz val="10"/>
        <rFont val="Arial"/>
        <family val="2"/>
      </rPr>
      <t>, conforme projeto de esquadrias, inclusive ferragens</t>
    </r>
  </si>
  <si>
    <t>Portão de correr 1,20x2,15m em gradil metálico belgo ou similar, conforme projeto de esquadrias, inclusive ferragens</t>
  </si>
  <si>
    <t>Portão de correr em gradil tipo belgo ou equivalente 1,20X1,75m com trilho, conforme projeto de esquadrias, inclusive ferragens</t>
  </si>
  <si>
    <t>Portão de abrir em gradil tipo belgo ou equivalente 3,20X2,15m com trilho, conforme projeto de esquadrias, inclusive ferragens</t>
  </si>
  <si>
    <t xml:space="preserve">Gradil fixo tipo belgo ou equivalente 31,61X1,70m , conforme projeto de esquadrias, inclusive ferragens </t>
  </si>
  <si>
    <t>PORTAS EM ALUMÍNIO</t>
  </si>
  <si>
    <t>PORTAS DE MADEIRA</t>
  </si>
  <si>
    <t xml:space="preserve">Soleira em granito cinza andorinha, L=17cm, E=2cm </t>
  </si>
  <si>
    <t xml:space="preserve">Emassamento de lajes internas e externas com massa PVA - 02 demãos </t>
  </si>
  <si>
    <t xml:space="preserve">Pintura em latex PVA 02 demãos sobre lajes internas e externas </t>
  </si>
  <si>
    <t xml:space="preserve">Pintura em latex acrílico 02 demãos sobre paredes internas, externas e muros </t>
  </si>
  <si>
    <t xml:space="preserve">Chapisco de aderência em paredes internas, externas, pórticos, vigas, pérgolas e muros </t>
  </si>
  <si>
    <t>Bacia Sanitária Vogue Plus, Linha Conforto com abertura, cor Branco Gelo, código: P.51,  DECA, ou equivalente p/ de descarga, com acessórios, bolsa de borracha para ligacao, tubo pvc ligacao - fornecimento e instalacao</t>
  </si>
  <si>
    <t>Bacia Sanitária Convencional com Caixa Acoplada, código Izy P.111, DECA, ou equivalente com acessórios- fornecimento e instalação</t>
  </si>
  <si>
    <t>Bacia Convencional Studio Kids, código PI.16, para valvula de descarga, em louca branca,  anel de vedação, tubo pvc ligacao - fornecimento e instalacao, Deca ou equivalente</t>
  </si>
  <si>
    <t>Ducha Higiênica com registro e derivação Izy, código 1984.C37. ACT.CR, DECA, ou equivalente</t>
  </si>
  <si>
    <t>Assento Poliéster com abertura frontal Vogue Plus, Linha Conforto, cor Branco Gelo,c código AP.52, DECA, ou equivalente</t>
  </si>
  <si>
    <t>Válvula de descarga: Base Hydra Max, código 4550.404 e acabamento Hydra Max, código 4900.C.MAX 1 ½”, acabamento cromado, DECA ou equivalente</t>
  </si>
  <si>
    <t>Assento plástico Izy, Código AP.01, DECA</t>
  </si>
  <si>
    <t>Assento branco linha infantil para bacia Studio kids, DECA, ou equivalente</t>
  </si>
  <si>
    <t>Papeleira Metálica Linha Izy, código 2020.C37, DECA ou equivalente</t>
  </si>
  <si>
    <t>Torneira para lavatório de mesa bica baixa Izy, código 1193.C37, Deca ou equivalente</t>
  </si>
  <si>
    <t>Cuba de Embutir Oval cor Branco Gelo, código L.37, DECA, ou equivalente, em bancada  ecomplementos (válvula, sifao e engate flexível cromados), exceto torneira.</t>
  </si>
  <si>
    <t>Lavatório Pequeno Ravena/Izy cor Branco Gelo, código: L.915, DECA, ou equivalente, sem coluna,(válvula, sifao e engate flexível cromados), exceto Torneira</t>
  </si>
  <si>
    <t>Barra de apoio, Linha conforto, código 2305.C, cor cromado, DECA ou equivalente</t>
  </si>
  <si>
    <t>Dispenser Toalha Linha Excellence, código 7007, Melhoramentos ou equivalente.</t>
  </si>
  <si>
    <t>Saboneteira Linha Excellence, código 7009, Melhoramentos ou equivalente</t>
  </si>
  <si>
    <t xml:space="preserve">Chuveiro Maxi Ducha, LORENZETTI, com Mangueira plástica/desviador para duchas elétricas, cógigo 8010-A, LORENZETTI,  ou equivalente </t>
  </si>
  <si>
    <t xml:space="preserve">Torneira elétrica Maxi Torneira, LORENZETTI com Mangueira plástica para torneira elétrica, cógigo 8010-A, LORENZETTI, ou equivalente </t>
  </si>
  <si>
    <t>Banheira Embutir em plástico tipoPVC, 77x45x20cm, Burigotto ou equivalente</t>
  </si>
  <si>
    <t>Tanque Grande (40 L) cor Branco Gelo, código TQ.03, DECA, ou equivalente</t>
  </si>
  <si>
    <t>Torneira Acabamento para registro pequeno Linha Izy, código: 4900.C37.PQ, DECA ou equivalente (para chuveiros), Deca ou equivalente</t>
  </si>
  <si>
    <t>Torneira de parede de uso geral com arejador Izy, código 1155.C37, DECA, ou equivalente para jardim ou tanque, padrao alto</t>
  </si>
  <si>
    <t>Cuba industrial 50x40 profundidade 30 – HIDRONOX, ou equivalente, com sifão em metal cromado 1.1/2x1.1/2", válvula em metal cromado tipo americana 3.1/2"x1.1/2" para pia - fornecimento e instalação</t>
  </si>
  <si>
    <t>Cuba Inox Embutir 40x34x17cm, cuba 3, básica aço inoxidável, com válvula, FRANKE, ou equivalente, com sifão em metal cromado 1.1/2x1.1/2", válvula em metal cromado tipo americana 3.1/2"x1.1/2" para pia - fornecimento e instalação</t>
  </si>
  <si>
    <t>Torneira para cozinha de mesa bica móvel Izy, código 1167.C37, DECA, ou equivalente</t>
  </si>
  <si>
    <t>Torneira elétrica LorenEasy, LORENZETTI ou equivalente</t>
  </si>
  <si>
    <t>Torneira de parede de uso geral com bico para mangueira Izy, código 1153.C37, DECA, ou equivalente</t>
  </si>
  <si>
    <t>16.1.24</t>
  </si>
  <si>
    <t>Banco em granito cinza andorinha, espessura 2 cm, conforme projeto</t>
  </si>
  <si>
    <t>Grelha de aço inox para piso, l=5cm</t>
  </si>
  <si>
    <t>Eletroduto PVC flexível corrugado reforçado, Ø32mm (DN 1"), inclusive curvas</t>
  </si>
  <si>
    <t>Eletroduto PVC flexível corrugado reforçado, Ø40mm (DN 11/4"), inclusive curvas</t>
  </si>
  <si>
    <t>Eletroduto PVC flexível corrugado reforçado, Ø50mm (DN 11/2"), inclusive curvas</t>
  </si>
  <si>
    <t>Eletroduto PVC flexível corrugado reforçado, Ø60mm (DN 2"), inclusive curvas</t>
  </si>
  <si>
    <t>Eletroduto Ferro Galvanizado, (DN 2"), inclusive curvas</t>
  </si>
  <si>
    <t>Caixa de passagem 30x30cm em alvenaria com tampa de ferro fundido tipo leve</t>
  </si>
  <si>
    <t>Interruptor três seções 10A por seção, completa</t>
  </si>
  <si>
    <t>Interruptor paralelo 10 A, completa</t>
  </si>
  <si>
    <t>Cabo UTP Categoria 5e</t>
  </si>
  <si>
    <t>Cabo CCI - 5 Pares</t>
  </si>
  <si>
    <t>Eletroduto Ferro Galvanizado , Ø 1", inclusive curvas</t>
  </si>
  <si>
    <t>Eletrocalha lisa com tampa 100 x 50 mm</t>
  </si>
  <si>
    <t>Curva horizontal para eletrocalha 100 x 50 mm</t>
  </si>
  <si>
    <t>Curva vertical para eletrocalha 100 x 50 mm</t>
  </si>
  <si>
    <t>Tê horizontal para eletrocalha 100 x 50 mm</t>
  </si>
  <si>
    <t>Fechamento para eletrocalha 100 x 50 mm</t>
  </si>
  <si>
    <t>Flange para eletrocalha 100 x 50 mm</t>
  </si>
  <si>
    <t>Registro de gaveta bruto, Ø 3/4"</t>
  </si>
  <si>
    <t>Registro de gaveta bruto, Ø 1"</t>
  </si>
  <si>
    <t>Registro de gaveta bruto, Ø 2"</t>
  </si>
  <si>
    <t>Registro de gaveta bruto, Ø 2.1/2"</t>
  </si>
  <si>
    <t>Registro de gaveta com canopla, Ø 3/4"</t>
  </si>
  <si>
    <t>Registro de pressão com canopla p/ chuveiro, Ø 3/4"</t>
  </si>
  <si>
    <t>Tubo PVC soldável Ø 25 mm, inclusive conexões</t>
  </si>
  <si>
    <t>Tubo PVC soldável Ø 32 mm, inclusive conexões</t>
  </si>
  <si>
    <t>Tubo PVC soldável Ø 40 mm, inclusive conexões</t>
  </si>
  <si>
    <t>Tubo PVC soldável classe 15, Ø 50 mm, inclusive conexões</t>
  </si>
  <si>
    <t>Tubo PVC soldável classe 15, Ø 60 mm, inclusive conexões</t>
  </si>
  <si>
    <t>Tubo PVC soldável classe 15, Ø 75mm, inclusive conexões</t>
  </si>
  <si>
    <t>Caixa em alvenaria 30x30x30 cm  para Registro</t>
  </si>
  <si>
    <t>Caixa sifonada  de sabão em PVC</t>
  </si>
  <si>
    <t>Caixa de gordura sifonada em PVC</t>
  </si>
  <si>
    <t>Sumidouro em alvenaria 2,40 x 2,40 m</t>
  </si>
  <si>
    <t>Filtro anaeróbico 2,30 x 2,30 m</t>
  </si>
  <si>
    <t>Fossa séptica 2,30 x 2,30 m</t>
  </si>
  <si>
    <t>Conector mini-gar em bronze estanhado Tel-583</t>
  </si>
  <si>
    <t>Caixa de equalização de potências 200x200mm em aço com barramento Expessura  6 mm</t>
  </si>
  <si>
    <t>Cordoalha de cobre nu 16 mm2</t>
  </si>
  <si>
    <t>Central de GLP Botijões P45</t>
  </si>
  <si>
    <t>Tubo de Ferro Galvanizado Ø 3/4", inclusive conexões</t>
  </si>
  <si>
    <t>Fita anticorrosiva</t>
  </si>
  <si>
    <t>Válvula esfera Ø 3/4" NPT 300</t>
  </si>
  <si>
    <t>Registro 1º Estágio c/ manômetro</t>
  </si>
  <si>
    <t>Registro 2º Estágio c/ manômetro</t>
  </si>
  <si>
    <t>Registro do Regulador</t>
  </si>
  <si>
    <t>Manômetro NPT 1/4, 0 a 300 Psi</t>
  </si>
  <si>
    <t>Extintor PQS - 6KG</t>
  </si>
  <si>
    <t>Extintor Gás Carbonico - 6KG</t>
  </si>
  <si>
    <t>Luminária de emergência de 31 Leds autonomia minima de 1 hora</t>
  </si>
  <si>
    <t>Marcação no Piso - 1 x 1m para hidrante</t>
  </si>
  <si>
    <t>Placa de sinalização em pvc cod 12 - (316x158) Saída de emergência</t>
  </si>
  <si>
    <t>Placa de sinalização em pvc cod 13 - (316x158) Saída de emergência</t>
  </si>
  <si>
    <t>Placa de sinalização em pvc cod 17 - (316x158) Mensagem "Saída"</t>
  </si>
  <si>
    <t>Placa de sinalização em pvc cod 23 - (300x300) Extintor de Incêndio</t>
  </si>
  <si>
    <t>Vergalhão CA - 25 # 10 mm2</t>
  </si>
  <si>
    <t>Preço base: Sinapi Novembro/2012</t>
  </si>
  <si>
    <t>73965/015</t>
  </si>
  <si>
    <t>Forma de madeira comum para Fundções  - reaproveitamento 5X</t>
  </si>
  <si>
    <t>Armação aço CA-50, Diam. 6,3 (1/4) á 12,5mm(1/2) -Fornecimento/corte perda de 10%) / dobra / colocação.</t>
  </si>
  <si>
    <t>Armação de aço  CA-60 Diam. 3,4 a 6,0mm-Fornecimento/corte perda de 10%) / dobra / colocação.</t>
  </si>
  <si>
    <t>74075/004</t>
  </si>
  <si>
    <t>Forma madeira comp. resinada 12mm p/ Estrutura corte/Montagem/Escoramento/Desforma- Lajes</t>
  </si>
  <si>
    <t>Forma madeira comp. resinada 12mm p/ Estrutura corte/Montagem/Escoramento/Desforma-  Vigas</t>
  </si>
  <si>
    <t>4.1.2</t>
  </si>
  <si>
    <t>4.1.3</t>
  </si>
  <si>
    <t>4.1.4</t>
  </si>
  <si>
    <t>4.2.4</t>
  </si>
  <si>
    <t>4.4</t>
  </si>
  <si>
    <t>4.4.1</t>
  </si>
  <si>
    <t>4.3.2</t>
  </si>
  <si>
    <t>4.3.3</t>
  </si>
  <si>
    <t>4.3.4</t>
  </si>
  <si>
    <t>Encunhamento (aperto de alvenaria) em tijolo cerâmicos maciços 5x10x20cm 1 vez (esp. 20cm), assentamento c/ argamassa traço1:6 (cimento e areia)</t>
  </si>
  <si>
    <t xml:space="preserve">Alvenaria de vedação de 1/2 vez em tijolos cerâmicos de 08 furos (dimensões nominais: 19x19x09); assentamento em argamassa no traço 1:2:8 (cimento, cal e areia) </t>
  </si>
  <si>
    <t>Alvenaria de vedação de 1 vez em tijolos cerâmicos de 08 furos (dimensões nominais: 19x19x09); assentamento em argamassa no traço 1:2:8 (cimento, cal e areia)</t>
  </si>
  <si>
    <r>
      <t xml:space="preserve">Porta de abrir- Box  em madeira Laminado 0,60x1,60m, </t>
    </r>
    <r>
      <rPr>
        <b/>
        <sz val="10"/>
        <rFont val="Arial"/>
        <family val="2"/>
      </rPr>
      <t>PM-06,</t>
    </r>
    <r>
      <rPr>
        <sz val="10"/>
        <rFont val="Arial"/>
        <family val="2"/>
      </rPr>
      <t xml:space="preserve"> incluso marco, dobradiças e tarjeta tipo LIVRE/OCUPADO, conforme projeto de esquadrias </t>
    </r>
  </si>
  <si>
    <r>
      <t xml:space="preserve">Porta de abrir- Box  em madeira Laminado 0,60x1,00m, </t>
    </r>
    <r>
      <rPr>
        <b/>
        <sz val="10"/>
        <rFont val="Arial"/>
        <family val="2"/>
      </rPr>
      <t>PM-07,</t>
    </r>
    <r>
      <rPr>
        <sz val="10"/>
        <rFont val="Arial"/>
        <family val="2"/>
      </rPr>
      <t xml:space="preserve"> incluso marco, dobradiças e tarjeta tipo LIVRE/OCUPADOconforme projeto de esquadrias </t>
    </r>
  </si>
  <si>
    <r>
      <t xml:space="preserve">Porta de abrir em madeira 0,80x2,10m com veneziana de madeira 60x50cm, </t>
    </r>
    <r>
      <rPr>
        <b/>
        <sz val="10"/>
        <rFont val="Arial"/>
        <family val="2"/>
      </rPr>
      <t>PM3</t>
    </r>
    <r>
      <rPr>
        <sz val="10"/>
        <rFont val="Arial"/>
        <family val="2"/>
      </rPr>
      <t>, incluso aduela 1A, alizar e dobradiça com aneis, conforme projeto de esquadrias</t>
    </r>
  </si>
  <si>
    <t>74070/004</t>
  </si>
  <si>
    <t>Fechadura de embutir completa, para portas internas</t>
  </si>
  <si>
    <t>74069/001</t>
  </si>
  <si>
    <t>Fechadura de embutir completa, para portas de banheiro</t>
  </si>
  <si>
    <t>6.2.1</t>
  </si>
  <si>
    <t>6.2.2</t>
  </si>
  <si>
    <t>6.3</t>
  </si>
  <si>
    <t>6.4</t>
  </si>
  <si>
    <t>6.4.1</t>
  </si>
  <si>
    <t>6.4.2</t>
  </si>
  <si>
    <t>6.4.3</t>
  </si>
  <si>
    <t>6.4.4</t>
  </si>
  <si>
    <t>6.4.5</t>
  </si>
  <si>
    <t>6.4.6</t>
  </si>
  <si>
    <t>6.5.2</t>
  </si>
  <si>
    <t>6.5.3</t>
  </si>
  <si>
    <r>
      <t>Porta de abrir em madeira 0,80x2,10m ,</t>
    </r>
    <r>
      <rPr>
        <b/>
        <sz val="10"/>
        <rFont val="Arial"/>
        <family val="2"/>
      </rPr>
      <t xml:space="preserve"> PM4,</t>
    </r>
    <r>
      <rPr>
        <sz val="10"/>
        <rFont val="Arial"/>
        <family val="2"/>
      </rPr>
      <t xml:space="preserve"> incluso aduela 1A, alizar e dobradiça com aneis,conforme projeto de esquadrias</t>
    </r>
  </si>
  <si>
    <r>
      <t xml:space="preserve">Porta de abrir em madeira 0,60x2,10m </t>
    </r>
    <r>
      <rPr>
        <b/>
        <sz val="10"/>
        <rFont val="Arial"/>
        <family val="2"/>
      </rPr>
      <t>PM5</t>
    </r>
    <r>
      <rPr>
        <sz val="10"/>
        <rFont val="Arial"/>
        <family val="2"/>
      </rPr>
      <t>, incluso aduela 1A, alizar e dobradiça com aneis,conforme projeto de esquadrias</t>
    </r>
  </si>
  <si>
    <t>Vidro temperado incolor, espessura 6mm- fornecimento e instalação</t>
  </si>
  <si>
    <t>74125/001</t>
  </si>
  <si>
    <t>Espelho cristal esp. 4mm com moldura de madeira</t>
  </si>
  <si>
    <t>Vidro liso comum incolor, espessura 6mm- fornecimento e instalação</t>
  </si>
  <si>
    <t>Tela de nylon de proteção- fixada na esquadria</t>
  </si>
  <si>
    <t>74025/001</t>
  </si>
  <si>
    <t>74048/002</t>
  </si>
  <si>
    <t>Pavimetação em blocos intertravado de concreto, esp. 6,5cm, FCK 35MPA, asentados sobre colcão de areia</t>
  </si>
  <si>
    <t>73764/004</t>
  </si>
  <si>
    <t>Meio -fio (GUIA) de concreto premoldado- (playgraund)</t>
  </si>
  <si>
    <t>10.8</t>
  </si>
  <si>
    <t>10.9</t>
  </si>
  <si>
    <t>74223/001</t>
  </si>
  <si>
    <t>11.5</t>
  </si>
  <si>
    <t>11.6</t>
  </si>
  <si>
    <t>Peitoril (chapim) em concreto premoldado, largura=30cm espessura 5cm e pingadeira</t>
  </si>
  <si>
    <t>Peitoril (chapim) em concreto premoldado, largura=45cm espessura 5cm e pingadeira- Portico</t>
  </si>
  <si>
    <t>74134/002</t>
  </si>
  <si>
    <t>73955/002</t>
  </si>
  <si>
    <t>73750/001</t>
  </si>
  <si>
    <t>Caixa em Alvenaria tipo - CB-1</t>
  </si>
  <si>
    <t>Caixa em alvenaria tipo R-0</t>
  </si>
  <si>
    <t>13.5.2.4</t>
  </si>
  <si>
    <t>73768/013</t>
  </si>
  <si>
    <t>74052/003</t>
  </si>
  <si>
    <t>Caixa de passagem DG - nº 2 20x20x12cm em chapa metálica</t>
  </si>
  <si>
    <t>13.5.6.3</t>
  </si>
  <si>
    <t>13.5.6.4</t>
  </si>
  <si>
    <t>13.5.6.5</t>
  </si>
  <si>
    <t>13.5.6.6</t>
  </si>
  <si>
    <t>13.5.6.7</t>
  </si>
  <si>
    <t>13.5.6.8</t>
  </si>
  <si>
    <t>14.1.1</t>
  </si>
  <si>
    <t>14.3.1.4</t>
  </si>
  <si>
    <t>19.1.5</t>
  </si>
  <si>
    <t>19.1.6</t>
  </si>
  <si>
    <t>19.1.7</t>
  </si>
  <si>
    <t>19.1.8</t>
  </si>
  <si>
    <t>19.1.9</t>
  </si>
  <si>
    <t>19.1.10</t>
  </si>
  <si>
    <t>19.1.11</t>
  </si>
  <si>
    <t>19.1.12</t>
  </si>
  <si>
    <t>INSTALAÇÃO DE GÁS - GLP</t>
  </si>
  <si>
    <t>20</t>
  </si>
  <si>
    <t>PROTEÇÃO CONTRA INCÊNDIO E PÂNICO- EXTINTORES</t>
  </si>
  <si>
    <t>20.2</t>
  </si>
  <si>
    <t>20.3</t>
  </si>
  <si>
    <t>20.4</t>
  </si>
  <si>
    <t>20.5</t>
  </si>
  <si>
    <t>20.6</t>
  </si>
  <si>
    <t>20.7</t>
  </si>
  <si>
    <t>20.8</t>
  </si>
  <si>
    <t>21.2</t>
  </si>
  <si>
    <t>21.3</t>
  </si>
  <si>
    <t>21.4</t>
  </si>
  <si>
    <t>21.5</t>
  </si>
  <si>
    <t>21.6</t>
  </si>
  <si>
    <t>21.7</t>
  </si>
  <si>
    <t>21.8</t>
  </si>
  <si>
    <t>Subtotal item 22</t>
  </si>
  <si>
    <t>Subtotal item 23</t>
  </si>
  <si>
    <t>73775/001</t>
  </si>
  <si>
    <t>74198/002</t>
  </si>
  <si>
    <t>74240/00</t>
  </si>
  <si>
    <t>74225/001</t>
  </si>
  <si>
    <t>74185/001</t>
  </si>
  <si>
    <t>74181/001</t>
  </si>
  <si>
    <t>74180/001</t>
  </si>
  <si>
    <t>74176/001</t>
  </si>
  <si>
    <t>73975/001</t>
  </si>
  <si>
    <t>73795/010</t>
  </si>
  <si>
    <t>Válvula de retenção horizontal Ø 11/4"</t>
  </si>
  <si>
    <t>75030/002</t>
  </si>
  <si>
    <t>75030/003</t>
  </si>
  <si>
    <t>75030/005</t>
  </si>
  <si>
    <t>73816/001</t>
  </si>
  <si>
    <t>Execução de dreno c/ Tubo de PVC corrugado  Ø75mm</t>
  </si>
  <si>
    <t>73976/003</t>
  </si>
  <si>
    <t>CPU</t>
  </si>
  <si>
    <t>ÁREAS EXTERNAS</t>
  </si>
  <si>
    <t>24.1</t>
  </si>
  <si>
    <t>Subtotal item 24</t>
  </si>
  <si>
    <t>23.1</t>
  </si>
  <si>
    <t>Alvenaria de vedação de 1/2 vez em tijolos cerâmicos de 08 furos (dimensões nominais: 19x19x09); assentamento em argamassa no traço 1:2:8 (cimento, cal e areia) - MURO</t>
  </si>
  <si>
    <t>MURO</t>
  </si>
  <si>
    <t>FERRAGENS E ACESSÓRIOS</t>
  </si>
  <si>
    <t>PAVIMENTAÇÃO EXTERNA</t>
  </si>
  <si>
    <t>ESQUADRIA - GRADIL METÁLICO</t>
  </si>
  <si>
    <t>22.1</t>
  </si>
  <si>
    <t>22.2</t>
  </si>
  <si>
    <t>22.3</t>
  </si>
  <si>
    <t>22.3.1</t>
  </si>
  <si>
    <t>22.3.2</t>
  </si>
  <si>
    <t>22.3.3</t>
  </si>
  <si>
    <t>22.3.4</t>
  </si>
  <si>
    <t>22.3.5</t>
  </si>
  <si>
    <t>22.2.1</t>
  </si>
  <si>
    <t>22.2.2</t>
  </si>
  <si>
    <t>22.2.3</t>
  </si>
  <si>
    <t>22.2.4</t>
  </si>
  <si>
    <t>22.1.1</t>
  </si>
  <si>
    <t>22.1.2</t>
  </si>
  <si>
    <t>22.1.3</t>
  </si>
  <si>
    <t>22.1.4</t>
  </si>
  <si>
    <t>Caixa dágua metálica completa de 25.000l, inclusive base conforme projeto</t>
  </si>
  <si>
    <t>C3564</t>
  </si>
  <si>
    <t>73906/003</t>
  </si>
  <si>
    <t>73910/001</t>
  </si>
  <si>
    <t>74067/001</t>
  </si>
  <si>
    <t>Quadro de Distribuição Geral de Baixa Tensão, de embutir, completo, com 06 disjuntores tripolares, sendo 1 reserva, com barramento para as fases, neutro e para proteção, disjuntor Geral trifásico de 200A e Dispositivo de Proteção contra Surtos, metálico, pintura eletrostática epóxi cor bege, c/ porta, trinco e acessórios (QGD - conforme projeto)</t>
  </si>
  <si>
    <t>Quadro de Distribuição de embutir, completo, com 08 circuitos (08 disjuntores monopolares, sendo 2 reservas), com barramento para as fases, neutro e para proteção, disjuntor geral trifásico de 30A e 01 Dispositivo Diferencial Residual, metálico, pintura eletrostática epóxi cor bege, c/ porta, trinco e acessórios (QD-1 - conforme projeto)</t>
  </si>
  <si>
    <t>Quadro de Distribuição de embutir,  completo, com 24 circuitos (21 disjuntores monopolares, sendo 1 reserva e 01 disjuntor trifásico), com barramento para as fases, neutro e para proteção, disjuntor geral trifásico de 100A e 1 Dispositivos Diferencial Residual, metálico, pintura eletrostática epóxi cor bege, c/ porta e trinco e acessórios (QD-4 - conforme projeto)</t>
  </si>
  <si>
    <t>Quadro de Distribuição de embutir, completo, com 12 circuitos (12 disjuntores monopolares, sendo 2 reservas), com barramento para as fases, neutro e para proteção, disjuntor geral trifásico de 50A e 01 Dispositivos Diferencial Residual, metálico, pintura eletrostática epóxi cor bege, c/ porta e trinco e acessórios (QD-3 - conforme projeto)</t>
  </si>
  <si>
    <t>Quadro de Distribuição de embutir, completo, com 11 circuitos (11 disjuntores monopolares, sendo 2 reservas), com barramento para as fases, neutro e para proteção, disjuntor geral trifásico de 50A e 01 Dispositivos Diferencial Residual, metálico, pintura eletrostática epóxi cor bege,c/ porta, trinco e acessórios (QD-2 - conforme projeto)</t>
  </si>
  <si>
    <t>Quadro de comando de Motor, de embutir, completo, p/ 2 motores de 3/4 cv (1 de reserva), controle automático de nível de reservatório superior e inferior, com contatores, bases fusíveis completas com fusível, relé térmico de sobrecarga, relé de falta de fase, chaves e lâmpadas,  com porta e trinco e acessórios (QCM - conforme projeto)</t>
  </si>
  <si>
    <t>inserir valor do bdi</t>
  </si>
  <si>
    <t>----&gt;</t>
  </si>
  <si>
    <t>PR. UNIT.(R$) sim bdi</t>
  </si>
  <si>
    <t>PR. UNIT.(R$) com bdi</t>
  </si>
  <si>
    <t>valor limite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</si>
</sst>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1" formatCode="_-* #,##0.00_-;\-* #,##0.00_-;_-* &quot;-&quot;??_-;_-@_-"/>
    <numFmt numFmtId="172" formatCode="#,##0.00&quot; &quot;;&quot; (&quot;#,##0.00&quot;)&quot;;&quot; -&quot;#&quot; &quot;;@&quot; &quot;"/>
    <numFmt numFmtId="174" formatCode="#,##0.00&quot; &quot;;&quot;-&quot;#,##0.00&quot; &quot;;&quot; -&quot;#&quot; &quot;;@&quot; &quot;"/>
    <numFmt numFmtId="175" formatCode="[$R$-416]&quot; &quot;#,##0.00;[Red]&quot;-&quot;[$R$-416]&quot; &quot;#,##0.00"/>
  </numFmts>
  <fonts count="12">
    <font>
      <sz val="11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name val="Arial1"/>
    </font>
    <font>
      <sz val="8"/>
      <name val="Arial"/>
      <family val="2"/>
    </font>
    <font>
      <b/>
      <i/>
      <sz val="10"/>
      <name val="Arial"/>
      <family val="2"/>
    </font>
    <font>
      <sz val="10"/>
      <color rgb="FF000000"/>
      <name val="Arial1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8" fillId="0" borderId="0" applyNumberFormat="0" applyBorder="0" applyProtection="0"/>
    <xf numFmtId="0" fontId="8" fillId="0" borderId="0" applyNumberFormat="0" applyBorder="0" applyProtection="0"/>
    <xf numFmtId="172" fontId="8" fillId="0" borderId="0" applyBorder="0" applyProtection="0"/>
    <xf numFmtId="172" fontId="8" fillId="0" borderId="0" applyBorder="0" applyProtection="0"/>
    <xf numFmtId="0" fontId="9" fillId="0" borderId="0" applyNumberFormat="0" applyBorder="0" applyProtection="0"/>
    <xf numFmtId="0" fontId="8" fillId="0" borderId="0" applyNumberFormat="0" applyBorder="0" applyProtection="0"/>
    <xf numFmtId="174" fontId="9" fillId="0" borderId="0" applyBorder="0" applyProtection="0"/>
    <xf numFmtId="0" fontId="10" fillId="0" borderId="0" applyNumberFormat="0" applyBorder="0" applyProtection="0">
      <alignment horizontal="center"/>
    </xf>
    <xf numFmtId="0" fontId="10" fillId="0" borderId="0" applyNumberFormat="0" applyBorder="0" applyProtection="0">
      <alignment horizontal="center" textRotation="90"/>
    </xf>
    <xf numFmtId="0" fontId="1" fillId="0" borderId="0"/>
    <xf numFmtId="9" fontId="1" fillId="0" borderId="0" applyFont="0" applyFill="0" applyBorder="0" applyAlignment="0" applyProtection="0"/>
    <xf numFmtId="0" fontId="11" fillId="0" borderId="0" applyNumberFormat="0" applyBorder="0" applyProtection="0"/>
    <xf numFmtId="175" fontId="11" fillId="0" borderId="0" applyBorder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8" fillId="0" borderId="0" applyBorder="0" applyProtection="0"/>
  </cellStyleXfs>
  <cellXfs count="143">
    <xf numFmtId="0" fontId="0" fillId="0" borderId="0" xfId="0"/>
    <xf numFmtId="0" fontId="1" fillId="0" borderId="0" xfId="10" applyFont="1" applyFill="1" applyAlignment="1">
      <alignment vertical="center"/>
    </xf>
    <xf numFmtId="0" fontId="3" fillId="0" borderId="0" xfId="10" applyFont="1" applyFill="1" applyBorder="1" applyAlignment="1">
      <alignment horizontal="center" vertical="center" wrapText="1"/>
    </xf>
    <xf numFmtId="0" fontId="3" fillId="0" borderId="0" xfId="10" applyFont="1" applyFill="1" applyBorder="1" applyAlignment="1">
      <alignment horizontal="center" wrapText="1"/>
    </xf>
    <xf numFmtId="43" fontId="3" fillId="0" borderId="0" xfId="14" applyFont="1" applyFill="1" applyBorder="1" applyAlignment="1">
      <alignment horizontal="center" vertical="center" wrapText="1"/>
    </xf>
    <xf numFmtId="0" fontId="3" fillId="0" borderId="0" xfId="10" applyFont="1" applyFill="1" applyBorder="1" applyAlignment="1">
      <alignment horizontal="left" vertical="center"/>
    </xf>
    <xf numFmtId="0" fontId="3" fillId="0" borderId="0" xfId="10" applyFont="1" applyFill="1" applyBorder="1" applyAlignment="1">
      <alignment horizontal="center"/>
    </xf>
    <xf numFmtId="0" fontId="1" fillId="0" borderId="0" xfId="10" applyFont="1" applyFill="1" applyBorder="1" applyAlignment="1">
      <alignment horizontal="left" vertical="center" wrapText="1"/>
    </xf>
    <xf numFmtId="0" fontId="1" fillId="0" borderId="0" xfId="10" applyFont="1" applyFill="1" applyBorder="1" applyAlignment="1">
      <alignment horizontal="center" vertical="center" wrapText="1"/>
    </xf>
    <xf numFmtId="43" fontId="1" fillId="0" borderId="0" xfId="14" applyFont="1" applyFill="1" applyBorder="1" applyAlignment="1">
      <alignment vertical="center" wrapText="1"/>
    </xf>
    <xf numFmtId="0" fontId="1" fillId="0" borderId="0" xfId="10" applyFont="1" applyFill="1" applyBorder="1" applyAlignment="1">
      <alignment vertical="center" wrapText="1"/>
    </xf>
    <xf numFmtId="0" fontId="3" fillId="0" borderId="0" xfId="10" applyFont="1" applyFill="1" applyBorder="1" applyAlignment="1">
      <alignment horizontal="center" vertical="center"/>
    </xf>
    <xf numFmtId="0" fontId="1" fillId="0" borderId="0" xfId="10" applyFont="1" applyFill="1" applyBorder="1" applyAlignment="1">
      <alignment horizontal="center" vertical="center"/>
    </xf>
    <xf numFmtId="0" fontId="1" fillId="0" borderId="0" xfId="10" applyFont="1" applyFill="1" applyBorder="1" applyAlignment="1">
      <alignment vertical="center"/>
    </xf>
    <xf numFmtId="0" fontId="1" fillId="0" borderId="0" xfId="10" applyFont="1" applyFill="1" applyAlignment="1">
      <alignment horizontal="center" vertical="center"/>
    </xf>
    <xf numFmtId="0" fontId="1" fillId="0" borderId="0" xfId="10" applyFont="1" applyFill="1" applyAlignment="1">
      <alignment horizontal="center"/>
    </xf>
    <xf numFmtId="0" fontId="1" fillId="0" borderId="0" xfId="10" applyFont="1" applyFill="1" applyAlignment="1">
      <alignment horizontal="left" vertical="center"/>
    </xf>
    <xf numFmtId="43" fontId="1" fillId="0" borderId="0" xfId="14" applyFont="1" applyFill="1" applyAlignment="1">
      <alignment vertical="center"/>
    </xf>
    <xf numFmtId="0" fontId="3" fillId="2" borderId="1" xfId="10" applyFont="1" applyFill="1" applyBorder="1" applyAlignment="1">
      <alignment horizontal="center" vertical="center"/>
    </xf>
    <xf numFmtId="0" fontId="3" fillId="0" borderId="1" xfId="10" applyFont="1" applyFill="1" applyBorder="1" applyAlignment="1">
      <alignment horizontal="center"/>
    </xf>
    <xf numFmtId="0" fontId="3" fillId="0" borderId="1" xfId="10" applyFont="1" applyFill="1" applyBorder="1" applyAlignment="1">
      <alignment horizontal="center" vertical="center"/>
    </xf>
    <xf numFmtId="43" fontId="3" fillId="0" borderId="1" xfId="14" applyFont="1" applyFill="1" applyBorder="1" applyAlignment="1">
      <alignment vertical="center"/>
    </xf>
    <xf numFmtId="0" fontId="3" fillId="0" borderId="1" xfId="10" applyFont="1" applyFill="1" applyBorder="1" applyAlignment="1">
      <alignment vertical="center"/>
    </xf>
    <xf numFmtId="0" fontId="1" fillId="0" borderId="1" xfId="10" applyFont="1" applyFill="1" applyBorder="1" applyAlignment="1">
      <alignment vertical="center"/>
    </xf>
    <xf numFmtId="0" fontId="1" fillId="0" borderId="1" xfId="10" applyFont="1" applyFill="1" applyBorder="1" applyAlignment="1">
      <alignment horizontal="center" vertical="center"/>
    </xf>
    <xf numFmtId="0" fontId="1" fillId="0" borderId="1" xfId="10" applyFont="1" applyFill="1" applyBorder="1" applyAlignment="1">
      <alignment horizontal="center"/>
    </xf>
    <xf numFmtId="43" fontId="1" fillId="0" borderId="1" xfId="14" applyFont="1" applyFill="1" applyBorder="1" applyAlignment="1">
      <alignment vertical="center"/>
    </xf>
    <xf numFmtId="4" fontId="3" fillId="0" borderId="1" xfId="10" applyNumberFormat="1" applyFont="1" applyFill="1" applyBorder="1" applyAlignment="1">
      <alignment vertical="center"/>
    </xf>
    <xf numFmtId="0" fontId="1" fillId="0" borderId="1" xfId="10" applyFont="1" applyFill="1" applyBorder="1" applyAlignment="1">
      <alignment horizontal="center" wrapText="1"/>
    </xf>
    <xf numFmtId="4" fontId="1" fillId="0" borderId="1" xfId="10" applyNumberFormat="1" applyFont="1" applyFill="1" applyBorder="1" applyAlignment="1">
      <alignment vertical="center"/>
    </xf>
    <xf numFmtId="0" fontId="1" fillId="0" borderId="1" xfId="10" applyFont="1" applyFill="1" applyBorder="1" applyAlignment="1">
      <alignment horizontal="center" vertical="center" wrapText="1"/>
    </xf>
    <xf numFmtId="0" fontId="1" fillId="0" borderId="1" xfId="10" applyFont="1" applyFill="1" applyBorder="1" applyAlignment="1">
      <alignment horizontal="left" vertical="center" wrapText="1"/>
    </xf>
    <xf numFmtId="0" fontId="1" fillId="0" borderId="1" xfId="10" applyFont="1" applyFill="1" applyBorder="1" applyAlignment="1">
      <alignment horizontal="left" vertical="center"/>
    </xf>
    <xf numFmtId="0" fontId="3" fillId="0" borderId="1" xfId="10" applyFont="1" applyFill="1" applyBorder="1" applyAlignment="1">
      <alignment horizontal="center" wrapText="1"/>
    </xf>
    <xf numFmtId="0" fontId="3" fillId="0" borderId="1" xfId="10" applyFont="1" applyFill="1" applyBorder="1" applyAlignment="1">
      <alignment vertical="center" wrapText="1"/>
    </xf>
    <xf numFmtId="43" fontId="3" fillId="0" borderId="1" xfId="14" applyFont="1" applyFill="1" applyBorder="1" applyAlignment="1">
      <alignment vertical="center" wrapText="1"/>
    </xf>
    <xf numFmtId="4" fontId="3" fillId="0" borderId="1" xfId="10" applyNumberFormat="1" applyFont="1" applyFill="1" applyBorder="1" applyAlignment="1">
      <alignment vertical="center" wrapText="1"/>
    </xf>
    <xf numFmtId="0" fontId="3" fillId="0" borderId="1" xfId="10" applyFont="1" applyFill="1" applyBorder="1" applyAlignment="1">
      <alignment horizontal="left" vertical="center"/>
    </xf>
    <xf numFmtId="4" fontId="1" fillId="0" borderId="0" xfId="10" applyNumberFormat="1" applyFont="1" applyFill="1" applyAlignment="1">
      <alignment vertical="center"/>
    </xf>
    <xf numFmtId="0" fontId="1" fillId="0" borderId="0" xfId="10" applyFont="1" applyAlignment="1">
      <alignment vertical="center"/>
    </xf>
    <xf numFmtId="0" fontId="1" fillId="0" borderId="1" xfId="10" applyFont="1" applyBorder="1" applyAlignment="1">
      <alignment vertical="center"/>
    </xf>
    <xf numFmtId="0" fontId="1" fillId="0" borderId="2" xfId="10" applyFont="1" applyFill="1" applyBorder="1" applyAlignment="1">
      <alignment horizontal="center" vertical="center"/>
    </xf>
    <xf numFmtId="0" fontId="3" fillId="0" borderId="1" xfId="10" applyFont="1" applyFill="1" applyBorder="1" applyAlignment="1">
      <alignment horizontal="left" vertical="center" wrapText="1"/>
    </xf>
    <xf numFmtId="171" fontId="3" fillId="0" borderId="1" xfId="10" applyNumberFormat="1" applyFont="1" applyFill="1" applyBorder="1" applyAlignment="1">
      <alignment vertical="center"/>
    </xf>
    <xf numFmtId="0" fontId="3" fillId="3" borderId="1" xfId="10" applyFont="1" applyFill="1" applyBorder="1" applyAlignment="1">
      <alignment horizontal="center"/>
    </xf>
    <xf numFmtId="0" fontId="3" fillId="3" borderId="1" xfId="10" applyFont="1" applyFill="1" applyBorder="1" applyAlignment="1">
      <alignment vertical="center"/>
    </xf>
    <xf numFmtId="43" fontId="3" fillId="3" borderId="1" xfId="14" applyFont="1" applyFill="1" applyBorder="1" applyAlignment="1">
      <alignment vertical="center"/>
    </xf>
    <xf numFmtId="4" fontId="3" fillId="3" borderId="1" xfId="10" applyNumberFormat="1" applyFont="1" applyFill="1" applyBorder="1" applyAlignment="1">
      <alignment vertical="center"/>
    </xf>
    <xf numFmtId="172" fontId="5" fillId="0" borderId="1" xfId="4" applyFont="1" applyFill="1" applyBorder="1" applyAlignment="1">
      <alignment horizontal="center" wrapText="1"/>
    </xf>
    <xf numFmtId="0" fontId="5" fillId="0" borderId="1" xfId="5" applyNumberFormat="1" applyFont="1" applyFill="1" applyBorder="1" applyAlignment="1">
      <alignment horizontal="center" wrapText="1"/>
    </xf>
    <xf numFmtId="0" fontId="5" fillId="0" borderId="1" xfId="5" applyFont="1" applyFill="1" applyBorder="1" applyAlignment="1">
      <alignment horizontal="center" wrapText="1"/>
    </xf>
    <xf numFmtId="0" fontId="5" fillId="0" borderId="1" xfId="5" applyFont="1" applyFill="1" applyBorder="1" applyAlignment="1">
      <alignment horizontal="justify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1" fillId="0" borderId="1" xfId="10" applyFont="1" applyFill="1" applyBorder="1" applyAlignment="1">
      <alignment vertical="center" wrapText="1"/>
    </xf>
    <xf numFmtId="43" fontId="1" fillId="0" borderId="1" xfId="14" applyFont="1" applyFill="1" applyBorder="1" applyAlignment="1">
      <alignment vertical="center" wrapText="1"/>
    </xf>
    <xf numFmtId="0" fontId="3" fillId="0" borderId="1" xfId="10" applyFont="1" applyFill="1" applyBorder="1" applyAlignment="1">
      <alignment horizontal="right" vertical="center" wrapText="1"/>
    </xf>
    <xf numFmtId="43" fontId="3" fillId="0" borderId="1" xfId="14" applyFont="1" applyFill="1" applyBorder="1" applyAlignment="1">
      <alignment horizontal="right" vertical="center" wrapText="1"/>
    </xf>
    <xf numFmtId="0" fontId="3" fillId="0" borderId="0" xfId="10" applyFont="1" applyFill="1" applyAlignment="1">
      <alignment vertical="center"/>
    </xf>
    <xf numFmtId="4" fontId="1" fillId="0" borderId="1" xfId="10" applyNumberFormat="1" applyFont="1" applyFill="1" applyBorder="1" applyAlignment="1">
      <alignment vertical="center" wrapText="1"/>
    </xf>
    <xf numFmtId="49" fontId="1" fillId="0" borderId="1" xfId="10" applyNumberFormat="1" applyFont="1" applyFill="1" applyBorder="1" applyAlignment="1">
      <alignment vertical="center" wrapText="1"/>
    </xf>
    <xf numFmtId="43" fontId="1" fillId="0" borderId="0" xfId="10" applyNumberFormat="1" applyFont="1" applyFill="1" applyAlignment="1">
      <alignment vertical="center"/>
    </xf>
    <xf numFmtId="0" fontId="3" fillId="0" borderId="0" xfId="10" applyFont="1" applyFill="1" applyBorder="1" applyAlignment="1">
      <alignment vertical="center"/>
    </xf>
    <xf numFmtId="43" fontId="1" fillId="0" borderId="1" xfId="14" applyFont="1" applyFill="1" applyBorder="1" applyAlignment="1">
      <alignment horizontal="center"/>
    </xf>
    <xf numFmtId="43" fontId="1" fillId="0" borderId="1" xfId="14" applyFont="1" applyFill="1" applyBorder="1" applyAlignment="1"/>
    <xf numFmtId="43" fontId="1" fillId="0" borderId="1" xfId="14" applyFont="1" applyFill="1" applyBorder="1" applyAlignment="1">
      <alignment horizontal="right"/>
    </xf>
    <xf numFmtId="0" fontId="1" fillId="0" borderId="0" xfId="10" applyFont="1" applyFill="1" applyBorder="1" applyAlignment="1">
      <alignment horizontal="center"/>
    </xf>
    <xf numFmtId="0" fontId="1" fillId="0" borderId="0" xfId="10" applyFont="1" applyFill="1" applyBorder="1" applyAlignment="1">
      <alignment horizontal="left" vertical="center"/>
    </xf>
    <xf numFmtId="43" fontId="1" fillId="0" borderId="0" xfId="14" applyFont="1" applyFill="1" applyBorder="1" applyAlignment="1">
      <alignment vertical="center"/>
    </xf>
    <xf numFmtId="0" fontId="1" fillId="0" borderId="2" xfId="10" applyFont="1" applyFill="1" applyBorder="1" applyAlignment="1">
      <alignment horizontal="center"/>
    </xf>
    <xf numFmtId="0" fontId="1" fillId="0" borderId="2" xfId="10" applyFont="1" applyFill="1" applyBorder="1" applyAlignment="1">
      <alignment horizontal="left" vertical="center"/>
    </xf>
    <xf numFmtId="43" fontId="1" fillId="0" borderId="2" xfId="14" applyFont="1" applyFill="1" applyBorder="1" applyAlignment="1">
      <alignment vertical="center"/>
    </xf>
    <xf numFmtId="0" fontId="1" fillId="0" borderId="2" xfId="10" applyFont="1" applyFill="1" applyBorder="1" applyAlignment="1">
      <alignment vertical="center"/>
    </xf>
    <xf numFmtId="0" fontId="1" fillId="0" borderId="3" xfId="10" applyFont="1" applyFill="1" applyBorder="1" applyAlignment="1">
      <alignment horizontal="center" vertical="center"/>
    </xf>
    <xf numFmtId="49" fontId="3" fillId="3" borderId="4" xfId="10" applyNumberFormat="1" applyFont="1" applyFill="1" applyBorder="1" applyAlignment="1">
      <alignment horizontal="center"/>
    </xf>
    <xf numFmtId="0" fontId="1" fillId="3" borderId="4" xfId="10" applyFont="1" applyFill="1" applyBorder="1" applyAlignment="1">
      <alignment vertical="center"/>
    </xf>
    <xf numFmtId="43" fontId="1" fillId="3" borderId="4" xfId="14" applyFont="1" applyFill="1" applyBorder="1" applyAlignment="1">
      <alignment vertical="center"/>
    </xf>
    <xf numFmtId="49" fontId="3" fillId="3" borderId="4" xfId="10" applyNumberFormat="1" applyFont="1" applyFill="1" applyBorder="1" applyAlignment="1">
      <alignment horizontal="left"/>
    </xf>
    <xf numFmtId="43" fontId="3" fillId="0" borderId="3" xfId="14" applyFont="1" applyFill="1" applyBorder="1" applyAlignment="1">
      <alignment vertical="center"/>
    </xf>
    <xf numFmtId="49" fontId="3" fillId="4" borderId="5" xfId="10" applyNumberFormat="1" applyFont="1" applyFill="1" applyBorder="1" applyAlignment="1">
      <alignment horizontal="center" vertical="center"/>
    </xf>
    <xf numFmtId="49" fontId="3" fillId="4" borderId="6" xfId="10" applyNumberFormat="1" applyFont="1" applyFill="1" applyBorder="1" applyAlignment="1">
      <alignment horizontal="center" vertical="center"/>
    </xf>
    <xf numFmtId="0" fontId="1" fillId="0" borderId="1" xfId="10" applyFont="1" applyFill="1" applyBorder="1" applyAlignment="1">
      <alignment horizontal="left" vertical="justify" wrapText="1"/>
    </xf>
    <xf numFmtId="43" fontId="1" fillId="0" borderId="0" xfId="14" applyFont="1" applyFill="1" applyBorder="1" applyAlignment="1">
      <alignment horizontal="center" vertical="center" wrapText="1"/>
    </xf>
    <xf numFmtId="43" fontId="3" fillId="0" borderId="1" xfId="14" applyFont="1" applyFill="1" applyBorder="1" applyAlignment="1">
      <alignment horizontal="center" vertical="center"/>
    </xf>
    <xf numFmtId="43" fontId="3" fillId="4" borderId="7" xfId="14" applyFont="1" applyFill="1" applyBorder="1" applyAlignment="1">
      <alignment horizontal="center" vertical="center"/>
    </xf>
    <xf numFmtId="43" fontId="1" fillId="0" borderId="1" xfId="14" applyFont="1" applyFill="1" applyBorder="1" applyAlignment="1">
      <alignment horizontal="center" vertical="center"/>
    </xf>
    <xf numFmtId="43" fontId="1" fillId="0" borderId="1" xfId="14" applyFont="1" applyFill="1" applyBorder="1" applyAlignment="1">
      <alignment horizontal="right" vertical="center" wrapText="1"/>
    </xf>
    <xf numFmtId="43" fontId="1" fillId="0" borderId="1" xfId="14" applyFont="1" applyFill="1" applyBorder="1" applyAlignment="1">
      <alignment horizontal="center" vertical="center" wrapText="1"/>
    </xf>
    <xf numFmtId="43" fontId="1" fillId="0" borderId="2" xfId="14" applyFont="1" applyFill="1" applyBorder="1" applyAlignment="1">
      <alignment horizontal="center" vertical="center"/>
    </xf>
    <xf numFmtId="43" fontId="1" fillId="0" borderId="0" xfId="14" applyFont="1" applyFill="1" applyBorder="1" applyAlignment="1">
      <alignment horizontal="center" vertical="center"/>
    </xf>
    <xf numFmtId="43" fontId="1" fillId="0" borderId="0" xfId="14" applyFont="1" applyFill="1" applyAlignment="1">
      <alignment horizontal="center" vertical="center"/>
    </xf>
    <xf numFmtId="43" fontId="1" fillId="5" borderId="1" xfId="14" applyFont="1" applyFill="1" applyBorder="1" applyAlignment="1">
      <alignment horizontal="center" vertical="center"/>
    </xf>
    <xf numFmtId="0" fontId="1" fillId="5" borderId="1" xfId="10" applyFont="1" applyFill="1" applyBorder="1" applyAlignment="1">
      <alignment vertical="center" wrapText="1"/>
    </xf>
    <xf numFmtId="0" fontId="1" fillId="5" borderId="1" xfId="10" applyFont="1" applyFill="1" applyBorder="1" applyAlignment="1">
      <alignment horizontal="left" vertical="center" wrapText="1"/>
    </xf>
    <xf numFmtId="0" fontId="1" fillId="5" borderId="1" xfId="10" applyFont="1" applyFill="1" applyBorder="1" applyAlignment="1">
      <alignment horizontal="center"/>
    </xf>
    <xf numFmtId="0" fontId="1" fillId="5" borderId="1" xfId="10" applyFont="1" applyFill="1" applyBorder="1" applyAlignment="1">
      <alignment horizontal="center" vertical="center"/>
    </xf>
    <xf numFmtId="43" fontId="1" fillId="5" borderId="1" xfId="14" applyFont="1" applyFill="1" applyBorder="1" applyAlignment="1">
      <alignment vertical="center"/>
    </xf>
    <xf numFmtId="4" fontId="1" fillId="5" borderId="1" xfId="10" applyNumberFormat="1" applyFont="1" applyFill="1" applyBorder="1" applyAlignment="1">
      <alignment vertical="center"/>
    </xf>
    <xf numFmtId="43" fontId="3" fillId="5" borderId="1" xfId="14" applyFont="1" applyFill="1" applyBorder="1" applyAlignment="1">
      <alignment vertical="center"/>
    </xf>
    <xf numFmtId="43" fontId="1" fillId="5" borderId="0" xfId="10" applyNumberFormat="1" applyFont="1" applyFill="1" applyAlignment="1">
      <alignment vertical="center"/>
    </xf>
    <xf numFmtId="0" fontId="1" fillId="5" borderId="1" xfId="10" applyFont="1" applyFill="1" applyBorder="1" applyAlignment="1">
      <alignment horizontal="center" wrapText="1"/>
    </xf>
    <xf numFmtId="0" fontId="1" fillId="5" borderId="1" xfId="10" applyFont="1" applyFill="1" applyBorder="1" applyAlignment="1">
      <alignment vertical="center"/>
    </xf>
    <xf numFmtId="0" fontId="1" fillId="5" borderId="0" xfId="10" applyFont="1" applyFill="1" applyAlignment="1">
      <alignment vertical="center"/>
    </xf>
    <xf numFmtId="0" fontId="1" fillId="5" borderId="1" xfId="10" applyFont="1" applyFill="1" applyBorder="1" applyAlignment="1">
      <alignment horizontal="center" vertical="center" wrapText="1"/>
    </xf>
    <xf numFmtId="43" fontId="1" fillId="5" borderId="1" xfId="14" applyFont="1" applyFill="1" applyBorder="1" applyAlignment="1">
      <alignment horizontal="center" vertical="center" wrapText="1"/>
    </xf>
    <xf numFmtId="4" fontId="3" fillId="4" borderId="7" xfId="10" applyNumberFormat="1" applyFont="1" applyFill="1" applyBorder="1" applyAlignment="1">
      <alignment horizontal="center" vertical="center"/>
    </xf>
    <xf numFmtId="0" fontId="1" fillId="5" borderId="0" xfId="10" applyFont="1" applyFill="1" applyBorder="1" applyAlignment="1">
      <alignment vertical="center"/>
    </xf>
    <xf numFmtId="0" fontId="1" fillId="5" borderId="1" xfId="10" applyFont="1" applyFill="1" applyBorder="1" applyAlignment="1">
      <alignment horizontal="left" vertical="center"/>
    </xf>
    <xf numFmtId="0" fontId="3" fillId="5" borderId="1" xfId="10" applyFont="1" applyFill="1" applyBorder="1" applyAlignment="1">
      <alignment horizontal="center"/>
    </xf>
    <xf numFmtId="0" fontId="3" fillId="5" borderId="1" xfId="10" applyFont="1" applyFill="1" applyBorder="1" applyAlignment="1">
      <alignment vertical="center"/>
    </xf>
    <xf numFmtId="43" fontId="1" fillId="5" borderId="1" xfId="14" applyFont="1" applyFill="1" applyBorder="1" applyAlignment="1">
      <alignment horizontal="right" vertical="center"/>
    </xf>
    <xf numFmtId="49" fontId="1" fillId="5" borderId="1" xfId="10" applyNumberFormat="1" applyFont="1" applyFill="1" applyBorder="1" applyAlignment="1">
      <alignment horizontal="center" vertical="center"/>
    </xf>
    <xf numFmtId="4" fontId="3" fillId="5" borderId="1" xfId="10" applyNumberFormat="1" applyFont="1" applyFill="1" applyBorder="1" applyAlignment="1">
      <alignment vertical="center"/>
    </xf>
    <xf numFmtId="0" fontId="3" fillId="5" borderId="1" xfId="10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3" fontId="5" fillId="0" borderId="1" xfId="14" applyFont="1" applyFill="1" applyBorder="1" applyAlignment="1">
      <alignment horizontal="right" vertical="center" wrapText="1"/>
    </xf>
    <xf numFmtId="43" fontId="7" fillId="0" borderId="1" xfId="14" applyFont="1" applyFill="1" applyBorder="1" applyAlignment="1">
      <alignment vertical="center" wrapText="1"/>
    </xf>
    <xf numFmtId="0" fontId="7" fillId="0" borderId="1" xfId="10" applyFont="1" applyFill="1" applyBorder="1" applyAlignment="1">
      <alignment vertical="center" wrapText="1"/>
    </xf>
    <xf numFmtId="43" fontId="1" fillId="5" borderId="1" xfId="14" applyFont="1" applyFill="1" applyBorder="1" applyAlignment="1">
      <alignment horizontal="right" vertical="center" wrapText="1"/>
    </xf>
    <xf numFmtId="0" fontId="1" fillId="5" borderId="0" xfId="10" applyFont="1" applyFill="1" applyBorder="1" applyAlignment="1">
      <alignment horizontal="center" vertical="center" wrapText="1"/>
    </xf>
    <xf numFmtId="43" fontId="1" fillId="0" borderId="1" xfId="14" applyFont="1" applyFill="1" applyBorder="1" applyAlignment="1">
      <alignment horizontal="right" vertical="center"/>
    </xf>
    <xf numFmtId="43" fontId="1" fillId="3" borderId="1" xfId="14" applyFont="1" applyFill="1" applyBorder="1" applyAlignment="1">
      <alignment vertical="center"/>
    </xf>
    <xf numFmtId="43" fontId="1" fillId="6" borderId="0" xfId="14" applyFont="1" applyFill="1" applyBorder="1" applyAlignment="1">
      <alignment vertical="center"/>
    </xf>
    <xf numFmtId="0" fontId="1" fillId="6" borderId="0" xfId="10" applyFont="1" applyFill="1" applyBorder="1" applyAlignment="1">
      <alignment vertical="center"/>
    </xf>
    <xf numFmtId="0" fontId="1" fillId="6" borderId="0" xfId="10" applyFont="1" applyFill="1" applyAlignment="1">
      <alignment vertical="center"/>
    </xf>
    <xf numFmtId="43" fontId="1" fillId="6" borderId="0" xfId="14" applyFont="1" applyFill="1" applyAlignment="1">
      <alignment vertical="center"/>
    </xf>
    <xf numFmtId="0" fontId="2" fillId="0" borderId="8" xfId="10" applyFont="1" applyFill="1" applyBorder="1" applyAlignment="1">
      <alignment horizontal="center" vertical="center" wrapText="1"/>
    </xf>
    <xf numFmtId="0" fontId="3" fillId="0" borderId="9" xfId="10" applyFont="1" applyFill="1" applyBorder="1" applyAlignment="1">
      <alignment horizontal="center" vertical="center" wrapText="1"/>
    </xf>
    <xf numFmtId="0" fontId="3" fillId="0" borderId="10" xfId="10" applyFont="1" applyFill="1" applyBorder="1" applyAlignment="1">
      <alignment horizontal="center" vertical="center" wrapText="1"/>
    </xf>
    <xf numFmtId="0" fontId="3" fillId="0" borderId="11" xfId="10" applyFont="1" applyFill="1" applyBorder="1" applyAlignment="1">
      <alignment horizontal="center" vertical="center" wrapText="1"/>
    </xf>
    <xf numFmtId="0" fontId="3" fillId="0" borderId="0" xfId="10" applyFont="1" applyFill="1" applyBorder="1" applyAlignment="1">
      <alignment horizontal="center" vertical="center" wrapText="1"/>
    </xf>
    <xf numFmtId="0" fontId="3" fillId="0" borderId="12" xfId="10" applyFont="1" applyFill="1" applyBorder="1" applyAlignment="1">
      <alignment horizontal="center" vertical="center" wrapText="1"/>
    </xf>
    <xf numFmtId="0" fontId="3" fillId="0" borderId="13" xfId="10" applyFont="1" applyFill="1" applyBorder="1" applyAlignment="1">
      <alignment horizontal="center" vertical="center" wrapText="1"/>
    </xf>
    <xf numFmtId="0" fontId="3" fillId="0" borderId="14" xfId="10" applyFont="1" applyFill="1" applyBorder="1" applyAlignment="1">
      <alignment horizontal="center" vertical="center" wrapText="1"/>
    </xf>
    <xf numFmtId="0" fontId="3" fillId="0" borderId="15" xfId="10" applyFont="1" applyFill="1" applyBorder="1" applyAlignment="1">
      <alignment horizontal="center" vertical="center" wrapText="1"/>
    </xf>
    <xf numFmtId="0" fontId="3" fillId="0" borderId="0" xfId="10" applyFont="1" applyFill="1" applyBorder="1" applyAlignment="1">
      <alignment horizontal="left" vertical="center"/>
    </xf>
    <xf numFmtId="43" fontId="3" fillId="0" borderId="0" xfId="15" applyFont="1" applyFill="1" applyAlignment="1">
      <alignment horizontal="center" vertical="center"/>
    </xf>
    <xf numFmtId="43" fontId="3" fillId="7" borderId="0" xfId="14" applyFont="1" applyFill="1" applyBorder="1" applyAlignment="1">
      <alignment horizontal="center" vertical="center" wrapText="1"/>
    </xf>
    <xf numFmtId="49" fontId="1" fillId="0" borderId="1" xfId="1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0" xfId="10" quotePrefix="1" applyFont="1" applyFill="1" applyBorder="1" applyAlignment="1">
      <alignment horizontal="center" vertical="center" wrapText="1"/>
    </xf>
    <xf numFmtId="43" fontId="1" fillId="0" borderId="0" xfId="10" applyNumberFormat="1" applyFont="1" applyFill="1" applyBorder="1" applyAlignment="1">
      <alignment horizontal="center" vertical="center" wrapText="1"/>
    </xf>
    <xf numFmtId="4" fontId="3" fillId="4" borderId="6" xfId="10" applyNumberFormat="1" applyFont="1" applyFill="1" applyBorder="1" applyAlignment="1">
      <alignment horizontal="center" vertical="justify"/>
    </xf>
    <xf numFmtId="0" fontId="1" fillId="0" borderId="0" xfId="10" applyFont="1" applyFill="1" applyBorder="1" applyAlignment="1">
      <alignment horizontal="right" vertical="center" wrapText="1"/>
    </xf>
  </cellXfs>
  <cellStyles count="17">
    <cellStyle name="20% - Ênfase1 100" xfId="1"/>
    <cellStyle name="60% - Ênfase6 37" xfId="2"/>
    <cellStyle name="Excel Built-in Excel Built-in Excel Built-in Excel Built-in Excel Built-in Excel Built-in Excel Built-in Excel Built-in Separador de milhares 4" xfId="3"/>
    <cellStyle name="Excel Built-in Excel Built-in Excel Built-in Excel Built-in Excel Built-in Excel Built-in Excel Built-in Separador de milhares 4" xfId="4"/>
    <cellStyle name="Excel Built-in Normal" xfId="5"/>
    <cellStyle name="Excel Built-in Normal 1" xfId="6"/>
    <cellStyle name="Excel_BuiltIn_Comma" xfId="7"/>
    <cellStyle name="Heading" xfId="8"/>
    <cellStyle name="Heading1" xfId="9"/>
    <cellStyle name="Normal" xfId="0" builtinId="0"/>
    <cellStyle name="Normal 2" xfId="10"/>
    <cellStyle name="Porcentagem 2" xfId="11"/>
    <cellStyle name="Result" xfId="12"/>
    <cellStyle name="Result2" xfId="13"/>
    <cellStyle name="Separador de milhares" xfId="14" builtinId="3"/>
    <cellStyle name="Separador de milhares 2" xfId="15"/>
    <cellStyle name="Separador de milhares 4" xfId="16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85725</xdr:rowOff>
    </xdr:from>
    <xdr:to>
      <xdr:col>2</xdr:col>
      <xdr:colOff>381000</xdr:colOff>
      <xdr:row>2</xdr:row>
      <xdr:rowOff>85725</xdr:rowOff>
    </xdr:to>
    <xdr:pic>
      <xdr:nvPicPr>
        <xdr:cNvPr id="172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0" y="85725"/>
          <a:ext cx="9810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457200</xdr:colOff>
      <xdr:row>0</xdr:row>
      <xdr:rowOff>95250</xdr:rowOff>
    </xdr:from>
    <xdr:to>
      <xdr:col>3</xdr:col>
      <xdr:colOff>619125</xdr:colOff>
      <xdr:row>2</xdr:row>
      <xdr:rowOff>76200</xdr:rowOff>
    </xdr:to>
    <xdr:pic>
      <xdr:nvPicPr>
        <xdr:cNvPr id="173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33525" y="95250"/>
          <a:ext cx="91440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3"/>
  <sheetViews>
    <sheetView showGridLines="0" tabSelected="1" zoomScale="85" zoomScaleNormal="85" zoomScaleSheetLayoutView="50" workbookViewId="0">
      <selection activeCell="J409" sqref="J409"/>
    </sheetView>
  </sheetViews>
  <sheetFormatPr defaultRowHeight="12.75" outlineLevelRow="1"/>
  <cols>
    <col min="1" max="1" width="5.5" style="14" customWidth="1"/>
    <col min="2" max="2" width="8.625" style="15" customWidth="1"/>
    <col min="3" max="3" width="9.875" style="15" customWidth="1"/>
    <col min="4" max="4" width="10" style="15" customWidth="1"/>
    <col min="5" max="5" width="65.875" style="16" customWidth="1"/>
    <col min="6" max="6" width="6.375" style="14" bestFit="1" customWidth="1"/>
    <col min="7" max="7" width="10.75" style="89" customWidth="1"/>
    <col min="8" max="8" width="11.25" style="17" customWidth="1"/>
    <col min="9" max="9" width="11.5" style="1" customWidth="1"/>
    <col min="10" max="10" width="14.5" style="1" customWidth="1"/>
    <col min="11" max="11" width="11.125" style="1" customWidth="1"/>
    <col min="12" max="12" width="10.625" style="1" customWidth="1"/>
    <col min="13" max="16384" width="9" style="1"/>
  </cols>
  <sheetData>
    <row r="1" spans="1:12" ht="12.75" customHeight="1">
      <c r="A1" s="125" t="s">
        <v>356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2" ht="14.25" customHeight="1">
      <c r="A2" s="128"/>
      <c r="B2" s="129"/>
      <c r="C2" s="129"/>
      <c r="D2" s="129"/>
      <c r="E2" s="129"/>
      <c r="F2" s="129"/>
      <c r="G2" s="129"/>
      <c r="H2" s="129"/>
      <c r="I2" s="129"/>
      <c r="J2" s="130"/>
    </row>
    <row r="3" spans="1:12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3"/>
    </row>
    <row r="4" spans="1:12" ht="15" customHeight="1">
      <c r="A4" s="2"/>
      <c r="B4" s="3"/>
      <c r="C4" s="3"/>
      <c r="D4" s="3"/>
      <c r="E4" s="2"/>
      <c r="F4" s="2"/>
      <c r="G4" s="4"/>
      <c r="H4" s="4"/>
      <c r="I4" s="2"/>
      <c r="J4" s="2"/>
    </row>
    <row r="5" spans="1:12" ht="14.25" customHeight="1">
      <c r="A5" s="5" t="s">
        <v>519</v>
      </c>
      <c r="B5" s="6"/>
      <c r="C5" s="6"/>
      <c r="D5" s="6"/>
      <c r="E5" s="7"/>
      <c r="F5" s="8"/>
      <c r="G5" s="81"/>
      <c r="H5" s="9"/>
      <c r="I5" s="10"/>
      <c r="J5" s="10"/>
    </row>
    <row r="6" spans="1:12" ht="14.25" customHeight="1">
      <c r="A6" s="11"/>
      <c r="B6" s="6"/>
      <c r="C6" s="6"/>
      <c r="D6" s="6"/>
      <c r="E6" s="7"/>
      <c r="F6" s="8"/>
      <c r="G6" s="81"/>
      <c r="H6" s="9"/>
      <c r="I6" s="10"/>
      <c r="J6" s="10"/>
    </row>
    <row r="7" spans="1:12" ht="15" customHeight="1">
      <c r="A7" s="5" t="s">
        <v>639</v>
      </c>
      <c r="B7" s="6"/>
      <c r="C7" s="6"/>
      <c r="D7" s="6"/>
      <c r="E7" s="142" t="s">
        <v>795</v>
      </c>
      <c r="F7" s="139" t="s">
        <v>796</v>
      </c>
      <c r="G7" s="136">
        <v>25.5</v>
      </c>
      <c r="H7" s="136"/>
      <c r="I7" s="10"/>
      <c r="J7" s="10"/>
    </row>
    <row r="8" spans="1:12" hidden="1">
      <c r="A8" s="12"/>
      <c r="B8" s="6"/>
      <c r="C8" s="6"/>
      <c r="D8" s="6"/>
      <c r="E8" s="7"/>
      <c r="F8" s="8"/>
      <c r="G8" s="81"/>
      <c r="H8" s="9"/>
      <c r="I8" s="10"/>
      <c r="J8" s="140">
        <f>G7/100+1</f>
        <v>1.2549999999999999</v>
      </c>
    </row>
    <row r="9" spans="1:12">
      <c r="A9" s="12"/>
      <c r="B9" s="6"/>
      <c r="C9" s="6"/>
      <c r="D9" s="6"/>
      <c r="E9" s="7"/>
      <c r="F9" s="8"/>
      <c r="G9" s="81"/>
      <c r="H9" s="9"/>
      <c r="I9" s="10"/>
      <c r="J9" s="8"/>
    </row>
    <row r="10" spans="1:12">
      <c r="A10" s="134" t="s">
        <v>357</v>
      </c>
      <c r="B10" s="134"/>
      <c r="C10" s="134"/>
      <c r="D10" s="134"/>
      <c r="E10" s="134"/>
      <c r="F10" s="134"/>
      <c r="G10" s="134"/>
      <c r="H10" s="134"/>
      <c r="I10" s="134"/>
      <c r="J10" s="134"/>
    </row>
    <row r="12" spans="1:12">
      <c r="A12" s="18">
        <v>10</v>
      </c>
      <c r="B12" s="19"/>
      <c r="C12" s="19"/>
      <c r="D12" s="19"/>
      <c r="E12" s="37" t="s">
        <v>157</v>
      </c>
      <c r="F12" s="20" t="s">
        <v>366</v>
      </c>
      <c r="G12" s="82">
        <v>1</v>
      </c>
      <c r="H12" s="21"/>
      <c r="I12" s="43"/>
      <c r="J12" s="21">
        <f>J404</f>
        <v>0</v>
      </c>
    </row>
    <row r="13" spans="1:12" ht="13.5" thickBot="1">
      <c r="A13" s="20"/>
      <c r="B13" s="19"/>
      <c r="C13" s="19"/>
      <c r="D13" s="19"/>
      <c r="E13" s="37"/>
      <c r="F13" s="20"/>
      <c r="G13" s="82"/>
      <c r="H13" s="21"/>
      <c r="I13" s="22"/>
      <c r="J13" s="27"/>
    </row>
    <row r="14" spans="1:12" ht="24.75" customHeight="1" thickBot="1">
      <c r="A14" s="23"/>
      <c r="B14" s="78" t="s">
        <v>358</v>
      </c>
      <c r="C14" s="79" t="s">
        <v>359</v>
      </c>
      <c r="D14" s="79" t="s">
        <v>360</v>
      </c>
      <c r="E14" s="79" t="s">
        <v>361</v>
      </c>
      <c r="F14" s="79" t="s">
        <v>362</v>
      </c>
      <c r="G14" s="83" t="s">
        <v>363</v>
      </c>
      <c r="H14" s="141" t="s">
        <v>797</v>
      </c>
      <c r="I14" s="141" t="s">
        <v>798</v>
      </c>
      <c r="J14" s="104" t="s">
        <v>364</v>
      </c>
      <c r="L14" s="38"/>
    </row>
    <row r="15" spans="1:12">
      <c r="A15" s="24"/>
      <c r="B15" s="25"/>
      <c r="C15" s="25"/>
      <c r="D15" s="25"/>
      <c r="E15" s="32"/>
      <c r="F15" s="24"/>
      <c r="G15" s="84"/>
      <c r="H15" s="26"/>
      <c r="I15" s="23"/>
      <c r="J15" s="23"/>
    </row>
    <row r="16" spans="1:12">
      <c r="A16" s="24"/>
      <c r="B16" s="44">
        <v>1</v>
      </c>
      <c r="C16" s="44"/>
      <c r="D16" s="44"/>
      <c r="E16" s="45" t="s">
        <v>410</v>
      </c>
      <c r="F16" s="45"/>
      <c r="G16" s="46"/>
      <c r="H16" s="46"/>
      <c r="I16" s="45"/>
      <c r="J16" s="47">
        <f>J23</f>
        <v>0</v>
      </c>
      <c r="L16" s="60"/>
    </row>
    <row r="17" spans="1:12" outlineLevel="1">
      <c r="A17" s="24"/>
      <c r="B17" s="25" t="s">
        <v>365</v>
      </c>
      <c r="C17" s="25" t="s">
        <v>411</v>
      </c>
      <c r="D17" s="48" t="s">
        <v>371</v>
      </c>
      <c r="E17" s="32" t="s">
        <v>412</v>
      </c>
      <c r="F17" s="24" t="s">
        <v>413</v>
      </c>
      <c r="G17" s="82">
        <f>4*2.5</f>
        <v>10</v>
      </c>
      <c r="H17" s="26"/>
      <c r="I17" s="29">
        <f t="shared" ref="I17:I22" si="0">H17*$J$8</f>
        <v>0</v>
      </c>
      <c r="J17" s="29">
        <f t="shared" ref="J17:J22" si="1">G17*I17</f>
        <v>0</v>
      </c>
      <c r="L17" s="60"/>
    </row>
    <row r="18" spans="1:12" outlineLevel="1">
      <c r="A18" s="24"/>
      <c r="B18" s="25" t="s">
        <v>414</v>
      </c>
      <c r="C18" s="49" t="s">
        <v>415</v>
      </c>
      <c r="D18" s="50" t="s">
        <v>416</v>
      </c>
      <c r="E18" s="23" t="s">
        <v>417</v>
      </c>
      <c r="F18" s="24" t="s">
        <v>366</v>
      </c>
      <c r="G18" s="84">
        <v>1</v>
      </c>
      <c r="H18" s="26"/>
      <c r="I18" s="29">
        <f t="shared" si="0"/>
        <v>0</v>
      </c>
      <c r="J18" s="29">
        <f t="shared" si="1"/>
        <v>0</v>
      </c>
      <c r="L18" s="60"/>
    </row>
    <row r="19" spans="1:12" outlineLevel="1">
      <c r="A19" s="24"/>
      <c r="B19" s="25" t="s">
        <v>418</v>
      </c>
      <c r="C19" s="25" t="s">
        <v>419</v>
      </c>
      <c r="D19" s="48" t="s">
        <v>371</v>
      </c>
      <c r="E19" s="32" t="s">
        <v>420</v>
      </c>
      <c r="F19" s="24" t="s">
        <v>366</v>
      </c>
      <c r="G19" s="84">
        <v>1</v>
      </c>
      <c r="H19" s="26"/>
      <c r="I19" s="29">
        <f t="shared" si="0"/>
        <v>0</v>
      </c>
      <c r="J19" s="29">
        <f t="shared" si="1"/>
        <v>0</v>
      </c>
      <c r="L19" s="60"/>
    </row>
    <row r="20" spans="1:12" outlineLevel="1">
      <c r="A20" s="24"/>
      <c r="B20" s="25" t="s">
        <v>421</v>
      </c>
      <c r="C20" s="49" t="s">
        <v>422</v>
      </c>
      <c r="D20" s="50" t="s">
        <v>416</v>
      </c>
      <c r="E20" s="51" t="s">
        <v>423</v>
      </c>
      <c r="F20" s="52" t="s">
        <v>366</v>
      </c>
      <c r="G20" s="84">
        <v>1</v>
      </c>
      <c r="H20" s="114"/>
      <c r="I20" s="29">
        <f t="shared" si="0"/>
        <v>0</v>
      </c>
      <c r="J20" s="29">
        <f t="shared" si="1"/>
        <v>0</v>
      </c>
      <c r="L20" s="60"/>
    </row>
    <row r="21" spans="1:12" ht="26.25" customHeight="1" outlineLevel="1">
      <c r="A21" s="24"/>
      <c r="B21" s="25" t="s">
        <v>424</v>
      </c>
      <c r="C21" s="25" t="s">
        <v>425</v>
      </c>
      <c r="D21" s="48" t="s">
        <v>371</v>
      </c>
      <c r="E21" s="31" t="s">
        <v>426</v>
      </c>
      <c r="F21" s="24" t="s">
        <v>413</v>
      </c>
      <c r="G21" s="84">
        <v>40</v>
      </c>
      <c r="H21" s="26"/>
      <c r="I21" s="29">
        <f t="shared" si="0"/>
        <v>0</v>
      </c>
      <c r="J21" s="29">
        <f t="shared" si="1"/>
        <v>0</v>
      </c>
      <c r="L21" s="60"/>
    </row>
    <row r="22" spans="1:12" outlineLevel="1">
      <c r="A22" s="24"/>
      <c r="B22" s="25" t="s">
        <v>427</v>
      </c>
      <c r="C22" s="25" t="s">
        <v>428</v>
      </c>
      <c r="D22" s="48" t="s">
        <v>371</v>
      </c>
      <c r="E22" s="32" t="s">
        <v>429</v>
      </c>
      <c r="F22" s="24" t="s">
        <v>413</v>
      </c>
      <c r="G22" s="84">
        <v>565.62</v>
      </c>
      <c r="H22" s="26"/>
      <c r="I22" s="29">
        <f t="shared" si="0"/>
        <v>0</v>
      </c>
      <c r="J22" s="29">
        <f t="shared" si="1"/>
        <v>0</v>
      </c>
      <c r="L22" s="60"/>
    </row>
    <row r="23" spans="1:12" ht="12.75" customHeight="1" outlineLevel="1">
      <c r="A23" s="24"/>
      <c r="B23" s="33" t="s">
        <v>430</v>
      </c>
      <c r="C23" s="33"/>
      <c r="D23" s="33"/>
      <c r="E23" s="34"/>
      <c r="F23" s="34"/>
      <c r="G23" s="54"/>
      <c r="H23" s="35"/>
      <c r="I23" s="34"/>
      <c r="J23" s="36">
        <f>SUM(J17:J22)</f>
        <v>0</v>
      </c>
      <c r="L23" s="60"/>
    </row>
    <row r="24" spans="1:12">
      <c r="A24" s="24"/>
      <c r="B24" s="25"/>
      <c r="C24" s="25"/>
      <c r="D24" s="25"/>
      <c r="E24" s="32"/>
      <c r="F24" s="24"/>
      <c r="G24" s="84"/>
      <c r="H24" s="26"/>
      <c r="I24" s="23"/>
      <c r="J24" s="23"/>
      <c r="L24" s="60"/>
    </row>
    <row r="25" spans="1:12">
      <c r="A25" s="24"/>
      <c r="B25" s="44">
        <v>2</v>
      </c>
      <c r="C25" s="44"/>
      <c r="D25" s="44"/>
      <c r="E25" s="45" t="s">
        <v>376</v>
      </c>
      <c r="F25" s="45"/>
      <c r="G25" s="120"/>
      <c r="H25" s="46"/>
      <c r="I25" s="45"/>
      <c r="J25" s="47">
        <f>J30</f>
        <v>0</v>
      </c>
      <c r="L25" s="60"/>
    </row>
    <row r="26" spans="1:12" outlineLevel="1">
      <c r="A26" s="24"/>
      <c r="B26" s="28" t="s">
        <v>367</v>
      </c>
      <c r="C26" s="28">
        <v>55835</v>
      </c>
      <c r="D26" s="28" t="s">
        <v>371</v>
      </c>
      <c r="E26" s="31" t="s">
        <v>378</v>
      </c>
      <c r="F26" s="30" t="s">
        <v>369</v>
      </c>
      <c r="G26" s="85">
        <v>225.6</v>
      </c>
      <c r="H26" s="26"/>
      <c r="I26" s="29">
        <f>H26*$J$8</f>
        <v>0</v>
      </c>
      <c r="J26" s="29">
        <f>G26*I26</f>
        <v>0</v>
      </c>
      <c r="L26" s="60"/>
    </row>
    <row r="27" spans="1:12" outlineLevel="1">
      <c r="A27" s="24"/>
      <c r="B27" s="28" t="s">
        <v>431</v>
      </c>
      <c r="C27" s="28" t="s">
        <v>640</v>
      </c>
      <c r="D27" s="28" t="s">
        <v>371</v>
      </c>
      <c r="E27" s="31" t="s">
        <v>380</v>
      </c>
      <c r="F27" s="30" t="s">
        <v>369</v>
      </c>
      <c r="G27" s="85">
        <v>137.63999999999999</v>
      </c>
      <c r="H27" s="26"/>
      <c r="I27" s="29">
        <f>H27*$J$8</f>
        <v>0</v>
      </c>
      <c r="J27" s="29">
        <f>G27*I27</f>
        <v>0</v>
      </c>
      <c r="L27" s="60"/>
    </row>
    <row r="28" spans="1:12" outlineLevel="1">
      <c r="A28" s="24"/>
      <c r="B28" s="28" t="s">
        <v>432</v>
      </c>
      <c r="C28" s="28" t="s">
        <v>381</v>
      </c>
      <c r="D28" s="28" t="s">
        <v>371</v>
      </c>
      <c r="E28" s="31" t="s">
        <v>382</v>
      </c>
      <c r="F28" s="30" t="s">
        <v>372</v>
      </c>
      <c r="G28" s="85">
        <v>121.3</v>
      </c>
      <c r="H28" s="26"/>
      <c r="I28" s="29">
        <f>H28*$J$8</f>
        <v>0</v>
      </c>
      <c r="J28" s="29">
        <f>G28*I28</f>
        <v>0</v>
      </c>
      <c r="L28" s="60"/>
    </row>
    <row r="29" spans="1:12" outlineLevel="1">
      <c r="A29" s="24"/>
      <c r="B29" s="28" t="s">
        <v>433</v>
      </c>
      <c r="C29" s="28">
        <v>53527</v>
      </c>
      <c r="D29" s="28" t="s">
        <v>371</v>
      </c>
      <c r="E29" s="31" t="s">
        <v>383</v>
      </c>
      <c r="F29" s="30" t="s">
        <v>369</v>
      </c>
      <c r="G29" s="85">
        <v>74.88</v>
      </c>
      <c r="H29" s="26"/>
      <c r="I29" s="29">
        <f>H29*$J$8</f>
        <v>0</v>
      </c>
      <c r="J29" s="29">
        <f>G29*I29</f>
        <v>0</v>
      </c>
      <c r="L29" s="60"/>
    </row>
    <row r="30" spans="1:12" ht="12.75" customHeight="1" outlineLevel="1">
      <c r="A30" s="24"/>
      <c r="B30" s="33" t="s">
        <v>434</v>
      </c>
      <c r="C30" s="33"/>
      <c r="D30" s="33"/>
      <c r="E30" s="34"/>
      <c r="F30" s="34"/>
      <c r="G30" s="54"/>
      <c r="H30" s="35"/>
      <c r="I30" s="34"/>
      <c r="J30" s="36">
        <f>SUM(J26:J29)</f>
        <v>0</v>
      </c>
      <c r="L30" s="60"/>
    </row>
    <row r="31" spans="1:12">
      <c r="A31" s="24"/>
      <c r="B31" s="25"/>
      <c r="C31" s="25"/>
      <c r="D31" s="25"/>
      <c r="E31" s="32"/>
      <c r="F31" s="24"/>
      <c r="G31" s="84"/>
      <c r="H31" s="26"/>
      <c r="I31" s="23"/>
      <c r="J31" s="23"/>
      <c r="L31" s="60"/>
    </row>
    <row r="32" spans="1:12">
      <c r="A32" s="24"/>
      <c r="B32" s="44">
        <v>3</v>
      </c>
      <c r="C32" s="44"/>
      <c r="D32" s="44"/>
      <c r="E32" s="45" t="s">
        <v>435</v>
      </c>
      <c r="F32" s="45"/>
      <c r="G32" s="120"/>
      <c r="H32" s="46"/>
      <c r="I32" s="45"/>
      <c r="J32" s="47">
        <f>J44</f>
        <v>0</v>
      </c>
      <c r="L32" s="60"/>
    </row>
    <row r="33" spans="1:12" outlineLevel="1">
      <c r="A33" s="24"/>
      <c r="B33" s="19" t="s">
        <v>368</v>
      </c>
      <c r="C33" s="19"/>
      <c r="D33" s="19"/>
      <c r="E33" s="22" t="s">
        <v>524</v>
      </c>
      <c r="F33" s="23"/>
      <c r="G33" s="26"/>
      <c r="H33" s="26"/>
      <c r="I33" s="23"/>
      <c r="J33" s="23"/>
      <c r="L33" s="60"/>
    </row>
    <row r="34" spans="1:12" outlineLevel="1">
      <c r="A34" s="24"/>
      <c r="B34" s="25" t="s">
        <v>399</v>
      </c>
      <c r="C34" s="25" t="s">
        <v>386</v>
      </c>
      <c r="D34" s="28" t="s">
        <v>371</v>
      </c>
      <c r="E34" s="32" t="s">
        <v>525</v>
      </c>
      <c r="F34" s="24" t="s">
        <v>372</v>
      </c>
      <c r="G34" s="84">
        <v>22.703649635036495</v>
      </c>
      <c r="H34" s="26"/>
      <c r="I34" s="29">
        <f>H34*$J$8</f>
        <v>0</v>
      </c>
      <c r="J34" s="29">
        <f>G34*I34</f>
        <v>0</v>
      </c>
      <c r="L34" s="60"/>
    </row>
    <row r="35" spans="1:12" outlineLevel="1">
      <c r="A35" s="24"/>
      <c r="B35" s="25" t="s">
        <v>401</v>
      </c>
      <c r="C35" s="25">
        <v>5651</v>
      </c>
      <c r="D35" s="28" t="s">
        <v>371</v>
      </c>
      <c r="E35" s="32" t="s">
        <v>641</v>
      </c>
      <c r="F35" s="24" t="s">
        <v>372</v>
      </c>
      <c r="G35" s="84">
        <v>53.1</v>
      </c>
      <c r="H35" s="26"/>
      <c r="I35" s="29">
        <f>H35*$J$8</f>
        <v>0</v>
      </c>
      <c r="J35" s="29">
        <f>G35*I35</f>
        <v>0</v>
      </c>
      <c r="L35" s="60"/>
    </row>
    <row r="36" spans="1:12" ht="25.5" outlineLevel="1">
      <c r="A36" s="24"/>
      <c r="B36" s="25" t="s">
        <v>520</v>
      </c>
      <c r="C36" s="25" t="s">
        <v>389</v>
      </c>
      <c r="D36" s="28" t="s">
        <v>371</v>
      </c>
      <c r="E36" s="31" t="s">
        <v>642</v>
      </c>
      <c r="F36" s="24" t="s">
        <v>390</v>
      </c>
      <c r="G36" s="84">
        <v>315.89999999999998</v>
      </c>
      <c r="H36" s="26"/>
      <c r="I36" s="29">
        <f>H36*$J$8</f>
        <v>0</v>
      </c>
      <c r="J36" s="29">
        <f>G36*I36</f>
        <v>0</v>
      </c>
      <c r="L36" s="60"/>
    </row>
    <row r="37" spans="1:12" outlineLevel="1">
      <c r="A37" s="24"/>
      <c r="B37" s="25" t="s">
        <v>521</v>
      </c>
      <c r="C37" s="25" t="s">
        <v>392</v>
      </c>
      <c r="D37" s="28" t="s">
        <v>371</v>
      </c>
      <c r="E37" s="80" t="s">
        <v>527</v>
      </c>
      <c r="F37" s="24" t="s">
        <v>369</v>
      </c>
      <c r="G37" s="84">
        <v>9.8000000000000007</v>
      </c>
      <c r="H37" s="26"/>
      <c r="I37" s="29">
        <f>H37*$J$8</f>
        <v>0</v>
      </c>
      <c r="J37" s="29">
        <f>G37*I37</f>
        <v>0</v>
      </c>
      <c r="L37" s="60"/>
    </row>
    <row r="38" spans="1:12" outlineLevel="1">
      <c r="A38" s="24"/>
      <c r="B38" s="19" t="s">
        <v>402</v>
      </c>
      <c r="C38" s="19"/>
      <c r="D38" s="19"/>
      <c r="E38" s="22" t="s">
        <v>393</v>
      </c>
      <c r="F38" s="23"/>
      <c r="G38" s="26"/>
      <c r="H38" s="26"/>
      <c r="I38" s="29"/>
      <c r="J38" s="29"/>
      <c r="L38" s="60"/>
    </row>
    <row r="39" spans="1:12" outlineLevel="1">
      <c r="A39" s="24"/>
      <c r="B39" s="25" t="s">
        <v>403</v>
      </c>
      <c r="C39" s="25" t="s">
        <v>386</v>
      </c>
      <c r="D39" s="28" t="s">
        <v>371</v>
      </c>
      <c r="E39" s="31" t="s">
        <v>526</v>
      </c>
      <c r="F39" s="24" t="s">
        <v>372</v>
      </c>
      <c r="G39" s="82">
        <f>0.7*0.7*72</f>
        <v>35.279999999999994</v>
      </c>
      <c r="H39" s="26"/>
      <c r="I39" s="29">
        <f>H39*$J$8</f>
        <v>0</v>
      </c>
      <c r="J39" s="29">
        <f>G39*I39</f>
        <v>0</v>
      </c>
      <c r="L39" s="60"/>
    </row>
    <row r="40" spans="1:12" outlineLevel="1">
      <c r="A40" s="24"/>
      <c r="B40" s="25" t="s">
        <v>404</v>
      </c>
      <c r="C40" s="25">
        <v>5651</v>
      </c>
      <c r="D40" s="28" t="s">
        <v>371</v>
      </c>
      <c r="E40" s="32" t="s">
        <v>641</v>
      </c>
      <c r="F40" s="24" t="s">
        <v>372</v>
      </c>
      <c r="G40" s="84">
        <v>351</v>
      </c>
      <c r="H40" s="26"/>
      <c r="I40" s="29">
        <f>H40*$J$8</f>
        <v>0</v>
      </c>
      <c r="J40" s="29">
        <f>G40*I40</f>
        <v>0</v>
      </c>
      <c r="L40" s="60"/>
    </row>
    <row r="41" spans="1:12" ht="25.5" outlineLevel="1">
      <c r="A41" s="24"/>
      <c r="B41" s="25" t="s">
        <v>522</v>
      </c>
      <c r="C41" s="25" t="s">
        <v>389</v>
      </c>
      <c r="D41" s="28" t="s">
        <v>371</v>
      </c>
      <c r="E41" s="31" t="s">
        <v>642</v>
      </c>
      <c r="F41" s="24" t="s">
        <v>390</v>
      </c>
      <c r="G41" s="84">
        <v>731.2</v>
      </c>
      <c r="H41" s="26"/>
      <c r="I41" s="29">
        <f>H41*$J$8</f>
        <v>0</v>
      </c>
      <c r="J41" s="29">
        <f>G41*I41</f>
        <v>0</v>
      </c>
      <c r="L41" s="60"/>
    </row>
    <row r="42" spans="1:12" ht="25.5" outlineLevel="1">
      <c r="A42" s="24"/>
      <c r="B42" s="25"/>
      <c r="C42" s="25" t="s">
        <v>391</v>
      </c>
      <c r="D42" s="28" t="s">
        <v>371</v>
      </c>
      <c r="E42" s="31" t="s">
        <v>643</v>
      </c>
      <c r="F42" s="24" t="s">
        <v>390</v>
      </c>
      <c r="G42" s="84">
        <v>310</v>
      </c>
      <c r="H42" s="26"/>
      <c r="I42" s="29">
        <f>H42*$J$8</f>
        <v>0</v>
      </c>
      <c r="J42" s="29">
        <f>G42*I42</f>
        <v>0</v>
      </c>
      <c r="L42" s="60"/>
    </row>
    <row r="43" spans="1:12" outlineLevel="1">
      <c r="A43" s="24"/>
      <c r="B43" s="25" t="s">
        <v>523</v>
      </c>
      <c r="C43" s="25" t="s">
        <v>392</v>
      </c>
      <c r="D43" s="28" t="s">
        <v>371</v>
      </c>
      <c r="E43" s="80" t="s">
        <v>527</v>
      </c>
      <c r="F43" s="24" t="s">
        <v>369</v>
      </c>
      <c r="G43" s="84">
        <v>20</v>
      </c>
      <c r="H43" s="26"/>
      <c r="I43" s="29">
        <f>H43*$J$8</f>
        <v>0</v>
      </c>
      <c r="J43" s="29">
        <f>G43*I43</f>
        <v>0</v>
      </c>
      <c r="L43" s="60"/>
    </row>
    <row r="44" spans="1:12" ht="12" customHeight="1" outlineLevel="1">
      <c r="A44" s="24"/>
      <c r="B44" s="33" t="s">
        <v>436</v>
      </c>
      <c r="C44" s="33"/>
      <c r="D44" s="33"/>
      <c r="E44" s="34"/>
      <c r="F44" s="34"/>
      <c r="G44" s="35"/>
      <c r="H44" s="35"/>
      <c r="I44" s="34"/>
      <c r="J44" s="36">
        <f>SUM(J34:J43)</f>
        <v>0</v>
      </c>
      <c r="L44" s="60"/>
    </row>
    <row r="45" spans="1:12">
      <c r="A45" s="24"/>
      <c r="B45" s="25"/>
      <c r="C45" s="25"/>
      <c r="D45" s="25"/>
      <c r="E45" s="32"/>
      <c r="F45" s="24"/>
      <c r="G45" s="84"/>
      <c r="H45" s="26"/>
      <c r="I45" s="23"/>
      <c r="J45" s="29"/>
      <c r="L45" s="60"/>
    </row>
    <row r="46" spans="1:12">
      <c r="A46" s="24"/>
      <c r="B46" s="44">
        <v>4</v>
      </c>
      <c r="C46" s="44"/>
      <c r="D46" s="44"/>
      <c r="E46" s="45" t="s">
        <v>437</v>
      </c>
      <c r="F46" s="45"/>
      <c r="G46" s="46"/>
      <c r="H46" s="46"/>
      <c r="I46" s="45"/>
      <c r="J46" s="47">
        <f>J64</f>
        <v>0</v>
      </c>
      <c r="L46" s="60"/>
    </row>
    <row r="47" spans="1:12" outlineLevel="1">
      <c r="A47" s="24"/>
      <c r="B47" s="19" t="s">
        <v>370</v>
      </c>
      <c r="C47" s="19"/>
      <c r="D47" s="19"/>
      <c r="E47" s="22" t="s">
        <v>529</v>
      </c>
      <c r="F47" s="23"/>
      <c r="G47" s="26"/>
      <c r="H47" s="26"/>
      <c r="I47" s="23"/>
      <c r="J47" s="23"/>
      <c r="L47" s="60"/>
    </row>
    <row r="48" spans="1:12" outlineLevel="1">
      <c r="A48" s="24"/>
      <c r="B48" s="25" t="s">
        <v>438</v>
      </c>
      <c r="C48" s="25">
        <v>72830</v>
      </c>
      <c r="D48" s="28" t="s">
        <v>371</v>
      </c>
      <c r="E48" s="32" t="s">
        <v>532</v>
      </c>
      <c r="F48" s="24" t="s">
        <v>372</v>
      </c>
      <c r="G48" s="26">
        <f>219.2+26.9</f>
        <v>246.1</v>
      </c>
      <c r="H48" s="26"/>
      <c r="I48" s="29">
        <f>H48*$J$8</f>
        <v>0</v>
      </c>
      <c r="J48" s="29">
        <f>G48*I48</f>
        <v>0</v>
      </c>
      <c r="L48" s="60"/>
    </row>
    <row r="49" spans="1:12" ht="25.5" outlineLevel="1">
      <c r="A49" s="24"/>
      <c r="B49" s="25" t="s">
        <v>647</v>
      </c>
      <c r="C49" s="25" t="s">
        <v>389</v>
      </c>
      <c r="D49" s="28" t="s">
        <v>371</v>
      </c>
      <c r="E49" s="31" t="s">
        <v>642</v>
      </c>
      <c r="F49" s="24" t="s">
        <v>390</v>
      </c>
      <c r="G49" s="26">
        <f>878.3+1.7</f>
        <v>880</v>
      </c>
      <c r="H49" s="26"/>
      <c r="I49" s="29">
        <f>H49*$J$8</f>
        <v>0</v>
      </c>
      <c r="J49" s="29">
        <f>G49*I49</f>
        <v>0</v>
      </c>
      <c r="L49" s="60"/>
    </row>
    <row r="50" spans="1:12" ht="25.5" outlineLevel="1">
      <c r="A50" s="24"/>
      <c r="B50" s="25" t="s">
        <v>648</v>
      </c>
      <c r="C50" s="25" t="s">
        <v>391</v>
      </c>
      <c r="D50" s="28" t="s">
        <v>371</v>
      </c>
      <c r="E50" s="31" t="s">
        <v>643</v>
      </c>
      <c r="F50" s="24" t="s">
        <v>390</v>
      </c>
      <c r="G50" s="26">
        <f>353.3</f>
        <v>353.3</v>
      </c>
      <c r="H50" s="26"/>
      <c r="I50" s="29">
        <f>H50*$J$8</f>
        <v>0</v>
      </c>
      <c r="J50" s="29">
        <f>G50*I50</f>
        <v>0</v>
      </c>
      <c r="L50" s="60"/>
    </row>
    <row r="51" spans="1:12" ht="17.25" customHeight="1" outlineLevel="1">
      <c r="A51" s="24"/>
      <c r="B51" s="25" t="s">
        <v>649</v>
      </c>
      <c r="C51" s="25" t="s">
        <v>392</v>
      </c>
      <c r="D51" s="28" t="s">
        <v>371</v>
      </c>
      <c r="E51" s="31" t="s">
        <v>528</v>
      </c>
      <c r="F51" s="24" t="s">
        <v>369</v>
      </c>
      <c r="G51" s="84">
        <f>11+1.3</f>
        <v>12.3</v>
      </c>
      <c r="H51" s="26"/>
      <c r="I51" s="29">
        <f>H51*$J$8</f>
        <v>0</v>
      </c>
      <c r="J51" s="29">
        <f>G51*I51</f>
        <v>0</v>
      </c>
      <c r="L51" s="60"/>
    </row>
    <row r="52" spans="1:12" outlineLevel="1">
      <c r="A52" s="24"/>
      <c r="B52" s="19" t="s">
        <v>373</v>
      </c>
      <c r="C52" s="19"/>
      <c r="D52" s="19"/>
      <c r="E52" s="22" t="s">
        <v>530</v>
      </c>
      <c r="F52" s="23"/>
      <c r="G52" s="26"/>
      <c r="H52" s="26"/>
      <c r="I52" s="23"/>
      <c r="J52" s="23"/>
      <c r="L52" s="60"/>
    </row>
    <row r="53" spans="1:12" ht="25.5" outlineLevel="1">
      <c r="A53" s="24"/>
      <c r="B53" s="25" t="s">
        <v>439</v>
      </c>
      <c r="C53" s="25" t="s">
        <v>644</v>
      </c>
      <c r="D53" s="28" t="s">
        <v>371</v>
      </c>
      <c r="E53" s="80" t="s">
        <v>646</v>
      </c>
      <c r="F53" s="24" t="s">
        <v>372</v>
      </c>
      <c r="G53" s="26">
        <v>460.4</v>
      </c>
      <c r="H53" s="26"/>
      <c r="I53" s="29">
        <f>H53*$J$8</f>
        <v>0</v>
      </c>
      <c r="J53" s="29">
        <f>G53*I53</f>
        <v>0</v>
      </c>
      <c r="L53" s="60"/>
    </row>
    <row r="54" spans="1:12" ht="25.5" outlineLevel="1">
      <c r="A54" s="24"/>
      <c r="B54" s="25" t="s">
        <v>440</v>
      </c>
      <c r="C54" s="25" t="s">
        <v>389</v>
      </c>
      <c r="D54" s="28" t="s">
        <v>371</v>
      </c>
      <c r="E54" s="31" t="s">
        <v>642</v>
      </c>
      <c r="F54" s="24" t="s">
        <v>390</v>
      </c>
      <c r="G54" s="26">
        <v>1070.2</v>
      </c>
      <c r="H54" s="26"/>
      <c r="I54" s="29">
        <f>H54*$J$8</f>
        <v>0</v>
      </c>
      <c r="J54" s="29">
        <f>G54*I54</f>
        <v>0</v>
      </c>
      <c r="L54" s="60"/>
    </row>
    <row r="55" spans="1:12" ht="25.5" outlineLevel="1">
      <c r="A55" s="24"/>
      <c r="B55" s="25" t="s">
        <v>441</v>
      </c>
      <c r="C55" s="25" t="s">
        <v>391</v>
      </c>
      <c r="D55" s="28" t="s">
        <v>371</v>
      </c>
      <c r="E55" s="31" t="s">
        <v>643</v>
      </c>
      <c r="F55" s="24" t="s">
        <v>390</v>
      </c>
      <c r="G55" s="26">
        <v>377.5</v>
      </c>
      <c r="H55" s="26"/>
      <c r="I55" s="29">
        <f>H55*$J$8</f>
        <v>0</v>
      </c>
      <c r="J55" s="29">
        <f>G55*I55</f>
        <v>0</v>
      </c>
      <c r="L55" s="60"/>
    </row>
    <row r="56" spans="1:12" outlineLevel="1">
      <c r="A56" s="24"/>
      <c r="B56" s="25" t="s">
        <v>650</v>
      </c>
      <c r="C56" s="25" t="s">
        <v>392</v>
      </c>
      <c r="D56" s="28" t="s">
        <v>371</v>
      </c>
      <c r="E56" s="31" t="s">
        <v>528</v>
      </c>
      <c r="F56" s="24" t="s">
        <v>369</v>
      </c>
      <c r="G56" s="84">
        <v>28.3</v>
      </c>
      <c r="H56" s="26"/>
      <c r="I56" s="29">
        <f>H56*$J$8</f>
        <v>0</v>
      </c>
      <c r="J56" s="29">
        <f>G56*I56</f>
        <v>0</v>
      </c>
      <c r="L56" s="60"/>
    </row>
    <row r="57" spans="1:12" s="39" customFormat="1" outlineLevel="1">
      <c r="A57" s="40"/>
      <c r="B57" s="20" t="s">
        <v>374</v>
      </c>
      <c r="C57" s="20"/>
      <c r="D57" s="20"/>
      <c r="E57" s="22" t="s">
        <v>531</v>
      </c>
      <c r="F57" s="23"/>
      <c r="G57" s="62"/>
      <c r="H57" s="63"/>
      <c r="I57" s="64"/>
      <c r="J57" s="64"/>
      <c r="K57" s="1"/>
      <c r="L57" s="60"/>
    </row>
    <row r="58" spans="1:12" s="39" customFormat="1" ht="25.5" outlineLevel="1">
      <c r="A58" s="40"/>
      <c r="B58" s="24" t="s">
        <v>443</v>
      </c>
      <c r="C58" s="25" t="s">
        <v>644</v>
      </c>
      <c r="D58" s="24" t="s">
        <v>371</v>
      </c>
      <c r="E58" s="80" t="s">
        <v>645</v>
      </c>
      <c r="F58" s="24" t="s">
        <v>372</v>
      </c>
      <c r="G58" s="62">
        <v>498</v>
      </c>
      <c r="H58" s="63"/>
      <c r="I58" s="64">
        <f>H58*$J$8</f>
        <v>0</v>
      </c>
      <c r="J58" s="64">
        <f>G58*I58</f>
        <v>0</v>
      </c>
      <c r="K58" s="1"/>
      <c r="L58" s="60"/>
    </row>
    <row r="59" spans="1:12" s="39" customFormat="1" ht="25.5" outlineLevel="1">
      <c r="A59" s="40"/>
      <c r="B59" s="24" t="s">
        <v>653</v>
      </c>
      <c r="C59" s="24" t="s">
        <v>389</v>
      </c>
      <c r="D59" s="24" t="s">
        <v>371</v>
      </c>
      <c r="E59" s="31" t="s">
        <v>642</v>
      </c>
      <c r="F59" s="24" t="s">
        <v>390</v>
      </c>
      <c r="G59" s="62">
        <v>1381.3</v>
      </c>
      <c r="H59" s="26"/>
      <c r="I59" s="64">
        <f>H59*$J$8</f>
        <v>0</v>
      </c>
      <c r="J59" s="64">
        <f>G59*I59</f>
        <v>0</v>
      </c>
      <c r="K59" s="1"/>
      <c r="L59" s="60"/>
    </row>
    <row r="60" spans="1:12" s="39" customFormat="1" ht="25.5" outlineLevel="1">
      <c r="A60" s="40"/>
      <c r="B60" s="24" t="s">
        <v>654</v>
      </c>
      <c r="C60" s="24" t="s">
        <v>391</v>
      </c>
      <c r="D60" s="24" t="s">
        <v>371</v>
      </c>
      <c r="E60" s="31" t="s">
        <v>643</v>
      </c>
      <c r="F60" s="24" t="s">
        <v>390</v>
      </c>
      <c r="G60" s="62">
        <v>886.2</v>
      </c>
      <c r="H60" s="26"/>
      <c r="I60" s="64">
        <f>H60*$J$8</f>
        <v>0</v>
      </c>
      <c r="J60" s="64">
        <f>G60*I60</f>
        <v>0</v>
      </c>
      <c r="K60" s="1"/>
      <c r="L60" s="60"/>
    </row>
    <row r="61" spans="1:12" s="39" customFormat="1" outlineLevel="1">
      <c r="A61" s="40"/>
      <c r="B61" s="24" t="s">
        <v>655</v>
      </c>
      <c r="C61" s="24" t="s">
        <v>392</v>
      </c>
      <c r="D61" s="24" t="s">
        <v>371</v>
      </c>
      <c r="E61" s="31" t="s">
        <v>528</v>
      </c>
      <c r="F61" s="24" t="s">
        <v>369</v>
      </c>
      <c r="G61" s="62">
        <v>39</v>
      </c>
      <c r="H61" s="26"/>
      <c r="I61" s="64">
        <f>H61*$J$8</f>
        <v>0</v>
      </c>
      <c r="J61" s="64">
        <f>G61*I61</f>
        <v>0</v>
      </c>
      <c r="K61" s="1"/>
      <c r="L61" s="60"/>
    </row>
    <row r="62" spans="1:12" outlineLevel="1">
      <c r="A62" s="24"/>
      <c r="B62" s="19" t="s">
        <v>651</v>
      </c>
      <c r="C62" s="19"/>
      <c r="D62" s="19"/>
      <c r="E62" s="22" t="s">
        <v>442</v>
      </c>
      <c r="F62" s="23"/>
      <c r="G62" s="26"/>
      <c r="H62" s="26"/>
      <c r="I62" s="23"/>
      <c r="J62" s="29"/>
      <c r="L62" s="60"/>
    </row>
    <row r="63" spans="1:12" outlineLevel="1">
      <c r="A63" s="24"/>
      <c r="B63" s="25" t="s">
        <v>652</v>
      </c>
      <c r="C63" s="25">
        <v>73499</v>
      </c>
      <c r="D63" s="25" t="s">
        <v>371</v>
      </c>
      <c r="E63" s="31" t="s">
        <v>444</v>
      </c>
      <c r="F63" s="24" t="s">
        <v>369</v>
      </c>
      <c r="G63" s="84">
        <f>114.3*0.15*0.1</f>
        <v>1.7145000000000001</v>
      </c>
      <c r="H63" s="26"/>
      <c r="I63" s="29">
        <f>H63*$J$8</f>
        <v>0</v>
      </c>
      <c r="J63" s="29">
        <f>G63*I63</f>
        <v>0</v>
      </c>
      <c r="L63" s="60"/>
    </row>
    <row r="64" spans="1:12" ht="12.75" customHeight="1" outlineLevel="1">
      <c r="A64" s="24"/>
      <c r="B64" s="33" t="s">
        <v>445</v>
      </c>
      <c r="C64" s="33"/>
      <c r="D64" s="33"/>
      <c r="E64" s="34"/>
      <c r="F64" s="34"/>
      <c r="G64" s="35"/>
      <c r="H64" s="35"/>
      <c r="I64" s="34"/>
      <c r="J64" s="36">
        <f>SUM(J48:J63)</f>
        <v>0</v>
      </c>
      <c r="L64" s="60"/>
    </row>
    <row r="65" spans="1:12">
      <c r="A65" s="24"/>
      <c r="B65" s="25"/>
      <c r="C65" s="25"/>
      <c r="D65" s="25"/>
      <c r="E65" s="32"/>
      <c r="F65" s="24"/>
      <c r="G65" s="84"/>
      <c r="H65" s="26"/>
      <c r="I65" s="23"/>
      <c r="J65" s="23"/>
      <c r="L65" s="60"/>
    </row>
    <row r="66" spans="1:12">
      <c r="A66" s="24"/>
      <c r="B66" s="44">
        <v>5</v>
      </c>
      <c r="C66" s="44"/>
      <c r="D66" s="44"/>
      <c r="E66" s="45" t="s">
        <v>446</v>
      </c>
      <c r="F66" s="45"/>
      <c r="G66" s="46"/>
      <c r="H66" s="46"/>
      <c r="I66" s="45"/>
      <c r="J66" s="47">
        <f>J75</f>
        <v>0</v>
      </c>
      <c r="L66" s="60"/>
    </row>
    <row r="67" spans="1:12" outlineLevel="1">
      <c r="A67" s="24"/>
      <c r="B67" s="33" t="s">
        <v>375</v>
      </c>
      <c r="C67" s="33"/>
      <c r="D67" s="33"/>
      <c r="E67" s="42" t="s">
        <v>447</v>
      </c>
      <c r="F67" s="30"/>
      <c r="G67" s="85"/>
      <c r="H67" s="26"/>
      <c r="I67" s="29"/>
      <c r="J67" s="53"/>
      <c r="L67" s="60"/>
    </row>
    <row r="68" spans="1:12" ht="25.5" outlineLevel="1">
      <c r="A68" s="24"/>
      <c r="B68" s="28" t="s">
        <v>377</v>
      </c>
      <c r="C68" s="28">
        <v>8963</v>
      </c>
      <c r="D68" s="28" t="s">
        <v>448</v>
      </c>
      <c r="E68" s="31" t="s">
        <v>449</v>
      </c>
      <c r="F68" s="30" t="s">
        <v>372</v>
      </c>
      <c r="G68" s="85">
        <v>20.3</v>
      </c>
      <c r="H68" s="26"/>
      <c r="I68" s="29">
        <f>H68*$J$8</f>
        <v>0</v>
      </c>
      <c r="J68" s="29">
        <f>G68*I68</f>
        <v>0</v>
      </c>
      <c r="L68" s="60"/>
    </row>
    <row r="69" spans="1:12" s="101" customFormat="1" ht="25.5" outlineLevel="1">
      <c r="A69" s="94"/>
      <c r="B69" s="99" t="s">
        <v>379</v>
      </c>
      <c r="C69" s="99" t="s">
        <v>450</v>
      </c>
      <c r="D69" s="99" t="s">
        <v>416</v>
      </c>
      <c r="E69" s="92" t="s">
        <v>451</v>
      </c>
      <c r="F69" s="102" t="s">
        <v>372</v>
      </c>
      <c r="G69" s="117">
        <v>25.85</v>
      </c>
      <c r="H69" s="95"/>
      <c r="I69" s="96">
        <f>H69*$J$8</f>
        <v>0</v>
      </c>
      <c r="J69" s="96">
        <f>G69*I69</f>
        <v>0</v>
      </c>
      <c r="L69" s="98"/>
    </row>
    <row r="70" spans="1:12" outlineLevel="1">
      <c r="A70" s="24"/>
      <c r="B70" s="33" t="s">
        <v>384</v>
      </c>
      <c r="C70" s="33"/>
      <c r="D70" s="33"/>
      <c r="E70" s="42" t="s">
        <v>452</v>
      </c>
      <c r="F70" s="30"/>
      <c r="G70" s="85"/>
      <c r="H70" s="26"/>
      <c r="I70" s="29"/>
      <c r="J70" s="29"/>
      <c r="L70" s="60"/>
    </row>
    <row r="71" spans="1:12" ht="25.5" outlineLevel="1">
      <c r="A71" s="24"/>
      <c r="B71" s="28" t="s">
        <v>385</v>
      </c>
      <c r="C71" s="28" t="s">
        <v>453</v>
      </c>
      <c r="D71" s="28" t="s">
        <v>371</v>
      </c>
      <c r="E71" s="31" t="s">
        <v>657</v>
      </c>
      <c r="F71" s="30" t="s">
        <v>372</v>
      </c>
      <c r="G71" s="85">
        <f>860.64</f>
        <v>860.64</v>
      </c>
      <c r="H71" s="26"/>
      <c r="I71" s="29">
        <f>H71*$J$8</f>
        <v>0</v>
      </c>
      <c r="J71" s="29">
        <f>G71*I71</f>
        <v>0</v>
      </c>
      <c r="L71" s="60"/>
    </row>
    <row r="72" spans="1:12" ht="25.5" outlineLevel="1">
      <c r="A72" s="24"/>
      <c r="B72" s="28" t="s">
        <v>387</v>
      </c>
      <c r="C72" s="28" t="s">
        <v>454</v>
      </c>
      <c r="D72" s="28" t="s">
        <v>371</v>
      </c>
      <c r="E72" s="31" t="s">
        <v>658</v>
      </c>
      <c r="F72" s="30" t="s">
        <v>372</v>
      </c>
      <c r="G72" s="85">
        <v>72.180000000000007</v>
      </c>
      <c r="H72" s="26"/>
      <c r="I72" s="29">
        <f>H72*$J$8</f>
        <v>0</v>
      </c>
      <c r="J72" s="29">
        <f>G72*I72</f>
        <v>0</v>
      </c>
      <c r="L72" s="60"/>
    </row>
    <row r="73" spans="1:12" ht="25.5" outlineLevel="1">
      <c r="A73" s="24"/>
      <c r="B73" s="28"/>
      <c r="C73" s="28">
        <v>6113</v>
      </c>
      <c r="D73" s="28" t="s">
        <v>371</v>
      </c>
      <c r="E73" s="31" t="s">
        <v>656</v>
      </c>
      <c r="F73" s="30" t="s">
        <v>400</v>
      </c>
      <c r="G73" s="85">
        <v>277.12</v>
      </c>
      <c r="H73" s="26"/>
      <c r="I73" s="29">
        <f>H73*$J$8</f>
        <v>0</v>
      </c>
      <c r="J73" s="29">
        <f>G73*I73</f>
        <v>0</v>
      </c>
      <c r="L73" s="60"/>
    </row>
    <row r="74" spans="1:12" ht="25.5" outlineLevel="1">
      <c r="A74" s="24"/>
      <c r="B74" s="28" t="s">
        <v>388</v>
      </c>
      <c r="C74" s="28" t="s">
        <v>455</v>
      </c>
      <c r="D74" s="28" t="s">
        <v>371</v>
      </c>
      <c r="E74" s="31" t="s">
        <v>456</v>
      </c>
      <c r="F74" s="30" t="s">
        <v>372</v>
      </c>
      <c r="G74" s="85">
        <f>16.92+17.23</f>
        <v>34.150000000000006</v>
      </c>
      <c r="H74" s="26"/>
      <c r="I74" s="29">
        <f>H74*$J$8</f>
        <v>0</v>
      </c>
      <c r="J74" s="29">
        <f>G74*I74</f>
        <v>0</v>
      </c>
      <c r="L74" s="60"/>
    </row>
    <row r="75" spans="1:12" ht="12.75" customHeight="1" outlineLevel="1">
      <c r="A75" s="24"/>
      <c r="B75" s="33" t="s">
        <v>457</v>
      </c>
      <c r="C75" s="33"/>
      <c r="D75" s="33"/>
      <c r="E75" s="34"/>
      <c r="F75" s="34"/>
      <c r="G75" s="35"/>
      <c r="H75" s="35"/>
      <c r="I75" s="34"/>
      <c r="J75" s="36">
        <f>SUM(J68:J74)</f>
        <v>0</v>
      </c>
      <c r="L75" s="60"/>
    </row>
    <row r="76" spans="1:12">
      <c r="A76" s="24"/>
      <c r="B76" s="25"/>
      <c r="C76" s="25"/>
      <c r="D76" s="25"/>
      <c r="E76" s="31"/>
      <c r="F76" s="24"/>
      <c r="G76" s="84"/>
      <c r="H76" s="26"/>
      <c r="I76" s="23"/>
      <c r="J76" s="23"/>
      <c r="L76" s="60"/>
    </row>
    <row r="77" spans="1:12">
      <c r="A77" s="24"/>
      <c r="B77" s="44">
        <v>6</v>
      </c>
      <c r="C77" s="44"/>
      <c r="D77" s="44"/>
      <c r="E77" s="45" t="s">
        <v>458</v>
      </c>
      <c r="F77" s="45"/>
      <c r="G77" s="46"/>
      <c r="H77" s="46"/>
      <c r="I77" s="45"/>
      <c r="J77" s="47">
        <f>J105</f>
        <v>0</v>
      </c>
      <c r="L77" s="60"/>
    </row>
    <row r="78" spans="1:12" outlineLevel="1">
      <c r="A78" s="24"/>
      <c r="B78" s="19" t="s">
        <v>394</v>
      </c>
      <c r="C78" s="19"/>
      <c r="D78" s="19"/>
      <c r="E78" s="34" t="s">
        <v>549</v>
      </c>
      <c r="F78" s="34"/>
      <c r="G78" s="35"/>
      <c r="H78" s="115"/>
      <c r="I78" s="116"/>
      <c r="J78" s="116"/>
      <c r="L78" s="60"/>
    </row>
    <row r="79" spans="1:12" s="101" customFormat="1" ht="25.5" outlineLevel="1">
      <c r="A79" s="94"/>
      <c r="B79" s="28" t="s">
        <v>395</v>
      </c>
      <c r="C79" s="30"/>
      <c r="D79" s="30" t="s">
        <v>12</v>
      </c>
      <c r="E79" s="31" t="s">
        <v>534</v>
      </c>
      <c r="F79" s="30" t="s">
        <v>460</v>
      </c>
      <c r="G79" s="85">
        <v>9</v>
      </c>
      <c r="H79" s="26"/>
      <c r="I79" s="96">
        <f t="shared" ref="I79:I93" si="2">H79*$J$8</f>
        <v>0</v>
      </c>
      <c r="J79" s="96">
        <f t="shared" ref="J79:J93" si="3">G79*I79</f>
        <v>0</v>
      </c>
      <c r="L79" s="98"/>
    </row>
    <row r="80" spans="1:12" s="101" customFormat="1" ht="25.5" outlineLevel="1">
      <c r="A80" s="94"/>
      <c r="B80" s="28" t="s">
        <v>396</v>
      </c>
      <c r="C80" s="30"/>
      <c r="D80" s="30" t="s">
        <v>12</v>
      </c>
      <c r="E80" s="31" t="s">
        <v>533</v>
      </c>
      <c r="F80" s="30" t="s">
        <v>460</v>
      </c>
      <c r="G80" s="85">
        <v>6</v>
      </c>
      <c r="H80" s="26"/>
      <c r="I80" s="96">
        <f t="shared" si="2"/>
        <v>0</v>
      </c>
      <c r="J80" s="96">
        <f t="shared" si="3"/>
        <v>0</v>
      </c>
      <c r="L80" s="98"/>
    </row>
    <row r="81" spans="1:12" ht="25.5" outlineLevel="1">
      <c r="A81" s="24"/>
      <c r="B81" s="28" t="s">
        <v>397</v>
      </c>
      <c r="C81" s="30" t="s">
        <v>786</v>
      </c>
      <c r="D81" s="30" t="s">
        <v>371</v>
      </c>
      <c r="E81" s="31" t="s">
        <v>661</v>
      </c>
      <c r="F81" s="30" t="s">
        <v>460</v>
      </c>
      <c r="G81" s="85">
        <v>2</v>
      </c>
      <c r="H81" s="26"/>
      <c r="I81" s="29">
        <f t="shared" si="2"/>
        <v>0</v>
      </c>
      <c r="J81" s="29">
        <f t="shared" si="3"/>
        <v>0</v>
      </c>
      <c r="L81" s="60"/>
    </row>
    <row r="82" spans="1:12" ht="25.5" outlineLevel="1">
      <c r="A82" s="24"/>
      <c r="B82" s="28" t="s">
        <v>398</v>
      </c>
      <c r="C82" s="28" t="s">
        <v>459</v>
      </c>
      <c r="D82" s="28" t="s">
        <v>371</v>
      </c>
      <c r="E82" s="31" t="s">
        <v>678</v>
      </c>
      <c r="F82" s="30" t="s">
        <v>460</v>
      </c>
      <c r="G82" s="85">
        <v>9</v>
      </c>
      <c r="H82" s="26"/>
      <c r="I82" s="29">
        <f>H82*$J$8</f>
        <v>0</v>
      </c>
      <c r="J82" s="29">
        <f>G82*I82</f>
        <v>0</v>
      </c>
      <c r="L82" s="60"/>
    </row>
    <row r="83" spans="1:12" ht="25.5" outlineLevel="1">
      <c r="A83" s="24"/>
      <c r="B83" s="28" t="s">
        <v>461</v>
      </c>
      <c r="C83" s="30" t="s">
        <v>787</v>
      </c>
      <c r="D83" s="30" t="s">
        <v>371</v>
      </c>
      <c r="E83" s="31" t="s">
        <v>679</v>
      </c>
      <c r="F83" s="30" t="s">
        <v>460</v>
      </c>
      <c r="G83" s="85">
        <v>1</v>
      </c>
      <c r="H83" s="26"/>
      <c r="I83" s="29">
        <f t="shared" si="2"/>
        <v>0</v>
      </c>
      <c r="J83" s="29">
        <f>G83*I83</f>
        <v>0</v>
      </c>
      <c r="L83" s="60"/>
    </row>
    <row r="84" spans="1:12" ht="25.5" outlineLevel="1">
      <c r="A84" s="24"/>
      <c r="B84" s="28" t="s">
        <v>462</v>
      </c>
      <c r="C84" s="30" t="s">
        <v>463</v>
      </c>
      <c r="D84" s="30" t="s">
        <v>371</v>
      </c>
      <c r="E84" s="31" t="s">
        <v>659</v>
      </c>
      <c r="F84" s="30" t="s">
        <v>460</v>
      </c>
      <c r="G84" s="85">
        <v>5</v>
      </c>
      <c r="H84" s="26"/>
      <c r="I84" s="29">
        <f t="shared" si="2"/>
        <v>0</v>
      </c>
      <c r="J84" s="29">
        <f>G84*I84</f>
        <v>0</v>
      </c>
      <c r="L84" s="60"/>
    </row>
    <row r="85" spans="1:12" ht="25.5" outlineLevel="1">
      <c r="A85" s="24"/>
      <c r="B85" s="28" t="s">
        <v>464</v>
      </c>
      <c r="C85" s="30" t="s">
        <v>463</v>
      </c>
      <c r="D85" s="30" t="s">
        <v>371</v>
      </c>
      <c r="E85" s="31" t="s">
        <v>660</v>
      </c>
      <c r="F85" s="30" t="s">
        <v>460</v>
      </c>
      <c r="G85" s="85">
        <v>6</v>
      </c>
      <c r="H85" s="26"/>
      <c r="I85" s="29">
        <f t="shared" si="2"/>
        <v>0</v>
      </c>
      <c r="J85" s="29">
        <f>G85*I85</f>
        <v>0</v>
      </c>
      <c r="L85" s="60"/>
    </row>
    <row r="86" spans="1:12" outlineLevel="1">
      <c r="A86" s="24"/>
      <c r="B86" s="33" t="s">
        <v>465</v>
      </c>
      <c r="C86" s="30"/>
      <c r="D86" s="30"/>
      <c r="E86" s="42" t="s">
        <v>765</v>
      </c>
      <c r="F86" s="30"/>
      <c r="G86" s="85"/>
      <c r="H86" s="26"/>
      <c r="I86" s="29"/>
      <c r="J86" s="29"/>
      <c r="L86" s="60"/>
    </row>
    <row r="87" spans="1:12" outlineLevel="1">
      <c r="A87" s="24"/>
      <c r="B87" s="28" t="s">
        <v>666</v>
      </c>
      <c r="C87" s="30" t="s">
        <v>662</v>
      </c>
      <c r="D87" s="30" t="s">
        <v>371</v>
      </c>
      <c r="E87" s="31" t="s">
        <v>663</v>
      </c>
      <c r="F87" s="30" t="s">
        <v>460</v>
      </c>
      <c r="G87" s="85">
        <v>20</v>
      </c>
      <c r="H87" s="26"/>
      <c r="I87" s="29">
        <f>H87*$J$8</f>
        <v>0</v>
      </c>
      <c r="J87" s="29">
        <f>G87*I87</f>
        <v>0</v>
      </c>
      <c r="L87" s="60"/>
    </row>
    <row r="88" spans="1:12" outlineLevel="1">
      <c r="A88" s="24"/>
      <c r="B88" s="28" t="s">
        <v>667</v>
      </c>
      <c r="C88" s="30" t="s">
        <v>664</v>
      </c>
      <c r="D88" s="30" t="s">
        <v>371</v>
      </c>
      <c r="E88" s="31" t="s">
        <v>665</v>
      </c>
      <c r="F88" s="30" t="s">
        <v>460</v>
      </c>
      <c r="G88" s="85">
        <v>6</v>
      </c>
      <c r="H88" s="26"/>
      <c r="I88" s="29">
        <f>H88*$J$8</f>
        <v>0</v>
      </c>
      <c r="J88" s="29">
        <f>G88*I88</f>
        <v>0</v>
      </c>
      <c r="L88" s="60"/>
    </row>
    <row r="89" spans="1:12" outlineLevel="1">
      <c r="A89" s="24"/>
      <c r="B89" s="33" t="s">
        <v>668</v>
      </c>
      <c r="C89" s="30"/>
      <c r="D89" s="30"/>
      <c r="E89" s="42" t="s">
        <v>548</v>
      </c>
      <c r="F89" s="30"/>
      <c r="G89" s="85"/>
      <c r="H89" s="26"/>
      <c r="I89" s="29"/>
      <c r="J89" s="29"/>
      <c r="L89" s="60"/>
    </row>
    <row r="90" spans="1:12" ht="25.5" outlineLevel="1">
      <c r="A90" s="24"/>
      <c r="B90" s="28" t="s">
        <v>467</v>
      </c>
      <c r="C90" s="28" t="s">
        <v>158</v>
      </c>
      <c r="D90" s="28" t="s">
        <v>371</v>
      </c>
      <c r="E90" s="31" t="s">
        <v>540</v>
      </c>
      <c r="F90" s="30" t="s">
        <v>372</v>
      </c>
      <c r="G90" s="85">
        <f>2*0.8*2.1</f>
        <v>3.3600000000000003</v>
      </c>
      <c r="H90" s="26"/>
      <c r="I90" s="29">
        <f t="shared" si="2"/>
        <v>0</v>
      </c>
      <c r="J90" s="29">
        <f t="shared" si="3"/>
        <v>0</v>
      </c>
      <c r="L90" s="60"/>
    </row>
    <row r="91" spans="1:12" ht="25.5" outlineLevel="1">
      <c r="A91" s="24"/>
      <c r="B91" s="28" t="s">
        <v>468</v>
      </c>
      <c r="C91" s="28" t="s">
        <v>158</v>
      </c>
      <c r="D91" s="28" t="s">
        <v>371</v>
      </c>
      <c r="E91" s="31" t="s">
        <v>541</v>
      </c>
      <c r="F91" s="30" t="s">
        <v>372</v>
      </c>
      <c r="G91" s="85">
        <f>2*0.8*2.1</f>
        <v>3.3600000000000003</v>
      </c>
      <c r="H91" s="26"/>
      <c r="I91" s="29">
        <f t="shared" si="2"/>
        <v>0</v>
      </c>
      <c r="J91" s="29">
        <f t="shared" si="3"/>
        <v>0</v>
      </c>
      <c r="L91" s="60"/>
    </row>
    <row r="92" spans="1:12" ht="25.5" outlineLevel="1">
      <c r="A92" s="24"/>
      <c r="B92" s="28" t="s">
        <v>469</v>
      </c>
      <c r="C92" s="28" t="s">
        <v>158</v>
      </c>
      <c r="D92" s="28" t="s">
        <v>371</v>
      </c>
      <c r="E92" s="31" t="s">
        <v>542</v>
      </c>
      <c r="F92" s="30" t="s">
        <v>372</v>
      </c>
      <c r="G92" s="85">
        <f>1*0.6*2.1</f>
        <v>1.26</v>
      </c>
      <c r="H92" s="26"/>
      <c r="I92" s="29">
        <f t="shared" si="2"/>
        <v>0</v>
      </c>
      <c r="J92" s="29">
        <f t="shared" si="3"/>
        <v>0</v>
      </c>
      <c r="L92" s="60"/>
    </row>
    <row r="93" spans="1:12" ht="25.5" outlineLevel="1">
      <c r="A93" s="24"/>
      <c r="B93" s="28" t="s">
        <v>470</v>
      </c>
      <c r="C93" s="28" t="s">
        <v>158</v>
      </c>
      <c r="D93" s="28" t="s">
        <v>371</v>
      </c>
      <c r="E93" s="31" t="s">
        <v>543</v>
      </c>
      <c r="F93" s="30" t="s">
        <v>372</v>
      </c>
      <c r="G93" s="85">
        <f>1*0.5*0.8</f>
        <v>0.4</v>
      </c>
      <c r="H93" s="26"/>
      <c r="I93" s="29">
        <f t="shared" si="2"/>
        <v>0</v>
      </c>
      <c r="J93" s="29">
        <f t="shared" si="3"/>
        <v>0</v>
      </c>
      <c r="L93" s="60"/>
    </row>
    <row r="94" spans="1:12" outlineLevel="1">
      <c r="A94" s="24"/>
      <c r="B94" s="19" t="s">
        <v>669</v>
      </c>
      <c r="C94" s="19"/>
      <c r="D94" s="19"/>
      <c r="E94" s="34" t="s">
        <v>466</v>
      </c>
      <c r="F94" s="34"/>
      <c r="G94" s="35"/>
      <c r="H94" s="26"/>
      <c r="I94" s="29"/>
      <c r="J94" s="29"/>
      <c r="L94" s="60"/>
    </row>
    <row r="95" spans="1:12" s="101" customFormat="1" ht="25.5" outlineLevel="1">
      <c r="A95" s="94"/>
      <c r="B95" s="28" t="s">
        <v>670</v>
      </c>
      <c r="C95" s="28">
        <v>68052</v>
      </c>
      <c r="D95" s="28" t="s">
        <v>371</v>
      </c>
      <c r="E95" s="31" t="s">
        <v>535</v>
      </c>
      <c r="F95" s="30" t="s">
        <v>372</v>
      </c>
      <c r="G95" s="85">
        <f>37*0.6*0.6</f>
        <v>13.319999999999999</v>
      </c>
      <c r="H95" s="26"/>
      <c r="I95" s="96">
        <f t="shared" ref="I95:I100" si="4">H95*$J$8</f>
        <v>0</v>
      </c>
      <c r="J95" s="96">
        <f t="shared" ref="J95:J100" si="5">G95*I95</f>
        <v>0</v>
      </c>
      <c r="L95" s="98"/>
    </row>
    <row r="96" spans="1:12" s="101" customFormat="1" ht="25.5" outlineLevel="1">
      <c r="A96" s="94"/>
      <c r="B96" s="28" t="s">
        <v>671</v>
      </c>
      <c r="C96" s="28" t="s">
        <v>788</v>
      </c>
      <c r="D96" s="28" t="s">
        <v>371</v>
      </c>
      <c r="E96" s="31" t="s">
        <v>536</v>
      </c>
      <c r="F96" s="30" t="s">
        <v>372</v>
      </c>
      <c r="G96" s="85">
        <f>4*0.6*0.9</f>
        <v>2.16</v>
      </c>
      <c r="H96" s="26"/>
      <c r="I96" s="96">
        <f t="shared" si="4"/>
        <v>0</v>
      </c>
      <c r="J96" s="96">
        <f t="shared" si="5"/>
        <v>0</v>
      </c>
      <c r="L96" s="98"/>
    </row>
    <row r="97" spans="1:12" s="101" customFormat="1" ht="25.5" outlineLevel="1">
      <c r="A97" s="94"/>
      <c r="B97" s="28" t="s">
        <v>672</v>
      </c>
      <c r="C97" s="28" t="s">
        <v>788</v>
      </c>
      <c r="D97" s="28" t="s">
        <v>371</v>
      </c>
      <c r="E97" s="31" t="s">
        <v>537</v>
      </c>
      <c r="F97" s="30" t="s">
        <v>372</v>
      </c>
      <c r="G97" s="85">
        <f>11*1.2*1.2</f>
        <v>15.839999999999998</v>
      </c>
      <c r="H97" s="26"/>
      <c r="I97" s="96">
        <f t="shared" si="4"/>
        <v>0</v>
      </c>
      <c r="J97" s="96">
        <f t="shared" si="5"/>
        <v>0</v>
      </c>
      <c r="L97" s="98"/>
    </row>
    <row r="98" spans="1:12" s="101" customFormat="1" ht="25.5" outlineLevel="1">
      <c r="A98" s="94"/>
      <c r="B98" s="28" t="s">
        <v>673</v>
      </c>
      <c r="C98" s="28" t="s">
        <v>788</v>
      </c>
      <c r="D98" s="28" t="s">
        <v>371</v>
      </c>
      <c r="E98" s="31" t="s">
        <v>538</v>
      </c>
      <c r="F98" s="30" t="s">
        <v>372</v>
      </c>
      <c r="G98" s="85">
        <f>1*1.8*1.2</f>
        <v>2.16</v>
      </c>
      <c r="H98" s="26"/>
      <c r="I98" s="96">
        <f t="shared" si="4"/>
        <v>0</v>
      </c>
      <c r="J98" s="96">
        <f t="shared" si="5"/>
        <v>0</v>
      </c>
      <c r="L98" s="98"/>
    </row>
    <row r="99" spans="1:12" s="101" customFormat="1" ht="25.5" outlineLevel="1">
      <c r="A99" s="94"/>
      <c r="B99" s="28" t="s">
        <v>674</v>
      </c>
      <c r="C99" s="28" t="s">
        <v>788</v>
      </c>
      <c r="D99" s="28" t="s">
        <v>371</v>
      </c>
      <c r="E99" s="31" t="s">
        <v>539</v>
      </c>
      <c r="F99" s="30" t="s">
        <v>372</v>
      </c>
      <c r="G99" s="85">
        <f>12*1.8*1.6</f>
        <v>34.56</v>
      </c>
      <c r="H99" s="26"/>
      <c r="I99" s="96">
        <f t="shared" si="4"/>
        <v>0</v>
      </c>
      <c r="J99" s="96">
        <f t="shared" si="5"/>
        <v>0</v>
      </c>
      <c r="L99" s="98"/>
    </row>
    <row r="100" spans="1:12" outlineLevel="1">
      <c r="A100" s="24"/>
      <c r="B100" s="28" t="s">
        <v>675</v>
      </c>
      <c r="C100" s="28" t="s">
        <v>11</v>
      </c>
      <c r="D100" s="28" t="s">
        <v>12</v>
      </c>
      <c r="E100" s="31" t="s">
        <v>684</v>
      </c>
      <c r="F100" s="30" t="s">
        <v>372</v>
      </c>
      <c r="G100" s="85">
        <f>2.88+1.62</f>
        <v>4.5</v>
      </c>
      <c r="H100" s="26"/>
      <c r="I100" s="29">
        <f t="shared" si="4"/>
        <v>0</v>
      </c>
      <c r="J100" s="29">
        <f t="shared" si="5"/>
        <v>0</v>
      </c>
      <c r="L100" s="60"/>
    </row>
    <row r="101" spans="1:12" outlineLevel="1">
      <c r="A101" s="24"/>
      <c r="B101" s="33" t="s">
        <v>159</v>
      </c>
      <c r="C101" s="33"/>
      <c r="D101" s="33"/>
      <c r="E101" s="42" t="s">
        <v>160</v>
      </c>
      <c r="F101" s="30"/>
      <c r="G101" s="85"/>
      <c r="H101" s="26"/>
      <c r="I101" s="29"/>
      <c r="J101" s="29"/>
      <c r="L101" s="60"/>
    </row>
    <row r="102" spans="1:12" s="101" customFormat="1" outlineLevel="1">
      <c r="A102" s="94"/>
      <c r="B102" s="28" t="s">
        <v>161</v>
      </c>
      <c r="C102" s="28">
        <v>72118</v>
      </c>
      <c r="D102" s="28" t="s">
        <v>371</v>
      </c>
      <c r="E102" s="31" t="s">
        <v>680</v>
      </c>
      <c r="F102" s="30" t="s">
        <v>372</v>
      </c>
      <c r="G102" s="85">
        <f>2.16+1.68</f>
        <v>3.84</v>
      </c>
      <c r="H102" s="26"/>
      <c r="I102" s="96">
        <f>H102*$J$8</f>
        <v>0</v>
      </c>
      <c r="J102" s="96">
        <f>G102*I102</f>
        <v>0</v>
      </c>
      <c r="L102" s="98"/>
    </row>
    <row r="103" spans="1:12" outlineLevel="1">
      <c r="A103" s="24"/>
      <c r="B103" s="28" t="s">
        <v>676</v>
      </c>
      <c r="C103" s="28" t="s">
        <v>11</v>
      </c>
      <c r="D103" s="28" t="s">
        <v>12</v>
      </c>
      <c r="E103" s="31" t="s">
        <v>683</v>
      </c>
      <c r="F103" s="30" t="s">
        <v>372</v>
      </c>
      <c r="G103" s="85">
        <f>52.56+13.32</f>
        <v>65.88</v>
      </c>
      <c r="H103" s="26"/>
      <c r="I103" s="29">
        <f>H103*$J$8</f>
        <v>0</v>
      </c>
      <c r="J103" s="29">
        <f>G103*I103</f>
        <v>0</v>
      </c>
      <c r="L103" s="60"/>
    </row>
    <row r="104" spans="1:12" outlineLevel="1">
      <c r="A104" s="24"/>
      <c r="B104" s="28" t="s">
        <v>677</v>
      </c>
      <c r="C104" s="28" t="s">
        <v>681</v>
      </c>
      <c r="D104" s="28" t="s">
        <v>371</v>
      </c>
      <c r="E104" s="31" t="s">
        <v>682</v>
      </c>
      <c r="F104" s="30" t="s">
        <v>372</v>
      </c>
      <c r="G104" s="85">
        <v>6.04</v>
      </c>
      <c r="H104" s="26"/>
      <c r="I104" s="29">
        <f>H104*$J$8</f>
        <v>0</v>
      </c>
      <c r="J104" s="29">
        <f>G104*I104</f>
        <v>0</v>
      </c>
      <c r="L104" s="60"/>
    </row>
    <row r="105" spans="1:12" ht="12.75" customHeight="1" outlineLevel="1">
      <c r="A105" s="24"/>
      <c r="B105" s="33" t="s">
        <v>471</v>
      </c>
      <c r="C105" s="33"/>
      <c r="D105" s="33"/>
      <c r="E105" s="34"/>
      <c r="F105" s="34"/>
      <c r="G105" s="35"/>
      <c r="H105" s="35"/>
      <c r="I105" s="34"/>
      <c r="J105" s="36">
        <f>SUM(J79:J104)</f>
        <v>0</v>
      </c>
      <c r="L105" s="60"/>
    </row>
    <row r="106" spans="1:12">
      <c r="A106" s="24"/>
      <c r="B106" s="25"/>
      <c r="C106" s="25"/>
      <c r="D106" s="25"/>
      <c r="E106" s="32"/>
      <c r="F106" s="24"/>
      <c r="G106" s="84"/>
      <c r="H106" s="26"/>
      <c r="I106" s="23"/>
      <c r="J106" s="23"/>
      <c r="L106" s="60"/>
    </row>
    <row r="107" spans="1:12">
      <c r="A107" s="24"/>
      <c r="B107" s="44">
        <v>7</v>
      </c>
      <c r="C107" s="44"/>
      <c r="D107" s="44"/>
      <c r="E107" s="45" t="s">
        <v>472</v>
      </c>
      <c r="F107" s="45"/>
      <c r="G107" s="46"/>
      <c r="H107" s="46"/>
      <c r="I107" s="45"/>
      <c r="J107" s="47">
        <f>J111</f>
        <v>0</v>
      </c>
      <c r="L107" s="60"/>
    </row>
    <row r="108" spans="1:12" outlineLevel="1">
      <c r="A108" s="24"/>
      <c r="B108" s="28" t="s">
        <v>405</v>
      </c>
      <c r="C108" s="28" t="s">
        <v>473</v>
      </c>
      <c r="D108" s="28" t="s">
        <v>371</v>
      </c>
      <c r="E108" s="31" t="s">
        <v>474</v>
      </c>
      <c r="F108" s="30" t="s">
        <v>372</v>
      </c>
      <c r="G108" s="85">
        <v>803.15</v>
      </c>
      <c r="H108" s="26"/>
      <c r="I108" s="29">
        <f>H108*$J$8</f>
        <v>0</v>
      </c>
      <c r="J108" s="29">
        <f>G108*I108</f>
        <v>0</v>
      </c>
      <c r="L108" s="60"/>
    </row>
    <row r="109" spans="1:12" outlineLevel="1">
      <c r="A109" s="24"/>
      <c r="B109" s="28" t="s">
        <v>406</v>
      </c>
      <c r="C109" s="28" t="s">
        <v>475</v>
      </c>
      <c r="D109" s="28" t="s">
        <v>371</v>
      </c>
      <c r="E109" s="31" t="s">
        <v>476</v>
      </c>
      <c r="F109" s="30" t="s">
        <v>372</v>
      </c>
      <c r="G109" s="85">
        <v>803.15</v>
      </c>
      <c r="H109" s="26"/>
      <c r="I109" s="26">
        <f>H109*$J$8</f>
        <v>0</v>
      </c>
      <c r="J109" s="29">
        <f>G109*I109</f>
        <v>0</v>
      </c>
      <c r="L109" s="60"/>
    </row>
    <row r="110" spans="1:12" outlineLevel="1">
      <c r="A110" s="24"/>
      <c r="B110" s="28" t="s">
        <v>407</v>
      </c>
      <c r="C110" s="28" t="s">
        <v>477</v>
      </c>
      <c r="D110" s="28" t="s">
        <v>371</v>
      </c>
      <c r="E110" s="31" t="s">
        <v>478</v>
      </c>
      <c r="F110" s="30" t="s">
        <v>400</v>
      </c>
      <c r="G110" s="85">
        <v>220.46</v>
      </c>
      <c r="H110" s="26"/>
      <c r="I110" s="29">
        <f>H110*$J$8</f>
        <v>0</v>
      </c>
      <c r="J110" s="29">
        <f>G110*I110</f>
        <v>0</v>
      </c>
      <c r="L110" s="60"/>
    </row>
    <row r="111" spans="1:12" ht="12.75" customHeight="1" outlineLevel="1">
      <c r="A111" s="24"/>
      <c r="B111" s="33" t="s">
        <v>479</v>
      </c>
      <c r="C111" s="33"/>
      <c r="D111" s="33"/>
      <c r="E111" s="34"/>
      <c r="F111" s="34"/>
      <c r="G111" s="35"/>
      <c r="H111" s="35"/>
      <c r="I111" s="34"/>
      <c r="J111" s="36">
        <f>SUM(J108:J110)</f>
        <v>0</v>
      </c>
      <c r="L111" s="60"/>
    </row>
    <row r="112" spans="1:12">
      <c r="A112" s="24"/>
      <c r="B112" s="25"/>
      <c r="C112" s="25"/>
      <c r="D112" s="25"/>
      <c r="E112" s="32"/>
      <c r="F112" s="24"/>
      <c r="G112" s="84"/>
      <c r="H112" s="26"/>
      <c r="I112" s="23"/>
      <c r="J112" s="23"/>
      <c r="L112" s="60"/>
    </row>
    <row r="113" spans="1:12">
      <c r="A113" s="24"/>
      <c r="B113" s="44">
        <v>8</v>
      </c>
      <c r="C113" s="44"/>
      <c r="D113" s="44"/>
      <c r="E113" s="45" t="s">
        <v>480</v>
      </c>
      <c r="F113" s="45"/>
      <c r="G113" s="46"/>
      <c r="H113" s="46"/>
      <c r="I113" s="45"/>
      <c r="J113" s="47">
        <f>J116</f>
        <v>0</v>
      </c>
      <c r="L113" s="60"/>
    </row>
    <row r="114" spans="1:12" outlineLevel="1">
      <c r="A114" s="24"/>
      <c r="B114" s="28" t="s">
        <v>408</v>
      </c>
      <c r="C114" s="28" t="s">
        <v>481</v>
      </c>
      <c r="D114" s="28" t="s">
        <v>371</v>
      </c>
      <c r="E114" s="31" t="s">
        <v>482</v>
      </c>
      <c r="F114" s="30" t="s">
        <v>372</v>
      </c>
      <c r="G114" s="85">
        <v>148.52000000000001</v>
      </c>
      <c r="H114" s="26"/>
      <c r="I114" s="29">
        <f>H114*$J$8</f>
        <v>0</v>
      </c>
      <c r="J114" s="29">
        <f>G114*I114</f>
        <v>0</v>
      </c>
      <c r="L114" s="60"/>
    </row>
    <row r="115" spans="1:12" outlineLevel="1">
      <c r="A115" s="24"/>
      <c r="B115" s="28" t="s">
        <v>409</v>
      </c>
      <c r="C115" s="28" t="s">
        <v>685</v>
      </c>
      <c r="D115" s="28" t="s">
        <v>371</v>
      </c>
      <c r="E115" s="31" t="s">
        <v>483</v>
      </c>
      <c r="F115" s="30" t="s">
        <v>400</v>
      </c>
      <c r="G115" s="85">
        <v>317.66000000000003</v>
      </c>
      <c r="H115" s="26"/>
      <c r="I115" s="29">
        <f>H115*$J$8</f>
        <v>0</v>
      </c>
      <c r="J115" s="29">
        <f>G115*I115</f>
        <v>0</v>
      </c>
      <c r="L115" s="60"/>
    </row>
    <row r="116" spans="1:12" ht="12.75" customHeight="1" outlineLevel="1">
      <c r="A116" s="24"/>
      <c r="B116" s="33" t="s">
        <v>484</v>
      </c>
      <c r="C116" s="33"/>
      <c r="D116" s="33"/>
      <c r="E116" s="34"/>
      <c r="F116" s="34"/>
      <c r="G116" s="35"/>
      <c r="H116" s="35"/>
      <c r="I116" s="34"/>
      <c r="J116" s="36">
        <f>SUM(J114:J115)</f>
        <v>0</v>
      </c>
      <c r="L116" s="60"/>
    </row>
    <row r="117" spans="1:12">
      <c r="A117" s="24"/>
      <c r="B117" s="25"/>
      <c r="C117" s="25"/>
      <c r="D117" s="25"/>
      <c r="E117" s="32"/>
      <c r="F117" s="24"/>
      <c r="G117" s="84"/>
      <c r="H117" s="26"/>
      <c r="I117" s="23"/>
      <c r="J117" s="23"/>
      <c r="L117" s="60"/>
    </row>
    <row r="118" spans="1:12">
      <c r="A118" s="24"/>
      <c r="B118" s="44">
        <v>9</v>
      </c>
      <c r="C118" s="44"/>
      <c r="D118" s="44"/>
      <c r="E118" s="45" t="s">
        <v>485</v>
      </c>
      <c r="F118" s="45"/>
      <c r="G118" s="46"/>
      <c r="H118" s="46"/>
      <c r="I118" s="45"/>
      <c r="J118" s="47">
        <f>J126</f>
        <v>0</v>
      </c>
      <c r="L118" s="60"/>
    </row>
    <row r="119" spans="1:12" ht="25.5" outlineLevel="1">
      <c r="A119" s="24"/>
      <c r="B119" s="28" t="s">
        <v>486</v>
      </c>
      <c r="C119" s="28">
        <v>5974</v>
      </c>
      <c r="D119" s="28" t="s">
        <v>371</v>
      </c>
      <c r="E119" s="31" t="s">
        <v>554</v>
      </c>
      <c r="F119" s="30" t="s">
        <v>372</v>
      </c>
      <c r="G119" s="85">
        <f>1186.88-G121+400.12-92.99+348.7+(4.05*11*0.2*4)</f>
        <v>956.3950000000001</v>
      </c>
      <c r="H119" s="26"/>
      <c r="I119" s="29">
        <f t="shared" ref="I119:I125" si="6">H119*$J$8</f>
        <v>0</v>
      </c>
      <c r="J119" s="29">
        <f t="shared" ref="J119:J125" si="7">G119*I119</f>
        <v>0</v>
      </c>
      <c r="L119" s="60"/>
    </row>
    <row r="120" spans="1:12" outlineLevel="1">
      <c r="A120" s="24"/>
      <c r="B120" s="28" t="s">
        <v>487</v>
      </c>
      <c r="C120" s="28">
        <v>5975</v>
      </c>
      <c r="D120" s="28" t="s">
        <v>371</v>
      </c>
      <c r="E120" s="31" t="s">
        <v>162</v>
      </c>
      <c r="F120" s="30" t="s">
        <v>372</v>
      </c>
      <c r="G120" s="85">
        <f>400.22+92.99+317.66</f>
        <v>810.87000000000012</v>
      </c>
      <c r="H120" s="26"/>
      <c r="I120" s="29">
        <f t="shared" si="6"/>
        <v>0</v>
      </c>
      <c r="J120" s="29">
        <f t="shared" si="7"/>
        <v>0</v>
      </c>
      <c r="L120" s="60"/>
    </row>
    <row r="121" spans="1:12" ht="25.5" outlineLevel="1">
      <c r="A121" s="24"/>
      <c r="B121" s="28" t="s">
        <v>488</v>
      </c>
      <c r="C121" s="28" t="s">
        <v>489</v>
      </c>
      <c r="D121" s="28" t="s">
        <v>371</v>
      </c>
      <c r="E121" s="31" t="s">
        <v>490</v>
      </c>
      <c r="F121" s="30" t="s">
        <v>372</v>
      </c>
      <c r="G121" s="85">
        <f>G124+G125</f>
        <v>921.95500000000004</v>
      </c>
      <c r="H121" s="26"/>
      <c r="I121" s="29">
        <f t="shared" si="6"/>
        <v>0</v>
      </c>
      <c r="J121" s="29">
        <f t="shared" si="7"/>
        <v>0</v>
      </c>
      <c r="L121" s="60"/>
    </row>
    <row r="122" spans="1:12" ht="25.5" outlineLevel="1">
      <c r="A122" s="24"/>
      <c r="B122" s="28" t="s">
        <v>491</v>
      </c>
      <c r="C122" s="28" t="s">
        <v>492</v>
      </c>
      <c r="D122" s="28" t="s">
        <v>371</v>
      </c>
      <c r="E122" s="31" t="s">
        <v>493</v>
      </c>
      <c r="F122" s="30" t="s">
        <v>372</v>
      </c>
      <c r="G122" s="85">
        <f>G119</f>
        <v>956.3950000000001</v>
      </c>
      <c r="H122" s="26"/>
      <c r="I122" s="29">
        <f t="shared" si="6"/>
        <v>0</v>
      </c>
      <c r="J122" s="29">
        <f t="shared" si="7"/>
        <v>0</v>
      </c>
      <c r="L122" s="60"/>
    </row>
    <row r="123" spans="1:12" outlineLevel="1">
      <c r="A123" s="24"/>
      <c r="B123" s="28" t="s">
        <v>494</v>
      </c>
      <c r="C123" s="28" t="s">
        <v>489</v>
      </c>
      <c r="D123" s="28" t="s">
        <v>371</v>
      </c>
      <c r="E123" s="31" t="s">
        <v>163</v>
      </c>
      <c r="F123" s="30" t="s">
        <v>372</v>
      </c>
      <c r="G123" s="85">
        <f>G120</f>
        <v>810.87000000000012</v>
      </c>
      <c r="H123" s="26"/>
      <c r="I123" s="29">
        <f t="shared" si="6"/>
        <v>0</v>
      </c>
      <c r="J123" s="29">
        <f t="shared" si="7"/>
        <v>0</v>
      </c>
      <c r="L123" s="60"/>
    </row>
    <row r="124" spans="1:12" ht="25.5" outlineLevel="1">
      <c r="A124" s="24"/>
      <c r="B124" s="28" t="s">
        <v>495</v>
      </c>
      <c r="C124" s="28" t="s">
        <v>496</v>
      </c>
      <c r="D124" s="28" t="s">
        <v>371</v>
      </c>
      <c r="E124" s="31" t="s">
        <v>497</v>
      </c>
      <c r="F124" s="30" t="s">
        <v>372</v>
      </c>
      <c r="G124" s="85">
        <f>196.74+277.56+227.65</f>
        <v>701.95</v>
      </c>
      <c r="H124" s="26"/>
      <c r="I124" s="29">
        <f t="shared" si="6"/>
        <v>0</v>
      </c>
      <c r="J124" s="29">
        <f t="shared" si="7"/>
        <v>0</v>
      </c>
      <c r="L124" s="60"/>
    </row>
    <row r="125" spans="1:12" ht="25.5" outlineLevel="1">
      <c r="A125" s="24"/>
      <c r="B125" s="28" t="s">
        <v>498</v>
      </c>
      <c r="C125" s="28" t="s">
        <v>499</v>
      </c>
      <c r="D125" s="28" t="s">
        <v>371</v>
      </c>
      <c r="E125" s="31" t="s">
        <v>500</v>
      </c>
      <c r="F125" s="30" t="s">
        <v>372</v>
      </c>
      <c r="G125" s="85">
        <f>55.2+60.17*0.1+51.2*0.1+39.5+103.62+105.48*0.1</f>
        <v>220.005</v>
      </c>
      <c r="H125" s="26"/>
      <c r="I125" s="29">
        <f t="shared" si="6"/>
        <v>0</v>
      </c>
      <c r="J125" s="29">
        <f t="shared" si="7"/>
        <v>0</v>
      </c>
      <c r="L125" s="60"/>
    </row>
    <row r="126" spans="1:12" ht="12.75" customHeight="1" outlineLevel="1">
      <c r="A126" s="24"/>
      <c r="B126" s="33" t="s">
        <v>501</v>
      </c>
      <c r="C126" s="33"/>
      <c r="D126" s="33"/>
      <c r="E126" s="34"/>
      <c r="F126" s="34"/>
      <c r="G126" s="35"/>
      <c r="H126" s="35"/>
      <c r="I126" s="34"/>
      <c r="J126" s="36">
        <f>SUM(J119:J125)</f>
        <v>0</v>
      </c>
      <c r="L126" s="60"/>
    </row>
    <row r="127" spans="1:12">
      <c r="A127" s="24"/>
      <c r="B127" s="25"/>
      <c r="C127" s="25"/>
      <c r="D127" s="25"/>
      <c r="E127" s="32"/>
      <c r="F127" s="24"/>
      <c r="G127" s="84"/>
      <c r="H127" s="26"/>
      <c r="I127" s="23"/>
      <c r="J127" s="23"/>
      <c r="L127" s="60"/>
    </row>
    <row r="128" spans="1:12">
      <c r="A128" s="24"/>
      <c r="B128" s="44">
        <v>10</v>
      </c>
      <c r="C128" s="44"/>
      <c r="D128" s="44"/>
      <c r="E128" s="45" t="s">
        <v>502</v>
      </c>
      <c r="F128" s="45"/>
      <c r="G128" s="46"/>
      <c r="H128" s="46"/>
      <c r="I128" s="45"/>
      <c r="J128" s="47">
        <f>J139</f>
        <v>0</v>
      </c>
      <c r="L128" s="60"/>
    </row>
    <row r="129" spans="1:12" outlineLevel="1">
      <c r="A129" s="24"/>
      <c r="B129" s="28" t="s">
        <v>503</v>
      </c>
      <c r="C129" s="28" t="s">
        <v>686</v>
      </c>
      <c r="D129" s="28" t="s">
        <v>371</v>
      </c>
      <c r="E129" s="31" t="s">
        <v>504</v>
      </c>
      <c r="F129" s="30" t="s">
        <v>372</v>
      </c>
      <c r="G129" s="85">
        <f>G132+G134+G136+68.6</f>
        <v>410.80999999999995</v>
      </c>
      <c r="H129" s="26"/>
      <c r="I129" s="29">
        <f t="shared" ref="I129:I138" si="8">H129*$J$8</f>
        <v>0</v>
      </c>
      <c r="J129" s="29">
        <f t="shared" ref="J129:J138" si="9">G129*I129</f>
        <v>0</v>
      </c>
      <c r="L129" s="60"/>
    </row>
    <row r="130" spans="1:12" outlineLevel="1">
      <c r="A130" s="24"/>
      <c r="B130" s="28" t="s">
        <v>505</v>
      </c>
      <c r="C130" s="28" t="s">
        <v>506</v>
      </c>
      <c r="D130" s="28" t="s">
        <v>371</v>
      </c>
      <c r="E130" s="31" t="s">
        <v>164</v>
      </c>
      <c r="F130" s="30" t="s">
        <v>372</v>
      </c>
      <c r="G130" s="85">
        <f>G129</f>
        <v>410.80999999999995</v>
      </c>
      <c r="H130" s="26"/>
      <c r="I130" s="29">
        <f t="shared" si="8"/>
        <v>0</v>
      </c>
      <c r="J130" s="29">
        <f t="shared" si="9"/>
        <v>0</v>
      </c>
      <c r="L130" s="60"/>
    </row>
    <row r="131" spans="1:12" outlineLevel="1">
      <c r="A131" s="24"/>
      <c r="B131" s="28" t="s">
        <v>507</v>
      </c>
      <c r="C131" s="28">
        <v>72137</v>
      </c>
      <c r="D131" s="28" t="s">
        <v>371</v>
      </c>
      <c r="E131" s="31" t="s">
        <v>508</v>
      </c>
      <c r="F131" s="30" t="s">
        <v>372</v>
      </c>
      <c r="G131" s="85">
        <v>406.17</v>
      </c>
      <c r="H131" s="26"/>
      <c r="I131" s="29">
        <f t="shared" si="8"/>
        <v>0</v>
      </c>
      <c r="J131" s="29">
        <f t="shared" si="9"/>
        <v>0</v>
      </c>
      <c r="L131" s="60"/>
    </row>
    <row r="132" spans="1:12" ht="12.75" customHeight="1" outlineLevel="1">
      <c r="A132" s="24"/>
      <c r="B132" s="28" t="s">
        <v>509</v>
      </c>
      <c r="C132" s="28" t="s">
        <v>496</v>
      </c>
      <c r="D132" s="28" t="s">
        <v>371</v>
      </c>
      <c r="E132" s="31" t="s">
        <v>510</v>
      </c>
      <c r="F132" s="30" t="s">
        <v>372</v>
      </c>
      <c r="G132" s="85">
        <v>148.88999999999999</v>
      </c>
      <c r="H132" s="26"/>
      <c r="I132" s="29">
        <f t="shared" si="8"/>
        <v>0</v>
      </c>
      <c r="J132" s="29">
        <f t="shared" si="9"/>
        <v>0</v>
      </c>
      <c r="L132" s="60"/>
    </row>
    <row r="133" spans="1:12" outlineLevel="1">
      <c r="A133" s="24"/>
      <c r="B133" s="28" t="s">
        <v>511</v>
      </c>
      <c r="C133" s="28">
        <v>73692</v>
      </c>
      <c r="D133" s="28" t="s">
        <v>371</v>
      </c>
      <c r="E133" s="31" t="s">
        <v>512</v>
      </c>
      <c r="F133" s="30" t="s">
        <v>369</v>
      </c>
      <c r="G133" s="85">
        <f>9.8*7*0.4</f>
        <v>27.440000000000005</v>
      </c>
      <c r="H133" s="26"/>
      <c r="I133" s="29">
        <f t="shared" si="8"/>
        <v>0</v>
      </c>
      <c r="J133" s="29">
        <f t="shared" si="9"/>
        <v>0</v>
      </c>
      <c r="L133" s="60"/>
    </row>
    <row r="134" spans="1:12" outlineLevel="1">
      <c r="A134" s="24"/>
      <c r="B134" s="28" t="s">
        <v>513</v>
      </c>
      <c r="C134" s="28">
        <v>73675</v>
      </c>
      <c r="D134" s="28" t="s">
        <v>371</v>
      </c>
      <c r="E134" s="31" t="s">
        <v>514</v>
      </c>
      <c r="F134" s="30" t="s">
        <v>372</v>
      </c>
      <c r="G134" s="85">
        <f>55.31+134.14</f>
        <v>189.45</v>
      </c>
      <c r="H134" s="26"/>
      <c r="I134" s="29">
        <f t="shared" si="8"/>
        <v>0</v>
      </c>
      <c r="J134" s="29">
        <f t="shared" si="9"/>
        <v>0</v>
      </c>
      <c r="L134" s="60"/>
    </row>
    <row r="135" spans="1:12" s="101" customFormat="1" ht="26.25" customHeight="1" outlineLevel="1">
      <c r="A135" s="94"/>
      <c r="B135" s="99" t="s">
        <v>515</v>
      </c>
      <c r="C135" s="99" t="s">
        <v>1</v>
      </c>
      <c r="D135" s="99" t="s">
        <v>416</v>
      </c>
      <c r="E135" s="92" t="s">
        <v>2</v>
      </c>
      <c r="F135" s="102" t="s">
        <v>372</v>
      </c>
      <c r="G135" s="117">
        <f>0.3*0.3*(148+90)</f>
        <v>21.419999999999998</v>
      </c>
      <c r="H135" s="95"/>
      <c r="I135" s="96">
        <f t="shared" si="8"/>
        <v>0</v>
      </c>
      <c r="J135" s="96">
        <f t="shared" si="9"/>
        <v>0</v>
      </c>
      <c r="L135" s="98"/>
    </row>
    <row r="136" spans="1:12" outlineLevel="1">
      <c r="A136" s="24"/>
      <c r="B136" s="28" t="s">
        <v>690</v>
      </c>
      <c r="C136" s="28">
        <v>9418</v>
      </c>
      <c r="D136" s="28" t="s">
        <v>448</v>
      </c>
      <c r="E136" s="31" t="s">
        <v>3</v>
      </c>
      <c r="F136" s="30" t="s">
        <v>372</v>
      </c>
      <c r="G136" s="85">
        <f>0.3*0.3*43</f>
        <v>3.8699999999999997</v>
      </c>
      <c r="H136" s="26"/>
      <c r="I136" s="29">
        <f t="shared" si="8"/>
        <v>0</v>
      </c>
      <c r="J136" s="29">
        <f t="shared" si="9"/>
        <v>0</v>
      </c>
      <c r="L136" s="60"/>
    </row>
    <row r="137" spans="1:12" outlineLevel="1">
      <c r="A137" s="24"/>
      <c r="B137" s="28" t="s">
        <v>691</v>
      </c>
      <c r="C137" s="99"/>
      <c r="D137" s="99"/>
      <c r="E137" s="92" t="s">
        <v>583</v>
      </c>
      <c r="F137" s="102" t="s">
        <v>400</v>
      </c>
      <c r="G137" s="117">
        <v>5.87</v>
      </c>
      <c r="H137" s="95"/>
      <c r="I137" s="29">
        <f t="shared" si="8"/>
        <v>0</v>
      </c>
      <c r="J137" s="29">
        <f t="shared" si="9"/>
        <v>0</v>
      </c>
      <c r="L137" s="60"/>
    </row>
    <row r="138" spans="1:12" outlineLevel="1">
      <c r="A138" s="24"/>
      <c r="B138" s="28" t="s">
        <v>0</v>
      </c>
      <c r="C138" s="28" t="s">
        <v>692</v>
      </c>
      <c r="D138" s="28" t="s">
        <v>371</v>
      </c>
      <c r="E138" s="92" t="s">
        <v>689</v>
      </c>
      <c r="F138" s="30" t="s">
        <v>400</v>
      </c>
      <c r="G138" s="85">
        <v>33.6</v>
      </c>
      <c r="H138" s="26"/>
      <c r="I138" s="29">
        <f t="shared" si="8"/>
        <v>0</v>
      </c>
      <c r="J138" s="29">
        <f t="shared" si="9"/>
        <v>0</v>
      </c>
      <c r="L138" s="60"/>
    </row>
    <row r="139" spans="1:12" ht="12.75" customHeight="1" outlineLevel="1">
      <c r="A139" s="24"/>
      <c r="B139" s="33" t="s">
        <v>4</v>
      </c>
      <c r="C139" s="33"/>
      <c r="D139" s="33"/>
      <c r="E139" s="34"/>
      <c r="F139" s="34"/>
      <c r="G139" s="35"/>
      <c r="H139" s="35"/>
      <c r="I139" s="34"/>
      <c r="J139" s="36">
        <f>SUM(J129:J138)</f>
        <v>0</v>
      </c>
      <c r="L139" s="60"/>
    </row>
    <row r="140" spans="1:12">
      <c r="A140" s="24"/>
      <c r="B140" s="25"/>
      <c r="C140" s="25"/>
      <c r="D140" s="25"/>
      <c r="E140" s="32"/>
      <c r="F140" s="24"/>
      <c r="G140" s="84"/>
      <c r="H140" s="26"/>
      <c r="I140" s="23"/>
      <c r="J140" s="23"/>
      <c r="L140" s="60"/>
    </row>
    <row r="141" spans="1:12">
      <c r="A141" s="24"/>
      <c r="B141" s="44">
        <v>11</v>
      </c>
      <c r="C141" s="44"/>
      <c r="D141" s="44"/>
      <c r="E141" s="45" t="s">
        <v>5</v>
      </c>
      <c r="F141" s="45"/>
      <c r="G141" s="46"/>
      <c r="H141" s="46"/>
      <c r="I141" s="45"/>
      <c r="J141" s="47">
        <f>J148</f>
        <v>0</v>
      </c>
      <c r="L141" s="60"/>
    </row>
    <row r="142" spans="1:12" outlineLevel="1">
      <c r="A142" s="24"/>
      <c r="B142" s="28" t="s">
        <v>6</v>
      </c>
      <c r="C142" s="28" t="s">
        <v>7</v>
      </c>
      <c r="D142" s="28" t="s">
        <v>371</v>
      </c>
      <c r="E142" s="31" t="s">
        <v>8</v>
      </c>
      <c r="F142" s="30" t="s">
        <v>400</v>
      </c>
      <c r="G142" s="85">
        <v>19.2</v>
      </c>
      <c r="H142" s="26"/>
      <c r="I142" s="29">
        <f t="shared" ref="I142:I147" si="10">H142*$J$8</f>
        <v>0</v>
      </c>
      <c r="J142" s="29">
        <f t="shared" ref="J142:J147" si="11">G142*I142</f>
        <v>0</v>
      </c>
      <c r="L142" s="60"/>
    </row>
    <row r="143" spans="1:12" outlineLevel="1">
      <c r="A143" s="24"/>
      <c r="B143" s="28" t="s">
        <v>9</v>
      </c>
      <c r="C143" s="28" t="s">
        <v>7</v>
      </c>
      <c r="D143" s="28" t="s">
        <v>371</v>
      </c>
      <c r="E143" s="31" t="s">
        <v>550</v>
      </c>
      <c r="F143" s="30" t="s">
        <v>400</v>
      </c>
      <c r="G143" s="85">
        <v>4.07</v>
      </c>
      <c r="H143" s="26"/>
      <c r="I143" s="29">
        <f t="shared" si="10"/>
        <v>0</v>
      </c>
      <c r="J143" s="29">
        <f t="shared" si="11"/>
        <v>0</v>
      </c>
      <c r="L143" s="60"/>
    </row>
    <row r="144" spans="1:12" outlineLevel="1">
      <c r="A144" s="24"/>
      <c r="B144" s="28" t="s">
        <v>166</v>
      </c>
      <c r="C144" s="28" t="s">
        <v>167</v>
      </c>
      <c r="D144" s="28" t="s">
        <v>371</v>
      </c>
      <c r="E144" s="31" t="s">
        <v>165</v>
      </c>
      <c r="F144" s="30" t="s">
        <v>400</v>
      </c>
      <c r="G144" s="85">
        <v>61.2</v>
      </c>
      <c r="H144" s="26"/>
      <c r="I144" s="29">
        <f t="shared" si="10"/>
        <v>0</v>
      </c>
      <c r="J144" s="29">
        <f t="shared" si="11"/>
        <v>0</v>
      </c>
      <c r="L144" s="60"/>
    </row>
    <row r="145" spans="1:12" outlineLevel="1">
      <c r="A145" s="24"/>
      <c r="B145" s="28" t="s">
        <v>10</v>
      </c>
      <c r="C145" s="28">
        <v>71623</v>
      </c>
      <c r="D145" s="28" t="s">
        <v>371</v>
      </c>
      <c r="E145" s="31" t="s">
        <v>695</v>
      </c>
      <c r="F145" s="30" t="s">
        <v>400</v>
      </c>
      <c r="G145" s="85">
        <v>167.6</v>
      </c>
      <c r="H145" s="26"/>
      <c r="I145" s="29">
        <f t="shared" si="10"/>
        <v>0</v>
      </c>
      <c r="J145" s="29">
        <f t="shared" si="11"/>
        <v>0</v>
      </c>
      <c r="L145" s="60"/>
    </row>
    <row r="146" spans="1:12" ht="25.5" outlineLevel="1">
      <c r="A146" s="24"/>
      <c r="B146" s="28" t="s">
        <v>693</v>
      </c>
      <c r="C146" s="28">
        <v>71623</v>
      </c>
      <c r="D146" s="28" t="s">
        <v>371</v>
      </c>
      <c r="E146" s="31" t="s">
        <v>696</v>
      </c>
      <c r="F146" s="30" t="s">
        <v>400</v>
      </c>
      <c r="G146" s="85">
        <v>14.6</v>
      </c>
      <c r="H146" s="26"/>
      <c r="I146" s="29">
        <f t="shared" si="10"/>
        <v>0</v>
      </c>
      <c r="J146" s="29">
        <f t="shared" si="11"/>
        <v>0</v>
      </c>
      <c r="L146" s="60"/>
    </row>
    <row r="147" spans="1:12" outlineLevel="1">
      <c r="A147" s="24"/>
      <c r="B147" s="28" t="s">
        <v>694</v>
      </c>
      <c r="C147" s="99" t="s">
        <v>11</v>
      </c>
      <c r="D147" s="99" t="s">
        <v>12</v>
      </c>
      <c r="E147" s="31" t="s">
        <v>13</v>
      </c>
      <c r="F147" s="30" t="s">
        <v>400</v>
      </c>
      <c r="G147" s="85">
        <v>169.6</v>
      </c>
      <c r="H147" s="26"/>
      <c r="I147" s="29">
        <f t="shared" si="10"/>
        <v>0</v>
      </c>
      <c r="J147" s="29">
        <f t="shared" si="11"/>
        <v>0</v>
      </c>
      <c r="L147" s="60"/>
    </row>
    <row r="148" spans="1:12" ht="12.75" customHeight="1" outlineLevel="1">
      <c r="A148" s="24"/>
      <c r="B148" s="33" t="s">
        <v>14</v>
      </c>
      <c r="C148" s="33"/>
      <c r="D148" s="33"/>
      <c r="E148" s="34"/>
      <c r="F148" s="34"/>
      <c r="G148" s="35"/>
      <c r="H148" s="35"/>
      <c r="I148" s="34"/>
      <c r="J148" s="36">
        <f>SUM(J142:J147)</f>
        <v>0</v>
      </c>
      <c r="L148" s="60"/>
    </row>
    <row r="149" spans="1:12">
      <c r="A149" s="24"/>
      <c r="B149" s="25"/>
      <c r="C149" s="25"/>
      <c r="D149" s="25"/>
      <c r="E149" s="32"/>
      <c r="F149" s="24"/>
      <c r="G149" s="84"/>
      <c r="H149" s="26"/>
      <c r="I149" s="23"/>
      <c r="J149" s="23"/>
      <c r="L149" s="60"/>
    </row>
    <row r="150" spans="1:12">
      <c r="A150" s="24"/>
      <c r="B150" s="44">
        <v>12</v>
      </c>
      <c r="C150" s="44"/>
      <c r="D150" s="44"/>
      <c r="E150" s="45" t="s">
        <v>15</v>
      </c>
      <c r="F150" s="45"/>
      <c r="G150" s="46"/>
      <c r="H150" s="46"/>
      <c r="I150" s="45"/>
      <c r="J150" s="47">
        <f>J156</f>
        <v>0</v>
      </c>
      <c r="L150" s="60"/>
    </row>
    <row r="151" spans="1:12" outlineLevel="1">
      <c r="A151" s="24"/>
      <c r="B151" s="28" t="s">
        <v>16</v>
      </c>
      <c r="C151" s="28" t="s">
        <v>697</v>
      </c>
      <c r="D151" s="28" t="s">
        <v>371</v>
      </c>
      <c r="E151" s="31" t="s">
        <v>17</v>
      </c>
      <c r="F151" s="30" t="s">
        <v>372</v>
      </c>
      <c r="G151" s="85">
        <f>568.56+246.45</f>
        <v>815.01</v>
      </c>
      <c r="H151" s="26"/>
      <c r="I151" s="29">
        <f>H151*$J$8</f>
        <v>0</v>
      </c>
      <c r="J151" s="29">
        <f>G151*I151</f>
        <v>0</v>
      </c>
      <c r="L151" s="60"/>
    </row>
    <row r="152" spans="1:12" outlineLevel="1">
      <c r="A152" s="24"/>
      <c r="B152" s="28" t="s">
        <v>18</v>
      </c>
      <c r="C152" s="28" t="s">
        <v>698</v>
      </c>
      <c r="D152" s="28" t="s">
        <v>371</v>
      </c>
      <c r="E152" s="31" t="s">
        <v>551</v>
      </c>
      <c r="F152" s="30" t="s">
        <v>372</v>
      </c>
      <c r="G152" s="85">
        <v>422.22</v>
      </c>
      <c r="H152" s="26"/>
      <c r="I152" s="29">
        <f>H152*$J$8</f>
        <v>0</v>
      </c>
      <c r="J152" s="29">
        <f>G152*I152</f>
        <v>0</v>
      </c>
      <c r="L152" s="60"/>
    </row>
    <row r="153" spans="1:12" outlineLevel="1">
      <c r="A153" s="24"/>
      <c r="B153" s="28" t="s">
        <v>19</v>
      </c>
      <c r="C153" s="28" t="s">
        <v>20</v>
      </c>
      <c r="D153" s="28" t="s">
        <v>371</v>
      </c>
      <c r="E153" s="31" t="s">
        <v>553</v>
      </c>
      <c r="F153" s="30" t="s">
        <v>372</v>
      </c>
      <c r="G153" s="85">
        <f>G151</f>
        <v>815.01</v>
      </c>
      <c r="H153" s="26"/>
      <c r="I153" s="29">
        <f>H153*$J$8</f>
        <v>0</v>
      </c>
      <c r="J153" s="29">
        <f>G153*I153</f>
        <v>0</v>
      </c>
      <c r="L153" s="60"/>
    </row>
    <row r="154" spans="1:12" outlineLevel="1">
      <c r="A154" s="24"/>
      <c r="B154" s="28" t="s">
        <v>21</v>
      </c>
      <c r="C154" s="28" t="s">
        <v>699</v>
      </c>
      <c r="D154" s="28" t="s">
        <v>371</v>
      </c>
      <c r="E154" s="31" t="s">
        <v>552</v>
      </c>
      <c r="F154" s="30" t="s">
        <v>372</v>
      </c>
      <c r="G154" s="85">
        <f>G152</f>
        <v>422.22</v>
      </c>
      <c r="H154" s="26"/>
      <c r="I154" s="29">
        <f>H154*$J$8</f>
        <v>0</v>
      </c>
      <c r="J154" s="29">
        <f>G154*I154</f>
        <v>0</v>
      </c>
      <c r="L154" s="60"/>
    </row>
    <row r="155" spans="1:12" outlineLevel="1">
      <c r="A155" s="24"/>
      <c r="B155" s="28" t="s">
        <v>22</v>
      </c>
      <c r="C155" s="28" t="s">
        <v>23</v>
      </c>
      <c r="D155" s="28" t="s">
        <v>371</v>
      </c>
      <c r="E155" s="31" t="s">
        <v>24</v>
      </c>
      <c r="F155" s="30" t="s">
        <v>372</v>
      </c>
      <c r="G155" s="85">
        <v>97.09</v>
      </c>
      <c r="H155" s="26"/>
      <c r="I155" s="29">
        <f>H155*$J$8</f>
        <v>0</v>
      </c>
      <c r="J155" s="29">
        <f>G155*I155</f>
        <v>0</v>
      </c>
      <c r="L155" s="60"/>
    </row>
    <row r="156" spans="1:12" ht="12.75" customHeight="1" outlineLevel="1">
      <c r="A156" s="24"/>
      <c r="B156" s="33" t="s">
        <v>27</v>
      </c>
      <c r="C156" s="33"/>
      <c r="D156" s="33"/>
      <c r="E156" s="34"/>
      <c r="F156" s="34"/>
      <c r="G156" s="35"/>
      <c r="H156" s="35"/>
      <c r="I156" s="34"/>
      <c r="J156" s="36">
        <f>SUM(J151:J155)</f>
        <v>0</v>
      </c>
      <c r="L156" s="60"/>
    </row>
    <row r="157" spans="1:12">
      <c r="A157" s="24"/>
      <c r="B157" s="25"/>
      <c r="C157" s="25"/>
      <c r="D157" s="25"/>
      <c r="E157" s="32"/>
      <c r="F157" s="24"/>
      <c r="G157" s="84"/>
      <c r="H157" s="26"/>
      <c r="I157" s="23"/>
      <c r="J157" s="23"/>
      <c r="L157" s="60"/>
    </row>
    <row r="158" spans="1:12">
      <c r="A158" s="24"/>
      <c r="B158" s="44">
        <v>13</v>
      </c>
      <c r="C158" s="44"/>
      <c r="D158" s="44"/>
      <c r="E158" s="45" t="s">
        <v>28</v>
      </c>
      <c r="F158" s="45"/>
      <c r="G158" s="46"/>
      <c r="H158" s="46"/>
      <c r="I158" s="45"/>
      <c r="J158" s="47">
        <f>J238</f>
        <v>0</v>
      </c>
      <c r="L158" s="60"/>
    </row>
    <row r="159" spans="1:12" outlineLevel="1">
      <c r="A159" s="24"/>
      <c r="B159" s="33" t="s">
        <v>168</v>
      </c>
      <c r="C159" s="33"/>
      <c r="D159" s="33"/>
      <c r="E159" s="34" t="s">
        <v>169</v>
      </c>
      <c r="F159" s="23"/>
      <c r="G159" s="26"/>
      <c r="H159" s="26"/>
      <c r="I159" s="23"/>
      <c r="J159" s="23"/>
      <c r="L159" s="60"/>
    </row>
    <row r="160" spans="1:12" s="101" customFormat="1" ht="63.75" outlineLevel="1">
      <c r="A160" s="94"/>
      <c r="B160" s="99" t="s">
        <v>29</v>
      </c>
      <c r="C160" s="102" t="s">
        <v>32</v>
      </c>
      <c r="D160" s="102" t="s">
        <v>371</v>
      </c>
      <c r="E160" s="92" t="s">
        <v>789</v>
      </c>
      <c r="F160" s="94" t="s">
        <v>366</v>
      </c>
      <c r="G160" s="103">
        <v>1</v>
      </c>
      <c r="H160" s="95"/>
      <c r="I160" s="29">
        <f t="shared" ref="I160:I165" si="12">H160*$J$8</f>
        <v>0</v>
      </c>
      <c r="J160" s="29">
        <f t="shared" ref="J160:J165" si="13">G160*I160</f>
        <v>0</v>
      </c>
      <c r="L160" s="98"/>
    </row>
    <row r="161" spans="1:12" s="101" customFormat="1" ht="63.75" outlineLevel="1">
      <c r="A161" s="94"/>
      <c r="B161" s="99" t="s">
        <v>30</v>
      </c>
      <c r="C161" s="99" t="s">
        <v>11</v>
      </c>
      <c r="D161" s="99" t="s">
        <v>12</v>
      </c>
      <c r="E161" s="92" t="s">
        <v>790</v>
      </c>
      <c r="F161" s="94" t="s">
        <v>366</v>
      </c>
      <c r="G161" s="103">
        <v>1</v>
      </c>
      <c r="H161" s="95"/>
      <c r="I161" s="29">
        <f t="shared" si="12"/>
        <v>0</v>
      </c>
      <c r="J161" s="29">
        <f t="shared" si="13"/>
        <v>0</v>
      </c>
      <c r="L161" s="98"/>
    </row>
    <row r="162" spans="1:12" s="101" customFormat="1" ht="63.75" outlineLevel="1">
      <c r="A162" s="94"/>
      <c r="B162" s="99" t="s">
        <v>31</v>
      </c>
      <c r="C162" s="99" t="s">
        <v>11</v>
      </c>
      <c r="D162" s="99" t="s">
        <v>12</v>
      </c>
      <c r="E162" s="92" t="s">
        <v>793</v>
      </c>
      <c r="F162" s="94" t="s">
        <v>366</v>
      </c>
      <c r="G162" s="86">
        <v>1</v>
      </c>
      <c r="H162" s="26"/>
      <c r="I162" s="29">
        <f t="shared" si="12"/>
        <v>0</v>
      </c>
      <c r="J162" s="29">
        <f t="shared" si="13"/>
        <v>0</v>
      </c>
      <c r="L162" s="98"/>
    </row>
    <row r="163" spans="1:12" s="101" customFormat="1" ht="63.75" outlineLevel="1">
      <c r="A163" s="94"/>
      <c r="B163" s="99" t="s">
        <v>33</v>
      </c>
      <c r="C163" s="99" t="s">
        <v>11</v>
      </c>
      <c r="D163" s="99" t="s">
        <v>12</v>
      </c>
      <c r="E163" s="92" t="s">
        <v>792</v>
      </c>
      <c r="F163" s="94" t="s">
        <v>366</v>
      </c>
      <c r="G163" s="86">
        <v>1</v>
      </c>
      <c r="H163" s="26"/>
      <c r="I163" s="29">
        <f t="shared" si="12"/>
        <v>0</v>
      </c>
      <c r="J163" s="29">
        <f t="shared" si="13"/>
        <v>0</v>
      </c>
      <c r="L163" s="98"/>
    </row>
    <row r="164" spans="1:12" s="101" customFormat="1" ht="63.75" outlineLevel="1">
      <c r="A164" s="94"/>
      <c r="B164" s="99" t="s">
        <v>34</v>
      </c>
      <c r="C164" s="99" t="s">
        <v>11</v>
      </c>
      <c r="D164" s="99" t="s">
        <v>12</v>
      </c>
      <c r="E164" s="92" t="s">
        <v>791</v>
      </c>
      <c r="F164" s="94" t="s">
        <v>366</v>
      </c>
      <c r="G164" s="86">
        <v>1</v>
      </c>
      <c r="H164" s="26"/>
      <c r="I164" s="29">
        <f t="shared" si="12"/>
        <v>0</v>
      </c>
      <c r="J164" s="29">
        <f t="shared" si="13"/>
        <v>0</v>
      </c>
      <c r="L164" s="98"/>
    </row>
    <row r="165" spans="1:12" s="101" customFormat="1" ht="51" outlineLevel="1">
      <c r="A165" s="94"/>
      <c r="B165" s="99" t="s">
        <v>35</v>
      </c>
      <c r="C165" s="99" t="s">
        <v>11</v>
      </c>
      <c r="D165" s="99" t="s">
        <v>12</v>
      </c>
      <c r="E165" s="92" t="s">
        <v>794</v>
      </c>
      <c r="F165" s="94" t="s">
        <v>366</v>
      </c>
      <c r="G165" s="103">
        <v>1</v>
      </c>
      <c r="H165" s="95"/>
      <c r="I165" s="29">
        <f t="shared" si="12"/>
        <v>0</v>
      </c>
      <c r="J165" s="29">
        <f t="shared" si="13"/>
        <v>0</v>
      </c>
      <c r="L165" s="98"/>
    </row>
    <row r="166" spans="1:12" outlineLevel="1">
      <c r="A166" s="24"/>
      <c r="B166" s="33" t="s">
        <v>40</v>
      </c>
      <c r="C166" s="112"/>
      <c r="D166" s="112"/>
      <c r="E166" s="34" t="s">
        <v>170</v>
      </c>
      <c r="F166" s="23"/>
      <c r="G166" s="26"/>
      <c r="H166" s="26"/>
      <c r="I166" s="29"/>
      <c r="J166" s="29"/>
      <c r="L166" s="60"/>
    </row>
    <row r="167" spans="1:12" s="101" customFormat="1" outlineLevel="1">
      <c r="A167" s="94"/>
      <c r="B167" s="99" t="s">
        <v>42</v>
      </c>
      <c r="C167" s="99">
        <v>72935</v>
      </c>
      <c r="D167" s="99" t="s">
        <v>371</v>
      </c>
      <c r="E167" s="92" t="s">
        <v>171</v>
      </c>
      <c r="F167" s="102" t="s">
        <v>400</v>
      </c>
      <c r="G167" s="103">
        <v>408</v>
      </c>
      <c r="H167" s="95"/>
      <c r="I167" s="29">
        <f>H167*$J$8</f>
        <v>0</v>
      </c>
      <c r="J167" s="29">
        <f>G167*I167</f>
        <v>0</v>
      </c>
      <c r="L167" s="98"/>
    </row>
    <row r="168" spans="1:12" s="101" customFormat="1" outlineLevel="1">
      <c r="A168" s="94"/>
      <c r="B168" s="99" t="s">
        <v>50</v>
      </c>
      <c r="C168" s="99">
        <v>72936</v>
      </c>
      <c r="D168" s="99" t="s">
        <v>371</v>
      </c>
      <c r="E168" s="92" t="s">
        <v>584</v>
      </c>
      <c r="F168" s="102" t="s">
        <v>400</v>
      </c>
      <c r="G168" s="103">
        <v>336</v>
      </c>
      <c r="H168" s="95"/>
      <c r="I168" s="29">
        <f t="shared" ref="I168:I175" si="14">H168*$J$8</f>
        <v>0</v>
      </c>
      <c r="J168" s="29">
        <f t="shared" ref="J168:J175" si="15">G168*I168</f>
        <v>0</v>
      </c>
      <c r="L168" s="98"/>
    </row>
    <row r="169" spans="1:12" s="101" customFormat="1" outlineLevel="1">
      <c r="A169" s="94"/>
      <c r="B169" s="99" t="s">
        <v>52</v>
      </c>
      <c r="C169" s="99" t="s">
        <v>11</v>
      </c>
      <c r="D169" s="99" t="s">
        <v>12</v>
      </c>
      <c r="E169" s="92" t="s">
        <v>585</v>
      </c>
      <c r="F169" s="102" t="s">
        <v>400</v>
      </c>
      <c r="G169" s="103">
        <v>9</v>
      </c>
      <c r="H169" s="95"/>
      <c r="I169" s="29">
        <f t="shared" si="14"/>
        <v>0</v>
      </c>
      <c r="J169" s="29">
        <f t="shared" si="15"/>
        <v>0</v>
      </c>
      <c r="L169" s="98"/>
    </row>
    <row r="170" spans="1:12" s="101" customFormat="1" outlineLevel="1">
      <c r="A170" s="94"/>
      <c r="B170" s="99" t="s">
        <v>56</v>
      </c>
      <c r="C170" s="99" t="s">
        <v>11</v>
      </c>
      <c r="D170" s="99" t="s">
        <v>12</v>
      </c>
      <c r="E170" s="92" t="s">
        <v>586</v>
      </c>
      <c r="F170" s="102" t="s">
        <v>400</v>
      </c>
      <c r="G170" s="103">
        <v>54</v>
      </c>
      <c r="H170" s="95"/>
      <c r="I170" s="29">
        <f t="shared" si="14"/>
        <v>0</v>
      </c>
      <c r="J170" s="29">
        <f t="shared" si="15"/>
        <v>0</v>
      </c>
      <c r="L170" s="98"/>
    </row>
    <row r="171" spans="1:12" s="101" customFormat="1" outlineLevel="1">
      <c r="A171" s="94"/>
      <c r="B171" s="99" t="s">
        <v>59</v>
      </c>
      <c r="C171" s="99" t="s">
        <v>11</v>
      </c>
      <c r="D171" s="99" t="s">
        <v>12</v>
      </c>
      <c r="E171" s="92" t="s">
        <v>587</v>
      </c>
      <c r="F171" s="102" t="s">
        <v>400</v>
      </c>
      <c r="G171" s="103">
        <v>18</v>
      </c>
      <c r="H171" s="95"/>
      <c r="I171" s="29">
        <f t="shared" si="14"/>
        <v>0</v>
      </c>
      <c r="J171" s="29">
        <f t="shared" si="15"/>
        <v>0</v>
      </c>
      <c r="L171" s="98"/>
    </row>
    <row r="172" spans="1:12" s="101" customFormat="1" outlineLevel="1">
      <c r="A172" s="94"/>
      <c r="B172" s="99" t="s">
        <v>61</v>
      </c>
      <c r="C172" s="99">
        <v>72311</v>
      </c>
      <c r="D172" s="99" t="s">
        <v>371</v>
      </c>
      <c r="E172" s="92" t="s">
        <v>588</v>
      </c>
      <c r="F172" s="102" t="s">
        <v>400</v>
      </c>
      <c r="G172" s="103">
        <v>6</v>
      </c>
      <c r="H172" s="95"/>
      <c r="I172" s="29">
        <f t="shared" si="14"/>
        <v>0</v>
      </c>
      <c r="J172" s="29">
        <f t="shared" si="15"/>
        <v>0</v>
      </c>
      <c r="L172" s="98"/>
    </row>
    <row r="173" spans="1:12" s="101" customFormat="1" outlineLevel="1">
      <c r="A173" s="94"/>
      <c r="B173" s="99" t="s">
        <v>62</v>
      </c>
      <c r="C173" s="99"/>
      <c r="D173" s="99" t="s">
        <v>12</v>
      </c>
      <c r="E173" s="92" t="s">
        <v>700</v>
      </c>
      <c r="F173" s="102" t="s">
        <v>366</v>
      </c>
      <c r="G173" s="103">
        <v>1</v>
      </c>
      <c r="H173" s="95"/>
      <c r="I173" s="29">
        <f t="shared" si="14"/>
        <v>0</v>
      </c>
      <c r="J173" s="29">
        <f t="shared" si="15"/>
        <v>0</v>
      </c>
      <c r="L173" s="98"/>
    </row>
    <row r="174" spans="1:12" s="101" customFormat="1" outlineLevel="1">
      <c r="A174" s="94"/>
      <c r="B174" s="99" t="s">
        <v>63</v>
      </c>
      <c r="C174" s="99"/>
      <c r="D174" s="99" t="s">
        <v>12</v>
      </c>
      <c r="E174" s="92" t="s">
        <v>701</v>
      </c>
      <c r="F174" s="102" t="s">
        <v>366</v>
      </c>
      <c r="G174" s="103">
        <v>1</v>
      </c>
      <c r="H174" s="95"/>
      <c r="I174" s="29">
        <f t="shared" si="14"/>
        <v>0</v>
      </c>
      <c r="J174" s="29">
        <f t="shared" si="15"/>
        <v>0</v>
      </c>
      <c r="L174" s="98"/>
    </row>
    <row r="175" spans="1:12" s="101" customFormat="1" outlineLevel="1">
      <c r="A175" s="94"/>
      <c r="B175" s="99" t="s">
        <v>64</v>
      </c>
      <c r="C175" s="99" t="s">
        <v>60</v>
      </c>
      <c r="D175" s="99" t="s">
        <v>371</v>
      </c>
      <c r="E175" s="92" t="s">
        <v>589</v>
      </c>
      <c r="F175" s="102" t="s">
        <v>366</v>
      </c>
      <c r="G175" s="103">
        <v>6</v>
      </c>
      <c r="H175" s="95"/>
      <c r="I175" s="29">
        <f t="shared" si="14"/>
        <v>0</v>
      </c>
      <c r="J175" s="29">
        <f t="shared" si="15"/>
        <v>0</v>
      </c>
      <c r="L175" s="98"/>
    </row>
    <row r="176" spans="1:12" s="101" customFormat="1" outlineLevel="1">
      <c r="A176" s="94"/>
      <c r="B176" s="99"/>
      <c r="C176" s="99"/>
      <c r="D176" s="99"/>
      <c r="E176" s="92"/>
      <c r="F176" s="102"/>
      <c r="G176" s="103"/>
      <c r="H176" s="95"/>
      <c r="I176" s="29"/>
      <c r="J176" s="29"/>
      <c r="L176" s="98"/>
    </row>
    <row r="177" spans="1:12" outlineLevel="1">
      <c r="A177" s="24"/>
      <c r="B177" s="33" t="s">
        <v>172</v>
      </c>
      <c r="C177" s="33"/>
      <c r="D177" s="33"/>
      <c r="E177" s="34" t="s">
        <v>173</v>
      </c>
      <c r="F177" s="53"/>
      <c r="G177" s="54"/>
      <c r="H177" s="54"/>
      <c r="I177" s="29"/>
      <c r="J177" s="29"/>
      <c r="L177" s="60"/>
    </row>
    <row r="178" spans="1:12" ht="38.25" outlineLevel="1">
      <c r="A178" s="24"/>
      <c r="B178" s="33"/>
      <c r="C178" s="33"/>
      <c r="D178" s="33"/>
      <c r="E178" s="31" t="s">
        <v>36</v>
      </c>
      <c r="F178" s="24"/>
      <c r="G178" s="86"/>
      <c r="H178" s="26"/>
      <c r="I178" s="29"/>
      <c r="J178" s="29"/>
      <c r="L178" s="60"/>
    </row>
    <row r="179" spans="1:12" s="101" customFormat="1" outlineLevel="1">
      <c r="A179" s="94"/>
      <c r="B179" s="28" t="s">
        <v>174</v>
      </c>
      <c r="C179" s="99" t="s">
        <v>37</v>
      </c>
      <c r="D179" s="99" t="s">
        <v>371</v>
      </c>
      <c r="E179" s="92" t="s">
        <v>176</v>
      </c>
      <c r="F179" s="102" t="s">
        <v>400</v>
      </c>
      <c r="G179" s="103">
        <f>2650+170</f>
        <v>2820</v>
      </c>
      <c r="H179" s="95"/>
      <c r="I179" s="29">
        <f>H179*$J$8</f>
        <v>0</v>
      </c>
      <c r="J179" s="29">
        <f>G179*I179</f>
        <v>0</v>
      </c>
      <c r="K179" s="118"/>
      <c r="L179" s="98"/>
    </row>
    <row r="180" spans="1:12" s="101" customFormat="1" outlineLevel="1">
      <c r="A180" s="94"/>
      <c r="B180" s="28" t="s">
        <v>175</v>
      </c>
      <c r="C180" s="99" t="s">
        <v>38</v>
      </c>
      <c r="D180" s="99" t="s">
        <v>371</v>
      </c>
      <c r="E180" s="92" t="s">
        <v>178</v>
      </c>
      <c r="F180" s="102" t="s">
        <v>400</v>
      </c>
      <c r="G180" s="103">
        <v>400</v>
      </c>
      <c r="H180" s="95"/>
      <c r="I180" s="29">
        <f>H180*$J$8</f>
        <v>0</v>
      </c>
      <c r="J180" s="29">
        <f>G180*I180</f>
        <v>0</v>
      </c>
      <c r="K180" s="118"/>
      <c r="L180" s="98"/>
    </row>
    <row r="181" spans="1:12" s="101" customFormat="1" outlineLevel="1">
      <c r="A181" s="94"/>
      <c r="B181" s="28" t="s">
        <v>177</v>
      </c>
      <c r="C181" s="99" t="s">
        <v>39</v>
      </c>
      <c r="D181" s="99" t="s">
        <v>371</v>
      </c>
      <c r="E181" s="92" t="s">
        <v>180</v>
      </c>
      <c r="F181" s="102" t="s">
        <v>400</v>
      </c>
      <c r="G181" s="103">
        <f>170+220</f>
        <v>390</v>
      </c>
      <c r="H181" s="95"/>
      <c r="I181" s="29">
        <f>H181*$J$8</f>
        <v>0</v>
      </c>
      <c r="J181" s="29">
        <f>G181*I181</f>
        <v>0</v>
      </c>
      <c r="K181" s="118"/>
      <c r="L181" s="98"/>
    </row>
    <row r="182" spans="1:12" s="101" customFormat="1" outlineLevel="1">
      <c r="A182" s="94"/>
      <c r="B182" s="28" t="s">
        <v>179</v>
      </c>
      <c r="C182" s="99" t="s">
        <v>182</v>
      </c>
      <c r="D182" s="99" t="s">
        <v>371</v>
      </c>
      <c r="E182" s="92" t="s">
        <v>183</v>
      </c>
      <c r="F182" s="102" t="s">
        <v>400</v>
      </c>
      <c r="G182" s="103">
        <v>170</v>
      </c>
      <c r="H182" s="95"/>
      <c r="I182" s="29">
        <f>H182*$J$8</f>
        <v>0</v>
      </c>
      <c r="J182" s="29">
        <f>G182*I182</f>
        <v>0</v>
      </c>
      <c r="K182" s="105"/>
      <c r="L182" s="98"/>
    </row>
    <row r="183" spans="1:12" outlineLevel="1">
      <c r="A183" s="24"/>
      <c r="B183" s="28" t="s">
        <v>181</v>
      </c>
      <c r="C183" s="28" t="s">
        <v>184</v>
      </c>
      <c r="D183" s="28" t="s">
        <v>371</v>
      </c>
      <c r="E183" s="31" t="s">
        <v>185</v>
      </c>
      <c r="F183" s="30" t="s">
        <v>400</v>
      </c>
      <c r="G183" s="103">
        <v>200</v>
      </c>
      <c r="H183" s="95"/>
      <c r="I183" s="29">
        <f>H183*$J$8</f>
        <v>0</v>
      </c>
      <c r="J183" s="29">
        <f>G183*I183</f>
        <v>0</v>
      </c>
      <c r="L183" s="60"/>
    </row>
    <row r="184" spans="1:12" outlineLevel="1">
      <c r="A184" s="24"/>
      <c r="B184" s="33" t="s">
        <v>186</v>
      </c>
      <c r="C184" s="33"/>
      <c r="D184" s="33"/>
      <c r="E184" s="34" t="s">
        <v>187</v>
      </c>
      <c r="F184" s="53"/>
      <c r="G184" s="54"/>
      <c r="H184" s="54"/>
      <c r="I184" s="29"/>
      <c r="J184" s="29"/>
      <c r="L184" s="60"/>
    </row>
    <row r="185" spans="1:12" s="101" customFormat="1" outlineLevel="1">
      <c r="A185" s="94"/>
      <c r="B185" s="28" t="s">
        <v>188</v>
      </c>
      <c r="C185" s="28">
        <v>72339</v>
      </c>
      <c r="D185" s="28" t="s">
        <v>371</v>
      </c>
      <c r="E185" s="31" t="s">
        <v>189</v>
      </c>
      <c r="F185" s="30" t="s">
        <v>366</v>
      </c>
      <c r="G185" s="86">
        <v>134</v>
      </c>
      <c r="H185" s="26"/>
      <c r="I185" s="29">
        <f>H185*$J$8</f>
        <v>0</v>
      </c>
      <c r="J185" s="29">
        <f>G185*I185</f>
        <v>0</v>
      </c>
      <c r="L185" s="98"/>
    </row>
    <row r="186" spans="1:12" s="101" customFormat="1" outlineLevel="1">
      <c r="A186" s="94"/>
      <c r="B186" s="28" t="s">
        <v>190</v>
      </c>
      <c r="C186" s="28">
        <v>72339</v>
      </c>
      <c r="D186" s="28" t="s">
        <v>371</v>
      </c>
      <c r="E186" s="31" t="s">
        <v>191</v>
      </c>
      <c r="F186" s="30" t="s">
        <v>366</v>
      </c>
      <c r="G186" s="86">
        <v>8</v>
      </c>
      <c r="H186" s="26"/>
      <c r="I186" s="29">
        <f t="shared" ref="I186:I198" si="16">H186*$J$8</f>
        <v>0</v>
      </c>
      <c r="J186" s="29">
        <f t="shared" ref="J186:J198" si="17">G186*I186</f>
        <v>0</v>
      </c>
      <c r="L186" s="98"/>
    </row>
    <row r="187" spans="1:12" s="101" customFormat="1" outlineLevel="1">
      <c r="A187" s="94"/>
      <c r="B187" s="28" t="s">
        <v>192</v>
      </c>
      <c r="C187" s="28">
        <v>72331</v>
      </c>
      <c r="D187" s="28" t="s">
        <v>371</v>
      </c>
      <c r="E187" s="31" t="s">
        <v>193</v>
      </c>
      <c r="F187" s="30" t="s">
        <v>366</v>
      </c>
      <c r="G187" s="86">
        <v>35</v>
      </c>
      <c r="H187" s="26"/>
      <c r="I187" s="29">
        <f t="shared" si="16"/>
        <v>0</v>
      </c>
      <c r="J187" s="29">
        <f t="shared" si="17"/>
        <v>0</v>
      </c>
      <c r="L187" s="98"/>
    </row>
    <row r="188" spans="1:12" s="101" customFormat="1" outlineLevel="1">
      <c r="A188" s="94"/>
      <c r="B188" s="28" t="s">
        <v>194</v>
      </c>
      <c r="C188" s="28">
        <v>72332</v>
      </c>
      <c r="D188" s="28" t="s">
        <v>371</v>
      </c>
      <c r="E188" s="31" t="s">
        <v>195</v>
      </c>
      <c r="F188" s="30" t="s">
        <v>366</v>
      </c>
      <c r="G188" s="86">
        <v>3</v>
      </c>
      <c r="H188" s="26"/>
      <c r="I188" s="29">
        <f t="shared" si="16"/>
        <v>0</v>
      </c>
      <c r="J188" s="29">
        <f t="shared" si="17"/>
        <v>0</v>
      </c>
      <c r="L188" s="98"/>
    </row>
    <row r="189" spans="1:12" s="101" customFormat="1" outlineLevel="1">
      <c r="A189" s="94"/>
      <c r="B189" s="28" t="s">
        <v>196</v>
      </c>
      <c r="C189" s="28">
        <v>72333</v>
      </c>
      <c r="D189" s="28" t="s">
        <v>371</v>
      </c>
      <c r="E189" s="31" t="s">
        <v>590</v>
      </c>
      <c r="F189" s="30" t="s">
        <v>366</v>
      </c>
      <c r="G189" s="86">
        <v>2</v>
      </c>
      <c r="H189" s="26"/>
      <c r="I189" s="29">
        <f t="shared" si="16"/>
        <v>0</v>
      </c>
      <c r="J189" s="29">
        <f t="shared" si="17"/>
        <v>0</v>
      </c>
      <c r="L189" s="98"/>
    </row>
    <row r="190" spans="1:12" s="101" customFormat="1" outlineLevel="1">
      <c r="A190" s="94"/>
      <c r="B190" s="28" t="s">
        <v>197</v>
      </c>
      <c r="C190" s="28">
        <v>72333</v>
      </c>
      <c r="D190" s="28" t="s">
        <v>371</v>
      </c>
      <c r="E190" s="31" t="s">
        <v>591</v>
      </c>
      <c r="F190" s="30" t="s">
        <v>366</v>
      </c>
      <c r="G190" s="86">
        <v>10</v>
      </c>
      <c r="H190" s="26"/>
      <c r="I190" s="29">
        <f t="shared" si="16"/>
        <v>0</v>
      </c>
      <c r="J190" s="29">
        <f t="shared" si="17"/>
        <v>0</v>
      </c>
      <c r="L190" s="98"/>
    </row>
    <row r="191" spans="1:12" s="101" customFormat="1" outlineLevel="1">
      <c r="A191" s="94"/>
      <c r="B191" s="28" t="s">
        <v>200</v>
      </c>
      <c r="C191" s="28" t="s">
        <v>198</v>
      </c>
      <c r="D191" s="28" t="s">
        <v>371</v>
      </c>
      <c r="E191" s="31" t="s">
        <v>199</v>
      </c>
      <c r="F191" s="30" t="s">
        <v>366</v>
      </c>
      <c r="G191" s="86">
        <v>57</v>
      </c>
      <c r="H191" s="26"/>
      <c r="I191" s="29">
        <f t="shared" si="16"/>
        <v>0</v>
      </c>
      <c r="J191" s="29">
        <f t="shared" si="17"/>
        <v>0</v>
      </c>
      <c r="L191" s="98"/>
    </row>
    <row r="192" spans="1:12" s="101" customFormat="1" outlineLevel="1">
      <c r="A192" s="94"/>
      <c r="B192" s="28" t="s">
        <v>203</v>
      </c>
      <c r="C192" s="28" t="s">
        <v>201</v>
      </c>
      <c r="D192" s="28" t="s">
        <v>371</v>
      </c>
      <c r="E192" s="31" t="s">
        <v>202</v>
      </c>
      <c r="F192" s="30" t="s">
        <v>366</v>
      </c>
      <c r="G192" s="86">
        <v>13</v>
      </c>
      <c r="H192" s="26"/>
      <c r="I192" s="29">
        <f t="shared" si="16"/>
        <v>0</v>
      </c>
      <c r="J192" s="29">
        <f t="shared" si="17"/>
        <v>0</v>
      </c>
      <c r="L192" s="98"/>
    </row>
    <row r="193" spans="1:12" s="101" customFormat="1" outlineLevel="1">
      <c r="A193" s="94"/>
      <c r="B193" s="28" t="s">
        <v>205</v>
      </c>
      <c r="C193" s="28" t="s">
        <v>11</v>
      </c>
      <c r="D193" s="28"/>
      <c r="E193" s="31" t="s">
        <v>204</v>
      </c>
      <c r="F193" s="30" t="s">
        <v>366</v>
      </c>
      <c r="G193" s="86">
        <v>17</v>
      </c>
      <c r="H193" s="26"/>
      <c r="I193" s="29">
        <f t="shared" si="16"/>
        <v>0</v>
      </c>
      <c r="J193" s="29">
        <f t="shared" si="17"/>
        <v>0</v>
      </c>
      <c r="L193" s="98"/>
    </row>
    <row r="194" spans="1:12" s="101" customFormat="1" outlineLevel="1">
      <c r="A194" s="94"/>
      <c r="B194" s="28" t="s">
        <v>207</v>
      </c>
      <c r="C194" s="28" t="s">
        <v>11</v>
      </c>
      <c r="D194" s="28"/>
      <c r="E194" s="31" t="s">
        <v>206</v>
      </c>
      <c r="F194" s="30" t="s">
        <v>366</v>
      </c>
      <c r="G194" s="86">
        <v>10</v>
      </c>
      <c r="H194" s="26"/>
      <c r="I194" s="29">
        <f t="shared" si="16"/>
        <v>0</v>
      </c>
      <c r="J194" s="29">
        <f t="shared" si="17"/>
        <v>0</v>
      </c>
      <c r="L194" s="98"/>
    </row>
    <row r="195" spans="1:12" s="101" customFormat="1" outlineLevel="1">
      <c r="A195" s="94"/>
      <c r="B195" s="28" t="s">
        <v>210</v>
      </c>
      <c r="C195" s="28" t="s">
        <v>208</v>
      </c>
      <c r="D195" s="28" t="s">
        <v>371</v>
      </c>
      <c r="E195" s="31" t="s">
        <v>209</v>
      </c>
      <c r="F195" s="30" t="s">
        <v>366</v>
      </c>
      <c r="G195" s="86">
        <v>4</v>
      </c>
      <c r="H195" s="26"/>
      <c r="I195" s="29">
        <f t="shared" si="16"/>
        <v>0</v>
      </c>
      <c r="J195" s="29">
        <f t="shared" si="17"/>
        <v>0</v>
      </c>
      <c r="L195" s="98"/>
    </row>
    <row r="196" spans="1:12" s="101" customFormat="1" outlineLevel="1">
      <c r="A196" s="94"/>
      <c r="B196" s="28" t="s">
        <v>213</v>
      </c>
      <c r="C196" s="28" t="s">
        <v>211</v>
      </c>
      <c r="D196" s="28" t="s">
        <v>371</v>
      </c>
      <c r="E196" s="31" t="s">
        <v>212</v>
      </c>
      <c r="F196" s="30" t="s">
        <v>366</v>
      </c>
      <c r="G196" s="86">
        <v>21</v>
      </c>
      <c r="H196" s="26"/>
      <c r="I196" s="29">
        <f t="shared" si="16"/>
        <v>0</v>
      </c>
      <c r="J196" s="29">
        <f t="shared" si="17"/>
        <v>0</v>
      </c>
      <c r="L196" s="98"/>
    </row>
    <row r="197" spans="1:12" s="101" customFormat="1" outlineLevel="1">
      <c r="A197" s="94"/>
      <c r="B197" s="28" t="s">
        <v>214</v>
      </c>
      <c r="C197" s="28" t="s">
        <v>785</v>
      </c>
      <c r="D197" s="28" t="s">
        <v>416</v>
      </c>
      <c r="E197" s="31" t="s">
        <v>215</v>
      </c>
      <c r="F197" s="30" t="s">
        <v>366</v>
      </c>
      <c r="G197" s="86">
        <f>G185+G186+G187+G188+G189+G190</f>
        <v>192</v>
      </c>
      <c r="H197" s="26"/>
      <c r="I197" s="29">
        <f t="shared" si="16"/>
        <v>0</v>
      </c>
      <c r="J197" s="29">
        <f t="shared" si="17"/>
        <v>0</v>
      </c>
      <c r="L197" s="98"/>
    </row>
    <row r="198" spans="1:12" s="101" customFormat="1" outlineLevel="1">
      <c r="A198" s="94"/>
      <c r="B198" s="28" t="s">
        <v>216</v>
      </c>
      <c r="C198" s="28" t="s">
        <v>785</v>
      </c>
      <c r="D198" s="28" t="s">
        <v>416</v>
      </c>
      <c r="E198" s="31" t="s">
        <v>217</v>
      </c>
      <c r="F198" s="30" t="s">
        <v>366</v>
      </c>
      <c r="G198" s="86">
        <v>113</v>
      </c>
      <c r="H198" s="26"/>
      <c r="I198" s="29">
        <f t="shared" si="16"/>
        <v>0</v>
      </c>
      <c r="J198" s="29">
        <f t="shared" si="17"/>
        <v>0</v>
      </c>
      <c r="L198" s="98"/>
    </row>
    <row r="199" spans="1:12" s="101" customFormat="1" outlineLevel="1">
      <c r="A199" s="94"/>
      <c r="B199" s="28"/>
      <c r="C199" s="28"/>
      <c r="D199" s="28"/>
      <c r="E199" s="31"/>
      <c r="F199" s="24"/>
      <c r="G199" s="86"/>
      <c r="H199" s="26"/>
      <c r="I199" s="29"/>
      <c r="J199" s="29"/>
      <c r="L199" s="98"/>
    </row>
    <row r="200" spans="1:12" outlineLevel="1">
      <c r="A200" s="24"/>
      <c r="B200" s="19" t="s">
        <v>218</v>
      </c>
      <c r="C200" s="19"/>
      <c r="D200" s="19"/>
      <c r="E200" s="34" t="s">
        <v>41</v>
      </c>
      <c r="F200" s="53"/>
      <c r="G200" s="54"/>
      <c r="H200" s="54"/>
      <c r="I200" s="29"/>
      <c r="J200" s="29"/>
      <c r="L200" s="60"/>
    </row>
    <row r="201" spans="1:12" outlineLevel="1">
      <c r="A201" s="24"/>
      <c r="B201" s="19" t="s">
        <v>219</v>
      </c>
      <c r="C201" s="19"/>
      <c r="D201" s="19"/>
      <c r="E201" s="34" t="s">
        <v>220</v>
      </c>
      <c r="F201" s="53"/>
      <c r="G201" s="54"/>
      <c r="H201" s="54"/>
      <c r="I201" s="29"/>
      <c r="J201" s="29"/>
      <c r="L201" s="60"/>
    </row>
    <row r="202" spans="1:12" s="101" customFormat="1" outlineLevel="1">
      <c r="A202" s="94"/>
      <c r="B202" s="25" t="s">
        <v>221</v>
      </c>
      <c r="C202" s="28" t="s">
        <v>11</v>
      </c>
      <c r="D202" s="28" t="s">
        <v>12</v>
      </c>
      <c r="E202" s="32" t="s">
        <v>43</v>
      </c>
      <c r="F202" s="24" t="s">
        <v>44</v>
      </c>
      <c r="G202" s="84">
        <v>1</v>
      </c>
      <c r="H202" s="26"/>
      <c r="I202" s="29">
        <f>H202*$J$8</f>
        <v>0</v>
      </c>
      <c r="J202" s="29">
        <f>G202*I202</f>
        <v>0</v>
      </c>
      <c r="L202" s="98"/>
    </row>
    <row r="203" spans="1:12" outlineLevel="1">
      <c r="A203" s="24"/>
      <c r="B203" s="25" t="s">
        <v>222</v>
      </c>
      <c r="C203" s="28" t="s">
        <v>11</v>
      </c>
      <c r="D203" s="28" t="s">
        <v>12</v>
      </c>
      <c r="E203" s="32" t="s">
        <v>223</v>
      </c>
      <c r="F203" s="24" t="s">
        <v>44</v>
      </c>
      <c r="G203" s="84">
        <v>2</v>
      </c>
      <c r="H203" s="26"/>
      <c r="I203" s="29">
        <f t="shared" ref="I203:I214" si="18">H203*$J$8</f>
        <v>0</v>
      </c>
      <c r="J203" s="29">
        <f t="shared" ref="J203:J214" si="19">G203*I203</f>
        <v>0</v>
      </c>
      <c r="L203" s="60"/>
    </row>
    <row r="204" spans="1:12" outlineLevel="1">
      <c r="A204" s="24"/>
      <c r="B204" s="25" t="s">
        <v>224</v>
      </c>
      <c r="C204" s="28" t="s">
        <v>11</v>
      </c>
      <c r="D204" s="28" t="s">
        <v>12</v>
      </c>
      <c r="E204" s="32" t="s">
        <v>225</v>
      </c>
      <c r="F204" s="24" t="s">
        <v>44</v>
      </c>
      <c r="G204" s="84">
        <v>1</v>
      </c>
      <c r="H204" s="26"/>
      <c r="I204" s="29">
        <f t="shared" si="18"/>
        <v>0</v>
      </c>
      <c r="J204" s="29">
        <f t="shared" si="19"/>
        <v>0</v>
      </c>
      <c r="L204" s="60"/>
    </row>
    <row r="205" spans="1:12" outlineLevel="1">
      <c r="A205" s="24"/>
      <c r="B205" s="25" t="s">
        <v>226</v>
      </c>
      <c r="C205" s="28" t="s">
        <v>11</v>
      </c>
      <c r="D205" s="28" t="s">
        <v>12</v>
      </c>
      <c r="E205" s="32" t="s">
        <v>45</v>
      </c>
      <c r="F205" s="24" t="s">
        <v>44</v>
      </c>
      <c r="G205" s="84">
        <v>4</v>
      </c>
      <c r="H205" s="26"/>
      <c r="I205" s="29">
        <f t="shared" si="18"/>
        <v>0</v>
      </c>
      <c r="J205" s="29">
        <f t="shared" si="19"/>
        <v>0</v>
      </c>
      <c r="L205" s="60"/>
    </row>
    <row r="206" spans="1:12" outlineLevel="1">
      <c r="A206" s="24"/>
      <c r="B206" s="25" t="s">
        <v>227</v>
      </c>
      <c r="C206" s="28" t="s">
        <v>11</v>
      </c>
      <c r="D206" s="28" t="s">
        <v>12</v>
      </c>
      <c r="E206" s="32" t="s">
        <v>46</v>
      </c>
      <c r="F206" s="24" t="s">
        <v>44</v>
      </c>
      <c r="G206" s="84">
        <v>4</v>
      </c>
      <c r="H206" s="26"/>
      <c r="I206" s="29">
        <f t="shared" si="18"/>
        <v>0</v>
      </c>
      <c r="J206" s="29">
        <f t="shared" si="19"/>
        <v>0</v>
      </c>
      <c r="L206" s="60"/>
    </row>
    <row r="207" spans="1:12" outlineLevel="1">
      <c r="A207" s="24"/>
      <c r="B207" s="25" t="s">
        <v>228</v>
      </c>
      <c r="C207" s="28" t="s">
        <v>11</v>
      </c>
      <c r="D207" s="28" t="s">
        <v>12</v>
      </c>
      <c r="E207" s="32" t="s">
        <v>47</v>
      </c>
      <c r="F207" s="24" t="s">
        <v>44</v>
      </c>
      <c r="G207" s="84">
        <v>4</v>
      </c>
      <c r="H207" s="26"/>
      <c r="I207" s="29">
        <f t="shared" si="18"/>
        <v>0</v>
      </c>
      <c r="J207" s="29">
        <f t="shared" si="19"/>
        <v>0</v>
      </c>
      <c r="L207" s="60"/>
    </row>
    <row r="208" spans="1:12" outlineLevel="1">
      <c r="A208" s="24"/>
      <c r="B208" s="25" t="s">
        <v>229</v>
      </c>
      <c r="C208" s="28" t="s">
        <v>11</v>
      </c>
      <c r="D208" s="28" t="s">
        <v>12</v>
      </c>
      <c r="E208" s="32" t="s">
        <v>48</v>
      </c>
      <c r="F208" s="24" t="s">
        <v>44</v>
      </c>
      <c r="G208" s="84">
        <v>2</v>
      </c>
      <c r="H208" s="26"/>
      <c r="I208" s="29">
        <f t="shared" si="18"/>
        <v>0</v>
      </c>
      <c r="J208" s="29">
        <f t="shared" si="19"/>
        <v>0</v>
      </c>
      <c r="L208" s="60"/>
    </row>
    <row r="209" spans="1:12" outlineLevel="1">
      <c r="A209" s="24"/>
      <c r="B209" s="25" t="s">
        <v>230</v>
      </c>
      <c r="C209" s="28" t="s">
        <v>11</v>
      </c>
      <c r="D209" s="28" t="s">
        <v>12</v>
      </c>
      <c r="E209" s="32" t="s">
        <v>49</v>
      </c>
      <c r="F209" s="24" t="s">
        <v>44</v>
      </c>
      <c r="G209" s="84">
        <v>1</v>
      </c>
      <c r="H209" s="26"/>
      <c r="I209" s="29">
        <f t="shared" si="18"/>
        <v>0</v>
      </c>
      <c r="J209" s="29">
        <f t="shared" si="19"/>
        <v>0</v>
      </c>
      <c r="L209" s="60"/>
    </row>
    <row r="210" spans="1:12" outlineLevel="1">
      <c r="A210" s="24"/>
      <c r="B210" s="19" t="s">
        <v>231</v>
      </c>
      <c r="C210" s="19"/>
      <c r="D210" s="19"/>
      <c r="E210" s="34" t="s">
        <v>232</v>
      </c>
      <c r="F210" s="53"/>
      <c r="G210" s="54"/>
      <c r="H210" s="54"/>
      <c r="I210" s="29">
        <f t="shared" si="18"/>
        <v>0</v>
      </c>
      <c r="J210" s="29">
        <f t="shared" si="19"/>
        <v>0</v>
      </c>
      <c r="L210" s="60"/>
    </row>
    <row r="211" spans="1:12" outlineLevel="1">
      <c r="A211" s="24"/>
      <c r="B211" s="25" t="s">
        <v>233</v>
      </c>
      <c r="C211" s="28" t="s">
        <v>11</v>
      </c>
      <c r="D211" s="28" t="s">
        <v>12</v>
      </c>
      <c r="E211" s="31" t="s">
        <v>51</v>
      </c>
      <c r="F211" s="24" t="s">
        <v>400</v>
      </c>
      <c r="G211" s="84">
        <v>480</v>
      </c>
      <c r="H211" s="26"/>
      <c r="I211" s="29">
        <f t="shared" si="18"/>
        <v>0</v>
      </c>
      <c r="J211" s="29">
        <f t="shared" si="19"/>
        <v>0</v>
      </c>
      <c r="L211" s="60"/>
    </row>
    <row r="212" spans="1:12" s="101" customFormat="1" outlineLevel="1">
      <c r="A212" s="94"/>
      <c r="B212" s="25" t="s">
        <v>234</v>
      </c>
      <c r="C212" s="28" t="s">
        <v>11</v>
      </c>
      <c r="D212" s="28" t="s">
        <v>12</v>
      </c>
      <c r="E212" s="31" t="s">
        <v>592</v>
      </c>
      <c r="F212" s="24" t="s">
        <v>400</v>
      </c>
      <c r="G212" s="84">
        <v>900</v>
      </c>
      <c r="H212" s="26"/>
      <c r="I212" s="29">
        <f t="shared" si="18"/>
        <v>0</v>
      </c>
      <c r="J212" s="29">
        <f t="shared" si="19"/>
        <v>0</v>
      </c>
      <c r="L212" s="98"/>
    </row>
    <row r="213" spans="1:12" s="101" customFormat="1" outlineLevel="1">
      <c r="A213" s="94"/>
      <c r="B213" s="25" t="s">
        <v>235</v>
      </c>
      <c r="C213" s="28" t="s">
        <v>703</v>
      </c>
      <c r="D213" s="28" t="s">
        <v>371</v>
      </c>
      <c r="E213" s="31" t="s">
        <v>593</v>
      </c>
      <c r="F213" s="24" t="s">
        <v>400</v>
      </c>
      <c r="G213" s="84">
        <v>50</v>
      </c>
      <c r="H213" s="26"/>
      <c r="I213" s="29">
        <f t="shared" si="18"/>
        <v>0</v>
      </c>
      <c r="J213" s="29">
        <f t="shared" si="19"/>
        <v>0</v>
      </c>
      <c r="L213" s="98"/>
    </row>
    <row r="214" spans="1:12" s="101" customFormat="1" outlineLevel="1">
      <c r="A214" s="94"/>
      <c r="B214" s="25" t="s">
        <v>702</v>
      </c>
      <c r="C214" s="25">
        <v>9298</v>
      </c>
      <c r="D214" s="25" t="s">
        <v>448</v>
      </c>
      <c r="E214" s="32" t="s">
        <v>236</v>
      </c>
      <c r="F214" s="24" t="s">
        <v>400</v>
      </c>
      <c r="G214" s="84">
        <v>120</v>
      </c>
      <c r="H214" s="26"/>
      <c r="I214" s="29">
        <f t="shared" si="18"/>
        <v>0</v>
      </c>
      <c r="J214" s="29">
        <f t="shared" si="19"/>
        <v>0</v>
      </c>
      <c r="L214" s="98"/>
    </row>
    <row r="215" spans="1:12" outlineLevel="1">
      <c r="A215" s="24"/>
      <c r="B215" s="19" t="s">
        <v>237</v>
      </c>
      <c r="C215" s="19"/>
      <c r="D215" s="19"/>
      <c r="E215" s="34" t="s">
        <v>238</v>
      </c>
      <c r="F215" s="53"/>
      <c r="G215" s="54"/>
      <c r="H215" s="54"/>
      <c r="I215" s="29"/>
      <c r="J215" s="29"/>
      <c r="L215" s="60"/>
    </row>
    <row r="216" spans="1:12" outlineLevel="1">
      <c r="A216" s="24"/>
      <c r="B216" s="25" t="s">
        <v>239</v>
      </c>
      <c r="C216" s="25" t="s">
        <v>11</v>
      </c>
      <c r="D216" s="25" t="s">
        <v>12</v>
      </c>
      <c r="E216" s="31" t="s">
        <v>53</v>
      </c>
      <c r="F216" s="24" t="s">
        <v>44</v>
      </c>
      <c r="G216" s="84">
        <v>24</v>
      </c>
      <c r="H216" s="26"/>
      <c r="I216" s="29">
        <f t="shared" ref="I216:I227" si="20">H216*$J$8</f>
        <v>0</v>
      </c>
      <c r="J216" s="29">
        <f t="shared" ref="J216:J227" si="21">G216*I216</f>
        <v>0</v>
      </c>
      <c r="L216" s="60"/>
    </row>
    <row r="217" spans="1:12" outlineLevel="1">
      <c r="A217" s="24"/>
      <c r="B217" s="25" t="s">
        <v>240</v>
      </c>
      <c r="C217" s="25" t="s">
        <v>11</v>
      </c>
      <c r="D217" s="25" t="s">
        <v>12</v>
      </c>
      <c r="E217" s="31" t="s">
        <v>55</v>
      </c>
      <c r="F217" s="24" t="s">
        <v>44</v>
      </c>
      <c r="G217" s="84">
        <v>15</v>
      </c>
      <c r="H217" s="26"/>
      <c r="I217" s="29">
        <f t="shared" si="20"/>
        <v>0</v>
      </c>
      <c r="J217" s="29">
        <f t="shared" si="21"/>
        <v>0</v>
      </c>
      <c r="L217" s="60"/>
    </row>
    <row r="218" spans="1:12" outlineLevel="1">
      <c r="A218" s="24"/>
      <c r="B218" s="25" t="s">
        <v>241</v>
      </c>
      <c r="C218" s="25" t="s">
        <v>11</v>
      </c>
      <c r="D218" s="25" t="s">
        <v>12</v>
      </c>
      <c r="E218" s="31" t="s">
        <v>54</v>
      </c>
      <c r="F218" s="24" t="s">
        <v>44</v>
      </c>
      <c r="G218" s="84">
        <v>24</v>
      </c>
      <c r="H218" s="26"/>
      <c r="I218" s="29">
        <f t="shared" si="20"/>
        <v>0</v>
      </c>
      <c r="J218" s="29">
        <f t="shared" si="21"/>
        <v>0</v>
      </c>
      <c r="L218" s="60"/>
    </row>
    <row r="219" spans="1:12" outlineLevel="1">
      <c r="A219" s="24"/>
      <c r="B219" s="25" t="s">
        <v>242</v>
      </c>
      <c r="C219" s="25" t="s">
        <v>11</v>
      </c>
      <c r="D219" s="25" t="s">
        <v>12</v>
      </c>
      <c r="E219" s="31" t="s">
        <v>243</v>
      </c>
      <c r="F219" s="24" t="s">
        <v>44</v>
      </c>
      <c r="G219" s="84">
        <v>24</v>
      </c>
      <c r="H219" s="26"/>
      <c r="I219" s="29">
        <f t="shared" si="20"/>
        <v>0</v>
      </c>
      <c r="J219" s="29">
        <f t="shared" si="21"/>
        <v>0</v>
      </c>
      <c r="L219" s="60"/>
    </row>
    <row r="220" spans="1:12" outlineLevel="1">
      <c r="A220" s="24"/>
      <c r="B220" s="19" t="s">
        <v>244</v>
      </c>
      <c r="C220" s="19"/>
      <c r="D220" s="19"/>
      <c r="E220" s="34" t="s">
        <v>245</v>
      </c>
      <c r="F220" s="53"/>
      <c r="G220" s="54"/>
      <c r="H220" s="54"/>
      <c r="I220" s="29">
        <f t="shared" si="20"/>
        <v>0</v>
      </c>
      <c r="J220" s="29">
        <f t="shared" si="21"/>
        <v>0</v>
      </c>
      <c r="L220" s="60"/>
    </row>
    <row r="221" spans="1:12" s="101" customFormat="1" outlineLevel="1">
      <c r="A221" s="94"/>
      <c r="B221" s="25" t="s">
        <v>246</v>
      </c>
      <c r="C221" s="25" t="s">
        <v>247</v>
      </c>
      <c r="D221" s="25" t="s">
        <v>416</v>
      </c>
      <c r="E221" s="32" t="s">
        <v>57</v>
      </c>
      <c r="F221" s="24" t="s">
        <v>44</v>
      </c>
      <c r="G221" s="84">
        <v>33</v>
      </c>
      <c r="H221" s="26"/>
      <c r="I221" s="29">
        <f t="shared" si="20"/>
        <v>0</v>
      </c>
      <c r="J221" s="29">
        <f t="shared" si="21"/>
        <v>0</v>
      </c>
      <c r="L221" s="98"/>
    </row>
    <row r="222" spans="1:12" s="101" customFormat="1" outlineLevel="1">
      <c r="A222" s="94"/>
      <c r="B222" s="25" t="s">
        <v>248</v>
      </c>
      <c r="C222" s="25" t="s">
        <v>11</v>
      </c>
      <c r="D222" s="25" t="s">
        <v>12</v>
      </c>
      <c r="E222" s="32" t="s">
        <v>58</v>
      </c>
      <c r="F222" s="24" t="s">
        <v>44</v>
      </c>
      <c r="G222" s="84">
        <v>3</v>
      </c>
      <c r="H222" s="26"/>
      <c r="I222" s="29">
        <f t="shared" si="20"/>
        <v>0</v>
      </c>
      <c r="J222" s="29">
        <f t="shared" si="21"/>
        <v>0</v>
      </c>
      <c r="L222" s="98"/>
    </row>
    <row r="223" spans="1:12" s="101" customFormat="1" outlineLevel="1">
      <c r="A223" s="94"/>
      <c r="B223" s="19" t="s">
        <v>249</v>
      </c>
      <c r="C223" s="19"/>
      <c r="D223" s="19"/>
      <c r="E223" s="34" t="s">
        <v>250</v>
      </c>
      <c r="F223" s="53"/>
      <c r="G223" s="54"/>
      <c r="H223" s="54"/>
      <c r="I223" s="29">
        <f t="shared" si="20"/>
        <v>0</v>
      </c>
      <c r="J223" s="29">
        <f t="shared" si="21"/>
        <v>0</v>
      </c>
      <c r="L223" s="98"/>
    </row>
    <row r="224" spans="1:12" s="101" customFormat="1" ht="25.5" outlineLevel="1">
      <c r="A224" s="94"/>
      <c r="B224" s="25" t="s">
        <v>251</v>
      </c>
      <c r="C224" s="25" t="s">
        <v>252</v>
      </c>
      <c r="D224" s="25" t="s">
        <v>371</v>
      </c>
      <c r="E224" s="31" t="s">
        <v>253</v>
      </c>
      <c r="F224" s="24" t="s">
        <v>44</v>
      </c>
      <c r="G224" s="84">
        <v>4</v>
      </c>
      <c r="H224" s="26"/>
      <c r="I224" s="29">
        <f t="shared" si="20"/>
        <v>0</v>
      </c>
      <c r="J224" s="29">
        <f t="shared" si="21"/>
        <v>0</v>
      </c>
      <c r="L224" s="98"/>
    </row>
    <row r="225" spans="1:12" s="101" customFormat="1" outlineLevel="1">
      <c r="A225" s="94"/>
      <c r="B225" s="93" t="s">
        <v>254</v>
      </c>
      <c r="C225" s="93" t="s">
        <v>60</v>
      </c>
      <c r="D225" s="93" t="s">
        <v>371</v>
      </c>
      <c r="E225" s="106" t="s">
        <v>255</v>
      </c>
      <c r="F225" s="94" t="s">
        <v>44</v>
      </c>
      <c r="G225" s="90">
        <v>2</v>
      </c>
      <c r="H225" s="95"/>
      <c r="I225" s="29">
        <f t="shared" si="20"/>
        <v>0</v>
      </c>
      <c r="J225" s="29">
        <f t="shared" si="21"/>
        <v>0</v>
      </c>
      <c r="L225" s="98"/>
    </row>
    <row r="226" spans="1:12" s="101" customFormat="1" outlineLevel="1">
      <c r="A226" s="94"/>
      <c r="B226" s="93" t="s">
        <v>256</v>
      </c>
      <c r="C226" s="93" t="s">
        <v>257</v>
      </c>
      <c r="D226" s="93" t="s">
        <v>371</v>
      </c>
      <c r="E226" s="106" t="s">
        <v>258</v>
      </c>
      <c r="F226" s="94" t="s">
        <v>44</v>
      </c>
      <c r="G226" s="90">
        <v>22</v>
      </c>
      <c r="H226" s="95"/>
      <c r="I226" s="29">
        <f t="shared" si="20"/>
        <v>0</v>
      </c>
      <c r="J226" s="29">
        <f t="shared" si="21"/>
        <v>0</v>
      </c>
      <c r="L226" s="98"/>
    </row>
    <row r="227" spans="1:12" s="101" customFormat="1" outlineLevel="1">
      <c r="A227" s="94"/>
      <c r="B227" s="93" t="s">
        <v>259</v>
      </c>
      <c r="C227" s="93" t="s">
        <v>704</v>
      </c>
      <c r="D227" s="93" t="s">
        <v>371</v>
      </c>
      <c r="E227" s="106" t="s">
        <v>705</v>
      </c>
      <c r="F227" s="94" t="s">
        <v>44</v>
      </c>
      <c r="G227" s="90">
        <v>1</v>
      </c>
      <c r="H227" s="95"/>
      <c r="I227" s="29">
        <f t="shared" si="20"/>
        <v>0</v>
      </c>
      <c r="J227" s="29">
        <f t="shared" si="21"/>
        <v>0</v>
      </c>
      <c r="L227" s="98"/>
    </row>
    <row r="228" spans="1:12" s="101" customFormat="1" outlineLevel="1">
      <c r="A228" s="94"/>
      <c r="B228" s="93"/>
      <c r="C228" s="93"/>
      <c r="D228" s="93"/>
      <c r="E228" s="106"/>
      <c r="F228" s="94"/>
      <c r="G228" s="90"/>
      <c r="H228" s="95"/>
      <c r="I228" s="29"/>
      <c r="J228" s="29"/>
      <c r="L228" s="98"/>
    </row>
    <row r="229" spans="1:12" outlineLevel="1">
      <c r="A229" s="24"/>
      <c r="B229" s="19" t="s">
        <v>260</v>
      </c>
      <c r="C229" s="19"/>
      <c r="D229" s="19"/>
      <c r="E229" s="22" t="s">
        <v>170</v>
      </c>
      <c r="F229" s="23"/>
      <c r="G229" s="26"/>
      <c r="H229" s="26"/>
      <c r="I229" s="29"/>
      <c r="J229" s="29"/>
      <c r="L229" s="60"/>
    </row>
    <row r="230" spans="1:12" s="101" customFormat="1" outlineLevel="1">
      <c r="A230" s="94"/>
      <c r="B230" s="25" t="s">
        <v>261</v>
      </c>
      <c r="C230" s="99">
        <v>72936</v>
      </c>
      <c r="D230" s="99" t="s">
        <v>371</v>
      </c>
      <c r="E230" s="92" t="s">
        <v>584</v>
      </c>
      <c r="F230" s="94" t="s">
        <v>400</v>
      </c>
      <c r="G230" s="90">
        <v>120</v>
      </c>
      <c r="H230" s="95"/>
      <c r="I230" s="29">
        <f t="shared" ref="I230:I237" si="22">H230*$J$8</f>
        <v>0</v>
      </c>
      <c r="J230" s="29">
        <f t="shared" ref="J230:J237" si="23">G230*I230</f>
        <v>0</v>
      </c>
      <c r="L230" s="98"/>
    </row>
    <row r="231" spans="1:12" s="101" customFormat="1" outlineLevel="1">
      <c r="A231" s="94"/>
      <c r="B231" s="25" t="s">
        <v>262</v>
      </c>
      <c r="C231" s="93">
        <v>72309</v>
      </c>
      <c r="D231" s="93" t="s">
        <v>371</v>
      </c>
      <c r="E231" s="92" t="s">
        <v>594</v>
      </c>
      <c r="F231" s="94" t="s">
        <v>400</v>
      </c>
      <c r="G231" s="84">
        <v>72</v>
      </c>
      <c r="H231" s="26"/>
      <c r="I231" s="29">
        <f t="shared" si="22"/>
        <v>0</v>
      </c>
      <c r="J231" s="29">
        <f t="shared" si="23"/>
        <v>0</v>
      </c>
      <c r="L231" s="98"/>
    </row>
    <row r="232" spans="1:12" s="101" customFormat="1" outlineLevel="1">
      <c r="A232" s="94"/>
      <c r="B232" s="25" t="s">
        <v>706</v>
      </c>
      <c r="C232" s="93" t="s">
        <v>11</v>
      </c>
      <c r="D232" s="93" t="s">
        <v>12</v>
      </c>
      <c r="E232" s="92" t="s">
        <v>595</v>
      </c>
      <c r="F232" s="94" t="s">
        <v>400</v>
      </c>
      <c r="G232" s="84">
        <v>45</v>
      </c>
      <c r="H232" s="26"/>
      <c r="I232" s="29">
        <f t="shared" si="22"/>
        <v>0</v>
      </c>
      <c r="J232" s="29">
        <f t="shared" si="23"/>
        <v>0</v>
      </c>
      <c r="L232" s="98"/>
    </row>
    <row r="233" spans="1:12" s="101" customFormat="1" outlineLevel="1">
      <c r="A233" s="94"/>
      <c r="B233" s="25" t="s">
        <v>707</v>
      </c>
      <c r="C233" s="93" t="s">
        <v>11</v>
      </c>
      <c r="D233" s="93" t="s">
        <v>12</v>
      </c>
      <c r="E233" s="92" t="s">
        <v>596</v>
      </c>
      <c r="F233" s="94" t="s">
        <v>366</v>
      </c>
      <c r="G233" s="84">
        <v>2</v>
      </c>
      <c r="H233" s="26"/>
      <c r="I233" s="29">
        <f t="shared" si="22"/>
        <v>0</v>
      </c>
      <c r="J233" s="29">
        <f t="shared" si="23"/>
        <v>0</v>
      </c>
      <c r="L233" s="98"/>
    </row>
    <row r="234" spans="1:12" s="101" customFormat="1" outlineLevel="1">
      <c r="A234" s="94"/>
      <c r="B234" s="25" t="s">
        <v>708</v>
      </c>
      <c r="C234" s="93" t="s">
        <v>11</v>
      </c>
      <c r="D234" s="93" t="s">
        <v>12</v>
      </c>
      <c r="E234" s="92" t="s">
        <v>597</v>
      </c>
      <c r="F234" s="94" t="s">
        <v>366</v>
      </c>
      <c r="G234" s="84">
        <v>1</v>
      </c>
      <c r="H234" s="26"/>
      <c r="I234" s="29">
        <f t="shared" si="22"/>
        <v>0</v>
      </c>
      <c r="J234" s="29">
        <f t="shared" si="23"/>
        <v>0</v>
      </c>
      <c r="L234" s="98"/>
    </row>
    <row r="235" spans="1:12" s="101" customFormat="1" outlineLevel="1">
      <c r="A235" s="94"/>
      <c r="B235" s="25" t="s">
        <v>709</v>
      </c>
      <c r="C235" s="93" t="s">
        <v>11</v>
      </c>
      <c r="D235" s="93" t="s">
        <v>12</v>
      </c>
      <c r="E235" s="92" t="s">
        <v>598</v>
      </c>
      <c r="F235" s="94" t="s">
        <v>366</v>
      </c>
      <c r="G235" s="84">
        <v>1</v>
      </c>
      <c r="H235" s="26"/>
      <c r="I235" s="29">
        <f t="shared" si="22"/>
        <v>0</v>
      </c>
      <c r="J235" s="29">
        <f t="shared" si="23"/>
        <v>0</v>
      </c>
      <c r="L235" s="98"/>
    </row>
    <row r="236" spans="1:12" s="101" customFormat="1" outlineLevel="1">
      <c r="A236" s="94"/>
      <c r="B236" s="25" t="s">
        <v>710</v>
      </c>
      <c r="C236" s="93" t="s">
        <v>11</v>
      </c>
      <c r="D236" s="93" t="s">
        <v>12</v>
      </c>
      <c r="E236" s="92" t="s">
        <v>599</v>
      </c>
      <c r="F236" s="94" t="s">
        <v>366</v>
      </c>
      <c r="G236" s="84">
        <v>2</v>
      </c>
      <c r="H236" s="26"/>
      <c r="I236" s="29">
        <f t="shared" si="22"/>
        <v>0</v>
      </c>
      <c r="J236" s="29">
        <f t="shared" si="23"/>
        <v>0</v>
      </c>
      <c r="L236" s="98"/>
    </row>
    <row r="237" spans="1:12" s="101" customFormat="1" outlineLevel="1">
      <c r="A237" s="94"/>
      <c r="B237" s="25" t="s">
        <v>711</v>
      </c>
      <c r="C237" s="93" t="s">
        <v>11</v>
      </c>
      <c r="D237" s="93" t="s">
        <v>12</v>
      </c>
      <c r="E237" s="92" t="s">
        <v>600</v>
      </c>
      <c r="F237" s="94" t="s">
        <v>366</v>
      </c>
      <c r="G237" s="84">
        <v>1</v>
      </c>
      <c r="H237" s="26"/>
      <c r="I237" s="29">
        <f t="shared" si="22"/>
        <v>0</v>
      </c>
      <c r="J237" s="29">
        <f t="shared" si="23"/>
        <v>0</v>
      </c>
      <c r="L237" s="98"/>
    </row>
    <row r="238" spans="1:12" ht="12.75" customHeight="1" outlineLevel="1">
      <c r="A238" s="24"/>
      <c r="B238" s="33" t="s">
        <v>65</v>
      </c>
      <c r="C238" s="33"/>
      <c r="D238" s="33"/>
      <c r="E238" s="31"/>
      <c r="F238" s="34"/>
      <c r="G238" s="35"/>
      <c r="H238" s="35"/>
      <c r="I238" s="29"/>
      <c r="J238" s="36">
        <f>SUM(J159:J237)</f>
        <v>0</v>
      </c>
      <c r="L238" s="60"/>
    </row>
    <row r="239" spans="1:12">
      <c r="A239" s="24"/>
      <c r="B239" s="25"/>
      <c r="C239" s="25"/>
      <c r="D239" s="25"/>
      <c r="E239" s="32"/>
      <c r="F239" s="24"/>
      <c r="G239" s="84"/>
      <c r="H239" s="26"/>
      <c r="I239" s="29"/>
      <c r="J239" s="29"/>
      <c r="L239" s="60"/>
    </row>
    <row r="240" spans="1:12">
      <c r="A240" s="24"/>
      <c r="B240" s="44">
        <v>14</v>
      </c>
      <c r="C240" s="44"/>
      <c r="D240" s="44"/>
      <c r="E240" s="45" t="s">
        <v>263</v>
      </c>
      <c r="F240" s="45"/>
      <c r="G240" s="46"/>
      <c r="H240" s="46"/>
      <c r="I240" s="45"/>
      <c r="J240" s="47">
        <f>J282</f>
        <v>0</v>
      </c>
      <c r="L240" s="60"/>
    </row>
    <row r="241" spans="1:12" s="101" customFormat="1" outlineLevel="1">
      <c r="A241" s="94"/>
      <c r="B241" s="107" t="s">
        <v>66</v>
      </c>
      <c r="C241" s="107"/>
      <c r="D241" s="107"/>
      <c r="E241" s="108" t="s">
        <v>67</v>
      </c>
      <c r="F241" s="100"/>
      <c r="G241" s="95"/>
      <c r="H241" s="95"/>
      <c r="I241" s="29"/>
      <c r="J241" s="29"/>
      <c r="L241" s="98"/>
    </row>
    <row r="242" spans="1:12" s="101" customFormat="1" outlineLevel="1">
      <c r="A242" s="94"/>
      <c r="B242" s="93" t="s">
        <v>712</v>
      </c>
      <c r="C242" s="93" t="s">
        <v>745</v>
      </c>
      <c r="D242" s="93" t="s">
        <v>371</v>
      </c>
      <c r="E242" s="91" t="s">
        <v>601</v>
      </c>
      <c r="F242" s="94" t="s">
        <v>366</v>
      </c>
      <c r="G242" s="90">
        <v>1</v>
      </c>
      <c r="H242" s="95"/>
      <c r="I242" s="29">
        <f>H242*$J$8</f>
        <v>0</v>
      </c>
      <c r="J242" s="29">
        <f>G242*I242</f>
        <v>0</v>
      </c>
      <c r="L242" s="98"/>
    </row>
    <row r="243" spans="1:12" s="101" customFormat="1" outlineLevel="1">
      <c r="A243" s="94"/>
      <c r="B243" s="93" t="s">
        <v>68</v>
      </c>
      <c r="C243" s="25">
        <v>74184</v>
      </c>
      <c r="D243" s="25" t="s">
        <v>371</v>
      </c>
      <c r="E243" s="91" t="s">
        <v>602</v>
      </c>
      <c r="F243" s="94" t="s">
        <v>366</v>
      </c>
      <c r="G243" s="90">
        <v>5</v>
      </c>
      <c r="H243" s="95"/>
      <c r="I243" s="29">
        <f t="shared" ref="I243:I261" si="24">H243*$J$8</f>
        <v>0</v>
      </c>
      <c r="J243" s="29">
        <f t="shared" ref="J243:J261" si="25">G243*I243</f>
        <v>0</v>
      </c>
      <c r="L243" s="98"/>
    </row>
    <row r="244" spans="1:12" s="101" customFormat="1" outlineLevel="1">
      <c r="A244" s="94"/>
      <c r="B244" s="93" t="s">
        <v>69</v>
      </c>
      <c r="C244" s="93" t="s">
        <v>746</v>
      </c>
      <c r="D244" s="25" t="s">
        <v>371</v>
      </c>
      <c r="E244" s="91" t="s">
        <v>603</v>
      </c>
      <c r="F244" s="94" t="s">
        <v>366</v>
      </c>
      <c r="G244" s="90">
        <v>1</v>
      </c>
      <c r="H244" s="95"/>
      <c r="I244" s="29">
        <f t="shared" si="24"/>
        <v>0</v>
      </c>
      <c r="J244" s="29">
        <f t="shared" si="25"/>
        <v>0</v>
      </c>
      <c r="L244" s="98"/>
    </row>
    <row r="245" spans="1:12" s="101" customFormat="1" outlineLevel="1">
      <c r="A245" s="94"/>
      <c r="B245" s="93" t="s">
        <v>70</v>
      </c>
      <c r="C245" s="93" t="s">
        <v>747</v>
      </c>
      <c r="D245" s="93" t="s">
        <v>371</v>
      </c>
      <c r="E245" s="91" t="s">
        <v>604</v>
      </c>
      <c r="F245" s="94" t="s">
        <v>366</v>
      </c>
      <c r="G245" s="90">
        <v>1</v>
      </c>
      <c r="H245" s="95"/>
      <c r="I245" s="29">
        <f t="shared" si="24"/>
        <v>0</v>
      </c>
      <c r="J245" s="29">
        <f t="shared" si="25"/>
        <v>0</v>
      </c>
      <c r="L245" s="98"/>
    </row>
    <row r="246" spans="1:12" s="101" customFormat="1" outlineLevel="1">
      <c r="A246" s="94"/>
      <c r="B246" s="93" t="s">
        <v>71</v>
      </c>
      <c r="C246" s="93" t="s">
        <v>748</v>
      </c>
      <c r="D246" s="93" t="s">
        <v>371</v>
      </c>
      <c r="E246" s="91" t="s">
        <v>605</v>
      </c>
      <c r="F246" s="94" t="s">
        <v>366</v>
      </c>
      <c r="G246" s="90">
        <v>13</v>
      </c>
      <c r="H246" s="95"/>
      <c r="I246" s="29">
        <f t="shared" si="24"/>
        <v>0</v>
      </c>
      <c r="J246" s="29">
        <f t="shared" si="25"/>
        <v>0</v>
      </c>
      <c r="L246" s="98"/>
    </row>
    <row r="247" spans="1:12" s="101" customFormat="1" outlineLevel="1">
      <c r="A247" s="94"/>
      <c r="B247" s="93" t="s">
        <v>72</v>
      </c>
      <c r="C247" s="93" t="s">
        <v>749</v>
      </c>
      <c r="D247" s="93" t="s">
        <v>371</v>
      </c>
      <c r="E247" s="91" t="s">
        <v>606</v>
      </c>
      <c r="F247" s="94" t="s">
        <v>366</v>
      </c>
      <c r="G247" s="90">
        <v>8</v>
      </c>
      <c r="H247" s="95"/>
      <c r="I247" s="29">
        <f t="shared" si="24"/>
        <v>0</v>
      </c>
      <c r="J247" s="29">
        <f t="shared" si="25"/>
        <v>0</v>
      </c>
      <c r="L247" s="98"/>
    </row>
    <row r="248" spans="1:12" s="101" customFormat="1" outlineLevel="1">
      <c r="A248" s="94"/>
      <c r="B248" s="93" t="s">
        <v>73</v>
      </c>
      <c r="C248" s="93" t="s">
        <v>750</v>
      </c>
      <c r="D248" s="93" t="s">
        <v>371</v>
      </c>
      <c r="E248" s="91" t="s">
        <v>751</v>
      </c>
      <c r="F248" s="94" t="s">
        <v>366</v>
      </c>
      <c r="G248" s="90">
        <v>1</v>
      </c>
      <c r="H248" s="95"/>
      <c r="I248" s="29">
        <f t="shared" si="24"/>
        <v>0</v>
      </c>
      <c r="J248" s="29">
        <f t="shared" si="25"/>
        <v>0</v>
      </c>
      <c r="L248" s="98"/>
    </row>
    <row r="249" spans="1:12" s="101" customFormat="1" outlineLevel="1">
      <c r="A249" s="94"/>
      <c r="B249" s="93" t="s">
        <v>74</v>
      </c>
      <c r="C249" s="93" t="s">
        <v>264</v>
      </c>
      <c r="D249" s="25" t="s">
        <v>371</v>
      </c>
      <c r="E249" s="53" t="s">
        <v>607</v>
      </c>
      <c r="F249" s="24" t="s">
        <v>400</v>
      </c>
      <c r="G249" s="84">
        <v>300</v>
      </c>
      <c r="H249" s="26"/>
      <c r="I249" s="29">
        <f t="shared" si="24"/>
        <v>0</v>
      </c>
      <c r="J249" s="29">
        <f t="shared" si="25"/>
        <v>0</v>
      </c>
      <c r="L249" s="98"/>
    </row>
    <row r="250" spans="1:12" s="101" customFormat="1" outlineLevel="1">
      <c r="A250" s="94"/>
      <c r="B250" s="93" t="s">
        <v>75</v>
      </c>
      <c r="C250" s="93" t="s">
        <v>752</v>
      </c>
      <c r="D250" s="25" t="s">
        <v>371</v>
      </c>
      <c r="E250" s="53" t="s">
        <v>608</v>
      </c>
      <c r="F250" s="24" t="s">
        <v>400</v>
      </c>
      <c r="G250" s="84">
        <v>48</v>
      </c>
      <c r="H250" s="26"/>
      <c r="I250" s="29">
        <f t="shared" si="24"/>
        <v>0</v>
      </c>
      <c r="J250" s="29">
        <f t="shared" si="25"/>
        <v>0</v>
      </c>
      <c r="L250" s="98"/>
    </row>
    <row r="251" spans="1:12" s="101" customFormat="1" outlineLevel="1">
      <c r="A251" s="94"/>
      <c r="B251" s="93" t="s">
        <v>76</v>
      </c>
      <c r="C251" s="93" t="s">
        <v>753</v>
      </c>
      <c r="D251" s="25" t="s">
        <v>371</v>
      </c>
      <c r="E251" s="53" t="s">
        <v>609</v>
      </c>
      <c r="F251" s="24" t="s">
        <v>400</v>
      </c>
      <c r="G251" s="84">
        <v>30</v>
      </c>
      <c r="H251" s="26"/>
      <c r="I251" s="29">
        <f t="shared" si="24"/>
        <v>0</v>
      </c>
      <c r="J251" s="29">
        <f t="shared" si="25"/>
        <v>0</v>
      </c>
      <c r="L251" s="98"/>
    </row>
    <row r="252" spans="1:12" s="101" customFormat="1" outlineLevel="1">
      <c r="A252" s="94"/>
      <c r="B252" s="93" t="s">
        <v>77</v>
      </c>
      <c r="C252" s="93" t="s">
        <v>265</v>
      </c>
      <c r="D252" s="25" t="s">
        <v>371</v>
      </c>
      <c r="E252" s="53" t="s">
        <v>610</v>
      </c>
      <c r="F252" s="24" t="s">
        <v>400</v>
      </c>
      <c r="G252" s="84">
        <v>54</v>
      </c>
      <c r="H252" s="26"/>
      <c r="I252" s="29">
        <f t="shared" si="24"/>
        <v>0</v>
      </c>
      <c r="J252" s="29">
        <f t="shared" si="25"/>
        <v>0</v>
      </c>
      <c r="L252" s="98"/>
    </row>
    <row r="253" spans="1:12" s="101" customFormat="1" outlineLevel="1">
      <c r="A253" s="94"/>
      <c r="B253" s="93" t="s">
        <v>78</v>
      </c>
      <c r="C253" s="93" t="s">
        <v>754</v>
      </c>
      <c r="D253" s="25" t="s">
        <v>371</v>
      </c>
      <c r="E253" s="53" t="s">
        <v>611</v>
      </c>
      <c r="F253" s="24" t="s">
        <v>400</v>
      </c>
      <c r="G253" s="84">
        <v>12</v>
      </c>
      <c r="H253" s="26"/>
      <c r="I253" s="29">
        <f t="shared" si="24"/>
        <v>0</v>
      </c>
      <c r="J253" s="29">
        <f t="shared" si="25"/>
        <v>0</v>
      </c>
      <c r="L253" s="98"/>
    </row>
    <row r="254" spans="1:12" s="101" customFormat="1" outlineLevel="1">
      <c r="A254" s="94"/>
      <c r="B254" s="93" t="s">
        <v>79</v>
      </c>
      <c r="C254" s="93" t="s">
        <v>266</v>
      </c>
      <c r="D254" s="25" t="s">
        <v>371</v>
      </c>
      <c r="E254" s="53" t="s">
        <v>612</v>
      </c>
      <c r="F254" s="24" t="s">
        <v>400</v>
      </c>
      <c r="G254" s="84">
        <v>78</v>
      </c>
      <c r="H254" s="26"/>
      <c r="I254" s="29">
        <f t="shared" si="24"/>
        <v>0</v>
      </c>
      <c r="J254" s="29">
        <f t="shared" si="25"/>
        <v>0</v>
      </c>
      <c r="L254" s="98"/>
    </row>
    <row r="255" spans="1:12" s="101" customFormat="1" outlineLevel="1">
      <c r="A255" s="94"/>
      <c r="B255" s="93" t="s">
        <v>80</v>
      </c>
      <c r="C255" s="93">
        <v>40729</v>
      </c>
      <c r="D255" s="25" t="s">
        <v>371</v>
      </c>
      <c r="E255" s="53" t="s">
        <v>267</v>
      </c>
      <c r="F255" s="24" t="s">
        <v>366</v>
      </c>
      <c r="G255" s="84">
        <v>11</v>
      </c>
      <c r="H255" s="26"/>
      <c r="I255" s="29">
        <f t="shared" si="24"/>
        <v>0</v>
      </c>
      <c r="J255" s="29">
        <f t="shared" si="25"/>
        <v>0</v>
      </c>
      <c r="L255" s="98"/>
    </row>
    <row r="256" spans="1:12" s="101" customFormat="1" outlineLevel="1">
      <c r="A256" s="94"/>
      <c r="B256" s="93" t="s">
        <v>81</v>
      </c>
      <c r="C256" s="93" t="s">
        <v>11</v>
      </c>
      <c r="D256" s="25" t="s">
        <v>12</v>
      </c>
      <c r="E256" s="23" t="s">
        <v>784</v>
      </c>
      <c r="F256" s="24" t="s">
        <v>366</v>
      </c>
      <c r="G256" s="84">
        <v>1</v>
      </c>
      <c r="H256" s="26"/>
      <c r="I256" s="29">
        <f t="shared" si="24"/>
        <v>0</v>
      </c>
      <c r="J256" s="96">
        <f t="shared" si="25"/>
        <v>0</v>
      </c>
      <c r="L256" s="98"/>
    </row>
    <row r="257" spans="1:12" s="101" customFormat="1" outlineLevel="1">
      <c r="A257" s="94"/>
      <c r="B257" s="93" t="s">
        <v>82</v>
      </c>
      <c r="C257" s="93" t="s">
        <v>268</v>
      </c>
      <c r="D257" s="25" t="s">
        <v>371</v>
      </c>
      <c r="E257" s="23" t="s">
        <v>140</v>
      </c>
      <c r="F257" s="24" t="s">
        <v>366</v>
      </c>
      <c r="G257" s="84">
        <v>1</v>
      </c>
      <c r="H257" s="26"/>
      <c r="I257" s="29">
        <f t="shared" si="24"/>
        <v>0</v>
      </c>
      <c r="J257" s="29">
        <f t="shared" si="25"/>
        <v>0</v>
      </c>
      <c r="L257" s="98"/>
    </row>
    <row r="258" spans="1:12" s="101" customFormat="1" outlineLevel="1">
      <c r="A258" s="94"/>
      <c r="B258" s="93" t="s">
        <v>83</v>
      </c>
      <c r="C258" s="93" t="s">
        <v>11</v>
      </c>
      <c r="D258" s="25" t="s">
        <v>12</v>
      </c>
      <c r="E258" s="23" t="s">
        <v>141</v>
      </c>
      <c r="F258" s="24" t="s">
        <v>366</v>
      </c>
      <c r="G258" s="84">
        <f>11</f>
        <v>11</v>
      </c>
      <c r="H258" s="26"/>
      <c r="I258" s="29">
        <f t="shared" si="24"/>
        <v>0</v>
      </c>
      <c r="J258" s="29">
        <f t="shared" si="25"/>
        <v>0</v>
      </c>
      <c r="L258" s="98"/>
    </row>
    <row r="259" spans="1:12" s="101" customFormat="1" outlineLevel="1">
      <c r="A259" s="94"/>
      <c r="B259" s="93" t="s">
        <v>84</v>
      </c>
      <c r="C259" s="93" t="s">
        <v>11</v>
      </c>
      <c r="D259" s="25" t="s">
        <v>12</v>
      </c>
      <c r="E259" s="23" t="s">
        <v>613</v>
      </c>
      <c r="F259" s="24" t="s">
        <v>366</v>
      </c>
      <c r="G259" s="84">
        <v>1</v>
      </c>
      <c r="H259" s="26"/>
      <c r="I259" s="29">
        <f t="shared" si="24"/>
        <v>0</v>
      </c>
      <c r="J259" s="29">
        <f t="shared" si="25"/>
        <v>0</v>
      </c>
      <c r="L259" s="98"/>
    </row>
    <row r="260" spans="1:12" s="101" customFormat="1" outlineLevel="1">
      <c r="A260" s="94"/>
      <c r="B260" s="93" t="s">
        <v>85</v>
      </c>
      <c r="C260" s="93" t="s">
        <v>11</v>
      </c>
      <c r="D260" s="25" t="s">
        <v>12</v>
      </c>
      <c r="E260" s="23" t="s">
        <v>142</v>
      </c>
      <c r="F260" s="24" t="s">
        <v>366</v>
      </c>
      <c r="G260" s="84">
        <v>1</v>
      </c>
      <c r="H260" s="26"/>
      <c r="I260" s="29">
        <f t="shared" si="24"/>
        <v>0</v>
      </c>
      <c r="J260" s="29">
        <f t="shared" si="25"/>
        <v>0</v>
      </c>
      <c r="L260" s="98"/>
    </row>
    <row r="261" spans="1:12" s="101" customFormat="1" ht="25.5" outlineLevel="1">
      <c r="A261" s="94"/>
      <c r="B261" s="93" t="s">
        <v>86</v>
      </c>
      <c r="C261" s="93" t="s">
        <v>11</v>
      </c>
      <c r="D261" s="25" t="s">
        <v>12</v>
      </c>
      <c r="E261" s="53" t="s">
        <v>328</v>
      </c>
      <c r="F261" s="24" t="s">
        <v>366</v>
      </c>
      <c r="G261" s="84">
        <v>2</v>
      </c>
      <c r="H261" s="26"/>
      <c r="I261" s="29">
        <f t="shared" si="24"/>
        <v>0</v>
      </c>
      <c r="J261" s="29">
        <f t="shared" si="25"/>
        <v>0</v>
      </c>
      <c r="L261" s="98"/>
    </row>
    <row r="262" spans="1:12" outlineLevel="1">
      <c r="A262" s="24"/>
      <c r="B262" s="19" t="s">
        <v>87</v>
      </c>
      <c r="C262" s="19"/>
      <c r="D262" s="19"/>
      <c r="E262" s="22" t="s">
        <v>269</v>
      </c>
      <c r="F262" s="23"/>
      <c r="G262" s="26"/>
      <c r="H262" s="26"/>
      <c r="I262" s="29"/>
      <c r="J262" s="29"/>
      <c r="L262" s="60"/>
    </row>
    <row r="263" spans="1:12" s="101" customFormat="1" outlineLevel="1">
      <c r="A263" s="94"/>
      <c r="B263" s="93" t="s">
        <v>88</v>
      </c>
      <c r="C263" s="93" t="s">
        <v>270</v>
      </c>
      <c r="D263" s="25" t="s">
        <v>371</v>
      </c>
      <c r="E263" s="23" t="s">
        <v>271</v>
      </c>
      <c r="F263" s="24" t="s">
        <v>400</v>
      </c>
      <c r="G263" s="84">
        <v>12</v>
      </c>
      <c r="H263" s="26"/>
      <c r="I263" s="29">
        <f>H263*$J$8</f>
        <v>0</v>
      </c>
      <c r="J263" s="29">
        <f>G263*I263</f>
        <v>0</v>
      </c>
      <c r="L263" s="98"/>
    </row>
    <row r="264" spans="1:12" s="101" customFormat="1" outlineLevel="1">
      <c r="A264" s="94"/>
      <c r="B264" s="93" t="s">
        <v>89</v>
      </c>
      <c r="C264" s="93" t="s">
        <v>272</v>
      </c>
      <c r="D264" s="93" t="s">
        <v>371</v>
      </c>
      <c r="E264" s="100" t="s">
        <v>273</v>
      </c>
      <c r="F264" s="94" t="s">
        <v>400</v>
      </c>
      <c r="G264" s="90">
        <v>18</v>
      </c>
      <c r="H264" s="95"/>
      <c r="I264" s="29">
        <f>H264*$J$8</f>
        <v>0</v>
      </c>
      <c r="J264" s="29">
        <f>G264*I264</f>
        <v>0</v>
      </c>
      <c r="L264" s="98"/>
    </row>
    <row r="265" spans="1:12" s="101" customFormat="1" outlineLevel="1">
      <c r="A265" s="94"/>
      <c r="B265" s="93"/>
      <c r="C265" s="93"/>
      <c r="D265" s="93"/>
      <c r="E265" s="100"/>
      <c r="F265" s="94"/>
      <c r="G265" s="90"/>
      <c r="H265" s="95"/>
      <c r="I265" s="29"/>
      <c r="J265" s="29"/>
      <c r="L265" s="98"/>
    </row>
    <row r="266" spans="1:12" s="101" customFormat="1" outlineLevel="1">
      <c r="A266" s="94"/>
      <c r="B266" s="107" t="s">
        <v>90</v>
      </c>
      <c r="C266" s="107"/>
      <c r="D266" s="107"/>
      <c r="E266" s="108" t="s">
        <v>91</v>
      </c>
      <c r="F266" s="100"/>
      <c r="G266" s="95"/>
      <c r="H266" s="95"/>
      <c r="I266" s="29"/>
      <c r="J266" s="29"/>
      <c r="L266" s="98"/>
    </row>
    <row r="267" spans="1:12" s="101" customFormat="1" outlineLevel="1">
      <c r="A267" s="94"/>
      <c r="B267" s="107" t="s">
        <v>92</v>
      </c>
      <c r="C267" s="107"/>
      <c r="D267" s="107"/>
      <c r="E267" s="108" t="s">
        <v>274</v>
      </c>
      <c r="F267" s="100"/>
      <c r="G267" s="95"/>
      <c r="H267" s="95"/>
      <c r="I267" s="29"/>
      <c r="J267" s="29"/>
      <c r="L267" s="98"/>
    </row>
    <row r="268" spans="1:12" s="101" customFormat="1" outlineLevel="1">
      <c r="A268" s="94"/>
      <c r="B268" s="93" t="s">
        <v>275</v>
      </c>
      <c r="C268" s="93" t="s">
        <v>755</v>
      </c>
      <c r="D268" s="93" t="s">
        <v>371</v>
      </c>
      <c r="E268" s="91" t="s">
        <v>756</v>
      </c>
      <c r="F268" s="94" t="s">
        <v>400</v>
      </c>
      <c r="G268" s="109">
        <v>84</v>
      </c>
      <c r="H268" s="95"/>
      <c r="I268" s="29">
        <f>H268*$J$8</f>
        <v>0</v>
      </c>
      <c r="J268" s="29">
        <f>G268*I268</f>
        <v>0</v>
      </c>
      <c r="L268" s="98"/>
    </row>
    <row r="269" spans="1:12" s="101" customFormat="1" ht="25.5" outlineLevel="1">
      <c r="A269" s="94"/>
      <c r="B269" s="93" t="s">
        <v>278</v>
      </c>
      <c r="C269" s="93" t="s">
        <v>276</v>
      </c>
      <c r="D269" s="93" t="s">
        <v>371</v>
      </c>
      <c r="E269" s="91" t="s">
        <v>277</v>
      </c>
      <c r="F269" s="94" t="s">
        <v>400</v>
      </c>
      <c r="G269" s="109">
        <v>234</v>
      </c>
      <c r="H269" s="95"/>
      <c r="I269" s="29">
        <f t="shared" ref="I269:I281" si="26">H269*$J$8</f>
        <v>0</v>
      </c>
      <c r="J269" s="29">
        <f>G269*I269</f>
        <v>0</v>
      </c>
      <c r="L269" s="98"/>
    </row>
    <row r="270" spans="1:12" s="101" customFormat="1" ht="25.5" outlineLevel="1">
      <c r="A270" s="94"/>
      <c r="B270" s="93" t="s">
        <v>280</v>
      </c>
      <c r="C270" s="93" t="s">
        <v>95</v>
      </c>
      <c r="D270" s="93" t="s">
        <v>371</v>
      </c>
      <c r="E270" s="91" t="s">
        <v>279</v>
      </c>
      <c r="F270" s="24" t="s">
        <v>400</v>
      </c>
      <c r="G270" s="119">
        <v>60</v>
      </c>
      <c r="H270" s="26"/>
      <c r="I270" s="29">
        <f t="shared" si="26"/>
        <v>0</v>
      </c>
      <c r="J270" s="29">
        <f>G270*I270</f>
        <v>0</v>
      </c>
      <c r="L270" s="98"/>
    </row>
    <row r="271" spans="1:12" s="101" customFormat="1" ht="25.5" outlineLevel="1">
      <c r="A271" s="94"/>
      <c r="B271" s="93" t="s">
        <v>713</v>
      </c>
      <c r="C271" s="93">
        <v>6448</v>
      </c>
      <c r="D271" s="93" t="s">
        <v>448</v>
      </c>
      <c r="E271" s="91" t="s">
        <v>281</v>
      </c>
      <c r="F271" s="24" t="s">
        <v>400</v>
      </c>
      <c r="G271" s="119">
        <v>48</v>
      </c>
      <c r="H271" s="26"/>
      <c r="I271" s="96">
        <f t="shared" si="26"/>
        <v>0</v>
      </c>
      <c r="J271" s="96">
        <f>G271*I271</f>
        <v>0</v>
      </c>
      <c r="L271" s="98"/>
    </row>
    <row r="272" spans="1:12" s="101" customFormat="1" outlineLevel="1">
      <c r="A272" s="94"/>
      <c r="B272" s="107" t="s">
        <v>94</v>
      </c>
      <c r="C272" s="107"/>
      <c r="D272" s="107"/>
      <c r="E272" s="108" t="s">
        <v>96</v>
      </c>
      <c r="F272" s="23"/>
      <c r="G272" s="26"/>
      <c r="H272" s="26"/>
      <c r="I272" s="29"/>
      <c r="J272" s="29"/>
      <c r="L272" s="98"/>
    </row>
    <row r="273" spans="1:12" s="101" customFormat="1" outlineLevel="1">
      <c r="A273" s="94"/>
      <c r="B273" s="93" t="s">
        <v>282</v>
      </c>
      <c r="C273" s="93">
        <v>4283</v>
      </c>
      <c r="D273" s="93" t="s">
        <v>448</v>
      </c>
      <c r="E273" s="106" t="s">
        <v>97</v>
      </c>
      <c r="F273" s="24" t="s">
        <v>366</v>
      </c>
      <c r="G273" s="26">
        <v>20</v>
      </c>
      <c r="H273" s="26"/>
      <c r="I273" s="29">
        <f t="shared" si="26"/>
        <v>0</v>
      </c>
      <c r="J273" s="29">
        <f t="shared" ref="J273:J281" si="27">G273*I273</f>
        <v>0</v>
      </c>
      <c r="L273" s="98"/>
    </row>
    <row r="274" spans="1:12" s="101" customFormat="1" outlineLevel="1">
      <c r="A274" s="94"/>
      <c r="B274" s="93" t="s">
        <v>283</v>
      </c>
      <c r="C274" s="93" t="s">
        <v>284</v>
      </c>
      <c r="D274" s="93" t="s">
        <v>371</v>
      </c>
      <c r="E274" s="106" t="s">
        <v>98</v>
      </c>
      <c r="F274" s="30" t="s">
        <v>366</v>
      </c>
      <c r="G274" s="54">
        <v>6</v>
      </c>
      <c r="H274" s="26"/>
      <c r="I274" s="29">
        <f t="shared" si="26"/>
        <v>0</v>
      </c>
      <c r="J274" s="29">
        <f t="shared" si="27"/>
        <v>0</v>
      </c>
      <c r="L274" s="98"/>
    </row>
    <row r="275" spans="1:12" s="101" customFormat="1" outlineLevel="1">
      <c r="A275" s="94"/>
      <c r="B275" s="93" t="s">
        <v>285</v>
      </c>
      <c r="C275" s="93">
        <v>6171</v>
      </c>
      <c r="D275" s="93" t="s">
        <v>371</v>
      </c>
      <c r="E275" s="106" t="s">
        <v>99</v>
      </c>
      <c r="F275" s="30" t="s">
        <v>366</v>
      </c>
      <c r="G275" s="54">
        <v>6</v>
      </c>
      <c r="H275" s="26"/>
      <c r="I275" s="29">
        <f t="shared" si="26"/>
        <v>0</v>
      </c>
      <c r="J275" s="29">
        <f t="shared" si="27"/>
        <v>0</v>
      </c>
      <c r="L275" s="98"/>
    </row>
    <row r="276" spans="1:12" s="101" customFormat="1" outlineLevel="1">
      <c r="A276" s="94"/>
      <c r="B276" s="93" t="s">
        <v>286</v>
      </c>
      <c r="C276" s="93" t="s">
        <v>60</v>
      </c>
      <c r="D276" s="93" t="s">
        <v>371</v>
      </c>
      <c r="E276" s="106" t="s">
        <v>100</v>
      </c>
      <c r="F276" s="24" t="s">
        <v>366</v>
      </c>
      <c r="G276" s="26">
        <v>4</v>
      </c>
      <c r="H276" s="26"/>
      <c r="I276" s="29">
        <f t="shared" si="26"/>
        <v>0</v>
      </c>
      <c r="J276" s="29">
        <f t="shared" si="27"/>
        <v>0</v>
      </c>
      <c r="L276" s="98"/>
    </row>
    <row r="277" spans="1:12" s="101" customFormat="1" outlineLevel="1">
      <c r="A277" s="94"/>
      <c r="B277" s="93" t="s">
        <v>287</v>
      </c>
      <c r="C277" s="93">
        <v>8769</v>
      </c>
      <c r="D277" s="93" t="s">
        <v>448</v>
      </c>
      <c r="E277" s="106" t="s">
        <v>288</v>
      </c>
      <c r="F277" s="24" t="s">
        <v>366</v>
      </c>
      <c r="G277" s="26">
        <v>4</v>
      </c>
      <c r="H277" s="26"/>
      <c r="I277" s="29">
        <f t="shared" si="26"/>
        <v>0</v>
      </c>
      <c r="J277" s="29">
        <f t="shared" si="27"/>
        <v>0</v>
      </c>
      <c r="L277" s="98"/>
    </row>
    <row r="278" spans="1:12" s="101" customFormat="1" outlineLevel="1">
      <c r="A278" s="94"/>
      <c r="B278" s="93" t="s">
        <v>289</v>
      </c>
      <c r="C278" s="93">
        <v>72285</v>
      </c>
      <c r="D278" s="93" t="s">
        <v>371</v>
      </c>
      <c r="E278" s="106" t="s">
        <v>101</v>
      </c>
      <c r="F278" s="24" t="s">
        <v>366</v>
      </c>
      <c r="G278" s="26">
        <v>1</v>
      </c>
      <c r="H278" s="26"/>
      <c r="I278" s="29">
        <f t="shared" si="26"/>
        <v>0</v>
      </c>
      <c r="J278" s="29">
        <f t="shared" si="27"/>
        <v>0</v>
      </c>
      <c r="L278" s="98"/>
    </row>
    <row r="279" spans="1:12" s="101" customFormat="1" outlineLevel="1">
      <c r="A279" s="94"/>
      <c r="B279" s="93" t="s">
        <v>290</v>
      </c>
      <c r="C279" s="93">
        <v>72289</v>
      </c>
      <c r="D279" s="93" t="s">
        <v>371</v>
      </c>
      <c r="E279" s="106" t="s">
        <v>291</v>
      </c>
      <c r="F279" s="24" t="s">
        <v>366</v>
      </c>
      <c r="G279" s="26">
        <v>2</v>
      </c>
      <c r="H279" s="26"/>
      <c r="I279" s="29">
        <f t="shared" si="26"/>
        <v>0</v>
      </c>
      <c r="J279" s="29">
        <f t="shared" si="27"/>
        <v>0</v>
      </c>
      <c r="L279" s="98"/>
    </row>
    <row r="280" spans="1:12" s="101" customFormat="1" outlineLevel="1">
      <c r="A280" s="94"/>
      <c r="B280" s="93" t="s">
        <v>292</v>
      </c>
      <c r="C280" s="93">
        <v>6171</v>
      </c>
      <c r="D280" s="93" t="s">
        <v>371</v>
      </c>
      <c r="E280" s="106" t="s">
        <v>102</v>
      </c>
      <c r="F280" s="24" t="s">
        <v>366</v>
      </c>
      <c r="G280" s="26">
        <v>2</v>
      </c>
      <c r="H280" s="26"/>
      <c r="I280" s="29">
        <f t="shared" si="26"/>
        <v>0</v>
      </c>
      <c r="J280" s="29">
        <f t="shared" si="27"/>
        <v>0</v>
      </c>
      <c r="L280" s="98"/>
    </row>
    <row r="281" spans="1:12" s="101" customFormat="1" outlineLevel="1">
      <c r="A281" s="94"/>
      <c r="B281" s="93" t="s">
        <v>293</v>
      </c>
      <c r="C281" s="93" t="s">
        <v>11</v>
      </c>
      <c r="D281" s="93" t="s">
        <v>12</v>
      </c>
      <c r="E281" s="106" t="s">
        <v>294</v>
      </c>
      <c r="F281" s="137" t="s">
        <v>400</v>
      </c>
      <c r="G281" s="26">
        <v>12</v>
      </c>
      <c r="H281" s="26"/>
      <c r="I281" s="29">
        <f t="shared" si="26"/>
        <v>0</v>
      </c>
      <c r="J281" s="29">
        <f t="shared" si="27"/>
        <v>0</v>
      </c>
      <c r="L281" s="98"/>
    </row>
    <row r="282" spans="1:12" ht="12.75" customHeight="1" outlineLevel="1">
      <c r="A282" s="24"/>
      <c r="B282" s="33" t="s">
        <v>103</v>
      </c>
      <c r="C282" s="33"/>
      <c r="D282" s="33"/>
      <c r="E282" s="34"/>
      <c r="F282" s="34"/>
      <c r="G282" s="35"/>
      <c r="H282" s="35"/>
      <c r="I282" s="34"/>
      <c r="J282" s="36">
        <f>SUM(J241:J281)</f>
        <v>0</v>
      </c>
      <c r="L282" s="60"/>
    </row>
    <row r="283" spans="1:12">
      <c r="A283" s="24"/>
      <c r="B283" s="25"/>
      <c r="C283" s="25"/>
      <c r="D283" s="25"/>
      <c r="E283" s="32"/>
      <c r="F283" s="24"/>
      <c r="G283" s="84"/>
      <c r="H283" s="26"/>
      <c r="I283" s="29"/>
      <c r="J283" s="29"/>
      <c r="L283" s="60"/>
    </row>
    <row r="284" spans="1:12">
      <c r="A284" s="24"/>
      <c r="B284" s="44">
        <v>15</v>
      </c>
      <c r="C284" s="44"/>
      <c r="D284" s="44"/>
      <c r="E284" s="45" t="s">
        <v>295</v>
      </c>
      <c r="F284" s="45"/>
      <c r="G284" s="46"/>
      <c r="H284" s="46"/>
      <c r="I284" s="45"/>
      <c r="J284" s="47">
        <f>J303</f>
        <v>0</v>
      </c>
      <c r="L284" s="60"/>
    </row>
    <row r="285" spans="1:12" s="101" customFormat="1" outlineLevel="1">
      <c r="A285" s="94"/>
      <c r="B285" s="93" t="s">
        <v>296</v>
      </c>
      <c r="C285" s="93">
        <v>40777</v>
      </c>
      <c r="D285" s="93" t="s">
        <v>371</v>
      </c>
      <c r="E285" s="91" t="s">
        <v>302</v>
      </c>
      <c r="F285" s="94" t="s">
        <v>366</v>
      </c>
      <c r="G285" s="90">
        <v>6</v>
      </c>
      <c r="H285" s="95"/>
      <c r="I285" s="29">
        <f t="shared" ref="I285:I294" si="28">H285*$J$8</f>
        <v>0</v>
      </c>
      <c r="J285" s="29">
        <f t="shared" ref="J285:J294" si="29">G285*I285</f>
        <v>0</v>
      </c>
      <c r="L285" s="98"/>
    </row>
    <row r="286" spans="1:12" s="101" customFormat="1" outlineLevel="1">
      <c r="A286" s="94"/>
      <c r="B286" s="93" t="s">
        <v>297</v>
      </c>
      <c r="C286" s="93">
        <v>72291</v>
      </c>
      <c r="D286" s="93" t="s">
        <v>371</v>
      </c>
      <c r="E286" s="91" t="s">
        <v>304</v>
      </c>
      <c r="F286" s="94" t="s">
        <v>366</v>
      </c>
      <c r="G286" s="90">
        <v>9</v>
      </c>
      <c r="H286" s="95"/>
      <c r="I286" s="29">
        <f t="shared" si="28"/>
        <v>0</v>
      </c>
      <c r="J286" s="29">
        <f t="shared" si="29"/>
        <v>0</v>
      </c>
      <c r="L286" s="98"/>
    </row>
    <row r="287" spans="1:12" s="101" customFormat="1" outlineLevel="1">
      <c r="A287" s="94"/>
      <c r="B287" s="93" t="s">
        <v>298</v>
      </c>
      <c r="C287" s="93">
        <v>72685</v>
      </c>
      <c r="D287" s="93" t="s">
        <v>371</v>
      </c>
      <c r="E287" s="91" t="s">
        <v>307</v>
      </c>
      <c r="F287" s="94" t="s">
        <v>366</v>
      </c>
      <c r="G287" s="84">
        <v>4</v>
      </c>
      <c r="H287" s="26"/>
      <c r="I287" s="29">
        <f t="shared" si="28"/>
        <v>0</v>
      </c>
      <c r="J287" s="29">
        <f t="shared" si="29"/>
        <v>0</v>
      </c>
      <c r="L287" s="98"/>
    </row>
    <row r="288" spans="1:12" s="101" customFormat="1" outlineLevel="1">
      <c r="A288" s="94"/>
      <c r="B288" s="93" t="s">
        <v>299</v>
      </c>
      <c r="C288" s="93">
        <v>1666</v>
      </c>
      <c r="D288" s="93" t="s">
        <v>448</v>
      </c>
      <c r="E288" s="91" t="s">
        <v>310</v>
      </c>
      <c r="F288" s="94" t="s">
        <v>366</v>
      </c>
      <c r="G288" s="84">
        <v>4</v>
      </c>
      <c r="H288" s="26"/>
      <c r="I288" s="29">
        <f t="shared" si="28"/>
        <v>0</v>
      </c>
      <c r="J288" s="29">
        <f t="shared" si="29"/>
        <v>0</v>
      </c>
      <c r="L288" s="98"/>
    </row>
    <row r="289" spans="1:12" s="101" customFormat="1" outlineLevel="1">
      <c r="A289" s="94"/>
      <c r="B289" s="93" t="s">
        <v>300</v>
      </c>
      <c r="C289" s="93">
        <v>7594</v>
      </c>
      <c r="D289" s="93" t="s">
        <v>448</v>
      </c>
      <c r="E289" s="91" t="s">
        <v>312</v>
      </c>
      <c r="F289" s="94" t="s">
        <v>366</v>
      </c>
      <c r="G289" s="84">
        <v>6</v>
      </c>
      <c r="H289" s="26"/>
      <c r="I289" s="29">
        <f t="shared" si="28"/>
        <v>0</v>
      </c>
      <c r="J289" s="29">
        <f t="shared" si="29"/>
        <v>0</v>
      </c>
      <c r="L289" s="98"/>
    </row>
    <row r="290" spans="1:12" s="101" customFormat="1" outlineLevel="1">
      <c r="A290" s="94"/>
      <c r="B290" s="93" t="s">
        <v>301</v>
      </c>
      <c r="C290" s="93" t="s">
        <v>93</v>
      </c>
      <c r="D290" s="93" t="s">
        <v>371</v>
      </c>
      <c r="E290" s="91" t="s">
        <v>314</v>
      </c>
      <c r="F290" s="94" t="s">
        <v>400</v>
      </c>
      <c r="G290" s="84">
        <v>192</v>
      </c>
      <c r="H290" s="26"/>
      <c r="I290" s="29">
        <f t="shared" si="28"/>
        <v>0</v>
      </c>
      <c r="J290" s="29">
        <f t="shared" si="29"/>
        <v>0</v>
      </c>
      <c r="L290" s="98"/>
    </row>
    <row r="291" spans="1:12" s="101" customFormat="1" outlineLevel="1">
      <c r="A291" s="94"/>
      <c r="B291" s="93" t="s">
        <v>303</v>
      </c>
      <c r="C291" s="93" t="s">
        <v>112</v>
      </c>
      <c r="D291" s="93" t="s">
        <v>371</v>
      </c>
      <c r="E291" s="91" t="s">
        <v>316</v>
      </c>
      <c r="F291" s="94" t="s">
        <v>400</v>
      </c>
      <c r="G291" s="84">
        <v>96</v>
      </c>
      <c r="H291" s="26"/>
      <c r="I291" s="29">
        <f t="shared" si="28"/>
        <v>0</v>
      </c>
      <c r="J291" s="29">
        <f t="shared" si="29"/>
        <v>0</v>
      </c>
      <c r="L291" s="98"/>
    </row>
    <row r="292" spans="1:12" s="101" customFormat="1" outlineLevel="1">
      <c r="A292" s="94"/>
      <c r="B292" s="93" t="s">
        <v>305</v>
      </c>
      <c r="C292" s="93" t="s">
        <v>110</v>
      </c>
      <c r="D292" s="93" t="s">
        <v>371</v>
      </c>
      <c r="E292" s="91" t="s">
        <v>318</v>
      </c>
      <c r="F292" s="94" t="s">
        <v>400</v>
      </c>
      <c r="G292" s="84">
        <v>102</v>
      </c>
      <c r="H292" s="26"/>
      <c r="I292" s="29">
        <f t="shared" si="28"/>
        <v>0</v>
      </c>
      <c r="J292" s="29">
        <f t="shared" si="29"/>
        <v>0</v>
      </c>
      <c r="L292" s="98"/>
    </row>
    <row r="293" spans="1:12" s="101" customFormat="1" outlineLevel="1">
      <c r="A293" s="94"/>
      <c r="B293" s="93" t="s">
        <v>306</v>
      </c>
      <c r="C293" s="93" t="s">
        <v>108</v>
      </c>
      <c r="D293" s="93" t="s">
        <v>371</v>
      </c>
      <c r="E293" s="91" t="s">
        <v>320</v>
      </c>
      <c r="F293" s="94" t="s">
        <v>400</v>
      </c>
      <c r="G293" s="84">
        <v>48</v>
      </c>
      <c r="H293" s="26"/>
      <c r="I293" s="29">
        <f t="shared" si="28"/>
        <v>0</v>
      </c>
      <c r="J293" s="29">
        <f t="shared" si="29"/>
        <v>0</v>
      </c>
      <c r="L293" s="98"/>
    </row>
    <row r="294" spans="1:12" s="101" customFormat="1" outlineLevel="1">
      <c r="A294" s="94"/>
      <c r="B294" s="93" t="s">
        <v>308</v>
      </c>
      <c r="C294" s="25" t="s">
        <v>95</v>
      </c>
      <c r="D294" s="25" t="s">
        <v>371</v>
      </c>
      <c r="E294" s="53" t="s">
        <v>322</v>
      </c>
      <c r="F294" s="94" t="s">
        <v>400</v>
      </c>
      <c r="G294" s="84">
        <v>12</v>
      </c>
      <c r="H294" s="26"/>
      <c r="I294" s="29">
        <f t="shared" si="28"/>
        <v>0</v>
      </c>
      <c r="J294" s="29">
        <f t="shared" si="29"/>
        <v>0</v>
      </c>
      <c r="L294" s="98"/>
    </row>
    <row r="295" spans="1:12" s="101" customFormat="1" outlineLevel="1">
      <c r="A295" s="94"/>
      <c r="B295" s="93" t="s">
        <v>309</v>
      </c>
      <c r="C295" s="25">
        <v>72291</v>
      </c>
      <c r="D295" s="25" t="s">
        <v>371</v>
      </c>
      <c r="E295" s="53" t="s">
        <v>614</v>
      </c>
      <c r="F295" s="94"/>
      <c r="G295" s="84">
        <v>1</v>
      </c>
      <c r="H295" s="26"/>
      <c r="I295" s="29">
        <f t="shared" ref="I295:I302" si="30">H295*$J$8</f>
        <v>0</v>
      </c>
      <c r="J295" s="29">
        <f t="shared" ref="J295:J302" si="31">G295*I295</f>
        <v>0</v>
      </c>
      <c r="L295" s="98"/>
    </row>
    <row r="296" spans="1:12" s="101" customFormat="1" outlineLevel="1">
      <c r="A296" s="94"/>
      <c r="B296" s="93" t="s">
        <v>311</v>
      </c>
      <c r="C296" s="25" t="s">
        <v>744</v>
      </c>
      <c r="D296" s="25" t="s">
        <v>371</v>
      </c>
      <c r="E296" s="53" t="s">
        <v>615</v>
      </c>
      <c r="F296" s="94" t="s">
        <v>366</v>
      </c>
      <c r="G296" s="90">
        <v>1</v>
      </c>
      <c r="H296" s="95"/>
      <c r="I296" s="29">
        <f t="shared" si="30"/>
        <v>0</v>
      </c>
      <c r="J296" s="29">
        <f t="shared" si="31"/>
        <v>0</v>
      </c>
      <c r="L296" s="98"/>
    </row>
    <row r="297" spans="1:12" s="101" customFormat="1" ht="25.5" outlineLevel="1">
      <c r="A297" s="94"/>
      <c r="B297" s="93" t="s">
        <v>313</v>
      </c>
      <c r="C297" s="25">
        <v>72290</v>
      </c>
      <c r="D297" s="25" t="s">
        <v>371</v>
      </c>
      <c r="E297" s="53" t="s">
        <v>324</v>
      </c>
      <c r="F297" s="94" t="s">
        <v>366</v>
      </c>
      <c r="G297" s="90">
        <v>7</v>
      </c>
      <c r="H297" s="95"/>
      <c r="I297" s="29">
        <f t="shared" si="30"/>
        <v>0</v>
      </c>
      <c r="J297" s="29">
        <f t="shared" si="31"/>
        <v>0</v>
      </c>
      <c r="L297" s="98"/>
    </row>
    <row r="298" spans="1:12" s="101" customFormat="1" ht="25.5" outlineLevel="1">
      <c r="A298" s="94"/>
      <c r="B298" s="93" t="s">
        <v>315</v>
      </c>
      <c r="C298" s="25"/>
      <c r="D298" s="25" t="s">
        <v>12</v>
      </c>
      <c r="E298" s="53" t="s">
        <v>325</v>
      </c>
      <c r="F298" s="94" t="s">
        <v>366</v>
      </c>
      <c r="G298" s="90">
        <v>2</v>
      </c>
      <c r="H298" s="95"/>
      <c r="I298" s="29">
        <f t="shared" si="30"/>
        <v>0</v>
      </c>
      <c r="J298" s="29">
        <f t="shared" si="31"/>
        <v>0</v>
      </c>
      <c r="L298" s="98"/>
    </row>
    <row r="299" spans="1:12" s="101" customFormat="1" ht="25.5" outlineLevel="1">
      <c r="A299" s="94"/>
      <c r="B299" s="93" t="s">
        <v>317</v>
      </c>
      <c r="C299" s="25" t="s">
        <v>326</v>
      </c>
      <c r="D299" s="25" t="s">
        <v>371</v>
      </c>
      <c r="E299" s="53" t="s">
        <v>327</v>
      </c>
      <c r="F299" s="94" t="s">
        <v>366</v>
      </c>
      <c r="G299" s="90">
        <v>4</v>
      </c>
      <c r="H299" s="95"/>
      <c r="I299" s="29">
        <f t="shared" si="30"/>
        <v>0</v>
      </c>
      <c r="J299" s="29">
        <f t="shared" si="31"/>
        <v>0</v>
      </c>
      <c r="L299" s="98"/>
    </row>
    <row r="300" spans="1:12" s="101" customFormat="1" outlineLevel="1">
      <c r="A300" s="94"/>
      <c r="B300" s="93" t="s">
        <v>319</v>
      </c>
      <c r="C300" s="93" t="s">
        <v>742</v>
      </c>
      <c r="D300" s="93" t="s">
        <v>371</v>
      </c>
      <c r="E300" s="91" t="s">
        <v>616</v>
      </c>
      <c r="F300" s="94" t="s">
        <v>366</v>
      </c>
      <c r="G300" s="90">
        <v>1</v>
      </c>
      <c r="H300" s="95"/>
      <c r="I300" s="29">
        <f t="shared" si="30"/>
        <v>0</v>
      </c>
      <c r="J300" s="29">
        <f t="shared" si="31"/>
        <v>0</v>
      </c>
      <c r="L300" s="98"/>
    </row>
    <row r="301" spans="1:12" s="101" customFormat="1" outlineLevel="1">
      <c r="A301" s="94"/>
      <c r="B301" s="93" t="s">
        <v>321</v>
      </c>
      <c r="C301" s="93" t="s">
        <v>743</v>
      </c>
      <c r="D301" s="93" t="s">
        <v>371</v>
      </c>
      <c r="E301" s="91" t="s">
        <v>617</v>
      </c>
      <c r="F301" s="94" t="s">
        <v>366</v>
      </c>
      <c r="G301" s="90">
        <v>1</v>
      </c>
      <c r="H301" s="95"/>
      <c r="I301" s="29">
        <f t="shared" si="30"/>
        <v>0</v>
      </c>
      <c r="J301" s="29">
        <f t="shared" si="31"/>
        <v>0</v>
      </c>
      <c r="L301" s="98"/>
    </row>
    <row r="302" spans="1:12" s="101" customFormat="1" outlineLevel="1">
      <c r="A302" s="94"/>
      <c r="B302" s="93" t="s">
        <v>323</v>
      </c>
      <c r="C302" s="93" t="s">
        <v>743</v>
      </c>
      <c r="D302" s="93" t="s">
        <v>371</v>
      </c>
      <c r="E302" s="91" t="s">
        <v>618</v>
      </c>
      <c r="F302" s="94" t="s">
        <v>366</v>
      </c>
      <c r="G302" s="90">
        <v>1</v>
      </c>
      <c r="H302" s="95"/>
      <c r="I302" s="29">
        <f t="shared" si="30"/>
        <v>0</v>
      </c>
      <c r="J302" s="29">
        <f t="shared" si="31"/>
        <v>0</v>
      </c>
      <c r="L302" s="98"/>
    </row>
    <row r="303" spans="1:12" ht="12.75" customHeight="1" outlineLevel="1">
      <c r="A303" s="24"/>
      <c r="B303" s="33" t="s">
        <v>104</v>
      </c>
      <c r="C303" s="33"/>
      <c r="D303" s="33"/>
      <c r="E303" s="34"/>
      <c r="F303" s="34"/>
      <c r="G303" s="35"/>
      <c r="H303" s="35"/>
      <c r="I303" s="34"/>
      <c r="J303" s="36">
        <f>SUM(J285:J302)</f>
        <v>0</v>
      </c>
      <c r="L303" s="60"/>
    </row>
    <row r="304" spans="1:12">
      <c r="A304" s="24"/>
      <c r="B304" s="33"/>
      <c r="C304" s="33"/>
      <c r="D304" s="33"/>
      <c r="E304" s="55"/>
      <c r="F304" s="55"/>
      <c r="G304" s="56"/>
      <c r="H304" s="56"/>
      <c r="I304" s="55"/>
      <c r="J304" s="36"/>
      <c r="L304" s="60"/>
    </row>
    <row r="305" spans="1:12">
      <c r="A305" s="24"/>
      <c r="B305" s="44">
        <v>16</v>
      </c>
      <c r="C305" s="44"/>
      <c r="D305" s="44"/>
      <c r="E305" s="45" t="s">
        <v>136</v>
      </c>
      <c r="F305" s="45"/>
      <c r="G305" s="46"/>
      <c r="H305" s="46"/>
      <c r="I305" s="45"/>
      <c r="J305" s="47">
        <f>J332</f>
        <v>0</v>
      </c>
      <c r="L305" s="60"/>
    </row>
    <row r="306" spans="1:12" ht="38.25" outlineLevel="1">
      <c r="A306" s="24"/>
      <c r="B306" s="25" t="s">
        <v>105</v>
      </c>
      <c r="C306" s="25">
        <v>6021</v>
      </c>
      <c r="D306" s="25" t="s">
        <v>371</v>
      </c>
      <c r="E306" s="53" t="s">
        <v>555</v>
      </c>
      <c r="F306" s="24" t="s">
        <v>366</v>
      </c>
      <c r="G306" s="84">
        <v>2</v>
      </c>
      <c r="H306" s="26"/>
      <c r="I306" s="29">
        <f>H306*$J$8</f>
        <v>0</v>
      </c>
      <c r="J306" s="29">
        <f>G306*I306</f>
        <v>0</v>
      </c>
      <c r="L306" s="60"/>
    </row>
    <row r="307" spans="1:12" ht="25.5" outlineLevel="1">
      <c r="A307" s="24"/>
      <c r="B307" s="25" t="s">
        <v>106</v>
      </c>
      <c r="C307" s="25" t="s">
        <v>137</v>
      </c>
      <c r="D307" s="25" t="s">
        <v>371</v>
      </c>
      <c r="E307" s="53" t="s">
        <v>556</v>
      </c>
      <c r="F307" s="24" t="s">
        <v>366</v>
      </c>
      <c r="G307" s="84">
        <v>3</v>
      </c>
      <c r="H307" s="26"/>
      <c r="I307" s="29">
        <f>H307*$J$8</f>
        <v>0</v>
      </c>
      <c r="J307" s="29">
        <f>G307*I307</f>
        <v>0</v>
      </c>
      <c r="L307" s="60"/>
    </row>
    <row r="308" spans="1:12" ht="38.25" outlineLevel="1">
      <c r="A308" s="24"/>
      <c r="B308" s="25" t="s">
        <v>107</v>
      </c>
      <c r="C308" s="25">
        <v>2072</v>
      </c>
      <c r="D308" s="25" t="s">
        <v>448</v>
      </c>
      <c r="E308" s="53" t="s">
        <v>557</v>
      </c>
      <c r="F308" s="24" t="s">
        <v>366</v>
      </c>
      <c r="G308" s="84">
        <v>9</v>
      </c>
      <c r="H308" s="26"/>
      <c r="I308" s="29">
        <f>H308*$J$8</f>
        <v>0</v>
      </c>
      <c r="J308" s="29">
        <f>G308*I308</f>
        <v>0</v>
      </c>
      <c r="L308" s="60"/>
    </row>
    <row r="309" spans="1:12" ht="25.5" outlineLevel="1">
      <c r="A309" s="24"/>
      <c r="B309" s="25" t="s">
        <v>109</v>
      </c>
      <c r="C309" s="25" t="s">
        <v>330</v>
      </c>
      <c r="D309" s="25" t="s">
        <v>371</v>
      </c>
      <c r="E309" s="53" t="s">
        <v>560</v>
      </c>
      <c r="F309" s="24" t="s">
        <v>366</v>
      </c>
      <c r="G309" s="84">
        <v>11</v>
      </c>
      <c r="H309" s="26"/>
      <c r="I309" s="29">
        <f>H309*$J$8</f>
        <v>0</v>
      </c>
      <c r="J309" s="29">
        <f>G309*I309</f>
        <v>0</v>
      </c>
      <c r="L309" s="60"/>
    </row>
    <row r="310" spans="1:12" outlineLevel="1">
      <c r="A310" s="24"/>
      <c r="B310" s="25" t="s">
        <v>111</v>
      </c>
      <c r="C310" s="138" t="s">
        <v>11</v>
      </c>
      <c r="D310" s="25" t="s">
        <v>12</v>
      </c>
      <c r="E310" s="53" t="s">
        <v>562</v>
      </c>
      <c r="F310" s="24" t="s">
        <v>366</v>
      </c>
      <c r="G310" s="84">
        <v>9</v>
      </c>
      <c r="H310" s="26"/>
      <c r="I310" s="96">
        <f>H310*$J$8</f>
        <v>0</v>
      </c>
      <c r="J310" s="29">
        <f>G310*I310</f>
        <v>0</v>
      </c>
      <c r="L310" s="60"/>
    </row>
    <row r="311" spans="1:12" ht="25.5" outlineLevel="1">
      <c r="A311" s="24"/>
      <c r="B311" s="25" t="s">
        <v>113</v>
      </c>
      <c r="C311" s="138" t="s">
        <v>11</v>
      </c>
      <c r="D311" s="25" t="s">
        <v>12</v>
      </c>
      <c r="E311" s="53" t="s">
        <v>559</v>
      </c>
      <c r="F311" s="24" t="s">
        <v>366</v>
      </c>
      <c r="G311" s="84">
        <v>2</v>
      </c>
      <c r="H311" s="26"/>
      <c r="I311" s="29">
        <f t="shared" ref="I311:I331" si="32">H311*$J$8</f>
        <v>0</v>
      </c>
      <c r="J311" s="29">
        <f t="shared" ref="J311:J331" si="33">G311*I311</f>
        <v>0</v>
      </c>
      <c r="L311" s="60"/>
    </row>
    <row r="312" spans="1:12" outlineLevel="1">
      <c r="A312" s="24"/>
      <c r="B312" s="25" t="s">
        <v>114</v>
      </c>
      <c r="C312" s="25" t="s">
        <v>138</v>
      </c>
      <c r="D312" s="25" t="s">
        <v>371</v>
      </c>
      <c r="E312" s="53" t="s">
        <v>561</v>
      </c>
      <c r="F312" s="24" t="s">
        <v>366</v>
      </c>
      <c r="G312" s="84">
        <v>3</v>
      </c>
      <c r="H312" s="26"/>
      <c r="I312" s="29">
        <f t="shared" si="32"/>
        <v>0</v>
      </c>
      <c r="J312" s="29">
        <f t="shared" si="33"/>
        <v>0</v>
      </c>
      <c r="L312" s="60"/>
    </row>
    <row r="313" spans="1:12" outlineLevel="1">
      <c r="A313" s="24"/>
      <c r="B313" s="25" t="s">
        <v>115</v>
      </c>
      <c r="C313" s="25">
        <v>5018</v>
      </c>
      <c r="D313" s="25" t="s">
        <v>448</v>
      </c>
      <c r="E313" s="53" t="s">
        <v>563</v>
      </c>
      <c r="F313" s="24" t="s">
        <v>366</v>
      </c>
      <c r="G313" s="84">
        <v>14</v>
      </c>
      <c r="H313" s="26"/>
      <c r="I313" s="29">
        <f t="shared" si="32"/>
        <v>0</v>
      </c>
      <c r="J313" s="29">
        <f t="shared" si="33"/>
        <v>0</v>
      </c>
      <c r="L313" s="60"/>
    </row>
    <row r="314" spans="1:12" ht="25.5" outlineLevel="1">
      <c r="A314" s="24"/>
      <c r="B314" s="25" t="s">
        <v>116</v>
      </c>
      <c r="C314" s="138" t="s">
        <v>11</v>
      </c>
      <c r="D314" s="25" t="s">
        <v>12</v>
      </c>
      <c r="E314" s="53" t="s">
        <v>558</v>
      </c>
      <c r="F314" s="24" t="s">
        <v>335</v>
      </c>
      <c r="G314" s="84">
        <v>3</v>
      </c>
      <c r="H314" s="26"/>
      <c r="I314" s="29">
        <f t="shared" si="32"/>
        <v>0</v>
      </c>
      <c r="J314" s="29">
        <f t="shared" si="33"/>
        <v>0</v>
      </c>
      <c r="L314" s="60"/>
    </row>
    <row r="315" spans="1:12" ht="25.5" outlineLevel="1">
      <c r="A315" s="24"/>
      <c r="B315" s="25" t="s">
        <v>117</v>
      </c>
      <c r="C315" s="25">
        <v>6009</v>
      </c>
      <c r="D315" s="25" t="s">
        <v>371</v>
      </c>
      <c r="E315" s="53" t="s">
        <v>566</v>
      </c>
      <c r="F315" s="24" t="s">
        <v>366</v>
      </c>
      <c r="G315" s="84">
        <v>4</v>
      </c>
      <c r="H315" s="26"/>
      <c r="I315" s="29">
        <f t="shared" si="32"/>
        <v>0</v>
      </c>
      <c r="J315" s="29">
        <f t="shared" si="33"/>
        <v>0</v>
      </c>
      <c r="L315" s="60"/>
    </row>
    <row r="316" spans="1:12" s="101" customFormat="1" ht="25.5" outlineLevel="1">
      <c r="A316" s="94"/>
      <c r="B316" s="25" t="s">
        <v>118</v>
      </c>
      <c r="C316" s="25">
        <v>2010</v>
      </c>
      <c r="D316" s="25" t="s">
        <v>448</v>
      </c>
      <c r="E316" s="53" t="s">
        <v>565</v>
      </c>
      <c r="F316" s="24" t="s">
        <v>366</v>
      </c>
      <c r="G316" s="84">
        <v>17</v>
      </c>
      <c r="H316" s="26"/>
      <c r="I316" s="96">
        <f t="shared" si="32"/>
        <v>0</v>
      </c>
      <c r="J316" s="96">
        <f t="shared" si="33"/>
        <v>0</v>
      </c>
      <c r="L316" s="98"/>
    </row>
    <row r="317" spans="1:12" outlineLevel="1">
      <c r="A317" s="24"/>
      <c r="B317" s="25" t="s">
        <v>119</v>
      </c>
      <c r="C317" s="25" t="s">
        <v>329</v>
      </c>
      <c r="D317" s="25" t="s">
        <v>371</v>
      </c>
      <c r="E317" s="53" t="s">
        <v>564</v>
      </c>
      <c r="F317" s="24" t="s">
        <v>366</v>
      </c>
      <c r="G317" s="84">
        <v>21</v>
      </c>
      <c r="H317" s="26"/>
      <c r="I317" s="29">
        <f t="shared" si="32"/>
        <v>0</v>
      </c>
      <c r="J317" s="29">
        <f t="shared" si="33"/>
        <v>0</v>
      </c>
      <c r="L317" s="60"/>
    </row>
    <row r="318" spans="1:12" outlineLevel="1">
      <c r="A318" s="24"/>
      <c r="B318" s="25" t="s">
        <v>120</v>
      </c>
      <c r="C318" s="25" t="s">
        <v>143</v>
      </c>
      <c r="D318" s="25" t="s">
        <v>371</v>
      </c>
      <c r="E318" s="53" t="s">
        <v>569</v>
      </c>
      <c r="F318" s="24" t="s">
        <v>366</v>
      </c>
      <c r="G318" s="84">
        <v>20</v>
      </c>
      <c r="H318" s="26"/>
      <c r="I318" s="29">
        <f t="shared" si="32"/>
        <v>0</v>
      </c>
      <c r="J318" s="29">
        <f t="shared" si="33"/>
        <v>0</v>
      </c>
      <c r="L318" s="60"/>
    </row>
    <row r="319" spans="1:12" outlineLevel="1">
      <c r="A319" s="24"/>
      <c r="B319" s="25" t="s">
        <v>121</v>
      </c>
      <c r="C319" s="25">
        <v>4287</v>
      </c>
      <c r="D319" s="25" t="s">
        <v>448</v>
      </c>
      <c r="E319" s="53" t="s">
        <v>568</v>
      </c>
      <c r="F319" s="24" t="s">
        <v>366</v>
      </c>
      <c r="G319" s="84">
        <v>15</v>
      </c>
      <c r="H319" s="26"/>
      <c r="I319" s="29">
        <f t="shared" si="32"/>
        <v>0</v>
      </c>
      <c r="J319" s="29">
        <f t="shared" si="33"/>
        <v>0</v>
      </c>
      <c r="L319" s="60"/>
    </row>
    <row r="320" spans="1:12" outlineLevel="1">
      <c r="A320" s="24"/>
      <c r="B320" s="25" t="s">
        <v>122</v>
      </c>
      <c r="C320" s="25">
        <v>8492</v>
      </c>
      <c r="D320" s="25" t="s">
        <v>448</v>
      </c>
      <c r="E320" s="31" t="s">
        <v>567</v>
      </c>
      <c r="F320" s="24" t="s">
        <v>366</v>
      </c>
      <c r="G320" s="84">
        <v>6</v>
      </c>
      <c r="H320" s="26"/>
      <c r="I320" s="29">
        <f t="shared" si="32"/>
        <v>0</v>
      </c>
      <c r="J320" s="29">
        <f t="shared" si="33"/>
        <v>0</v>
      </c>
      <c r="L320" s="60"/>
    </row>
    <row r="321" spans="1:12" outlineLevel="1">
      <c r="A321" s="24"/>
      <c r="B321" s="25" t="s">
        <v>123</v>
      </c>
      <c r="C321" s="25" t="s">
        <v>144</v>
      </c>
      <c r="D321" s="25" t="s">
        <v>12</v>
      </c>
      <c r="E321" s="53" t="s">
        <v>572</v>
      </c>
      <c r="F321" s="24" t="s">
        <v>366</v>
      </c>
      <c r="G321" s="84">
        <v>2</v>
      </c>
      <c r="H321" s="26"/>
      <c r="I321" s="29">
        <f t="shared" si="32"/>
        <v>0</v>
      </c>
      <c r="J321" s="29">
        <f t="shared" si="33"/>
        <v>0</v>
      </c>
      <c r="L321" s="60"/>
    </row>
    <row r="322" spans="1:12" ht="25.5" outlineLevel="1">
      <c r="A322" s="24"/>
      <c r="B322" s="25" t="s">
        <v>124</v>
      </c>
      <c r="C322" s="25">
        <v>8450</v>
      </c>
      <c r="D322" s="25" t="s">
        <v>448</v>
      </c>
      <c r="E322" s="53" t="s">
        <v>571</v>
      </c>
      <c r="F322" s="24" t="s">
        <v>366</v>
      </c>
      <c r="G322" s="84">
        <v>2</v>
      </c>
      <c r="H322" s="26"/>
      <c r="I322" s="29">
        <f t="shared" si="32"/>
        <v>0</v>
      </c>
      <c r="J322" s="29">
        <f t="shared" si="33"/>
        <v>0</v>
      </c>
      <c r="L322" s="60"/>
    </row>
    <row r="323" spans="1:12" ht="25.5" outlineLevel="1">
      <c r="A323" s="24"/>
      <c r="B323" s="25" t="s">
        <v>125</v>
      </c>
      <c r="C323" s="25" t="s">
        <v>333</v>
      </c>
      <c r="D323" s="25" t="s">
        <v>448</v>
      </c>
      <c r="E323" s="53" t="s">
        <v>570</v>
      </c>
      <c r="F323" s="24" t="s">
        <v>366</v>
      </c>
      <c r="G323" s="84">
        <v>8</v>
      </c>
      <c r="H323" s="26"/>
      <c r="I323" s="29">
        <f t="shared" si="32"/>
        <v>0</v>
      </c>
      <c r="J323" s="29">
        <f t="shared" si="33"/>
        <v>0</v>
      </c>
      <c r="L323" s="60"/>
    </row>
    <row r="324" spans="1:12" ht="25.5" outlineLevel="1">
      <c r="A324" s="24"/>
      <c r="B324" s="25" t="s">
        <v>126</v>
      </c>
      <c r="C324" s="25" t="s">
        <v>331</v>
      </c>
      <c r="D324" s="25" t="s">
        <v>371</v>
      </c>
      <c r="E324" s="53" t="s">
        <v>574</v>
      </c>
      <c r="F324" s="24" t="s">
        <v>366</v>
      </c>
      <c r="G324" s="84">
        <v>9</v>
      </c>
      <c r="H324" s="26"/>
      <c r="I324" s="29">
        <f t="shared" si="32"/>
        <v>0</v>
      </c>
      <c r="J324" s="29">
        <f t="shared" si="33"/>
        <v>0</v>
      </c>
      <c r="L324" s="60"/>
    </row>
    <row r="325" spans="1:12" outlineLevel="1">
      <c r="A325" s="24"/>
      <c r="B325" s="25" t="s">
        <v>127</v>
      </c>
      <c r="C325" s="25" t="s">
        <v>332</v>
      </c>
      <c r="D325" s="25" t="s">
        <v>371</v>
      </c>
      <c r="E325" s="53" t="s">
        <v>573</v>
      </c>
      <c r="F325" s="24" t="s">
        <v>366</v>
      </c>
      <c r="G325" s="84">
        <v>2</v>
      </c>
      <c r="H325" s="26"/>
      <c r="I325" s="29">
        <f t="shared" si="32"/>
        <v>0</v>
      </c>
      <c r="J325" s="29">
        <f t="shared" si="33"/>
        <v>0</v>
      </c>
      <c r="L325" s="60"/>
    </row>
    <row r="326" spans="1:12" ht="25.5" outlineLevel="1">
      <c r="A326" s="24"/>
      <c r="B326" s="25" t="s">
        <v>128</v>
      </c>
      <c r="C326" s="25" t="s">
        <v>139</v>
      </c>
      <c r="D326" s="25" t="s">
        <v>371</v>
      </c>
      <c r="E326" s="53" t="s">
        <v>575</v>
      </c>
      <c r="F326" s="24" t="s">
        <v>366</v>
      </c>
      <c r="G326" s="84">
        <v>3</v>
      </c>
      <c r="H326" s="26"/>
      <c r="I326" s="29">
        <f t="shared" si="32"/>
        <v>0</v>
      </c>
      <c r="J326" s="29">
        <f t="shared" si="33"/>
        <v>0</v>
      </c>
      <c r="L326" s="60"/>
    </row>
    <row r="327" spans="1:12" ht="25.5" outlineLevel="1">
      <c r="A327" s="24"/>
      <c r="B327" s="25" t="s">
        <v>129</v>
      </c>
      <c r="C327" s="25" t="s">
        <v>139</v>
      </c>
      <c r="D327" s="25" t="s">
        <v>371</v>
      </c>
      <c r="E327" s="53" t="s">
        <v>580</v>
      </c>
      <c r="F327" s="24" t="s">
        <v>366</v>
      </c>
      <c r="G327" s="84">
        <v>11</v>
      </c>
      <c r="H327" s="26"/>
      <c r="I327" s="29">
        <f t="shared" si="32"/>
        <v>0</v>
      </c>
      <c r="J327" s="29">
        <f t="shared" si="33"/>
        <v>0</v>
      </c>
      <c r="L327" s="60"/>
    </row>
    <row r="328" spans="1:12" ht="38.25" outlineLevel="1">
      <c r="A328" s="24"/>
      <c r="B328" s="25" t="s">
        <v>130</v>
      </c>
      <c r="C328" s="25">
        <v>8775</v>
      </c>
      <c r="D328" s="25" t="s">
        <v>448</v>
      </c>
      <c r="E328" s="53" t="s">
        <v>576</v>
      </c>
      <c r="F328" s="24" t="s">
        <v>366</v>
      </c>
      <c r="G328" s="84">
        <v>2</v>
      </c>
      <c r="H328" s="26"/>
      <c r="I328" s="29">
        <f t="shared" si="32"/>
        <v>0</v>
      </c>
      <c r="J328" s="29">
        <f t="shared" si="33"/>
        <v>0</v>
      </c>
      <c r="L328" s="60"/>
    </row>
    <row r="329" spans="1:12" ht="38.25" outlineLevel="1">
      <c r="A329" s="24"/>
      <c r="B329" s="25" t="s">
        <v>581</v>
      </c>
      <c r="C329" s="25" t="s">
        <v>334</v>
      </c>
      <c r="D329" s="25" t="s">
        <v>371</v>
      </c>
      <c r="E329" s="53" t="s">
        <v>577</v>
      </c>
      <c r="F329" s="24" t="s">
        <v>335</v>
      </c>
      <c r="G329" s="84">
        <v>11</v>
      </c>
      <c r="H329" s="26"/>
      <c r="I329" s="29">
        <f t="shared" si="32"/>
        <v>0</v>
      </c>
      <c r="J329" s="29">
        <f t="shared" si="33"/>
        <v>0</v>
      </c>
      <c r="L329" s="60"/>
    </row>
    <row r="330" spans="1:12" outlineLevel="1">
      <c r="A330" s="24"/>
      <c r="B330" s="25" t="s">
        <v>131</v>
      </c>
      <c r="C330" s="25">
        <v>9700</v>
      </c>
      <c r="D330" s="25" t="s">
        <v>448</v>
      </c>
      <c r="E330" s="53" t="s">
        <v>578</v>
      </c>
      <c r="F330" s="24" t="s">
        <v>366</v>
      </c>
      <c r="G330" s="84">
        <v>11</v>
      </c>
      <c r="H330" s="26"/>
      <c r="I330" s="29">
        <f t="shared" si="32"/>
        <v>0</v>
      </c>
      <c r="J330" s="29">
        <f t="shared" si="33"/>
        <v>0</v>
      </c>
      <c r="L330" s="60"/>
    </row>
    <row r="331" spans="1:12" outlineLevel="1">
      <c r="A331" s="24"/>
      <c r="B331" s="25" t="s">
        <v>132</v>
      </c>
      <c r="C331" s="25">
        <v>7711</v>
      </c>
      <c r="D331" s="25" t="s">
        <v>448</v>
      </c>
      <c r="E331" s="53" t="s">
        <v>579</v>
      </c>
      <c r="F331" s="24" t="s">
        <v>366</v>
      </c>
      <c r="G331" s="84">
        <v>1</v>
      </c>
      <c r="H331" s="26"/>
      <c r="I331" s="29">
        <f t="shared" si="32"/>
        <v>0</v>
      </c>
      <c r="J331" s="29">
        <f t="shared" si="33"/>
        <v>0</v>
      </c>
      <c r="L331" s="60"/>
    </row>
    <row r="332" spans="1:12" ht="12.75" customHeight="1" outlineLevel="1">
      <c r="A332" s="24"/>
      <c r="B332" s="33" t="s">
        <v>133</v>
      </c>
      <c r="C332" s="33"/>
      <c r="D332" s="33"/>
      <c r="E332" s="34"/>
      <c r="F332" s="34"/>
      <c r="G332" s="35"/>
      <c r="H332" s="35"/>
      <c r="I332" s="34"/>
      <c r="J332" s="36">
        <f>SUM(J306:J331)</f>
        <v>0</v>
      </c>
      <c r="L332" s="60"/>
    </row>
    <row r="333" spans="1:12">
      <c r="A333" s="24"/>
      <c r="B333" s="25"/>
      <c r="C333" s="25"/>
      <c r="D333" s="25"/>
      <c r="E333" s="32"/>
      <c r="F333" s="24"/>
      <c r="G333" s="84"/>
      <c r="H333" s="26"/>
      <c r="I333" s="23"/>
      <c r="J333" s="23"/>
      <c r="L333" s="60"/>
    </row>
    <row r="334" spans="1:12">
      <c r="A334" s="24"/>
      <c r="B334" s="44">
        <v>17</v>
      </c>
      <c r="C334" s="44"/>
      <c r="D334" s="44"/>
      <c r="E334" s="45" t="s">
        <v>336</v>
      </c>
      <c r="F334" s="45"/>
      <c r="G334" s="46"/>
      <c r="H334" s="46"/>
      <c r="I334" s="45"/>
      <c r="J334" s="47">
        <f>J338</f>
        <v>0</v>
      </c>
      <c r="L334" s="60"/>
    </row>
    <row r="335" spans="1:12" outlineLevel="1">
      <c r="A335" s="24"/>
      <c r="B335" s="25" t="s">
        <v>134</v>
      </c>
      <c r="C335" s="25" t="s">
        <v>337</v>
      </c>
      <c r="D335" s="25" t="s">
        <v>371</v>
      </c>
      <c r="E335" s="32" t="s">
        <v>338</v>
      </c>
      <c r="F335" s="24" t="s">
        <v>372</v>
      </c>
      <c r="G335" s="84">
        <f>(41.03*0.6+12.79*0.5+4.5*0.4)</f>
        <v>32.812999999999995</v>
      </c>
      <c r="H335" s="26"/>
      <c r="I335" s="29">
        <f>H335*$J$8</f>
        <v>0</v>
      </c>
      <c r="J335" s="29">
        <f>G335*I335</f>
        <v>0</v>
      </c>
      <c r="L335" s="60"/>
    </row>
    <row r="336" spans="1:12" outlineLevel="1">
      <c r="A336" s="24"/>
      <c r="B336" s="25" t="s">
        <v>339</v>
      </c>
      <c r="C336" s="25" t="s">
        <v>337</v>
      </c>
      <c r="D336" s="25" t="s">
        <v>371</v>
      </c>
      <c r="E336" s="32" t="s">
        <v>340</v>
      </c>
      <c r="F336" s="24" t="s">
        <v>372</v>
      </c>
      <c r="G336" s="84">
        <f>(10.8*0.6+46.8*0.3+4.2*0.4)</f>
        <v>22.2</v>
      </c>
      <c r="H336" s="26"/>
      <c r="I336" s="29">
        <f>H336*$J$8</f>
        <v>0</v>
      </c>
      <c r="J336" s="29">
        <f>G336*I336</f>
        <v>0</v>
      </c>
      <c r="L336" s="60"/>
    </row>
    <row r="337" spans="1:12" s="57" customFormat="1" outlineLevel="1">
      <c r="A337" s="24"/>
      <c r="B337" s="25" t="s">
        <v>341</v>
      </c>
      <c r="C337" s="25" t="s">
        <v>337</v>
      </c>
      <c r="D337" s="25" t="s">
        <v>371</v>
      </c>
      <c r="E337" s="32" t="s">
        <v>582</v>
      </c>
      <c r="F337" s="24" t="s">
        <v>372</v>
      </c>
      <c r="G337" s="84">
        <f>(2*0.25*0.69+0.25*0.38)+(1.79*0.03+1.79*0.38)+(2.25*0.3+2.25*0.38)</f>
        <v>2.7039</v>
      </c>
      <c r="H337" s="26"/>
      <c r="I337" s="29">
        <f>H337*$J$8</f>
        <v>0</v>
      </c>
      <c r="J337" s="29">
        <f>G337*I337</f>
        <v>0</v>
      </c>
      <c r="L337" s="60"/>
    </row>
    <row r="338" spans="1:12" ht="12.75" customHeight="1" outlineLevel="1">
      <c r="A338" s="20"/>
      <c r="B338" s="33" t="s">
        <v>135</v>
      </c>
      <c r="C338" s="33"/>
      <c r="D338" s="33"/>
      <c r="E338" s="34"/>
      <c r="F338" s="34"/>
      <c r="G338" s="35"/>
      <c r="H338" s="35"/>
      <c r="I338" s="34"/>
      <c r="J338" s="36">
        <f>SUM(J335:J337)</f>
        <v>0</v>
      </c>
      <c r="L338" s="60"/>
    </row>
    <row r="339" spans="1:12">
      <c r="A339" s="24"/>
      <c r="B339" s="25"/>
      <c r="C339" s="25"/>
      <c r="D339" s="25"/>
      <c r="E339" s="32"/>
      <c r="F339" s="24"/>
      <c r="G339" s="84"/>
      <c r="H339" s="26"/>
      <c r="I339" s="23"/>
      <c r="J339" s="23"/>
      <c r="L339" s="60"/>
    </row>
    <row r="340" spans="1:12">
      <c r="A340" s="24"/>
      <c r="B340" s="44">
        <v>19</v>
      </c>
      <c r="C340" s="44"/>
      <c r="D340" s="44"/>
      <c r="E340" s="45" t="s">
        <v>148</v>
      </c>
      <c r="F340" s="45"/>
      <c r="G340" s="46"/>
      <c r="H340" s="46"/>
      <c r="I340" s="45"/>
      <c r="J340" s="47">
        <f>J354</f>
        <v>0</v>
      </c>
      <c r="L340" s="60"/>
    </row>
    <row r="341" spans="1:12" outlineLevel="1">
      <c r="A341" s="24"/>
      <c r="B341" s="19" t="s">
        <v>145</v>
      </c>
      <c r="C341" s="19"/>
      <c r="D341" s="19"/>
      <c r="E341" s="22" t="s">
        <v>342</v>
      </c>
      <c r="F341" s="22"/>
      <c r="G341" s="21"/>
      <c r="H341" s="21"/>
      <c r="I341" s="22"/>
      <c r="J341" s="22"/>
      <c r="L341" s="60"/>
    </row>
    <row r="342" spans="1:12" s="101" customFormat="1" outlineLevel="1">
      <c r="A342" s="94"/>
      <c r="B342" s="93" t="s">
        <v>146</v>
      </c>
      <c r="C342" s="93">
        <v>68070</v>
      </c>
      <c r="D342" s="93" t="s">
        <v>371</v>
      </c>
      <c r="E342" s="92" t="s">
        <v>346</v>
      </c>
      <c r="F342" s="94" t="s">
        <v>400</v>
      </c>
      <c r="G342" s="95">
        <v>3</v>
      </c>
      <c r="H342" s="95"/>
      <c r="I342" s="96">
        <f>H342*$J$8</f>
        <v>0</v>
      </c>
      <c r="J342" s="96">
        <f>G342*I342</f>
        <v>0</v>
      </c>
      <c r="L342" s="98"/>
    </row>
    <row r="343" spans="1:12" s="101" customFormat="1" outlineLevel="1">
      <c r="A343" s="94"/>
      <c r="B343" s="93" t="s">
        <v>343</v>
      </c>
      <c r="C343" s="93" t="s">
        <v>11</v>
      </c>
      <c r="D343" s="25"/>
      <c r="E343" s="100" t="s">
        <v>638</v>
      </c>
      <c r="F343" s="110" t="s">
        <v>400</v>
      </c>
      <c r="G343" s="95">
        <v>50</v>
      </c>
      <c r="H343" s="95"/>
      <c r="I343" s="96">
        <f t="shared" ref="I343:I353" si="34">H343*$J$8</f>
        <v>0</v>
      </c>
      <c r="J343" s="96">
        <f t="shared" ref="J343:J353" si="35">G343*I343</f>
        <v>0</v>
      </c>
      <c r="L343" s="98"/>
    </row>
    <row r="344" spans="1:12" s="101" customFormat="1" outlineLevel="1">
      <c r="A344" s="94"/>
      <c r="B344" s="93" t="s">
        <v>344</v>
      </c>
      <c r="C344" s="93" t="s">
        <v>11</v>
      </c>
      <c r="D344" s="25"/>
      <c r="E344" s="100" t="s">
        <v>619</v>
      </c>
      <c r="F344" s="94" t="s">
        <v>366</v>
      </c>
      <c r="G344" s="95">
        <v>12</v>
      </c>
      <c r="H344" s="95"/>
      <c r="I344" s="96">
        <f t="shared" si="34"/>
        <v>0</v>
      </c>
      <c r="J344" s="96">
        <f t="shared" si="35"/>
        <v>0</v>
      </c>
      <c r="L344" s="98"/>
    </row>
    <row r="345" spans="1:12" s="101" customFormat="1" outlineLevel="1">
      <c r="A345" s="94"/>
      <c r="B345" s="93" t="s">
        <v>345</v>
      </c>
      <c r="C345" s="93" t="s">
        <v>11</v>
      </c>
      <c r="D345" s="25"/>
      <c r="E345" s="100" t="s">
        <v>348</v>
      </c>
      <c r="F345" s="94" t="s">
        <v>366</v>
      </c>
      <c r="G345" s="95">
        <v>5</v>
      </c>
      <c r="H345" s="95"/>
      <c r="I345" s="96">
        <f t="shared" si="34"/>
        <v>0</v>
      </c>
      <c r="J345" s="96">
        <f t="shared" si="35"/>
        <v>0</v>
      </c>
      <c r="L345" s="98"/>
    </row>
    <row r="346" spans="1:12" s="101" customFormat="1" outlineLevel="1">
      <c r="A346" s="94"/>
      <c r="B346" s="93" t="s">
        <v>714</v>
      </c>
      <c r="C346" s="93" t="s">
        <v>11</v>
      </c>
      <c r="D346" s="25"/>
      <c r="E346" s="100" t="s">
        <v>349</v>
      </c>
      <c r="F346" s="94" t="s">
        <v>366</v>
      </c>
      <c r="G346" s="95">
        <v>1</v>
      </c>
      <c r="H346" s="95"/>
      <c r="I346" s="96">
        <f t="shared" si="34"/>
        <v>0</v>
      </c>
      <c r="J346" s="96">
        <f t="shared" si="35"/>
        <v>0</v>
      </c>
      <c r="L346" s="98"/>
    </row>
    <row r="347" spans="1:12" s="101" customFormat="1" ht="25.5" outlineLevel="1">
      <c r="A347" s="94"/>
      <c r="B347" s="93" t="s">
        <v>715</v>
      </c>
      <c r="C347" s="93" t="s">
        <v>11</v>
      </c>
      <c r="D347" s="25" t="s">
        <v>12</v>
      </c>
      <c r="E347" s="92" t="s">
        <v>620</v>
      </c>
      <c r="F347" s="94" t="s">
        <v>366</v>
      </c>
      <c r="G347" s="95">
        <v>1</v>
      </c>
      <c r="H347" s="95"/>
      <c r="I347" s="96">
        <f t="shared" si="34"/>
        <v>0</v>
      </c>
      <c r="J347" s="96">
        <f t="shared" si="35"/>
        <v>0</v>
      </c>
      <c r="L347" s="98"/>
    </row>
    <row r="348" spans="1:12" s="101" customFormat="1" outlineLevel="1">
      <c r="A348" s="94"/>
      <c r="B348" s="93" t="s">
        <v>716</v>
      </c>
      <c r="C348" s="93">
        <v>68069</v>
      </c>
      <c r="D348" s="93" t="s">
        <v>371</v>
      </c>
      <c r="E348" s="100" t="s">
        <v>350</v>
      </c>
      <c r="F348" s="94" t="s">
        <v>366</v>
      </c>
      <c r="G348" s="95">
        <v>16</v>
      </c>
      <c r="H348" s="95"/>
      <c r="I348" s="96">
        <f t="shared" si="34"/>
        <v>0</v>
      </c>
      <c r="J348" s="96">
        <f t="shared" si="35"/>
        <v>0</v>
      </c>
      <c r="L348" s="98"/>
    </row>
    <row r="349" spans="1:12" s="101" customFormat="1" outlineLevel="1">
      <c r="A349" s="94"/>
      <c r="B349" s="93" t="s">
        <v>717</v>
      </c>
      <c r="C349" s="93">
        <v>72927</v>
      </c>
      <c r="D349" s="93" t="s">
        <v>371</v>
      </c>
      <c r="E349" s="100" t="s">
        <v>621</v>
      </c>
      <c r="F349" s="110" t="s">
        <v>400</v>
      </c>
      <c r="G349" s="95">
        <v>15</v>
      </c>
      <c r="H349" s="95"/>
      <c r="I349" s="96">
        <f t="shared" si="34"/>
        <v>0</v>
      </c>
      <c r="J349" s="96">
        <f t="shared" si="35"/>
        <v>0</v>
      </c>
      <c r="L349" s="98"/>
    </row>
    <row r="350" spans="1:12" s="101" customFormat="1" outlineLevel="1">
      <c r="A350" s="94"/>
      <c r="B350" s="93" t="s">
        <v>718</v>
      </c>
      <c r="C350" s="93">
        <v>72929</v>
      </c>
      <c r="D350" s="93" t="s">
        <v>371</v>
      </c>
      <c r="E350" s="100" t="s">
        <v>347</v>
      </c>
      <c r="F350" s="110" t="s">
        <v>400</v>
      </c>
      <c r="G350" s="95">
        <v>118</v>
      </c>
      <c r="H350" s="95"/>
      <c r="I350" s="96">
        <f t="shared" si="34"/>
        <v>0</v>
      </c>
      <c r="J350" s="96">
        <f t="shared" si="35"/>
        <v>0</v>
      </c>
      <c r="L350" s="98"/>
    </row>
    <row r="351" spans="1:12" s="101" customFormat="1" outlineLevel="1">
      <c r="A351" s="94"/>
      <c r="B351" s="93" t="s">
        <v>719</v>
      </c>
      <c r="C351" s="93">
        <v>72930</v>
      </c>
      <c r="D351" s="93" t="s">
        <v>371</v>
      </c>
      <c r="E351" s="100" t="s">
        <v>351</v>
      </c>
      <c r="F351" s="110" t="s">
        <v>400</v>
      </c>
      <c r="G351" s="95">
        <f>60+200</f>
        <v>260</v>
      </c>
      <c r="H351" s="95"/>
      <c r="I351" s="96">
        <f t="shared" si="34"/>
        <v>0</v>
      </c>
      <c r="J351" s="96">
        <f t="shared" si="35"/>
        <v>0</v>
      </c>
      <c r="L351" s="98"/>
    </row>
    <row r="352" spans="1:12" s="101" customFormat="1" ht="25.5" outlineLevel="1">
      <c r="A352" s="94"/>
      <c r="B352" s="93" t="s">
        <v>720</v>
      </c>
      <c r="C352" s="93" t="s">
        <v>352</v>
      </c>
      <c r="D352" s="93" t="s">
        <v>371</v>
      </c>
      <c r="E352" s="92" t="s">
        <v>150</v>
      </c>
      <c r="F352" s="94" t="s">
        <v>366</v>
      </c>
      <c r="G352" s="95">
        <v>9</v>
      </c>
      <c r="H352" s="95"/>
      <c r="I352" s="96">
        <f t="shared" si="34"/>
        <v>0</v>
      </c>
      <c r="J352" s="96">
        <f t="shared" si="35"/>
        <v>0</v>
      </c>
      <c r="L352" s="98"/>
    </row>
    <row r="353" spans="1:12" outlineLevel="1">
      <c r="A353" s="24"/>
      <c r="B353" s="93" t="s">
        <v>721</v>
      </c>
      <c r="C353" s="25">
        <v>72263</v>
      </c>
      <c r="D353" s="93" t="s">
        <v>371</v>
      </c>
      <c r="E353" s="23" t="s">
        <v>353</v>
      </c>
      <c r="F353" s="24" t="s">
        <v>366</v>
      </c>
      <c r="G353" s="26">
        <v>16</v>
      </c>
      <c r="H353" s="26"/>
      <c r="I353" s="96">
        <f t="shared" si="34"/>
        <v>0</v>
      </c>
      <c r="J353" s="96">
        <f t="shared" si="35"/>
        <v>0</v>
      </c>
      <c r="L353" s="60"/>
    </row>
    <row r="354" spans="1:12" ht="12.75" customHeight="1" outlineLevel="1">
      <c r="A354" s="24"/>
      <c r="B354" s="33" t="s">
        <v>147</v>
      </c>
      <c r="C354" s="33"/>
      <c r="D354" s="33"/>
      <c r="E354" s="34"/>
      <c r="F354" s="34"/>
      <c r="G354" s="35"/>
      <c r="H354" s="35"/>
      <c r="I354" s="34"/>
      <c r="J354" s="36">
        <f>SUM(J342:J353)</f>
        <v>0</v>
      </c>
      <c r="L354" s="60"/>
    </row>
    <row r="355" spans="1:12">
      <c r="A355" s="24"/>
      <c r="B355" s="107"/>
      <c r="C355" s="107"/>
      <c r="D355" s="107"/>
      <c r="E355" s="108"/>
      <c r="F355" s="108"/>
      <c r="G355" s="97"/>
      <c r="H355" s="97"/>
      <c r="I355" s="108"/>
      <c r="J355" s="111"/>
      <c r="L355" s="60"/>
    </row>
    <row r="356" spans="1:12">
      <c r="A356" s="24"/>
      <c r="B356" s="44" t="s">
        <v>723</v>
      </c>
      <c r="C356" s="44"/>
      <c r="D356" s="44"/>
      <c r="E356" s="45" t="s">
        <v>722</v>
      </c>
      <c r="F356" s="45"/>
      <c r="G356" s="46"/>
      <c r="H356" s="46"/>
      <c r="I356" s="45"/>
      <c r="J356" s="47">
        <f>J365</f>
        <v>0</v>
      </c>
      <c r="L356" s="60"/>
    </row>
    <row r="357" spans="1:12" s="101" customFormat="1" outlineLevel="1">
      <c r="A357" s="94"/>
      <c r="B357" s="93" t="s">
        <v>149</v>
      </c>
      <c r="C357" s="93" t="s">
        <v>11</v>
      </c>
      <c r="D357" s="93"/>
      <c r="E357" s="92" t="s">
        <v>622</v>
      </c>
      <c r="F357" s="94" t="s">
        <v>366</v>
      </c>
      <c r="G357" s="95">
        <v>2</v>
      </c>
      <c r="H357" s="26"/>
      <c r="I357" s="96">
        <f>H357*$J$8</f>
        <v>0</v>
      </c>
      <c r="J357" s="96">
        <f>G357*I357</f>
        <v>0</v>
      </c>
      <c r="L357" s="98"/>
    </row>
    <row r="358" spans="1:12" s="101" customFormat="1" outlineLevel="1">
      <c r="A358" s="94"/>
      <c r="B358" s="93" t="s">
        <v>725</v>
      </c>
      <c r="C358" s="93" t="s">
        <v>757</v>
      </c>
      <c r="D358" s="93" t="s">
        <v>371</v>
      </c>
      <c r="E358" s="92" t="s">
        <v>623</v>
      </c>
      <c r="F358" s="94" t="s">
        <v>400</v>
      </c>
      <c r="G358" s="95">
        <v>24</v>
      </c>
      <c r="H358" s="26"/>
      <c r="I358" s="96">
        <f t="shared" ref="I358:I364" si="36">H358*$J$8</f>
        <v>0</v>
      </c>
      <c r="J358" s="96">
        <f t="shared" ref="J358:J364" si="37">G358*I358</f>
        <v>0</v>
      </c>
      <c r="L358" s="98"/>
    </row>
    <row r="359" spans="1:12" s="101" customFormat="1" outlineLevel="1">
      <c r="A359" s="94"/>
      <c r="B359" s="93" t="s">
        <v>726</v>
      </c>
      <c r="C359" s="93" t="s">
        <v>11</v>
      </c>
      <c r="D359" s="93" t="s">
        <v>758</v>
      </c>
      <c r="E359" s="92" t="s">
        <v>624</v>
      </c>
      <c r="F359" s="94" t="s">
        <v>400</v>
      </c>
      <c r="G359" s="95">
        <v>24</v>
      </c>
      <c r="H359" s="26"/>
      <c r="I359" s="96">
        <f t="shared" si="36"/>
        <v>0</v>
      </c>
      <c r="J359" s="96">
        <f t="shared" si="37"/>
        <v>0</v>
      </c>
      <c r="L359" s="98"/>
    </row>
    <row r="360" spans="1:12" s="101" customFormat="1" outlineLevel="1">
      <c r="A360" s="94"/>
      <c r="B360" s="93" t="s">
        <v>727</v>
      </c>
      <c r="C360" s="93" t="s">
        <v>11</v>
      </c>
      <c r="D360" s="93" t="s">
        <v>758</v>
      </c>
      <c r="E360" s="92" t="s">
        <v>625</v>
      </c>
      <c r="F360" s="94" t="s">
        <v>366</v>
      </c>
      <c r="G360" s="95">
        <v>4</v>
      </c>
      <c r="H360" s="26"/>
      <c r="I360" s="96">
        <f t="shared" si="36"/>
        <v>0</v>
      </c>
      <c r="J360" s="96">
        <f t="shared" si="37"/>
        <v>0</v>
      </c>
      <c r="L360" s="98"/>
    </row>
    <row r="361" spans="1:12" s="101" customFormat="1" outlineLevel="1">
      <c r="A361" s="94"/>
      <c r="B361" s="93" t="s">
        <v>728</v>
      </c>
      <c r="C361" s="93" t="s">
        <v>11</v>
      </c>
      <c r="D361" s="93" t="s">
        <v>758</v>
      </c>
      <c r="E361" s="92" t="s">
        <v>626</v>
      </c>
      <c r="F361" s="94" t="s">
        <v>366</v>
      </c>
      <c r="G361" s="95">
        <v>1</v>
      </c>
      <c r="H361" s="26"/>
      <c r="I361" s="96">
        <f t="shared" si="36"/>
        <v>0</v>
      </c>
      <c r="J361" s="96">
        <f t="shared" si="37"/>
        <v>0</v>
      </c>
      <c r="L361" s="98"/>
    </row>
    <row r="362" spans="1:12" s="101" customFormat="1" outlineLevel="1">
      <c r="A362" s="94"/>
      <c r="B362" s="93" t="s">
        <v>729</v>
      </c>
      <c r="C362" s="93" t="s">
        <v>11</v>
      </c>
      <c r="D362" s="93" t="s">
        <v>758</v>
      </c>
      <c r="E362" s="92" t="s">
        <v>627</v>
      </c>
      <c r="F362" s="94" t="s">
        <v>366</v>
      </c>
      <c r="G362" s="95">
        <v>2</v>
      </c>
      <c r="H362" s="26"/>
      <c r="I362" s="96">
        <f t="shared" si="36"/>
        <v>0</v>
      </c>
      <c r="J362" s="96">
        <f t="shared" si="37"/>
        <v>0</v>
      </c>
      <c r="L362" s="98"/>
    </row>
    <row r="363" spans="1:12" s="101" customFormat="1" outlineLevel="1">
      <c r="A363" s="94"/>
      <c r="B363" s="93" t="s">
        <v>730</v>
      </c>
      <c r="C363" s="93" t="s">
        <v>11</v>
      </c>
      <c r="D363" s="93" t="s">
        <v>758</v>
      </c>
      <c r="E363" s="92" t="s">
        <v>628</v>
      </c>
      <c r="F363" s="94" t="s">
        <v>366</v>
      </c>
      <c r="G363" s="95">
        <v>2</v>
      </c>
      <c r="H363" s="26"/>
      <c r="I363" s="96">
        <f t="shared" si="36"/>
        <v>0</v>
      </c>
      <c r="J363" s="96">
        <f t="shared" si="37"/>
        <v>0</v>
      </c>
      <c r="L363" s="98"/>
    </row>
    <row r="364" spans="1:12" s="101" customFormat="1" outlineLevel="1">
      <c r="A364" s="94"/>
      <c r="B364" s="93" t="s">
        <v>731</v>
      </c>
      <c r="C364" s="93" t="s">
        <v>11</v>
      </c>
      <c r="D364" s="93" t="s">
        <v>758</v>
      </c>
      <c r="E364" s="92" t="s">
        <v>629</v>
      </c>
      <c r="F364" s="94" t="s">
        <v>366</v>
      </c>
      <c r="G364" s="95">
        <v>1</v>
      </c>
      <c r="H364" s="26"/>
      <c r="I364" s="96">
        <f t="shared" si="36"/>
        <v>0</v>
      </c>
      <c r="J364" s="96">
        <f t="shared" si="37"/>
        <v>0</v>
      </c>
      <c r="L364" s="98"/>
    </row>
    <row r="365" spans="1:12" ht="12.75" customHeight="1" outlineLevel="1">
      <c r="A365" s="24"/>
      <c r="B365" s="33" t="s">
        <v>151</v>
      </c>
      <c r="C365" s="33"/>
      <c r="D365" s="33"/>
      <c r="E365" s="34"/>
      <c r="F365" s="34"/>
      <c r="G365" s="35"/>
      <c r="H365" s="35"/>
      <c r="I365" s="34"/>
      <c r="J365" s="36">
        <f>SUM(J357:J364)</f>
        <v>0</v>
      </c>
      <c r="L365" s="60"/>
    </row>
    <row r="366" spans="1:12">
      <c r="A366" s="24"/>
      <c r="B366" s="93"/>
      <c r="C366" s="93"/>
      <c r="D366" s="93"/>
      <c r="E366" s="92"/>
      <c r="F366" s="93"/>
      <c r="G366" s="93"/>
      <c r="H366" s="93"/>
      <c r="I366" s="92"/>
      <c r="J366" s="93"/>
      <c r="L366" s="60"/>
    </row>
    <row r="367" spans="1:12">
      <c r="A367" s="24"/>
      <c r="B367" s="44">
        <v>21</v>
      </c>
      <c r="C367" s="44"/>
      <c r="D367" s="44"/>
      <c r="E367" s="45" t="s">
        <v>724</v>
      </c>
      <c r="F367" s="45"/>
      <c r="G367" s="46"/>
      <c r="H367" s="46"/>
      <c r="I367" s="45"/>
      <c r="J367" s="47">
        <f>J376</f>
        <v>0</v>
      </c>
      <c r="L367" s="60"/>
    </row>
    <row r="368" spans="1:12" s="101" customFormat="1" outlineLevel="1">
      <c r="A368" s="94"/>
      <c r="B368" s="93" t="s">
        <v>153</v>
      </c>
      <c r="C368" s="93" t="s">
        <v>741</v>
      </c>
      <c r="D368" s="93" t="s">
        <v>371</v>
      </c>
      <c r="E368" s="92" t="s">
        <v>630</v>
      </c>
      <c r="F368" s="94" t="s">
        <v>366</v>
      </c>
      <c r="G368" s="95">
        <v>4</v>
      </c>
      <c r="H368" s="26"/>
      <c r="I368" s="96">
        <f>H368*$J$8</f>
        <v>0</v>
      </c>
      <c r="J368" s="96">
        <f>G368*I368</f>
        <v>0</v>
      </c>
      <c r="L368" s="98"/>
    </row>
    <row r="369" spans="1:12" s="101" customFormat="1" outlineLevel="1">
      <c r="A369" s="94"/>
      <c r="B369" s="93" t="s">
        <v>732</v>
      </c>
      <c r="C369" s="93">
        <v>72554</v>
      </c>
      <c r="D369" s="93" t="s">
        <v>371</v>
      </c>
      <c r="E369" s="92" t="s">
        <v>631</v>
      </c>
      <c r="F369" s="94" t="s">
        <v>366</v>
      </c>
      <c r="G369" s="26">
        <v>1</v>
      </c>
      <c r="H369" s="26"/>
      <c r="I369" s="96">
        <f t="shared" ref="I369:I375" si="38">H369*$J$8</f>
        <v>0</v>
      </c>
      <c r="J369" s="96">
        <f t="shared" ref="J369:J375" si="39">G369*I369</f>
        <v>0</v>
      </c>
      <c r="L369" s="98"/>
    </row>
    <row r="370" spans="1:12" s="101" customFormat="1" outlineLevel="1">
      <c r="A370" s="94"/>
      <c r="B370" s="93" t="s">
        <v>733</v>
      </c>
      <c r="C370" s="113" t="s">
        <v>11</v>
      </c>
      <c r="D370" s="113" t="s">
        <v>12</v>
      </c>
      <c r="E370" s="92" t="s">
        <v>632</v>
      </c>
      <c r="F370" s="94" t="s">
        <v>366</v>
      </c>
      <c r="G370" s="26">
        <v>9</v>
      </c>
      <c r="H370" s="26"/>
      <c r="I370" s="96">
        <f t="shared" si="38"/>
        <v>0</v>
      </c>
      <c r="J370" s="96">
        <f t="shared" si="39"/>
        <v>0</v>
      </c>
      <c r="L370" s="98"/>
    </row>
    <row r="371" spans="1:12" s="101" customFormat="1" outlineLevel="1">
      <c r="A371" s="94"/>
      <c r="B371" s="93" t="s">
        <v>734</v>
      </c>
      <c r="C371" s="113" t="s">
        <v>11</v>
      </c>
      <c r="D371" s="113"/>
      <c r="E371" s="92" t="s">
        <v>633</v>
      </c>
      <c r="F371" s="94" t="s">
        <v>366</v>
      </c>
      <c r="G371" s="26">
        <v>3</v>
      </c>
      <c r="H371" s="26"/>
      <c r="I371" s="96">
        <f t="shared" si="38"/>
        <v>0</v>
      </c>
      <c r="J371" s="96">
        <f t="shared" si="39"/>
        <v>0</v>
      </c>
      <c r="L371" s="98"/>
    </row>
    <row r="372" spans="1:12" s="101" customFormat="1" outlineLevel="1">
      <c r="A372" s="94"/>
      <c r="B372" s="93" t="s">
        <v>735</v>
      </c>
      <c r="C372" s="113" t="s">
        <v>11</v>
      </c>
      <c r="D372" s="113"/>
      <c r="E372" s="92" t="s">
        <v>634</v>
      </c>
      <c r="F372" s="94" t="s">
        <v>366</v>
      </c>
      <c r="G372" s="26">
        <v>2</v>
      </c>
      <c r="H372" s="26"/>
      <c r="I372" s="96">
        <f t="shared" si="38"/>
        <v>0</v>
      </c>
      <c r="J372" s="96">
        <f t="shared" si="39"/>
        <v>0</v>
      </c>
      <c r="L372" s="98"/>
    </row>
    <row r="373" spans="1:12" s="101" customFormat="1" outlineLevel="1">
      <c r="A373" s="94"/>
      <c r="B373" s="93" t="s">
        <v>736</v>
      </c>
      <c r="C373" s="113" t="s">
        <v>11</v>
      </c>
      <c r="D373" s="113"/>
      <c r="E373" s="92" t="s">
        <v>635</v>
      </c>
      <c r="F373" s="94" t="s">
        <v>366</v>
      </c>
      <c r="G373" s="26">
        <v>3</v>
      </c>
      <c r="H373" s="26"/>
      <c r="I373" s="96">
        <f t="shared" si="38"/>
        <v>0</v>
      </c>
      <c r="J373" s="96">
        <f t="shared" si="39"/>
        <v>0</v>
      </c>
      <c r="L373" s="98"/>
    </row>
    <row r="374" spans="1:12" s="101" customFormat="1" outlineLevel="1">
      <c r="A374" s="94"/>
      <c r="B374" s="93" t="s">
        <v>737</v>
      </c>
      <c r="C374" s="113" t="s">
        <v>11</v>
      </c>
      <c r="D374" s="113"/>
      <c r="E374" s="92" t="s">
        <v>636</v>
      </c>
      <c r="F374" s="94" t="s">
        <v>366</v>
      </c>
      <c r="G374" s="95">
        <v>1</v>
      </c>
      <c r="H374" s="26"/>
      <c r="I374" s="96">
        <f t="shared" si="38"/>
        <v>0</v>
      </c>
      <c r="J374" s="96">
        <f t="shared" si="39"/>
        <v>0</v>
      </c>
      <c r="L374" s="98"/>
    </row>
    <row r="375" spans="1:12" s="101" customFormat="1" outlineLevel="1">
      <c r="A375" s="94"/>
      <c r="B375" s="93" t="s">
        <v>738</v>
      </c>
      <c r="C375" s="113" t="s">
        <v>11</v>
      </c>
      <c r="D375" s="113"/>
      <c r="E375" s="92" t="s">
        <v>637</v>
      </c>
      <c r="F375" s="94" t="s">
        <v>366</v>
      </c>
      <c r="G375" s="95">
        <v>5</v>
      </c>
      <c r="H375" s="26"/>
      <c r="I375" s="96">
        <f t="shared" si="38"/>
        <v>0</v>
      </c>
      <c r="J375" s="96">
        <f t="shared" si="39"/>
        <v>0</v>
      </c>
      <c r="L375" s="98"/>
    </row>
    <row r="376" spans="1:12" ht="12" customHeight="1">
      <c r="A376" s="24"/>
      <c r="B376" s="33" t="s">
        <v>154</v>
      </c>
      <c r="C376" s="93"/>
      <c r="D376" s="93"/>
      <c r="E376" s="34"/>
      <c r="F376" s="55"/>
      <c r="G376" s="56"/>
      <c r="H376" s="26"/>
      <c r="I376" s="55"/>
      <c r="J376" s="36">
        <f>SUM(J368:J375)</f>
        <v>0</v>
      </c>
      <c r="L376" s="60"/>
    </row>
    <row r="377" spans="1:12" ht="12" customHeight="1">
      <c r="A377" s="24"/>
      <c r="B377" s="33"/>
      <c r="C377" s="25"/>
      <c r="D377" s="25"/>
      <c r="E377" s="34"/>
      <c r="F377" s="55"/>
      <c r="G377" s="56"/>
      <c r="H377" s="56"/>
      <c r="I377" s="55"/>
      <c r="J377" s="36"/>
      <c r="L377" s="60"/>
    </row>
    <row r="378" spans="1:12">
      <c r="A378" s="24"/>
      <c r="B378" s="44">
        <v>22</v>
      </c>
      <c r="C378" s="44"/>
      <c r="D378" s="44"/>
      <c r="E378" s="45" t="s">
        <v>759</v>
      </c>
      <c r="F378" s="45"/>
      <c r="G378" s="46"/>
      <c r="H378" s="46"/>
      <c r="I378" s="45"/>
      <c r="J378" s="47">
        <f>J395</f>
        <v>0</v>
      </c>
      <c r="L378" s="60"/>
    </row>
    <row r="379" spans="1:12" outlineLevel="1">
      <c r="A379" s="24"/>
      <c r="B379" s="33" t="s">
        <v>768</v>
      </c>
      <c r="C379" s="28"/>
      <c r="D379" s="28"/>
      <c r="E379" s="42" t="s">
        <v>764</v>
      </c>
      <c r="F379" s="30"/>
      <c r="G379" s="85"/>
      <c r="H379" s="26"/>
      <c r="I379" s="29"/>
      <c r="J379" s="29"/>
      <c r="L379" s="60"/>
    </row>
    <row r="380" spans="1:12" ht="25.5" outlineLevel="1">
      <c r="A380" s="24"/>
      <c r="B380" s="28" t="s">
        <v>780</v>
      </c>
      <c r="C380" s="28" t="s">
        <v>453</v>
      </c>
      <c r="D380" s="28" t="s">
        <v>371</v>
      </c>
      <c r="E380" s="31" t="s">
        <v>763</v>
      </c>
      <c r="F380" s="30" t="s">
        <v>372</v>
      </c>
      <c r="G380" s="85">
        <f>253</f>
        <v>253</v>
      </c>
      <c r="H380" s="26"/>
      <c r="I380" s="29">
        <f>H380*$J$8</f>
        <v>0</v>
      </c>
      <c r="J380" s="29">
        <f>G380*I380</f>
        <v>0</v>
      </c>
      <c r="L380" s="60"/>
    </row>
    <row r="381" spans="1:12" ht="25.5" outlineLevel="1">
      <c r="A381" s="24"/>
      <c r="B381" s="28" t="s">
        <v>781</v>
      </c>
      <c r="C381" s="28">
        <v>5974</v>
      </c>
      <c r="D381" s="28" t="s">
        <v>371</v>
      </c>
      <c r="E381" s="31" t="s">
        <v>554</v>
      </c>
      <c r="F381" s="30" t="s">
        <v>372</v>
      </c>
      <c r="G381" s="85">
        <f>506</f>
        <v>506</v>
      </c>
      <c r="H381" s="26"/>
      <c r="I381" s="29">
        <f>H381*$J$8</f>
        <v>0</v>
      </c>
      <c r="J381" s="29">
        <f>G381*I381</f>
        <v>0</v>
      </c>
      <c r="L381" s="60"/>
    </row>
    <row r="382" spans="1:12" ht="25.5" outlineLevel="1">
      <c r="A382" s="24"/>
      <c r="B382" s="28" t="s">
        <v>782</v>
      </c>
      <c r="C382" s="28" t="s">
        <v>492</v>
      </c>
      <c r="D382" s="28" t="s">
        <v>371</v>
      </c>
      <c r="E382" s="31" t="s">
        <v>493</v>
      </c>
      <c r="F382" s="30" t="s">
        <v>372</v>
      </c>
      <c r="G382" s="85">
        <f>G381</f>
        <v>506</v>
      </c>
      <c r="H382" s="26"/>
      <c r="I382" s="29">
        <f>H382*$J$8</f>
        <v>0</v>
      </c>
      <c r="J382" s="29">
        <f>G382*I382</f>
        <v>0</v>
      </c>
      <c r="L382" s="60"/>
    </row>
    <row r="383" spans="1:12" outlineLevel="1">
      <c r="A383" s="24"/>
      <c r="B383" s="28" t="s">
        <v>783</v>
      </c>
      <c r="C383" s="28" t="s">
        <v>20</v>
      </c>
      <c r="D383" s="28" t="s">
        <v>371</v>
      </c>
      <c r="E383" s="31" t="s">
        <v>553</v>
      </c>
      <c r="F383" s="30" t="s">
        <v>372</v>
      </c>
      <c r="G383" s="85">
        <f>506</f>
        <v>506</v>
      </c>
      <c r="H383" s="26"/>
      <c r="I383" s="29">
        <f>H383*$J$8</f>
        <v>0</v>
      </c>
      <c r="J383" s="29">
        <f>G383*I383</f>
        <v>0</v>
      </c>
      <c r="L383" s="60"/>
    </row>
    <row r="384" spans="1:12" outlineLevel="1">
      <c r="A384" s="24"/>
      <c r="B384" s="33" t="s">
        <v>769</v>
      </c>
      <c r="C384" s="28"/>
      <c r="D384" s="28"/>
      <c r="E384" s="42" t="s">
        <v>766</v>
      </c>
      <c r="F384" s="30"/>
      <c r="G384" s="85"/>
      <c r="H384" s="26"/>
      <c r="I384" s="29"/>
      <c r="J384" s="29"/>
      <c r="L384" s="60"/>
    </row>
    <row r="385" spans="1:12" outlineLevel="1">
      <c r="A385" s="24"/>
      <c r="B385" s="28" t="s">
        <v>776</v>
      </c>
      <c r="C385" s="28" t="s">
        <v>686</v>
      </c>
      <c r="D385" s="28" t="s">
        <v>371</v>
      </c>
      <c r="E385" s="31" t="s">
        <v>504</v>
      </c>
      <c r="F385" s="30" t="s">
        <v>372</v>
      </c>
      <c r="G385" s="85">
        <f>+G387</f>
        <v>125.48</v>
      </c>
      <c r="H385" s="26"/>
      <c r="I385" s="29">
        <f>H385*$J$8</f>
        <v>0</v>
      </c>
      <c r="J385" s="29">
        <f>G385*I385</f>
        <v>0</v>
      </c>
      <c r="L385" s="60"/>
    </row>
    <row r="386" spans="1:12" outlineLevel="1">
      <c r="A386" s="24"/>
      <c r="B386" s="28" t="s">
        <v>777</v>
      </c>
      <c r="C386" s="28" t="s">
        <v>506</v>
      </c>
      <c r="D386" s="28" t="s">
        <v>371</v>
      </c>
      <c r="E386" s="31" t="s">
        <v>164</v>
      </c>
      <c r="F386" s="30" t="s">
        <v>372</v>
      </c>
      <c r="G386" s="85">
        <f>G385</f>
        <v>125.48</v>
      </c>
      <c r="H386" s="26"/>
      <c r="I386" s="29">
        <f>H386*$J$8</f>
        <v>0</v>
      </c>
      <c r="J386" s="29">
        <f>G386*I386</f>
        <v>0</v>
      </c>
      <c r="L386" s="60"/>
    </row>
    <row r="387" spans="1:12" outlineLevel="1">
      <c r="A387" s="24"/>
      <c r="B387" s="28" t="s">
        <v>778</v>
      </c>
      <c r="C387" s="28">
        <v>4295</v>
      </c>
      <c r="D387" s="28" t="s">
        <v>448</v>
      </c>
      <c r="E387" s="31" t="s">
        <v>516</v>
      </c>
      <c r="F387" s="30" t="s">
        <v>372</v>
      </c>
      <c r="G387" s="85">
        <v>125.48</v>
      </c>
      <c r="H387" s="26"/>
      <c r="I387" s="29">
        <f>H387*$J$8</f>
        <v>0</v>
      </c>
      <c r="J387" s="29">
        <f>G387*I387</f>
        <v>0</v>
      </c>
      <c r="L387" s="60"/>
    </row>
    <row r="388" spans="1:12" ht="25.5" outlineLevel="1">
      <c r="A388" s="24"/>
      <c r="B388" s="28" t="s">
        <v>779</v>
      </c>
      <c r="C388" s="28" t="s">
        <v>688</v>
      </c>
      <c r="D388" s="28" t="s">
        <v>371</v>
      </c>
      <c r="E388" s="31" t="s">
        <v>687</v>
      </c>
      <c r="F388" s="30" t="s">
        <v>372</v>
      </c>
      <c r="G388" s="85">
        <f>43.24+3.5</f>
        <v>46.74</v>
      </c>
      <c r="H388" s="26"/>
      <c r="I388" s="29">
        <f>H388*$J$8</f>
        <v>0</v>
      </c>
      <c r="J388" s="29">
        <f>G388*I388</f>
        <v>0</v>
      </c>
      <c r="L388" s="60"/>
    </row>
    <row r="389" spans="1:12" outlineLevel="1">
      <c r="A389" s="24"/>
      <c r="B389" s="33" t="s">
        <v>770</v>
      </c>
      <c r="C389" s="28"/>
      <c r="D389" s="28"/>
      <c r="E389" s="42" t="s">
        <v>767</v>
      </c>
      <c r="F389" s="30"/>
      <c r="G389" s="85"/>
      <c r="H389" s="26"/>
      <c r="I389" s="29"/>
      <c r="J389" s="29"/>
      <c r="L389" s="60"/>
    </row>
    <row r="390" spans="1:12" ht="25.5" outlineLevel="1">
      <c r="A390" s="24"/>
      <c r="B390" s="28" t="s">
        <v>771</v>
      </c>
      <c r="C390" s="28">
        <v>9072</v>
      </c>
      <c r="D390" s="28" t="s">
        <v>448</v>
      </c>
      <c r="E390" s="31" t="s">
        <v>544</v>
      </c>
      <c r="F390" s="30" t="s">
        <v>372</v>
      </c>
      <c r="G390" s="85">
        <v>2.58</v>
      </c>
      <c r="H390" s="26"/>
      <c r="I390" s="29">
        <f>H390*$J$8</f>
        <v>0</v>
      </c>
      <c r="J390" s="29">
        <f>G390*I390</f>
        <v>0</v>
      </c>
      <c r="L390" s="60"/>
    </row>
    <row r="391" spans="1:12" ht="25.5" outlineLevel="1">
      <c r="A391" s="24"/>
      <c r="B391" s="28" t="s">
        <v>772</v>
      </c>
      <c r="C391" s="28">
        <v>9072</v>
      </c>
      <c r="D391" s="28" t="s">
        <v>448</v>
      </c>
      <c r="E391" s="31" t="s">
        <v>545</v>
      </c>
      <c r="F391" s="30" t="s">
        <v>372</v>
      </c>
      <c r="G391" s="85">
        <v>2.1</v>
      </c>
      <c r="H391" s="26"/>
      <c r="I391" s="29">
        <f>H391*$J$8</f>
        <v>0</v>
      </c>
      <c r="J391" s="29">
        <f>G391*I391</f>
        <v>0</v>
      </c>
      <c r="L391" s="60"/>
    </row>
    <row r="392" spans="1:12" ht="25.5" outlineLevel="1">
      <c r="A392" s="24"/>
      <c r="B392" s="28" t="s">
        <v>773</v>
      </c>
      <c r="C392" s="28">
        <v>8901</v>
      </c>
      <c r="D392" s="28" t="s">
        <v>448</v>
      </c>
      <c r="E392" s="31" t="s">
        <v>546</v>
      </c>
      <c r="F392" s="30" t="s">
        <v>372</v>
      </c>
      <c r="G392" s="85">
        <v>6.88</v>
      </c>
      <c r="H392" s="26"/>
      <c r="I392" s="29">
        <f>H392*$J$8</f>
        <v>0</v>
      </c>
      <c r="J392" s="29">
        <f>G392*I392</f>
        <v>0</v>
      </c>
      <c r="L392" s="60"/>
    </row>
    <row r="393" spans="1:12" ht="25.5" outlineLevel="1">
      <c r="A393" s="24"/>
      <c r="B393" s="28" t="s">
        <v>774</v>
      </c>
      <c r="C393" s="28" t="s">
        <v>517</v>
      </c>
      <c r="D393" s="28" t="s">
        <v>371</v>
      </c>
      <c r="E393" s="31" t="s">
        <v>547</v>
      </c>
      <c r="F393" s="30" t="s">
        <v>372</v>
      </c>
      <c r="G393" s="85">
        <v>53.74</v>
      </c>
      <c r="H393" s="26"/>
      <c r="I393" s="29">
        <f>H393*$J$8</f>
        <v>0</v>
      </c>
      <c r="J393" s="29">
        <f>G393*I393</f>
        <v>0</v>
      </c>
      <c r="L393" s="60"/>
    </row>
    <row r="394" spans="1:12" outlineLevel="1">
      <c r="A394" s="24"/>
      <c r="B394" s="28" t="s">
        <v>775</v>
      </c>
      <c r="C394" s="28" t="s">
        <v>25</v>
      </c>
      <c r="D394" s="28" t="s">
        <v>371</v>
      </c>
      <c r="E394" s="31" t="s">
        <v>26</v>
      </c>
      <c r="F394" s="30" t="s">
        <v>372</v>
      </c>
      <c r="G394" s="85">
        <v>182.12</v>
      </c>
      <c r="H394" s="26"/>
      <c r="I394" s="29">
        <f>H394*$J$8</f>
        <v>0</v>
      </c>
      <c r="J394" s="29">
        <f>G394*I394</f>
        <v>0</v>
      </c>
      <c r="L394" s="60"/>
    </row>
    <row r="395" spans="1:12" ht="12" customHeight="1">
      <c r="A395" s="24"/>
      <c r="B395" s="33" t="s">
        <v>739</v>
      </c>
      <c r="C395" s="93"/>
      <c r="D395" s="93"/>
      <c r="E395" s="34"/>
      <c r="F395" s="55"/>
      <c r="G395" s="56"/>
      <c r="H395" s="26"/>
      <c r="I395" s="55"/>
      <c r="J395" s="36">
        <f>SUM(J379:J394)</f>
        <v>0</v>
      </c>
      <c r="L395" s="60"/>
    </row>
    <row r="396" spans="1:12">
      <c r="A396" s="24"/>
      <c r="B396" s="44">
        <v>23</v>
      </c>
      <c r="C396" s="44"/>
      <c r="D396" s="44"/>
      <c r="E396" s="45" t="s">
        <v>152</v>
      </c>
      <c r="F396" s="45"/>
      <c r="G396" s="46"/>
      <c r="H396" s="46"/>
      <c r="I396" s="45"/>
      <c r="J396" s="47">
        <f>J398</f>
        <v>0</v>
      </c>
      <c r="L396" s="60"/>
    </row>
    <row r="397" spans="1:12" ht="25.5" outlineLevel="1">
      <c r="A397" s="24"/>
      <c r="B397" s="28" t="s">
        <v>762</v>
      </c>
      <c r="C397" s="113" t="s">
        <v>11</v>
      </c>
      <c r="D397" s="113" t="s">
        <v>12</v>
      </c>
      <c r="E397" s="31" t="s">
        <v>354</v>
      </c>
      <c r="F397" s="24" t="s">
        <v>366</v>
      </c>
      <c r="G397" s="119">
        <v>3</v>
      </c>
      <c r="H397" s="26"/>
      <c r="I397" s="29">
        <f>H397*$J$8</f>
        <v>0</v>
      </c>
      <c r="J397" s="29">
        <f>G397*I397</f>
        <v>0</v>
      </c>
      <c r="L397" s="60"/>
    </row>
    <row r="398" spans="1:12" ht="12.75" customHeight="1" outlineLevel="1">
      <c r="A398" s="24"/>
      <c r="B398" s="33" t="s">
        <v>740</v>
      </c>
      <c r="C398" s="33"/>
      <c r="D398" s="33"/>
      <c r="E398" s="34"/>
      <c r="F398" s="34"/>
      <c r="G398" s="35"/>
      <c r="H398" s="35"/>
      <c r="I398" s="34"/>
      <c r="J398" s="36">
        <f>SUM(J397:J397)</f>
        <v>0</v>
      </c>
      <c r="L398" s="60"/>
    </row>
    <row r="399" spans="1:12">
      <c r="A399" s="24"/>
      <c r="B399" s="28"/>
      <c r="C399" s="28"/>
      <c r="D399" s="28"/>
      <c r="E399" s="31"/>
      <c r="F399" s="30"/>
      <c r="G399" s="85"/>
      <c r="H399" s="54"/>
      <c r="I399" s="58"/>
      <c r="J399" s="58"/>
      <c r="L399" s="60"/>
    </row>
    <row r="400" spans="1:12">
      <c r="A400" s="24"/>
      <c r="B400" s="44">
        <v>24</v>
      </c>
      <c r="C400" s="44"/>
      <c r="D400" s="44"/>
      <c r="E400" s="45" t="s">
        <v>155</v>
      </c>
      <c r="F400" s="45"/>
      <c r="G400" s="46"/>
      <c r="H400" s="46"/>
      <c r="I400" s="45"/>
      <c r="J400" s="47">
        <f>J402</f>
        <v>0</v>
      </c>
      <c r="L400" s="60"/>
    </row>
    <row r="401" spans="1:13" outlineLevel="1">
      <c r="A401" s="24"/>
      <c r="B401" s="28" t="s">
        <v>760</v>
      </c>
      <c r="C401" s="28">
        <v>9537</v>
      </c>
      <c r="D401" s="28" t="s">
        <v>371</v>
      </c>
      <c r="E401" s="59" t="s">
        <v>156</v>
      </c>
      <c r="F401" s="30" t="s">
        <v>372</v>
      </c>
      <c r="G401" s="85">
        <f>G129+G131</f>
        <v>816.98</v>
      </c>
      <c r="H401" s="26"/>
      <c r="I401" s="29">
        <f>H401*$J$8</f>
        <v>0</v>
      </c>
      <c r="J401" s="29">
        <f>G401*I401</f>
        <v>0</v>
      </c>
      <c r="L401" s="60"/>
    </row>
    <row r="402" spans="1:13" ht="12.75" customHeight="1" outlineLevel="1">
      <c r="A402" s="24"/>
      <c r="B402" s="33" t="s">
        <v>761</v>
      </c>
      <c r="C402" s="33"/>
      <c r="D402" s="33"/>
      <c r="E402" s="34"/>
      <c r="F402" s="34"/>
      <c r="G402" s="35"/>
      <c r="H402" s="35"/>
      <c r="I402" s="34"/>
      <c r="J402" s="36">
        <f>SUM(J401)</f>
        <v>0</v>
      </c>
      <c r="L402" s="60"/>
    </row>
    <row r="403" spans="1:13" ht="13.5" thickBot="1">
      <c r="A403" s="41"/>
      <c r="B403" s="68"/>
      <c r="C403" s="68"/>
      <c r="D403" s="68"/>
      <c r="E403" s="69"/>
      <c r="F403" s="41"/>
      <c r="G403" s="87"/>
      <c r="H403" s="70"/>
      <c r="I403" s="71"/>
      <c r="J403" s="71"/>
      <c r="L403" s="60"/>
    </row>
    <row r="404" spans="1:13" ht="13.5" thickBot="1">
      <c r="A404" s="72"/>
      <c r="B404" s="76" t="s">
        <v>355</v>
      </c>
      <c r="C404" s="73"/>
      <c r="D404" s="73"/>
      <c r="E404" s="74"/>
      <c r="F404" s="74"/>
      <c r="G404" s="75"/>
      <c r="H404" s="75"/>
      <c r="I404" s="74"/>
      <c r="J404" s="47">
        <f>J23+J30+J44+J64+J75+J105+J111+J116+J126+J139+J148+J156+J238+J282+J303+J332+J338+J354+J365+J376+J395+J398+J402</f>
        <v>0</v>
      </c>
      <c r="L404" s="60"/>
    </row>
    <row r="405" spans="1:13" collapsed="1">
      <c r="D405" s="65"/>
      <c r="E405" s="66"/>
      <c r="F405" s="12"/>
      <c r="G405" s="88"/>
      <c r="H405" s="67"/>
    </row>
    <row r="406" spans="1:13" ht="13.5" thickBot="1">
      <c r="D406" s="65"/>
      <c r="E406" s="66"/>
      <c r="F406" s="12"/>
      <c r="G406" s="88"/>
      <c r="H406" s="67"/>
      <c r="I406" s="61"/>
    </row>
    <row r="407" spans="1:13" s="17" customFormat="1" ht="13.5" thickBot="1">
      <c r="A407" s="14"/>
      <c r="B407" s="15"/>
      <c r="C407" s="15"/>
      <c r="D407" s="65"/>
      <c r="E407" s="66"/>
      <c r="F407" s="12"/>
      <c r="G407" s="88"/>
      <c r="H407" s="135" t="s">
        <v>518</v>
      </c>
      <c r="I407" s="135"/>
      <c r="J407" s="77">
        <f>J404/565</f>
        <v>0</v>
      </c>
      <c r="K407" s="1"/>
      <c r="L407" s="1"/>
      <c r="M407" s="1"/>
    </row>
    <row r="408" spans="1:13" s="17" customFormat="1">
      <c r="A408" s="14"/>
      <c r="B408" s="15"/>
      <c r="C408" s="15"/>
      <c r="D408" s="65"/>
      <c r="E408" s="66"/>
      <c r="F408" s="12"/>
      <c r="G408" s="88"/>
      <c r="H408" s="67"/>
      <c r="I408" s="13"/>
      <c r="K408" s="1"/>
      <c r="L408" s="1"/>
      <c r="M408" s="1"/>
    </row>
    <row r="409" spans="1:13">
      <c r="D409" s="65"/>
      <c r="E409" s="66"/>
      <c r="F409" s="12"/>
      <c r="G409" s="88"/>
      <c r="H409" s="121" t="s">
        <v>799</v>
      </c>
      <c r="I409" s="122"/>
      <c r="J409" s="124">
        <v>1105094.8659135425</v>
      </c>
    </row>
    <row r="410" spans="1:13">
      <c r="D410" s="65"/>
      <c r="E410" s="66"/>
      <c r="F410" s="12"/>
      <c r="G410" s="88"/>
      <c r="H410" s="121"/>
      <c r="I410" s="122"/>
      <c r="J410" s="124"/>
    </row>
    <row r="411" spans="1:13">
      <c r="H411" s="124"/>
      <c r="I411" s="121"/>
      <c r="J411" s="121"/>
    </row>
    <row r="412" spans="1:13">
      <c r="H412" s="124"/>
      <c r="I412" s="123"/>
      <c r="J412" s="124"/>
    </row>
    <row r="413" spans="1:13">
      <c r="J413" s="60"/>
    </row>
  </sheetData>
  <mergeCells count="4">
    <mergeCell ref="A1:J3"/>
    <mergeCell ref="A10:J10"/>
    <mergeCell ref="H407:I407"/>
    <mergeCell ref="G7:H7"/>
  </mergeCells>
  <phoneticPr fontId="6" type="noConversion"/>
  <conditionalFormatting sqref="G397 H365:I365 H354:I354 G357:G365 G282:I282 G341:G354 G338:I338 G332:I332 G303:I304 H341:I341 G273:G282 G268:G271 G263:G265 G256:G260 H238 G230:G238 G224:G228 G216:G219 G221:G222 G211:G214 G202:G209 H184 G368:G377 I376:I377 H377 G395:I395 G178:G199 G160:G165 G167:G176 G94 G78:I78 G44:I44 G64:I64 G14:I14 G23:I23">
    <cfRule type="cellIs" dxfId="0" priority="5" stopIfTrue="1" operator="equal">
      <formula>0</formula>
    </cfRule>
  </conditionalFormatting>
  <printOptions horizontalCentered="1"/>
  <pageMargins left="0.27559055118110237" right="0.35433070866141736" top="1.1811023622047245" bottom="0.31496062992125984" header="0.35433070866141736" footer="0.19685039370078741"/>
  <pageSetup paperSize="9" scale="80" fitToHeight="15" orientation="landscape" r:id="rId1"/>
  <headerFooter alignWithMargins="0">
    <oddHeader xml:space="preserve">&amp;CMinistério da Educação
Fundo Nacional de Desenvolvimento da Educação
Coordenação Geral de Infra-Estrutura - CGEST
&amp;"Arial,Negrito"Planilha Orçamentária - Projeto Padrão Tipo C&amp;"Arial,Normal"
</oddHeader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 Geral  C </vt:lpstr>
      <vt:lpstr>'Plan Geral  C '!Area_de_impressao</vt:lpstr>
      <vt:lpstr>'Plan Geral  C '!Titulos_de_impressao</vt:lpstr>
    </vt:vector>
  </TitlesOfParts>
  <Company>Fnde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27421740104</dc:creator>
  <cp:lastModifiedBy>27421740104</cp:lastModifiedBy>
  <cp:lastPrinted>2013-01-25T00:35:26Z</cp:lastPrinted>
  <dcterms:created xsi:type="dcterms:W3CDTF">2012-10-15T18:57:41Z</dcterms:created>
  <dcterms:modified xsi:type="dcterms:W3CDTF">2013-01-30T18:14:48Z</dcterms:modified>
</cp:coreProperties>
</file>