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5" yWindow="8280" windowWidth="20940" windowHeight="802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21" i="2" l="1"/>
  <c r="D21" i="2"/>
  <c r="J19" i="2"/>
  <c r="J21" i="2" s="1"/>
  <c r="I19" i="2"/>
  <c r="I21" i="2" s="1"/>
  <c r="H19" i="2"/>
  <c r="G19" i="2"/>
  <c r="F19" i="2"/>
  <c r="F21" i="2" s="1"/>
  <c r="E19" i="2"/>
  <c r="E21" i="2" s="1"/>
  <c r="D19" i="2"/>
  <c r="C19" i="2"/>
  <c r="K18" i="2"/>
  <c r="K17" i="2"/>
  <c r="K16" i="2"/>
  <c r="K15" i="2"/>
  <c r="K14" i="2"/>
  <c r="K19" i="2" s="1"/>
  <c r="J11" i="2"/>
  <c r="I11" i="2"/>
  <c r="H11" i="2"/>
  <c r="G11" i="2"/>
  <c r="G21" i="2" s="1"/>
  <c r="F11" i="2"/>
  <c r="E11" i="2"/>
  <c r="D11" i="2"/>
  <c r="C11" i="2"/>
  <c r="C21" i="2" s="1"/>
  <c r="K10" i="2"/>
  <c r="K9" i="2"/>
  <c r="K8" i="2"/>
  <c r="K7" i="2"/>
  <c r="K11" i="2" s="1"/>
  <c r="K21" i="2" s="1"/>
  <c r="K6" i="2"/>
  <c r="K5" i="2"/>
</calcChain>
</file>

<file path=xl/sharedStrings.xml><?xml version="1.0" encoding="utf-8"?>
<sst xmlns="http://schemas.openxmlformats.org/spreadsheetml/2006/main" count="105" uniqueCount="65">
  <si>
    <t>Distributor Name</t>
  </si>
  <si>
    <t>Distributor Location</t>
  </si>
  <si>
    <t>US  FoodService – Tampa</t>
  </si>
  <si>
    <t>7004 East Hanna Ave., Tampa, FL  33610</t>
  </si>
  <si>
    <t>Gordon’s Food Service</t>
  </si>
  <si>
    <t>1410 Gordon Food Service Dr., Plant City, FL  33563</t>
  </si>
  <si>
    <t>Florida</t>
  </si>
  <si>
    <t>Michigan</t>
  </si>
  <si>
    <t>7770 Kensington Ct., Brighton, MI 48116</t>
  </si>
  <si>
    <t>41600 VanBorn Road, Canton, MI 48188</t>
  </si>
  <si>
    <t>3700 Sysco Court SE, Grand Rapides, MI 49512</t>
  </si>
  <si>
    <t>650 Ionia Ave. SW, Grand Rapids, MI 49501</t>
  </si>
  <si>
    <t>Apples</t>
  </si>
  <si>
    <t>Oranges</t>
  </si>
  <si>
    <t>Lettuce</t>
  </si>
  <si>
    <t>Blueberries</t>
  </si>
  <si>
    <t>Grapes</t>
  </si>
  <si>
    <t>Strawberries</t>
  </si>
  <si>
    <t>Carrots</t>
  </si>
  <si>
    <t>Broccoli</t>
  </si>
  <si>
    <t>Total</t>
  </si>
  <si>
    <t>4900 Clay Avenue SW, Grand Rapids, MI 49548</t>
  </si>
  <si>
    <t>Note:  GLC would the like following to be considered in the categories above:  Oranges - 138 count, Salad Mix, Spinach Leaf, Romaine Ribbons, Taco Lettuce.</t>
  </si>
  <si>
    <t>All consortia would like to see chopped and shredded lettuce offered on this next RFP.  Spinach and mixed salad greens would like to be seen as well.</t>
  </si>
  <si>
    <t>Gordon Food Service - Clay (GLC)</t>
  </si>
  <si>
    <t>Gordon Food Service - Brighton (GLC)</t>
  </si>
  <si>
    <t>Sysco - Detroit (SPARC)</t>
  </si>
  <si>
    <t>Sysco - Grand Rapids (SPARC)</t>
  </si>
  <si>
    <t>VanEerden Foodservice (MOR)</t>
  </si>
  <si>
    <t>Gordon’s Food Service-Union Cty</t>
  </si>
  <si>
    <t>Gordon’s Food Service-Clay Cty</t>
  </si>
  <si>
    <t>Watson's Produce-St. Johns Cty</t>
  </si>
  <si>
    <t>Watson's Produce-Volusia Cty</t>
  </si>
  <si>
    <t>520 North Beach Street, Daytona Beach, FL 32114</t>
  </si>
  <si>
    <t>Todd's Tomatoes</t>
  </si>
  <si>
    <t>413 West 13th Street, Sanford, FL 32771</t>
  </si>
  <si>
    <t>Todd's Tomatoes-Orange Cty</t>
  </si>
  <si>
    <t>Grand Total</t>
  </si>
  <si>
    <t>Watson's Produce</t>
  </si>
  <si>
    <t>Destination Contact List</t>
  </si>
  <si>
    <t>Name</t>
  </si>
  <si>
    <t>Email</t>
  </si>
  <si>
    <t>Phone Number</t>
  </si>
  <si>
    <t>Paul Lazecki</t>
  </si>
  <si>
    <t>paul@watsonproduce.com</t>
  </si>
  <si>
    <t>386-252-7948</t>
  </si>
  <si>
    <t>Dirk/Julie Miller</t>
  </si>
  <si>
    <t>407-321-4476</t>
  </si>
  <si>
    <t>toddsinc@cfl.rr.com</t>
  </si>
  <si>
    <t>Matt Musgrove</t>
  </si>
  <si>
    <t>813-313-3071</t>
  </si>
  <si>
    <t>matt.musgrove@usfoods.com</t>
  </si>
  <si>
    <t>Cindy Condon</t>
  </si>
  <si>
    <t>813-703-6541</t>
  </si>
  <si>
    <t>Cindy.condon@gfs.com</t>
  </si>
  <si>
    <t>Mark Morrison</t>
  </si>
  <si>
    <t>616-249-4581</t>
  </si>
  <si>
    <t>616-717-4581</t>
  </si>
  <si>
    <t>Mark.Morrison@gfs.com</t>
  </si>
  <si>
    <t>Lisa Reynolds</t>
  </si>
  <si>
    <t>800-366-1896</t>
  </si>
  <si>
    <t>Reynolds.Lisa@det.sysco.com</t>
  </si>
  <si>
    <t>Kristen S. Harthorn</t>
  </si>
  <si>
    <t>800-833-7374 ext 693</t>
  </si>
  <si>
    <t>kristenh@vaneerden.com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</si>
</sst>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86">
    <xf numFmtId="0" fontId="0" fillId="0" borderId="0" xfId="0"/>
    <xf numFmtId="0" fontId="3" fillId="0" borderId="0" xfId="0" applyFont="1"/>
    <xf numFmtId="0" fontId="0" fillId="2" borderId="0" xfId="0" applyFill="1"/>
    <xf numFmtId="0" fontId="2" fillId="0" borderId="0" xfId="0" applyFont="1" applyFill="1" applyBorder="1" applyAlignment="1">
      <alignment vertical="top" wrapText="1"/>
    </xf>
    <xf numFmtId="0" fontId="0" fillId="0" borderId="0" xfId="0" applyFill="1"/>
    <xf numFmtId="164" fontId="0" fillId="0" borderId="0" xfId="0" applyNumberFormat="1" applyFill="1"/>
    <xf numFmtId="0" fontId="0" fillId="0" borderId="1" xfId="0" applyBorder="1"/>
    <xf numFmtId="44" fontId="0" fillId="0" borderId="1" xfId="1" applyFont="1" applyBorder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4" xfId="0" applyFont="1" applyBorder="1"/>
    <xf numFmtId="0" fontId="3" fillId="0" borderId="5" xfId="0" applyFont="1" applyBorder="1"/>
    <xf numFmtId="0" fontId="1" fillId="0" borderId="6" xfId="0" applyFont="1" applyBorder="1" applyAlignment="1">
      <alignment horizontal="center" vertical="top" wrapText="1"/>
    </xf>
    <xf numFmtId="0" fontId="0" fillId="0" borderId="7" xfId="0" applyBorder="1"/>
    <xf numFmtId="0" fontId="2" fillId="0" borderId="6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44" fontId="0" fillId="0" borderId="12" xfId="1" applyFont="1" applyBorder="1"/>
    <xf numFmtId="0" fontId="2" fillId="0" borderId="1" xfId="0" applyFont="1" applyFill="1" applyBorder="1" applyAlignment="1">
      <alignment vertical="top" wrapText="1"/>
    </xf>
    <xf numFmtId="164" fontId="0" fillId="0" borderId="1" xfId="0" applyNumberFormat="1" applyBorder="1"/>
    <xf numFmtId="164" fontId="0" fillId="0" borderId="1" xfId="0" applyNumberFormat="1" applyFill="1" applyBorder="1"/>
    <xf numFmtId="0" fontId="1" fillId="0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0" fillId="0" borderId="4" xfId="0" applyBorder="1"/>
    <xf numFmtId="0" fontId="2" fillId="0" borderId="6" xfId="0" applyFont="1" applyFill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0" fillId="0" borderId="15" xfId="0" applyBorder="1"/>
    <xf numFmtId="0" fontId="0" fillId="0" borderId="17" xfId="0" applyFill="1" applyBorder="1"/>
    <xf numFmtId="164" fontId="0" fillId="0" borderId="17" xfId="0" applyNumberFormat="1" applyFill="1" applyBorder="1"/>
    <xf numFmtId="164" fontId="0" fillId="0" borderId="18" xfId="0" applyNumberFormat="1" applyFill="1" applyBorder="1"/>
    <xf numFmtId="0" fontId="5" fillId="0" borderId="2" xfId="0" applyFont="1" applyFill="1" applyBorder="1" applyAlignment="1">
      <alignment vertical="top" wrapText="1"/>
    </xf>
    <xf numFmtId="0" fontId="2" fillId="0" borderId="8" xfId="0" applyFont="1" applyFill="1" applyBorder="1" applyAlignment="1">
      <alignment vertical="top" wrapText="1"/>
    </xf>
    <xf numFmtId="0" fontId="0" fillId="0" borderId="9" xfId="0" applyFill="1" applyBorder="1"/>
    <xf numFmtId="164" fontId="0" fillId="0" borderId="9" xfId="0" applyNumberFormat="1" applyFill="1" applyBorder="1"/>
    <xf numFmtId="164" fontId="0" fillId="0" borderId="10" xfId="0" applyNumberFormat="1" applyFill="1" applyBorder="1"/>
    <xf numFmtId="44" fontId="0" fillId="0" borderId="9" xfId="0" applyNumberFormat="1" applyFill="1" applyBorder="1"/>
    <xf numFmtId="44" fontId="0" fillId="0" borderId="7" xfId="1" applyFont="1" applyFill="1" applyBorder="1"/>
    <xf numFmtId="44" fontId="0" fillId="0" borderId="13" xfId="1" applyFont="1" applyFill="1" applyBorder="1"/>
    <xf numFmtId="0" fontId="0" fillId="0" borderId="16" xfId="0" applyFill="1" applyBorder="1"/>
    <xf numFmtId="0" fontId="0" fillId="0" borderId="5" xfId="0" applyFill="1" applyBorder="1"/>
    <xf numFmtId="164" fontId="0" fillId="0" borderId="7" xfId="0" applyNumberFormat="1" applyFill="1" applyBorder="1"/>
    <xf numFmtId="0" fontId="1" fillId="0" borderId="0" xfId="0" applyFont="1" applyBorder="1" applyAlignment="1">
      <alignment horizontal="center" vertical="top" wrapText="1"/>
    </xf>
    <xf numFmtId="0" fontId="3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vertical="top" wrapText="1"/>
    </xf>
    <xf numFmtId="44" fontId="0" fillId="0" borderId="0" xfId="1" applyFont="1" applyBorder="1"/>
    <xf numFmtId="44" fontId="0" fillId="0" borderId="0" xfId="1" applyFont="1" applyFill="1" applyBorder="1"/>
    <xf numFmtId="44" fontId="0" fillId="0" borderId="0" xfId="0" applyNumberFormat="1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Border="1"/>
    <xf numFmtId="164" fontId="0" fillId="0" borderId="0" xfId="0" applyNumberFormat="1" applyBorder="1"/>
    <xf numFmtId="164" fontId="0" fillId="0" borderId="0" xfId="0" applyNumberFormat="1" applyFill="1" applyBorder="1"/>
    <xf numFmtId="0" fontId="2" fillId="0" borderId="1" xfId="0" applyFont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/>
    <xf numFmtId="0" fontId="2" fillId="0" borderId="6" xfId="0" applyFont="1" applyBorder="1" applyAlignment="1">
      <alignment vertical="top"/>
    </xf>
    <xf numFmtId="44" fontId="0" fillId="0" borderId="1" xfId="1" applyFont="1" applyBorder="1" applyAlignment="1"/>
    <xf numFmtId="0" fontId="1" fillId="0" borderId="6" xfId="0" applyFont="1" applyFill="1" applyBorder="1" applyAlignment="1">
      <alignment horizontal="center" vertical="top"/>
    </xf>
    <xf numFmtId="0" fontId="2" fillId="0" borderId="1" xfId="0" applyFont="1" applyBorder="1" applyAlignment="1"/>
    <xf numFmtId="0" fontId="2" fillId="0" borderId="6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164" fontId="0" fillId="0" borderId="1" xfId="0" applyNumberFormat="1" applyBorder="1" applyAlignment="1"/>
    <xf numFmtId="44" fontId="6" fillId="0" borderId="1" xfId="2" applyNumberFormat="1" applyBorder="1" applyAlignment="1"/>
    <xf numFmtId="44" fontId="2" fillId="0" borderId="1" xfId="2" applyNumberFormat="1" applyFont="1" applyBorder="1" applyAlignment="1"/>
    <xf numFmtId="0" fontId="2" fillId="0" borderId="0" xfId="0" applyFont="1"/>
    <xf numFmtId="44" fontId="2" fillId="0" borderId="1" xfId="1" applyFont="1" applyBorder="1" applyAlignment="1"/>
    <xf numFmtId="164" fontId="2" fillId="0" borderId="1" xfId="0" applyNumberFormat="1" applyFont="1" applyBorder="1" applyAlignment="1"/>
    <xf numFmtId="164" fontId="2" fillId="0" borderId="0" xfId="0" applyNumberFormat="1" applyFont="1" applyFill="1"/>
    <xf numFmtId="164" fontId="6" fillId="0" borderId="1" xfId="2" applyNumberFormat="1" applyBorder="1" applyAlignment="1"/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3" fillId="0" borderId="20" xfId="0" applyFont="1" applyBorder="1" applyAlignment="1"/>
    <xf numFmtId="0" fontId="1" fillId="0" borderId="20" xfId="0" applyFont="1" applyBorder="1" applyAlignment="1"/>
    <xf numFmtId="0" fontId="3" fillId="0" borderId="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2" borderId="0" xfId="0" applyFont="1" applyFill="1" applyBorder="1" applyAlignment="1">
      <alignment vertical="top" wrapText="1"/>
    </xf>
    <xf numFmtId="0" fontId="0" fillId="2" borderId="0" xfId="0" applyFill="1" applyAlignment="1"/>
    <xf numFmtId="0" fontId="3" fillId="0" borderId="0" xfId="0" applyFon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ynolds.Lisa@det.sysco.com" TargetMode="External"/><Relationship Id="rId3" Type="http://schemas.openxmlformats.org/officeDocument/2006/relationships/hyperlink" Target="mailto:matt.musgrove@usfoods.com" TargetMode="External"/><Relationship Id="rId7" Type="http://schemas.openxmlformats.org/officeDocument/2006/relationships/hyperlink" Target="mailto:Reynolds.Lisa@det.sysco.com" TargetMode="External"/><Relationship Id="rId2" Type="http://schemas.openxmlformats.org/officeDocument/2006/relationships/hyperlink" Target="mailto:toddsinc@cfl.rr.com" TargetMode="External"/><Relationship Id="rId1" Type="http://schemas.openxmlformats.org/officeDocument/2006/relationships/hyperlink" Target="mailto:paul@watsonproduce.com" TargetMode="External"/><Relationship Id="rId6" Type="http://schemas.openxmlformats.org/officeDocument/2006/relationships/hyperlink" Target="mailto:Mark.Morrison@gfs.com" TargetMode="External"/><Relationship Id="rId5" Type="http://schemas.openxmlformats.org/officeDocument/2006/relationships/hyperlink" Target="mailto:Mark.Morrison@gfs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Cindy.condon@gfs.com" TargetMode="External"/><Relationship Id="rId9" Type="http://schemas.openxmlformats.org/officeDocument/2006/relationships/hyperlink" Target="mailto:kristenh@vaneerd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tabSelected="1" workbookViewId="0">
      <selection activeCell="D20" sqref="D20"/>
    </sheetView>
  </sheetViews>
  <sheetFormatPr defaultRowHeight="18" customHeight="1" x14ac:dyDescent="0.25"/>
  <cols>
    <col min="1" max="1" width="34.42578125" bestFit="1" customWidth="1"/>
    <col min="2" max="2" width="46" bestFit="1" customWidth="1"/>
    <col min="3" max="3" width="17.85546875" bestFit="1" customWidth="1"/>
    <col min="4" max="4" width="19.42578125" style="71" bestFit="1" customWidth="1"/>
    <col min="5" max="5" width="29.7109375" bestFit="1" customWidth="1"/>
  </cols>
  <sheetData>
    <row r="1" spans="1:5" ht="18" customHeight="1" thickBot="1" x14ac:dyDescent="0.3">
      <c r="A1" s="80" t="s">
        <v>39</v>
      </c>
      <c r="B1" s="81"/>
      <c r="C1" s="81"/>
      <c r="D1" s="81"/>
      <c r="E1" s="82"/>
    </row>
    <row r="2" spans="1:5" ht="18" customHeight="1" x14ac:dyDescent="0.25">
      <c r="A2" s="76" t="s">
        <v>0</v>
      </c>
      <c r="B2" s="77" t="s">
        <v>1</v>
      </c>
      <c r="C2" s="78" t="s">
        <v>40</v>
      </c>
      <c r="D2" s="79" t="s">
        <v>42</v>
      </c>
      <c r="E2" s="78" t="s">
        <v>41</v>
      </c>
    </row>
    <row r="3" spans="1:5" ht="18" customHeight="1" x14ac:dyDescent="0.25">
      <c r="A3" s="59" t="s">
        <v>6</v>
      </c>
      <c r="B3" s="60"/>
      <c r="C3" s="61"/>
      <c r="D3" s="65"/>
      <c r="E3" s="61"/>
    </row>
    <row r="4" spans="1:5" ht="18" customHeight="1" x14ac:dyDescent="0.25">
      <c r="A4" s="62" t="s">
        <v>38</v>
      </c>
      <c r="B4" s="58" t="s">
        <v>33</v>
      </c>
      <c r="C4" s="63" t="s">
        <v>43</v>
      </c>
      <c r="D4" s="70" t="s">
        <v>45</v>
      </c>
      <c r="E4" s="69" t="s">
        <v>44</v>
      </c>
    </row>
    <row r="5" spans="1:5" ht="18" customHeight="1" x14ac:dyDescent="0.25">
      <c r="A5" s="62" t="s">
        <v>34</v>
      </c>
      <c r="B5" s="58" t="s">
        <v>35</v>
      </c>
      <c r="C5" s="63" t="s">
        <v>46</v>
      </c>
      <c r="D5" s="72" t="s">
        <v>47</v>
      </c>
      <c r="E5" s="69" t="s">
        <v>48</v>
      </c>
    </row>
    <row r="6" spans="1:5" ht="18" customHeight="1" x14ac:dyDescent="0.25">
      <c r="A6" s="62" t="s">
        <v>2</v>
      </c>
      <c r="B6" s="58" t="s">
        <v>3</v>
      </c>
      <c r="C6" s="63" t="s">
        <v>49</v>
      </c>
      <c r="D6" s="72" t="s">
        <v>50</v>
      </c>
      <c r="E6" s="69" t="s">
        <v>51</v>
      </c>
    </row>
    <row r="7" spans="1:5" ht="18" customHeight="1" x14ac:dyDescent="0.25">
      <c r="A7" s="62" t="s">
        <v>4</v>
      </c>
      <c r="B7" s="58" t="s">
        <v>5</v>
      </c>
      <c r="C7" s="63" t="s">
        <v>52</v>
      </c>
      <c r="D7" s="72" t="s">
        <v>53</v>
      </c>
      <c r="E7" s="69" t="s">
        <v>54</v>
      </c>
    </row>
    <row r="8" spans="1:5" ht="18" customHeight="1" x14ac:dyDescent="0.25">
      <c r="A8" s="62"/>
      <c r="B8" s="58"/>
      <c r="C8" s="61"/>
      <c r="D8" s="65"/>
      <c r="E8" s="61"/>
    </row>
    <row r="9" spans="1:5" ht="18" customHeight="1" x14ac:dyDescent="0.25">
      <c r="A9" s="64" t="s">
        <v>7</v>
      </c>
      <c r="B9" s="65"/>
      <c r="C9" s="61"/>
      <c r="D9" s="65"/>
      <c r="E9" s="61"/>
    </row>
    <row r="10" spans="1:5" ht="18" customHeight="1" x14ac:dyDescent="0.25">
      <c r="A10" s="66" t="s">
        <v>24</v>
      </c>
      <c r="B10" s="67" t="s">
        <v>21</v>
      </c>
      <c r="C10" s="68" t="s">
        <v>55</v>
      </c>
      <c r="D10" s="73" t="s">
        <v>56</v>
      </c>
      <c r="E10" s="75" t="s">
        <v>58</v>
      </c>
    </row>
    <row r="11" spans="1:5" ht="18" customHeight="1" x14ac:dyDescent="0.25">
      <c r="A11" s="66" t="s">
        <v>25</v>
      </c>
      <c r="B11" s="67" t="s">
        <v>8</v>
      </c>
      <c r="C11" s="68" t="s">
        <v>55</v>
      </c>
      <c r="D11" s="73" t="s">
        <v>57</v>
      </c>
      <c r="E11" s="75" t="s">
        <v>58</v>
      </c>
    </row>
    <row r="12" spans="1:5" ht="18" customHeight="1" x14ac:dyDescent="0.25">
      <c r="A12" s="66" t="s">
        <v>26</v>
      </c>
      <c r="B12" s="67" t="s">
        <v>9</v>
      </c>
      <c r="C12" s="68" t="s">
        <v>59</v>
      </c>
      <c r="D12" s="73" t="s">
        <v>60</v>
      </c>
      <c r="E12" s="75" t="s">
        <v>61</v>
      </c>
    </row>
    <row r="13" spans="1:5" ht="18" customHeight="1" x14ac:dyDescent="0.25">
      <c r="A13" s="66" t="s">
        <v>27</v>
      </c>
      <c r="B13" s="67" t="s">
        <v>10</v>
      </c>
      <c r="C13" s="68" t="s">
        <v>59</v>
      </c>
      <c r="D13" s="73" t="s">
        <v>60</v>
      </c>
      <c r="E13" s="75" t="s">
        <v>61</v>
      </c>
    </row>
    <row r="14" spans="1:5" ht="18" customHeight="1" x14ac:dyDescent="0.25">
      <c r="A14" s="66" t="s">
        <v>28</v>
      </c>
      <c r="B14" s="67" t="s">
        <v>11</v>
      </c>
      <c r="C14" s="68" t="s">
        <v>62</v>
      </c>
      <c r="D14" s="73" t="s">
        <v>63</v>
      </c>
      <c r="E14" s="75" t="s">
        <v>64</v>
      </c>
    </row>
    <row r="15" spans="1:5" ht="18" customHeight="1" x14ac:dyDescent="0.25">
      <c r="A15" s="3"/>
      <c r="B15" s="4"/>
      <c r="C15" s="5"/>
      <c r="D15" s="74"/>
      <c r="E15" s="5"/>
    </row>
    <row r="16" spans="1:5" ht="18" customHeight="1" x14ac:dyDescent="0.25">
      <c r="A16" s="3"/>
      <c r="B16" s="4"/>
      <c r="C16" s="5"/>
      <c r="D16" s="74"/>
      <c r="E16" s="5"/>
    </row>
  </sheetData>
  <mergeCells count="1">
    <mergeCell ref="A1:E1"/>
  </mergeCells>
  <hyperlinks>
    <hyperlink ref="E4" r:id="rId1"/>
    <hyperlink ref="E5" r:id="rId2"/>
    <hyperlink ref="E6" r:id="rId3"/>
    <hyperlink ref="E7" r:id="rId4"/>
    <hyperlink ref="E10" r:id="rId5"/>
    <hyperlink ref="E11" r:id="rId6"/>
    <hyperlink ref="E12" r:id="rId7"/>
    <hyperlink ref="E13" r:id="rId8"/>
    <hyperlink ref="E14" r:id="rId9"/>
  </hyperlinks>
  <pageMargins left="0.25" right="0.25" top="0.75" bottom="0.75" header="0.3" footer="0.3"/>
  <pageSetup scale="71" fitToHeight="0" orientation="landscape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A8" sqref="A8"/>
    </sheetView>
  </sheetViews>
  <sheetFormatPr defaultRowHeight="18" customHeight="1" x14ac:dyDescent="0.25"/>
  <cols>
    <col min="1" max="1" width="34.7109375" customWidth="1"/>
    <col min="2" max="2" width="46.5703125" customWidth="1"/>
    <col min="3" max="6" width="11.5703125" bestFit="1" customWidth="1"/>
    <col min="7" max="7" width="11.28515625" bestFit="1" customWidth="1"/>
    <col min="8" max="8" width="11.5703125" bestFit="1" customWidth="1"/>
    <col min="9" max="9" width="12.28515625" bestFit="1" customWidth="1"/>
    <col min="10" max="10" width="11.5703125" bestFit="1" customWidth="1"/>
    <col min="11" max="11" width="13" customWidth="1"/>
  </cols>
  <sheetData>
    <row r="1" spans="1:11" ht="18" customHeight="1" x14ac:dyDescent="0.25">
      <c r="A1" s="1"/>
    </row>
    <row r="2" spans="1:11" ht="18" customHeight="1" thickBot="1" x14ac:dyDescent="0.3">
      <c r="A2" s="1"/>
      <c r="C2" s="1"/>
      <c r="D2" s="1"/>
      <c r="E2" s="1"/>
      <c r="F2" s="1"/>
      <c r="G2" s="1"/>
      <c r="H2" s="1"/>
      <c r="I2" s="1"/>
      <c r="J2" s="1"/>
    </row>
    <row r="3" spans="1:11" ht="18" customHeight="1" x14ac:dyDescent="0.25">
      <c r="A3" s="10" t="s">
        <v>0</v>
      </c>
      <c r="B3" s="11" t="s">
        <v>1</v>
      </c>
      <c r="C3" s="12" t="s">
        <v>12</v>
      </c>
      <c r="D3" s="12" t="s">
        <v>13</v>
      </c>
      <c r="E3" s="12" t="s">
        <v>14</v>
      </c>
      <c r="F3" s="12" t="s">
        <v>18</v>
      </c>
      <c r="G3" s="12" t="s">
        <v>15</v>
      </c>
      <c r="H3" s="12" t="s">
        <v>16</v>
      </c>
      <c r="I3" s="12" t="s">
        <v>17</v>
      </c>
      <c r="J3" s="12" t="s">
        <v>19</v>
      </c>
      <c r="K3" s="13" t="s">
        <v>20</v>
      </c>
    </row>
    <row r="4" spans="1:11" ht="18" customHeight="1" x14ac:dyDescent="0.25">
      <c r="A4" s="14" t="s">
        <v>6</v>
      </c>
      <c r="B4" s="8"/>
      <c r="C4" s="6"/>
      <c r="D4" s="6"/>
      <c r="E4" s="6"/>
      <c r="F4" s="6"/>
      <c r="G4" s="6"/>
      <c r="H4" s="6"/>
      <c r="I4" s="6"/>
      <c r="J4" s="6"/>
      <c r="K4" s="15"/>
    </row>
    <row r="5" spans="1:11" ht="18" customHeight="1" x14ac:dyDescent="0.25">
      <c r="A5" s="16" t="s">
        <v>31</v>
      </c>
      <c r="B5" s="9" t="s">
        <v>33</v>
      </c>
      <c r="C5" s="7"/>
      <c r="D5" s="7"/>
      <c r="E5" s="7">
        <v>25000</v>
      </c>
      <c r="F5" s="7">
        <v>25000</v>
      </c>
      <c r="G5" s="7"/>
      <c r="H5" s="7"/>
      <c r="I5" s="7"/>
      <c r="J5" s="7"/>
      <c r="K5" s="41">
        <f>SUM(C5:J5)</f>
        <v>50000</v>
      </c>
    </row>
    <row r="6" spans="1:11" ht="18" customHeight="1" x14ac:dyDescent="0.25">
      <c r="A6" s="16" t="s">
        <v>32</v>
      </c>
      <c r="B6" s="9" t="s">
        <v>33</v>
      </c>
      <c r="C6" s="7">
        <v>33000</v>
      </c>
      <c r="D6" s="7"/>
      <c r="E6" s="7">
        <v>34000</v>
      </c>
      <c r="F6" s="7">
        <v>33000</v>
      </c>
      <c r="G6" s="7"/>
      <c r="H6" s="7"/>
      <c r="I6" s="7"/>
      <c r="J6" s="7"/>
      <c r="K6" s="41">
        <f t="shared" ref="K6:K10" si="0">SUM(C6:J6)</f>
        <v>100000</v>
      </c>
    </row>
    <row r="7" spans="1:11" ht="18" customHeight="1" x14ac:dyDescent="0.25">
      <c r="A7" s="16" t="s">
        <v>36</v>
      </c>
      <c r="B7" s="9" t="s">
        <v>35</v>
      </c>
      <c r="C7" s="7"/>
      <c r="D7" s="7"/>
      <c r="E7" s="7"/>
      <c r="F7" s="7">
        <v>15000</v>
      </c>
      <c r="G7" s="7"/>
      <c r="H7" s="7"/>
      <c r="I7" s="7">
        <v>60000</v>
      </c>
      <c r="J7" s="7"/>
      <c r="K7" s="41">
        <f t="shared" si="0"/>
        <v>75000</v>
      </c>
    </row>
    <row r="8" spans="1:11" ht="18" customHeight="1" x14ac:dyDescent="0.25">
      <c r="A8" s="16" t="s">
        <v>2</v>
      </c>
      <c r="B8" s="9" t="s">
        <v>3</v>
      </c>
      <c r="C8" s="7">
        <v>53183</v>
      </c>
      <c r="D8" s="7">
        <v>66608</v>
      </c>
      <c r="E8" s="7">
        <v>9010</v>
      </c>
      <c r="F8" s="7">
        <v>16542</v>
      </c>
      <c r="G8" s="7">
        <v>3057</v>
      </c>
      <c r="H8" s="7">
        <v>30437</v>
      </c>
      <c r="I8" s="7">
        <v>10970</v>
      </c>
      <c r="J8" s="7">
        <v>10193</v>
      </c>
      <c r="K8" s="41">
        <f t="shared" si="0"/>
        <v>200000</v>
      </c>
    </row>
    <row r="9" spans="1:11" ht="18" customHeight="1" x14ac:dyDescent="0.25">
      <c r="A9" s="16" t="s">
        <v>29</v>
      </c>
      <c r="B9" s="9" t="s">
        <v>5</v>
      </c>
      <c r="C9" s="7">
        <v>3129</v>
      </c>
      <c r="D9" s="7">
        <v>813</v>
      </c>
      <c r="E9" s="7">
        <v>1063</v>
      </c>
      <c r="F9" s="7"/>
      <c r="G9" s="7"/>
      <c r="H9" s="7"/>
      <c r="I9" s="7"/>
      <c r="J9" s="7"/>
      <c r="K9" s="41">
        <f t="shared" si="0"/>
        <v>5005</v>
      </c>
    </row>
    <row r="10" spans="1:11" ht="18" customHeight="1" x14ac:dyDescent="0.25">
      <c r="A10" s="19" t="s">
        <v>30</v>
      </c>
      <c r="B10" s="20" t="s">
        <v>5</v>
      </c>
      <c r="C10" s="21">
        <v>7823</v>
      </c>
      <c r="D10" s="21">
        <v>3388</v>
      </c>
      <c r="E10" s="21">
        <v>4916</v>
      </c>
      <c r="F10" s="21"/>
      <c r="G10" s="21"/>
      <c r="H10" s="21"/>
      <c r="I10" s="21"/>
      <c r="J10" s="21"/>
      <c r="K10" s="42">
        <f t="shared" si="0"/>
        <v>16127</v>
      </c>
    </row>
    <row r="11" spans="1:11" ht="18" customHeight="1" thickBot="1" x14ac:dyDescent="0.3">
      <c r="A11" s="17" t="s">
        <v>20</v>
      </c>
      <c r="B11" s="18"/>
      <c r="C11" s="40">
        <f>SUM(C5:C10)</f>
        <v>97135</v>
      </c>
      <c r="D11" s="40">
        <f t="shared" ref="D11:K11" si="1">SUM(D5:D10)</f>
        <v>70809</v>
      </c>
      <c r="E11" s="40">
        <f t="shared" si="1"/>
        <v>73989</v>
      </c>
      <c r="F11" s="40">
        <f t="shared" si="1"/>
        <v>89542</v>
      </c>
      <c r="G11" s="40">
        <f t="shared" si="1"/>
        <v>3057</v>
      </c>
      <c r="H11" s="40">
        <f t="shared" si="1"/>
        <v>30437</v>
      </c>
      <c r="I11" s="40">
        <f t="shared" si="1"/>
        <v>70970</v>
      </c>
      <c r="J11" s="40">
        <f t="shared" si="1"/>
        <v>10193</v>
      </c>
      <c r="K11" s="40">
        <f t="shared" si="1"/>
        <v>446132</v>
      </c>
    </row>
    <row r="12" spans="1:11" ht="18" customHeight="1" thickBot="1" x14ac:dyDescent="0.3">
      <c r="A12" s="29"/>
      <c r="B12" s="30"/>
      <c r="C12" s="31"/>
      <c r="D12" s="31"/>
      <c r="E12" s="31"/>
      <c r="F12" s="31"/>
      <c r="G12" s="31"/>
      <c r="H12" s="31"/>
      <c r="I12" s="31"/>
      <c r="J12" s="31"/>
      <c r="K12" s="43"/>
    </row>
    <row r="13" spans="1:11" ht="18" customHeight="1" x14ac:dyDescent="0.25">
      <c r="A13" s="25" t="s">
        <v>7</v>
      </c>
      <c r="B13" s="26"/>
      <c r="C13" s="27"/>
      <c r="D13" s="27"/>
      <c r="E13" s="27"/>
      <c r="F13" s="27"/>
      <c r="G13" s="27"/>
      <c r="H13" s="27"/>
      <c r="I13" s="27"/>
      <c r="J13" s="27"/>
      <c r="K13" s="44"/>
    </row>
    <row r="14" spans="1:11" ht="18" customHeight="1" x14ac:dyDescent="0.25">
      <c r="A14" s="28" t="s">
        <v>24</v>
      </c>
      <c r="B14" s="22" t="s">
        <v>21</v>
      </c>
      <c r="C14" s="23"/>
      <c r="D14" s="23">
        <v>7000</v>
      </c>
      <c r="E14" s="23">
        <v>9000</v>
      </c>
      <c r="F14" s="23"/>
      <c r="G14" s="23"/>
      <c r="H14" s="23"/>
      <c r="I14" s="23"/>
      <c r="J14" s="23"/>
      <c r="K14" s="45">
        <f>SUM(C14:J14)</f>
        <v>16000</v>
      </c>
    </row>
    <row r="15" spans="1:11" ht="18" customHeight="1" x14ac:dyDescent="0.25">
      <c r="A15" s="28" t="s">
        <v>25</v>
      </c>
      <c r="B15" s="22" t="s">
        <v>8</v>
      </c>
      <c r="C15" s="23"/>
      <c r="D15" s="23">
        <v>6000</v>
      </c>
      <c r="E15" s="23">
        <v>11000</v>
      </c>
      <c r="F15" s="23"/>
      <c r="G15" s="23"/>
      <c r="H15" s="23"/>
      <c r="I15" s="23"/>
      <c r="J15" s="23"/>
      <c r="K15" s="45">
        <f>SUM(C15:J15)</f>
        <v>17000</v>
      </c>
    </row>
    <row r="16" spans="1:11" ht="18" customHeight="1" x14ac:dyDescent="0.25">
      <c r="A16" s="28" t="s">
        <v>26</v>
      </c>
      <c r="B16" s="22" t="s">
        <v>9</v>
      </c>
      <c r="C16" s="23"/>
      <c r="D16" s="23">
        <v>1000</v>
      </c>
      <c r="E16" s="23">
        <v>3500</v>
      </c>
      <c r="F16" s="23">
        <v>2000</v>
      </c>
      <c r="G16" s="23"/>
      <c r="H16" s="23">
        <v>750</v>
      </c>
      <c r="I16" s="23">
        <v>750</v>
      </c>
      <c r="J16" s="23">
        <v>250</v>
      </c>
      <c r="K16" s="45">
        <f>SUM(C16:J16)</f>
        <v>8250</v>
      </c>
    </row>
    <row r="17" spans="1:11" ht="18" customHeight="1" x14ac:dyDescent="0.25">
      <c r="A17" s="28" t="s">
        <v>27</v>
      </c>
      <c r="B17" s="22" t="s">
        <v>10</v>
      </c>
      <c r="C17" s="23">
        <v>2550</v>
      </c>
      <c r="D17" s="23">
        <v>2550</v>
      </c>
      <c r="E17" s="23">
        <v>7225</v>
      </c>
      <c r="F17" s="24">
        <v>2850</v>
      </c>
      <c r="G17" s="24">
        <v>1300</v>
      </c>
      <c r="H17" s="24">
        <v>2375</v>
      </c>
      <c r="I17" s="24">
        <v>3900</v>
      </c>
      <c r="J17" s="24">
        <v>2000</v>
      </c>
      <c r="K17" s="45">
        <f>SUM(C17:J17)</f>
        <v>24750</v>
      </c>
    </row>
    <row r="18" spans="1:11" ht="18" customHeight="1" x14ac:dyDescent="0.25">
      <c r="A18" s="28" t="s">
        <v>28</v>
      </c>
      <c r="B18" s="22" t="s">
        <v>11</v>
      </c>
      <c r="C18" s="23">
        <v>16500</v>
      </c>
      <c r="D18" s="23"/>
      <c r="E18" s="23">
        <v>16500</v>
      </c>
      <c r="F18" s="23"/>
      <c r="G18" s="23"/>
      <c r="H18" s="23"/>
      <c r="I18" s="23"/>
      <c r="J18" s="23"/>
      <c r="K18" s="45">
        <f>SUM(C18:J18)</f>
        <v>33000</v>
      </c>
    </row>
    <row r="19" spans="1:11" ht="18" customHeight="1" thickBot="1" x14ac:dyDescent="0.3">
      <c r="A19" s="36" t="s">
        <v>20</v>
      </c>
      <c r="B19" s="37"/>
      <c r="C19" s="38">
        <f t="shared" ref="C19:K19" si="2">SUM(C14:C18)</f>
        <v>19050</v>
      </c>
      <c r="D19" s="38">
        <f t="shared" si="2"/>
        <v>16550</v>
      </c>
      <c r="E19" s="38">
        <f t="shared" si="2"/>
        <v>47225</v>
      </c>
      <c r="F19" s="38">
        <f t="shared" si="2"/>
        <v>4850</v>
      </c>
      <c r="G19" s="38">
        <f t="shared" si="2"/>
        <v>1300</v>
      </c>
      <c r="H19" s="38">
        <f t="shared" si="2"/>
        <v>3125</v>
      </c>
      <c r="I19" s="38">
        <f t="shared" si="2"/>
        <v>4650</v>
      </c>
      <c r="J19" s="38">
        <f t="shared" si="2"/>
        <v>2250</v>
      </c>
      <c r="K19" s="39">
        <f t="shared" si="2"/>
        <v>99000</v>
      </c>
    </row>
    <row r="20" spans="1:11" ht="18" customHeight="1" thickBot="1" x14ac:dyDescent="0.3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</row>
    <row r="21" spans="1:11" ht="18" customHeight="1" thickBot="1" x14ac:dyDescent="0.3">
      <c r="A21" s="35" t="s">
        <v>37</v>
      </c>
      <c r="B21" s="32"/>
      <c r="C21" s="33">
        <f>SUM(C11+C19)</f>
        <v>116185</v>
      </c>
      <c r="D21" s="33">
        <f t="shared" ref="D21:K21" si="3">SUM(D11+D19)</f>
        <v>87359</v>
      </c>
      <c r="E21" s="33">
        <f t="shared" si="3"/>
        <v>121214</v>
      </c>
      <c r="F21" s="33">
        <f t="shared" si="3"/>
        <v>94392</v>
      </c>
      <c r="G21" s="33">
        <f t="shared" si="3"/>
        <v>4357</v>
      </c>
      <c r="H21" s="33">
        <f t="shared" si="3"/>
        <v>33562</v>
      </c>
      <c r="I21" s="33">
        <f t="shared" si="3"/>
        <v>75620</v>
      </c>
      <c r="J21" s="33">
        <f t="shared" si="3"/>
        <v>12443</v>
      </c>
      <c r="K21" s="34">
        <f t="shared" si="3"/>
        <v>545132</v>
      </c>
    </row>
    <row r="22" spans="1:11" ht="18" customHeight="1" x14ac:dyDescent="0.25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</row>
    <row r="23" spans="1:11" ht="18" customHeight="1" x14ac:dyDescent="0.25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</row>
    <row r="25" spans="1:11" ht="18" customHeight="1" x14ac:dyDescent="0.25">
      <c r="A25" s="83" t="s">
        <v>22</v>
      </c>
      <c r="B25" s="84"/>
      <c r="C25" s="84"/>
      <c r="D25" s="84"/>
      <c r="E25" s="84"/>
      <c r="F25" s="84"/>
      <c r="G25" s="84"/>
      <c r="H25" s="84"/>
      <c r="I25" s="84"/>
      <c r="J25" s="84"/>
    </row>
    <row r="26" spans="1:11" ht="18" customHeight="1" x14ac:dyDescent="0.25">
      <c r="A26" s="2" t="s">
        <v>23</v>
      </c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5:J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A3" sqref="A3:B8"/>
    </sheetView>
  </sheetViews>
  <sheetFormatPr defaultColWidth="22.85546875" defaultRowHeight="15" x14ac:dyDescent="0.25"/>
  <cols>
    <col min="1" max="1" width="34.42578125" style="48" bestFit="1" customWidth="1"/>
    <col min="2" max="2" width="42.140625" style="48" bestFit="1" customWidth="1"/>
    <col min="3" max="16384" width="22.85546875" style="48"/>
  </cols>
  <sheetData>
    <row r="1" spans="1:11" x14ac:dyDescent="0.25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x14ac:dyDescent="0.25">
      <c r="A2" s="46"/>
      <c r="B2" s="46"/>
      <c r="C2" s="47"/>
      <c r="D2" s="47"/>
      <c r="E2" s="47"/>
      <c r="F2" s="47"/>
      <c r="G2" s="47"/>
      <c r="H2" s="47"/>
      <c r="I2" s="47"/>
      <c r="J2" s="47"/>
      <c r="K2" s="47"/>
    </row>
    <row r="3" spans="1:11" x14ac:dyDescent="0.25">
      <c r="A3" s="59" t="s">
        <v>0</v>
      </c>
      <c r="B3" s="60" t="s">
        <v>1</v>
      </c>
    </row>
    <row r="4" spans="1:11" x14ac:dyDescent="0.25">
      <c r="A4" s="66" t="s">
        <v>24</v>
      </c>
      <c r="B4" s="67" t="s">
        <v>21</v>
      </c>
      <c r="C4" s="50"/>
      <c r="D4" s="50"/>
      <c r="E4" s="50"/>
      <c r="F4" s="50"/>
      <c r="G4" s="50"/>
      <c r="H4" s="50"/>
      <c r="I4" s="50"/>
      <c r="J4" s="50"/>
      <c r="K4" s="51"/>
    </row>
    <row r="5" spans="1:11" x14ac:dyDescent="0.25">
      <c r="A5" s="66" t="s">
        <v>25</v>
      </c>
      <c r="B5" s="67" t="s">
        <v>8</v>
      </c>
      <c r="C5" s="50"/>
      <c r="D5" s="50"/>
      <c r="E5" s="50"/>
      <c r="F5" s="50"/>
      <c r="G5" s="50"/>
      <c r="H5" s="50"/>
      <c r="I5" s="50"/>
      <c r="J5" s="50"/>
      <c r="K5" s="51"/>
    </row>
    <row r="6" spans="1:11" x14ac:dyDescent="0.25">
      <c r="A6" s="66" t="s">
        <v>26</v>
      </c>
      <c r="B6" s="67" t="s">
        <v>9</v>
      </c>
      <c r="C6" s="50"/>
      <c r="D6" s="50"/>
      <c r="E6" s="50"/>
      <c r="F6" s="50"/>
      <c r="G6" s="50"/>
      <c r="H6" s="50"/>
      <c r="I6" s="50"/>
      <c r="J6" s="50"/>
      <c r="K6" s="51"/>
    </row>
    <row r="7" spans="1:11" x14ac:dyDescent="0.25">
      <c r="A7" s="66" t="s">
        <v>27</v>
      </c>
      <c r="B7" s="67" t="s">
        <v>10</v>
      </c>
      <c r="C7" s="50"/>
      <c r="D7" s="50"/>
      <c r="E7" s="50"/>
      <c r="F7" s="50"/>
      <c r="G7" s="50"/>
      <c r="H7" s="50"/>
      <c r="I7" s="50"/>
      <c r="J7" s="50"/>
      <c r="K7" s="51"/>
    </row>
    <row r="8" spans="1:11" x14ac:dyDescent="0.25">
      <c r="A8" s="66" t="s">
        <v>28</v>
      </c>
      <c r="B8" s="67" t="s">
        <v>11</v>
      </c>
      <c r="C8" s="52"/>
      <c r="D8" s="52"/>
      <c r="E8" s="52"/>
      <c r="F8" s="52"/>
      <c r="G8" s="52"/>
      <c r="H8" s="52"/>
      <c r="I8" s="52"/>
      <c r="J8" s="52"/>
      <c r="K8" s="52"/>
    </row>
    <row r="9" spans="1:11" x14ac:dyDescent="0.25">
      <c r="A9" s="49"/>
      <c r="B9" s="49"/>
      <c r="K9" s="53"/>
    </row>
    <row r="10" spans="1:11" x14ac:dyDescent="0.25">
      <c r="A10" s="54"/>
      <c r="B10" s="55"/>
      <c r="K10" s="53"/>
    </row>
    <row r="11" spans="1:11" x14ac:dyDescent="0.25">
      <c r="A11" s="3"/>
      <c r="B11" s="3"/>
      <c r="C11" s="56"/>
      <c r="D11" s="56"/>
      <c r="E11" s="56"/>
      <c r="F11" s="56"/>
      <c r="G11" s="56"/>
      <c r="H11" s="56"/>
      <c r="I11" s="56"/>
      <c r="J11" s="56"/>
      <c r="K11" s="57"/>
    </row>
    <row r="12" spans="1:11" x14ac:dyDescent="0.25">
      <c r="A12" s="3"/>
      <c r="B12" s="3"/>
      <c r="C12" s="56"/>
      <c r="D12" s="56"/>
      <c r="E12" s="56"/>
      <c r="F12" s="56"/>
      <c r="G12" s="56"/>
      <c r="H12" s="56"/>
      <c r="I12" s="56"/>
      <c r="J12" s="56"/>
      <c r="K12" s="57"/>
    </row>
    <row r="13" spans="1:11" x14ac:dyDescent="0.25">
      <c r="A13" s="3"/>
      <c r="B13" s="3"/>
      <c r="C13" s="56"/>
      <c r="D13" s="56"/>
      <c r="E13" s="56"/>
      <c r="F13" s="56"/>
      <c r="G13" s="56"/>
      <c r="H13" s="56"/>
      <c r="I13" s="56"/>
      <c r="J13" s="56"/>
      <c r="K13" s="57"/>
    </row>
    <row r="14" spans="1:11" x14ac:dyDescent="0.25">
      <c r="A14" s="3"/>
      <c r="B14" s="3"/>
      <c r="C14" s="56"/>
      <c r="D14" s="56"/>
      <c r="E14" s="56"/>
      <c r="F14" s="57"/>
      <c r="G14" s="57"/>
      <c r="H14" s="57"/>
      <c r="I14" s="57"/>
      <c r="J14" s="57"/>
      <c r="K14" s="57"/>
    </row>
    <row r="15" spans="1:11" x14ac:dyDescent="0.25">
      <c r="A15" s="3"/>
      <c r="B15" s="3"/>
      <c r="C15" s="56"/>
      <c r="D15" s="56"/>
      <c r="E15" s="56"/>
      <c r="F15" s="56"/>
      <c r="G15" s="56"/>
      <c r="H15" s="56"/>
      <c r="I15" s="56"/>
      <c r="J15" s="56"/>
      <c r="K15" s="57"/>
    </row>
    <row r="16" spans="1:11" x14ac:dyDescent="0.25">
      <c r="A16" s="3"/>
      <c r="B16" s="53"/>
      <c r="C16" s="57"/>
      <c r="D16" s="57"/>
      <c r="E16" s="57"/>
      <c r="F16" s="57"/>
      <c r="G16" s="57"/>
      <c r="H16" s="57"/>
      <c r="I16" s="57"/>
      <c r="J16" s="57"/>
      <c r="K16" s="57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cconell</dc:creator>
  <cp:lastModifiedBy>Lang, Andrea - AMS</cp:lastModifiedBy>
  <cp:lastPrinted>2013-09-10T13:44:24Z</cp:lastPrinted>
  <dcterms:created xsi:type="dcterms:W3CDTF">2013-08-06T22:32:09Z</dcterms:created>
  <dcterms:modified xsi:type="dcterms:W3CDTF">2013-11-18T17:51:35Z</dcterms:modified>
</cp:coreProperties>
</file>