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Fields 1-4" sheetId="1" r:id="rId1"/>
    <sheet name="Fields 5-8" sheetId="10" r:id="rId2"/>
    <sheet name="Field 9"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2">'Dropdown Menu'!#REF!</definedName>
    <definedName name="Flow" localSheetId="1">'Dropdown Menu'!#REF!</definedName>
    <definedName name="Flow">'Dropdown Menu'!#REF!</definedName>
    <definedName name="Month">'Dropdown Menu'!$A$1:$A$13</definedName>
    <definedName name="Parameters" localSheetId="3">'Formulas &amp; Weather Codes'!#REF!</definedName>
    <definedName name="Parameters" localSheetId="2">'Formulas &amp; Weather Codes'!#REF!</definedName>
    <definedName name="Parameters" localSheetId="1">'Formulas &amp; Weather Codes'!#REF!</definedName>
    <definedName name="Parameters">'Formulas &amp; Weather Codes'!#REF!</definedName>
    <definedName name="PCS" localSheetId="3">'Formulas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3">'Formulas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3">'Dropdown Menu'!#REF!</definedName>
    <definedName name="PPI" localSheetId="2">'Dropdown Menu'!#REF!</definedName>
    <definedName name="PPI" localSheetId="1">'Dropdown Menu'!#REF!</definedName>
    <definedName name="PPI">'Dropdown Menu'!#REF!</definedName>
    <definedName name="_xlnm.Print_Area" localSheetId="3">'Certification Page'!$A$1:$V$23</definedName>
    <definedName name="_xlnm.Print_Area" localSheetId="2">'Field 9'!$A$1:$V$42</definedName>
    <definedName name="_xlnm.Print_Area" localSheetId="0">'Fields 1-4'!$A$1:$V$42</definedName>
    <definedName name="_xlnm.Print_Area" localSheetId="1">'Fields 5-8'!$A$1:$V$42</definedName>
    <definedName name="_xlnm.Print_Area" localSheetId="4">'Formulas &amp; Weather Codes'!#REF!</definedName>
    <definedName name="SamplingType" localSheetId="3">'Dropdown Menu'!#REF!</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D40" i="11"/>
  <c r="C40"/>
  <c r="B40"/>
  <c r="D39"/>
  <c r="C39"/>
  <c r="B39"/>
  <c r="D38"/>
  <c r="C38"/>
  <c r="B38"/>
  <c r="D37"/>
  <c r="C37"/>
  <c r="B37"/>
  <c r="D36"/>
  <c r="C36"/>
  <c r="B36"/>
  <c r="D35"/>
  <c r="C35"/>
  <c r="B35"/>
  <c r="D34"/>
  <c r="C34"/>
  <c r="B34"/>
  <c r="D33"/>
  <c r="C33"/>
  <c r="B33"/>
  <c r="D32"/>
  <c r="C32"/>
  <c r="B32"/>
  <c r="D31"/>
  <c r="C31"/>
  <c r="B31"/>
  <c r="D30"/>
  <c r="C30"/>
  <c r="B30"/>
  <c r="D29"/>
  <c r="C29"/>
  <c r="B29"/>
  <c r="D28"/>
  <c r="C28"/>
  <c r="B28"/>
  <c r="D27"/>
  <c r="C27"/>
  <c r="B27"/>
  <c r="D26"/>
  <c r="C26"/>
  <c r="B26"/>
  <c r="D25"/>
  <c r="C25"/>
  <c r="B25"/>
  <c r="D24"/>
  <c r="C24"/>
  <c r="B24"/>
  <c r="D23"/>
  <c r="C23"/>
  <c r="B23"/>
  <c r="D22"/>
  <c r="C22"/>
  <c r="B22"/>
  <c r="D21"/>
  <c r="C21"/>
  <c r="B21"/>
  <c r="D20"/>
  <c r="C20"/>
  <c r="B20"/>
  <c r="D19"/>
  <c r="C19"/>
  <c r="B19"/>
  <c r="D18"/>
  <c r="C18"/>
  <c r="B18"/>
  <c r="D17"/>
  <c r="C17"/>
  <c r="B17"/>
  <c r="D16"/>
  <c r="C16"/>
  <c r="B16"/>
  <c r="D15"/>
  <c r="C15"/>
  <c r="B15"/>
  <c r="D14"/>
  <c r="C14"/>
  <c r="B14"/>
  <c r="D13"/>
  <c r="C13"/>
  <c r="B13"/>
  <c r="D12"/>
  <c r="C12"/>
  <c r="B12"/>
  <c r="D11"/>
  <c r="C11"/>
  <c r="B11"/>
  <c r="D10"/>
  <c r="C10"/>
  <c r="B10"/>
  <c r="D40" i="10"/>
  <c r="C40"/>
  <c r="B40"/>
  <c r="D39"/>
  <c r="C39"/>
  <c r="B39"/>
  <c r="D38"/>
  <c r="C38"/>
  <c r="B38"/>
  <c r="D37"/>
  <c r="C37"/>
  <c r="B37"/>
  <c r="D36"/>
  <c r="C36"/>
  <c r="B36"/>
  <c r="D35"/>
  <c r="C35"/>
  <c r="B35"/>
  <c r="D34"/>
  <c r="C34"/>
  <c r="B34"/>
  <c r="D33"/>
  <c r="C33"/>
  <c r="B33"/>
  <c r="D32"/>
  <c r="C32"/>
  <c r="B32"/>
  <c r="D31"/>
  <c r="C31"/>
  <c r="B31"/>
  <c r="D30"/>
  <c r="C30"/>
  <c r="B30"/>
  <c r="D29"/>
  <c r="C29"/>
  <c r="B29"/>
  <c r="D28"/>
  <c r="C28"/>
  <c r="B28"/>
  <c r="D27"/>
  <c r="C27"/>
  <c r="B27"/>
  <c r="D26"/>
  <c r="C26"/>
  <c r="B26"/>
  <c r="D25"/>
  <c r="C25"/>
  <c r="B25"/>
  <c r="D24"/>
  <c r="C24"/>
  <c r="B24"/>
  <c r="D23"/>
  <c r="C23"/>
  <c r="B23"/>
  <c r="D22"/>
  <c r="C22"/>
  <c r="B22"/>
  <c r="D21"/>
  <c r="C21"/>
  <c r="B21"/>
  <c r="D20"/>
  <c r="C20"/>
  <c r="B20"/>
  <c r="D19"/>
  <c r="C19"/>
  <c r="B19"/>
  <c r="D18"/>
  <c r="C18"/>
  <c r="B18"/>
  <c r="D17"/>
  <c r="C17"/>
  <c r="B17"/>
  <c r="D16"/>
  <c r="C16"/>
  <c r="B16"/>
  <c r="D15"/>
  <c r="C15"/>
  <c r="B15"/>
  <c r="D14"/>
  <c r="C14"/>
  <c r="B14"/>
  <c r="D13"/>
  <c r="C13"/>
  <c r="B13"/>
  <c r="D12"/>
  <c r="C12"/>
  <c r="B12"/>
  <c r="D11"/>
  <c r="C11"/>
  <c r="B11"/>
  <c r="D10"/>
  <c r="C10"/>
  <c r="B10"/>
  <c r="S1" i="11"/>
  <c r="M41" s="1"/>
  <c r="S1" i="10"/>
  <c r="V1"/>
  <c r="V1" i="11"/>
  <c r="U41"/>
  <c r="I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G41" i="11" l="1"/>
  <c r="K41"/>
  <c r="Q41"/>
  <c r="O41"/>
  <c r="S41"/>
  <c r="R40" i="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<sst xmlns="http://schemas.openxmlformats.org/spreadsheetml/2006/main" count="400" uniqueCount="189">
  <si>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</si>
  <si>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</si>
  <si>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</si>
  <si>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</si>
  <si>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</si>
  <si>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</si>
  <si>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</si>
  <si>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</si>
  <si>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</si>
  <si>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</si>
  <si>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</si>
  <si>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</si>
  <si>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</si>
  <si>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</si>
  <si>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</si>
  <si>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</si>
  <si>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</si>
  <si>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</si>
  <si>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</si>
  <si>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</si>
  <si>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</si>
  <si>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</si>
  <si>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</si>
  <si>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</si>
  <si>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</si>
  <si>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</si>
  <si>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</si>
  <si>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</si>
  <si>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</si>
  <si>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</si>
  <si>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</si>
  <si>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</si>
  <si>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</si>
  <si>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</si>
  <si>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</si>
  <si>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</si>
  <si>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</si>
  <si>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</si>
  <si>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</si>
  <si>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</si>
  <si>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</si>
  <si>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</si>
  <si>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</si>
  <si>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</si>
  <si>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</si>
  <si>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</si>
  <si>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</si>
  <si>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</si>
  <si>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</si>
  <si>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</si>
  <si>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</si>
  <si>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</si>
  <si>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</si>
  <si>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</si>
  <si>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</si>
  <si>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</si>
  <si>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</si>
  <si>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</si>
  <si>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</si>
  <si>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</si>
  <si>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</si>
  <si>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</si>
  <si>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</si>
  <si>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</si>
  <si>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</si>
  <si>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</si>
  <si>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</si>
  <si>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</si>
  <si>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</si>
  <si>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</si>
  <si>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</si>
  <si>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</si>
  <si>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</si>
  <si>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</si>
  <si>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</si>
  <si>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</si>
  <si>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</si>
  <si>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</si>
  <si>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</si>
  <si>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</si>
  <si>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</si>
  <si>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</si>
  <si>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</si>
  <si>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</si>
  <si>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</si>
  <si>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</si>
  <si>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</si>
  <si>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</si>
  <si>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</si>
  <si>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</si>
  <si>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</si>
  <si>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</si>
  <si>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</si>
  <si>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</si>
  <si>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</si>
  <si>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</si>
  <si>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</si>
  <si>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</si>
  <si>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</si>
  <si>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</si>
  <si>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</si>
  <si>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</si>
  <si>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</si>
  <si>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</si>
  <si>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</si>
  <si>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</si>
  <si>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</si>
  <si>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</si>
  <si>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</si>
  <si>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</si>
  <si>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</si>
  <si>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</si>
  <si>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</si>
  <si>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</si>
  <si>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</si>
  <si>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</si>
  <si>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</si>
  <si>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</si>
  <si>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</si>
  <si>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</si>
  <si>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</si>
  <si>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</si>
  <si>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</si>
  <si>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</si>
  <si>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</si>
  <si>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</si>
  <si>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</si>
  <si>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</si>
  <si>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</si>
  <si>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</si>
  <si>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</si>
  <si>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</si>
  <si>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</si>
  <si>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</si>
  <si>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</si>
  <si>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</si>
  <si>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</si>
  <si>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</si>
  <si>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</si>
  <si>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</si>
  <si>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</si>
  <si>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</si>
  <si>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</si>
  <si>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</si>
  <si>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</si>
  <si>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</si>
  <si>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</si>
  <si>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</si>
  <si>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</si>
  <si>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</si>
  <si>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</si>
  <si>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</si>
  <si>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</si>
  <si>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</si>
  <si>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</si>
  <si>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</si>
  <si>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</si>
  <si>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</si>
  <si>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</si>
  <si>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</si>
  <si>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</si>
  <si>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</si>
  <si>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</si>
  <si>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</si>
  <si>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</si>
  <si>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</si>
  <si>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</si>
  <si>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</si>
  <si>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</si>
  <si>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</si>
  <si>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</si>
  <si>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</si>
  <si>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</si>
  <si>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</si>
  <si>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</si>
  <si>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</si>
  <si>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</si>
  <si>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</si>
  <si>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</si>
  <si>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</si>
  <si>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</si>
  <si>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</si>
  <si>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</si>
  <si>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</si>
  <si>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</si>
  <si>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</si>
  <si>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</si>
  <si>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WQ0021289</t>
  </si>
  <si>
    <t>Town of Hertford WWTF</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</si>
</sst>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2">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0" fontId="3" fillId="2" borderId="15" xfId="0"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xf>
    <xf numFmtId="0" fontId="5" fillId="2" borderId="35" xfId="0" applyFont="1" applyFill="1" applyBorder="1" applyAlignment="1" applyProtection="1">
      <alignment horizontal="center"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187</v>
      </c>
      <c r="E1" s="164"/>
      <c r="F1" s="165"/>
      <c r="G1" s="175" t="s">
        <v>4</v>
      </c>
      <c r="H1" s="176"/>
      <c r="I1" s="164" t="s">
        <v>188</v>
      </c>
      <c r="J1" s="164"/>
      <c r="K1" s="164"/>
      <c r="L1" s="164"/>
      <c r="M1" s="164"/>
      <c r="N1" s="165"/>
      <c r="O1" s="43" t="s">
        <v>7</v>
      </c>
      <c r="P1" s="173" t="s">
        <v>89</v>
      </c>
      <c r="Q1" s="174"/>
      <c r="R1" s="43" t="s">
        <v>5</v>
      </c>
      <c r="S1" s="173"/>
      <c r="T1" s="174"/>
      <c r="U1" s="14" t="s">
        <v>6</v>
      </c>
      <c r="V1" s="44"/>
      <c r="W1" s="2"/>
    </row>
    <row r="2" spans="1:23" ht="18.75" customHeight="1">
      <c r="A2" s="146" t="s">
        <v>177</v>
      </c>
      <c r="B2" s="147"/>
      <c r="C2" s="147"/>
      <c r="D2" s="147"/>
      <c r="E2" s="147"/>
      <c r="F2" s="147"/>
      <c r="G2" s="169" t="s">
        <v>143</v>
      </c>
      <c r="H2" s="170"/>
      <c r="I2" s="156">
        <v>1</v>
      </c>
      <c r="J2" s="157"/>
      <c r="K2" s="132" t="s">
        <v>143</v>
      </c>
      <c r="L2" s="133"/>
      <c r="M2" s="134">
        <v>2</v>
      </c>
      <c r="N2" s="177"/>
      <c r="O2" s="169" t="s">
        <v>143</v>
      </c>
      <c r="P2" s="170"/>
      <c r="Q2" s="156">
        <v>3</v>
      </c>
      <c r="R2" s="157"/>
      <c r="S2" s="132" t="s">
        <v>143</v>
      </c>
      <c r="T2" s="133"/>
      <c r="U2" s="134">
        <v>4</v>
      </c>
      <c r="V2" s="135"/>
    </row>
    <row r="3" spans="1:23" ht="18.75" customHeight="1">
      <c r="A3" s="148"/>
      <c r="B3" s="147"/>
      <c r="C3" s="147"/>
      <c r="D3" s="147"/>
      <c r="E3" s="147"/>
      <c r="F3" s="147"/>
      <c r="G3" s="142" t="s">
        <v>144</v>
      </c>
      <c r="H3" s="158"/>
      <c r="I3" s="143">
        <v>8.5500000000000007</v>
      </c>
      <c r="J3" s="144"/>
      <c r="K3" s="136" t="s">
        <v>144</v>
      </c>
      <c r="L3" s="137"/>
      <c r="M3" s="138">
        <v>8.4700000000000006</v>
      </c>
      <c r="N3" s="161"/>
      <c r="O3" s="142" t="s">
        <v>144</v>
      </c>
      <c r="P3" s="158"/>
      <c r="Q3" s="143">
        <v>8.68</v>
      </c>
      <c r="R3" s="144"/>
      <c r="S3" s="136" t="s">
        <v>144</v>
      </c>
      <c r="T3" s="137"/>
      <c r="U3" s="138">
        <v>9.0299999999999994</v>
      </c>
      <c r="V3" s="139"/>
    </row>
    <row r="4" spans="1:23" ht="18.75" customHeight="1">
      <c r="A4" s="148"/>
      <c r="B4" s="147"/>
      <c r="C4" s="147"/>
      <c r="D4" s="147"/>
      <c r="E4" s="147"/>
      <c r="F4" s="147"/>
      <c r="G4" s="142" t="s">
        <v>145</v>
      </c>
      <c r="H4" s="131"/>
      <c r="I4" s="143"/>
      <c r="J4" s="144"/>
      <c r="K4" s="136" t="s">
        <v>145</v>
      </c>
      <c r="L4" s="140"/>
      <c r="M4" s="138"/>
      <c r="N4" s="161"/>
      <c r="O4" s="142" t="s">
        <v>145</v>
      </c>
      <c r="P4" s="131"/>
      <c r="Q4" s="143"/>
      <c r="R4" s="144"/>
      <c r="S4" s="136" t="s">
        <v>145</v>
      </c>
      <c r="T4" s="140"/>
      <c r="U4" s="138"/>
      <c r="V4" s="139"/>
    </row>
    <row r="5" spans="1:23" ht="18.75" customHeight="1">
      <c r="A5" s="149"/>
      <c r="B5" s="150"/>
      <c r="C5" s="150"/>
      <c r="D5" s="150"/>
      <c r="E5" s="150"/>
      <c r="F5" s="150"/>
      <c r="G5" s="142" t="s">
        <v>151</v>
      </c>
      <c r="H5" s="131"/>
      <c r="I5" s="143">
        <v>0.3</v>
      </c>
      <c r="J5" s="144"/>
      <c r="K5" s="136" t="s">
        <v>151</v>
      </c>
      <c r="L5" s="140"/>
      <c r="M5" s="138">
        <v>0.3</v>
      </c>
      <c r="N5" s="161"/>
      <c r="O5" s="142" t="s">
        <v>151</v>
      </c>
      <c r="P5" s="131"/>
      <c r="Q5" s="143">
        <v>0.3</v>
      </c>
      <c r="R5" s="144"/>
      <c r="S5" s="136" t="s">
        <v>151</v>
      </c>
      <c r="T5" s="140"/>
      <c r="U5" s="138">
        <v>0.3</v>
      </c>
      <c r="V5" s="139"/>
    </row>
    <row r="6" spans="1:23" ht="18.75" customHeight="1" thickBot="1">
      <c r="A6" s="151"/>
      <c r="B6" s="152"/>
      <c r="C6" s="152"/>
      <c r="D6" s="152"/>
      <c r="E6" s="152"/>
      <c r="F6" s="152"/>
      <c r="G6" s="130" t="s">
        <v>152</v>
      </c>
      <c r="H6" s="131"/>
      <c r="I6" s="143">
        <v>61.5</v>
      </c>
      <c r="J6" s="145"/>
      <c r="K6" s="141" t="s">
        <v>152</v>
      </c>
      <c r="L6" s="140"/>
      <c r="M6" s="138">
        <v>51.2</v>
      </c>
      <c r="N6" s="161"/>
      <c r="O6" s="130" t="s">
        <v>152</v>
      </c>
      <c r="P6" s="131"/>
      <c r="Q6" s="143">
        <v>51.6</v>
      </c>
      <c r="R6" s="144"/>
      <c r="S6" s="141" t="s">
        <v>152</v>
      </c>
      <c r="T6" s="140"/>
      <c r="U6" s="138">
        <v>45</v>
      </c>
      <c r="V6" s="139"/>
    </row>
    <row r="7" spans="1:23" ht="18.75" customHeight="1" thickBot="1">
      <c r="A7" s="166" t="s">
        <v>9</v>
      </c>
      <c r="B7" s="127" t="s">
        <v>184</v>
      </c>
      <c r="C7" s="128"/>
      <c r="D7" s="129"/>
      <c r="E7" s="171" t="s">
        <v>183</v>
      </c>
      <c r="F7" s="172"/>
      <c r="G7" s="130" t="s">
        <v>153</v>
      </c>
      <c r="H7" s="131"/>
      <c r="I7" s="26"/>
      <c r="J7" s="45"/>
      <c r="K7" s="141" t="s">
        <v>153</v>
      </c>
      <c r="L7" s="140"/>
      <c r="M7" s="20"/>
      <c r="N7" s="46"/>
      <c r="O7" s="130" t="s">
        <v>153</v>
      </c>
      <c r="P7" s="131"/>
      <c r="Q7" s="26"/>
      <c r="R7" s="45"/>
      <c r="S7" s="141" t="s">
        <v>153</v>
      </c>
      <c r="T7" s="140"/>
      <c r="U7" s="20"/>
      <c r="V7" s="47"/>
    </row>
    <row r="8" spans="1:23" ht="75" customHeight="1">
      <c r="A8" s="167"/>
      <c r="B8" s="159"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4" t="s">
        <v>154</v>
      </c>
      <c r="B42" s="125"/>
      <c r="C42" s="125"/>
      <c r="D42" s="126"/>
      <c r="E42" s="126"/>
      <c r="F42" s="12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187</v>
      </c>
      <c r="E1" s="164"/>
      <c r="F1" s="165"/>
      <c r="G1" s="175" t="s">
        <v>4</v>
      </c>
      <c r="H1" s="176"/>
      <c r="I1" s="164" t="s">
        <v>188</v>
      </c>
      <c r="J1" s="164"/>
      <c r="K1" s="164"/>
      <c r="L1" s="164"/>
      <c r="M1" s="164"/>
      <c r="N1" s="165"/>
      <c r="O1" s="43" t="s">
        <v>7</v>
      </c>
      <c r="P1" s="173" t="s">
        <v>89</v>
      </c>
      <c r="Q1" s="174"/>
      <c r="R1" s="43" t="s">
        <v>5</v>
      </c>
      <c r="S1" s="178" t="str">
        <f>IF(ISBLANK('Fields 1-4'!S1), "", 'Fields 1-4'!S1)</f>
        <v/>
      </c>
      <c r="T1" s="179"/>
      <c r="U1" s="119" t="s">
        <v>6</v>
      </c>
      <c r="V1" s="121" t="str">
        <f>IF(ISBLANK('Fields 1-4'!V1),"",'Fields 1-4'!V1)</f>
        <v/>
      </c>
      <c r="W1" s="2"/>
    </row>
    <row r="2" spans="1:23" ht="18.75" customHeight="1">
      <c r="A2" s="146" t="s">
        <v>177</v>
      </c>
      <c r="B2" s="147"/>
      <c r="C2" s="147"/>
      <c r="D2" s="147"/>
      <c r="E2" s="147"/>
      <c r="F2" s="147"/>
      <c r="G2" s="169" t="s">
        <v>143</v>
      </c>
      <c r="H2" s="170"/>
      <c r="I2" s="156">
        <v>5</v>
      </c>
      <c r="J2" s="157"/>
      <c r="K2" s="132" t="s">
        <v>143</v>
      </c>
      <c r="L2" s="133"/>
      <c r="M2" s="134">
        <v>6</v>
      </c>
      <c r="N2" s="177"/>
      <c r="O2" s="169" t="s">
        <v>143</v>
      </c>
      <c r="P2" s="170"/>
      <c r="Q2" s="156">
        <v>7</v>
      </c>
      <c r="R2" s="157"/>
      <c r="S2" s="132" t="s">
        <v>143</v>
      </c>
      <c r="T2" s="133"/>
      <c r="U2" s="134">
        <v>8</v>
      </c>
      <c r="V2" s="135"/>
    </row>
    <row r="3" spans="1:23" ht="18.75" customHeight="1">
      <c r="A3" s="148"/>
      <c r="B3" s="147"/>
      <c r="C3" s="147"/>
      <c r="D3" s="147"/>
      <c r="E3" s="147"/>
      <c r="F3" s="147"/>
      <c r="G3" s="142" t="s">
        <v>144</v>
      </c>
      <c r="H3" s="158"/>
      <c r="I3" s="143">
        <v>9.57</v>
      </c>
      <c r="J3" s="144"/>
      <c r="K3" s="136" t="s">
        <v>144</v>
      </c>
      <c r="L3" s="137"/>
      <c r="M3" s="138">
        <v>8.4</v>
      </c>
      <c r="N3" s="161"/>
      <c r="O3" s="142" t="s">
        <v>144</v>
      </c>
      <c r="P3" s="158"/>
      <c r="Q3" s="143">
        <v>8.16</v>
      </c>
      <c r="R3" s="144"/>
      <c r="S3" s="136" t="s">
        <v>144</v>
      </c>
      <c r="T3" s="137"/>
      <c r="U3" s="138">
        <v>8.51</v>
      </c>
      <c r="V3" s="139"/>
    </row>
    <row r="4" spans="1:23" ht="18.75" customHeight="1">
      <c r="A4" s="148"/>
      <c r="B4" s="147"/>
      <c r="C4" s="147"/>
      <c r="D4" s="147"/>
      <c r="E4" s="147"/>
      <c r="F4" s="147"/>
      <c r="G4" s="142" t="s">
        <v>145</v>
      </c>
      <c r="H4" s="131"/>
      <c r="I4" s="143"/>
      <c r="J4" s="144"/>
      <c r="K4" s="136" t="s">
        <v>145</v>
      </c>
      <c r="L4" s="140"/>
      <c r="M4" s="138"/>
      <c r="N4" s="161"/>
      <c r="O4" s="142" t="s">
        <v>145</v>
      </c>
      <c r="P4" s="131"/>
      <c r="Q4" s="143"/>
      <c r="R4" s="144"/>
      <c r="S4" s="136" t="s">
        <v>145</v>
      </c>
      <c r="T4" s="140"/>
      <c r="U4" s="138"/>
      <c r="V4" s="139"/>
    </row>
    <row r="5" spans="1:23" ht="18.75" customHeight="1">
      <c r="A5" s="149"/>
      <c r="B5" s="150"/>
      <c r="C5" s="150"/>
      <c r="D5" s="150"/>
      <c r="E5" s="150"/>
      <c r="F5" s="150"/>
      <c r="G5" s="142" t="s">
        <v>151</v>
      </c>
      <c r="H5" s="131"/>
      <c r="I5" s="143">
        <v>0.3</v>
      </c>
      <c r="J5" s="144"/>
      <c r="K5" s="136" t="s">
        <v>151</v>
      </c>
      <c r="L5" s="140"/>
      <c r="M5" s="138">
        <v>0.3</v>
      </c>
      <c r="N5" s="161"/>
      <c r="O5" s="142" t="s">
        <v>151</v>
      </c>
      <c r="P5" s="131"/>
      <c r="Q5" s="143">
        <v>0.3</v>
      </c>
      <c r="R5" s="144"/>
      <c r="S5" s="136" t="s">
        <v>151</v>
      </c>
      <c r="T5" s="140"/>
      <c r="U5" s="138">
        <v>0.3</v>
      </c>
      <c r="V5" s="139"/>
    </row>
    <row r="6" spans="1:23" ht="18.75" customHeight="1" thickBot="1">
      <c r="A6" s="151"/>
      <c r="B6" s="152"/>
      <c r="C6" s="152"/>
      <c r="D6" s="152"/>
      <c r="E6" s="152"/>
      <c r="F6" s="152"/>
      <c r="G6" s="130" t="s">
        <v>152</v>
      </c>
      <c r="H6" s="131"/>
      <c r="I6" s="143">
        <v>48.3</v>
      </c>
      <c r="J6" s="145"/>
      <c r="K6" s="141" t="s">
        <v>152</v>
      </c>
      <c r="L6" s="140"/>
      <c r="M6" s="138">
        <v>51.6</v>
      </c>
      <c r="N6" s="161"/>
      <c r="O6" s="130" t="s">
        <v>152</v>
      </c>
      <c r="P6" s="131"/>
      <c r="Q6" s="143">
        <v>51.9</v>
      </c>
      <c r="R6" s="144"/>
      <c r="S6" s="141" t="s">
        <v>152</v>
      </c>
      <c r="T6" s="140"/>
      <c r="U6" s="138">
        <v>58.4</v>
      </c>
      <c r="V6" s="139"/>
    </row>
    <row r="7" spans="1:23" ht="18.75" customHeight="1" thickBot="1">
      <c r="A7" s="166" t="s">
        <v>9</v>
      </c>
      <c r="B7" s="127" t="s">
        <v>184</v>
      </c>
      <c r="C7" s="128"/>
      <c r="D7" s="129"/>
      <c r="E7" s="171" t="s">
        <v>183</v>
      </c>
      <c r="F7" s="172"/>
      <c r="G7" s="130" t="s">
        <v>153</v>
      </c>
      <c r="H7" s="131"/>
      <c r="I7" s="26"/>
      <c r="J7" s="45"/>
      <c r="K7" s="141" t="s">
        <v>153</v>
      </c>
      <c r="L7" s="140"/>
      <c r="M7" s="20"/>
      <c r="N7" s="46"/>
      <c r="O7" s="130" t="s">
        <v>153</v>
      </c>
      <c r="P7" s="131"/>
      <c r="Q7" s="26"/>
      <c r="R7" s="45"/>
      <c r="S7" s="141" t="s">
        <v>153</v>
      </c>
      <c r="T7" s="140"/>
      <c r="U7" s="20"/>
      <c r="V7" s="47"/>
    </row>
    <row r="8" spans="1:23" ht="75" customHeight="1">
      <c r="A8" s="167"/>
      <c r="B8" s="159"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12" t="str">
        <f>IF(ISBLANK('Fields 1-4'!$S$1), "", 'Fields 1-4'!B10)</f>
        <v/>
      </c>
      <c r="C10" s="122" t="str">
        <f>IF(ISBLANK('Fields 1-4'!$S$1), "", 'Fields 1-4'!C10)</f>
        <v/>
      </c>
      <c r="D10" s="123" t="str">
        <f>IF(ISBLANK('Fields 1-4'!$S$1), "", 'Fields 1-4'!D10)</f>
        <v/>
      </c>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13" t="str">
        <f>IF(ISBLANK('Fields 1-4'!$S$1), "", 'Fields 1-4'!B11)</f>
        <v/>
      </c>
      <c r="C11" s="3" t="str">
        <f>IF(ISBLANK('Fields 1-4'!$S$1), "", 'Fields 1-4'!C11)</f>
        <v/>
      </c>
      <c r="D11" s="49" t="str">
        <f>IF(ISBLANK('Fields 1-4'!$S$1), "", 'Fields 1-4'!D11)</f>
        <v/>
      </c>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13" t="str">
        <f>IF(ISBLANK('Fields 1-4'!$S$1), "", 'Fields 1-4'!B12)</f>
        <v/>
      </c>
      <c r="C12" s="3" t="str">
        <f>IF(ISBLANK('Fields 1-4'!$S$1), "", 'Fields 1-4'!C12)</f>
        <v/>
      </c>
      <c r="D12" s="49" t="str">
        <f>IF(ISBLANK('Fields 1-4'!$S$1), "", 'Fields 1-4'!D12)</f>
        <v/>
      </c>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13" t="str">
        <f>IF(ISBLANK('Fields 1-4'!$S$1), "", 'Fields 1-4'!B13)</f>
        <v/>
      </c>
      <c r="C13" s="3" t="str">
        <f>IF(ISBLANK('Fields 1-4'!$S$1), "", 'Fields 1-4'!C13)</f>
        <v/>
      </c>
      <c r="D13" s="49" t="str">
        <f>IF(ISBLANK('Fields 1-4'!$S$1), "", 'Fields 1-4'!D13)</f>
        <v/>
      </c>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13" t="str">
        <f>IF(ISBLANK('Fields 1-4'!$S$1), "", 'Fields 1-4'!B14)</f>
        <v/>
      </c>
      <c r="C14" s="3" t="str">
        <f>IF(ISBLANK('Fields 1-4'!$S$1), "", 'Fields 1-4'!C14)</f>
        <v/>
      </c>
      <c r="D14" s="49" t="str">
        <f>IF(ISBLANK('Fields 1-4'!$S$1), "", 'Fields 1-4'!D14)</f>
        <v/>
      </c>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13" t="str">
        <f>IF(ISBLANK('Fields 1-4'!$S$1), "", 'Fields 1-4'!B15)</f>
        <v/>
      </c>
      <c r="C15" s="3" t="str">
        <f>IF(ISBLANK('Fields 1-4'!$S$1), "", 'Fields 1-4'!C15)</f>
        <v/>
      </c>
      <c r="D15" s="49" t="str">
        <f>IF(ISBLANK('Fields 1-4'!$S$1), "", 'Fields 1-4'!D15)</f>
        <v/>
      </c>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13" t="str">
        <f>IF(ISBLANK('Fields 1-4'!$S$1), "", 'Fields 1-4'!B16)</f>
        <v/>
      </c>
      <c r="C16" s="3" t="str">
        <f>IF(ISBLANK('Fields 1-4'!$S$1), "", 'Fields 1-4'!C16)</f>
        <v/>
      </c>
      <c r="D16" s="49" t="str">
        <f>IF(ISBLANK('Fields 1-4'!$S$1), "", 'Fields 1-4'!D16)</f>
        <v/>
      </c>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13" t="str">
        <f>IF(ISBLANK('Fields 1-4'!$S$1), "", 'Fields 1-4'!B17)</f>
        <v/>
      </c>
      <c r="C17" s="3" t="str">
        <f>IF(ISBLANK('Fields 1-4'!$S$1), "", 'Fields 1-4'!C17)</f>
        <v/>
      </c>
      <c r="D17" s="49" t="str">
        <f>IF(ISBLANK('Fields 1-4'!$S$1), "", 'Fields 1-4'!D17)</f>
        <v/>
      </c>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13" t="str">
        <f>IF(ISBLANK('Fields 1-4'!$S$1), "", 'Fields 1-4'!B18)</f>
        <v/>
      </c>
      <c r="C18" s="3" t="str">
        <f>IF(ISBLANK('Fields 1-4'!$S$1), "", 'Fields 1-4'!C18)</f>
        <v/>
      </c>
      <c r="D18" s="49" t="str">
        <f>IF(ISBLANK('Fields 1-4'!$S$1), "", 'Fields 1-4'!D18)</f>
        <v/>
      </c>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13" t="str">
        <f>IF(ISBLANK('Fields 1-4'!$S$1), "", 'Fields 1-4'!B19)</f>
        <v/>
      </c>
      <c r="C19" s="3" t="str">
        <f>IF(ISBLANK('Fields 1-4'!$S$1), "", 'Fields 1-4'!C19)</f>
        <v/>
      </c>
      <c r="D19" s="49" t="str">
        <f>IF(ISBLANK('Fields 1-4'!$S$1), "", 'Fields 1-4'!D19)</f>
        <v/>
      </c>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13" t="str">
        <f>IF(ISBLANK('Fields 1-4'!$S$1), "", 'Fields 1-4'!B20)</f>
        <v/>
      </c>
      <c r="C20" s="3" t="str">
        <f>IF(ISBLANK('Fields 1-4'!$S$1), "", 'Fields 1-4'!C20)</f>
        <v/>
      </c>
      <c r="D20" s="49" t="str">
        <f>IF(ISBLANK('Fields 1-4'!$S$1), "", 'Fields 1-4'!D20)</f>
        <v/>
      </c>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13" t="str">
        <f>IF(ISBLANK('Fields 1-4'!$S$1), "", 'Fields 1-4'!B21)</f>
        <v/>
      </c>
      <c r="C21" s="3" t="str">
        <f>IF(ISBLANK('Fields 1-4'!$S$1), "", 'Fields 1-4'!C21)</f>
        <v/>
      </c>
      <c r="D21" s="49" t="str">
        <f>IF(ISBLANK('Fields 1-4'!$S$1), "", 'Fields 1-4'!D21)</f>
        <v/>
      </c>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13" t="str">
        <f>IF(ISBLANK('Fields 1-4'!$S$1), "", 'Fields 1-4'!B22)</f>
        <v/>
      </c>
      <c r="C22" s="3" t="str">
        <f>IF(ISBLANK('Fields 1-4'!$S$1), "", 'Fields 1-4'!C22)</f>
        <v/>
      </c>
      <c r="D22" s="49" t="str">
        <f>IF(ISBLANK('Fields 1-4'!$S$1), "", 'Fields 1-4'!D22)</f>
        <v/>
      </c>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13" t="str">
        <f>IF(ISBLANK('Fields 1-4'!$S$1), "", 'Fields 1-4'!B23)</f>
        <v/>
      </c>
      <c r="C23" s="3" t="str">
        <f>IF(ISBLANK('Fields 1-4'!$S$1), "", 'Fields 1-4'!C23)</f>
        <v/>
      </c>
      <c r="D23" s="49" t="str">
        <f>IF(ISBLANK('Fields 1-4'!$S$1), "", 'Fields 1-4'!D23)</f>
        <v/>
      </c>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13" t="str">
        <f>IF(ISBLANK('Fields 1-4'!$S$1), "", 'Fields 1-4'!B24)</f>
        <v/>
      </c>
      <c r="C24" s="3" t="str">
        <f>IF(ISBLANK('Fields 1-4'!$S$1), "", 'Fields 1-4'!C24)</f>
        <v/>
      </c>
      <c r="D24" s="49" t="str">
        <f>IF(ISBLANK('Fields 1-4'!$S$1), "", 'Fields 1-4'!D24)</f>
        <v/>
      </c>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13" t="str">
        <f>IF(ISBLANK('Fields 1-4'!$S$1), "", 'Fields 1-4'!B25)</f>
        <v/>
      </c>
      <c r="C25" s="3" t="str">
        <f>IF(ISBLANK('Fields 1-4'!$S$1), "", 'Fields 1-4'!C25)</f>
        <v/>
      </c>
      <c r="D25" s="49" t="str">
        <f>IF(ISBLANK('Fields 1-4'!$S$1), "", 'Fields 1-4'!D25)</f>
        <v/>
      </c>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13" t="str">
        <f>IF(ISBLANK('Fields 1-4'!$S$1), "", 'Fields 1-4'!B26)</f>
        <v/>
      </c>
      <c r="C26" s="3" t="str">
        <f>IF(ISBLANK('Fields 1-4'!$S$1), "", 'Fields 1-4'!C26)</f>
        <v/>
      </c>
      <c r="D26" s="49" t="str">
        <f>IF(ISBLANK('Fields 1-4'!$S$1), "", 'Fields 1-4'!D26)</f>
        <v/>
      </c>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13" t="str">
        <f>IF(ISBLANK('Fields 1-4'!$S$1), "", 'Fields 1-4'!B27)</f>
        <v/>
      </c>
      <c r="C27" s="3" t="str">
        <f>IF(ISBLANK('Fields 1-4'!$S$1), "", 'Fields 1-4'!C27)</f>
        <v/>
      </c>
      <c r="D27" s="49" t="str">
        <f>IF(ISBLANK('Fields 1-4'!$S$1), "", 'Fields 1-4'!D27)</f>
        <v/>
      </c>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13" t="str">
        <f>IF(ISBLANK('Fields 1-4'!$S$1), "", 'Fields 1-4'!B28)</f>
        <v/>
      </c>
      <c r="C28" s="3" t="str">
        <f>IF(ISBLANK('Fields 1-4'!$S$1), "", 'Fields 1-4'!C28)</f>
        <v/>
      </c>
      <c r="D28" s="49" t="str">
        <f>IF(ISBLANK('Fields 1-4'!$S$1), "", 'Fields 1-4'!D28)</f>
        <v/>
      </c>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13" t="str">
        <f>IF(ISBLANK('Fields 1-4'!$S$1), "", 'Fields 1-4'!B29)</f>
        <v/>
      </c>
      <c r="C29" s="3" t="str">
        <f>IF(ISBLANK('Fields 1-4'!$S$1), "", 'Fields 1-4'!C29)</f>
        <v/>
      </c>
      <c r="D29" s="49" t="str">
        <f>IF(ISBLANK('Fields 1-4'!$S$1), "", 'Fields 1-4'!D29)</f>
        <v/>
      </c>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13" t="str">
        <f>IF(ISBLANK('Fields 1-4'!$S$1), "", 'Fields 1-4'!B30)</f>
        <v/>
      </c>
      <c r="C30" s="3" t="str">
        <f>IF(ISBLANK('Fields 1-4'!$S$1), "", 'Fields 1-4'!C30)</f>
        <v/>
      </c>
      <c r="D30" s="49" t="str">
        <f>IF(ISBLANK('Fields 1-4'!$S$1), "", 'Fields 1-4'!D30)</f>
        <v/>
      </c>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13" t="str">
        <f>IF(ISBLANK('Fields 1-4'!$S$1), "", 'Fields 1-4'!B31)</f>
        <v/>
      </c>
      <c r="C31" s="3" t="str">
        <f>IF(ISBLANK('Fields 1-4'!$S$1), "", 'Fields 1-4'!C31)</f>
        <v/>
      </c>
      <c r="D31" s="49" t="str">
        <f>IF(ISBLANK('Fields 1-4'!$S$1), "", 'Fields 1-4'!D31)</f>
        <v/>
      </c>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13" t="str">
        <f>IF(ISBLANK('Fields 1-4'!$S$1), "", 'Fields 1-4'!B32)</f>
        <v/>
      </c>
      <c r="C32" s="3" t="str">
        <f>IF(ISBLANK('Fields 1-4'!$S$1), "", 'Fields 1-4'!C32)</f>
        <v/>
      </c>
      <c r="D32" s="49" t="str">
        <f>IF(ISBLANK('Fields 1-4'!$S$1), "", 'Fields 1-4'!D32)</f>
        <v/>
      </c>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13" t="str">
        <f>IF(ISBLANK('Fields 1-4'!$S$1), "", 'Fields 1-4'!B33)</f>
        <v/>
      </c>
      <c r="C33" s="3" t="str">
        <f>IF(ISBLANK('Fields 1-4'!$S$1), "", 'Fields 1-4'!C33)</f>
        <v/>
      </c>
      <c r="D33" s="49" t="str">
        <f>IF(ISBLANK('Fields 1-4'!$S$1), "", 'Fields 1-4'!D33)</f>
        <v/>
      </c>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13" t="str">
        <f>IF(ISBLANK('Fields 1-4'!$S$1), "", 'Fields 1-4'!B34)</f>
        <v/>
      </c>
      <c r="C34" s="3" t="str">
        <f>IF(ISBLANK('Fields 1-4'!$S$1), "", 'Fields 1-4'!C34)</f>
        <v/>
      </c>
      <c r="D34" s="49" t="str">
        <f>IF(ISBLANK('Fields 1-4'!$S$1), "", 'Fields 1-4'!D34)</f>
        <v/>
      </c>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13" t="str">
        <f>IF(ISBLANK('Fields 1-4'!$S$1), "", 'Fields 1-4'!B35)</f>
        <v/>
      </c>
      <c r="C35" s="3" t="str">
        <f>IF(ISBLANK('Fields 1-4'!$S$1), "", 'Fields 1-4'!C35)</f>
        <v/>
      </c>
      <c r="D35" s="49" t="str">
        <f>IF(ISBLANK('Fields 1-4'!$S$1), "", 'Fields 1-4'!D35)</f>
        <v/>
      </c>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13" t="str">
        <f>IF(ISBLANK('Fields 1-4'!$S$1), "", 'Fields 1-4'!B36)</f>
        <v/>
      </c>
      <c r="C36" s="3" t="str">
        <f>IF(ISBLANK('Fields 1-4'!$S$1), "", 'Fields 1-4'!C36)</f>
        <v/>
      </c>
      <c r="D36" s="49" t="str">
        <f>IF(ISBLANK('Fields 1-4'!$S$1), "", 'Fields 1-4'!D36)</f>
        <v/>
      </c>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13" t="str">
        <f>IF(ISBLANK('Fields 1-4'!$S$1), "", 'Fields 1-4'!B37)</f>
        <v/>
      </c>
      <c r="C37" s="3" t="str">
        <f>IF(ISBLANK('Fields 1-4'!$S$1), "", 'Fields 1-4'!C37)</f>
        <v/>
      </c>
      <c r="D37" s="49" t="str">
        <f>IF(ISBLANK('Fields 1-4'!$S$1), "", 'Fields 1-4'!D37)</f>
        <v/>
      </c>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13" t="str">
        <f>IF(ISBLANK('Fields 1-4'!$S$1), "", 'Fields 1-4'!B38)</f>
        <v/>
      </c>
      <c r="C38" s="3" t="str">
        <f>IF(ISBLANK('Fields 1-4'!$S$1), "", 'Fields 1-4'!C38)</f>
        <v/>
      </c>
      <c r="D38" s="49" t="str">
        <f>IF(ISBLANK('Fields 1-4'!$S$1), "", 'Fields 1-4'!D38)</f>
        <v/>
      </c>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13" t="str">
        <f>IF(ISBLANK('Fields 1-4'!$S$1), "", 'Fields 1-4'!B39)</f>
        <v/>
      </c>
      <c r="C39" s="3" t="str">
        <f>IF(ISBLANK('Fields 1-4'!$S$1), "", 'Fields 1-4'!C39)</f>
        <v/>
      </c>
      <c r="D39" s="49" t="str">
        <f>IF(ISBLANK('Fields 1-4'!$S$1), "", 'Fields 1-4'!D39)</f>
        <v/>
      </c>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14" t="str">
        <f>IF(ISBLANK('Fields 1-4'!$S$1), "", 'Fields 1-4'!B40)</f>
        <v/>
      </c>
      <c r="C40" s="12" t="str">
        <f>IF(ISBLANK('Fields 1-4'!$S$1), "", 'Fields 1-4'!C40)</f>
        <v/>
      </c>
      <c r="D40" s="50" t="str">
        <f>IF(ISBLANK('Fields 1-4'!$S$1), "", 'Fields 1-4'!D40)</f>
        <v/>
      </c>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f>IF(ISBLANK($S1)," ",SUM(G10:G40))</f>
        <v>0</v>
      </c>
      <c r="H41" s="37"/>
      <c r="I41" s="58">
        <f>IF(ISBLANK($S1)," ",SUM(I10:I40))</f>
        <v>0</v>
      </c>
      <c r="J41" s="38"/>
      <c r="K41" s="62">
        <f>IF(ISBLANK($S1)," ",SUM(K10:K40))</f>
        <v>0</v>
      </c>
      <c r="L41" s="39"/>
      <c r="M41" s="65">
        <f>IF(ISBLANK($S1)," ",SUM(M10:M40))</f>
        <v>0</v>
      </c>
      <c r="N41" s="40"/>
      <c r="O41" s="54">
        <f>IF(ISBLANK($S1)," ",SUM(O10:O40))</f>
        <v>0</v>
      </c>
      <c r="P41" s="37"/>
      <c r="Q41" s="58">
        <f>IF(ISBLANK($S1)," ",SUM(Q10:Q40))</f>
        <v>0</v>
      </c>
      <c r="R41" s="38"/>
      <c r="S41" s="62">
        <f>IF(ISBLANK($S1)," ",SUM(S10:S40))</f>
        <v>0</v>
      </c>
      <c r="T41" s="39"/>
      <c r="U41" s="65">
        <f>IF(ISBLANK($S1)," ",SUM(U10:U40))</f>
        <v>0</v>
      </c>
      <c r="V41" s="41"/>
    </row>
    <row r="42" spans="1:22" ht="15" customHeight="1" thickBot="1">
      <c r="A42" s="124" t="s">
        <v>154</v>
      </c>
      <c r="B42" s="125"/>
      <c r="C42" s="125"/>
      <c r="D42" s="126"/>
      <c r="E42" s="126"/>
      <c r="F42" s="12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3">
    <dataValidation showInputMessage="1" showErrorMessage="1" sqref="V1 S1:T1"/>
    <dataValidation type="list" showInputMessage="1" showErrorMessage="1" sqref="P1:Q1">
      <formula1>County</formula1>
    </dataValidation>
    <dataValidation showInputMessage="1" showErrorMessage="1" sqref="D8:F8 S6:S7 O6:O7 G6:G7 K6:K7 B10:D40"/>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187</v>
      </c>
      <c r="E1" s="164"/>
      <c r="F1" s="165"/>
      <c r="G1" s="175" t="s">
        <v>4</v>
      </c>
      <c r="H1" s="176"/>
      <c r="I1" s="164" t="s">
        <v>188</v>
      </c>
      <c r="J1" s="164"/>
      <c r="K1" s="164"/>
      <c r="L1" s="164"/>
      <c r="M1" s="164"/>
      <c r="N1" s="165"/>
      <c r="O1" s="43" t="s">
        <v>7</v>
      </c>
      <c r="P1" s="173" t="s">
        <v>89</v>
      </c>
      <c r="Q1" s="174"/>
      <c r="R1" s="43" t="s">
        <v>5</v>
      </c>
      <c r="S1" s="178" t="str">
        <f>IF(ISBLANK('Fields 1-4'!S1), "", 'Fields 1-4'!S1)</f>
        <v/>
      </c>
      <c r="T1" s="179"/>
      <c r="U1" s="119" t="s">
        <v>6</v>
      </c>
      <c r="V1" s="121" t="str">
        <f>IF(ISBLANK('Fields 1-4'!V1),"",'Fields 1-4'!V1)</f>
        <v/>
      </c>
      <c r="W1" s="2"/>
    </row>
    <row r="2" spans="1:23" ht="18.75" customHeight="1">
      <c r="A2" s="146" t="s">
        <v>177</v>
      </c>
      <c r="B2" s="147"/>
      <c r="C2" s="147"/>
      <c r="D2" s="147"/>
      <c r="E2" s="147"/>
      <c r="F2" s="147"/>
      <c r="G2" s="169" t="s">
        <v>143</v>
      </c>
      <c r="H2" s="170"/>
      <c r="I2" s="156">
        <v>9</v>
      </c>
      <c r="J2" s="157"/>
      <c r="K2" s="132" t="s">
        <v>143</v>
      </c>
      <c r="L2" s="133"/>
      <c r="M2" s="134"/>
      <c r="N2" s="177"/>
      <c r="O2" s="169" t="s">
        <v>143</v>
      </c>
      <c r="P2" s="170"/>
      <c r="Q2" s="156"/>
      <c r="R2" s="157"/>
      <c r="S2" s="132" t="s">
        <v>143</v>
      </c>
      <c r="T2" s="133"/>
      <c r="U2" s="134"/>
      <c r="V2" s="135"/>
    </row>
    <row r="3" spans="1:23" ht="18.75" customHeight="1">
      <c r="A3" s="148"/>
      <c r="B3" s="147"/>
      <c r="C3" s="147"/>
      <c r="D3" s="147"/>
      <c r="E3" s="147"/>
      <c r="F3" s="147"/>
      <c r="G3" s="142" t="s">
        <v>144</v>
      </c>
      <c r="H3" s="158"/>
      <c r="I3" s="143">
        <v>8.74</v>
      </c>
      <c r="J3" s="144"/>
      <c r="K3" s="136" t="s">
        <v>144</v>
      </c>
      <c r="L3" s="137"/>
      <c r="M3" s="138"/>
      <c r="N3" s="161"/>
      <c r="O3" s="142" t="s">
        <v>144</v>
      </c>
      <c r="P3" s="158"/>
      <c r="Q3" s="143"/>
      <c r="R3" s="144"/>
      <c r="S3" s="136" t="s">
        <v>144</v>
      </c>
      <c r="T3" s="137"/>
      <c r="U3" s="138"/>
      <c r="V3" s="139"/>
    </row>
    <row r="4" spans="1:23" ht="18.75" customHeight="1">
      <c r="A4" s="148"/>
      <c r="B4" s="147"/>
      <c r="C4" s="147"/>
      <c r="D4" s="147"/>
      <c r="E4" s="147"/>
      <c r="F4" s="147"/>
      <c r="G4" s="142" t="s">
        <v>145</v>
      </c>
      <c r="H4" s="131"/>
      <c r="I4" s="143"/>
      <c r="J4" s="144"/>
      <c r="K4" s="136" t="s">
        <v>145</v>
      </c>
      <c r="L4" s="140"/>
      <c r="M4" s="138"/>
      <c r="N4" s="161"/>
      <c r="O4" s="142" t="s">
        <v>145</v>
      </c>
      <c r="P4" s="131"/>
      <c r="Q4" s="143"/>
      <c r="R4" s="144"/>
      <c r="S4" s="136" t="s">
        <v>145</v>
      </c>
      <c r="T4" s="140"/>
      <c r="U4" s="138"/>
      <c r="V4" s="139"/>
    </row>
    <row r="5" spans="1:23" ht="18.75" customHeight="1">
      <c r="A5" s="149"/>
      <c r="B5" s="150"/>
      <c r="C5" s="150"/>
      <c r="D5" s="150"/>
      <c r="E5" s="150"/>
      <c r="F5" s="150"/>
      <c r="G5" s="142" t="s">
        <v>151</v>
      </c>
      <c r="H5" s="131"/>
      <c r="I5" s="143">
        <v>0.3</v>
      </c>
      <c r="J5" s="144"/>
      <c r="K5" s="136" t="s">
        <v>151</v>
      </c>
      <c r="L5" s="140"/>
      <c r="M5" s="138"/>
      <c r="N5" s="161"/>
      <c r="O5" s="142" t="s">
        <v>151</v>
      </c>
      <c r="P5" s="131"/>
      <c r="Q5" s="143"/>
      <c r="R5" s="144"/>
      <c r="S5" s="136" t="s">
        <v>151</v>
      </c>
      <c r="T5" s="140"/>
      <c r="U5" s="138"/>
      <c r="V5" s="139"/>
    </row>
    <row r="6" spans="1:23" ht="18.75" customHeight="1" thickBot="1">
      <c r="A6" s="151"/>
      <c r="B6" s="152"/>
      <c r="C6" s="152"/>
      <c r="D6" s="152"/>
      <c r="E6" s="152"/>
      <c r="F6" s="152"/>
      <c r="G6" s="130" t="s">
        <v>152</v>
      </c>
      <c r="H6" s="131"/>
      <c r="I6" s="143">
        <v>70.099999999999994</v>
      </c>
      <c r="J6" s="145"/>
      <c r="K6" s="141" t="s">
        <v>152</v>
      </c>
      <c r="L6" s="140"/>
      <c r="M6" s="138"/>
      <c r="N6" s="161"/>
      <c r="O6" s="130" t="s">
        <v>152</v>
      </c>
      <c r="P6" s="131"/>
      <c r="Q6" s="143"/>
      <c r="R6" s="144"/>
      <c r="S6" s="141" t="s">
        <v>152</v>
      </c>
      <c r="T6" s="140"/>
      <c r="U6" s="138"/>
      <c r="V6" s="139"/>
    </row>
    <row r="7" spans="1:23" ht="18.75" customHeight="1" thickBot="1">
      <c r="A7" s="166" t="s">
        <v>9</v>
      </c>
      <c r="B7" s="127" t="s">
        <v>184</v>
      </c>
      <c r="C7" s="128"/>
      <c r="D7" s="129"/>
      <c r="E7" s="171" t="s">
        <v>183</v>
      </c>
      <c r="F7" s="172"/>
      <c r="G7" s="130" t="s">
        <v>153</v>
      </c>
      <c r="H7" s="131"/>
      <c r="I7" s="26"/>
      <c r="J7" s="45"/>
      <c r="K7" s="141" t="s">
        <v>153</v>
      </c>
      <c r="L7" s="140"/>
      <c r="M7" s="20"/>
      <c r="N7" s="46"/>
      <c r="O7" s="130" t="s">
        <v>153</v>
      </c>
      <c r="P7" s="131"/>
      <c r="Q7" s="26"/>
      <c r="R7" s="45"/>
      <c r="S7" s="141" t="s">
        <v>153</v>
      </c>
      <c r="T7" s="140"/>
      <c r="U7" s="20"/>
      <c r="V7" s="47"/>
    </row>
    <row r="8" spans="1:23" ht="75" customHeight="1">
      <c r="A8" s="167"/>
      <c r="B8" s="159"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12" t="str">
        <f>IF(ISBLANK('Fields 1-4'!$S$1), "", 'Fields 1-4'!B10)</f>
        <v/>
      </c>
      <c r="C10" s="122" t="str">
        <f>IF(ISBLANK('Fields 1-4'!$S$1), "", 'Fields 1-4'!C10)</f>
        <v/>
      </c>
      <c r="D10" s="123" t="str">
        <f>IF(ISBLANK('Fields 1-4'!$S$1), "", 'Fields 1-4'!D10)</f>
        <v/>
      </c>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13" t="str">
        <f>IF(ISBLANK('Fields 1-4'!$S$1), "", 'Fields 1-4'!B11)</f>
        <v/>
      </c>
      <c r="C11" s="3" t="str">
        <f>IF(ISBLANK('Fields 1-4'!$S$1), "", 'Fields 1-4'!C11)</f>
        <v/>
      </c>
      <c r="D11" s="49" t="str">
        <f>IF(ISBLANK('Fields 1-4'!$S$1), "", 'Fields 1-4'!D11)</f>
        <v/>
      </c>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13" t="str">
        <f>IF(ISBLANK('Fields 1-4'!$S$1), "", 'Fields 1-4'!B12)</f>
        <v/>
      </c>
      <c r="C12" s="3" t="str">
        <f>IF(ISBLANK('Fields 1-4'!$S$1), "", 'Fields 1-4'!C12)</f>
        <v/>
      </c>
      <c r="D12" s="49" t="str">
        <f>IF(ISBLANK('Fields 1-4'!$S$1), "", 'Fields 1-4'!D12)</f>
        <v/>
      </c>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13" t="str">
        <f>IF(ISBLANK('Fields 1-4'!$S$1), "", 'Fields 1-4'!B13)</f>
        <v/>
      </c>
      <c r="C13" s="3" t="str">
        <f>IF(ISBLANK('Fields 1-4'!$S$1), "", 'Fields 1-4'!C13)</f>
        <v/>
      </c>
      <c r="D13" s="49" t="str">
        <f>IF(ISBLANK('Fields 1-4'!$S$1), "", 'Fields 1-4'!D13)</f>
        <v/>
      </c>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13" t="str">
        <f>IF(ISBLANK('Fields 1-4'!$S$1), "", 'Fields 1-4'!B14)</f>
        <v/>
      </c>
      <c r="C14" s="3" t="str">
        <f>IF(ISBLANK('Fields 1-4'!$S$1), "", 'Fields 1-4'!C14)</f>
        <v/>
      </c>
      <c r="D14" s="49" t="str">
        <f>IF(ISBLANK('Fields 1-4'!$S$1), "", 'Fields 1-4'!D14)</f>
        <v/>
      </c>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13" t="str">
        <f>IF(ISBLANK('Fields 1-4'!$S$1), "", 'Fields 1-4'!B15)</f>
        <v/>
      </c>
      <c r="C15" s="3" t="str">
        <f>IF(ISBLANK('Fields 1-4'!$S$1), "", 'Fields 1-4'!C15)</f>
        <v/>
      </c>
      <c r="D15" s="49" t="str">
        <f>IF(ISBLANK('Fields 1-4'!$S$1), "", 'Fields 1-4'!D15)</f>
        <v/>
      </c>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13" t="str">
        <f>IF(ISBLANK('Fields 1-4'!$S$1), "", 'Fields 1-4'!B16)</f>
        <v/>
      </c>
      <c r="C16" s="3" t="str">
        <f>IF(ISBLANK('Fields 1-4'!$S$1), "", 'Fields 1-4'!C16)</f>
        <v/>
      </c>
      <c r="D16" s="49" t="str">
        <f>IF(ISBLANK('Fields 1-4'!$S$1), "", 'Fields 1-4'!D16)</f>
        <v/>
      </c>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13" t="str">
        <f>IF(ISBLANK('Fields 1-4'!$S$1), "", 'Fields 1-4'!B17)</f>
        <v/>
      </c>
      <c r="C17" s="3" t="str">
        <f>IF(ISBLANK('Fields 1-4'!$S$1), "", 'Fields 1-4'!C17)</f>
        <v/>
      </c>
      <c r="D17" s="49" t="str">
        <f>IF(ISBLANK('Fields 1-4'!$S$1), "", 'Fields 1-4'!D17)</f>
        <v/>
      </c>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13" t="str">
        <f>IF(ISBLANK('Fields 1-4'!$S$1), "", 'Fields 1-4'!B18)</f>
        <v/>
      </c>
      <c r="C18" s="3" t="str">
        <f>IF(ISBLANK('Fields 1-4'!$S$1), "", 'Fields 1-4'!C18)</f>
        <v/>
      </c>
      <c r="D18" s="49" t="str">
        <f>IF(ISBLANK('Fields 1-4'!$S$1), "", 'Fields 1-4'!D18)</f>
        <v/>
      </c>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13" t="str">
        <f>IF(ISBLANK('Fields 1-4'!$S$1), "", 'Fields 1-4'!B19)</f>
        <v/>
      </c>
      <c r="C19" s="3" t="str">
        <f>IF(ISBLANK('Fields 1-4'!$S$1), "", 'Fields 1-4'!C19)</f>
        <v/>
      </c>
      <c r="D19" s="49" t="str">
        <f>IF(ISBLANK('Fields 1-4'!$S$1), "", 'Fields 1-4'!D19)</f>
        <v/>
      </c>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13" t="str">
        <f>IF(ISBLANK('Fields 1-4'!$S$1), "", 'Fields 1-4'!B20)</f>
        <v/>
      </c>
      <c r="C20" s="3" t="str">
        <f>IF(ISBLANK('Fields 1-4'!$S$1), "", 'Fields 1-4'!C20)</f>
        <v/>
      </c>
      <c r="D20" s="49" t="str">
        <f>IF(ISBLANK('Fields 1-4'!$S$1), "", 'Fields 1-4'!D20)</f>
        <v/>
      </c>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13" t="str">
        <f>IF(ISBLANK('Fields 1-4'!$S$1), "", 'Fields 1-4'!B21)</f>
        <v/>
      </c>
      <c r="C21" s="3" t="str">
        <f>IF(ISBLANK('Fields 1-4'!$S$1), "", 'Fields 1-4'!C21)</f>
        <v/>
      </c>
      <c r="D21" s="49" t="str">
        <f>IF(ISBLANK('Fields 1-4'!$S$1), "", 'Fields 1-4'!D21)</f>
        <v/>
      </c>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13" t="str">
        <f>IF(ISBLANK('Fields 1-4'!$S$1), "", 'Fields 1-4'!B22)</f>
        <v/>
      </c>
      <c r="C22" s="3" t="str">
        <f>IF(ISBLANK('Fields 1-4'!$S$1), "", 'Fields 1-4'!C22)</f>
        <v/>
      </c>
      <c r="D22" s="49" t="str">
        <f>IF(ISBLANK('Fields 1-4'!$S$1), "", 'Fields 1-4'!D22)</f>
        <v/>
      </c>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13" t="str">
        <f>IF(ISBLANK('Fields 1-4'!$S$1), "", 'Fields 1-4'!B23)</f>
        <v/>
      </c>
      <c r="C23" s="3" t="str">
        <f>IF(ISBLANK('Fields 1-4'!$S$1), "", 'Fields 1-4'!C23)</f>
        <v/>
      </c>
      <c r="D23" s="49" t="str">
        <f>IF(ISBLANK('Fields 1-4'!$S$1), "", 'Fields 1-4'!D23)</f>
        <v/>
      </c>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13" t="str">
        <f>IF(ISBLANK('Fields 1-4'!$S$1), "", 'Fields 1-4'!B24)</f>
        <v/>
      </c>
      <c r="C24" s="3" t="str">
        <f>IF(ISBLANK('Fields 1-4'!$S$1), "", 'Fields 1-4'!C24)</f>
        <v/>
      </c>
      <c r="D24" s="49" t="str">
        <f>IF(ISBLANK('Fields 1-4'!$S$1), "", 'Fields 1-4'!D24)</f>
        <v/>
      </c>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13" t="str">
        <f>IF(ISBLANK('Fields 1-4'!$S$1), "", 'Fields 1-4'!B25)</f>
        <v/>
      </c>
      <c r="C25" s="3" t="str">
        <f>IF(ISBLANK('Fields 1-4'!$S$1), "", 'Fields 1-4'!C25)</f>
        <v/>
      </c>
      <c r="D25" s="49" t="str">
        <f>IF(ISBLANK('Fields 1-4'!$S$1), "", 'Fields 1-4'!D25)</f>
        <v/>
      </c>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13" t="str">
        <f>IF(ISBLANK('Fields 1-4'!$S$1), "", 'Fields 1-4'!B26)</f>
        <v/>
      </c>
      <c r="C26" s="3" t="str">
        <f>IF(ISBLANK('Fields 1-4'!$S$1), "", 'Fields 1-4'!C26)</f>
        <v/>
      </c>
      <c r="D26" s="49" t="str">
        <f>IF(ISBLANK('Fields 1-4'!$S$1), "", 'Fields 1-4'!D26)</f>
        <v/>
      </c>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13" t="str">
        <f>IF(ISBLANK('Fields 1-4'!$S$1), "", 'Fields 1-4'!B27)</f>
        <v/>
      </c>
      <c r="C27" s="3" t="str">
        <f>IF(ISBLANK('Fields 1-4'!$S$1), "", 'Fields 1-4'!C27)</f>
        <v/>
      </c>
      <c r="D27" s="49" t="str">
        <f>IF(ISBLANK('Fields 1-4'!$S$1), "", 'Fields 1-4'!D27)</f>
        <v/>
      </c>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13" t="str">
        <f>IF(ISBLANK('Fields 1-4'!$S$1), "", 'Fields 1-4'!B28)</f>
        <v/>
      </c>
      <c r="C28" s="3" t="str">
        <f>IF(ISBLANK('Fields 1-4'!$S$1), "", 'Fields 1-4'!C28)</f>
        <v/>
      </c>
      <c r="D28" s="49" t="str">
        <f>IF(ISBLANK('Fields 1-4'!$S$1), "", 'Fields 1-4'!D28)</f>
        <v/>
      </c>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13" t="str">
        <f>IF(ISBLANK('Fields 1-4'!$S$1), "", 'Fields 1-4'!B29)</f>
        <v/>
      </c>
      <c r="C29" s="3" t="str">
        <f>IF(ISBLANK('Fields 1-4'!$S$1), "", 'Fields 1-4'!C29)</f>
        <v/>
      </c>
      <c r="D29" s="49" t="str">
        <f>IF(ISBLANK('Fields 1-4'!$S$1), "", 'Fields 1-4'!D29)</f>
        <v/>
      </c>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13" t="str">
        <f>IF(ISBLANK('Fields 1-4'!$S$1), "", 'Fields 1-4'!B30)</f>
        <v/>
      </c>
      <c r="C30" s="3" t="str">
        <f>IF(ISBLANK('Fields 1-4'!$S$1), "", 'Fields 1-4'!C30)</f>
        <v/>
      </c>
      <c r="D30" s="49" t="str">
        <f>IF(ISBLANK('Fields 1-4'!$S$1), "", 'Fields 1-4'!D30)</f>
        <v/>
      </c>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13" t="str">
        <f>IF(ISBLANK('Fields 1-4'!$S$1), "", 'Fields 1-4'!B31)</f>
        <v/>
      </c>
      <c r="C31" s="3" t="str">
        <f>IF(ISBLANK('Fields 1-4'!$S$1), "", 'Fields 1-4'!C31)</f>
        <v/>
      </c>
      <c r="D31" s="49" t="str">
        <f>IF(ISBLANK('Fields 1-4'!$S$1), "", 'Fields 1-4'!D31)</f>
        <v/>
      </c>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13" t="str">
        <f>IF(ISBLANK('Fields 1-4'!$S$1), "", 'Fields 1-4'!B32)</f>
        <v/>
      </c>
      <c r="C32" s="3" t="str">
        <f>IF(ISBLANK('Fields 1-4'!$S$1), "", 'Fields 1-4'!C32)</f>
        <v/>
      </c>
      <c r="D32" s="49" t="str">
        <f>IF(ISBLANK('Fields 1-4'!$S$1), "", 'Fields 1-4'!D32)</f>
        <v/>
      </c>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13" t="str">
        <f>IF(ISBLANK('Fields 1-4'!$S$1), "", 'Fields 1-4'!B33)</f>
        <v/>
      </c>
      <c r="C33" s="3" t="str">
        <f>IF(ISBLANK('Fields 1-4'!$S$1), "", 'Fields 1-4'!C33)</f>
        <v/>
      </c>
      <c r="D33" s="49" t="str">
        <f>IF(ISBLANK('Fields 1-4'!$S$1), "", 'Fields 1-4'!D33)</f>
        <v/>
      </c>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13" t="str">
        <f>IF(ISBLANK('Fields 1-4'!$S$1), "", 'Fields 1-4'!B34)</f>
        <v/>
      </c>
      <c r="C34" s="3" t="str">
        <f>IF(ISBLANK('Fields 1-4'!$S$1), "", 'Fields 1-4'!C34)</f>
        <v/>
      </c>
      <c r="D34" s="49" t="str">
        <f>IF(ISBLANK('Fields 1-4'!$S$1), "", 'Fields 1-4'!D34)</f>
        <v/>
      </c>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13" t="str">
        <f>IF(ISBLANK('Fields 1-4'!$S$1), "", 'Fields 1-4'!B35)</f>
        <v/>
      </c>
      <c r="C35" s="3" t="str">
        <f>IF(ISBLANK('Fields 1-4'!$S$1), "", 'Fields 1-4'!C35)</f>
        <v/>
      </c>
      <c r="D35" s="49" t="str">
        <f>IF(ISBLANK('Fields 1-4'!$S$1), "", 'Fields 1-4'!D35)</f>
        <v/>
      </c>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13" t="str">
        <f>IF(ISBLANK('Fields 1-4'!$S$1), "", 'Fields 1-4'!B36)</f>
        <v/>
      </c>
      <c r="C36" s="3" t="str">
        <f>IF(ISBLANK('Fields 1-4'!$S$1), "", 'Fields 1-4'!C36)</f>
        <v/>
      </c>
      <c r="D36" s="49" t="str">
        <f>IF(ISBLANK('Fields 1-4'!$S$1), "", 'Fields 1-4'!D36)</f>
        <v/>
      </c>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13" t="str">
        <f>IF(ISBLANK('Fields 1-4'!$S$1), "", 'Fields 1-4'!B37)</f>
        <v/>
      </c>
      <c r="C37" s="3" t="str">
        <f>IF(ISBLANK('Fields 1-4'!$S$1), "", 'Fields 1-4'!C37)</f>
        <v/>
      </c>
      <c r="D37" s="49" t="str">
        <f>IF(ISBLANK('Fields 1-4'!$S$1), "", 'Fields 1-4'!D37)</f>
        <v/>
      </c>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13" t="str">
        <f>IF(ISBLANK('Fields 1-4'!$S$1), "", 'Fields 1-4'!B38)</f>
        <v/>
      </c>
      <c r="C38" s="3" t="str">
        <f>IF(ISBLANK('Fields 1-4'!$S$1), "", 'Fields 1-4'!C38)</f>
        <v/>
      </c>
      <c r="D38" s="49" t="str">
        <f>IF(ISBLANK('Fields 1-4'!$S$1), "", 'Fields 1-4'!D38)</f>
        <v/>
      </c>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13" t="str">
        <f>IF(ISBLANK('Fields 1-4'!$S$1), "", 'Fields 1-4'!B39)</f>
        <v/>
      </c>
      <c r="C39" s="3" t="str">
        <f>IF(ISBLANK('Fields 1-4'!$S$1), "", 'Fields 1-4'!C39)</f>
        <v/>
      </c>
      <c r="D39" s="49" t="str">
        <f>IF(ISBLANK('Fields 1-4'!$S$1), "", 'Fields 1-4'!D39)</f>
        <v/>
      </c>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14" t="str">
        <f>IF(ISBLANK('Fields 1-4'!$S$1), "", 'Fields 1-4'!B40)</f>
        <v/>
      </c>
      <c r="C40" s="12" t="str">
        <f>IF(ISBLANK('Fields 1-4'!$S$1), "", 'Fields 1-4'!C40)</f>
        <v/>
      </c>
      <c r="D40" s="50" t="str">
        <f>IF(ISBLANK('Fields 1-4'!$S$1), "", 'Fields 1-4'!D40)</f>
        <v/>
      </c>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f>IF(ISBLANK($S1)," ",SUM(G10:G40))</f>
        <v>0</v>
      </c>
      <c r="H41" s="37"/>
      <c r="I41" s="58">
        <f>IF(ISBLANK($S1)," ",SUM(I10:I40))</f>
        <v>0</v>
      </c>
      <c r="J41" s="38"/>
      <c r="K41" s="62">
        <f>IF(ISBLANK($S1)," ",SUM(K10:K40))</f>
        <v>0</v>
      </c>
      <c r="L41" s="39"/>
      <c r="M41" s="65">
        <f>IF(ISBLANK($S1)," ",SUM(M10:M40))</f>
        <v>0</v>
      </c>
      <c r="N41" s="40"/>
      <c r="O41" s="54">
        <f>IF(ISBLANK($S1)," ",SUM(O10:O40))</f>
        <v>0</v>
      </c>
      <c r="P41" s="37"/>
      <c r="Q41" s="58">
        <f>IF(ISBLANK($S1)," ",SUM(Q10:Q40))</f>
        <v>0</v>
      </c>
      <c r="R41" s="38"/>
      <c r="S41" s="62">
        <f>IF(ISBLANK($S1)," ",SUM(S10:S40))</f>
        <v>0</v>
      </c>
      <c r="T41" s="39"/>
      <c r="U41" s="65">
        <f>IF(ISBLANK($S1)," ",SUM(U10:U40))</f>
        <v>0</v>
      </c>
      <c r="V41" s="41"/>
    </row>
    <row r="42" spans="1:22" ht="15" customHeight="1" thickBot="1">
      <c r="A42" s="124" t="s">
        <v>154</v>
      </c>
      <c r="B42" s="125"/>
      <c r="C42" s="125"/>
      <c r="D42" s="126"/>
      <c r="E42" s="126"/>
      <c r="F42" s="12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showInputMessage="1" showErrorMessage="1" sqref="B10:D40"/>
    <dataValidation showInputMessage="1" showErrorMessage="1" sqref="V1"/>
    <dataValidation showInputMessage="1" showErrorMessage="1" sqref="S1:T1"/>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80" t="s">
        <v>166</v>
      </c>
      <c r="B1" s="180"/>
      <c r="C1" s="180"/>
      <c r="D1" s="180"/>
      <c r="E1" s="180"/>
      <c r="F1" s="180"/>
      <c r="G1" s="180"/>
      <c r="H1" s="180"/>
      <c r="I1" s="180"/>
      <c r="J1" s="180"/>
      <c r="K1" s="180"/>
      <c r="L1" s="180"/>
      <c r="M1" s="180"/>
      <c r="N1" s="180"/>
      <c r="O1" s="180"/>
      <c r="P1" s="180"/>
      <c r="Q1" s="180"/>
      <c r="R1" s="180"/>
      <c r="S1" s="180"/>
      <c r="T1" s="180"/>
      <c r="U1" s="181"/>
      <c r="V1" s="181"/>
    </row>
    <row r="2" spans="1:22" ht="30" customHeight="1">
      <c r="A2" s="180" t="s">
        <v>167</v>
      </c>
      <c r="B2" s="180"/>
      <c r="C2" s="180"/>
      <c r="D2" s="180"/>
      <c r="E2" s="180"/>
      <c r="F2" s="180"/>
      <c r="G2" s="180"/>
      <c r="H2" s="180"/>
      <c r="I2" s="180"/>
      <c r="J2" s="180"/>
      <c r="K2" s="180"/>
      <c r="L2" s="180"/>
      <c r="M2" s="180"/>
      <c r="N2" s="180"/>
      <c r="O2" s="180"/>
      <c r="P2" s="180"/>
      <c r="Q2" s="180"/>
      <c r="R2" s="180"/>
      <c r="S2" s="180"/>
      <c r="T2" s="180"/>
      <c r="U2" s="181"/>
      <c r="V2" s="181"/>
    </row>
    <row r="3" spans="1:22" ht="30" customHeight="1">
      <c r="A3" s="180" t="s">
        <v>168</v>
      </c>
      <c r="B3" s="180"/>
      <c r="C3" s="180"/>
      <c r="D3" s="180"/>
      <c r="E3" s="180"/>
      <c r="F3" s="180"/>
      <c r="G3" s="180"/>
      <c r="H3" s="180"/>
      <c r="I3" s="180"/>
      <c r="J3" s="180"/>
      <c r="K3" s="180"/>
      <c r="L3" s="180"/>
      <c r="M3" s="180"/>
      <c r="N3" s="180"/>
      <c r="O3" s="180"/>
      <c r="P3" s="180"/>
      <c r="Q3" s="180"/>
      <c r="R3" s="180"/>
      <c r="S3" s="180"/>
      <c r="T3" s="180"/>
      <c r="U3" s="181"/>
      <c r="V3" s="181"/>
    </row>
    <row r="4" spans="1:22" ht="30" customHeight="1">
      <c r="A4" s="180" t="s">
        <v>169</v>
      </c>
      <c r="B4" s="180"/>
      <c r="C4" s="180"/>
      <c r="D4" s="180"/>
      <c r="E4" s="180"/>
      <c r="F4" s="180"/>
      <c r="G4" s="180"/>
      <c r="H4" s="180"/>
      <c r="I4" s="180"/>
      <c r="J4" s="180"/>
      <c r="K4" s="180"/>
      <c r="L4" s="180"/>
      <c r="M4" s="180"/>
      <c r="N4" s="180"/>
      <c r="O4" s="180"/>
      <c r="P4" s="180"/>
      <c r="Q4" s="180"/>
      <c r="R4" s="180"/>
      <c r="S4" s="180"/>
      <c r="T4" s="180"/>
      <c r="U4" s="181"/>
      <c r="V4" s="181"/>
    </row>
    <row r="5" spans="1:22" ht="30" customHeight="1">
      <c r="A5" s="180" t="s">
        <v>170</v>
      </c>
      <c r="B5" s="180"/>
      <c r="C5" s="180"/>
      <c r="D5" s="180"/>
      <c r="E5" s="180"/>
      <c r="F5" s="180"/>
      <c r="G5" s="180"/>
      <c r="H5" s="180"/>
      <c r="I5" s="180"/>
      <c r="J5" s="180"/>
      <c r="K5" s="180"/>
      <c r="L5" s="180"/>
      <c r="M5" s="180"/>
      <c r="N5" s="180"/>
      <c r="O5" s="180"/>
      <c r="P5" s="180"/>
      <c r="Q5" s="180"/>
      <c r="R5" s="180"/>
      <c r="S5" s="180"/>
      <c r="T5" s="180"/>
      <c r="U5" s="181"/>
      <c r="V5" s="181"/>
    </row>
    <row r="6" spans="1:22" ht="30" customHeight="1" thickBot="1">
      <c r="A6" s="182" t="s">
        <v>130</v>
      </c>
      <c r="B6" s="183"/>
      <c r="C6" s="183"/>
      <c r="D6" s="183"/>
      <c r="E6" s="183"/>
      <c r="F6" s="183"/>
      <c r="G6" s="183"/>
      <c r="H6" s="183"/>
      <c r="I6" s="183"/>
      <c r="J6" s="183"/>
      <c r="K6" s="183"/>
      <c r="L6" s="183"/>
      <c r="M6" s="183"/>
      <c r="N6" s="183"/>
      <c r="O6" s="183"/>
      <c r="P6" s="183"/>
      <c r="Q6" s="183"/>
      <c r="R6" s="183"/>
      <c r="S6" s="183"/>
      <c r="T6" s="183"/>
      <c r="U6" s="183"/>
      <c r="V6" s="183"/>
    </row>
    <row r="7" spans="1:22" ht="138.75" customHeight="1" thickBot="1">
      <c r="A7" s="184"/>
      <c r="B7" s="185"/>
      <c r="C7" s="185"/>
      <c r="D7" s="185"/>
      <c r="E7" s="185"/>
      <c r="F7" s="185"/>
      <c r="G7" s="185"/>
      <c r="H7" s="185"/>
      <c r="I7" s="185"/>
      <c r="J7" s="185"/>
      <c r="K7" s="185"/>
      <c r="L7" s="185"/>
      <c r="M7" s="185"/>
      <c r="N7" s="185"/>
      <c r="O7" s="185"/>
      <c r="P7" s="185"/>
      <c r="Q7" s="185"/>
      <c r="R7" s="185"/>
      <c r="S7" s="185"/>
      <c r="T7" s="185"/>
      <c r="U7" s="185"/>
      <c r="V7" s="186"/>
    </row>
    <row r="8" spans="1:22" ht="15" customHeight="1" thickBot="1">
      <c r="A8" s="187"/>
      <c r="B8" s="188"/>
      <c r="C8" s="188"/>
      <c r="D8" s="188"/>
      <c r="E8" s="188"/>
      <c r="F8" s="188"/>
      <c r="G8" s="188"/>
      <c r="H8" s="188"/>
      <c r="I8" s="188"/>
      <c r="J8" s="188"/>
      <c r="K8" s="188"/>
      <c r="L8" s="188"/>
      <c r="M8" s="188"/>
      <c r="N8" s="188"/>
      <c r="O8" s="188"/>
      <c r="P8" s="188"/>
      <c r="Q8" s="188"/>
      <c r="R8" s="188"/>
      <c r="S8" s="188"/>
      <c r="T8" s="188"/>
      <c r="U8" s="188"/>
      <c r="V8" s="188"/>
    </row>
    <row r="9" spans="1:22" ht="30.75" customHeight="1" thickBot="1">
      <c r="A9" s="162" t="s">
        <v>10</v>
      </c>
      <c r="B9" s="188"/>
      <c r="C9" s="188"/>
      <c r="D9" s="188"/>
      <c r="E9" s="188"/>
      <c r="F9" s="188"/>
      <c r="G9" s="188"/>
      <c r="H9" s="188"/>
      <c r="I9" s="188"/>
      <c r="J9" s="188"/>
      <c r="K9" s="188"/>
      <c r="L9" s="189"/>
      <c r="M9" s="190" t="s">
        <v>11</v>
      </c>
      <c r="N9" s="188"/>
      <c r="O9" s="188"/>
      <c r="P9" s="188"/>
      <c r="Q9" s="188"/>
      <c r="R9" s="188"/>
      <c r="S9" s="188"/>
      <c r="T9" s="188"/>
      <c r="U9" s="188"/>
      <c r="V9" s="191"/>
    </row>
    <row r="10" spans="1:22" ht="30.75" customHeight="1">
      <c r="A10" s="194" t="s">
        <v>135</v>
      </c>
      <c r="B10" s="195"/>
      <c r="C10" s="196"/>
      <c r="D10" s="197"/>
      <c r="E10" s="197"/>
      <c r="F10" s="197"/>
      <c r="G10" s="197"/>
      <c r="H10" s="197"/>
      <c r="I10" s="197"/>
      <c r="J10" s="197"/>
      <c r="K10" s="197"/>
      <c r="L10" s="198"/>
      <c r="M10" s="199" t="s">
        <v>131</v>
      </c>
      <c r="N10" s="195"/>
      <c r="O10" s="200"/>
      <c r="P10" s="200"/>
      <c r="Q10" s="200"/>
      <c r="R10" s="200"/>
      <c r="S10" s="200"/>
      <c r="T10" s="200"/>
      <c r="U10" s="200"/>
      <c r="V10" s="201"/>
    </row>
    <row r="11" spans="1:22" ht="30.75" customHeight="1">
      <c r="A11" s="202" t="s">
        <v>136</v>
      </c>
      <c r="B11" s="203"/>
      <c r="C11" s="203"/>
      <c r="D11" s="204"/>
      <c r="E11" s="205"/>
      <c r="F11" s="206"/>
      <c r="G11" s="206"/>
      <c r="H11" s="206"/>
      <c r="I11" s="206"/>
      <c r="J11" s="206"/>
      <c r="K11" s="206"/>
      <c r="L11" s="105"/>
      <c r="M11" s="207" t="s">
        <v>132</v>
      </c>
      <c r="N11" s="203"/>
      <c r="O11" s="208"/>
      <c r="P11" s="209"/>
      <c r="Q11" s="209"/>
      <c r="R11" s="209"/>
      <c r="S11" s="209"/>
      <c r="T11" s="209"/>
      <c r="U11" s="209"/>
      <c r="V11" s="210"/>
    </row>
    <row r="12" spans="1:22" ht="30.75" customHeight="1">
      <c r="A12" s="202" t="s">
        <v>137</v>
      </c>
      <c r="B12" s="203"/>
      <c r="C12" s="208"/>
      <c r="D12" s="208"/>
      <c r="E12" s="211"/>
      <c r="F12" s="212" t="s">
        <v>12</v>
      </c>
      <c r="G12" s="203"/>
      <c r="H12" s="203"/>
      <c r="I12" s="205"/>
      <c r="J12" s="213"/>
      <c r="K12" s="213"/>
      <c r="L12" s="214"/>
      <c r="M12" s="207" t="s">
        <v>133</v>
      </c>
      <c r="N12" s="203"/>
      <c r="O12" s="203"/>
      <c r="P12" s="192"/>
      <c r="Q12" s="181"/>
      <c r="R12" s="181"/>
      <c r="S12" s="181"/>
      <c r="T12" s="181"/>
      <c r="U12" s="181"/>
      <c r="V12" s="193"/>
    </row>
    <row r="13" spans="1:22" ht="30.75" customHeight="1">
      <c r="A13" s="218" t="s">
        <v>157</v>
      </c>
      <c r="B13" s="213"/>
      <c r="C13" s="213"/>
      <c r="D13" s="213"/>
      <c r="E13" s="213"/>
      <c r="F13" s="213"/>
      <c r="G13" s="213"/>
      <c r="H13" s="213"/>
      <c r="I13" s="213"/>
      <c r="J13" s="213"/>
      <c r="K13" s="213"/>
      <c r="L13" s="214"/>
      <c r="M13" s="207" t="s">
        <v>134</v>
      </c>
      <c r="N13" s="219"/>
      <c r="O13" s="205"/>
      <c r="P13" s="213"/>
      <c r="Q13" s="213"/>
      <c r="R13" s="220" t="s">
        <v>156</v>
      </c>
      <c r="S13" s="219"/>
      <c r="T13" s="221"/>
      <c r="U13" s="222"/>
      <c r="V13" s="223"/>
    </row>
    <row r="14" spans="1:22" ht="22.5" customHeight="1">
      <c r="A14" s="240"/>
      <c r="B14" s="217"/>
      <c r="C14" s="217"/>
      <c r="D14" s="217"/>
      <c r="E14" s="217"/>
      <c r="F14" s="217"/>
      <c r="G14" s="217"/>
      <c r="H14" s="217"/>
      <c r="I14" s="217"/>
      <c r="J14" s="243"/>
      <c r="K14" s="224"/>
      <c r="L14" s="244"/>
      <c r="M14" s="246"/>
      <c r="N14" s="217"/>
      <c r="O14" s="217"/>
      <c r="P14" s="217"/>
      <c r="Q14" s="217"/>
      <c r="R14" s="217"/>
      <c r="S14" s="217"/>
      <c r="T14" s="243"/>
      <c r="U14" s="224"/>
      <c r="V14" s="225"/>
    </row>
    <row r="15" spans="1:22" ht="22.5" customHeight="1">
      <c r="A15" s="241"/>
      <c r="B15" s="242"/>
      <c r="C15" s="242"/>
      <c r="D15" s="242"/>
      <c r="E15" s="242"/>
      <c r="F15" s="242"/>
      <c r="G15" s="242"/>
      <c r="H15" s="242"/>
      <c r="I15" s="242"/>
      <c r="J15" s="243"/>
      <c r="K15" s="226"/>
      <c r="L15" s="245"/>
      <c r="M15" s="247"/>
      <c r="N15" s="242"/>
      <c r="O15" s="242"/>
      <c r="P15" s="242"/>
      <c r="Q15" s="242"/>
      <c r="R15" s="242"/>
      <c r="S15" s="242"/>
      <c r="T15" s="243"/>
      <c r="U15" s="226"/>
      <c r="V15" s="227"/>
    </row>
    <row r="16" spans="1:22" ht="30" customHeight="1">
      <c r="A16" s="228" t="s">
        <v>13</v>
      </c>
      <c r="B16" s="229"/>
      <c r="C16" s="229"/>
      <c r="D16" s="229"/>
      <c r="E16" s="229"/>
      <c r="F16" s="229"/>
      <c r="G16" s="229"/>
      <c r="H16" s="229"/>
      <c r="I16" s="229"/>
      <c r="J16" s="243"/>
      <c r="K16" s="230" t="s">
        <v>1</v>
      </c>
      <c r="L16" s="231"/>
      <c r="M16" s="232" t="s">
        <v>13</v>
      </c>
      <c r="N16" s="229"/>
      <c r="O16" s="229"/>
      <c r="P16" s="229"/>
      <c r="Q16" s="229"/>
      <c r="R16" s="229"/>
      <c r="S16" s="229"/>
      <c r="T16" s="243"/>
      <c r="U16" s="230" t="s">
        <v>1</v>
      </c>
      <c r="V16" s="233"/>
    </row>
    <row r="17" spans="1:22" ht="68.25" customHeight="1" thickBot="1">
      <c r="A17" s="234" t="s">
        <v>14</v>
      </c>
      <c r="B17" s="235"/>
      <c r="C17" s="235"/>
      <c r="D17" s="235"/>
      <c r="E17" s="235"/>
      <c r="F17" s="235"/>
      <c r="G17" s="235"/>
      <c r="H17" s="235"/>
      <c r="I17" s="235"/>
      <c r="J17" s="235"/>
      <c r="K17" s="235"/>
      <c r="L17" s="236"/>
      <c r="M17" s="237" t="s">
        <v>15</v>
      </c>
      <c r="N17" s="238"/>
      <c r="O17" s="238"/>
      <c r="P17" s="238"/>
      <c r="Q17" s="238"/>
      <c r="R17" s="238"/>
      <c r="S17" s="238"/>
      <c r="T17" s="238"/>
      <c r="U17" s="238"/>
      <c r="V17" s="239"/>
    </row>
    <row r="18" spans="1:22" ht="15" customHeight="1">
      <c r="A18" s="248"/>
      <c r="B18" s="248"/>
      <c r="C18" s="248"/>
      <c r="D18" s="248"/>
      <c r="E18" s="248"/>
      <c r="F18" s="248"/>
      <c r="G18" s="248"/>
      <c r="H18" s="248"/>
      <c r="I18" s="248"/>
      <c r="J18" s="248"/>
      <c r="K18" s="248"/>
      <c r="L18" s="248"/>
      <c r="M18" s="248"/>
      <c r="N18" s="248"/>
      <c r="O18" s="248"/>
      <c r="P18" s="248"/>
      <c r="Q18" s="248"/>
      <c r="R18" s="248"/>
      <c r="S18" s="248"/>
      <c r="T18" s="248"/>
      <c r="U18" s="249"/>
      <c r="V18" s="249"/>
    </row>
    <row r="19" spans="1:22" ht="15" customHeight="1">
      <c r="A19" s="215" t="s">
        <v>17</v>
      </c>
      <c r="B19" s="216"/>
      <c r="C19" s="216"/>
      <c r="D19" s="216"/>
      <c r="E19" s="216"/>
      <c r="F19" s="216"/>
      <c r="G19" s="216"/>
      <c r="H19" s="216"/>
      <c r="I19" s="216"/>
      <c r="J19" s="216"/>
      <c r="K19" s="216"/>
      <c r="L19" s="216"/>
      <c r="M19" s="216"/>
      <c r="N19" s="216"/>
      <c r="O19" s="216"/>
      <c r="P19" s="216"/>
      <c r="Q19" s="216"/>
      <c r="R19" s="216"/>
      <c r="S19" s="216"/>
      <c r="T19" s="216"/>
      <c r="U19" s="217"/>
      <c r="V19" s="217"/>
    </row>
    <row r="20" spans="1:22" ht="15" customHeight="1">
      <c r="A20" s="215" t="s">
        <v>2</v>
      </c>
      <c r="B20" s="216"/>
      <c r="C20" s="216"/>
      <c r="D20" s="216"/>
      <c r="E20" s="216"/>
      <c r="F20" s="216"/>
      <c r="G20" s="216"/>
      <c r="H20" s="216"/>
      <c r="I20" s="216"/>
      <c r="J20" s="216"/>
      <c r="K20" s="216"/>
      <c r="L20" s="216"/>
      <c r="M20" s="216"/>
      <c r="N20" s="216"/>
      <c r="O20" s="216"/>
      <c r="P20" s="216"/>
      <c r="Q20" s="216"/>
      <c r="R20" s="216"/>
      <c r="S20" s="216"/>
      <c r="T20" s="216"/>
      <c r="U20" s="217"/>
      <c r="V20" s="217"/>
    </row>
    <row r="21" spans="1:22" ht="15" customHeight="1">
      <c r="A21" s="215" t="s">
        <v>8</v>
      </c>
      <c r="B21" s="216"/>
      <c r="C21" s="216"/>
      <c r="D21" s="216"/>
      <c r="E21" s="216"/>
      <c r="F21" s="216"/>
      <c r="G21" s="216"/>
      <c r="H21" s="216"/>
      <c r="I21" s="216"/>
      <c r="J21" s="216"/>
      <c r="K21" s="216"/>
      <c r="L21" s="216"/>
      <c r="M21" s="216"/>
      <c r="N21" s="216"/>
      <c r="O21" s="216"/>
      <c r="P21" s="216"/>
      <c r="Q21" s="216"/>
      <c r="R21" s="216"/>
      <c r="S21" s="216"/>
      <c r="T21" s="216"/>
      <c r="U21" s="217"/>
      <c r="V21" s="217"/>
    </row>
    <row r="22" spans="1:22" ht="15" customHeight="1">
      <c r="A22" s="215" t="s">
        <v>0</v>
      </c>
      <c r="B22" s="216"/>
      <c r="C22" s="216"/>
      <c r="D22" s="216"/>
      <c r="E22" s="216"/>
      <c r="F22" s="216"/>
      <c r="G22" s="216"/>
      <c r="H22" s="216"/>
      <c r="I22" s="216"/>
      <c r="J22" s="216"/>
      <c r="K22" s="216"/>
      <c r="L22" s="216"/>
      <c r="M22" s="216"/>
      <c r="N22" s="216"/>
      <c r="O22" s="216"/>
      <c r="P22" s="216"/>
      <c r="Q22" s="216"/>
      <c r="R22" s="216"/>
      <c r="S22" s="216"/>
      <c r="T22" s="216"/>
      <c r="U22" s="217"/>
      <c r="V22" s="217"/>
    </row>
    <row r="23" spans="1:22" ht="15" customHeight="1">
      <c r="A23" s="215" t="s">
        <v>16</v>
      </c>
      <c r="B23" s="216"/>
      <c r="C23" s="216"/>
      <c r="D23" s="216"/>
      <c r="E23" s="216"/>
      <c r="F23" s="216"/>
      <c r="G23" s="216"/>
      <c r="H23" s="216"/>
      <c r="I23" s="216"/>
      <c r="J23" s="216"/>
      <c r="K23" s="216"/>
      <c r="L23" s="216"/>
      <c r="M23" s="216"/>
      <c r="N23" s="216"/>
      <c r="O23" s="216"/>
      <c r="P23" s="216"/>
      <c r="Q23" s="216"/>
      <c r="R23" s="216"/>
      <c r="S23" s="216"/>
      <c r="T23" s="216"/>
      <c r="U23" s="217"/>
      <c r="V23" s="217"/>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50" t="s">
        <v>171</v>
      </c>
      <c r="B18" s="251"/>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Fields 1-4</vt:lpstr>
      <vt:lpstr>Fields 5-8</vt:lpstr>
      <vt:lpstr>Field 9</vt:lpstr>
      <vt:lpstr>Certification Page</vt:lpstr>
      <vt:lpstr>Formulas &amp; Weather Codes</vt:lpstr>
      <vt:lpstr>Dropdown Menu</vt:lpstr>
      <vt:lpstr>County</vt:lpstr>
      <vt:lpstr>Month</vt:lpstr>
      <vt:lpstr>'Certification Page'!Print_Area</vt:lpstr>
      <vt:lpstr>'Field 9'!Print_Area</vt:lpstr>
      <vt:lpstr>'Fields 1-4'!Print_Area</vt:lpstr>
      <vt:lpstr>'Fields 5-8'!Print_Area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2012-04-23T20:03:28Z</dcterms:modified>
</cp:coreProperties>
</file>