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60" windowWidth="15450" windowHeight="9690"/>
  </bookViews>
  <sheets>
    <sheet name="Table 2June2013" sheetId="4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J19" i="4" l="1"/>
  <c r="K19" i="4" s="1"/>
  <c r="J18" i="4"/>
  <c r="K18" i="4" s="1"/>
  <c r="J17" i="4"/>
  <c r="K17" i="4" s="1"/>
  <c r="J16" i="4"/>
  <c r="K16" i="4" s="1"/>
  <c r="J15" i="4"/>
  <c r="K15" i="4" s="1"/>
  <c r="J14" i="4"/>
  <c r="K14" i="4" s="1"/>
  <c r="E19" i="4"/>
  <c r="F19" i="4" s="1"/>
  <c r="E18" i="4"/>
  <c r="F18" i="4" s="1"/>
  <c r="E17" i="4"/>
  <c r="F17" i="4" s="1"/>
  <c r="E16" i="4"/>
  <c r="F16" i="4" s="1"/>
  <c r="F15" i="4"/>
  <c r="E15" i="4"/>
  <c r="E14" i="4"/>
  <c r="F14" i="4" s="1"/>
  <c r="J11" i="4"/>
  <c r="K11" i="4" s="1"/>
  <c r="J10" i="4"/>
  <c r="K10" i="4" s="1"/>
  <c r="J9" i="4"/>
  <c r="K9" i="4" s="1"/>
  <c r="J8" i="4"/>
  <c r="K8" i="4" s="1"/>
  <c r="J7" i="4"/>
  <c r="K7" i="4" s="1"/>
  <c r="J6" i="4"/>
  <c r="K6" i="4" s="1"/>
  <c r="E11" i="4"/>
  <c r="F11" i="4" s="1"/>
  <c r="E10" i="4"/>
  <c r="F10" i="4" s="1"/>
  <c r="E9" i="4"/>
  <c r="F9" i="4" s="1"/>
  <c r="E8" i="4"/>
  <c r="F8" i="4" s="1"/>
  <c r="E7" i="4"/>
  <c r="F7" i="4" s="1"/>
  <c r="E6" i="4"/>
  <c r="F6" i="4" s="1"/>
</calcChain>
</file>

<file path=xl/sharedStrings.xml><?xml version="1.0" encoding="utf-8"?>
<sst xmlns="http://schemas.openxmlformats.org/spreadsheetml/2006/main" count="29" uniqueCount="19">
  <si>
    <t>Truck</t>
  </si>
  <si>
    <t>Ocean</t>
  </si>
  <si>
    <t>Total transportation</t>
  </si>
  <si>
    <t>Landed cost</t>
  </si>
  <si>
    <t>Transport % of landed cost</t>
  </si>
  <si>
    <t xml:space="preserve"> Source: ESALQ/ USP (University of São Paulo, Brazil) and USDA/AMS</t>
  </si>
  <si>
    <r>
      <rPr>
        <vertAlign val="superscript"/>
        <sz val="9"/>
        <color theme="1"/>
        <rFont val="Calibri"/>
        <family val="2"/>
        <scheme val="minor"/>
      </rPr>
      <t>1</t>
    </r>
    <r>
      <rPr>
        <sz val="9"/>
        <color theme="1"/>
        <rFont val="Calibri"/>
        <family val="2"/>
        <scheme val="minor"/>
      </rPr>
      <t xml:space="preserve">Producing regions: RS = Rio Grande Do Sul, MT= Mato Grosso, GO = Goiás, PR = Paraná </t>
    </r>
  </si>
  <si>
    <r>
      <rPr>
        <vertAlign val="superscript"/>
        <sz val="9"/>
        <color theme="1"/>
        <rFont val="Calibri"/>
        <family val="2"/>
        <scheme val="minor"/>
      </rPr>
      <t>2</t>
    </r>
    <r>
      <rPr>
        <sz val="9"/>
        <color theme="1"/>
        <rFont val="Calibri"/>
        <family val="2"/>
        <scheme val="minor"/>
      </rPr>
      <t>Export ports</t>
    </r>
  </si>
  <si>
    <r>
      <rPr>
        <vertAlign val="superscript"/>
        <sz val="9"/>
        <color theme="1"/>
        <rFont val="Calibri"/>
        <family val="2"/>
        <scheme val="minor"/>
      </rPr>
      <t>3</t>
    </r>
    <r>
      <rPr>
        <sz val="9"/>
        <color theme="1"/>
        <rFont val="Calibri"/>
        <family val="2"/>
        <scheme val="minor"/>
      </rPr>
      <t>Source: Companhia Nacional de Abastecimento (CONAB) www.conab.gov.br</t>
    </r>
  </si>
  <si>
    <t>Table 2.  Quarterly costs of transporting Brazilian soybeans to Hamburg, Germany</t>
  </si>
  <si>
    <t>% Change</t>
  </si>
  <si>
    <r>
      <t>Farm price</t>
    </r>
    <r>
      <rPr>
        <vertAlign val="superscript"/>
        <sz val="11"/>
        <color theme="1"/>
        <rFont val="Calibri"/>
        <family val="2"/>
        <scheme val="minor"/>
      </rPr>
      <t>3</t>
    </r>
  </si>
  <si>
    <t>2013    2nd qtr</t>
  </si>
  <si>
    <t>Average Jan-June</t>
  </si>
  <si>
    <r>
      <t>North MT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 xml:space="preserve"> - Santos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        --US$/mt--</t>
    </r>
  </si>
  <si>
    <r>
      <t>North Center PR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 xml:space="preserve"> - Paranagua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                                                 --US$/mt--</t>
    </r>
  </si>
  <si>
    <r>
      <t xml:space="preserve">    Northwest RS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 xml:space="preserve"> - Rio Grande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                                             --US$/mt--</t>
    </r>
  </si>
  <si>
    <r>
      <t xml:space="preserve">       South GO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 xml:space="preserve"> - Santos</t>
    </r>
    <r>
      <rPr>
        <b/>
        <vertAlign val="superscript"/>
        <sz val="11"/>
        <color theme="1"/>
        <rFont val="Calibri"/>
        <family val="2"/>
        <scheme val="minor"/>
      </rPr>
      <t xml:space="preserve">2 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   --US$/mt--</t>
    </r>
  </si>
  <si>
    <t>2013      1st qtr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</si>
</sst>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.0"/>
    <numFmt numFmtId="165" formatCode="_-* #,##0.00_-;\-* #,##0.00_-;_-* &quot;-&quot;??_-;_-@_-"/>
    <numFmt numFmtId="166" formatCode="_(* #,##0.00_);_(* \(#,##0.00\);_(* \-??_);_(@_)"/>
  </numFmts>
  <fonts count="1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AF59F"/>
        <bgColor indexed="64"/>
      </patternFill>
    </fill>
    <fill>
      <patternFill patternType="solid">
        <fgColor rgb="FFFADD81"/>
        <bgColor indexed="64"/>
      </patternFill>
    </fill>
    <fill>
      <patternFill patternType="solid">
        <fgColor rgb="FFFAFAE6"/>
        <bgColor indexed="64"/>
      </patternFill>
    </fill>
    <fill>
      <patternFill patternType="solid">
        <fgColor rgb="FFFBFBC2"/>
        <bgColor indexed="64"/>
      </patternFill>
    </fill>
    <fill>
      <patternFill patternType="solid">
        <fgColor rgb="FFFFFFCC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9">
    <xf numFmtId="0" fontId="0" fillId="0" borderId="0"/>
    <xf numFmtId="9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2" fillId="0" borderId="0"/>
    <xf numFmtId="166" fontId="7" fillId="0" borderId="0" applyFill="0" applyBorder="0" applyAlignment="0" applyProtection="0"/>
    <xf numFmtId="0" fontId="11" fillId="0" borderId="0"/>
    <xf numFmtId="0" fontId="11" fillId="0" borderId="0"/>
    <xf numFmtId="0" fontId="11" fillId="6" borderId="14" applyNumberFormat="0" applyFont="0" applyAlignment="0" applyProtection="0"/>
    <xf numFmtId="0" fontId="11" fillId="6" borderId="14" applyNumberFormat="0" applyFont="0" applyAlignment="0" applyProtection="0"/>
    <xf numFmtId="9" fontId="7" fillId="0" borderId="0" applyFill="0" applyBorder="0" applyAlignment="0" applyProtection="0"/>
    <xf numFmtId="9" fontId="7" fillId="0" borderId="0" applyFill="0" applyBorder="0" applyAlignment="0" applyProtection="0"/>
    <xf numFmtId="166" fontId="7" fillId="0" borderId="0" applyFill="0" applyBorder="0" applyAlignment="0" applyProtection="0"/>
    <xf numFmtId="165" fontId="11" fillId="0" borderId="0" applyFont="0" applyFill="0" applyBorder="0" applyAlignment="0" applyProtection="0"/>
    <xf numFmtId="0" fontId="13" fillId="0" borderId="0"/>
  </cellStyleXfs>
  <cellXfs count="33">
    <xf numFmtId="0" fontId="0" fillId="0" borderId="0" xfId="0"/>
    <xf numFmtId="0" fontId="0" fillId="5" borderId="1" xfId="0" applyFill="1" applyBorder="1"/>
    <xf numFmtId="0" fontId="0" fillId="5" borderId="12" xfId="0" applyFill="1" applyBorder="1"/>
    <xf numFmtId="2" fontId="9" fillId="5" borderId="1" xfId="0" applyNumberFormat="1" applyFont="1" applyFill="1" applyBorder="1" applyAlignment="1">
      <alignment horizontal="center"/>
    </xf>
    <xf numFmtId="2" fontId="8" fillId="5" borderId="1" xfId="0" applyNumberFormat="1" applyFont="1" applyFill="1" applyBorder="1" applyAlignment="1">
      <alignment horizontal="center"/>
    </xf>
    <xf numFmtId="2" fontId="10" fillId="5" borderId="1" xfId="0" applyNumberFormat="1" applyFont="1" applyFill="1" applyBorder="1" applyAlignment="1">
      <alignment horizontal="center"/>
    </xf>
    <xf numFmtId="164" fontId="10" fillId="5" borderId="1" xfId="1" applyNumberFormat="1" applyFont="1" applyFill="1" applyBorder="1" applyAlignment="1">
      <alignment horizontal="center"/>
    </xf>
    <xf numFmtId="164" fontId="8" fillId="5" borderId="1" xfId="0" applyNumberFormat="1" applyFont="1" applyFill="1" applyBorder="1" applyAlignment="1">
      <alignment horizontal="center"/>
    </xf>
    <xf numFmtId="164" fontId="9" fillId="5" borderId="1" xfId="0" applyNumberFormat="1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5" fillId="3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3" xfId="0" applyFont="1" applyBorder="1"/>
    <xf numFmtId="0" fontId="1" fillId="0" borderId="0" xfId="0" applyFont="1" applyBorder="1"/>
    <xf numFmtId="0" fontId="1" fillId="0" borderId="4" xfId="0" applyFont="1" applyBorder="1"/>
    <xf numFmtId="0" fontId="5" fillId="4" borderId="1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</cellXfs>
  <cellStyles count="19">
    <cellStyle name="Comma 2" xfId="3"/>
    <cellStyle name="Comma 3" xfId="9"/>
    <cellStyle name="Normal" xfId="0" builtinId="0"/>
    <cellStyle name="Normal 2" xfId="4"/>
    <cellStyle name="Normal 2 2" xfId="5"/>
    <cellStyle name="Normal 3" xfId="2"/>
    <cellStyle name="Normal 3 2" xfId="10"/>
    <cellStyle name="Normal 4" xfId="8"/>
    <cellStyle name="Normal 5" xfId="11"/>
    <cellStyle name="Normal 6" xfId="18"/>
    <cellStyle name="Nota 2" xfId="12"/>
    <cellStyle name="Nota 2 2" xfId="13"/>
    <cellStyle name="Percent 2" xfId="1"/>
    <cellStyle name="Percent 3" xfId="6"/>
    <cellStyle name="Percent 4" xfId="14"/>
    <cellStyle name="Porcentagem 2" xfId="15"/>
    <cellStyle name="Separador de milhares 2" xfId="7"/>
    <cellStyle name="Separador de milhares 2 2" xfId="16"/>
    <cellStyle name="Separador de milhares 3" xfId="17"/>
  </cellStyles>
  <dxfs count="0"/>
  <tableStyles count="0" defaultTableStyle="TableStyleMedium9" defaultPivotStyle="PivotStyleLight16"/>
  <colors>
    <mruColors>
      <color rgb="FFFBFBC2"/>
      <color rgb="FFFAFAE6"/>
      <color rgb="FFFADD81"/>
      <color rgb="FFFAF59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K27"/>
  <sheetViews>
    <sheetView tabSelected="1" workbookViewId="0">
      <selection sqref="A1:K1"/>
    </sheetView>
  </sheetViews>
  <sheetFormatPr defaultRowHeight="15" x14ac:dyDescent="0.25"/>
  <cols>
    <col min="1" max="1" width="29.140625" customWidth="1"/>
  </cols>
  <sheetData>
    <row r="1" spans="1:11" ht="29.25" customHeight="1" x14ac:dyDescent="0.3">
      <c r="A1" s="10" t="s">
        <v>9</v>
      </c>
      <c r="B1" s="11"/>
      <c r="C1" s="11"/>
      <c r="D1" s="11"/>
      <c r="E1" s="11"/>
      <c r="F1" s="11"/>
      <c r="G1" s="11"/>
      <c r="H1" s="11"/>
      <c r="I1" s="11"/>
      <c r="J1" s="11"/>
      <c r="K1" s="12"/>
    </row>
    <row r="2" spans="1:11" ht="15" customHeight="1" x14ac:dyDescent="0.25">
      <c r="A2" s="13"/>
      <c r="B2" s="15" t="s">
        <v>18</v>
      </c>
      <c r="C2" s="15" t="s">
        <v>12</v>
      </c>
      <c r="D2" s="31" t="s">
        <v>13</v>
      </c>
      <c r="E2" s="32"/>
      <c r="F2" s="15" t="s">
        <v>10</v>
      </c>
      <c r="G2" s="15" t="s">
        <v>18</v>
      </c>
      <c r="H2" s="15" t="s">
        <v>12</v>
      </c>
      <c r="I2" s="31" t="s">
        <v>13</v>
      </c>
      <c r="J2" s="32"/>
      <c r="K2" s="15" t="s">
        <v>10</v>
      </c>
    </row>
    <row r="3" spans="1:11" x14ac:dyDescent="0.25">
      <c r="A3" s="14"/>
      <c r="B3" s="16"/>
      <c r="C3" s="16"/>
      <c r="D3" s="9">
        <v>2012</v>
      </c>
      <c r="E3" s="9">
        <v>2013</v>
      </c>
      <c r="F3" s="16"/>
      <c r="G3" s="16"/>
      <c r="H3" s="16"/>
      <c r="I3" s="9">
        <v>2012</v>
      </c>
      <c r="J3" s="9">
        <v>2013</v>
      </c>
      <c r="K3" s="16"/>
    </row>
    <row r="4" spans="1:11" ht="17.25" customHeight="1" x14ac:dyDescent="0.25">
      <c r="A4" s="18"/>
      <c r="B4" s="28" t="s">
        <v>14</v>
      </c>
      <c r="C4" s="28"/>
      <c r="D4" s="28"/>
      <c r="E4" s="28"/>
      <c r="F4" s="28"/>
      <c r="G4" s="28" t="s">
        <v>16</v>
      </c>
      <c r="H4" s="28"/>
      <c r="I4" s="28"/>
      <c r="J4" s="28"/>
      <c r="K4" s="28"/>
    </row>
    <row r="5" spans="1:11" ht="24" customHeight="1" x14ac:dyDescent="0.25">
      <c r="A5" s="18"/>
      <c r="B5" s="28"/>
      <c r="C5" s="28"/>
      <c r="D5" s="28"/>
      <c r="E5" s="28"/>
      <c r="F5" s="28"/>
      <c r="G5" s="28"/>
      <c r="H5" s="28"/>
      <c r="I5" s="28"/>
      <c r="J5" s="28"/>
      <c r="K5" s="28"/>
    </row>
    <row r="6" spans="1:11" ht="18" customHeight="1" x14ac:dyDescent="0.3">
      <c r="A6" s="1" t="s">
        <v>0</v>
      </c>
      <c r="B6" s="3">
        <v>124.03238315401475</v>
      </c>
      <c r="C6" s="3">
        <v>112.38473681493595</v>
      </c>
      <c r="D6" s="3">
        <v>113.79459486838535</v>
      </c>
      <c r="E6" s="3">
        <f>AVERAGE(B6:C6)</f>
        <v>118.20855998447536</v>
      </c>
      <c r="F6" s="3">
        <f>(E6-D6)/D6*100</f>
        <v>3.8788882030778322</v>
      </c>
      <c r="G6" s="4">
        <v>25.960525904874501</v>
      </c>
      <c r="H6" s="4">
        <v>23.960611075311011</v>
      </c>
      <c r="I6" s="4">
        <v>26.642201638516578</v>
      </c>
      <c r="J6" s="4">
        <f>AVERAGE(G6:H6)</f>
        <v>24.960568490092754</v>
      </c>
      <c r="K6" s="4">
        <f>(J6-I6)/I6*100</f>
        <v>-6.3119151008627234</v>
      </c>
    </row>
    <row r="7" spans="1:11" ht="18" customHeight="1" x14ac:dyDescent="0.3">
      <c r="A7" s="1" t="s">
        <v>1</v>
      </c>
      <c r="B7" s="3">
        <v>30</v>
      </c>
      <c r="C7" s="3">
        <v>29</v>
      </c>
      <c r="D7" s="3">
        <v>33.5</v>
      </c>
      <c r="E7" s="3">
        <f t="shared" ref="E7:E11" si="0">AVERAGE(B7:C7)</f>
        <v>29.5</v>
      </c>
      <c r="F7" s="3">
        <f t="shared" ref="F7:F11" si="1">(E7-D7)/D7*100</f>
        <v>-11.940298507462686</v>
      </c>
      <c r="G7" s="4">
        <v>30</v>
      </c>
      <c r="H7" s="4">
        <v>29</v>
      </c>
      <c r="I7" s="4">
        <v>34.29</v>
      </c>
      <c r="J7" s="4">
        <f t="shared" ref="J7:J11" si="2">AVERAGE(G7:H7)</f>
        <v>29.5</v>
      </c>
      <c r="K7" s="4">
        <f t="shared" ref="K7:K11" si="3">(J7-I7)/I7*100</f>
        <v>-13.969087197433652</v>
      </c>
    </row>
    <row r="8" spans="1:11" ht="18" customHeight="1" x14ac:dyDescent="0.3">
      <c r="A8" s="1" t="s">
        <v>2</v>
      </c>
      <c r="B8" s="3">
        <v>154.03238315401475</v>
      </c>
      <c r="C8" s="3">
        <v>141.38473681493593</v>
      </c>
      <c r="D8" s="3">
        <v>147.29459486838533</v>
      </c>
      <c r="E8" s="3">
        <f t="shared" si="0"/>
        <v>147.70855998447536</v>
      </c>
      <c r="F8" s="3">
        <f t="shared" si="1"/>
        <v>0.28104569380833228</v>
      </c>
      <c r="G8" s="4">
        <v>55.960525904874501</v>
      </c>
      <c r="H8" s="4">
        <v>52.960611075311007</v>
      </c>
      <c r="I8" s="4">
        <v>60.932201638516574</v>
      </c>
      <c r="J8" s="4">
        <f t="shared" si="2"/>
        <v>54.460568490092754</v>
      </c>
      <c r="K8" s="4">
        <f t="shared" si="3"/>
        <v>-10.621039408385597</v>
      </c>
    </row>
    <row r="9" spans="1:11" ht="18" customHeight="1" x14ac:dyDescent="0.3">
      <c r="A9" s="1" t="s">
        <v>11</v>
      </c>
      <c r="B9" s="3">
        <v>419.34742751438307</v>
      </c>
      <c r="C9" s="3">
        <v>391.58277672035638</v>
      </c>
      <c r="D9" s="3">
        <v>412.99651523977388</v>
      </c>
      <c r="E9" s="3">
        <f t="shared" si="0"/>
        <v>405.46510211736972</v>
      </c>
      <c r="F9" s="3">
        <f t="shared" si="1"/>
        <v>-1.8236020994103639</v>
      </c>
      <c r="G9" s="4">
        <v>460.13108445367675</v>
      </c>
      <c r="H9" s="4">
        <v>459.96385236712814</v>
      </c>
      <c r="I9" s="4">
        <v>426.76754085886887</v>
      </c>
      <c r="J9" s="4">
        <f t="shared" si="2"/>
        <v>460.04746841040242</v>
      </c>
      <c r="K9" s="4">
        <f t="shared" si="3"/>
        <v>7.7981393534657659</v>
      </c>
    </row>
    <row r="10" spans="1:11" ht="18" customHeight="1" x14ac:dyDescent="0.3">
      <c r="A10" s="1" t="s">
        <v>3</v>
      </c>
      <c r="B10" s="3">
        <v>573.37981066839779</v>
      </c>
      <c r="C10" s="3">
        <v>532.96751353529226</v>
      </c>
      <c r="D10" s="3">
        <v>560.29111010815927</v>
      </c>
      <c r="E10" s="3">
        <f t="shared" si="0"/>
        <v>553.17366210184503</v>
      </c>
      <c r="F10" s="3">
        <f t="shared" si="1"/>
        <v>-1.2703124996825825</v>
      </c>
      <c r="G10" s="4">
        <v>516.09161035855129</v>
      </c>
      <c r="H10" s="4">
        <v>512.92446344243911</v>
      </c>
      <c r="I10" s="4">
        <v>487.6997424973855</v>
      </c>
      <c r="J10" s="4">
        <f t="shared" si="2"/>
        <v>514.5080369004952</v>
      </c>
      <c r="K10" s="4">
        <f t="shared" si="3"/>
        <v>5.4968850846283592</v>
      </c>
    </row>
    <row r="11" spans="1:11" ht="18" customHeight="1" x14ac:dyDescent="0.3">
      <c r="A11" s="1" t="s">
        <v>4</v>
      </c>
      <c r="B11" s="8">
        <v>26.863935612671259</v>
      </c>
      <c r="C11" s="8">
        <v>26.527833915635775</v>
      </c>
      <c r="D11" s="8">
        <v>26.404349697483923</v>
      </c>
      <c r="E11" s="8">
        <f t="shared" si="0"/>
        <v>26.695884764153519</v>
      </c>
      <c r="F11" s="8">
        <f t="shared" si="1"/>
        <v>1.1041175791478635</v>
      </c>
      <c r="G11" s="7">
        <v>10.843138075039874</v>
      </c>
      <c r="H11" s="7">
        <v>10.325226198000264</v>
      </c>
      <c r="I11" s="7">
        <v>12.506801581797426</v>
      </c>
      <c r="J11" s="7">
        <f t="shared" si="2"/>
        <v>10.58418213652007</v>
      </c>
      <c r="K11" s="7">
        <f t="shared" si="3"/>
        <v>-15.372590927448332</v>
      </c>
    </row>
    <row r="12" spans="1:11" ht="17.25" customHeight="1" x14ac:dyDescent="0.25">
      <c r="A12" s="17"/>
      <c r="B12" s="29" t="s">
        <v>15</v>
      </c>
      <c r="C12" s="29"/>
      <c r="D12" s="29"/>
      <c r="E12" s="29"/>
      <c r="F12" s="29"/>
      <c r="G12" s="29" t="s">
        <v>17</v>
      </c>
      <c r="H12" s="29"/>
      <c r="I12" s="29"/>
      <c r="J12" s="29"/>
      <c r="K12" s="29"/>
    </row>
    <row r="13" spans="1:11" ht="24" customHeight="1" x14ac:dyDescent="0.25">
      <c r="A13" s="17"/>
      <c r="B13" s="30"/>
      <c r="C13" s="30"/>
      <c r="D13" s="30"/>
      <c r="E13" s="30"/>
      <c r="F13" s="30"/>
      <c r="G13" s="30"/>
      <c r="H13" s="30"/>
      <c r="I13" s="30"/>
      <c r="J13" s="30"/>
      <c r="K13" s="30"/>
    </row>
    <row r="14" spans="1:11" ht="18" customHeight="1" x14ac:dyDescent="0.3">
      <c r="A14" s="1" t="s">
        <v>0</v>
      </c>
      <c r="B14" s="5">
        <v>37.035774851412036</v>
      </c>
      <c r="C14" s="5">
        <v>35.623212499518075</v>
      </c>
      <c r="D14" s="5">
        <v>34.389513097402222</v>
      </c>
      <c r="E14" s="5">
        <f t="shared" ref="E14:E19" si="4">AVERAGE(B14:C14)</f>
        <v>36.329493675465059</v>
      </c>
      <c r="F14" s="5">
        <f t="shared" ref="F14:F19" si="5">(E14-D14)/D14*100</f>
        <v>5.6411981541238596</v>
      </c>
      <c r="G14" s="5">
        <v>59.141848643224485</v>
      </c>
      <c r="H14" s="5">
        <v>57.400021014011124</v>
      </c>
      <c r="I14" s="5">
        <v>55.464769479067499</v>
      </c>
      <c r="J14" s="5">
        <f t="shared" ref="J14:J19" si="6">AVERAGE(G14:H14)</f>
        <v>58.270934828617804</v>
      </c>
      <c r="K14" s="5">
        <f t="shared" ref="K14:K19" si="7">(J14-I14)/I14*100</f>
        <v>5.0593653879862543</v>
      </c>
    </row>
    <row r="15" spans="1:11" ht="18" customHeight="1" x14ac:dyDescent="0.3">
      <c r="A15" s="1" t="s">
        <v>1</v>
      </c>
      <c r="B15" s="5">
        <v>30</v>
      </c>
      <c r="C15" s="5">
        <v>29</v>
      </c>
      <c r="D15" s="5">
        <v>33.29</v>
      </c>
      <c r="E15" s="5">
        <f t="shared" si="4"/>
        <v>29.5</v>
      </c>
      <c r="F15" s="5">
        <f t="shared" si="5"/>
        <v>-11.384800240312403</v>
      </c>
      <c r="G15" s="5">
        <v>30</v>
      </c>
      <c r="H15" s="5">
        <v>29</v>
      </c>
      <c r="I15" s="5">
        <v>33.5</v>
      </c>
      <c r="J15" s="5">
        <f t="shared" si="6"/>
        <v>29.5</v>
      </c>
      <c r="K15" s="5">
        <f t="shared" si="7"/>
        <v>-11.940298507462686</v>
      </c>
    </row>
    <row r="16" spans="1:11" ht="18" customHeight="1" x14ac:dyDescent="0.3">
      <c r="A16" s="1" t="s">
        <v>2</v>
      </c>
      <c r="B16" s="5">
        <v>67.035774851412043</v>
      </c>
      <c r="C16" s="5">
        <v>64.623212499518075</v>
      </c>
      <c r="D16" s="5">
        <v>67.679513097402221</v>
      </c>
      <c r="E16" s="5">
        <f t="shared" si="4"/>
        <v>65.829493675465059</v>
      </c>
      <c r="F16" s="5">
        <f t="shared" si="5"/>
        <v>-2.7334998986689998</v>
      </c>
      <c r="G16" s="5">
        <v>89.141848643224478</v>
      </c>
      <c r="H16" s="5">
        <v>86.400021014011116</v>
      </c>
      <c r="I16" s="5">
        <v>88.964769479067485</v>
      </c>
      <c r="J16" s="5">
        <f t="shared" si="6"/>
        <v>87.770934828617797</v>
      </c>
      <c r="K16" s="5">
        <f t="shared" si="7"/>
        <v>-1.3419184441663563</v>
      </c>
    </row>
    <row r="17" spans="1:11" ht="18" customHeight="1" x14ac:dyDescent="0.3">
      <c r="A17" s="1" t="s">
        <v>11</v>
      </c>
      <c r="B17" s="5">
        <v>476.21836224505932</v>
      </c>
      <c r="C17" s="5">
        <v>461.96978083647701</v>
      </c>
      <c r="D17" s="5">
        <v>452.24246988014039</v>
      </c>
      <c r="E17" s="5">
        <f t="shared" si="4"/>
        <v>469.09407154076814</v>
      </c>
      <c r="F17" s="5">
        <f t="shared" si="5"/>
        <v>3.7262315644733666</v>
      </c>
      <c r="G17" s="5">
        <v>445.56399262717724</v>
      </c>
      <c r="H17" s="5">
        <v>419.61640389728683</v>
      </c>
      <c r="I17" s="5">
        <v>414.98729455635316</v>
      </c>
      <c r="J17" s="5">
        <f t="shared" si="6"/>
        <v>432.59019826223204</v>
      </c>
      <c r="K17" s="5">
        <f t="shared" si="7"/>
        <v>4.2417934083252975</v>
      </c>
    </row>
    <row r="18" spans="1:11" ht="18" customHeight="1" x14ac:dyDescent="0.3">
      <c r="A18" s="1" t="s">
        <v>3</v>
      </c>
      <c r="B18" s="5">
        <v>543.25413709647137</v>
      </c>
      <c r="C18" s="5">
        <v>526.59299333599506</v>
      </c>
      <c r="D18" s="5">
        <v>519.9219829775426</v>
      </c>
      <c r="E18" s="5">
        <f t="shared" si="4"/>
        <v>534.92356521623321</v>
      </c>
      <c r="F18" s="5">
        <f t="shared" si="5"/>
        <v>2.8853525586238948</v>
      </c>
      <c r="G18" s="5">
        <v>534.70584127040172</v>
      </c>
      <c r="H18" s="5">
        <v>506.01642491129792</v>
      </c>
      <c r="I18" s="5">
        <v>503.95206403542056</v>
      </c>
      <c r="J18" s="5">
        <f t="shared" si="6"/>
        <v>520.36113309084976</v>
      </c>
      <c r="K18" s="5">
        <f t="shared" si="7"/>
        <v>3.2560773586346259</v>
      </c>
    </row>
    <row r="19" spans="1:11" ht="18" customHeight="1" x14ac:dyDescent="0.3">
      <c r="A19" s="2" t="s">
        <v>4</v>
      </c>
      <c r="B19" s="6">
        <v>12.339671301851087</v>
      </c>
      <c r="C19" s="6">
        <v>12.271946895860983</v>
      </c>
      <c r="D19" s="6">
        <v>13.034801268344875</v>
      </c>
      <c r="E19" s="6">
        <f t="shared" si="4"/>
        <v>12.305809098856034</v>
      </c>
      <c r="F19" s="6">
        <f t="shared" si="5"/>
        <v>-5.5926604056419658</v>
      </c>
      <c r="G19" s="6">
        <v>16.67119409644625</v>
      </c>
      <c r="H19" s="6">
        <v>17.074548722238927</v>
      </c>
      <c r="I19" s="6">
        <v>17.66941124119656</v>
      </c>
      <c r="J19" s="6">
        <f t="shared" si="6"/>
        <v>16.872871409342586</v>
      </c>
      <c r="K19" s="6">
        <f t="shared" si="7"/>
        <v>-4.5080156943589946</v>
      </c>
    </row>
    <row r="20" spans="1:11" ht="14.45" x14ac:dyDescent="0.3">
      <c r="A20" s="22"/>
      <c r="B20" s="23"/>
      <c r="C20" s="23"/>
      <c r="D20" s="23"/>
      <c r="E20" s="23"/>
      <c r="F20" s="23"/>
      <c r="G20" s="23"/>
      <c r="H20" s="23"/>
      <c r="I20" s="23"/>
      <c r="J20" s="23"/>
      <c r="K20" s="24"/>
    </row>
    <row r="21" spans="1:11" ht="14.45" customHeight="1" x14ac:dyDescent="0.25">
      <c r="A21" s="25" t="s">
        <v>6</v>
      </c>
      <c r="B21" s="26"/>
      <c r="C21" s="26"/>
      <c r="D21" s="26"/>
      <c r="E21" s="26"/>
      <c r="F21" s="26"/>
      <c r="G21" s="26"/>
      <c r="H21" s="26"/>
      <c r="I21" s="26"/>
      <c r="J21" s="26"/>
      <c r="K21" s="27"/>
    </row>
    <row r="22" spans="1:11" ht="14.45" x14ac:dyDescent="0.3">
      <c r="A22" s="25" t="s">
        <v>7</v>
      </c>
      <c r="B22" s="26"/>
      <c r="C22" s="26"/>
      <c r="D22" s="26"/>
      <c r="E22" s="26"/>
      <c r="F22" s="26"/>
      <c r="G22" s="26"/>
      <c r="H22" s="26"/>
      <c r="I22" s="26"/>
      <c r="J22" s="26"/>
      <c r="K22" s="27"/>
    </row>
    <row r="23" spans="1:11" ht="14.45" x14ac:dyDescent="0.3">
      <c r="A23" s="25" t="s">
        <v>8</v>
      </c>
      <c r="B23" s="26"/>
      <c r="C23" s="26"/>
      <c r="D23" s="26"/>
      <c r="E23" s="26"/>
      <c r="F23" s="26"/>
      <c r="G23" s="26"/>
      <c r="H23" s="26"/>
      <c r="I23" s="26"/>
      <c r="J23" s="26"/>
      <c r="K23" s="27"/>
    </row>
    <row r="24" spans="1:11" x14ac:dyDescent="0.25">
      <c r="A24" s="19" t="s">
        <v>5</v>
      </c>
      <c r="B24" s="20"/>
      <c r="C24" s="20"/>
      <c r="D24" s="20"/>
      <c r="E24" s="20"/>
      <c r="F24" s="20"/>
      <c r="G24" s="20"/>
      <c r="H24" s="20"/>
      <c r="I24" s="20"/>
      <c r="J24" s="20"/>
      <c r="K24" s="21"/>
    </row>
    <row r="26" spans="1:11" ht="15" customHeight="1" x14ac:dyDescent="0.25"/>
    <row r="27" spans="1:11" ht="15" customHeight="1" x14ac:dyDescent="0.25"/>
  </sheetData>
  <mergeCells count="21">
    <mergeCell ref="A24:K24"/>
    <mergeCell ref="A20:K20"/>
    <mergeCell ref="A21:K21"/>
    <mergeCell ref="A22:K22"/>
    <mergeCell ref="A23:K23"/>
    <mergeCell ref="A1:K1"/>
    <mergeCell ref="A2:A3"/>
    <mergeCell ref="F2:F3"/>
    <mergeCell ref="K2:K3"/>
    <mergeCell ref="A12:A13"/>
    <mergeCell ref="A4:A5"/>
    <mergeCell ref="B2:B3"/>
    <mergeCell ref="B4:F5"/>
    <mergeCell ref="G4:K5"/>
    <mergeCell ref="B12:F13"/>
    <mergeCell ref="G12:K13"/>
    <mergeCell ref="C2:C3"/>
    <mergeCell ref="D2:E2"/>
    <mergeCell ref="G2:G3"/>
    <mergeCell ref="H2:H3"/>
    <mergeCell ref="I2:J2"/>
  </mergeCells>
  <pageMargins left="0.7" right="0.7" top="0.75" bottom="0.75" header="0.3" footer="0.3"/>
  <pageSetup orientation="portrait" r:id="rId1"/>
  <ignoredErrors>
    <ignoredError sqref="E6 E7:F11 J6 J7:K11 E14:F19 J14:K19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2June2013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Ladd, Jessica</dc:creator>
  <cp:lastModifiedBy>Government User</cp:lastModifiedBy>
  <dcterms:created xsi:type="dcterms:W3CDTF">2008-08-25T16:01:01Z</dcterms:created>
  <dcterms:modified xsi:type="dcterms:W3CDTF">2013-08-14T19:19:24Z</dcterms:modified>
</cp:coreProperties>
</file>